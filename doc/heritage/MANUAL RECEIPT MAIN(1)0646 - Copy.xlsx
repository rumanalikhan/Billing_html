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\Desktop\"/>
    </mc:Choice>
  </mc:AlternateContent>
  <xr:revisionPtr revIDLastSave="0" documentId="13_ncr:1_{9D2D875C-96F0-48CB-881E-CA32189B0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 information" sheetId="3" r:id="rId1"/>
    <sheet name="Menu Items" sheetId="1" r:id="rId2"/>
    <sheet name="Sheet1" sheetId="4" r:id="rId3"/>
  </sheets>
  <definedNames>
    <definedName name="_xlnm._FilterDatabase" localSheetId="0" hidden="1">'Member information'!$A$1:$H$123</definedName>
    <definedName name="_xlnm._FilterDatabase" localSheetId="1" hidden="1">'Menu Items'!$A$1:$C$229</definedName>
  </definedNames>
  <calcPr calcId="191029"/>
</workbook>
</file>

<file path=xl/calcChain.xml><?xml version="1.0" encoding="utf-8"?>
<calcChain xmlns="http://schemas.openxmlformats.org/spreadsheetml/2006/main">
  <c r="G14" i="4" l="1"/>
  <c r="G13" i="4"/>
  <c r="H19" i="4"/>
  <c r="C20" i="4"/>
  <c r="H20" i="4" s="1"/>
  <c r="G31" i="4"/>
  <c r="F31" i="4"/>
  <c r="C31" i="4"/>
  <c r="D31" i="4" s="1"/>
  <c r="I31" i="4" s="1"/>
  <c r="G30" i="4"/>
  <c r="F30" i="4"/>
  <c r="C30" i="4"/>
  <c r="D30" i="4" s="1"/>
  <c r="I30" i="4" s="1"/>
  <c r="G29" i="4"/>
  <c r="F29" i="4"/>
  <c r="C29" i="4"/>
  <c r="H29" i="4" s="1"/>
  <c r="G28" i="4"/>
  <c r="F28" i="4"/>
  <c r="C28" i="4"/>
  <c r="D28" i="4" s="1"/>
  <c r="I28" i="4" s="1"/>
  <c r="G27" i="4"/>
  <c r="F27" i="4"/>
  <c r="C27" i="4"/>
  <c r="H27" i="4" s="1"/>
  <c r="G26" i="4"/>
  <c r="F26" i="4"/>
  <c r="C26" i="4"/>
  <c r="H26" i="4" s="1"/>
  <c r="G25" i="4"/>
  <c r="F25" i="4"/>
  <c r="C25" i="4"/>
  <c r="H25" i="4" s="1"/>
  <c r="G24" i="4"/>
  <c r="F24" i="4"/>
  <c r="D24" i="4"/>
  <c r="I24" i="4" s="1"/>
  <c r="G23" i="4"/>
  <c r="F23" i="4"/>
  <c r="C23" i="4"/>
  <c r="H23" i="4" s="1"/>
  <c r="G22" i="4"/>
  <c r="F22" i="4"/>
  <c r="C22" i="4"/>
  <c r="H22" i="4" s="1"/>
  <c r="G21" i="4"/>
  <c r="F21" i="4"/>
  <c r="C21" i="4"/>
  <c r="H21" i="4" s="1"/>
  <c r="G20" i="4"/>
  <c r="F20" i="4"/>
  <c r="G19" i="4"/>
  <c r="F19" i="4"/>
  <c r="G18" i="4"/>
  <c r="F14" i="4"/>
  <c r="B12" i="4"/>
  <c r="G12" i="4" s="1"/>
  <c r="G11" i="4"/>
  <c r="H28" i="4" l="1"/>
  <c r="D27" i="4"/>
  <c r="I27" i="4" s="1"/>
  <c r="D23" i="4"/>
  <c r="I23" i="4" s="1"/>
  <c r="H24" i="4"/>
  <c r="D20" i="4"/>
  <c r="D19" i="4"/>
  <c r="H31" i="4"/>
  <c r="D22" i="4"/>
  <c r="I22" i="4" s="1"/>
  <c r="D26" i="4"/>
  <c r="I26" i="4" s="1"/>
  <c r="D21" i="4"/>
  <c r="I21" i="4" s="1"/>
  <c r="D29" i="4"/>
  <c r="I29" i="4" s="1"/>
  <c r="H30" i="4"/>
  <c r="D25" i="4"/>
  <c r="I25" i="4" s="1"/>
  <c r="I20" i="4" l="1"/>
  <c r="I19" i="4"/>
  <c r="H18" i="4" l="1"/>
  <c r="F18" i="4"/>
  <c r="D18" i="4" l="1"/>
  <c r="I18" i="4" l="1"/>
  <c r="B34" i="4"/>
  <c r="G34" i="4" l="1"/>
  <c r="B38" i="4"/>
  <c r="G38" i="4" l="1"/>
  <c r="G42" i="4" s="1"/>
  <c r="B42" i="4"/>
</calcChain>
</file>

<file path=xl/sharedStrings.xml><?xml version="1.0" encoding="utf-8"?>
<sst xmlns="http://schemas.openxmlformats.org/spreadsheetml/2006/main" count="740" uniqueCount="719">
  <si>
    <t>RECEIPT</t>
  </si>
  <si>
    <t>Thank you for dining at The Heritage Club. Please review the itemized charges below. Ensure all details are correct.</t>
  </si>
  <si>
    <t>Customer Information</t>
  </si>
  <si>
    <t>Member ID:</t>
  </si>
  <si>
    <t>HCFM-0502</t>
  </si>
  <si>
    <t>Member Name:</t>
  </si>
  <si>
    <t>Date:</t>
  </si>
  <si>
    <t>Itemized Charges</t>
  </si>
  <si>
    <t>Item</t>
  </si>
  <si>
    <t>Quantity</t>
  </si>
  <si>
    <t>Unit Price</t>
  </si>
  <si>
    <t>Total Price</t>
  </si>
  <si>
    <t>BEEF BOTI</t>
  </si>
  <si>
    <t>TAWA PARATHA</t>
  </si>
  <si>
    <t>Taxes and Fees</t>
  </si>
  <si>
    <t>Sales Tax (15%):</t>
  </si>
  <si>
    <t>Total Amount Due</t>
  </si>
  <si>
    <t>*MEMBERS COPY*</t>
  </si>
  <si>
    <t>AGAVE NECTAR</t>
  </si>
  <si>
    <t>ALMOND CAKE</t>
  </si>
  <si>
    <t>ALMOND COOKIES</t>
  </si>
  <si>
    <t>ALOO SAMOSA</t>
  </si>
  <si>
    <t>AMERICAN ALMOND BROWNE</t>
  </si>
  <si>
    <t>APPLE JUICE</t>
  </si>
  <si>
    <t>APPLE PIE</t>
  </si>
  <si>
    <t>APPLE PIE HOT SAUCE</t>
  </si>
  <si>
    <t>ASSORTED COOKIES</t>
  </si>
  <si>
    <t>ASSORTED PASTRY</t>
  </si>
  <si>
    <t>BANTI COOKIES</t>
  </si>
  <si>
    <t>BASBOUSA</t>
  </si>
  <si>
    <t>BEEF BURGER</t>
  </si>
  <si>
    <t>BEEF LASAGNA</t>
  </si>
  <si>
    <t>BEEF NIHARI</t>
  </si>
  <si>
    <t>BEEF SEEKH KABAB</t>
  </si>
  <si>
    <t>BLACK FOREST</t>
  </si>
  <si>
    <t>BLACK FOREST CAKE</t>
  </si>
  <si>
    <t>BLACK FOREST PASTRY</t>
  </si>
  <si>
    <t>BLACK LABEL DOUBLE</t>
  </si>
  <si>
    <t>BLACK TEA</t>
  </si>
  <si>
    <t>BLUE BERRY CHEESE CAKE</t>
  </si>
  <si>
    <t>BLUEBERRY CHEESE PASTRY</t>
  </si>
  <si>
    <t>BOMBAY CAKE</t>
  </si>
  <si>
    <t>BREAK FAST</t>
  </si>
  <si>
    <t>BROWNE</t>
  </si>
  <si>
    <t>BUN</t>
  </si>
  <si>
    <t>BUTTER CHICKEN</t>
  </si>
  <si>
    <t>BUTTER NAAN</t>
  </si>
  <si>
    <t>CAKE PLATE</t>
  </si>
  <si>
    <t>CHEESE NAAN</t>
  </si>
  <si>
    <t>CHILI DRY RICE</t>
  </si>
  <si>
    <t>CHIP COOKIES</t>
  </si>
  <si>
    <t>CHOCOLATE</t>
  </si>
  <si>
    <t>CHOCOLATE BISCUIT</t>
  </si>
  <si>
    <t>CHOCOLATE COOKIES</t>
  </si>
  <si>
    <t>CHOCOLATE FUDGE CAKE</t>
  </si>
  <si>
    <t>CHOCOLATE MOUSSE</t>
  </si>
  <si>
    <t>CHOCOLATE PASTRY</t>
  </si>
  <si>
    <t>CHOCOLATE SHAKE</t>
  </si>
  <si>
    <t>CIGAR</t>
  </si>
  <si>
    <t>COCONUT COOKIES</t>
  </si>
  <si>
    <t>COLD COFFEE</t>
  </si>
  <si>
    <t>COLESLAW</t>
  </si>
  <si>
    <t>COVER CHARGES</t>
  </si>
  <si>
    <t>CROISSANT ROLL</t>
  </si>
  <si>
    <t>DAIRY MILK CAKE</t>
  </si>
  <si>
    <t>DAL</t>
  </si>
  <si>
    <t>DANISH PASTRY</t>
  </si>
  <si>
    <t>DARK DELIGHT</t>
  </si>
  <si>
    <t>DARK DELISH</t>
  </si>
  <si>
    <t>DOUGHNUTS</t>
  </si>
  <si>
    <t>EGG FRIED RICE</t>
  </si>
  <si>
    <t>FISH GREEN MASALA</t>
  </si>
  <si>
    <t>FISH N CHIPS</t>
  </si>
  <si>
    <t>FRUIT CAKE</t>
  </si>
  <si>
    <t>FRUIT CAKE 2 POUND</t>
  </si>
  <si>
    <t>FUDGE BROWNE</t>
  </si>
  <si>
    <t>FUDGE PASTRY</t>
  </si>
  <si>
    <t>GARLIC NAAN</t>
  </si>
  <si>
    <t>GERMAN ROULADEN</t>
  </si>
  <si>
    <t>GINGER COOKIES</t>
  </si>
  <si>
    <t>GRAPE BLISS</t>
  </si>
  <si>
    <t>GREEN OF MASHROOMS</t>
  </si>
  <si>
    <t>GREEN TEA</t>
  </si>
  <si>
    <t>HC SPECIAL BURGER</t>
  </si>
  <si>
    <t>HEINKEN BEER</t>
  </si>
  <si>
    <t>HOT COFFEE</t>
  </si>
  <si>
    <t>J DANIEL DOUBLE</t>
  </si>
  <si>
    <t>J DANIEL SINGLE</t>
  </si>
  <si>
    <t>JAM COOKIES</t>
  </si>
  <si>
    <t>JELLY PUDDING SLICE</t>
  </si>
  <si>
    <t>KABULI PULAO</t>
  </si>
  <si>
    <t>KITKAT CAKE</t>
  </si>
  <si>
    <t>KUNAFA</t>
  </si>
  <si>
    <t>LASSI</t>
  </si>
  <si>
    <t>LATTE COFFEE</t>
  </si>
  <si>
    <t>LEMON TART</t>
  </si>
  <si>
    <t>LOTUS CAKE</t>
  </si>
  <si>
    <t>LOTUS PASTRY</t>
  </si>
  <si>
    <t>MALT BREW</t>
  </si>
  <si>
    <t>MARBLE COOKIES</t>
  </si>
  <si>
    <t>MEDIUM PRAWN</t>
  </si>
  <si>
    <t>MILK SHAKE</t>
  </si>
  <si>
    <t>MINERAL WATER SMALL</t>
  </si>
  <si>
    <t>MINI SAMOSA</t>
  </si>
  <si>
    <t>MINT LEMONADE</t>
  </si>
  <si>
    <t>MIX NIMCO</t>
  </si>
  <si>
    <t>MIX TEA</t>
  </si>
  <si>
    <t>MOCHO JAWA</t>
  </si>
  <si>
    <t>MUTTON AGRA KARAHI</t>
  </si>
  <si>
    <t>MUTTON BIRYANI</t>
  </si>
  <si>
    <t>ORANGE JUICE</t>
  </si>
  <si>
    <t>OREO CAKE</t>
  </si>
  <si>
    <t>OREO PASTRY</t>
  </si>
  <si>
    <t>PASTA</t>
  </si>
  <si>
    <t>PEG BALLANTINES SINGLE</t>
  </si>
  <si>
    <t>PEPPER STEAK</t>
  </si>
  <si>
    <t>PINA COLADA</t>
  </si>
  <si>
    <t>PINEAPPLE CAKE</t>
  </si>
  <si>
    <t>PINEAPPLE JUICE</t>
  </si>
  <si>
    <t>PINEAPPLE PASTRY</t>
  </si>
  <si>
    <t>PLAIN CAKE</t>
  </si>
  <si>
    <t>PLAIN CAKE 2 POUND</t>
  </si>
  <si>
    <t>PLAIN COOKIES</t>
  </si>
  <si>
    <t>PLAIN FRIES</t>
  </si>
  <si>
    <t>PLAIN NAAN</t>
  </si>
  <si>
    <t>PLATER AFTAR</t>
  </si>
  <si>
    <t>POTATO CUTTLETS</t>
  </si>
  <si>
    <t>PRAWN MASALA</t>
  </si>
  <si>
    <t>RAISIN COOKIES</t>
  </si>
  <si>
    <t>RAITA</t>
  </si>
  <si>
    <t>RED VELVET CAKE</t>
  </si>
  <si>
    <t>RED VELVET PASTRY</t>
  </si>
  <si>
    <t>ROGHNI NAAN</t>
  </si>
  <si>
    <t>RUSSIAN SALAD</t>
  </si>
  <si>
    <t>SHRIMP COCTAIL</t>
  </si>
  <si>
    <t>SODA</t>
  </si>
  <si>
    <t>SODA WATER</t>
  </si>
  <si>
    <t>SOFT DRINKS</t>
  </si>
  <si>
    <t>SOUFFLE</t>
  </si>
  <si>
    <t>STRAWBERRY CHEESE CAKE</t>
  </si>
  <si>
    <t>STRAWBERRY CHEESE PASTRY</t>
  </si>
  <si>
    <t>TANDOORI PARATHA</t>
  </si>
  <si>
    <t>THREE MILK CAKE</t>
  </si>
  <si>
    <t>TIRAMISU</t>
  </si>
  <si>
    <t>TIRAMISU CAKE</t>
  </si>
  <si>
    <t>VEGETABLES PATTIES</t>
  </si>
  <si>
    <t>VODKA SINGLE</t>
  </si>
  <si>
    <t>WHITE POP CORNS</t>
  </si>
  <si>
    <t>WONTON SOUP</t>
  </si>
  <si>
    <t>YOUGART TART</t>
  </si>
  <si>
    <t>ZEERA COOKIES</t>
  </si>
  <si>
    <t>ZINGER BURGER</t>
  </si>
  <si>
    <t>Membership Number</t>
  </si>
  <si>
    <t>Name</t>
  </si>
  <si>
    <t>HCFM-AH001</t>
  </si>
  <si>
    <t>ADMIRAL AHMED HAYAT</t>
  </si>
  <si>
    <t>MR. JABIR SHAHZAD</t>
  </si>
  <si>
    <t>HCFM-0503</t>
  </si>
  <si>
    <t>MR.GHULAM NABI OTHI</t>
  </si>
  <si>
    <t>HCFM-0504</t>
  </si>
  <si>
    <t>MR.BILAL AHMED</t>
  </si>
  <si>
    <t>HCFM-0506</t>
  </si>
  <si>
    <t>MR.MUHAMMAD ARIF</t>
  </si>
  <si>
    <t>HCFM-0507</t>
  </si>
  <si>
    <t>MR.SYED TAHIR ABBAS</t>
  </si>
  <si>
    <t>HCFM-0508</t>
  </si>
  <si>
    <t>MR.SHIRAZ AHMED</t>
  </si>
  <si>
    <t>HCFM-0509</t>
  </si>
  <si>
    <t>MR.SYED ABDULLAH ALI</t>
  </si>
  <si>
    <t>HCFM-0510</t>
  </si>
  <si>
    <t>MR.MUHAMMAD RIZWAN</t>
  </si>
  <si>
    <t>HCFM-0511</t>
  </si>
  <si>
    <t>MR.TALHAR AHMED</t>
  </si>
  <si>
    <t>HCFM-0512</t>
  </si>
  <si>
    <t>MR.ZEESHAN IQBAL</t>
  </si>
  <si>
    <t>HCFM-0513</t>
  </si>
  <si>
    <t>MR.SAJJAD ALI</t>
  </si>
  <si>
    <t>HCFM-0514</t>
  </si>
  <si>
    <t>MR.DILEEP KUMAR</t>
  </si>
  <si>
    <t>HCFM-0515</t>
  </si>
  <si>
    <t>MR.TARIQUE ZUBAIR</t>
  </si>
  <si>
    <t>HCFM-0516</t>
  </si>
  <si>
    <t>MR.ATIF SHAFQAT</t>
  </si>
  <si>
    <t>HCFM-0517</t>
  </si>
  <si>
    <t>DR.ATHESHAM UL HAQ RANA</t>
  </si>
  <si>
    <t>HCFM-0518</t>
  </si>
  <si>
    <t>DR.SANTOSH KUMAR</t>
  </si>
  <si>
    <t>HCFM-0519</t>
  </si>
  <si>
    <t>DR.NAZEER HUSSAIN KALHORO</t>
  </si>
  <si>
    <t>HCFM-0520</t>
  </si>
  <si>
    <t>MR.NIZAM UDDIN NIZAMANI</t>
  </si>
  <si>
    <t>HCFM-0521</t>
  </si>
  <si>
    <t>MR.HAFEEZ AHMED SIYAL</t>
  </si>
  <si>
    <t>HCFM-0522</t>
  </si>
  <si>
    <t>MR.IQBAL AHMED MALLAH</t>
  </si>
  <si>
    <t>HCFM-0523</t>
  </si>
  <si>
    <t>MR.KANYO LAL</t>
  </si>
  <si>
    <t>HCFM-0524</t>
  </si>
  <si>
    <t>MR.MANOJ KUMAR</t>
  </si>
  <si>
    <t>HCFM-0525</t>
  </si>
  <si>
    <t>DR.SAJJAD AHMED SOLANGI</t>
  </si>
  <si>
    <t>HCFM-0526</t>
  </si>
  <si>
    <t>MR.MUIED AHMED DURRANI</t>
  </si>
  <si>
    <t>HCFM-0527</t>
  </si>
  <si>
    <t>MR.SAEED AHMED</t>
  </si>
  <si>
    <t>HCFM-0528</t>
  </si>
  <si>
    <t>MR.VIKASH KUMAR</t>
  </si>
  <si>
    <t>HCFM-0529</t>
  </si>
  <si>
    <t>DR.UMER QAZI</t>
  </si>
  <si>
    <t>HCFM-0530</t>
  </si>
  <si>
    <t>MR.MUHAMMAD HANIF</t>
  </si>
  <si>
    <t>HCFM-0532</t>
  </si>
  <si>
    <t>MR.KHALID JAVED</t>
  </si>
  <si>
    <t>HCFM-0533</t>
  </si>
  <si>
    <t>MR.ZULQARNAIN</t>
  </si>
  <si>
    <t>HCFM-0534</t>
  </si>
  <si>
    <t>MR.PIR MUJEEB JAN SARHANDI</t>
  </si>
  <si>
    <t>HCFM-0535</t>
  </si>
  <si>
    <t>MR.MUHAMMAD ASIF</t>
  </si>
  <si>
    <t>HCFM-0536</t>
  </si>
  <si>
    <t>MR.ASHOK KUMAR</t>
  </si>
  <si>
    <t>HCFM-0537</t>
  </si>
  <si>
    <t>MR.TARIQ SALEEM</t>
  </si>
  <si>
    <t>HCFM-0538</t>
  </si>
  <si>
    <t>MR.MUHAMMAD ZAIN</t>
  </si>
  <si>
    <t>HCFM-0539</t>
  </si>
  <si>
    <t>MR.QAMARUZZAMAN</t>
  </si>
  <si>
    <t>HCFM-0540</t>
  </si>
  <si>
    <t>MR.MUHAMMAD SALIQ SIDDIQUI</t>
  </si>
  <si>
    <t>HCFM-0541</t>
  </si>
  <si>
    <t>MR.SHAN ELAHI SEHGAL</t>
  </si>
  <si>
    <t>HCFM-0542</t>
  </si>
  <si>
    <t>MR.HANIF AHSAN ZUBEDI</t>
  </si>
  <si>
    <t>HCFM-0543</t>
  </si>
  <si>
    <t>MR.MUHAMMAD ATIF USMANI</t>
  </si>
  <si>
    <t>HCFM-0544</t>
  </si>
  <si>
    <t>MR.MOHAMMAD ASHRAF SHAIKH</t>
  </si>
  <si>
    <t>HCFM-0546</t>
  </si>
  <si>
    <t>MR.ATHER TARIQ</t>
  </si>
  <si>
    <t>HCFM-0547</t>
  </si>
  <si>
    <t>MR.GOBIND RAM</t>
  </si>
  <si>
    <t>HCFM-0548</t>
  </si>
  <si>
    <t>MR.ZAIN FAROOQ</t>
  </si>
  <si>
    <t>HCFM-0549</t>
  </si>
  <si>
    <t>MR.WAQAR UDDIN</t>
  </si>
  <si>
    <t>HCFM-0551</t>
  </si>
  <si>
    <t>MR.ASIF ALI</t>
  </si>
  <si>
    <t>HCFM-0553</t>
  </si>
  <si>
    <t>MR.FAISAL MERCHANT</t>
  </si>
  <si>
    <t>HCFM-0554</t>
  </si>
  <si>
    <t>MR.IMRAN WAZEER</t>
  </si>
  <si>
    <t>HCFM-0556</t>
  </si>
  <si>
    <t>MR.SYED SALMAN RAZA</t>
  </si>
  <si>
    <t>HCFM-0557</t>
  </si>
  <si>
    <t>MR.KHADIM HUSSAIN</t>
  </si>
  <si>
    <t>HCFM-0558</t>
  </si>
  <si>
    <t>MUHAMMAD EBRAHIM TIWANA</t>
  </si>
  <si>
    <t>HCFM-0559</t>
  </si>
  <si>
    <t>MR.SYED HAMID SHAH</t>
  </si>
  <si>
    <t>HCFM-0581</t>
  </si>
  <si>
    <t>Brig Dr Ghulam Mehdi (Retd)</t>
  </si>
  <si>
    <t>HCFM-0583</t>
  </si>
  <si>
    <t>MR.CAREL HEDRIK BURGER</t>
  </si>
  <si>
    <t>HCFM-0585</t>
  </si>
  <si>
    <t>DGM AMJAD ALI SHAIKH</t>
  </si>
  <si>
    <t>HCFM-0586</t>
  </si>
  <si>
    <t>MR.SYED MURTAZA ALI</t>
  </si>
  <si>
    <t>HCFM-0587</t>
  </si>
  <si>
    <t>COL. AKBER RAO</t>
  </si>
  <si>
    <t>HCFM-0588</t>
  </si>
  <si>
    <t>ZULFIQAR AHMED MEMON</t>
  </si>
  <si>
    <t>HCFM-0589</t>
  </si>
  <si>
    <t>DGM.REHAN TARIQ</t>
  </si>
  <si>
    <t>HCFM-0590</t>
  </si>
  <si>
    <t>DGM.FAISAL AHMED</t>
  </si>
  <si>
    <t>HCFM-0591</t>
  </si>
  <si>
    <t>COL.AMIR RAZA</t>
  </si>
  <si>
    <t>HCFM-0593</t>
  </si>
  <si>
    <t>CAPT.HAMID UZ ZAFAR</t>
  </si>
  <si>
    <t>HCFM-0595</t>
  </si>
  <si>
    <t>BRIG.KHALID MEHMOOD</t>
  </si>
  <si>
    <t>HCFM-0596</t>
  </si>
  <si>
    <t>DGM AZFAR ALI</t>
  </si>
  <si>
    <t>HCFM-0597</t>
  </si>
  <si>
    <t>GM GHULAM DASTAGEER</t>
  </si>
  <si>
    <t>HCFM-0598</t>
  </si>
  <si>
    <t>DGM FATIMA ZAHID</t>
  </si>
  <si>
    <t>HCFM-0599</t>
  </si>
  <si>
    <t>CDR.RAZA REHMAN</t>
  </si>
  <si>
    <t>HCFM-0600</t>
  </si>
  <si>
    <t>DR.FAKHRUNISSA WAHEED</t>
  </si>
  <si>
    <t>HCFM-0601</t>
  </si>
  <si>
    <t>GM HAROON RASHEED</t>
  </si>
  <si>
    <t>HCFM-0602</t>
  </si>
  <si>
    <t>GM IRAM HAIDER MANGI</t>
  </si>
  <si>
    <t>HCFM-0604</t>
  </si>
  <si>
    <t>GM YASIR HUSSAIN</t>
  </si>
  <si>
    <t>HCFM-0603</t>
  </si>
  <si>
    <t>CAPT.ZAHID AWAN</t>
  </si>
  <si>
    <t>HCFM-0605</t>
  </si>
  <si>
    <t>DR.QURATULAIN RAZI</t>
  </si>
  <si>
    <t>HCFM-0606</t>
  </si>
  <si>
    <t>DR.FAREYA</t>
  </si>
  <si>
    <t>HCFM-0607</t>
  </si>
  <si>
    <t>DIR. ZIA UR REHMAN KHAN</t>
  </si>
  <si>
    <t>HCFM-0608</t>
  </si>
  <si>
    <t>SGM MUHAMMAD YAQOOB</t>
  </si>
  <si>
    <t>HCFM-0609</t>
  </si>
  <si>
    <t>DR.NASEEM MUNSHI</t>
  </si>
  <si>
    <t>HCFM-0638</t>
  </si>
  <si>
    <t>RIAZ FAZAL</t>
  </si>
  <si>
    <t>HCFM-0639</t>
  </si>
  <si>
    <t>HUSSAIN WAJID</t>
  </si>
  <si>
    <t>HCFM-0640</t>
  </si>
  <si>
    <t>MUKHTIAR AHMED SHAR</t>
  </si>
  <si>
    <t>HCFM-0641</t>
  </si>
  <si>
    <t>AAMIR RASOOL</t>
  </si>
  <si>
    <t>HCFM-0642</t>
  </si>
  <si>
    <t>ASIF ASHFAQ</t>
  </si>
  <si>
    <t>HCFM-0644</t>
  </si>
  <si>
    <t>SABA AHSAN</t>
  </si>
  <si>
    <t>HCFM-0645</t>
  </si>
  <si>
    <t>MUNEER AHMED</t>
  </si>
  <si>
    <t>HCFM-0646</t>
  </si>
  <si>
    <t>BAHRIA INTERNATIONAL HOSPITAL</t>
  </si>
  <si>
    <t>HCFM-0647</t>
  </si>
  <si>
    <t>IMRAN AHMED</t>
  </si>
  <si>
    <t>HCFM-0648</t>
  </si>
  <si>
    <t>AYSM MIRZA</t>
  </si>
  <si>
    <t>HCFM-0649</t>
  </si>
  <si>
    <t>IFTIKHAR SHAH</t>
  </si>
  <si>
    <t>HCFM-0650</t>
  </si>
  <si>
    <t>KHURRAM FIRDOUS</t>
  </si>
  <si>
    <t>HCFM-0651</t>
  </si>
  <si>
    <t>ALI LEGHARI</t>
  </si>
  <si>
    <t>HCFM-0652</t>
  </si>
  <si>
    <t>Dr. AZAD ALI</t>
  </si>
  <si>
    <t>HCFM-0653</t>
  </si>
  <si>
    <t>AMEER MUHAMMAD</t>
  </si>
  <si>
    <t>HCFM-0654</t>
  </si>
  <si>
    <t>SYED JIBRAN MUSHTAQ</t>
  </si>
  <si>
    <t>HCFM-0655</t>
  </si>
  <si>
    <t>SADDAM HUSSAIN</t>
  </si>
  <si>
    <t>HCFM-0656</t>
  </si>
  <si>
    <t>ZAIB UR REHMAN</t>
  </si>
  <si>
    <t>HCFM-0657</t>
  </si>
  <si>
    <t>NASIR ABBAS</t>
  </si>
  <si>
    <t>HCFM-0658</t>
  </si>
  <si>
    <t>MUSHTAQ AHMED MEMON</t>
  </si>
  <si>
    <t>HCFM-0659</t>
  </si>
  <si>
    <t>Heritage club</t>
  </si>
  <si>
    <t>HCFM-0661</t>
  </si>
  <si>
    <t>ARSLAN KHAN ABRO</t>
  </si>
  <si>
    <t>HCFM-0663</t>
  </si>
  <si>
    <t>JAM FEROZ</t>
  </si>
  <si>
    <t>HCFM-0664</t>
  </si>
  <si>
    <t>SHAHBAZ AHMED</t>
  </si>
  <si>
    <t>HCFM-0665</t>
  </si>
  <si>
    <t>KAZI NAZEER AHMED</t>
  </si>
  <si>
    <t>SCRAMBLED EGG WITH SAUSAGES</t>
  </si>
  <si>
    <t>BOIL EGG</t>
  </si>
  <si>
    <t>CORNFLAKES WITH MILK</t>
  </si>
  <si>
    <r>
      <rPr>
        <b/>
        <sz val="16"/>
        <color rgb="FFFFFF00"/>
        <rFont val="Times New Roman"/>
        <family val="1"/>
      </rPr>
      <t xml:space="preserve">HERITAGE CLUB
BAHRIA TOWN KARACHI </t>
    </r>
    <r>
      <rPr>
        <b/>
        <sz val="11"/>
        <color rgb="FFFFFF00"/>
        <rFont val="Times New Roman"/>
        <family val="1"/>
      </rPr>
      <t xml:space="preserve"> </t>
    </r>
  </si>
  <si>
    <t>BLACK LABEL SINGLE</t>
  </si>
  <si>
    <t>BROWN BREAD LOAF</t>
  </si>
  <si>
    <t>BUFFET LUNCH</t>
  </si>
  <si>
    <t>CHOCOLATE ECLAIR</t>
  </si>
  <si>
    <t xml:space="preserve">CORKAGE </t>
  </si>
  <si>
    <t>CREAM BRULE</t>
  </si>
  <si>
    <t>CREAM CARAMEL</t>
  </si>
  <si>
    <t>DAIRY MILK PASTRY</t>
  </si>
  <si>
    <t>EID BUFFET</t>
  </si>
  <si>
    <t>ENTRY</t>
  </si>
  <si>
    <t>FISH</t>
  </si>
  <si>
    <t>FRIED PRAWN</t>
  </si>
  <si>
    <t>FULL CREAM CARAMEL</t>
  </si>
  <si>
    <t>HOT N SOUR SOUP</t>
  </si>
  <si>
    <t>MEXICON FRIED FISH</t>
  </si>
  <si>
    <t>MINERAL WATER LARGE</t>
  </si>
  <si>
    <t>MURREE BEER</t>
  </si>
  <si>
    <t>PEANUT AND NIMCO</t>
  </si>
  <si>
    <t>PINEAPPLE</t>
  </si>
  <si>
    <t>PLAIN POPCORN</t>
  </si>
  <si>
    <t>SUNDAY BRUNCH</t>
  </si>
  <si>
    <t>TEA</t>
  </si>
  <si>
    <t>VEGETABLES CUTTLETS</t>
  </si>
  <si>
    <t>ZEERA RICE</t>
  </si>
  <si>
    <t>MARLBORO</t>
  </si>
  <si>
    <t>BLACK COFFEE</t>
  </si>
  <si>
    <t>PEG VODKA SINGLE</t>
  </si>
  <si>
    <t>PEG VODKA DOUBLE</t>
  </si>
  <si>
    <t>GREY GROOSE VODKA SINGLE</t>
  </si>
  <si>
    <t>GREY GROOSE VODKA DOUBLE</t>
  </si>
  <si>
    <t>MIX KHEER</t>
  </si>
  <si>
    <t>TIL MIL JHENGA</t>
  </si>
  <si>
    <t>CHICKEN SCHNITZEL</t>
  </si>
  <si>
    <t>THAI CASHEW NUT CHICKEN</t>
  </si>
  <si>
    <t>HOT GARLIC PRAWNS</t>
  </si>
  <si>
    <t>CREAM OF MASHROOM SOUP</t>
  </si>
  <si>
    <t>CHEESE CAKE</t>
  </si>
  <si>
    <t>PLAIN COOKIES 500GM</t>
  </si>
  <si>
    <t>JAM COOKIES 500GM</t>
  </si>
  <si>
    <t>LEMON COOKIES 500GM</t>
  </si>
  <si>
    <t>ALMOND COOKIES 500GM</t>
  </si>
  <si>
    <t>CHOCO CHOCI</t>
  </si>
  <si>
    <t>ASSORTED COOKIES 500GM</t>
  </si>
  <si>
    <t>MASHROOM CHEESE OMELETTE</t>
  </si>
  <si>
    <t>SCRAMBLED EGG</t>
  </si>
  <si>
    <t>SIMPLE CAKE</t>
  </si>
  <si>
    <t>PANE CAKE</t>
  </si>
  <si>
    <t>SEASONAL FRESH JUICE</t>
  </si>
  <si>
    <t>CHEESE PASTRY</t>
  </si>
  <si>
    <t>SWEET N SOUR CHICKEN</t>
  </si>
  <si>
    <t>FRIED EGG WITH SALTED SPANICH</t>
  </si>
  <si>
    <t>PORIDGE</t>
  </si>
  <si>
    <t>YOGURT</t>
  </si>
  <si>
    <t>BEEF IN OYSTER SOUCE</t>
  </si>
  <si>
    <t>SEASONAL VEGETABLE MASALA</t>
  </si>
  <si>
    <t>HC SPECIAL DAAL MASALA</t>
  </si>
  <si>
    <t>MUTTON STEW</t>
  </si>
  <si>
    <t>MUGHLAI HANDI</t>
  </si>
  <si>
    <t>LAHORI KARAHI</t>
  </si>
  <si>
    <t>PESHAWARI KARAHI</t>
  </si>
  <si>
    <t>MAKHANI KARAHI</t>
  </si>
  <si>
    <t>THAI TAMARIND FISH</t>
  </si>
  <si>
    <t>ICE</t>
  </si>
  <si>
    <t>BANANA SHAKE</t>
  </si>
  <si>
    <t>STRAWBERRY SHAKE</t>
  </si>
  <si>
    <t>FRUIT YOGURT</t>
  </si>
  <si>
    <t>MIX VEGETABLES</t>
  </si>
  <si>
    <t>HC SPECIAL MUTTON KARAHI</t>
  </si>
  <si>
    <t>BLUE BERRY SMOOTHY</t>
  </si>
  <si>
    <t>VENAL CHARGE</t>
  </si>
  <si>
    <t>SINGAPOREAN FRIED RICE</t>
  </si>
  <si>
    <r>
      <t xml:space="preserve">Member Signature:   </t>
    </r>
    <r>
      <rPr>
        <b/>
        <sz val="11"/>
        <color theme="1"/>
        <rFont val="Times New Roman"/>
        <family val="1"/>
      </rPr>
      <t xml:space="preserve">                                                                  </t>
    </r>
  </si>
  <si>
    <t>SPECIAL CHICKEN POPCORN</t>
  </si>
  <si>
    <t>CHICKEN BURGER</t>
  </si>
  <si>
    <t>CHICKEN CHEESE BURGER</t>
  </si>
  <si>
    <t>CHICKEN CHOWMEIN</t>
  </si>
  <si>
    <t>CHICKEN CREAM</t>
  </si>
  <si>
    <t>CHICKEN FINGER</t>
  </si>
  <si>
    <t>CHICKEN FRIED RICE</t>
  </si>
  <si>
    <t>CHICKEN HANDI</t>
  </si>
  <si>
    <t>CHICKEN JALFREZI</t>
  </si>
  <si>
    <t>CHICKEN MANCHURIAN</t>
  </si>
  <si>
    <t>CHICKEN MASALA RICE</t>
  </si>
  <si>
    <t>CHICKEN QUICHE</t>
  </si>
  <si>
    <t>CHICKEN SALAD</t>
  </si>
  <si>
    <t>CHICKEN SEEKH KABAB</t>
  </si>
  <si>
    <t>CHICKEN SHAHSLIK BBQ</t>
  </si>
  <si>
    <t>CHICKEN SHASHLIK</t>
  </si>
  <si>
    <t>CHICKEN SHASHLIK RICE</t>
  </si>
  <si>
    <t>CHICKEN STEAK</t>
  </si>
  <si>
    <t>CHICKEN WINGS</t>
  </si>
  <si>
    <t>CHICKEN WITH EGG FRIED RICE</t>
  </si>
  <si>
    <t>CREAM OF CHICKEN SOUP</t>
  </si>
  <si>
    <t>FULL CHICKEN QUICHE</t>
  </si>
  <si>
    <t>ROAST CHICKEN SANDWICH</t>
  </si>
  <si>
    <t>PIZZA FRIES FULL</t>
  </si>
  <si>
    <t>PIZZA FRIES HALF</t>
  </si>
  <si>
    <t>HC BUTTERFLY PRAWNS</t>
  </si>
  <si>
    <t>SPICY HONEY CHICKEN WINGS</t>
  </si>
  <si>
    <t>MALAYSIAN CHICKEN SATAY</t>
  </si>
  <si>
    <t>HC SPECIAL CHICKEN POPCORN</t>
  </si>
  <si>
    <t>BLACKENED GRILLED PRAWN</t>
  </si>
  <si>
    <t>SPECIAL BREAST LEG TIKKA</t>
  </si>
  <si>
    <t>HENCHI CANE BEER</t>
  </si>
  <si>
    <t>COFFEE CAPPUCINO</t>
  </si>
  <si>
    <t>THREE STORY HIGH</t>
  </si>
  <si>
    <t>MEDITERRANEAN GRILLED FISH</t>
  </si>
  <si>
    <t>CHICKEN PESHAWARI KARAHI</t>
  </si>
  <si>
    <t>FRESH LEM</t>
  </si>
  <si>
    <t>OREO SHAKE</t>
  </si>
  <si>
    <t>F</t>
  </si>
  <si>
    <t>MALAI BOTI</t>
  </si>
  <si>
    <t>HCFM-0666</t>
  </si>
  <si>
    <t>FAHAD MUMTAZ</t>
  </si>
  <si>
    <t>VEGETABLE FRIED RICE</t>
  </si>
  <si>
    <t>CLUB SANDWICH</t>
  </si>
  <si>
    <t>SEPRATE RICE</t>
  </si>
  <si>
    <t>FRESH GARDEN SALAD</t>
  </si>
  <si>
    <t>SODA WATER CAN</t>
  </si>
  <si>
    <t>BUFFET BRUNCH KIDS</t>
  </si>
  <si>
    <t>CHICKEN STRIPS</t>
  </si>
  <si>
    <t>PURI PARATHA</t>
  </si>
  <si>
    <t>BBQ LOADED FRIES HALF</t>
  </si>
  <si>
    <t>BBQ LOADED FRIES FULL</t>
  </si>
  <si>
    <t>MIX FRUIT SALAD</t>
  </si>
  <si>
    <t>BLACKENED GRILLED PRAWN SALAD</t>
  </si>
  <si>
    <t>GREEK SALAD</t>
  </si>
  <si>
    <t>WAIKIKI SALAD</t>
  </si>
  <si>
    <t>ROASTED TOMATO SOUP</t>
  </si>
  <si>
    <t>CHICKEN ROSTED OATS SOUP</t>
  </si>
  <si>
    <t>CHINESE CORN SOUP</t>
  </si>
  <si>
    <t>CHINESE SZECHUAN SOUP</t>
  </si>
  <si>
    <t>BLUE MAX BURGER</t>
  </si>
  <si>
    <t>MAMA MIA BURGER</t>
  </si>
  <si>
    <t>GOURMET BURGER</t>
  </si>
  <si>
    <t>BLT</t>
  </si>
  <si>
    <t>GRILLED CHICKEN SANDWICH</t>
  </si>
  <si>
    <t>PHILLY STEAK SANDWICH</t>
  </si>
  <si>
    <t>FINGER FISH N CHIPS</t>
  </si>
  <si>
    <t>BEN 10 NUGGETS 6 PCS</t>
  </si>
  <si>
    <t>BEN 10 NUGGETS 12 PCS</t>
  </si>
  <si>
    <t>MICKEY MOUSE BURGER</t>
  </si>
  <si>
    <t>CINDERELLA'S DREAM</t>
  </si>
  <si>
    <t>CHICKEN ROULADE</t>
  </si>
  <si>
    <t>GRILLED CHICKEN ROASTED</t>
  </si>
  <si>
    <t>GRILLED CHICKEN WITH PINEAPPLE SAUCE</t>
  </si>
  <si>
    <t>TENDERLOIN STEAK</t>
  </si>
  <si>
    <t>FILLET MIGNON</t>
  </si>
  <si>
    <t>PRAWN OREGANATA</t>
  </si>
  <si>
    <t>SOUTHERN FRIED FISH N CHIPS</t>
  </si>
  <si>
    <t>POACHED CHICKEN VEGETABLES</t>
  </si>
  <si>
    <t>PENNE ARABIATA</t>
  </si>
  <si>
    <t>PENNE CARBONARA</t>
  </si>
  <si>
    <t>FETTUCINE ALFREDO</t>
  </si>
  <si>
    <t>HC SPECIAL FRIED RICE</t>
  </si>
  <si>
    <t>SPICY THAI NOODLES</t>
  </si>
  <si>
    <t>AMERICAN CHOPSUEY</t>
  </si>
  <si>
    <t>CHICKEN SCHEZWAN</t>
  </si>
  <si>
    <t>DRY BEEF CHILLI</t>
  </si>
  <si>
    <t>HC SPECIAL BEEF</t>
  </si>
  <si>
    <t>TAMARIND FISH</t>
  </si>
  <si>
    <t>SEAFOOD ALA PINEAPPLE</t>
  </si>
  <si>
    <t>MUTTON SHINWARI KARAHI</t>
  </si>
  <si>
    <t>MURGH HARI MIRCH HANDI</t>
  </si>
  <si>
    <t>MURGH MASALA BIRYANI HALF</t>
  </si>
  <si>
    <t>MURGH MASALA BIRYANI FULL</t>
  </si>
  <si>
    <t>SHAHJAHANI BIRYANI HALF</t>
  </si>
  <si>
    <t>SHAHJAHANI BIRYANI FULL</t>
  </si>
  <si>
    <t>HC SPECIAL DAAL MAKHNI</t>
  </si>
  <si>
    <t>AMBERI FISH TIKKA</t>
  </si>
  <si>
    <t>AKBERI BOTI TIKKA</t>
  </si>
  <si>
    <t>CHICKEN TIKKA</t>
  </si>
  <si>
    <t>HC SPECIAL TIKKA</t>
  </si>
  <si>
    <t>RAJASTANI BOTI</t>
  </si>
  <si>
    <t>NAWABI KABAB</t>
  </si>
  <si>
    <t>CHANDAN KABAB</t>
  </si>
  <si>
    <t>DHAGA KABAB</t>
  </si>
  <si>
    <t>TURKISH KABAB</t>
  </si>
  <si>
    <t>KALONGI NAAN</t>
  </si>
  <si>
    <t>HC SPECIAL CARAMEL PUDDING</t>
  </si>
  <si>
    <t>APPLE PIE ALA MODE</t>
  </si>
  <si>
    <t>SHAHI KHEER</t>
  </si>
  <si>
    <t>COUPLE CAFE</t>
  </si>
  <si>
    <t>VIRGIN MOJITO</t>
  </si>
  <si>
    <t>FRESH FRUIT DAIQUIRI</t>
  </si>
  <si>
    <t>D FRESH COLADA</t>
  </si>
  <si>
    <t>ESPRESSO COFFEE</t>
  </si>
  <si>
    <t>DECAFFEINATED COFFEE</t>
  </si>
  <si>
    <t>CAPPUCCINO COFFEE</t>
  </si>
  <si>
    <t>MOCHA CHINO COFFEE</t>
  </si>
  <si>
    <t>JASMINE TEA</t>
  </si>
  <si>
    <t>CHICKEN LOLLIPOP WINGS</t>
  </si>
  <si>
    <t>HC SPECIAL CAESAR SALAD</t>
  </si>
  <si>
    <t>CHICKEN CAESAR SALAD</t>
  </si>
  <si>
    <t>SEASONAL FRUIT SALAD</t>
  </si>
  <si>
    <t>CLASSIC TARRAGON</t>
  </si>
  <si>
    <t>THAI BEEF STIR FRY</t>
  </si>
  <si>
    <t>THAI SESAME CHICKEN</t>
  </si>
  <si>
    <t>CHICKEN KARAHI (RED/WHITE/GREEN)</t>
  </si>
  <si>
    <t>MAKHANI HANDI</t>
  </si>
  <si>
    <t>PANEER RESHMI HANDI</t>
  </si>
  <si>
    <t>MUTTON KARAHI (RED/WHTE/GREEN)</t>
  </si>
  <si>
    <t>MUTTON HANDI</t>
  </si>
  <si>
    <t>WHITE RICE</t>
  </si>
  <si>
    <t>COLD SANDWICH</t>
  </si>
  <si>
    <t>GRILLED SANDWICH WITH FRIES</t>
  </si>
  <si>
    <t>GHOSHT E LAZIZ</t>
  </si>
  <si>
    <t>SUNDAY BRUNCH KIDS</t>
  </si>
  <si>
    <t>HARI MIRCH MASALA</t>
  </si>
  <si>
    <t>Time:</t>
  </si>
  <si>
    <t>HCFM-0545</t>
  </si>
  <si>
    <t>HCFM-0667</t>
  </si>
  <si>
    <t>HCFM-0668</t>
  </si>
  <si>
    <t>MR. KASHIF SAEED</t>
  </si>
  <si>
    <t xml:space="preserve">MR. FAYAZ ALI SOOMRO </t>
  </si>
  <si>
    <t>MR. HASAN KARIM</t>
  </si>
  <si>
    <t>MURG HARYALI BOTI TIKKA</t>
  </si>
  <si>
    <t>MINI CAKE</t>
  </si>
  <si>
    <t>LAWA CAKE</t>
  </si>
  <si>
    <t>PEACH MOJITO</t>
  </si>
  <si>
    <t>HCFM-0669</t>
  </si>
  <si>
    <t>MR. SYED RAHAT HUSNAIN ZAIDI</t>
  </si>
  <si>
    <t>CHICKEN PIE</t>
  </si>
  <si>
    <t>HCFM-0671</t>
  </si>
  <si>
    <t>HCFM-0670</t>
  </si>
  <si>
    <t>MRS.HASAN RAFIQ</t>
  </si>
  <si>
    <t>MINI DOUGHNUTS</t>
  </si>
  <si>
    <t>CHICKEN PATTIES</t>
  </si>
  <si>
    <t>MR.TEHSEEN FAIZ</t>
  </si>
  <si>
    <t>VANILLA SLICE CAKE</t>
  </si>
  <si>
    <t>CHEESE OMELETTE</t>
  </si>
  <si>
    <t>EID DINNER DAY 2</t>
  </si>
  <si>
    <t>PRAWN TEMPURA</t>
  </si>
  <si>
    <t>BEHARI BOTI</t>
  </si>
  <si>
    <t>Subtotal: Food and Beverages =</t>
  </si>
  <si>
    <r>
      <t>Subtotal:</t>
    </r>
    <r>
      <rPr>
        <b/>
        <sz val="11"/>
        <color theme="1"/>
        <rFont val="Times New Roman"/>
        <family val="1"/>
      </rPr>
      <t xml:space="preserve"> Food and Beverages =</t>
    </r>
  </si>
  <si>
    <t xml:space="preserve">Grand Total: </t>
  </si>
  <si>
    <t>KACHUMBER SALAD</t>
  </si>
  <si>
    <t>BLUE BERRY CHOCOLATE CAKE</t>
  </si>
  <si>
    <t>BUFFET PARTY</t>
  </si>
  <si>
    <t xml:space="preserve"> FOR ASHOK KUMAR</t>
  </si>
  <si>
    <t>CHICKEN BIRYANI</t>
  </si>
  <si>
    <t>CHICKEN KARAHI</t>
  </si>
  <si>
    <t>CHINESE FRIED RICE</t>
  </si>
  <si>
    <t>CHOCO MOUSSE PASTRY</t>
  </si>
  <si>
    <t>CHOCOLATE JAM COOKIES</t>
  </si>
  <si>
    <t>COFFEE CRUNCH CAKE</t>
  </si>
  <si>
    <t>COFFEE CRUNCH PASTRY</t>
  </si>
  <si>
    <t>DAAL MAKHANI</t>
  </si>
  <si>
    <t>ESPRESSO COFFEE DOUBLE</t>
  </si>
  <si>
    <t>FRIED EGG WITH SAUSAGES</t>
  </si>
  <si>
    <t>ICE CREAM DOUBLE SCOOP</t>
  </si>
  <si>
    <t>ICE CREAM SINGLE SCOOP</t>
  </si>
  <si>
    <t>ICE CREAM TRIPLE SCOOP</t>
  </si>
  <si>
    <t>MADRASI HANDI</t>
  </si>
  <si>
    <t>MUTTON PULAO</t>
  </si>
  <si>
    <t>CHIVAS SINGLE PEG</t>
  </si>
  <si>
    <t>prown tempr</t>
  </si>
  <si>
    <t>RED SNAPPER FISH</t>
  </si>
  <si>
    <t>RESHMI SEEKH</t>
  </si>
  <si>
    <t>RESHMI SEEKH KABAB</t>
  </si>
  <si>
    <t>STEAMED FISH</t>
  </si>
  <si>
    <t>WATER MELON JUICE</t>
  </si>
  <si>
    <t>MANGO JUICE</t>
  </si>
  <si>
    <t>TAMBOLA BUFFET</t>
  </si>
  <si>
    <t>GUEST BUFFET</t>
  </si>
  <si>
    <t>CHILD GUEST BUFFET</t>
  </si>
  <si>
    <t>TAMBOLA BUFFET KIDS</t>
  </si>
  <si>
    <t>EGG SANDWICH</t>
  </si>
  <si>
    <t>PEACH JUICE</t>
  </si>
  <si>
    <t>AMERICANO</t>
  </si>
  <si>
    <t>LAM CHOPS</t>
  </si>
  <si>
    <t>WHITE BREAD LOAF</t>
  </si>
  <si>
    <t>SMIRNOFF VODKA SINGLE PEG</t>
  </si>
  <si>
    <t>ALOO PATTIES</t>
  </si>
  <si>
    <t>RED VINE</t>
  </si>
  <si>
    <t>DAM QEEMA</t>
  </si>
  <si>
    <t>BEEF CHEESE BURGER</t>
  </si>
  <si>
    <t>DANHILL LIGHT</t>
  </si>
  <si>
    <t>BUNTIES COOKIES</t>
  </si>
  <si>
    <t>BAKARKHANI</t>
  </si>
  <si>
    <t>KARELA COOKIES</t>
  </si>
  <si>
    <t>NESTLE JUICE GLASS</t>
  </si>
  <si>
    <t>MURREE VODKA DOUBLE</t>
  </si>
  <si>
    <t>JACK DANIEL FULL BOTTLE</t>
  </si>
  <si>
    <t>BALLANTINES SINGLE PEG</t>
  </si>
  <si>
    <t>HCFM-0672</t>
  </si>
  <si>
    <t>MRS.RIFAT ZULFIQAR</t>
  </si>
  <si>
    <t>VENUE CHARGES</t>
  </si>
  <si>
    <t>TOAKH</t>
  </si>
  <si>
    <t>HCFM-0674</t>
  </si>
  <si>
    <t>MR.RAJA</t>
  </si>
  <si>
    <t>GRIL CHI MASHROOM SAUCE</t>
  </si>
  <si>
    <t>4 POUND CAKE</t>
  </si>
  <si>
    <t xml:space="preserve">SUNDAY BRUNCH </t>
  </si>
  <si>
    <t xml:space="preserve">SUNDAY BRUNCH KIDS </t>
  </si>
  <si>
    <t>PARTY BUFFET DINNER</t>
  </si>
  <si>
    <t>VENUE PARTY CHARGES</t>
  </si>
  <si>
    <t>1KG MANGO CHUNSA</t>
  </si>
  <si>
    <t>1KG MANGO FAJRI</t>
  </si>
  <si>
    <t>1KG MANGO LAL BADSHAH</t>
  </si>
  <si>
    <t>MANGO COOLER</t>
  </si>
  <si>
    <t>HCFM-0678</t>
  </si>
  <si>
    <t>NUGGETS</t>
  </si>
  <si>
    <t>HCFM-0675</t>
  </si>
  <si>
    <t>HCFM-0679</t>
  </si>
  <si>
    <t>HCFM-0676</t>
  </si>
  <si>
    <t>MR.SAMEER MALIK</t>
  </si>
  <si>
    <t>HCFM-0677</t>
  </si>
  <si>
    <t>MR.MUNAWAR HUSSAIN</t>
  </si>
  <si>
    <t>MR.ANEEL ZAHOOR</t>
  </si>
  <si>
    <t>CINNAMON ROLL</t>
  </si>
  <si>
    <t>LOTAS DOUGHNUT</t>
  </si>
  <si>
    <t>CUP CAKE MUFFIN</t>
  </si>
  <si>
    <t>SUNDAY BRUNCH.</t>
  </si>
  <si>
    <t xml:space="preserve">PRICE </t>
  </si>
  <si>
    <t>MELIK</t>
  </si>
  <si>
    <t xml:space="preserve">BROWN BREAD </t>
  </si>
  <si>
    <t>HCFM-0680</t>
  </si>
  <si>
    <t>MR.AYAZ ASAD JAMRO</t>
  </si>
  <si>
    <t>BOUBLE BLACK LABEL SINGLE PEG</t>
  </si>
  <si>
    <t>DOUBLE BLACK LABEL DOUBLE PEG</t>
  </si>
  <si>
    <t xml:space="preserve">SHISH TAOUK </t>
  </si>
  <si>
    <t>HCFM-0681</t>
  </si>
  <si>
    <t>BLUE SAFAIR VODKA DOUBLE PEG</t>
  </si>
  <si>
    <t>MURREE VODKA DOUBLE PEG</t>
  </si>
  <si>
    <t>CHINESSE VODKA DOUBLE PEG</t>
  </si>
  <si>
    <t>APRICOT PUDDING</t>
  </si>
  <si>
    <t xml:space="preserve"> PAKISTANI OMELETTE</t>
  </si>
  <si>
    <t>CHICKEN DYNAMITE</t>
  </si>
  <si>
    <t>BUFFET DINNER PARTY</t>
  </si>
  <si>
    <t>QAWALI BUFFET DINNER</t>
  </si>
  <si>
    <t>QAWALI BUFFET DINNER GUEST</t>
  </si>
  <si>
    <t>QAWALI BUFFET DNNER CHILD</t>
  </si>
  <si>
    <t>HCFM-0682</t>
  </si>
  <si>
    <t>MR. ZAHEER REHMAN</t>
  </si>
  <si>
    <t>HCFM-0683</t>
  </si>
  <si>
    <t>MR. YASIR RASHEED</t>
  </si>
  <si>
    <t>HCFM-0684</t>
  </si>
  <si>
    <t>MR. IKRAMULLAH</t>
  </si>
  <si>
    <t>ADVANTURE LAND</t>
  </si>
  <si>
    <t>MR.AIJAZ  ALI</t>
  </si>
  <si>
    <t>BRUNCH WITHOUT BOOKING</t>
  </si>
  <si>
    <t>MUTTON AFGHANI BOTI</t>
  </si>
  <si>
    <t>KASHMIRI PULAO</t>
  </si>
  <si>
    <t>Category</t>
  </si>
  <si>
    <t>BBQ</t>
  </si>
  <si>
    <t>BAKERY</t>
  </si>
  <si>
    <t>HI TEA</t>
  </si>
  <si>
    <t>LUNCH</t>
  </si>
  <si>
    <t>AMERICAN COFFEE</t>
  </si>
  <si>
    <t xml:space="preserve">LAWN CHARGES </t>
  </si>
  <si>
    <t xml:space="preserve">VENUE CHARGES </t>
  </si>
  <si>
    <t>Isl buffet</t>
  </si>
  <si>
    <t>BUFFET DINNER</t>
  </si>
  <si>
    <t>VANU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</si>
</sst>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\-mmm\-yy;@"/>
    <numFmt numFmtId="166" formatCode="_-* #,##0_-;\-* #,##0_-;_-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FFFF00"/>
      <name val="Times New Roman"/>
      <family val="1"/>
    </font>
    <font>
      <b/>
      <sz val="16"/>
      <color rgb="FFFFFF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.5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.5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4" fillId="0" borderId="0"/>
    <xf numFmtId="164" fontId="21" fillId="0" borderId="0" applyFont="0" applyFill="0" applyBorder="0" applyAlignment="0" applyProtection="0"/>
  </cellStyleXfs>
  <cellXfs count="15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4" fillId="0" borderId="0" xfId="1"/>
    <xf numFmtId="0" fontId="10" fillId="6" borderId="0" xfId="1" applyFont="1" applyFill="1" applyAlignment="1">
      <alignment vertical="center"/>
    </xf>
    <xf numFmtId="0" fontId="10" fillId="7" borderId="13" xfId="1" applyFont="1" applyFill="1" applyBorder="1" applyAlignment="1">
      <alignment horizontal="left" vertical="center"/>
    </xf>
    <xf numFmtId="0" fontId="12" fillId="7" borderId="13" xfId="1" applyFont="1" applyFill="1" applyBorder="1" applyAlignment="1">
      <alignment horizontal="left" vertical="center" wrapText="1"/>
    </xf>
    <xf numFmtId="0" fontId="12" fillId="7" borderId="13" xfId="1" applyFont="1" applyFill="1" applyBorder="1" applyAlignment="1">
      <alignment horizontal="left" vertical="center"/>
    </xf>
    <xf numFmtId="0" fontId="11" fillId="0" borderId="10" xfId="0" applyFont="1" applyBorder="1" applyAlignment="1">
      <alignment horizontal="justify" vertical="center"/>
    </xf>
    <xf numFmtId="0" fontId="14" fillId="0" borderId="10" xfId="0" applyFont="1" applyBorder="1" applyAlignment="1">
      <alignment vertical="center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5" fillId="0" borderId="12" xfId="0" applyFont="1" applyBorder="1"/>
    <xf numFmtId="0" fontId="12" fillId="0" borderId="12" xfId="0" applyFont="1" applyBorder="1"/>
    <xf numFmtId="0" fontId="11" fillId="0" borderId="17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/>
    </xf>
    <xf numFmtId="0" fontId="17" fillId="0" borderId="10" xfId="0" applyFont="1" applyBorder="1"/>
    <xf numFmtId="0" fontId="0" fillId="0" borderId="0" xfId="0" applyProtection="1">
      <protection locked="0"/>
    </xf>
    <xf numFmtId="0" fontId="12" fillId="9" borderId="13" xfId="1" applyFont="1" applyFill="1" applyBorder="1" applyAlignment="1">
      <alignment horizontal="left" vertical="center" wrapText="1"/>
    </xf>
    <xf numFmtId="0" fontId="3" fillId="0" borderId="0" xfId="0" applyFont="1"/>
    <xf numFmtId="0" fontId="12" fillId="7" borderId="13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 vertical="center"/>
    </xf>
    <xf numFmtId="0" fontId="7" fillId="8" borderId="22" xfId="1" applyFont="1" applyFill="1" applyBorder="1" applyAlignment="1">
      <alignment horizontal="left" vertical="center" wrapText="1"/>
    </xf>
    <xf numFmtId="0" fontId="12" fillId="7" borderId="13" xfId="1" applyFont="1" applyFill="1" applyBorder="1" applyAlignment="1">
      <alignment horizontal="left" wrapText="1"/>
    </xf>
    <xf numFmtId="0" fontId="12" fillId="9" borderId="13" xfId="1" applyFont="1" applyFill="1" applyBorder="1" applyAlignment="1">
      <alignment horizontal="left"/>
    </xf>
    <xf numFmtId="0" fontId="11" fillId="7" borderId="23" xfId="1" applyFont="1" applyFill="1" applyBorder="1" applyAlignment="1">
      <alignment horizontal="center" vertical="center"/>
    </xf>
    <xf numFmtId="0" fontId="12" fillId="7" borderId="24" xfId="1" applyFont="1" applyFill="1" applyBorder="1" applyAlignment="1">
      <alignment horizontal="left" vertical="center" wrapText="1"/>
    </xf>
    <xf numFmtId="14" fontId="0" fillId="0" borderId="0" xfId="0" applyNumberFormat="1"/>
    <xf numFmtId="22" fontId="0" fillId="0" borderId="0" xfId="0" applyNumberFormat="1"/>
    <xf numFmtId="0" fontId="6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1" fillId="0" borderId="12" xfId="0" applyFont="1" applyBorder="1" applyAlignment="1" applyProtection="1">
      <alignment vertical="center" wrapText="1"/>
      <protection locked="0"/>
    </xf>
    <xf numFmtId="0" fontId="11" fillId="0" borderId="13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2" fillId="10" borderId="13" xfId="1" applyFont="1" applyFill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vertical="center" wrapText="1"/>
      <protection locked="0"/>
    </xf>
    <xf numFmtId="0" fontId="11" fillId="0" borderId="0" xfId="0" applyFont="1"/>
    <xf numFmtId="0" fontId="11" fillId="0" borderId="10" xfId="0" applyFont="1" applyBorder="1"/>
    <xf numFmtId="0" fontId="11" fillId="0" borderId="11" xfId="0" applyFont="1" applyBorder="1"/>
    <xf numFmtId="0" fontId="19" fillId="0" borderId="0" xfId="0" applyFont="1"/>
    <xf numFmtId="22" fontId="11" fillId="0" borderId="11" xfId="0" applyNumberFormat="1" applyFont="1" applyBorder="1"/>
    <xf numFmtId="0" fontId="11" fillId="0" borderId="10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5" fillId="0" borderId="10" xfId="0" applyFont="1" applyBorder="1"/>
    <xf numFmtId="0" fontId="11" fillId="0" borderId="19" xfId="0" applyFont="1" applyBorder="1" applyAlignment="1">
      <alignment horizontal="justify" vertical="top"/>
    </xf>
    <xf numFmtId="0" fontId="11" fillId="0" borderId="20" xfId="0" applyFont="1" applyBorder="1"/>
    <xf numFmtId="0" fontId="11" fillId="0" borderId="6" xfId="0" applyFont="1" applyBorder="1"/>
    <xf numFmtId="0" fontId="11" fillId="0" borderId="0" xfId="0" applyFont="1" applyAlignment="1">
      <alignment horizontal="justify" vertical="top"/>
    </xf>
    <xf numFmtId="0" fontId="12" fillId="11" borderId="13" xfId="1" applyFont="1" applyFill="1" applyBorder="1" applyAlignment="1">
      <alignment horizontal="left" vertical="center" wrapText="1"/>
    </xf>
    <xf numFmtId="0" fontId="12" fillId="12" borderId="13" xfId="1" applyFont="1" applyFill="1" applyBorder="1" applyAlignment="1">
      <alignment horizontal="left" vertical="center" wrapText="1"/>
    </xf>
    <xf numFmtId="0" fontId="12" fillId="12" borderId="21" xfId="1" applyFont="1" applyFill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 wrapText="1"/>
    </xf>
    <xf numFmtId="0" fontId="12" fillId="9" borderId="13" xfId="1" applyFont="1" applyFill="1" applyBorder="1" applyAlignment="1">
      <alignment horizontal="left" vertical="center"/>
    </xf>
    <xf numFmtId="0" fontId="11" fillId="7" borderId="26" xfId="1" applyFont="1" applyFill="1" applyBorder="1" applyAlignment="1">
      <alignment horizontal="center" vertical="center"/>
    </xf>
    <xf numFmtId="0" fontId="12" fillId="7" borderId="15" xfId="1" applyFont="1" applyFill="1" applyBorder="1" applyAlignment="1">
      <alignment horizontal="left" vertical="center" wrapText="1"/>
    </xf>
    <xf numFmtId="0" fontId="11" fillId="7" borderId="13" xfId="1" applyFont="1" applyFill="1" applyBorder="1" applyAlignment="1">
      <alignment horizontal="center" vertical="center"/>
    </xf>
    <xf numFmtId="0" fontId="12" fillId="9" borderId="28" xfId="1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12" fillId="7" borderId="0" xfId="0" applyFont="1" applyFill="1"/>
    <xf numFmtId="0" fontId="10" fillId="10" borderId="13" xfId="1" applyFont="1" applyFill="1" applyBorder="1" applyAlignment="1" applyProtection="1">
      <alignment horizontal="left" vertical="center"/>
      <protection locked="0"/>
    </xf>
    <xf numFmtId="0" fontId="11" fillId="9" borderId="13" xfId="0" applyFont="1" applyFill="1" applyBorder="1"/>
    <xf numFmtId="0" fontId="12" fillId="7" borderId="13" xfId="0" applyFont="1" applyFill="1" applyBorder="1"/>
    <xf numFmtId="0" fontId="12" fillId="7" borderId="33" xfId="0" applyFont="1" applyFill="1" applyBorder="1"/>
    <xf numFmtId="0" fontId="12" fillId="10" borderId="13" xfId="1" applyFont="1" applyFill="1" applyBorder="1" applyAlignment="1" applyProtection="1">
      <alignment wrapText="1"/>
      <protection locked="0"/>
    </xf>
    <xf numFmtId="0" fontId="2" fillId="0" borderId="0" xfId="0" applyFont="1"/>
    <xf numFmtId="0" fontId="6" fillId="0" borderId="0" xfId="0" applyFont="1"/>
    <xf numFmtId="0" fontId="6" fillId="0" borderId="2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2" fillId="0" borderId="13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wrapText="1"/>
    </xf>
    <xf numFmtId="0" fontId="6" fillId="0" borderId="4" xfId="0" applyFont="1" applyBorder="1" applyAlignment="1">
      <alignment vertical="center" wrapText="1"/>
    </xf>
    <xf numFmtId="0" fontId="6" fillId="4" borderId="40" xfId="0" applyFont="1" applyFill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164" fontId="11" fillId="0" borderId="18" xfId="2" applyFont="1" applyBorder="1" applyAlignment="1">
      <alignment horizontal="center" vertical="center" wrapText="1"/>
    </xf>
    <xf numFmtId="0" fontId="1" fillId="0" borderId="0" xfId="0" applyFont="1"/>
    <xf numFmtId="0" fontId="11" fillId="0" borderId="42" xfId="0" applyFont="1" applyBorder="1" applyProtection="1">
      <protection locked="0"/>
    </xf>
    <xf numFmtId="166" fontId="12" fillId="7" borderId="25" xfId="2" applyNumberFormat="1" applyFont="1" applyFill="1" applyBorder="1" applyAlignment="1">
      <alignment horizontal="center" vertical="center" wrapText="1"/>
    </xf>
    <xf numFmtId="166" fontId="12" fillId="9" borderId="16" xfId="2" applyNumberFormat="1" applyFont="1" applyFill="1" applyBorder="1" applyAlignment="1">
      <alignment horizontal="center" vertical="center" wrapText="1"/>
    </xf>
    <xf numFmtId="166" fontId="12" fillId="7" borderId="16" xfId="2" applyNumberFormat="1" applyFont="1" applyFill="1" applyBorder="1" applyAlignment="1">
      <alignment horizontal="center" vertical="center" wrapText="1"/>
    </xf>
    <xf numFmtId="166" fontId="12" fillId="7" borderId="16" xfId="2" applyNumberFormat="1" applyFont="1" applyFill="1" applyBorder="1" applyAlignment="1">
      <alignment horizontal="center"/>
    </xf>
    <xf numFmtId="166" fontId="10" fillId="7" borderId="16" xfId="2" applyNumberFormat="1" applyFont="1" applyFill="1" applyBorder="1" applyAlignment="1">
      <alignment horizontal="center" vertical="center"/>
    </xf>
    <xf numFmtId="166" fontId="12" fillId="9" borderId="16" xfId="2" applyNumberFormat="1" applyFont="1" applyFill="1" applyBorder="1" applyAlignment="1">
      <alignment horizontal="center"/>
    </xf>
    <xf numFmtId="166" fontId="12" fillId="11" borderId="16" xfId="2" applyNumberFormat="1" applyFont="1" applyFill="1" applyBorder="1" applyAlignment="1">
      <alignment horizontal="center" vertical="center" wrapText="1"/>
    </xf>
    <xf numFmtId="166" fontId="10" fillId="9" borderId="16" xfId="2" applyNumberFormat="1" applyFont="1" applyFill="1" applyBorder="1" applyAlignment="1">
      <alignment horizontal="center" vertical="center"/>
    </xf>
    <xf numFmtId="166" fontId="12" fillId="12" borderId="16" xfId="2" applyNumberFormat="1" applyFont="1" applyFill="1" applyBorder="1" applyAlignment="1">
      <alignment horizontal="center" vertical="center" wrapText="1"/>
    </xf>
    <xf numFmtId="166" fontId="12" fillId="7" borderId="16" xfId="2" applyNumberFormat="1" applyFont="1" applyFill="1" applyBorder="1" applyAlignment="1">
      <alignment horizontal="center" vertical="center"/>
    </xf>
    <xf numFmtId="166" fontId="12" fillId="0" borderId="16" xfId="2" applyNumberFormat="1" applyFont="1" applyBorder="1" applyAlignment="1">
      <alignment horizontal="center" vertical="center" wrapText="1"/>
    </xf>
    <xf numFmtId="166" fontId="12" fillId="9" borderId="16" xfId="2" applyNumberFormat="1" applyFont="1" applyFill="1" applyBorder="1" applyAlignment="1">
      <alignment horizontal="center" vertical="center"/>
    </xf>
    <xf numFmtId="166" fontId="12" fillId="7" borderId="27" xfId="2" applyNumberFormat="1" applyFont="1" applyFill="1" applyBorder="1" applyAlignment="1">
      <alignment horizontal="center" vertical="center" wrapText="1"/>
    </xf>
    <xf numFmtId="166" fontId="12" fillId="7" borderId="13" xfId="2" applyNumberFormat="1" applyFont="1" applyFill="1" applyBorder="1" applyAlignment="1">
      <alignment horizontal="center" vertical="center" wrapText="1"/>
    </xf>
    <xf numFmtId="166" fontId="12" fillId="9" borderId="13" xfId="2" applyNumberFormat="1" applyFont="1" applyFill="1" applyBorder="1" applyAlignment="1">
      <alignment horizontal="center" vertical="center" wrapText="1"/>
    </xf>
    <xf numFmtId="166" fontId="0" fillId="9" borderId="13" xfId="2" applyNumberFormat="1" applyFont="1" applyFill="1" applyBorder="1" applyAlignment="1"/>
    <xf numFmtId="166" fontId="12" fillId="9" borderId="33" xfId="2" applyNumberFormat="1" applyFont="1" applyFill="1" applyBorder="1" applyAlignment="1">
      <alignment horizontal="center" vertical="center" wrapText="1"/>
    </xf>
    <xf numFmtId="166" fontId="22" fillId="9" borderId="13" xfId="2" applyNumberFormat="1" applyFont="1" applyFill="1" applyBorder="1"/>
    <xf numFmtId="166" fontId="12" fillId="7" borderId="13" xfId="2" applyNumberFormat="1" applyFont="1" applyFill="1" applyBorder="1"/>
    <xf numFmtId="166" fontId="12" fillId="7" borderId="28" xfId="2" applyNumberFormat="1" applyFont="1" applyFill="1" applyBorder="1" applyAlignment="1">
      <alignment horizontal="center" vertical="center" wrapText="1"/>
    </xf>
    <xf numFmtId="166" fontId="12" fillId="7" borderId="13" xfId="2" applyNumberFormat="1" applyFont="1" applyFill="1" applyBorder="1" applyAlignment="1">
      <alignment horizontal="right" vertical="center"/>
    </xf>
    <xf numFmtId="166" fontId="12" fillId="7" borderId="28" xfId="2" applyNumberFormat="1" applyFont="1" applyFill="1" applyBorder="1" applyAlignment="1">
      <alignment horizontal="right" vertical="center"/>
    </xf>
    <xf numFmtId="166" fontId="12" fillId="7" borderId="28" xfId="2" applyNumberFormat="1" applyFont="1" applyFill="1" applyBorder="1"/>
    <xf numFmtId="166" fontId="0" fillId="0" borderId="0" xfId="2" applyNumberFormat="1" applyFont="1"/>
    <xf numFmtId="166" fontId="15" fillId="0" borderId="13" xfId="2" applyNumberFormat="1" applyFont="1" applyBorder="1" applyAlignment="1">
      <alignment horizontal="left"/>
    </xf>
    <xf numFmtId="166" fontId="20" fillId="0" borderId="13" xfId="2" applyNumberFormat="1" applyFont="1" applyBorder="1" applyAlignment="1">
      <alignment horizontal="left"/>
    </xf>
    <xf numFmtId="164" fontId="11" fillId="0" borderId="13" xfId="2" applyFont="1" applyBorder="1" applyAlignment="1">
      <alignment horizontal="center" vertical="center"/>
    </xf>
    <xf numFmtId="166" fontId="11" fillId="0" borderId="16" xfId="2" applyNumberFormat="1" applyFont="1" applyBorder="1" applyAlignment="1">
      <alignment vertical="center" wrapText="1"/>
    </xf>
    <xf numFmtId="0" fontId="8" fillId="5" borderId="7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11" xfId="0" applyFont="1" applyBorder="1" applyAlignment="1">
      <alignment horizontal="left"/>
    </xf>
    <xf numFmtId="18" fontId="11" fillId="0" borderId="13" xfId="0" applyNumberFormat="1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1" fillId="0" borderId="15" xfId="0" applyFont="1" applyBorder="1" applyAlignment="1" applyProtection="1">
      <alignment horizontal="left" vertical="center" wrapText="1"/>
      <protection locked="0"/>
    </xf>
    <xf numFmtId="0" fontId="11" fillId="0" borderId="15" xfId="0" applyFont="1" applyBorder="1" applyAlignment="1">
      <alignment horizontal="left" vertical="center" wrapText="1"/>
    </xf>
    <xf numFmtId="165" fontId="11" fillId="0" borderId="13" xfId="0" applyNumberFormat="1" applyFont="1" applyBorder="1" applyAlignment="1">
      <alignment horizontal="left" vertical="center" wrapText="1"/>
    </xf>
    <xf numFmtId="15" fontId="11" fillId="0" borderId="13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AFEC77E5-683B-42AD-8AF8-05071FF5EE86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468087</xdr:colOff>
      <xdr:row>0</xdr:row>
      <xdr:rowOff>118382</xdr:rowOff>
    </xdr:from>
    <xdr:to>
      <xdr:col>1</xdr:col>
      <xdr:colOff>1698173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03C50-97D9-4D77-B5C1-CA4B8B733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9887" y="118382"/>
          <a:ext cx="1230086" cy="1002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462643</xdr:colOff>
      <xdr:row>0</xdr:row>
      <xdr:rowOff>51707</xdr:rowOff>
    </xdr:from>
    <xdr:ext cx="1224642" cy="1047750"/>
    <xdr:pic>
      <xdr:nvPicPr>
        <xdr:cNvPr id="3" name="Picture 2">
          <a:extLst>
            <a:ext uri="{FF2B5EF4-FFF2-40B4-BE49-F238E27FC236}">
              <a16:creationId xmlns:a16="http://schemas.microsoft.com/office/drawing/2014/main" id="{AC99095D-B05C-421A-B368-4FEACCEE8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30693" y="51707"/>
          <a:ext cx="1224642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dianhealthyrecipes.com/chicken-jalfrezi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001"/>
  <sheetViews>
    <sheetView tabSelected="1" topLeftCell="A97" workbookViewId="0">
      <selection activeCell="M103" sqref="M103"/>
    </sheetView>
  </sheetViews>
  <sheetFormatPr defaultColWidth="9" defaultRowHeight="14.4"/>
  <cols>
    <col min="1" max="1" width="19" customWidth="1"/>
    <col min="2" max="2" width="38.88671875" customWidth="1"/>
    <col min="7" max="7" width="14.88671875" bestFit="1" customWidth="1"/>
    <col min="8" max="8" width="9.6640625" bestFit="1" customWidth="1"/>
  </cols>
  <sheetData>
    <row r="1" spans="1:2" ht="18" customHeight="1" thickTop="1" thickBot="1">
      <c r="A1" s="1" t="s">
        <v>152</v>
      </c>
      <c r="B1" s="2" t="s">
        <v>153</v>
      </c>
    </row>
    <row r="2" spans="1:2" ht="18" customHeight="1" thickTop="1" thickBot="1">
      <c r="A2" s="3" t="s">
        <v>315</v>
      </c>
      <c r="B2" s="35" t="s">
        <v>316</v>
      </c>
    </row>
    <row r="3" spans="1:2" ht="18" customHeight="1" thickBot="1">
      <c r="A3" s="3" t="s">
        <v>154</v>
      </c>
      <c r="B3" s="35" t="s">
        <v>155</v>
      </c>
    </row>
    <row r="4" spans="1:2" ht="18" customHeight="1" thickBot="1">
      <c r="A4" s="3" t="s">
        <v>686</v>
      </c>
      <c r="B4" s="87" t="s">
        <v>703</v>
      </c>
    </row>
    <row r="5" spans="1:2" ht="18" customHeight="1" thickBot="1">
      <c r="A5" s="3" t="s">
        <v>333</v>
      </c>
      <c r="B5" s="35" t="s">
        <v>334</v>
      </c>
    </row>
    <row r="6" spans="1:2" ht="18" customHeight="1" thickBot="1">
      <c r="A6" s="3" t="s">
        <v>337</v>
      </c>
      <c r="B6" s="35" t="s">
        <v>338</v>
      </c>
    </row>
    <row r="7" spans="1:2" ht="18" customHeight="1" thickBot="1">
      <c r="A7" s="3" t="s">
        <v>351</v>
      </c>
      <c r="B7" s="35" t="s">
        <v>352</v>
      </c>
    </row>
    <row r="8" spans="1:2" ht="18" customHeight="1" thickBot="1">
      <c r="A8" s="3" t="s">
        <v>317</v>
      </c>
      <c r="B8" s="35" t="s">
        <v>318</v>
      </c>
    </row>
    <row r="9" spans="1:2" ht="18" customHeight="1" thickBot="1">
      <c r="A9" s="3" t="s">
        <v>327</v>
      </c>
      <c r="B9" s="35" t="s">
        <v>328</v>
      </c>
    </row>
    <row r="10" spans="1:2" ht="18" customHeight="1" thickBot="1">
      <c r="A10" s="3" t="s">
        <v>323</v>
      </c>
      <c r="B10" s="35" t="s">
        <v>324</v>
      </c>
    </row>
    <row r="11" spans="1:2" ht="18" customHeight="1" thickBot="1">
      <c r="A11" s="3" t="s">
        <v>259</v>
      </c>
      <c r="B11" s="37" t="s">
        <v>260</v>
      </c>
    </row>
    <row r="12" spans="1:2" ht="18" customHeight="1" thickBot="1">
      <c r="A12" s="3" t="s">
        <v>279</v>
      </c>
      <c r="B12" s="37" t="s">
        <v>280</v>
      </c>
    </row>
    <row r="13" spans="1:2" ht="18" customHeight="1" thickBot="1">
      <c r="A13" s="3" t="s">
        <v>277</v>
      </c>
      <c r="B13" s="37" t="s">
        <v>278</v>
      </c>
    </row>
    <row r="14" spans="1:2" ht="18" customHeight="1" thickBot="1">
      <c r="A14" s="3" t="s">
        <v>297</v>
      </c>
      <c r="B14" s="37" t="s">
        <v>298</v>
      </c>
    </row>
    <row r="15" spans="1:2" ht="18" customHeight="1" thickBot="1">
      <c r="A15" s="3" t="s">
        <v>287</v>
      </c>
      <c r="B15" s="37" t="s">
        <v>288</v>
      </c>
    </row>
    <row r="16" spans="1:2" ht="18" customHeight="1" thickBot="1">
      <c r="A16" s="3" t="s">
        <v>267</v>
      </c>
      <c r="B16" s="37" t="s">
        <v>268</v>
      </c>
    </row>
    <row r="17" spans="1:2" ht="18" customHeight="1" thickBot="1">
      <c r="A17" s="3" t="s">
        <v>275</v>
      </c>
      <c r="B17" s="37" t="s">
        <v>276</v>
      </c>
    </row>
    <row r="18" spans="1:2" ht="18" customHeight="1" thickBot="1">
      <c r="A18" s="3" t="s">
        <v>263</v>
      </c>
      <c r="B18" s="37" t="s">
        <v>264</v>
      </c>
    </row>
    <row r="19" spans="1:2" ht="18" customHeight="1" thickBot="1">
      <c r="A19" s="3" t="s">
        <v>281</v>
      </c>
      <c r="B19" s="37" t="s">
        <v>282</v>
      </c>
    </row>
    <row r="20" spans="1:2" ht="18" customHeight="1" thickBot="1">
      <c r="A20" s="3" t="s">
        <v>285</v>
      </c>
      <c r="B20" s="37" t="s">
        <v>286</v>
      </c>
    </row>
    <row r="21" spans="1:2" ht="18" customHeight="1" thickBot="1">
      <c r="A21" s="3" t="s">
        <v>273</v>
      </c>
      <c r="B21" s="37" t="s">
        <v>274</v>
      </c>
    </row>
    <row r="22" spans="1:2" ht="18" customHeight="1" thickBot="1">
      <c r="A22" s="3" t="s">
        <v>271</v>
      </c>
      <c r="B22" s="37" t="s">
        <v>272</v>
      </c>
    </row>
    <row r="23" spans="1:2" ht="18" customHeight="1" thickBot="1">
      <c r="A23" s="3" t="s">
        <v>303</v>
      </c>
      <c r="B23" s="37" t="s">
        <v>304</v>
      </c>
    </row>
    <row r="24" spans="1:2" ht="18" customHeight="1" thickBot="1">
      <c r="A24" s="3" t="s">
        <v>335</v>
      </c>
      <c r="B24" s="35" t="s">
        <v>336</v>
      </c>
    </row>
    <row r="25" spans="1:2" ht="18" customHeight="1" thickBot="1">
      <c r="A25" s="3" t="s">
        <v>183</v>
      </c>
      <c r="B25" s="35" t="s">
        <v>184</v>
      </c>
    </row>
    <row r="26" spans="1:2" ht="18" customHeight="1" thickBot="1">
      <c r="A26" s="3" t="s">
        <v>289</v>
      </c>
      <c r="B26" s="35" t="s">
        <v>290</v>
      </c>
    </row>
    <row r="27" spans="1:2" ht="18" customHeight="1" thickBot="1">
      <c r="A27" s="3" t="s">
        <v>301</v>
      </c>
      <c r="B27" s="37" t="s">
        <v>302</v>
      </c>
    </row>
    <row r="28" spans="1:2" ht="18" customHeight="1" thickBot="1">
      <c r="A28" s="4" t="s">
        <v>307</v>
      </c>
      <c r="B28" s="37" t="s">
        <v>308</v>
      </c>
    </row>
    <row r="29" spans="1:2" ht="18" customHeight="1" thickBot="1">
      <c r="A29" s="3" t="s">
        <v>187</v>
      </c>
      <c r="B29" s="35" t="s">
        <v>188</v>
      </c>
    </row>
    <row r="30" spans="1:2" ht="18" customHeight="1" thickBot="1">
      <c r="A30" s="3" t="s">
        <v>299</v>
      </c>
      <c r="B30" s="37" t="s">
        <v>300</v>
      </c>
    </row>
    <row r="31" spans="1:2" ht="18" customHeight="1" thickBot="1">
      <c r="A31" s="3" t="s">
        <v>199</v>
      </c>
      <c r="B31" s="35" t="s">
        <v>200</v>
      </c>
    </row>
    <row r="32" spans="1:2" ht="18" customHeight="1" thickBot="1">
      <c r="A32" s="3" t="s">
        <v>185</v>
      </c>
      <c r="B32" s="35" t="s">
        <v>186</v>
      </c>
    </row>
    <row r="33" spans="1:2" ht="18" customHeight="1" thickBot="1">
      <c r="A33" s="3" t="s">
        <v>207</v>
      </c>
      <c r="B33" s="35" t="s">
        <v>208</v>
      </c>
    </row>
    <row r="34" spans="1:2" ht="18" customHeight="1" thickBot="1">
      <c r="A34" s="3" t="s">
        <v>475</v>
      </c>
      <c r="B34" s="35" t="s">
        <v>476</v>
      </c>
    </row>
    <row r="35" spans="1:2" ht="18" customHeight="1" thickBot="1">
      <c r="A35" s="3" t="s">
        <v>283</v>
      </c>
      <c r="B35" s="37" t="s">
        <v>284</v>
      </c>
    </row>
    <row r="36" spans="1:2" ht="18" customHeight="1" thickBot="1">
      <c r="A36" s="3" t="s">
        <v>291</v>
      </c>
      <c r="B36" s="37" t="s">
        <v>292</v>
      </c>
    </row>
    <row r="37" spans="1:2" ht="18" customHeight="1" thickBot="1">
      <c r="A37" s="3" t="s">
        <v>293</v>
      </c>
      <c r="B37" s="37" t="s">
        <v>294</v>
      </c>
    </row>
    <row r="38" spans="1:2" ht="18" customHeight="1" thickBot="1">
      <c r="A38" s="3" t="s">
        <v>295</v>
      </c>
      <c r="B38" s="37" t="s">
        <v>296</v>
      </c>
    </row>
    <row r="39" spans="1:2" ht="18" customHeight="1" thickBot="1">
      <c r="A39" s="3" t="s">
        <v>349</v>
      </c>
      <c r="B39" s="35" t="s">
        <v>350</v>
      </c>
    </row>
    <row r="40" spans="1:2" ht="18" customHeight="1" thickBot="1">
      <c r="A40" s="3" t="s">
        <v>311</v>
      </c>
      <c r="B40" s="35" t="s">
        <v>312</v>
      </c>
    </row>
    <row r="41" spans="1:2" ht="18" customHeight="1" thickBot="1">
      <c r="A41" s="3" t="s">
        <v>329</v>
      </c>
      <c r="B41" s="35" t="s">
        <v>330</v>
      </c>
    </row>
    <row r="42" spans="1:2" ht="18" customHeight="1" thickBot="1">
      <c r="A42" s="3" t="s">
        <v>325</v>
      </c>
      <c r="B42" s="35" t="s">
        <v>326</v>
      </c>
    </row>
    <row r="43" spans="1:2" ht="18" customHeight="1" thickBot="1">
      <c r="A43" s="3" t="s">
        <v>353</v>
      </c>
      <c r="B43" s="35" t="s">
        <v>354</v>
      </c>
    </row>
    <row r="44" spans="1:2" ht="18" customHeight="1" thickBot="1">
      <c r="A44" s="3" t="s">
        <v>357</v>
      </c>
      <c r="B44" s="35" t="s">
        <v>358</v>
      </c>
    </row>
    <row r="45" spans="1:2" ht="18" customHeight="1" thickBot="1">
      <c r="A45" s="3" t="s">
        <v>331</v>
      </c>
      <c r="B45" s="35" t="s">
        <v>332</v>
      </c>
    </row>
    <row r="46" spans="1:2" ht="18" customHeight="1" thickBot="1">
      <c r="A46" s="3" t="s">
        <v>574</v>
      </c>
      <c r="B46" s="35" t="s">
        <v>577</v>
      </c>
    </row>
    <row r="47" spans="1:2" ht="18" customHeight="1" thickBot="1">
      <c r="A47" s="3" t="s">
        <v>573</v>
      </c>
      <c r="B47" s="35" t="s">
        <v>578</v>
      </c>
    </row>
    <row r="48" spans="1:2" ht="18" customHeight="1" thickBot="1">
      <c r="A48" s="3" t="s">
        <v>701</v>
      </c>
      <c r="B48" s="87" t="s">
        <v>702</v>
      </c>
    </row>
    <row r="49" spans="1:2" ht="18" customHeight="1" thickBot="1">
      <c r="A49" s="3" t="s">
        <v>4</v>
      </c>
      <c r="B49" s="35" t="s">
        <v>156</v>
      </c>
    </row>
    <row r="50" spans="1:2" ht="18" customHeight="1" thickBot="1">
      <c r="A50" s="3" t="s">
        <v>575</v>
      </c>
      <c r="B50" s="35" t="s">
        <v>576</v>
      </c>
    </row>
    <row r="51" spans="1:2" ht="18" customHeight="1" thickBot="1">
      <c r="A51" s="3" t="s">
        <v>583</v>
      </c>
      <c r="B51" s="35" t="s">
        <v>584</v>
      </c>
    </row>
    <row r="52" spans="1:2" ht="18" customHeight="1" thickBot="1">
      <c r="A52" s="3" t="s">
        <v>699</v>
      </c>
      <c r="B52" s="87" t="s">
        <v>700</v>
      </c>
    </row>
    <row r="53" spans="1:2" ht="18" customHeight="1" thickBot="1">
      <c r="A53" s="3" t="s">
        <v>697</v>
      </c>
      <c r="B53" s="87" t="s">
        <v>698</v>
      </c>
    </row>
    <row r="54" spans="1:2" ht="18" customHeight="1" thickBot="1">
      <c r="A54" s="3" t="s">
        <v>665</v>
      </c>
      <c r="B54" s="87" t="s">
        <v>704</v>
      </c>
    </row>
    <row r="55" spans="1:2" ht="18" customHeight="1" thickBot="1">
      <c r="A55" s="3" t="s">
        <v>668</v>
      </c>
      <c r="B55" s="87" t="s">
        <v>673</v>
      </c>
    </row>
    <row r="56" spans="1:2" ht="18" customHeight="1" thickBot="1">
      <c r="A56" s="3" t="s">
        <v>219</v>
      </c>
      <c r="B56" s="35" t="s">
        <v>220</v>
      </c>
    </row>
    <row r="57" spans="1:2" ht="18" customHeight="1" thickBot="1">
      <c r="A57" s="3" t="s">
        <v>245</v>
      </c>
      <c r="B57" s="35" t="s">
        <v>246</v>
      </c>
    </row>
    <row r="58" spans="1:2" ht="18" customHeight="1" thickBot="1">
      <c r="A58" s="3" t="s">
        <v>237</v>
      </c>
      <c r="B58" s="35" t="s">
        <v>238</v>
      </c>
    </row>
    <row r="59" spans="1:2" ht="18" customHeight="1" thickBot="1">
      <c r="A59" s="3" t="s">
        <v>181</v>
      </c>
      <c r="B59" s="35" t="s">
        <v>182</v>
      </c>
    </row>
    <row r="60" spans="1:2" ht="18" customHeight="1" thickBot="1">
      <c r="A60" s="3" t="s">
        <v>681</v>
      </c>
      <c r="B60" s="87" t="s">
        <v>682</v>
      </c>
    </row>
    <row r="61" spans="1:2" ht="18" customHeight="1" thickBot="1">
      <c r="A61" s="3" t="s">
        <v>159</v>
      </c>
      <c r="B61" s="35" t="s">
        <v>160</v>
      </c>
    </row>
    <row r="62" spans="1:2" ht="18" customHeight="1" thickBot="1">
      <c r="A62" s="3" t="s">
        <v>261</v>
      </c>
      <c r="B62" s="37" t="s">
        <v>262</v>
      </c>
    </row>
    <row r="63" spans="1:2" ht="18" customHeight="1" thickBot="1">
      <c r="A63" s="3" t="s">
        <v>177</v>
      </c>
      <c r="B63" s="35" t="s">
        <v>178</v>
      </c>
    </row>
    <row r="64" spans="1:2" ht="18" customHeight="1" thickBot="1">
      <c r="A64" s="3" t="s">
        <v>247</v>
      </c>
      <c r="B64" s="36" t="s">
        <v>248</v>
      </c>
    </row>
    <row r="65" spans="1:7" ht="18" customHeight="1" thickBot="1">
      <c r="A65" s="3" t="s">
        <v>157</v>
      </c>
      <c r="B65" s="35" t="s">
        <v>158</v>
      </c>
    </row>
    <row r="66" spans="1:7" ht="18" customHeight="1" thickBot="1">
      <c r="A66" s="3" t="s">
        <v>239</v>
      </c>
      <c r="B66" s="35" t="s">
        <v>240</v>
      </c>
    </row>
    <row r="67" spans="1:7" ht="18" customHeight="1" thickBot="1">
      <c r="A67" s="3" t="s">
        <v>191</v>
      </c>
      <c r="B67" s="35" t="s">
        <v>192</v>
      </c>
    </row>
    <row r="68" spans="1:7" ht="18" customHeight="1" thickBot="1">
      <c r="A68" s="3" t="s">
        <v>231</v>
      </c>
      <c r="B68" s="35" t="s">
        <v>232</v>
      </c>
    </row>
    <row r="69" spans="1:7" ht="18" customHeight="1" thickBot="1">
      <c r="A69" s="3" t="s">
        <v>249</v>
      </c>
      <c r="B69" s="36" t="s">
        <v>250</v>
      </c>
    </row>
    <row r="70" spans="1:7" ht="18" customHeight="1" thickBot="1">
      <c r="A70" s="3" t="s">
        <v>193</v>
      </c>
      <c r="B70" s="35" t="s">
        <v>194</v>
      </c>
    </row>
    <row r="71" spans="1:7" ht="18" customHeight="1" thickBot="1">
      <c r="A71" s="3" t="s">
        <v>195</v>
      </c>
      <c r="B71" s="35" t="s">
        <v>196</v>
      </c>
    </row>
    <row r="72" spans="1:7" ht="18" customHeight="1" thickBot="1">
      <c r="A72" s="3" t="s">
        <v>253</v>
      </c>
      <c r="B72" s="36" t="s">
        <v>254</v>
      </c>
    </row>
    <row r="73" spans="1:7" ht="18" customHeight="1" thickBot="1">
      <c r="A73" s="3" t="s">
        <v>211</v>
      </c>
      <c r="B73" s="35" t="s">
        <v>212</v>
      </c>
    </row>
    <row r="74" spans="1:7" ht="18" customHeight="1" thickBot="1">
      <c r="A74" s="3" t="s">
        <v>197</v>
      </c>
      <c r="B74" s="35" t="s">
        <v>198</v>
      </c>
    </row>
    <row r="75" spans="1:7" ht="18" customHeight="1" thickBot="1">
      <c r="A75" s="3" t="s">
        <v>235</v>
      </c>
      <c r="B75" s="35" t="s">
        <v>236</v>
      </c>
    </row>
    <row r="76" spans="1:7" ht="18" customHeight="1" thickBot="1">
      <c r="A76" s="3" t="s">
        <v>161</v>
      </c>
      <c r="B76" s="35" t="s">
        <v>162</v>
      </c>
    </row>
    <row r="77" spans="1:7" ht="18" customHeight="1" thickBot="1">
      <c r="A77" s="3" t="s">
        <v>217</v>
      </c>
      <c r="B77" s="35" t="s">
        <v>218</v>
      </c>
    </row>
    <row r="78" spans="1:7" ht="18" customHeight="1" thickBot="1">
      <c r="A78" s="3" t="s">
        <v>233</v>
      </c>
      <c r="B78" s="35" t="s">
        <v>234</v>
      </c>
    </row>
    <row r="79" spans="1:7" ht="18" customHeight="1" thickBot="1">
      <c r="A79" s="3" t="s">
        <v>209</v>
      </c>
      <c r="B79" s="35" t="s">
        <v>210</v>
      </c>
    </row>
    <row r="80" spans="1:7" ht="18" customHeight="1" thickBot="1">
      <c r="A80" s="3" t="s">
        <v>169</v>
      </c>
      <c r="B80" s="35" t="s">
        <v>170</v>
      </c>
      <c r="G80" s="34"/>
    </row>
    <row r="81" spans="1:2" ht="18" customHeight="1" thickBot="1">
      <c r="A81" s="3" t="s">
        <v>227</v>
      </c>
      <c r="B81" s="35" t="s">
        <v>228</v>
      </c>
    </row>
    <row r="82" spans="1:2" ht="18" customHeight="1" thickBot="1">
      <c r="A82" s="3" t="s">
        <v>223</v>
      </c>
      <c r="B82" s="35" t="s">
        <v>224</v>
      </c>
    </row>
    <row r="83" spans="1:2" ht="18" customHeight="1" thickBot="1">
      <c r="A83" s="3" t="s">
        <v>201</v>
      </c>
      <c r="B83" s="35" t="s">
        <v>202</v>
      </c>
    </row>
    <row r="84" spans="1:2" ht="18" customHeight="1" thickBot="1">
      <c r="A84" s="3" t="s">
        <v>671</v>
      </c>
      <c r="B84" s="87" t="s">
        <v>672</v>
      </c>
    </row>
    <row r="85" spans="1:2" ht="18" customHeight="1" thickBot="1">
      <c r="A85" s="3" t="s">
        <v>189</v>
      </c>
      <c r="B85" s="35" t="s">
        <v>190</v>
      </c>
    </row>
    <row r="86" spans="1:2" ht="18" customHeight="1" thickBot="1">
      <c r="A86" s="3" t="s">
        <v>215</v>
      </c>
      <c r="B86" s="35" t="s">
        <v>216</v>
      </c>
    </row>
    <row r="87" spans="1:2" ht="18" customHeight="1" thickBot="1">
      <c r="A87" s="3" t="s">
        <v>225</v>
      </c>
      <c r="B87" s="35" t="s">
        <v>226</v>
      </c>
    </row>
    <row r="88" spans="1:2" ht="18" customHeight="1" thickBot="1">
      <c r="A88" s="3" t="s">
        <v>653</v>
      </c>
      <c r="B88" s="87" t="s">
        <v>654</v>
      </c>
    </row>
    <row r="89" spans="1:2" ht="18" customHeight="1" thickBot="1">
      <c r="A89" s="3" t="s">
        <v>203</v>
      </c>
      <c r="B89" s="35" t="s">
        <v>204</v>
      </c>
    </row>
    <row r="90" spans="1:2" ht="18" customHeight="1" thickBot="1">
      <c r="A90" s="3" t="s">
        <v>175</v>
      </c>
      <c r="B90" s="35" t="s">
        <v>176</v>
      </c>
    </row>
    <row r="91" spans="1:2" ht="18" customHeight="1" thickBot="1">
      <c r="A91" s="3" t="s">
        <v>669</v>
      </c>
      <c r="B91" s="87" t="s">
        <v>670</v>
      </c>
    </row>
    <row r="92" spans="1:2" ht="18" customHeight="1" thickBot="1">
      <c r="A92" s="3" t="s">
        <v>229</v>
      </c>
      <c r="B92" s="35" t="s">
        <v>230</v>
      </c>
    </row>
    <row r="93" spans="1:2" ht="18" customHeight="1" thickBot="1">
      <c r="A93" s="3" t="s">
        <v>165</v>
      </c>
      <c r="B93" s="35" t="s">
        <v>166</v>
      </c>
    </row>
    <row r="94" spans="1:2" ht="18" customHeight="1" thickBot="1">
      <c r="A94" s="3" t="s">
        <v>167</v>
      </c>
      <c r="B94" s="35" t="s">
        <v>168</v>
      </c>
    </row>
    <row r="95" spans="1:2" ht="18" customHeight="1" thickBot="1">
      <c r="A95" s="3" t="s">
        <v>257</v>
      </c>
      <c r="B95" s="36" t="s">
        <v>258</v>
      </c>
    </row>
    <row r="96" spans="1:2" ht="18" customHeight="1" thickBot="1">
      <c r="A96" s="3" t="s">
        <v>265</v>
      </c>
      <c r="B96" s="37" t="s">
        <v>266</v>
      </c>
    </row>
    <row r="97" spans="1:8" ht="18" customHeight="1" thickBot="1">
      <c r="A97" s="3" t="s">
        <v>251</v>
      </c>
      <c r="B97" s="36" t="s">
        <v>252</v>
      </c>
    </row>
    <row r="98" spans="1:8" ht="18" customHeight="1" thickBot="1">
      <c r="A98" s="3" t="s">
        <v>163</v>
      </c>
      <c r="B98" s="35" t="s">
        <v>164</v>
      </c>
    </row>
    <row r="99" spans="1:8" ht="18" customHeight="1" thickBot="1">
      <c r="A99" s="3" t="s">
        <v>171</v>
      </c>
      <c r="B99" s="35" t="s">
        <v>172</v>
      </c>
    </row>
    <row r="100" spans="1:8" ht="18" customHeight="1" thickBot="1">
      <c r="A100" s="3" t="s">
        <v>221</v>
      </c>
      <c r="B100" s="35" t="s">
        <v>222</v>
      </c>
    </row>
    <row r="101" spans="1:8" ht="18" customHeight="1" thickBot="1">
      <c r="A101" s="3" t="s">
        <v>179</v>
      </c>
      <c r="B101" s="35" t="s">
        <v>180</v>
      </c>
      <c r="H101" s="33"/>
    </row>
    <row r="102" spans="1:8" ht="18" customHeight="1" thickBot="1">
      <c r="A102" s="3" t="s">
        <v>587</v>
      </c>
      <c r="B102" s="35" t="s">
        <v>591</v>
      </c>
    </row>
    <row r="103" spans="1:8" ht="18" customHeight="1" thickBot="1">
      <c r="A103" s="3" t="s">
        <v>205</v>
      </c>
      <c r="B103" s="35" t="s">
        <v>206</v>
      </c>
    </row>
    <row r="104" spans="1:8" ht="18" customHeight="1" thickBot="1">
      <c r="A104" s="3" t="s">
        <v>243</v>
      </c>
      <c r="B104" s="35" t="s">
        <v>244</v>
      </c>
    </row>
    <row r="105" spans="1:8" ht="18" customHeight="1" thickBot="1">
      <c r="A105" s="3" t="s">
        <v>241</v>
      </c>
      <c r="B105" s="35" t="s">
        <v>242</v>
      </c>
    </row>
    <row r="106" spans="1:8" ht="18" customHeight="1" thickBot="1">
      <c r="A106" s="3" t="s">
        <v>173</v>
      </c>
      <c r="B106" s="35" t="s">
        <v>174</v>
      </c>
    </row>
    <row r="107" spans="1:8" ht="15" thickBot="1">
      <c r="A107" s="3" t="s">
        <v>213</v>
      </c>
      <c r="B107" s="35" t="s">
        <v>214</v>
      </c>
    </row>
    <row r="108" spans="1:8" ht="15" thickBot="1">
      <c r="A108" s="3" t="s">
        <v>586</v>
      </c>
      <c r="B108" s="35" t="s">
        <v>588</v>
      </c>
    </row>
    <row r="109" spans="1:8" ht="15" thickBot="1">
      <c r="A109" s="3" t="s">
        <v>649</v>
      </c>
      <c r="B109" s="87" t="s">
        <v>650</v>
      </c>
    </row>
    <row r="110" spans="1:8" ht="15" thickBot="1">
      <c r="A110" s="3" t="s">
        <v>255</v>
      </c>
      <c r="B110" s="36" t="s">
        <v>256</v>
      </c>
    </row>
    <row r="111" spans="1:8" ht="15" thickBot="1">
      <c r="A111" s="66" t="s">
        <v>313</v>
      </c>
      <c r="B111" s="67" t="s">
        <v>314</v>
      </c>
    </row>
    <row r="112" spans="1:8" ht="15" thickBot="1">
      <c r="A112" s="77" t="s">
        <v>321</v>
      </c>
      <c r="B112" s="92" t="s">
        <v>322</v>
      </c>
    </row>
    <row r="113" spans="1:2" ht="15" thickBot="1">
      <c r="A113" s="68" t="s">
        <v>347</v>
      </c>
      <c r="B113" s="81" t="s">
        <v>348</v>
      </c>
    </row>
    <row r="114" spans="1:2" ht="15" thickBot="1">
      <c r="A114" s="68" t="s">
        <v>345</v>
      </c>
      <c r="B114" s="81" t="s">
        <v>346</v>
      </c>
    </row>
    <row r="115" spans="1:2" ht="15" thickBot="1">
      <c r="A115" s="86" t="s">
        <v>309</v>
      </c>
      <c r="B115" s="81" t="s">
        <v>310</v>
      </c>
    </row>
    <row r="116" spans="1:2" ht="15" thickBot="1">
      <c r="A116" s="68" t="s">
        <v>319</v>
      </c>
      <c r="B116" s="88" t="s">
        <v>320</v>
      </c>
    </row>
    <row r="117" spans="1:2">
      <c r="A117" s="80" t="s">
        <v>341</v>
      </c>
      <c r="B117" s="90" t="s">
        <v>342</v>
      </c>
    </row>
    <row r="118" spans="1:2">
      <c r="A118" s="78" t="s">
        <v>305</v>
      </c>
      <c r="B118" s="96" t="s">
        <v>306</v>
      </c>
    </row>
    <row r="119" spans="1:2" ht="15" thickBot="1">
      <c r="A119" s="79" t="s">
        <v>355</v>
      </c>
      <c r="B119" s="94" t="s">
        <v>356</v>
      </c>
    </row>
    <row r="120" spans="1:2" ht="15" thickBot="1">
      <c r="A120" s="82" t="s">
        <v>339</v>
      </c>
      <c r="B120" s="93" t="s">
        <v>340</v>
      </c>
    </row>
    <row r="121" spans="1:2" ht="15" thickBot="1">
      <c r="A121" s="85" t="s">
        <v>343</v>
      </c>
      <c r="B121" s="89" t="s">
        <v>344</v>
      </c>
    </row>
    <row r="122" spans="1:2" ht="15" thickBot="1">
      <c r="A122" s="85" t="s">
        <v>269</v>
      </c>
      <c r="B122" s="91" t="s">
        <v>270</v>
      </c>
    </row>
    <row r="123" spans="1:2" ht="15" thickBot="1">
      <c r="A123" s="85" t="s">
        <v>667</v>
      </c>
      <c r="B123" s="95"/>
    </row>
    <row r="124" spans="1:2" ht="15" thickBot="1">
      <c r="A124" s="5"/>
    </row>
    <row r="125" spans="1:2" ht="15" thickBot="1">
      <c r="A125" s="5"/>
      <c r="B125" s="5"/>
    </row>
    <row r="126" spans="1:2" ht="15" thickBot="1">
      <c r="A126" s="5"/>
    </row>
    <row r="127" spans="1:2" ht="15" thickBot="1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  <row r="683" spans="1:2">
      <c r="A683" s="5"/>
      <c r="B683" s="5"/>
    </row>
    <row r="684" spans="1:2">
      <c r="A684" s="5"/>
      <c r="B684" s="5"/>
    </row>
    <row r="685" spans="1:2">
      <c r="A685" s="5"/>
      <c r="B685" s="5"/>
    </row>
    <row r="686" spans="1:2">
      <c r="A686" s="5"/>
      <c r="B686" s="5"/>
    </row>
    <row r="687" spans="1:2">
      <c r="A687" s="5"/>
      <c r="B687" s="5"/>
    </row>
    <row r="688" spans="1:2">
      <c r="A688" s="5"/>
      <c r="B688" s="5"/>
    </row>
    <row r="689" spans="1:2">
      <c r="A689" s="5"/>
      <c r="B689" s="5"/>
    </row>
    <row r="690" spans="1:2">
      <c r="A690" s="5"/>
      <c r="B690" s="5"/>
    </row>
    <row r="691" spans="1:2">
      <c r="A691" s="5"/>
      <c r="B691" s="5"/>
    </row>
    <row r="692" spans="1:2">
      <c r="A692" s="5"/>
      <c r="B692" s="5"/>
    </row>
    <row r="693" spans="1:2">
      <c r="A693" s="5"/>
      <c r="B693" s="5"/>
    </row>
    <row r="694" spans="1:2">
      <c r="A694" s="5"/>
      <c r="B694" s="5"/>
    </row>
    <row r="695" spans="1:2">
      <c r="A695" s="5"/>
      <c r="B695" s="5"/>
    </row>
    <row r="696" spans="1:2">
      <c r="A696" s="5"/>
      <c r="B696" s="5"/>
    </row>
    <row r="697" spans="1:2">
      <c r="A697" s="5"/>
      <c r="B697" s="5"/>
    </row>
    <row r="698" spans="1:2">
      <c r="A698" s="5"/>
      <c r="B698" s="5"/>
    </row>
    <row r="699" spans="1:2">
      <c r="A699" s="5"/>
      <c r="B699" s="5"/>
    </row>
    <row r="700" spans="1:2">
      <c r="A700" s="5"/>
      <c r="B700" s="5"/>
    </row>
    <row r="701" spans="1:2">
      <c r="A701" s="5"/>
      <c r="B701" s="5"/>
    </row>
    <row r="702" spans="1:2">
      <c r="A702" s="5"/>
      <c r="B702" s="5"/>
    </row>
    <row r="703" spans="1:2">
      <c r="A703" s="5"/>
      <c r="B703" s="5"/>
    </row>
    <row r="704" spans="1:2">
      <c r="A704" s="5"/>
      <c r="B704" s="5"/>
    </row>
    <row r="705" spans="1:2">
      <c r="A705" s="5"/>
      <c r="B705" s="5"/>
    </row>
    <row r="706" spans="1:2">
      <c r="A706" s="5"/>
      <c r="B706" s="5"/>
    </row>
    <row r="707" spans="1:2">
      <c r="A707" s="5"/>
      <c r="B707" s="5"/>
    </row>
    <row r="708" spans="1:2">
      <c r="A708" s="5"/>
      <c r="B708" s="5"/>
    </row>
    <row r="709" spans="1:2">
      <c r="A709" s="5"/>
      <c r="B709" s="5"/>
    </row>
    <row r="710" spans="1:2">
      <c r="A710" s="5"/>
      <c r="B710" s="5"/>
    </row>
    <row r="711" spans="1:2">
      <c r="A711" s="5"/>
      <c r="B711" s="5"/>
    </row>
    <row r="712" spans="1:2">
      <c r="A712" s="5"/>
      <c r="B712" s="5"/>
    </row>
    <row r="713" spans="1:2">
      <c r="A713" s="5"/>
      <c r="B713" s="5"/>
    </row>
    <row r="714" spans="1:2">
      <c r="A714" s="5"/>
      <c r="B714" s="5"/>
    </row>
    <row r="715" spans="1:2">
      <c r="A715" s="5"/>
      <c r="B715" s="5"/>
    </row>
    <row r="716" spans="1:2">
      <c r="A716" s="5"/>
      <c r="B716" s="5"/>
    </row>
    <row r="717" spans="1:2">
      <c r="A717" s="5"/>
      <c r="B717" s="5"/>
    </row>
    <row r="718" spans="1:2">
      <c r="A718" s="5"/>
      <c r="B718" s="5"/>
    </row>
    <row r="719" spans="1:2">
      <c r="A719" s="5"/>
      <c r="B719" s="5"/>
    </row>
    <row r="720" spans="1:2">
      <c r="A720" s="5"/>
      <c r="B720" s="5"/>
    </row>
    <row r="721" spans="1:2">
      <c r="A721" s="5"/>
      <c r="B721" s="5"/>
    </row>
    <row r="722" spans="1:2">
      <c r="A722" s="5"/>
      <c r="B722" s="5"/>
    </row>
    <row r="723" spans="1:2">
      <c r="A723" s="5"/>
      <c r="B723" s="5"/>
    </row>
    <row r="724" spans="1:2">
      <c r="A724" s="5"/>
      <c r="B724" s="5"/>
    </row>
    <row r="725" spans="1:2">
      <c r="A725" s="5"/>
      <c r="B725" s="5"/>
    </row>
    <row r="726" spans="1:2">
      <c r="A726" s="5"/>
      <c r="B726" s="5"/>
    </row>
    <row r="727" spans="1:2">
      <c r="A727" s="5"/>
      <c r="B727" s="5"/>
    </row>
    <row r="728" spans="1:2">
      <c r="A728" s="5"/>
      <c r="B728" s="5"/>
    </row>
    <row r="729" spans="1:2">
      <c r="A729" s="5"/>
      <c r="B729" s="5"/>
    </row>
    <row r="730" spans="1:2">
      <c r="A730" s="5"/>
      <c r="B730" s="5"/>
    </row>
    <row r="731" spans="1:2">
      <c r="A731" s="5"/>
      <c r="B731" s="5"/>
    </row>
    <row r="732" spans="1:2">
      <c r="A732" s="5"/>
      <c r="B732" s="5"/>
    </row>
    <row r="733" spans="1:2">
      <c r="A733" s="5"/>
      <c r="B733" s="5"/>
    </row>
    <row r="734" spans="1:2">
      <c r="A734" s="5"/>
      <c r="B734" s="5"/>
    </row>
    <row r="735" spans="1:2">
      <c r="A735" s="5"/>
      <c r="B735" s="5"/>
    </row>
    <row r="736" spans="1:2">
      <c r="A736" s="5"/>
      <c r="B736" s="5"/>
    </row>
    <row r="737" spans="1:2">
      <c r="A737" s="5"/>
      <c r="B737" s="5"/>
    </row>
    <row r="738" spans="1:2">
      <c r="A738" s="5"/>
      <c r="B738" s="5"/>
    </row>
    <row r="739" spans="1:2">
      <c r="A739" s="5"/>
      <c r="B739" s="5"/>
    </row>
    <row r="740" spans="1:2">
      <c r="A740" s="5"/>
      <c r="B740" s="5"/>
    </row>
    <row r="741" spans="1:2">
      <c r="A741" s="5"/>
      <c r="B741" s="5"/>
    </row>
    <row r="742" spans="1:2">
      <c r="A742" s="5"/>
      <c r="B742" s="5"/>
    </row>
    <row r="743" spans="1:2">
      <c r="A743" s="5"/>
      <c r="B743" s="5"/>
    </row>
    <row r="744" spans="1:2">
      <c r="A744" s="5"/>
      <c r="B744" s="5"/>
    </row>
    <row r="745" spans="1:2">
      <c r="A745" s="5"/>
      <c r="B745" s="5"/>
    </row>
    <row r="746" spans="1:2">
      <c r="A746" s="5"/>
      <c r="B746" s="5"/>
    </row>
    <row r="747" spans="1:2">
      <c r="A747" s="5"/>
      <c r="B747" s="5"/>
    </row>
    <row r="748" spans="1:2">
      <c r="A748" s="5"/>
      <c r="B748" s="5"/>
    </row>
    <row r="749" spans="1:2">
      <c r="A749" s="5"/>
      <c r="B749" s="5"/>
    </row>
    <row r="750" spans="1:2">
      <c r="A750" s="5"/>
      <c r="B750" s="5"/>
    </row>
    <row r="751" spans="1:2">
      <c r="A751" s="5"/>
      <c r="B751" s="5"/>
    </row>
    <row r="752" spans="1:2">
      <c r="A752" s="5"/>
      <c r="B752" s="5"/>
    </row>
    <row r="753" spans="1:2">
      <c r="A753" s="5"/>
      <c r="B753" s="5"/>
    </row>
    <row r="754" spans="1:2">
      <c r="A754" s="5"/>
      <c r="B754" s="5"/>
    </row>
    <row r="755" spans="1:2">
      <c r="A755" s="5"/>
      <c r="B755" s="5"/>
    </row>
    <row r="756" spans="1:2">
      <c r="A756" s="5"/>
      <c r="B756" s="5"/>
    </row>
    <row r="757" spans="1:2">
      <c r="A757" s="5"/>
      <c r="B757" s="5"/>
    </row>
    <row r="758" spans="1:2">
      <c r="A758" s="5"/>
      <c r="B758" s="5"/>
    </row>
    <row r="759" spans="1:2">
      <c r="A759" s="5"/>
      <c r="B759" s="5"/>
    </row>
    <row r="760" spans="1:2">
      <c r="A760" s="5"/>
      <c r="B760" s="5"/>
    </row>
    <row r="761" spans="1:2">
      <c r="A761" s="5"/>
      <c r="B761" s="5"/>
    </row>
    <row r="762" spans="1:2">
      <c r="A762" s="5"/>
      <c r="B762" s="5"/>
    </row>
    <row r="763" spans="1:2">
      <c r="A763" s="5"/>
      <c r="B763" s="5"/>
    </row>
    <row r="764" spans="1:2">
      <c r="A764" s="5"/>
      <c r="B764" s="5"/>
    </row>
    <row r="765" spans="1:2">
      <c r="A765" s="5"/>
      <c r="B765" s="5"/>
    </row>
    <row r="766" spans="1:2">
      <c r="A766" s="5"/>
      <c r="B766" s="5"/>
    </row>
    <row r="767" spans="1:2">
      <c r="A767" s="5"/>
      <c r="B767" s="5"/>
    </row>
    <row r="768" spans="1:2">
      <c r="A768" s="5"/>
      <c r="B768" s="5"/>
    </row>
    <row r="769" spans="1:2">
      <c r="A769" s="5"/>
      <c r="B769" s="5"/>
    </row>
    <row r="770" spans="1:2">
      <c r="A770" s="5"/>
      <c r="B770" s="5"/>
    </row>
    <row r="771" spans="1:2">
      <c r="A771" s="5"/>
      <c r="B771" s="5"/>
    </row>
    <row r="772" spans="1:2">
      <c r="A772" s="5"/>
      <c r="B772" s="5"/>
    </row>
    <row r="773" spans="1:2">
      <c r="A773" s="5"/>
      <c r="B773" s="5"/>
    </row>
    <row r="774" spans="1:2">
      <c r="A774" s="5"/>
      <c r="B774" s="5"/>
    </row>
    <row r="775" spans="1:2">
      <c r="A775" s="5"/>
      <c r="B775" s="5"/>
    </row>
    <row r="776" spans="1:2">
      <c r="A776" s="5"/>
      <c r="B776" s="5"/>
    </row>
    <row r="777" spans="1:2">
      <c r="A777" s="5"/>
      <c r="B777" s="5"/>
    </row>
    <row r="778" spans="1:2">
      <c r="A778" s="5"/>
      <c r="B778" s="5"/>
    </row>
    <row r="779" spans="1:2">
      <c r="A779" s="5"/>
      <c r="B779" s="5"/>
    </row>
    <row r="780" spans="1:2">
      <c r="A780" s="5"/>
      <c r="B780" s="5"/>
    </row>
    <row r="781" spans="1:2">
      <c r="A781" s="5"/>
      <c r="B781" s="5"/>
    </row>
    <row r="782" spans="1:2">
      <c r="A782" s="5"/>
      <c r="B782" s="5"/>
    </row>
    <row r="783" spans="1:2">
      <c r="A783" s="5"/>
      <c r="B783" s="5"/>
    </row>
    <row r="784" spans="1:2">
      <c r="A784" s="5"/>
      <c r="B784" s="5"/>
    </row>
    <row r="785" spans="1:2">
      <c r="A785" s="5"/>
      <c r="B785" s="5"/>
    </row>
    <row r="786" spans="1:2">
      <c r="A786" s="5"/>
      <c r="B786" s="5"/>
    </row>
    <row r="787" spans="1:2">
      <c r="A787" s="5"/>
      <c r="B787" s="5"/>
    </row>
    <row r="788" spans="1:2">
      <c r="A788" s="5"/>
      <c r="B788" s="5"/>
    </row>
    <row r="789" spans="1:2">
      <c r="A789" s="5"/>
      <c r="B789" s="5"/>
    </row>
    <row r="790" spans="1:2">
      <c r="A790" s="5"/>
      <c r="B790" s="5"/>
    </row>
    <row r="791" spans="1:2">
      <c r="A791" s="5"/>
      <c r="B791" s="5"/>
    </row>
    <row r="792" spans="1:2">
      <c r="A792" s="5"/>
      <c r="B792" s="5"/>
    </row>
    <row r="793" spans="1:2">
      <c r="A793" s="5"/>
      <c r="B793" s="5"/>
    </row>
    <row r="794" spans="1:2">
      <c r="A794" s="5"/>
      <c r="B794" s="5"/>
    </row>
    <row r="795" spans="1:2">
      <c r="A795" s="5"/>
      <c r="B795" s="5"/>
    </row>
    <row r="796" spans="1:2">
      <c r="A796" s="5"/>
      <c r="B796" s="5"/>
    </row>
    <row r="797" spans="1:2">
      <c r="A797" s="5"/>
      <c r="B797" s="5"/>
    </row>
    <row r="798" spans="1:2">
      <c r="A798" s="5"/>
      <c r="B798" s="5"/>
    </row>
    <row r="799" spans="1:2">
      <c r="A799" s="5"/>
      <c r="B799" s="5"/>
    </row>
    <row r="800" spans="1:2">
      <c r="A800" s="5"/>
      <c r="B800" s="5"/>
    </row>
    <row r="801" spans="1:2">
      <c r="A801" s="5"/>
      <c r="B801" s="5"/>
    </row>
    <row r="802" spans="1:2">
      <c r="A802" s="5"/>
      <c r="B802" s="5"/>
    </row>
    <row r="803" spans="1:2">
      <c r="A803" s="5"/>
      <c r="B803" s="5"/>
    </row>
    <row r="804" spans="1:2">
      <c r="A804" s="5"/>
      <c r="B804" s="5"/>
    </row>
    <row r="805" spans="1:2">
      <c r="A805" s="5"/>
      <c r="B805" s="5"/>
    </row>
    <row r="806" spans="1:2">
      <c r="A806" s="5"/>
      <c r="B806" s="5"/>
    </row>
    <row r="807" spans="1:2">
      <c r="A807" s="5"/>
      <c r="B807" s="5"/>
    </row>
    <row r="808" spans="1:2">
      <c r="A808" s="5"/>
      <c r="B808" s="5"/>
    </row>
    <row r="809" spans="1:2">
      <c r="A809" s="5"/>
      <c r="B809" s="5"/>
    </row>
    <row r="810" spans="1:2">
      <c r="A810" s="5"/>
      <c r="B810" s="5"/>
    </row>
    <row r="811" spans="1:2">
      <c r="A811" s="5"/>
      <c r="B811" s="5"/>
    </row>
    <row r="812" spans="1:2">
      <c r="A812" s="5"/>
      <c r="B812" s="5"/>
    </row>
    <row r="813" spans="1:2">
      <c r="A813" s="5"/>
      <c r="B813" s="5"/>
    </row>
    <row r="814" spans="1:2">
      <c r="A814" s="5"/>
      <c r="B814" s="5"/>
    </row>
    <row r="815" spans="1:2">
      <c r="A815" s="5"/>
      <c r="B815" s="5"/>
    </row>
    <row r="816" spans="1:2">
      <c r="A816" s="5"/>
      <c r="B816" s="5"/>
    </row>
    <row r="817" spans="1:2">
      <c r="A817" s="5"/>
      <c r="B817" s="5"/>
    </row>
    <row r="818" spans="1:2">
      <c r="A818" s="5"/>
      <c r="B818" s="5"/>
    </row>
    <row r="819" spans="1:2">
      <c r="A819" s="5"/>
      <c r="B819" s="5"/>
    </row>
    <row r="820" spans="1:2">
      <c r="A820" s="5"/>
      <c r="B820" s="5"/>
    </row>
    <row r="821" spans="1:2">
      <c r="A821" s="5"/>
      <c r="B821" s="5"/>
    </row>
    <row r="822" spans="1:2">
      <c r="A822" s="5"/>
      <c r="B822" s="5"/>
    </row>
    <row r="823" spans="1:2">
      <c r="A823" s="5"/>
      <c r="B823" s="5"/>
    </row>
    <row r="824" spans="1:2">
      <c r="A824" s="5"/>
      <c r="B824" s="5"/>
    </row>
    <row r="825" spans="1:2">
      <c r="A825" s="5"/>
      <c r="B825" s="5"/>
    </row>
    <row r="826" spans="1:2">
      <c r="A826" s="5"/>
      <c r="B826" s="5"/>
    </row>
    <row r="827" spans="1:2">
      <c r="A827" s="5"/>
      <c r="B827" s="5"/>
    </row>
    <row r="828" spans="1:2">
      <c r="A828" s="5"/>
      <c r="B828" s="5"/>
    </row>
    <row r="829" spans="1:2">
      <c r="A829" s="5"/>
      <c r="B829" s="5"/>
    </row>
    <row r="830" spans="1:2">
      <c r="A830" s="5"/>
      <c r="B830" s="5"/>
    </row>
    <row r="831" spans="1:2">
      <c r="A831" s="5"/>
      <c r="B831" s="5"/>
    </row>
    <row r="832" spans="1:2">
      <c r="A832" s="5"/>
      <c r="B832" s="5"/>
    </row>
    <row r="833" spans="1:2">
      <c r="A833" s="5"/>
      <c r="B833" s="5"/>
    </row>
    <row r="834" spans="1:2">
      <c r="A834" s="5"/>
      <c r="B834" s="5"/>
    </row>
    <row r="835" spans="1:2">
      <c r="A835" s="5"/>
      <c r="B835" s="5"/>
    </row>
    <row r="836" spans="1:2">
      <c r="A836" s="5"/>
      <c r="B836" s="5"/>
    </row>
    <row r="837" spans="1:2">
      <c r="A837" s="5"/>
      <c r="B837" s="5"/>
    </row>
    <row r="838" spans="1:2">
      <c r="A838" s="5"/>
      <c r="B838" s="5"/>
    </row>
    <row r="839" spans="1:2">
      <c r="A839" s="5"/>
      <c r="B839" s="5"/>
    </row>
    <row r="840" spans="1:2">
      <c r="A840" s="5"/>
      <c r="B840" s="5"/>
    </row>
    <row r="841" spans="1:2">
      <c r="A841" s="5"/>
      <c r="B841" s="5"/>
    </row>
    <row r="842" spans="1:2">
      <c r="A842" s="5"/>
      <c r="B842" s="5"/>
    </row>
    <row r="843" spans="1:2">
      <c r="A843" s="5"/>
      <c r="B843" s="5"/>
    </row>
    <row r="844" spans="1:2">
      <c r="A844" s="5"/>
      <c r="B844" s="5"/>
    </row>
    <row r="845" spans="1:2">
      <c r="A845" s="5"/>
      <c r="B845" s="5"/>
    </row>
    <row r="846" spans="1:2">
      <c r="A846" s="5"/>
      <c r="B846" s="5"/>
    </row>
    <row r="847" spans="1:2">
      <c r="A847" s="5"/>
      <c r="B847" s="5"/>
    </row>
    <row r="848" spans="1:2">
      <c r="A848" s="5"/>
      <c r="B848" s="5"/>
    </row>
    <row r="849" spans="1:2">
      <c r="A849" s="5"/>
      <c r="B849" s="5"/>
    </row>
    <row r="850" spans="1:2">
      <c r="A850" s="5"/>
      <c r="B850" s="5"/>
    </row>
    <row r="851" spans="1:2">
      <c r="A851" s="5"/>
      <c r="B851" s="5"/>
    </row>
    <row r="852" spans="1:2">
      <c r="A852" s="5"/>
      <c r="B852" s="5"/>
    </row>
    <row r="853" spans="1:2">
      <c r="A853" s="5"/>
      <c r="B853" s="5"/>
    </row>
    <row r="854" spans="1:2">
      <c r="A854" s="5"/>
      <c r="B854" s="5"/>
    </row>
    <row r="855" spans="1:2">
      <c r="A855" s="5"/>
      <c r="B855" s="5"/>
    </row>
    <row r="856" spans="1:2">
      <c r="A856" s="5"/>
      <c r="B856" s="5"/>
    </row>
    <row r="857" spans="1:2">
      <c r="A857" s="5"/>
      <c r="B857" s="5"/>
    </row>
    <row r="858" spans="1:2">
      <c r="A858" s="5"/>
      <c r="B858" s="5"/>
    </row>
    <row r="859" spans="1:2">
      <c r="A859" s="5"/>
      <c r="B859" s="5"/>
    </row>
    <row r="860" spans="1:2">
      <c r="A860" s="5"/>
      <c r="B860" s="5"/>
    </row>
    <row r="861" spans="1:2">
      <c r="A861" s="5"/>
      <c r="B861" s="5"/>
    </row>
    <row r="862" spans="1:2">
      <c r="A862" s="5"/>
      <c r="B862" s="5"/>
    </row>
    <row r="863" spans="1:2">
      <c r="A863" s="5"/>
      <c r="B863" s="5"/>
    </row>
    <row r="864" spans="1:2">
      <c r="A864" s="5"/>
      <c r="B864" s="5"/>
    </row>
    <row r="865" spans="1:2">
      <c r="A865" s="5"/>
      <c r="B865" s="5"/>
    </row>
    <row r="866" spans="1:2">
      <c r="A866" s="5"/>
      <c r="B866" s="5"/>
    </row>
    <row r="867" spans="1:2">
      <c r="A867" s="5"/>
      <c r="B867" s="5"/>
    </row>
    <row r="868" spans="1:2">
      <c r="A868" s="5"/>
      <c r="B868" s="5"/>
    </row>
    <row r="869" spans="1:2">
      <c r="A869" s="5"/>
      <c r="B869" s="5"/>
    </row>
    <row r="870" spans="1:2">
      <c r="A870" s="5"/>
      <c r="B870" s="5"/>
    </row>
    <row r="871" spans="1:2">
      <c r="A871" s="5"/>
      <c r="B871" s="5"/>
    </row>
    <row r="872" spans="1:2">
      <c r="A872" s="5"/>
      <c r="B872" s="5"/>
    </row>
    <row r="873" spans="1:2">
      <c r="A873" s="5"/>
      <c r="B873" s="5"/>
    </row>
    <row r="874" spans="1:2">
      <c r="A874" s="5"/>
      <c r="B874" s="5"/>
    </row>
    <row r="875" spans="1:2">
      <c r="A875" s="5"/>
      <c r="B875" s="5"/>
    </row>
    <row r="876" spans="1:2">
      <c r="A876" s="5"/>
      <c r="B876" s="5"/>
    </row>
    <row r="877" spans="1:2">
      <c r="A877" s="5"/>
      <c r="B877" s="5"/>
    </row>
    <row r="878" spans="1:2">
      <c r="A878" s="5"/>
      <c r="B878" s="5"/>
    </row>
    <row r="879" spans="1:2">
      <c r="A879" s="5"/>
      <c r="B879" s="5"/>
    </row>
    <row r="880" spans="1:2">
      <c r="A880" s="5"/>
      <c r="B880" s="5"/>
    </row>
    <row r="881" spans="1:2">
      <c r="A881" s="5"/>
      <c r="B881" s="5"/>
    </row>
    <row r="882" spans="1:2">
      <c r="A882" s="5"/>
      <c r="B882" s="5"/>
    </row>
    <row r="883" spans="1:2">
      <c r="A883" s="5"/>
      <c r="B883" s="5"/>
    </row>
    <row r="884" spans="1:2">
      <c r="A884" s="5"/>
      <c r="B884" s="5"/>
    </row>
    <row r="885" spans="1:2">
      <c r="A885" s="5"/>
      <c r="B885" s="5"/>
    </row>
    <row r="886" spans="1:2">
      <c r="A886" s="5"/>
      <c r="B886" s="5"/>
    </row>
    <row r="887" spans="1:2">
      <c r="A887" s="5"/>
      <c r="B887" s="5"/>
    </row>
    <row r="888" spans="1:2">
      <c r="A888" s="5"/>
      <c r="B888" s="5"/>
    </row>
    <row r="889" spans="1:2">
      <c r="A889" s="5"/>
      <c r="B889" s="5"/>
    </row>
    <row r="890" spans="1:2">
      <c r="A890" s="5"/>
      <c r="B890" s="5"/>
    </row>
    <row r="891" spans="1:2">
      <c r="A891" s="5"/>
      <c r="B891" s="5"/>
    </row>
    <row r="892" spans="1:2">
      <c r="A892" s="5"/>
      <c r="B892" s="5"/>
    </row>
    <row r="893" spans="1:2">
      <c r="A893" s="5"/>
      <c r="B893" s="5"/>
    </row>
    <row r="894" spans="1:2">
      <c r="A894" s="5"/>
      <c r="B894" s="5"/>
    </row>
    <row r="895" spans="1:2">
      <c r="A895" s="5"/>
      <c r="B895" s="5"/>
    </row>
    <row r="896" spans="1:2">
      <c r="A896" s="5"/>
      <c r="B896" s="5"/>
    </row>
    <row r="897" spans="1:2">
      <c r="A897" s="5"/>
      <c r="B897" s="5"/>
    </row>
    <row r="898" spans="1:2">
      <c r="A898" s="5"/>
      <c r="B898" s="5"/>
    </row>
    <row r="899" spans="1:2">
      <c r="A899" s="5"/>
      <c r="B899" s="5"/>
    </row>
    <row r="900" spans="1:2">
      <c r="A900" s="5"/>
      <c r="B900" s="5"/>
    </row>
    <row r="901" spans="1:2">
      <c r="A901" s="5"/>
      <c r="B901" s="5"/>
    </row>
    <row r="902" spans="1:2">
      <c r="A902" s="5"/>
      <c r="B902" s="5"/>
    </row>
    <row r="903" spans="1:2">
      <c r="A903" s="5"/>
      <c r="B903" s="5"/>
    </row>
    <row r="904" spans="1:2">
      <c r="A904" s="5"/>
      <c r="B904" s="5"/>
    </row>
    <row r="905" spans="1:2">
      <c r="A905" s="5"/>
      <c r="B905" s="5"/>
    </row>
    <row r="906" spans="1:2">
      <c r="A906" s="5"/>
      <c r="B906" s="5"/>
    </row>
    <row r="907" spans="1:2">
      <c r="A907" s="5"/>
      <c r="B907" s="5"/>
    </row>
    <row r="908" spans="1:2">
      <c r="A908" s="5"/>
      <c r="B908" s="5"/>
    </row>
    <row r="909" spans="1:2">
      <c r="A909" s="5"/>
      <c r="B909" s="5"/>
    </row>
    <row r="910" spans="1:2">
      <c r="A910" s="5"/>
      <c r="B910" s="5"/>
    </row>
    <row r="911" spans="1:2">
      <c r="A911" s="5"/>
      <c r="B911" s="5"/>
    </row>
    <row r="912" spans="1:2">
      <c r="A912" s="5"/>
      <c r="B912" s="5"/>
    </row>
    <row r="913" spans="1:2">
      <c r="A913" s="5"/>
      <c r="B913" s="5"/>
    </row>
    <row r="914" spans="1:2">
      <c r="A914" s="5"/>
      <c r="B914" s="5"/>
    </row>
    <row r="915" spans="1:2">
      <c r="A915" s="5"/>
      <c r="B915" s="5"/>
    </row>
    <row r="916" spans="1:2">
      <c r="A916" s="5"/>
      <c r="B916" s="5"/>
    </row>
    <row r="917" spans="1:2">
      <c r="A917" s="5"/>
      <c r="B917" s="5"/>
    </row>
    <row r="918" spans="1:2">
      <c r="A918" s="5"/>
      <c r="B918" s="5"/>
    </row>
    <row r="919" spans="1:2">
      <c r="A919" s="5"/>
      <c r="B919" s="5"/>
    </row>
    <row r="920" spans="1:2">
      <c r="A920" s="5"/>
      <c r="B920" s="5"/>
    </row>
    <row r="921" spans="1:2">
      <c r="A921" s="5"/>
      <c r="B921" s="5"/>
    </row>
    <row r="922" spans="1:2">
      <c r="A922" s="5"/>
      <c r="B922" s="5"/>
    </row>
    <row r="923" spans="1:2">
      <c r="A923" s="5"/>
      <c r="B923" s="5"/>
    </row>
    <row r="924" spans="1:2">
      <c r="A924" s="5"/>
      <c r="B924" s="5"/>
    </row>
    <row r="925" spans="1:2">
      <c r="A925" s="5"/>
      <c r="B925" s="5"/>
    </row>
    <row r="926" spans="1:2">
      <c r="A926" s="5"/>
      <c r="B926" s="5"/>
    </row>
    <row r="927" spans="1:2">
      <c r="A927" s="5"/>
      <c r="B927" s="5"/>
    </row>
    <row r="928" spans="1:2">
      <c r="A928" s="5"/>
      <c r="B928" s="5"/>
    </row>
    <row r="929" spans="1:2">
      <c r="A929" s="5"/>
      <c r="B929" s="5"/>
    </row>
    <row r="930" spans="1:2">
      <c r="A930" s="5"/>
      <c r="B930" s="5"/>
    </row>
    <row r="931" spans="1:2">
      <c r="A931" s="5"/>
      <c r="B931" s="5"/>
    </row>
    <row r="932" spans="1:2">
      <c r="A932" s="5"/>
      <c r="B932" s="5"/>
    </row>
    <row r="933" spans="1:2">
      <c r="A933" s="5"/>
      <c r="B933" s="5"/>
    </row>
    <row r="934" spans="1:2">
      <c r="A934" s="5"/>
      <c r="B934" s="5"/>
    </row>
    <row r="935" spans="1:2">
      <c r="A935" s="5"/>
      <c r="B935" s="5"/>
    </row>
    <row r="936" spans="1:2">
      <c r="A936" s="5"/>
      <c r="B936" s="5"/>
    </row>
    <row r="937" spans="1:2">
      <c r="A937" s="5"/>
      <c r="B937" s="5"/>
    </row>
    <row r="938" spans="1:2">
      <c r="A938" s="5"/>
      <c r="B938" s="5"/>
    </row>
    <row r="939" spans="1:2">
      <c r="A939" s="5"/>
      <c r="B939" s="5"/>
    </row>
    <row r="940" spans="1:2">
      <c r="A940" s="5"/>
      <c r="B940" s="5"/>
    </row>
    <row r="941" spans="1:2">
      <c r="A941" s="5"/>
      <c r="B941" s="5"/>
    </row>
    <row r="942" spans="1:2">
      <c r="A942" s="5"/>
      <c r="B942" s="5"/>
    </row>
    <row r="943" spans="1:2">
      <c r="A943" s="5"/>
      <c r="B943" s="5"/>
    </row>
    <row r="944" spans="1:2">
      <c r="A944" s="5"/>
      <c r="B944" s="5"/>
    </row>
    <row r="945" spans="1:2">
      <c r="A945" s="5"/>
      <c r="B945" s="5"/>
    </row>
    <row r="946" spans="1:2">
      <c r="A946" s="5"/>
      <c r="B946" s="5"/>
    </row>
    <row r="947" spans="1:2">
      <c r="A947" s="5"/>
      <c r="B947" s="5"/>
    </row>
    <row r="948" spans="1:2">
      <c r="A948" s="5"/>
      <c r="B948" s="5"/>
    </row>
    <row r="949" spans="1:2">
      <c r="A949" s="5"/>
      <c r="B949" s="5"/>
    </row>
    <row r="950" spans="1:2">
      <c r="A950" s="5"/>
      <c r="B950" s="5"/>
    </row>
    <row r="951" spans="1:2">
      <c r="A951" s="5"/>
      <c r="B951" s="5"/>
    </row>
    <row r="952" spans="1:2">
      <c r="A952" s="5"/>
      <c r="B952" s="5"/>
    </row>
    <row r="953" spans="1:2">
      <c r="A953" s="5"/>
      <c r="B953" s="5"/>
    </row>
    <row r="954" spans="1:2">
      <c r="A954" s="5"/>
      <c r="B954" s="5"/>
    </row>
    <row r="955" spans="1:2">
      <c r="A955" s="5"/>
      <c r="B955" s="5"/>
    </row>
    <row r="956" spans="1:2">
      <c r="A956" s="5"/>
      <c r="B956" s="5"/>
    </row>
    <row r="957" spans="1:2">
      <c r="A957" s="5"/>
      <c r="B957" s="5"/>
    </row>
    <row r="958" spans="1:2">
      <c r="A958" s="5"/>
      <c r="B958" s="5"/>
    </row>
    <row r="959" spans="1:2">
      <c r="A959" s="5"/>
      <c r="B959" s="5"/>
    </row>
    <row r="960" spans="1:2">
      <c r="A960" s="5"/>
      <c r="B960" s="5"/>
    </row>
    <row r="961" spans="1:2">
      <c r="A961" s="5"/>
      <c r="B961" s="5"/>
    </row>
    <row r="962" spans="1:2">
      <c r="A962" s="5"/>
      <c r="B962" s="5"/>
    </row>
    <row r="963" spans="1:2">
      <c r="A963" s="5"/>
      <c r="B963" s="5"/>
    </row>
    <row r="964" spans="1:2">
      <c r="A964" s="5"/>
      <c r="B964" s="5"/>
    </row>
    <row r="965" spans="1:2">
      <c r="A965" s="5"/>
      <c r="B965" s="5"/>
    </row>
    <row r="966" spans="1:2">
      <c r="A966" s="5"/>
      <c r="B966" s="5"/>
    </row>
    <row r="967" spans="1:2">
      <c r="A967" s="5"/>
      <c r="B967" s="5"/>
    </row>
    <row r="968" spans="1:2">
      <c r="A968" s="5"/>
      <c r="B968" s="5"/>
    </row>
    <row r="969" spans="1:2">
      <c r="A969" s="5"/>
      <c r="B969" s="5"/>
    </row>
    <row r="970" spans="1:2">
      <c r="A970" s="5"/>
      <c r="B970" s="5"/>
    </row>
    <row r="971" spans="1:2">
      <c r="A971" s="5"/>
      <c r="B971" s="5"/>
    </row>
    <row r="972" spans="1:2">
      <c r="A972" s="5"/>
      <c r="B972" s="5"/>
    </row>
    <row r="973" spans="1:2">
      <c r="A973" s="5"/>
      <c r="B973" s="5"/>
    </row>
    <row r="974" spans="1:2">
      <c r="A974" s="5"/>
      <c r="B974" s="5"/>
    </row>
    <row r="975" spans="1:2">
      <c r="A975" s="5"/>
      <c r="B975" s="5"/>
    </row>
    <row r="976" spans="1:2">
      <c r="A976" s="5"/>
      <c r="B976" s="5"/>
    </row>
    <row r="977" spans="1:2">
      <c r="A977" s="5"/>
      <c r="B977" s="5"/>
    </row>
    <row r="978" spans="1:2">
      <c r="A978" s="5"/>
      <c r="B978" s="5"/>
    </row>
    <row r="979" spans="1:2">
      <c r="A979" s="5"/>
      <c r="B979" s="5"/>
    </row>
    <row r="980" spans="1:2">
      <c r="A980" s="5"/>
      <c r="B980" s="5"/>
    </row>
    <row r="981" spans="1:2">
      <c r="A981" s="5"/>
      <c r="B981" s="5"/>
    </row>
    <row r="982" spans="1:2">
      <c r="A982" s="5"/>
      <c r="B982" s="5"/>
    </row>
    <row r="983" spans="1:2">
      <c r="A983" s="5"/>
      <c r="B983" s="5"/>
    </row>
    <row r="984" spans="1:2">
      <c r="A984" s="5"/>
      <c r="B984" s="5"/>
    </row>
    <row r="985" spans="1:2">
      <c r="A985" s="5"/>
      <c r="B985" s="5"/>
    </row>
    <row r="986" spans="1:2">
      <c r="A986" s="5"/>
      <c r="B986" s="5"/>
    </row>
    <row r="987" spans="1:2">
      <c r="A987" s="5"/>
      <c r="B987" s="5"/>
    </row>
    <row r="988" spans="1:2">
      <c r="A988" s="5"/>
      <c r="B988" s="5"/>
    </row>
    <row r="989" spans="1:2">
      <c r="A989" s="5"/>
      <c r="B989" s="5"/>
    </row>
    <row r="990" spans="1:2">
      <c r="A990" s="5"/>
      <c r="B990" s="5"/>
    </row>
    <row r="991" spans="1:2">
      <c r="A991" s="5"/>
      <c r="B991" s="5"/>
    </row>
    <row r="992" spans="1:2">
      <c r="A992" s="5"/>
      <c r="B992" s="5"/>
    </row>
    <row r="993" spans="1:2">
      <c r="A993" s="5"/>
      <c r="B993" s="5"/>
    </row>
    <row r="994" spans="1:2">
      <c r="A994" s="5"/>
      <c r="B994" s="5"/>
    </row>
    <row r="995" spans="1:2">
      <c r="A995" s="5"/>
      <c r="B995" s="5"/>
    </row>
    <row r="996" spans="1:2">
      <c r="A996" s="5"/>
      <c r="B996" s="5"/>
    </row>
    <row r="997" spans="1:2">
      <c r="A997" s="5"/>
      <c r="B997" s="5"/>
    </row>
    <row r="998" spans="1:2">
      <c r="A998" s="5"/>
      <c r="B998" s="5"/>
    </row>
    <row r="999" spans="1:2">
      <c r="A999" s="5"/>
      <c r="B999" s="5"/>
    </row>
    <row r="1000" spans="1:2">
      <c r="A1000" s="5"/>
      <c r="B1000" s="5"/>
    </row>
    <row r="1001" spans="1:2">
      <c r="A1001" s="5"/>
      <c r="B1001" s="5"/>
    </row>
  </sheetData>
  <autoFilter ref="A1:H123" xr:uid="{00000000-0001-0000-0200-000000000000}">
    <sortState xmlns:xlrd2="http://schemas.microsoft.com/office/spreadsheetml/2017/richdata2" ref="A2:H123">
      <sortCondition ref="B1:B123"/>
    </sortState>
  </autoFilter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Q456"/>
  <sheetViews>
    <sheetView topLeftCell="A444" zoomScale="130" zoomScaleNormal="130" workbookViewId="0">
      <selection activeCell="B457" sqref="B457"/>
    </sheetView>
  </sheetViews>
  <sheetFormatPr defaultColWidth="9" defaultRowHeight="14.4"/>
  <cols>
    <col min="2" max="2" width="50.44140625" customWidth="1"/>
    <col min="3" max="3" width="12.21875" style="123" bestFit="1" customWidth="1"/>
    <col min="4" max="4" width="28.6640625" customWidth="1"/>
  </cols>
  <sheetData>
    <row r="1" spans="1:4" ht="15" thickBot="1">
      <c r="A1" s="128" t="s">
        <v>362</v>
      </c>
      <c r="B1" s="129"/>
      <c r="C1" s="130"/>
    </row>
    <row r="2" spans="1:4">
      <c r="A2" s="131"/>
      <c r="B2" s="132"/>
      <c r="C2" s="130"/>
    </row>
    <row r="3" spans="1:4" ht="15" thickBot="1">
      <c r="A3" s="131"/>
      <c r="B3" s="131"/>
      <c r="C3" s="133"/>
    </row>
    <row r="4" spans="1:4" ht="15" thickBot="1">
      <c r="A4" s="128" t="s">
        <v>362</v>
      </c>
      <c r="B4" s="129"/>
      <c r="C4" s="130"/>
    </row>
    <row r="5" spans="1:4">
      <c r="A5" s="131"/>
      <c r="B5" s="132"/>
      <c r="C5" s="130"/>
    </row>
    <row r="6" spans="1:4" ht="15" thickBot="1">
      <c r="A6" s="131"/>
      <c r="B6" s="131"/>
      <c r="C6" s="133"/>
      <c r="D6" t="s">
        <v>708</v>
      </c>
    </row>
    <row r="7" spans="1:4" ht="16.2" thickBot="1">
      <c r="A7" s="31">
        <v>1</v>
      </c>
      <c r="B7" s="32" t="s">
        <v>18</v>
      </c>
      <c r="C7" s="100">
        <v>550</v>
      </c>
    </row>
    <row r="8" spans="1:4" ht="16.2" thickBot="1">
      <c r="A8" s="31">
        <v>2</v>
      </c>
      <c r="B8" s="24" t="s">
        <v>533</v>
      </c>
      <c r="C8" s="101">
        <v>600</v>
      </c>
      <c r="D8" t="s">
        <v>709</v>
      </c>
    </row>
    <row r="9" spans="1:4" ht="16.2" thickBot="1">
      <c r="A9" s="31">
        <v>3</v>
      </c>
      <c r="B9" s="9" t="s">
        <v>19</v>
      </c>
      <c r="C9" s="102">
        <v>1500</v>
      </c>
      <c r="D9" t="s">
        <v>710</v>
      </c>
    </row>
    <row r="10" spans="1:4" ht="16.2" thickBot="1">
      <c r="A10" s="31">
        <v>4</v>
      </c>
      <c r="B10" s="9" t="s">
        <v>20</v>
      </c>
      <c r="C10" s="102">
        <v>400</v>
      </c>
    </row>
    <row r="11" spans="1:4" ht="16.2" thickBot="1">
      <c r="A11" s="31">
        <v>5</v>
      </c>
      <c r="B11" s="9" t="s">
        <v>403</v>
      </c>
      <c r="C11" s="102">
        <v>800</v>
      </c>
    </row>
    <row r="12" spans="1:4" ht="16.2" thickBot="1">
      <c r="A12" s="31">
        <v>6</v>
      </c>
      <c r="B12" s="9" t="s">
        <v>21</v>
      </c>
      <c r="C12" s="102">
        <v>100</v>
      </c>
    </row>
    <row r="13" spans="1:4" ht="16.2" thickBot="1">
      <c r="A13" s="31">
        <v>7</v>
      </c>
      <c r="B13" s="24" t="s">
        <v>532</v>
      </c>
      <c r="C13" s="101">
        <v>1450</v>
      </c>
    </row>
    <row r="14" spans="1:4" ht="16.2" thickBot="1">
      <c r="A14" s="31">
        <v>8</v>
      </c>
      <c r="B14" s="9" t="s">
        <v>22</v>
      </c>
      <c r="C14" s="102">
        <v>400</v>
      </c>
    </row>
    <row r="15" spans="1:4" ht="16.2" thickBot="1">
      <c r="A15" s="31">
        <v>9</v>
      </c>
      <c r="B15" s="24" t="s">
        <v>519</v>
      </c>
      <c r="C15" s="101">
        <v>950</v>
      </c>
    </row>
    <row r="16" spans="1:4" ht="16.2" thickBot="1">
      <c r="A16" s="31">
        <v>11</v>
      </c>
      <c r="B16" s="24" t="s">
        <v>23</v>
      </c>
      <c r="C16" s="101">
        <v>200</v>
      </c>
    </row>
    <row r="17" spans="1:3" ht="16.2" thickBot="1">
      <c r="A17" s="31">
        <v>12</v>
      </c>
      <c r="B17" s="9" t="s">
        <v>24</v>
      </c>
      <c r="C17" s="102">
        <v>450</v>
      </c>
    </row>
    <row r="18" spans="1:3" ht="16.2" thickBot="1">
      <c r="A18" s="31">
        <v>13</v>
      </c>
      <c r="B18" s="24" t="s">
        <v>543</v>
      </c>
      <c r="C18" s="101">
        <v>300</v>
      </c>
    </row>
    <row r="19" spans="1:3" ht="16.2" thickBot="1">
      <c r="A19" s="31">
        <v>14</v>
      </c>
      <c r="B19" s="9" t="s">
        <v>25</v>
      </c>
      <c r="C19" s="102">
        <v>275</v>
      </c>
    </row>
    <row r="20" spans="1:3" ht="16.2" thickBot="1">
      <c r="A20" s="31">
        <v>15</v>
      </c>
      <c r="B20" s="9" t="s">
        <v>690</v>
      </c>
      <c r="C20" s="102">
        <v>600</v>
      </c>
    </row>
    <row r="21" spans="1:3" ht="16.2" thickBot="1">
      <c r="A21" s="31">
        <v>16</v>
      </c>
      <c r="B21" s="9" t="s">
        <v>26</v>
      </c>
      <c r="C21" s="102">
        <v>400</v>
      </c>
    </row>
    <row r="22" spans="1:3" ht="16.2" thickBot="1">
      <c r="A22" s="31">
        <v>17</v>
      </c>
      <c r="B22" s="9" t="s">
        <v>405</v>
      </c>
      <c r="C22" s="102">
        <v>800</v>
      </c>
    </row>
    <row r="23" spans="1:3" ht="16.2" thickBot="1">
      <c r="A23" s="31">
        <v>18</v>
      </c>
      <c r="B23" s="9" t="s">
        <v>27</v>
      </c>
      <c r="C23" s="103">
        <v>250</v>
      </c>
    </row>
    <row r="24" spans="1:3" ht="15" thickBot="1">
      <c r="A24" s="31">
        <v>19</v>
      </c>
      <c r="B24" s="8" t="s">
        <v>426</v>
      </c>
      <c r="C24" s="104">
        <v>350</v>
      </c>
    </row>
    <row r="25" spans="1:3" ht="16.2" thickBot="1">
      <c r="A25" s="31">
        <v>20</v>
      </c>
      <c r="B25" s="26" t="s">
        <v>28</v>
      </c>
      <c r="C25" s="103">
        <v>150</v>
      </c>
    </row>
    <row r="26" spans="1:3" ht="16.2" thickBot="1">
      <c r="A26" s="31">
        <v>21</v>
      </c>
      <c r="B26" s="10" t="s">
        <v>29</v>
      </c>
      <c r="C26" s="103">
        <v>250</v>
      </c>
    </row>
    <row r="27" spans="1:3" ht="16.2" thickBot="1">
      <c r="A27" s="31">
        <v>22</v>
      </c>
      <c r="B27" s="24" t="s">
        <v>486</v>
      </c>
      <c r="C27" s="105">
        <v>540</v>
      </c>
    </row>
    <row r="28" spans="1:3" ht="16.2" thickBot="1">
      <c r="A28" s="31">
        <v>23</v>
      </c>
      <c r="B28" s="24" t="s">
        <v>485</v>
      </c>
      <c r="C28" s="105">
        <v>270</v>
      </c>
    </row>
    <row r="29" spans="1:3" ht="16.2" thickBot="1">
      <c r="A29" s="31">
        <v>25</v>
      </c>
      <c r="B29" s="56" t="s">
        <v>12</v>
      </c>
      <c r="C29" s="106">
        <v>1200</v>
      </c>
    </row>
    <row r="30" spans="1:3" ht="16.2" thickBot="1">
      <c r="A30" s="31">
        <v>26</v>
      </c>
      <c r="B30" s="9" t="s">
        <v>30</v>
      </c>
      <c r="C30" s="102">
        <v>999</v>
      </c>
    </row>
    <row r="31" spans="1:3" ht="16.2" thickBot="1">
      <c r="A31" s="31">
        <v>27</v>
      </c>
      <c r="B31" s="24" t="s">
        <v>416</v>
      </c>
      <c r="C31" s="107">
        <v>999</v>
      </c>
    </row>
    <row r="32" spans="1:3" ht="16.2" thickBot="1">
      <c r="A32" s="31">
        <v>28</v>
      </c>
      <c r="B32" s="9" t="s">
        <v>31</v>
      </c>
      <c r="C32" s="102">
        <v>850</v>
      </c>
    </row>
    <row r="33" spans="1:3" ht="16.2" thickBot="1">
      <c r="A33" s="31">
        <v>29</v>
      </c>
      <c r="B33" s="26" t="s">
        <v>32</v>
      </c>
      <c r="C33" s="103">
        <v>1599</v>
      </c>
    </row>
    <row r="34" spans="1:3" ht="16.2" thickBot="1">
      <c r="A34" s="31">
        <v>30</v>
      </c>
      <c r="B34" s="9" t="s">
        <v>33</v>
      </c>
      <c r="C34" s="103">
        <v>1200</v>
      </c>
    </row>
    <row r="35" spans="1:3" ht="16.2" thickBot="1">
      <c r="A35" s="31">
        <v>31</v>
      </c>
      <c r="B35" s="24" t="s">
        <v>596</v>
      </c>
      <c r="C35" s="101">
        <v>1200</v>
      </c>
    </row>
    <row r="36" spans="1:3" ht="16.2" thickBot="1">
      <c r="A36" s="31">
        <v>32</v>
      </c>
      <c r="B36" s="24" t="s">
        <v>503</v>
      </c>
      <c r="C36" s="101">
        <v>1200</v>
      </c>
    </row>
    <row r="37" spans="1:3" ht="16.2" thickBot="1">
      <c r="A37" s="31">
        <v>33</v>
      </c>
      <c r="B37" s="24" t="s">
        <v>502</v>
      </c>
      <c r="C37" s="101">
        <v>600</v>
      </c>
    </row>
    <row r="38" spans="1:3" ht="16.2" thickBot="1">
      <c r="A38" s="31">
        <v>34</v>
      </c>
      <c r="B38" s="9" t="s">
        <v>388</v>
      </c>
      <c r="C38" s="102">
        <v>300</v>
      </c>
    </row>
    <row r="39" spans="1:3" ht="16.2" thickBot="1">
      <c r="A39" s="31">
        <v>35</v>
      </c>
      <c r="B39" s="9" t="s">
        <v>34</v>
      </c>
      <c r="C39" s="102">
        <v>250</v>
      </c>
    </row>
    <row r="40" spans="1:3" ht="16.2" thickBot="1">
      <c r="A40" s="31">
        <v>36</v>
      </c>
      <c r="B40" s="9" t="s">
        <v>35</v>
      </c>
      <c r="C40" s="102">
        <v>1900</v>
      </c>
    </row>
    <row r="41" spans="1:3" ht="16.2" thickBot="1">
      <c r="A41" s="31">
        <v>37</v>
      </c>
      <c r="B41" s="29" t="s">
        <v>36</v>
      </c>
      <c r="C41" s="103">
        <v>250</v>
      </c>
    </row>
    <row r="42" spans="1:3" ht="16.2" thickBot="1">
      <c r="A42" s="31">
        <v>38</v>
      </c>
      <c r="B42" s="9" t="s">
        <v>37</v>
      </c>
      <c r="C42" s="102">
        <v>1500</v>
      </c>
    </row>
    <row r="43" spans="1:3" ht="16.2" thickBot="1">
      <c r="A43" s="31">
        <v>39</v>
      </c>
      <c r="B43" s="9" t="s">
        <v>363</v>
      </c>
      <c r="C43" s="102">
        <v>750</v>
      </c>
    </row>
    <row r="44" spans="1:3" ht="16.2" thickBot="1">
      <c r="A44" s="31">
        <v>40</v>
      </c>
      <c r="B44" s="9" t="s">
        <v>38</v>
      </c>
      <c r="C44" s="102">
        <v>100</v>
      </c>
    </row>
    <row r="45" spans="1:3" ht="16.2" thickBot="1">
      <c r="A45" s="31">
        <v>41</v>
      </c>
      <c r="B45" s="24" t="s">
        <v>464</v>
      </c>
      <c r="C45" s="101">
        <v>1000</v>
      </c>
    </row>
    <row r="46" spans="1:3" ht="16.2" thickBot="1">
      <c r="A46" s="31">
        <v>42</v>
      </c>
      <c r="B46" s="24" t="s">
        <v>488</v>
      </c>
      <c r="C46" s="101">
        <v>1000</v>
      </c>
    </row>
    <row r="47" spans="1:3" ht="16.2" thickBot="1">
      <c r="A47" s="31">
        <v>43</v>
      </c>
      <c r="B47" s="24" t="s">
        <v>498</v>
      </c>
      <c r="C47" s="101">
        <v>700</v>
      </c>
    </row>
    <row r="48" spans="1:3" ht="16.2" thickBot="1">
      <c r="A48" s="31">
        <v>44</v>
      </c>
      <c r="B48" s="9" t="s">
        <v>601</v>
      </c>
      <c r="C48" s="102">
        <v>2800</v>
      </c>
    </row>
    <row r="49" spans="1:4" ht="16.2" thickBot="1">
      <c r="A49" s="31">
        <v>45</v>
      </c>
      <c r="B49" s="9" t="s">
        <v>39</v>
      </c>
      <c r="C49" s="102">
        <v>2800</v>
      </c>
    </row>
    <row r="50" spans="1:4" ht="15" thickBot="1">
      <c r="A50" s="31">
        <v>46</v>
      </c>
      <c r="B50" s="8" t="s">
        <v>431</v>
      </c>
      <c r="C50" s="104">
        <v>350</v>
      </c>
    </row>
    <row r="51" spans="1:4" ht="16.2" thickBot="1">
      <c r="A51" s="31">
        <v>47</v>
      </c>
      <c r="B51" s="24" t="s">
        <v>495</v>
      </c>
      <c r="C51" s="101">
        <v>900</v>
      </c>
    </row>
    <row r="52" spans="1:4" ht="16.2" thickBot="1">
      <c r="A52" s="31">
        <v>48</v>
      </c>
      <c r="B52" s="9" t="s">
        <v>40</v>
      </c>
      <c r="C52" s="102">
        <v>250</v>
      </c>
    </row>
    <row r="53" spans="1:4" ht="16.2" thickBot="1">
      <c r="A53" s="31">
        <v>49</v>
      </c>
      <c r="B53" s="9" t="s">
        <v>360</v>
      </c>
      <c r="C53" s="102">
        <v>100</v>
      </c>
    </row>
    <row r="54" spans="1:4" ht="16.2" thickBot="1">
      <c r="A54" s="31">
        <v>50</v>
      </c>
      <c r="B54" s="9" t="s">
        <v>41</v>
      </c>
      <c r="C54" s="102">
        <v>1800</v>
      </c>
    </row>
    <row r="55" spans="1:4" ht="16.2" thickBot="1">
      <c r="A55" s="31">
        <v>51</v>
      </c>
      <c r="B55" s="9" t="s">
        <v>42</v>
      </c>
      <c r="C55" s="102">
        <v>4500</v>
      </c>
    </row>
    <row r="56" spans="1:4" ht="16.2" thickBot="1">
      <c r="A56" s="31">
        <v>52</v>
      </c>
      <c r="B56" s="9" t="s">
        <v>680</v>
      </c>
      <c r="C56" s="102">
        <v>60</v>
      </c>
    </row>
    <row r="57" spans="1:4" ht="16.2" thickBot="1">
      <c r="A57" s="31">
        <v>53</v>
      </c>
      <c r="B57" s="9" t="s">
        <v>364</v>
      </c>
      <c r="C57" s="102">
        <v>200</v>
      </c>
    </row>
    <row r="58" spans="1:4" ht="16.2" thickBot="1">
      <c r="A58" s="31">
        <v>54</v>
      </c>
      <c r="B58" s="10" t="s">
        <v>43</v>
      </c>
      <c r="C58" s="103">
        <v>200</v>
      </c>
    </row>
    <row r="59" spans="1:4" ht="16.2" thickBot="1">
      <c r="A59" s="31">
        <v>55</v>
      </c>
      <c r="B59" s="26" t="s">
        <v>482</v>
      </c>
      <c r="C59" s="103">
        <v>775</v>
      </c>
    </row>
    <row r="60" spans="1:4" ht="17.25" customHeight="1" thickBot="1">
      <c r="A60" s="31">
        <v>56</v>
      </c>
      <c r="B60" s="9" t="s">
        <v>365</v>
      </c>
      <c r="C60" s="102">
        <v>3000</v>
      </c>
    </row>
    <row r="61" spans="1:4" ht="16.2" thickBot="1">
      <c r="A61" s="31">
        <v>57</v>
      </c>
      <c r="B61" s="57" t="s">
        <v>602</v>
      </c>
      <c r="C61" s="108">
        <v>3700</v>
      </c>
      <c r="D61" s="58" t="s">
        <v>603</v>
      </c>
    </row>
    <row r="62" spans="1:4" ht="16.2" thickBot="1">
      <c r="A62" s="31">
        <v>58</v>
      </c>
      <c r="B62" s="9" t="s">
        <v>44</v>
      </c>
      <c r="C62" s="102">
        <v>60</v>
      </c>
    </row>
    <row r="63" spans="1:4" ht="16.2" thickBot="1">
      <c r="A63" s="31">
        <v>59</v>
      </c>
      <c r="B63" s="26" t="s">
        <v>45</v>
      </c>
      <c r="C63" s="103">
        <v>750</v>
      </c>
    </row>
    <row r="64" spans="1:4" ht="16.2" thickBot="1">
      <c r="A64" s="31">
        <v>60</v>
      </c>
      <c r="B64" s="9" t="s">
        <v>46</v>
      </c>
      <c r="C64" s="102">
        <v>150</v>
      </c>
    </row>
    <row r="65" spans="1:3" ht="16.2" thickBot="1">
      <c r="A65" s="31">
        <v>61</v>
      </c>
      <c r="B65" s="9" t="s">
        <v>47</v>
      </c>
      <c r="C65" s="102">
        <v>200</v>
      </c>
    </row>
    <row r="66" spans="1:3" ht="16.2" thickBot="1">
      <c r="A66" s="31">
        <v>62</v>
      </c>
      <c r="B66" s="24" t="s">
        <v>551</v>
      </c>
      <c r="C66" s="101">
        <v>350</v>
      </c>
    </row>
    <row r="67" spans="1:3" ht="16.2" thickBot="1">
      <c r="A67" s="31">
        <v>63</v>
      </c>
      <c r="B67" s="24" t="s">
        <v>538</v>
      </c>
      <c r="C67" s="101">
        <v>1500</v>
      </c>
    </row>
    <row r="68" spans="1:3" ht="16.2" thickBot="1">
      <c r="A68" s="31">
        <v>64</v>
      </c>
      <c r="B68" s="9" t="s">
        <v>399</v>
      </c>
      <c r="C68" s="102">
        <v>350</v>
      </c>
    </row>
    <row r="69" spans="1:3" ht="16.2" thickBot="1">
      <c r="A69" s="31">
        <v>65</v>
      </c>
      <c r="B69" s="9" t="s">
        <v>48</v>
      </c>
      <c r="C69" s="102">
        <v>200</v>
      </c>
    </row>
    <row r="70" spans="1:3" ht="16.2" thickBot="1">
      <c r="A70" s="31">
        <v>66</v>
      </c>
      <c r="B70" s="9" t="s">
        <v>411</v>
      </c>
      <c r="C70" s="102">
        <v>250</v>
      </c>
    </row>
    <row r="71" spans="1:3" ht="16.2" thickBot="1">
      <c r="A71" s="31">
        <v>67</v>
      </c>
      <c r="B71" s="9" t="s">
        <v>604</v>
      </c>
      <c r="C71" s="102">
        <v>600</v>
      </c>
    </row>
    <row r="72" spans="1:3" ht="16.2" thickBot="1">
      <c r="A72" s="31">
        <v>68</v>
      </c>
      <c r="B72" s="9" t="s">
        <v>436</v>
      </c>
      <c r="C72" s="102">
        <v>550</v>
      </c>
    </row>
    <row r="73" spans="1:3" ht="16.2" thickBot="1">
      <c r="A73" s="31">
        <v>69</v>
      </c>
      <c r="B73" s="24" t="s">
        <v>556</v>
      </c>
      <c r="C73" s="101">
        <v>1200</v>
      </c>
    </row>
    <row r="74" spans="1:3" ht="16.2" thickBot="1">
      <c r="A74" s="31">
        <v>70</v>
      </c>
      <c r="B74" s="24" t="s">
        <v>437</v>
      </c>
      <c r="C74" s="101">
        <v>750</v>
      </c>
    </row>
    <row r="75" spans="1:3" ht="16.2" thickBot="1">
      <c r="A75" s="31">
        <v>71</v>
      </c>
      <c r="B75" s="24" t="s">
        <v>438</v>
      </c>
      <c r="C75" s="101">
        <v>950</v>
      </c>
    </row>
    <row r="76" spans="1:3" ht="16.2" thickBot="1">
      <c r="A76" s="31">
        <v>72</v>
      </c>
      <c r="B76" s="9" t="s">
        <v>439</v>
      </c>
      <c r="C76" s="102">
        <v>500</v>
      </c>
    </row>
    <row r="77" spans="1:3" ht="16.2" thickBot="1">
      <c r="A77" s="31">
        <v>73</v>
      </c>
      <c r="B77" s="9" t="s">
        <v>440</v>
      </c>
      <c r="C77" s="102">
        <v>500</v>
      </c>
    </row>
    <row r="78" spans="1:3" ht="16.2" thickBot="1">
      <c r="A78" s="31">
        <v>74</v>
      </c>
      <c r="B78" s="9" t="s">
        <v>441</v>
      </c>
      <c r="C78" s="102">
        <v>550</v>
      </c>
    </row>
    <row r="79" spans="1:3" ht="16.2" thickBot="1">
      <c r="A79" s="31">
        <v>75</v>
      </c>
      <c r="B79" s="24" t="s">
        <v>442</v>
      </c>
      <c r="C79" s="101">
        <v>1000</v>
      </c>
    </row>
    <row r="80" spans="1:3" ht="16.2" thickBot="1">
      <c r="A80" s="31">
        <v>77</v>
      </c>
      <c r="B80" s="26" t="s">
        <v>443</v>
      </c>
      <c r="C80" s="103">
        <v>800</v>
      </c>
    </row>
    <row r="81" spans="1:3" ht="16.2" thickBot="1">
      <c r="A81" s="31">
        <v>78</v>
      </c>
      <c r="B81" s="24" t="s">
        <v>561</v>
      </c>
      <c r="C81" s="101">
        <v>900</v>
      </c>
    </row>
    <row r="82" spans="1:3" ht="16.2" thickBot="1">
      <c r="A82" s="31">
        <v>79</v>
      </c>
      <c r="B82" s="24" t="s">
        <v>605</v>
      </c>
      <c r="C82" s="101">
        <v>900</v>
      </c>
    </row>
    <row r="83" spans="1:3" ht="16.2" thickBot="1">
      <c r="A83" s="31">
        <v>80</v>
      </c>
      <c r="B83" s="24" t="s">
        <v>554</v>
      </c>
      <c r="C83" s="101">
        <v>650</v>
      </c>
    </row>
    <row r="84" spans="1:3" ht="16.2" thickBot="1">
      <c r="A84" s="31">
        <v>81</v>
      </c>
      <c r="B84" s="24" t="s">
        <v>444</v>
      </c>
      <c r="C84" s="101">
        <v>800</v>
      </c>
    </row>
    <row r="85" spans="1:3" ht="16.2" thickBot="1">
      <c r="A85" s="31">
        <v>82</v>
      </c>
      <c r="B85" s="26" t="s">
        <v>445</v>
      </c>
      <c r="C85" s="103">
        <v>900</v>
      </c>
    </row>
    <row r="86" spans="1:3" ht="21" customHeight="1" thickBot="1">
      <c r="A86" s="31">
        <v>83</v>
      </c>
      <c r="B86" s="9" t="s">
        <v>590</v>
      </c>
      <c r="C86" s="102">
        <v>100</v>
      </c>
    </row>
    <row r="87" spans="1:3" ht="16.2" thickBot="1">
      <c r="A87" s="31">
        <v>84</v>
      </c>
      <c r="B87" s="24" t="s">
        <v>470</v>
      </c>
      <c r="C87" s="101">
        <v>900</v>
      </c>
    </row>
    <row r="88" spans="1:3" ht="16.2" thickBot="1">
      <c r="A88" s="31">
        <v>85</v>
      </c>
      <c r="B88" s="9" t="s">
        <v>446</v>
      </c>
      <c r="C88" s="102">
        <v>300</v>
      </c>
    </row>
    <row r="89" spans="1:3" ht="16.2" thickBot="1">
      <c r="A89" s="31">
        <v>86</v>
      </c>
      <c r="B89" s="24" t="s">
        <v>492</v>
      </c>
      <c r="C89" s="101">
        <v>350</v>
      </c>
    </row>
    <row r="90" spans="1:3" ht="16.2" thickBot="1">
      <c r="A90" s="31">
        <v>87</v>
      </c>
      <c r="B90" s="24" t="s">
        <v>506</v>
      </c>
      <c r="C90" s="101">
        <v>850</v>
      </c>
    </row>
    <row r="91" spans="1:3" ht="16.2" thickBot="1">
      <c r="A91" s="31">
        <v>88</v>
      </c>
      <c r="B91" s="9" t="s">
        <v>447</v>
      </c>
      <c r="C91" s="102">
        <v>400</v>
      </c>
    </row>
    <row r="92" spans="1:3" ht="16.2" thickBot="1">
      <c r="A92" s="31">
        <v>89</v>
      </c>
      <c r="B92" s="24" t="s">
        <v>520</v>
      </c>
      <c r="C92" s="101">
        <v>800</v>
      </c>
    </row>
    <row r="93" spans="1:3" ht="16.2" thickBot="1">
      <c r="A93" s="31">
        <v>90</v>
      </c>
      <c r="B93" s="24" t="s">
        <v>395</v>
      </c>
      <c r="C93" s="101">
        <v>1200</v>
      </c>
    </row>
    <row r="94" spans="1:3" ht="16.2" thickBot="1">
      <c r="A94" s="31">
        <v>91</v>
      </c>
      <c r="B94" s="9" t="s">
        <v>448</v>
      </c>
      <c r="C94" s="102">
        <v>650</v>
      </c>
    </row>
    <row r="95" spans="1:3" ht="16.2" thickBot="1">
      <c r="A95" s="31">
        <v>92</v>
      </c>
      <c r="B95" s="9" t="s">
        <v>449</v>
      </c>
      <c r="C95" s="102">
        <v>800</v>
      </c>
    </row>
    <row r="96" spans="1:3" ht="16.2" thickBot="1">
      <c r="A96" s="31">
        <v>93</v>
      </c>
      <c r="B96" s="9" t="s">
        <v>450</v>
      </c>
      <c r="C96" s="102">
        <v>800</v>
      </c>
    </row>
    <row r="97" spans="1:3" ht="16.2" thickBot="1">
      <c r="A97" s="31">
        <v>94</v>
      </c>
      <c r="B97" s="9" t="s">
        <v>451</v>
      </c>
      <c r="C97" s="102">
        <v>800</v>
      </c>
    </row>
    <row r="98" spans="1:3" ht="16.2" thickBot="1">
      <c r="A98" s="31">
        <v>95</v>
      </c>
      <c r="B98" s="9" t="s">
        <v>452</v>
      </c>
      <c r="C98" s="102">
        <v>800</v>
      </c>
    </row>
    <row r="99" spans="1:3" ht="16.2" thickBot="1">
      <c r="A99" s="31">
        <v>96</v>
      </c>
      <c r="B99" s="24" t="s">
        <v>483</v>
      </c>
      <c r="C99" s="101">
        <v>700</v>
      </c>
    </row>
    <row r="100" spans="1:3" ht="16.2" thickBot="1">
      <c r="A100" s="31">
        <v>97</v>
      </c>
      <c r="B100" s="24" t="s">
        <v>534</v>
      </c>
      <c r="C100" s="101">
        <v>600</v>
      </c>
    </row>
    <row r="101" spans="1:3" ht="16.2" thickBot="1">
      <c r="A101" s="31">
        <v>98</v>
      </c>
      <c r="B101" s="9" t="s">
        <v>453</v>
      </c>
      <c r="C101" s="102">
        <v>850</v>
      </c>
    </row>
    <row r="102" spans="1:3" ht="16.2" thickBot="1">
      <c r="A102" s="31">
        <v>99</v>
      </c>
      <c r="B102" s="9" t="s">
        <v>454</v>
      </c>
      <c r="C102" s="102">
        <v>900</v>
      </c>
    </row>
    <row r="103" spans="1:3" ht="16.2" thickBot="1">
      <c r="A103" s="31">
        <v>100</v>
      </c>
      <c r="B103" s="9" t="s">
        <v>49</v>
      </c>
      <c r="C103" s="102">
        <v>800</v>
      </c>
    </row>
    <row r="104" spans="1:3" ht="16.2" thickBot="1">
      <c r="A104" s="31">
        <v>101</v>
      </c>
      <c r="B104" s="9" t="s">
        <v>606</v>
      </c>
      <c r="C104" s="102">
        <v>400</v>
      </c>
    </row>
    <row r="105" spans="1:3" ht="16.2" thickBot="1">
      <c r="A105" s="31">
        <v>102</v>
      </c>
      <c r="B105" s="24" t="s">
        <v>493</v>
      </c>
      <c r="C105" s="101">
        <v>250</v>
      </c>
    </row>
    <row r="106" spans="1:3" ht="16.2" thickBot="1">
      <c r="A106" s="31">
        <v>103</v>
      </c>
      <c r="B106" s="24" t="s">
        <v>494</v>
      </c>
      <c r="C106" s="101">
        <v>350</v>
      </c>
    </row>
    <row r="107" spans="1:3" ht="16.2" thickBot="1">
      <c r="A107" s="31">
        <v>104</v>
      </c>
      <c r="B107" s="9" t="s">
        <v>50</v>
      </c>
      <c r="C107" s="102">
        <v>200</v>
      </c>
    </row>
    <row r="108" spans="1:3" ht="16.2" thickBot="1">
      <c r="A108" s="31">
        <v>105</v>
      </c>
      <c r="B108" s="9" t="s">
        <v>404</v>
      </c>
      <c r="C108" s="102">
        <v>150</v>
      </c>
    </row>
    <row r="109" spans="1:3" ht="16.2" thickBot="1">
      <c r="A109" s="31">
        <v>106</v>
      </c>
      <c r="B109" s="9" t="s">
        <v>607</v>
      </c>
      <c r="C109" s="102">
        <v>350</v>
      </c>
    </row>
    <row r="110" spans="1:3" ht="16.2" thickBot="1">
      <c r="A110" s="31">
        <v>107</v>
      </c>
      <c r="B110" s="9" t="s">
        <v>51</v>
      </c>
      <c r="C110" s="102">
        <v>100</v>
      </c>
    </row>
    <row r="111" spans="1:3" ht="16.2" thickBot="1">
      <c r="A111" s="31">
        <v>108</v>
      </c>
      <c r="B111" s="9" t="s">
        <v>52</v>
      </c>
      <c r="C111" s="102">
        <v>150</v>
      </c>
    </row>
    <row r="112" spans="1:3" ht="16.2" thickBot="1">
      <c r="A112" s="31">
        <v>109</v>
      </c>
      <c r="B112" s="9" t="s">
        <v>53</v>
      </c>
      <c r="C112" s="102">
        <v>400</v>
      </c>
    </row>
    <row r="113" spans="1:3" ht="16.2" thickBot="1">
      <c r="A113" s="31">
        <v>110</v>
      </c>
      <c r="B113" s="9" t="s">
        <v>366</v>
      </c>
      <c r="C113" s="102">
        <v>150</v>
      </c>
    </row>
    <row r="114" spans="1:3" ht="16.2" thickBot="1">
      <c r="A114" s="31">
        <v>111</v>
      </c>
      <c r="B114" s="9" t="s">
        <v>54</v>
      </c>
      <c r="C114" s="102">
        <v>2500</v>
      </c>
    </row>
    <row r="115" spans="1:3" ht="16.2" thickBot="1">
      <c r="A115" s="31">
        <v>112</v>
      </c>
      <c r="B115" s="9" t="s">
        <v>55</v>
      </c>
      <c r="C115" s="102">
        <v>350</v>
      </c>
    </row>
    <row r="116" spans="1:3" ht="16.2" thickBot="1">
      <c r="A116" s="31">
        <v>113</v>
      </c>
      <c r="B116" s="9" t="s">
        <v>56</v>
      </c>
      <c r="C116" s="102">
        <v>250</v>
      </c>
    </row>
    <row r="117" spans="1:3" ht="16.2" thickBot="1">
      <c r="A117" s="31">
        <v>114</v>
      </c>
      <c r="B117" s="26" t="s">
        <v>57</v>
      </c>
      <c r="C117" s="103">
        <v>400</v>
      </c>
    </row>
    <row r="118" spans="1:3" ht="16.2" thickBot="1">
      <c r="A118" s="31">
        <v>115</v>
      </c>
      <c r="B118" s="9" t="s">
        <v>58</v>
      </c>
      <c r="C118" s="102">
        <v>400</v>
      </c>
    </row>
    <row r="119" spans="1:3" ht="16.2" thickBot="1">
      <c r="A119" s="31">
        <v>116</v>
      </c>
      <c r="B119" s="24" t="s">
        <v>505</v>
      </c>
      <c r="C119" s="101">
        <v>300</v>
      </c>
    </row>
    <row r="120" spans="1:3" ht="16.2" thickBot="1">
      <c r="A120" s="31">
        <v>117</v>
      </c>
      <c r="B120" s="24" t="s">
        <v>558</v>
      </c>
      <c r="C120" s="101">
        <v>1300</v>
      </c>
    </row>
    <row r="121" spans="1:3" ht="16.2" thickBot="1">
      <c r="A121" s="31">
        <v>118</v>
      </c>
      <c r="B121" s="24" t="s">
        <v>478</v>
      </c>
      <c r="C121" s="101">
        <v>1250</v>
      </c>
    </row>
    <row r="122" spans="1:3" ht="16.2" thickBot="1">
      <c r="A122" s="31">
        <v>119</v>
      </c>
      <c r="B122" s="9" t="s">
        <v>608</v>
      </c>
      <c r="C122" s="102">
        <v>400</v>
      </c>
    </row>
    <row r="123" spans="1:3" ht="16.2" thickBot="1">
      <c r="A123" s="31">
        <v>120</v>
      </c>
      <c r="B123" s="9" t="s">
        <v>59</v>
      </c>
      <c r="C123" s="102">
        <v>400</v>
      </c>
    </row>
    <row r="124" spans="1:3" ht="16.2" thickBot="1">
      <c r="A124" s="31">
        <v>121</v>
      </c>
      <c r="B124" s="24" t="s">
        <v>467</v>
      </c>
      <c r="C124" s="101">
        <v>350</v>
      </c>
    </row>
    <row r="125" spans="1:3" ht="16.2" thickBot="1">
      <c r="A125" s="31">
        <v>122</v>
      </c>
      <c r="B125" s="9" t="s">
        <v>609</v>
      </c>
      <c r="C125" s="102">
        <v>2800</v>
      </c>
    </row>
    <row r="126" spans="1:3" ht="16.2" thickBot="1">
      <c r="A126" s="31">
        <v>123</v>
      </c>
      <c r="B126" s="9" t="s">
        <v>610</v>
      </c>
      <c r="C126" s="103">
        <v>250</v>
      </c>
    </row>
    <row r="127" spans="1:3" ht="16.2" thickBot="1">
      <c r="A127" s="31">
        <v>124</v>
      </c>
      <c r="B127" s="24" t="s">
        <v>60</v>
      </c>
      <c r="C127" s="101">
        <v>500</v>
      </c>
    </row>
    <row r="128" spans="1:3" ht="16.2" thickBot="1">
      <c r="A128" s="31">
        <v>125</v>
      </c>
      <c r="B128" s="24" t="s">
        <v>567</v>
      </c>
      <c r="C128" s="101">
        <v>400</v>
      </c>
    </row>
    <row r="129" spans="1:3" ht="16.2" thickBot="1">
      <c r="A129" s="31">
        <v>126</v>
      </c>
      <c r="B129" s="9" t="s">
        <v>61</v>
      </c>
      <c r="C129" s="102">
        <v>200</v>
      </c>
    </row>
    <row r="130" spans="1:3" ht="16.2" thickBot="1">
      <c r="A130" s="31">
        <v>127</v>
      </c>
      <c r="B130" s="9" t="s">
        <v>666</v>
      </c>
      <c r="C130" s="102">
        <v>200</v>
      </c>
    </row>
    <row r="131" spans="1:3" ht="16.2" thickBot="1">
      <c r="A131" s="31">
        <v>129</v>
      </c>
      <c r="B131" s="10" t="s">
        <v>367</v>
      </c>
      <c r="C131" s="109">
        <v>1000</v>
      </c>
    </row>
    <row r="132" spans="1:3" ht="16.2" thickBot="1">
      <c r="A132" s="31">
        <v>130</v>
      </c>
      <c r="B132" s="9" t="s">
        <v>361</v>
      </c>
      <c r="C132" s="102">
        <v>400</v>
      </c>
    </row>
    <row r="133" spans="1:3" ht="16.2" thickBot="1">
      <c r="A133" s="31">
        <v>131</v>
      </c>
      <c r="B133" s="24" t="s">
        <v>545</v>
      </c>
      <c r="C133" s="101">
        <v>330</v>
      </c>
    </row>
    <row r="134" spans="1:3" ht="16.2" thickBot="1">
      <c r="A134" s="31">
        <v>132</v>
      </c>
      <c r="B134" s="9" t="s">
        <v>62</v>
      </c>
      <c r="C134" s="102">
        <v>1550</v>
      </c>
    </row>
    <row r="135" spans="1:3" ht="16.2" thickBot="1">
      <c r="A135" s="31">
        <v>133</v>
      </c>
      <c r="B135" s="9" t="s">
        <v>368</v>
      </c>
      <c r="C135" s="102">
        <v>350</v>
      </c>
    </row>
    <row r="136" spans="1:3" ht="16.2" thickBot="1">
      <c r="A136" s="31">
        <v>134</v>
      </c>
      <c r="B136" s="9" t="s">
        <v>369</v>
      </c>
      <c r="C136" s="102">
        <v>350</v>
      </c>
    </row>
    <row r="137" spans="1:3" ht="16.2" thickBot="1">
      <c r="A137" s="31">
        <v>135</v>
      </c>
      <c r="B137" s="9" t="s">
        <v>455</v>
      </c>
      <c r="C137" s="103">
        <v>450</v>
      </c>
    </row>
    <row r="138" spans="1:3" ht="16.2" thickBot="1">
      <c r="A138" s="31">
        <v>136</v>
      </c>
      <c r="B138" s="24" t="s">
        <v>398</v>
      </c>
      <c r="C138" s="101">
        <v>400</v>
      </c>
    </row>
    <row r="139" spans="1:3" ht="16.2" thickBot="1">
      <c r="A139" s="31">
        <v>137</v>
      </c>
      <c r="B139" s="10" t="s">
        <v>63</v>
      </c>
      <c r="C139" s="109">
        <v>150</v>
      </c>
    </row>
    <row r="140" spans="1:3" ht="16.2" thickBot="1">
      <c r="A140" s="31">
        <v>138</v>
      </c>
      <c r="B140" s="24" t="s">
        <v>548</v>
      </c>
      <c r="C140" s="101">
        <v>450</v>
      </c>
    </row>
    <row r="141" spans="1:3" ht="16.2" thickBot="1">
      <c r="A141" s="31">
        <v>139</v>
      </c>
      <c r="B141" s="9" t="s">
        <v>64</v>
      </c>
      <c r="C141" s="102">
        <v>2800</v>
      </c>
    </row>
    <row r="142" spans="1:3" ht="16.2" thickBot="1">
      <c r="A142" s="31">
        <v>140</v>
      </c>
      <c r="B142" s="9" t="s">
        <v>370</v>
      </c>
      <c r="C142" s="102">
        <v>250</v>
      </c>
    </row>
    <row r="143" spans="1:3" ht="16.2" thickBot="1">
      <c r="A143" s="31">
        <v>141</v>
      </c>
      <c r="B143" s="9" t="s">
        <v>65</v>
      </c>
      <c r="C143" s="102">
        <v>450</v>
      </c>
    </row>
    <row r="144" spans="1:3" ht="16.2" thickBot="1">
      <c r="A144" s="31">
        <v>142</v>
      </c>
      <c r="B144" s="24" t="s">
        <v>611</v>
      </c>
      <c r="C144" s="101">
        <v>600</v>
      </c>
    </row>
    <row r="145" spans="1:3" ht="16.2" thickBot="1">
      <c r="A145" s="31">
        <v>143</v>
      </c>
      <c r="B145" s="9" t="s">
        <v>66</v>
      </c>
      <c r="C145" s="102">
        <v>200</v>
      </c>
    </row>
    <row r="146" spans="1:3" ht="16.2" thickBot="1">
      <c r="A146" s="31">
        <v>144</v>
      </c>
      <c r="B146" s="9" t="s">
        <v>67</v>
      </c>
      <c r="C146" s="102">
        <v>750</v>
      </c>
    </row>
    <row r="147" spans="1:3" ht="16.2" thickBot="1">
      <c r="A147" s="31">
        <v>145</v>
      </c>
      <c r="B147" s="9" t="s">
        <v>68</v>
      </c>
      <c r="C147" s="102">
        <v>750</v>
      </c>
    </row>
    <row r="148" spans="1:3" ht="16.2" thickBot="1">
      <c r="A148" s="31">
        <v>146</v>
      </c>
      <c r="B148" s="24" t="s">
        <v>550</v>
      </c>
      <c r="C148" s="101">
        <v>350</v>
      </c>
    </row>
    <row r="149" spans="1:3" ht="16.2" thickBot="1">
      <c r="A149" s="31">
        <v>147</v>
      </c>
      <c r="B149" s="24" t="s">
        <v>539</v>
      </c>
      <c r="C149" s="101">
        <v>1300</v>
      </c>
    </row>
    <row r="150" spans="1:3" ht="16.2" thickBot="1">
      <c r="A150" s="31">
        <v>148</v>
      </c>
      <c r="B150" s="9" t="s">
        <v>69</v>
      </c>
      <c r="C150" s="102">
        <v>150</v>
      </c>
    </row>
    <row r="151" spans="1:3" ht="16.2" thickBot="1">
      <c r="A151" s="31">
        <v>149</v>
      </c>
      <c r="B151" s="24" t="s">
        <v>521</v>
      </c>
      <c r="C151" s="101">
        <v>999</v>
      </c>
    </row>
    <row r="152" spans="1:3" ht="16.2" thickBot="1">
      <c r="A152" s="31">
        <v>150</v>
      </c>
      <c r="B152" s="30" t="s">
        <v>70</v>
      </c>
      <c r="C152" s="105">
        <v>300</v>
      </c>
    </row>
    <row r="153" spans="1:3" ht="16.2" thickBot="1">
      <c r="A153" s="31">
        <v>151</v>
      </c>
      <c r="B153" s="9" t="s">
        <v>371</v>
      </c>
      <c r="C153" s="102">
        <v>2000</v>
      </c>
    </row>
    <row r="154" spans="1:3" ht="16.2" thickBot="1">
      <c r="A154" s="31">
        <v>152</v>
      </c>
      <c r="B154" s="9" t="s">
        <v>372</v>
      </c>
      <c r="C154" s="102">
        <v>1000</v>
      </c>
    </row>
    <row r="155" spans="1:3" ht="16.2" thickBot="1">
      <c r="A155" s="31">
        <v>153</v>
      </c>
      <c r="B155" s="9" t="s">
        <v>549</v>
      </c>
      <c r="C155" s="102">
        <v>250</v>
      </c>
    </row>
    <row r="156" spans="1:3" ht="16.2" thickBot="1">
      <c r="A156" s="31">
        <v>154</v>
      </c>
      <c r="B156" s="9" t="s">
        <v>612</v>
      </c>
      <c r="C156" s="102">
        <v>350</v>
      </c>
    </row>
    <row r="157" spans="1:3" ht="16.2" thickBot="1">
      <c r="A157" s="31">
        <v>155</v>
      </c>
      <c r="B157" s="24" t="s">
        <v>516</v>
      </c>
      <c r="C157" s="101">
        <v>900</v>
      </c>
    </row>
    <row r="158" spans="1:3" ht="16.2" thickBot="1">
      <c r="A158" s="31">
        <v>156</v>
      </c>
      <c r="B158" s="24" t="s">
        <v>510</v>
      </c>
      <c r="C158" s="101">
        <v>1250</v>
      </c>
    </row>
    <row r="159" spans="1:3" ht="16.2" thickBot="1">
      <c r="A159" s="31">
        <v>157</v>
      </c>
      <c r="B159" s="24" t="s">
        <v>501</v>
      </c>
      <c r="C159" s="101">
        <v>900</v>
      </c>
    </row>
    <row r="160" spans="1:3" ht="16.2" thickBot="1">
      <c r="A160" s="31">
        <v>158</v>
      </c>
      <c r="B160" s="9" t="s">
        <v>373</v>
      </c>
      <c r="C160" s="102">
        <v>850</v>
      </c>
    </row>
    <row r="161" spans="1:3" ht="16.2" thickBot="1">
      <c r="A161" s="31">
        <v>159</v>
      </c>
      <c r="B161" s="9" t="s">
        <v>71</v>
      </c>
      <c r="C161" s="102">
        <v>850</v>
      </c>
    </row>
    <row r="162" spans="1:3" ht="16.2" thickBot="1">
      <c r="A162" s="31">
        <v>160</v>
      </c>
      <c r="B162" s="26" t="s">
        <v>72</v>
      </c>
      <c r="C162" s="103">
        <v>1200</v>
      </c>
    </row>
    <row r="163" spans="1:3" ht="16.2" thickBot="1">
      <c r="A163" s="31">
        <v>161</v>
      </c>
      <c r="B163" s="24" t="s">
        <v>547</v>
      </c>
      <c r="C163" s="101">
        <v>470</v>
      </c>
    </row>
    <row r="164" spans="1:3" ht="16.2" thickBot="1">
      <c r="A164" s="31">
        <v>162</v>
      </c>
      <c r="B164" s="9" t="s">
        <v>480</v>
      </c>
      <c r="C164" s="102">
        <v>800</v>
      </c>
    </row>
    <row r="165" spans="1:3" ht="16.2" thickBot="1">
      <c r="A165" s="31">
        <v>163</v>
      </c>
      <c r="B165" s="24" t="s">
        <v>471</v>
      </c>
      <c r="C165" s="101">
        <v>200</v>
      </c>
    </row>
    <row r="166" spans="1:3" ht="16.2" thickBot="1">
      <c r="A166" s="31">
        <v>164</v>
      </c>
      <c r="B166" s="9" t="s">
        <v>413</v>
      </c>
      <c r="C166" s="104">
        <v>400</v>
      </c>
    </row>
    <row r="167" spans="1:3" ht="16.2" thickBot="1">
      <c r="A167" s="31">
        <v>165</v>
      </c>
      <c r="B167" s="9" t="s">
        <v>613</v>
      </c>
      <c r="C167" s="102">
        <v>390</v>
      </c>
    </row>
    <row r="168" spans="1:3" ht="16.2" thickBot="1">
      <c r="A168" s="31">
        <v>166</v>
      </c>
      <c r="B168" s="9" t="s">
        <v>374</v>
      </c>
      <c r="C168" s="102">
        <v>999</v>
      </c>
    </row>
    <row r="169" spans="1:3" ht="16.2" thickBot="1">
      <c r="A169" s="31"/>
      <c r="B169" s="9" t="s">
        <v>102</v>
      </c>
      <c r="C169" s="102">
        <v>100</v>
      </c>
    </row>
    <row r="170" spans="1:3" ht="19.5" customHeight="1" thickBot="1">
      <c r="A170" s="31">
        <v>168</v>
      </c>
      <c r="B170" s="9" t="s">
        <v>73</v>
      </c>
      <c r="C170" s="102">
        <v>1200</v>
      </c>
    </row>
    <row r="171" spans="1:3" ht="16.2" thickBot="1">
      <c r="A171" s="31">
        <v>169</v>
      </c>
      <c r="B171" s="9" t="s">
        <v>74</v>
      </c>
      <c r="C171" s="102">
        <v>1800</v>
      </c>
    </row>
    <row r="172" spans="1:3" ht="16.2" thickBot="1">
      <c r="A172" s="31">
        <v>170</v>
      </c>
      <c r="B172" s="9" t="s">
        <v>428</v>
      </c>
      <c r="C172" s="102">
        <v>370</v>
      </c>
    </row>
    <row r="173" spans="1:3" ht="16.2" thickBot="1">
      <c r="A173" s="31">
        <v>171</v>
      </c>
      <c r="B173" s="26" t="s">
        <v>75</v>
      </c>
      <c r="C173" s="103">
        <v>400</v>
      </c>
    </row>
    <row r="174" spans="1:3" ht="16.2" thickBot="1">
      <c r="A174" s="31">
        <v>172</v>
      </c>
      <c r="B174" s="10" t="s">
        <v>76</v>
      </c>
      <c r="C174" s="103">
        <v>250</v>
      </c>
    </row>
    <row r="175" spans="1:3" ht="16.2" thickBot="1">
      <c r="A175" s="31">
        <v>173</v>
      </c>
      <c r="B175" s="9" t="s">
        <v>456</v>
      </c>
      <c r="C175" s="102">
        <v>1500</v>
      </c>
    </row>
    <row r="176" spans="1:3" ht="16.2" thickBot="1">
      <c r="A176" s="31">
        <v>174</v>
      </c>
      <c r="B176" s="9" t="s">
        <v>375</v>
      </c>
      <c r="C176" s="102">
        <v>2000</v>
      </c>
    </row>
    <row r="177" spans="1:8" ht="16.2" thickBot="1">
      <c r="A177" s="31">
        <v>175</v>
      </c>
      <c r="B177" s="24" t="s">
        <v>77</v>
      </c>
      <c r="C177" s="101">
        <v>130</v>
      </c>
    </row>
    <row r="178" spans="1:8" ht="16.2" thickBot="1">
      <c r="A178" s="31">
        <v>176</v>
      </c>
      <c r="B178" s="9" t="s">
        <v>78</v>
      </c>
      <c r="C178" s="102">
        <v>1100</v>
      </c>
    </row>
    <row r="179" spans="1:8" ht="16.2" thickBot="1">
      <c r="A179" s="31">
        <v>177</v>
      </c>
      <c r="B179" s="24" t="s">
        <v>569</v>
      </c>
      <c r="C179" s="101">
        <v>2000</v>
      </c>
    </row>
    <row r="180" spans="1:8" ht="16.2" thickBot="1">
      <c r="A180" s="31">
        <v>178</v>
      </c>
      <c r="B180" s="9" t="s">
        <v>79</v>
      </c>
      <c r="C180" s="102">
        <v>400</v>
      </c>
    </row>
    <row r="181" spans="1:8" ht="16.2" thickBot="1">
      <c r="A181" s="31">
        <v>179</v>
      </c>
      <c r="B181" s="24" t="s">
        <v>497</v>
      </c>
      <c r="C181" s="101">
        <v>1000</v>
      </c>
    </row>
    <row r="182" spans="1:8" ht="16.2" thickBot="1">
      <c r="A182" s="31">
        <v>180</v>
      </c>
      <c r="B182" s="9" t="s">
        <v>80</v>
      </c>
      <c r="C182" s="102">
        <v>3400</v>
      </c>
    </row>
    <row r="183" spans="1:8" ht="16.2" thickBot="1">
      <c r="A183" s="31">
        <v>181</v>
      </c>
      <c r="B183" s="24" t="s">
        <v>489</v>
      </c>
      <c r="C183" s="101">
        <v>600</v>
      </c>
    </row>
    <row r="184" spans="1:8" ht="16.2" thickBot="1">
      <c r="A184" s="31">
        <v>182</v>
      </c>
      <c r="B184" s="9" t="s">
        <v>81</v>
      </c>
      <c r="C184" s="102">
        <v>450</v>
      </c>
    </row>
    <row r="185" spans="1:8" ht="16.2" thickBot="1">
      <c r="A185" s="31">
        <v>183</v>
      </c>
      <c r="B185" s="24" t="s">
        <v>82</v>
      </c>
      <c r="C185" s="101">
        <v>150</v>
      </c>
    </row>
    <row r="186" spans="1:8" ht="16.2" thickBot="1">
      <c r="A186" s="31">
        <v>184</v>
      </c>
      <c r="B186" s="9" t="s">
        <v>392</v>
      </c>
      <c r="C186" s="102">
        <v>1500</v>
      </c>
    </row>
    <row r="187" spans="1:8" ht="16.2" thickBot="1">
      <c r="A187" s="31">
        <v>185</v>
      </c>
      <c r="B187" s="9" t="s">
        <v>391</v>
      </c>
      <c r="C187" s="102">
        <v>750</v>
      </c>
      <c r="H187" s="23"/>
    </row>
    <row r="188" spans="1:8" ht="16.2" thickBot="1">
      <c r="A188" s="31">
        <v>186</v>
      </c>
      <c r="B188" s="24" t="s">
        <v>507</v>
      </c>
      <c r="C188" s="101">
        <v>850</v>
      </c>
    </row>
    <row r="189" spans="1:8" ht="16.2" thickBot="1">
      <c r="A189" s="31">
        <v>187</v>
      </c>
      <c r="B189" s="24" t="s">
        <v>499</v>
      </c>
      <c r="C189" s="101">
        <v>575</v>
      </c>
    </row>
    <row r="190" spans="1:8" ht="16.2" thickBot="1">
      <c r="A190" s="31">
        <v>188</v>
      </c>
      <c r="B190" s="24" t="s">
        <v>508</v>
      </c>
      <c r="C190" s="101">
        <v>1100</v>
      </c>
    </row>
    <row r="191" spans="1:8" ht="16.2" thickBot="1">
      <c r="A191" s="31">
        <v>189</v>
      </c>
      <c r="B191" s="24" t="s">
        <v>568</v>
      </c>
      <c r="C191" s="101">
        <v>600</v>
      </c>
    </row>
    <row r="192" spans="1:8" ht="16.2" thickBot="1">
      <c r="A192" s="31">
        <v>190</v>
      </c>
      <c r="B192" s="9" t="s">
        <v>571</v>
      </c>
      <c r="C192" s="102">
        <v>500</v>
      </c>
    </row>
    <row r="193" spans="1:3" ht="16.2" thickBot="1">
      <c r="A193" s="31">
        <v>191</v>
      </c>
      <c r="B193" s="24" t="s">
        <v>460</v>
      </c>
      <c r="C193" s="101">
        <v>1700</v>
      </c>
    </row>
    <row r="194" spans="1:3" ht="17.25" customHeight="1" thickBot="1">
      <c r="A194" s="31">
        <v>192</v>
      </c>
      <c r="B194" s="24" t="s">
        <v>522</v>
      </c>
      <c r="C194" s="101">
        <v>999</v>
      </c>
    </row>
    <row r="195" spans="1:3" ht="16.2" thickBot="1">
      <c r="A195" s="31">
        <v>193</v>
      </c>
      <c r="B195" s="24" t="s">
        <v>83</v>
      </c>
      <c r="C195" s="101">
        <v>700</v>
      </c>
    </row>
    <row r="196" spans="1:3" ht="16.2" thickBot="1">
      <c r="A196" s="31">
        <v>194</v>
      </c>
      <c r="B196" s="24" t="s">
        <v>555</v>
      </c>
      <c r="C196" s="101">
        <v>600</v>
      </c>
    </row>
    <row r="197" spans="1:3" ht="16.2" thickBot="1">
      <c r="A197" s="31">
        <v>195</v>
      </c>
      <c r="B197" s="24" t="s">
        <v>542</v>
      </c>
      <c r="C197" s="101">
        <v>200</v>
      </c>
    </row>
    <row r="198" spans="1:3" ht="16.2" thickBot="1">
      <c r="A198" s="31">
        <v>196</v>
      </c>
      <c r="B198" s="24" t="s">
        <v>463</v>
      </c>
      <c r="C198" s="101">
        <v>500</v>
      </c>
    </row>
    <row r="199" spans="1:3" ht="16.2" thickBot="1">
      <c r="A199" s="31">
        <v>197</v>
      </c>
      <c r="B199" s="24" t="s">
        <v>531</v>
      </c>
      <c r="C199" s="101">
        <v>500</v>
      </c>
    </row>
    <row r="200" spans="1:3" ht="15" thickBot="1">
      <c r="A200" s="31">
        <v>198</v>
      </c>
      <c r="B200" s="27" t="s">
        <v>418</v>
      </c>
      <c r="C200" s="107">
        <v>400</v>
      </c>
    </row>
    <row r="201" spans="1:3" ht="16.2" thickBot="1">
      <c r="A201" s="31">
        <v>199</v>
      </c>
      <c r="B201" s="24" t="s">
        <v>517</v>
      </c>
      <c r="C201" s="101">
        <v>300</v>
      </c>
    </row>
    <row r="202" spans="1:3" ht="15" thickBot="1">
      <c r="A202" s="31">
        <v>200</v>
      </c>
      <c r="B202" s="27" t="s">
        <v>430</v>
      </c>
      <c r="C202" s="107">
        <v>1800</v>
      </c>
    </row>
    <row r="203" spans="1:3" ht="16.2" thickBot="1">
      <c r="A203" s="31">
        <v>201</v>
      </c>
      <c r="B203" s="24" t="s">
        <v>535</v>
      </c>
      <c r="C203" s="101">
        <v>800</v>
      </c>
    </row>
    <row r="204" spans="1:3" ht="16.2" thickBot="1">
      <c r="A204" s="31">
        <v>202</v>
      </c>
      <c r="B204" s="9" t="s">
        <v>84</v>
      </c>
      <c r="C204" s="102">
        <v>3000</v>
      </c>
    </row>
    <row r="205" spans="1:3" ht="16.2" thickBot="1">
      <c r="A205" s="31">
        <v>203</v>
      </c>
      <c r="B205" s="24" t="s">
        <v>466</v>
      </c>
      <c r="C205" s="101">
        <v>1500</v>
      </c>
    </row>
    <row r="206" spans="1:3" ht="16.2" thickBot="1">
      <c r="A206" s="31">
        <v>204</v>
      </c>
      <c r="B206" s="9" t="s">
        <v>85</v>
      </c>
      <c r="C206" s="102">
        <v>300</v>
      </c>
    </row>
    <row r="207" spans="1:3" ht="15" thickBot="1">
      <c r="A207" s="31">
        <v>205</v>
      </c>
      <c r="B207" s="27" t="s">
        <v>397</v>
      </c>
      <c r="C207" s="107">
        <v>1600</v>
      </c>
    </row>
    <row r="208" spans="1:3" ht="16.2" thickBot="1">
      <c r="A208" s="31">
        <v>206</v>
      </c>
      <c r="B208" s="24" t="s">
        <v>376</v>
      </c>
      <c r="C208" s="101">
        <v>350</v>
      </c>
    </row>
    <row r="209" spans="1:17" ht="15" thickBot="1">
      <c r="A209" s="31">
        <v>207</v>
      </c>
      <c r="B209" s="8" t="s">
        <v>425</v>
      </c>
      <c r="C209" s="104">
        <v>100</v>
      </c>
    </row>
    <row r="210" spans="1:17" ht="16.2" thickBot="1">
      <c r="A210" s="31">
        <v>208</v>
      </c>
      <c r="B210" s="24" t="s">
        <v>614</v>
      </c>
      <c r="C210" s="107">
        <v>220</v>
      </c>
      <c r="Q210" t="s">
        <v>473</v>
      </c>
    </row>
    <row r="211" spans="1:17" ht="16.2" thickBot="1">
      <c r="A211" s="31">
        <v>209</v>
      </c>
      <c r="B211" s="24" t="s">
        <v>615</v>
      </c>
      <c r="C211" s="107">
        <v>120</v>
      </c>
    </row>
    <row r="212" spans="1:17" ht="16.2" thickBot="1">
      <c r="A212" s="31">
        <v>210</v>
      </c>
      <c r="B212" s="24" t="s">
        <v>616</v>
      </c>
      <c r="C212" s="107">
        <v>330</v>
      </c>
    </row>
    <row r="213" spans="1:17" ht="16.2" thickBot="1">
      <c r="A213" s="31">
        <v>211</v>
      </c>
      <c r="B213" s="24" t="s">
        <v>86</v>
      </c>
      <c r="C213" s="101">
        <v>2000</v>
      </c>
    </row>
    <row r="214" spans="1:17" ht="16.2" thickBot="1">
      <c r="A214" s="31">
        <v>212</v>
      </c>
      <c r="B214" s="24" t="s">
        <v>87</v>
      </c>
      <c r="C214" s="101">
        <v>1000</v>
      </c>
    </row>
    <row r="215" spans="1:17" ht="16.2" thickBot="1">
      <c r="A215" s="31">
        <v>213</v>
      </c>
      <c r="B215" s="24" t="s">
        <v>88</v>
      </c>
      <c r="C215" s="101">
        <v>400</v>
      </c>
    </row>
    <row r="216" spans="1:17" ht="16.2" thickBot="1">
      <c r="A216" s="31">
        <v>214</v>
      </c>
      <c r="B216" s="24" t="s">
        <v>401</v>
      </c>
      <c r="C216" s="101">
        <v>800</v>
      </c>
    </row>
    <row r="217" spans="1:17" ht="16.2" thickBot="1">
      <c r="A217" s="31">
        <v>215</v>
      </c>
      <c r="B217" s="24" t="s">
        <v>553</v>
      </c>
      <c r="C217" s="101">
        <v>250</v>
      </c>
    </row>
    <row r="218" spans="1:17" ht="16.2" thickBot="1">
      <c r="A218" s="31">
        <v>216</v>
      </c>
      <c r="B218" s="10" t="s">
        <v>89</v>
      </c>
      <c r="C218" s="109">
        <v>150</v>
      </c>
    </row>
    <row r="219" spans="1:17" ht="16.2" thickBot="1">
      <c r="A219" s="31">
        <v>217</v>
      </c>
      <c r="B219" s="9" t="s">
        <v>90</v>
      </c>
      <c r="C219" s="102">
        <v>1500</v>
      </c>
    </row>
    <row r="220" spans="1:17" ht="16.2" thickBot="1">
      <c r="A220" s="31">
        <v>218</v>
      </c>
      <c r="B220" s="24" t="s">
        <v>600</v>
      </c>
      <c r="C220" s="101">
        <v>500</v>
      </c>
    </row>
    <row r="221" spans="1:17" ht="16.2" thickBot="1">
      <c r="A221" s="31">
        <v>219</v>
      </c>
      <c r="B221" s="24" t="s">
        <v>541</v>
      </c>
      <c r="C221" s="101">
        <v>100</v>
      </c>
    </row>
    <row r="222" spans="1:17" ht="16.2" thickBot="1">
      <c r="A222" s="31">
        <v>220</v>
      </c>
      <c r="B222" s="9" t="s">
        <v>91</v>
      </c>
      <c r="C222" s="102">
        <v>2800</v>
      </c>
    </row>
    <row r="223" spans="1:17" ht="16.2" thickBot="1">
      <c r="A223" s="31">
        <v>221</v>
      </c>
      <c r="B223" s="9" t="s">
        <v>92</v>
      </c>
      <c r="C223" s="102">
        <v>400</v>
      </c>
    </row>
    <row r="224" spans="1:17" ht="15" thickBot="1">
      <c r="A224" s="31">
        <v>222</v>
      </c>
      <c r="B224" s="27" t="s">
        <v>421</v>
      </c>
      <c r="C224" s="107">
        <v>900</v>
      </c>
    </row>
    <row r="225" spans="1:4" ht="16.2" thickBot="1">
      <c r="A225" s="31">
        <v>223</v>
      </c>
      <c r="B225" s="24" t="s">
        <v>93</v>
      </c>
      <c r="C225" s="101">
        <v>200</v>
      </c>
    </row>
    <row r="226" spans="1:4" ht="16.2" thickBot="1">
      <c r="A226" s="31">
        <v>224</v>
      </c>
      <c r="B226" s="24" t="s">
        <v>94</v>
      </c>
      <c r="C226" s="101">
        <v>350</v>
      </c>
    </row>
    <row r="227" spans="1:4" ht="16.2" thickBot="1">
      <c r="A227" s="31">
        <v>225</v>
      </c>
      <c r="B227" s="9" t="s">
        <v>581</v>
      </c>
      <c r="C227" s="102">
        <v>500</v>
      </c>
    </row>
    <row r="228" spans="1:4" ht="16.2" thickBot="1">
      <c r="A228" s="31">
        <v>226</v>
      </c>
      <c r="B228" s="24" t="s">
        <v>402</v>
      </c>
      <c r="C228" s="101">
        <v>800</v>
      </c>
    </row>
    <row r="229" spans="1:4" ht="16.2" thickBot="1">
      <c r="A229" s="31">
        <v>227</v>
      </c>
      <c r="B229" s="9"/>
      <c r="C229" s="102">
        <v>300</v>
      </c>
    </row>
    <row r="230" spans="1:4" ht="16.2" thickBot="1">
      <c r="A230" s="31">
        <v>228</v>
      </c>
      <c r="B230" s="9" t="s">
        <v>95</v>
      </c>
      <c r="C230" s="102">
        <v>100</v>
      </c>
    </row>
    <row r="231" spans="1:4" ht="16.2" thickBot="1">
      <c r="A231" s="31">
        <v>229</v>
      </c>
      <c r="B231" s="9" t="s">
        <v>96</v>
      </c>
      <c r="C231" s="102">
        <v>2800</v>
      </c>
    </row>
    <row r="232" spans="1:4" ht="16.2" thickBot="1">
      <c r="A232" s="31">
        <v>230</v>
      </c>
      <c r="B232" s="10" t="s">
        <v>97</v>
      </c>
      <c r="C232" s="103">
        <v>250</v>
      </c>
    </row>
    <row r="233" spans="1:4" ht="15" thickBot="1">
      <c r="A233" s="31">
        <v>231</v>
      </c>
      <c r="B233" s="27" t="s">
        <v>617</v>
      </c>
      <c r="C233" s="107">
        <v>900</v>
      </c>
    </row>
    <row r="234" spans="1:4" ht="16.2" thickBot="1">
      <c r="A234" s="31">
        <v>232</v>
      </c>
      <c r="B234" s="24" t="s">
        <v>562</v>
      </c>
      <c r="C234" s="101">
        <v>1000</v>
      </c>
    </row>
    <row r="235" spans="1:4" ht="15" thickBot="1">
      <c r="A235" s="31">
        <v>233</v>
      </c>
      <c r="B235" s="27" t="s">
        <v>423</v>
      </c>
      <c r="C235" s="107">
        <v>1000</v>
      </c>
    </row>
    <row r="236" spans="1:4" ht="16.2" thickBot="1">
      <c r="A236" s="31">
        <v>234</v>
      </c>
      <c r="B236" s="24" t="s">
        <v>474</v>
      </c>
      <c r="C236" s="101">
        <v>1150</v>
      </c>
    </row>
    <row r="237" spans="1:4" ht="16.2" thickBot="1">
      <c r="A237" s="31">
        <v>235</v>
      </c>
      <c r="B237" s="24" t="s">
        <v>462</v>
      </c>
      <c r="C237" s="101">
        <v>800</v>
      </c>
    </row>
    <row r="238" spans="1:4" ht="16.2" thickBot="1">
      <c r="A238" s="31">
        <v>236</v>
      </c>
      <c r="B238" s="24" t="s">
        <v>98</v>
      </c>
      <c r="C238" s="101">
        <v>1000</v>
      </c>
      <c r="D238" s="6"/>
    </row>
    <row r="239" spans="1:4" ht="16.2" thickBot="1">
      <c r="A239" s="31">
        <v>237</v>
      </c>
      <c r="B239" s="24" t="s">
        <v>496</v>
      </c>
      <c r="C239" s="101">
        <v>750</v>
      </c>
      <c r="D239" s="6"/>
    </row>
    <row r="240" spans="1:4" ht="16.2" thickBot="1">
      <c r="A240" s="31">
        <v>238</v>
      </c>
      <c r="B240" s="9" t="s">
        <v>99</v>
      </c>
      <c r="C240" s="102">
        <v>400</v>
      </c>
      <c r="D240" s="6"/>
    </row>
    <row r="241" spans="1:121" ht="16.2" thickBot="1">
      <c r="A241" s="31">
        <v>239</v>
      </c>
      <c r="B241" s="9" t="s">
        <v>387</v>
      </c>
      <c r="C241" s="102">
        <v>900</v>
      </c>
      <c r="D241" s="6"/>
    </row>
    <row r="242" spans="1:121" ht="16.2" thickBot="1">
      <c r="A242" s="31">
        <v>240</v>
      </c>
      <c r="B242" s="24" t="s">
        <v>406</v>
      </c>
      <c r="C242" s="101">
        <v>450</v>
      </c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</row>
    <row r="243" spans="1:121" ht="16.2" thickBot="1">
      <c r="A243" s="31">
        <v>241</v>
      </c>
      <c r="B243" s="24" t="s">
        <v>469</v>
      </c>
      <c r="C243" s="101">
        <v>1100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</row>
    <row r="244" spans="1:121" ht="16.2" thickBot="1">
      <c r="A244" s="31">
        <v>242</v>
      </c>
      <c r="B244" s="9" t="s">
        <v>100</v>
      </c>
      <c r="C244" s="102">
        <v>999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</row>
    <row r="245" spans="1:121" ht="16.2" thickBot="1">
      <c r="A245" s="31">
        <v>243</v>
      </c>
      <c r="B245" s="9" t="s">
        <v>377</v>
      </c>
      <c r="C245" s="102">
        <v>1500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</row>
    <row r="246" spans="1:121" ht="16.2" thickBot="1">
      <c r="A246" s="31">
        <v>244</v>
      </c>
      <c r="B246" s="24" t="s">
        <v>504</v>
      </c>
      <c r="C246" s="101">
        <v>700</v>
      </c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</row>
    <row r="247" spans="1:121" ht="16.2" thickBot="1">
      <c r="A247" s="31">
        <v>245</v>
      </c>
      <c r="B247" s="26" t="s">
        <v>101</v>
      </c>
      <c r="C247" s="103">
        <v>250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</row>
    <row r="248" spans="1:121" ht="16.2" thickBot="1">
      <c r="A248" s="31">
        <v>246</v>
      </c>
      <c r="B248" s="24" t="s">
        <v>378</v>
      </c>
      <c r="C248" s="101">
        <v>150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</row>
    <row r="249" spans="1:121" ht="16.2" thickBot="1">
      <c r="A249" s="31">
        <v>247</v>
      </c>
      <c r="B249" s="24" t="s">
        <v>679</v>
      </c>
      <c r="C249" s="101">
        <v>100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</row>
    <row r="250" spans="1:121" ht="16.2" thickBot="1">
      <c r="A250" s="31">
        <v>248</v>
      </c>
      <c r="B250" s="9" t="s">
        <v>103</v>
      </c>
      <c r="C250" s="102">
        <v>300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</row>
    <row r="251" spans="1:121" ht="16.2" thickBot="1">
      <c r="A251" s="31">
        <v>249</v>
      </c>
      <c r="B251" s="24" t="s">
        <v>104</v>
      </c>
      <c r="C251" s="101">
        <v>350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</row>
    <row r="252" spans="1:121" ht="16.2" thickBot="1">
      <c r="A252" s="31">
        <v>250</v>
      </c>
      <c r="B252" s="59" t="s">
        <v>487</v>
      </c>
      <c r="C252" s="110">
        <v>1000</v>
      </c>
      <c r="D252" s="2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</row>
    <row r="253" spans="1:121" ht="16.2" thickBot="1">
      <c r="A253" s="31">
        <v>251</v>
      </c>
      <c r="B253" s="9" t="s">
        <v>393</v>
      </c>
      <c r="C253" s="102">
        <v>350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</row>
    <row r="254" spans="1:121" ht="16.2" thickBot="1">
      <c r="A254" s="31">
        <v>252</v>
      </c>
      <c r="B254" s="26" t="s">
        <v>105</v>
      </c>
      <c r="C254" s="103">
        <v>300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</row>
    <row r="255" spans="1:121" ht="16.2" thickBot="1">
      <c r="A255" s="31">
        <v>253</v>
      </c>
      <c r="B255" s="24" t="s">
        <v>106</v>
      </c>
      <c r="C255" s="101">
        <v>200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</row>
    <row r="256" spans="1:121" ht="15" thickBot="1">
      <c r="A256" s="31">
        <v>254</v>
      </c>
      <c r="B256" s="27" t="s">
        <v>429</v>
      </c>
      <c r="C256" s="107">
        <v>400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</row>
    <row r="257" spans="1:121" ht="16.2" thickBot="1">
      <c r="A257" s="31">
        <v>255</v>
      </c>
      <c r="B257" s="24" t="s">
        <v>552</v>
      </c>
      <c r="C257" s="101">
        <v>350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</row>
    <row r="258" spans="1:121" ht="16.2" thickBot="1">
      <c r="A258" s="31">
        <v>256</v>
      </c>
      <c r="B258" s="60" t="s">
        <v>107</v>
      </c>
      <c r="C258" s="111">
        <v>350</v>
      </c>
    </row>
    <row r="259" spans="1:121" ht="15.75" customHeight="1" thickBot="1">
      <c r="A259" s="31">
        <v>257</v>
      </c>
      <c r="B259" s="27" t="s">
        <v>420</v>
      </c>
      <c r="C259" s="107">
        <v>1300</v>
      </c>
    </row>
    <row r="260" spans="1:121" ht="16.2" thickBot="1">
      <c r="A260" s="31">
        <v>258</v>
      </c>
      <c r="B260" s="9" t="s">
        <v>579</v>
      </c>
      <c r="C260" s="102">
        <v>600</v>
      </c>
    </row>
    <row r="261" spans="1:121" ht="15" thickBot="1">
      <c r="A261" s="31">
        <v>259</v>
      </c>
      <c r="B261" s="27" t="s">
        <v>526</v>
      </c>
      <c r="C261" s="107">
        <v>1500</v>
      </c>
    </row>
    <row r="262" spans="1:121" ht="16.2" thickBot="1">
      <c r="A262" s="31">
        <v>260</v>
      </c>
      <c r="B262" s="24" t="s">
        <v>528</v>
      </c>
      <c r="C262" s="101">
        <v>1400</v>
      </c>
    </row>
    <row r="263" spans="1:121" ht="16.2" thickBot="1">
      <c r="A263" s="31">
        <v>261</v>
      </c>
      <c r="B263" s="24" t="s">
        <v>527</v>
      </c>
      <c r="C263" s="101">
        <v>750</v>
      </c>
    </row>
    <row r="264" spans="1:121" ht="16.2" thickBot="1">
      <c r="A264" s="31">
        <v>262</v>
      </c>
      <c r="B264" s="9" t="s">
        <v>379</v>
      </c>
      <c r="C264" s="102">
        <v>1000</v>
      </c>
    </row>
    <row r="265" spans="1:121" ht="16.2" thickBot="1">
      <c r="A265" s="31">
        <v>263</v>
      </c>
      <c r="B265" s="9" t="s">
        <v>108</v>
      </c>
      <c r="C265" s="102">
        <v>800</v>
      </c>
    </row>
    <row r="266" spans="1:121" ht="16.2" thickBot="1">
      <c r="A266" s="31">
        <v>264</v>
      </c>
      <c r="B266" s="9" t="s">
        <v>109</v>
      </c>
      <c r="C266" s="102">
        <v>1500</v>
      </c>
    </row>
    <row r="267" spans="1:121" ht="16.2" thickBot="1">
      <c r="A267" s="31">
        <v>265</v>
      </c>
      <c r="B267" s="24" t="s">
        <v>565</v>
      </c>
      <c r="C267" s="101">
        <v>1900</v>
      </c>
    </row>
    <row r="268" spans="1:121" ht="16.2" thickBot="1">
      <c r="A268" s="31">
        <v>266</v>
      </c>
      <c r="B268" s="24" t="s">
        <v>564</v>
      </c>
      <c r="C268" s="101">
        <v>1800</v>
      </c>
    </row>
    <row r="269" spans="1:121" ht="16.2" thickBot="1">
      <c r="A269" s="31">
        <v>267</v>
      </c>
      <c r="B269" s="26" t="s">
        <v>618</v>
      </c>
      <c r="C269" s="103">
        <v>700</v>
      </c>
    </row>
    <row r="270" spans="1:121" ht="16.2" thickBot="1">
      <c r="A270" s="31">
        <v>268</v>
      </c>
      <c r="B270" s="24" t="s">
        <v>525</v>
      </c>
      <c r="C270" s="101">
        <v>1800</v>
      </c>
    </row>
    <row r="271" spans="1:121" ht="15" thickBot="1">
      <c r="A271" s="31">
        <v>269</v>
      </c>
      <c r="B271" s="27" t="s">
        <v>419</v>
      </c>
      <c r="C271" s="107">
        <v>1950</v>
      </c>
    </row>
    <row r="272" spans="1:121" ht="16.2" thickBot="1">
      <c r="A272" s="31">
        <v>270</v>
      </c>
      <c r="B272" s="24" t="s">
        <v>537</v>
      </c>
      <c r="C272" s="101">
        <v>1400</v>
      </c>
    </row>
    <row r="273" spans="1:16" ht="16.2" thickBot="1">
      <c r="A273" s="31">
        <v>271</v>
      </c>
      <c r="B273" s="9" t="s">
        <v>110</v>
      </c>
      <c r="C273" s="102">
        <v>200</v>
      </c>
    </row>
    <row r="274" spans="1:16" ht="16.2" thickBot="1">
      <c r="A274" s="31">
        <v>272</v>
      </c>
      <c r="B274" s="9" t="s">
        <v>111</v>
      </c>
      <c r="C274" s="102">
        <v>2800</v>
      </c>
    </row>
    <row r="275" spans="1:16" ht="16.2" thickBot="1">
      <c r="A275" s="31">
        <v>273</v>
      </c>
      <c r="B275" s="9" t="s">
        <v>112</v>
      </c>
      <c r="C275" s="102">
        <v>250</v>
      </c>
      <c r="P275">
        <v>1</v>
      </c>
    </row>
    <row r="276" spans="1:16" ht="16.2" thickBot="1">
      <c r="A276" s="31">
        <v>274</v>
      </c>
      <c r="B276" s="24" t="s">
        <v>472</v>
      </c>
      <c r="C276" s="101">
        <v>450</v>
      </c>
    </row>
    <row r="277" spans="1:16" ht="16.2" thickBot="1">
      <c r="A277" s="31">
        <v>275</v>
      </c>
      <c r="B277" s="9" t="s">
        <v>582</v>
      </c>
      <c r="C277" s="102">
        <v>399</v>
      </c>
    </row>
    <row r="278" spans="1:16" ht="16.2" thickBot="1">
      <c r="A278" s="31">
        <v>276</v>
      </c>
      <c r="B278" s="9" t="s">
        <v>691</v>
      </c>
      <c r="C278" s="102">
        <v>300</v>
      </c>
    </row>
    <row r="279" spans="1:16" ht="16.2" thickBot="1">
      <c r="A279" s="31">
        <v>277</v>
      </c>
      <c r="B279" s="9" t="s">
        <v>409</v>
      </c>
      <c r="C279" s="102">
        <v>450</v>
      </c>
    </row>
    <row r="280" spans="1:16" ht="16.2" thickBot="1">
      <c r="A280" s="31">
        <v>278</v>
      </c>
      <c r="B280" s="24" t="s">
        <v>563</v>
      </c>
      <c r="C280" s="101">
        <v>1000</v>
      </c>
    </row>
    <row r="281" spans="1:16" ht="16.2" thickBot="1">
      <c r="A281" s="31">
        <v>279</v>
      </c>
      <c r="B281" s="26" t="s">
        <v>113</v>
      </c>
      <c r="C281" s="103">
        <v>1200</v>
      </c>
    </row>
    <row r="282" spans="1:16" ht="16.2" thickBot="1">
      <c r="A282" s="31">
        <v>280</v>
      </c>
      <c r="B282" s="9" t="s">
        <v>380</v>
      </c>
      <c r="C282" s="102">
        <v>300</v>
      </c>
    </row>
    <row r="283" spans="1:16" ht="16.2" thickBot="1">
      <c r="A283" s="31">
        <v>281</v>
      </c>
      <c r="B283" s="26" t="s">
        <v>114</v>
      </c>
      <c r="C283" s="103">
        <v>550</v>
      </c>
    </row>
    <row r="284" spans="1:16" ht="16.2" thickBot="1">
      <c r="A284" s="31">
        <v>282</v>
      </c>
      <c r="B284" s="26" t="s">
        <v>619</v>
      </c>
      <c r="C284" s="103">
        <v>750</v>
      </c>
    </row>
    <row r="285" spans="1:16" ht="16.2" thickBot="1">
      <c r="A285" s="31">
        <v>283</v>
      </c>
      <c r="B285" s="9" t="s">
        <v>390</v>
      </c>
      <c r="C285" s="102">
        <v>1500</v>
      </c>
    </row>
    <row r="286" spans="1:16" ht="16.2" thickBot="1">
      <c r="A286" s="31">
        <v>284</v>
      </c>
      <c r="B286" s="9" t="s">
        <v>389</v>
      </c>
      <c r="C286" s="102">
        <v>750</v>
      </c>
    </row>
    <row r="287" spans="1:16" ht="16.2" thickBot="1">
      <c r="A287" s="31">
        <v>285</v>
      </c>
      <c r="B287" s="24" t="s">
        <v>514</v>
      </c>
      <c r="C287" s="101">
        <v>800</v>
      </c>
    </row>
    <row r="288" spans="1:16" ht="16.2" thickBot="1">
      <c r="A288" s="31">
        <v>286</v>
      </c>
      <c r="B288" s="24" t="s">
        <v>515</v>
      </c>
      <c r="C288" s="101">
        <v>900</v>
      </c>
    </row>
    <row r="289" spans="1:3" ht="16.2" thickBot="1">
      <c r="A289" s="31">
        <v>287</v>
      </c>
      <c r="B289" s="9" t="s">
        <v>115</v>
      </c>
      <c r="C289" s="102">
        <v>800</v>
      </c>
    </row>
    <row r="290" spans="1:3" ht="15" thickBot="1">
      <c r="A290" s="31">
        <v>288</v>
      </c>
      <c r="B290" s="27" t="s">
        <v>422</v>
      </c>
      <c r="C290" s="107">
        <v>900</v>
      </c>
    </row>
    <row r="291" spans="1:3" ht="16.2" thickBot="1">
      <c r="A291" s="31">
        <v>289</v>
      </c>
      <c r="B291" s="24" t="s">
        <v>500</v>
      </c>
      <c r="C291" s="101">
        <v>1100</v>
      </c>
    </row>
    <row r="292" spans="1:3" ht="16.2" thickBot="1">
      <c r="A292" s="31">
        <v>290</v>
      </c>
      <c r="B292" s="9" t="s">
        <v>116</v>
      </c>
      <c r="C292" s="102">
        <v>450</v>
      </c>
    </row>
    <row r="293" spans="1:3" ht="16.2" thickBot="1">
      <c r="A293" s="31">
        <v>291</v>
      </c>
      <c r="B293" s="9" t="s">
        <v>381</v>
      </c>
      <c r="C293" s="102">
        <v>150</v>
      </c>
    </row>
    <row r="294" spans="1:3" ht="16.2" thickBot="1">
      <c r="A294" s="31">
        <v>292</v>
      </c>
      <c r="B294" s="9" t="s">
        <v>117</v>
      </c>
      <c r="C294" s="102">
        <v>1900</v>
      </c>
    </row>
    <row r="295" spans="1:3" ht="16.2" thickBot="1">
      <c r="A295" s="31">
        <v>293</v>
      </c>
      <c r="B295" s="9" t="s">
        <v>118</v>
      </c>
      <c r="C295" s="102">
        <v>200</v>
      </c>
    </row>
    <row r="296" spans="1:3" ht="16.2" thickBot="1">
      <c r="A296" s="31">
        <v>294</v>
      </c>
      <c r="B296" s="9" t="s">
        <v>119</v>
      </c>
      <c r="C296" s="102">
        <v>250</v>
      </c>
    </row>
    <row r="297" spans="1:3" ht="16.2" thickBot="1">
      <c r="A297" s="31">
        <v>295</v>
      </c>
      <c r="B297" s="24" t="s">
        <v>458</v>
      </c>
      <c r="C297" s="101">
        <v>500</v>
      </c>
    </row>
    <row r="298" spans="1:3" ht="16.2" thickBot="1">
      <c r="A298" s="31">
        <v>296</v>
      </c>
      <c r="B298" s="24" t="s">
        <v>459</v>
      </c>
      <c r="C298" s="101">
        <v>250</v>
      </c>
    </row>
    <row r="299" spans="1:3" ht="16.2" thickBot="1">
      <c r="A299" s="31">
        <v>297</v>
      </c>
      <c r="B299" s="9" t="s">
        <v>120</v>
      </c>
      <c r="C299" s="102">
        <v>1000</v>
      </c>
    </row>
    <row r="300" spans="1:3" ht="16.2" thickBot="1">
      <c r="A300" s="31">
        <v>298</v>
      </c>
      <c r="B300" s="9" t="s">
        <v>121</v>
      </c>
      <c r="C300" s="102">
        <v>1500</v>
      </c>
    </row>
    <row r="301" spans="1:3" ht="16.2" thickBot="1">
      <c r="A301" s="31">
        <v>299</v>
      </c>
      <c r="B301" s="9" t="s">
        <v>122</v>
      </c>
      <c r="C301" s="102">
        <v>400</v>
      </c>
    </row>
    <row r="302" spans="1:3" ht="16.2" thickBot="1">
      <c r="A302" s="31">
        <v>300</v>
      </c>
      <c r="B302" s="9" t="s">
        <v>400</v>
      </c>
      <c r="C302" s="102">
        <v>800</v>
      </c>
    </row>
    <row r="303" spans="1:3" ht="16.2" thickBot="1">
      <c r="A303" s="31">
        <v>301</v>
      </c>
      <c r="B303" s="24" t="s">
        <v>123</v>
      </c>
      <c r="C303" s="101">
        <v>250</v>
      </c>
    </row>
    <row r="304" spans="1:3" ht="16.2" thickBot="1">
      <c r="A304" s="31">
        <v>302</v>
      </c>
      <c r="B304" s="9" t="s">
        <v>124</v>
      </c>
      <c r="C304" s="102">
        <v>70</v>
      </c>
    </row>
    <row r="305" spans="1:8" ht="16.2" thickBot="1">
      <c r="A305" s="31">
        <v>303</v>
      </c>
      <c r="B305" s="9" t="s">
        <v>382</v>
      </c>
      <c r="C305" s="102">
        <v>500</v>
      </c>
    </row>
    <row r="306" spans="1:8" ht="16.2" thickBot="1">
      <c r="A306" s="31">
        <v>304</v>
      </c>
      <c r="B306" s="26" t="s">
        <v>125</v>
      </c>
      <c r="C306" s="103">
        <v>1150</v>
      </c>
    </row>
    <row r="307" spans="1:8" ht="16.2" thickBot="1">
      <c r="A307" s="31">
        <v>305</v>
      </c>
      <c r="B307" s="24" t="s">
        <v>513</v>
      </c>
      <c r="C307" s="101">
        <v>800</v>
      </c>
    </row>
    <row r="308" spans="1:8" ht="16.2" thickBot="1">
      <c r="A308" s="31">
        <v>306</v>
      </c>
      <c r="B308" s="9" t="s">
        <v>414</v>
      </c>
      <c r="C308" s="104">
        <v>350</v>
      </c>
    </row>
    <row r="309" spans="1:8" ht="16.2" thickBot="1">
      <c r="A309" s="31">
        <v>307</v>
      </c>
      <c r="B309" s="9" t="s">
        <v>126</v>
      </c>
      <c r="C309" s="102">
        <v>150</v>
      </c>
    </row>
    <row r="310" spans="1:8" ht="16.2" thickBot="1">
      <c r="A310" s="31">
        <v>308</v>
      </c>
      <c r="B310" s="9" t="s">
        <v>127</v>
      </c>
      <c r="C310" s="102">
        <v>550</v>
      </c>
    </row>
    <row r="311" spans="1:8" ht="16.2" thickBot="1">
      <c r="A311" s="31">
        <v>309</v>
      </c>
      <c r="B311" s="24" t="s">
        <v>511</v>
      </c>
      <c r="C311" s="101">
        <v>1800</v>
      </c>
    </row>
    <row r="312" spans="1:8" ht="16.2" thickBot="1">
      <c r="A312" s="31">
        <v>310</v>
      </c>
      <c r="B312" s="9" t="s">
        <v>620</v>
      </c>
      <c r="C312" s="102">
        <v>800</v>
      </c>
    </row>
    <row r="313" spans="1:8" ht="16.2" thickBot="1">
      <c r="A313" s="31">
        <v>311</v>
      </c>
      <c r="B313" s="24" t="s">
        <v>484</v>
      </c>
      <c r="C313" s="101">
        <v>150</v>
      </c>
    </row>
    <row r="314" spans="1:8" ht="16.2" thickBot="1">
      <c r="A314" s="31">
        <v>312</v>
      </c>
      <c r="B314" s="9" t="s">
        <v>128</v>
      </c>
      <c r="C314" s="102">
        <v>400</v>
      </c>
    </row>
    <row r="315" spans="1:8" ht="16.2" thickBot="1">
      <c r="A315" s="31">
        <v>313</v>
      </c>
      <c r="B315" s="24" t="s">
        <v>129</v>
      </c>
      <c r="C315" s="101">
        <v>200</v>
      </c>
    </row>
    <row r="316" spans="1:8" ht="16.2" thickBot="1">
      <c r="A316" s="31">
        <v>314</v>
      </c>
      <c r="B316" s="24" t="s">
        <v>536</v>
      </c>
      <c r="C316" s="101">
        <v>1050</v>
      </c>
    </row>
    <row r="317" spans="1:8" ht="16.2" thickBot="1">
      <c r="A317" s="31">
        <v>315</v>
      </c>
      <c r="B317" s="24" t="s">
        <v>621</v>
      </c>
      <c r="C317" s="101">
        <v>2100</v>
      </c>
    </row>
    <row r="318" spans="1:8" ht="16.2" thickBot="1">
      <c r="A318" s="31">
        <v>316</v>
      </c>
      <c r="B318" s="9" t="s">
        <v>130</v>
      </c>
      <c r="C318" s="102">
        <v>2800</v>
      </c>
    </row>
    <row r="319" spans="1:8" ht="16.2" thickBot="1">
      <c r="A319" s="31">
        <v>317</v>
      </c>
      <c r="B319" s="10" t="s">
        <v>131</v>
      </c>
      <c r="C319" s="103">
        <v>250</v>
      </c>
    </row>
    <row r="320" spans="1:8" ht="16.2" thickBot="1">
      <c r="A320" s="31">
        <v>318</v>
      </c>
      <c r="B320" s="24" t="s">
        <v>652</v>
      </c>
      <c r="C320" s="101">
        <v>1200</v>
      </c>
      <c r="H320" s="25"/>
    </row>
    <row r="321" spans="1:3" ht="16.2" thickBot="1">
      <c r="A321" s="31">
        <v>319</v>
      </c>
      <c r="B321" s="24" t="s">
        <v>622</v>
      </c>
      <c r="C321" s="101">
        <v>999</v>
      </c>
    </row>
    <row r="322" spans="1:3" ht="16.2" thickBot="1">
      <c r="A322" s="31">
        <v>320</v>
      </c>
      <c r="B322" s="24" t="s">
        <v>623</v>
      </c>
      <c r="C322" s="101">
        <v>999</v>
      </c>
    </row>
    <row r="323" spans="1:3" ht="16.2" thickBot="1">
      <c r="A323" s="31">
        <v>321</v>
      </c>
      <c r="B323" s="9" t="s">
        <v>457</v>
      </c>
      <c r="C323" s="102">
        <v>600</v>
      </c>
    </row>
    <row r="324" spans="1:3" ht="16.2" thickBot="1">
      <c r="A324" s="31">
        <v>322</v>
      </c>
      <c r="B324" s="24" t="s">
        <v>491</v>
      </c>
      <c r="C324" s="101">
        <v>350</v>
      </c>
    </row>
    <row r="325" spans="1:3" ht="16.2" thickBot="1">
      <c r="A325" s="31">
        <v>323</v>
      </c>
      <c r="B325" s="9" t="s">
        <v>132</v>
      </c>
      <c r="C325" s="102">
        <v>150</v>
      </c>
    </row>
    <row r="326" spans="1:3" ht="16.2" thickBot="1">
      <c r="A326" s="31">
        <v>324</v>
      </c>
      <c r="B326" s="9" t="s">
        <v>133</v>
      </c>
      <c r="C326" s="102">
        <v>400</v>
      </c>
    </row>
    <row r="327" spans="1:3" ht="16.2" thickBot="1">
      <c r="A327" s="31">
        <v>325</v>
      </c>
      <c r="B327" s="9" t="s">
        <v>407</v>
      </c>
      <c r="C327" s="102">
        <v>650</v>
      </c>
    </row>
    <row r="328" spans="1:3" ht="16.2" thickBot="1">
      <c r="A328" s="31">
        <v>326</v>
      </c>
      <c r="B328" s="9" t="s">
        <v>359</v>
      </c>
      <c r="C328" s="102">
        <v>650</v>
      </c>
    </row>
    <row r="329" spans="1:3" ht="21.75" customHeight="1" thickBot="1">
      <c r="A329" s="31">
        <v>327</v>
      </c>
      <c r="B329" s="24" t="s">
        <v>524</v>
      </c>
      <c r="C329" s="101">
        <v>1700</v>
      </c>
    </row>
    <row r="330" spans="1:3" ht="16.2" thickBot="1">
      <c r="A330" s="31">
        <v>328</v>
      </c>
      <c r="B330" s="9" t="s">
        <v>410</v>
      </c>
      <c r="C330" s="102">
        <v>550</v>
      </c>
    </row>
    <row r="331" spans="1:3" ht="16.2" thickBot="1">
      <c r="A331" s="31">
        <v>329</v>
      </c>
      <c r="B331" s="24" t="s">
        <v>557</v>
      </c>
      <c r="C331" s="101">
        <v>100</v>
      </c>
    </row>
    <row r="332" spans="1:3" ht="16.2" thickBot="1">
      <c r="A332" s="31">
        <v>330</v>
      </c>
      <c r="B332" s="24" t="s">
        <v>417</v>
      </c>
      <c r="C332" s="107">
        <v>400</v>
      </c>
    </row>
    <row r="333" spans="1:3" ht="16.2" thickBot="1">
      <c r="A333" s="31">
        <v>331</v>
      </c>
      <c r="B333" s="9" t="s">
        <v>479</v>
      </c>
      <c r="C333" s="102">
        <v>300</v>
      </c>
    </row>
    <row r="334" spans="1:3" ht="16.2" thickBot="1">
      <c r="A334" s="31">
        <v>332</v>
      </c>
      <c r="B334" s="24" t="s">
        <v>544</v>
      </c>
      <c r="C334" s="101">
        <v>450</v>
      </c>
    </row>
    <row r="335" spans="1:3" ht="16.2" thickBot="1">
      <c r="A335" s="31">
        <v>333</v>
      </c>
      <c r="B335" s="24" t="s">
        <v>530</v>
      </c>
      <c r="C335" s="101">
        <v>1500</v>
      </c>
    </row>
    <row r="336" spans="1:3" ht="16.2" thickBot="1">
      <c r="A336" s="31">
        <v>334</v>
      </c>
      <c r="B336" s="24" t="s">
        <v>529</v>
      </c>
      <c r="C336" s="101">
        <v>950</v>
      </c>
    </row>
    <row r="337" spans="1:10" ht="16.2" thickBot="1">
      <c r="A337" s="31">
        <v>335</v>
      </c>
      <c r="B337" s="24" t="s">
        <v>678</v>
      </c>
      <c r="C337" s="101">
        <v>1200</v>
      </c>
    </row>
    <row r="338" spans="1:10" ht="16.2" thickBot="1">
      <c r="A338" s="31">
        <v>336</v>
      </c>
      <c r="B338" s="9" t="s">
        <v>134</v>
      </c>
      <c r="C338" s="102">
        <v>850</v>
      </c>
    </row>
    <row r="339" spans="1:10" ht="16.2" thickBot="1">
      <c r="A339" s="31">
        <v>337</v>
      </c>
      <c r="B339" s="9" t="s">
        <v>408</v>
      </c>
      <c r="C339" s="102">
        <v>500</v>
      </c>
    </row>
    <row r="340" spans="1:10" ht="27" customHeight="1" thickBot="1">
      <c r="A340" s="31">
        <v>338</v>
      </c>
      <c r="B340" s="24" t="s">
        <v>433</v>
      </c>
      <c r="C340" s="101">
        <v>1000</v>
      </c>
      <c r="J340" t="s">
        <v>678</v>
      </c>
    </row>
    <row r="341" spans="1:10" ht="16.2" thickBot="1">
      <c r="A341" s="31">
        <v>339</v>
      </c>
      <c r="B341" s="9" t="s">
        <v>135</v>
      </c>
      <c r="C341" s="102">
        <v>225</v>
      </c>
    </row>
    <row r="342" spans="1:10" ht="16.2" thickBot="1">
      <c r="A342" s="31">
        <v>340</v>
      </c>
      <c r="B342" s="26" t="s">
        <v>136</v>
      </c>
      <c r="C342" s="103">
        <v>150</v>
      </c>
    </row>
    <row r="343" spans="1:10" ht="16.2" thickBot="1">
      <c r="A343" s="31">
        <v>341</v>
      </c>
      <c r="B343" s="9" t="s">
        <v>481</v>
      </c>
      <c r="C343" s="102">
        <v>200</v>
      </c>
    </row>
    <row r="344" spans="1:10" ht="16.2" thickBot="1">
      <c r="A344" s="31">
        <v>342</v>
      </c>
      <c r="B344" s="9" t="s">
        <v>137</v>
      </c>
      <c r="C344" s="102">
        <v>150</v>
      </c>
    </row>
    <row r="345" spans="1:10" ht="16.2" thickBot="1">
      <c r="A345" s="31">
        <v>343</v>
      </c>
      <c r="B345" s="9" t="s">
        <v>138</v>
      </c>
      <c r="C345" s="102">
        <v>300</v>
      </c>
    </row>
    <row r="346" spans="1:10" ht="16.2" thickBot="1">
      <c r="A346" s="31">
        <v>344</v>
      </c>
      <c r="B346" s="24" t="s">
        <v>512</v>
      </c>
      <c r="C346" s="101">
        <v>1200</v>
      </c>
    </row>
    <row r="347" spans="1:10" ht="16.2" thickBot="1">
      <c r="A347" s="31">
        <v>345</v>
      </c>
      <c r="B347" s="9" t="s">
        <v>465</v>
      </c>
      <c r="C347" s="102">
        <v>800</v>
      </c>
    </row>
    <row r="348" spans="1:10" ht="16.2" thickBot="1">
      <c r="A348" s="31">
        <v>346</v>
      </c>
      <c r="B348" s="9" t="s">
        <v>435</v>
      </c>
      <c r="C348" s="102">
        <v>500</v>
      </c>
    </row>
    <row r="349" spans="1:10" ht="16.2" thickBot="1">
      <c r="A349" s="31">
        <v>347</v>
      </c>
      <c r="B349" s="24" t="s">
        <v>461</v>
      </c>
      <c r="C349" s="101">
        <v>500</v>
      </c>
    </row>
    <row r="350" spans="1:10" ht="16.2" thickBot="1">
      <c r="A350" s="31">
        <v>348</v>
      </c>
      <c r="B350" s="24" t="s">
        <v>518</v>
      </c>
      <c r="C350" s="107">
        <v>950</v>
      </c>
    </row>
    <row r="351" spans="1:10" ht="16.2" thickBot="1">
      <c r="A351" s="31">
        <v>349</v>
      </c>
      <c r="B351" s="24" t="s">
        <v>624</v>
      </c>
      <c r="C351" s="101">
        <v>900</v>
      </c>
    </row>
    <row r="352" spans="1:10" ht="16.2" thickBot="1">
      <c r="A352" s="31">
        <v>350</v>
      </c>
      <c r="B352" s="9" t="s">
        <v>139</v>
      </c>
      <c r="C352" s="102">
        <v>2800</v>
      </c>
    </row>
    <row r="353" spans="1:3" ht="16.2" thickBot="1">
      <c r="A353" s="31">
        <v>351</v>
      </c>
      <c r="B353" s="10" t="s">
        <v>140</v>
      </c>
      <c r="C353" s="103">
        <v>250</v>
      </c>
    </row>
    <row r="354" spans="1:3" ht="15" thickBot="1">
      <c r="A354" s="31">
        <v>352</v>
      </c>
      <c r="B354" s="8" t="s">
        <v>427</v>
      </c>
      <c r="C354" s="104">
        <v>350</v>
      </c>
    </row>
    <row r="355" spans="1:3" ht="16.2" thickBot="1">
      <c r="A355" s="31">
        <v>353</v>
      </c>
      <c r="B355" s="10" t="s">
        <v>383</v>
      </c>
      <c r="C355" s="109">
        <v>1550</v>
      </c>
    </row>
    <row r="356" spans="1:3" ht="16.2" thickBot="1">
      <c r="A356" s="31">
        <v>354</v>
      </c>
      <c r="B356" s="9" t="s">
        <v>570</v>
      </c>
      <c r="C356" s="102">
        <v>775</v>
      </c>
    </row>
    <row r="357" spans="1:3" ht="16.2" thickBot="1">
      <c r="A357" s="31">
        <v>355</v>
      </c>
      <c r="B357" s="24" t="s">
        <v>412</v>
      </c>
      <c r="C357" s="101">
        <v>800</v>
      </c>
    </row>
    <row r="358" spans="1:3" ht="16.2" thickBot="1">
      <c r="A358" s="31">
        <v>356</v>
      </c>
      <c r="B358" s="24" t="s">
        <v>523</v>
      </c>
      <c r="C358" s="101">
        <v>1400</v>
      </c>
    </row>
    <row r="359" spans="1:3" ht="16.2" thickBot="1">
      <c r="A359" s="31">
        <v>357</v>
      </c>
      <c r="B359" s="9" t="s">
        <v>141</v>
      </c>
      <c r="C359" s="102">
        <v>150</v>
      </c>
    </row>
    <row r="360" spans="1:3" ht="16.2" thickBot="1">
      <c r="A360" s="31">
        <v>358</v>
      </c>
      <c r="B360" s="9" t="s">
        <v>13</v>
      </c>
      <c r="C360" s="102">
        <v>150</v>
      </c>
    </row>
    <row r="361" spans="1:3" ht="16.2" thickBot="1">
      <c r="A361" s="31">
        <v>359</v>
      </c>
      <c r="B361" s="9" t="s">
        <v>384</v>
      </c>
      <c r="C361" s="102">
        <v>200</v>
      </c>
    </row>
    <row r="362" spans="1:3" ht="16.2" thickBot="1">
      <c r="A362" s="31">
        <v>360</v>
      </c>
      <c r="B362" s="9" t="s">
        <v>646</v>
      </c>
      <c r="C362" s="102">
        <v>2000</v>
      </c>
    </row>
    <row r="363" spans="1:3" ht="16.2" thickBot="1">
      <c r="A363" s="31">
        <v>361</v>
      </c>
      <c r="B363" s="24" t="s">
        <v>509</v>
      </c>
      <c r="C363" s="101">
        <v>1400</v>
      </c>
    </row>
    <row r="364" spans="1:3" ht="16.2" thickBot="1">
      <c r="A364" s="31">
        <v>362</v>
      </c>
      <c r="B364" s="24" t="s">
        <v>559</v>
      </c>
      <c r="C364" s="101">
        <v>1300</v>
      </c>
    </row>
    <row r="365" spans="1:3" ht="16.2" thickBot="1">
      <c r="A365" s="31">
        <v>363</v>
      </c>
      <c r="B365" s="24" t="s">
        <v>396</v>
      </c>
      <c r="C365" s="101">
        <v>850</v>
      </c>
    </row>
    <row r="366" spans="1:3" ht="16.2" thickBot="1">
      <c r="A366" s="31">
        <v>364</v>
      </c>
      <c r="B366" s="24" t="s">
        <v>560</v>
      </c>
      <c r="C366" s="101">
        <v>1200</v>
      </c>
    </row>
    <row r="367" spans="1:3" ht="15" thickBot="1">
      <c r="A367" s="31">
        <v>365</v>
      </c>
      <c r="B367" s="8" t="s">
        <v>424</v>
      </c>
      <c r="C367" s="104">
        <v>1150</v>
      </c>
    </row>
    <row r="368" spans="1:3" ht="16.2" thickBot="1">
      <c r="A368" s="31">
        <v>366</v>
      </c>
      <c r="B368" s="9" t="s">
        <v>142</v>
      </c>
      <c r="C368" s="102">
        <v>2800</v>
      </c>
    </row>
    <row r="369" spans="1:3" ht="16.2" thickBot="1">
      <c r="A369" s="31">
        <v>367</v>
      </c>
      <c r="B369" s="24" t="s">
        <v>468</v>
      </c>
      <c r="C369" s="101">
        <v>1000</v>
      </c>
    </row>
    <row r="370" spans="1:3" ht="16.2" thickBot="1">
      <c r="A370" s="31">
        <v>368</v>
      </c>
      <c r="B370" s="24" t="s">
        <v>394</v>
      </c>
      <c r="C370" s="101">
        <v>2000</v>
      </c>
    </row>
    <row r="371" spans="1:3" ht="16.2" thickBot="1">
      <c r="A371" s="31">
        <v>369</v>
      </c>
      <c r="B371" s="9" t="s">
        <v>143</v>
      </c>
      <c r="C371" s="102">
        <v>250</v>
      </c>
    </row>
    <row r="372" spans="1:3" ht="16.2" thickBot="1">
      <c r="A372" s="31">
        <v>370</v>
      </c>
      <c r="B372" s="9" t="s">
        <v>144</v>
      </c>
      <c r="C372" s="102">
        <v>2800</v>
      </c>
    </row>
    <row r="373" spans="1:3" ht="16.2" thickBot="1">
      <c r="A373" s="31">
        <v>371</v>
      </c>
      <c r="B373" s="24" t="s">
        <v>540</v>
      </c>
      <c r="C373" s="101">
        <v>1500</v>
      </c>
    </row>
    <row r="374" spans="1:3" ht="16.2" thickBot="1">
      <c r="A374" s="31">
        <v>373</v>
      </c>
      <c r="B374" s="24" t="s">
        <v>477</v>
      </c>
      <c r="C374" s="101">
        <v>300</v>
      </c>
    </row>
    <row r="375" spans="1:3" ht="16.2" thickBot="1">
      <c r="A375" s="31">
        <v>374</v>
      </c>
      <c r="B375" s="9" t="s">
        <v>385</v>
      </c>
      <c r="C375" s="102">
        <v>80</v>
      </c>
    </row>
    <row r="376" spans="1:3" ht="16.2" thickBot="1">
      <c r="A376" s="31">
        <v>375</v>
      </c>
      <c r="B376" s="9" t="s">
        <v>145</v>
      </c>
      <c r="C376" s="102">
        <v>60</v>
      </c>
    </row>
    <row r="377" spans="1:3" ht="15" thickBot="1">
      <c r="A377" s="31">
        <v>376</v>
      </c>
      <c r="B377" s="8" t="s">
        <v>432</v>
      </c>
      <c r="C377" s="104">
        <v>5000</v>
      </c>
    </row>
    <row r="378" spans="1:3" ht="16.2" thickBot="1">
      <c r="A378" s="31">
        <v>377</v>
      </c>
      <c r="B378" s="9" t="s">
        <v>546</v>
      </c>
      <c r="C378" s="102">
        <v>430</v>
      </c>
    </row>
    <row r="379" spans="1:3" ht="16.2" thickBot="1">
      <c r="A379" s="31">
        <v>378</v>
      </c>
      <c r="B379" s="10" t="s">
        <v>146</v>
      </c>
      <c r="C379" s="109">
        <v>550</v>
      </c>
    </row>
    <row r="380" spans="1:3" ht="16.2" thickBot="1">
      <c r="A380" s="31">
        <v>379</v>
      </c>
      <c r="B380" s="24" t="s">
        <v>490</v>
      </c>
      <c r="C380" s="101">
        <v>800</v>
      </c>
    </row>
    <row r="381" spans="1:3" ht="16.2" thickBot="1">
      <c r="A381" s="31">
        <v>380</v>
      </c>
      <c r="B381" s="9" t="s">
        <v>625</v>
      </c>
      <c r="C381" s="104">
        <v>350</v>
      </c>
    </row>
    <row r="382" spans="1:3" ht="16.2" thickBot="1">
      <c r="A382" s="31">
        <v>381</v>
      </c>
      <c r="B382" s="9" t="s">
        <v>147</v>
      </c>
      <c r="C382" s="102">
        <v>500</v>
      </c>
    </row>
    <row r="383" spans="1:3" ht="16.2" thickBot="1">
      <c r="A383" s="31">
        <v>382</v>
      </c>
      <c r="B383" s="24" t="s">
        <v>566</v>
      </c>
      <c r="C383" s="101">
        <v>400</v>
      </c>
    </row>
    <row r="384" spans="1:3" ht="16.2" thickBot="1">
      <c r="A384" s="31">
        <v>383</v>
      </c>
      <c r="B384" s="9" t="s">
        <v>148</v>
      </c>
      <c r="C384" s="102">
        <v>550</v>
      </c>
    </row>
    <row r="385" spans="1:3" ht="16.2" thickBot="1">
      <c r="A385" s="31">
        <v>384</v>
      </c>
      <c r="B385" s="9" t="s">
        <v>415</v>
      </c>
      <c r="C385" s="104">
        <v>150</v>
      </c>
    </row>
    <row r="386" spans="1:3" ht="16.2" thickBot="1">
      <c r="A386" s="31">
        <v>385</v>
      </c>
      <c r="B386" s="9" t="s">
        <v>149</v>
      </c>
      <c r="C386" s="102">
        <v>100</v>
      </c>
    </row>
    <row r="387" spans="1:3" ht="15.6">
      <c r="A387" s="61">
        <v>386</v>
      </c>
      <c r="B387" s="62" t="s">
        <v>150</v>
      </c>
      <c r="C387" s="112">
        <v>400</v>
      </c>
    </row>
    <row r="388" spans="1:3" ht="15.6">
      <c r="A388" s="63">
        <v>387</v>
      </c>
      <c r="B388" s="9" t="s">
        <v>386</v>
      </c>
      <c r="C388" s="113">
        <v>500</v>
      </c>
    </row>
    <row r="389" spans="1:3" ht="15.6">
      <c r="A389" s="63">
        <v>388</v>
      </c>
      <c r="B389" s="24" t="s">
        <v>151</v>
      </c>
      <c r="C389" s="114">
        <v>700</v>
      </c>
    </row>
    <row r="390" spans="1:3" ht="15.6">
      <c r="A390" s="63">
        <v>389</v>
      </c>
      <c r="B390" s="24" t="s">
        <v>626</v>
      </c>
      <c r="C390" s="114">
        <v>200</v>
      </c>
    </row>
    <row r="391" spans="1:3" ht="15.6">
      <c r="A391" s="63">
        <v>390</v>
      </c>
      <c r="B391" s="24" t="s">
        <v>627</v>
      </c>
      <c r="C391" s="114">
        <v>1800</v>
      </c>
    </row>
    <row r="392" spans="1:3" ht="15.6">
      <c r="A392" s="63">
        <v>391</v>
      </c>
      <c r="B392" s="24" t="s">
        <v>628</v>
      </c>
      <c r="C392" s="114">
        <v>1850</v>
      </c>
    </row>
    <row r="393" spans="1:3" ht="15.6">
      <c r="A393" s="63">
        <v>392</v>
      </c>
      <c r="B393" s="24" t="s">
        <v>629</v>
      </c>
      <c r="C393" s="114">
        <v>900</v>
      </c>
    </row>
    <row r="394" spans="1:3" ht="15.6">
      <c r="A394" s="63">
        <v>393</v>
      </c>
      <c r="B394" s="24" t="s">
        <v>630</v>
      </c>
      <c r="C394" s="114">
        <v>800</v>
      </c>
    </row>
    <row r="395" spans="1:3" ht="15.6">
      <c r="A395" s="63">
        <v>394</v>
      </c>
      <c r="B395" s="24" t="s">
        <v>631</v>
      </c>
      <c r="C395" s="114">
        <v>300</v>
      </c>
    </row>
    <row r="396" spans="1:3" ht="15.6">
      <c r="A396" s="63">
        <v>395</v>
      </c>
      <c r="B396" s="24" t="s">
        <v>632</v>
      </c>
      <c r="C396" s="114">
        <v>200</v>
      </c>
    </row>
    <row r="397" spans="1:3" ht="15.6">
      <c r="A397" s="63">
        <v>396</v>
      </c>
      <c r="B397" s="24" t="s">
        <v>633</v>
      </c>
      <c r="C397" s="114">
        <v>300</v>
      </c>
    </row>
    <row r="398" spans="1:3" ht="15.6">
      <c r="A398" s="63">
        <v>397</v>
      </c>
      <c r="B398" s="24" t="s">
        <v>634</v>
      </c>
      <c r="C398" s="114">
        <v>1500</v>
      </c>
    </row>
    <row r="399" spans="1:3" ht="15.6">
      <c r="A399" s="63">
        <v>398</v>
      </c>
      <c r="B399" s="24" t="s">
        <v>635</v>
      </c>
      <c r="C399" s="114">
        <v>350</v>
      </c>
    </row>
    <row r="400" spans="1:3" ht="15.6">
      <c r="A400" s="63">
        <v>399</v>
      </c>
      <c r="B400" s="24" t="s">
        <v>636</v>
      </c>
      <c r="C400" s="114">
        <v>750</v>
      </c>
    </row>
    <row r="401" spans="1:3" ht="15.6">
      <c r="A401" s="63">
        <v>400</v>
      </c>
      <c r="B401" s="24" t="s">
        <v>580</v>
      </c>
      <c r="C401" s="114">
        <v>1000</v>
      </c>
    </row>
    <row r="402" spans="1:3" ht="15.6">
      <c r="A402" s="63">
        <v>401</v>
      </c>
      <c r="B402" s="24" t="s">
        <v>581</v>
      </c>
      <c r="C402" s="114">
        <v>500</v>
      </c>
    </row>
    <row r="403" spans="1:3" ht="15.6">
      <c r="A403" s="63">
        <v>402</v>
      </c>
      <c r="B403" s="24" t="s">
        <v>637</v>
      </c>
      <c r="C403" s="114">
        <v>75</v>
      </c>
    </row>
    <row r="404" spans="1:3" ht="15.6">
      <c r="A404" s="63">
        <v>403</v>
      </c>
      <c r="B404" s="24" t="s">
        <v>638</v>
      </c>
      <c r="C404" s="114">
        <v>15000</v>
      </c>
    </row>
    <row r="405" spans="1:3" ht="15.6">
      <c r="A405" s="63">
        <v>404</v>
      </c>
      <c r="B405" s="24" t="s">
        <v>639</v>
      </c>
      <c r="C405" s="114">
        <v>900</v>
      </c>
    </row>
    <row r="406" spans="1:3" ht="15.6">
      <c r="A406" s="63">
        <v>405</v>
      </c>
      <c r="B406" s="24" t="s">
        <v>589</v>
      </c>
      <c r="C406" s="114">
        <v>60</v>
      </c>
    </row>
    <row r="407" spans="1:3" ht="15.6">
      <c r="A407" s="63">
        <v>406</v>
      </c>
      <c r="B407" s="24" t="s">
        <v>585</v>
      </c>
      <c r="C407" s="114">
        <v>100</v>
      </c>
    </row>
    <row r="408" spans="1:3" ht="15.6">
      <c r="A408" s="63">
        <v>407</v>
      </c>
      <c r="B408" s="24" t="s">
        <v>640</v>
      </c>
      <c r="C408" s="114">
        <v>750</v>
      </c>
    </row>
    <row r="409" spans="1:3" ht="15.6">
      <c r="A409" s="63">
        <v>408</v>
      </c>
      <c r="B409" s="24" t="s">
        <v>592</v>
      </c>
      <c r="C409" s="114">
        <v>350</v>
      </c>
    </row>
    <row r="410" spans="1:3" ht="15.6">
      <c r="A410" s="63">
        <v>409</v>
      </c>
      <c r="B410" s="24" t="s">
        <v>593</v>
      </c>
      <c r="C410" s="114">
        <v>450</v>
      </c>
    </row>
    <row r="411" spans="1:3" ht="15.6">
      <c r="A411" s="63">
        <v>410</v>
      </c>
      <c r="B411" s="24" t="s">
        <v>641</v>
      </c>
      <c r="C411" s="114">
        <v>800</v>
      </c>
    </row>
    <row r="412" spans="1:3" ht="15.6">
      <c r="A412" s="63">
        <v>411</v>
      </c>
      <c r="B412" s="24" t="s">
        <v>642</v>
      </c>
      <c r="C412" s="114">
        <v>150</v>
      </c>
    </row>
    <row r="413" spans="1:3" ht="15.6">
      <c r="A413" s="63">
        <v>412</v>
      </c>
      <c r="B413" s="24" t="s">
        <v>643</v>
      </c>
      <c r="C413" s="114">
        <v>100</v>
      </c>
    </row>
    <row r="414" spans="1:3" ht="15.6">
      <c r="A414" s="63">
        <v>413</v>
      </c>
      <c r="B414" s="24" t="s">
        <v>594</v>
      </c>
      <c r="C414" s="114">
        <v>3800</v>
      </c>
    </row>
    <row r="415" spans="1:3" ht="15.6">
      <c r="A415" s="63">
        <v>414</v>
      </c>
      <c r="B415" s="24" t="s">
        <v>644</v>
      </c>
      <c r="C415" s="114">
        <v>400</v>
      </c>
    </row>
    <row r="416" spans="1:3" ht="15.6">
      <c r="A416" s="63">
        <v>415</v>
      </c>
      <c r="B416" s="24" t="s">
        <v>645</v>
      </c>
      <c r="C416" s="114">
        <v>200</v>
      </c>
    </row>
    <row r="417" spans="1:3" ht="15.6">
      <c r="A417" s="63">
        <v>416</v>
      </c>
      <c r="B417" s="24" t="s">
        <v>646</v>
      </c>
      <c r="C417" s="114">
        <v>550</v>
      </c>
    </row>
    <row r="418" spans="1:3" ht="15.6">
      <c r="A418" s="63">
        <v>417</v>
      </c>
      <c r="B418" s="24" t="s">
        <v>659</v>
      </c>
      <c r="C418" s="114">
        <v>3900</v>
      </c>
    </row>
    <row r="419" spans="1:3" ht="15.6">
      <c r="A419" s="63">
        <v>418</v>
      </c>
      <c r="B419" s="64" t="s">
        <v>647</v>
      </c>
      <c r="C419" s="114">
        <v>30000</v>
      </c>
    </row>
    <row r="420" spans="1:3">
      <c r="A420" s="63">
        <v>419</v>
      </c>
      <c r="B420" s="65" t="s">
        <v>648</v>
      </c>
      <c r="C420" s="115">
        <v>550</v>
      </c>
    </row>
    <row r="421" spans="1:3" ht="15.6">
      <c r="A421" s="63">
        <v>420</v>
      </c>
      <c r="B421" s="69" t="s">
        <v>651</v>
      </c>
      <c r="C421" s="113">
        <v>5000</v>
      </c>
    </row>
    <row r="422" spans="1:3" ht="15.6">
      <c r="A422" s="63">
        <v>421</v>
      </c>
      <c r="B422" s="24" t="s">
        <v>655</v>
      </c>
      <c r="C422" s="116">
        <v>1100</v>
      </c>
    </row>
    <row r="423" spans="1:3">
      <c r="A423" s="63">
        <v>422</v>
      </c>
      <c r="B423" s="71" t="s">
        <v>656</v>
      </c>
      <c r="C423" s="117">
        <v>5600</v>
      </c>
    </row>
    <row r="424" spans="1:3" ht="15.6">
      <c r="A424" s="63">
        <v>423</v>
      </c>
      <c r="B424" s="72" t="s">
        <v>657</v>
      </c>
      <c r="C424" s="118">
        <v>1850</v>
      </c>
    </row>
    <row r="425" spans="1:3" ht="15.6">
      <c r="A425" s="63">
        <v>424</v>
      </c>
      <c r="B425" s="72" t="s">
        <v>658</v>
      </c>
      <c r="C425" s="118">
        <v>925</v>
      </c>
    </row>
    <row r="426" spans="1:3" ht="15.6">
      <c r="A426" s="63">
        <v>425</v>
      </c>
      <c r="B426" s="69" t="s">
        <v>660</v>
      </c>
      <c r="C426" s="119">
        <v>130000</v>
      </c>
    </row>
    <row r="427" spans="1:3" ht="15.6">
      <c r="A427" s="63">
        <v>426</v>
      </c>
      <c r="B427" s="72" t="s">
        <v>661</v>
      </c>
      <c r="C427" s="120">
        <v>400</v>
      </c>
    </row>
    <row r="428" spans="1:3" ht="15.6">
      <c r="A428" s="63">
        <v>427</v>
      </c>
      <c r="B428" s="72" t="s">
        <v>662</v>
      </c>
      <c r="C428" s="120">
        <v>275</v>
      </c>
    </row>
    <row r="429" spans="1:3" ht="15.6">
      <c r="A429" s="63">
        <v>428</v>
      </c>
      <c r="B429" s="72" t="s">
        <v>663</v>
      </c>
      <c r="C429" s="120">
        <v>400</v>
      </c>
    </row>
    <row r="430" spans="1:3" ht="15.6">
      <c r="A430" s="63">
        <v>429</v>
      </c>
      <c r="B430" s="73" t="s">
        <v>664</v>
      </c>
      <c r="C430" s="121">
        <v>400</v>
      </c>
    </row>
    <row r="431" spans="1:3" ht="15.6">
      <c r="A431" s="63">
        <v>430</v>
      </c>
      <c r="B431" s="75" t="s">
        <v>674</v>
      </c>
      <c r="C431" s="121">
        <v>100</v>
      </c>
    </row>
    <row r="432" spans="1:3" ht="15.6">
      <c r="A432" s="63">
        <v>431</v>
      </c>
      <c r="B432" s="73" t="s">
        <v>675</v>
      </c>
      <c r="C432" s="121">
        <v>200</v>
      </c>
    </row>
    <row r="433" spans="1:3" ht="15.6">
      <c r="A433" s="63">
        <v>432</v>
      </c>
      <c r="B433" s="73" t="s">
        <v>676</v>
      </c>
      <c r="C433" s="121">
        <v>150</v>
      </c>
    </row>
    <row r="434" spans="1:3" ht="15.6">
      <c r="A434" s="63">
        <v>433</v>
      </c>
      <c r="B434" s="73" t="s">
        <v>677</v>
      </c>
      <c r="C434" s="121">
        <v>1750</v>
      </c>
    </row>
    <row r="435" spans="1:3" ht="15.6">
      <c r="A435" s="63">
        <v>434</v>
      </c>
      <c r="B435" s="76" t="s">
        <v>651</v>
      </c>
      <c r="C435" s="121">
        <v>50000</v>
      </c>
    </row>
    <row r="436" spans="1:3" ht="15.6">
      <c r="A436" s="63">
        <v>435</v>
      </c>
      <c r="B436" s="72" t="s">
        <v>683</v>
      </c>
      <c r="C436" s="120">
        <v>800</v>
      </c>
    </row>
    <row r="437" spans="1:3" ht="15.6">
      <c r="A437" s="63">
        <v>436</v>
      </c>
      <c r="B437" s="72" t="s">
        <v>684</v>
      </c>
      <c r="C437" s="120">
        <v>1600</v>
      </c>
    </row>
    <row r="438" spans="1:3" ht="15.6">
      <c r="A438" s="63">
        <v>437</v>
      </c>
      <c r="B438" s="72" t="s">
        <v>685</v>
      </c>
      <c r="C438" s="120">
        <v>1200</v>
      </c>
    </row>
    <row r="439" spans="1:3" ht="15.6">
      <c r="A439" s="63">
        <v>438</v>
      </c>
      <c r="B439" s="69" t="s">
        <v>595</v>
      </c>
      <c r="C439" s="121">
        <v>2000</v>
      </c>
    </row>
    <row r="440" spans="1:3" ht="15.6">
      <c r="A440" s="63">
        <v>439</v>
      </c>
      <c r="B440" s="72" t="s">
        <v>687</v>
      </c>
      <c r="C440" s="118">
        <v>450</v>
      </c>
    </row>
    <row r="441" spans="1:3" ht="15.6">
      <c r="A441" s="63">
        <v>440</v>
      </c>
      <c r="B441" s="72" t="s">
        <v>688</v>
      </c>
      <c r="C441" s="118">
        <v>450</v>
      </c>
    </row>
    <row r="442" spans="1:3" ht="15.6">
      <c r="A442" s="63">
        <v>441</v>
      </c>
      <c r="B442" s="72" t="s">
        <v>689</v>
      </c>
      <c r="C442" s="118">
        <v>750</v>
      </c>
    </row>
    <row r="443" spans="1:3" ht="15.6">
      <c r="A443" s="63">
        <v>442</v>
      </c>
      <c r="B443" s="76" t="s">
        <v>692</v>
      </c>
      <c r="C443" s="122">
        <v>850</v>
      </c>
    </row>
    <row r="444" spans="1:3" ht="15.6">
      <c r="A444" s="63">
        <v>443</v>
      </c>
      <c r="B444" s="76" t="s">
        <v>693</v>
      </c>
      <c r="C444" s="122">
        <v>2400</v>
      </c>
    </row>
    <row r="445" spans="1:3" ht="15.6">
      <c r="A445" s="63">
        <v>444</v>
      </c>
      <c r="B445" s="76" t="s">
        <v>694</v>
      </c>
      <c r="C445" s="122">
        <v>2800</v>
      </c>
    </row>
    <row r="446" spans="1:3" ht="15.6">
      <c r="A446" s="63">
        <v>445</v>
      </c>
      <c r="B446" s="76" t="s">
        <v>695</v>
      </c>
      <c r="C446" s="122">
        <v>3000</v>
      </c>
    </row>
    <row r="447" spans="1:3" ht="15.6">
      <c r="A447" s="63">
        <v>446</v>
      </c>
      <c r="B447" s="76" t="s">
        <v>696</v>
      </c>
      <c r="C447" s="122">
        <v>1400</v>
      </c>
    </row>
    <row r="448" spans="1:3" ht="15.6">
      <c r="A448" s="63">
        <v>447</v>
      </c>
      <c r="B448" s="72" t="s">
        <v>705</v>
      </c>
      <c r="C448" s="118">
        <v>2000</v>
      </c>
    </row>
    <row r="449" spans="1:3" ht="15.6">
      <c r="A449" s="63">
        <v>448</v>
      </c>
      <c r="B449" s="72" t="s">
        <v>706</v>
      </c>
      <c r="C449" s="118">
        <v>2000</v>
      </c>
    </row>
    <row r="450" spans="1:3" ht="15.6">
      <c r="A450" s="63">
        <v>449</v>
      </c>
      <c r="B450" s="76" t="s">
        <v>707</v>
      </c>
      <c r="C450" s="122">
        <v>700</v>
      </c>
    </row>
    <row r="451" spans="1:3" ht="15.6">
      <c r="B451" s="74" t="s">
        <v>711</v>
      </c>
      <c r="C451" s="122">
        <v>1500</v>
      </c>
    </row>
    <row r="452" spans="1:3" ht="15.6">
      <c r="B452" s="98" t="s">
        <v>712</v>
      </c>
      <c r="C452" s="122">
        <v>2500</v>
      </c>
    </row>
    <row r="453" spans="1:3" ht="15.6">
      <c r="B453" s="98" t="s">
        <v>714</v>
      </c>
      <c r="C453" s="122">
        <v>60000</v>
      </c>
    </row>
    <row r="454" spans="1:3" ht="15.6">
      <c r="B454" s="41" t="s">
        <v>713</v>
      </c>
      <c r="C454" s="122">
        <v>300</v>
      </c>
    </row>
    <row r="455" spans="1:3" ht="15.6">
      <c r="B455" s="99" t="s">
        <v>715</v>
      </c>
      <c r="C455" s="122">
        <v>60000</v>
      </c>
    </row>
    <row r="456" spans="1:3">
      <c r="B456" t="s">
        <v>716</v>
      </c>
      <c r="C456" s="123">
        <v>4000</v>
      </c>
    </row>
  </sheetData>
  <sheetProtection formatCells="0" formatColumns="0" formatRows="0" insertColumns="0" insertRows="0" insertHyperlinks="0" deleteColumns="0" deleteRows="0" sort="0" autoFilter="0" pivotTables="0"/>
  <autoFilter ref="A1:C229" xr:uid="{00000000-0001-0000-0100-000000000000}">
    <sortState xmlns:xlrd2="http://schemas.microsoft.com/office/spreadsheetml/2017/richdata2" ref="A8:C438">
      <sortCondition ref="B1:B229"/>
    </sortState>
  </autoFilter>
  <mergeCells count="2">
    <mergeCell ref="A1:C3"/>
    <mergeCell ref="A4:C6"/>
  </mergeCells>
  <conditionalFormatting sqref="B1:B3 B421:B450 B452:B453 B456:B1048576">
    <cfRule type="duplicateValues" dxfId="53" priority="15"/>
  </conditionalFormatting>
  <conditionalFormatting sqref="B1:B450 B452:B453 B456:B1048576">
    <cfRule type="duplicateValues" dxfId="52" priority="7"/>
  </conditionalFormatting>
  <conditionalFormatting sqref="B4:B419">
    <cfRule type="duplicateValues" dxfId="51" priority="8"/>
    <cfRule type="duplicateValues" dxfId="50" priority="9"/>
  </conditionalFormatting>
  <conditionalFormatting sqref="B125:B419 B4:B123">
    <cfRule type="duplicateValues" dxfId="49" priority="11"/>
  </conditionalFormatting>
  <conditionalFormatting sqref="B451">
    <cfRule type="duplicateValues" dxfId="48" priority="4"/>
    <cfRule type="duplicateValues" dxfId="47" priority="5"/>
    <cfRule type="duplicateValues" dxfId="46" priority="6"/>
  </conditionalFormatting>
  <conditionalFormatting sqref="B454">
    <cfRule type="duplicateValues" dxfId="45" priority="1"/>
    <cfRule type="duplicateValues" dxfId="44" priority="2"/>
    <cfRule type="duplicateValues" dxfId="43" priority="3"/>
  </conditionalFormatting>
  <conditionalFormatting sqref="D61">
    <cfRule type="duplicateValues" dxfId="42" priority="10"/>
  </conditionalFormatting>
  <hyperlinks>
    <hyperlink ref="B80" r:id="rId1" display="Ch Jalfrezi" xr:uid="{B4D82F39-6608-4C88-AC67-6A7C6B00E4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D8D3-F36C-4E0B-82B3-1050FBB03C3F}">
  <sheetPr codeName="Sheet5">
    <pageSetUpPr fitToPage="1"/>
  </sheetPr>
  <dimension ref="A1:I48"/>
  <sheetViews>
    <sheetView zoomScale="70" zoomScaleNormal="70" workbookViewId="0">
      <selection activeCell="N18" sqref="N18"/>
    </sheetView>
  </sheetViews>
  <sheetFormatPr defaultColWidth="9" defaultRowHeight="13.8"/>
  <cols>
    <col min="1" max="1" width="43.33203125" style="43" customWidth="1"/>
    <col min="2" max="2" width="25" style="43" customWidth="1"/>
    <col min="3" max="3" width="24.6640625" style="43" customWidth="1"/>
    <col min="4" max="4" width="25.33203125" style="43" customWidth="1"/>
    <col min="5" max="5" width="7" style="43" customWidth="1"/>
    <col min="6" max="6" width="40.6640625" style="43" customWidth="1"/>
    <col min="7" max="7" width="25" style="43" customWidth="1"/>
    <col min="8" max="8" width="24.6640625" style="43" customWidth="1"/>
    <col min="9" max="9" width="25.33203125" style="43" customWidth="1"/>
    <col min="10" max="16384" width="9" style="43"/>
  </cols>
  <sheetData>
    <row r="1" spans="1:9" ht="76.5" customHeight="1">
      <c r="A1" s="147"/>
      <c r="B1" s="148"/>
      <c r="C1" s="148"/>
      <c r="D1" s="149"/>
      <c r="F1" s="147"/>
      <c r="G1" s="148"/>
      <c r="H1" s="148"/>
      <c r="I1" s="149"/>
    </row>
    <row r="2" spans="1:9" ht="15.75" customHeight="1">
      <c r="A2" s="150"/>
      <c r="B2" s="151"/>
      <c r="C2" s="151"/>
      <c r="D2" s="152"/>
      <c r="F2" s="150"/>
      <c r="G2" s="151"/>
      <c r="H2" s="151"/>
      <c r="I2" s="152"/>
    </row>
    <row r="3" spans="1:9" ht="30">
      <c r="A3" s="153" t="s">
        <v>0</v>
      </c>
      <c r="B3" s="154"/>
      <c r="C3" s="154"/>
      <c r="D3" s="155"/>
      <c r="F3" s="153" t="s">
        <v>0</v>
      </c>
      <c r="G3" s="154"/>
      <c r="H3" s="154"/>
      <c r="I3" s="155"/>
    </row>
    <row r="4" spans="1:9">
      <c r="A4" s="44"/>
      <c r="D4" s="45"/>
      <c r="F4" s="44"/>
      <c r="I4" s="45"/>
    </row>
    <row r="5" spans="1:9">
      <c r="A5" s="11"/>
      <c r="D5" s="45"/>
      <c r="F5" s="11"/>
      <c r="I5" s="45"/>
    </row>
    <row r="6" spans="1:9" ht="26.25" customHeight="1">
      <c r="A6" s="44"/>
      <c r="D6" s="45"/>
      <c r="F6" s="44"/>
      <c r="I6" s="45"/>
    </row>
    <row r="7" spans="1:9" ht="48" customHeight="1">
      <c r="A7" s="156" t="s">
        <v>1</v>
      </c>
      <c r="B7" s="157"/>
      <c r="C7" s="157"/>
      <c r="D7" s="158"/>
      <c r="E7" s="46"/>
      <c r="F7" s="156" t="s">
        <v>1</v>
      </c>
      <c r="G7" s="157"/>
      <c r="H7" s="157"/>
      <c r="I7" s="158"/>
    </row>
    <row r="8" spans="1:9">
      <c r="A8" s="44"/>
      <c r="D8" s="45"/>
      <c r="F8" s="44"/>
      <c r="I8" s="45"/>
    </row>
    <row r="9" spans="1:9" ht="22.8">
      <c r="A9" s="12" t="s">
        <v>2</v>
      </c>
      <c r="D9" s="45"/>
      <c r="F9" s="12" t="s">
        <v>2</v>
      </c>
      <c r="I9" s="45"/>
    </row>
    <row r="10" spans="1:9">
      <c r="A10" s="44"/>
      <c r="D10" s="45"/>
      <c r="F10" s="44"/>
      <c r="I10" s="45"/>
    </row>
    <row r="11" spans="1:9" ht="21.75" customHeight="1">
      <c r="A11" s="13" t="s">
        <v>3</v>
      </c>
      <c r="B11" s="143" t="s">
        <v>215</v>
      </c>
      <c r="C11" s="143"/>
      <c r="D11" s="45"/>
      <c r="F11" s="13" t="s">
        <v>3</v>
      </c>
      <c r="G11" s="137" t="str">
        <f>B11</f>
        <v>HCFM-0534</v>
      </c>
      <c r="H11" s="137"/>
      <c r="I11" s="45"/>
    </row>
    <row r="12" spans="1:9" ht="21.75" customHeight="1">
      <c r="A12" s="14" t="s">
        <v>5</v>
      </c>
      <c r="B12" s="144" t="str">
        <f>VLOOKUP(B11,'Member information'!A:B,2,FALSE)</f>
        <v>MR.PIR MUJEEB JAN SARHANDI</v>
      </c>
      <c r="C12" s="144"/>
      <c r="D12" s="45"/>
      <c r="F12" s="13" t="s">
        <v>5</v>
      </c>
      <c r="G12" s="137" t="str">
        <f>B12</f>
        <v>MR.PIR MUJEEB JAN SARHANDI</v>
      </c>
      <c r="H12" s="137"/>
      <c r="I12" s="45"/>
    </row>
    <row r="13" spans="1:9" ht="21.75" customHeight="1">
      <c r="A13" s="13" t="s">
        <v>6</v>
      </c>
      <c r="B13" s="145">
        <v>46020</v>
      </c>
      <c r="C13" s="145"/>
      <c r="D13" s="47"/>
      <c r="F13" s="13" t="s">
        <v>6</v>
      </c>
      <c r="G13" s="146">
        <f>B13</f>
        <v>46020</v>
      </c>
      <c r="H13" s="137"/>
      <c r="I13" s="45"/>
    </row>
    <row r="14" spans="1:9" ht="20.25" customHeight="1">
      <c r="A14" s="13" t="s">
        <v>572</v>
      </c>
      <c r="B14" s="136">
        <v>0.45978009259259262</v>
      </c>
      <c r="C14" s="137"/>
      <c r="D14" s="45"/>
      <c r="F14" s="13" t="str">
        <f>A14</f>
        <v>Time:</v>
      </c>
      <c r="G14" s="136">
        <f>B14</f>
        <v>0.45978009259259262</v>
      </c>
      <c r="H14" s="137"/>
      <c r="I14" s="45"/>
    </row>
    <row r="15" spans="1:9" ht="22.8">
      <c r="A15" s="12" t="s">
        <v>7</v>
      </c>
      <c r="D15" s="45"/>
      <c r="F15" s="12" t="s">
        <v>7</v>
      </c>
      <c r="I15" s="45"/>
    </row>
    <row r="16" spans="1:9">
      <c r="A16" s="44"/>
      <c r="D16" s="45"/>
      <c r="F16" s="44"/>
      <c r="I16" s="45"/>
    </row>
    <row r="17" spans="1:9" ht="30" customHeight="1">
      <c r="A17" s="15" t="s">
        <v>8</v>
      </c>
      <c r="B17" s="16" t="s">
        <v>9</v>
      </c>
      <c r="C17" s="16" t="s">
        <v>10</v>
      </c>
      <c r="D17" s="17" t="s">
        <v>11</v>
      </c>
      <c r="F17" s="15" t="s">
        <v>8</v>
      </c>
      <c r="G17" s="16" t="s">
        <v>9</v>
      </c>
      <c r="H17" s="16" t="s">
        <v>10</v>
      </c>
      <c r="I17" s="17" t="s">
        <v>11</v>
      </c>
    </row>
    <row r="18" spans="1:9" ht="15.6">
      <c r="A18" s="74" t="s">
        <v>717</v>
      </c>
      <c r="B18" s="38">
        <v>300</v>
      </c>
      <c r="C18" s="39">
        <v>905</v>
      </c>
      <c r="D18" s="127">
        <f>IF(C18&amp;B18="","",C18*B18)</f>
        <v>271500</v>
      </c>
      <c r="F18" s="13" t="str">
        <f>IF(A18="","",A18)</f>
        <v>BUFFET DINNER</v>
      </c>
      <c r="G18" s="39">
        <f>IF(B18="","",B18)</f>
        <v>300</v>
      </c>
      <c r="H18" s="39">
        <f>IF(C18="","",C18)</f>
        <v>905</v>
      </c>
      <c r="I18" s="127">
        <f t="shared" ref="I18:I31" si="0">IF(D18="","",D18)</f>
        <v>271500</v>
      </c>
    </row>
    <row r="19" spans="1:9" ht="16.5" customHeight="1">
      <c r="A19" s="41" t="s">
        <v>718</v>
      </c>
      <c r="B19" s="84">
        <v>2</v>
      </c>
      <c r="C19" s="39">
        <v>82500</v>
      </c>
      <c r="D19" s="127">
        <f t="shared" ref="D19:D31" si="1">IF(C19&amp;B19="","",C19*B19)</f>
        <v>165000</v>
      </c>
      <c r="F19" s="13" t="str">
        <f t="shared" ref="F19:H31" si="2">IF(A19="","",A19)</f>
        <v>VANU CHARGES</v>
      </c>
      <c r="G19" s="39">
        <f t="shared" si="2"/>
        <v>2</v>
      </c>
      <c r="H19" s="39">
        <f t="shared" si="2"/>
        <v>82500</v>
      </c>
      <c r="I19" s="127">
        <f t="shared" si="0"/>
        <v>165000</v>
      </c>
    </row>
    <row r="20" spans="1:9" ht="16.5" customHeight="1">
      <c r="A20" s="41"/>
      <c r="B20" s="42"/>
      <c r="C20" s="39" t="str">
        <f>IFERROR(VLOOKUP(A20,'Menu Items'!B:C,2,FALSE),"")</f>
        <v/>
      </c>
      <c r="D20" s="127" t="str">
        <f t="shared" si="1"/>
        <v/>
      </c>
      <c r="F20" s="13" t="str">
        <f t="shared" si="2"/>
        <v/>
      </c>
      <c r="G20" s="39" t="str">
        <f t="shared" si="2"/>
        <v/>
      </c>
      <c r="H20" s="39" t="str">
        <f t="shared" si="2"/>
        <v/>
      </c>
      <c r="I20" s="127" t="str">
        <f t="shared" si="0"/>
        <v/>
      </c>
    </row>
    <row r="21" spans="1:9" ht="16.5" customHeight="1">
      <c r="A21" s="83"/>
      <c r="B21" s="42"/>
      <c r="C21" s="39" t="str">
        <f>IFERROR(VLOOKUP(A21,'Menu Items'!B:C,2,FALSE),"")</f>
        <v/>
      </c>
      <c r="D21" s="127" t="str">
        <f>IF(C21&amp;B21="","",C21*B21)</f>
        <v/>
      </c>
      <c r="F21" s="13" t="str">
        <f t="shared" si="2"/>
        <v/>
      </c>
      <c r="G21" s="39" t="str">
        <f t="shared" si="2"/>
        <v/>
      </c>
      <c r="H21" s="39" t="str">
        <f>IF(C21="","",C21)</f>
        <v/>
      </c>
      <c r="I21" s="127" t="str">
        <f t="shared" si="0"/>
        <v/>
      </c>
    </row>
    <row r="22" spans="1:9" ht="16.5" customHeight="1">
      <c r="A22" s="41"/>
      <c r="B22" s="42"/>
      <c r="C22" s="39" t="str">
        <f>IFERROR(VLOOKUP(A22,'Menu Items'!B:C,2,FALSE),"")</f>
        <v/>
      </c>
      <c r="D22" s="40" t="str">
        <f t="shared" si="1"/>
        <v/>
      </c>
      <c r="F22" s="13" t="str">
        <f t="shared" si="2"/>
        <v/>
      </c>
      <c r="G22" s="39" t="str">
        <f t="shared" si="2"/>
        <v/>
      </c>
      <c r="H22" s="39" t="str">
        <f t="shared" si="2"/>
        <v/>
      </c>
      <c r="I22" s="127" t="str">
        <f t="shared" si="0"/>
        <v/>
      </c>
    </row>
    <row r="23" spans="1:9" ht="16.5" customHeight="1">
      <c r="A23" s="70"/>
      <c r="B23" s="42"/>
      <c r="C23" s="39" t="str">
        <f>IFERROR(VLOOKUP(A23,'Menu Items'!B:C,2,FALSE),"")</f>
        <v/>
      </c>
      <c r="D23" s="40" t="str">
        <f t="shared" si="1"/>
        <v/>
      </c>
      <c r="F23" s="13" t="str">
        <f t="shared" si="2"/>
        <v/>
      </c>
      <c r="G23" s="39" t="str">
        <f t="shared" si="2"/>
        <v/>
      </c>
      <c r="H23" s="39" t="str">
        <f t="shared" si="2"/>
        <v/>
      </c>
      <c r="I23" s="40" t="str">
        <f t="shared" si="0"/>
        <v/>
      </c>
    </row>
    <row r="24" spans="1:9" ht="16.5" customHeight="1">
      <c r="A24" s="41"/>
      <c r="B24" s="42"/>
      <c r="C24" s="39"/>
      <c r="D24" s="40" t="str">
        <f t="shared" si="1"/>
        <v/>
      </c>
      <c r="F24" s="13" t="str">
        <f t="shared" si="2"/>
        <v/>
      </c>
      <c r="G24" s="39" t="str">
        <f t="shared" si="2"/>
        <v/>
      </c>
      <c r="H24" s="39" t="str">
        <f t="shared" si="2"/>
        <v/>
      </c>
      <c r="I24" s="40" t="str">
        <f t="shared" si="0"/>
        <v/>
      </c>
    </row>
    <row r="25" spans="1:9" ht="16.5" customHeight="1">
      <c r="A25" s="41"/>
      <c r="B25" s="42"/>
      <c r="C25" s="39" t="str">
        <f>IFERROR(VLOOKUP(A25,'Menu Items'!B:C,2,FALSE),"")</f>
        <v/>
      </c>
      <c r="D25" s="40" t="str">
        <f t="shared" si="1"/>
        <v/>
      </c>
      <c r="F25" s="13" t="str">
        <f t="shared" si="2"/>
        <v/>
      </c>
      <c r="G25" s="39" t="str">
        <f t="shared" si="2"/>
        <v/>
      </c>
      <c r="H25" s="39" t="str">
        <f t="shared" si="2"/>
        <v/>
      </c>
      <c r="I25" s="40" t="str">
        <f t="shared" si="0"/>
        <v/>
      </c>
    </row>
    <row r="26" spans="1:9" ht="16.5" customHeight="1">
      <c r="A26" s="41"/>
      <c r="B26" s="42"/>
      <c r="C26" s="39" t="str">
        <f>IFERROR(VLOOKUP(A26,'Menu Items'!B:C,2,FALSE),"")</f>
        <v/>
      </c>
      <c r="D26" s="40" t="str">
        <f t="shared" si="1"/>
        <v/>
      </c>
      <c r="F26" s="13" t="str">
        <f t="shared" si="2"/>
        <v/>
      </c>
      <c r="G26" s="39" t="str">
        <f t="shared" si="2"/>
        <v/>
      </c>
      <c r="H26" s="39" t="str">
        <f t="shared" si="2"/>
        <v/>
      </c>
      <c r="I26" s="40" t="str">
        <f t="shared" si="0"/>
        <v/>
      </c>
    </row>
    <row r="27" spans="1:9" ht="16.5" customHeight="1">
      <c r="A27" s="41"/>
      <c r="B27" s="42"/>
      <c r="C27" s="39" t="str">
        <f>IFERROR(VLOOKUP(A27,'Menu Items'!B:C,2,FALSE),"")</f>
        <v/>
      </c>
      <c r="D27" s="40" t="str">
        <f t="shared" si="1"/>
        <v/>
      </c>
      <c r="F27" s="13" t="str">
        <f t="shared" si="2"/>
        <v/>
      </c>
      <c r="G27" s="39" t="str">
        <f t="shared" si="2"/>
        <v/>
      </c>
      <c r="H27" s="39" t="str">
        <f t="shared" si="2"/>
        <v/>
      </c>
      <c r="I27" s="40" t="str">
        <f t="shared" si="0"/>
        <v/>
      </c>
    </row>
    <row r="28" spans="1:9" ht="16.5" customHeight="1">
      <c r="A28" s="41"/>
      <c r="B28" s="42"/>
      <c r="C28" s="39" t="str">
        <f>IFERROR(VLOOKUP(A28,'Menu Items'!B:C,2,FALSE),"")</f>
        <v/>
      </c>
      <c r="D28" s="40" t="str">
        <f t="shared" si="1"/>
        <v/>
      </c>
      <c r="F28" s="13" t="str">
        <f t="shared" si="2"/>
        <v/>
      </c>
      <c r="G28" s="39" t="str">
        <f t="shared" si="2"/>
        <v/>
      </c>
      <c r="H28" s="39" t="str">
        <f t="shared" si="2"/>
        <v/>
      </c>
      <c r="I28" s="40" t="str">
        <f t="shared" si="0"/>
        <v/>
      </c>
    </row>
    <row r="29" spans="1:9" ht="16.5" customHeight="1">
      <c r="A29" s="41"/>
      <c r="B29" s="42"/>
      <c r="C29" s="39" t="str">
        <f>IFERROR(VLOOKUP(A29,'Menu Items'!B:C,2,FALSE),"")</f>
        <v/>
      </c>
      <c r="D29" s="40" t="str">
        <f t="shared" si="1"/>
        <v/>
      </c>
      <c r="F29" s="13" t="str">
        <f t="shared" si="2"/>
        <v/>
      </c>
      <c r="G29" s="39" t="str">
        <f t="shared" si="2"/>
        <v/>
      </c>
      <c r="H29" s="39" t="str">
        <f t="shared" si="2"/>
        <v/>
      </c>
      <c r="I29" s="40" t="str">
        <f t="shared" si="0"/>
        <v/>
      </c>
    </row>
    <row r="30" spans="1:9" ht="16.5" customHeight="1">
      <c r="A30" s="41"/>
      <c r="B30" s="42"/>
      <c r="C30" s="39" t="str">
        <f>IFERROR(VLOOKUP(A30,'Menu Items'!B:C,2,FALSE),"")</f>
        <v/>
      </c>
      <c r="D30" s="40" t="str">
        <f t="shared" si="1"/>
        <v/>
      </c>
      <c r="F30" s="13" t="str">
        <f t="shared" si="2"/>
        <v/>
      </c>
      <c r="G30" s="39" t="str">
        <f t="shared" si="2"/>
        <v/>
      </c>
      <c r="H30" s="39" t="str">
        <f t="shared" si="2"/>
        <v/>
      </c>
      <c r="I30" s="40" t="str">
        <f t="shared" si="0"/>
        <v/>
      </c>
    </row>
    <row r="31" spans="1:9" ht="16.5" customHeight="1">
      <c r="A31" s="41"/>
      <c r="B31" s="42"/>
      <c r="C31" s="39" t="str">
        <f>IFERROR(VLOOKUP(A31,'Menu Items'!B:C,2,FALSE),"")</f>
        <v/>
      </c>
      <c r="D31" s="40" t="str">
        <f t="shared" si="1"/>
        <v/>
      </c>
      <c r="F31" s="13" t="str">
        <f t="shared" si="2"/>
        <v/>
      </c>
      <c r="G31" s="39" t="str">
        <f t="shared" si="2"/>
        <v/>
      </c>
      <c r="H31" s="39" t="str">
        <f t="shared" si="2"/>
        <v/>
      </c>
      <c r="I31" s="40" t="str">
        <f t="shared" si="0"/>
        <v/>
      </c>
    </row>
    <row r="32" spans="1:9">
      <c r="A32" s="48"/>
      <c r="B32" s="49"/>
      <c r="C32" s="49"/>
      <c r="D32" s="50"/>
      <c r="F32" s="48"/>
      <c r="G32" s="49"/>
      <c r="H32" s="49"/>
      <c r="I32" s="50"/>
    </row>
    <row r="33" spans="1:9" ht="16.8">
      <c r="A33" s="51"/>
      <c r="D33" s="45"/>
      <c r="F33" s="44"/>
      <c r="I33" s="45"/>
    </row>
    <row r="34" spans="1:9" ht="17.399999999999999">
      <c r="A34" s="18" t="s">
        <v>597</v>
      </c>
      <c r="B34" s="124">
        <f>SUM(D18:D32)</f>
        <v>436500</v>
      </c>
      <c r="D34" s="45"/>
      <c r="F34" s="19" t="s">
        <v>598</v>
      </c>
      <c r="G34" s="125">
        <f>B34</f>
        <v>436500</v>
      </c>
      <c r="I34" s="45"/>
    </row>
    <row r="35" spans="1:9">
      <c r="A35" s="44"/>
      <c r="D35" s="45"/>
      <c r="F35" s="44"/>
      <c r="I35" s="45"/>
    </row>
    <row r="36" spans="1:9" ht="22.8">
      <c r="A36" s="12" t="s">
        <v>14</v>
      </c>
      <c r="D36" s="45"/>
      <c r="F36" s="12" t="s">
        <v>14</v>
      </c>
      <c r="I36" s="45"/>
    </row>
    <row r="37" spans="1:9">
      <c r="A37" s="44"/>
      <c r="D37" s="45"/>
      <c r="F37" s="44"/>
      <c r="I37" s="45"/>
    </row>
    <row r="38" spans="1:9" ht="30" customHeight="1">
      <c r="A38" s="20" t="s">
        <v>15</v>
      </c>
      <c r="B38" s="97">
        <f>B34*0.15</f>
        <v>65475</v>
      </c>
      <c r="D38" s="45"/>
      <c r="F38" s="20" t="s">
        <v>15</v>
      </c>
      <c r="G38" s="97">
        <f>B38</f>
        <v>65475</v>
      </c>
      <c r="I38" s="45"/>
    </row>
    <row r="39" spans="1:9">
      <c r="A39" s="44"/>
      <c r="D39" s="45"/>
      <c r="F39" s="44"/>
      <c r="I39" s="45"/>
    </row>
    <row r="40" spans="1:9" ht="25.5" customHeight="1">
      <c r="A40" s="138" t="s">
        <v>16</v>
      </c>
      <c r="B40" s="139"/>
      <c r="D40" s="45"/>
      <c r="F40" s="138" t="s">
        <v>16</v>
      </c>
      <c r="G40" s="139"/>
      <c r="I40" s="45"/>
    </row>
    <row r="41" spans="1:9">
      <c r="A41" s="44"/>
      <c r="D41" s="45"/>
      <c r="F41" s="44"/>
      <c r="I41" s="45"/>
    </row>
    <row r="42" spans="1:9" ht="30" customHeight="1">
      <c r="A42" s="21" t="s">
        <v>599</v>
      </c>
      <c r="B42" s="126">
        <f>SUM(B38,B34)</f>
        <v>501975</v>
      </c>
      <c r="D42" s="45"/>
      <c r="F42" s="21" t="s">
        <v>599</v>
      </c>
      <c r="G42" s="126">
        <f>SUM(G38,G34)</f>
        <v>501975</v>
      </c>
      <c r="I42" s="45"/>
    </row>
    <row r="43" spans="1:9">
      <c r="A43" s="11"/>
      <c r="D43" s="45"/>
      <c r="F43" s="11"/>
      <c r="I43" s="45"/>
    </row>
    <row r="44" spans="1:9" ht="15.6">
      <c r="A44" s="140"/>
      <c r="B44" s="141"/>
      <c r="C44" s="141"/>
      <c r="D44" s="142"/>
      <c r="F44" s="140"/>
      <c r="G44" s="141"/>
      <c r="H44" s="141"/>
      <c r="I44" s="142"/>
    </row>
    <row r="45" spans="1:9">
      <c r="A45" s="44"/>
      <c r="D45" s="45"/>
      <c r="F45" s="44"/>
      <c r="I45" s="45"/>
    </row>
    <row r="46" spans="1:9">
      <c r="A46" s="22"/>
      <c r="C46" s="134" t="s">
        <v>434</v>
      </c>
      <c r="D46" s="135"/>
      <c r="F46" s="22"/>
      <c r="H46" s="134" t="s">
        <v>17</v>
      </c>
      <c r="I46" s="135"/>
    </row>
    <row r="47" spans="1:9" ht="14.4" thickBot="1">
      <c r="A47" s="52"/>
      <c r="B47" s="53"/>
      <c r="C47" s="53"/>
      <c r="D47" s="54"/>
      <c r="F47" s="52"/>
      <c r="G47" s="53"/>
      <c r="H47" s="53"/>
      <c r="I47" s="54"/>
    </row>
    <row r="48" spans="1:9">
      <c r="A48" s="55"/>
      <c r="F48" s="55"/>
    </row>
  </sheetData>
  <mergeCells count="20">
    <mergeCell ref="A1:D2"/>
    <mergeCell ref="F1:I2"/>
    <mergeCell ref="A3:D3"/>
    <mergeCell ref="F3:I3"/>
    <mergeCell ref="A7:D7"/>
    <mergeCell ref="F7:I7"/>
    <mergeCell ref="B11:C11"/>
    <mergeCell ref="G11:H11"/>
    <mergeCell ref="B12:C12"/>
    <mergeCell ref="G12:H12"/>
    <mergeCell ref="B13:C13"/>
    <mergeCell ref="G13:H13"/>
    <mergeCell ref="C46:D46"/>
    <mergeCell ref="H46:I46"/>
    <mergeCell ref="B14:C14"/>
    <mergeCell ref="G14:H14"/>
    <mergeCell ref="A40:B40"/>
    <mergeCell ref="F40:G40"/>
    <mergeCell ref="A44:D44"/>
    <mergeCell ref="F44:I44"/>
  </mergeCells>
  <conditionalFormatting sqref="A18">
    <cfRule type="duplicateValues" dxfId="41" priority="42"/>
    <cfRule type="duplicateValues" dxfId="40" priority="41"/>
    <cfRule type="duplicateValues" dxfId="39" priority="40"/>
  </conditionalFormatting>
  <conditionalFormatting sqref="A19">
    <cfRule type="duplicateValues" dxfId="38" priority="71"/>
    <cfRule type="duplicateValues" dxfId="37" priority="72"/>
    <cfRule type="duplicateValues" dxfId="36" priority="70"/>
  </conditionalFormatting>
  <conditionalFormatting sqref="A19:A20">
    <cfRule type="duplicateValues" dxfId="35" priority="1"/>
    <cfRule type="duplicateValues" dxfId="34" priority="2"/>
    <cfRule type="duplicateValues" dxfId="33" priority="3"/>
  </conditionalFormatting>
  <conditionalFormatting sqref="A20">
    <cfRule type="duplicateValues" dxfId="32" priority="36"/>
    <cfRule type="duplicateValues" dxfId="31" priority="35"/>
    <cfRule type="duplicateValues" dxfId="30" priority="34"/>
  </conditionalFormatting>
  <conditionalFormatting sqref="A22">
    <cfRule type="duplicateValues" dxfId="29" priority="32"/>
    <cfRule type="duplicateValues" dxfId="28" priority="33"/>
    <cfRule type="duplicateValues" dxfId="27" priority="31"/>
  </conditionalFormatting>
  <conditionalFormatting sqref="A23">
    <cfRule type="duplicateValues" dxfId="26" priority="30"/>
    <cfRule type="duplicateValues" dxfId="25" priority="29"/>
    <cfRule type="duplicateValues" dxfId="24" priority="28"/>
  </conditionalFormatting>
  <conditionalFormatting sqref="A24">
    <cfRule type="duplicateValues" dxfId="23" priority="27"/>
    <cfRule type="duplicateValues" dxfId="22" priority="26"/>
    <cfRule type="duplicateValues" dxfId="21" priority="25"/>
  </conditionalFormatting>
  <conditionalFormatting sqref="A25">
    <cfRule type="duplicateValues" dxfId="20" priority="22"/>
    <cfRule type="duplicateValues" dxfId="19" priority="23"/>
    <cfRule type="duplicateValues" dxfId="18" priority="24"/>
  </conditionalFormatting>
  <conditionalFormatting sqref="A26">
    <cfRule type="duplicateValues" dxfId="17" priority="21"/>
    <cfRule type="duplicateValues" dxfId="16" priority="20"/>
    <cfRule type="duplicateValues" dxfId="15" priority="19"/>
  </conditionalFormatting>
  <conditionalFormatting sqref="A27">
    <cfRule type="duplicateValues" dxfId="14" priority="17"/>
    <cfRule type="duplicateValues" dxfId="13" priority="18"/>
    <cfRule type="duplicateValues" dxfId="12" priority="16"/>
  </conditionalFormatting>
  <conditionalFormatting sqref="A28">
    <cfRule type="duplicateValues" dxfId="11" priority="15"/>
    <cfRule type="duplicateValues" dxfId="10" priority="14"/>
    <cfRule type="duplicateValues" dxfId="9" priority="13"/>
  </conditionalFormatting>
  <conditionalFormatting sqref="A29">
    <cfRule type="duplicateValues" dxfId="8" priority="12"/>
    <cfRule type="duplicateValues" dxfId="7" priority="10"/>
    <cfRule type="duplicateValues" dxfId="6" priority="11"/>
  </conditionalFormatting>
  <conditionalFormatting sqref="A30">
    <cfRule type="duplicateValues" dxfId="5" priority="9"/>
    <cfRule type="duplicateValues" dxfId="4" priority="8"/>
    <cfRule type="duplicateValues" dxfId="3" priority="7"/>
  </conditionalFormatting>
  <conditionalFormatting sqref="A31">
    <cfRule type="duplicateValues" dxfId="2" priority="6"/>
    <cfRule type="duplicateValues" dxfId="1" priority="5"/>
    <cfRule type="duplicateValues" dxfId="0" priority="4"/>
  </conditionalFormatting>
  <pageMargins left="0.7" right="0.7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information</vt:lpstr>
      <vt:lpstr>Menu Items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Zubair</dc:creator>
  <cp:lastModifiedBy>M.Ibrahim Feroz</cp:lastModifiedBy>
  <cp:lastPrinted>2026-01-12T12:00:52Z</cp:lastPrinted>
  <dcterms:created xsi:type="dcterms:W3CDTF">2025-04-04T15:03:00Z</dcterms:created>
  <dcterms:modified xsi:type="dcterms:W3CDTF">2026-01-16T07:13:00Z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D1DF5D6483CF453281FF4A9AEA341BA0_12</vt:lpwstr>
  </property>
  <property fmtid="{D5CDD505-2E9C-101B-9397-08002B2CF9AE}" pid="3" name="KSOProductBuildVer">
    <vt:lpwstr>1033-12.2.0.20782</vt:lpwstr>
  </property>
</Properties>
</file>