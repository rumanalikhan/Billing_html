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ibrahim\DECEMBER 2025\"/>
    </mc:Choice>
  </mc:AlternateContent>
  <xr:revisionPtr revIDLastSave="0" documentId="13_ncr:1_{EECD939D-A216-4DDC-8A61-FCF372969890}" xr6:coauthVersionLast="47" xr6:coauthVersionMax="47" xr10:uidLastSave="{00000000-0000-0000-0000-000000000000}"/>
  <bookViews>
    <workbookView xWindow="-108" yWindow="-108" windowWidth="23256" windowHeight="12456" tabRatio="858" activeTab="4" xr2:uid="{00000000-000D-0000-FFFF-FFFF00000000}"/>
  </bookViews>
  <sheets>
    <sheet name="MEMBERS" sheetId="1" r:id="rId1"/>
    <sheet name="data base " sheetId="29" r:id="rId2"/>
    <sheet name="FIXED AMOUNT" sheetId="22" r:id="rId3"/>
    <sheet name="FACILITIES" sheetId="2" r:id="rId4"/>
    <sheet name="F &amp; B" sheetId="3" r:id="rId5"/>
    <sheet name="menu list" sheetId="4" r:id="rId6"/>
    <sheet name="EXTRACT" sheetId="30" r:id="rId7"/>
    <sheet name="REPORT" sheetId="31" r:id="rId8"/>
    <sheet name="CARD SALE" sheetId="17" r:id="rId9"/>
    <sheet name="BILL" sheetId="5" r:id="rId10"/>
    <sheet name="MIS" sheetId="6" r:id="rId11"/>
    <sheet name="recovery report" sheetId="16" r:id="rId12"/>
    <sheet name="LEFT MEMBERS" sheetId="7" r:id="rId13"/>
  </sheets>
  <definedNames>
    <definedName name="_xlnm._FilterDatabase" localSheetId="9" hidden="1">BILL!$A$45:$F$48</definedName>
    <definedName name="_xlnm._FilterDatabase" localSheetId="8" hidden="1">'CARD SALE'!$A$4:$I$4</definedName>
    <definedName name="_xlnm._FilterDatabase" localSheetId="1" hidden="1">'data base '!$A$1:$AE$124</definedName>
    <definedName name="_xlnm._FilterDatabase" localSheetId="4" hidden="1">'F &amp; B'!$A$1:$L$1446</definedName>
    <definedName name="_xlnm._FilterDatabase" localSheetId="3" hidden="1">FACILITIES!$A$1:$U$349</definedName>
    <definedName name="_xlnm._FilterDatabase" localSheetId="2" hidden="1">'FIXED AMOUNT'!$A$1:$V$1</definedName>
    <definedName name="_xlnm._FilterDatabase" localSheetId="0" hidden="1">MEMBERS!$A$4:$F$119</definedName>
    <definedName name="_xlnm._FilterDatabase" localSheetId="5" hidden="1">'menu list'!$B$1:$C$1</definedName>
    <definedName name="_xlnm._FilterDatabase" localSheetId="10" hidden="1">MIS!$A$1:$AD$123</definedName>
    <definedName name="_xlnm.Print_Area" localSheetId="9">BILL!$A$1:$F$199</definedName>
  </definedNames>
  <calcPr calcId="191029"/>
  <pivotCaches>
    <pivotCache cacheId="0" r:id="rId14"/>
    <pivotCache cacheId="1" r:id="rId15"/>
  </pivotCaches>
</workbook>
</file>

<file path=xl/calcChain.xml><?xml version="1.0" encoding="utf-8"?>
<calcChain xmlns="http://schemas.openxmlformats.org/spreadsheetml/2006/main">
  <c r="C1440" i="3" l="1"/>
  <c r="C1441" i="3"/>
  <c r="C1433" i="3"/>
  <c r="C1434" i="3"/>
  <c r="C1435" i="3"/>
  <c r="C1436" i="3"/>
  <c r="C1437" i="3"/>
  <c r="C1438" i="3"/>
  <c r="C1425" i="3"/>
  <c r="C1426" i="3"/>
  <c r="C1427" i="3"/>
  <c r="C1428" i="3"/>
  <c r="C1429" i="3"/>
  <c r="C1430" i="3"/>
  <c r="C1431" i="3"/>
  <c r="C1421" i="3"/>
  <c r="C1416" i="3"/>
  <c r="C1417" i="3"/>
  <c r="C1418" i="3"/>
  <c r="C1419" i="3"/>
  <c r="A1422" i="3"/>
  <c r="C1422" i="3"/>
  <c r="G1422" i="3"/>
  <c r="H1422" i="3" s="1"/>
  <c r="A1423" i="3"/>
  <c r="C1423" i="3"/>
  <c r="G1423" i="3"/>
  <c r="H1423" i="3" s="1"/>
  <c r="A1424" i="3"/>
  <c r="C1424" i="3"/>
  <c r="G1424" i="3"/>
  <c r="H1424" i="3" s="1"/>
  <c r="A1425" i="3"/>
  <c r="G1425" i="3"/>
  <c r="H1425" i="3" s="1"/>
  <c r="A1426" i="3"/>
  <c r="G1426" i="3"/>
  <c r="H1426" i="3" s="1"/>
  <c r="A1427" i="3"/>
  <c r="G1427" i="3"/>
  <c r="H1427" i="3" s="1"/>
  <c r="A1428" i="3"/>
  <c r="G1428" i="3"/>
  <c r="H1428" i="3" s="1"/>
  <c r="I1428" i="3" s="1"/>
  <c r="A1429" i="3"/>
  <c r="G1429" i="3"/>
  <c r="H1429" i="3" s="1"/>
  <c r="A1430" i="3"/>
  <c r="G1430" i="3"/>
  <c r="H1430" i="3" s="1"/>
  <c r="A1431" i="3"/>
  <c r="G1431" i="3"/>
  <c r="H1431" i="3" s="1"/>
  <c r="A1432" i="3"/>
  <c r="C1432" i="3"/>
  <c r="G1432" i="3"/>
  <c r="H1432" i="3" s="1"/>
  <c r="A1433" i="3"/>
  <c r="G1433" i="3"/>
  <c r="H1433" i="3" s="1"/>
  <c r="A1434" i="3"/>
  <c r="G1434" i="3"/>
  <c r="A1435" i="3"/>
  <c r="G1435" i="3"/>
  <c r="H1435" i="3" s="1"/>
  <c r="A1436" i="3"/>
  <c r="G1436" i="3"/>
  <c r="H1436" i="3" s="1"/>
  <c r="I1436" i="3" s="1"/>
  <c r="A1437" i="3"/>
  <c r="G1437" i="3"/>
  <c r="H1437" i="3" s="1"/>
  <c r="A1438" i="3"/>
  <c r="G1438" i="3"/>
  <c r="H1438" i="3" s="1"/>
  <c r="A1439" i="3"/>
  <c r="C1439" i="3"/>
  <c r="G1439" i="3"/>
  <c r="H1439" i="3" s="1"/>
  <c r="A1440" i="3"/>
  <c r="G1440" i="3"/>
  <c r="H1440" i="3" s="1"/>
  <c r="A1441" i="3"/>
  <c r="G1441" i="3"/>
  <c r="H1441" i="3" s="1"/>
  <c r="A1442" i="3"/>
  <c r="C1442" i="3"/>
  <c r="G1442" i="3"/>
  <c r="H1442" i="3" s="1"/>
  <c r="A1416" i="3"/>
  <c r="G1416" i="3"/>
  <c r="H1416" i="3" s="1"/>
  <c r="A1417" i="3"/>
  <c r="G1417" i="3"/>
  <c r="H1417" i="3" s="1"/>
  <c r="A1418" i="3"/>
  <c r="G1418" i="3"/>
  <c r="H1418" i="3" s="1"/>
  <c r="A1419" i="3"/>
  <c r="G1419" i="3"/>
  <c r="H1419" i="3" s="1"/>
  <c r="A1420" i="3"/>
  <c r="C1420" i="3"/>
  <c r="G1420" i="3"/>
  <c r="H1420" i="3" s="1"/>
  <c r="A1421" i="3"/>
  <c r="G1421" i="3"/>
  <c r="H1421" i="3" s="1"/>
  <c r="A1443" i="3"/>
  <c r="C1443" i="3"/>
  <c r="G1443" i="3"/>
  <c r="H1443" i="3" s="1"/>
  <c r="A1444" i="3"/>
  <c r="C1444" i="3"/>
  <c r="G1444" i="3"/>
  <c r="H1444" i="3" s="1"/>
  <c r="I1444" i="3" s="1"/>
  <c r="I1442" i="3" l="1"/>
  <c r="I1437" i="3"/>
  <c r="H1434" i="3"/>
  <c r="I1434" i="3" s="1"/>
  <c r="I1429" i="3"/>
  <c r="I1426" i="3"/>
  <c r="I1440" i="3"/>
  <c r="I1432" i="3"/>
  <c r="I1424" i="3"/>
  <c r="I1435" i="3"/>
  <c r="I1427" i="3"/>
  <c r="I1438" i="3"/>
  <c r="I1430" i="3"/>
  <c r="I1422" i="3"/>
  <c r="I1441" i="3"/>
  <c r="I1433" i="3"/>
  <c r="I1425" i="3"/>
  <c r="I1439" i="3"/>
  <c r="I1431" i="3"/>
  <c r="I1423" i="3"/>
  <c r="I1420" i="3"/>
  <c r="I1443" i="3"/>
  <c r="I1418" i="3"/>
  <c r="I1421" i="3"/>
  <c r="I1416" i="3"/>
  <c r="I1419" i="3"/>
  <c r="I1417" i="3"/>
  <c r="V22" i="31" l="1"/>
  <c r="V23" i="31"/>
  <c r="V24" i="31"/>
  <c r="V25" i="31"/>
  <c r="V26" i="31"/>
  <c r="V27" i="31"/>
  <c r="V28" i="31"/>
  <c r="V29" i="31"/>
  <c r="V30" i="31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3" i="4"/>
  <c r="D30" i="31"/>
  <c r="E30" i="31"/>
  <c r="F30" i="31"/>
  <c r="G30" i="31"/>
  <c r="H30" i="31"/>
  <c r="I30" i="31"/>
  <c r="J30" i="31"/>
  <c r="K30" i="31"/>
  <c r="L30" i="31"/>
  <c r="M30" i="31"/>
  <c r="N30" i="31"/>
  <c r="O30" i="31"/>
  <c r="P30" i="31"/>
  <c r="Q30" i="31"/>
  <c r="R30" i="31"/>
  <c r="S30" i="31"/>
  <c r="T30" i="31"/>
  <c r="C30" i="31"/>
  <c r="T28" i="31"/>
  <c r="T29" i="31"/>
  <c r="F318" i="2"/>
  <c r="F334" i="2"/>
  <c r="K330" i="2"/>
  <c r="F343" i="2"/>
  <c r="E344" i="2"/>
  <c r="U344" i="2" s="1"/>
  <c r="E343" i="2"/>
  <c r="E342" i="2"/>
  <c r="J342" i="2"/>
  <c r="J341" i="2"/>
  <c r="U341" i="2" s="1"/>
  <c r="J340" i="2"/>
  <c r="U340" i="2" s="1"/>
  <c r="J339" i="2"/>
  <c r="U339" i="2" s="1"/>
  <c r="O338" i="2"/>
  <c r="E335" i="2"/>
  <c r="U335" i="2" s="1"/>
  <c r="J332" i="2"/>
  <c r="U332" i="2" s="1"/>
  <c r="J331" i="2"/>
  <c r="U331" i="2" s="1"/>
  <c r="H329" i="2"/>
  <c r="U329" i="2" s="1"/>
  <c r="A329" i="2"/>
  <c r="C329" i="2"/>
  <c r="A330" i="2"/>
  <c r="C330" i="2"/>
  <c r="U330" i="2"/>
  <c r="A331" i="2"/>
  <c r="C331" i="2"/>
  <c r="A332" i="2"/>
  <c r="C332" i="2"/>
  <c r="A333" i="2"/>
  <c r="C333" i="2"/>
  <c r="U333" i="2"/>
  <c r="A334" i="2"/>
  <c r="C334" i="2"/>
  <c r="U334" i="2"/>
  <c r="A335" i="2"/>
  <c r="C335" i="2"/>
  <c r="A336" i="2"/>
  <c r="U336" i="2"/>
  <c r="A337" i="2"/>
  <c r="C337" i="2"/>
  <c r="U337" i="2"/>
  <c r="A338" i="2"/>
  <c r="C338" i="2"/>
  <c r="U338" i="2"/>
  <c r="A339" i="2"/>
  <c r="C339" i="2"/>
  <c r="A340" i="2"/>
  <c r="C340" i="2"/>
  <c r="A341" i="2"/>
  <c r="C341" i="2"/>
  <c r="A342" i="2"/>
  <c r="C342" i="2"/>
  <c r="A343" i="2"/>
  <c r="C343" i="2"/>
  <c r="A344" i="2"/>
  <c r="C344" i="2"/>
  <c r="A345" i="2"/>
  <c r="C345" i="2"/>
  <c r="U345" i="2"/>
  <c r="A346" i="2"/>
  <c r="C346" i="2"/>
  <c r="U346" i="2"/>
  <c r="Y97" i="6"/>
  <c r="C1413" i="3"/>
  <c r="C1414" i="3"/>
  <c r="C1410" i="3"/>
  <c r="C1411" i="3"/>
  <c r="C1406" i="3"/>
  <c r="C1407" i="3"/>
  <c r="C1408" i="3"/>
  <c r="C1402" i="3"/>
  <c r="C1403" i="3"/>
  <c r="C1404" i="3"/>
  <c r="C1399" i="3"/>
  <c r="C1400" i="3"/>
  <c r="C1397" i="3"/>
  <c r="C1390" i="3"/>
  <c r="C1391" i="3"/>
  <c r="C1392" i="3"/>
  <c r="C1393" i="3"/>
  <c r="C1394" i="3"/>
  <c r="C1395" i="3"/>
  <c r="C1388" i="3"/>
  <c r="C1382" i="3"/>
  <c r="C1383" i="3"/>
  <c r="C1384" i="3"/>
  <c r="C1385" i="3"/>
  <c r="C1386" i="3"/>
  <c r="C1380" i="3"/>
  <c r="C1373" i="3"/>
  <c r="C1374" i="3"/>
  <c r="C1375" i="3"/>
  <c r="C1376" i="3"/>
  <c r="C1377" i="3"/>
  <c r="C1369" i="3"/>
  <c r="C1370" i="3"/>
  <c r="C1371" i="3"/>
  <c r="C1366" i="3"/>
  <c r="C1367" i="3"/>
  <c r="C1364" i="3"/>
  <c r="C1361" i="3"/>
  <c r="C1362" i="3"/>
  <c r="C1358" i="3"/>
  <c r="C1359" i="3"/>
  <c r="C1355" i="3"/>
  <c r="C1356" i="3"/>
  <c r="C1349" i="3"/>
  <c r="C1350" i="3"/>
  <c r="C1351" i="3"/>
  <c r="C1352" i="3"/>
  <c r="C1353" i="3"/>
  <c r="C1341" i="3"/>
  <c r="C1342" i="3"/>
  <c r="C1343" i="3"/>
  <c r="C1344" i="3"/>
  <c r="C1345" i="3"/>
  <c r="C1346" i="3"/>
  <c r="C134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A1328" i="3"/>
  <c r="G1328" i="3"/>
  <c r="H1328" i="3" s="1"/>
  <c r="A1329" i="3"/>
  <c r="G1329" i="3"/>
  <c r="H1329" i="3" s="1"/>
  <c r="A1330" i="3"/>
  <c r="G1330" i="3"/>
  <c r="H1330" i="3" s="1"/>
  <c r="I1330" i="3" s="1"/>
  <c r="A1331" i="3"/>
  <c r="G1331" i="3"/>
  <c r="H1331" i="3" s="1"/>
  <c r="A1332" i="3"/>
  <c r="G1332" i="3"/>
  <c r="A1333" i="3"/>
  <c r="G1333" i="3"/>
  <c r="H1333" i="3" s="1"/>
  <c r="A1334" i="3"/>
  <c r="G1334" i="3"/>
  <c r="H1334" i="3" s="1"/>
  <c r="A1335" i="3"/>
  <c r="G1335" i="3"/>
  <c r="H1335" i="3" s="1"/>
  <c r="I1335" i="3" s="1"/>
  <c r="A1336" i="3"/>
  <c r="G1336" i="3"/>
  <c r="H1336" i="3" s="1"/>
  <c r="A1337" i="3"/>
  <c r="G1337" i="3"/>
  <c r="H1337" i="3" s="1"/>
  <c r="A1338" i="3"/>
  <c r="G1338" i="3"/>
  <c r="H1338" i="3" s="1"/>
  <c r="I1338" i="3" s="1"/>
  <c r="A1339" i="3"/>
  <c r="G1339" i="3"/>
  <c r="H1339" i="3" s="1"/>
  <c r="A1340" i="3"/>
  <c r="C1340" i="3"/>
  <c r="G1340" i="3"/>
  <c r="A1341" i="3"/>
  <c r="G1341" i="3"/>
  <c r="H1341" i="3" s="1"/>
  <c r="A1342" i="3"/>
  <c r="G1342" i="3"/>
  <c r="H1342" i="3" s="1"/>
  <c r="A1343" i="3"/>
  <c r="G1343" i="3"/>
  <c r="H1343" i="3" s="1"/>
  <c r="I1343" i="3" s="1"/>
  <c r="A1344" i="3"/>
  <c r="G1344" i="3"/>
  <c r="H1344" i="3" s="1"/>
  <c r="A1345" i="3"/>
  <c r="G1345" i="3"/>
  <c r="H1345" i="3" s="1"/>
  <c r="A1346" i="3"/>
  <c r="G1346" i="3"/>
  <c r="H1346" i="3" s="1"/>
  <c r="I1346" i="3" s="1"/>
  <c r="A1347" i="3"/>
  <c r="G1347" i="3"/>
  <c r="H1347" i="3" s="1"/>
  <c r="A1348" i="3"/>
  <c r="C1348" i="3"/>
  <c r="G1348" i="3"/>
  <c r="A1349" i="3"/>
  <c r="G1349" i="3"/>
  <c r="H1349" i="3" s="1"/>
  <c r="A1350" i="3"/>
  <c r="G1350" i="3"/>
  <c r="H1350" i="3" s="1"/>
  <c r="A1351" i="3"/>
  <c r="G1351" i="3"/>
  <c r="H1351" i="3" s="1"/>
  <c r="I1351" i="3" s="1"/>
  <c r="A1352" i="3"/>
  <c r="G1352" i="3"/>
  <c r="H1352" i="3" s="1"/>
  <c r="I1352" i="3" s="1"/>
  <c r="A1353" i="3"/>
  <c r="G1353" i="3"/>
  <c r="H1353" i="3" s="1"/>
  <c r="A1354" i="3"/>
  <c r="C1354" i="3"/>
  <c r="G1354" i="3"/>
  <c r="H1354" i="3" s="1"/>
  <c r="I1354" i="3" s="1"/>
  <c r="A1355" i="3"/>
  <c r="G1355" i="3"/>
  <c r="H1355" i="3" s="1"/>
  <c r="A1356" i="3"/>
  <c r="G1356" i="3"/>
  <c r="A1357" i="3"/>
  <c r="C1357" i="3"/>
  <c r="G1357" i="3"/>
  <c r="H1357" i="3" s="1"/>
  <c r="A1358" i="3"/>
  <c r="G1358" i="3"/>
  <c r="H1358" i="3" s="1"/>
  <c r="A1359" i="3"/>
  <c r="G1359" i="3"/>
  <c r="H1359" i="3" s="1"/>
  <c r="I1359" i="3" s="1"/>
  <c r="A1360" i="3"/>
  <c r="C1360" i="3"/>
  <c r="G1360" i="3"/>
  <c r="H1360" i="3" s="1"/>
  <c r="I1360" i="3" s="1"/>
  <c r="A1361" i="3"/>
  <c r="G1361" i="3"/>
  <c r="H1361" i="3" s="1"/>
  <c r="A1362" i="3"/>
  <c r="G1362" i="3"/>
  <c r="H1362" i="3" s="1"/>
  <c r="I1362" i="3" s="1"/>
  <c r="A1363" i="3"/>
  <c r="C1363" i="3"/>
  <c r="G1363" i="3"/>
  <c r="H1363" i="3" s="1"/>
  <c r="A1364" i="3"/>
  <c r="G1364" i="3"/>
  <c r="A1365" i="3"/>
  <c r="C1365" i="3"/>
  <c r="G1365" i="3"/>
  <c r="H1365" i="3" s="1"/>
  <c r="A1366" i="3"/>
  <c r="G1366" i="3"/>
  <c r="H1366" i="3" s="1"/>
  <c r="A1367" i="3"/>
  <c r="G1367" i="3"/>
  <c r="H1367" i="3" s="1"/>
  <c r="I1367" i="3" s="1"/>
  <c r="A1368" i="3"/>
  <c r="C1368" i="3"/>
  <c r="G1368" i="3"/>
  <c r="H1368" i="3" s="1"/>
  <c r="I1368" i="3" s="1"/>
  <c r="A1369" i="3"/>
  <c r="G1369" i="3"/>
  <c r="H1369" i="3" s="1"/>
  <c r="A1370" i="3"/>
  <c r="G1370" i="3"/>
  <c r="H1370" i="3" s="1"/>
  <c r="I1370" i="3" s="1"/>
  <c r="A1371" i="3"/>
  <c r="G1371" i="3"/>
  <c r="H1371" i="3" s="1"/>
  <c r="A1372" i="3"/>
  <c r="C1372" i="3"/>
  <c r="G1372" i="3"/>
  <c r="A1373" i="3"/>
  <c r="G1373" i="3"/>
  <c r="A1374" i="3"/>
  <c r="G1374" i="3"/>
  <c r="H1374" i="3" s="1"/>
  <c r="A1375" i="3"/>
  <c r="G1375" i="3"/>
  <c r="H1375" i="3" s="1"/>
  <c r="I1375" i="3" s="1"/>
  <c r="A1376" i="3"/>
  <c r="G1376" i="3"/>
  <c r="H1376" i="3" s="1"/>
  <c r="I1376" i="3" s="1"/>
  <c r="A1377" i="3"/>
  <c r="G1377" i="3"/>
  <c r="H1377" i="3" s="1"/>
  <c r="A1378" i="3"/>
  <c r="C1378" i="3"/>
  <c r="G1378" i="3"/>
  <c r="H1378" i="3" s="1"/>
  <c r="I1378" i="3" s="1"/>
  <c r="A1379" i="3"/>
  <c r="C1379" i="3"/>
  <c r="G1379" i="3"/>
  <c r="H1379" i="3" s="1"/>
  <c r="A1380" i="3"/>
  <c r="G1380" i="3"/>
  <c r="A1381" i="3"/>
  <c r="C1381" i="3"/>
  <c r="G1381" i="3"/>
  <c r="H1381" i="3" s="1"/>
  <c r="A1382" i="3"/>
  <c r="G1382" i="3"/>
  <c r="H1382" i="3" s="1"/>
  <c r="A1383" i="3"/>
  <c r="G1383" i="3"/>
  <c r="H1383" i="3" s="1"/>
  <c r="I1383" i="3" s="1"/>
  <c r="A1384" i="3"/>
  <c r="G1384" i="3"/>
  <c r="H1384" i="3" s="1"/>
  <c r="I1384" i="3" s="1"/>
  <c r="A1385" i="3"/>
  <c r="G1385" i="3"/>
  <c r="H1385" i="3" s="1"/>
  <c r="I1385" i="3" s="1"/>
  <c r="A1386" i="3"/>
  <c r="G1386" i="3"/>
  <c r="H1386" i="3" s="1"/>
  <c r="I1386" i="3" s="1"/>
  <c r="A1387" i="3"/>
  <c r="C1387" i="3"/>
  <c r="G1387" i="3"/>
  <c r="H1387" i="3" s="1"/>
  <c r="A1388" i="3"/>
  <c r="G1388" i="3"/>
  <c r="A1389" i="3"/>
  <c r="C1389" i="3"/>
  <c r="G1389" i="3"/>
  <c r="A1390" i="3"/>
  <c r="G1390" i="3"/>
  <c r="H1390" i="3" s="1"/>
  <c r="A1391" i="3"/>
  <c r="G1391" i="3"/>
  <c r="H1391" i="3" s="1"/>
  <c r="I1391" i="3" s="1"/>
  <c r="A1392" i="3"/>
  <c r="G1392" i="3"/>
  <c r="H1392" i="3" s="1"/>
  <c r="I1392" i="3" s="1"/>
  <c r="A1393" i="3"/>
  <c r="G1393" i="3"/>
  <c r="H1393" i="3" s="1"/>
  <c r="I1393" i="3" s="1"/>
  <c r="A1394" i="3"/>
  <c r="G1394" i="3"/>
  <c r="H1394" i="3" s="1"/>
  <c r="I1394" i="3" s="1"/>
  <c r="A1395" i="3"/>
  <c r="G1395" i="3"/>
  <c r="H1395" i="3" s="1"/>
  <c r="A1396" i="3"/>
  <c r="C1396" i="3"/>
  <c r="G1396" i="3"/>
  <c r="A1397" i="3"/>
  <c r="G1397" i="3"/>
  <c r="H1397" i="3" s="1"/>
  <c r="A1398" i="3"/>
  <c r="C1398" i="3"/>
  <c r="G1398" i="3"/>
  <c r="H1398" i="3" s="1"/>
  <c r="A1399" i="3"/>
  <c r="G1399" i="3"/>
  <c r="H1399" i="3" s="1"/>
  <c r="I1399" i="3" s="1"/>
  <c r="A1400" i="3"/>
  <c r="G1400" i="3"/>
  <c r="H1400" i="3" s="1"/>
  <c r="I1400" i="3" s="1"/>
  <c r="A1401" i="3"/>
  <c r="C1401" i="3"/>
  <c r="G1401" i="3"/>
  <c r="H1401" i="3" s="1"/>
  <c r="A1402" i="3"/>
  <c r="G1402" i="3"/>
  <c r="H1402" i="3" s="1"/>
  <c r="I1402" i="3" s="1"/>
  <c r="A1403" i="3"/>
  <c r="G1403" i="3"/>
  <c r="H1403" i="3" s="1"/>
  <c r="A1404" i="3"/>
  <c r="G1404" i="3"/>
  <c r="A1405" i="3"/>
  <c r="C1405" i="3"/>
  <c r="G1405" i="3"/>
  <c r="A1406" i="3"/>
  <c r="G1406" i="3"/>
  <c r="H1406" i="3" s="1"/>
  <c r="A1407" i="3"/>
  <c r="G1407" i="3"/>
  <c r="H1407" i="3" s="1"/>
  <c r="I1407" i="3" s="1"/>
  <c r="A1408" i="3"/>
  <c r="G1408" i="3"/>
  <c r="H1408" i="3" s="1"/>
  <c r="I1408" i="3" s="1"/>
  <c r="A1409" i="3"/>
  <c r="C1409" i="3"/>
  <c r="G1409" i="3"/>
  <c r="H1409" i="3" s="1"/>
  <c r="A1410" i="3"/>
  <c r="G1410" i="3"/>
  <c r="H1410" i="3" s="1"/>
  <c r="I1410" i="3" s="1"/>
  <c r="A1411" i="3"/>
  <c r="G1411" i="3"/>
  <c r="H1411" i="3" s="1"/>
  <c r="A1412" i="3"/>
  <c r="C1412" i="3"/>
  <c r="G1412" i="3"/>
  <c r="A1413" i="3"/>
  <c r="G1413" i="3"/>
  <c r="H1413" i="3" s="1"/>
  <c r="A1414" i="3"/>
  <c r="G1414" i="3"/>
  <c r="H1414" i="3" s="1"/>
  <c r="A1415" i="3"/>
  <c r="C1415" i="3"/>
  <c r="G1415" i="3"/>
  <c r="H1415" i="3" s="1"/>
  <c r="I1415" i="3" s="1"/>
  <c r="C1319" i="3"/>
  <c r="C1320" i="3"/>
  <c r="C1321" i="3"/>
  <c r="C1322" i="3"/>
  <c r="C1323" i="3"/>
  <c r="C1324" i="3"/>
  <c r="C1325" i="3"/>
  <c r="C1326" i="3"/>
  <c r="C1316" i="3"/>
  <c r="C1313" i="3"/>
  <c r="C1314" i="3"/>
  <c r="C1301" i="3"/>
  <c r="C1302" i="3"/>
  <c r="C1303" i="3"/>
  <c r="C1304" i="3"/>
  <c r="C1305" i="3"/>
  <c r="C1306" i="3"/>
  <c r="C1307" i="3"/>
  <c r="C1308" i="3"/>
  <c r="C1309" i="3"/>
  <c r="C1310" i="3"/>
  <c r="C1311" i="3"/>
  <c r="C1295" i="3"/>
  <c r="C1296" i="3"/>
  <c r="C1297" i="3"/>
  <c r="C1298" i="3"/>
  <c r="C1299" i="3"/>
  <c r="C1292" i="3"/>
  <c r="C1293" i="3"/>
  <c r="C1283" i="3"/>
  <c r="C1284" i="3"/>
  <c r="C1285" i="3"/>
  <c r="C1286" i="3"/>
  <c r="C1287" i="3"/>
  <c r="C1288" i="3"/>
  <c r="C1289" i="3"/>
  <c r="C1290" i="3"/>
  <c r="C1276" i="3"/>
  <c r="C1277" i="3"/>
  <c r="C1278" i="3"/>
  <c r="C1279" i="3"/>
  <c r="C1280" i="3"/>
  <c r="C1281" i="3"/>
  <c r="C1274" i="3"/>
  <c r="C1269" i="3"/>
  <c r="C1270" i="3"/>
  <c r="C1271" i="3"/>
  <c r="C1272" i="3"/>
  <c r="C1273" i="3"/>
  <c r="A1269" i="3"/>
  <c r="G1269" i="3"/>
  <c r="H1269" i="3" s="1"/>
  <c r="A1270" i="3"/>
  <c r="G1270" i="3"/>
  <c r="H1270" i="3" s="1"/>
  <c r="A1271" i="3"/>
  <c r="G1271" i="3"/>
  <c r="H1271" i="3" s="1"/>
  <c r="I1271" i="3" s="1"/>
  <c r="A1272" i="3"/>
  <c r="G1272" i="3"/>
  <c r="A1273" i="3"/>
  <c r="G1273" i="3"/>
  <c r="H1273" i="3" s="1"/>
  <c r="A1274" i="3"/>
  <c r="G1274" i="3"/>
  <c r="H1274" i="3" s="1"/>
  <c r="I1274" i="3" s="1"/>
  <c r="A1275" i="3"/>
  <c r="C1275" i="3"/>
  <c r="G1275" i="3"/>
  <c r="H1275" i="3" s="1"/>
  <c r="I1275" i="3" s="1"/>
  <c r="A1276" i="3"/>
  <c r="G1276" i="3"/>
  <c r="H1276" i="3" s="1"/>
  <c r="A1277" i="3"/>
  <c r="G1277" i="3"/>
  <c r="H1277" i="3" s="1"/>
  <c r="A1278" i="3"/>
  <c r="G1278" i="3"/>
  <c r="H1278" i="3" s="1"/>
  <c r="I1278" i="3" s="1"/>
  <c r="A1279" i="3"/>
  <c r="G1279" i="3"/>
  <c r="H1279" i="3" s="1"/>
  <c r="A1280" i="3"/>
  <c r="G1280" i="3"/>
  <c r="A1281" i="3"/>
  <c r="G1281" i="3"/>
  <c r="H1281" i="3" s="1"/>
  <c r="A1282" i="3"/>
  <c r="C1282" i="3"/>
  <c r="G1282" i="3"/>
  <c r="H1282" i="3" s="1"/>
  <c r="I1282" i="3" s="1"/>
  <c r="A1283" i="3"/>
  <c r="G1283" i="3"/>
  <c r="H1283" i="3" s="1"/>
  <c r="I1283" i="3" s="1"/>
  <c r="A1284" i="3"/>
  <c r="G1284" i="3"/>
  <c r="H1284" i="3" s="1"/>
  <c r="A1285" i="3"/>
  <c r="G1285" i="3"/>
  <c r="H1285" i="3" s="1"/>
  <c r="A1286" i="3"/>
  <c r="G1286" i="3"/>
  <c r="H1286" i="3" s="1"/>
  <c r="I1286" i="3" s="1"/>
  <c r="A1287" i="3"/>
  <c r="G1287" i="3"/>
  <c r="H1287" i="3" s="1"/>
  <c r="A1288" i="3"/>
  <c r="G1288" i="3"/>
  <c r="A1289" i="3"/>
  <c r="G1289" i="3"/>
  <c r="H1289" i="3" s="1"/>
  <c r="A1290" i="3"/>
  <c r="G1290" i="3"/>
  <c r="H1290" i="3" s="1"/>
  <c r="I1290" i="3" s="1"/>
  <c r="A1291" i="3"/>
  <c r="C1291" i="3"/>
  <c r="G1291" i="3"/>
  <c r="H1291" i="3" s="1"/>
  <c r="I1291" i="3" s="1"/>
  <c r="A1292" i="3"/>
  <c r="G1292" i="3"/>
  <c r="H1292" i="3" s="1"/>
  <c r="A1293" i="3"/>
  <c r="G1293" i="3"/>
  <c r="H1293" i="3" s="1"/>
  <c r="I1293" i="3" s="1"/>
  <c r="A1294" i="3"/>
  <c r="C1294" i="3"/>
  <c r="G1294" i="3"/>
  <c r="H1294" i="3" s="1"/>
  <c r="I1294" i="3" s="1"/>
  <c r="A1295" i="3"/>
  <c r="G1295" i="3"/>
  <c r="H1295" i="3" s="1"/>
  <c r="A1296" i="3"/>
  <c r="G1296" i="3"/>
  <c r="A1297" i="3"/>
  <c r="G1297" i="3"/>
  <c r="H1297" i="3" s="1"/>
  <c r="A1298" i="3"/>
  <c r="G1298" i="3"/>
  <c r="A1299" i="3"/>
  <c r="G1299" i="3"/>
  <c r="H1299" i="3" s="1"/>
  <c r="I1299" i="3" s="1"/>
  <c r="A1300" i="3"/>
  <c r="C1300" i="3"/>
  <c r="G1300" i="3"/>
  <c r="H1300" i="3" s="1"/>
  <c r="A1301" i="3"/>
  <c r="G1301" i="3"/>
  <c r="H1301" i="3" s="1"/>
  <c r="I1301" i="3" s="1"/>
  <c r="A1302" i="3"/>
  <c r="G1302" i="3"/>
  <c r="H1302" i="3" s="1"/>
  <c r="I1302" i="3" s="1"/>
  <c r="A1303" i="3"/>
  <c r="G1303" i="3"/>
  <c r="H1303" i="3" s="1"/>
  <c r="A1304" i="3"/>
  <c r="G1304" i="3"/>
  <c r="A1305" i="3"/>
  <c r="G1305" i="3"/>
  <c r="H1305" i="3" s="1"/>
  <c r="A1306" i="3"/>
  <c r="G1306" i="3"/>
  <c r="H1306" i="3" s="1"/>
  <c r="I1306" i="3" s="1"/>
  <c r="A1307" i="3"/>
  <c r="G1307" i="3"/>
  <c r="H1307" i="3" s="1"/>
  <c r="I1307" i="3" s="1"/>
  <c r="A1308" i="3"/>
  <c r="G1308" i="3"/>
  <c r="H1308" i="3" s="1"/>
  <c r="A1309" i="3"/>
  <c r="G1309" i="3"/>
  <c r="H1309" i="3" s="1"/>
  <c r="I1309" i="3" s="1"/>
  <c r="A1310" i="3"/>
  <c r="G1310" i="3"/>
  <c r="H1310" i="3" s="1"/>
  <c r="I1310" i="3" s="1"/>
  <c r="A1311" i="3"/>
  <c r="G1311" i="3"/>
  <c r="H1311" i="3" s="1"/>
  <c r="A1312" i="3"/>
  <c r="C1312" i="3"/>
  <c r="G1312" i="3"/>
  <c r="A1313" i="3"/>
  <c r="G1313" i="3"/>
  <c r="A1314" i="3"/>
  <c r="G1314" i="3"/>
  <c r="I1314" i="3" s="1"/>
  <c r="A1315" i="3"/>
  <c r="C1315" i="3"/>
  <c r="G1315" i="3"/>
  <c r="H1315" i="3" s="1"/>
  <c r="I1315" i="3" s="1"/>
  <c r="A1316" i="3"/>
  <c r="G1316" i="3"/>
  <c r="H1316" i="3" s="1"/>
  <c r="A1317" i="3"/>
  <c r="C1317" i="3"/>
  <c r="G1317" i="3"/>
  <c r="H1317" i="3" s="1"/>
  <c r="I1317" i="3" s="1"/>
  <c r="A1318" i="3"/>
  <c r="C1318" i="3"/>
  <c r="G1318" i="3"/>
  <c r="H1318" i="3" s="1"/>
  <c r="I1318" i="3" s="1"/>
  <c r="A1319" i="3"/>
  <c r="G1319" i="3"/>
  <c r="H1319" i="3" s="1"/>
  <c r="A1320" i="3"/>
  <c r="G1320" i="3"/>
  <c r="A1321" i="3"/>
  <c r="G1321" i="3"/>
  <c r="H1321" i="3" s="1"/>
  <c r="A1322" i="3"/>
  <c r="G1322" i="3"/>
  <c r="H1322" i="3" s="1"/>
  <c r="I1322" i="3" s="1"/>
  <c r="A1323" i="3"/>
  <c r="G1323" i="3"/>
  <c r="H1323" i="3" s="1"/>
  <c r="I1323" i="3" s="1"/>
  <c r="A1324" i="3"/>
  <c r="G1324" i="3"/>
  <c r="H1324" i="3" s="1"/>
  <c r="A1325" i="3"/>
  <c r="G1325" i="3"/>
  <c r="H1325" i="3" s="1"/>
  <c r="I1325" i="3" s="1"/>
  <c r="A1326" i="3"/>
  <c r="G1326" i="3"/>
  <c r="H1326" i="3" s="1"/>
  <c r="I1326" i="3" s="1"/>
  <c r="A1327" i="3"/>
  <c r="C1327" i="3"/>
  <c r="G1327" i="3"/>
  <c r="H1327" i="3" s="1"/>
  <c r="A1445" i="3"/>
  <c r="C1445" i="3"/>
  <c r="G1445" i="3"/>
  <c r="H1445" i="3" s="1"/>
  <c r="T27" i="31"/>
  <c r="E325" i="2"/>
  <c r="E324" i="2"/>
  <c r="E326" i="2"/>
  <c r="C325" i="2"/>
  <c r="F320" i="2"/>
  <c r="J317" i="2"/>
  <c r="J316" i="2"/>
  <c r="J315" i="2"/>
  <c r="C316" i="2"/>
  <c r="U342" i="2" l="1"/>
  <c r="U343" i="2"/>
  <c r="I1377" i="3"/>
  <c r="I1409" i="3"/>
  <c r="I1398" i="3"/>
  <c r="I1366" i="3"/>
  <c r="I1361" i="3"/>
  <c r="I1357" i="3"/>
  <c r="I1413" i="3"/>
  <c r="I1381" i="3"/>
  <c r="I1350" i="3"/>
  <c r="I1406" i="3"/>
  <c r="I1401" i="3"/>
  <c r="I1390" i="3"/>
  <c r="I1374" i="3"/>
  <c r="I1369" i="3"/>
  <c r="I1397" i="3"/>
  <c r="I1365" i="3"/>
  <c r="I1358" i="3"/>
  <c r="I1353" i="3"/>
  <c r="I1414" i="3"/>
  <c r="H1405" i="3"/>
  <c r="I1405" i="3" s="1"/>
  <c r="H1389" i="3"/>
  <c r="I1389" i="3" s="1"/>
  <c r="I1382" i="3"/>
  <c r="H1373" i="3"/>
  <c r="I1373" i="3" s="1"/>
  <c r="I1345" i="3"/>
  <c r="I1342" i="3"/>
  <c r="I1337" i="3"/>
  <c r="I1334" i="3"/>
  <c r="H1412" i="3"/>
  <c r="I1412" i="3" s="1"/>
  <c r="H1404" i="3"/>
  <c r="I1404" i="3" s="1"/>
  <c r="H1396" i="3"/>
  <c r="I1396" i="3" s="1"/>
  <c r="H1388" i="3"/>
  <c r="I1388" i="3" s="1"/>
  <c r="H1380" i="3"/>
  <c r="I1380" i="3" s="1"/>
  <c r="H1372" i="3"/>
  <c r="I1372" i="3" s="1"/>
  <c r="H1364" i="3"/>
  <c r="I1364" i="3" s="1"/>
  <c r="H1356" i="3"/>
  <c r="I1356" i="3" s="1"/>
  <c r="H1348" i="3"/>
  <c r="I1348" i="3" s="1"/>
  <c r="H1340" i="3"/>
  <c r="I1340" i="3" s="1"/>
  <c r="H1332" i="3"/>
  <c r="I1332" i="3" s="1"/>
  <c r="I1349" i="3"/>
  <c r="I1341" i="3"/>
  <c r="I1333" i="3"/>
  <c r="I1344" i="3"/>
  <c r="I1336" i="3"/>
  <c r="I1328" i="3"/>
  <c r="I1411" i="3"/>
  <c r="I1403" i="3"/>
  <c r="I1395" i="3"/>
  <c r="I1387" i="3"/>
  <c r="I1379" i="3"/>
  <c r="I1371" i="3"/>
  <c r="I1363" i="3"/>
  <c r="I1355" i="3"/>
  <c r="I1347" i="3"/>
  <c r="I1339" i="3"/>
  <c r="I1331" i="3"/>
  <c r="I1329" i="3"/>
  <c r="H1298" i="3"/>
  <c r="I1298" i="3" s="1"/>
  <c r="H1320" i="3"/>
  <c r="I1320" i="3" s="1"/>
  <c r="I1312" i="3"/>
  <c r="H1304" i="3"/>
  <c r="I1304" i="3" s="1"/>
  <c r="H1296" i="3"/>
  <c r="I1296" i="3" s="1"/>
  <c r="H1288" i="3"/>
  <c r="I1288" i="3" s="1"/>
  <c r="H1280" i="3"/>
  <c r="I1280" i="3" s="1"/>
  <c r="H1272" i="3"/>
  <c r="I1272" i="3" s="1"/>
  <c r="I1321" i="3"/>
  <c r="I1313" i="3"/>
  <c r="I1305" i="3"/>
  <c r="I1297" i="3"/>
  <c r="I1289" i="3"/>
  <c r="I1281" i="3"/>
  <c r="I1273" i="3"/>
  <c r="I1445" i="3"/>
  <c r="I1324" i="3"/>
  <c r="I1316" i="3"/>
  <c r="I1308" i="3"/>
  <c r="I1300" i="3"/>
  <c r="I1292" i="3"/>
  <c r="I1284" i="3"/>
  <c r="I1276" i="3"/>
  <c r="I1269" i="3"/>
  <c r="I1327" i="3"/>
  <c r="I1319" i="3"/>
  <c r="I1311" i="3"/>
  <c r="I1303" i="3"/>
  <c r="I1295" i="3"/>
  <c r="I1287" i="3"/>
  <c r="I1279" i="3"/>
  <c r="I1285" i="3"/>
  <c r="I1277" i="3"/>
  <c r="I1270" i="3"/>
  <c r="A313" i="2"/>
  <c r="C313" i="2"/>
  <c r="U313" i="2"/>
  <c r="A314" i="2"/>
  <c r="C314" i="2"/>
  <c r="U314" i="2"/>
  <c r="A315" i="2"/>
  <c r="C315" i="2"/>
  <c r="U315" i="2"/>
  <c r="A316" i="2"/>
  <c r="U316" i="2"/>
  <c r="A317" i="2"/>
  <c r="C317" i="2"/>
  <c r="U317" i="2"/>
  <c r="A318" i="2"/>
  <c r="C318" i="2"/>
  <c r="U318" i="2"/>
  <c r="A319" i="2"/>
  <c r="C319" i="2"/>
  <c r="U319" i="2"/>
  <c r="A320" i="2"/>
  <c r="C320" i="2"/>
  <c r="U320" i="2"/>
  <c r="A321" i="2"/>
  <c r="C321" i="2"/>
  <c r="U321" i="2"/>
  <c r="A322" i="2"/>
  <c r="C322" i="2"/>
  <c r="U322" i="2"/>
  <c r="A323" i="2"/>
  <c r="C323" i="2"/>
  <c r="U323" i="2"/>
  <c r="A324" i="2"/>
  <c r="C324" i="2"/>
  <c r="U324" i="2"/>
  <c r="A325" i="2"/>
  <c r="U325" i="2"/>
  <c r="A326" i="2"/>
  <c r="C326" i="2"/>
  <c r="U326" i="2"/>
  <c r="A327" i="2"/>
  <c r="C327" i="2"/>
  <c r="U327" i="2"/>
  <c r="A328" i="2"/>
  <c r="U328" i="2"/>
  <c r="C1258" i="3" l="1"/>
  <c r="C1259" i="3"/>
  <c r="C1260" i="3"/>
  <c r="C1261" i="3"/>
  <c r="C1262" i="3"/>
  <c r="C1263" i="3"/>
  <c r="C1264" i="3"/>
  <c r="C1265" i="3"/>
  <c r="C1266" i="3"/>
  <c r="C1256" i="3"/>
  <c r="C1253" i="3"/>
  <c r="C1254" i="3"/>
  <c r="A1253" i="3"/>
  <c r="G1253" i="3"/>
  <c r="H1253" i="3" s="1"/>
  <c r="A1254" i="3"/>
  <c r="G1254" i="3"/>
  <c r="H1254" i="3" s="1"/>
  <c r="A1255" i="3"/>
  <c r="C1255" i="3"/>
  <c r="G1255" i="3"/>
  <c r="H1255" i="3" s="1"/>
  <c r="I1255" i="3" s="1"/>
  <c r="A1256" i="3"/>
  <c r="G1256" i="3"/>
  <c r="H1256" i="3" s="1"/>
  <c r="A1257" i="3"/>
  <c r="C1257" i="3"/>
  <c r="G1257" i="3"/>
  <c r="A1258" i="3"/>
  <c r="G1258" i="3"/>
  <c r="H1258" i="3" s="1"/>
  <c r="A1259" i="3"/>
  <c r="G1259" i="3"/>
  <c r="H1259" i="3" s="1"/>
  <c r="A1260" i="3"/>
  <c r="G1260" i="3"/>
  <c r="H1260" i="3" s="1"/>
  <c r="I1260" i="3" s="1"/>
  <c r="A1261" i="3"/>
  <c r="G1261" i="3"/>
  <c r="H1261" i="3" s="1"/>
  <c r="A1262" i="3"/>
  <c r="G1262" i="3"/>
  <c r="H1262" i="3" s="1"/>
  <c r="A1263" i="3"/>
  <c r="G1263" i="3"/>
  <c r="H1263" i="3" s="1"/>
  <c r="I1263" i="3" s="1"/>
  <c r="A1264" i="3"/>
  <c r="G1264" i="3"/>
  <c r="H1264" i="3" s="1"/>
  <c r="A1265" i="3"/>
  <c r="G1265" i="3"/>
  <c r="A1266" i="3"/>
  <c r="G1266" i="3"/>
  <c r="H1266" i="3" s="1"/>
  <c r="A1267" i="3"/>
  <c r="C1267" i="3"/>
  <c r="G1267" i="3"/>
  <c r="H1267" i="3" s="1"/>
  <c r="A1268" i="3"/>
  <c r="C1268" i="3"/>
  <c r="G1268" i="3"/>
  <c r="H1268" i="3" s="1"/>
  <c r="I1268" i="3" s="1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33" i="3"/>
  <c r="C1234" i="3"/>
  <c r="C1235" i="3"/>
  <c r="C1236" i="3"/>
  <c r="C1237" i="3"/>
  <c r="C1223" i="3"/>
  <c r="C1224" i="3"/>
  <c r="C1225" i="3"/>
  <c r="C1226" i="3"/>
  <c r="C1227" i="3"/>
  <c r="C1228" i="3"/>
  <c r="C1229" i="3"/>
  <c r="C1230" i="3"/>
  <c r="C1231" i="3"/>
  <c r="A1223" i="3"/>
  <c r="G1223" i="3"/>
  <c r="A1224" i="3"/>
  <c r="G1224" i="3"/>
  <c r="A1225" i="3"/>
  <c r="G1225" i="3"/>
  <c r="A1226" i="3"/>
  <c r="G1226" i="3"/>
  <c r="A1227" i="3"/>
  <c r="G1227" i="3"/>
  <c r="A1228" i="3"/>
  <c r="G1228" i="3"/>
  <c r="A1229" i="3"/>
  <c r="G1229" i="3"/>
  <c r="H1229" i="3" s="1"/>
  <c r="A1230" i="3"/>
  <c r="G1230" i="3"/>
  <c r="A1231" i="3"/>
  <c r="G1231" i="3"/>
  <c r="A1232" i="3"/>
  <c r="C1232" i="3"/>
  <c r="G1232" i="3"/>
  <c r="H1232" i="3" s="1"/>
  <c r="A1233" i="3"/>
  <c r="G1233" i="3"/>
  <c r="H1233" i="3" s="1"/>
  <c r="A1234" i="3"/>
  <c r="G1234" i="3"/>
  <c r="H1234" i="3" s="1"/>
  <c r="A1235" i="3"/>
  <c r="G1235" i="3"/>
  <c r="H1235" i="3" s="1"/>
  <c r="A1236" i="3"/>
  <c r="G1236" i="3"/>
  <c r="H1236" i="3" s="1"/>
  <c r="A1237" i="3"/>
  <c r="G1237" i="3"/>
  <c r="H1237" i="3" s="1"/>
  <c r="A1238" i="3"/>
  <c r="C1238" i="3"/>
  <c r="G1238" i="3"/>
  <c r="H1238" i="3" s="1"/>
  <c r="A1239" i="3"/>
  <c r="G1239" i="3"/>
  <c r="H1239" i="3" s="1"/>
  <c r="A1240" i="3"/>
  <c r="G1240" i="3"/>
  <c r="H1240" i="3" s="1"/>
  <c r="A1241" i="3"/>
  <c r="G1241" i="3"/>
  <c r="H1241" i="3" s="1"/>
  <c r="A1242" i="3"/>
  <c r="G1242" i="3"/>
  <c r="H1242" i="3" s="1"/>
  <c r="A1243" i="3"/>
  <c r="G1243" i="3"/>
  <c r="H1243" i="3" s="1"/>
  <c r="A1244" i="3"/>
  <c r="G1244" i="3"/>
  <c r="H1244" i="3" s="1"/>
  <c r="A1245" i="3"/>
  <c r="G1245" i="3"/>
  <c r="H1245" i="3" s="1"/>
  <c r="A1246" i="3"/>
  <c r="G1246" i="3"/>
  <c r="H1246" i="3" s="1"/>
  <c r="A1247" i="3"/>
  <c r="G1247" i="3"/>
  <c r="H1247" i="3" s="1"/>
  <c r="A1248" i="3"/>
  <c r="G1248" i="3"/>
  <c r="H1248" i="3" s="1"/>
  <c r="A1249" i="3"/>
  <c r="G1249" i="3"/>
  <c r="H1249" i="3" s="1"/>
  <c r="A1250" i="3"/>
  <c r="G1250" i="3"/>
  <c r="H1250" i="3" s="1"/>
  <c r="A1251" i="3"/>
  <c r="G1251" i="3"/>
  <c r="H1251" i="3" s="1"/>
  <c r="A1252" i="3"/>
  <c r="C1252" i="3"/>
  <c r="G1252" i="3"/>
  <c r="H660" i="3"/>
  <c r="I660" i="3" s="1"/>
  <c r="H661" i="3"/>
  <c r="I661" i="3" s="1"/>
  <c r="H715" i="3"/>
  <c r="I715" i="3" s="1"/>
  <c r="H773" i="3"/>
  <c r="I773" i="3" s="1"/>
  <c r="H774" i="3"/>
  <c r="I774" i="3" s="1"/>
  <c r="H817" i="3"/>
  <c r="I817" i="3" s="1"/>
  <c r="H978" i="3"/>
  <c r="I978" i="3" s="1"/>
  <c r="H1183" i="3"/>
  <c r="I1183" i="3" s="1"/>
  <c r="H1185" i="3"/>
  <c r="I1185" i="3" s="1"/>
  <c r="H473" i="3"/>
  <c r="I473" i="3" s="1"/>
  <c r="H192" i="3"/>
  <c r="I192" i="3" s="1"/>
  <c r="H1265" i="3" l="1"/>
  <c r="I1265" i="3" s="1"/>
  <c r="H1257" i="3"/>
  <c r="I1257" i="3" s="1"/>
  <c r="I1266" i="3"/>
  <c r="I1258" i="3"/>
  <c r="I1261" i="3"/>
  <c r="I1253" i="3"/>
  <c r="I1264" i="3"/>
  <c r="I1256" i="3"/>
  <c r="I1267" i="3"/>
  <c r="I1259" i="3"/>
  <c r="I1262" i="3"/>
  <c r="I1254" i="3"/>
  <c r="H1231" i="3"/>
  <c r="I1231" i="3" s="1"/>
  <c r="H1227" i="3"/>
  <c r="I1227" i="3" s="1"/>
  <c r="H1223" i="3"/>
  <c r="I1223" i="3" s="1"/>
  <c r="H1230" i="3"/>
  <c r="I1230" i="3" s="1"/>
  <c r="H1226" i="3"/>
  <c r="I1226" i="3" s="1"/>
  <c r="H1252" i="3"/>
  <c r="I1252" i="3" s="1"/>
  <c r="H1225" i="3"/>
  <c r="I1225" i="3" s="1"/>
  <c r="H1228" i="3"/>
  <c r="I1228" i="3" s="1"/>
  <c r="H1224" i="3"/>
  <c r="I1224" i="3" s="1"/>
  <c r="I1229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T24" i="31"/>
  <c r="T25" i="31"/>
  <c r="T26" i="31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5" i="17"/>
  <c r="E311" i="2"/>
  <c r="U311" i="2" s="1"/>
  <c r="F309" i="2"/>
  <c r="U309" i="2" s="1"/>
  <c r="J306" i="2"/>
  <c r="U306" i="2" s="1"/>
  <c r="J304" i="2"/>
  <c r="A305" i="2"/>
  <c r="C305" i="2"/>
  <c r="U305" i="2"/>
  <c r="A306" i="2"/>
  <c r="C306" i="2"/>
  <c r="A307" i="2"/>
  <c r="C307" i="2"/>
  <c r="U307" i="2"/>
  <c r="A308" i="2"/>
  <c r="C308" i="2"/>
  <c r="U308" i="2"/>
  <c r="A309" i="2"/>
  <c r="C309" i="2"/>
  <c r="A310" i="2"/>
  <c r="C310" i="2"/>
  <c r="U310" i="2"/>
  <c r="A311" i="2"/>
  <c r="C311" i="2"/>
  <c r="A312" i="2"/>
  <c r="C312" i="2"/>
  <c r="U312" i="2"/>
  <c r="A347" i="2"/>
  <c r="C347" i="2"/>
  <c r="U347" i="2"/>
  <c r="A348" i="2"/>
  <c r="C348" i="2"/>
  <c r="U348" i="2"/>
  <c r="C1213" i="3" l="1"/>
  <c r="C1214" i="3"/>
  <c r="C1215" i="3"/>
  <c r="C1216" i="3"/>
  <c r="C1217" i="3"/>
  <c r="C1218" i="3"/>
  <c r="C1219" i="3"/>
  <c r="C1220" i="3"/>
  <c r="C1221" i="3"/>
  <c r="A1214" i="3"/>
  <c r="G1214" i="3"/>
  <c r="A1215" i="3"/>
  <c r="G1215" i="3"/>
  <c r="A1216" i="3"/>
  <c r="G1216" i="3"/>
  <c r="A1217" i="3"/>
  <c r="G1217" i="3"/>
  <c r="A1218" i="3"/>
  <c r="G1218" i="3"/>
  <c r="A1219" i="3"/>
  <c r="G1219" i="3"/>
  <c r="A1220" i="3"/>
  <c r="G1220" i="3"/>
  <c r="A1221" i="3"/>
  <c r="G1221" i="3"/>
  <c r="A1222" i="3"/>
  <c r="C1222" i="3"/>
  <c r="G1222" i="3"/>
  <c r="C1208" i="3"/>
  <c r="C1209" i="3"/>
  <c r="C1210" i="3"/>
  <c r="C1211" i="3"/>
  <c r="C1205" i="3"/>
  <c r="C1200" i="3"/>
  <c r="C1201" i="3"/>
  <c r="C1202" i="3"/>
  <c r="C1203" i="3"/>
  <c r="C1198" i="3"/>
  <c r="C1196" i="3"/>
  <c r="C1191" i="3"/>
  <c r="C1192" i="3"/>
  <c r="C1193" i="3"/>
  <c r="C1194" i="3"/>
  <c r="C1187" i="3"/>
  <c r="C1188" i="3"/>
  <c r="C1189" i="3"/>
  <c r="C1184" i="3"/>
  <c r="C1185" i="3"/>
  <c r="A1186" i="3"/>
  <c r="C1186" i="3"/>
  <c r="G1186" i="3"/>
  <c r="A1187" i="3"/>
  <c r="G1187" i="3"/>
  <c r="A1188" i="3"/>
  <c r="G1188" i="3"/>
  <c r="A1189" i="3"/>
  <c r="G1189" i="3"/>
  <c r="A1190" i="3"/>
  <c r="C1190" i="3"/>
  <c r="G1190" i="3"/>
  <c r="A1191" i="3"/>
  <c r="G1191" i="3"/>
  <c r="A1192" i="3"/>
  <c r="G1192" i="3"/>
  <c r="A1193" i="3"/>
  <c r="G1193" i="3"/>
  <c r="A1194" i="3"/>
  <c r="G1194" i="3"/>
  <c r="A1195" i="3"/>
  <c r="C1195" i="3"/>
  <c r="G1195" i="3"/>
  <c r="A1196" i="3"/>
  <c r="G1196" i="3"/>
  <c r="A1197" i="3"/>
  <c r="C1197" i="3"/>
  <c r="G1197" i="3"/>
  <c r="A1198" i="3"/>
  <c r="G1198" i="3"/>
  <c r="A1199" i="3"/>
  <c r="C1199" i="3"/>
  <c r="G1199" i="3"/>
  <c r="A1200" i="3"/>
  <c r="G1200" i="3"/>
  <c r="A1201" i="3"/>
  <c r="G1201" i="3"/>
  <c r="A1202" i="3"/>
  <c r="G1202" i="3"/>
  <c r="A1203" i="3"/>
  <c r="G1203" i="3"/>
  <c r="A1204" i="3"/>
  <c r="C1204" i="3"/>
  <c r="G1204" i="3"/>
  <c r="A1205" i="3"/>
  <c r="G1205" i="3"/>
  <c r="A1206" i="3"/>
  <c r="C1206" i="3"/>
  <c r="G1206" i="3"/>
  <c r="A1207" i="3"/>
  <c r="C1207" i="3"/>
  <c r="G1207" i="3"/>
  <c r="A1208" i="3"/>
  <c r="G1208" i="3"/>
  <c r="A1209" i="3"/>
  <c r="G1209" i="3"/>
  <c r="A1210" i="3"/>
  <c r="G1210" i="3"/>
  <c r="A1211" i="3"/>
  <c r="G1211" i="3"/>
  <c r="A1212" i="3"/>
  <c r="C1212" i="3"/>
  <c r="G1212" i="3"/>
  <c r="A1213" i="3"/>
  <c r="G1213" i="3"/>
  <c r="A1184" i="3"/>
  <c r="G1184" i="3"/>
  <c r="A1185" i="3"/>
  <c r="T23" i="31"/>
  <c r="I6" i="22"/>
  <c r="I3" i="22"/>
  <c r="I4" i="22"/>
  <c r="I5" i="22"/>
  <c r="I7" i="22"/>
  <c r="I8" i="22"/>
  <c r="I9" i="22"/>
  <c r="I10" i="22"/>
  <c r="I11" i="22"/>
  <c r="I13" i="22"/>
  <c r="I14" i="22"/>
  <c r="I15" i="22"/>
  <c r="I16" i="22"/>
  <c r="I17" i="22"/>
  <c r="I18" i="22"/>
  <c r="I20" i="22"/>
  <c r="I22" i="22"/>
  <c r="I23" i="22"/>
  <c r="I24" i="22"/>
  <c r="I25" i="22"/>
  <c r="I27" i="22"/>
  <c r="I28" i="22"/>
  <c r="I29" i="22"/>
  <c r="I31" i="22"/>
  <c r="I32" i="22"/>
  <c r="I33" i="22"/>
  <c r="I34" i="22"/>
  <c r="I35" i="22"/>
  <c r="I36" i="22"/>
  <c r="I37" i="22"/>
  <c r="I38" i="22"/>
  <c r="I39" i="22"/>
  <c r="I41" i="22"/>
  <c r="I42" i="22"/>
  <c r="I43" i="22"/>
  <c r="I44" i="22"/>
  <c r="I45" i="22"/>
  <c r="I47" i="22"/>
  <c r="I48" i="22"/>
  <c r="I49" i="22"/>
  <c r="I50" i="22"/>
  <c r="I51" i="22"/>
  <c r="I52" i="22"/>
  <c r="I54" i="22"/>
  <c r="I55" i="22"/>
  <c r="I56" i="22"/>
  <c r="I57" i="22"/>
  <c r="I58" i="22"/>
  <c r="I59" i="22"/>
  <c r="I60" i="22"/>
  <c r="I61" i="22"/>
  <c r="I62" i="22"/>
  <c r="I64" i="22"/>
  <c r="I66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9" i="22"/>
  <c r="I110" i="22"/>
  <c r="I111" i="22"/>
  <c r="I112" i="22"/>
  <c r="I113" i="22"/>
  <c r="I114" i="22"/>
  <c r="I116" i="22"/>
  <c r="I117" i="22"/>
  <c r="I118" i="22"/>
  <c r="I119" i="22"/>
  <c r="I120" i="22"/>
  <c r="I122" i="22"/>
  <c r="I2" i="22"/>
  <c r="O2" i="22"/>
  <c r="A304" i="2"/>
  <c r="C304" i="2"/>
  <c r="U304" i="2"/>
  <c r="G1182" i="3"/>
  <c r="C250" i="2"/>
  <c r="F254" i="2"/>
  <c r="J284" i="2"/>
  <c r="U284" i="2" s="1"/>
  <c r="J298" i="2"/>
  <c r="J295" i="2"/>
  <c r="G296" i="2"/>
  <c r="J296" i="2"/>
  <c r="E298" i="2"/>
  <c r="E297" i="2"/>
  <c r="U297" i="2" s="1"/>
  <c r="E296" i="2"/>
  <c r="H296" i="2"/>
  <c r="O296" i="2"/>
  <c r="O295" i="2"/>
  <c r="A295" i="2"/>
  <c r="C295" i="2"/>
  <c r="A296" i="2"/>
  <c r="C296" i="2"/>
  <c r="A297" i="2"/>
  <c r="C297" i="2"/>
  <c r="A298" i="2"/>
  <c r="C298" i="2"/>
  <c r="A299" i="2"/>
  <c r="C299" i="2"/>
  <c r="U299" i="2"/>
  <c r="A300" i="2"/>
  <c r="C300" i="2"/>
  <c r="U300" i="2"/>
  <c r="A301" i="2"/>
  <c r="C301" i="2"/>
  <c r="U301" i="2"/>
  <c r="A302" i="2"/>
  <c r="C302" i="2"/>
  <c r="U302" i="2"/>
  <c r="A303" i="2"/>
  <c r="C303" i="2"/>
  <c r="U303" i="2"/>
  <c r="E293" i="2"/>
  <c r="U293" i="2" s="1"/>
  <c r="E292" i="2"/>
  <c r="U292" i="2" s="1"/>
  <c r="E291" i="2"/>
  <c r="U291" i="2" s="1"/>
  <c r="E290" i="2"/>
  <c r="U290" i="2" s="1"/>
  <c r="J289" i="2"/>
  <c r="U289" i="2" s="1"/>
  <c r="J288" i="2"/>
  <c r="U288" i="2" s="1"/>
  <c r="J278" i="2"/>
  <c r="U278" i="2" s="1"/>
  <c r="J277" i="2"/>
  <c r="U277" i="2" s="1"/>
  <c r="J276" i="2"/>
  <c r="U276" i="2" s="1"/>
  <c r="F275" i="2"/>
  <c r="F271" i="2"/>
  <c r="U271" i="2" s="1"/>
  <c r="E270" i="2"/>
  <c r="U270" i="2" s="1"/>
  <c r="E269" i="2"/>
  <c r="U269" i="2" s="1"/>
  <c r="A268" i="2"/>
  <c r="C268" i="2"/>
  <c r="U268" i="2"/>
  <c r="A269" i="2"/>
  <c r="C269" i="2"/>
  <c r="A270" i="2"/>
  <c r="C270" i="2"/>
  <c r="A271" i="2"/>
  <c r="C271" i="2"/>
  <c r="A272" i="2"/>
  <c r="C272" i="2"/>
  <c r="U272" i="2"/>
  <c r="A273" i="2"/>
  <c r="C273" i="2"/>
  <c r="U273" i="2"/>
  <c r="A274" i="2"/>
  <c r="C274" i="2"/>
  <c r="U274" i="2"/>
  <c r="A275" i="2"/>
  <c r="C275" i="2"/>
  <c r="U275" i="2"/>
  <c r="A276" i="2"/>
  <c r="C276" i="2"/>
  <c r="A277" i="2"/>
  <c r="C277" i="2"/>
  <c r="A278" i="2"/>
  <c r="C278" i="2"/>
  <c r="A279" i="2"/>
  <c r="U279" i="2"/>
  <c r="A280" i="2"/>
  <c r="C280" i="2"/>
  <c r="U280" i="2"/>
  <c r="A281" i="2"/>
  <c r="C281" i="2"/>
  <c r="U281" i="2"/>
  <c r="A282" i="2"/>
  <c r="C282" i="2"/>
  <c r="U282" i="2"/>
  <c r="A283" i="2"/>
  <c r="C283" i="2"/>
  <c r="U283" i="2"/>
  <c r="A284" i="2"/>
  <c r="C284" i="2"/>
  <c r="A285" i="2"/>
  <c r="C285" i="2"/>
  <c r="U285" i="2"/>
  <c r="A286" i="2"/>
  <c r="C286" i="2"/>
  <c r="U286" i="2"/>
  <c r="A287" i="2"/>
  <c r="C287" i="2"/>
  <c r="U287" i="2"/>
  <c r="A288" i="2"/>
  <c r="C288" i="2"/>
  <c r="A289" i="2"/>
  <c r="C289" i="2"/>
  <c r="A290" i="2"/>
  <c r="C290" i="2"/>
  <c r="A291" i="2"/>
  <c r="C291" i="2"/>
  <c r="A292" i="2"/>
  <c r="C292" i="2"/>
  <c r="A293" i="2"/>
  <c r="C293" i="2"/>
  <c r="A294" i="2"/>
  <c r="U294" i="2"/>
  <c r="C1182" i="3"/>
  <c r="C1181" i="3"/>
  <c r="C1178" i="3"/>
  <c r="C1179" i="3"/>
  <c r="C1180" i="3"/>
  <c r="C1175" i="3"/>
  <c r="C1176" i="3"/>
  <c r="C1172" i="3"/>
  <c r="C1173" i="3"/>
  <c r="C1168" i="3"/>
  <c r="C1169" i="3"/>
  <c r="C1170" i="3"/>
  <c r="C1162" i="3"/>
  <c r="C1163" i="3"/>
  <c r="C1164" i="3"/>
  <c r="C1165" i="3"/>
  <c r="C1166" i="3"/>
  <c r="A1162" i="3"/>
  <c r="G1162" i="3"/>
  <c r="A1163" i="3"/>
  <c r="G1163" i="3"/>
  <c r="A1164" i="3"/>
  <c r="G1164" i="3"/>
  <c r="A1165" i="3"/>
  <c r="G1165" i="3"/>
  <c r="A1166" i="3"/>
  <c r="G1166" i="3"/>
  <c r="A1167" i="3"/>
  <c r="C1167" i="3"/>
  <c r="G1167" i="3"/>
  <c r="A1168" i="3"/>
  <c r="G1168" i="3"/>
  <c r="A1169" i="3"/>
  <c r="G1169" i="3"/>
  <c r="A1170" i="3"/>
  <c r="G1170" i="3"/>
  <c r="A1171" i="3"/>
  <c r="C1171" i="3"/>
  <c r="G1171" i="3"/>
  <c r="A1172" i="3"/>
  <c r="G1172" i="3"/>
  <c r="A1173" i="3"/>
  <c r="G1173" i="3"/>
  <c r="A1174" i="3"/>
  <c r="C1174" i="3"/>
  <c r="G1174" i="3"/>
  <c r="A1175" i="3"/>
  <c r="G1175" i="3"/>
  <c r="A1176" i="3"/>
  <c r="G1176" i="3"/>
  <c r="A1177" i="3"/>
  <c r="C1177" i="3"/>
  <c r="G1177" i="3"/>
  <c r="A1178" i="3"/>
  <c r="G1178" i="3"/>
  <c r="A1179" i="3"/>
  <c r="G1179" i="3"/>
  <c r="A1180" i="3"/>
  <c r="G1180" i="3"/>
  <c r="A1181" i="3"/>
  <c r="G1181" i="3"/>
  <c r="A1182" i="3"/>
  <c r="A1183" i="3"/>
  <c r="C1183" i="3"/>
  <c r="C1159" i="3"/>
  <c r="C1160" i="3"/>
  <c r="C1154" i="3"/>
  <c r="C1155" i="3"/>
  <c r="C1156" i="3"/>
  <c r="C1157" i="3"/>
  <c r="C1148" i="3"/>
  <c r="C1149" i="3"/>
  <c r="C1150" i="3"/>
  <c r="C1151" i="3"/>
  <c r="C1152" i="3"/>
  <c r="C1141" i="3"/>
  <c r="C1142" i="3"/>
  <c r="C1143" i="3"/>
  <c r="C1144" i="3"/>
  <c r="C1145" i="3"/>
  <c r="C1138" i="3"/>
  <c r="C1139" i="3"/>
  <c r="C1130" i="3"/>
  <c r="C1131" i="3"/>
  <c r="C1132" i="3"/>
  <c r="C1133" i="3"/>
  <c r="C1134" i="3"/>
  <c r="C1135" i="3"/>
  <c r="C1136" i="3"/>
  <c r="C1126" i="3"/>
  <c r="C1127" i="3"/>
  <c r="C1128" i="3"/>
  <c r="C1121" i="3"/>
  <c r="C1122" i="3"/>
  <c r="C1123" i="3"/>
  <c r="C1124" i="3"/>
  <c r="C1119" i="3"/>
  <c r="C1117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00" i="3"/>
  <c r="C1101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85" i="3"/>
  <c r="C1082" i="3"/>
  <c r="C1083" i="3"/>
  <c r="C1076" i="3"/>
  <c r="C1077" i="3"/>
  <c r="C1078" i="3"/>
  <c r="C1079" i="3"/>
  <c r="C1080" i="3"/>
  <c r="C1072" i="3"/>
  <c r="C1073" i="3"/>
  <c r="C1074" i="3"/>
  <c r="C1064" i="3"/>
  <c r="C1065" i="3"/>
  <c r="C1066" i="3"/>
  <c r="C1067" i="3"/>
  <c r="C1068" i="3"/>
  <c r="C1069" i="3"/>
  <c r="C1070" i="3"/>
  <c r="A1064" i="3"/>
  <c r="G1064" i="3"/>
  <c r="A1065" i="3"/>
  <c r="G1065" i="3"/>
  <c r="A1066" i="3"/>
  <c r="G1066" i="3"/>
  <c r="A1067" i="3"/>
  <c r="G1067" i="3"/>
  <c r="A1068" i="3"/>
  <c r="G1068" i="3"/>
  <c r="A1069" i="3"/>
  <c r="G1069" i="3"/>
  <c r="A1070" i="3"/>
  <c r="G1070" i="3"/>
  <c r="A1071" i="3"/>
  <c r="C1071" i="3"/>
  <c r="G1071" i="3"/>
  <c r="A1072" i="3"/>
  <c r="G1072" i="3"/>
  <c r="A1073" i="3"/>
  <c r="G1073" i="3"/>
  <c r="A1074" i="3"/>
  <c r="G1074" i="3"/>
  <c r="A1075" i="3"/>
  <c r="C1075" i="3"/>
  <c r="G1075" i="3"/>
  <c r="A1076" i="3"/>
  <c r="G1076" i="3"/>
  <c r="A1077" i="3"/>
  <c r="G1077" i="3"/>
  <c r="A1078" i="3"/>
  <c r="G1078" i="3"/>
  <c r="A1079" i="3"/>
  <c r="G1079" i="3"/>
  <c r="A1080" i="3"/>
  <c r="G1080" i="3"/>
  <c r="A1081" i="3"/>
  <c r="C1081" i="3"/>
  <c r="G1081" i="3"/>
  <c r="A1082" i="3"/>
  <c r="G1082" i="3"/>
  <c r="A1083" i="3"/>
  <c r="G1083" i="3"/>
  <c r="A1084" i="3"/>
  <c r="C1084" i="3"/>
  <c r="G1084" i="3"/>
  <c r="A1085" i="3"/>
  <c r="G1085" i="3"/>
  <c r="A1086" i="3"/>
  <c r="C1086" i="3"/>
  <c r="G1086" i="3"/>
  <c r="A1087" i="3"/>
  <c r="G1087" i="3"/>
  <c r="A1088" i="3"/>
  <c r="G1088" i="3"/>
  <c r="A1089" i="3"/>
  <c r="G1089" i="3"/>
  <c r="A1090" i="3"/>
  <c r="G1090" i="3"/>
  <c r="A1091" i="3"/>
  <c r="G1091" i="3"/>
  <c r="A1092" i="3"/>
  <c r="G1092" i="3"/>
  <c r="A1093" i="3"/>
  <c r="G1093" i="3"/>
  <c r="A1094" i="3"/>
  <c r="G1094" i="3"/>
  <c r="A1095" i="3"/>
  <c r="G1095" i="3"/>
  <c r="A1096" i="3"/>
  <c r="G1096" i="3"/>
  <c r="A1097" i="3"/>
  <c r="G1097" i="3"/>
  <c r="A1098" i="3"/>
  <c r="G1098" i="3"/>
  <c r="A1099" i="3"/>
  <c r="C1099" i="3"/>
  <c r="G1099" i="3"/>
  <c r="A1100" i="3"/>
  <c r="G1100" i="3"/>
  <c r="A1101" i="3"/>
  <c r="G1101" i="3"/>
  <c r="A1102" i="3"/>
  <c r="C1102" i="3"/>
  <c r="G1102" i="3"/>
  <c r="A1103" i="3"/>
  <c r="C1103" i="3"/>
  <c r="G1103" i="3"/>
  <c r="A1104" i="3"/>
  <c r="G1104" i="3"/>
  <c r="A1105" i="3"/>
  <c r="G1105" i="3"/>
  <c r="A1106" i="3"/>
  <c r="G1106" i="3"/>
  <c r="A1107" i="3"/>
  <c r="G1107" i="3"/>
  <c r="A1108" i="3"/>
  <c r="G1108" i="3"/>
  <c r="A1109" i="3"/>
  <c r="G1109" i="3"/>
  <c r="A1110" i="3"/>
  <c r="G1110" i="3"/>
  <c r="A1111" i="3"/>
  <c r="G1111" i="3"/>
  <c r="A1112" i="3"/>
  <c r="G1112" i="3"/>
  <c r="A1113" i="3"/>
  <c r="G1113" i="3"/>
  <c r="A1114" i="3"/>
  <c r="G1114" i="3"/>
  <c r="A1115" i="3"/>
  <c r="G1115" i="3"/>
  <c r="A1116" i="3"/>
  <c r="C1116" i="3"/>
  <c r="G1116" i="3"/>
  <c r="A1117" i="3"/>
  <c r="G1117" i="3"/>
  <c r="A1118" i="3"/>
  <c r="C1118" i="3"/>
  <c r="G1118" i="3"/>
  <c r="A1119" i="3"/>
  <c r="G1119" i="3"/>
  <c r="A1120" i="3"/>
  <c r="C1120" i="3"/>
  <c r="G1120" i="3"/>
  <c r="A1121" i="3"/>
  <c r="G1121" i="3"/>
  <c r="A1122" i="3"/>
  <c r="G1122" i="3"/>
  <c r="A1123" i="3"/>
  <c r="G1123" i="3"/>
  <c r="A1124" i="3"/>
  <c r="G1124" i="3"/>
  <c r="A1125" i="3"/>
  <c r="C1125" i="3"/>
  <c r="G1125" i="3"/>
  <c r="A1126" i="3"/>
  <c r="G1126" i="3"/>
  <c r="A1127" i="3"/>
  <c r="G1127" i="3"/>
  <c r="A1128" i="3"/>
  <c r="G1128" i="3"/>
  <c r="A1129" i="3"/>
  <c r="C1129" i="3"/>
  <c r="G1129" i="3"/>
  <c r="A1130" i="3"/>
  <c r="G1130" i="3"/>
  <c r="A1131" i="3"/>
  <c r="G1131" i="3"/>
  <c r="A1132" i="3"/>
  <c r="G1132" i="3"/>
  <c r="A1133" i="3"/>
  <c r="G1133" i="3"/>
  <c r="A1134" i="3"/>
  <c r="G1134" i="3"/>
  <c r="A1135" i="3"/>
  <c r="G1135" i="3"/>
  <c r="A1136" i="3"/>
  <c r="G1136" i="3"/>
  <c r="A1137" i="3"/>
  <c r="C1137" i="3"/>
  <c r="G1137" i="3"/>
  <c r="A1138" i="3"/>
  <c r="G1138" i="3"/>
  <c r="A1139" i="3"/>
  <c r="G1139" i="3"/>
  <c r="A1140" i="3"/>
  <c r="C1140" i="3"/>
  <c r="G1140" i="3"/>
  <c r="A1141" i="3"/>
  <c r="G1141" i="3"/>
  <c r="A1142" i="3"/>
  <c r="G1142" i="3"/>
  <c r="A1143" i="3"/>
  <c r="G1143" i="3"/>
  <c r="A1144" i="3"/>
  <c r="G1144" i="3"/>
  <c r="A1145" i="3"/>
  <c r="G1145" i="3"/>
  <c r="A1146" i="3"/>
  <c r="C1146" i="3"/>
  <c r="G1146" i="3"/>
  <c r="A1147" i="3"/>
  <c r="C1147" i="3"/>
  <c r="G1147" i="3"/>
  <c r="A1148" i="3"/>
  <c r="G1148" i="3"/>
  <c r="A1149" i="3"/>
  <c r="G1149" i="3"/>
  <c r="A1150" i="3"/>
  <c r="G1150" i="3"/>
  <c r="A1151" i="3"/>
  <c r="G1151" i="3"/>
  <c r="A1152" i="3"/>
  <c r="G1152" i="3"/>
  <c r="A1153" i="3"/>
  <c r="C1153" i="3"/>
  <c r="G1153" i="3"/>
  <c r="A1154" i="3"/>
  <c r="G1154" i="3"/>
  <c r="A1155" i="3"/>
  <c r="G1155" i="3"/>
  <c r="A1156" i="3"/>
  <c r="G1156" i="3"/>
  <c r="A1157" i="3"/>
  <c r="G1157" i="3"/>
  <c r="A1158" i="3"/>
  <c r="C1158" i="3"/>
  <c r="G1158" i="3"/>
  <c r="A1159" i="3"/>
  <c r="G1159" i="3"/>
  <c r="A1160" i="3"/>
  <c r="G1160" i="3"/>
  <c r="A1161" i="3"/>
  <c r="C1161" i="3"/>
  <c r="G1161" i="3"/>
  <c r="C1062" i="3"/>
  <c r="C1058" i="3"/>
  <c r="C1059" i="3"/>
  <c r="C1060" i="3"/>
  <c r="C1055" i="3"/>
  <c r="C1056" i="3"/>
  <c r="C1051" i="3"/>
  <c r="C1048" i="3"/>
  <c r="C1049" i="3"/>
  <c r="C1045" i="3"/>
  <c r="C1046" i="3"/>
  <c r="C1043" i="3"/>
  <c r="H1173" i="3" l="1"/>
  <c r="I1173" i="3" s="1"/>
  <c r="H1166" i="3"/>
  <c r="I1166" i="3" s="1"/>
  <c r="H1162" i="3"/>
  <c r="I1162" i="3" s="1"/>
  <c r="H1212" i="3"/>
  <c r="I1212" i="3" s="1"/>
  <c r="H1202" i="3"/>
  <c r="I1202" i="3" s="1"/>
  <c r="H1195" i="3"/>
  <c r="I1195" i="3" s="1"/>
  <c r="I1188" i="3"/>
  <c r="H1159" i="3"/>
  <c r="I1159" i="3" s="1"/>
  <c r="H1152" i="3"/>
  <c r="I1152" i="3" s="1"/>
  <c r="H1148" i="3"/>
  <c r="I1148" i="3" s="1"/>
  <c r="H1145" i="3"/>
  <c r="I1145" i="3" s="1"/>
  <c r="H1141" i="3"/>
  <c r="I1141" i="3" s="1"/>
  <c r="H1134" i="3"/>
  <c r="I1134" i="3" s="1"/>
  <c r="H1130" i="3"/>
  <c r="I1130" i="3" s="1"/>
  <c r="H1123" i="3"/>
  <c r="I1123" i="3" s="1"/>
  <c r="H1116" i="3"/>
  <c r="I1116" i="3" s="1"/>
  <c r="H1098" i="3"/>
  <c r="I1098" i="3" s="1"/>
  <c r="H1094" i="3"/>
  <c r="I1094" i="3" s="1"/>
  <c r="H1090" i="3"/>
  <c r="I1090" i="3" s="1"/>
  <c r="H1086" i="3"/>
  <c r="I1086" i="3" s="1"/>
  <c r="H1083" i="3"/>
  <c r="I1083" i="3" s="1"/>
  <c r="H1072" i="3"/>
  <c r="I1072" i="3" s="1"/>
  <c r="H1155" i="3"/>
  <c r="I1155" i="3" s="1"/>
  <c r="H1137" i="3"/>
  <c r="I1137" i="3" s="1"/>
  <c r="H1126" i="3"/>
  <c r="I1126" i="3" s="1"/>
  <c r="H1119" i="3"/>
  <c r="I1119" i="3" s="1"/>
  <c r="H1112" i="3"/>
  <c r="I1112" i="3" s="1"/>
  <c r="H1108" i="3"/>
  <c r="I1108" i="3" s="1"/>
  <c r="H1104" i="3"/>
  <c r="I1104" i="3" s="1"/>
  <c r="H1101" i="3"/>
  <c r="I1101" i="3" s="1"/>
  <c r="H1079" i="3"/>
  <c r="I1079" i="3" s="1"/>
  <c r="H1075" i="3"/>
  <c r="I1075" i="3" s="1"/>
  <c r="H1068" i="3"/>
  <c r="I1068" i="3" s="1"/>
  <c r="H1064" i="3"/>
  <c r="I1064" i="3" s="1"/>
  <c r="H1175" i="3"/>
  <c r="I1175" i="3" s="1"/>
  <c r="H1168" i="3"/>
  <c r="I1168" i="3" s="1"/>
  <c r="H1158" i="3"/>
  <c r="I1158" i="3" s="1"/>
  <c r="H1151" i="3"/>
  <c r="I1151" i="3" s="1"/>
  <c r="H1147" i="3"/>
  <c r="I1147" i="3" s="1"/>
  <c r="H1144" i="3"/>
  <c r="I1144" i="3" s="1"/>
  <c r="H1140" i="3"/>
  <c r="I1140" i="3" s="1"/>
  <c r="H1133" i="3"/>
  <c r="I1133" i="3" s="1"/>
  <c r="H1129" i="3"/>
  <c r="I1129" i="3" s="1"/>
  <c r="H1122" i="3"/>
  <c r="I1122" i="3" s="1"/>
  <c r="H1097" i="3"/>
  <c r="I1097" i="3" s="1"/>
  <c r="H1093" i="3"/>
  <c r="I1093" i="3" s="1"/>
  <c r="H1089" i="3"/>
  <c r="I1089" i="3" s="1"/>
  <c r="H1082" i="3"/>
  <c r="I1082" i="3" s="1"/>
  <c r="H1071" i="3"/>
  <c r="I1071" i="3" s="1"/>
  <c r="H1161" i="3"/>
  <c r="I1161" i="3" s="1"/>
  <c r="H1154" i="3"/>
  <c r="I1154" i="3" s="1"/>
  <c r="H1125" i="3"/>
  <c r="I1125" i="3" s="1"/>
  <c r="H1118" i="3"/>
  <c r="I1118" i="3" s="1"/>
  <c r="H1115" i="3"/>
  <c r="I1115" i="3" s="1"/>
  <c r="H1111" i="3"/>
  <c r="I1111" i="3" s="1"/>
  <c r="H1107" i="3"/>
  <c r="I1107" i="3" s="1"/>
  <c r="H1103" i="3"/>
  <c r="I1103" i="3" s="1"/>
  <c r="H1100" i="3"/>
  <c r="I1100" i="3" s="1"/>
  <c r="H1085" i="3"/>
  <c r="I1085" i="3" s="1"/>
  <c r="H1078" i="3"/>
  <c r="I1078" i="3" s="1"/>
  <c r="H1067" i="3"/>
  <c r="I1067" i="3" s="1"/>
  <c r="H1150" i="3"/>
  <c r="I1150" i="3" s="1"/>
  <c r="H1143" i="3"/>
  <c r="I1143" i="3" s="1"/>
  <c r="H1136" i="3"/>
  <c r="I1136" i="3" s="1"/>
  <c r="H1132" i="3"/>
  <c r="I1132" i="3" s="1"/>
  <c r="H1121" i="3"/>
  <c r="I1121" i="3" s="1"/>
  <c r="H1096" i="3"/>
  <c r="I1096" i="3" s="1"/>
  <c r="H1092" i="3"/>
  <c r="I1092" i="3" s="1"/>
  <c r="H1088" i="3"/>
  <c r="I1088" i="3" s="1"/>
  <c r="H1081" i="3"/>
  <c r="I1081" i="3" s="1"/>
  <c r="H1074" i="3"/>
  <c r="I1074" i="3" s="1"/>
  <c r="H1157" i="3"/>
  <c r="I1157" i="3" s="1"/>
  <c r="H1153" i="3"/>
  <c r="I1153" i="3" s="1"/>
  <c r="H1146" i="3"/>
  <c r="I1146" i="3" s="1"/>
  <c r="H1139" i="3"/>
  <c r="I1139" i="3" s="1"/>
  <c r="H1128" i="3"/>
  <c r="I1128" i="3" s="1"/>
  <c r="H1114" i="3"/>
  <c r="I1114" i="3" s="1"/>
  <c r="H1110" i="3"/>
  <c r="I1110" i="3" s="1"/>
  <c r="H1106" i="3"/>
  <c r="I1106" i="3" s="1"/>
  <c r="H1099" i="3"/>
  <c r="I1099" i="3" s="1"/>
  <c r="H1084" i="3"/>
  <c r="I1084" i="3" s="1"/>
  <c r="H1077" i="3"/>
  <c r="I1077" i="3" s="1"/>
  <c r="H1070" i="3"/>
  <c r="I1070" i="3" s="1"/>
  <c r="H1066" i="3"/>
  <c r="I1066" i="3" s="1"/>
  <c r="H1170" i="3"/>
  <c r="I1170" i="3" s="1"/>
  <c r="H1160" i="3"/>
  <c r="I1160" i="3" s="1"/>
  <c r="H1149" i="3"/>
  <c r="I1149" i="3" s="1"/>
  <c r="H1142" i="3"/>
  <c r="I1142" i="3" s="1"/>
  <c r="H1135" i="3"/>
  <c r="I1135" i="3" s="1"/>
  <c r="H1131" i="3"/>
  <c r="I1131" i="3" s="1"/>
  <c r="H1124" i="3"/>
  <c r="I1124" i="3" s="1"/>
  <c r="H1120" i="3"/>
  <c r="I1120" i="3" s="1"/>
  <c r="H1117" i="3"/>
  <c r="I1117" i="3" s="1"/>
  <c r="H1102" i="3"/>
  <c r="I1102" i="3" s="1"/>
  <c r="H1095" i="3"/>
  <c r="I1095" i="3" s="1"/>
  <c r="H1091" i="3"/>
  <c r="I1091" i="3" s="1"/>
  <c r="H1087" i="3"/>
  <c r="I1087" i="3" s="1"/>
  <c r="H1073" i="3"/>
  <c r="I1073" i="3" s="1"/>
  <c r="H1180" i="3"/>
  <c r="I1180" i="3" s="1"/>
  <c r="H1156" i="3"/>
  <c r="I1156" i="3" s="1"/>
  <c r="H1138" i="3"/>
  <c r="I1138" i="3" s="1"/>
  <c r="H1127" i="3"/>
  <c r="I1127" i="3" s="1"/>
  <c r="H1113" i="3"/>
  <c r="I1113" i="3" s="1"/>
  <c r="H1109" i="3"/>
  <c r="I1109" i="3" s="1"/>
  <c r="H1105" i="3"/>
  <c r="I1105" i="3" s="1"/>
  <c r="H1080" i="3"/>
  <c r="I1080" i="3" s="1"/>
  <c r="H1076" i="3"/>
  <c r="I1076" i="3" s="1"/>
  <c r="H1069" i="3"/>
  <c r="I1069" i="3" s="1"/>
  <c r="H1065" i="3"/>
  <c r="I1065" i="3" s="1"/>
  <c r="H1176" i="3"/>
  <c r="I1176" i="3" s="1"/>
  <c r="H1169" i="3"/>
  <c r="I1169" i="3" s="1"/>
  <c r="H1208" i="3"/>
  <c r="I1208" i="3" s="1"/>
  <c r="H1205" i="3"/>
  <c r="I1205" i="3" s="1"/>
  <c r="H1198" i="3"/>
  <c r="I1198" i="3" s="1"/>
  <c r="H1191" i="3"/>
  <c r="I1191" i="3" s="1"/>
  <c r="H1220" i="3"/>
  <c r="I1220" i="3" s="1"/>
  <c r="H1216" i="3"/>
  <c r="I1216" i="3" s="1"/>
  <c r="H1179" i="3"/>
  <c r="I1179" i="3" s="1"/>
  <c r="H1172" i="3"/>
  <c r="I1172" i="3" s="1"/>
  <c r="H1165" i="3"/>
  <c r="I1165" i="3" s="1"/>
  <c r="H1201" i="3"/>
  <c r="I1201" i="3" s="1"/>
  <c r="I1187" i="3"/>
  <c r="H1211" i="3"/>
  <c r="I1211" i="3" s="1"/>
  <c r="H1207" i="3"/>
  <c r="I1207" i="3" s="1"/>
  <c r="H1204" i="3"/>
  <c r="I1204" i="3" s="1"/>
  <c r="H1197" i="3"/>
  <c r="I1197" i="3" s="1"/>
  <c r="H1194" i="3"/>
  <c r="I1194" i="3" s="1"/>
  <c r="H1190" i="3"/>
  <c r="I1190" i="3" s="1"/>
  <c r="H1219" i="3"/>
  <c r="I1219" i="3" s="1"/>
  <c r="H1215" i="3"/>
  <c r="I1215" i="3" s="1"/>
  <c r="H1178" i="3"/>
  <c r="I1178" i="3" s="1"/>
  <c r="H1171" i="3"/>
  <c r="I1171" i="3" s="1"/>
  <c r="H1164" i="3"/>
  <c r="I1164" i="3" s="1"/>
  <c r="H1184" i="3"/>
  <c r="I1184" i="3" s="1"/>
  <c r="H1200" i="3"/>
  <c r="I1200" i="3" s="1"/>
  <c r="I1186" i="3"/>
  <c r="H1222" i="3"/>
  <c r="I1222" i="3" s="1"/>
  <c r="H1174" i="3"/>
  <c r="I1174" i="3" s="1"/>
  <c r="H1167" i="3"/>
  <c r="I1167" i="3" s="1"/>
  <c r="H1210" i="3"/>
  <c r="I1210" i="3" s="1"/>
  <c r="H1193" i="3"/>
  <c r="I1193" i="3" s="1"/>
  <c r="H1218" i="3"/>
  <c r="I1218" i="3" s="1"/>
  <c r="H1214" i="3"/>
  <c r="I1214" i="3" s="1"/>
  <c r="H1181" i="3"/>
  <c r="I1181" i="3" s="1"/>
  <c r="H1177" i="3"/>
  <c r="I1177" i="3" s="1"/>
  <c r="H1163" i="3"/>
  <c r="I1163" i="3" s="1"/>
  <c r="H1182" i="3"/>
  <c r="I1182" i="3" s="1"/>
  <c r="H1213" i="3"/>
  <c r="I1213" i="3" s="1"/>
  <c r="H1206" i="3"/>
  <c r="I1206" i="3" s="1"/>
  <c r="H1203" i="3"/>
  <c r="I1203" i="3" s="1"/>
  <c r="H1199" i="3"/>
  <c r="I1199" i="3" s="1"/>
  <c r="H1196" i="3"/>
  <c r="I1196" i="3" s="1"/>
  <c r="I1189" i="3"/>
  <c r="H1209" i="3"/>
  <c r="I1209" i="3" s="1"/>
  <c r="H1192" i="3"/>
  <c r="I1192" i="3" s="1"/>
  <c r="H1221" i="3"/>
  <c r="I1221" i="3" s="1"/>
  <c r="H1217" i="3"/>
  <c r="I1217" i="3" s="1"/>
  <c r="U298" i="2"/>
  <c r="U295" i="2"/>
  <c r="U296" i="2"/>
  <c r="C1036" i="3"/>
  <c r="C1037" i="3"/>
  <c r="C1038" i="3"/>
  <c r="C1039" i="3"/>
  <c r="C1040" i="3"/>
  <c r="C1041" i="3"/>
  <c r="G1033" i="3"/>
  <c r="C1029" i="3"/>
  <c r="C1030" i="3"/>
  <c r="C1031" i="3"/>
  <c r="C1032" i="3"/>
  <c r="C1033" i="3"/>
  <c r="C1034" i="3"/>
  <c r="C1026" i="3"/>
  <c r="C1027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07" i="3"/>
  <c r="C1008" i="3"/>
  <c r="C1002" i="3"/>
  <c r="C1003" i="3"/>
  <c r="C1004" i="3"/>
  <c r="C1005" i="3"/>
  <c r="C998" i="3"/>
  <c r="C999" i="3"/>
  <c r="C1000" i="3"/>
  <c r="C991" i="3"/>
  <c r="C992" i="3"/>
  <c r="C993" i="3"/>
  <c r="C994" i="3"/>
  <c r="C995" i="3"/>
  <c r="C996" i="3"/>
  <c r="C984" i="3"/>
  <c r="C985" i="3"/>
  <c r="C986" i="3"/>
  <c r="C987" i="3"/>
  <c r="C988" i="3"/>
  <c r="C989" i="3"/>
  <c r="C981" i="3"/>
  <c r="C982" i="3"/>
  <c r="C976" i="3"/>
  <c r="C977" i="3"/>
  <c r="C972" i="3"/>
  <c r="C973" i="3"/>
  <c r="C974" i="3"/>
  <c r="C967" i="3"/>
  <c r="C968" i="3"/>
  <c r="C969" i="3"/>
  <c r="C970" i="3"/>
  <c r="C962" i="3"/>
  <c r="C963" i="3"/>
  <c r="C964" i="3"/>
  <c r="C965" i="3"/>
  <c r="C954" i="3"/>
  <c r="C955" i="3"/>
  <c r="C956" i="3"/>
  <c r="C957" i="3"/>
  <c r="C958" i="3"/>
  <c r="C959" i="3"/>
  <c r="C960" i="3"/>
  <c r="C945" i="3"/>
  <c r="C946" i="3"/>
  <c r="C947" i="3"/>
  <c r="C948" i="3"/>
  <c r="C949" i="3"/>
  <c r="C950" i="3"/>
  <c r="C951" i="3"/>
  <c r="C952" i="3"/>
  <c r="C943" i="3"/>
  <c r="A941" i="3"/>
  <c r="C941" i="3"/>
  <c r="G941" i="3"/>
  <c r="A942" i="3"/>
  <c r="C942" i="3"/>
  <c r="G942" i="3"/>
  <c r="A943" i="3"/>
  <c r="G943" i="3"/>
  <c r="A944" i="3"/>
  <c r="C944" i="3"/>
  <c r="G944" i="3"/>
  <c r="A945" i="3"/>
  <c r="G945" i="3"/>
  <c r="A946" i="3"/>
  <c r="G946" i="3"/>
  <c r="A947" i="3"/>
  <c r="G947" i="3"/>
  <c r="A948" i="3"/>
  <c r="G948" i="3"/>
  <c r="A949" i="3"/>
  <c r="G949" i="3"/>
  <c r="A950" i="3"/>
  <c r="G950" i="3"/>
  <c r="A951" i="3"/>
  <c r="G951" i="3"/>
  <c r="A952" i="3"/>
  <c r="G952" i="3"/>
  <c r="A953" i="3"/>
  <c r="C953" i="3"/>
  <c r="G953" i="3"/>
  <c r="A954" i="3"/>
  <c r="G954" i="3"/>
  <c r="A955" i="3"/>
  <c r="G955" i="3"/>
  <c r="A956" i="3"/>
  <c r="G956" i="3"/>
  <c r="A957" i="3"/>
  <c r="G957" i="3"/>
  <c r="A958" i="3"/>
  <c r="G958" i="3"/>
  <c r="A959" i="3"/>
  <c r="G959" i="3"/>
  <c r="A960" i="3"/>
  <c r="G960" i="3"/>
  <c r="A961" i="3"/>
  <c r="C961" i="3"/>
  <c r="G961" i="3"/>
  <c r="A962" i="3"/>
  <c r="G962" i="3"/>
  <c r="A963" i="3"/>
  <c r="G963" i="3"/>
  <c r="A964" i="3"/>
  <c r="G964" i="3"/>
  <c r="A965" i="3"/>
  <c r="G965" i="3"/>
  <c r="A966" i="3"/>
  <c r="C966" i="3"/>
  <c r="G966" i="3"/>
  <c r="A967" i="3"/>
  <c r="G967" i="3"/>
  <c r="A968" i="3"/>
  <c r="G968" i="3"/>
  <c r="A969" i="3"/>
  <c r="G969" i="3"/>
  <c r="A970" i="3"/>
  <c r="G970" i="3"/>
  <c r="A971" i="3"/>
  <c r="C971" i="3"/>
  <c r="G971" i="3"/>
  <c r="A972" i="3"/>
  <c r="G972" i="3"/>
  <c r="A973" i="3"/>
  <c r="G973" i="3"/>
  <c r="A974" i="3"/>
  <c r="G974" i="3"/>
  <c r="A975" i="3"/>
  <c r="C975" i="3"/>
  <c r="G975" i="3"/>
  <c r="A976" i="3"/>
  <c r="G976" i="3"/>
  <c r="A977" i="3"/>
  <c r="G977" i="3"/>
  <c r="A978" i="3"/>
  <c r="C978" i="3"/>
  <c r="A979" i="3"/>
  <c r="C979" i="3"/>
  <c r="G979" i="3"/>
  <c r="A980" i="3"/>
  <c r="C980" i="3"/>
  <c r="G980" i="3"/>
  <c r="A981" i="3"/>
  <c r="G981" i="3"/>
  <c r="A982" i="3"/>
  <c r="G982" i="3"/>
  <c r="A983" i="3"/>
  <c r="C983" i="3"/>
  <c r="G983" i="3"/>
  <c r="A984" i="3"/>
  <c r="G984" i="3"/>
  <c r="A985" i="3"/>
  <c r="G985" i="3"/>
  <c r="A986" i="3"/>
  <c r="G986" i="3"/>
  <c r="A987" i="3"/>
  <c r="G987" i="3"/>
  <c r="A988" i="3"/>
  <c r="G988" i="3"/>
  <c r="A989" i="3"/>
  <c r="G989" i="3"/>
  <c r="A990" i="3"/>
  <c r="C990" i="3"/>
  <c r="G990" i="3"/>
  <c r="A991" i="3"/>
  <c r="G991" i="3"/>
  <c r="A992" i="3"/>
  <c r="G992" i="3"/>
  <c r="A993" i="3"/>
  <c r="G993" i="3"/>
  <c r="A994" i="3"/>
  <c r="G994" i="3"/>
  <c r="A995" i="3"/>
  <c r="G995" i="3"/>
  <c r="A996" i="3"/>
  <c r="G996" i="3"/>
  <c r="A997" i="3"/>
  <c r="C997" i="3"/>
  <c r="G997" i="3"/>
  <c r="A998" i="3"/>
  <c r="G998" i="3"/>
  <c r="A999" i="3"/>
  <c r="G999" i="3"/>
  <c r="A1000" i="3"/>
  <c r="G1000" i="3"/>
  <c r="A1001" i="3"/>
  <c r="C1001" i="3"/>
  <c r="G1001" i="3"/>
  <c r="A1002" i="3"/>
  <c r="G1002" i="3"/>
  <c r="A1003" i="3"/>
  <c r="G1003" i="3"/>
  <c r="A1004" i="3"/>
  <c r="G1004" i="3"/>
  <c r="A1005" i="3"/>
  <c r="G1005" i="3"/>
  <c r="A1006" i="3"/>
  <c r="C1006" i="3"/>
  <c r="G1006" i="3"/>
  <c r="A1007" i="3"/>
  <c r="G1007" i="3"/>
  <c r="A1008" i="3"/>
  <c r="G1008" i="3"/>
  <c r="A1009" i="3"/>
  <c r="C1009" i="3"/>
  <c r="G1009" i="3"/>
  <c r="A1010" i="3"/>
  <c r="G1010" i="3"/>
  <c r="A1011" i="3"/>
  <c r="G1011" i="3"/>
  <c r="A1012" i="3"/>
  <c r="G1012" i="3"/>
  <c r="A1013" i="3"/>
  <c r="G1013" i="3"/>
  <c r="A1014" i="3"/>
  <c r="G1014" i="3"/>
  <c r="A1015" i="3"/>
  <c r="G1015" i="3"/>
  <c r="A1016" i="3"/>
  <c r="G1016" i="3"/>
  <c r="A1017" i="3"/>
  <c r="G1017" i="3"/>
  <c r="A1018" i="3"/>
  <c r="G1018" i="3"/>
  <c r="A1019" i="3"/>
  <c r="G1019" i="3"/>
  <c r="A1020" i="3"/>
  <c r="G1020" i="3"/>
  <c r="A1021" i="3"/>
  <c r="G1021" i="3"/>
  <c r="A1022" i="3"/>
  <c r="G1022" i="3"/>
  <c r="A1023" i="3"/>
  <c r="G1023" i="3"/>
  <c r="A1024" i="3"/>
  <c r="G1024" i="3"/>
  <c r="A1025" i="3"/>
  <c r="C1025" i="3"/>
  <c r="G1025" i="3"/>
  <c r="A1026" i="3"/>
  <c r="G1026" i="3"/>
  <c r="A1027" i="3"/>
  <c r="G1027" i="3"/>
  <c r="A1028" i="3"/>
  <c r="C1028" i="3"/>
  <c r="G1028" i="3"/>
  <c r="A1029" i="3"/>
  <c r="G1029" i="3"/>
  <c r="A1030" i="3"/>
  <c r="G1030" i="3"/>
  <c r="A1031" i="3"/>
  <c r="G1031" i="3"/>
  <c r="A1032" i="3"/>
  <c r="G1032" i="3"/>
  <c r="A1033" i="3"/>
  <c r="A1034" i="3"/>
  <c r="G1034" i="3"/>
  <c r="A1035" i="3"/>
  <c r="C1035" i="3"/>
  <c r="G1035" i="3"/>
  <c r="A1036" i="3"/>
  <c r="G1036" i="3"/>
  <c r="A1037" i="3"/>
  <c r="G1037" i="3"/>
  <c r="A1038" i="3"/>
  <c r="G1038" i="3"/>
  <c r="A1039" i="3"/>
  <c r="G1039" i="3"/>
  <c r="A1040" i="3"/>
  <c r="G1040" i="3"/>
  <c r="A1041" i="3"/>
  <c r="G1041" i="3"/>
  <c r="A1042" i="3"/>
  <c r="C1042" i="3"/>
  <c r="G1042" i="3"/>
  <c r="A1043" i="3"/>
  <c r="G1043" i="3"/>
  <c r="A1044" i="3"/>
  <c r="C1044" i="3"/>
  <c r="G1044" i="3"/>
  <c r="A1045" i="3"/>
  <c r="G1045" i="3"/>
  <c r="A1046" i="3"/>
  <c r="G1046" i="3"/>
  <c r="A1047" i="3"/>
  <c r="C1047" i="3"/>
  <c r="G1047" i="3"/>
  <c r="A1048" i="3"/>
  <c r="G1048" i="3"/>
  <c r="A1049" i="3"/>
  <c r="G1049" i="3"/>
  <c r="A1050" i="3"/>
  <c r="C1050" i="3"/>
  <c r="G1050" i="3"/>
  <c r="A1051" i="3"/>
  <c r="G1051" i="3"/>
  <c r="A1052" i="3"/>
  <c r="C1052" i="3"/>
  <c r="G1052" i="3"/>
  <c r="A1053" i="3"/>
  <c r="C1053" i="3"/>
  <c r="G1053" i="3"/>
  <c r="A1054" i="3"/>
  <c r="C1054" i="3"/>
  <c r="G1054" i="3"/>
  <c r="A1055" i="3"/>
  <c r="G1055" i="3"/>
  <c r="A1056" i="3"/>
  <c r="G1056" i="3"/>
  <c r="A1057" i="3"/>
  <c r="C1057" i="3"/>
  <c r="G1057" i="3"/>
  <c r="A1058" i="3"/>
  <c r="G1058" i="3"/>
  <c r="A1059" i="3"/>
  <c r="G1059" i="3"/>
  <c r="A1060" i="3"/>
  <c r="G1060" i="3"/>
  <c r="A1061" i="3"/>
  <c r="C1061" i="3"/>
  <c r="G1061" i="3"/>
  <c r="A1062" i="3"/>
  <c r="G1062" i="3"/>
  <c r="A1063" i="3"/>
  <c r="C1063" i="3"/>
  <c r="G1063" i="3"/>
  <c r="T22" i="31"/>
  <c r="J266" i="2"/>
  <c r="U266" i="2" s="1"/>
  <c r="J265" i="2"/>
  <c r="U265" i="2" s="1"/>
  <c r="A265" i="2"/>
  <c r="C265" i="2"/>
  <c r="A266" i="2"/>
  <c r="C266" i="2"/>
  <c r="A267" i="2"/>
  <c r="C267" i="2"/>
  <c r="U267" i="2"/>
  <c r="C932" i="3"/>
  <c r="C933" i="3"/>
  <c r="C934" i="3"/>
  <c r="C935" i="3"/>
  <c r="C936" i="3"/>
  <c r="C937" i="3"/>
  <c r="C938" i="3"/>
  <c r="C939" i="3"/>
  <c r="C929" i="3"/>
  <c r="C930" i="3"/>
  <c r="C924" i="3"/>
  <c r="C925" i="3"/>
  <c r="C926" i="3"/>
  <c r="C927" i="3"/>
  <c r="C922" i="3"/>
  <c r="C923" i="3"/>
  <c r="C911" i="3"/>
  <c r="C912" i="3"/>
  <c r="C913" i="3"/>
  <c r="C914" i="3"/>
  <c r="C915" i="3"/>
  <c r="C916" i="3"/>
  <c r="C917" i="3"/>
  <c r="C918" i="3"/>
  <c r="C919" i="3"/>
  <c r="C920" i="3"/>
  <c r="C907" i="3"/>
  <c r="C908" i="3"/>
  <c r="C909" i="3"/>
  <c r="C910" i="3"/>
  <c r="A907" i="3"/>
  <c r="G907" i="3"/>
  <c r="A908" i="3"/>
  <c r="G908" i="3"/>
  <c r="A909" i="3"/>
  <c r="G909" i="3"/>
  <c r="A910" i="3"/>
  <c r="G910" i="3"/>
  <c r="A911" i="3"/>
  <c r="G911" i="3"/>
  <c r="A912" i="3"/>
  <c r="G912" i="3"/>
  <c r="A913" i="3"/>
  <c r="G913" i="3"/>
  <c r="A914" i="3"/>
  <c r="G914" i="3"/>
  <c r="A915" i="3"/>
  <c r="G915" i="3"/>
  <c r="A916" i="3"/>
  <c r="G916" i="3"/>
  <c r="A917" i="3"/>
  <c r="G917" i="3"/>
  <c r="A918" i="3"/>
  <c r="G918" i="3"/>
  <c r="A919" i="3"/>
  <c r="G919" i="3"/>
  <c r="A920" i="3"/>
  <c r="G920" i="3"/>
  <c r="A921" i="3"/>
  <c r="C921" i="3"/>
  <c r="G921" i="3"/>
  <c r="A922" i="3"/>
  <c r="G922" i="3"/>
  <c r="A923" i="3"/>
  <c r="G923" i="3"/>
  <c r="A924" i="3"/>
  <c r="G924" i="3"/>
  <c r="A925" i="3"/>
  <c r="G925" i="3"/>
  <c r="A926" i="3"/>
  <c r="G926" i="3"/>
  <c r="A927" i="3"/>
  <c r="G927" i="3"/>
  <c r="A928" i="3"/>
  <c r="C928" i="3"/>
  <c r="G928" i="3"/>
  <c r="A929" i="3"/>
  <c r="G929" i="3"/>
  <c r="A930" i="3"/>
  <c r="G930" i="3"/>
  <c r="A931" i="3"/>
  <c r="C931" i="3"/>
  <c r="G931" i="3"/>
  <c r="A932" i="3"/>
  <c r="G932" i="3"/>
  <c r="A933" i="3"/>
  <c r="G933" i="3"/>
  <c r="A934" i="3"/>
  <c r="G934" i="3"/>
  <c r="A935" i="3"/>
  <c r="G935" i="3"/>
  <c r="A936" i="3"/>
  <c r="G936" i="3"/>
  <c r="A937" i="3"/>
  <c r="G937" i="3"/>
  <c r="A938" i="3"/>
  <c r="G938" i="3"/>
  <c r="A939" i="3"/>
  <c r="G939" i="3"/>
  <c r="A940" i="3"/>
  <c r="C940" i="3"/>
  <c r="G940" i="3"/>
  <c r="Y3" i="29"/>
  <c r="Y4" i="29"/>
  <c r="Y5" i="29"/>
  <c r="Y6" i="29"/>
  <c r="Y7" i="29"/>
  <c r="Y8" i="29"/>
  <c r="Y9" i="29"/>
  <c r="Y10" i="29"/>
  <c r="Y11" i="29"/>
  <c r="Y12" i="29"/>
  <c r="Y13" i="29"/>
  <c r="Y14" i="29"/>
  <c r="Y15" i="29"/>
  <c r="Y16" i="29"/>
  <c r="Y17" i="29"/>
  <c r="Y18" i="29"/>
  <c r="Y19" i="29"/>
  <c r="Y20" i="29"/>
  <c r="Y21" i="29"/>
  <c r="Y22" i="29"/>
  <c r="Y23" i="29"/>
  <c r="Y24" i="29"/>
  <c r="Y25" i="29"/>
  <c r="Y26" i="29"/>
  <c r="Y27" i="29"/>
  <c r="Y28" i="29"/>
  <c r="Y29" i="29"/>
  <c r="Y30" i="29"/>
  <c r="Y31" i="29"/>
  <c r="Y32" i="29"/>
  <c r="Y33" i="29"/>
  <c r="Y34" i="29"/>
  <c r="Y35" i="29"/>
  <c r="Y36" i="29"/>
  <c r="Y37" i="29"/>
  <c r="Y38" i="29"/>
  <c r="Y39" i="29"/>
  <c r="Y40" i="29"/>
  <c r="Y41" i="29"/>
  <c r="Y42" i="29"/>
  <c r="Y43" i="29"/>
  <c r="Y44" i="29"/>
  <c r="Y45" i="29"/>
  <c r="Y46" i="29"/>
  <c r="Y47" i="29"/>
  <c r="Y48" i="29"/>
  <c r="Y49" i="29"/>
  <c r="Y50" i="29"/>
  <c r="Y51" i="29"/>
  <c r="Y52" i="29"/>
  <c r="Y53" i="29"/>
  <c r="Y54" i="29"/>
  <c r="Y55" i="29"/>
  <c r="Y56" i="29"/>
  <c r="Y57" i="29"/>
  <c r="Y58" i="29"/>
  <c r="Y59" i="29"/>
  <c r="Y60" i="29"/>
  <c r="Y61" i="29"/>
  <c r="Y62" i="29"/>
  <c r="Y63" i="29"/>
  <c r="Y64" i="29"/>
  <c r="Y65" i="29"/>
  <c r="Y66" i="29"/>
  <c r="Y67" i="29"/>
  <c r="Y68" i="29"/>
  <c r="Y69" i="29"/>
  <c r="Y70" i="29"/>
  <c r="Y71" i="29"/>
  <c r="Y72" i="29"/>
  <c r="Y73" i="29"/>
  <c r="Y74" i="29"/>
  <c r="Y75" i="29"/>
  <c r="Y76" i="29"/>
  <c r="Y77" i="29"/>
  <c r="Y78" i="29"/>
  <c r="Y79" i="29"/>
  <c r="Y80" i="29"/>
  <c r="Y81" i="29"/>
  <c r="Y82" i="29"/>
  <c r="Y83" i="29"/>
  <c r="Y84" i="29"/>
  <c r="Y85" i="29"/>
  <c r="Y86" i="29"/>
  <c r="Y87" i="29"/>
  <c r="Y88" i="29"/>
  <c r="Y89" i="29"/>
  <c r="Y90" i="29"/>
  <c r="Y91" i="29"/>
  <c r="Y92" i="29"/>
  <c r="Y93" i="29"/>
  <c r="Y94" i="29"/>
  <c r="Y95" i="29"/>
  <c r="Y96" i="29"/>
  <c r="Y97" i="29"/>
  <c r="Y98" i="29"/>
  <c r="Y99" i="29"/>
  <c r="Y100" i="29"/>
  <c r="Y101" i="29"/>
  <c r="Y102" i="29"/>
  <c r="Y103" i="29"/>
  <c r="Y104" i="29"/>
  <c r="Y105" i="29"/>
  <c r="Y106" i="29"/>
  <c r="Y107" i="29"/>
  <c r="Y108" i="29"/>
  <c r="Y109" i="29"/>
  <c r="Y110" i="29"/>
  <c r="Y111" i="29"/>
  <c r="Y112" i="29"/>
  <c r="Y113" i="29"/>
  <c r="Y114" i="29"/>
  <c r="Y115" i="29"/>
  <c r="Y116" i="29"/>
  <c r="Y117" i="29"/>
  <c r="Y118" i="29"/>
  <c r="Y119" i="29"/>
  <c r="Y120" i="29"/>
  <c r="Y121" i="29"/>
  <c r="Y122" i="29"/>
  <c r="Y123" i="29"/>
  <c r="X3" i="29"/>
  <c r="X4" i="29"/>
  <c r="X5" i="29"/>
  <c r="X6" i="29"/>
  <c r="X7" i="29"/>
  <c r="X8" i="29"/>
  <c r="X9" i="29"/>
  <c r="X10" i="29"/>
  <c r="X11" i="29"/>
  <c r="X12" i="29"/>
  <c r="X13" i="29"/>
  <c r="X14" i="29"/>
  <c r="X15" i="29"/>
  <c r="X16" i="29"/>
  <c r="X17" i="29"/>
  <c r="X18" i="29"/>
  <c r="X19" i="29"/>
  <c r="X20" i="29"/>
  <c r="X21" i="29"/>
  <c r="X22" i="29"/>
  <c r="X23" i="29"/>
  <c r="X24" i="29"/>
  <c r="X25" i="29"/>
  <c r="X26" i="29"/>
  <c r="X27" i="29"/>
  <c r="X28" i="29"/>
  <c r="X29" i="29"/>
  <c r="X30" i="29"/>
  <c r="X31" i="29"/>
  <c r="X32" i="29"/>
  <c r="X33" i="29"/>
  <c r="X34" i="29"/>
  <c r="X35" i="29"/>
  <c r="X36" i="29"/>
  <c r="X37" i="29"/>
  <c r="X38" i="29"/>
  <c r="X39" i="29"/>
  <c r="X40" i="29"/>
  <c r="X41" i="29"/>
  <c r="X42" i="29"/>
  <c r="X43" i="29"/>
  <c r="X44" i="29"/>
  <c r="X45" i="29"/>
  <c r="X46" i="29"/>
  <c r="X47" i="29"/>
  <c r="X48" i="29"/>
  <c r="X49" i="29"/>
  <c r="X50" i="29"/>
  <c r="X51" i="29"/>
  <c r="X52" i="29"/>
  <c r="X53" i="29"/>
  <c r="X54" i="29"/>
  <c r="X55" i="29"/>
  <c r="X56" i="29"/>
  <c r="X57" i="29"/>
  <c r="X58" i="29"/>
  <c r="X59" i="29"/>
  <c r="X60" i="29"/>
  <c r="X61" i="29"/>
  <c r="X62" i="29"/>
  <c r="X63" i="29"/>
  <c r="X64" i="29"/>
  <c r="X65" i="29"/>
  <c r="X66" i="29"/>
  <c r="X67" i="29"/>
  <c r="X68" i="29"/>
  <c r="X69" i="29"/>
  <c r="X70" i="29"/>
  <c r="X71" i="29"/>
  <c r="X72" i="29"/>
  <c r="X73" i="29"/>
  <c r="X74" i="29"/>
  <c r="X75" i="29"/>
  <c r="X76" i="29"/>
  <c r="X77" i="29"/>
  <c r="X78" i="29"/>
  <c r="X79" i="29"/>
  <c r="X80" i="29"/>
  <c r="X81" i="29"/>
  <c r="X82" i="29"/>
  <c r="X83" i="29"/>
  <c r="X84" i="29"/>
  <c r="X85" i="29"/>
  <c r="X86" i="29"/>
  <c r="X87" i="29"/>
  <c r="X88" i="29"/>
  <c r="X89" i="29"/>
  <c r="X90" i="29"/>
  <c r="X91" i="29"/>
  <c r="X92" i="29"/>
  <c r="X93" i="29"/>
  <c r="X94" i="29"/>
  <c r="X95" i="29"/>
  <c r="X96" i="29"/>
  <c r="X97" i="29"/>
  <c r="X98" i="29"/>
  <c r="X99" i="29"/>
  <c r="X100" i="29"/>
  <c r="X101" i="29"/>
  <c r="X102" i="29"/>
  <c r="X103" i="29"/>
  <c r="X104" i="29"/>
  <c r="X105" i="29"/>
  <c r="X106" i="29"/>
  <c r="X107" i="29"/>
  <c r="X108" i="29"/>
  <c r="X109" i="29"/>
  <c r="X110" i="29"/>
  <c r="X111" i="29"/>
  <c r="X112" i="29"/>
  <c r="X113" i="29"/>
  <c r="X114" i="29"/>
  <c r="X115" i="29"/>
  <c r="X2" i="29"/>
  <c r="T208" i="2"/>
  <c r="C208" i="2"/>
  <c r="A208" i="2"/>
  <c r="T207" i="2"/>
  <c r="C207" i="2"/>
  <c r="A207" i="2"/>
  <c r="U206" i="2"/>
  <c r="C206" i="2"/>
  <c r="A206" i="2"/>
  <c r="T205" i="2"/>
  <c r="C205" i="2"/>
  <c r="A205" i="2"/>
  <c r="T204" i="2"/>
  <c r="C204" i="2"/>
  <c r="A204" i="2"/>
  <c r="T203" i="2"/>
  <c r="C203" i="2"/>
  <c r="A203" i="2"/>
  <c r="T202" i="2"/>
  <c r="C202" i="2"/>
  <c r="A202" i="2"/>
  <c r="T201" i="2"/>
  <c r="C201" i="2"/>
  <c r="A201" i="2"/>
  <c r="T200" i="2"/>
  <c r="C200" i="2"/>
  <c r="A200" i="2"/>
  <c r="T199" i="2"/>
  <c r="C199" i="2"/>
  <c r="A199" i="2"/>
  <c r="T198" i="2"/>
  <c r="C198" i="2"/>
  <c r="A198" i="2"/>
  <c r="T197" i="2"/>
  <c r="C197" i="2"/>
  <c r="A197" i="2"/>
  <c r="U196" i="2"/>
  <c r="C196" i="2"/>
  <c r="A196" i="2"/>
  <c r="U195" i="2"/>
  <c r="C195" i="2"/>
  <c r="A195" i="2"/>
  <c r="T194" i="2"/>
  <c r="C194" i="2"/>
  <c r="A194" i="2"/>
  <c r="T193" i="2"/>
  <c r="C193" i="2"/>
  <c r="A193" i="2"/>
  <c r="T192" i="2"/>
  <c r="C192" i="2"/>
  <c r="A192" i="2"/>
  <c r="T5" i="31"/>
  <c r="T21" i="31"/>
  <c r="V21" i="31" s="1"/>
  <c r="G349" i="2"/>
  <c r="H349" i="2"/>
  <c r="I349" i="2"/>
  <c r="L349" i="2"/>
  <c r="M349" i="2"/>
  <c r="N349" i="2"/>
  <c r="P349" i="2"/>
  <c r="Q349" i="2"/>
  <c r="R349" i="2"/>
  <c r="S349" i="2"/>
  <c r="J263" i="2"/>
  <c r="U263" i="2" s="1"/>
  <c r="J262" i="2"/>
  <c r="U262" i="2" s="1"/>
  <c r="K254" i="2"/>
  <c r="U254" i="2" s="1"/>
  <c r="K253" i="2"/>
  <c r="U253" i="2" s="1"/>
  <c r="K252" i="2"/>
  <c r="U252" i="2" s="1"/>
  <c r="C254" i="2"/>
  <c r="A254" i="2"/>
  <c r="C253" i="2"/>
  <c r="A253" i="2"/>
  <c r="C252" i="2"/>
  <c r="A252" i="2"/>
  <c r="F258" i="2"/>
  <c r="U258" i="2" s="1"/>
  <c r="F260" i="2"/>
  <c r="U260" i="2" s="1"/>
  <c r="A257" i="2"/>
  <c r="C257" i="2"/>
  <c r="U257" i="2"/>
  <c r="A258" i="2"/>
  <c r="C258" i="2"/>
  <c r="A259" i="2"/>
  <c r="C259" i="2"/>
  <c r="U259" i="2"/>
  <c r="A260" i="2"/>
  <c r="C260" i="2"/>
  <c r="A261" i="2"/>
  <c r="C261" i="2"/>
  <c r="U261" i="2"/>
  <c r="A262" i="2"/>
  <c r="C262" i="2"/>
  <c r="A263" i="2"/>
  <c r="C263" i="2"/>
  <c r="A264" i="2"/>
  <c r="C264" i="2"/>
  <c r="U264" i="2"/>
  <c r="K251" i="2"/>
  <c r="U251" i="2" s="1"/>
  <c r="O250" i="2"/>
  <c r="U250" i="2" s="1"/>
  <c r="A896" i="3"/>
  <c r="C896" i="3"/>
  <c r="G896" i="3"/>
  <c r="A897" i="3"/>
  <c r="C897" i="3"/>
  <c r="G897" i="3"/>
  <c r="C899" i="3"/>
  <c r="C900" i="3"/>
  <c r="C901" i="3"/>
  <c r="C902" i="3"/>
  <c r="C903" i="3"/>
  <c r="C904" i="3"/>
  <c r="C905" i="3"/>
  <c r="A899" i="3"/>
  <c r="G899" i="3"/>
  <c r="A900" i="3"/>
  <c r="G900" i="3"/>
  <c r="A901" i="3"/>
  <c r="G901" i="3"/>
  <c r="A902" i="3"/>
  <c r="G902" i="3"/>
  <c r="A903" i="3"/>
  <c r="G903" i="3"/>
  <c r="A904" i="3"/>
  <c r="G904" i="3"/>
  <c r="A905" i="3"/>
  <c r="G905" i="3"/>
  <c r="A906" i="3"/>
  <c r="C906" i="3"/>
  <c r="G906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A884" i="3"/>
  <c r="G884" i="3"/>
  <c r="A885" i="3"/>
  <c r="G885" i="3"/>
  <c r="A886" i="3"/>
  <c r="G886" i="3"/>
  <c r="A887" i="3"/>
  <c r="G887" i="3"/>
  <c r="A888" i="3"/>
  <c r="G888" i="3"/>
  <c r="A889" i="3"/>
  <c r="G889" i="3"/>
  <c r="A890" i="3"/>
  <c r="G890" i="3"/>
  <c r="A891" i="3"/>
  <c r="G891" i="3"/>
  <c r="A892" i="3"/>
  <c r="G892" i="3"/>
  <c r="A893" i="3"/>
  <c r="G893" i="3"/>
  <c r="A894" i="3"/>
  <c r="G894" i="3"/>
  <c r="A895" i="3"/>
  <c r="G895" i="3"/>
  <c r="A898" i="3"/>
  <c r="C898" i="3"/>
  <c r="G898" i="3"/>
  <c r="C877" i="3"/>
  <c r="C878" i="3"/>
  <c r="C879" i="3"/>
  <c r="C880" i="3"/>
  <c r="C881" i="3"/>
  <c r="C882" i="3"/>
  <c r="C874" i="3"/>
  <c r="C875" i="3"/>
  <c r="A873" i="3"/>
  <c r="C873" i="3"/>
  <c r="G873" i="3"/>
  <c r="A874" i="3"/>
  <c r="G874" i="3"/>
  <c r="A875" i="3"/>
  <c r="G875" i="3"/>
  <c r="A876" i="3"/>
  <c r="C876" i="3"/>
  <c r="G876" i="3"/>
  <c r="A877" i="3"/>
  <c r="G877" i="3"/>
  <c r="A878" i="3"/>
  <c r="G878" i="3"/>
  <c r="A879" i="3"/>
  <c r="G879" i="3"/>
  <c r="A880" i="3"/>
  <c r="G880" i="3"/>
  <c r="A881" i="3"/>
  <c r="G881" i="3"/>
  <c r="A882" i="3"/>
  <c r="G882" i="3"/>
  <c r="A883" i="3"/>
  <c r="G883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55" i="3"/>
  <c r="C856" i="3"/>
  <c r="C851" i="3"/>
  <c r="C852" i="3"/>
  <c r="A851" i="3"/>
  <c r="G851" i="3"/>
  <c r="A852" i="3"/>
  <c r="G852" i="3"/>
  <c r="A853" i="3"/>
  <c r="C853" i="3"/>
  <c r="G853" i="3"/>
  <c r="A854" i="3"/>
  <c r="C854" i="3"/>
  <c r="G854" i="3"/>
  <c r="A855" i="3"/>
  <c r="G855" i="3"/>
  <c r="A856" i="3"/>
  <c r="G856" i="3"/>
  <c r="A857" i="3"/>
  <c r="C857" i="3"/>
  <c r="G857" i="3"/>
  <c r="A858" i="3"/>
  <c r="G858" i="3"/>
  <c r="A859" i="3"/>
  <c r="G859" i="3"/>
  <c r="A860" i="3"/>
  <c r="G860" i="3"/>
  <c r="A861" i="3"/>
  <c r="G861" i="3"/>
  <c r="A862" i="3"/>
  <c r="G862" i="3"/>
  <c r="A863" i="3"/>
  <c r="G863" i="3"/>
  <c r="A864" i="3"/>
  <c r="G864" i="3"/>
  <c r="A865" i="3"/>
  <c r="G865" i="3"/>
  <c r="A866" i="3"/>
  <c r="G866" i="3"/>
  <c r="A867" i="3"/>
  <c r="G867" i="3"/>
  <c r="A868" i="3"/>
  <c r="G868" i="3"/>
  <c r="A869" i="3"/>
  <c r="G869" i="3"/>
  <c r="A870" i="3"/>
  <c r="G870" i="3"/>
  <c r="A871" i="3"/>
  <c r="G871" i="3"/>
  <c r="A872" i="3"/>
  <c r="C872" i="3"/>
  <c r="G872" i="3"/>
  <c r="T11" i="31"/>
  <c r="T19" i="31"/>
  <c r="V19" i="31" s="1"/>
  <c r="T20" i="31"/>
  <c r="V20" i="31" s="1"/>
  <c r="E248" i="2"/>
  <c r="U248" i="2" s="1"/>
  <c r="F239" i="2"/>
  <c r="U239" i="2" s="1"/>
  <c r="K230" i="2"/>
  <c r="A231" i="2"/>
  <c r="C231" i="2"/>
  <c r="U231" i="2"/>
  <c r="A232" i="2"/>
  <c r="C232" i="2"/>
  <c r="U232" i="2"/>
  <c r="A233" i="2"/>
  <c r="C233" i="2"/>
  <c r="U233" i="2"/>
  <c r="A234" i="2"/>
  <c r="C234" i="2"/>
  <c r="U234" i="2"/>
  <c r="A235" i="2"/>
  <c r="C235" i="2"/>
  <c r="U235" i="2"/>
  <c r="A236" i="2"/>
  <c r="C236" i="2"/>
  <c r="U236" i="2"/>
  <c r="A237" i="2"/>
  <c r="C237" i="2"/>
  <c r="U237" i="2"/>
  <c r="A238" i="2"/>
  <c r="U238" i="2"/>
  <c r="A239" i="2"/>
  <c r="C239" i="2"/>
  <c r="A240" i="2"/>
  <c r="C240" i="2"/>
  <c r="U240" i="2"/>
  <c r="A241" i="2"/>
  <c r="C241" i="2"/>
  <c r="U241" i="2"/>
  <c r="A242" i="2"/>
  <c r="C242" i="2"/>
  <c r="U242" i="2"/>
  <c r="A243" i="2"/>
  <c r="C243" i="2"/>
  <c r="U243" i="2"/>
  <c r="A244" i="2"/>
  <c r="C244" i="2"/>
  <c r="U244" i="2"/>
  <c r="A245" i="2"/>
  <c r="C245" i="2"/>
  <c r="U245" i="2"/>
  <c r="A246" i="2"/>
  <c r="C246" i="2"/>
  <c r="U246" i="2"/>
  <c r="A247" i="2"/>
  <c r="C247" i="2"/>
  <c r="U247" i="2"/>
  <c r="A248" i="2"/>
  <c r="C248" i="2"/>
  <c r="A249" i="2"/>
  <c r="C249" i="2"/>
  <c r="U249" i="2"/>
  <c r="A250" i="2"/>
  <c r="A251" i="2"/>
  <c r="A255" i="2"/>
  <c r="C255" i="2"/>
  <c r="U255" i="2"/>
  <c r="A256" i="2"/>
  <c r="C256" i="2"/>
  <c r="U256" i="2"/>
  <c r="C849" i="3"/>
  <c r="C847" i="3"/>
  <c r="C841" i="3"/>
  <c r="C842" i="3"/>
  <c r="C843" i="3"/>
  <c r="C844" i="3"/>
  <c r="C845" i="3"/>
  <c r="C836" i="3"/>
  <c r="C837" i="3"/>
  <c r="C838" i="3"/>
  <c r="C839" i="3"/>
  <c r="C824" i="3"/>
  <c r="C825" i="3"/>
  <c r="C826" i="3"/>
  <c r="C827" i="3"/>
  <c r="C828" i="3"/>
  <c r="C829" i="3"/>
  <c r="C830" i="3"/>
  <c r="C831" i="3"/>
  <c r="C832" i="3"/>
  <c r="C833" i="3"/>
  <c r="C834" i="3"/>
  <c r="A825" i="3"/>
  <c r="G825" i="3"/>
  <c r="A826" i="3"/>
  <c r="G826" i="3"/>
  <c r="A827" i="3"/>
  <c r="G827" i="3"/>
  <c r="A828" i="3"/>
  <c r="G828" i="3"/>
  <c r="A829" i="3"/>
  <c r="G829" i="3"/>
  <c r="A830" i="3"/>
  <c r="G830" i="3"/>
  <c r="A831" i="3"/>
  <c r="G831" i="3"/>
  <c r="A832" i="3"/>
  <c r="G832" i="3"/>
  <c r="A833" i="3"/>
  <c r="G833" i="3"/>
  <c r="A834" i="3"/>
  <c r="G834" i="3"/>
  <c r="A835" i="3"/>
  <c r="C835" i="3"/>
  <c r="G835" i="3"/>
  <c r="A836" i="3"/>
  <c r="G836" i="3"/>
  <c r="A837" i="3"/>
  <c r="G837" i="3"/>
  <c r="A838" i="3"/>
  <c r="G838" i="3"/>
  <c r="A839" i="3"/>
  <c r="G839" i="3"/>
  <c r="A840" i="3"/>
  <c r="C840" i="3"/>
  <c r="G840" i="3"/>
  <c r="A841" i="3"/>
  <c r="G841" i="3"/>
  <c r="A842" i="3"/>
  <c r="G842" i="3"/>
  <c r="A843" i="3"/>
  <c r="G843" i="3"/>
  <c r="A844" i="3"/>
  <c r="G844" i="3"/>
  <c r="A845" i="3"/>
  <c r="G845" i="3"/>
  <c r="A846" i="3"/>
  <c r="C846" i="3"/>
  <c r="G846" i="3"/>
  <c r="A847" i="3"/>
  <c r="G847" i="3"/>
  <c r="A848" i="3"/>
  <c r="C848" i="3"/>
  <c r="G848" i="3"/>
  <c r="A849" i="3"/>
  <c r="G849" i="3"/>
  <c r="A850" i="3"/>
  <c r="C850" i="3"/>
  <c r="G850" i="3"/>
  <c r="C822" i="3"/>
  <c r="C819" i="3"/>
  <c r="C820" i="3"/>
  <c r="C816" i="3"/>
  <c r="A816" i="3"/>
  <c r="G816" i="3"/>
  <c r="A817" i="3"/>
  <c r="C817" i="3"/>
  <c r="A818" i="3"/>
  <c r="C818" i="3"/>
  <c r="G818" i="3"/>
  <c r="A819" i="3"/>
  <c r="G819" i="3"/>
  <c r="A820" i="3"/>
  <c r="G820" i="3"/>
  <c r="A821" i="3"/>
  <c r="C821" i="3"/>
  <c r="G821" i="3"/>
  <c r="A822" i="3"/>
  <c r="G822" i="3"/>
  <c r="A823" i="3"/>
  <c r="C823" i="3"/>
  <c r="G823" i="3"/>
  <c r="A824" i="3"/>
  <c r="G824" i="3"/>
  <c r="G815" i="3"/>
  <c r="C815" i="3"/>
  <c r="A815" i="3"/>
  <c r="C813" i="3"/>
  <c r="C814" i="3"/>
  <c r="G814" i="3"/>
  <c r="A814" i="3"/>
  <c r="H815" i="3" l="1"/>
  <c r="I815" i="3" s="1"/>
  <c r="H821" i="3"/>
  <c r="I821" i="3" s="1"/>
  <c r="I837" i="3"/>
  <c r="H871" i="3"/>
  <c r="I871" i="3" s="1"/>
  <c r="H867" i="3"/>
  <c r="I867" i="3" s="1"/>
  <c r="H863" i="3"/>
  <c r="I863" i="3" s="1"/>
  <c r="H859" i="3"/>
  <c r="I859" i="3" s="1"/>
  <c r="H875" i="3"/>
  <c r="I875" i="3" s="1"/>
  <c r="H892" i="3"/>
  <c r="I892" i="3" s="1"/>
  <c r="H888" i="3"/>
  <c r="I888" i="3" s="1"/>
  <c r="H884" i="3"/>
  <c r="I884" i="3" s="1"/>
  <c r="H902" i="3"/>
  <c r="I902" i="3" s="1"/>
  <c r="H938" i="3"/>
  <c r="I938" i="3" s="1"/>
  <c r="H934" i="3"/>
  <c r="I934" i="3" s="1"/>
  <c r="H927" i="3"/>
  <c r="I927" i="3" s="1"/>
  <c r="H923" i="3"/>
  <c r="I923" i="3" s="1"/>
  <c r="H1061" i="3"/>
  <c r="I1061" i="3" s="1"/>
  <c r="H1054" i="3"/>
  <c r="I1054" i="3" s="1"/>
  <c r="H1048" i="3"/>
  <c r="I1048" i="3" s="1"/>
  <c r="H1034" i="3"/>
  <c r="I1034" i="3" s="1"/>
  <c r="H1026" i="3"/>
  <c r="I1026" i="3" s="1"/>
  <c r="H1007" i="3"/>
  <c r="I1007" i="3" s="1"/>
  <c r="H1000" i="3"/>
  <c r="I1000" i="3" s="1"/>
  <c r="H989" i="3"/>
  <c r="I989" i="3" s="1"/>
  <c r="H985" i="3"/>
  <c r="I985" i="3" s="1"/>
  <c r="H971" i="3"/>
  <c r="I971" i="3" s="1"/>
  <c r="H964" i="3"/>
  <c r="I964" i="3" s="1"/>
  <c r="H824" i="3"/>
  <c r="I824" i="3" s="1"/>
  <c r="H844" i="3"/>
  <c r="I844" i="3" s="1"/>
  <c r="H840" i="3"/>
  <c r="I840" i="3" s="1"/>
  <c r="H833" i="3"/>
  <c r="I833" i="3" s="1"/>
  <c r="H829" i="3"/>
  <c r="I829" i="3" s="1"/>
  <c r="H825" i="3"/>
  <c r="I825" i="3" s="1"/>
  <c r="H855" i="3"/>
  <c r="I855" i="3" s="1"/>
  <c r="H852" i="3"/>
  <c r="I852" i="3" s="1"/>
  <c r="H882" i="3"/>
  <c r="I882" i="3" s="1"/>
  <c r="H878" i="3"/>
  <c r="I878" i="3" s="1"/>
  <c r="H930" i="3"/>
  <c r="I930" i="3" s="1"/>
  <c r="H919" i="3"/>
  <c r="I919" i="3" s="1"/>
  <c r="H915" i="3"/>
  <c r="I915" i="3" s="1"/>
  <c r="H911" i="3"/>
  <c r="I911" i="3" s="1"/>
  <c r="H907" i="3"/>
  <c r="I907" i="3" s="1"/>
  <c r="H1057" i="3"/>
  <c r="I1057" i="3" s="1"/>
  <c r="H1051" i="3"/>
  <c r="I1051" i="3" s="1"/>
  <c r="H1044" i="3"/>
  <c r="I1044" i="3" s="1"/>
  <c r="H1041" i="3"/>
  <c r="I1041" i="3" s="1"/>
  <c r="H1037" i="3"/>
  <c r="I1037" i="3" s="1"/>
  <c r="H1029" i="3"/>
  <c r="I1029" i="3" s="1"/>
  <c r="H1022" i="3"/>
  <c r="I1022" i="3" s="1"/>
  <c r="H1018" i="3"/>
  <c r="I1018" i="3" s="1"/>
  <c r="H1014" i="3"/>
  <c r="I1014" i="3" s="1"/>
  <c r="H1010" i="3"/>
  <c r="I1010" i="3" s="1"/>
  <c r="H1003" i="3"/>
  <c r="I1003" i="3" s="1"/>
  <c r="H996" i="3"/>
  <c r="I996" i="3" s="1"/>
  <c r="H992" i="3"/>
  <c r="I992" i="3" s="1"/>
  <c r="H850" i="3"/>
  <c r="I850" i="3" s="1"/>
  <c r="H847" i="3"/>
  <c r="I847" i="3" s="1"/>
  <c r="I836" i="3"/>
  <c r="H870" i="3"/>
  <c r="I870" i="3" s="1"/>
  <c r="H866" i="3"/>
  <c r="I866" i="3" s="1"/>
  <c r="H862" i="3"/>
  <c r="I862" i="3" s="1"/>
  <c r="H858" i="3"/>
  <c r="I858" i="3" s="1"/>
  <c r="H874" i="3"/>
  <c r="I874" i="3" s="1"/>
  <c r="H895" i="3"/>
  <c r="I895" i="3" s="1"/>
  <c r="H891" i="3"/>
  <c r="I891" i="3" s="1"/>
  <c r="H887" i="3"/>
  <c r="I887" i="3" s="1"/>
  <c r="H905" i="3"/>
  <c r="I905" i="3" s="1"/>
  <c r="H901" i="3"/>
  <c r="I901" i="3" s="1"/>
  <c r="H896" i="3"/>
  <c r="I896" i="3" s="1"/>
  <c r="H937" i="3"/>
  <c r="I937" i="3" s="1"/>
  <c r="H933" i="3"/>
  <c r="I933" i="3" s="1"/>
  <c r="H926" i="3"/>
  <c r="I926" i="3" s="1"/>
  <c r="H922" i="3"/>
  <c r="I922" i="3" s="1"/>
  <c r="H1047" i="3"/>
  <c r="I1047" i="3" s="1"/>
  <c r="H1025" i="3"/>
  <c r="I1025" i="3" s="1"/>
  <c r="H1006" i="3"/>
  <c r="I1006" i="3" s="1"/>
  <c r="H999" i="3"/>
  <c r="I999" i="3" s="1"/>
  <c r="H988" i="3"/>
  <c r="I988" i="3" s="1"/>
  <c r="H984" i="3"/>
  <c r="I984" i="3" s="1"/>
  <c r="H974" i="3"/>
  <c r="I974" i="3" s="1"/>
  <c r="H963" i="3"/>
  <c r="I963" i="3" s="1"/>
  <c r="H952" i="3"/>
  <c r="I952" i="3" s="1"/>
  <c r="H948" i="3"/>
  <c r="I948" i="3" s="1"/>
  <c r="H814" i="3"/>
  <c r="I814" i="3" s="1"/>
  <c r="H823" i="3"/>
  <c r="I823" i="3" s="1"/>
  <c r="H820" i="3"/>
  <c r="I820" i="3" s="1"/>
  <c r="H843" i="3"/>
  <c r="I843" i="3" s="1"/>
  <c r="H832" i="3"/>
  <c r="I832" i="3" s="1"/>
  <c r="H828" i="3"/>
  <c r="I828" i="3" s="1"/>
  <c r="H854" i="3"/>
  <c r="I854" i="3" s="1"/>
  <c r="H851" i="3"/>
  <c r="I851" i="3" s="1"/>
  <c r="H881" i="3"/>
  <c r="I881" i="3" s="1"/>
  <c r="H877" i="3"/>
  <c r="I877" i="3" s="1"/>
  <c r="H940" i="3"/>
  <c r="I940" i="3" s="1"/>
  <c r="H929" i="3"/>
  <c r="I929" i="3" s="1"/>
  <c r="H918" i="3"/>
  <c r="I918" i="3" s="1"/>
  <c r="H914" i="3"/>
  <c r="I914" i="3" s="1"/>
  <c r="H910" i="3"/>
  <c r="I910" i="3" s="1"/>
  <c r="H1063" i="3"/>
  <c r="I1063" i="3" s="1"/>
  <c r="H1060" i="3"/>
  <c r="I1060" i="3" s="1"/>
  <c r="H1053" i="3"/>
  <c r="I1053" i="3" s="1"/>
  <c r="H1050" i="3"/>
  <c r="I1050" i="3" s="1"/>
  <c r="H1040" i="3"/>
  <c r="I1040" i="3" s="1"/>
  <c r="H1036" i="3"/>
  <c r="I1036" i="3" s="1"/>
  <c r="H1032" i="3"/>
  <c r="I1032" i="3" s="1"/>
  <c r="H1028" i="3"/>
  <c r="I1028" i="3" s="1"/>
  <c r="H1021" i="3"/>
  <c r="I1021" i="3" s="1"/>
  <c r="H1017" i="3"/>
  <c r="I1017" i="3" s="1"/>
  <c r="H1013" i="3"/>
  <c r="I1013" i="3" s="1"/>
  <c r="H1009" i="3"/>
  <c r="I1009" i="3" s="1"/>
  <c r="H1002" i="3"/>
  <c r="I1002" i="3" s="1"/>
  <c r="H995" i="3"/>
  <c r="I995" i="3" s="1"/>
  <c r="H991" i="3"/>
  <c r="I991" i="3" s="1"/>
  <c r="H980" i="3"/>
  <c r="I980" i="3" s="1"/>
  <c r="H977" i="3"/>
  <c r="I977" i="3" s="1"/>
  <c r="H816" i="3"/>
  <c r="I816" i="3" s="1"/>
  <c r="H846" i="3"/>
  <c r="I846" i="3" s="1"/>
  <c r="I839" i="3"/>
  <c r="I835" i="3"/>
  <c r="H869" i="3"/>
  <c r="I869" i="3" s="1"/>
  <c r="H865" i="3"/>
  <c r="I865" i="3" s="1"/>
  <c r="H861" i="3"/>
  <c r="I861" i="3" s="1"/>
  <c r="H857" i="3"/>
  <c r="I857" i="3" s="1"/>
  <c r="H873" i="3"/>
  <c r="I873" i="3" s="1"/>
  <c r="H894" i="3"/>
  <c r="I894" i="3" s="1"/>
  <c r="H890" i="3"/>
  <c r="I890" i="3" s="1"/>
  <c r="H886" i="3"/>
  <c r="I886" i="3" s="1"/>
  <c r="H904" i="3"/>
  <c r="I904" i="3" s="1"/>
  <c r="H900" i="3"/>
  <c r="I900" i="3" s="1"/>
  <c r="H936" i="3"/>
  <c r="I936" i="3" s="1"/>
  <c r="H932" i="3"/>
  <c r="I932" i="3" s="1"/>
  <c r="H925" i="3"/>
  <c r="I925" i="3" s="1"/>
  <c r="H921" i="3"/>
  <c r="I921" i="3" s="1"/>
  <c r="H1056" i="3"/>
  <c r="I1056" i="3" s="1"/>
  <c r="H1043" i="3"/>
  <c r="I1043" i="3" s="1"/>
  <c r="H998" i="3"/>
  <c r="I998" i="3" s="1"/>
  <c r="H987" i="3"/>
  <c r="I987" i="3" s="1"/>
  <c r="H983" i="3"/>
  <c r="I983" i="3" s="1"/>
  <c r="H973" i="3"/>
  <c r="I973" i="3" s="1"/>
  <c r="H962" i="3"/>
  <c r="I962" i="3" s="1"/>
  <c r="H951" i="3"/>
  <c r="I951" i="3" s="1"/>
  <c r="H947" i="3"/>
  <c r="I947" i="3" s="1"/>
  <c r="H819" i="3"/>
  <c r="I819" i="3" s="1"/>
  <c r="H849" i="3"/>
  <c r="I849" i="3" s="1"/>
  <c r="H842" i="3"/>
  <c r="I842" i="3" s="1"/>
  <c r="H831" i="3"/>
  <c r="I831" i="3" s="1"/>
  <c r="H827" i="3"/>
  <c r="I827" i="3" s="1"/>
  <c r="H872" i="3"/>
  <c r="I872" i="3" s="1"/>
  <c r="H880" i="3"/>
  <c r="I880" i="3" s="1"/>
  <c r="H876" i="3"/>
  <c r="I876" i="3" s="1"/>
  <c r="H928" i="3"/>
  <c r="I928" i="3" s="1"/>
  <c r="H917" i="3"/>
  <c r="I917" i="3" s="1"/>
  <c r="H913" i="3"/>
  <c r="I913" i="3" s="1"/>
  <c r="H909" i="3"/>
  <c r="I909" i="3" s="1"/>
  <c r="H1059" i="3"/>
  <c r="I1059" i="3" s="1"/>
  <c r="H1046" i="3"/>
  <c r="I1046" i="3" s="1"/>
  <c r="H1039" i="3"/>
  <c r="I1039" i="3" s="1"/>
  <c r="H1035" i="3"/>
  <c r="I1035" i="3" s="1"/>
  <c r="H1031" i="3"/>
  <c r="I1031" i="3" s="1"/>
  <c r="H1024" i="3"/>
  <c r="I1024" i="3" s="1"/>
  <c r="H1020" i="3"/>
  <c r="I1020" i="3" s="1"/>
  <c r="H1016" i="3"/>
  <c r="I1016" i="3" s="1"/>
  <c r="H1012" i="3"/>
  <c r="I1012" i="3" s="1"/>
  <c r="H1005" i="3"/>
  <c r="I1005" i="3" s="1"/>
  <c r="H1001" i="3"/>
  <c r="I1001" i="3" s="1"/>
  <c r="H822" i="3"/>
  <c r="I822" i="3" s="1"/>
  <c r="I838" i="3"/>
  <c r="H868" i="3"/>
  <c r="I868" i="3" s="1"/>
  <c r="H864" i="3"/>
  <c r="I864" i="3" s="1"/>
  <c r="H860" i="3"/>
  <c r="I860" i="3" s="1"/>
  <c r="H853" i="3"/>
  <c r="I853" i="3" s="1"/>
  <c r="H893" i="3"/>
  <c r="I893" i="3" s="1"/>
  <c r="H889" i="3"/>
  <c r="I889" i="3" s="1"/>
  <c r="H885" i="3"/>
  <c r="I885" i="3" s="1"/>
  <c r="H903" i="3"/>
  <c r="I903" i="3" s="1"/>
  <c r="H899" i="3"/>
  <c r="I899" i="3" s="1"/>
  <c r="H939" i="3"/>
  <c r="I939" i="3" s="1"/>
  <c r="H935" i="3"/>
  <c r="I935" i="3" s="1"/>
  <c r="H931" i="3"/>
  <c r="I931" i="3" s="1"/>
  <c r="H924" i="3"/>
  <c r="I924" i="3" s="1"/>
  <c r="H1062" i="3"/>
  <c r="I1062" i="3" s="1"/>
  <c r="H1055" i="3"/>
  <c r="I1055" i="3" s="1"/>
  <c r="H1052" i="3"/>
  <c r="I1052" i="3" s="1"/>
  <c r="H1049" i="3"/>
  <c r="I1049" i="3" s="1"/>
  <c r="H1042" i="3"/>
  <c r="I1042" i="3" s="1"/>
  <c r="H1027" i="3"/>
  <c r="I1027" i="3" s="1"/>
  <c r="H1008" i="3"/>
  <c r="I1008" i="3" s="1"/>
  <c r="H997" i="3"/>
  <c r="I997" i="3" s="1"/>
  <c r="H986" i="3"/>
  <c r="I986" i="3" s="1"/>
  <c r="H979" i="3"/>
  <c r="I979" i="3" s="1"/>
  <c r="H972" i="3"/>
  <c r="I972" i="3" s="1"/>
  <c r="H965" i="3"/>
  <c r="I965" i="3" s="1"/>
  <c r="H961" i="3"/>
  <c r="I961" i="3" s="1"/>
  <c r="H950" i="3"/>
  <c r="I950" i="3" s="1"/>
  <c r="H946" i="3"/>
  <c r="I946" i="3" s="1"/>
  <c r="H818" i="3"/>
  <c r="I818" i="3" s="1"/>
  <c r="H848" i="3"/>
  <c r="I848" i="3" s="1"/>
  <c r="H845" i="3"/>
  <c r="I845" i="3" s="1"/>
  <c r="H841" i="3"/>
  <c r="I841" i="3" s="1"/>
  <c r="H834" i="3"/>
  <c r="I834" i="3" s="1"/>
  <c r="H830" i="3"/>
  <c r="I830" i="3" s="1"/>
  <c r="H826" i="3"/>
  <c r="I826" i="3" s="1"/>
  <c r="H856" i="3"/>
  <c r="I856" i="3" s="1"/>
  <c r="H883" i="3"/>
  <c r="I883" i="3" s="1"/>
  <c r="H879" i="3"/>
  <c r="I879" i="3" s="1"/>
  <c r="H898" i="3"/>
  <c r="I898" i="3" s="1"/>
  <c r="H906" i="3"/>
  <c r="I906" i="3" s="1"/>
  <c r="H897" i="3"/>
  <c r="I897" i="3" s="1"/>
  <c r="H920" i="3"/>
  <c r="I920" i="3" s="1"/>
  <c r="H916" i="3"/>
  <c r="I916" i="3" s="1"/>
  <c r="H912" i="3"/>
  <c r="I912" i="3" s="1"/>
  <c r="H908" i="3"/>
  <c r="I908" i="3" s="1"/>
  <c r="H1058" i="3"/>
  <c r="I1058" i="3" s="1"/>
  <c r="H1045" i="3"/>
  <c r="I1045" i="3" s="1"/>
  <c r="H1038" i="3"/>
  <c r="I1038" i="3" s="1"/>
  <c r="H1030" i="3"/>
  <c r="I1030" i="3" s="1"/>
  <c r="H1023" i="3"/>
  <c r="I1023" i="3" s="1"/>
  <c r="H1019" i="3"/>
  <c r="I1019" i="3" s="1"/>
  <c r="H1015" i="3"/>
  <c r="I1015" i="3" s="1"/>
  <c r="H1011" i="3"/>
  <c r="I1011" i="3" s="1"/>
  <c r="H1004" i="3"/>
  <c r="I1004" i="3" s="1"/>
  <c r="H993" i="3"/>
  <c r="I993" i="3" s="1"/>
  <c r="H982" i="3"/>
  <c r="I982" i="3" s="1"/>
  <c r="H975" i="3"/>
  <c r="I975" i="3" s="1"/>
  <c r="I968" i="3"/>
  <c r="H957" i="3"/>
  <c r="I957" i="3" s="1"/>
  <c r="H953" i="3"/>
  <c r="I953" i="3" s="1"/>
  <c r="H942" i="3"/>
  <c r="I942" i="3" s="1"/>
  <c r="H949" i="3"/>
  <c r="I949" i="3" s="1"/>
  <c r="H945" i="3"/>
  <c r="I945" i="3" s="1"/>
  <c r="H1033" i="3"/>
  <c r="I1033" i="3" s="1"/>
  <c r="H981" i="3"/>
  <c r="I981" i="3" s="1"/>
  <c r="I967" i="3"/>
  <c r="H960" i="3"/>
  <c r="I960" i="3" s="1"/>
  <c r="H956" i="3"/>
  <c r="I956" i="3" s="1"/>
  <c r="H944" i="3"/>
  <c r="I944" i="3" s="1"/>
  <c r="H941" i="3"/>
  <c r="I941" i="3" s="1"/>
  <c r="I970" i="3"/>
  <c r="I966" i="3"/>
  <c r="H959" i="3"/>
  <c r="I959" i="3" s="1"/>
  <c r="H955" i="3"/>
  <c r="I955" i="3" s="1"/>
  <c r="H994" i="3"/>
  <c r="I994" i="3" s="1"/>
  <c r="H990" i="3"/>
  <c r="I990" i="3" s="1"/>
  <c r="H976" i="3"/>
  <c r="I976" i="3" s="1"/>
  <c r="I969" i="3"/>
  <c r="H958" i="3"/>
  <c r="I958" i="3" s="1"/>
  <c r="H954" i="3"/>
  <c r="I954" i="3" s="1"/>
  <c r="H943" i="3"/>
  <c r="I943" i="3" s="1"/>
  <c r="U199" i="2"/>
  <c r="I115" i="22"/>
  <c r="U207" i="2"/>
  <c r="I108" i="22"/>
  <c r="U194" i="2"/>
  <c r="I63" i="22"/>
  <c r="U202" i="2"/>
  <c r="I65" i="22"/>
  <c r="U197" i="2"/>
  <c r="I67" i="22"/>
  <c r="U205" i="2"/>
  <c r="I26" i="22"/>
  <c r="U192" i="2"/>
  <c r="I46" i="22"/>
  <c r="T349" i="2"/>
  <c r="U200" i="2"/>
  <c r="I12" i="22"/>
  <c r="U208" i="2"/>
  <c r="I121" i="22"/>
  <c r="U203" i="2"/>
  <c r="I19" i="22"/>
  <c r="U198" i="2"/>
  <c r="I53" i="22"/>
  <c r="U193" i="2"/>
  <c r="I21" i="22"/>
  <c r="U201" i="2"/>
  <c r="I30" i="22"/>
  <c r="U204" i="2"/>
  <c r="I40" i="22"/>
  <c r="A159" i="2"/>
  <c r="C159" i="2"/>
  <c r="U159" i="2"/>
  <c r="I123" i="22" l="1"/>
  <c r="T17" i="31"/>
  <c r="V17" i="31" s="1"/>
  <c r="T18" i="31"/>
  <c r="V18" i="31" s="1"/>
  <c r="U226" i="2"/>
  <c r="U214" i="2"/>
  <c r="A176" i="2"/>
  <c r="C176" i="2"/>
  <c r="A177" i="2"/>
  <c r="C177" i="2"/>
  <c r="A178" i="2"/>
  <c r="C178" i="2"/>
  <c r="U216" i="2"/>
  <c r="A179" i="2"/>
  <c r="C179" i="2"/>
  <c r="U217" i="2"/>
  <c r="A180" i="2"/>
  <c r="C180" i="2"/>
  <c r="A181" i="2"/>
  <c r="C181" i="2"/>
  <c r="A182" i="2"/>
  <c r="C182" i="2"/>
  <c r="A183" i="2"/>
  <c r="C183" i="2"/>
  <c r="A184" i="2"/>
  <c r="C184" i="2"/>
  <c r="A185" i="2"/>
  <c r="C185" i="2"/>
  <c r="A186" i="2"/>
  <c r="C186" i="2"/>
  <c r="A187" i="2"/>
  <c r="C187" i="2"/>
  <c r="A188" i="2"/>
  <c r="C188" i="2"/>
  <c r="A189" i="2"/>
  <c r="C189" i="2"/>
  <c r="A190" i="2"/>
  <c r="A191" i="2"/>
  <c r="A230" i="2"/>
  <c r="C230" i="2"/>
  <c r="U230" i="2"/>
  <c r="C812" i="3"/>
  <c r="C806" i="3"/>
  <c r="C807" i="3"/>
  <c r="C808" i="3"/>
  <c r="C809" i="3"/>
  <c r="C810" i="3"/>
  <c r="C803" i="3"/>
  <c r="C804" i="3"/>
  <c r="C801" i="3"/>
  <c r="C797" i="3"/>
  <c r="C798" i="3"/>
  <c r="C799" i="3"/>
  <c r="C792" i="3"/>
  <c r="C793" i="3"/>
  <c r="C794" i="3"/>
  <c r="C795" i="3"/>
  <c r="C789" i="3"/>
  <c r="C790" i="3"/>
  <c r="C784" i="3"/>
  <c r="C785" i="3"/>
  <c r="C786" i="3"/>
  <c r="C787" i="3"/>
  <c r="C780" i="3"/>
  <c r="C781" i="3"/>
  <c r="C782" i="3"/>
  <c r="C776" i="3"/>
  <c r="C777" i="3"/>
  <c r="C778" i="3"/>
  <c r="C774" i="3"/>
  <c r="C772" i="3"/>
  <c r="C767" i="3"/>
  <c r="C768" i="3"/>
  <c r="C769" i="3"/>
  <c r="C770" i="3"/>
  <c r="C765" i="3"/>
  <c r="C762" i="3"/>
  <c r="C758" i="3"/>
  <c r="C759" i="3"/>
  <c r="C750" i="3"/>
  <c r="C751" i="3"/>
  <c r="C752" i="3"/>
  <c r="C753" i="3"/>
  <c r="C754" i="3"/>
  <c r="C755" i="3"/>
  <c r="C756" i="3"/>
  <c r="C744" i="3"/>
  <c r="C745" i="3"/>
  <c r="C746" i="3"/>
  <c r="C747" i="3"/>
  <c r="C741" i="3"/>
  <c r="C742" i="3"/>
  <c r="C739" i="3"/>
  <c r="A725" i="3"/>
  <c r="C725" i="3"/>
  <c r="G725" i="3"/>
  <c r="C727" i="3"/>
  <c r="C728" i="3"/>
  <c r="C729" i="3"/>
  <c r="C730" i="3"/>
  <c r="C731" i="3"/>
  <c r="C732" i="3"/>
  <c r="C733" i="3"/>
  <c r="C734" i="3"/>
  <c r="C735" i="3"/>
  <c r="C736" i="3"/>
  <c r="C721" i="3"/>
  <c r="C722" i="3"/>
  <c r="C723" i="3"/>
  <c r="C724" i="3"/>
  <c r="C716" i="3"/>
  <c r="C717" i="3"/>
  <c r="C718" i="3"/>
  <c r="C719" i="3"/>
  <c r="C712" i="3"/>
  <c r="C713" i="3"/>
  <c r="C714" i="3"/>
  <c r="C710" i="3"/>
  <c r="C708" i="3"/>
  <c r="C703" i="3"/>
  <c r="C698" i="3"/>
  <c r="C699" i="3"/>
  <c r="C700" i="3"/>
  <c r="C692" i="3"/>
  <c r="C693" i="3"/>
  <c r="C694" i="3"/>
  <c r="C695" i="3"/>
  <c r="C696" i="3"/>
  <c r="C681" i="3"/>
  <c r="C682" i="3"/>
  <c r="C683" i="3"/>
  <c r="C684" i="3"/>
  <c r="C685" i="3"/>
  <c r="C686" i="3"/>
  <c r="C687" i="3"/>
  <c r="C688" i="3"/>
  <c r="C689" i="3"/>
  <c r="C690" i="3"/>
  <c r="C679" i="3"/>
  <c r="C674" i="3"/>
  <c r="C675" i="3"/>
  <c r="C676" i="3"/>
  <c r="C677" i="3"/>
  <c r="C671" i="3"/>
  <c r="C672" i="3"/>
  <c r="C668" i="3"/>
  <c r="C669" i="3"/>
  <c r="C665" i="3"/>
  <c r="C666" i="3"/>
  <c r="C661" i="3"/>
  <c r="C662" i="3"/>
  <c r="C663" i="3"/>
  <c r="C657" i="3"/>
  <c r="C658" i="3"/>
  <c r="C659" i="3"/>
  <c r="C653" i="3"/>
  <c r="C654" i="3"/>
  <c r="C655" i="3"/>
  <c r="C650" i="3"/>
  <c r="C651" i="3"/>
  <c r="C647" i="3"/>
  <c r="C648" i="3"/>
  <c r="C641" i="3"/>
  <c r="C642" i="3"/>
  <c r="C643" i="3"/>
  <c r="C644" i="3"/>
  <c r="C645" i="3"/>
  <c r="C638" i="3"/>
  <c r="C639" i="3"/>
  <c r="C633" i="3"/>
  <c r="C634" i="3"/>
  <c r="C635" i="3"/>
  <c r="C636" i="3"/>
  <c r="C631" i="3"/>
  <c r="C628" i="3"/>
  <c r="C629" i="3"/>
  <c r="C625" i="3"/>
  <c r="C626" i="3"/>
  <c r="C621" i="3"/>
  <c r="C622" i="3"/>
  <c r="C623" i="3"/>
  <c r="A621" i="3"/>
  <c r="G621" i="3"/>
  <c r="A622" i="3"/>
  <c r="G622" i="3"/>
  <c r="A623" i="3"/>
  <c r="G623" i="3"/>
  <c r="A624" i="3"/>
  <c r="C624" i="3"/>
  <c r="G624" i="3"/>
  <c r="A625" i="3"/>
  <c r="G625" i="3"/>
  <c r="A626" i="3"/>
  <c r="G626" i="3"/>
  <c r="A627" i="3"/>
  <c r="C627" i="3"/>
  <c r="G627" i="3"/>
  <c r="A628" i="3"/>
  <c r="G628" i="3"/>
  <c r="A629" i="3"/>
  <c r="G629" i="3"/>
  <c r="A630" i="3"/>
  <c r="C630" i="3"/>
  <c r="G630" i="3"/>
  <c r="A631" i="3"/>
  <c r="G631" i="3"/>
  <c r="A632" i="3"/>
  <c r="C632" i="3"/>
  <c r="G632" i="3"/>
  <c r="A633" i="3"/>
  <c r="G633" i="3"/>
  <c r="A634" i="3"/>
  <c r="G634" i="3"/>
  <c r="A635" i="3"/>
  <c r="G635" i="3"/>
  <c r="A636" i="3"/>
  <c r="G636" i="3"/>
  <c r="A637" i="3"/>
  <c r="C637" i="3"/>
  <c r="G637" i="3"/>
  <c r="A638" i="3"/>
  <c r="G638" i="3"/>
  <c r="A639" i="3"/>
  <c r="G639" i="3"/>
  <c r="A640" i="3"/>
  <c r="C640" i="3"/>
  <c r="G640" i="3"/>
  <c r="A641" i="3"/>
  <c r="G641" i="3"/>
  <c r="A642" i="3"/>
  <c r="G642" i="3"/>
  <c r="A643" i="3"/>
  <c r="G643" i="3"/>
  <c r="A644" i="3"/>
  <c r="G644" i="3"/>
  <c r="A645" i="3"/>
  <c r="G645" i="3"/>
  <c r="A646" i="3"/>
  <c r="C646" i="3"/>
  <c r="G646" i="3"/>
  <c r="A647" i="3"/>
  <c r="G647" i="3"/>
  <c r="A648" i="3"/>
  <c r="G648" i="3"/>
  <c r="A649" i="3"/>
  <c r="C649" i="3"/>
  <c r="G649" i="3"/>
  <c r="A650" i="3"/>
  <c r="G650" i="3"/>
  <c r="A651" i="3"/>
  <c r="G651" i="3"/>
  <c r="A652" i="3"/>
  <c r="C652" i="3"/>
  <c r="G652" i="3"/>
  <c r="A653" i="3"/>
  <c r="G653" i="3"/>
  <c r="A654" i="3"/>
  <c r="G654" i="3"/>
  <c r="A655" i="3"/>
  <c r="G655" i="3"/>
  <c r="A656" i="3"/>
  <c r="C656" i="3"/>
  <c r="G656" i="3"/>
  <c r="A657" i="3"/>
  <c r="G657" i="3"/>
  <c r="A658" i="3"/>
  <c r="G658" i="3"/>
  <c r="A659" i="3"/>
  <c r="G659" i="3"/>
  <c r="A660" i="3"/>
  <c r="C660" i="3"/>
  <c r="A661" i="3"/>
  <c r="A662" i="3"/>
  <c r="G662" i="3"/>
  <c r="A663" i="3"/>
  <c r="G663" i="3"/>
  <c r="A664" i="3"/>
  <c r="C664" i="3"/>
  <c r="G664" i="3"/>
  <c r="A665" i="3"/>
  <c r="G665" i="3"/>
  <c r="A666" i="3"/>
  <c r="G666" i="3"/>
  <c r="A667" i="3"/>
  <c r="C667" i="3"/>
  <c r="G667" i="3"/>
  <c r="A668" i="3"/>
  <c r="G668" i="3"/>
  <c r="A669" i="3"/>
  <c r="G669" i="3"/>
  <c r="A670" i="3"/>
  <c r="C670" i="3"/>
  <c r="G670" i="3"/>
  <c r="A671" i="3"/>
  <c r="G671" i="3"/>
  <c r="A672" i="3"/>
  <c r="G672" i="3"/>
  <c r="A673" i="3"/>
  <c r="C673" i="3"/>
  <c r="G673" i="3"/>
  <c r="A674" i="3"/>
  <c r="G674" i="3"/>
  <c r="A675" i="3"/>
  <c r="G675" i="3"/>
  <c r="A676" i="3"/>
  <c r="G676" i="3"/>
  <c r="A677" i="3"/>
  <c r="G677" i="3"/>
  <c r="A678" i="3"/>
  <c r="C678" i="3"/>
  <c r="G678" i="3"/>
  <c r="A679" i="3"/>
  <c r="G679" i="3"/>
  <c r="A680" i="3"/>
  <c r="C680" i="3"/>
  <c r="G680" i="3"/>
  <c r="A681" i="3"/>
  <c r="G681" i="3"/>
  <c r="A682" i="3"/>
  <c r="G682" i="3"/>
  <c r="A683" i="3"/>
  <c r="G683" i="3"/>
  <c r="A684" i="3"/>
  <c r="G684" i="3"/>
  <c r="A685" i="3"/>
  <c r="G685" i="3"/>
  <c r="A686" i="3"/>
  <c r="G686" i="3"/>
  <c r="A687" i="3"/>
  <c r="G687" i="3"/>
  <c r="A688" i="3"/>
  <c r="G688" i="3"/>
  <c r="A689" i="3"/>
  <c r="G689" i="3"/>
  <c r="A690" i="3"/>
  <c r="G690" i="3"/>
  <c r="A691" i="3"/>
  <c r="C691" i="3"/>
  <c r="G691" i="3"/>
  <c r="A692" i="3"/>
  <c r="G692" i="3"/>
  <c r="A693" i="3"/>
  <c r="G693" i="3"/>
  <c r="A694" i="3"/>
  <c r="G694" i="3"/>
  <c r="A695" i="3"/>
  <c r="G695" i="3"/>
  <c r="A696" i="3"/>
  <c r="G696" i="3"/>
  <c r="A697" i="3"/>
  <c r="C697" i="3"/>
  <c r="G697" i="3"/>
  <c r="A698" i="3"/>
  <c r="G698" i="3"/>
  <c r="A699" i="3"/>
  <c r="G699" i="3"/>
  <c r="A700" i="3"/>
  <c r="G700" i="3"/>
  <c r="A701" i="3"/>
  <c r="C701" i="3"/>
  <c r="G701" i="3"/>
  <c r="A702" i="3"/>
  <c r="C702" i="3"/>
  <c r="G702" i="3"/>
  <c r="A703" i="3"/>
  <c r="G703" i="3"/>
  <c r="A704" i="3"/>
  <c r="C704" i="3"/>
  <c r="G704" i="3"/>
  <c r="A705" i="3"/>
  <c r="C705" i="3"/>
  <c r="G705" i="3"/>
  <c r="A706" i="3"/>
  <c r="C706" i="3"/>
  <c r="G706" i="3"/>
  <c r="A707" i="3"/>
  <c r="C707" i="3"/>
  <c r="G707" i="3"/>
  <c r="A708" i="3"/>
  <c r="G708" i="3"/>
  <c r="A709" i="3"/>
  <c r="C709" i="3"/>
  <c r="G709" i="3"/>
  <c r="A710" i="3"/>
  <c r="G710" i="3"/>
  <c r="A711" i="3"/>
  <c r="C711" i="3"/>
  <c r="G711" i="3"/>
  <c r="A712" i="3"/>
  <c r="G712" i="3"/>
  <c r="A713" i="3"/>
  <c r="G713" i="3"/>
  <c r="A714" i="3"/>
  <c r="G714" i="3"/>
  <c r="A715" i="3"/>
  <c r="C715" i="3"/>
  <c r="A716" i="3"/>
  <c r="G716" i="3"/>
  <c r="A717" i="3"/>
  <c r="G717" i="3"/>
  <c r="A718" i="3"/>
  <c r="G718" i="3"/>
  <c r="A719" i="3"/>
  <c r="G719" i="3"/>
  <c r="A720" i="3"/>
  <c r="C720" i="3"/>
  <c r="G720" i="3"/>
  <c r="A721" i="3"/>
  <c r="G721" i="3"/>
  <c r="A722" i="3"/>
  <c r="G722" i="3"/>
  <c r="A723" i="3"/>
  <c r="G723" i="3"/>
  <c r="A724" i="3"/>
  <c r="G724" i="3"/>
  <c r="A726" i="3"/>
  <c r="C726" i="3"/>
  <c r="G726" i="3"/>
  <c r="A727" i="3"/>
  <c r="G727" i="3"/>
  <c r="A728" i="3"/>
  <c r="G728" i="3"/>
  <c r="A729" i="3"/>
  <c r="G729" i="3"/>
  <c r="A730" i="3"/>
  <c r="G730" i="3"/>
  <c r="A731" i="3"/>
  <c r="G731" i="3"/>
  <c r="A732" i="3"/>
  <c r="G732" i="3"/>
  <c r="A733" i="3"/>
  <c r="G733" i="3"/>
  <c r="A734" i="3"/>
  <c r="G734" i="3"/>
  <c r="A735" i="3"/>
  <c r="G735" i="3"/>
  <c r="A736" i="3"/>
  <c r="G736" i="3"/>
  <c r="A737" i="3"/>
  <c r="C737" i="3"/>
  <c r="G737" i="3"/>
  <c r="A738" i="3"/>
  <c r="C738" i="3"/>
  <c r="G738" i="3"/>
  <c r="A739" i="3"/>
  <c r="G739" i="3"/>
  <c r="A740" i="3"/>
  <c r="C740" i="3"/>
  <c r="G740" i="3"/>
  <c r="A741" i="3"/>
  <c r="G741" i="3"/>
  <c r="A742" i="3"/>
  <c r="G742" i="3"/>
  <c r="A743" i="3"/>
  <c r="C743" i="3"/>
  <c r="G743" i="3"/>
  <c r="A744" i="3"/>
  <c r="G744" i="3"/>
  <c r="A745" i="3"/>
  <c r="G745" i="3"/>
  <c r="A746" i="3"/>
  <c r="G746" i="3"/>
  <c r="A747" i="3"/>
  <c r="G747" i="3"/>
  <c r="A748" i="3"/>
  <c r="C748" i="3"/>
  <c r="G748" i="3"/>
  <c r="A749" i="3"/>
  <c r="C749" i="3"/>
  <c r="G749" i="3"/>
  <c r="A750" i="3"/>
  <c r="G750" i="3"/>
  <c r="A751" i="3"/>
  <c r="G751" i="3"/>
  <c r="A752" i="3"/>
  <c r="G752" i="3"/>
  <c r="A753" i="3"/>
  <c r="G753" i="3"/>
  <c r="A754" i="3"/>
  <c r="G754" i="3"/>
  <c r="A755" i="3"/>
  <c r="G755" i="3"/>
  <c r="A756" i="3"/>
  <c r="G756" i="3"/>
  <c r="A757" i="3"/>
  <c r="C757" i="3"/>
  <c r="G757" i="3"/>
  <c r="A758" i="3"/>
  <c r="G758" i="3"/>
  <c r="A759" i="3"/>
  <c r="G759" i="3"/>
  <c r="A760" i="3"/>
  <c r="C760" i="3"/>
  <c r="G760" i="3"/>
  <c r="A761" i="3"/>
  <c r="C761" i="3"/>
  <c r="G761" i="3"/>
  <c r="A762" i="3"/>
  <c r="G762" i="3"/>
  <c r="A763" i="3"/>
  <c r="C763" i="3"/>
  <c r="G763" i="3"/>
  <c r="A764" i="3"/>
  <c r="C764" i="3"/>
  <c r="G764" i="3"/>
  <c r="A765" i="3"/>
  <c r="G765" i="3"/>
  <c r="A766" i="3"/>
  <c r="C766" i="3"/>
  <c r="G766" i="3"/>
  <c r="A767" i="3"/>
  <c r="G767" i="3"/>
  <c r="A768" i="3"/>
  <c r="G768" i="3"/>
  <c r="A769" i="3"/>
  <c r="G769" i="3"/>
  <c r="A770" i="3"/>
  <c r="G770" i="3"/>
  <c r="A771" i="3"/>
  <c r="C771" i="3"/>
  <c r="G771" i="3"/>
  <c r="A772" i="3"/>
  <c r="G772" i="3"/>
  <c r="A773" i="3"/>
  <c r="C773" i="3"/>
  <c r="A774" i="3"/>
  <c r="A775" i="3"/>
  <c r="C775" i="3"/>
  <c r="G775" i="3"/>
  <c r="A776" i="3"/>
  <c r="G776" i="3"/>
  <c r="A777" i="3"/>
  <c r="G777" i="3"/>
  <c r="A778" i="3"/>
  <c r="G778" i="3"/>
  <c r="A779" i="3"/>
  <c r="C779" i="3"/>
  <c r="G779" i="3"/>
  <c r="A780" i="3"/>
  <c r="G780" i="3"/>
  <c r="A781" i="3"/>
  <c r="G781" i="3"/>
  <c r="A782" i="3"/>
  <c r="G782" i="3"/>
  <c r="A783" i="3"/>
  <c r="C783" i="3"/>
  <c r="G783" i="3"/>
  <c r="A784" i="3"/>
  <c r="G784" i="3"/>
  <c r="A785" i="3"/>
  <c r="G785" i="3"/>
  <c r="A786" i="3"/>
  <c r="G786" i="3"/>
  <c r="A787" i="3"/>
  <c r="G787" i="3"/>
  <c r="A788" i="3"/>
  <c r="C788" i="3"/>
  <c r="G788" i="3"/>
  <c r="A789" i="3"/>
  <c r="G789" i="3"/>
  <c r="A790" i="3"/>
  <c r="G790" i="3"/>
  <c r="A791" i="3"/>
  <c r="C791" i="3"/>
  <c r="G791" i="3"/>
  <c r="A792" i="3"/>
  <c r="G792" i="3"/>
  <c r="A793" i="3"/>
  <c r="G793" i="3"/>
  <c r="A794" i="3"/>
  <c r="G794" i="3"/>
  <c r="A795" i="3"/>
  <c r="G795" i="3"/>
  <c r="A796" i="3"/>
  <c r="C796" i="3"/>
  <c r="G796" i="3"/>
  <c r="A797" i="3"/>
  <c r="G797" i="3"/>
  <c r="A798" i="3"/>
  <c r="G798" i="3"/>
  <c r="A799" i="3"/>
  <c r="G799" i="3"/>
  <c r="A800" i="3"/>
  <c r="C800" i="3"/>
  <c r="G800" i="3"/>
  <c r="A801" i="3"/>
  <c r="G801" i="3"/>
  <c r="A802" i="3"/>
  <c r="C802" i="3"/>
  <c r="G802" i="3"/>
  <c r="A803" i="3"/>
  <c r="G803" i="3"/>
  <c r="A804" i="3"/>
  <c r="G804" i="3"/>
  <c r="A805" i="3"/>
  <c r="C805" i="3"/>
  <c r="G805" i="3"/>
  <c r="A806" i="3"/>
  <c r="G806" i="3"/>
  <c r="A807" i="3"/>
  <c r="G807" i="3"/>
  <c r="A808" i="3"/>
  <c r="G808" i="3"/>
  <c r="A809" i="3"/>
  <c r="G809" i="3"/>
  <c r="A810" i="3"/>
  <c r="G810" i="3"/>
  <c r="A811" i="3"/>
  <c r="C811" i="3"/>
  <c r="G811" i="3"/>
  <c r="A812" i="3"/>
  <c r="G812" i="3"/>
  <c r="A813" i="3"/>
  <c r="G813" i="3"/>
  <c r="K125" i="2"/>
  <c r="F133" i="2"/>
  <c r="U133" i="2" s="1"/>
  <c r="J210" i="2"/>
  <c r="U176" i="2" s="1"/>
  <c r="E229" i="2"/>
  <c r="U212" i="2" s="1"/>
  <c r="E228" i="2"/>
  <c r="U211" i="2" s="1"/>
  <c r="E227" i="2"/>
  <c r="U227" i="2" s="1"/>
  <c r="E218" i="2"/>
  <c r="U184" i="2" s="1"/>
  <c r="E223" i="2"/>
  <c r="J225" i="2"/>
  <c r="U191" i="2" s="1"/>
  <c r="J224" i="2"/>
  <c r="U190" i="2" s="1"/>
  <c r="J223" i="2"/>
  <c r="J222" i="2"/>
  <c r="J221" i="2"/>
  <c r="U187" i="2" s="1"/>
  <c r="J220" i="2"/>
  <c r="U186" i="2" s="1"/>
  <c r="J219" i="2"/>
  <c r="U185" i="2" s="1"/>
  <c r="F215" i="2"/>
  <c r="U181" i="2" s="1"/>
  <c r="O209" i="2"/>
  <c r="U175" i="2" s="1"/>
  <c r="E174" i="2"/>
  <c r="U174" i="2" s="1"/>
  <c r="J173" i="2"/>
  <c r="U173" i="2" s="1"/>
  <c r="J172" i="2"/>
  <c r="U172" i="2" s="1"/>
  <c r="J171" i="2"/>
  <c r="U171" i="2" s="1"/>
  <c r="J170" i="2"/>
  <c r="U170" i="2" s="1"/>
  <c r="E169" i="2"/>
  <c r="U169" i="2" s="1"/>
  <c r="F161" i="2"/>
  <c r="U161" i="2" s="1"/>
  <c r="A162" i="2"/>
  <c r="C162" i="2"/>
  <c r="U162" i="2"/>
  <c r="A163" i="2"/>
  <c r="C163" i="2"/>
  <c r="U163" i="2"/>
  <c r="A164" i="2"/>
  <c r="C164" i="2"/>
  <c r="U164" i="2"/>
  <c r="A165" i="2"/>
  <c r="C165" i="2"/>
  <c r="U165" i="2"/>
  <c r="A166" i="2"/>
  <c r="C166" i="2"/>
  <c r="U166" i="2"/>
  <c r="A167" i="2"/>
  <c r="C167" i="2"/>
  <c r="U167" i="2"/>
  <c r="A168" i="2"/>
  <c r="C168" i="2"/>
  <c r="U168" i="2"/>
  <c r="A169" i="2"/>
  <c r="C169" i="2"/>
  <c r="A170" i="2"/>
  <c r="C170" i="2"/>
  <c r="A171" i="2"/>
  <c r="C171" i="2"/>
  <c r="A172" i="2"/>
  <c r="C172" i="2"/>
  <c r="A173" i="2"/>
  <c r="C173" i="2"/>
  <c r="A174" i="2"/>
  <c r="C174" i="2"/>
  <c r="A209" i="2"/>
  <c r="C209" i="2"/>
  <c r="A210" i="2"/>
  <c r="C210" i="2"/>
  <c r="A211" i="2"/>
  <c r="U177" i="2"/>
  <c r="A212" i="2"/>
  <c r="U178" i="2"/>
  <c r="A213" i="2"/>
  <c r="C213" i="2"/>
  <c r="U179" i="2"/>
  <c r="A214" i="2"/>
  <c r="C214" i="2"/>
  <c r="U180" i="2"/>
  <c r="A215" i="2"/>
  <c r="C215" i="2"/>
  <c r="A216" i="2"/>
  <c r="C216" i="2"/>
  <c r="U182" i="2"/>
  <c r="A217" i="2"/>
  <c r="C217" i="2"/>
  <c r="U183" i="2"/>
  <c r="A218" i="2"/>
  <c r="C218" i="2"/>
  <c r="A219" i="2"/>
  <c r="C219" i="2"/>
  <c r="A220" i="2"/>
  <c r="C220" i="2"/>
  <c r="A221" i="2"/>
  <c r="C221" i="2"/>
  <c r="A222" i="2"/>
  <c r="C222" i="2"/>
  <c r="U188" i="2"/>
  <c r="A223" i="2"/>
  <c r="C223" i="2"/>
  <c r="A224" i="2"/>
  <c r="C224" i="2"/>
  <c r="A225" i="2"/>
  <c r="C225" i="2"/>
  <c r="A226" i="2"/>
  <c r="C226" i="2"/>
  <c r="A227" i="2"/>
  <c r="C227" i="2"/>
  <c r="A228" i="2"/>
  <c r="C228" i="2"/>
  <c r="A229" i="2"/>
  <c r="C229" i="2"/>
  <c r="A175" i="2"/>
  <c r="C175" i="2"/>
  <c r="T7" i="31"/>
  <c r="V7" i="31" s="1"/>
  <c r="T6" i="31"/>
  <c r="V5" i="31"/>
  <c r="T8" i="31"/>
  <c r="V8" i="31" s="1"/>
  <c r="T9" i="31"/>
  <c r="V9" i="31" s="1"/>
  <c r="T10" i="31"/>
  <c r="V10" i="31" s="1"/>
  <c r="V11" i="31"/>
  <c r="T12" i="31"/>
  <c r="V12" i="31" s="1"/>
  <c r="T13" i="31"/>
  <c r="V13" i="31" s="1"/>
  <c r="T14" i="31"/>
  <c r="V14" i="31" s="1"/>
  <c r="T15" i="31"/>
  <c r="V15" i="31" s="1"/>
  <c r="T16" i="31"/>
  <c r="V16" i="31" s="1"/>
  <c r="Z123" i="29"/>
  <c r="Y2" i="29"/>
  <c r="Y124" i="29" s="1"/>
  <c r="C615" i="3"/>
  <c r="C616" i="3"/>
  <c r="C617" i="3"/>
  <c r="C618" i="3"/>
  <c r="C619" i="3"/>
  <c r="A614" i="3"/>
  <c r="C614" i="3"/>
  <c r="G614" i="3"/>
  <c r="A615" i="3"/>
  <c r="G615" i="3"/>
  <c r="A616" i="3"/>
  <c r="G616" i="3"/>
  <c r="A617" i="3"/>
  <c r="G617" i="3"/>
  <c r="A618" i="3"/>
  <c r="G618" i="3"/>
  <c r="A619" i="3"/>
  <c r="G619" i="3"/>
  <c r="A620" i="3"/>
  <c r="C620" i="3"/>
  <c r="G620" i="3"/>
  <c r="C602" i="3"/>
  <c r="C603" i="3"/>
  <c r="C604" i="3"/>
  <c r="C605" i="3"/>
  <c r="C606" i="3"/>
  <c r="C607" i="3"/>
  <c r="C608" i="3"/>
  <c r="C609" i="3"/>
  <c r="C610" i="3"/>
  <c r="C611" i="3"/>
  <c r="C612" i="3"/>
  <c r="A601" i="3"/>
  <c r="C601" i="3"/>
  <c r="G601" i="3"/>
  <c r="A602" i="3"/>
  <c r="G602" i="3"/>
  <c r="A603" i="3"/>
  <c r="G603" i="3"/>
  <c r="A604" i="3"/>
  <c r="G604" i="3"/>
  <c r="A605" i="3"/>
  <c r="G605" i="3"/>
  <c r="A606" i="3"/>
  <c r="G606" i="3"/>
  <c r="A607" i="3"/>
  <c r="G607" i="3"/>
  <c r="A608" i="3"/>
  <c r="G608" i="3"/>
  <c r="A609" i="3"/>
  <c r="G609" i="3"/>
  <c r="A610" i="3"/>
  <c r="G610" i="3"/>
  <c r="A611" i="3"/>
  <c r="G611" i="3"/>
  <c r="A612" i="3"/>
  <c r="G612" i="3"/>
  <c r="A613" i="3"/>
  <c r="C613" i="3"/>
  <c r="G613" i="3"/>
  <c r="C591" i="3"/>
  <c r="C592" i="3"/>
  <c r="C593" i="3"/>
  <c r="C594" i="3"/>
  <c r="C595" i="3"/>
  <c r="C596" i="3"/>
  <c r="C597" i="3"/>
  <c r="C598" i="3"/>
  <c r="C599" i="3"/>
  <c r="C585" i="3"/>
  <c r="C586" i="3"/>
  <c r="C587" i="3"/>
  <c r="C588" i="3"/>
  <c r="C58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A571" i="3"/>
  <c r="G571" i="3"/>
  <c r="A572" i="3"/>
  <c r="G572" i="3"/>
  <c r="A573" i="3"/>
  <c r="G573" i="3"/>
  <c r="A574" i="3"/>
  <c r="G574" i="3"/>
  <c r="A575" i="3"/>
  <c r="G575" i="3"/>
  <c r="A576" i="3"/>
  <c r="G576" i="3"/>
  <c r="A577" i="3"/>
  <c r="G577" i="3"/>
  <c r="A578" i="3"/>
  <c r="G578" i="3"/>
  <c r="A579" i="3"/>
  <c r="G579" i="3"/>
  <c r="A580" i="3"/>
  <c r="G580" i="3"/>
  <c r="A581" i="3"/>
  <c r="G581" i="3"/>
  <c r="A582" i="3"/>
  <c r="G582" i="3"/>
  <c r="A583" i="3"/>
  <c r="G583" i="3"/>
  <c r="A584" i="3"/>
  <c r="C584" i="3"/>
  <c r="G584" i="3"/>
  <c r="A585" i="3"/>
  <c r="G585" i="3"/>
  <c r="A586" i="3"/>
  <c r="G586" i="3"/>
  <c r="A587" i="3"/>
  <c r="G587" i="3"/>
  <c r="A588" i="3"/>
  <c r="G588" i="3"/>
  <c r="A589" i="3"/>
  <c r="G589" i="3"/>
  <c r="A590" i="3"/>
  <c r="C590" i="3"/>
  <c r="G590" i="3"/>
  <c r="A591" i="3"/>
  <c r="G591" i="3"/>
  <c r="A592" i="3"/>
  <c r="G592" i="3"/>
  <c r="A593" i="3"/>
  <c r="G593" i="3"/>
  <c r="A594" i="3"/>
  <c r="G594" i="3"/>
  <c r="A595" i="3"/>
  <c r="G595" i="3"/>
  <c r="A596" i="3"/>
  <c r="G596" i="3"/>
  <c r="A597" i="3"/>
  <c r="G597" i="3"/>
  <c r="A598" i="3"/>
  <c r="G598" i="3"/>
  <c r="A599" i="3"/>
  <c r="G599" i="3"/>
  <c r="C567" i="3"/>
  <c r="C568" i="3"/>
  <c r="C569" i="3"/>
  <c r="C557" i="3"/>
  <c r="C558" i="3"/>
  <c r="C559" i="3"/>
  <c r="C560" i="3"/>
  <c r="C561" i="3"/>
  <c r="C562" i="3"/>
  <c r="C563" i="3"/>
  <c r="C564" i="3"/>
  <c r="C565" i="3"/>
  <c r="A557" i="3"/>
  <c r="G557" i="3"/>
  <c r="A558" i="3"/>
  <c r="G558" i="3"/>
  <c r="A559" i="3"/>
  <c r="G559" i="3"/>
  <c r="A560" i="3"/>
  <c r="G560" i="3"/>
  <c r="A561" i="3"/>
  <c r="G561" i="3"/>
  <c r="A562" i="3"/>
  <c r="G562" i="3"/>
  <c r="A563" i="3"/>
  <c r="G563" i="3"/>
  <c r="A564" i="3"/>
  <c r="G564" i="3"/>
  <c r="A565" i="3"/>
  <c r="G565" i="3"/>
  <c r="A566" i="3"/>
  <c r="C566" i="3"/>
  <c r="G566" i="3"/>
  <c r="A567" i="3"/>
  <c r="G567" i="3"/>
  <c r="A568" i="3"/>
  <c r="G568" i="3"/>
  <c r="A569" i="3"/>
  <c r="G569" i="3"/>
  <c r="A570" i="3"/>
  <c r="G570" i="3"/>
  <c r="A600" i="3"/>
  <c r="C600" i="3"/>
  <c r="G600" i="3"/>
  <c r="C547" i="3"/>
  <c r="C548" i="3"/>
  <c r="C549" i="3"/>
  <c r="C550" i="3"/>
  <c r="C551" i="3"/>
  <c r="C552" i="3"/>
  <c r="C553" i="3"/>
  <c r="C554" i="3"/>
  <c r="C555" i="3"/>
  <c r="C544" i="3"/>
  <c r="C541" i="3"/>
  <c r="C542" i="3"/>
  <c r="C538" i="3"/>
  <c r="C536" i="3"/>
  <c r="C533" i="3"/>
  <c r="C534" i="3"/>
  <c r="C523" i="3"/>
  <c r="C524" i="3"/>
  <c r="C525" i="3"/>
  <c r="C526" i="3"/>
  <c r="C527" i="3"/>
  <c r="C528" i="3"/>
  <c r="C529" i="3"/>
  <c r="C530" i="3"/>
  <c r="C531" i="3"/>
  <c r="A523" i="3"/>
  <c r="G523" i="3"/>
  <c r="A524" i="3"/>
  <c r="G524" i="3"/>
  <c r="A525" i="3"/>
  <c r="G525" i="3"/>
  <c r="A526" i="3"/>
  <c r="G526" i="3"/>
  <c r="A527" i="3"/>
  <c r="G527" i="3"/>
  <c r="A528" i="3"/>
  <c r="G528" i="3"/>
  <c r="A529" i="3"/>
  <c r="G529" i="3"/>
  <c r="A530" i="3"/>
  <c r="G530" i="3"/>
  <c r="A531" i="3"/>
  <c r="G531" i="3"/>
  <c r="A532" i="3"/>
  <c r="C532" i="3"/>
  <c r="G532" i="3"/>
  <c r="A533" i="3"/>
  <c r="G533" i="3"/>
  <c r="A534" i="3"/>
  <c r="G534" i="3"/>
  <c r="A535" i="3"/>
  <c r="C535" i="3"/>
  <c r="G535" i="3"/>
  <c r="A536" i="3"/>
  <c r="G536" i="3"/>
  <c r="A537" i="3"/>
  <c r="C537" i="3"/>
  <c r="G537" i="3"/>
  <c r="A538" i="3"/>
  <c r="G538" i="3"/>
  <c r="A539" i="3"/>
  <c r="C539" i="3"/>
  <c r="G539" i="3"/>
  <c r="A540" i="3"/>
  <c r="C540" i="3"/>
  <c r="G540" i="3"/>
  <c r="A541" i="3"/>
  <c r="G541" i="3"/>
  <c r="A542" i="3"/>
  <c r="G542" i="3"/>
  <c r="A543" i="3"/>
  <c r="C543" i="3"/>
  <c r="G543" i="3"/>
  <c r="A544" i="3"/>
  <c r="G544" i="3"/>
  <c r="A545" i="3"/>
  <c r="C545" i="3"/>
  <c r="G545" i="3"/>
  <c r="A546" i="3"/>
  <c r="C546" i="3"/>
  <c r="G546" i="3"/>
  <c r="A547" i="3"/>
  <c r="G547" i="3"/>
  <c r="A548" i="3"/>
  <c r="G548" i="3"/>
  <c r="A549" i="3"/>
  <c r="G549" i="3"/>
  <c r="A550" i="3"/>
  <c r="G550" i="3"/>
  <c r="A551" i="3"/>
  <c r="G551" i="3"/>
  <c r="A552" i="3"/>
  <c r="G552" i="3"/>
  <c r="A553" i="3"/>
  <c r="G553" i="3"/>
  <c r="A554" i="3"/>
  <c r="G554" i="3"/>
  <c r="A555" i="3"/>
  <c r="G555" i="3"/>
  <c r="A556" i="3"/>
  <c r="C556" i="3"/>
  <c r="G556" i="3"/>
  <c r="U3" i="2"/>
  <c r="U4" i="2"/>
  <c r="U5" i="2"/>
  <c r="U8" i="2"/>
  <c r="U9" i="2"/>
  <c r="U11" i="2"/>
  <c r="U12" i="2"/>
  <c r="U16" i="2"/>
  <c r="U17" i="2"/>
  <c r="U18" i="2"/>
  <c r="U20" i="2"/>
  <c r="U21" i="2"/>
  <c r="U22" i="2"/>
  <c r="U23" i="2"/>
  <c r="U24" i="2"/>
  <c r="U25" i="2"/>
  <c r="U26" i="2"/>
  <c r="U27" i="2"/>
  <c r="U28" i="2"/>
  <c r="U29" i="2"/>
  <c r="U31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51" i="2"/>
  <c r="U57" i="2"/>
  <c r="U59" i="2"/>
  <c r="U60" i="2"/>
  <c r="U62" i="2"/>
  <c r="U63" i="2"/>
  <c r="U67" i="2"/>
  <c r="U69" i="2"/>
  <c r="U70" i="2"/>
  <c r="U76" i="2"/>
  <c r="U80" i="2"/>
  <c r="U81" i="2"/>
  <c r="U83" i="2"/>
  <c r="U89" i="2"/>
  <c r="U90" i="2"/>
  <c r="U92" i="2"/>
  <c r="U94" i="2"/>
  <c r="U95" i="2"/>
  <c r="U96" i="2"/>
  <c r="U97" i="2"/>
  <c r="U98" i="2"/>
  <c r="U99" i="2"/>
  <c r="U101" i="2"/>
  <c r="U102" i="2"/>
  <c r="U103" i="2"/>
  <c r="U104" i="2"/>
  <c r="U105" i="2"/>
  <c r="U106" i="2"/>
  <c r="U107" i="2"/>
  <c r="U109" i="2"/>
  <c r="U110" i="2"/>
  <c r="U112" i="2"/>
  <c r="U113" i="2"/>
  <c r="U114" i="2"/>
  <c r="U116" i="2"/>
  <c r="U117" i="2"/>
  <c r="U118" i="2"/>
  <c r="U119" i="2"/>
  <c r="U120" i="2"/>
  <c r="U121" i="2"/>
  <c r="U122" i="2"/>
  <c r="U123" i="2"/>
  <c r="U124" i="2"/>
  <c r="U131" i="2"/>
  <c r="U134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4" i="2"/>
  <c r="U157" i="2"/>
  <c r="U158" i="2"/>
  <c r="U160" i="2"/>
  <c r="A150" i="2"/>
  <c r="C150" i="2"/>
  <c r="F156" i="2"/>
  <c r="U156" i="2" s="1"/>
  <c r="E155" i="2"/>
  <c r="U155" i="2" s="1"/>
  <c r="J153" i="2"/>
  <c r="U153" i="2" s="1"/>
  <c r="J152" i="2"/>
  <c r="U152" i="2" s="1"/>
  <c r="J151" i="2"/>
  <c r="U151" i="2" s="1"/>
  <c r="A139" i="2"/>
  <c r="C139" i="2"/>
  <c r="A140" i="2"/>
  <c r="C140" i="2"/>
  <c r="A141" i="2"/>
  <c r="C141" i="2"/>
  <c r="A142" i="2"/>
  <c r="C142" i="2"/>
  <c r="A143" i="2"/>
  <c r="C143" i="2"/>
  <c r="A144" i="2"/>
  <c r="C144" i="2"/>
  <c r="A145" i="2"/>
  <c r="C145" i="2"/>
  <c r="A146" i="2"/>
  <c r="C146" i="2"/>
  <c r="A147" i="2"/>
  <c r="C147" i="2"/>
  <c r="A148" i="2"/>
  <c r="C148" i="2"/>
  <c r="A149" i="2"/>
  <c r="C149" i="2"/>
  <c r="A151" i="2"/>
  <c r="C151" i="2"/>
  <c r="A152" i="2"/>
  <c r="C152" i="2"/>
  <c r="A153" i="2"/>
  <c r="C153" i="2"/>
  <c r="A154" i="2"/>
  <c r="C154" i="2"/>
  <c r="A155" i="2"/>
  <c r="C155" i="2"/>
  <c r="A156" i="2"/>
  <c r="C156" i="2"/>
  <c r="A157" i="2"/>
  <c r="C157" i="2"/>
  <c r="A158" i="2"/>
  <c r="C158" i="2"/>
  <c r="A160" i="2"/>
  <c r="C160" i="2"/>
  <c r="A161" i="2"/>
  <c r="C161" i="2"/>
  <c r="F135" i="2"/>
  <c r="U135" i="2" s="1"/>
  <c r="F132" i="2"/>
  <c r="U132" i="2" s="1"/>
  <c r="F130" i="2"/>
  <c r="U130" i="2" s="1"/>
  <c r="K129" i="2"/>
  <c r="U129" i="2" s="1"/>
  <c r="K128" i="2"/>
  <c r="U128" i="2" s="1"/>
  <c r="K127" i="2"/>
  <c r="U127" i="2" s="1"/>
  <c r="K126" i="2"/>
  <c r="U126" i="2" s="1"/>
  <c r="H31" i="31" l="1"/>
  <c r="H534" i="3"/>
  <c r="I534" i="3" s="1"/>
  <c r="H579" i="3"/>
  <c r="I579" i="3" s="1"/>
  <c r="H789" i="3"/>
  <c r="I789" i="3" s="1"/>
  <c r="H750" i="3"/>
  <c r="I750" i="3" s="1"/>
  <c r="H717" i="3"/>
  <c r="I717" i="3" s="1"/>
  <c r="H553" i="3"/>
  <c r="I553" i="3" s="1"/>
  <c r="H552" i="3"/>
  <c r="I552" i="3" s="1"/>
  <c r="I541" i="3"/>
  <c r="H558" i="3"/>
  <c r="I558" i="3" s="1"/>
  <c r="H599" i="3"/>
  <c r="I599" i="3" s="1"/>
  <c r="H591" i="3"/>
  <c r="I591" i="3" s="1"/>
  <c r="H572" i="3"/>
  <c r="I572" i="3" s="1"/>
  <c r="H555" i="3"/>
  <c r="I555" i="3" s="1"/>
  <c r="H551" i="3"/>
  <c r="I551" i="3" s="1"/>
  <c r="H547" i="3"/>
  <c r="I547" i="3" s="1"/>
  <c r="H544" i="3"/>
  <c r="I544" i="3" s="1"/>
  <c r="H531" i="3"/>
  <c r="I531" i="3" s="1"/>
  <c r="H527" i="3"/>
  <c r="I527" i="3" s="1"/>
  <c r="H523" i="3"/>
  <c r="I523" i="3" s="1"/>
  <c r="H569" i="3"/>
  <c r="I569" i="3" s="1"/>
  <c r="H587" i="3"/>
  <c r="I587" i="3" s="1"/>
  <c r="H609" i="3"/>
  <c r="I609" i="3" s="1"/>
  <c r="H605" i="3"/>
  <c r="I605" i="3" s="1"/>
  <c r="H601" i="3"/>
  <c r="I601" i="3" s="1"/>
  <c r="H807" i="3"/>
  <c r="I807" i="3" s="1"/>
  <c r="H800" i="3"/>
  <c r="I800" i="3" s="1"/>
  <c r="H793" i="3"/>
  <c r="I793" i="3" s="1"/>
  <c r="H786" i="3"/>
  <c r="I786" i="3" s="1"/>
  <c r="H775" i="3"/>
  <c r="I775" i="3" s="1"/>
  <c r="H771" i="3"/>
  <c r="I771" i="3" s="1"/>
  <c r="H764" i="3"/>
  <c r="I764" i="3" s="1"/>
  <c r="H761" i="3"/>
  <c r="I761" i="3" s="1"/>
  <c r="I758" i="3"/>
  <c r="H740" i="3"/>
  <c r="I740" i="3" s="1"/>
  <c r="H737" i="3"/>
  <c r="I737" i="3" s="1"/>
  <c r="H721" i="3"/>
  <c r="I721" i="3" s="1"/>
  <c r="H710" i="3"/>
  <c r="I710" i="3" s="1"/>
  <c r="H704" i="3"/>
  <c r="I704" i="3" s="1"/>
  <c r="H701" i="3"/>
  <c r="I701" i="3" s="1"/>
  <c r="H694" i="3"/>
  <c r="I694" i="3" s="1"/>
  <c r="H679" i="3"/>
  <c r="I679" i="3" s="1"/>
  <c r="H672" i="3"/>
  <c r="I672" i="3" s="1"/>
  <c r="H665" i="3"/>
  <c r="I665" i="3" s="1"/>
  <c r="H657" i="3"/>
  <c r="I657" i="3" s="1"/>
  <c r="H650" i="3"/>
  <c r="I650" i="3" s="1"/>
  <c r="H643" i="3"/>
  <c r="I643" i="3" s="1"/>
  <c r="H636" i="3"/>
  <c r="I636" i="3" s="1"/>
  <c r="H632" i="3"/>
  <c r="I632" i="3" s="1"/>
  <c r="H629" i="3"/>
  <c r="I629" i="3" s="1"/>
  <c r="H622" i="3"/>
  <c r="I622" i="3" s="1"/>
  <c r="H686" i="3"/>
  <c r="I686" i="3" s="1"/>
  <c r="H682" i="3"/>
  <c r="I682" i="3" s="1"/>
  <c r="H675" i="3"/>
  <c r="I675" i="3" s="1"/>
  <c r="H668" i="3"/>
  <c r="I668" i="3" s="1"/>
  <c r="H653" i="3"/>
  <c r="I653" i="3" s="1"/>
  <c r="H646" i="3"/>
  <c r="I646" i="3" s="1"/>
  <c r="H639" i="3"/>
  <c r="I639" i="3" s="1"/>
  <c r="H625" i="3"/>
  <c r="I625" i="3" s="1"/>
  <c r="H725" i="3"/>
  <c r="I725" i="3" s="1"/>
  <c r="H590" i="3"/>
  <c r="I590" i="3" s="1"/>
  <c r="H615" i="3"/>
  <c r="I615" i="3" s="1"/>
  <c r="H782" i="3"/>
  <c r="I782" i="3" s="1"/>
  <c r="H690" i="3"/>
  <c r="I690" i="3" s="1"/>
  <c r="H550" i="3"/>
  <c r="I550" i="3" s="1"/>
  <c r="H543" i="3"/>
  <c r="I543" i="3" s="1"/>
  <c r="H530" i="3"/>
  <c r="I530" i="3" s="1"/>
  <c r="H526" i="3"/>
  <c r="I526" i="3" s="1"/>
  <c r="H568" i="3"/>
  <c r="I568" i="3" s="1"/>
  <c r="H586" i="3"/>
  <c r="I586" i="3" s="1"/>
  <c r="H612" i="3"/>
  <c r="I612" i="3" s="1"/>
  <c r="H608" i="3"/>
  <c r="I608" i="3" s="1"/>
  <c r="H604" i="3"/>
  <c r="I604" i="3" s="1"/>
  <c r="H810" i="3"/>
  <c r="I810" i="3" s="1"/>
  <c r="H806" i="3"/>
  <c r="I806" i="3" s="1"/>
  <c r="H792" i="3"/>
  <c r="I792" i="3" s="1"/>
  <c r="H785" i="3"/>
  <c r="I785" i="3" s="1"/>
  <c r="H778" i="3"/>
  <c r="I778" i="3" s="1"/>
  <c r="I757" i="3"/>
  <c r="H724" i="3"/>
  <c r="I724" i="3" s="1"/>
  <c r="H720" i="3"/>
  <c r="I720" i="3" s="1"/>
  <c r="H709" i="3"/>
  <c r="I709" i="3" s="1"/>
  <c r="H706" i="3"/>
  <c r="I706" i="3" s="1"/>
  <c r="H693" i="3"/>
  <c r="I693" i="3" s="1"/>
  <c r="H678" i="3"/>
  <c r="I678" i="3" s="1"/>
  <c r="H671" i="3"/>
  <c r="I671" i="3" s="1"/>
  <c r="H664" i="3"/>
  <c r="I664" i="3" s="1"/>
  <c r="H656" i="3"/>
  <c r="I656" i="3" s="1"/>
  <c r="H649" i="3"/>
  <c r="I649" i="3" s="1"/>
  <c r="H642" i="3"/>
  <c r="I642" i="3" s="1"/>
  <c r="H635" i="3"/>
  <c r="I635" i="3" s="1"/>
  <c r="H628" i="3"/>
  <c r="I628" i="3" s="1"/>
  <c r="H621" i="3"/>
  <c r="I621" i="3" s="1"/>
  <c r="H537" i="3"/>
  <c r="I537" i="3" s="1"/>
  <c r="H565" i="3"/>
  <c r="I565" i="3" s="1"/>
  <c r="H583" i="3"/>
  <c r="I583" i="3" s="1"/>
  <c r="H767" i="3"/>
  <c r="I767" i="3" s="1"/>
  <c r="H743" i="3"/>
  <c r="I743" i="3" s="1"/>
  <c r="H554" i="3"/>
  <c r="I554" i="3" s="1"/>
  <c r="H546" i="3"/>
  <c r="I546" i="3" s="1"/>
  <c r="H533" i="3"/>
  <c r="I533" i="3" s="1"/>
  <c r="H600" i="3"/>
  <c r="I600" i="3" s="1"/>
  <c r="H564" i="3"/>
  <c r="I564" i="3" s="1"/>
  <c r="H560" i="3"/>
  <c r="I560" i="3" s="1"/>
  <c r="H597" i="3"/>
  <c r="I597" i="3" s="1"/>
  <c r="H593" i="3"/>
  <c r="I593" i="3" s="1"/>
  <c r="H582" i="3"/>
  <c r="I582" i="3" s="1"/>
  <c r="H578" i="3"/>
  <c r="I578" i="3" s="1"/>
  <c r="H574" i="3"/>
  <c r="I574" i="3" s="1"/>
  <c r="H618" i="3"/>
  <c r="I618" i="3" s="1"/>
  <c r="H614" i="3"/>
  <c r="I614" i="3" s="1"/>
  <c r="H813" i="3"/>
  <c r="I813" i="3" s="1"/>
  <c r="H802" i="3"/>
  <c r="I802" i="3" s="1"/>
  <c r="H799" i="3"/>
  <c r="I799" i="3" s="1"/>
  <c r="H788" i="3"/>
  <c r="I788" i="3" s="1"/>
  <c r="H781" i="3"/>
  <c r="I781" i="3" s="1"/>
  <c r="H770" i="3"/>
  <c r="I770" i="3" s="1"/>
  <c r="H766" i="3"/>
  <c r="I766" i="3" s="1"/>
  <c r="H763" i="3"/>
  <c r="I763" i="3" s="1"/>
  <c r="H760" i="3"/>
  <c r="I760" i="3" s="1"/>
  <c r="H753" i="3"/>
  <c r="I753" i="3" s="1"/>
  <c r="H749" i="3"/>
  <c r="I749" i="3" s="1"/>
  <c r="H746" i="3"/>
  <c r="I746" i="3" s="1"/>
  <c r="H739" i="3"/>
  <c r="I739" i="3" s="1"/>
  <c r="H736" i="3"/>
  <c r="I736" i="3" s="1"/>
  <c r="H732" i="3"/>
  <c r="I732" i="3" s="1"/>
  <c r="H728" i="3"/>
  <c r="I728" i="3" s="1"/>
  <c r="H716" i="3"/>
  <c r="I716" i="3" s="1"/>
  <c r="H712" i="3"/>
  <c r="I712" i="3" s="1"/>
  <c r="H703" i="3"/>
  <c r="I703" i="3" s="1"/>
  <c r="H700" i="3"/>
  <c r="I700" i="3" s="1"/>
  <c r="H689" i="3"/>
  <c r="I689" i="3" s="1"/>
  <c r="H685" i="3"/>
  <c r="I685" i="3" s="1"/>
  <c r="H681" i="3"/>
  <c r="I681" i="3" s="1"/>
  <c r="H674" i="3"/>
  <c r="I674" i="3" s="1"/>
  <c r="H667" i="3"/>
  <c r="I667" i="3" s="1"/>
  <c r="H652" i="3"/>
  <c r="I652" i="3" s="1"/>
  <c r="H638" i="3"/>
  <c r="I638" i="3" s="1"/>
  <c r="H631" i="3"/>
  <c r="I631" i="3" s="1"/>
  <c r="H624" i="3"/>
  <c r="I624" i="3" s="1"/>
  <c r="H561" i="3"/>
  <c r="I561" i="3" s="1"/>
  <c r="H571" i="3"/>
  <c r="I571" i="3" s="1"/>
  <c r="H619" i="3"/>
  <c r="I619" i="3" s="1"/>
  <c r="H796" i="3"/>
  <c r="I796" i="3" s="1"/>
  <c r="H754" i="3"/>
  <c r="I754" i="3" s="1"/>
  <c r="H733" i="3"/>
  <c r="I733" i="3" s="1"/>
  <c r="H549" i="3"/>
  <c r="I549" i="3" s="1"/>
  <c r="H529" i="3"/>
  <c r="I529" i="3" s="1"/>
  <c r="H567" i="3"/>
  <c r="I567" i="3" s="1"/>
  <c r="H589" i="3"/>
  <c r="I589" i="3" s="1"/>
  <c r="H585" i="3"/>
  <c r="I585" i="3" s="1"/>
  <c r="H611" i="3"/>
  <c r="I611" i="3" s="1"/>
  <c r="H607" i="3"/>
  <c r="I607" i="3" s="1"/>
  <c r="H603" i="3"/>
  <c r="I603" i="3" s="1"/>
  <c r="H809" i="3"/>
  <c r="I809" i="3" s="1"/>
  <c r="H805" i="3"/>
  <c r="I805" i="3" s="1"/>
  <c r="H795" i="3"/>
  <c r="I795" i="3" s="1"/>
  <c r="H791" i="3"/>
  <c r="I791" i="3" s="1"/>
  <c r="H784" i="3"/>
  <c r="I784" i="3" s="1"/>
  <c r="H777" i="3"/>
  <c r="I777" i="3" s="1"/>
  <c r="H742" i="3"/>
  <c r="I742" i="3" s="1"/>
  <c r="H723" i="3"/>
  <c r="I723" i="3" s="1"/>
  <c r="H696" i="3"/>
  <c r="I696" i="3" s="1"/>
  <c r="H692" i="3"/>
  <c r="I692" i="3" s="1"/>
  <c r="H670" i="3"/>
  <c r="I670" i="3" s="1"/>
  <c r="H659" i="3"/>
  <c r="I659" i="3" s="1"/>
  <c r="H645" i="3"/>
  <c r="I645" i="3" s="1"/>
  <c r="H641" i="3"/>
  <c r="I641" i="3" s="1"/>
  <c r="H634" i="3"/>
  <c r="I634" i="3" s="1"/>
  <c r="H627" i="3"/>
  <c r="I627" i="3" s="1"/>
  <c r="H598" i="3"/>
  <c r="I598" i="3" s="1"/>
  <c r="H803" i="3"/>
  <c r="I803" i="3" s="1"/>
  <c r="H747" i="3"/>
  <c r="I747" i="3" s="1"/>
  <c r="H713" i="3"/>
  <c r="I713" i="3" s="1"/>
  <c r="H525" i="3"/>
  <c r="I525" i="3" s="1"/>
  <c r="I542" i="3"/>
  <c r="H532" i="3"/>
  <c r="I532" i="3" s="1"/>
  <c r="H563" i="3"/>
  <c r="I563" i="3" s="1"/>
  <c r="H559" i="3"/>
  <c r="I559" i="3" s="1"/>
  <c r="H596" i="3"/>
  <c r="I596" i="3" s="1"/>
  <c r="H592" i="3"/>
  <c r="I592" i="3" s="1"/>
  <c r="H581" i="3"/>
  <c r="I581" i="3" s="1"/>
  <c r="H577" i="3"/>
  <c r="I577" i="3" s="1"/>
  <c r="H573" i="3"/>
  <c r="I573" i="3" s="1"/>
  <c r="H617" i="3"/>
  <c r="I617" i="3" s="1"/>
  <c r="H812" i="3"/>
  <c r="I812" i="3" s="1"/>
  <c r="H798" i="3"/>
  <c r="I798" i="3" s="1"/>
  <c r="H780" i="3"/>
  <c r="I780" i="3" s="1"/>
  <c r="H769" i="3"/>
  <c r="I769" i="3" s="1"/>
  <c r="H756" i="3"/>
  <c r="I756" i="3" s="1"/>
  <c r="H752" i="3"/>
  <c r="I752" i="3" s="1"/>
  <c r="H745" i="3"/>
  <c r="I745" i="3" s="1"/>
  <c r="H738" i="3"/>
  <c r="I738" i="3" s="1"/>
  <c r="H735" i="3"/>
  <c r="I735" i="3" s="1"/>
  <c r="H731" i="3"/>
  <c r="I731" i="3" s="1"/>
  <c r="H727" i="3"/>
  <c r="I727" i="3" s="1"/>
  <c r="H719" i="3"/>
  <c r="I719" i="3" s="1"/>
  <c r="H711" i="3"/>
  <c r="I711" i="3" s="1"/>
  <c r="H708" i="3"/>
  <c r="I708" i="3" s="1"/>
  <c r="H705" i="3"/>
  <c r="I705" i="3" s="1"/>
  <c r="H702" i="3"/>
  <c r="I702" i="3" s="1"/>
  <c r="H699" i="3"/>
  <c r="I699" i="3" s="1"/>
  <c r="H688" i="3"/>
  <c r="I688" i="3" s="1"/>
  <c r="H684" i="3"/>
  <c r="I684" i="3" s="1"/>
  <c r="H680" i="3"/>
  <c r="I680" i="3" s="1"/>
  <c r="H677" i="3"/>
  <c r="I677" i="3" s="1"/>
  <c r="H673" i="3"/>
  <c r="I673" i="3" s="1"/>
  <c r="H663" i="3"/>
  <c r="I663" i="3" s="1"/>
  <c r="H655" i="3"/>
  <c r="I655" i="3" s="1"/>
  <c r="H648" i="3"/>
  <c r="I648" i="3" s="1"/>
  <c r="H637" i="3"/>
  <c r="I637" i="3" s="1"/>
  <c r="H630" i="3"/>
  <c r="I630" i="3" s="1"/>
  <c r="H557" i="3"/>
  <c r="I557" i="3" s="1"/>
  <c r="H575" i="3"/>
  <c r="I575" i="3" s="1"/>
  <c r="H539" i="3"/>
  <c r="I539" i="3" s="1"/>
  <c r="H545" i="3"/>
  <c r="I545" i="3" s="1"/>
  <c r="H548" i="3"/>
  <c r="I548" i="3" s="1"/>
  <c r="H535" i="3"/>
  <c r="I535" i="3" s="1"/>
  <c r="H528" i="3"/>
  <c r="I528" i="3" s="1"/>
  <c r="H524" i="3"/>
  <c r="I524" i="3" s="1"/>
  <c r="H570" i="3"/>
  <c r="I570" i="3" s="1"/>
  <c r="H566" i="3"/>
  <c r="I566" i="3" s="1"/>
  <c r="H588" i="3"/>
  <c r="I588" i="3" s="1"/>
  <c r="H584" i="3"/>
  <c r="I584" i="3" s="1"/>
  <c r="H610" i="3"/>
  <c r="I610" i="3" s="1"/>
  <c r="H606" i="3"/>
  <c r="I606" i="3" s="1"/>
  <c r="H602" i="3"/>
  <c r="I602" i="3" s="1"/>
  <c r="H620" i="3"/>
  <c r="I620" i="3" s="1"/>
  <c r="H808" i="3"/>
  <c r="I808" i="3" s="1"/>
  <c r="H801" i="3"/>
  <c r="I801" i="3" s="1"/>
  <c r="H794" i="3"/>
  <c r="I794" i="3" s="1"/>
  <c r="H787" i="3"/>
  <c r="I787" i="3" s="1"/>
  <c r="H783" i="3"/>
  <c r="I783" i="3" s="1"/>
  <c r="H776" i="3"/>
  <c r="I776" i="3" s="1"/>
  <c r="H772" i="3"/>
  <c r="I772" i="3" s="1"/>
  <c r="H765" i="3"/>
  <c r="I765" i="3" s="1"/>
  <c r="H762" i="3"/>
  <c r="I762" i="3" s="1"/>
  <c r="I759" i="3"/>
  <c r="H748" i="3"/>
  <c r="I748" i="3" s="1"/>
  <c r="H741" i="3"/>
  <c r="I741" i="3" s="1"/>
  <c r="H722" i="3"/>
  <c r="I722" i="3" s="1"/>
  <c r="H695" i="3"/>
  <c r="I695" i="3" s="1"/>
  <c r="H691" i="3"/>
  <c r="I691" i="3" s="1"/>
  <c r="H666" i="3"/>
  <c r="I666" i="3" s="1"/>
  <c r="H658" i="3"/>
  <c r="I658" i="3" s="1"/>
  <c r="H651" i="3"/>
  <c r="I651" i="3" s="1"/>
  <c r="H644" i="3"/>
  <c r="I644" i="3" s="1"/>
  <c r="H640" i="3"/>
  <c r="I640" i="3" s="1"/>
  <c r="H633" i="3"/>
  <c r="I633" i="3" s="1"/>
  <c r="H623" i="3"/>
  <c r="I623" i="3" s="1"/>
  <c r="I540" i="3"/>
  <c r="H594" i="3"/>
  <c r="I594" i="3" s="1"/>
  <c r="H729" i="3"/>
  <c r="I729" i="3" s="1"/>
  <c r="H697" i="3"/>
  <c r="I697" i="3" s="1"/>
  <c r="H536" i="3"/>
  <c r="I536" i="3" s="1"/>
  <c r="H556" i="3"/>
  <c r="I556" i="3" s="1"/>
  <c r="H538" i="3"/>
  <c r="I538" i="3" s="1"/>
  <c r="H562" i="3"/>
  <c r="I562" i="3" s="1"/>
  <c r="H595" i="3"/>
  <c r="I595" i="3" s="1"/>
  <c r="H580" i="3"/>
  <c r="I580" i="3" s="1"/>
  <c r="H576" i="3"/>
  <c r="I576" i="3" s="1"/>
  <c r="H613" i="3"/>
  <c r="I613" i="3" s="1"/>
  <c r="H616" i="3"/>
  <c r="I616" i="3" s="1"/>
  <c r="H811" i="3"/>
  <c r="I811" i="3" s="1"/>
  <c r="H804" i="3"/>
  <c r="I804" i="3" s="1"/>
  <c r="H797" i="3"/>
  <c r="I797" i="3" s="1"/>
  <c r="H790" i="3"/>
  <c r="I790" i="3" s="1"/>
  <c r="H779" i="3"/>
  <c r="I779" i="3" s="1"/>
  <c r="H768" i="3"/>
  <c r="I768" i="3" s="1"/>
  <c r="H755" i="3"/>
  <c r="I755" i="3" s="1"/>
  <c r="H751" i="3"/>
  <c r="I751" i="3" s="1"/>
  <c r="H744" i="3"/>
  <c r="I744" i="3" s="1"/>
  <c r="H734" i="3"/>
  <c r="I734" i="3" s="1"/>
  <c r="H730" i="3"/>
  <c r="I730" i="3" s="1"/>
  <c r="H726" i="3"/>
  <c r="I726" i="3" s="1"/>
  <c r="H718" i="3"/>
  <c r="I718" i="3" s="1"/>
  <c r="H714" i="3"/>
  <c r="I714" i="3" s="1"/>
  <c r="H707" i="3"/>
  <c r="I707" i="3" s="1"/>
  <c r="H698" i="3"/>
  <c r="I698" i="3" s="1"/>
  <c r="H687" i="3"/>
  <c r="I687" i="3" s="1"/>
  <c r="H683" i="3"/>
  <c r="I683" i="3" s="1"/>
  <c r="H676" i="3"/>
  <c r="I676" i="3" s="1"/>
  <c r="H669" i="3"/>
  <c r="I669" i="3" s="1"/>
  <c r="H662" i="3"/>
  <c r="I662" i="3" s="1"/>
  <c r="H654" i="3"/>
  <c r="I654" i="3" s="1"/>
  <c r="H647" i="3"/>
  <c r="I647" i="3" s="1"/>
  <c r="H626" i="3"/>
  <c r="I626" i="3" s="1"/>
  <c r="K349" i="2"/>
  <c r="V6" i="31"/>
  <c r="U213" i="2"/>
  <c r="U209" i="2"/>
  <c r="U229" i="2"/>
  <c r="U225" i="2"/>
  <c r="U223" i="2"/>
  <c r="U224" i="2"/>
  <c r="U215" i="2"/>
  <c r="U218" i="2"/>
  <c r="U221" i="2"/>
  <c r="U219" i="2"/>
  <c r="U228" i="2"/>
  <c r="U220" i="2"/>
  <c r="U210" i="2"/>
  <c r="U222" i="2"/>
  <c r="O20" i="22"/>
  <c r="U189" i="2"/>
  <c r="J125" i="2"/>
  <c r="U125" i="2" s="1"/>
  <c r="A124" i="2"/>
  <c r="C124" i="2"/>
  <c r="A125" i="2"/>
  <c r="C125" i="2"/>
  <c r="A126" i="2"/>
  <c r="C126" i="2"/>
  <c r="A127" i="2"/>
  <c r="C127" i="2"/>
  <c r="A128" i="2"/>
  <c r="C128" i="2"/>
  <c r="A129" i="2"/>
  <c r="C129" i="2"/>
  <c r="A130" i="2"/>
  <c r="C130" i="2"/>
  <c r="A131" i="2"/>
  <c r="C131" i="2"/>
  <c r="A132" i="2"/>
  <c r="C132" i="2"/>
  <c r="A133" i="2"/>
  <c r="C133" i="2"/>
  <c r="A134" i="2"/>
  <c r="C134" i="2"/>
  <c r="A135" i="2"/>
  <c r="C135" i="2"/>
  <c r="A136" i="2"/>
  <c r="C136" i="2"/>
  <c r="A137" i="2"/>
  <c r="C137" i="2"/>
  <c r="A138" i="2"/>
  <c r="C138" i="2"/>
  <c r="F115" i="2"/>
  <c r="U115" i="2" s="1"/>
  <c r="F111" i="2"/>
  <c r="U111" i="2" s="1"/>
  <c r="E108" i="2"/>
  <c r="U108" i="2" s="1"/>
  <c r="C518" i="3"/>
  <c r="C519" i="3"/>
  <c r="C520" i="3"/>
  <c r="C521" i="3"/>
  <c r="A518" i="3"/>
  <c r="G518" i="3"/>
  <c r="A519" i="3"/>
  <c r="G519" i="3"/>
  <c r="A520" i="3"/>
  <c r="G520" i="3"/>
  <c r="A521" i="3"/>
  <c r="G521" i="3"/>
  <c r="A522" i="3"/>
  <c r="C522" i="3"/>
  <c r="G522" i="3"/>
  <c r="C512" i="3"/>
  <c r="C513" i="3"/>
  <c r="C514" i="3"/>
  <c r="C515" i="3"/>
  <c r="C516" i="3"/>
  <c r="C510" i="3"/>
  <c r="C507" i="3"/>
  <c r="C508" i="3"/>
  <c r="C504" i="3"/>
  <c r="C505" i="3"/>
  <c r="C501" i="3"/>
  <c r="C499" i="3"/>
  <c r="C496" i="3"/>
  <c r="C489" i="3"/>
  <c r="C490" i="3"/>
  <c r="C491" i="3"/>
  <c r="C492" i="3"/>
  <c r="C493" i="3"/>
  <c r="C494" i="3"/>
  <c r="C485" i="3"/>
  <c r="C486" i="3"/>
  <c r="C487" i="3"/>
  <c r="C483" i="3"/>
  <c r="C480" i="3"/>
  <c r="C475" i="3"/>
  <c r="C476" i="3"/>
  <c r="C477" i="3"/>
  <c r="C478" i="3"/>
  <c r="C473" i="3"/>
  <c r="A477" i="3"/>
  <c r="G477" i="3"/>
  <c r="A478" i="3"/>
  <c r="G478" i="3"/>
  <c r="A479" i="3"/>
  <c r="C479" i="3"/>
  <c r="G479" i="3"/>
  <c r="A480" i="3"/>
  <c r="G480" i="3"/>
  <c r="A481" i="3"/>
  <c r="C481" i="3"/>
  <c r="G481" i="3"/>
  <c r="A482" i="3"/>
  <c r="C482" i="3"/>
  <c r="G482" i="3"/>
  <c r="A483" i="3"/>
  <c r="G483" i="3"/>
  <c r="A484" i="3"/>
  <c r="C484" i="3"/>
  <c r="G484" i="3"/>
  <c r="A485" i="3"/>
  <c r="G485" i="3"/>
  <c r="A486" i="3"/>
  <c r="G486" i="3"/>
  <c r="A487" i="3"/>
  <c r="G487" i="3"/>
  <c r="A488" i="3"/>
  <c r="C488" i="3"/>
  <c r="G488" i="3"/>
  <c r="A489" i="3"/>
  <c r="G489" i="3"/>
  <c r="A490" i="3"/>
  <c r="G490" i="3"/>
  <c r="A491" i="3"/>
  <c r="G491" i="3"/>
  <c r="A492" i="3"/>
  <c r="G492" i="3"/>
  <c r="A493" i="3"/>
  <c r="G493" i="3"/>
  <c r="A494" i="3"/>
  <c r="G494" i="3"/>
  <c r="A495" i="3"/>
  <c r="C495" i="3"/>
  <c r="G495" i="3"/>
  <c r="A496" i="3"/>
  <c r="G496" i="3"/>
  <c r="A497" i="3"/>
  <c r="C497" i="3"/>
  <c r="G497" i="3"/>
  <c r="A498" i="3"/>
  <c r="C498" i="3"/>
  <c r="G498" i="3"/>
  <c r="A499" i="3"/>
  <c r="G499" i="3"/>
  <c r="A500" i="3"/>
  <c r="C500" i="3"/>
  <c r="G500" i="3"/>
  <c r="A501" i="3"/>
  <c r="G501" i="3"/>
  <c r="A502" i="3"/>
  <c r="C502" i="3"/>
  <c r="G502" i="3"/>
  <c r="A474" i="3"/>
  <c r="C474" i="3"/>
  <c r="G474" i="3"/>
  <c r="A475" i="3"/>
  <c r="G475" i="3"/>
  <c r="A476" i="3"/>
  <c r="G476" i="3"/>
  <c r="A503" i="3"/>
  <c r="C503" i="3"/>
  <c r="G503" i="3"/>
  <c r="A504" i="3"/>
  <c r="G504" i="3"/>
  <c r="A505" i="3"/>
  <c r="G505" i="3"/>
  <c r="A506" i="3"/>
  <c r="C506" i="3"/>
  <c r="G506" i="3"/>
  <c r="A507" i="3"/>
  <c r="G507" i="3"/>
  <c r="A508" i="3"/>
  <c r="G508" i="3"/>
  <c r="A509" i="3"/>
  <c r="C509" i="3"/>
  <c r="G509" i="3"/>
  <c r="A510" i="3"/>
  <c r="G510" i="3"/>
  <c r="A511" i="3"/>
  <c r="C511" i="3"/>
  <c r="G511" i="3"/>
  <c r="A512" i="3"/>
  <c r="G512" i="3"/>
  <c r="A513" i="3"/>
  <c r="G513" i="3"/>
  <c r="A514" i="3"/>
  <c r="G514" i="3"/>
  <c r="A515" i="3"/>
  <c r="G515" i="3"/>
  <c r="A516" i="3"/>
  <c r="G516" i="3"/>
  <c r="A517" i="3"/>
  <c r="C517" i="3"/>
  <c r="G517" i="3"/>
  <c r="A107" i="2"/>
  <c r="C107" i="2"/>
  <c r="A108" i="2"/>
  <c r="C108" i="2"/>
  <c r="A109" i="2"/>
  <c r="C109" i="2"/>
  <c r="A110" i="2"/>
  <c r="C110" i="2"/>
  <c r="A111" i="2"/>
  <c r="C111" i="2"/>
  <c r="A112" i="2"/>
  <c r="C112" i="2"/>
  <c r="A113" i="2"/>
  <c r="C113" i="2"/>
  <c r="A114" i="2"/>
  <c r="C114" i="2"/>
  <c r="A115" i="2"/>
  <c r="C115" i="2"/>
  <c r="A116" i="2"/>
  <c r="C116" i="2"/>
  <c r="A117" i="2"/>
  <c r="C117" i="2"/>
  <c r="A118" i="2"/>
  <c r="C118" i="2"/>
  <c r="A119" i="2"/>
  <c r="C119" i="2"/>
  <c r="A120" i="2"/>
  <c r="C120" i="2"/>
  <c r="A121" i="2"/>
  <c r="C121" i="2"/>
  <c r="A122" i="2"/>
  <c r="C122" i="2"/>
  <c r="A123" i="2"/>
  <c r="C123" i="2"/>
  <c r="C472" i="3"/>
  <c r="C468" i="3"/>
  <c r="C469" i="3"/>
  <c r="C470" i="3"/>
  <c r="C463" i="3"/>
  <c r="C464" i="3"/>
  <c r="C465" i="3"/>
  <c r="C466" i="3"/>
  <c r="A464" i="3"/>
  <c r="G464" i="3"/>
  <c r="A465" i="3"/>
  <c r="G465" i="3"/>
  <c r="A466" i="3"/>
  <c r="G466" i="3"/>
  <c r="A467" i="3"/>
  <c r="C467" i="3"/>
  <c r="G467" i="3"/>
  <c r="A468" i="3"/>
  <c r="G468" i="3"/>
  <c r="A469" i="3"/>
  <c r="G469" i="3"/>
  <c r="A470" i="3"/>
  <c r="G470" i="3"/>
  <c r="A471" i="3"/>
  <c r="C471" i="3"/>
  <c r="G471" i="3"/>
  <c r="A472" i="3"/>
  <c r="G472" i="3"/>
  <c r="C460" i="3"/>
  <c r="C456" i="3"/>
  <c r="C457" i="3"/>
  <c r="C454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34" i="3"/>
  <c r="C435" i="3"/>
  <c r="C436" i="3"/>
  <c r="C437" i="3"/>
  <c r="C438" i="3"/>
  <c r="A434" i="3"/>
  <c r="G434" i="3"/>
  <c r="A435" i="3"/>
  <c r="G435" i="3"/>
  <c r="A436" i="3"/>
  <c r="G436" i="3"/>
  <c r="A437" i="3"/>
  <c r="G437" i="3"/>
  <c r="A438" i="3"/>
  <c r="G438" i="3"/>
  <c r="A439" i="3"/>
  <c r="C439" i="3"/>
  <c r="G439" i="3"/>
  <c r="A440" i="3"/>
  <c r="G440" i="3"/>
  <c r="A441" i="3"/>
  <c r="G441" i="3"/>
  <c r="A442" i="3"/>
  <c r="G442" i="3"/>
  <c r="A443" i="3"/>
  <c r="G443" i="3"/>
  <c r="A444" i="3"/>
  <c r="G444" i="3"/>
  <c r="A445" i="3"/>
  <c r="G445" i="3"/>
  <c r="A446" i="3"/>
  <c r="G446" i="3"/>
  <c r="A447" i="3"/>
  <c r="G447" i="3"/>
  <c r="A448" i="3"/>
  <c r="G448" i="3"/>
  <c r="A449" i="3"/>
  <c r="G449" i="3"/>
  <c r="A450" i="3"/>
  <c r="G450" i="3"/>
  <c r="A451" i="3"/>
  <c r="G451" i="3"/>
  <c r="A452" i="3"/>
  <c r="G452" i="3"/>
  <c r="A453" i="3"/>
  <c r="C453" i="3"/>
  <c r="G453" i="3"/>
  <c r="A454" i="3"/>
  <c r="G454" i="3"/>
  <c r="A455" i="3"/>
  <c r="C455" i="3"/>
  <c r="G455" i="3"/>
  <c r="A456" i="3"/>
  <c r="G456" i="3"/>
  <c r="A457" i="3"/>
  <c r="G457" i="3"/>
  <c r="A458" i="3"/>
  <c r="C458" i="3"/>
  <c r="G458" i="3"/>
  <c r="A459" i="3"/>
  <c r="C459" i="3"/>
  <c r="G459" i="3"/>
  <c r="A460" i="3"/>
  <c r="G460" i="3"/>
  <c r="A461" i="3"/>
  <c r="C461" i="3"/>
  <c r="G461" i="3"/>
  <c r="A462" i="3"/>
  <c r="C462" i="3"/>
  <c r="G462" i="3"/>
  <c r="A463" i="3"/>
  <c r="G463" i="3"/>
  <c r="A473" i="3"/>
  <c r="F100" i="2"/>
  <c r="U100" i="2" s="1"/>
  <c r="A96" i="2"/>
  <c r="C96" i="2"/>
  <c r="A97" i="2"/>
  <c r="C97" i="2"/>
  <c r="A98" i="2"/>
  <c r="C98" i="2"/>
  <c r="A99" i="2"/>
  <c r="C99" i="2"/>
  <c r="A100" i="2"/>
  <c r="C100" i="2"/>
  <c r="A101" i="2"/>
  <c r="C101" i="2"/>
  <c r="A102" i="2"/>
  <c r="C102" i="2"/>
  <c r="A103" i="2"/>
  <c r="C103" i="2"/>
  <c r="A104" i="2"/>
  <c r="C104" i="2"/>
  <c r="A105" i="2"/>
  <c r="C105" i="2"/>
  <c r="A106" i="2"/>
  <c r="C106" i="2"/>
  <c r="C425" i="3"/>
  <c r="C426" i="3"/>
  <c r="C427" i="3"/>
  <c r="C428" i="3"/>
  <c r="C429" i="3"/>
  <c r="C430" i="3"/>
  <c r="C431" i="3"/>
  <c r="C432" i="3"/>
  <c r="C419" i="3"/>
  <c r="C420" i="3"/>
  <c r="C421" i="3"/>
  <c r="C422" i="3"/>
  <c r="C410" i="3"/>
  <c r="C411" i="3"/>
  <c r="C412" i="3"/>
  <c r="C413" i="3"/>
  <c r="C414" i="3"/>
  <c r="C415" i="3"/>
  <c r="C416" i="3"/>
  <c r="C407" i="3"/>
  <c r="C408" i="3"/>
  <c r="C401" i="3"/>
  <c r="C402" i="3"/>
  <c r="C403" i="3"/>
  <c r="C404" i="3"/>
  <c r="C405" i="3"/>
  <c r="A402" i="3"/>
  <c r="G402" i="3"/>
  <c r="A403" i="3"/>
  <c r="G403" i="3"/>
  <c r="A404" i="3"/>
  <c r="G404" i="3"/>
  <c r="A405" i="3"/>
  <c r="G405" i="3"/>
  <c r="A406" i="3"/>
  <c r="C406" i="3"/>
  <c r="G406" i="3"/>
  <c r="A407" i="3"/>
  <c r="G407" i="3"/>
  <c r="A408" i="3"/>
  <c r="G408" i="3"/>
  <c r="A409" i="3"/>
  <c r="C409" i="3"/>
  <c r="G409" i="3"/>
  <c r="A410" i="3"/>
  <c r="G410" i="3"/>
  <c r="A411" i="3"/>
  <c r="G411" i="3"/>
  <c r="A412" i="3"/>
  <c r="G412" i="3"/>
  <c r="A413" i="3"/>
  <c r="G413" i="3"/>
  <c r="A414" i="3"/>
  <c r="G414" i="3"/>
  <c r="A415" i="3"/>
  <c r="G415" i="3"/>
  <c r="A416" i="3"/>
  <c r="G416" i="3"/>
  <c r="A417" i="3"/>
  <c r="C417" i="3"/>
  <c r="G417" i="3"/>
  <c r="A418" i="3"/>
  <c r="C418" i="3"/>
  <c r="G418" i="3"/>
  <c r="A419" i="3"/>
  <c r="G419" i="3"/>
  <c r="A420" i="3"/>
  <c r="G420" i="3"/>
  <c r="A421" i="3"/>
  <c r="G421" i="3"/>
  <c r="A422" i="3"/>
  <c r="G422" i="3"/>
  <c r="A423" i="3"/>
  <c r="C423" i="3"/>
  <c r="G423" i="3"/>
  <c r="A424" i="3"/>
  <c r="C424" i="3"/>
  <c r="G424" i="3"/>
  <c r="A425" i="3"/>
  <c r="G425" i="3"/>
  <c r="A426" i="3"/>
  <c r="G426" i="3"/>
  <c r="A427" i="3"/>
  <c r="G427" i="3"/>
  <c r="A428" i="3"/>
  <c r="G428" i="3"/>
  <c r="A429" i="3"/>
  <c r="G429" i="3"/>
  <c r="A430" i="3"/>
  <c r="G430" i="3"/>
  <c r="A431" i="3"/>
  <c r="G431" i="3"/>
  <c r="A432" i="3"/>
  <c r="G432" i="3"/>
  <c r="A433" i="3"/>
  <c r="C433" i="3"/>
  <c r="G433" i="3"/>
  <c r="A401" i="3"/>
  <c r="G401" i="3"/>
  <c r="E71" i="2"/>
  <c r="J68" i="2"/>
  <c r="J65" i="2"/>
  <c r="U65" i="2" s="1"/>
  <c r="J64" i="2"/>
  <c r="U64" i="2" s="1"/>
  <c r="J87" i="2"/>
  <c r="U87" i="2" s="1"/>
  <c r="E84" i="2"/>
  <c r="J84" i="2"/>
  <c r="E82" i="2"/>
  <c r="J82" i="2"/>
  <c r="E93" i="2"/>
  <c r="U93" i="2" s="1"/>
  <c r="C95" i="2"/>
  <c r="A95" i="2"/>
  <c r="A94" i="2"/>
  <c r="C93" i="2"/>
  <c r="A93" i="2"/>
  <c r="F91" i="2"/>
  <c r="U91" i="2" s="1"/>
  <c r="A91" i="2"/>
  <c r="C91" i="2"/>
  <c r="A92" i="2"/>
  <c r="C92" i="2"/>
  <c r="J88" i="2"/>
  <c r="U88" i="2" s="1"/>
  <c r="J86" i="2"/>
  <c r="U86" i="2" s="1"/>
  <c r="J85" i="2"/>
  <c r="U85" i="2" s="1"/>
  <c r="O79" i="2"/>
  <c r="U79" i="2" s="1"/>
  <c r="E77" i="2"/>
  <c r="U77" i="2" s="1"/>
  <c r="E78" i="2"/>
  <c r="U78" i="2" s="1"/>
  <c r="J75" i="2"/>
  <c r="U75" i="2" s="1"/>
  <c r="J74" i="2"/>
  <c r="U74" i="2" s="1"/>
  <c r="J73" i="2"/>
  <c r="U73" i="2" s="1"/>
  <c r="J72" i="2"/>
  <c r="U72" i="2" s="1"/>
  <c r="J71" i="2"/>
  <c r="I6" i="29" s="1"/>
  <c r="A72" i="2"/>
  <c r="C72" i="2"/>
  <c r="A73" i="2"/>
  <c r="C73" i="2"/>
  <c r="A74" i="2"/>
  <c r="C74" i="2"/>
  <c r="A75" i="2"/>
  <c r="C75" i="2"/>
  <c r="A76" i="2"/>
  <c r="A77" i="2"/>
  <c r="C77" i="2"/>
  <c r="A78" i="2"/>
  <c r="C78" i="2"/>
  <c r="A79" i="2"/>
  <c r="C79" i="2"/>
  <c r="A80" i="2"/>
  <c r="A81" i="2"/>
  <c r="C81" i="2"/>
  <c r="A82" i="2"/>
  <c r="C82" i="2"/>
  <c r="A83" i="2"/>
  <c r="C83" i="2"/>
  <c r="A84" i="2"/>
  <c r="C84" i="2"/>
  <c r="A85" i="2"/>
  <c r="C85" i="2"/>
  <c r="A86" i="2"/>
  <c r="C86" i="2"/>
  <c r="A87" i="2"/>
  <c r="F68" i="2"/>
  <c r="F66" i="2"/>
  <c r="U66" i="2" s="1"/>
  <c r="E53" i="2"/>
  <c r="F61" i="2"/>
  <c r="U61" i="2" s="1"/>
  <c r="F58" i="2"/>
  <c r="U58" i="2" s="1"/>
  <c r="F56" i="2"/>
  <c r="U56" i="2" s="1"/>
  <c r="E55" i="2"/>
  <c r="U55" i="2" s="1"/>
  <c r="J54" i="2"/>
  <c r="U54" i="2" s="1"/>
  <c r="J53" i="2"/>
  <c r="J52" i="2"/>
  <c r="U52" i="2" s="1"/>
  <c r="A53" i="2"/>
  <c r="C53" i="2"/>
  <c r="A54" i="2"/>
  <c r="C54" i="2"/>
  <c r="A55" i="2"/>
  <c r="C55" i="2"/>
  <c r="A56" i="2"/>
  <c r="C56" i="2"/>
  <c r="A57" i="2"/>
  <c r="C57" i="2"/>
  <c r="A58" i="2"/>
  <c r="C58" i="2"/>
  <c r="A59" i="2"/>
  <c r="C59" i="2"/>
  <c r="A60" i="2"/>
  <c r="C60" i="2"/>
  <c r="A61" i="2"/>
  <c r="C61" i="2"/>
  <c r="A62" i="2"/>
  <c r="C62" i="2"/>
  <c r="A63" i="2"/>
  <c r="A64" i="2"/>
  <c r="C64" i="2"/>
  <c r="A65" i="2"/>
  <c r="C65" i="2"/>
  <c r="A66" i="2"/>
  <c r="C66" i="2"/>
  <c r="A67" i="2"/>
  <c r="C67" i="2"/>
  <c r="A68" i="2"/>
  <c r="C68" i="2"/>
  <c r="A69" i="2"/>
  <c r="C69" i="2"/>
  <c r="A70" i="2"/>
  <c r="C70" i="2"/>
  <c r="A71" i="2"/>
  <c r="C71" i="2"/>
  <c r="A88" i="2"/>
  <c r="C88" i="2"/>
  <c r="A89" i="2"/>
  <c r="C89" i="2"/>
  <c r="A90" i="2"/>
  <c r="C90" i="2"/>
  <c r="H423" i="3" l="1"/>
  <c r="I423" i="3" s="1"/>
  <c r="H416" i="3"/>
  <c r="I416" i="3" s="1"/>
  <c r="H451" i="3"/>
  <c r="I451" i="3" s="1"/>
  <c r="H424" i="3"/>
  <c r="I424" i="3" s="1"/>
  <c r="H410" i="3"/>
  <c r="I410" i="3" s="1"/>
  <c r="H431" i="3"/>
  <c r="I431" i="3" s="1"/>
  <c r="H427" i="3"/>
  <c r="I427" i="3" s="1"/>
  <c r="H420" i="3"/>
  <c r="I420" i="3" s="1"/>
  <c r="H413" i="3"/>
  <c r="I413" i="3" s="1"/>
  <c r="H409" i="3"/>
  <c r="I409" i="3" s="1"/>
  <c r="H402" i="3"/>
  <c r="I402" i="3" s="1"/>
  <c r="I455" i="3"/>
  <c r="H452" i="3"/>
  <c r="I452" i="3" s="1"/>
  <c r="H448" i="3"/>
  <c r="I448" i="3" s="1"/>
  <c r="H444" i="3"/>
  <c r="I444" i="3" s="1"/>
  <c r="H440" i="3"/>
  <c r="I440" i="3" s="1"/>
  <c r="H467" i="3"/>
  <c r="I467" i="3" s="1"/>
  <c r="H515" i="3"/>
  <c r="I515" i="3" s="1"/>
  <c r="H511" i="3"/>
  <c r="I511" i="3" s="1"/>
  <c r="H508" i="3"/>
  <c r="I508" i="3" s="1"/>
  <c r="H475" i="3"/>
  <c r="I475" i="3" s="1"/>
  <c r="H501" i="3"/>
  <c r="I501" i="3" s="1"/>
  <c r="H491" i="3"/>
  <c r="I491" i="3" s="1"/>
  <c r="H522" i="3"/>
  <c r="I522" i="3" s="1"/>
  <c r="H461" i="3"/>
  <c r="I461" i="3" s="1"/>
  <c r="H504" i="3"/>
  <c r="I504" i="3" s="1"/>
  <c r="H487" i="3"/>
  <c r="I487" i="3" s="1"/>
  <c r="H477" i="3"/>
  <c r="I477" i="3" s="1"/>
  <c r="H518" i="3"/>
  <c r="I518" i="3" s="1"/>
  <c r="H436" i="3"/>
  <c r="I436" i="3" s="1"/>
  <c r="H447" i="3"/>
  <c r="I447" i="3" s="1"/>
  <c r="H474" i="3"/>
  <c r="I474" i="3" s="1"/>
  <c r="H497" i="3"/>
  <c r="I497" i="3" s="1"/>
  <c r="H490" i="3"/>
  <c r="I490" i="3" s="1"/>
  <c r="H480" i="3"/>
  <c r="I480" i="3" s="1"/>
  <c r="H433" i="3"/>
  <c r="I433" i="3" s="1"/>
  <c r="H454" i="3"/>
  <c r="I454" i="3" s="1"/>
  <c r="H435" i="3"/>
  <c r="I435" i="3" s="1"/>
  <c r="H466" i="3"/>
  <c r="I466" i="3" s="1"/>
  <c r="H517" i="3"/>
  <c r="I517" i="3" s="1"/>
  <c r="H510" i="3"/>
  <c r="I510" i="3" s="1"/>
  <c r="H503" i="3"/>
  <c r="I503" i="3" s="1"/>
  <c r="H486" i="3"/>
  <c r="I486" i="3" s="1"/>
  <c r="H521" i="3"/>
  <c r="I521" i="3" s="1"/>
  <c r="H458" i="3"/>
  <c r="I458" i="3" s="1"/>
  <c r="H419" i="3"/>
  <c r="I419" i="3" s="1"/>
  <c r="H443" i="3"/>
  <c r="I443" i="3" s="1"/>
  <c r="H470" i="3"/>
  <c r="I470" i="3" s="1"/>
  <c r="H514" i="3"/>
  <c r="I514" i="3" s="1"/>
  <c r="H500" i="3"/>
  <c r="I500" i="3" s="1"/>
  <c r="H494" i="3"/>
  <c r="I494" i="3" s="1"/>
  <c r="H483" i="3"/>
  <c r="I483" i="3" s="1"/>
  <c r="H408" i="3"/>
  <c r="I408" i="3" s="1"/>
  <c r="H429" i="3"/>
  <c r="I429" i="3" s="1"/>
  <c r="H425" i="3"/>
  <c r="I425" i="3" s="1"/>
  <c r="H422" i="3"/>
  <c r="I422" i="3" s="1"/>
  <c r="H418" i="3"/>
  <c r="I418" i="3" s="1"/>
  <c r="H415" i="3"/>
  <c r="I415" i="3" s="1"/>
  <c r="H411" i="3"/>
  <c r="I411" i="3" s="1"/>
  <c r="H404" i="3"/>
  <c r="I404" i="3" s="1"/>
  <c r="H463" i="3"/>
  <c r="I463" i="3" s="1"/>
  <c r="H460" i="3"/>
  <c r="I460" i="3" s="1"/>
  <c r="I457" i="3"/>
  <c r="H450" i="3"/>
  <c r="I450" i="3" s="1"/>
  <c r="H446" i="3"/>
  <c r="I446" i="3" s="1"/>
  <c r="H442" i="3"/>
  <c r="I442" i="3" s="1"/>
  <c r="H469" i="3"/>
  <c r="I469" i="3" s="1"/>
  <c r="H513" i="3"/>
  <c r="I513" i="3" s="1"/>
  <c r="H506" i="3"/>
  <c r="I506" i="3" s="1"/>
  <c r="H493" i="3"/>
  <c r="I493" i="3" s="1"/>
  <c r="H489" i="3"/>
  <c r="I489" i="3" s="1"/>
  <c r="H482" i="3"/>
  <c r="I482" i="3" s="1"/>
  <c r="H479" i="3"/>
  <c r="I479" i="3" s="1"/>
  <c r="H430" i="3"/>
  <c r="I430" i="3" s="1"/>
  <c r="H405" i="3"/>
  <c r="I405" i="3" s="1"/>
  <c r="H407" i="3"/>
  <c r="I407" i="3" s="1"/>
  <c r="H453" i="3"/>
  <c r="I453" i="3" s="1"/>
  <c r="H438" i="3"/>
  <c r="I438" i="3" s="1"/>
  <c r="H434" i="3"/>
  <c r="I434" i="3" s="1"/>
  <c r="H472" i="3"/>
  <c r="I472" i="3" s="1"/>
  <c r="H465" i="3"/>
  <c r="I465" i="3" s="1"/>
  <c r="H509" i="3"/>
  <c r="I509" i="3" s="1"/>
  <c r="H502" i="3"/>
  <c r="I502" i="3" s="1"/>
  <c r="H499" i="3"/>
  <c r="I499" i="3" s="1"/>
  <c r="H496" i="3"/>
  <c r="I496" i="3" s="1"/>
  <c r="H485" i="3"/>
  <c r="I485" i="3" s="1"/>
  <c r="H520" i="3"/>
  <c r="I520" i="3" s="1"/>
  <c r="H426" i="3"/>
  <c r="I426" i="3" s="1"/>
  <c r="H439" i="3"/>
  <c r="I439" i="3" s="1"/>
  <c r="H507" i="3"/>
  <c r="I507" i="3" s="1"/>
  <c r="H432" i="3"/>
  <c r="I432" i="3" s="1"/>
  <c r="H421" i="3"/>
  <c r="I421" i="3" s="1"/>
  <c r="H403" i="3"/>
  <c r="I403" i="3" s="1"/>
  <c r="H462" i="3"/>
  <c r="I462" i="3" s="1"/>
  <c r="H459" i="3"/>
  <c r="I459" i="3" s="1"/>
  <c r="I456" i="3"/>
  <c r="H449" i="3"/>
  <c r="I449" i="3" s="1"/>
  <c r="H445" i="3"/>
  <c r="I445" i="3" s="1"/>
  <c r="H441" i="3"/>
  <c r="I441" i="3" s="1"/>
  <c r="H468" i="3"/>
  <c r="I468" i="3" s="1"/>
  <c r="H516" i="3"/>
  <c r="I516" i="3" s="1"/>
  <c r="H512" i="3"/>
  <c r="I512" i="3" s="1"/>
  <c r="H476" i="3"/>
  <c r="I476" i="3" s="1"/>
  <c r="H492" i="3"/>
  <c r="I492" i="3" s="1"/>
  <c r="H488" i="3"/>
  <c r="I488" i="3" s="1"/>
  <c r="H401" i="3"/>
  <c r="I401" i="3" s="1"/>
  <c r="H412" i="3"/>
  <c r="I412" i="3" s="1"/>
  <c r="H428" i="3"/>
  <c r="I428" i="3" s="1"/>
  <c r="H414" i="3"/>
  <c r="I414" i="3" s="1"/>
  <c r="H417" i="3"/>
  <c r="I417" i="3" s="1"/>
  <c r="H406" i="3"/>
  <c r="I406" i="3" s="1"/>
  <c r="H437" i="3"/>
  <c r="I437" i="3" s="1"/>
  <c r="H471" i="3"/>
  <c r="I471" i="3" s="1"/>
  <c r="H464" i="3"/>
  <c r="I464" i="3" s="1"/>
  <c r="H505" i="3"/>
  <c r="I505" i="3" s="1"/>
  <c r="H498" i="3"/>
  <c r="I498" i="3" s="1"/>
  <c r="H495" i="3"/>
  <c r="I495" i="3" s="1"/>
  <c r="H484" i="3"/>
  <c r="I484" i="3" s="1"/>
  <c r="H481" i="3"/>
  <c r="I481" i="3" s="1"/>
  <c r="H478" i="3"/>
  <c r="I478" i="3" s="1"/>
  <c r="H519" i="3"/>
  <c r="I519" i="3" s="1"/>
  <c r="U53" i="2"/>
  <c r="U84" i="2"/>
  <c r="U71" i="2"/>
  <c r="U82" i="2"/>
  <c r="U68" i="2"/>
  <c r="O50" i="2"/>
  <c r="O349" i="2" s="1"/>
  <c r="J49" i="2"/>
  <c r="U49" i="2" s="1"/>
  <c r="J48" i="2"/>
  <c r="C398" i="3"/>
  <c r="C399" i="3"/>
  <c r="C395" i="3"/>
  <c r="C396" i="3"/>
  <c r="C393" i="3"/>
  <c r="C391" i="3"/>
  <c r="C386" i="3"/>
  <c r="C387" i="3"/>
  <c r="C388" i="3"/>
  <c r="C389" i="3"/>
  <c r="E383" i="3"/>
  <c r="G383" i="3" s="1"/>
  <c r="E382" i="3"/>
  <c r="G382" i="3" s="1"/>
  <c r="C383" i="3"/>
  <c r="C384" i="3"/>
  <c r="C381" i="3"/>
  <c r="C377" i="3"/>
  <c r="C378" i="3"/>
  <c r="C379" i="3"/>
  <c r="C373" i="3"/>
  <c r="C374" i="3"/>
  <c r="C375" i="3"/>
  <c r="C370" i="3"/>
  <c r="C371" i="3"/>
  <c r="C366" i="3"/>
  <c r="C367" i="3"/>
  <c r="C368" i="3"/>
  <c r="C363" i="3"/>
  <c r="C362" i="3"/>
  <c r="C360" i="3"/>
  <c r="C361" i="3"/>
  <c r="A360" i="3"/>
  <c r="G360" i="3"/>
  <c r="A361" i="3"/>
  <c r="G361" i="3"/>
  <c r="A362" i="3"/>
  <c r="A363" i="3"/>
  <c r="A364" i="3"/>
  <c r="C364" i="3"/>
  <c r="A365" i="3"/>
  <c r="C365" i="3"/>
  <c r="G365" i="3"/>
  <c r="A366" i="3"/>
  <c r="G366" i="3"/>
  <c r="A367" i="3"/>
  <c r="G367" i="3"/>
  <c r="A368" i="3"/>
  <c r="G368" i="3"/>
  <c r="A369" i="3"/>
  <c r="C369" i="3"/>
  <c r="G369" i="3"/>
  <c r="A370" i="3"/>
  <c r="G370" i="3"/>
  <c r="A371" i="3"/>
  <c r="G371" i="3"/>
  <c r="A372" i="3"/>
  <c r="C372" i="3"/>
  <c r="G372" i="3"/>
  <c r="A373" i="3"/>
  <c r="G373" i="3"/>
  <c r="A374" i="3"/>
  <c r="G374" i="3"/>
  <c r="A375" i="3"/>
  <c r="G375" i="3"/>
  <c r="A376" i="3"/>
  <c r="C376" i="3"/>
  <c r="G376" i="3"/>
  <c r="A377" i="3"/>
  <c r="G377" i="3"/>
  <c r="A378" i="3"/>
  <c r="G378" i="3"/>
  <c r="A379" i="3"/>
  <c r="G379" i="3"/>
  <c r="A380" i="3"/>
  <c r="C380" i="3"/>
  <c r="G380" i="3"/>
  <c r="A381" i="3"/>
  <c r="G381" i="3"/>
  <c r="A382" i="3"/>
  <c r="C382" i="3"/>
  <c r="A383" i="3"/>
  <c r="A384" i="3"/>
  <c r="G384" i="3"/>
  <c r="A385" i="3"/>
  <c r="C385" i="3"/>
  <c r="G385" i="3"/>
  <c r="A386" i="3"/>
  <c r="G386" i="3"/>
  <c r="A387" i="3"/>
  <c r="G387" i="3"/>
  <c r="A388" i="3"/>
  <c r="G388" i="3"/>
  <c r="A389" i="3"/>
  <c r="G389" i="3"/>
  <c r="A390" i="3"/>
  <c r="C390" i="3"/>
  <c r="G390" i="3"/>
  <c r="A391" i="3"/>
  <c r="G391" i="3"/>
  <c r="A392" i="3"/>
  <c r="C392" i="3"/>
  <c r="G392" i="3"/>
  <c r="A393" i="3"/>
  <c r="G393" i="3"/>
  <c r="A394" i="3"/>
  <c r="C394" i="3"/>
  <c r="G394" i="3"/>
  <c r="A395" i="3"/>
  <c r="G395" i="3"/>
  <c r="A396" i="3"/>
  <c r="G396" i="3"/>
  <c r="A397" i="3"/>
  <c r="C397" i="3"/>
  <c r="G397" i="3"/>
  <c r="A398" i="3"/>
  <c r="G398" i="3"/>
  <c r="A399" i="3"/>
  <c r="G399" i="3"/>
  <c r="A400" i="3"/>
  <c r="C400" i="3"/>
  <c r="G400" i="3"/>
  <c r="A359" i="3"/>
  <c r="C359" i="3"/>
  <c r="G359" i="3"/>
  <c r="C356" i="3"/>
  <c r="C357" i="3"/>
  <c r="C358" i="3"/>
  <c r="C351" i="3"/>
  <c r="C352" i="3"/>
  <c r="C353" i="3"/>
  <c r="C354" i="3"/>
  <c r="C342" i="3"/>
  <c r="C343" i="3"/>
  <c r="C344" i="3"/>
  <c r="C345" i="3"/>
  <c r="C346" i="3"/>
  <c r="C347" i="3"/>
  <c r="C348" i="3"/>
  <c r="C349" i="3"/>
  <c r="C338" i="3"/>
  <c r="C339" i="3"/>
  <c r="C335" i="3"/>
  <c r="C336" i="3"/>
  <c r="C333" i="3"/>
  <c r="C330" i="3"/>
  <c r="C331" i="3"/>
  <c r="A330" i="3"/>
  <c r="G330" i="3"/>
  <c r="A331" i="3"/>
  <c r="G331" i="3"/>
  <c r="A332" i="3"/>
  <c r="C332" i="3"/>
  <c r="G332" i="3"/>
  <c r="A333" i="3"/>
  <c r="G333" i="3"/>
  <c r="A334" i="3"/>
  <c r="C334" i="3"/>
  <c r="G334" i="3"/>
  <c r="A335" i="3"/>
  <c r="G335" i="3"/>
  <c r="A336" i="3"/>
  <c r="G336" i="3"/>
  <c r="A337" i="3"/>
  <c r="C337" i="3"/>
  <c r="G337" i="3"/>
  <c r="A338" i="3"/>
  <c r="G338" i="3"/>
  <c r="A339" i="3"/>
  <c r="G339" i="3"/>
  <c r="A340" i="3"/>
  <c r="C340" i="3"/>
  <c r="G340" i="3"/>
  <c r="A341" i="3"/>
  <c r="C341" i="3"/>
  <c r="G341" i="3"/>
  <c r="A342" i="3"/>
  <c r="G342" i="3"/>
  <c r="G329" i="3"/>
  <c r="C329" i="3"/>
  <c r="A329" i="3"/>
  <c r="C322" i="3"/>
  <c r="C323" i="3"/>
  <c r="C324" i="3"/>
  <c r="C325" i="3"/>
  <c r="C326" i="3"/>
  <c r="C327" i="3"/>
  <c r="C328" i="3"/>
  <c r="C317" i="3"/>
  <c r="C318" i="3"/>
  <c r="C319" i="3"/>
  <c r="C320" i="3"/>
  <c r="C306" i="3"/>
  <c r="C307" i="3"/>
  <c r="C308" i="3"/>
  <c r="C309" i="3"/>
  <c r="C310" i="3"/>
  <c r="C311" i="3"/>
  <c r="C312" i="3"/>
  <c r="C313" i="3"/>
  <c r="C314" i="3"/>
  <c r="C315" i="3"/>
  <c r="C300" i="3"/>
  <c r="C301" i="3"/>
  <c r="C302" i="3"/>
  <c r="C303" i="3"/>
  <c r="C294" i="3"/>
  <c r="C295" i="3"/>
  <c r="C296" i="3"/>
  <c r="C297" i="3"/>
  <c r="C298" i="3"/>
  <c r="C287" i="3"/>
  <c r="C288" i="3"/>
  <c r="C289" i="3"/>
  <c r="C290" i="3"/>
  <c r="C291" i="3"/>
  <c r="C292" i="3"/>
  <c r="C282" i="3"/>
  <c r="C283" i="3"/>
  <c r="C284" i="3"/>
  <c r="C285" i="3"/>
  <c r="C276" i="3"/>
  <c r="C277" i="3"/>
  <c r="C278" i="3"/>
  <c r="C279" i="3"/>
  <c r="C280" i="3"/>
  <c r="C271" i="3"/>
  <c r="C272" i="3"/>
  <c r="C273" i="3"/>
  <c r="C274" i="3"/>
  <c r="C265" i="3"/>
  <c r="C266" i="3"/>
  <c r="C267" i="3"/>
  <c r="C268" i="3"/>
  <c r="C269" i="3"/>
  <c r="C259" i="3"/>
  <c r="C260" i="3"/>
  <c r="C261" i="3"/>
  <c r="C262" i="3"/>
  <c r="C263" i="3"/>
  <c r="C255" i="3"/>
  <c r="C256" i="3"/>
  <c r="C257" i="3"/>
  <c r="C250" i="3"/>
  <c r="C251" i="3"/>
  <c r="C252" i="3"/>
  <c r="C253" i="3"/>
  <c r="C246" i="3"/>
  <c r="C247" i="3"/>
  <c r="C248" i="3"/>
  <c r="C249" i="3"/>
  <c r="C241" i="3"/>
  <c r="C242" i="3"/>
  <c r="C243" i="3"/>
  <c r="C244" i="3"/>
  <c r="C239" i="3"/>
  <c r="C231" i="3"/>
  <c r="C232" i="3"/>
  <c r="C233" i="3"/>
  <c r="C234" i="3"/>
  <c r="C235" i="3"/>
  <c r="C227" i="3"/>
  <c r="C225" i="3"/>
  <c r="C222" i="3"/>
  <c r="C216" i="3"/>
  <c r="C217" i="3"/>
  <c r="C218" i="3"/>
  <c r="C219" i="3"/>
  <c r="C220" i="3"/>
  <c r="C214" i="3"/>
  <c r="C212" i="3"/>
  <c r="C206" i="3"/>
  <c r="C207" i="3"/>
  <c r="C208" i="3"/>
  <c r="C202" i="3"/>
  <c r="C203" i="3"/>
  <c r="C204" i="3"/>
  <c r="A197" i="3"/>
  <c r="C197" i="3"/>
  <c r="A198" i="3"/>
  <c r="C198" i="3"/>
  <c r="A199" i="3"/>
  <c r="C199" i="3"/>
  <c r="C192" i="3"/>
  <c r="C193" i="3"/>
  <c r="C194" i="3"/>
  <c r="C195" i="3"/>
  <c r="C184" i="3"/>
  <c r="C185" i="3"/>
  <c r="C186" i="3"/>
  <c r="C187" i="3"/>
  <c r="C188" i="3"/>
  <c r="C189" i="3"/>
  <c r="C190" i="3"/>
  <c r="C181" i="3"/>
  <c r="C182" i="3"/>
  <c r="C174" i="3"/>
  <c r="C175" i="3"/>
  <c r="C176" i="3"/>
  <c r="C177" i="3"/>
  <c r="C178" i="3"/>
  <c r="C179" i="3"/>
  <c r="C172" i="3"/>
  <c r="C167" i="3"/>
  <c r="C168" i="3"/>
  <c r="C169" i="3"/>
  <c r="C170" i="3"/>
  <c r="C160" i="3"/>
  <c r="C161" i="3"/>
  <c r="C162" i="3"/>
  <c r="C163" i="3"/>
  <c r="C164" i="3"/>
  <c r="C165" i="3"/>
  <c r="C155" i="3"/>
  <c r="C156" i="3"/>
  <c r="C157" i="3"/>
  <c r="C158" i="3"/>
  <c r="A155" i="3"/>
  <c r="G155" i="3"/>
  <c r="A156" i="3"/>
  <c r="G156" i="3"/>
  <c r="A157" i="3"/>
  <c r="G157" i="3"/>
  <c r="A158" i="3"/>
  <c r="G158" i="3"/>
  <c r="A159" i="3"/>
  <c r="C159" i="3"/>
  <c r="G159" i="3"/>
  <c r="A160" i="3"/>
  <c r="G160" i="3"/>
  <c r="A161" i="3"/>
  <c r="G161" i="3"/>
  <c r="A162" i="3"/>
  <c r="G162" i="3"/>
  <c r="A163" i="3"/>
  <c r="G163" i="3"/>
  <c r="A164" i="3"/>
  <c r="G164" i="3"/>
  <c r="A165" i="3"/>
  <c r="G165" i="3"/>
  <c r="A166" i="3"/>
  <c r="C166" i="3"/>
  <c r="G166" i="3"/>
  <c r="A167" i="3"/>
  <c r="G167" i="3"/>
  <c r="A168" i="3"/>
  <c r="G168" i="3"/>
  <c r="A169" i="3"/>
  <c r="G169" i="3"/>
  <c r="A170" i="3"/>
  <c r="G170" i="3"/>
  <c r="A171" i="3"/>
  <c r="C171" i="3"/>
  <c r="G171" i="3"/>
  <c r="A172" i="3"/>
  <c r="G172" i="3"/>
  <c r="A173" i="3"/>
  <c r="C173" i="3"/>
  <c r="G173" i="3"/>
  <c r="A174" i="3"/>
  <c r="G174" i="3"/>
  <c r="A175" i="3"/>
  <c r="G175" i="3"/>
  <c r="A176" i="3"/>
  <c r="G176" i="3"/>
  <c r="A177" i="3"/>
  <c r="G177" i="3"/>
  <c r="A178" i="3"/>
  <c r="G178" i="3"/>
  <c r="A179" i="3"/>
  <c r="G179" i="3"/>
  <c r="A180" i="3"/>
  <c r="C180" i="3"/>
  <c r="G180" i="3"/>
  <c r="A181" i="3"/>
  <c r="G181" i="3"/>
  <c r="A182" i="3"/>
  <c r="G182" i="3"/>
  <c r="A183" i="3"/>
  <c r="C183" i="3"/>
  <c r="G183" i="3"/>
  <c r="A184" i="3"/>
  <c r="G184" i="3"/>
  <c r="A185" i="3"/>
  <c r="G185" i="3"/>
  <c r="A186" i="3"/>
  <c r="G186" i="3"/>
  <c r="A187" i="3"/>
  <c r="G187" i="3"/>
  <c r="A188" i="3"/>
  <c r="G188" i="3"/>
  <c r="A189" i="3"/>
  <c r="G189" i="3"/>
  <c r="A190" i="3"/>
  <c r="G190" i="3"/>
  <c r="A191" i="3"/>
  <c r="C191" i="3"/>
  <c r="G191" i="3"/>
  <c r="A192" i="3"/>
  <c r="A193" i="3"/>
  <c r="G193" i="3"/>
  <c r="A194" i="3"/>
  <c r="G194" i="3"/>
  <c r="A195" i="3"/>
  <c r="G195" i="3"/>
  <c r="A196" i="3"/>
  <c r="C196" i="3"/>
  <c r="G196" i="3"/>
  <c r="G197" i="3"/>
  <c r="G198" i="3"/>
  <c r="G199" i="3"/>
  <c r="A200" i="3"/>
  <c r="C200" i="3"/>
  <c r="G200" i="3"/>
  <c r="A201" i="3"/>
  <c r="C201" i="3"/>
  <c r="G201" i="3"/>
  <c r="A202" i="3"/>
  <c r="G202" i="3"/>
  <c r="A203" i="3"/>
  <c r="G203" i="3"/>
  <c r="A204" i="3"/>
  <c r="G204" i="3"/>
  <c r="A205" i="3"/>
  <c r="C205" i="3"/>
  <c r="G205" i="3"/>
  <c r="A206" i="3"/>
  <c r="G206" i="3"/>
  <c r="A207" i="3"/>
  <c r="G207" i="3"/>
  <c r="A208" i="3"/>
  <c r="G208" i="3"/>
  <c r="A209" i="3"/>
  <c r="C209" i="3"/>
  <c r="G209" i="3"/>
  <c r="A210" i="3"/>
  <c r="C210" i="3"/>
  <c r="G210" i="3"/>
  <c r="A211" i="3"/>
  <c r="C211" i="3"/>
  <c r="G211" i="3"/>
  <c r="A212" i="3"/>
  <c r="G212" i="3"/>
  <c r="A213" i="3"/>
  <c r="C213" i="3"/>
  <c r="G213" i="3"/>
  <c r="A214" i="3"/>
  <c r="G214" i="3"/>
  <c r="A215" i="3"/>
  <c r="C215" i="3"/>
  <c r="G215" i="3"/>
  <c r="A216" i="3"/>
  <c r="G216" i="3"/>
  <c r="A217" i="3"/>
  <c r="G217" i="3"/>
  <c r="A218" i="3"/>
  <c r="G218" i="3"/>
  <c r="A219" i="3"/>
  <c r="G219" i="3"/>
  <c r="A220" i="3"/>
  <c r="G220" i="3"/>
  <c r="A221" i="3"/>
  <c r="C221" i="3"/>
  <c r="G221" i="3"/>
  <c r="A222" i="3"/>
  <c r="G222" i="3"/>
  <c r="A223" i="3"/>
  <c r="C223" i="3"/>
  <c r="G223" i="3"/>
  <c r="A224" i="3"/>
  <c r="C224" i="3"/>
  <c r="G224" i="3"/>
  <c r="A225" i="3"/>
  <c r="G225" i="3"/>
  <c r="A226" i="3"/>
  <c r="C226" i="3"/>
  <c r="G226" i="3"/>
  <c r="A227" i="3"/>
  <c r="G227" i="3"/>
  <c r="A228" i="3"/>
  <c r="C228" i="3"/>
  <c r="G228" i="3"/>
  <c r="A229" i="3"/>
  <c r="C229" i="3"/>
  <c r="G229" i="3"/>
  <c r="A230" i="3"/>
  <c r="C230" i="3"/>
  <c r="G230" i="3"/>
  <c r="A231" i="3"/>
  <c r="G231" i="3"/>
  <c r="A232" i="3"/>
  <c r="G232" i="3"/>
  <c r="A233" i="3"/>
  <c r="G233" i="3"/>
  <c r="A234" i="3"/>
  <c r="G234" i="3"/>
  <c r="A235" i="3"/>
  <c r="G235" i="3"/>
  <c r="A236" i="3"/>
  <c r="C236" i="3"/>
  <c r="G236" i="3"/>
  <c r="A237" i="3"/>
  <c r="C237" i="3"/>
  <c r="G237" i="3"/>
  <c r="A238" i="3"/>
  <c r="C238" i="3"/>
  <c r="G238" i="3"/>
  <c r="A239" i="3"/>
  <c r="G239" i="3"/>
  <c r="A240" i="3"/>
  <c r="C240" i="3"/>
  <c r="G240" i="3"/>
  <c r="A241" i="3"/>
  <c r="G241" i="3"/>
  <c r="A242" i="3"/>
  <c r="G242" i="3"/>
  <c r="A243" i="3"/>
  <c r="G243" i="3"/>
  <c r="A244" i="3"/>
  <c r="G244" i="3"/>
  <c r="A245" i="3"/>
  <c r="C245" i="3"/>
  <c r="G245" i="3"/>
  <c r="A246" i="3"/>
  <c r="G246" i="3"/>
  <c r="A247" i="3"/>
  <c r="G247" i="3"/>
  <c r="A248" i="3"/>
  <c r="G248" i="3"/>
  <c r="A249" i="3"/>
  <c r="G249" i="3"/>
  <c r="A250" i="3"/>
  <c r="G250" i="3"/>
  <c r="A251" i="3"/>
  <c r="G251" i="3"/>
  <c r="A252" i="3"/>
  <c r="G252" i="3"/>
  <c r="A253" i="3"/>
  <c r="G253" i="3"/>
  <c r="A254" i="3"/>
  <c r="C254" i="3"/>
  <c r="G254" i="3"/>
  <c r="A255" i="3"/>
  <c r="G255" i="3"/>
  <c r="A256" i="3"/>
  <c r="G256" i="3"/>
  <c r="A257" i="3"/>
  <c r="G257" i="3"/>
  <c r="A258" i="3"/>
  <c r="C258" i="3"/>
  <c r="G258" i="3"/>
  <c r="A259" i="3"/>
  <c r="G259" i="3"/>
  <c r="A260" i="3"/>
  <c r="G260" i="3"/>
  <c r="A261" i="3"/>
  <c r="G261" i="3"/>
  <c r="A262" i="3"/>
  <c r="G262" i="3"/>
  <c r="A263" i="3"/>
  <c r="G263" i="3"/>
  <c r="A264" i="3"/>
  <c r="C264" i="3"/>
  <c r="G264" i="3"/>
  <c r="A265" i="3"/>
  <c r="G265" i="3"/>
  <c r="A266" i="3"/>
  <c r="G266" i="3"/>
  <c r="A267" i="3"/>
  <c r="G267" i="3"/>
  <c r="A268" i="3"/>
  <c r="G268" i="3"/>
  <c r="A269" i="3"/>
  <c r="G269" i="3"/>
  <c r="A270" i="3"/>
  <c r="C270" i="3"/>
  <c r="G270" i="3"/>
  <c r="A271" i="3"/>
  <c r="G271" i="3"/>
  <c r="A272" i="3"/>
  <c r="G272" i="3"/>
  <c r="A273" i="3"/>
  <c r="G273" i="3"/>
  <c r="A274" i="3"/>
  <c r="G274" i="3"/>
  <c r="A275" i="3"/>
  <c r="C275" i="3"/>
  <c r="G275" i="3"/>
  <c r="A276" i="3"/>
  <c r="G276" i="3"/>
  <c r="A277" i="3"/>
  <c r="G277" i="3"/>
  <c r="A278" i="3"/>
  <c r="G278" i="3"/>
  <c r="A279" i="3"/>
  <c r="G279" i="3"/>
  <c r="A280" i="3"/>
  <c r="G280" i="3"/>
  <c r="A281" i="3"/>
  <c r="C281" i="3"/>
  <c r="G281" i="3"/>
  <c r="A282" i="3"/>
  <c r="G282" i="3"/>
  <c r="A283" i="3"/>
  <c r="G283" i="3"/>
  <c r="A284" i="3"/>
  <c r="G284" i="3"/>
  <c r="A285" i="3"/>
  <c r="G285" i="3"/>
  <c r="A286" i="3"/>
  <c r="C286" i="3"/>
  <c r="G286" i="3"/>
  <c r="A287" i="3"/>
  <c r="G287" i="3"/>
  <c r="A288" i="3"/>
  <c r="G288" i="3"/>
  <c r="A289" i="3"/>
  <c r="G289" i="3"/>
  <c r="A290" i="3"/>
  <c r="G290" i="3"/>
  <c r="A291" i="3"/>
  <c r="G291" i="3"/>
  <c r="A292" i="3"/>
  <c r="G292" i="3"/>
  <c r="A293" i="3"/>
  <c r="C293" i="3"/>
  <c r="G293" i="3"/>
  <c r="A294" i="3"/>
  <c r="G294" i="3"/>
  <c r="A295" i="3"/>
  <c r="G295" i="3"/>
  <c r="A296" i="3"/>
  <c r="G296" i="3"/>
  <c r="A297" i="3"/>
  <c r="G297" i="3"/>
  <c r="A298" i="3"/>
  <c r="G298" i="3"/>
  <c r="A299" i="3"/>
  <c r="C299" i="3"/>
  <c r="G299" i="3"/>
  <c r="A300" i="3"/>
  <c r="G300" i="3"/>
  <c r="A301" i="3"/>
  <c r="G301" i="3"/>
  <c r="A302" i="3"/>
  <c r="G302" i="3"/>
  <c r="A303" i="3"/>
  <c r="G303" i="3"/>
  <c r="A304" i="3"/>
  <c r="C304" i="3"/>
  <c r="G304" i="3"/>
  <c r="A305" i="3"/>
  <c r="C305" i="3"/>
  <c r="G305" i="3"/>
  <c r="A306" i="3"/>
  <c r="G306" i="3"/>
  <c r="A307" i="3"/>
  <c r="G307" i="3"/>
  <c r="A308" i="3"/>
  <c r="G308" i="3"/>
  <c r="A309" i="3"/>
  <c r="G309" i="3"/>
  <c r="A310" i="3"/>
  <c r="G310" i="3"/>
  <c r="A311" i="3"/>
  <c r="G311" i="3"/>
  <c r="A312" i="3"/>
  <c r="G312" i="3"/>
  <c r="A313" i="3"/>
  <c r="G313" i="3"/>
  <c r="A314" i="3"/>
  <c r="G314" i="3"/>
  <c r="A315" i="3"/>
  <c r="G315" i="3"/>
  <c r="A316" i="3"/>
  <c r="C316" i="3"/>
  <c r="G316" i="3"/>
  <c r="A317" i="3"/>
  <c r="G317" i="3"/>
  <c r="A318" i="3"/>
  <c r="G318" i="3"/>
  <c r="A319" i="3"/>
  <c r="G319" i="3"/>
  <c r="A320" i="3"/>
  <c r="G320" i="3"/>
  <c r="A321" i="3"/>
  <c r="C321" i="3"/>
  <c r="G321" i="3"/>
  <c r="A322" i="3"/>
  <c r="G322" i="3"/>
  <c r="A323" i="3"/>
  <c r="G323" i="3"/>
  <c r="A324" i="3"/>
  <c r="G324" i="3"/>
  <c r="A325" i="3"/>
  <c r="G325" i="3"/>
  <c r="A326" i="3"/>
  <c r="G326" i="3"/>
  <c r="A327" i="3"/>
  <c r="G327" i="3"/>
  <c r="A328" i="3"/>
  <c r="G328" i="3"/>
  <c r="A343" i="3"/>
  <c r="G343" i="3"/>
  <c r="A344" i="3"/>
  <c r="G344" i="3"/>
  <c r="A345" i="3"/>
  <c r="G345" i="3"/>
  <c r="A346" i="3"/>
  <c r="G346" i="3"/>
  <c r="A347" i="3"/>
  <c r="G347" i="3"/>
  <c r="A348" i="3"/>
  <c r="G348" i="3"/>
  <c r="A349" i="3"/>
  <c r="G349" i="3"/>
  <c r="A350" i="3"/>
  <c r="C350" i="3"/>
  <c r="G350" i="3"/>
  <c r="A351" i="3"/>
  <c r="G351" i="3"/>
  <c r="A352" i="3"/>
  <c r="G352" i="3"/>
  <c r="A353" i="3"/>
  <c r="G353" i="3"/>
  <c r="A354" i="3"/>
  <c r="G354" i="3"/>
  <c r="A355" i="3"/>
  <c r="C355" i="3"/>
  <c r="G355" i="3"/>
  <c r="A356" i="3"/>
  <c r="G356" i="3"/>
  <c r="A357" i="3"/>
  <c r="G357" i="3"/>
  <c r="A358" i="3"/>
  <c r="G358" i="3"/>
  <c r="A37" i="2"/>
  <c r="C37" i="2"/>
  <c r="A38" i="2"/>
  <c r="C38" i="2"/>
  <c r="A39" i="2"/>
  <c r="C39" i="2"/>
  <c r="A40" i="2"/>
  <c r="C40" i="2"/>
  <c r="A41" i="2"/>
  <c r="C41" i="2"/>
  <c r="A42" i="2"/>
  <c r="C42" i="2"/>
  <c r="A43" i="2"/>
  <c r="C43" i="2"/>
  <c r="A44" i="2"/>
  <c r="C44" i="2"/>
  <c r="A45" i="2"/>
  <c r="C45" i="2"/>
  <c r="A46" i="2"/>
  <c r="C46" i="2"/>
  <c r="A47" i="2"/>
  <c r="C47" i="2"/>
  <c r="A48" i="2"/>
  <c r="C48" i="2"/>
  <c r="A49" i="2"/>
  <c r="C49" i="2"/>
  <c r="A50" i="2"/>
  <c r="C50" i="2"/>
  <c r="A51" i="2"/>
  <c r="C51" i="2"/>
  <c r="A52" i="2"/>
  <c r="C52" i="2"/>
  <c r="F33" i="2"/>
  <c r="U33" i="2" s="1"/>
  <c r="F32" i="2"/>
  <c r="U32" i="2" s="1"/>
  <c r="F30" i="2"/>
  <c r="U30" i="2" s="1"/>
  <c r="C151" i="3"/>
  <c r="C152" i="3"/>
  <c r="C153" i="3"/>
  <c r="C149" i="3"/>
  <c r="C143" i="3"/>
  <c r="C144" i="3"/>
  <c r="C145" i="3"/>
  <c r="C146" i="3"/>
  <c r="C147" i="3"/>
  <c r="C141" i="3"/>
  <c r="C138" i="3"/>
  <c r="C139" i="3"/>
  <c r="C134" i="3"/>
  <c r="C135" i="3"/>
  <c r="C136" i="3"/>
  <c r="A135" i="3"/>
  <c r="G135" i="3"/>
  <c r="A136" i="3"/>
  <c r="G136" i="3"/>
  <c r="A137" i="3"/>
  <c r="C137" i="3"/>
  <c r="G137" i="3"/>
  <c r="A138" i="3"/>
  <c r="G138" i="3"/>
  <c r="A139" i="3"/>
  <c r="G139" i="3"/>
  <c r="A140" i="3"/>
  <c r="C140" i="3"/>
  <c r="G140" i="3"/>
  <c r="A141" i="3"/>
  <c r="G141" i="3"/>
  <c r="A142" i="3"/>
  <c r="C142" i="3"/>
  <c r="G142" i="3"/>
  <c r="A143" i="3"/>
  <c r="G143" i="3"/>
  <c r="A144" i="3"/>
  <c r="G144" i="3"/>
  <c r="A145" i="3"/>
  <c r="G145" i="3"/>
  <c r="A146" i="3"/>
  <c r="G146" i="3"/>
  <c r="A147" i="3"/>
  <c r="G147" i="3"/>
  <c r="A148" i="3"/>
  <c r="C148" i="3"/>
  <c r="G148" i="3"/>
  <c r="A149" i="3"/>
  <c r="G149" i="3"/>
  <c r="A150" i="3"/>
  <c r="C150" i="3"/>
  <c r="G150" i="3"/>
  <c r="A151" i="3"/>
  <c r="G151" i="3"/>
  <c r="A152" i="3"/>
  <c r="G152" i="3"/>
  <c r="A153" i="3"/>
  <c r="G153" i="3"/>
  <c r="C130" i="3"/>
  <c r="C131" i="3"/>
  <c r="C132" i="3"/>
  <c r="C120" i="3"/>
  <c r="C121" i="3"/>
  <c r="C122" i="3"/>
  <c r="C123" i="3"/>
  <c r="C124" i="3"/>
  <c r="C125" i="3"/>
  <c r="C126" i="3"/>
  <c r="C127" i="3"/>
  <c r="C128" i="3"/>
  <c r="C112" i="3"/>
  <c r="C113" i="3"/>
  <c r="C114" i="3"/>
  <c r="C115" i="3"/>
  <c r="C116" i="3"/>
  <c r="C117" i="3"/>
  <c r="C118" i="3"/>
  <c r="A112" i="3"/>
  <c r="G112" i="3"/>
  <c r="A113" i="3"/>
  <c r="G113" i="3"/>
  <c r="A114" i="3"/>
  <c r="G114" i="3"/>
  <c r="A115" i="3"/>
  <c r="G115" i="3"/>
  <c r="A116" i="3"/>
  <c r="G116" i="3"/>
  <c r="A117" i="3"/>
  <c r="G117" i="3"/>
  <c r="A118" i="3"/>
  <c r="G118" i="3"/>
  <c r="A119" i="3"/>
  <c r="C119" i="3"/>
  <c r="G119" i="3"/>
  <c r="A120" i="3"/>
  <c r="G120" i="3"/>
  <c r="A121" i="3"/>
  <c r="G121" i="3"/>
  <c r="A122" i="3"/>
  <c r="G122" i="3"/>
  <c r="A123" i="3"/>
  <c r="G123" i="3"/>
  <c r="A124" i="3"/>
  <c r="G124" i="3"/>
  <c r="A125" i="3"/>
  <c r="G125" i="3"/>
  <c r="A126" i="3"/>
  <c r="G126" i="3"/>
  <c r="A127" i="3"/>
  <c r="G127" i="3"/>
  <c r="A128" i="3"/>
  <c r="G128" i="3"/>
  <c r="A129" i="3"/>
  <c r="C129" i="3"/>
  <c r="G129" i="3"/>
  <c r="A130" i="3"/>
  <c r="G130" i="3"/>
  <c r="A131" i="3"/>
  <c r="G131" i="3"/>
  <c r="A132" i="3"/>
  <c r="G132" i="3"/>
  <c r="A133" i="3"/>
  <c r="C133" i="3"/>
  <c r="G133" i="3"/>
  <c r="A134" i="3"/>
  <c r="G134" i="3"/>
  <c r="A154" i="3"/>
  <c r="C154" i="3"/>
  <c r="G154" i="3"/>
  <c r="F28" i="5"/>
  <c r="J123" i="22"/>
  <c r="K123" i="22"/>
  <c r="L123" i="22"/>
  <c r="M123" i="22"/>
  <c r="N123" i="22"/>
  <c r="H143" i="3" l="1"/>
  <c r="I143" i="3" s="1"/>
  <c r="H350" i="3"/>
  <c r="I350" i="3" s="1"/>
  <c r="H247" i="3"/>
  <c r="I247" i="3" s="1"/>
  <c r="H130" i="3"/>
  <c r="I130" i="3" s="1"/>
  <c r="H115" i="3"/>
  <c r="I115" i="3" s="1"/>
  <c r="H140" i="3"/>
  <c r="I140" i="3" s="1"/>
  <c r="H358" i="3"/>
  <c r="I358" i="3" s="1"/>
  <c r="H347" i="3"/>
  <c r="I347" i="3" s="1"/>
  <c r="H343" i="3"/>
  <c r="I343" i="3" s="1"/>
  <c r="H325" i="3"/>
  <c r="I325" i="3" s="1"/>
  <c r="H321" i="3"/>
  <c r="I321" i="3" s="1"/>
  <c r="H314" i="3"/>
  <c r="I314" i="3" s="1"/>
  <c r="H310" i="3"/>
  <c r="I310" i="3" s="1"/>
  <c r="H306" i="3"/>
  <c r="I306" i="3" s="1"/>
  <c r="H303" i="3"/>
  <c r="I303" i="3" s="1"/>
  <c r="H299" i="3"/>
  <c r="I299" i="3" s="1"/>
  <c r="H292" i="3"/>
  <c r="I292" i="3" s="1"/>
  <c r="H288" i="3"/>
  <c r="I288" i="3" s="1"/>
  <c r="H277" i="3"/>
  <c r="I277" i="3" s="1"/>
  <c r="H266" i="3"/>
  <c r="I266" i="3" s="1"/>
  <c r="H255" i="3"/>
  <c r="I255" i="3" s="1"/>
  <c r="H244" i="3"/>
  <c r="I244" i="3" s="1"/>
  <c r="H240" i="3"/>
  <c r="I240" i="3" s="1"/>
  <c r="H237" i="3"/>
  <c r="I237" i="3" s="1"/>
  <c r="H234" i="3"/>
  <c r="I234" i="3" s="1"/>
  <c r="H230" i="3"/>
  <c r="I230" i="3" s="1"/>
  <c r="H224" i="3"/>
  <c r="I224" i="3" s="1"/>
  <c r="H221" i="3"/>
  <c r="I221" i="3" s="1"/>
  <c r="H214" i="3"/>
  <c r="I214" i="3" s="1"/>
  <c r="H208" i="3"/>
  <c r="I208" i="3" s="1"/>
  <c r="H196" i="3"/>
  <c r="I196" i="3" s="1"/>
  <c r="H181" i="3"/>
  <c r="I181" i="3" s="1"/>
  <c r="H163" i="3"/>
  <c r="I163" i="3" s="1"/>
  <c r="H159" i="3"/>
  <c r="I159" i="3" s="1"/>
  <c r="H341" i="3"/>
  <c r="I341" i="3" s="1"/>
  <c r="H338" i="3"/>
  <c r="I338" i="3" s="1"/>
  <c r="H396" i="3"/>
  <c r="I396" i="3" s="1"/>
  <c r="H378" i="3"/>
  <c r="I378" i="3" s="1"/>
  <c r="H371" i="3"/>
  <c r="I371" i="3" s="1"/>
  <c r="H170" i="3"/>
  <c r="I170" i="3" s="1"/>
  <c r="H334" i="3"/>
  <c r="I334" i="3" s="1"/>
  <c r="H331" i="3"/>
  <c r="I331" i="3" s="1"/>
  <c r="H399" i="3"/>
  <c r="I399" i="3" s="1"/>
  <c r="H392" i="3"/>
  <c r="I392" i="3" s="1"/>
  <c r="H389" i="3"/>
  <c r="I389" i="3" s="1"/>
  <c r="H385" i="3"/>
  <c r="I385" i="3" s="1"/>
  <c r="H381" i="3"/>
  <c r="I381" i="3" s="1"/>
  <c r="H374" i="3"/>
  <c r="I374" i="3" s="1"/>
  <c r="H367" i="3"/>
  <c r="I367" i="3" s="1"/>
  <c r="H317" i="3"/>
  <c r="I317" i="3" s="1"/>
  <c r="H273" i="3"/>
  <c r="I273" i="3" s="1"/>
  <c r="H166" i="3"/>
  <c r="I166" i="3" s="1"/>
  <c r="H129" i="3"/>
  <c r="I129" i="3" s="1"/>
  <c r="H114" i="3"/>
  <c r="I114" i="3" s="1"/>
  <c r="H136" i="3"/>
  <c r="I136" i="3" s="1"/>
  <c r="H357" i="3"/>
  <c r="I357" i="3" s="1"/>
  <c r="H346" i="3"/>
  <c r="I346" i="3" s="1"/>
  <c r="H328" i="3"/>
  <c r="I328" i="3" s="1"/>
  <c r="H324" i="3"/>
  <c r="I324" i="3" s="1"/>
  <c r="H313" i="3"/>
  <c r="I313" i="3" s="1"/>
  <c r="H309" i="3"/>
  <c r="I309" i="3" s="1"/>
  <c r="H305" i="3"/>
  <c r="I305" i="3" s="1"/>
  <c r="H302" i="3"/>
  <c r="I302" i="3" s="1"/>
  <c r="H291" i="3"/>
  <c r="I291" i="3" s="1"/>
  <c r="H287" i="3"/>
  <c r="I287" i="3" s="1"/>
  <c r="H280" i="3"/>
  <c r="I280" i="3" s="1"/>
  <c r="H276" i="3"/>
  <c r="I276" i="3" s="1"/>
  <c r="H269" i="3"/>
  <c r="I269" i="3" s="1"/>
  <c r="H265" i="3"/>
  <c r="I265" i="3" s="1"/>
  <c r="H254" i="3"/>
  <c r="I254" i="3" s="1"/>
  <c r="H243" i="3"/>
  <c r="I243" i="3" s="1"/>
  <c r="H233" i="3"/>
  <c r="I233" i="3" s="1"/>
  <c r="H213" i="3"/>
  <c r="I213" i="3" s="1"/>
  <c r="H210" i="3"/>
  <c r="I210" i="3" s="1"/>
  <c r="H207" i="3"/>
  <c r="I207" i="3" s="1"/>
  <c r="H200" i="3"/>
  <c r="I200" i="3" s="1"/>
  <c r="H191" i="3"/>
  <c r="I191" i="3" s="1"/>
  <c r="H180" i="3"/>
  <c r="I180" i="3" s="1"/>
  <c r="H162" i="3"/>
  <c r="I162" i="3" s="1"/>
  <c r="H337" i="3"/>
  <c r="I337" i="3" s="1"/>
  <c r="H395" i="3"/>
  <c r="I395" i="3" s="1"/>
  <c r="H377" i="3"/>
  <c r="I377" i="3" s="1"/>
  <c r="H370" i="3"/>
  <c r="I370" i="3" s="1"/>
  <c r="H382" i="3"/>
  <c r="I382" i="3" s="1"/>
  <c r="H126" i="3"/>
  <c r="I126" i="3" s="1"/>
  <c r="H295" i="3"/>
  <c r="I295" i="3" s="1"/>
  <c r="H258" i="3"/>
  <c r="I258" i="3" s="1"/>
  <c r="H184" i="3"/>
  <c r="I184" i="3" s="1"/>
  <c r="H121" i="3"/>
  <c r="I121" i="3" s="1"/>
  <c r="H146" i="3"/>
  <c r="I146" i="3" s="1"/>
  <c r="H139" i="3"/>
  <c r="I139" i="3" s="1"/>
  <c r="H353" i="3"/>
  <c r="I353" i="3" s="1"/>
  <c r="H320" i="3"/>
  <c r="I320" i="3" s="1"/>
  <c r="H316" i="3"/>
  <c r="I316" i="3" s="1"/>
  <c r="H298" i="3"/>
  <c r="I298" i="3" s="1"/>
  <c r="H294" i="3"/>
  <c r="I294" i="3" s="1"/>
  <c r="H283" i="3"/>
  <c r="I283" i="3" s="1"/>
  <c r="H272" i="3"/>
  <c r="I272" i="3" s="1"/>
  <c r="H261" i="3"/>
  <c r="I261" i="3" s="1"/>
  <c r="H250" i="3"/>
  <c r="I250" i="3" s="1"/>
  <c r="H246" i="3"/>
  <c r="I246" i="3" s="1"/>
  <c r="H239" i="3"/>
  <c r="I239" i="3" s="1"/>
  <c r="H236" i="3"/>
  <c r="I236" i="3" s="1"/>
  <c r="H229" i="3"/>
  <c r="I229" i="3" s="1"/>
  <c r="H226" i="3"/>
  <c r="I226" i="3" s="1"/>
  <c r="H223" i="3"/>
  <c r="I223" i="3" s="1"/>
  <c r="H220" i="3"/>
  <c r="I220" i="3" s="1"/>
  <c r="H216" i="3"/>
  <c r="I216" i="3" s="1"/>
  <c r="H203" i="3"/>
  <c r="I203" i="3" s="1"/>
  <c r="H195" i="3"/>
  <c r="I195" i="3" s="1"/>
  <c r="H187" i="3"/>
  <c r="I187" i="3" s="1"/>
  <c r="H183" i="3"/>
  <c r="I183" i="3" s="1"/>
  <c r="H176" i="3"/>
  <c r="I176" i="3" s="1"/>
  <c r="H169" i="3"/>
  <c r="I169" i="3" s="1"/>
  <c r="H158" i="3"/>
  <c r="I158" i="3" s="1"/>
  <c r="H340" i="3"/>
  <c r="I340" i="3" s="1"/>
  <c r="H330" i="3"/>
  <c r="I330" i="3" s="1"/>
  <c r="H359" i="3"/>
  <c r="I359" i="3" s="1"/>
  <c r="H398" i="3"/>
  <c r="I398" i="3" s="1"/>
  <c r="H388" i="3"/>
  <c r="I388" i="3" s="1"/>
  <c r="H380" i="3"/>
  <c r="I380" i="3" s="1"/>
  <c r="H373" i="3"/>
  <c r="I373" i="3" s="1"/>
  <c r="H366" i="3"/>
  <c r="I366" i="3" s="1"/>
  <c r="H383" i="3"/>
  <c r="I383" i="3" s="1"/>
  <c r="H122" i="3"/>
  <c r="I122" i="3" s="1"/>
  <c r="I150" i="3"/>
  <c r="H354" i="3"/>
  <c r="I354" i="3" s="1"/>
  <c r="H262" i="3"/>
  <c r="I262" i="3" s="1"/>
  <c r="H217" i="3"/>
  <c r="I217" i="3" s="1"/>
  <c r="H177" i="3"/>
  <c r="I177" i="3" s="1"/>
  <c r="H125" i="3"/>
  <c r="I125" i="3" s="1"/>
  <c r="I153" i="3"/>
  <c r="H142" i="3"/>
  <c r="I142" i="3" s="1"/>
  <c r="H154" i="3"/>
  <c r="I154" i="3" s="1"/>
  <c r="H132" i="3"/>
  <c r="I132" i="3" s="1"/>
  <c r="H117" i="3"/>
  <c r="I117" i="3" s="1"/>
  <c r="H113" i="3"/>
  <c r="I113" i="3" s="1"/>
  <c r="H149" i="3"/>
  <c r="I149" i="3" s="1"/>
  <c r="H135" i="3"/>
  <c r="I135" i="3" s="1"/>
  <c r="H356" i="3"/>
  <c r="I356" i="3" s="1"/>
  <c r="H349" i="3"/>
  <c r="I349" i="3" s="1"/>
  <c r="H345" i="3"/>
  <c r="I345" i="3" s="1"/>
  <c r="H327" i="3"/>
  <c r="I327" i="3" s="1"/>
  <c r="H323" i="3"/>
  <c r="I323" i="3" s="1"/>
  <c r="H312" i="3"/>
  <c r="I312" i="3" s="1"/>
  <c r="H308" i="3"/>
  <c r="I308" i="3" s="1"/>
  <c r="H301" i="3"/>
  <c r="I301" i="3" s="1"/>
  <c r="H290" i="3"/>
  <c r="I290" i="3" s="1"/>
  <c r="H286" i="3"/>
  <c r="I286" i="3" s="1"/>
  <c r="H279" i="3"/>
  <c r="I279" i="3" s="1"/>
  <c r="H275" i="3"/>
  <c r="I275" i="3" s="1"/>
  <c r="H268" i="3"/>
  <c r="I268" i="3" s="1"/>
  <c r="H264" i="3"/>
  <c r="I264" i="3" s="1"/>
  <c r="H257" i="3"/>
  <c r="I257" i="3" s="1"/>
  <c r="H242" i="3"/>
  <c r="I242" i="3" s="1"/>
  <c r="H232" i="3"/>
  <c r="I232" i="3" s="1"/>
  <c r="H206" i="3"/>
  <c r="I206" i="3" s="1"/>
  <c r="H172" i="3"/>
  <c r="I172" i="3" s="1"/>
  <c r="H165" i="3"/>
  <c r="I165" i="3" s="1"/>
  <c r="H161" i="3"/>
  <c r="I161" i="3" s="1"/>
  <c r="H333" i="3"/>
  <c r="I333" i="3" s="1"/>
  <c r="H394" i="3"/>
  <c r="I394" i="3" s="1"/>
  <c r="H391" i="3"/>
  <c r="I391" i="3" s="1"/>
  <c r="H384" i="3"/>
  <c r="I384" i="3" s="1"/>
  <c r="H376" i="3"/>
  <c r="I376" i="3" s="1"/>
  <c r="H369" i="3"/>
  <c r="I369" i="3" s="1"/>
  <c r="H361" i="3"/>
  <c r="I361" i="3" s="1"/>
  <c r="H251" i="3"/>
  <c r="I251" i="3" s="1"/>
  <c r="H155" i="3"/>
  <c r="I155" i="3" s="1"/>
  <c r="H118" i="3"/>
  <c r="I118" i="3" s="1"/>
  <c r="H128" i="3"/>
  <c r="I128" i="3" s="1"/>
  <c r="H138" i="3"/>
  <c r="I138" i="3" s="1"/>
  <c r="H352" i="3"/>
  <c r="I352" i="3" s="1"/>
  <c r="H319" i="3"/>
  <c r="I319" i="3" s="1"/>
  <c r="H304" i="3"/>
  <c r="I304" i="3" s="1"/>
  <c r="H297" i="3"/>
  <c r="I297" i="3" s="1"/>
  <c r="H293" i="3"/>
  <c r="I293" i="3" s="1"/>
  <c r="H282" i="3"/>
  <c r="I282" i="3" s="1"/>
  <c r="H271" i="3"/>
  <c r="I271" i="3" s="1"/>
  <c r="H260" i="3"/>
  <c r="I260" i="3" s="1"/>
  <c r="H253" i="3"/>
  <c r="I253" i="3" s="1"/>
  <c r="H249" i="3"/>
  <c r="I249" i="3" s="1"/>
  <c r="H245" i="3"/>
  <c r="I245" i="3" s="1"/>
  <c r="H238" i="3"/>
  <c r="I238" i="3" s="1"/>
  <c r="H219" i="3"/>
  <c r="I219" i="3" s="1"/>
  <c r="H215" i="3"/>
  <c r="I215" i="3" s="1"/>
  <c r="H212" i="3"/>
  <c r="I212" i="3" s="1"/>
  <c r="H209" i="3"/>
  <c r="I209" i="3" s="1"/>
  <c r="H202" i="3"/>
  <c r="I202" i="3" s="1"/>
  <c r="H199" i="3"/>
  <c r="I199" i="3" s="1"/>
  <c r="H194" i="3"/>
  <c r="I194" i="3" s="1"/>
  <c r="H190" i="3"/>
  <c r="I190" i="3" s="1"/>
  <c r="H186" i="3"/>
  <c r="I186" i="3" s="1"/>
  <c r="H179" i="3"/>
  <c r="I179" i="3" s="1"/>
  <c r="H175" i="3"/>
  <c r="I175" i="3" s="1"/>
  <c r="H168" i="3"/>
  <c r="I168" i="3" s="1"/>
  <c r="H157" i="3"/>
  <c r="I157" i="3" s="1"/>
  <c r="H329" i="3"/>
  <c r="I329" i="3" s="1"/>
  <c r="H336" i="3"/>
  <c r="I336" i="3" s="1"/>
  <c r="H397" i="3"/>
  <c r="I397" i="3" s="1"/>
  <c r="H387" i="3"/>
  <c r="I387" i="3" s="1"/>
  <c r="H372" i="3"/>
  <c r="I372" i="3" s="1"/>
  <c r="H365" i="3"/>
  <c r="I365" i="3" s="1"/>
  <c r="H133" i="3"/>
  <c r="I133" i="3" s="1"/>
  <c r="H147" i="3"/>
  <c r="I147" i="3" s="1"/>
  <c r="H227" i="3"/>
  <c r="I227" i="3" s="1"/>
  <c r="H188" i="3"/>
  <c r="I188" i="3" s="1"/>
  <c r="H120" i="3"/>
  <c r="I120" i="3" s="1"/>
  <c r="H145" i="3"/>
  <c r="I145" i="3" s="1"/>
  <c r="H116" i="3"/>
  <c r="I116" i="3" s="1"/>
  <c r="H112" i="3"/>
  <c r="I112" i="3" s="1"/>
  <c r="H148" i="3"/>
  <c r="I148" i="3" s="1"/>
  <c r="H141" i="3"/>
  <c r="I141" i="3" s="1"/>
  <c r="H355" i="3"/>
  <c r="I355" i="3" s="1"/>
  <c r="H348" i="3"/>
  <c r="I348" i="3" s="1"/>
  <c r="H344" i="3"/>
  <c r="I344" i="3" s="1"/>
  <c r="H326" i="3"/>
  <c r="I326" i="3" s="1"/>
  <c r="H322" i="3"/>
  <c r="I322" i="3" s="1"/>
  <c r="H315" i="3"/>
  <c r="I315" i="3" s="1"/>
  <c r="H311" i="3"/>
  <c r="I311" i="3" s="1"/>
  <c r="H307" i="3"/>
  <c r="I307" i="3" s="1"/>
  <c r="H300" i="3"/>
  <c r="I300" i="3" s="1"/>
  <c r="H289" i="3"/>
  <c r="I289" i="3" s="1"/>
  <c r="H278" i="3"/>
  <c r="I278" i="3" s="1"/>
  <c r="H267" i="3"/>
  <c r="I267" i="3" s="1"/>
  <c r="H256" i="3"/>
  <c r="I256" i="3" s="1"/>
  <c r="H241" i="3"/>
  <c r="I241" i="3" s="1"/>
  <c r="H235" i="3"/>
  <c r="I235" i="3" s="1"/>
  <c r="H231" i="3"/>
  <c r="I231" i="3" s="1"/>
  <c r="H228" i="3"/>
  <c r="I228" i="3" s="1"/>
  <c r="H225" i="3"/>
  <c r="I225" i="3" s="1"/>
  <c r="H222" i="3"/>
  <c r="I222" i="3" s="1"/>
  <c r="H205" i="3"/>
  <c r="I205" i="3" s="1"/>
  <c r="H198" i="3"/>
  <c r="I198" i="3" s="1"/>
  <c r="H182" i="3"/>
  <c r="I182" i="3" s="1"/>
  <c r="H171" i="3"/>
  <c r="I171" i="3" s="1"/>
  <c r="H164" i="3"/>
  <c r="I164" i="3" s="1"/>
  <c r="H160" i="3"/>
  <c r="I160" i="3" s="1"/>
  <c r="H342" i="3"/>
  <c r="I342" i="3" s="1"/>
  <c r="H339" i="3"/>
  <c r="I339" i="3" s="1"/>
  <c r="H332" i="3"/>
  <c r="I332" i="3" s="1"/>
  <c r="H400" i="3"/>
  <c r="I400" i="3" s="1"/>
  <c r="H390" i="3"/>
  <c r="I390" i="3" s="1"/>
  <c r="H379" i="3"/>
  <c r="I379" i="3" s="1"/>
  <c r="H360" i="3"/>
  <c r="I360" i="3" s="1"/>
  <c r="H284" i="3"/>
  <c r="I284" i="3" s="1"/>
  <c r="H204" i="3"/>
  <c r="I204" i="3" s="1"/>
  <c r="H173" i="3"/>
  <c r="I173" i="3" s="1"/>
  <c r="H124" i="3"/>
  <c r="I124" i="3" s="1"/>
  <c r="I152" i="3"/>
  <c r="H131" i="3"/>
  <c r="I131" i="3" s="1"/>
  <c r="H134" i="3"/>
  <c r="I134" i="3" s="1"/>
  <c r="H127" i="3"/>
  <c r="I127" i="3" s="1"/>
  <c r="H123" i="3"/>
  <c r="I123" i="3" s="1"/>
  <c r="H119" i="3"/>
  <c r="I119" i="3" s="1"/>
  <c r="I151" i="3"/>
  <c r="H144" i="3"/>
  <c r="I144" i="3" s="1"/>
  <c r="H137" i="3"/>
  <c r="I137" i="3" s="1"/>
  <c r="H351" i="3"/>
  <c r="I351" i="3" s="1"/>
  <c r="H318" i="3"/>
  <c r="I318" i="3" s="1"/>
  <c r="H296" i="3"/>
  <c r="I296" i="3" s="1"/>
  <c r="H285" i="3"/>
  <c r="I285" i="3" s="1"/>
  <c r="H281" i="3"/>
  <c r="I281" i="3" s="1"/>
  <c r="H274" i="3"/>
  <c r="I274" i="3" s="1"/>
  <c r="H270" i="3"/>
  <c r="I270" i="3" s="1"/>
  <c r="H263" i="3"/>
  <c r="I263" i="3" s="1"/>
  <c r="H259" i="3"/>
  <c r="I259" i="3" s="1"/>
  <c r="H252" i="3"/>
  <c r="I252" i="3" s="1"/>
  <c r="H248" i="3"/>
  <c r="I248" i="3" s="1"/>
  <c r="H218" i="3"/>
  <c r="I218" i="3" s="1"/>
  <c r="H211" i="3"/>
  <c r="I211" i="3" s="1"/>
  <c r="H201" i="3"/>
  <c r="I201" i="3" s="1"/>
  <c r="H197" i="3"/>
  <c r="I197" i="3" s="1"/>
  <c r="H193" i="3"/>
  <c r="I193" i="3" s="1"/>
  <c r="H189" i="3"/>
  <c r="I189" i="3" s="1"/>
  <c r="H185" i="3"/>
  <c r="I185" i="3" s="1"/>
  <c r="H178" i="3"/>
  <c r="I178" i="3" s="1"/>
  <c r="H174" i="3"/>
  <c r="I174" i="3" s="1"/>
  <c r="H167" i="3"/>
  <c r="I167" i="3" s="1"/>
  <c r="H156" i="3"/>
  <c r="I156" i="3" s="1"/>
  <c r="H335" i="3"/>
  <c r="I335" i="3" s="1"/>
  <c r="H393" i="3"/>
  <c r="I393" i="3" s="1"/>
  <c r="H386" i="3"/>
  <c r="I386" i="3" s="1"/>
  <c r="H375" i="3"/>
  <c r="I375" i="3" s="1"/>
  <c r="H368" i="3"/>
  <c r="I368" i="3" s="1"/>
  <c r="J349" i="2"/>
  <c r="U48" i="2"/>
  <c r="U50" i="2"/>
  <c r="S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S32" i="29"/>
  <c r="S33" i="29"/>
  <c r="S34" i="29"/>
  <c r="S35" i="29"/>
  <c r="S36" i="29"/>
  <c r="S37" i="29"/>
  <c r="S38" i="29"/>
  <c r="S39" i="29"/>
  <c r="S40" i="29"/>
  <c r="S41" i="29"/>
  <c r="S42" i="29"/>
  <c r="S43" i="29"/>
  <c r="S44" i="29"/>
  <c r="S45" i="29"/>
  <c r="S46" i="29"/>
  <c r="S47" i="29"/>
  <c r="S48" i="29"/>
  <c r="S49" i="29"/>
  <c r="S50" i="29"/>
  <c r="S51" i="29"/>
  <c r="S52" i="29"/>
  <c r="S53" i="29"/>
  <c r="S54" i="29"/>
  <c r="S55" i="29"/>
  <c r="S56" i="29"/>
  <c r="S57" i="29"/>
  <c r="S58" i="29"/>
  <c r="S59" i="29"/>
  <c r="S60" i="29"/>
  <c r="S61" i="29"/>
  <c r="S62" i="29"/>
  <c r="S63" i="29"/>
  <c r="S64" i="29"/>
  <c r="S65" i="29"/>
  <c r="S66" i="29"/>
  <c r="S67" i="29"/>
  <c r="S68" i="29"/>
  <c r="S69" i="29"/>
  <c r="S70" i="29"/>
  <c r="S71" i="29"/>
  <c r="S72" i="29"/>
  <c r="S73" i="29"/>
  <c r="S74" i="29"/>
  <c r="S75" i="29"/>
  <c r="S76" i="29"/>
  <c r="S77" i="29"/>
  <c r="S78" i="29"/>
  <c r="S79" i="29"/>
  <c r="S80" i="29"/>
  <c r="S81" i="29"/>
  <c r="S82" i="29"/>
  <c r="S83" i="29"/>
  <c r="S84" i="29"/>
  <c r="S85" i="29"/>
  <c r="S86" i="29"/>
  <c r="S87" i="29"/>
  <c r="S88" i="29"/>
  <c r="S89" i="29"/>
  <c r="S90" i="29"/>
  <c r="S91" i="29"/>
  <c r="S92" i="29"/>
  <c r="S93" i="29"/>
  <c r="S94" i="29"/>
  <c r="S95" i="29"/>
  <c r="S96" i="29"/>
  <c r="S97" i="29"/>
  <c r="S98" i="29"/>
  <c r="S99" i="29"/>
  <c r="S100" i="29"/>
  <c r="S101" i="29"/>
  <c r="S102" i="29"/>
  <c r="S103" i="29"/>
  <c r="S104" i="29"/>
  <c r="S105" i="29"/>
  <c r="S106" i="29"/>
  <c r="S107" i="29"/>
  <c r="S108" i="29"/>
  <c r="S109" i="29"/>
  <c r="S110" i="29"/>
  <c r="S111" i="29"/>
  <c r="S112" i="29"/>
  <c r="S113" i="29"/>
  <c r="S114" i="29"/>
  <c r="S115" i="29"/>
  <c r="S116" i="29"/>
  <c r="S117" i="29"/>
  <c r="S118" i="29"/>
  <c r="S119" i="29"/>
  <c r="S120" i="29"/>
  <c r="S121" i="29"/>
  <c r="S122" i="29"/>
  <c r="S123" i="29"/>
  <c r="S2" i="29"/>
  <c r="R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50" i="29"/>
  <c r="R51" i="29"/>
  <c r="R52" i="29"/>
  <c r="R53" i="29"/>
  <c r="R54" i="29"/>
  <c r="R55" i="29"/>
  <c r="R56" i="29"/>
  <c r="R57" i="29"/>
  <c r="R58" i="29"/>
  <c r="R59" i="29"/>
  <c r="R60" i="29"/>
  <c r="R61" i="29"/>
  <c r="R62" i="29"/>
  <c r="R63" i="29"/>
  <c r="R64" i="29"/>
  <c r="R65" i="29"/>
  <c r="R66" i="29"/>
  <c r="R67" i="29"/>
  <c r="R68" i="29"/>
  <c r="R69" i="29"/>
  <c r="R70" i="29"/>
  <c r="R71" i="29"/>
  <c r="R72" i="29"/>
  <c r="R73" i="29"/>
  <c r="R74" i="29"/>
  <c r="R75" i="29"/>
  <c r="R76" i="29"/>
  <c r="R77" i="29"/>
  <c r="R78" i="29"/>
  <c r="R79" i="29"/>
  <c r="R80" i="29"/>
  <c r="R81" i="29"/>
  <c r="R82" i="29"/>
  <c r="R83" i="29"/>
  <c r="R84" i="29"/>
  <c r="R85" i="29"/>
  <c r="R86" i="29"/>
  <c r="R87" i="29"/>
  <c r="R88" i="29"/>
  <c r="R89" i="29"/>
  <c r="R90" i="29"/>
  <c r="R91" i="29"/>
  <c r="R92" i="29"/>
  <c r="R93" i="29"/>
  <c r="R94" i="29"/>
  <c r="R95" i="29"/>
  <c r="R96" i="29"/>
  <c r="R97" i="29"/>
  <c r="R98" i="29"/>
  <c r="R99" i="29"/>
  <c r="R100" i="29"/>
  <c r="R101" i="29"/>
  <c r="R102" i="29"/>
  <c r="R103" i="29"/>
  <c r="R104" i="29"/>
  <c r="R105" i="29"/>
  <c r="R106" i="29"/>
  <c r="R107" i="29"/>
  <c r="R108" i="29"/>
  <c r="R109" i="29"/>
  <c r="R110" i="29"/>
  <c r="R111" i="29"/>
  <c r="R112" i="29"/>
  <c r="R113" i="29"/>
  <c r="R114" i="29"/>
  <c r="R115" i="29"/>
  <c r="R116" i="29"/>
  <c r="R117" i="29"/>
  <c r="R118" i="29"/>
  <c r="R119" i="29"/>
  <c r="R120" i="29"/>
  <c r="R121" i="29"/>
  <c r="R122" i="29"/>
  <c r="R123" i="29"/>
  <c r="R2" i="29"/>
  <c r="F9" i="5" l="1"/>
  <c r="F8" i="5"/>
  <c r="A26" i="2" l="1"/>
  <c r="C26" i="2"/>
  <c r="A27" i="2"/>
  <c r="C27" i="2"/>
  <c r="A28" i="2"/>
  <c r="C28" i="2"/>
  <c r="A29" i="2"/>
  <c r="C29" i="2"/>
  <c r="A30" i="2"/>
  <c r="C30" i="2"/>
  <c r="A31" i="2"/>
  <c r="C31" i="2"/>
  <c r="A32" i="2"/>
  <c r="C32" i="2"/>
  <c r="A33" i="2"/>
  <c r="C33" i="2"/>
  <c r="A34" i="2"/>
  <c r="C34" i="2"/>
  <c r="A35" i="2"/>
  <c r="C35" i="2"/>
  <c r="A36" i="2"/>
  <c r="C36" i="2"/>
  <c r="C107" i="3" l="1"/>
  <c r="C108" i="3"/>
  <c r="C109" i="3"/>
  <c r="C110" i="3"/>
  <c r="C105" i="3"/>
  <c r="C102" i="3"/>
  <c r="C103" i="3"/>
  <c r="C98" i="3"/>
  <c r="C96" i="3"/>
  <c r="C93" i="3"/>
  <c r="C94" i="3"/>
  <c r="C81" i="3"/>
  <c r="C82" i="3"/>
  <c r="C83" i="3"/>
  <c r="C84" i="3"/>
  <c r="C85" i="3"/>
  <c r="C86" i="3"/>
  <c r="C87" i="3"/>
  <c r="C88" i="3"/>
  <c r="C89" i="3"/>
  <c r="A78" i="3"/>
  <c r="C78" i="3"/>
  <c r="A79" i="3"/>
  <c r="C79" i="3"/>
  <c r="C75" i="3"/>
  <c r="C76" i="3"/>
  <c r="A75" i="3"/>
  <c r="G75" i="3"/>
  <c r="A76" i="3"/>
  <c r="G76" i="3"/>
  <c r="A77" i="3"/>
  <c r="C77" i="3"/>
  <c r="G77" i="3"/>
  <c r="G78" i="3"/>
  <c r="G79" i="3"/>
  <c r="A80" i="3"/>
  <c r="C80" i="3"/>
  <c r="G80" i="3"/>
  <c r="A81" i="3"/>
  <c r="G81" i="3"/>
  <c r="A82" i="3"/>
  <c r="G82" i="3"/>
  <c r="A83" i="3"/>
  <c r="G83" i="3"/>
  <c r="A84" i="3"/>
  <c r="G84" i="3"/>
  <c r="A85" i="3"/>
  <c r="G85" i="3"/>
  <c r="A86" i="3"/>
  <c r="G86" i="3"/>
  <c r="A87" i="3"/>
  <c r="G87" i="3"/>
  <c r="A88" i="3"/>
  <c r="G88" i="3"/>
  <c r="A89" i="3"/>
  <c r="G89" i="3"/>
  <c r="A90" i="3"/>
  <c r="C90" i="3"/>
  <c r="G90" i="3"/>
  <c r="A91" i="3"/>
  <c r="C91" i="3"/>
  <c r="G91" i="3"/>
  <c r="A92" i="3"/>
  <c r="C92" i="3"/>
  <c r="G92" i="3"/>
  <c r="A93" i="3"/>
  <c r="G93" i="3"/>
  <c r="A94" i="3"/>
  <c r="G94" i="3"/>
  <c r="A95" i="3"/>
  <c r="C95" i="3"/>
  <c r="G95" i="3"/>
  <c r="A96" i="3"/>
  <c r="G96" i="3"/>
  <c r="A97" i="3"/>
  <c r="C97" i="3"/>
  <c r="G97" i="3"/>
  <c r="A98" i="3"/>
  <c r="G98" i="3"/>
  <c r="A99" i="3"/>
  <c r="C99" i="3"/>
  <c r="G99" i="3"/>
  <c r="A100" i="3"/>
  <c r="C100" i="3"/>
  <c r="G100" i="3"/>
  <c r="A101" i="3"/>
  <c r="C101" i="3"/>
  <c r="G101" i="3"/>
  <c r="A102" i="3"/>
  <c r="G102" i="3"/>
  <c r="A103" i="3"/>
  <c r="G103" i="3"/>
  <c r="A104" i="3"/>
  <c r="C104" i="3"/>
  <c r="G104" i="3"/>
  <c r="A105" i="3"/>
  <c r="G105" i="3"/>
  <c r="A106" i="3"/>
  <c r="C106" i="3"/>
  <c r="G106" i="3"/>
  <c r="A107" i="3"/>
  <c r="G107" i="3"/>
  <c r="A108" i="3"/>
  <c r="G108" i="3"/>
  <c r="A109" i="3"/>
  <c r="G109" i="3"/>
  <c r="A110" i="3"/>
  <c r="G110" i="3"/>
  <c r="A111" i="3"/>
  <c r="C111" i="3"/>
  <c r="G111" i="3"/>
  <c r="C70" i="3"/>
  <c r="C71" i="3"/>
  <c r="C72" i="3"/>
  <c r="C73" i="3"/>
  <c r="C68" i="3"/>
  <c r="H96" i="3" l="1"/>
  <c r="I96" i="3" s="1"/>
  <c r="H92" i="3"/>
  <c r="I92" i="3" s="1"/>
  <c r="H108" i="3"/>
  <c r="I108" i="3" s="1"/>
  <c r="I101" i="3"/>
  <c r="H95" i="3"/>
  <c r="I95" i="3" s="1"/>
  <c r="H89" i="3"/>
  <c r="I89" i="3" s="1"/>
  <c r="H85" i="3"/>
  <c r="I85" i="3" s="1"/>
  <c r="H81" i="3"/>
  <c r="I81" i="3" s="1"/>
  <c r="H98" i="3"/>
  <c r="I98" i="3" s="1"/>
  <c r="H99" i="3"/>
  <c r="I99" i="3" s="1"/>
  <c r="H111" i="3"/>
  <c r="I111" i="3" s="1"/>
  <c r="H107" i="3"/>
  <c r="I107" i="3" s="1"/>
  <c r="H91" i="3"/>
  <c r="I91" i="3" s="1"/>
  <c r="H88" i="3"/>
  <c r="I88" i="3" s="1"/>
  <c r="H84" i="3"/>
  <c r="I84" i="3" s="1"/>
  <c r="H80" i="3"/>
  <c r="I80" i="3" s="1"/>
  <c r="H76" i="3"/>
  <c r="I76" i="3" s="1"/>
  <c r="H100" i="3"/>
  <c r="I100" i="3" s="1"/>
  <c r="H109" i="3"/>
  <c r="I109" i="3" s="1"/>
  <c r="H86" i="3"/>
  <c r="I86" i="3" s="1"/>
  <c r="H104" i="3"/>
  <c r="I104" i="3" s="1"/>
  <c r="H94" i="3"/>
  <c r="I94" i="3" s="1"/>
  <c r="H110" i="3"/>
  <c r="I110" i="3" s="1"/>
  <c r="H106" i="3"/>
  <c r="I106" i="3" s="1"/>
  <c r="I103" i="3"/>
  <c r="H87" i="3"/>
  <c r="I87" i="3" s="1"/>
  <c r="H83" i="3"/>
  <c r="I83" i="3" s="1"/>
  <c r="H75" i="3"/>
  <c r="I75" i="3" s="1"/>
  <c r="I102" i="3"/>
  <c r="H97" i="3"/>
  <c r="I97" i="3" s="1"/>
  <c r="H93" i="3"/>
  <c r="I93" i="3" s="1"/>
  <c r="H90" i="3"/>
  <c r="I90" i="3" s="1"/>
  <c r="H79" i="3"/>
  <c r="I79" i="3" s="1"/>
  <c r="H82" i="3"/>
  <c r="I82" i="3" s="1"/>
  <c r="H78" i="3"/>
  <c r="I78" i="3" s="1"/>
  <c r="H105" i="3"/>
  <c r="I105" i="3" s="1"/>
  <c r="H77" i="3"/>
  <c r="I77" i="3" s="1"/>
  <c r="F19" i="2"/>
  <c r="U19" i="2" s="1"/>
  <c r="F15" i="2"/>
  <c r="U15" i="2" s="1"/>
  <c r="F14" i="2"/>
  <c r="U14" i="2" s="1"/>
  <c r="F13" i="2"/>
  <c r="U13" i="2" s="1"/>
  <c r="A21" i="2"/>
  <c r="C21" i="2"/>
  <c r="A22" i="2"/>
  <c r="C22" i="2"/>
  <c r="A23" i="2"/>
  <c r="C23" i="2"/>
  <c r="A24" i="2"/>
  <c r="C24" i="2"/>
  <c r="A25" i="2"/>
  <c r="C25" i="2"/>
  <c r="E10" i="2"/>
  <c r="U10" i="2" s="1"/>
  <c r="A10" i="2"/>
  <c r="C10" i="2"/>
  <c r="A11" i="2"/>
  <c r="C11" i="2"/>
  <c r="A12" i="2"/>
  <c r="C12" i="2"/>
  <c r="A13" i="2"/>
  <c r="C13" i="2"/>
  <c r="A14" i="2"/>
  <c r="C14" i="2"/>
  <c r="A15" i="2"/>
  <c r="C15" i="2"/>
  <c r="A16" i="2"/>
  <c r="C16" i="2"/>
  <c r="A17" i="2"/>
  <c r="C17" i="2"/>
  <c r="A18" i="2"/>
  <c r="C18" i="2"/>
  <c r="A19" i="2"/>
  <c r="C19" i="2"/>
  <c r="F7" i="2"/>
  <c r="U7" i="2" s="1"/>
  <c r="F6" i="2"/>
  <c r="E2" i="2"/>
  <c r="A3" i="2"/>
  <c r="C3" i="2"/>
  <c r="A4" i="2"/>
  <c r="C4" i="2"/>
  <c r="A5" i="2"/>
  <c r="C5" i="2"/>
  <c r="A6" i="2"/>
  <c r="C6" i="2"/>
  <c r="A7" i="2"/>
  <c r="C7" i="2"/>
  <c r="A8" i="2"/>
  <c r="C8" i="2"/>
  <c r="A9" i="2"/>
  <c r="C9" i="2"/>
  <c r="A20" i="2"/>
  <c r="C20" i="2"/>
  <c r="E349" i="2" l="1"/>
  <c r="F349" i="2"/>
  <c r="U2" i="2"/>
  <c r="U6" i="2"/>
  <c r="C66" i="3"/>
  <c r="C63" i="3"/>
  <c r="C64" i="3"/>
  <c r="A61" i="3"/>
  <c r="C61" i="3"/>
  <c r="G61" i="3"/>
  <c r="A62" i="3"/>
  <c r="C62" i="3"/>
  <c r="G62" i="3"/>
  <c r="A63" i="3"/>
  <c r="G63" i="3"/>
  <c r="A64" i="3"/>
  <c r="G64" i="3"/>
  <c r="A65" i="3"/>
  <c r="C65" i="3"/>
  <c r="A66" i="3"/>
  <c r="A67" i="3"/>
  <c r="C67" i="3"/>
  <c r="G67" i="3"/>
  <c r="A68" i="3"/>
  <c r="G68" i="3"/>
  <c r="A69" i="3"/>
  <c r="C69" i="3"/>
  <c r="G69" i="3"/>
  <c r="A70" i="3"/>
  <c r="G70" i="3"/>
  <c r="A71" i="3"/>
  <c r="G71" i="3"/>
  <c r="A72" i="3"/>
  <c r="G72" i="3"/>
  <c r="A73" i="3"/>
  <c r="G73" i="3"/>
  <c r="A74" i="3"/>
  <c r="C74" i="3"/>
  <c r="G74" i="3"/>
  <c r="C55" i="3"/>
  <c r="C56" i="3"/>
  <c r="C57" i="3"/>
  <c r="C58" i="3"/>
  <c r="C59" i="3"/>
  <c r="C49" i="3"/>
  <c r="C50" i="3"/>
  <c r="C51" i="3"/>
  <c r="C52" i="3"/>
  <c r="A47" i="3"/>
  <c r="C47" i="3"/>
  <c r="G47" i="3"/>
  <c r="A48" i="3"/>
  <c r="C48" i="3"/>
  <c r="G48" i="3"/>
  <c r="A49" i="3"/>
  <c r="G49" i="3"/>
  <c r="A50" i="3"/>
  <c r="G50" i="3"/>
  <c r="A51" i="3"/>
  <c r="G51" i="3"/>
  <c r="A52" i="3"/>
  <c r="G52" i="3"/>
  <c r="A53" i="3"/>
  <c r="C53" i="3"/>
  <c r="G53" i="3"/>
  <c r="A54" i="3"/>
  <c r="C54" i="3"/>
  <c r="G54" i="3"/>
  <c r="A55" i="3"/>
  <c r="G55" i="3"/>
  <c r="A56" i="3"/>
  <c r="G56" i="3"/>
  <c r="A57" i="3"/>
  <c r="G57" i="3"/>
  <c r="A58" i="3"/>
  <c r="G58" i="3"/>
  <c r="A59" i="3"/>
  <c r="G59" i="3"/>
  <c r="A60" i="3"/>
  <c r="C60" i="3"/>
  <c r="G60" i="3"/>
  <c r="C35" i="3"/>
  <c r="C36" i="3"/>
  <c r="C37" i="3"/>
  <c r="C38" i="3"/>
  <c r="C39" i="3"/>
  <c r="C40" i="3"/>
  <c r="C41" i="3"/>
  <c r="C42" i="3"/>
  <c r="C43" i="3"/>
  <c r="C44" i="3"/>
  <c r="C45" i="3"/>
  <c r="C28" i="3"/>
  <c r="C29" i="3"/>
  <c r="C30" i="3"/>
  <c r="C31" i="3"/>
  <c r="C32" i="3"/>
  <c r="C33" i="3"/>
  <c r="C27" i="3"/>
  <c r="A28" i="3"/>
  <c r="G28" i="3"/>
  <c r="A29" i="3"/>
  <c r="G29" i="3"/>
  <c r="A30" i="3"/>
  <c r="G30" i="3"/>
  <c r="A31" i="3"/>
  <c r="G31" i="3"/>
  <c r="A32" i="3"/>
  <c r="G32" i="3"/>
  <c r="A33" i="3"/>
  <c r="G33" i="3"/>
  <c r="A34" i="3"/>
  <c r="C34" i="3"/>
  <c r="G34" i="3"/>
  <c r="A35" i="3"/>
  <c r="G35" i="3"/>
  <c r="A36" i="3"/>
  <c r="G36" i="3"/>
  <c r="A37" i="3"/>
  <c r="G37" i="3"/>
  <c r="A38" i="3"/>
  <c r="G38" i="3"/>
  <c r="A39" i="3"/>
  <c r="G39" i="3"/>
  <c r="A40" i="3"/>
  <c r="G40" i="3"/>
  <c r="A41" i="3"/>
  <c r="G41" i="3"/>
  <c r="A42" i="3"/>
  <c r="G42" i="3"/>
  <c r="A43" i="3"/>
  <c r="G43" i="3"/>
  <c r="A44" i="3"/>
  <c r="G44" i="3"/>
  <c r="A45" i="3"/>
  <c r="G45" i="3"/>
  <c r="A46" i="3"/>
  <c r="C46" i="3"/>
  <c r="G46" i="3"/>
  <c r="C17" i="3"/>
  <c r="C18" i="3"/>
  <c r="C19" i="3"/>
  <c r="C20" i="3"/>
  <c r="C21" i="3"/>
  <c r="C22" i="3"/>
  <c r="C23" i="3"/>
  <c r="C24" i="3"/>
  <c r="C25" i="3"/>
  <c r="A12" i="3"/>
  <c r="C12" i="3"/>
  <c r="A13" i="3"/>
  <c r="C13" i="3"/>
  <c r="A14" i="3"/>
  <c r="C14" i="3"/>
  <c r="C5" i="3"/>
  <c r="C6" i="3"/>
  <c r="C7" i="3"/>
  <c r="C8" i="3"/>
  <c r="C9" i="3"/>
  <c r="C10" i="3"/>
  <c r="C4" i="3"/>
  <c r="C3" i="3"/>
  <c r="A3" i="3"/>
  <c r="G3" i="3"/>
  <c r="A4" i="3"/>
  <c r="G4" i="3"/>
  <c r="A5" i="3"/>
  <c r="G5" i="3"/>
  <c r="A6" i="3"/>
  <c r="G6" i="3"/>
  <c r="A7" i="3"/>
  <c r="G7" i="3"/>
  <c r="A8" i="3"/>
  <c r="G8" i="3"/>
  <c r="A9" i="3"/>
  <c r="G9" i="3"/>
  <c r="A10" i="3"/>
  <c r="G10" i="3"/>
  <c r="A11" i="3"/>
  <c r="C11" i="3"/>
  <c r="G11" i="3"/>
  <c r="G12" i="3"/>
  <c r="G13" i="3"/>
  <c r="G14" i="3"/>
  <c r="A15" i="3"/>
  <c r="C15" i="3"/>
  <c r="G15" i="3"/>
  <c r="A16" i="3"/>
  <c r="C16" i="3"/>
  <c r="G16" i="3"/>
  <c r="A17" i="3"/>
  <c r="G17" i="3"/>
  <c r="A18" i="3"/>
  <c r="G18" i="3"/>
  <c r="A19" i="3"/>
  <c r="G19" i="3"/>
  <c r="A20" i="3"/>
  <c r="G20" i="3"/>
  <c r="A21" i="3"/>
  <c r="G21" i="3"/>
  <c r="A22" i="3"/>
  <c r="G22" i="3"/>
  <c r="A23" i="3"/>
  <c r="G23" i="3"/>
  <c r="A24" i="3"/>
  <c r="G24" i="3"/>
  <c r="A25" i="3"/>
  <c r="G25" i="3"/>
  <c r="A26" i="3"/>
  <c r="C26" i="3"/>
  <c r="G26" i="3"/>
  <c r="A27" i="3"/>
  <c r="G27" i="3"/>
  <c r="U123" i="22"/>
  <c r="P123" i="22"/>
  <c r="Q123" i="22"/>
  <c r="R123" i="22"/>
  <c r="S123" i="22"/>
  <c r="G123" i="22"/>
  <c r="C3" i="6"/>
  <c r="C4" i="6"/>
  <c r="D4" i="6" s="1"/>
  <c r="C5" i="6"/>
  <c r="C6" i="6"/>
  <c r="D6" i="6" s="1"/>
  <c r="C7" i="6"/>
  <c r="D7" i="6" s="1"/>
  <c r="C8" i="6"/>
  <c r="C9" i="6"/>
  <c r="D9" i="6" s="1"/>
  <c r="C10" i="6"/>
  <c r="C11" i="6"/>
  <c r="C12" i="6"/>
  <c r="C13" i="6"/>
  <c r="C14" i="6"/>
  <c r="C15" i="6"/>
  <c r="C16" i="6"/>
  <c r="C17" i="6"/>
  <c r="D17" i="6" s="1"/>
  <c r="C18" i="6"/>
  <c r="C19" i="6"/>
  <c r="C20" i="6"/>
  <c r="D20" i="6" s="1"/>
  <c r="C21" i="6"/>
  <c r="C22" i="6"/>
  <c r="D22" i="6" s="1"/>
  <c r="C23" i="6"/>
  <c r="C24" i="6"/>
  <c r="C25" i="6"/>
  <c r="D25" i="6" s="1"/>
  <c r="C26" i="6"/>
  <c r="C27" i="6"/>
  <c r="C28" i="6"/>
  <c r="D28" i="6" s="1"/>
  <c r="C29" i="6"/>
  <c r="C30" i="6"/>
  <c r="D30" i="6" s="1"/>
  <c r="C31" i="6"/>
  <c r="D31" i="6" s="1"/>
  <c r="C32" i="6"/>
  <c r="C33" i="6"/>
  <c r="D33" i="6" s="1"/>
  <c r="C34" i="6"/>
  <c r="C35" i="6"/>
  <c r="C36" i="6"/>
  <c r="C37" i="6"/>
  <c r="C38" i="6"/>
  <c r="D38" i="6" s="1"/>
  <c r="C39" i="6"/>
  <c r="C40" i="6"/>
  <c r="C41" i="6"/>
  <c r="D41" i="6" s="1"/>
  <c r="C42" i="6"/>
  <c r="C43" i="6"/>
  <c r="C44" i="6"/>
  <c r="D44" i="6" s="1"/>
  <c r="C45" i="6"/>
  <c r="C46" i="6"/>
  <c r="D46" i="6" s="1"/>
  <c r="C47" i="6"/>
  <c r="D47" i="6" s="1"/>
  <c r="C48" i="6"/>
  <c r="C49" i="6"/>
  <c r="D49" i="6" s="1"/>
  <c r="C50" i="6"/>
  <c r="C51" i="6"/>
  <c r="C52" i="6"/>
  <c r="D52" i="6" s="1"/>
  <c r="C53" i="6"/>
  <c r="C54" i="6"/>
  <c r="D54" i="6" s="1"/>
  <c r="C55" i="6"/>
  <c r="D55" i="6" s="1"/>
  <c r="C56" i="6"/>
  <c r="C57" i="6"/>
  <c r="D57" i="6" s="1"/>
  <c r="C58" i="6"/>
  <c r="C59" i="6"/>
  <c r="C60" i="6"/>
  <c r="C61" i="6"/>
  <c r="C62" i="6"/>
  <c r="D62" i="6" s="1"/>
  <c r="C63" i="6"/>
  <c r="C64" i="6"/>
  <c r="C65" i="6"/>
  <c r="D65" i="6" s="1"/>
  <c r="C66" i="6"/>
  <c r="C67" i="6"/>
  <c r="C68" i="6"/>
  <c r="D68" i="6" s="1"/>
  <c r="C69" i="6"/>
  <c r="C70" i="6"/>
  <c r="D70" i="6" s="1"/>
  <c r="C71" i="6"/>
  <c r="C72" i="6"/>
  <c r="C73" i="6"/>
  <c r="D73" i="6" s="1"/>
  <c r="C74" i="6"/>
  <c r="C75" i="6"/>
  <c r="C76" i="6"/>
  <c r="C77" i="6"/>
  <c r="C78" i="6"/>
  <c r="C79" i="6"/>
  <c r="C80" i="6"/>
  <c r="C81" i="6"/>
  <c r="D81" i="6" s="1"/>
  <c r="C82" i="6"/>
  <c r="C83" i="6"/>
  <c r="C84" i="6"/>
  <c r="D84" i="6" s="1"/>
  <c r="C85" i="6"/>
  <c r="C86" i="6"/>
  <c r="D86" i="6" s="1"/>
  <c r="C87" i="6"/>
  <c r="C88" i="6"/>
  <c r="C89" i="6"/>
  <c r="D89" i="6" s="1"/>
  <c r="C90" i="6"/>
  <c r="C91" i="6"/>
  <c r="C92" i="6"/>
  <c r="D92" i="6" s="1"/>
  <c r="C93" i="6"/>
  <c r="C94" i="6"/>
  <c r="D94" i="6" s="1"/>
  <c r="C95" i="6"/>
  <c r="C96" i="6"/>
  <c r="C97" i="6"/>
  <c r="D97" i="6" s="1"/>
  <c r="C98" i="6"/>
  <c r="C99" i="6"/>
  <c r="C100" i="6"/>
  <c r="C101" i="6"/>
  <c r="C102" i="6"/>
  <c r="D102" i="6" s="1"/>
  <c r="C103" i="6"/>
  <c r="C104" i="6"/>
  <c r="C105" i="6"/>
  <c r="D105" i="6" s="1"/>
  <c r="C106" i="6"/>
  <c r="C107" i="6"/>
  <c r="C108" i="6"/>
  <c r="D108" i="6" s="1"/>
  <c r="C109" i="6"/>
  <c r="C110" i="6"/>
  <c r="D110" i="6" s="1"/>
  <c r="C111" i="6"/>
  <c r="C112" i="6"/>
  <c r="C113" i="6"/>
  <c r="D113" i="6" s="1"/>
  <c r="C114" i="6"/>
  <c r="C115" i="6"/>
  <c r="C116" i="6"/>
  <c r="C117" i="6"/>
  <c r="C118" i="6"/>
  <c r="C119" i="6"/>
  <c r="C120" i="6"/>
  <c r="C121" i="6"/>
  <c r="D121" i="6" s="1"/>
  <c r="C122" i="6"/>
  <c r="C2" i="6"/>
  <c r="D2" i="6" s="1"/>
  <c r="D3" i="6"/>
  <c r="D5" i="6"/>
  <c r="D8" i="6"/>
  <c r="D10" i="6"/>
  <c r="D11" i="6"/>
  <c r="D12" i="6"/>
  <c r="D13" i="6"/>
  <c r="D14" i="6"/>
  <c r="D15" i="6"/>
  <c r="D16" i="6"/>
  <c r="D18" i="6"/>
  <c r="D19" i="6"/>
  <c r="D21" i="6"/>
  <c r="D23" i="6"/>
  <c r="D24" i="6"/>
  <c r="D26" i="6"/>
  <c r="D27" i="6"/>
  <c r="D29" i="6"/>
  <c r="D32" i="6"/>
  <c r="D34" i="6"/>
  <c r="D35" i="6"/>
  <c r="D36" i="6"/>
  <c r="D37" i="6"/>
  <c r="D39" i="6"/>
  <c r="D40" i="6"/>
  <c r="D42" i="6"/>
  <c r="D43" i="6"/>
  <c r="D45" i="6"/>
  <c r="D48" i="6"/>
  <c r="D50" i="6"/>
  <c r="D51" i="6"/>
  <c r="D53" i="6"/>
  <c r="D56" i="6"/>
  <c r="D58" i="6"/>
  <c r="D59" i="6"/>
  <c r="D60" i="6"/>
  <c r="D61" i="6"/>
  <c r="D63" i="6"/>
  <c r="D64" i="6"/>
  <c r="D66" i="6"/>
  <c r="D67" i="6"/>
  <c r="D69" i="6"/>
  <c r="D71" i="6"/>
  <c r="D72" i="6"/>
  <c r="D74" i="6"/>
  <c r="D75" i="6"/>
  <c r="D76" i="6"/>
  <c r="D77" i="6"/>
  <c r="D78" i="6"/>
  <c r="D79" i="6"/>
  <c r="D80" i="6"/>
  <c r="D82" i="6"/>
  <c r="D83" i="6"/>
  <c r="D85" i="6"/>
  <c r="D87" i="6"/>
  <c r="D88" i="6"/>
  <c r="D90" i="6"/>
  <c r="D91" i="6"/>
  <c r="D93" i="6"/>
  <c r="D95" i="6"/>
  <c r="D96" i="6"/>
  <c r="D98" i="6"/>
  <c r="D99" i="6"/>
  <c r="D100" i="6"/>
  <c r="D101" i="6"/>
  <c r="D103" i="6"/>
  <c r="D104" i="6"/>
  <c r="D106" i="6"/>
  <c r="D107" i="6"/>
  <c r="D109" i="6"/>
  <c r="D111" i="6"/>
  <c r="D112" i="6"/>
  <c r="D114" i="6"/>
  <c r="D115" i="6"/>
  <c r="D116" i="6"/>
  <c r="D117" i="6"/>
  <c r="D118" i="6"/>
  <c r="D119" i="6"/>
  <c r="D120" i="6"/>
  <c r="D122" i="6"/>
  <c r="F3" i="5"/>
  <c r="F32" i="5"/>
  <c r="X117" i="29"/>
  <c r="X118" i="29"/>
  <c r="X119" i="29"/>
  <c r="X120" i="29"/>
  <c r="X121" i="29"/>
  <c r="X122" i="29"/>
  <c r="X123" i="29"/>
  <c r="V2" i="29"/>
  <c r="X124" i="29" l="1"/>
  <c r="H21" i="3"/>
  <c r="I21" i="3" s="1"/>
  <c r="H9" i="3"/>
  <c r="I9" i="3" s="1"/>
  <c r="H24" i="3"/>
  <c r="I24" i="3" s="1"/>
  <c r="H20" i="3"/>
  <c r="I20" i="3" s="1"/>
  <c r="H16" i="3"/>
  <c r="I16" i="3" s="1"/>
  <c r="H12" i="3"/>
  <c r="I12" i="3" s="1"/>
  <c r="H8" i="3"/>
  <c r="I8" i="3" s="1"/>
  <c r="H4" i="3"/>
  <c r="I4" i="3" s="1"/>
  <c r="H44" i="3"/>
  <c r="I44" i="3" s="1"/>
  <c r="H40" i="3"/>
  <c r="I40" i="3" s="1"/>
  <c r="H36" i="3"/>
  <c r="I36" i="3" s="1"/>
  <c r="H59" i="3"/>
  <c r="I59" i="3" s="1"/>
  <c r="H55" i="3"/>
  <c r="I55" i="3" s="1"/>
  <c r="H52" i="3"/>
  <c r="I52" i="3" s="1"/>
  <c r="H48" i="3"/>
  <c r="I48" i="3" s="1"/>
  <c r="H70" i="3"/>
  <c r="I70" i="3" s="1"/>
  <c r="H28" i="3"/>
  <c r="I28" i="3" s="1"/>
  <c r="I63" i="3"/>
  <c r="H19" i="3"/>
  <c r="I19" i="3" s="1"/>
  <c r="H7" i="3"/>
  <c r="I7" i="3" s="1"/>
  <c r="H3" i="3"/>
  <c r="I3" i="3" s="1"/>
  <c r="H43" i="3"/>
  <c r="I43" i="3" s="1"/>
  <c r="H39" i="3"/>
  <c r="I39" i="3" s="1"/>
  <c r="H35" i="3"/>
  <c r="I35" i="3" s="1"/>
  <c r="H58" i="3"/>
  <c r="I58" i="3" s="1"/>
  <c r="H54" i="3"/>
  <c r="I54" i="3" s="1"/>
  <c r="H51" i="3"/>
  <c r="I51" i="3" s="1"/>
  <c r="H73" i="3"/>
  <c r="I73" i="3" s="1"/>
  <c r="H69" i="3"/>
  <c r="I69" i="3" s="1"/>
  <c r="H66" i="3"/>
  <c r="I66" i="3" s="1"/>
  <c r="H11" i="3"/>
  <c r="I11" i="3" s="1"/>
  <c r="H32" i="3"/>
  <c r="I32" i="3" s="1"/>
  <c r="H26" i="3"/>
  <c r="I26" i="3" s="1"/>
  <c r="H31" i="3"/>
  <c r="I31" i="3" s="1"/>
  <c r="H47" i="3"/>
  <c r="I47" i="3" s="1"/>
  <c r="I62" i="3"/>
  <c r="H23" i="3"/>
  <c r="I23" i="3" s="1"/>
  <c r="H15" i="3"/>
  <c r="I15" i="3" s="1"/>
  <c r="H22" i="3"/>
  <c r="I22" i="3" s="1"/>
  <c r="H18" i="3"/>
  <c r="I18" i="3" s="1"/>
  <c r="H10" i="3"/>
  <c r="I10" i="3" s="1"/>
  <c r="H6" i="3"/>
  <c r="I6" i="3" s="1"/>
  <c r="H42" i="3"/>
  <c r="I42" i="3" s="1"/>
  <c r="H38" i="3"/>
  <c r="I38" i="3" s="1"/>
  <c r="H34" i="3"/>
  <c r="I34" i="3" s="1"/>
  <c r="H57" i="3"/>
  <c r="I57" i="3" s="1"/>
  <c r="H50" i="3"/>
  <c r="I50" i="3" s="1"/>
  <c r="H72" i="3"/>
  <c r="I72" i="3" s="1"/>
  <c r="H65" i="3"/>
  <c r="I65" i="3" s="1"/>
  <c r="H27" i="3"/>
  <c r="I27" i="3" s="1"/>
  <c r="H46" i="3"/>
  <c r="I46" i="3" s="1"/>
  <c r="H30" i="3"/>
  <c r="I30" i="3" s="1"/>
  <c r="I60" i="3"/>
  <c r="H53" i="3"/>
  <c r="I53" i="3" s="1"/>
  <c r="H68" i="3"/>
  <c r="I68" i="3" s="1"/>
  <c r="H25" i="3"/>
  <c r="I25" i="3" s="1"/>
  <c r="H14" i="3"/>
  <c r="I14" i="3" s="1"/>
  <c r="H5" i="3"/>
  <c r="I5" i="3" s="1"/>
  <c r="H45" i="3"/>
  <c r="I45" i="3" s="1"/>
  <c r="H41" i="3"/>
  <c r="I41" i="3" s="1"/>
  <c r="H37" i="3"/>
  <c r="I37" i="3" s="1"/>
  <c r="H56" i="3"/>
  <c r="I56" i="3" s="1"/>
  <c r="H49" i="3"/>
  <c r="I49" i="3" s="1"/>
  <c r="H71" i="3"/>
  <c r="I71" i="3" s="1"/>
  <c r="H61" i="3"/>
  <c r="I61" i="3" s="1"/>
  <c r="H17" i="3"/>
  <c r="I17" i="3" s="1"/>
  <c r="H13" i="3"/>
  <c r="I13" i="3" s="1"/>
  <c r="H33" i="3"/>
  <c r="I33" i="3" s="1"/>
  <c r="H29" i="3"/>
  <c r="I29" i="3" s="1"/>
  <c r="H74" i="3"/>
  <c r="I74" i="3" s="1"/>
  <c r="H67" i="3"/>
  <c r="I67" i="3" s="1"/>
  <c r="I64" i="3"/>
  <c r="U349" i="2"/>
  <c r="F16" i="5"/>
  <c r="F15" i="5"/>
  <c r="V3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5" i="29"/>
  <c r="V46" i="29"/>
  <c r="V47" i="29"/>
  <c r="V48" i="29"/>
  <c r="V49" i="29"/>
  <c r="V50" i="29"/>
  <c r="V51" i="29"/>
  <c r="V52" i="29"/>
  <c r="V53" i="29"/>
  <c r="V54" i="29"/>
  <c r="V55" i="29"/>
  <c r="V56" i="29"/>
  <c r="V57" i="29"/>
  <c r="V58" i="29"/>
  <c r="V59" i="29"/>
  <c r="V60" i="29"/>
  <c r="V61" i="29"/>
  <c r="V62" i="29"/>
  <c r="V63" i="29"/>
  <c r="V64" i="29"/>
  <c r="V65" i="29"/>
  <c r="V66" i="29"/>
  <c r="V67" i="29"/>
  <c r="V68" i="29"/>
  <c r="V69" i="29"/>
  <c r="V70" i="29"/>
  <c r="V71" i="29"/>
  <c r="V72" i="29"/>
  <c r="V73" i="29"/>
  <c r="V74" i="29"/>
  <c r="V75" i="29"/>
  <c r="V76" i="29"/>
  <c r="V77" i="29"/>
  <c r="V78" i="29"/>
  <c r="V79" i="29"/>
  <c r="V80" i="29"/>
  <c r="V81" i="29"/>
  <c r="V82" i="29"/>
  <c r="V83" i="29"/>
  <c r="V84" i="29"/>
  <c r="V85" i="29"/>
  <c r="V86" i="29"/>
  <c r="V87" i="29"/>
  <c r="V88" i="29"/>
  <c r="V89" i="29"/>
  <c r="V90" i="29"/>
  <c r="V91" i="29"/>
  <c r="V92" i="29"/>
  <c r="V93" i="29"/>
  <c r="V94" i="29"/>
  <c r="V95" i="29"/>
  <c r="V96" i="29"/>
  <c r="V97" i="29"/>
  <c r="V98" i="29"/>
  <c r="V99" i="29"/>
  <c r="V100" i="29"/>
  <c r="V101" i="29"/>
  <c r="V102" i="29"/>
  <c r="V103" i="29"/>
  <c r="V104" i="29"/>
  <c r="V105" i="29"/>
  <c r="V106" i="29"/>
  <c r="V107" i="29"/>
  <c r="V108" i="29"/>
  <c r="V109" i="29"/>
  <c r="V110" i="29"/>
  <c r="V111" i="29"/>
  <c r="V112" i="29"/>
  <c r="V113" i="29"/>
  <c r="V114" i="29"/>
  <c r="V115" i="29"/>
  <c r="V116" i="29"/>
  <c r="V117" i="29"/>
  <c r="V118" i="29"/>
  <c r="V119" i="29"/>
  <c r="V120" i="29"/>
  <c r="V121" i="29"/>
  <c r="V122" i="29"/>
  <c r="V123" i="29"/>
  <c r="F14" i="5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8" i="29"/>
  <c r="Q79" i="29"/>
  <c r="Q80" i="29"/>
  <c r="Q81" i="29"/>
  <c r="Q82" i="29"/>
  <c r="Q83" i="29"/>
  <c r="Q84" i="29"/>
  <c r="Q85" i="29"/>
  <c r="Q86" i="29"/>
  <c r="Q87" i="29"/>
  <c r="Q88" i="29"/>
  <c r="Q89" i="29"/>
  <c r="Q90" i="29"/>
  <c r="Q91" i="29"/>
  <c r="Q92" i="29"/>
  <c r="Q93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0" i="29"/>
  <c r="Q111" i="29"/>
  <c r="Q112" i="29"/>
  <c r="Q113" i="29"/>
  <c r="Q114" i="29"/>
  <c r="Q115" i="29"/>
  <c r="Q116" i="29"/>
  <c r="Q117" i="29"/>
  <c r="Q118" i="29"/>
  <c r="Q119" i="29"/>
  <c r="Q120" i="29"/>
  <c r="Q121" i="29"/>
  <c r="Q122" i="29"/>
  <c r="Q123" i="29"/>
  <c r="Q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2" i="29"/>
  <c r="N3" i="29"/>
  <c r="N4" i="29"/>
  <c r="N5" i="29"/>
  <c r="N7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N33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18" i="29"/>
  <c r="N119" i="29"/>
  <c r="N120" i="29"/>
  <c r="N121" i="29"/>
  <c r="N122" i="29"/>
  <c r="N123" i="29"/>
  <c r="N2" i="29"/>
  <c r="M3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2" i="29"/>
  <c r="L3" i="29"/>
  <c r="L4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61" i="29"/>
  <c r="L62" i="29"/>
  <c r="L63" i="29"/>
  <c r="L64" i="29"/>
  <c r="L65" i="29"/>
  <c r="L66" i="29"/>
  <c r="L67" i="29"/>
  <c r="L68" i="29"/>
  <c r="L69" i="29"/>
  <c r="L70" i="29"/>
  <c r="L71" i="29"/>
  <c r="L72" i="29"/>
  <c r="L73" i="29"/>
  <c r="L74" i="29"/>
  <c r="L75" i="29"/>
  <c r="L76" i="29"/>
  <c r="L77" i="29"/>
  <c r="L78" i="29"/>
  <c r="L79" i="29"/>
  <c r="L80" i="29"/>
  <c r="L81" i="29"/>
  <c r="L82" i="29"/>
  <c r="L83" i="29"/>
  <c r="L84" i="29"/>
  <c r="L85" i="29"/>
  <c r="L86" i="29"/>
  <c r="L87" i="29"/>
  <c r="L88" i="29"/>
  <c r="L89" i="29"/>
  <c r="L90" i="29"/>
  <c r="L91" i="29"/>
  <c r="L92" i="29"/>
  <c r="L93" i="29"/>
  <c r="L94" i="29"/>
  <c r="L95" i="29"/>
  <c r="L96" i="29"/>
  <c r="L97" i="29"/>
  <c r="L98" i="29"/>
  <c r="L99" i="29"/>
  <c r="L100" i="29"/>
  <c r="L101" i="29"/>
  <c r="L102" i="29"/>
  <c r="L103" i="29"/>
  <c r="L104" i="29"/>
  <c r="L105" i="29"/>
  <c r="L106" i="29"/>
  <c r="L107" i="29"/>
  <c r="L108" i="29"/>
  <c r="L109" i="29"/>
  <c r="L110" i="29"/>
  <c r="L111" i="29"/>
  <c r="L112" i="29"/>
  <c r="L113" i="29"/>
  <c r="L114" i="29"/>
  <c r="L115" i="29"/>
  <c r="L116" i="29"/>
  <c r="L118" i="29"/>
  <c r="L119" i="29"/>
  <c r="L120" i="29"/>
  <c r="L122" i="29"/>
  <c r="L123" i="29"/>
  <c r="L2" i="29"/>
  <c r="K3" i="29"/>
  <c r="K4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2" i="29"/>
  <c r="T7" i="29"/>
  <c r="U7" i="29" s="1"/>
  <c r="T8" i="29"/>
  <c r="U8" i="29" s="1"/>
  <c r="T10" i="29"/>
  <c r="U10" i="29" s="1"/>
  <c r="T16" i="29"/>
  <c r="U16" i="29" s="1"/>
  <c r="T23" i="29"/>
  <c r="U23" i="29" s="1"/>
  <c r="T24" i="29"/>
  <c r="U24" i="29" s="1"/>
  <c r="T28" i="29"/>
  <c r="U28" i="29" s="1"/>
  <c r="T30" i="29"/>
  <c r="U30" i="29" s="1"/>
  <c r="T31" i="29"/>
  <c r="U31" i="29" s="1"/>
  <c r="T37" i="29"/>
  <c r="U37" i="29" s="1"/>
  <c r="T38" i="29"/>
  <c r="U38" i="29" s="1"/>
  <c r="T39" i="29"/>
  <c r="U39" i="29" s="1"/>
  <c r="T42" i="29"/>
  <c r="U42" i="29" s="1"/>
  <c r="T45" i="29"/>
  <c r="U45" i="29" s="1"/>
  <c r="T52" i="29"/>
  <c r="U52" i="29" s="1"/>
  <c r="T53" i="29"/>
  <c r="U53" i="29" s="1"/>
  <c r="T57" i="29"/>
  <c r="U57" i="29" s="1"/>
  <c r="T67" i="29"/>
  <c r="U67" i="29" s="1"/>
  <c r="T68" i="29"/>
  <c r="U68" i="29" s="1"/>
  <c r="T73" i="29"/>
  <c r="U73" i="29" s="1"/>
  <c r="T75" i="29"/>
  <c r="U75" i="29" s="1"/>
  <c r="T79" i="29"/>
  <c r="U79" i="29" s="1"/>
  <c r="T85" i="29"/>
  <c r="U85" i="29" s="1"/>
  <c r="T89" i="29"/>
  <c r="U89" i="29" s="1"/>
  <c r="T91" i="29"/>
  <c r="U91" i="29" s="1"/>
  <c r="T94" i="29"/>
  <c r="U94" i="29" s="1"/>
  <c r="T96" i="29"/>
  <c r="U96" i="29" s="1"/>
  <c r="T101" i="29"/>
  <c r="U101" i="29" s="1"/>
  <c r="T102" i="29"/>
  <c r="U102" i="29" s="1"/>
  <c r="T105" i="29"/>
  <c r="U105" i="29" s="1"/>
  <c r="T107" i="29"/>
  <c r="T109" i="29"/>
  <c r="U109" i="29" s="1"/>
  <c r="T111" i="29"/>
  <c r="U111" i="29" s="1"/>
  <c r="T120" i="29"/>
  <c r="U120" i="29" s="1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3" i="29"/>
  <c r="J74" i="29"/>
  <c r="J75" i="29"/>
  <c r="J77" i="29"/>
  <c r="J78" i="29"/>
  <c r="J79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7" i="29"/>
  <c r="J108" i="29"/>
  <c r="J109" i="29"/>
  <c r="J110" i="29"/>
  <c r="J111" i="29"/>
  <c r="J112" i="29"/>
  <c r="J113" i="29"/>
  <c r="J114" i="29"/>
  <c r="J115" i="29"/>
  <c r="J116" i="29"/>
  <c r="J117" i="29"/>
  <c r="J118" i="29"/>
  <c r="J119" i="29"/>
  <c r="J120" i="29"/>
  <c r="J121" i="29"/>
  <c r="J122" i="29"/>
  <c r="J123" i="29"/>
  <c r="J2" i="29"/>
  <c r="I4" i="29"/>
  <c r="I5" i="29"/>
  <c r="I7" i="29"/>
  <c r="I9" i="29"/>
  <c r="I10" i="29"/>
  <c r="I11" i="29"/>
  <c r="I12" i="29"/>
  <c r="I13" i="29"/>
  <c r="I14" i="29"/>
  <c r="I16" i="29"/>
  <c r="I17" i="29"/>
  <c r="I18" i="29"/>
  <c r="I19" i="29"/>
  <c r="I20" i="29"/>
  <c r="I21" i="29"/>
  <c r="I23" i="29"/>
  <c r="I25" i="29"/>
  <c r="I27" i="29"/>
  <c r="I28" i="29"/>
  <c r="I29" i="29"/>
  <c r="I31" i="29"/>
  <c r="I32" i="29"/>
  <c r="I33" i="29"/>
  <c r="I38" i="29"/>
  <c r="I39" i="29"/>
  <c r="I41" i="29"/>
  <c r="I42" i="29"/>
  <c r="I43" i="29"/>
  <c r="I45" i="29"/>
  <c r="I46" i="29"/>
  <c r="I47" i="29"/>
  <c r="I49" i="29"/>
  <c r="I51" i="29"/>
  <c r="I52" i="29"/>
  <c r="I53" i="29"/>
  <c r="I54" i="29"/>
  <c r="I55" i="29"/>
  <c r="I57" i="29"/>
  <c r="I58" i="29"/>
  <c r="I59" i="29"/>
  <c r="I61" i="29"/>
  <c r="I62" i="29"/>
  <c r="I63" i="29"/>
  <c r="I64" i="29"/>
  <c r="I65" i="29"/>
  <c r="I67" i="29"/>
  <c r="I69" i="29"/>
  <c r="I70" i="29"/>
  <c r="I71" i="29"/>
  <c r="I72" i="29"/>
  <c r="I73" i="29"/>
  <c r="I75" i="29"/>
  <c r="I76" i="29"/>
  <c r="I77" i="29"/>
  <c r="I78" i="29"/>
  <c r="I79" i="29"/>
  <c r="I81" i="29"/>
  <c r="I82" i="29"/>
  <c r="I83" i="29"/>
  <c r="I84" i="29"/>
  <c r="I85" i="29"/>
  <c r="I86" i="29"/>
  <c r="I87" i="29"/>
  <c r="I89" i="29"/>
  <c r="I90" i="29"/>
  <c r="I91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7" i="29"/>
  <c r="I108" i="29"/>
  <c r="I109" i="29"/>
  <c r="I110" i="29"/>
  <c r="I111" i="29"/>
  <c r="I112" i="29"/>
  <c r="I113" i="29"/>
  <c r="I116" i="29"/>
  <c r="I120" i="29"/>
  <c r="I122" i="29"/>
  <c r="I123" i="29"/>
  <c r="I2" i="29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70" i="29"/>
  <c r="H71" i="29"/>
  <c r="H72" i="29"/>
  <c r="H73" i="29"/>
  <c r="H74" i="29"/>
  <c r="H75" i="29"/>
  <c r="H76" i="29"/>
  <c r="H77" i="29"/>
  <c r="H79" i="29"/>
  <c r="H80" i="29"/>
  <c r="H81" i="29"/>
  <c r="H82" i="29"/>
  <c r="H83" i="29"/>
  <c r="H84" i="29"/>
  <c r="H85" i="29"/>
  <c r="H86" i="29"/>
  <c r="H87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2" i="29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6" i="29"/>
  <c r="G117" i="29"/>
  <c r="G118" i="29"/>
  <c r="G119" i="29"/>
  <c r="G120" i="29"/>
  <c r="G121" i="29"/>
  <c r="G122" i="29"/>
  <c r="G12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2" i="29"/>
  <c r="F23" i="29"/>
  <c r="F24" i="29"/>
  <c r="F26" i="29"/>
  <c r="F27" i="29"/>
  <c r="F28" i="29"/>
  <c r="F30" i="29"/>
  <c r="F31" i="29"/>
  <c r="F32" i="29"/>
  <c r="F34" i="29"/>
  <c r="F35" i="29"/>
  <c r="F37" i="29"/>
  <c r="F38" i="29"/>
  <c r="F39" i="29"/>
  <c r="F41" i="29"/>
  <c r="F42" i="29"/>
  <c r="F43" i="29"/>
  <c r="F44" i="29"/>
  <c r="F45" i="29"/>
  <c r="F46" i="29"/>
  <c r="F47" i="29"/>
  <c r="F48" i="29"/>
  <c r="F49" i="29"/>
  <c r="F50" i="29"/>
  <c r="F52" i="29"/>
  <c r="F53" i="29"/>
  <c r="F54" i="29"/>
  <c r="F55" i="29"/>
  <c r="F56" i="29"/>
  <c r="F57" i="29"/>
  <c r="F58" i="29"/>
  <c r="F59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9" i="29"/>
  <c r="F120" i="29"/>
  <c r="F122" i="29"/>
  <c r="F123" i="29"/>
  <c r="F2" i="29"/>
  <c r="E4" i="29"/>
  <c r="E5" i="29"/>
  <c r="E6" i="29"/>
  <c r="E7" i="29"/>
  <c r="E8" i="29"/>
  <c r="E9" i="29"/>
  <c r="E11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4" i="29"/>
  <c r="E35" i="29"/>
  <c r="E36" i="29"/>
  <c r="E37" i="29"/>
  <c r="E38" i="29"/>
  <c r="E39" i="29"/>
  <c r="E40" i="29"/>
  <c r="E42" i="29"/>
  <c r="E43" i="29"/>
  <c r="E45" i="29"/>
  <c r="E47" i="29"/>
  <c r="E48" i="29"/>
  <c r="E49" i="29"/>
  <c r="E50" i="29"/>
  <c r="E51" i="29"/>
  <c r="E53" i="29"/>
  <c r="E54" i="29"/>
  <c r="E57" i="29"/>
  <c r="E59" i="29"/>
  <c r="E60" i="29"/>
  <c r="E61" i="29"/>
  <c r="E62" i="29"/>
  <c r="E63" i="29"/>
  <c r="E64" i="29"/>
  <c r="E65" i="29"/>
  <c r="E67" i="29"/>
  <c r="E68" i="29"/>
  <c r="E71" i="29"/>
  <c r="E72" i="29"/>
  <c r="E73" i="29"/>
  <c r="E74" i="29"/>
  <c r="E75" i="29"/>
  <c r="E76" i="29"/>
  <c r="E77" i="29"/>
  <c r="E78" i="29"/>
  <c r="E79" i="29"/>
  <c r="E80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6" i="29"/>
  <c r="E97" i="29"/>
  <c r="E98" i="29"/>
  <c r="E99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9" i="29"/>
  <c r="E120" i="29"/>
  <c r="E121" i="29"/>
  <c r="E122" i="29"/>
  <c r="E123" i="29"/>
  <c r="E2" i="29"/>
  <c r="D4" i="29"/>
  <c r="D5" i="29"/>
  <c r="D6" i="29"/>
  <c r="D7" i="29"/>
  <c r="D8" i="29"/>
  <c r="D9" i="29"/>
  <c r="D10" i="29"/>
  <c r="D11" i="29"/>
  <c r="D12" i="29"/>
  <c r="D13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31" i="29"/>
  <c r="D33" i="29"/>
  <c r="D34" i="29"/>
  <c r="D35" i="29"/>
  <c r="D36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5" i="29"/>
  <c r="D107" i="29"/>
  <c r="D108" i="29"/>
  <c r="D109" i="29"/>
  <c r="D110" i="29"/>
  <c r="D111" i="29"/>
  <c r="D113" i="29"/>
  <c r="D115" i="29"/>
  <c r="D116" i="29"/>
  <c r="D120" i="29"/>
  <c r="D122" i="29"/>
  <c r="D123" i="29"/>
  <c r="D2" i="29"/>
  <c r="F21" i="5"/>
  <c r="F22" i="5"/>
  <c r="F24" i="5"/>
  <c r="F20" i="5"/>
  <c r="F17" i="5" l="1"/>
  <c r="V124" i="29"/>
  <c r="P124" i="29"/>
  <c r="R124" i="29"/>
  <c r="Q124" i="29"/>
  <c r="O124" i="29"/>
  <c r="M124" i="29"/>
  <c r="K124" i="29"/>
  <c r="F30" i="5" l="1"/>
  <c r="N34" i="29" l="1"/>
  <c r="E123" i="22" l="1"/>
  <c r="T71" i="29" l="1"/>
  <c r="U71" i="29" s="1"/>
  <c r="J106" i="29" l="1"/>
  <c r="E41" i="29"/>
  <c r="E12" i="29"/>
  <c r="N9" i="29"/>
  <c r="E69" i="29"/>
  <c r="E44" i="29"/>
  <c r="E56" i="29"/>
  <c r="I114" i="29"/>
  <c r="T19" i="29"/>
  <c r="U19" i="29" s="1"/>
  <c r="T64" i="29"/>
  <c r="U64" i="29" s="1"/>
  <c r="T25" i="29"/>
  <c r="U25" i="29" s="1"/>
  <c r="T76" i="29"/>
  <c r="U76" i="29" s="1"/>
  <c r="T63" i="29" l="1"/>
  <c r="U63" i="29" s="1"/>
  <c r="D114" i="29"/>
  <c r="T90" i="29" l="1"/>
  <c r="U90" i="29" s="1"/>
  <c r="D30" i="29"/>
  <c r="D3" i="29"/>
  <c r="A2" i="3"/>
  <c r="A2" i="2"/>
  <c r="D121" i="29"/>
  <c r="I35" i="29"/>
  <c r="F29" i="29"/>
  <c r="N8" i="29"/>
  <c r="F21" i="29"/>
  <c r="I66" i="29"/>
  <c r="I68" i="29"/>
  <c r="T59" i="29" l="1"/>
  <c r="U59" i="29" s="1"/>
  <c r="T17" i="29"/>
  <c r="U17" i="29" s="1"/>
  <c r="T14" i="29"/>
  <c r="U14" i="29" s="1"/>
  <c r="T77" i="29"/>
  <c r="U77" i="29" s="1"/>
  <c r="T32" i="29"/>
  <c r="U32" i="29" s="1"/>
  <c r="T62" i="29"/>
  <c r="U62" i="29" s="1"/>
  <c r="E33" i="29"/>
  <c r="D32" i="29"/>
  <c r="E46" i="29"/>
  <c r="D117" i="29"/>
  <c r="D112" i="29"/>
  <c r="I24" i="29"/>
  <c r="E55" i="29"/>
  <c r="E95" i="29"/>
  <c r="I30" i="29"/>
  <c r="N6" i="29"/>
  <c r="D14" i="29"/>
  <c r="D118" i="29"/>
  <c r="F25" i="29"/>
  <c r="J72" i="29"/>
  <c r="D29" i="29"/>
  <c r="F51" i="29"/>
  <c r="J76" i="29"/>
  <c r="D37" i="29"/>
  <c r="D119" i="29"/>
  <c r="G115" i="29"/>
  <c r="I37" i="29"/>
  <c r="I3" i="29"/>
  <c r="I92" i="29"/>
  <c r="F3" i="29"/>
  <c r="N70" i="29"/>
  <c r="D56" i="29"/>
  <c r="D70" i="29"/>
  <c r="I56" i="29"/>
  <c r="I50" i="29"/>
  <c r="F60" i="29" l="1"/>
  <c r="G50" i="29"/>
  <c r="I48" i="29"/>
  <c r="N10" i="29"/>
  <c r="D55" i="29"/>
  <c r="I74" i="29"/>
  <c r="F86" i="29"/>
  <c r="I40" i="29"/>
  <c r="H69" i="29"/>
  <c r="I8" i="29"/>
  <c r="F33" i="29"/>
  <c r="T29" i="29"/>
  <c r="U29" i="29" s="1"/>
  <c r="F37" i="5"/>
  <c r="T41" i="29"/>
  <c r="U41" i="29" s="1"/>
  <c r="T27" i="29"/>
  <c r="U27" i="29" s="1"/>
  <c r="T46" i="29"/>
  <c r="U46" i="29" s="1"/>
  <c r="T26" i="29"/>
  <c r="U26" i="29" s="1"/>
  <c r="T100" i="29"/>
  <c r="U100" i="29" s="1"/>
  <c r="T55" i="29"/>
  <c r="U55" i="29" s="1"/>
  <c r="T70" i="29" l="1"/>
  <c r="U70" i="29" s="1"/>
  <c r="T35" i="29"/>
  <c r="U35" i="29" s="1"/>
  <c r="T2" i="29"/>
  <c r="U2" i="29" s="1"/>
  <c r="T56" i="29"/>
  <c r="U56" i="29" s="1"/>
  <c r="T33" i="29"/>
  <c r="U33" i="29" s="1"/>
  <c r="T83" i="29"/>
  <c r="U83" i="29" s="1"/>
  <c r="T116" i="29"/>
  <c r="T74" i="29"/>
  <c r="U74" i="29" s="1"/>
  <c r="T61" i="29"/>
  <c r="U61" i="29" s="1"/>
  <c r="T44" i="29"/>
  <c r="U44" i="29" s="1"/>
  <c r="T93" i="29"/>
  <c r="U93" i="29" s="1"/>
  <c r="T40" i="29"/>
  <c r="U40" i="29" s="1"/>
  <c r="T49" i="29"/>
  <c r="U49" i="29" s="1"/>
  <c r="T48" i="29"/>
  <c r="U48" i="29" s="1"/>
  <c r="T118" i="29"/>
  <c r="U118" i="29" s="1"/>
  <c r="T108" i="29"/>
  <c r="U108" i="29" s="1"/>
  <c r="T50" i="29"/>
  <c r="U50" i="29" s="1"/>
  <c r="T66" i="29"/>
  <c r="U66" i="29" s="1"/>
  <c r="T65" i="29"/>
  <c r="U65" i="29" s="1"/>
  <c r="T12" i="29"/>
  <c r="U12" i="29" s="1"/>
  <c r="T78" i="29"/>
  <c r="U78" i="29" s="1"/>
  <c r="T122" i="29"/>
  <c r="U122" i="29" s="1"/>
  <c r="T115" i="29"/>
  <c r="U115" i="29" s="1"/>
  <c r="T99" i="29"/>
  <c r="U99" i="29" s="1"/>
  <c r="T47" i="29"/>
  <c r="U47" i="29" s="1"/>
  <c r="T5" i="29"/>
  <c r="U5" i="29" s="1"/>
  <c r="T98" i="29"/>
  <c r="U98" i="29" s="1"/>
  <c r="T112" i="29"/>
  <c r="U112" i="29" s="1"/>
  <c r="T6" i="29"/>
  <c r="U6" i="29" s="1"/>
  <c r="T69" i="29"/>
  <c r="U69" i="29" s="1"/>
  <c r="T54" i="29"/>
  <c r="U54" i="29" s="1"/>
  <c r="T86" i="29"/>
  <c r="U86" i="29" s="1"/>
  <c r="T11" i="29"/>
  <c r="U11" i="29" s="1"/>
  <c r="T18" i="29"/>
  <c r="U18" i="29" s="1"/>
  <c r="G124" i="29"/>
  <c r="C2" i="3"/>
  <c r="I22" i="29"/>
  <c r="E118" i="29"/>
  <c r="F117" i="29"/>
  <c r="F121" i="29"/>
  <c r="I117" i="29"/>
  <c r="I88" i="29"/>
  <c r="H88" i="29"/>
  <c r="D106" i="29"/>
  <c r="F36" i="29"/>
  <c r="F118" i="29"/>
  <c r="I36" i="29"/>
  <c r="I118" i="29"/>
  <c r="I106" i="29"/>
  <c r="D104" i="29"/>
  <c r="H2" i="22" l="1"/>
  <c r="V2" i="22" s="1"/>
  <c r="Z2" i="29" s="1"/>
  <c r="T4" i="29"/>
  <c r="U4" i="29" s="1"/>
  <c r="T3" i="29"/>
  <c r="U3" i="29" s="1"/>
  <c r="L121" i="29"/>
  <c r="E100" i="29"/>
  <c r="D124" i="29"/>
  <c r="I44" i="29"/>
  <c r="H78" i="29"/>
  <c r="H108" i="29"/>
  <c r="L117" i="29"/>
  <c r="I80" i="29"/>
  <c r="I115" i="29"/>
  <c r="F110" i="29"/>
  <c r="E70" i="29"/>
  <c r="I15" i="29"/>
  <c r="E52" i="29"/>
  <c r="I119" i="29"/>
  <c r="J22" i="29"/>
  <c r="J124" i="29" s="1"/>
  <c r="I60" i="29"/>
  <c r="E58" i="29"/>
  <c r="N35" i="29"/>
  <c r="I34" i="29"/>
  <c r="E3" i="29"/>
  <c r="I121" i="29"/>
  <c r="I26" i="29"/>
  <c r="L124" i="29" l="1"/>
  <c r="I124" i="29"/>
  <c r="E82" i="29"/>
  <c r="F40" i="29"/>
  <c r="H124" i="29"/>
  <c r="N124" i="29"/>
  <c r="E81" i="29"/>
  <c r="C2" i="2"/>
  <c r="C107" i="22"/>
  <c r="C106" i="22"/>
  <c r="C105" i="22"/>
  <c r="C104" i="22"/>
  <c r="C103" i="22"/>
  <c r="T21" i="29"/>
  <c r="U21" i="29" s="1"/>
  <c r="W4" i="29" l="1"/>
  <c r="W12" i="29"/>
  <c r="W28" i="29"/>
  <c r="W44" i="29"/>
  <c r="W52" i="29"/>
  <c r="W68" i="29"/>
  <c r="W76" i="29"/>
  <c r="W100" i="29"/>
  <c r="W108" i="29"/>
  <c r="W116" i="29"/>
  <c r="W2" i="29"/>
  <c r="W18" i="29"/>
  <c r="W5" i="29"/>
  <c r="W21" i="29"/>
  <c r="W29" i="29"/>
  <c r="W37" i="29"/>
  <c r="W45" i="29"/>
  <c r="W53" i="29"/>
  <c r="W61" i="29"/>
  <c r="W69" i="29"/>
  <c r="W77" i="29"/>
  <c r="W85" i="29"/>
  <c r="W93" i="29"/>
  <c r="W101" i="29"/>
  <c r="W109" i="29"/>
  <c r="W26" i="29"/>
  <c r="W74" i="29"/>
  <c r="W122" i="29"/>
  <c r="W27" i="29"/>
  <c r="W67" i="29"/>
  <c r="W107" i="29"/>
  <c r="W6" i="29"/>
  <c r="W14" i="29"/>
  <c r="W30" i="29"/>
  <c r="W38" i="29"/>
  <c r="W46" i="29"/>
  <c r="W54" i="29"/>
  <c r="W62" i="29"/>
  <c r="W70" i="29"/>
  <c r="W78" i="29"/>
  <c r="W86" i="29"/>
  <c r="W94" i="29"/>
  <c r="W102" i="29"/>
  <c r="W118" i="29"/>
  <c r="W3" i="29"/>
  <c r="W99" i="29"/>
  <c r="W7" i="29"/>
  <c r="W23" i="29"/>
  <c r="W31" i="29"/>
  <c r="W39" i="29"/>
  <c r="W47" i="29"/>
  <c r="W55" i="29"/>
  <c r="W63" i="29"/>
  <c r="W71" i="29"/>
  <c r="W79" i="29"/>
  <c r="W111" i="29"/>
  <c r="W42" i="29"/>
  <c r="W35" i="29"/>
  <c r="W83" i="29"/>
  <c r="W8" i="29"/>
  <c r="W16" i="29"/>
  <c r="W24" i="29"/>
  <c r="W32" i="29"/>
  <c r="W40" i="29"/>
  <c r="W48" i="29"/>
  <c r="W56" i="29"/>
  <c r="W64" i="29"/>
  <c r="W96" i="29"/>
  <c r="W112" i="29"/>
  <c r="W120" i="29"/>
  <c r="W50" i="29"/>
  <c r="W98" i="29"/>
  <c r="W11" i="29"/>
  <c r="W75" i="29"/>
  <c r="W115" i="29"/>
  <c r="W17" i="29"/>
  <c r="W25" i="29"/>
  <c r="W33" i="29"/>
  <c r="W41" i="29"/>
  <c r="W49" i="29"/>
  <c r="W57" i="29"/>
  <c r="W65" i="29"/>
  <c r="W73" i="29"/>
  <c r="W89" i="29"/>
  <c r="W105" i="29"/>
  <c r="W90" i="29"/>
  <c r="W19" i="29"/>
  <c r="W59" i="29"/>
  <c r="W91" i="29"/>
  <c r="F124" i="29"/>
  <c r="E66" i="29"/>
  <c r="E10" i="29"/>
  <c r="T121" i="29"/>
  <c r="U121" i="29" s="1"/>
  <c r="AA2" i="29" l="1"/>
  <c r="W2" i="6" s="1"/>
  <c r="AB40" i="29"/>
  <c r="X40" i="6" s="1"/>
  <c r="AB8" i="29"/>
  <c r="X8" i="6" s="1"/>
  <c r="AB118" i="29"/>
  <c r="X118" i="6" s="1"/>
  <c r="AB93" i="29"/>
  <c r="X93" i="6" s="1"/>
  <c r="AB29" i="29"/>
  <c r="X29" i="6" s="1"/>
  <c r="AB2" i="29"/>
  <c r="X2" i="6" s="1"/>
  <c r="AB19" i="29"/>
  <c r="X19" i="6" s="1"/>
  <c r="AB89" i="29"/>
  <c r="X89" i="6" s="1"/>
  <c r="AB25" i="29"/>
  <c r="X25" i="6" s="1"/>
  <c r="AB50" i="29"/>
  <c r="X50" i="6" s="1"/>
  <c r="AB64" i="29"/>
  <c r="X64" i="6" s="1"/>
  <c r="AB83" i="29"/>
  <c r="X83" i="6" s="1"/>
  <c r="AB23" i="29"/>
  <c r="X23" i="6" s="1"/>
  <c r="AB46" i="29"/>
  <c r="X46" i="6" s="1"/>
  <c r="AB27" i="29"/>
  <c r="X27" i="6" s="1"/>
  <c r="AB85" i="29"/>
  <c r="X85" i="6" s="1"/>
  <c r="AB21" i="29"/>
  <c r="X21" i="6" s="1"/>
  <c r="AB116" i="29"/>
  <c r="X116" i="6" s="1"/>
  <c r="AB52" i="29"/>
  <c r="X52" i="6" s="1"/>
  <c r="AB33" i="29"/>
  <c r="X33" i="6" s="1"/>
  <c r="AB31" i="29"/>
  <c r="X31" i="6" s="1"/>
  <c r="AB67" i="29"/>
  <c r="X67" i="6" s="1"/>
  <c r="AB17" i="29"/>
  <c r="X17" i="6" s="1"/>
  <c r="AB120" i="29"/>
  <c r="X120" i="6" s="1"/>
  <c r="AB56" i="29"/>
  <c r="X56" i="6" s="1"/>
  <c r="AB35" i="29"/>
  <c r="X35" i="6" s="1"/>
  <c r="AB79" i="29"/>
  <c r="X79" i="6" s="1"/>
  <c r="AB102" i="29"/>
  <c r="X102" i="6" s="1"/>
  <c r="AB38" i="29"/>
  <c r="X38" i="6" s="1"/>
  <c r="AB122" i="29"/>
  <c r="X122" i="6" s="1"/>
  <c r="AB77" i="29"/>
  <c r="X77" i="6" s="1"/>
  <c r="AB108" i="29"/>
  <c r="X108" i="6" s="1"/>
  <c r="AB44" i="29"/>
  <c r="X44" i="6" s="1"/>
  <c r="AB59" i="29"/>
  <c r="X59" i="6" s="1"/>
  <c r="AB98" i="29"/>
  <c r="X98" i="6" s="1"/>
  <c r="AB54" i="29"/>
  <c r="X54" i="6" s="1"/>
  <c r="AB90" i="29"/>
  <c r="X90" i="6" s="1"/>
  <c r="AB73" i="29"/>
  <c r="X73" i="6" s="1"/>
  <c r="AB112" i="29"/>
  <c r="X112" i="6" s="1"/>
  <c r="AB48" i="29"/>
  <c r="X48" i="6" s="1"/>
  <c r="AB71" i="29"/>
  <c r="X71" i="6" s="1"/>
  <c r="AB7" i="29"/>
  <c r="X7" i="6" s="1"/>
  <c r="AB94" i="29"/>
  <c r="X94" i="6" s="1"/>
  <c r="AB30" i="29"/>
  <c r="X30" i="6" s="1"/>
  <c r="AB74" i="29"/>
  <c r="X74" i="6" s="1"/>
  <c r="AB69" i="29"/>
  <c r="X69" i="6" s="1"/>
  <c r="AB5" i="29"/>
  <c r="X5" i="6" s="1"/>
  <c r="AB100" i="29"/>
  <c r="X100" i="6" s="1"/>
  <c r="AB65" i="29"/>
  <c r="X65" i="6" s="1"/>
  <c r="AB42" i="29"/>
  <c r="X42" i="6" s="1"/>
  <c r="AB99" i="29"/>
  <c r="X99" i="6" s="1"/>
  <c r="AB86" i="29"/>
  <c r="X86" i="6" s="1"/>
  <c r="AB26" i="29"/>
  <c r="X26" i="6" s="1"/>
  <c r="AB61" i="29"/>
  <c r="X61" i="6" s="1"/>
  <c r="AB28" i="29"/>
  <c r="X28" i="6" s="1"/>
  <c r="AB115" i="29"/>
  <c r="X115" i="6" s="1"/>
  <c r="AB63" i="29"/>
  <c r="X63" i="6" s="1"/>
  <c r="AB57" i="29"/>
  <c r="X57" i="6" s="1"/>
  <c r="AB75" i="29"/>
  <c r="X75" i="6" s="1"/>
  <c r="AB96" i="29"/>
  <c r="X96" i="6" s="1"/>
  <c r="AB32" i="29"/>
  <c r="X32" i="6" s="1"/>
  <c r="AB55" i="29"/>
  <c r="X55" i="6" s="1"/>
  <c r="AB3" i="29"/>
  <c r="X3" i="6" s="1"/>
  <c r="AB78" i="29"/>
  <c r="X78" i="6" s="1"/>
  <c r="AB14" i="29"/>
  <c r="X14" i="6" s="1"/>
  <c r="AB53" i="29"/>
  <c r="X53" i="6" s="1"/>
  <c r="AB49" i="29"/>
  <c r="X49" i="6" s="1"/>
  <c r="AB24" i="29"/>
  <c r="X24" i="6" s="1"/>
  <c r="AB47" i="29"/>
  <c r="X47" i="6" s="1"/>
  <c r="AB70" i="29"/>
  <c r="X70" i="6" s="1"/>
  <c r="AB6" i="29"/>
  <c r="X6" i="6" s="1"/>
  <c r="AB109" i="29"/>
  <c r="X109" i="6" s="1"/>
  <c r="AB45" i="29"/>
  <c r="X45" i="6" s="1"/>
  <c r="AB76" i="29"/>
  <c r="X76" i="6" s="1"/>
  <c r="AB12" i="29"/>
  <c r="X12" i="6" s="1"/>
  <c r="AB111" i="29"/>
  <c r="X111" i="6" s="1"/>
  <c r="AB91" i="29"/>
  <c r="X91" i="6" s="1"/>
  <c r="AB105" i="29"/>
  <c r="X105" i="6" s="1"/>
  <c r="AB41" i="29"/>
  <c r="X41" i="6" s="1"/>
  <c r="AB11" i="29"/>
  <c r="X11" i="6" s="1"/>
  <c r="AB16" i="29"/>
  <c r="X16" i="6" s="1"/>
  <c r="AB39" i="29"/>
  <c r="X39" i="6" s="1"/>
  <c r="AB62" i="29"/>
  <c r="X62" i="6" s="1"/>
  <c r="AB107" i="29"/>
  <c r="X107" i="6" s="1"/>
  <c r="AB101" i="29"/>
  <c r="X101" i="6" s="1"/>
  <c r="AB37" i="29"/>
  <c r="X37" i="6" s="1"/>
  <c r="AB18" i="29"/>
  <c r="X18" i="6" s="1"/>
  <c r="AB68" i="29"/>
  <c r="X68" i="6" s="1"/>
  <c r="AB4" i="29"/>
  <c r="X4" i="6" s="1"/>
  <c r="W121" i="29"/>
  <c r="W66" i="29"/>
  <c r="W10" i="29"/>
  <c r="E124" i="29"/>
  <c r="F31" i="5"/>
  <c r="F29" i="5"/>
  <c r="F27" i="5"/>
  <c r="F26" i="5"/>
  <c r="F25" i="5"/>
  <c r="F23" i="5"/>
  <c r="AD2" i="29" l="1"/>
  <c r="AB66" i="29"/>
  <c r="X66" i="6" s="1"/>
  <c r="AB10" i="29"/>
  <c r="X10" i="6" s="1"/>
  <c r="AB121" i="29"/>
  <c r="X121" i="6" s="1"/>
  <c r="T117" i="29" l="1"/>
  <c r="T114" i="29"/>
  <c r="T113" i="29" l="1"/>
  <c r="U114" i="29"/>
  <c r="W114" i="29" s="1"/>
  <c r="U117" i="29"/>
  <c r="W117" i="29" s="1"/>
  <c r="AB117" i="29" l="1"/>
  <c r="X117" i="6" s="1"/>
  <c r="AB114" i="29"/>
  <c r="X114" i="6" s="1"/>
  <c r="U113" i="29"/>
  <c r="W113" i="29" s="1"/>
  <c r="AB113" i="29" l="1"/>
  <c r="X113" i="6" s="1"/>
  <c r="T110" i="29"/>
  <c r="U110" i="29" l="1"/>
  <c r="W110" i="29" s="1"/>
  <c r="AB110" i="29" l="1"/>
  <c r="X110" i="6" s="1"/>
  <c r="T43" i="29"/>
  <c r="T60" i="29"/>
  <c r="U60" i="29" l="1"/>
  <c r="W60" i="29" s="1"/>
  <c r="T58" i="29"/>
  <c r="T51" i="29"/>
  <c r="U43" i="29"/>
  <c r="W43" i="29" s="1"/>
  <c r="Y128" i="6"/>
  <c r="AB43" i="29" l="1"/>
  <c r="X43" i="6" s="1"/>
  <c r="AB60" i="29"/>
  <c r="X60" i="6" s="1"/>
  <c r="U51" i="29"/>
  <c r="W51" i="29" s="1"/>
  <c r="U58" i="29"/>
  <c r="W58" i="29" s="1"/>
  <c r="Y125" i="6"/>
  <c r="W131" i="6" s="1"/>
  <c r="AB58" i="29" l="1"/>
  <c r="X58" i="6" s="1"/>
  <c r="AB51" i="29"/>
  <c r="X51" i="6" s="1"/>
  <c r="A48" i="5" l="1"/>
  <c r="C48" i="5" s="1"/>
  <c r="C49" i="5" l="1"/>
  <c r="C51" i="5"/>
  <c r="C53" i="5"/>
  <c r="C55" i="5"/>
  <c r="C57" i="5"/>
  <c r="C59" i="5"/>
  <c r="C61" i="5"/>
  <c r="C63" i="5"/>
  <c r="C65" i="5"/>
  <c r="C67" i="5"/>
  <c r="C69" i="5"/>
  <c r="C71" i="5"/>
  <c r="C73" i="5"/>
  <c r="C75" i="5"/>
  <c r="C77" i="5"/>
  <c r="C79" i="5"/>
  <c r="C81" i="5"/>
  <c r="C83" i="5"/>
  <c r="C85" i="5"/>
  <c r="C87" i="5"/>
  <c r="C89" i="5"/>
  <c r="C91" i="5"/>
  <c r="C93" i="5"/>
  <c r="C95" i="5"/>
  <c r="C97" i="5"/>
  <c r="C99" i="5"/>
  <c r="C101" i="5"/>
  <c r="C103" i="5"/>
  <c r="C105" i="5"/>
  <c r="C107" i="5"/>
  <c r="C109" i="5"/>
  <c r="C111" i="5"/>
  <c r="C113" i="5"/>
  <c r="C115" i="5"/>
  <c r="C117" i="5"/>
  <c r="C119" i="5"/>
  <c r="C121" i="5"/>
  <c r="C123" i="5"/>
  <c r="C125" i="5"/>
  <c r="C127" i="5"/>
  <c r="C129" i="5"/>
  <c r="C131" i="5"/>
  <c r="C133" i="5"/>
  <c r="C135" i="5"/>
  <c r="C137" i="5"/>
  <c r="C139" i="5"/>
  <c r="C141" i="5"/>
  <c r="C143" i="5"/>
  <c r="C145" i="5"/>
  <c r="C147" i="5"/>
  <c r="C149" i="5"/>
  <c r="C151" i="5"/>
  <c r="C153" i="5"/>
  <c r="C155" i="5"/>
  <c r="C157" i="5"/>
  <c r="C159" i="5"/>
  <c r="C161" i="5"/>
  <c r="C163" i="5"/>
  <c r="C165" i="5"/>
  <c r="C167" i="5"/>
  <c r="C169" i="5"/>
  <c r="C171" i="5"/>
  <c r="C173" i="5"/>
  <c r="C175" i="5"/>
  <c r="C177" i="5"/>
  <c r="C179" i="5"/>
  <c r="C181" i="5"/>
  <c r="C183" i="5"/>
  <c r="C185" i="5"/>
  <c r="C187" i="5"/>
  <c r="C189" i="5"/>
  <c r="C191" i="5"/>
  <c r="C193" i="5"/>
  <c r="C195" i="5"/>
  <c r="C197" i="5"/>
  <c r="C199" i="5"/>
  <c r="E193" i="5"/>
  <c r="D49" i="5"/>
  <c r="D51" i="5"/>
  <c r="D53" i="5"/>
  <c r="D55" i="5"/>
  <c r="D57" i="5"/>
  <c r="D59" i="5"/>
  <c r="D61" i="5"/>
  <c r="D63" i="5"/>
  <c r="D65" i="5"/>
  <c r="D67" i="5"/>
  <c r="D69" i="5"/>
  <c r="D71" i="5"/>
  <c r="D73" i="5"/>
  <c r="D75" i="5"/>
  <c r="D77" i="5"/>
  <c r="D79" i="5"/>
  <c r="D81" i="5"/>
  <c r="D83" i="5"/>
  <c r="D85" i="5"/>
  <c r="D87" i="5"/>
  <c r="D89" i="5"/>
  <c r="D91" i="5"/>
  <c r="D93" i="5"/>
  <c r="D95" i="5"/>
  <c r="D97" i="5"/>
  <c r="D99" i="5"/>
  <c r="D101" i="5"/>
  <c r="D103" i="5"/>
  <c r="D105" i="5"/>
  <c r="D107" i="5"/>
  <c r="D109" i="5"/>
  <c r="D111" i="5"/>
  <c r="D113" i="5"/>
  <c r="D115" i="5"/>
  <c r="D117" i="5"/>
  <c r="D119" i="5"/>
  <c r="D121" i="5"/>
  <c r="D123" i="5"/>
  <c r="D125" i="5"/>
  <c r="D127" i="5"/>
  <c r="D129" i="5"/>
  <c r="D131" i="5"/>
  <c r="D133" i="5"/>
  <c r="D135" i="5"/>
  <c r="D137" i="5"/>
  <c r="D139" i="5"/>
  <c r="D141" i="5"/>
  <c r="D143" i="5"/>
  <c r="D145" i="5"/>
  <c r="D147" i="5"/>
  <c r="D149" i="5"/>
  <c r="D151" i="5"/>
  <c r="D153" i="5"/>
  <c r="D155" i="5"/>
  <c r="D157" i="5"/>
  <c r="D159" i="5"/>
  <c r="D161" i="5"/>
  <c r="D163" i="5"/>
  <c r="D165" i="5"/>
  <c r="D167" i="5"/>
  <c r="D169" i="5"/>
  <c r="D171" i="5"/>
  <c r="D173" i="5"/>
  <c r="D175" i="5"/>
  <c r="D177" i="5"/>
  <c r="D179" i="5"/>
  <c r="D181" i="5"/>
  <c r="D183" i="5"/>
  <c r="D185" i="5"/>
  <c r="D187" i="5"/>
  <c r="D189" i="5"/>
  <c r="D191" i="5"/>
  <c r="D193" i="5"/>
  <c r="D195" i="5"/>
  <c r="D197" i="5"/>
  <c r="D199" i="5"/>
  <c r="E199" i="5"/>
  <c r="E49" i="5"/>
  <c r="E51" i="5"/>
  <c r="E53" i="5"/>
  <c r="E55" i="5"/>
  <c r="E57" i="5"/>
  <c r="E59" i="5"/>
  <c r="E61" i="5"/>
  <c r="E63" i="5"/>
  <c r="E65" i="5"/>
  <c r="E67" i="5"/>
  <c r="E69" i="5"/>
  <c r="E71" i="5"/>
  <c r="E73" i="5"/>
  <c r="E75" i="5"/>
  <c r="E77" i="5"/>
  <c r="E79" i="5"/>
  <c r="E81" i="5"/>
  <c r="E83" i="5"/>
  <c r="E85" i="5"/>
  <c r="E87" i="5"/>
  <c r="E89" i="5"/>
  <c r="E91" i="5"/>
  <c r="E93" i="5"/>
  <c r="E95" i="5"/>
  <c r="E97" i="5"/>
  <c r="E99" i="5"/>
  <c r="E101" i="5"/>
  <c r="E103" i="5"/>
  <c r="E105" i="5"/>
  <c r="E107" i="5"/>
  <c r="E109" i="5"/>
  <c r="E111" i="5"/>
  <c r="E113" i="5"/>
  <c r="E115" i="5"/>
  <c r="E117" i="5"/>
  <c r="E119" i="5"/>
  <c r="E121" i="5"/>
  <c r="E123" i="5"/>
  <c r="E125" i="5"/>
  <c r="E127" i="5"/>
  <c r="E129" i="5"/>
  <c r="E131" i="5"/>
  <c r="E133" i="5"/>
  <c r="E135" i="5"/>
  <c r="E137" i="5"/>
  <c r="E139" i="5"/>
  <c r="E141" i="5"/>
  <c r="E143" i="5"/>
  <c r="E145" i="5"/>
  <c r="E147" i="5"/>
  <c r="E149" i="5"/>
  <c r="E151" i="5"/>
  <c r="E153" i="5"/>
  <c r="E155" i="5"/>
  <c r="E157" i="5"/>
  <c r="E159" i="5"/>
  <c r="E161" i="5"/>
  <c r="E163" i="5"/>
  <c r="E165" i="5"/>
  <c r="E167" i="5"/>
  <c r="E169" i="5"/>
  <c r="E171" i="5"/>
  <c r="E173" i="5"/>
  <c r="E175" i="5"/>
  <c r="E177" i="5"/>
  <c r="E179" i="5"/>
  <c r="E181" i="5"/>
  <c r="E183" i="5"/>
  <c r="E185" i="5"/>
  <c r="E187" i="5"/>
  <c r="E189" i="5"/>
  <c r="E191" i="5"/>
  <c r="F49" i="5"/>
  <c r="F51" i="5"/>
  <c r="F53" i="5"/>
  <c r="F55" i="5"/>
  <c r="F57" i="5"/>
  <c r="F59" i="5"/>
  <c r="F61" i="5"/>
  <c r="F63" i="5"/>
  <c r="F65" i="5"/>
  <c r="F67" i="5"/>
  <c r="F69" i="5"/>
  <c r="F71" i="5"/>
  <c r="F73" i="5"/>
  <c r="F75" i="5"/>
  <c r="F77" i="5"/>
  <c r="F79" i="5"/>
  <c r="F81" i="5"/>
  <c r="F83" i="5"/>
  <c r="F85" i="5"/>
  <c r="F87" i="5"/>
  <c r="F89" i="5"/>
  <c r="F91" i="5"/>
  <c r="F93" i="5"/>
  <c r="F95" i="5"/>
  <c r="F97" i="5"/>
  <c r="F99" i="5"/>
  <c r="F101" i="5"/>
  <c r="F103" i="5"/>
  <c r="F105" i="5"/>
  <c r="F107" i="5"/>
  <c r="F109" i="5"/>
  <c r="F111" i="5"/>
  <c r="F113" i="5"/>
  <c r="F115" i="5"/>
  <c r="F117" i="5"/>
  <c r="F119" i="5"/>
  <c r="F121" i="5"/>
  <c r="F123" i="5"/>
  <c r="F125" i="5"/>
  <c r="F127" i="5"/>
  <c r="F129" i="5"/>
  <c r="F131" i="5"/>
  <c r="F133" i="5"/>
  <c r="F135" i="5"/>
  <c r="F137" i="5"/>
  <c r="F139" i="5"/>
  <c r="F141" i="5"/>
  <c r="F143" i="5"/>
  <c r="F145" i="5"/>
  <c r="F147" i="5"/>
  <c r="F149" i="5"/>
  <c r="F151" i="5"/>
  <c r="F153" i="5"/>
  <c r="F155" i="5"/>
  <c r="F157" i="5"/>
  <c r="F159" i="5"/>
  <c r="F161" i="5"/>
  <c r="F163" i="5"/>
  <c r="F165" i="5"/>
  <c r="F167" i="5"/>
  <c r="F169" i="5"/>
  <c r="F171" i="5"/>
  <c r="F173" i="5"/>
  <c r="F175" i="5"/>
  <c r="F177" i="5"/>
  <c r="F179" i="5"/>
  <c r="F181" i="5"/>
  <c r="F183" i="5"/>
  <c r="F185" i="5"/>
  <c r="F187" i="5"/>
  <c r="F189" i="5"/>
  <c r="F191" i="5"/>
  <c r="F193" i="5"/>
  <c r="F195" i="5"/>
  <c r="F197" i="5"/>
  <c r="F199" i="5"/>
  <c r="C50" i="5"/>
  <c r="C52" i="5"/>
  <c r="C54" i="5"/>
  <c r="C56" i="5"/>
  <c r="C58" i="5"/>
  <c r="C60" i="5"/>
  <c r="C62" i="5"/>
  <c r="C64" i="5"/>
  <c r="C66" i="5"/>
  <c r="C68" i="5"/>
  <c r="C70" i="5"/>
  <c r="C72" i="5"/>
  <c r="C74" i="5"/>
  <c r="C76" i="5"/>
  <c r="C78" i="5"/>
  <c r="C80" i="5"/>
  <c r="C82" i="5"/>
  <c r="C84" i="5"/>
  <c r="C86" i="5"/>
  <c r="C88" i="5"/>
  <c r="C90" i="5"/>
  <c r="C92" i="5"/>
  <c r="C94" i="5"/>
  <c r="C96" i="5"/>
  <c r="C98" i="5"/>
  <c r="C100" i="5"/>
  <c r="C102" i="5"/>
  <c r="C104" i="5"/>
  <c r="C106" i="5"/>
  <c r="C108" i="5"/>
  <c r="C110" i="5"/>
  <c r="C112" i="5"/>
  <c r="C114" i="5"/>
  <c r="C116" i="5"/>
  <c r="C118" i="5"/>
  <c r="C120" i="5"/>
  <c r="C122" i="5"/>
  <c r="C124" i="5"/>
  <c r="C126" i="5"/>
  <c r="C128" i="5"/>
  <c r="C130" i="5"/>
  <c r="C132" i="5"/>
  <c r="C134" i="5"/>
  <c r="C136" i="5"/>
  <c r="C138" i="5"/>
  <c r="C140" i="5"/>
  <c r="C142" i="5"/>
  <c r="C144" i="5"/>
  <c r="C146" i="5"/>
  <c r="C148" i="5"/>
  <c r="C150" i="5"/>
  <c r="C152" i="5"/>
  <c r="C154" i="5"/>
  <c r="C156" i="5"/>
  <c r="C158" i="5"/>
  <c r="C160" i="5"/>
  <c r="C162" i="5"/>
  <c r="C164" i="5"/>
  <c r="C166" i="5"/>
  <c r="C168" i="5"/>
  <c r="C170" i="5"/>
  <c r="C172" i="5"/>
  <c r="C174" i="5"/>
  <c r="C176" i="5"/>
  <c r="C178" i="5"/>
  <c r="C180" i="5"/>
  <c r="C182" i="5"/>
  <c r="C184" i="5"/>
  <c r="C186" i="5"/>
  <c r="C188" i="5"/>
  <c r="C190" i="5"/>
  <c r="C192" i="5"/>
  <c r="C194" i="5"/>
  <c r="C196" i="5"/>
  <c r="C198" i="5"/>
  <c r="F48" i="5"/>
  <c r="D48" i="5"/>
  <c r="E195" i="5"/>
  <c r="D50" i="5"/>
  <c r="D52" i="5"/>
  <c r="D54" i="5"/>
  <c r="D56" i="5"/>
  <c r="D58" i="5"/>
  <c r="D60" i="5"/>
  <c r="D62" i="5"/>
  <c r="D64" i="5"/>
  <c r="D66" i="5"/>
  <c r="D68" i="5"/>
  <c r="D70" i="5"/>
  <c r="D72" i="5"/>
  <c r="D74" i="5"/>
  <c r="D76" i="5"/>
  <c r="D78" i="5"/>
  <c r="D80" i="5"/>
  <c r="D82" i="5"/>
  <c r="D84" i="5"/>
  <c r="D86" i="5"/>
  <c r="D88" i="5"/>
  <c r="D90" i="5"/>
  <c r="D92" i="5"/>
  <c r="D94" i="5"/>
  <c r="D96" i="5"/>
  <c r="D98" i="5"/>
  <c r="D100" i="5"/>
  <c r="D102" i="5"/>
  <c r="D104" i="5"/>
  <c r="D106" i="5"/>
  <c r="D108" i="5"/>
  <c r="D110" i="5"/>
  <c r="D112" i="5"/>
  <c r="D114" i="5"/>
  <c r="D116" i="5"/>
  <c r="D118" i="5"/>
  <c r="D120" i="5"/>
  <c r="D122" i="5"/>
  <c r="D124" i="5"/>
  <c r="D126" i="5"/>
  <c r="D128" i="5"/>
  <c r="D130" i="5"/>
  <c r="D132" i="5"/>
  <c r="D134" i="5"/>
  <c r="D136" i="5"/>
  <c r="D138" i="5"/>
  <c r="D140" i="5"/>
  <c r="D142" i="5"/>
  <c r="D144" i="5"/>
  <c r="D146" i="5"/>
  <c r="D148" i="5"/>
  <c r="D150" i="5"/>
  <c r="D152" i="5"/>
  <c r="D154" i="5"/>
  <c r="D156" i="5"/>
  <c r="D158" i="5"/>
  <c r="D160" i="5"/>
  <c r="D162" i="5"/>
  <c r="D164" i="5"/>
  <c r="D166" i="5"/>
  <c r="D168" i="5"/>
  <c r="D170" i="5"/>
  <c r="D172" i="5"/>
  <c r="D174" i="5"/>
  <c r="D176" i="5"/>
  <c r="D178" i="5"/>
  <c r="D180" i="5"/>
  <c r="D182" i="5"/>
  <c r="D184" i="5"/>
  <c r="D186" i="5"/>
  <c r="D188" i="5"/>
  <c r="D190" i="5"/>
  <c r="D192" i="5"/>
  <c r="D194" i="5"/>
  <c r="D196" i="5"/>
  <c r="D198" i="5"/>
  <c r="E48" i="5"/>
  <c r="E198" i="5"/>
  <c r="E50" i="5"/>
  <c r="E52" i="5"/>
  <c r="E54" i="5"/>
  <c r="E56" i="5"/>
  <c r="E58" i="5"/>
  <c r="E60" i="5"/>
  <c r="E62" i="5"/>
  <c r="E64" i="5"/>
  <c r="E66" i="5"/>
  <c r="E68" i="5"/>
  <c r="E70" i="5"/>
  <c r="E72" i="5"/>
  <c r="E74" i="5"/>
  <c r="E76" i="5"/>
  <c r="E78" i="5"/>
  <c r="E80" i="5"/>
  <c r="E82" i="5"/>
  <c r="E84" i="5"/>
  <c r="E86" i="5"/>
  <c r="E88" i="5"/>
  <c r="E90" i="5"/>
  <c r="E92" i="5"/>
  <c r="E94" i="5"/>
  <c r="E96" i="5"/>
  <c r="E98" i="5"/>
  <c r="E100" i="5"/>
  <c r="E102" i="5"/>
  <c r="E104" i="5"/>
  <c r="E106" i="5"/>
  <c r="E108" i="5"/>
  <c r="E110" i="5"/>
  <c r="E112" i="5"/>
  <c r="E114" i="5"/>
  <c r="E116" i="5"/>
  <c r="E118" i="5"/>
  <c r="E120" i="5"/>
  <c r="E122" i="5"/>
  <c r="E124" i="5"/>
  <c r="E126" i="5"/>
  <c r="E128" i="5"/>
  <c r="E130" i="5"/>
  <c r="E132" i="5"/>
  <c r="E134" i="5"/>
  <c r="E136" i="5"/>
  <c r="E138" i="5"/>
  <c r="E140" i="5"/>
  <c r="E142" i="5"/>
  <c r="E144" i="5"/>
  <c r="E146" i="5"/>
  <c r="E148" i="5"/>
  <c r="E150" i="5"/>
  <c r="E152" i="5"/>
  <c r="E154" i="5"/>
  <c r="E156" i="5"/>
  <c r="E158" i="5"/>
  <c r="E160" i="5"/>
  <c r="E162" i="5"/>
  <c r="E164" i="5"/>
  <c r="E166" i="5"/>
  <c r="E168" i="5"/>
  <c r="E170" i="5"/>
  <c r="E172" i="5"/>
  <c r="E174" i="5"/>
  <c r="E176" i="5"/>
  <c r="E178" i="5"/>
  <c r="E180" i="5"/>
  <c r="E182" i="5"/>
  <c r="E184" i="5"/>
  <c r="E186" i="5"/>
  <c r="E188" i="5"/>
  <c r="E190" i="5"/>
  <c r="E192" i="5"/>
  <c r="E194" i="5"/>
  <c r="E196" i="5"/>
  <c r="F198" i="5"/>
  <c r="F50" i="5"/>
  <c r="F52" i="5"/>
  <c r="F54" i="5"/>
  <c r="F56" i="5"/>
  <c r="F58" i="5"/>
  <c r="F60" i="5"/>
  <c r="F62" i="5"/>
  <c r="F64" i="5"/>
  <c r="F66" i="5"/>
  <c r="F68" i="5"/>
  <c r="F70" i="5"/>
  <c r="F72" i="5"/>
  <c r="F74" i="5"/>
  <c r="F76" i="5"/>
  <c r="F78" i="5"/>
  <c r="F80" i="5"/>
  <c r="F82" i="5"/>
  <c r="F84" i="5"/>
  <c r="F86" i="5"/>
  <c r="F88" i="5"/>
  <c r="F90" i="5"/>
  <c r="F92" i="5"/>
  <c r="F94" i="5"/>
  <c r="F96" i="5"/>
  <c r="F98" i="5"/>
  <c r="F100" i="5"/>
  <c r="F102" i="5"/>
  <c r="F104" i="5"/>
  <c r="F106" i="5"/>
  <c r="F108" i="5"/>
  <c r="F110" i="5"/>
  <c r="F112" i="5"/>
  <c r="F114" i="5"/>
  <c r="F116" i="5"/>
  <c r="F118" i="5"/>
  <c r="F120" i="5"/>
  <c r="F122" i="5"/>
  <c r="F124" i="5"/>
  <c r="F126" i="5"/>
  <c r="F128" i="5"/>
  <c r="F130" i="5"/>
  <c r="F132" i="5"/>
  <c r="F134" i="5"/>
  <c r="F136" i="5"/>
  <c r="F138" i="5"/>
  <c r="F140" i="5"/>
  <c r="F142" i="5"/>
  <c r="F144" i="5"/>
  <c r="F146" i="5"/>
  <c r="F148" i="5"/>
  <c r="F150" i="5"/>
  <c r="F152" i="5"/>
  <c r="F154" i="5"/>
  <c r="F156" i="5"/>
  <c r="F158" i="5"/>
  <c r="F160" i="5"/>
  <c r="F162" i="5"/>
  <c r="F164" i="5"/>
  <c r="F166" i="5"/>
  <c r="F168" i="5"/>
  <c r="F170" i="5"/>
  <c r="F172" i="5"/>
  <c r="F174" i="5"/>
  <c r="F176" i="5"/>
  <c r="F178" i="5"/>
  <c r="F180" i="5"/>
  <c r="F182" i="5"/>
  <c r="F184" i="5"/>
  <c r="F186" i="5"/>
  <c r="F188" i="5"/>
  <c r="F190" i="5"/>
  <c r="F192" i="5"/>
  <c r="F194" i="5"/>
  <c r="F196" i="5"/>
  <c r="E197" i="5"/>
  <c r="T82" i="29" l="1"/>
  <c r="T20" i="29"/>
  <c r="T22" i="29" l="1"/>
  <c r="U82" i="29"/>
  <c r="W82" i="29" s="1"/>
  <c r="U20" i="29"/>
  <c r="W20" i="29" s="1"/>
  <c r="T80" i="29"/>
  <c r="AB82" i="29" l="1"/>
  <c r="X82" i="6" s="1"/>
  <c r="AB20" i="29"/>
  <c r="X20" i="6" s="1"/>
  <c r="U22" i="29"/>
  <c r="W22" i="29" s="1"/>
  <c r="F19" i="5"/>
  <c r="T15" i="29"/>
  <c r="U80" i="29"/>
  <c r="W80" i="29" s="1"/>
  <c r="AB80" i="29" l="1"/>
  <c r="X80" i="6" s="1"/>
  <c r="AB22" i="29"/>
  <c r="X22" i="6" s="1"/>
  <c r="U15" i="29"/>
  <c r="W15" i="29" s="1"/>
  <c r="F34" i="5"/>
  <c r="F33" i="5"/>
  <c r="T104" i="29"/>
  <c r="T103" i="29"/>
  <c r="T97" i="29"/>
  <c r="T92" i="29"/>
  <c r="T88" i="29"/>
  <c r="T81" i="29"/>
  <c r="T72" i="29"/>
  <c r="G2" i="3"/>
  <c r="G1446" i="3" s="1"/>
  <c r="U97" i="29" l="1"/>
  <c r="W97" i="29" s="1"/>
  <c r="AB97" i="29" s="1"/>
  <c r="X97" i="6" s="1"/>
  <c r="H2" i="3"/>
  <c r="H1446" i="3" s="1"/>
  <c r="T119" i="29"/>
  <c r="U119" i="29" s="1"/>
  <c r="W119" i="29" s="1"/>
  <c r="AB15" i="29"/>
  <c r="X15" i="6" s="1"/>
  <c r="T13" i="29"/>
  <c r="U13" i="29" s="1"/>
  <c r="W13" i="29" s="1"/>
  <c r="T123" i="29"/>
  <c r="T9" i="29"/>
  <c r="U9" i="29" s="1"/>
  <c r="W9" i="29" s="1"/>
  <c r="T95" i="29"/>
  <c r="U95" i="29" s="1"/>
  <c r="W95" i="29" s="1"/>
  <c r="T106" i="29"/>
  <c r="U106" i="29" s="1"/>
  <c r="W106" i="29" s="1"/>
  <c r="U72" i="29"/>
  <c r="W72" i="29" s="1"/>
  <c r="T36" i="29"/>
  <c r="U92" i="29"/>
  <c r="W92" i="29" s="1"/>
  <c r="T34" i="29"/>
  <c r="U88" i="29"/>
  <c r="W88" i="29" s="1"/>
  <c r="U81" i="29"/>
  <c r="W81" i="29" s="1"/>
  <c r="F35" i="5"/>
  <c r="F11" i="5" s="1"/>
  <c r="F6" i="5" s="1"/>
  <c r="T84" i="29"/>
  <c r="W84" i="29" s="1"/>
  <c r="T87" i="29"/>
  <c r="U103" i="29"/>
  <c r="W103" i="29" s="1"/>
  <c r="U104" i="29"/>
  <c r="W104" i="29" s="1"/>
  <c r="AA2" i="6"/>
  <c r="I2" i="3" l="1"/>
  <c r="I1446" i="3" s="1"/>
  <c r="AB13" i="29"/>
  <c r="X13" i="6" s="1"/>
  <c r="AB72" i="29"/>
  <c r="X72" i="6" s="1"/>
  <c r="AB119" i="29"/>
  <c r="X119" i="6" s="1"/>
  <c r="AB104" i="29"/>
  <c r="X104" i="6" s="1"/>
  <c r="AB92" i="29"/>
  <c r="X92" i="6" s="1"/>
  <c r="AB106" i="29"/>
  <c r="X106" i="6" s="1"/>
  <c r="AB84" i="29"/>
  <c r="X84" i="6" s="1"/>
  <c r="AB95" i="29"/>
  <c r="X95" i="6" s="1"/>
  <c r="AB9" i="29"/>
  <c r="X9" i="6" s="1"/>
  <c r="AB103" i="29"/>
  <c r="X103" i="6" s="1"/>
  <c r="AB81" i="29"/>
  <c r="X81" i="6" s="1"/>
  <c r="AB88" i="29"/>
  <c r="X88" i="6" s="1"/>
  <c r="U123" i="29"/>
  <c r="W123" i="29" s="1"/>
  <c r="U34" i="29"/>
  <c r="W34" i="29" s="1"/>
  <c r="U87" i="29"/>
  <c r="W87" i="29" s="1"/>
  <c r="U36" i="29"/>
  <c r="W36" i="29" s="1"/>
  <c r="T124" i="29"/>
  <c r="AA123" i="29" l="1"/>
  <c r="W123" i="6" s="1"/>
  <c r="AB36" i="29"/>
  <c r="X36" i="6" s="1"/>
  <c r="AB87" i="29"/>
  <c r="X87" i="6" s="1"/>
  <c r="AB34" i="29"/>
  <c r="X34" i="6" s="1"/>
  <c r="AB123" i="29"/>
  <c r="X123" i="6" s="1"/>
  <c r="U124" i="29"/>
  <c r="H32" i="31" s="1"/>
  <c r="W124" i="29"/>
  <c r="AB124" i="29" l="1"/>
  <c r="O33" i="22" l="1"/>
  <c r="O15" i="22"/>
  <c r="O35" i="22"/>
  <c r="O46" i="22"/>
  <c r="O10" i="22"/>
  <c r="O93" i="22"/>
  <c r="O29" i="22"/>
  <c r="O90" i="22"/>
  <c r="O8" i="22"/>
  <c r="H8" i="22" s="1"/>
  <c r="V8" i="22" s="1"/>
  <c r="Z8" i="29" s="1"/>
  <c r="O111" i="22"/>
  <c r="O106" i="22"/>
  <c r="O89" i="22"/>
  <c r="O87" i="22"/>
  <c r="O103" i="22"/>
  <c r="O100" i="22"/>
  <c r="O115" i="22"/>
  <c r="O88" i="22"/>
  <c r="O6" i="22"/>
  <c r="O51" i="22"/>
  <c r="O78" i="22"/>
  <c r="O117" i="22"/>
  <c r="O67" i="22"/>
  <c r="O41" i="22"/>
  <c r="O36" i="22"/>
  <c r="O16" i="22"/>
  <c r="O122" i="22"/>
  <c r="O83" i="22"/>
  <c r="O92" i="22"/>
  <c r="O12" i="22"/>
  <c r="O94" i="22"/>
  <c r="O56" i="22"/>
  <c r="O68" i="22"/>
  <c r="O70" i="22"/>
  <c r="O107" i="22"/>
  <c r="O99" i="22"/>
  <c r="O54" i="22"/>
  <c r="O57" i="22"/>
  <c r="O91" i="22"/>
  <c r="O32" i="22"/>
  <c r="O23" i="22"/>
  <c r="O61" i="22"/>
  <c r="O109" i="22"/>
  <c r="O79" i="22"/>
  <c r="O80" i="22"/>
  <c r="O97" i="22"/>
  <c r="H97" i="22" s="1"/>
  <c r="V97" i="22" s="1"/>
  <c r="Z97" i="29" s="1"/>
  <c r="O62" i="22"/>
  <c r="O105" i="22"/>
  <c r="O102" i="22"/>
  <c r="O53" i="22"/>
  <c r="O4" i="22"/>
  <c r="O86" i="22"/>
  <c r="O65" i="22"/>
  <c r="O14" i="22"/>
  <c r="O44" i="22"/>
  <c r="H44" i="22" s="1"/>
  <c r="V44" i="22" s="1"/>
  <c r="Z44" i="29" s="1"/>
  <c r="O38" i="22"/>
  <c r="O9" i="22"/>
  <c r="O118" i="22"/>
  <c r="O84" i="22"/>
  <c r="O71" i="22"/>
  <c r="O119" i="22"/>
  <c r="O63" i="22"/>
  <c r="O95" i="22"/>
  <c r="O40" i="22"/>
  <c r="O22" i="22"/>
  <c r="H22" i="22" s="1"/>
  <c r="V22" i="22" s="1"/>
  <c r="Z22" i="29" s="1"/>
  <c r="O85" i="22"/>
  <c r="O72" i="22"/>
  <c r="O120" i="22"/>
  <c r="O59" i="22"/>
  <c r="O47" i="22"/>
  <c r="O48" i="22"/>
  <c r="O3" i="22"/>
  <c r="O73" i="22"/>
  <c r="O81" i="22"/>
  <c r="O64" i="22"/>
  <c r="H64" i="22" s="1"/>
  <c r="V64" i="22" s="1"/>
  <c r="Z64" i="29" s="1"/>
  <c r="O104" i="22"/>
  <c r="O98" i="22"/>
  <c r="O50" i="22"/>
  <c r="O49" i="22"/>
  <c r="O11" i="22"/>
  <c r="O116" i="22"/>
  <c r="H116" i="22" s="1"/>
  <c r="V116" i="22" s="1"/>
  <c r="Z116" i="29" s="1"/>
  <c r="O5" i="22"/>
  <c r="O114" i="22"/>
  <c r="O77" i="22"/>
  <c r="O110" i="22"/>
  <c r="O55" i="22"/>
  <c r="O74" i="22"/>
  <c r="O13" i="22"/>
  <c r="O112" i="22"/>
  <c r="O96" i="22"/>
  <c r="O31" i="22"/>
  <c r="O43" i="22"/>
  <c r="O37" i="22"/>
  <c r="O27" i="22"/>
  <c r="O24" i="22"/>
  <c r="O18" i="22"/>
  <c r="O42" i="22"/>
  <c r="O25" i="22"/>
  <c r="O21" i="22"/>
  <c r="O101" i="22"/>
  <c r="O82" i="22"/>
  <c r="O121" i="22"/>
  <c r="O60" i="22"/>
  <c r="O108" i="22"/>
  <c r="O76" i="22"/>
  <c r="O75" i="22"/>
  <c r="O7" i="22"/>
  <c r="O52" i="22"/>
  <c r="O39" i="22"/>
  <c r="O26" i="22"/>
  <c r="H26" i="22" s="1"/>
  <c r="O66" i="22"/>
  <c r="O58" i="22"/>
  <c r="O113" i="22"/>
  <c r="O69" i="22"/>
  <c r="O19" i="22"/>
  <c r="O45" i="22"/>
  <c r="O28" i="22"/>
  <c r="O30" i="22"/>
  <c r="O34" i="22"/>
  <c r="O17" i="22"/>
  <c r="AA44" i="29" l="1"/>
  <c r="W44" i="6" s="1"/>
  <c r="AA44" i="6" s="1"/>
  <c r="AA97" i="29"/>
  <c r="W97" i="6" s="1"/>
  <c r="AA97" i="6" s="1"/>
  <c r="AA64" i="29"/>
  <c r="W64" i="6" s="1"/>
  <c r="AA64" i="6" s="1"/>
  <c r="AA116" i="29"/>
  <c r="W116" i="6" s="1"/>
  <c r="AA116" i="6" s="1"/>
  <c r="AA22" i="29"/>
  <c r="W22" i="6" s="1"/>
  <c r="AA22" i="6" s="1"/>
  <c r="AA8" i="29"/>
  <c r="W8" i="6" s="1"/>
  <c r="AA8" i="6" s="1"/>
  <c r="H3" i="22"/>
  <c r="V3" i="22" s="1"/>
  <c r="O123" i="22"/>
  <c r="H123" i="22" s="1"/>
  <c r="H75" i="22"/>
  <c r="V75" i="22" s="1"/>
  <c r="Z75" i="29" s="1"/>
  <c r="H108" i="22"/>
  <c r="V108" i="22" s="1"/>
  <c r="Z108" i="29" s="1"/>
  <c r="H11" i="22"/>
  <c r="V11" i="22" s="1"/>
  <c r="Z11" i="29" s="1"/>
  <c r="H40" i="22"/>
  <c r="V40" i="22" s="1"/>
  <c r="Z40" i="29" s="1"/>
  <c r="H20" i="22"/>
  <c r="V20" i="22" s="1"/>
  <c r="Z20" i="29" s="1"/>
  <c r="H102" i="22"/>
  <c r="V102" i="22" s="1"/>
  <c r="Z102" i="29" s="1"/>
  <c r="H23" i="22"/>
  <c r="V23" i="22" s="1"/>
  <c r="Z23" i="29" s="1"/>
  <c r="H68" i="22"/>
  <c r="V68" i="22" s="1"/>
  <c r="Z68" i="29" s="1"/>
  <c r="H36" i="22"/>
  <c r="V36" i="22" s="1"/>
  <c r="Z36" i="29" s="1"/>
  <c r="H115" i="22"/>
  <c r="V115" i="22" s="1"/>
  <c r="Z115" i="29" s="1"/>
  <c r="H90" i="22"/>
  <c r="V90" i="22" s="1"/>
  <c r="Z90" i="29" s="1"/>
  <c r="H58" i="22"/>
  <c r="V58" i="22" s="1"/>
  <c r="Z58" i="29" s="1"/>
  <c r="H13" i="22"/>
  <c r="V13" i="22" s="1"/>
  <c r="Z13" i="29" s="1"/>
  <c r="H34" i="22"/>
  <c r="V34" i="22" s="1"/>
  <c r="Z34" i="29" s="1"/>
  <c r="H66" i="22"/>
  <c r="V66" i="22" s="1"/>
  <c r="Z66" i="29" s="1"/>
  <c r="H60" i="22"/>
  <c r="V60" i="22" s="1"/>
  <c r="Z60" i="29" s="1"/>
  <c r="H24" i="22"/>
  <c r="V24" i="22" s="1"/>
  <c r="Z24" i="29" s="1"/>
  <c r="H74" i="22"/>
  <c r="V74" i="22" s="1"/>
  <c r="Z74" i="29" s="1"/>
  <c r="H49" i="22"/>
  <c r="V49" i="22" s="1"/>
  <c r="Z49" i="29" s="1"/>
  <c r="H48" i="22"/>
  <c r="V48" i="22" s="1"/>
  <c r="Z48" i="29" s="1"/>
  <c r="H95" i="22"/>
  <c r="V95" i="22" s="1"/>
  <c r="Z95" i="29" s="1"/>
  <c r="H38" i="22"/>
  <c r="V38" i="22" s="1"/>
  <c r="Z38" i="29" s="1"/>
  <c r="H105" i="22"/>
  <c r="V105" i="22" s="1"/>
  <c r="Z105" i="29" s="1"/>
  <c r="H32" i="22"/>
  <c r="V32" i="22" s="1"/>
  <c r="Z32" i="29" s="1"/>
  <c r="H56" i="22"/>
  <c r="V56" i="22" s="1"/>
  <c r="Z56" i="29" s="1"/>
  <c r="H41" i="22"/>
  <c r="V41" i="22" s="1"/>
  <c r="Z41" i="29" s="1"/>
  <c r="H100" i="22"/>
  <c r="V100" i="22" s="1"/>
  <c r="Z100" i="29" s="1"/>
  <c r="H29" i="22"/>
  <c r="V29" i="22" s="1"/>
  <c r="Z29" i="29" s="1"/>
  <c r="H17" i="22"/>
  <c r="V17" i="22" s="1"/>
  <c r="Z17" i="29" s="1"/>
  <c r="H18" i="22"/>
  <c r="V18" i="22" s="1"/>
  <c r="Z18" i="29" s="1"/>
  <c r="H30" i="22"/>
  <c r="V30" i="22" s="1"/>
  <c r="Z30" i="29" s="1"/>
  <c r="V26" i="22"/>
  <c r="Z26" i="29" s="1"/>
  <c r="H121" i="22"/>
  <c r="V121" i="22" s="1"/>
  <c r="Z121" i="29" s="1"/>
  <c r="H27" i="22"/>
  <c r="V27" i="22" s="1"/>
  <c r="Z27" i="29" s="1"/>
  <c r="H55" i="22"/>
  <c r="V55" i="22" s="1"/>
  <c r="Z55" i="29" s="1"/>
  <c r="H50" i="22"/>
  <c r="V50" i="22" s="1"/>
  <c r="Z50" i="29" s="1"/>
  <c r="H47" i="22"/>
  <c r="V47" i="22" s="1"/>
  <c r="Z47" i="29" s="1"/>
  <c r="H63" i="22"/>
  <c r="V63" i="22" s="1"/>
  <c r="Z63" i="29" s="1"/>
  <c r="H62" i="22"/>
  <c r="V62" i="22" s="1"/>
  <c r="Z62" i="29" s="1"/>
  <c r="H91" i="22"/>
  <c r="V91" i="22" s="1"/>
  <c r="Z91" i="29" s="1"/>
  <c r="H94" i="22"/>
  <c r="V94" i="22" s="1"/>
  <c r="Z94" i="29" s="1"/>
  <c r="H67" i="22"/>
  <c r="V67" i="22" s="1"/>
  <c r="Z67" i="29" s="1"/>
  <c r="H103" i="22"/>
  <c r="V103" i="22" s="1"/>
  <c r="Z103" i="29" s="1"/>
  <c r="H93" i="22"/>
  <c r="V93" i="22" s="1"/>
  <c r="Z93" i="29" s="1"/>
  <c r="H39" i="22"/>
  <c r="V39" i="22" s="1"/>
  <c r="Z39" i="29" s="1"/>
  <c r="H82" i="22"/>
  <c r="V82" i="22" s="1"/>
  <c r="Z82" i="29" s="1"/>
  <c r="H37" i="22"/>
  <c r="V37" i="22" s="1"/>
  <c r="Z37" i="29" s="1"/>
  <c r="H110" i="22"/>
  <c r="V110" i="22" s="1"/>
  <c r="Z110" i="29" s="1"/>
  <c r="H98" i="22"/>
  <c r="V98" i="22" s="1"/>
  <c r="Z98" i="29" s="1"/>
  <c r="H59" i="22"/>
  <c r="V59" i="22" s="1"/>
  <c r="Z59" i="29" s="1"/>
  <c r="H119" i="22"/>
  <c r="V119" i="22" s="1"/>
  <c r="Z119" i="29" s="1"/>
  <c r="H14" i="22"/>
  <c r="V14" i="22" s="1"/>
  <c r="Z14" i="29" s="1"/>
  <c r="H57" i="22"/>
  <c r="V57" i="22" s="1"/>
  <c r="Z57" i="29" s="1"/>
  <c r="H12" i="22"/>
  <c r="V12" i="22" s="1"/>
  <c r="Z12" i="29" s="1"/>
  <c r="H117" i="22"/>
  <c r="V117" i="22" s="1"/>
  <c r="Z117" i="29" s="1"/>
  <c r="H87" i="22"/>
  <c r="V87" i="22" s="1"/>
  <c r="Z87" i="29" s="1"/>
  <c r="H10" i="22"/>
  <c r="V10" i="22" s="1"/>
  <c r="Z10" i="29" s="1"/>
  <c r="H52" i="22"/>
  <c r="V52" i="22" s="1"/>
  <c r="Z52" i="29" s="1"/>
  <c r="H43" i="22"/>
  <c r="V43" i="22" s="1"/>
  <c r="Z43" i="29" s="1"/>
  <c r="H77" i="22"/>
  <c r="V77" i="22" s="1"/>
  <c r="Z77" i="29" s="1"/>
  <c r="H104" i="22"/>
  <c r="V104" i="22" s="1"/>
  <c r="Z104" i="29" s="1"/>
  <c r="H120" i="22"/>
  <c r="V120" i="22" s="1"/>
  <c r="Z120" i="29" s="1"/>
  <c r="H71" i="22"/>
  <c r="V71" i="22" s="1"/>
  <c r="Z71" i="29" s="1"/>
  <c r="H65" i="22"/>
  <c r="V65" i="22" s="1"/>
  <c r="Z65" i="29" s="1"/>
  <c r="H80" i="22"/>
  <c r="V80" i="22" s="1"/>
  <c r="Z80" i="29" s="1"/>
  <c r="H54" i="22"/>
  <c r="V54" i="22" s="1"/>
  <c r="Z54" i="29" s="1"/>
  <c r="H92" i="22"/>
  <c r="V92" i="22" s="1"/>
  <c r="Z92" i="29" s="1"/>
  <c r="H78" i="22"/>
  <c r="V78" i="22" s="1"/>
  <c r="Z78" i="29" s="1"/>
  <c r="H89" i="22"/>
  <c r="V89" i="22" s="1"/>
  <c r="Z89" i="29" s="1"/>
  <c r="H46" i="22"/>
  <c r="V46" i="22" s="1"/>
  <c r="Z46" i="29" s="1"/>
  <c r="H28" i="22"/>
  <c r="V28" i="22" s="1"/>
  <c r="Z28" i="29" s="1"/>
  <c r="H45" i="22"/>
  <c r="V45" i="22" s="1"/>
  <c r="Z45" i="29" s="1"/>
  <c r="H101" i="22"/>
  <c r="V101" i="22" s="1"/>
  <c r="Z101" i="29" s="1"/>
  <c r="H19" i="22"/>
  <c r="V19" i="22" s="1"/>
  <c r="Z19" i="29" s="1"/>
  <c r="H7" i="22"/>
  <c r="V7" i="22" s="1"/>
  <c r="Z7" i="29" s="1"/>
  <c r="H21" i="22"/>
  <c r="V21" i="22" s="1"/>
  <c r="Z21" i="29" s="1"/>
  <c r="H31" i="22"/>
  <c r="V31" i="22" s="1"/>
  <c r="Z31" i="29" s="1"/>
  <c r="H114" i="22"/>
  <c r="V114" i="22" s="1"/>
  <c r="Z114" i="29" s="1"/>
  <c r="H72" i="22"/>
  <c r="V72" i="22" s="1"/>
  <c r="Z72" i="29" s="1"/>
  <c r="H84" i="22"/>
  <c r="V84" i="22" s="1"/>
  <c r="Z84" i="29" s="1"/>
  <c r="H86" i="22"/>
  <c r="V86" i="22" s="1"/>
  <c r="Z86" i="29" s="1"/>
  <c r="H79" i="22"/>
  <c r="V79" i="22" s="1"/>
  <c r="Z79" i="29" s="1"/>
  <c r="H99" i="22"/>
  <c r="V99" i="22" s="1"/>
  <c r="Z99" i="29" s="1"/>
  <c r="H83" i="22"/>
  <c r="V83" i="22" s="1"/>
  <c r="Z83" i="29" s="1"/>
  <c r="H51" i="22"/>
  <c r="V51" i="22" s="1"/>
  <c r="Z51" i="29" s="1"/>
  <c r="H106" i="22"/>
  <c r="V106" i="22" s="1"/>
  <c r="Z106" i="29" s="1"/>
  <c r="H35" i="22"/>
  <c r="V35" i="22" s="1"/>
  <c r="Z35" i="29" s="1"/>
  <c r="H25" i="22"/>
  <c r="V25" i="22" s="1"/>
  <c r="Z25" i="29" s="1"/>
  <c r="H5" i="22"/>
  <c r="V5" i="22" s="1"/>
  <c r="Z5" i="29" s="1"/>
  <c r="AA5" i="29" s="1"/>
  <c r="W5" i="6" s="1"/>
  <c r="H81" i="22"/>
  <c r="V81" i="22" s="1"/>
  <c r="Z81" i="29" s="1"/>
  <c r="H85" i="22"/>
  <c r="V85" i="22" s="1"/>
  <c r="Z85" i="29" s="1"/>
  <c r="H118" i="22"/>
  <c r="V118" i="22" s="1"/>
  <c r="Z118" i="29" s="1"/>
  <c r="H4" i="22"/>
  <c r="V4" i="22" s="1"/>
  <c r="Z4" i="29" s="1"/>
  <c r="AA4" i="29" s="1"/>
  <c r="W4" i="6" s="1"/>
  <c r="H109" i="22"/>
  <c r="V109" i="22" s="1"/>
  <c r="Z109" i="29" s="1"/>
  <c r="H107" i="22"/>
  <c r="V107" i="22" s="1"/>
  <c r="Z107" i="29" s="1"/>
  <c r="H122" i="22"/>
  <c r="V122" i="22" s="1"/>
  <c r="Z122" i="29" s="1"/>
  <c r="H6" i="22"/>
  <c r="V6" i="22" s="1"/>
  <c r="Z6" i="29" s="1"/>
  <c r="H111" i="22"/>
  <c r="V111" i="22" s="1"/>
  <c r="Z111" i="29" s="1"/>
  <c r="H15" i="22"/>
  <c r="V15" i="22" s="1"/>
  <c r="Z15" i="29" s="1"/>
  <c r="H69" i="22"/>
  <c r="V69" i="22" s="1"/>
  <c r="Z69" i="29" s="1"/>
  <c r="H96" i="22"/>
  <c r="V96" i="22" s="1"/>
  <c r="Z96" i="29" s="1"/>
  <c r="H113" i="22"/>
  <c r="V113" i="22" s="1"/>
  <c r="Z113" i="29" s="1"/>
  <c r="H76" i="22"/>
  <c r="V76" i="22" s="1"/>
  <c r="Z76" i="29" s="1"/>
  <c r="H42" i="22"/>
  <c r="V42" i="22" s="1"/>
  <c r="Z42" i="29" s="1"/>
  <c r="H112" i="22"/>
  <c r="V112" i="22" s="1"/>
  <c r="Z112" i="29" s="1"/>
  <c r="H73" i="22"/>
  <c r="V73" i="22" s="1"/>
  <c r="Z73" i="29" s="1"/>
  <c r="H9" i="22"/>
  <c r="V9" i="22" s="1"/>
  <c r="Z9" i="29" s="1"/>
  <c r="H53" i="22"/>
  <c r="V53" i="22" s="1"/>
  <c r="Z53" i="29" s="1"/>
  <c r="H61" i="22"/>
  <c r="V61" i="22" s="1"/>
  <c r="Z61" i="29" s="1"/>
  <c r="H70" i="22"/>
  <c r="V70" i="22" s="1"/>
  <c r="Z70" i="29" s="1"/>
  <c r="H16" i="22"/>
  <c r="V16" i="22" s="1"/>
  <c r="Z16" i="29" s="1"/>
  <c r="H88" i="22"/>
  <c r="V88" i="22" s="1"/>
  <c r="Z88" i="29" s="1"/>
  <c r="H33" i="22"/>
  <c r="V33" i="22" s="1"/>
  <c r="Z33" i="29" s="1"/>
  <c r="F46" i="5"/>
  <c r="AA81" i="29" l="1"/>
  <c r="W81" i="6" s="1"/>
  <c r="AA81" i="6" s="1"/>
  <c r="AA67" i="29"/>
  <c r="W67" i="6" s="1"/>
  <c r="AA67" i="6" s="1"/>
  <c r="AA112" i="29"/>
  <c r="W112" i="6" s="1"/>
  <c r="AA112" i="6" s="1"/>
  <c r="AA6" i="29"/>
  <c r="W6" i="6" s="1"/>
  <c r="AA6" i="6" s="1"/>
  <c r="AA5" i="6"/>
  <c r="AA86" i="29"/>
  <c r="W86" i="6" s="1"/>
  <c r="AA86" i="6" s="1"/>
  <c r="AA101" i="29"/>
  <c r="W101" i="6" s="1"/>
  <c r="AA101" i="6" s="1"/>
  <c r="AA80" i="29"/>
  <c r="W80" i="6" s="1"/>
  <c r="AA80" i="6" s="1"/>
  <c r="AA10" i="29"/>
  <c r="W10" i="6" s="1"/>
  <c r="AA10" i="6" s="1"/>
  <c r="AA98" i="29"/>
  <c r="W98" i="6" s="1"/>
  <c r="AA98" i="6" s="1"/>
  <c r="AA94" i="29"/>
  <c r="W94" i="6" s="1"/>
  <c r="AA94" i="6" s="1"/>
  <c r="AA121" i="29"/>
  <c r="W121" i="6" s="1"/>
  <c r="AA56" i="29"/>
  <c r="W56" i="6" s="1"/>
  <c r="AA56" i="6" s="1"/>
  <c r="AA24" i="29"/>
  <c r="W24" i="6" s="1"/>
  <c r="AA24" i="6" s="1"/>
  <c r="AA36" i="29"/>
  <c r="W36" i="6" s="1"/>
  <c r="AA36" i="6" s="1"/>
  <c r="AA75" i="29"/>
  <c r="W75" i="6" s="1"/>
  <c r="AA75" i="6" s="1"/>
  <c r="AD116" i="29"/>
  <c r="AA19" i="29"/>
  <c r="W19" i="6" s="1"/>
  <c r="AA19" i="6" s="1"/>
  <c r="AA41" i="29"/>
  <c r="W41" i="6" s="1"/>
  <c r="AA41" i="6" s="1"/>
  <c r="AA42" i="29"/>
  <c r="W42" i="6" s="1"/>
  <c r="AA42" i="6" s="1"/>
  <c r="AA122" i="29"/>
  <c r="W122" i="6" s="1"/>
  <c r="AA25" i="29"/>
  <c r="W25" i="6" s="1"/>
  <c r="AA25" i="6" s="1"/>
  <c r="AA84" i="29"/>
  <c r="W84" i="6" s="1"/>
  <c r="AA84" i="6" s="1"/>
  <c r="AA45" i="29"/>
  <c r="W45" i="6" s="1"/>
  <c r="AA45" i="6" s="1"/>
  <c r="AA65" i="29"/>
  <c r="W65" i="6" s="1"/>
  <c r="AA65" i="6" s="1"/>
  <c r="AA87" i="29"/>
  <c r="W87" i="6" s="1"/>
  <c r="AA87" i="6" s="1"/>
  <c r="AA110" i="29"/>
  <c r="W110" i="6" s="1"/>
  <c r="AA110" i="6" s="1"/>
  <c r="AA91" i="29"/>
  <c r="W91" i="6" s="1"/>
  <c r="AA91" i="6" s="1"/>
  <c r="AA26" i="29"/>
  <c r="W26" i="6" s="1"/>
  <c r="AA26" i="6" s="1"/>
  <c r="AA32" i="29"/>
  <c r="W32" i="6" s="1"/>
  <c r="AA32" i="6" s="1"/>
  <c r="AA60" i="29"/>
  <c r="W60" i="6" s="1"/>
  <c r="AA60" i="6" s="1"/>
  <c r="AA68" i="29"/>
  <c r="W68" i="6" s="1"/>
  <c r="AA68" i="6" s="1"/>
  <c r="AA111" i="29"/>
  <c r="W111" i="6" s="1"/>
  <c r="AA111" i="6" s="1"/>
  <c r="AA59" i="29"/>
  <c r="W59" i="6" s="1"/>
  <c r="AA59" i="6" s="1"/>
  <c r="AA108" i="29"/>
  <c r="W108" i="6" s="1"/>
  <c r="AA108" i="6" s="1"/>
  <c r="AA16" i="29"/>
  <c r="W16" i="6" s="1"/>
  <c r="AA16" i="6" s="1"/>
  <c r="AA76" i="29"/>
  <c r="W76" i="6" s="1"/>
  <c r="AA76" i="6" s="1"/>
  <c r="AA107" i="29"/>
  <c r="W107" i="6" s="1"/>
  <c r="AA107" i="6" s="1"/>
  <c r="AA35" i="29"/>
  <c r="W35" i="6" s="1"/>
  <c r="AA35" i="6" s="1"/>
  <c r="AA72" i="29"/>
  <c r="W72" i="6" s="1"/>
  <c r="AA72" i="6" s="1"/>
  <c r="AA28" i="29"/>
  <c r="W28" i="6" s="1"/>
  <c r="AA28" i="6" s="1"/>
  <c r="AA71" i="29"/>
  <c r="W71" i="6" s="1"/>
  <c r="AA71" i="6" s="1"/>
  <c r="AA117" i="29"/>
  <c r="W117" i="6" s="1"/>
  <c r="AA117" i="6" s="1"/>
  <c r="AA37" i="29"/>
  <c r="W37" i="6" s="1"/>
  <c r="AA37" i="6" s="1"/>
  <c r="AA62" i="29"/>
  <c r="W62" i="6" s="1"/>
  <c r="AA62" i="6" s="1"/>
  <c r="AA30" i="29"/>
  <c r="W30" i="6" s="1"/>
  <c r="AA30" i="6" s="1"/>
  <c r="AA105" i="29"/>
  <c r="W105" i="6" s="1"/>
  <c r="AA105" i="6" s="1"/>
  <c r="AA66" i="29"/>
  <c r="W66" i="6" s="1"/>
  <c r="AA23" i="29"/>
  <c r="W23" i="6" s="1"/>
  <c r="AA23" i="6" s="1"/>
  <c r="Z3" i="29"/>
  <c r="Z124" i="29" s="1"/>
  <c r="H34" i="31" s="1"/>
  <c r="V123" i="22"/>
  <c r="V124" i="22"/>
  <c r="AD64" i="29"/>
  <c r="AA79" i="29"/>
  <c r="W79" i="6" s="1"/>
  <c r="AA79" i="6" s="1"/>
  <c r="AA27" i="29"/>
  <c r="W27" i="6" s="1"/>
  <c r="AA27" i="6" s="1"/>
  <c r="AA33" i="29"/>
  <c r="W33" i="6" s="1"/>
  <c r="AA33" i="6" s="1"/>
  <c r="AA113" i="29"/>
  <c r="W113" i="6" s="1"/>
  <c r="AA113" i="6" s="1"/>
  <c r="AA109" i="29"/>
  <c r="W109" i="6" s="1"/>
  <c r="AA109" i="6" s="1"/>
  <c r="AA106" i="29"/>
  <c r="W106" i="6" s="1"/>
  <c r="AA106" i="6" s="1"/>
  <c r="AA114" i="29"/>
  <c r="W114" i="6" s="1"/>
  <c r="AA114" i="6" s="1"/>
  <c r="AA46" i="29"/>
  <c r="W46" i="6" s="1"/>
  <c r="AA46" i="6" s="1"/>
  <c r="AA120" i="29"/>
  <c r="W120" i="6" s="1"/>
  <c r="AA120" i="6" s="1"/>
  <c r="AA12" i="29"/>
  <c r="W12" i="6" s="1"/>
  <c r="AA12" i="6" s="1"/>
  <c r="AA82" i="29"/>
  <c r="W82" i="6" s="1"/>
  <c r="AA82" i="6" s="1"/>
  <c r="AA63" i="29"/>
  <c r="W63" i="6" s="1"/>
  <c r="AA63" i="6" s="1"/>
  <c r="AA18" i="29"/>
  <c r="W18" i="6" s="1"/>
  <c r="AA18" i="6" s="1"/>
  <c r="AA38" i="29"/>
  <c r="W38" i="6" s="1"/>
  <c r="AA38" i="6" s="1"/>
  <c r="AA34" i="29"/>
  <c r="W34" i="6" s="1"/>
  <c r="AA34" i="6" s="1"/>
  <c r="AA102" i="29"/>
  <c r="W102" i="6" s="1"/>
  <c r="AA102" i="6" s="1"/>
  <c r="AA54" i="29"/>
  <c r="W54" i="6" s="1"/>
  <c r="AA54" i="6" s="1"/>
  <c r="AA74" i="29"/>
  <c r="W74" i="6" s="1"/>
  <c r="AA74" i="6" s="1"/>
  <c r="AA70" i="29"/>
  <c r="W70" i="6" s="1"/>
  <c r="AA70" i="6" s="1"/>
  <c r="AA61" i="29"/>
  <c r="W61" i="6" s="1"/>
  <c r="AA61" i="6" s="1"/>
  <c r="AA96" i="29"/>
  <c r="W96" i="6" s="1"/>
  <c r="AA96" i="6" s="1"/>
  <c r="AA4" i="6"/>
  <c r="AA51" i="29"/>
  <c r="W51" i="6" s="1"/>
  <c r="AA51" i="6" s="1"/>
  <c r="AA31" i="29"/>
  <c r="W31" i="6" s="1"/>
  <c r="AA31" i="6" s="1"/>
  <c r="AA89" i="29"/>
  <c r="W89" i="6" s="1"/>
  <c r="AA89" i="6" s="1"/>
  <c r="AA104" i="29"/>
  <c r="W104" i="6" s="1"/>
  <c r="AA104" i="6" s="1"/>
  <c r="AA57" i="29"/>
  <c r="W57" i="6" s="1"/>
  <c r="AA57" i="6" s="1"/>
  <c r="AA39" i="29"/>
  <c r="W39" i="6" s="1"/>
  <c r="AA39" i="6" s="1"/>
  <c r="AA47" i="29"/>
  <c r="W47" i="6" s="1"/>
  <c r="AA47" i="6" s="1"/>
  <c r="AA17" i="29"/>
  <c r="W17" i="6" s="1"/>
  <c r="AA17" i="6" s="1"/>
  <c r="AA95" i="29"/>
  <c r="W95" i="6" s="1"/>
  <c r="AA95" i="6" s="1"/>
  <c r="AA13" i="29"/>
  <c r="W13" i="6" s="1"/>
  <c r="AA13" i="6" s="1"/>
  <c r="AA20" i="29"/>
  <c r="W20" i="6" s="1"/>
  <c r="AA20" i="6" s="1"/>
  <c r="AD8" i="29"/>
  <c r="AD97" i="29"/>
  <c r="AA73" i="29"/>
  <c r="W73" i="6" s="1"/>
  <c r="AA73" i="6" s="1"/>
  <c r="AA53" i="29"/>
  <c r="W53" i="6" s="1"/>
  <c r="AA53" i="6" s="1"/>
  <c r="AA69" i="29"/>
  <c r="W69" i="6" s="1"/>
  <c r="AA69" i="6" s="1"/>
  <c r="AA118" i="29"/>
  <c r="W118" i="6" s="1"/>
  <c r="AA118" i="6" s="1"/>
  <c r="AA83" i="29"/>
  <c r="W83" i="6" s="1"/>
  <c r="AA83" i="6" s="1"/>
  <c r="AA21" i="29"/>
  <c r="W21" i="6" s="1"/>
  <c r="AA21" i="6" s="1"/>
  <c r="AA78" i="29"/>
  <c r="W78" i="6" s="1"/>
  <c r="AA78" i="6" s="1"/>
  <c r="AA77" i="29"/>
  <c r="W77" i="6" s="1"/>
  <c r="AA77" i="6" s="1"/>
  <c r="AA14" i="29"/>
  <c r="W14" i="6" s="1"/>
  <c r="AA14" i="6" s="1"/>
  <c r="AA93" i="29"/>
  <c r="W93" i="6" s="1"/>
  <c r="AA93" i="6" s="1"/>
  <c r="AA50" i="29"/>
  <c r="W50" i="6" s="1"/>
  <c r="AA50" i="6" s="1"/>
  <c r="AA29" i="29"/>
  <c r="W29" i="6" s="1"/>
  <c r="AA29" i="6" s="1"/>
  <c r="AA48" i="29"/>
  <c r="W48" i="6" s="1"/>
  <c r="AA48" i="6" s="1"/>
  <c r="AA58" i="29"/>
  <c r="W58" i="6" s="1"/>
  <c r="AA58" i="6" s="1"/>
  <c r="AA40" i="29"/>
  <c r="W40" i="6" s="1"/>
  <c r="AA40" i="6" s="1"/>
  <c r="AA52" i="29"/>
  <c r="W52" i="6" s="1"/>
  <c r="AA52" i="6" s="1"/>
  <c r="AA115" i="29"/>
  <c r="W115" i="6" s="1"/>
  <c r="AA115" i="6" s="1"/>
  <c r="AA88" i="29"/>
  <c r="W88" i="6" s="1"/>
  <c r="AA88" i="6" s="1"/>
  <c r="AA9" i="29"/>
  <c r="W9" i="6" s="1"/>
  <c r="AA9" i="6" s="1"/>
  <c r="AA15" i="29"/>
  <c r="W15" i="6" s="1"/>
  <c r="AA15" i="6" s="1"/>
  <c r="AA85" i="29"/>
  <c r="W85" i="6" s="1"/>
  <c r="AA85" i="6" s="1"/>
  <c r="AA99" i="29"/>
  <c r="W99" i="6" s="1"/>
  <c r="AA99" i="6" s="1"/>
  <c r="AA7" i="29"/>
  <c r="W7" i="6" s="1"/>
  <c r="AA7" i="6" s="1"/>
  <c r="AA92" i="29"/>
  <c r="W92" i="6" s="1"/>
  <c r="AA92" i="6" s="1"/>
  <c r="AA43" i="29"/>
  <c r="W43" i="6" s="1"/>
  <c r="AA43" i="6" s="1"/>
  <c r="AA119" i="29"/>
  <c r="W119" i="6" s="1"/>
  <c r="AA119" i="6" s="1"/>
  <c r="AA103" i="29"/>
  <c r="W103" i="6" s="1"/>
  <c r="AA103" i="6" s="1"/>
  <c r="AA55" i="29"/>
  <c r="W55" i="6" s="1"/>
  <c r="AA55" i="6" s="1"/>
  <c r="AA100" i="29"/>
  <c r="W100" i="6" s="1"/>
  <c r="AA100" i="6" s="1"/>
  <c r="AA49" i="29"/>
  <c r="W49" i="6" s="1"/>
  <c r="AA49" i="6" s="1"/>
  <c r="AA90" i="29"/>
  <c r="W90" i="6" s="1"/>
  <c r="AA90" i="6" s="1"/>
  <c r="AA11" i="29"/>
  <c r="W11" i="6" s="1"/>
  <c r="AA11" i="6" s="1"/>
  <c r="AD22" i="29"/>
  <c r="AD44" i="29"/>
  <c r="F38" i="5"/>
  <c r="F39" i="5" s="1"/>
  <c r="F10" i="5" s="1"/>
  <c r="F5" i="5" s="1"/>
  <c r="AD45" i="29" l="1"/>
  <c r="AD43" i="29"/>
  <c r="AD49" i="29"/>
  <c r="AD119" i="29"/>
  <c r="AD99" i="29"/>
  <c r="AD88" i="29"/>
  <c r="AD58" i="29"/>
  <c r="AD93" i="29"/>
  <c r="AD21" i="29"/>
  <c r="AD53" i="29"/>
  <c r="AD20" i="29"/>
  <c r="AD47" i="29"/>
  <c r="AD89" i="29"/>
  <c r="AD96" i="29"/>
  <c r="AD54" i="29"/>
  <c r="AD18" i="29"/>
  <c r="AD120" i="29"/>
  <c r="AD109" i="29"/>
  <c r="AD79" i="29"/>
  <c r="AA66" i="6"/>
  <c r="AB66" i="6"/>
  <c r="AD16" i="29"/>
  <c r="AD91" i="29"/>
  <c r="AD121" i="29"/>
  <c r="AD14" i="29"/>
  <c r="AD73" i="29"/>
  <c r="AD31" i="29"/>
  <c r="AD61" i="29"/>
  <c r="AD63" i="29"/>
  <c r="AD46" i="29"/>
  <c r="AD113" i="29"/>
  <c r="AD72" i="29"/>
  <c r="AD42" i="29"/>
  <c r="AD115" i="29"/>
  <c r="AD13" i="29"/>
  <c r="AD105" i="29"/>
  <c r="AD117" i="29"/>
  <c r="AD35" i="29"/>
  <c r="AD108" i="29"/>
  <c r="AD60" i="29"/>
  <c r="AD110" i="29"/>
  <c r="AD84" i="29"/>
  <c r="AD41" i="29"/>
  <c r="AD36" i="29"/>
  <c r="AD94" i="29"/>
  <c r="AD101" i="29"/>
  <c r="AD112" i="29"/>
  <c r="AD6" i="29"/>
  <c r="AD11" i="29"/>
  <c r="AD55" i="29"/>
  <c r="AD92" i="29"/>
  <c r="AD52" i="29"/>
  <c r="AD29" i="29"/>
  <c r="AD77" i="29"/>
  <c r="AD118" i="29"/>
  <c r="AD95" i="29"/>
  <c r="AD57" i="29"/>
  <c r="AD51" i="29"/>
  <c r="AD70" i="29"/>
  <c r="AD34" i="29"/>
  <c r="AD82" i="29"/>
  <c r="AD114" i="29"/>
  <c r="AD33" i="29"/>
  <c r="AD66" i="29"/>
  <c r="AD68" i="29"/>
  <c r="AD80" i="29"/>
  <c r="AD100" i="29"/>
  <c r="AD48" i="29"/>
  <c r="AD83" i="29"/>
  <c r="AD102" i="29"/>
  <c r="AA3" i="29"/>
  <c r="W3" i="6" s="1"/>
  <c r="AD30" i="29"/>
  <c r="AD71" i="29"/>
  <c r="AD107" i="29"/>
  <c r="AD59" i="29"/>
  <c r="AD32" i="29"/>
  <c r="AD87" i="29"/>
  <c r="AD25" i="29"/>
  <c r="AD19" i="29"/>
  <c r="AD24" i="29"/>
  <c r="AD98" i="29"/>
  <c r="AD86" i="29"/>
  <c r="AD67" i="29"/>
  <c r="AD90" i="29"/>
  <c r="AD103" i="29"/>
  <c r="AD7" i="29"/>
  <c r="AD9" i="29"/>
  <c r="AD40" i="29"/>
  <c r="AD50" i="29"/>
  <c r="AD78" i="29"/>
  <c r="AD69" i="29"/>
  <c r="AD17" i="29"/>
  <c r="AD104" i="29"/>
  <c r="AD4" i="29"/>
  <c r="AD74" i="29"/>
  <c r="AD38" i="29"/>
  <c r="AD12" i="29"/>
  <c r="AD106" i="29"/>
  <c r="AD27" i="29"/>
  <c r="AD37" i="29"/>
  <c r="AD75" i="29"/>
  <c r="AD85" i="29"/>
  <c r="AD39" i="29"/>
  <c r="AD23" i="29"/>
  <c r="AD62" i="29"/>
  <c r="AD28" i="29"/>
  <c r="AD76" i="29"/>
  <c r="AD111" i="29"/>
  <c r="AD26" i="29"/>
  <c r="AD65" i="29"/>
  <c r="AD122" i="29"/>
  <c r="AD56" i="29"/>
  <c r="AD10" i="29"/>
  <c r="AD5" i="29"/>
  <c r="AD81" i="29"/>
  <c r="AA121" i="6"/>
  <c r="AA122" i="6"/>
  <c r="F7" i="5" l="1"/>
  <c r="F41" i="5" s="1"/>
  <c r="F40" i="5"/>
  <c r="AA3" i="6"/>
  <c r="AA127" i="6" s="1"/>
  <c r="W125" i="6"/>
  <c r="AA130" i="6" s="1"/>
  <c r="W128" i="6"/>
  <c r="X128" i="6" s="1"/>
  <c r="AD3" i="29"/>
  <c r="AD124" i="29" s="1"/>
  <c r="X125" i="6"/>
  <c r="AA131" i="6" s="1"/>
  <c r="AA124" i="29"/>
  <c r="W130" i="6"/>
  <c r="X130" i="6" s="1"/>
  <c r="AA125" i="6" l="1"/>
  <c r="W132" i="6" s="1"/>
  <c r="AA126" i="6"/>
  <c r="AE124" i="29"/>
  <c r="Y138" i="6"/>
  <c r="AA132" i="6"/>
  <c r="W133" i="6" l="1"/>
  <c r="W13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</author>
  </authors>
  <commentList>
    <comment ref="I71" authorId="0" shapeId="0" xr:uid="{BC2740AA-F3AD-4427-8DB9-7E40BAEC263C}">
      <text>
        <r>
          <rPr>
            <b/>
            <sz val="9"/>
            <color indexed="81"/>
            <rFont val="Tahoma"/>
            <family val="2"/>
          </rPr>
          <t>3500 CHARGED PER PERSON 
3500*142=497000 
71*150=10650 FOR MINERAL WATER LARGE
207*150=31050 FOR SOFT DRINKS
TOTAL 31050+10650=41700
15% TAX=47955
TOTAL AMOUNT RECEIVED= 47955+497000=544955
PAID 520,000 ON CASH  31/OCT/2025
PAID 25000 ON CARD
INVOICE NO: 000079
BATCHNO: 000012
ON 23/OCT/2025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</author>
  </authors>
  <commentList>
    <comment ref="O51" authorId="0" shapeId="0" xr:uid="{5A86D787-D963-4595-97F9-C2D5FF7B2110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INVOICE: 163
BT NO: 19
</t>
        </r>
      </text>
    </comment>
    <comment ref="O63" authorId="0" shapeId="0" xr:uid="{86993FCF-DD12-4237-AE43-705BE8143D7D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INV:164
BTC:19
</t>
        </r>
      </text>
    </comment>
    <comment ref="J76" authorId="0" shapeId="0" xr:uid="{DF562226-7F26-4E2F-A165-D112787DD1F0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INV:166
BATC:19</t>
        </r>
      </text>
    </comment>
    <comment ref="E77" authorId="0" shapeId="0" xr:uid="{36867601-22AE-44C8-B505-7ACDCB368A04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INV:165
BATC:19</t>
        </r>
      </text>
    </comment>
    <comment ref="P80" authorId="0" shapeId="0" xr:uid="{6FBD20F9-FB82-4066-A900-DCACF7C6DF95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IN: 168
BT: 19</t>
        </r>
      </text>
    </comment>
    <comment ref="P105" authorId="0" shapeId="0" xr:uid="{82193495-331F-4399-AC56-5D5B17556CB5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 170
BATCH: 19</t>
        </r>
      </text>
    </comment>
    <comment ref="T207" authorId="0" shapeId="0" xr:uid="{ECCED66A-7D9A-4545-AC20-4616F1C72691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CASH NOT RECEIVED
CASH ON DANISH 
40K
</t>
        </r>
      </text>
    </comment>
    <comment ref="P211" authorId="0" shapeId="0" xr:uid="{784416B9-8606-4F99-B7A7-81DF63DD1BB8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REMIANING ON SIR TARIQ 5000
</t>
        </r>
      </text>
    </comment>
    <comment ref="T228" authorId="0" shapeId="0" xr:uid="{CD276BD8-A362-4BAE-89FB-75582ABEE5D2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CASH NOT RECEIVED
CASH ON DANISH 
40K
</t>
        </r>
      </text>
    </comment>
    <comment ref="O250" authorId="0" shapeId="0" xr:uid="{2A942A61-587E-4659-847D-2B9B47714BEB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IN:179
BATHC:20
</t>
        </r>
      </text>
    </comment>
    <comment ref="K252" authorId="0" shapeId="0" xr:uid="{386D3F41-AA68-46EB-A31D-041B6A3D9BC0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IN:181
BATCH: 20
</t>
        </r>
      </text>
    </comment>
    <comment ref="O264" authorId="0" shapeId="0" xr:uid="{93862BF9-D0E8-499F-8DA1-D618E5597B4D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CARD PAYMENT
</t>
        </r>
      </text>
    </comment>
    <comment ref="P279" authorId="0" shapeId="0" xr:uid="{0053BABD-E4CC-4EFE-9617-45467D327177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94" authorId="0" shapeId="0" xr:uid="{DD93361D-064B-472A-980A-88C3EB89DD18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PAID THROW ONLINE ON 21-12-2025
</t>
        </r>
      </text>
    </comment>
    <comment ref="J312" authorId="0" shapeId="0" xr:uid="{0164B2C9-1E3D-444A-8459-E20F2CFD81BC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 188
BTCH:20
</t>
        </r>
      </text>
    </comment>
    <comment ref="P314" authorId="0" shapeId="0" xr:uid="{A99CFBB9-0DF7-4B30-9183-5F2F3A1A98FB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INV:189
BTC:20
</t>
        </r>
      </text>
    </comment>
    <comment ref="J315" authorId="0" shapeId="0" xr:uid="{4BFB1064-BF50-4FF3-9DDA-47A51D711A05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ONLINE PAY 0N 23/12/2025
</t>
        </r>
      </text>
    </comment>
    <comment ref="E326" authorId="0" shapeId="0" xr:uid="{3228221B-6831-4FF6-B58A-015916C9613E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ONLINE PAY 0N 23/12/2025
</t>
        </r>
      </text>
    </comment>
    <comment ref="S327" authorId="0" shapeId="0" xr:uid="{C43A507B-82F7-4908-9432-145D30D1F56C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PAID ISL: 
22200000
</t>
        </r>
      </text>
    </comment>
    <comment ref="P328" authorId="0" shapeId="0" xr:uid="{FF8FD1D0-043F-47A3-80C2-5FDE560C3316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INVOICE 190
BTCJ: 20
</t>
        </r>
      </text>
    </comment>
    <comment ref="P336" authorId="0" shapeId="0" xr:uid="{75E2DE0E-CA56-4E5A-A005-BB36146AD433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PAID ONLINE 25/12/2025
</t>
        </r>
      </text>
    </comment>
    <comment ref="S346" authorId="0" shapeId="0" xr:uid="{C4AD4436-3543-4EC9-9B0C-86A5FB1F7EB2}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CASH PAID
</t>
        </r>
      </text>
    </comment>
  </commentList>
</comments>
</file>

<file path=xl/sharedStrings.xml><?xml version="1.0" encoding="utf-8"?>
<sst xmlns="http://schemas.openxmlformats.org/spreadsheetml/2006/main" count="5362" uniqueCount="1245">
  <si>
    <t>S.no</t>
  </si>
  <si>
    <t>Membership number</t>
  </si>
  <si>
    <t>Name</t>
  </si>
  <si>
    <t>Email Address</t>
  </si>
  <si>
    <t>Contact Number</t>
  </si>
  <si>
    <t>Address</t>
  </si>
  <si>
    <t>Gym</t>
  </si>
  <si>
    <t>HCFM-AH001</t>
  </si>
  <si>
    <t>ADMIRAL AHMED HAYAT</t>
  </si>
  <si>
    <t>ahmadhayat.btic@gmail.com</t>
  </si>
  <si>
    <t>HCFM-0502</t>
  </si>
  <si>
    <t>MR. JABIR SHAHZAD</t>
  </si>
  <si>
    <t>Jabirshah@hotmil.com</t>
  </si>
  <si>
    <t>03452430072</t>
  </si>
  <si>
    <t>Appt# 76, Tower 04, Precinct-19, Bahria Town Karachi</t>
  </si>
  <si>
    <t>HCFM-0503</t>
  </si>
  <si>
    <t>MR.GHULAM NABI OTHI</t>
  </si>
  <si>
    <t>Alirazaothi@gmail.com</t>
  </si>
  <si>
    <t>03002237405</t>
  </si>
  <si>
    <t>Villa # 689, Street# 11, Iqbal Villa, Preccinct-02, Bahria Town Karachi</t>
  </si>
  <si>
    <t>HCFM-0504</t>
  </si>
  <si>
    <t>MR.BILAL AHMED</t>
  </si>
  <si>
    <t>bilalak061@gmail.com</t>
  </si>
  <si>
    <t>03468214340</t>
  </si>
  <si>
    <t>Quaid Villa# 118, Street# 03, Precinct-02, Bahria Town Karachi</t>
  </si>
  <si>
    <t>HCFM-0506</t>
  </si>
  <si>
    <t>MR.MUHAMMAD ARIF</t>
  </si>
  <si>
    <t>03212669061</t>
  </si>
  <si>
    <t>Appt#114, Tower 22, Precinct-19, Bahria Town Karachi</t>
  </si>
  <si>
    <t>HCFM-0507</t>
  </si>
  <si>
    <t>MR.SYED TAHIR ABBAS</t>
  </si>
  <si>
    <t>Syed.tahir.abbas@hotmail.com</t>
  </si>
  <si>
    <t>03218202201</t>
  </si>
  <si>
    <t>Villa# 2509, Street # 60, Precinct- 27, Bahria Town Karachi</t>
  </si>
  <si>
    <t>HCFM-0508</t>
  </si>
  <si>
    <t>MR.SHIRAZ AHMED</t>
  </si>
  <si>
    <t>sh-ahmed@hotmail.com</t>
  </si>
  <si>
    <t>03452362138</t>
  </si>
  <si>
    <t>Apt# 107, 4th Floor , Tower 11, Precinct -19, Bahria Town Karachi</t>
  </si>
  <si>
    <t>HCFM-0509</t>
  </si>
  <si>
    <t>MR.SYED ABDULLAH ALI</t>
  </si>
  <si>
    <t>Syedabdullchali89@gmil.com</t>
  </si>
  <si>
    <t>03339049974</t>
  </si>
  <si>
    <t>Villa# 7546, Street# 23, Road-01, Precinct-16, Bahria Town Karachi</t>
  </si>
  <si>
    <t>HCFM-0510</t>
  </si>
  <si>
    <t>MR.MUHAMMAD RIZWAN</t>
  </si>
  <si>
    <t>meshgroup193@gmail.com</t>
  </si>
  <si>
    <t>03212245690</t>
  </si>
  <si>
    <t>Villa# 536, Street# 15, Road-07, Precinct-04, Bahria Town Karachi</t>
  </si>
  <si>
    <t>HCFM-0511</t>
  </si>
  <si>
    <t>MR.TALHAR AHMED</t>
  </si>
  <si>
    <t>Talharshaikh4@gmail.com</t>
  </si>
  <si>
    <t>03333653690</t>
  </si>
  <si>
    <t>Appt# 104, 4th Floor, TOWER-11, Precinct-19, Bahria Town Karachi</t>
  </si>
  <si>
    <t>HCFM-0512</t>
  </si>
  <si>
    <t>MR.ZEESHAN IQBAL</t>
  </si>
  <si>
    <t>zchamdia@gmail.com</t>
  </si>
  <si>
    <t>03222409333</t>
  </si>
  <si>
    <t>Appt # 113, Tower 04, Precinct-19, Bahria Town Karachi</t>
  </si>
  <si>
    <t>HCFM-0513</t>
  </si>
  <si>
    <t>MR.SAJJAD ALI</t>
  </si>
  <si>
    <t>Sajjad.Kazi.isra@gmail.com</t>
  </si>
  <si>
    <t>03003012497</t>
  </si>
  <si>
    <t>Villa# 06, Road-01, Precinct-04, Bahria Town Karachi</t>
  </si>
  <si>
    <t>HCFM-0514</t>
  </si>
  <si>
    <t>MR.DILEEP KUMAR</t>
  </si>
  <si>
    <t>dgomani@yahoo.com</t>
  </si>
  <si>
    <t>03332655987</t>
  </si>
  <si>
    <t>House# A-50, Palm Enclave Housing Society, Bypass Hyderabad</t>
  </si>
  <si>
    <t>HCFM-0515</t>
  </si>
  <si>
    <t>MR.TARIQUE ZUBAIR</t>
  </si>
  <si>
    <t>tariq.zubair@btkarachi.com</t>
  </si>
  <si>
    <t>03003895969</t>
  </si>
  <si>
    <t>HCFM-0516</t>
  </si>
  <si>
    <t>MR.ATIF SHAFQAT</t>
  </si>
  <si>
    <t>Shafqatatif@hotmail.com</t>
  </si>
  <si>
    <t>03364407555</t>
  </si>
  <si>
    <t>Quaid Villa# 184, Street# 05, Precinct-02, Bahria Town Karchi</t>
  </si>
  <si>
    <t>HCFM-0517</t>
  </si>
  <si>
    <t>DR.ATHESHAM UL HAQ RANA</t>
  </si>
  <si>
    <t>ahaqrana111@icloud.com</t>
  </si>
  <si>
    <t>03009318597</t>
  </si>
  <si>
    <t>Villa# 728, Street # 11, Road-4, Precinct-10A, Bahria Town Karachi</t>
  </si>
  <si>
    <t>HCFM-0518</t>
  </si>
  <si>
    <t>DR.SANTOSH KUMAR</t>
  </si>
  <si>
    <t>drsantoshpamnani@gmail.com</t>
  </si>
  <si>
    <t>03212014843</t>
  </si>
  <si>
    <t>Appt # 91, Tower 22, Precinct- 19, Bahria Town Karachi</t>
  </si>
  <si>
    <t>HCFM-0519</t>
  </si>
  <si>
    <t>DR.NAZEER HUSSAIN KALHORO</t>
  </si>
  <si>
    <t>drnazeerhussain@hotmail.com</t>
  </si>
  <si>
    <t>03114605474</t>
  </si>
  <si>
    <t>Villa# 756, Street 23 , Precinct- 01, Bahria Town Karachi</t>
  </si>
  <si>
    <t>HCFM-0520</t>
  </si>
  <si>
    <t>MR.NIZAM UDDIN NIZAMANI</t>
  </si>
  <si>
    <t>nizambaloch@gmail.com</t>
  </si>
  <si>
    <t>03452220862</t>
  </si>
  <si>
    <t>Villa # 211, Street # 01, Precinct-11-A, Bahria Town Karachi</t>
  </si>
  <si>
    <t>HCFM-0521</t>
  </si>
  <si>
    <t>MR.HAFEEZ AHMED SIYAL</t>
  </si>
  <si>
    <t>hafeezsiyal09@gmail.com</t>
  </si>
  <si>
    <t>03008379253</t>
  </si>
  <si>
    <t>Villa#1990, Road-15, Precinct-12, Ali Block, Bahria Town Karchi</t>
  </si>
  <si>
    <t>HCFM-0522</t>
  </si>
  <si>
    <t>MR.IQBAL AHMED MALLAH</t>
  </si>
  <si>
    <t>Iqbalahmed.Mallah@hotmail.com</t>
  </si>
  <si>
    <t>03009249097</t>
  </si>
  <si>
    <t>Villa#1642, Loop Road,  Precinct  10-A, Bahria Town Karachi.</t>
  </si>
  <si>
    <t>HCFM-0523</t>
  </si>
  <si>
    <t>MR.KANYO LAL</t>
  </si>
  <si>
    <t>Kanyolal.Mandhwani@gmail.com</t>
  </si>
  <si>
    <t>03335414613</t>
  </si>
  <si>
    <t>Pent House # 02, 5th Floor Mustafa Arcade, SMCH- Block-A Karachi</t>
  </si>
  <si>
    <t>HCFM-0524</t>
  </si>
  <si>
    <t>MR.MANOJ KUMAR</t>
  </si>
  <si>
    <t>Mkvedani@gmil.com</t>
  </si>
  <si>
    <t>03332881142</t>
  </si>
  <si>
    <t>Appt # 96, Tower 08, Precinct - 19, Bahria Town Karachi</t>
  </si>
  <si>
    <t>HCFM-0525</t>
  </si>
  <si>
    <t>DR.SAJJAD AHMED SOLANGI</t>
  </si>
  <si>
    <t>Solangisajjad1977@gmail.com</t>
  </si>
  <si>
    <t>03272102384</t>
  </si>
  <si>
    <t>Villa # 230, Street # 03, Precinct - 10-A, Bahria Town Karachi</t>
  </si>
  <si>
    <t>HCFM-0526</t>
  </si>
  <si>
    <t>MR.MUIED AHMED DURRANI</t>
  </si>
  <si>
    <t>Muied@outlook.com</t>
  </si>
  <si>
    <t>03462885409</t>
  </si>
  <si>
    <t>Villa # 1012 , Street # 13 , Precinct-31 , Bahria Town Karachi</t>
  </si>
  <si>
    <t>HCFM-0527</t>
  </si>
  <si>
    <t>MR.SAEED AHMED</t>
  </si>
  <si>
    <t>Sanoorhafsa123@gmail.com</t>
  </si>
  <si>
    <t>03212112153</t>
  </si>
  <si>
    <t>Villa # 05, Street # 31, Precinct-35, Sportcity, Bahria Town Karachi</t>
  </si>
  <si>
    <t>HCFM-0528</t>
  </si>
  <si>
    <t>MR.VIKASH KUMAR</t>
  </si>
  <si>
    <t>Kokrejavicky@yhoo.com</t>
  </si>
  <si>
    <t>03333647747</t>
  </si>
  <si>
    <t>Villa # 604, Street # 12, Precinct-11-A, Bahria Town Karachi</t>
  </si>
  <si>
    <t>HCFM-0529</t>
  </si>
  <si>
    <t>DR.UMER QAZI</t>
  </si>
  <si>
    <t>docuk1982@yahoo.com</t>
  </si>
  <si>
    <t>03361853609</t>
  </si>
  <si>
    <t>HCFM-0530</t>
  </si>
  <si>
    <t>MR.MUHAMMAD HANIF</t>
  </si>
  <si>
    <t>haneef_pk@hotmail.com</t>
  </si>
  <si>
    <t>Villa# 105, Loop Road, Precinct-06, Bahria Town Karachi</t>
  </si>
  <si>
    <t>HCFM-0532</t>
  </si>
  <si>
    <t>MR.KHALID JAVED</t>
  </si>
  <si>
    <t>khalid.javed@omsltd.net</t>
  </si>
  <si>
    <t>03458437686</t>
  </si>
  <si>
    <t>Villa# 1575, Street # 23, Precinct-08, Bahria Town Karachi</t>
  </si>
  <si>
    <t>HCFM-0533</t>
  </si>
  <si>
    <t>MR.ZULQARNAIN</t>
  </si>
  <si>
    <t>zulqarnainhabib@gmail.com</t>
  </si>
  <si>
    <t>Villa # 594, Street # 19, Precinct # 01, Bahria Town Karachi</t>
  </si>
  <si>
    <t>HCFM-0534</t>
  </si>
  <si>
    <t>MR.PIR MUJEEB JAN SARHANDI</t>
  </si>
  <si>
    <t>hamzajan1996@hotmail.com</t>
  </si>
  <si>
    <t>03003029453</t>
  </si>
  <si>
    <t>Appt # 118, 5th Floor, Tower# 15, Bahria Town Karachi</t>
  </si>
  <si>
    <t>HCFM-0535</t>
  </si>
  <si>
    <t>MR.MUHAMMAD ASIF</t>
  </si>
  <si>
    <t>03002901230</t>
  </si>
  <si>
    <t>Villa# 164, Precinct # 02, Quaid Block, Bahria Town Karachi</t>
  </si>
  <si>
    <t>HCFM-0536</t>
  </si>
  <si>
    <t>MR.ASHOK KUMAR</t>
  </si>
  <si>
    <t>arta_ashoka@hotmail.com</t>
  </si>
  <si>
    <t>03332638079</t>
  </si>
  <si>
    <t>Quaid Villa # 141, Street # 4, Precinct # 02, Bahria Town Karachi</t>
  </si>
  <si>
    <t>HCFM-0537</t>
  </si>
  <si>
    <t>MR.TARIQ SALEEM</t>
  </si>
  <si>
    <t>Tariqalvi846@gmail.com</t>
  </si>
  <si>
    <t>Appt # 106, 5th Floor , Tower# 06, Precinct-19, Bahria Town Karachi</t>
  </si>
  <si>
    <t>HCFM-0538</t>
  </si>
  <si>
    <t>MR.MUHAMMAD ZAIN</t>
  </si>
  <si>
    <t>03212106668</t>
  </si>
  <si>
    <t>Villa# 0236, Street 06, Precinct #02, Quaid Block, Bahria Town Karachi</t>
  </si>
  <si>
    <t>HCFM-0539</t>
  </si>
  <si>
    <t>MR.QAMARUZZAMAN</t>
  </si>
  <si>
    <t>Qamar@ezzaintl.com</t>
  </si>
  <si>
    <t>03008269322</t>
  </si>
  <si>
    <t xml:space="preserve"> A2 3/30 Flat C4 , 3rd Floor , Nazimabad # 2 , Awan-e-Hashim ,  Karachi</t>
  </si>
  <si>
    <t>HCFM-0540</t>
  </si>
  <si>
    <t>MR.MUHAMMAD SALIQ SIDDIQUI</t>
  </si>
  <si>
    <t>ssiddiqi2@yahoo.com</t>
  </si>
  <si>
    <t>030021333997</t>
  </si>
  <si>
    <t>Dolmen Arcade, Block 3 , B.Y.J.C.H.S, Appt #609, Bahadurabad, Karachi</t>
  </si>
  <si>
    <t>HCFM-0541</t>
  </si>
  <si>
    <t>MR.SHAN ELAHI SEHGAL</t>
  </si>
  <si>
    <t>Shanelahisehgal@hotmail.com</t>
  </si>
  <si>
    <t>03367890911</t>
  </si>
  <si>
    <t>Villa# 1567, Precinct #10-A, Bahria Town Karachi</t>
  </si>
  <si>
    <t>HCFM-0542</t>
  </si>
  <si>
    <t>MR.HANIF AHSAN ZUBEDI</t>
  </si>
  <si>
    <t>Haneefahsan@hotmail.com</t>
  </si>
  <si>
    <t>03332624474</t>
  </si>
  <si>
    <t>Appt # 149, Tower # 24, Precinct-19, Bahria Town Karachi</t>
  </si>
  <si>
    <t>HCFM-0543</t>
  </si>
  <si>
    <t>MR.MUHAMMAD ATIF USMANI</t>
  </si>
  <si>
    <t>ma.usmani@live.com</t>
  </si>
  <si>
    <t>03009382539</t>
  </si>
  <si>
    <t>Quaid Villa # 184 , Street # 5 , Precinct -2 , Bahria Town Karachi</t>
  </si>
  <si>
    <t>HCFM-0544</t>
  </si>
  <si>
    <t>MR.MOHAMMAD ASHRAF SHAIKH</t>
  </si>
  <si>
    <t>ashrafsheikh@hotmail.com</t>
  </si>
  <si>
    <t>03332604818</t>
  </si>
  <si>
    <t>Villa# 712, Street # 22, Precinct # 04, Bahria Town Karachi</t>
  </si>
  <si>
    <t>HCFM-0546</t>
  </si>
  <si>
    <t>MR.ATHER TARIQ</t>
  </si>
  <si>
    <t>athar.tariq@logistics-leaders.com</t>
  </si>
  <si>
    <t>03232316561</t>
  </si>
  <si>
    <t>Appt # 55, Tower# 23, Precinct# 19, Bahria Town Karachi</t>
  </si>
  <si>
    <t>HCFM-0547</t>
  </si>
  <si>
    <t>MR.GOBIND RAM</t>
  </si>
  <si>
    <t>gobind.lund@nbp.com.pk</t>
  </si>
  <si>
    <t>03003300006</t>
  </si>
  <si>
    <t>Appt # 602, Paradise Residency, Ferere Town, Clifton Karachi</t>
  </si>
  <si>
    <t>HCFM-0548</t>
  </si>
  <si>
    <t>MR.ZAIN FAROOQ</t>
  </si>
  <si>
    <t>zainfarooq@hotmail.com</t>
  </si>
  <si>
    <t xml:space="preserve">Appt # 04 , Tower # 7 , Precinct 19 , Bahria Town Karachi </t>
  </si>
  <si>
    <t>HCFM-0549</t>
  </si>
  <si>
    <t>MR.WAQAR UDDIN</t>
  </si>
  <si>
    <t>sadaat_waqar@yahoo.com</t>
  </si>
  <si>
    <t>03333498034</t>
  </si>
  <si>
    <t>Quaid Villa # 107 , Street # 3 , Precicnt-2 , Bahria Town Karachi</t>
  </si>
  <si>
    <t>HCFM-0551</t>
  </si>
  <si>
    <t>MR.ASIF ALI</t>
  </si>
  <si>
    <t>03000910659</t>
  </si>
  <si>
    <t>Villa# 620, Road-06, Precinct-08, Bahria Town Karachi</t>
  </si>
  <si>
    <t>HCFM-0553</t>
  </si>
  <si>
    <t>MR.FAISAL MERCHANT</t>
  </si>
  <si>
    <t>faisalmerchant@yahoo.com</t>
  </si>
  <si>
    <t>03342467497</t>
  </si>
  <si>
    <t>Villa # 919, Street # 30 ,  Precinct -4 , Bahria Town Keachi</t>
  </si>
  <si>
    <t>HCFM-0554</t>
  </si>
  <si>
    <t>MR.IMRAN WAZEER</t>
  </si>
  <si>
    <t>imranwazeerpk@gmail.com</t>
  </si>
  <si>
    <t>03018383404</t>
  </si>
  <si>
    <t xml:space="preserve">Villa # 295 , Street # 5 , Precicnt -8 ,  Bahria Town Karachi </t>
  </si>
  <si>
    <t>HCFM-0556</t>
  </si>
  <si>
    <t>MR.SYED SALMAN RAZA</t>
  </si>
  <si>
    <t>03055555646</t>
  </si>
  <si>
    <t xml:space="preserve">Villa # 1008 , Road # 10 , Precinct 4 Bahria Town Karachi </t>
  </si>
  <si>
    <t>HCFM-0557</t>
  </si>
  <si>
    <t>MR.KHADIM HUSSAIN</t>
  </si>
  <si>
    <t>khadim2016@icloud.com</t>
  </si>
  <si>
    <t>03332124863</t>
  </si>
  <si>
    <t>Villa # 122 , Street # 3 , Precicnt -29 , Bahria Town Karachi</t>
  </si>
  <si>
    <t>HCFM-0558</t>
  </si>
  <si>
    <t>MUHAMMAD EBRAHIM TIWANA</t>
  </si>
  <si>
    <t>ebrahim.nsps@gmail.com</t>
  </si>
  <si>
    <t>03463308767</t>
  </si>
  <si>
    <t>Villa # 4032 , Road 1 , Precicnt # 1 , Bahria Town Karachi</t>
  </si>
  <si>
    <t>HCFM-0559</t>
  </si>
  <si>
    <t>MR.SYED HAMID SHAH</t>
  </si>
  <si>
    <t>03005006020</t>
  </si>
  <si>
    <t>Quaid Villa #122, Street # 3, Precinct-2, Bahria Town Karachi</t>
  </si>
  <si>
    <t>HCFM-0581</t>
  </si>
  <si>
    <t>Brig Dr Ghulam Mehdi (Retd)</t>
  </si>
  <si>
    <t>Mehdighulam1@gmail.com</t>
  </si>
  <si>
    <t>03214751278</t>
  </si>
  <si>
    <t>Quaid Villa # 150 , Street # 4 , Precicnt -2 , Bahria Town Karachi</t>
  </si>
  <si>
    <t>HCFM-0583</t>
  </si>
  <si>
    <t>MR.CAREL HEDRIK BURGER</t>
  </si>
  <si>
    <t>Callie.hendrik@btkarachi.com</t>
  </si>
  <si>
    <t>03458207222</t>
  </si>
  <si>
    <t>Villa # 03 , Street # 09, Precinct- 35, Sportcity, Bahria Town Karachi</t>
  </si>
  <si>
    <t>HCFM-0585</t>
  </si>
  <si>
    <t>DGM AMJAD ALI SHAIKH</t>
  </si>
  <si>
    <t>engr.amjadalishaikh@gmail.com</t>
  </si>
  <si>
    <t>03333851445</t>
  </si>
  <si>
    <t>Iqbal Villa # 866 , Street # 17 , Precicnt-2 Bahria Town Karachi</t>
  </si>
  <si>
    <t>HCFM-0586</t>
  </si>
  <si>
    <t>MR.SYED MURTAZA ALI</t>
  </si>
  <si>
    <t>mrtali@yahoo.com</t>
  </si>
  <si>
    <t>03312469273</t>
  </si>
  <si>
    <t xml:space="preserve">Villa # 1590 , Loop Road , Precicnt- 10 A , Bhaira Town Karachi </t>
  </si>
  <si>
    <t>HCFM-0587</t>
  </si>
  <si>
    <t>akbar_rao@yahoo.com</t>
  </si>
  <si>
    <t>03212220808</t>
  </si>
  <si>
    <t>Villa # 641 , Sector D , Askari 10 , Lahore Cantt</t>
  </si>
  <si>
    <t>HCFM-0588</t>
  </si>
  <si>
    <t>ZULFIQAR AHMED MEMON</t>
  </si>
  <si>
    <t>zulfitim@gmail.com</t>
  </si>
  <si>
    <t>03002347550</t>
  </si>
  <si>
    <t>Quaid Villa # 569 , Road # 2 , Precicnt -2 , Bahria Town Karachi</t>
  </si>
  <si>
    <t>HCFM-0589</t>
  </si>
  <si>
    <t>DGM.REHAN TARIQ</t>
  </si>
  <si>
    <t>rehan.tariq@btkarachi.com</t>
  </si>
  <si>
    <t>03003516987</t>
  </si>
  <si>
    <t>Villa # 828 , Street # 12 , Precicnt -10 A , Bahria Town Karachi</t>
  </si>
  <si>
    <t>HCFM-0590</t>
  </si>
  <si>
    <t>DGM.FAISAL AHMED</t>
  </si>
  <si>
    <t>faisal.ahmed@btkarachi.com</t>
  </si>
  <si>
    <t>Iqbal Villa # 822 , Strret # 17 , Precicnt -2 , Bahira Town Karachi</t>
  </si>
  <si>
    <t>HCFM-0591</t>
  </si>
  <si>
    <t>COL.AMIR RAZA</t>
  </si>
  <si>
    <t xml:space="preserve">amir.raza@bahriaadventureland.com </t>
  </si>
  <si>
    <t>03215880200</t>
  </si>
  <si>
    <t xml:space="preserve">Villa # 26 , Road 1 , Sportcity , Bahria Town Karachi </t>
  </si>
  <si>
    <t>HCFM-0593</t>
  </si>
  <si>
    <t>CAPT.HAMID UZ ZAFAR</t>
  </si>
  <si>
    <t>huzaffar@btkarachi.com</t>
  </si>
  <si>
    <t>03332394721</t>
  </si>
  <si>
    <t xml:space="preserve">H # 126-H  , Model Town , Lahore </t>
  </si>
  <si>
    <t>HCFM-0595</t>
  </si>
  <si>
    <t>BRIG.KHALID MEHMOOD</t>
  </si>
  <si>
    <t>HCFM-0596</t>
  </si>
  <si>
    <t>DGM AZFAR ALI</t>
  </si>
  <si>
    <t>azfar.ali@btkarachi.com</t>
  </si>
  <si>
    <t>Iqbal Villa # 863 , Street # 17 , Precicnt -2 , Bahria Town Karachi</t>
  </si>
  <si>
    <t>HCFM-0597</t>
  </si>
  <si>
    <t>GM GHULAM DASTAGEER</t>
  </si>
  <si>
    <t>g.dastageer@btkarachi.com</t>
  </si>
  <si>
    <t>HCFM-0598</t>
  </si>
  <si>
    <t>DGM FATIMA ZAHID</t>
  </si>
  <si>
    <t>fatima.zahid@btkarachi.com</t>
  </si>
  <si>
    <t>03455276997</t>
  </si>
  <si>
    <t>HCFM-0599</t>
  </si>
  <si>
    <t>CDR.RAZA REHMAN</t>
  </si>
  <si>
    <t>raza.rehman@btkarachi.com</t>
  </si>
  <si>
    <t xml:space="preserve">Villa # 1197 , Street # 18 ,  Precicnt -8 , Bhaira Town Karachi </t>
  </si>
  <si>
    <t>HCFM-0600</t>
  </si>
  <si>
    <t>DR.FAKHRUNISSA WAHEED</t>
  </si>
  <si>
    <t>drfakhrunisa@gmail.com</t>
  </si>
  <si>
    <t>03002666888</t>
  </si>
  <si>
    <t xml:space="preserve">Villa # 354 , Street # 8 , Quaid Block , Bahria Town Karachi </t>
  </si>
  <si>
    <t>HCFM-0601</t>
  </si>
  <si>
    <t>GM HAROON RASHEED</t>
  </si>
  <si>
    <t>haroonrasheedbahria@gmail.com</t>
  </si>
  <si>
    <t>03332167222</t>
  </si>
  <si>
    <t>Quaid Villa # 437 , Road -01 , Precinct # 02 , Bahria Town Karachi</t>
  </si>
  <si>
    <t>HCFM-0602</t>
  </si>
  <si>
    <t>GM IRAM HAIDER MANGI</t>
  </si>
  <si>
    <t>mangi.haider@gmail.com</t>
  </si>
  <si>
    <t>03048338024</t>
  </si>
  <si>
    <t>Quaid Villa # 558, Road -02 , Precinct -02 , Bahria Town Karachi</t>
  </si>
  <si>
    <t>HCFM-0604</t>
  </si>
  <si>
    <t>GM YASIR HUSSAIN</t>
  </si>
  <si>
    <t>yasir.hussain@bitcon.com</t>
  </si>
  <si>
    <t>Quaid Villa # 522, Quaid Block , Bahria Town Karachi</t>
  </si>
  <si>
    <t>HCFM-0663</t>
  </si>
  <si>
    <t>CAPT.ZAHID AWAN</t>
  </si>
  <si>
    <t>zahid.awan@btkarachi.com</t>
  </si>
  <si>
    <t xml:space="preserve">H # D-27 , Street # B-50 , NHS Phase 4 , Karsaz , Karachi </t>
  </si>
  <si>
    <t>HCFM-0605</t>
  </si>
  <si>
    <t>DR.QURATULAIN RAZI</t>
  </si>
  <si>
    <t>docburni@gmail.com</t>
  </si>
  <si>
    <t>Quaid Villa # 518, Street# 10-B, Precinct- 02, Bahria Town Karachi</t>
  </si>
  <si>
    <t>HCFM-0606</t>
  </si>
  <si>
    <t>DR.FAREYA</t>
  </si>
  <si>
    <t xml:space="preserve">M 21/1/1 , Phase-7 , Ittehad DHA </t>
  </si>
  <si>
    <t>HCFM-0607</t>
  </si>
  <si>
    <t>zia.khan@btkarachi.com</t>
  </si>
  <si>
    <t xml:space="preserve">SUH 425 , Street # 4 , Sector-B , Askari 5 , Malir Cant , Karachi </t>
  </si>
  <si>
    <t>HCFM-0608</t>
  </si>
  <si>
    <t>yaqoob.awan@btkarachi.com</t>
  </si>
  <si>
    <t xml:space="preserve">Quaid Villa # 551 , Road -2 , Precicnt # 2 , Bahria Town Karachi </t>
  </si>
  <si>
    <t>HCFM-0609</t>
  </si>
  <si>
    <t>DR.NASEEM MUNSHI</t>
  </si>
  <si>
    <t>naseemmunshi@hotmail.com</t>
  </si>
  <si>
    <t>Date</t>
  </si>
  <si>
    <t>Bowling Alley</t>
  </si>
  <si>
    <t>Family Pool</t>
  </si>
  <si>
    <t>Squash Court</t>
  </si>
  <si>
    <t>Ladies Pool</t>
  </si>
  <si>
    <t>Amusement Arcade</t>
  </si>
  <si>
    <t>Cinema</t>
  </si>
  <si>
    <t>Cigar Lounge</t>
  </si>
  <si>
    <t>Pool Lockers</t>
  </si>
  <si>
    <t>SPA</t>
  </si>
  <si>
    <t>NAME</t>
  </si>
  <si>
    <t>HCFM-0642</t>
  </si>
  <si>
    <t>HCFM-0641</t>
  </si>
  <si>
    <t>HCFM-0639</t>
  </si>
  <si>
    <t>HCFM-0650</t>
  </si>
  <si>
    <t>HCFM-0640</t>
  </si>
  <si>
    <t>HCFM-0644</t>
  </si>
  <si>
    <t>HUSSAIN WAJID</t>
  </si>
  <si>
    <t>MUKHTIAR AHMED SHAR</t>
  </si>
  <si>
    <t>ASIF ASHFAQ</t>
  </si>
  <si>
    <t>SABA AHSAN</t>
  </si>
  <si>
    <t>HCFM-0647</t>
  </si>
  <si>
    <t>IMRAN AHMED</t>
  </si>
  <si>
    <t>HCFM-0648</t>
  </si>
  <si>
    <t>AYSM MIRZA</t>
  </si>
  <si>
    <t>IFTIKHAR SHAH</t>
  </si>
  <si>
    <t>HCFM-0649</t>
  </si>
  <si>
    <t>KHURRAM FIRDOUS</t>
  </si>
  <si>
    <t>HCFM-0638</t>
  </si>
  <si>
    <t>RIAZ FAZAL</t>
  </si>
  <si>
    <t>AAMIR RASOOL</t>
  </si>
  <si>
    <t>HCFM-0645</t>
  </si>
  <si>
    <t>MUNEER AHMED</t>
  </si>
  <si>
    <t>HCFM-0646</t>
  </si>
  <si>
    <t>BAHRIA INTERNATIONAL HOSPITAL</t>
  </si>
  <si>
    <t>DUE DATE</t>
  </si>
  <si>
    <t>FIXED CHARGES</t>
  </si>
  <si>
    <t>SPORTS SUBSCRIPTION</t>
  </si>
  <si>
    <t>USAGE CHARGES</t>
  </si>
  <si>
    <t>BOWLING ALLEY</t>
  </si>
  <si>
    <t>SQUASH COURT</t>
  </si>
  <si>
    <t>CINEMA</t>
  </si>
  <si>
    <t>SUB TOTAL</t>
  </si>
  <si>
    <t xml:space="preserve">SERVICES TAX (SST)    </t>
  </si>
  <si>
    <t>TOTAL USAGE CHARGES INCLUDING SST</t>
  </si>
  <si>
    <t>MINIMUM CHARGE FOR THE CURRENT HALF YEAR (FYI)</t>
  </si>
  <si>
    <t>USAGE CHARGE FOR THE CURRENT HALF YEAR (FYI)</t>
  </si>
  <si>
    <t>REMAINING CHARGE FOR THE CURRENT HALF YEAR (FYI)</t>
  </si>
  <si>
    <t>HERITAGE CLUB</t>
  </si>
  <si>
    <t>FOOD &amp; BEVERAGES</t>
  </si>
  <si>
    <t>GYM</t>
  </si>
  <si>
    <t>Monthly sub</t>
  </si>
  <si>
    <t>AMOUNT</t>
  </si>
  <si>
    <t>REMAINING MANDATORY DINE IN CHARGE</t>
  </si>
  <si>
    <t>SUMMARY</t>
  </si>
  <si>
    <t>maszone1980@gmail.com</t>
  </si>
  <si>
    <t>HCFM-0656</t>
  </si>
  <si>
    <t>ZAIB UR REHMAN</t>
  </si>
  <si>
    <t>HCFM-0655</t>
  </si>
  <si>
    <t>HCFM-0653</t>
  </si>
  <si>
    <t>AMEER MUHAMMAD</t>
  </si>
  <si>
    <t>SADDAM HUSSAIN</t>
  </si>
  <si>
    <t>HCFM-0652</t>
  </si>
  <si>
    <t>Dr. AZAD ALI</t>
  </si>
  <si>
    <t>HCFM-0657</t>
  </si>
  <si>
    <t>NASIR ABBAS</t>
  </si>
  <si>
    <t>HCFM-0651</t>
  </si>
  <si>
    <t>ALI LEGHARI</t>
  </si>
  <si>
    <t>HCFM-0654</t>
  </si>
  <si>
    <t>SYED JIBRAN MUSHTAQ</t>
  </si>
  <si>
    <t>HCFM-0658</t>
  </si>
  <si>
    <t>MUSHTAQ AHMED MEMON</t>
  </si>
  <si>
    <t>Vanue Charges</t>
  </si>
  <si>
    <t>MEMBERSHIP ID</t>
  </si>
  <si>
    <t>DATE</t>
  </si>
  <si>
    <t>QTY.</t>
  </si>
  <si>
    <t>FOOD ORDER</t>
  </si>
  <si>
    <t>PLAIN NAAN</t>
  </si>
  <si>
    <t>MINERAL WATER LARGE</t>
  </si>
  <si>
    <t>RAITA</t>
  </si>
  <si>
    <t>SOFT DRINKS</t>
  </si>
  <si>
    <t>ROGHNI NAAN</t>
  </si>
  <si>
    <t>APPLE JUICE</t>
  </si>
  <si>
    <t>SGM MUHAMMAD YAQOOB</t>
  </si>
  <si>
    <t>HCFM-0603</t>
  </si>
  <si>
    <t>GINGER COOKIES</t>
  </si>
  <si>
    <t>HCFM-0661</t>
  </si>
  <si>
    <t>Heritage club</t>
  </si>
  <si>
    <t>CHOCOLATE COOKIES</t>
  </si>
  <si>
    <t>STRAWBERRY CHEESE PASTRY</t>
  </si>
  <si>
    <t>RED VELVET PASTRY</t>
  </si>
  <si>
    <t xml:space="preserve">ARSLAN KHAN ABRO </t>
  </si>
  <si>
    <t>HCFM-0659</t>
  </si>
  <si>
    <t>CHOCOLATE SHAKE</t>
  </si>
  <si>
    <t>FAMILY POOL</t>
  </si>
  <si>
    <t>LADIES POOL</t>
  </si>
  <si>
    <t xml:space="preserve">TOTAL DUE    </t>
  </si>
  <si>
    <t>ARREARS</t>
  </si>
  <si>
    <t>TOTAL AMOUNT AFTER DUE DATE</t>
  </si>
  <si>
    <t>AMOUNT BEFORE DUE DATE</t>
  </si>
  <si>
    <t>AMOUNT AFTER DUE DATE</t>
  </si>
  <si>
    <t>DIR. ZIA UR REHMAN KHAN</t>
  </si>
  <si>
    <t>Sr. Number</t>
  </si>
  <si>
    <t>CUST_CODE</t>
  </si>
  <si>
    <t>BUYER_CODE</t>
  </si>
  <si>
    <t>BUYER_NAME</t>
  </si>
  <si>
    <t>BUYER_ADDRESS</t>
  </si>
  <si>
    <t>BUYER_EMAIL</t>
  </si>
  <si>
    <t>BUYER_TELEPHONE</t>
  </si>
  <si>
    <t>BUYER_MOBILE</t>
  </si>
  <si>
    <t>COMPANY_REGION</t>
  </si>
  <si>
    <t>LAST_CHANGE_USER</t>
  </si>
  <si>
    <t>LAST_CHANGE_DATE</t>
  </si>
  <si>
    <t>STATUS</t>
  </si>
  <si>
    <t>REGION_CODE</t>
  </si>
  <si>
    <t>CLASS</t>
  </si>
  <si>
    <t>PROGRAM</t>
  </si>
  <si>
    <t>VOUCHER_NO</t>
  </si>
  <si>
    <t>FEE_PERIOD_FROM</t>
  </si>
  <si>
    <t>FEE_PERIOD_TO</t>
  </si>
  <si>
    <t>ISSUE_DATE</t>
  </si>
  <si>
    <t>DUE_DATE</t>
  </si>
  <si>
    <t>VALIDITY_DATE</t>
  </si>
  <si>
    <t>VALUE_DATE</t>
  </si>
  <si>
    <t>AMOUNT_BEFORE_DUE</t>
  </si>
  <si>
    <t>AMOUNT_AFTER_DUE</t>
  </si>
  <si>
    <t>AMOUNT_PAID</t>
  </si>
  <si>
    <t>PAYMENT DATE</t>
  </si>
  <si>
    <t>OUTSTANDING</t>
  </si>
  <si>
    <t>MISC DETAIL 4</t>
  </si>
  <si>
    <t>MISC DETAIL 5</t>
  </si>
  <si>
    <t>PLHRPLHCC</t>
  </si>
  <si>
    <t>A</t>
  </si>
  <si>
    <t>COL. AKBER RAO</t>
  </si>
  <si>
    <t>PRAWN MASALA</t>
  </si>
  <si>
    <t>PLAIN FRIES</t>
  </si>
  <si>
    <t>MIX TEA</t>
  </si>
  <si>
    <t>MINERAL WATER SMALL</t>
  </si>
  <si>
    <t>CLUB SANDWICH</t>
  </si>
  <si>
    <t>BEEF BOTI</t>
  </si>
  <si>
    <t>MINT LEMONADE</t>
  </si>
  <si>
    <t>FISH N CHIPS</t>
  </si>
  <si>
    <t>GARLIC NAAN</t>
  </si>
  <si>
    <t xml:space="preserve">HERITAGE CLUB </t>
  </si>
  <si>
    <t>ZEERA RICE</t>
  </si>
  <si>
    <t>AGAVE NECTAR</t>
  </si>
  <si>
    <t>ALMOND CAKE</t>
  </si>
  <si>
    <t>ALMOND COOKIES</t>
  </si>
  <si>
    <t>ALOO SAMOSA</t>
  </si>
  <si>
    <t>AMERICAN ALMOND BROWNE</t>
  </si>
  <si>
    <t>APPLE PIE</t>
  </si>
  <si>
    <t>APPLE PIE HOT SAUCE</t>
  </si>
  <si>
    <t>APTICOT PUDDING</t>
  </si>
  <si>
    <t>ASSORTED COOKIES</t>
  </si>
  <si>
    <t>ASSORTED PASTRY</t>
  </si>
  <si>
    <t>BANTI COOKIES</t>
  </si>
  <si>
    <t>BASBOUSA</t>
  </si>
  <si>
    <t>BEEF BURGER</t>
  </si>
  <si>
    <t>BEEF LASAGNA</t>
  </si>
  <si>
    <t>BEEF NIHARI</t>
  </si>
  <si>
    <t>BEEF SEEKH KABAB</t>
  </si>
  <si>
    <t>BLACK FOREST</t>
  </si>
  <si>
    <t>BLACK FOREST CAKE</t>
  </si>
  <si>
    <t>BLACK FOREST PASTRY</t>
  </si>
  <si>
    <t>BLACK LABEL DOUBLE</t>
  </si>
  <si>
    <t>BLACK TEA</t>
  </si>
  <si>
    <t>BLUE BERRY CHEESE CAKE</t>
  </si>
  <si>
    <t>BLUEBERRY CHEESE PASTRY</t>
  </si>
  <si>
    <t>BOMBAY CAKE</t>
  </si>
  <si>
    <t>BREAK FAST</t>
  </si>
  <si>
    <t>BROWN BREAD</t>
  </si>
  <si>
    <t>BROWNE</t>
  </si>
  <si>
    <t>BUFFET BRUNCH KIDS</t>
  </si>
  <si>
    <t>BUN</t>
  </si>
  <si>
    <t>BUTTER CHICKEN</t>
  </si>
  <si>
    <t>BUTTER NAAN</t>
  </si>
  <si>
    <t>CAKE PLATE</t>
  </si>
  <si>
    <t>CHEESE NAAN</t>
  </si>
  <si>
    <t>CHILI DRY RICE</t>
  </si>
  <si>
    <t>CHIP COOKIES</t>
  </si>
  <si>
    <t>CHOCOLATE</t>
  </si>
  <si>
    <t>CHOCOLATE BISCUIT</t>
  </si>
  <si>
    <t>CHOCOLATE FUDGE CAKE</t>
  </si>
  <si>
    <t>CHOCOLATE MOUSSE</t>
  </si>
  <si>
    <t>CHOCOLATE PASTRY</t>
  </si>
  <si>
    <t>CIGAR</t>
  </si>
  <si>
    <t>COCONUT COOKIES</t>
  </si>
  <si>
    <t>COLD COFFEE</t>
  </si>
  <si>
    <t>COLESLAW</t>
  </si>
  <si>
    <t>COVER CHARGES</t>
  </si>
  <si>
    <t>CROISSANT ROLL</t>
  </si>
  <si>
    <t>DAIRY MILK CAKE</t>
  </si>
  <si>
    <t>DAL</t>
  </si>
  <si>
    <t>DANISH PASTRY</t>
  </si>
  <si>
    <t>DARK DELIGHT</t>
  </si>
  <si>
    <t>DARK DELISH</t>
  </si>
  <si>
    <t>DOUGHNUTS</t>
  </si>
  <si>
    <t>DRY BEEF CHILLI</t>
  </si>
  <si>
    <t>EGG FRIED RICE</t>
  </si>
  <si>
    <t>FISH GREEN MASALA</t>
  </si>
  <si>
    <t>FRIES</t>
  </si>
  <si>
    <t>FRUIT CAKE</t>
  </si>
  <si>
    <t>FRUIT CAKE 2 POUND</t>
  </si>
  <si>
    <t>FUDGE BROWNE</t>
  </si>
  <si>
    <t>FUDGE PASTRY</t>
  </si>
  <si>
    <t>GERMAN ROULADEN</t>
  </si>
  <si>
    <t>GRAPE BLISS</t>
  </si>
  <si>
    <t>GREEN OF MASHROOMS</t>
  </si>
  <si>
    <t>GREEN TEA</t>
  </si>
  <si>
    <t>HARI MIRCH MASALA</t>
  </si>
  <si>
    <t>HC SPECIAL BURGER</t>
  </si>
  <si>
    <t>HEINKEN BEER</t>
  </si>
  <si>
    <t>HOT COFFEE</t>
  </si>
  <si>
    <t>J DANIEL DOUBLE</t>
  </si>
  <si>
    <t>J DANIEL SINGLE</t>
  </si>
  <si>
    <t>JAM COOKIES</t>
  </si>
  <si>
    <t>JELLY PUDDING SLICE</t>
  </si>
  <si>
    <t>KABULI PULAO</t>
  </si>
  <si>
    <t>KITKAT CAKE</t>
  </si>
  <si>
    <t>KUNAFA</t>
  </si>
  <si>
    <t>LASSI</t>
  </si>
  <si>
    <t>LATTE COFFEE</t>
  </si>
  <si>
    <t>LEMON SOUFFLE</t>
  </si>
  <si>
    <t>LEMON TART</t>
  </si>
  <si>
    <t>LOTUS CAKE</t>
  </si>
  <si>
    <t>LOTUS PASTRY</t>
  </si>
  <si>
    <t>MALT BREW</t>
  </si>
  <si>
    <t>MARBLE COOKIES</t>
  </si>
  <si>
    <t>MEDIUM PRAWN</t>
  </si>
  <si>
    <t>MILK SHAKE</t>
  </si>
  <si>
    <t>MINI SAMOSA</t>
  </si>
  <si>
    <t>MIX NIMCO</t>
  </si>
  <si>
    <t>MOCHO JAWA</t>
  </si>
  <si>
    <t>MUTTON AGRA KARAHI</t>
  </si>
  <si>
    <t>MUTTON BIRYANI</t>
  </si>
  <si>
    <t>MUTTON PULAO</t>
  </si>
  <si>
    <t>ORANGE JUICE</t>
  </si>
  <si>
    <t>OREO CAKE</t>
  </si>
  <si>
    <t>OREO PASTRY</t>
  </si>
  <si>
    <t>PASTA</t>
  </si>
  <si>
    <t>PEG BALLANTINES SINGLE</t>
  </si>
  <si>
    <t>PEPPER STEAK</t>
  </si>
  <si>
    <t>PINA COLADA</t>
  </si>
  <si>
    <t>PINEAPPLE</t>
  </si>
  <si>
    <t>PINEAPPLE CAKE</t>
  </si>
  <si>
    <t>PINEAPPLE JUICE</t>
  </si>
  <si>
    <t>PINEAPPLE PASTRY</t>
  </si>
  <si>
    <t>PLAIN CAKE</t>
  </si>
  <si>
    <t>PLAIN CAKE 2 POUND</t>
  </si>
  <si>
    <t>PLAIN COOKIES</t>
  </si>
  <si>
    <t>PLATER AFTAR</t>
  </si>
  <si>
    <t>POTATO CUTTLETS</t>
  </si>
  <si>
    <t>RAISIN COOKIES</t>
  </si>
  <si>
    <t>RED VELVET CAKE</t>
  </si>
  <si>
    <t>RUSSIAN SALAD</t>
  </si>
  <si>
    <t>SHRIMP COCTAIL</t>
  </si>
  <si>
    <t>SODA</t>
  </si>
  <si>
    <t>SODA WATER</t>
  </si>
  <si>
    <t>SOUFFLE</t>
  </si>
  <si>
    <t>STRAWBERRY CHEESE CAKE</t>
  </si>
  <si>
    <t>TANDOORI PARATHA</t>
  </si>
  <si>
    <t>TAWA PARATHA</t>
  </si>
  <si>
    <t>THREE MILK CAKE</t>
  </si>
  <si>
    <t>TIRAMISU</t>
  </si>
  <si>
    <t>TIRAMISU CAKE</t>
  </si>
  <si>
    <t>VEGETABLES PATTIES</t>
  </si>
  <si>
    <t>VODKA SINGLE</t>
  </si>
  <si>
    <t>WHITE POP CORNS</t>
  </si>
  <si>
    <t>WONTON SOUP</t>
  </si>
  <si>
    <t>YOUGART TART</t>
  </si>
  <si>
    <t>ZEERA COOKIES</t>
  </si>
  <si>
    <t>ZINGER BURGER</t>
  </si>
  <si>
    <t>PLAIN POPCORN</t>
  </si>
  <si>
    <t>BUFFET LUNCH</t>
  </si>
  <si>
    <t>DAIRY MILK PASTRY</t>
  </si>
  <si>
    <t>ENTRY</t>
  </si>
  <si>
    <t>FISH</t>
  </si>
  <si>
    <t>MEXICON FRIED FISH</t>
  </si>
  <si>
    <t>TEA</t>
  </si>
  <si>
    <t>SUNDAY BRUNCH</t>
  </si>
  <si>
    <t>EID BUFFET</t>
  </si>
  <si>
    <t>BLACK COFFEE</t>
  </si>
  <si>
    <t>FRIED PRAWN</t>
  </si>
  <si>
    <t>BLACK LABEL SINGLE</t>
  </si>
  <si>
    <t>MURREE BEER</t>
  </si>
  <si>
    <t>MARLBORO</t>
  </si>
  <si>
    <t>HCFM-0665</t>
  </si>
  <si>
    <t xml:space="preserve">JAM FEROZ </t>
  </si>
  <si>
    <t>HCFM-0664</t>
  </si>
  <si>
    <t>SHAHBAZ AHMED</t>
  </si>
  <si>
    <t>KAZI NAZEER AHMED</t>
  </si>
  <si>
    <t>HOT N SOUR SOUP</t>
  </si>
  <si>
    <t>PEG VODKA SINGLE</t>
  </si>
  <si>
    <t>PEG VODKA DOUBLE</t>
  </si>
  <si>
    <t>GREY GROOSE VODKA SINGLE</t>
  </si>
  <si>
    <t>GREY GROOSE VODKA DOUBLE</t>
  </si>
  <si>
    <t>MIX KHEER</t>
  </si>
  <si>
    <t>SUNDAY BRUNCH KIDS</t>
  </si>
  <si>
    <t>CHOCOLATE ECLAIR</t>
  </si>
  <si>
    <t>TIL MIL JHENGA</t>
  </si>
  <si>
    <t>HOT GARLIC PRAWNS</t>
  </si>
  <si>
    <t>COOKIES PLATE</t>
  </si>
  <si>
    <t>CREAM OF MASHROOM SOUP</t>
  </si>
  <si>
    <t>CREAM BRULE</t>
  </si>
  <si>
    <t>CREAM CARAMEL</t>
  </si>
  <si>
    <t>FULL CREAM CARAMEL</t>
  </si>
  <si>
    <t>CHEESE CAKE</t>
  </si>
  <si>
    <t>PLAIN COOKIES 500GM</t>
  </si>
  <si>
    <t>JAM COOKIES 500GM</t>
  </si>
  <si>
    <t>LEMON COOKIES 500GM</t>
  </si>
  <si>
    <t>CHOCO CHOCI</t>
  </si>
  <si>
    <t>GRAND TOTAL</t>
  </si>
  <si>
    <t>UNPAID MBR</t>
  </si>
  <si>
    <t>PAID MEMBERS</t>
  </si>
  <si>
    <t>ibadexportsolution@gmail.com</t>
  </si>
  <si>
    <t>hussain@fmcbrake.com.pk</t>
  </si>
  <si>
    <t>alkarimmotors@hotmail.com</t>
  </si>
  <si>
    <t>asiftextile@hotmail.com</t>
  </si>
  <si>
    <t>aleenaahsan@hotmail.com</t>
  </si>
  <si>
    <t>engr.muneerkhan@gmail.com</t>
  </si>
  <si>
    <t>muhammad.ibrahim@btkhospital.com</t>
  </si>
  <si>
    <t>imail.1999@gmail.com</t>
  </si>
  <si>
    <t>asym1480@gmail.com</t>
  </si>
  <si>
    <t>iftikharshah54@yahoo.com</t>
  </si>
  <si>
    <t>Khurramchandiwala@gmail.com</t>
  </si>
  <si>
    <t>azadlashari.09@gmail.com</t>
  </si>
  <si>
    <t>ameer.mohammad@gbtrader.org</t>
  </si>
  <si>
    <t>jibrangilani@gmail.com</t>
  </si>
  <si>
    <t>schandio1624@gmail.com</t>
  </si>
  <si>
    <t>abumousa701@gmail.com</t>
  </si>
  <si>
    <t>nasir.abbas@nbp.com.pk</t>
  </si>
  <si>
    <t>a.amemon@yahoo.com</t>
  </si>
  <si>
    <t>abroarslan69@gmail.com</t>
  </si>
  <si>
    <t>LEFT MEMBERS DETAILS</t>
  </si>
  <si>
    <t>S.NO</t>
  </si>
  <si>
    <t>MBR ID</t>
  </si>
  <si>
    <t>MBR. NAME</t>
  </si>
  <si>
    <t>EMAIL ID</t>
  </si>
  <si>
    <t>CONTACT NUMBER</t>
  </si>
  <si>
    <t>ADDRESS</t>
  </si>
  <si>
    <t>LAST MONTH &amp; YEAR</t>
  </si>
  <si>
    <t>MARCH,2025</t>
  </si>
  <si>
    <t>BOIL EGG</t>
  </si>
  <si>
    <t>ASSORTED COOKIES 500GM</t>
  </si>
  <si>
    <t>SCRAMBLED EGG</t>
  </si>
  <si>
    <t>MASHROOM CHEESE OMELETTE</t>
  </si>
  <si>
    <t>ALMOND COOKIES 500GM</t>
  </si>
  <si>
    <t>SIMPLE CAKE</t>
  </si>
  <si>
    <t>CHICKEN SCHNITZEL</t>
  </si>
  <si>
    <t>THAI CASHEW NUT CHICKEN</t>
  </si>
  <si>
    <t>BROWN BREAD LOAF</t>
  </si>
  <si>
    <t>PANE CAKE</t>
  </si>
  <si>
    <t>MUTTON HANDI</t>
  </si>
  <si>
    <t>SEASONAL FRESH JUICE</t>
  </si>
  <si>
    <t>CHEESE PASTRY</t>
  </si>
  <si>
    <t>SCRAMBLED EGG WITH SAUSAGES</t>
  </si>
  <si>
    <t>SWEET N SOUR CHICKEN</t>
  </si>
  <si>
    <t>FRIED EGG WITH SALTED SPANICH</t>
  </si>
  <si>
    <t>PORIDGE</t>
  </si>
  <si>
    <t>YOGURT</t>
  </si>
  <si>
    <t>WATER MELON JUICE</t>
  </si>
  <si>
    <t>SEASONAL VEGETABLE MASALA</t>
  </si>
  <si>
    <t>HC SPECIAL DAAL MASALA</t>
  </si>
  <si>
    <t>MUTTON STEW</t>
  </si>
  <si>
    <t>MUGHLAI HANDI</t>
  </si>
  <si>
    <t>MURGH HARI MIRCH HANDI</t>
  </si>
  <si>
    <t>LAHORI KARAHI</t>
  </si>
  <si>
    <t>PESHAWARI KARAHI</t>
  </si>
  <si>
    <t>MAKHANI KARAHI</t>
  </si>
  <si>
    <t>THAI TAMARIND FISH</t>
  </si>
  <si>
    <t>CORNFLAKES WITH MILK</t>
  </si>
  <si>
    <t>PEANUT AND NIMCO</t>
  </si>
  <si>
    <t>BANANA SHAKE</t>
  </si>
  <si>
    <t>STRAWBERRY SHAKE</t>
  </si>
  <si>
    <t>FRUIT YOGURT</t>
  </si>
  <si>
    <t>BEEF IN OYSTER SOUCE</t>
  </si>
  <si>
    <t>VEGETABLES CUTTLETS</t>
  </si>
  <si>
    <t>MIX VEGETABLES</t>
  </si>
  <si>
    <t>HC SPECIAL MUTTON KARAHI</t>
  </si>
  <si>
    <t>VANUE CHARGES</t>
  </si>
  <si>
    <t>BLUE BERRY SMOOTHY</t>
  </si>
  <si>
    <t>MONTHLY SUBSCRIPTION</t>
  </si>
  <si>
    <t>AFTER DUE DATE OUTSTANDING</t>
  </si>
  <si>
    <t xml:space="preserve">TOTAL MEMBERS </t>
  </si>
  <si>
    <t>TOTAL BILLING AMOUNT</t>
  </si>
  <si>
    <t>RECOVERY</t>
  </si>
  <si>
    <t>TOTAL AMOUNT RECOVERD</t>
  </si>
  <si>
    <t xml:space="preserve">REMAINING AMOUNT </t>
  </si>
  <si>
    <t>LATE PAYMENT SURCHARGE</t>
  </si>
  <si>
    <t>TOTAL AMOUNT  Rs.</t>
  </si>
  <si>
    <r>
      <rPr>
        <b/>
        <sz val="12"/>
        <color rgb="FF0000FF"/>
        <rFont val="Times New Roman"/>
        <family val="1"/>
      </rPr>
      <t xml:space="preserve">BANK INFORMATION
</t>
    </r>
    <r>
      <rPr>
        <b/>
        <sz val="10"/>
        <rFont val="Times New Roman"/>
        <family val="1"/>
      </rPr>
      <t>A/C TITLE : PARKLANE HOTELS &amp; RESORTS PVT LTD HERITAGE CLUB 
BANK : UBL   A/C NO : 0339-310426415</t>
    </r>
  </si>
  <si>
    <t>HCFM-0666</t>
  </si>
  <si>
    <t>MR FAHAD MUMTAZ</t>
  </si>
  <si>
    <t xml:space="preserve">ADVANCED PAID </t>
  </si>
  <si>
    <t>HCFM-0</t>
  </si>
  <si>
    <t>PARTY CHARGES</t>
  </si>
  <si>
    <t>MEMBERS INFORMATION DATA BASE</t>
  </si>
  <si>
    <t>MBR Number</t>
  </si>
  <si>
    <t>S.n</t>
  </si>
  <si>
    <t>HCFM-0667</t>
  </si>
  <si>
    <t>HCFM-0668</t>
  </si>
  <si>
    <t>MR. FAYAZ ALI SOOMRO</t>
  </si>
  <si>
    <t>MR. KASHIF SAEED</t>
  </si>
  <si>
    <t>CHICKEN BIRYANI</t>
  </si>
  <si>
    <t>CHICKEN BURGER</t>
  </si>
  <si>
    <t>CHICKEN CREAM</t>
  </si>
  <si>
    <t>CHICKEN FINGER</t>
  </si>
  <si>
    <t>CHICKEN FRIED RICE</t>
  </si>
  <si>
    <t>CHICKEN HANDI</t>
  </si>
  <si>
    <t>CHICKEN JALFREZI</t>
  </si>
  <si>
    <t>CHICKEN KARAHI</t>
  </si>
  <si>
    <t>CHICKEN MANCHURIAN</t>
  </si>
  <si>
    <t>CHICKEN MASALA RICE</t>
  </si>
  <si>
    <t>CHICKEN PATTIES</t>
  </si>
  <si>
    <t>CHICKEN QUICHE</t>
  </si>
  <si>
    <t>CHICKEN SALAD</t>
  </si>
  <si>
    <t>CHICKEN SEEKH KABAB</t>
  </si>
  <si>
    <t>CHICKEN SHAHSLIK BBQ</t>
  </si>
  <si>
    <t>CHICKEN SHASHLIK</t>
  </si>
  <si>
    <t>CHICKEN SHASHLIK RICE</t>
  </si>
  <si>
    <t>CHICKEN STEAK</t>
  </si>
  <si>
    <t>CHICKEN WITH EGG FRIED RICE</t>
  </si>
  <si>
    <t>CHICKEN CHEESE BURGER</t>
  </si>
  <si>
    <t>CHICKEN CHOWMEIN</t>
  </si>
  <si>
    <t>MALAI BOTI</t>
  </si>
  <si>
    <t>MADRASI HANDI</t>
  </si>
  <si>
    <t>EGG SANDWICH</t>
  </si>
  <si>
    <t>LAM CHOPS</t>
  </si>
  <si>
    <t>THREE STORY HIGH</t>
  </si>
  <si>
    <t>ICE CREAM SINGLE SCOOP</t>
  </si>
  <si>
    <t>BEHARI BOTI</t>
  </si>
  <si>
    <t>FRESH GARDEN SALAD</t>
  </si>
  <si>
    <t>PADEL COURT</t>
  </si>
  <si>
    <t>HCFM-0545</t>
  </si>
  <si>
    <t>MR. HASAN KARIM</t>
  </si>
  <si>
    <t>hasan@nasraschool.edu.pk</t>
  </si>
  <si>
    <t>B/28, Block "C" North nazimabad, Hyderi.</t>
  </si>
  <si>
    <t>HC BUTTERFLY PRAWNS</t>
  </si>
  <si>
    <t>MALAYSIAN CHICKEN SATAY</t>
  </si>
  <si>
    <t>CHICKEN STRIPS</t>
  </si>
  <si>
    <t>PIZZA FRIES FULL</t>
  </si>
  <si>
    <t>PIZZA FRIES HALF</t>
  </si>
  <si>
    <t>BBQ LOADED FRIES HALF</t>
  </si>
  <si>
    <t>BBQ LOADED FRIES FULL</t>
  </si>
  <si>
    <t>HC SPECIAL CAESAR SALAD</t>
  </si>
  <si>
    <t>GREEK SALAD</t>
  </si>
  <si>
    <t>BLACKENED GRILLED PRAWN SALAD</t>
  </si>
  <si>
    <t>WAIKIKI SALAD</t>
  </si>
  <si>
    <t>AKBERI BOTI TIKKA</t>
  </si>
  <si>
    <t>AMBERI FISH TIKKA</t>
  </si>
  <si>
    <t>AMERICAN CHOPSUEY</t>
  </si>
  <si>
    <t>APPLE PIE ALA MODE</t>
  </si>
  <si>
    <t>BEN 10 NUGGETS 12 PCS</t>
  </si>
  <si>
    <t>BEN 10 NUGGETS 6 PCS</t>
  </si>
  <si>
    <t>BLACKENED GRILLED PRAWN</t>
  </si>
  <si>
    <t>BLT</t>
  </si>
  <si>
    <t>BLUE MAX BURGER</t>
  </si>
  <si>
    <t>BUFFET PARTY</t>
  </si>
  <si>
    <t xml:space="preserve"> FOR ASHOK KUMAR</t>
  </si>
  <si>
    <t>CAPPUCCINO COFFEE</t>
  </si>
  <si>
    <t>CHANDAN KABAB</t>
  </si>
  <si>
    <t>CHICKEN CAESAR SALAD</t>
  </si>
  <si>
    <t>CHICKEN KARAHI (RED/WHITE/GREEN)</t>
  </si>
  <si>
    <t>CHICKEN LOLLIPOP WINGS</t>
  </si>
  <si>
    <t>CHICKEN PESHAWARI KARAHI</t>
  </si>
  <si>
    <t>CHICKEN ROSTED OATS SOUP</t>
  </si>
  <si>
    <t>CHICKEN ROULADE</t>
  </si>
  <si>
    <t>CHICKEN SCHEZWAN</t>
  </si>
  <si>
    <t>CHICKEN TIKKA</t>
  </si>
  <si>
    <t>CHICKEN WINGS</t>
  </si>
  <si>
    <t>CHINESE CORN SOUP</t>
  </si>
  <si>
    <t>CHINESE SZECHUAN SOUP</t>
  </si>
  <si>
    <t>CINDERELLA'S DREAM</t>
  </si>
  <si>
    <t>CLASSIC TARRAGON</t>
  </si>
  <si>
    <t>COFFEE CAPPUCINO</t>
  </si>
  <si>
    <t>COLD SANDWICH</t>
  </si>
  <si>
    <t>COUPLE CAFE</t>
  </si>
  <si>
    <t>CREAM OF CHICKEN SOUP</t>
  </si>
  <si>
    <t>D FRESH COLADA</t>
  </si>
  <si>
    <t>DECAFFEINATED COFFEE</t>
  </si>
  <si>
    <t>DHAGA KABAB</t>
  </si>
  <si>
    <t>ESPRESSO COFFEE</t>
  </si>
  <si>
    <t>FETTUCINE ALFREDO</t>
  </si>
  <si>
    <t>FILLET MIGNON</t>
  </si>
  <si>
    <t>FINGER FISH N CHIPS</t>
  </si>
  <si>
    <t>FRESH FRUIT DAIQUIRI</t>
  </si>
  <si>
    <t>FRESH LEM</t>
  </si>
  <si>
    <t>FULL CHICKEN QUICHE</t>
  </si>
  <si>
    <t>GHOSHT E LAZIZ</t>
  </si>
  <si>
    <t>GOURMET BURGER</t>
  </si>
  <si>
    <t>GRILLED CHICKEN ROASTED</t>
  </si>
  <si>
    <t>GRILLED CHICKEN SANDWICH</t>
  </si>
  <si>
    <t>GRILLED CHICKEN WITH PINEAPPLE SAUCE</t>
  </si>
  <si>
    <t>GRILLED SANDWICH WITH FRIES</t>
  </si>
  <si>
    <t>HC SPECIAL BEEF</t>
  </si>
  <si>
    <t>HC SPECIAL CARAMEL PUDDING</t>
  </si>
  <si>
    <t>HC SPECIAL CHICKEN POPCORN</t>
  </si>
  <si>
    <t>HC SPECIAL DAAL MAKHNI</t>
  </si>
  <si>
    <t>HC SPECIAL FRIED RICE</t>
  </si>
  <si>
    <t>HC SPECIAL TIKKA</t>
  </si>
  <si>
    <t>HENCHI CANE BEER</t>
  </si>
  <si>
    <t>F</t>
  </si>
  <si>
    <t>ICE</t>
  </si>
  <si>
    <t>JASMINE TEA</t>
  </si>
  <si>
    <t>KACHUMBER SALAD</t>
  </si>
  <si>
    <t>KALONGI NAAN</t>
  </si>
  <si>
    <t>MAKHANI HANDI</t>
  </si>
  <si>
    <t>MAMA MIA BURGER</t>
  </si>
  <si>
    <t>MEDITERRANEAN GRILLED FISH</t>
  </si>
  <si>
    <t>MICKEY MOUSE BURGER</t>
  </si>
  <si>
    <t>MIX FRUIT SALAD</t>
  </si>
  <si>
    <t>MOCHA CHINO COFFEE</t>
  </si>
  <si>
    <t>MURGH MASALA BIRYANI FULL</t>
  </si>
  <si>
    <t>MURGH MASALA BIRYANI HALF</t>
  </si>
  <si>
    <t>MUTTON SHINWARI KARAHI</t>
  </si>
  <si>
    <t>NAWABI KABAB</t>
  </si>
  <si>
    <t>OREO SHAKE</t>
  </si>
  <si>
    <t>PANEER RESHMI HANDI</t>
  </si>
  <si>
    <t>PENNE ARABIATA</t>
  </si>
  <si>
    <t>PENNE CARBONARA</t>
  </si>
  <si>
    <t>PHILLY STEAK SANDWICH</t>
  </si>
  <si>
    <t>POACHED CHICKEN VEGETABLES</t>
  </si>
  <si>
    <t>PRAWN OREGANATA</t>
  </si>
  <si>
    <t>prown tempr</t>
  </si>
  <si>
    <t>PURI PARATHA</t>
  </si>
  <si>
    <t>RAJASTANI BOTI</t>
  </si>
  <si>
    <t>RESHMI BEEF SEEKH KABAB</t>
  </si>
  <si>
    <t>RESHMI SEEKH</t>
  </si>
  <si>
    <t>ROAST CHICKEN SANDWICH</t>
  </si>
  <si>
    <t>ROASTED TOMATO SOUP</t>
  </si>
  <si>
    <t>SEAFOOD ALA PINEAPPLE</t>
  </si>
  <si>
    <t>SEASONAL FRUIT SALAD</t>
  </si>
  <si>
    <t>SEPRATE RICE</t>
  </si>
  <si>
    <t>SHAHI KHEER</t>
  </si>
  <si>
    <t>SHAHJAHANI BIRYANI FULL</t>
  </si>
  <si>
    <t>SHAHJAHANI BIRYANI HALF</t>
  </si>
  <si>
    <t>SINGAPOREAN FRIED RICE</t>
  </si>
  <si>
    <t>SODA WATER CAN</t>
  </si>
  <si>
    <t>SOUTHERN FRIED FISH N CHIPS</t>
  </si>
  <si>
    <t>SPECIAL BREAST LEG TIKKA</t>
  </si>
  <si>
    <t>SPECIAL CHICKEN POPCORN</t>
  </si>
  <si>
    <t>SPICY HONEY CHICKEN WINGS</t>
  </si>
  <si>
    <t>SPICY THAI NOODLES</t>
  </si>
  <si>
    <t>TAMARIND FISH</t>
  </si>
  <si>
    <t>TENDERLOIN STEAK</t>
  </si>
  <si>
    <t>THAI BEEF STIR FRY</t>
  </si>
  <si>
    <t>THAI SESAME CHICKEN</t>
  </si>
  <si>
    <t>TURKISH KABAB</t>
  </si>
  <si>
    <t>VEGETABLE FRIED RICE</t>
  </si>
  <si>
    <t>VENAL CHARGE</t>
  </si>
  <si>
    <t>VIRGIN MOJITO</t>
  </si>
  <si>
    <t>WHITE RICE</t>
  </si>
  <si>
    <t>PEACH JUICE</t>
  </si>
  <si>
    <t>RESHMI SEEKH KABAB</t>
  </si>
  <si>
    <t>AMERICANO</t>
  </si>
  <si>
    <t>COFFEE CRUNCH CAKE</t>
  </si>
  <si>
    <t>COFFEE CRUNCH PASTRY</t>
  </si>
  <si>
    <t>FRIED EGG WITH SAUSAGES</t>
  </si>
  <si>
    <t>MURG HARYALI BOTI TIKKA</t>
  </si>
  <si>
    <t>PAKISTANI OMELETTE</t>
  </si>
  <si>
    <t>BEEF CHEESE BURGER</t>
  </si>
  <si>
    <t>CHINESE FRIED RICE</t>
  </si>
  <si>
    <t>ESPRESSO COFFEE DOUBLE</t>
  </si>
  <si>
    <t>PEACH MOJITO</t>
  </si>
  <si>
    <t>ICE CREAM DOUBLE SCOOP</t>
  </si>
  <si>
    <t>ICE CREAM TRIPLE SCOOP</t>
  </si>
  <si>
    <t>MANGO JUICE</t>
  </si>
  <si>
    <t>RED SNAPPER FISH</t>
  </si>
  <si>
    <t>TAMBOLA BUFFET</t>
  </si>
  <si>
    <t>GUEST BUFFET</t>
  </si>
  <si>
    <t>CHILD GUEST BUFFET</t>
  </si>
  <si>
    <t>TAMBOLA BUFFET KIDS</t>
  </si>
  <si>
    <t>LADIES SALON</t>
  </si>
  <si>
    <t>CHILDERN PLAY AREA</t>
  </si>
  <si>
    <t>WHITE BREAD LOAF</t>
  </si>
  <si>
    <t>CHIVAS SINGLE PEG</t>
  </si>
  <si>
    <t>SMIRNOFF VODKA SINGLE PEG</t>
  </si>
  <si>
    <t>SHISH TAOUK</t>
  </si>
  <si>
    <t>MINI CAKE</t>
  </si>
  <si>
    <t>LAWA CAKE</t>
  </si>
  <si>
    <t>ALOO PATTIES</t>
  </si>
  <si>
    <t>Detail of food &amp; BEVERAGES</t>
  </si>
  <si>
    <t>RED VINE</t>
  </si>
  <si>
    <t xml:space="preserve"> </t>
  </si>
  <si>
    <t>BLUE BERRY CHOCOLATE CAKE</t>
  </si>
  <si>
    <t>HCFM-0669</t>
  </si>
  <si>
    <t>HCFM-0670</t>
  </si>
  <si>
    <t>MR . SYED RAHAT HUSSAIN ZAIDI</t>
  </si>
  <si>
    <t>MR. TEHSEEN FAIZ</t>
  </si>
  <si>
    <t>DAM QEEMA</t>
  </si>
  <si>
    <t>HCFM-0671</t>
  </si>
  <si>
    <t>MRS. HASSAN RAFI</t>
  </si>
  <si>
    <t>MINI DOUGHNUTS</t>
  </si>
  <si>
    <t>CHICKEN PIE</t>
  </si>
  <si>
    <t>hammadasif801@gmail.com</t>
  </si>
  <si>
    <t>asifali.sbp@gmail.com</t>
  </si>
  <si>
    <t>hamid.forecast@gmail.com</t>
  </si>
  <si>
    <t>syed.rahat.hunain.zaidi@gmail.com</t>
  </si>
  <si>
    <t>miantehseenfaiz@gmail.com</t>
  </si>
  <si>
    <t>jamferoz@gmail.com</t>
  </si>
  <si>
    <t>shahbazahmedijaz88@gmail.com</t>
  </si>
  <si>
    <t>kznayz@gmail.com</t>
  </si>
  <si>
    <t>falisoomro@secmc.com.pk</t>
  </si>
  <si>
    <t>mksaeed79@hotmail.com</t>
  </si>
  <si>
    <t>zuraaco_z@gmail.com</t>
  </si>
  <si>
    <t>fareyausmani@gmail.com</t>
  </si>
  <si>
    <t>alileghari1994@gmail.com</t>
  </si>
  <si>
    <t>mukhtarshar@gmail.com</t>
  </si>
  <si>
    <t>salman4raza@msn.com</t>
  </si>
  <si>
    <t>1(301)370-4286</t>
  </si>
  <si>
    <t>CHOCO MOUSSE PASTRY</t>
  </si>
  <si>
    <t>VANILLA SLICE CAKE</t>
  </si>
  <si>
    <t>CHEESE OMELETTE</t>
  </si>
  <si>
    <t>DANHILL LIGHT</t>
  </si>
  <si>
    <t>APRIL,2025</t>
  </si>
  <si>
    <t>EVENTS</t>
  </si>
  <si>
    <t>ADVANCED PAYMENT</t>
  </si>
  <si>
    <t>HC Chambers</t>
  </si>
  <si>
    <t>BRIG DR. GHULAM MEHDI (Retd)</t>
  </si>
  <si>
    <t>khalid.mahmood@btkarachi.com</t>
  </si>
  <si>
    <t>GRAND TOTAL WITH OUT HERITAGE BILL</t>
  </si>
  <si>
    <t>TOTLA PAYMENT AFTER DUE DATE</t>
  </si>
  <si>
    <t>TOTAL CHARGE AFTER DUE DATE</t>
  </si>
  <si>
    <t>PREVIOUS ADVANCE AMOUNT</t>
  </si>
  <si>
    <t>THIS MONTH ADVANCE AMOUNT</t>
  </si>
  <si>
    <t>TOTAL DININ</t>
  </si>
  <si>
    <t>Mandatory Charges</t>
  </si>
  <si>
    <t>BUNTIES COOKIES</t>
  </si>
  <si>
    <t>BAKARKHANI</t>
  </si>
  <si>
    <t>CHOCOLATE JAM COOKIES</t>
  </si>
  <si>
    <t>DAAL MAKHANI</t>
  </si>
  <si>
    <t>REMAINING</t>
  </si>
  <si>
    <t>EID DINNER DAY 2</t>
  </si>
  <si>
    <t>KARELA COOKIES</t>
  </si>
  <si>
    <t>STEAMED FISH</t>
  </si>
  <si>
    <t>PRAWN TEMPURA</t>
  </si>
  <si>
    <t>NESTLE JUICE GLASS</t>
  </si>
  <si>
    <t>MURREE VODKA DOUBLE</t>
  </si>
  <si>
    <t>BUFFET PARTY PER HEAD</t>
  </si>
  <si>
    <t>JACK DANIEL FULL BOTTLE</t>
  </si>
  <si>
    <t>HC CHAMBER</t>
  </si>
  <si>
    <t>BALLANTINES SINGLE PEG</t>
  </si>
  <si>
    <t>HCFM-0672</t>
  </si>
  <si>
    <t>HCFM-0673</t>
  </si>
  <si>
    <t>HCFM-0674</t>
  </si>
  <si>
    <t>MRS RIFFAT ZULFIQAR</t>
  </si>
  <si>
    <t>MR. RAJESH KUMAR CHAWLA</t>
  </si>
  <si>
    <t>MR. AKSHAY RAJ</t>
  </si>
  <si>
    <t>FRIED CALAMARI</t>
  </si>
  <si>
    <t>MUTTON KARAHI (RED/WHITE/GREEN)</t>
  </si>
  <si>
    <t>CORKAGE</t>
  </si>
  <si>
    <t xml:space="preserve">BUFFET PARTY PER HEAD </t>
  </si>
  <si>
    <t>HCFM-0676</t>
  </si>
  <si>
    <t>MR. SAMEER MALIK</t>
  </si>
  <si>
    <t>4 POUND CAKE</t>
  </si>
  <si>
    <t xml:space="preserve">SUNDAY BRUNCH </t>
  </si>
  <si>
    <t xml:space="preserve">SUNDAY BRUNCH KIDS </t>
  </si>
  <si>
    <t>BREAK DOWN OF MANDATORY CHARGES</t>
  </si>
  <si>
    <t>HCFM-0677</t>
  </si>
  <si>
    <t>HCFM-0678</t>
  </si>
  <si>
    <t>MR. MUNAWAR HUSSAIN</t>
  </si>
  <si>
    <t>MR. AIJAZ ALI BALOCH</t>
  </si>
  <si>
    <t>HCFM-0679</t>
  </si>
  <si>
    <t>BAHRIA ADVENTURE LAND</t>
  </si>
  <si>
    <t>balochai@yahoo.com</t>
  </si>
  <si>
    <t>PARTY BUFFET DINNER</t>
  </si>
  <si>
    <t>MANGO CHUNSA 1KG</t>
  </si>
  <si>
    <t>MANGO FAJRI 1KG</t>
  </si>
  <si>
    <t>MANGO LAL BADSHAH 1KG</t>
  </si>
  <si>
    <t>MANGO COOLER</t>
  </si>
  <si>
    <t>MANGO ANWAR RATOL 1KG</t>
  </si>
  <si>
    <t>MANGO CHESSE CAKE</t>
  </si>
  <si>
    <t>CINNAMON ROLL</t>
  </si>
  <si>
    <t>LOTAS DOUGHNUT</t>
  </si>
  <si>
    <t>CUP CAKE MUFFIN</t>
  </si>
  <si>
    <t>GRILLED CHICKEN MASHROOM SAUCE</t>
  </si>
  <si>
    <t>FRUIT CAKE  2 POUND</t>
  </si>
  <si>
    <t>HCFM-0680</t>
  </si>
  <si>
    <t>HCFM-0681</t>
  </si>
  <si>
    <t>MR. ANEEL ZAHOOR</t>
  </si>
  <si>
    <t>PARTY BRUNCH</t>
  </si>
  <si>
    <t>DOUBLE BLACK LABEL BOTTLE</t>
  </si>
  <si>
    <t>BLUE SAFAIR VODKA DOUBLE PEG</t>
  </si>
  <si>
    <t xml:space="preserve">AUGUST </t>
  </si>
  <si>
    <t>SEPTEMBER</t>
  </si>
  <si>
    <t>JULY</t>
  </si>
  <si>
    <t>OCTUBER</t>
  </si>
  <si>
    <t xml:space="preserve">NOVEMBER </t>
  </si>
  <si>
    <t>550000 party amount135000</t>
  </si>
  <si>
    <t>HCFM-0682</t>
  </si>
  <si>
    <t>HCFM-0683</t>
  </si>
  <si>
    <t>HCFM-0684</t>
  </si>
  <si>
    <t>HCFM-0685</t>
  </si>
  <si>
    <t>MR. ZAHIR REHMAN</t>
  </si>
  <si>
    <t>MUTTON AFGHANI BOTI</t>
  </si>
  <si>
    <t>CHICKEN DYNAMITE</t>
  </si>
  <si>
    <t>QAWALI BUFFET DINNER</t>
  </si>
  <si>
    <t>QAWALI BUFFET DINNER CHILD</t>
  </si>
  <si>
    <t>MR. YASIR RASHEED</t>
  </si>
  <si>
    <t>QAWALI BUFFET DINNER GUEST</t>
  </si>
  <si>
    <t>BUFFET DINNER PARTY</t>
  </si>
  <si>
    <t>CHICKEN SHINWARI KARAHI</t>
  </si>
  <si>
    <t>PINEAPPLE CAKE 2 POUND</t>
  </si>
  <si>
    <t>BRUNCH WITHOUT BOOKING</t>
  </si>
  <si>
    <t>BRUNCH WITHOUT BOOKING KIDS</t>
  </si>
  <si>
    <t>TAMBOLA BUFFET DINNER</t>
  </si>
  <si>
    <t>TAMBOLA KIDS BUFFET</t>
  </si>
  <si>
    <t>MR. IKRAMULLAH</t>
  </si>
  <si>
    <t>MR. ZAMIR ALI SHAH</t>
  </si>
  <si>
    <t>MR. AYAZ JAMRO</t>
  </si>
  <si>
    <t>CHINESE VODKA DOUBLE PEG</t>
  </si>
  <si>
    <t>HCFM-0686</t>
  </si>
  <si>
    <t>HCFM-0687</t>
  </si>
  <si>
    <t xml:space="preserve">instalment plan </t>
  </si>
  <si>
    <t>MR. GHULAM MUSTAFA</t>
  </si>
  <si>
    <t>MR. KHURRAM SHAHZAD MEMON</t>
  </si>
  <si>
    <t>JULY,2025</t>
  </si>
  <si>
    <t>PAYABLE AMOUNT FOR THE MONTH OF OCTOBER</t>
  </si>
  <si>
    <t>15th NOVEMBER 2025</t>
  </si>
  <si>
    <t>BILL MONTH: OCTOBER  2025</t>
  </si>
  <si>
    <t>For the month of OCTOBER 2025</t>
  </si>
  <si>
    <t xml:space="preserve">HERITAGE CLUB
BAHRIA TOWN KARACHI  </t>
  </si>
  <si>
    <t xml:space="preserve">DATE </t>
  </si>
  <si>
    <t xml:space="preserve">INVOICE NUMBER </t>
  </si>
  <si>
    <t>BATCH NO</t>
  </si>
  <si>
    <t>MEMBER SHIP ID /GUEST</t>
  </si>
  <si>
    <t>TOMBOLA BUFFET</t>
  </si>
  <si>
    <t>TOTAL</t>
  </si>
  <si>
    <t>CASH</t>
  </si>
  <si>
    <t>Total</t>
  </si>
  <si>
    <t>KASHMIRI PULAO</t>
  </si>
  <si>
    <t>CHINESSE VODKA DOUBLE PEG</t>
  </si>
  <si>
    <t>OCTOBER FEST BRUNCH</t>
  </si>
  <si>
    <t>DOUBLE CUT LAMB CHOPS</t>
  </si>
  <si>
    <t>TIKKA BOTI</t>
  </si>
  <si>
    <t>Padel Court</t>
  </si>
  <si>
    <t>Ladies Saloon</t>
  </si>
  <si>
    <t>Gym Sub</t>
  </si>
  <si>
    <t>PARTY</t>
  </si>
  <si>
    <t>OTHERS (POOL LOCKER)</t>
  </si>
  <si>
    <t xml:space="preserve">MBR ID </t>
  </si>
  <si>
    <t>MBR NAME</t>
  </si>
  <si>
    <t>TOTAL BILLED AMOUNT</t>
  </si>
  <si>
    <t>VANU CHARGES</t>
  </si>
  <si>
    <t>s.no</t>
  </si>
  <si>
    <t xml:space="preserve">product name </t>
  </si>
  <si>
    <t>price</t>
  </si>
  <si>
    <t>categories</t>
  </si>
  <si>
    <t>(Italian, Mexican, Chinese), the style of service (fast food, casual dining, fine dining), and the meal structure (appetizers, main courses, desserts, drinks</t>
  </si>
  <si>
    <t>Party Charges nov</t>
  </si>
  <si>
    <t>Party Charges july</t>
  </si>
  <si>
    <t>Party Charges Aug</t>
  </si>
  <si>
    <t>Party Charges sep</t>
  </si>
  <si>
    <t>BLACK LABEL SINGLE WL</t>
  </si>
  <si>
    <t>Row Labels</t>
  </si>
  <si>
    <t>Grand Total</t>
  </si>
  <si>
    <t>Sum of AMOUNT</t>
  </si>
  <si>
    <t>Sum of Bowling Alley</t>
  </si>
  <si>
    <t>Sum of Gym</t>
  </si>
  <si>
    <t>Sum of Family Pool</t>
  </si>
  <si>
    <t>Sum of Squash Court</t>
  </si>
  <si>
    <t>Sum of Ladies Pool</t>
  </si>
  <si>
    <t>Sum of Amusement Arcade</t>
  </si>
  <si>
    <t>Sum of Cinema</t>
  </si>
  <si>
    <t>Sum of Cigar Lounge</t>
  </si>
  <si>
    <t>Sum of Pool Lockers</t>
  </si>
  <si>
    <t>Sum of SPA</t>
  </si>
  <si>
    <t>Sum of Padel Court</t>
  </si>
  <si>
    <t>Sum of Ladies Saloon</t>
  </si>
  <si>
    <t>Sum of HC Chambers</t>
  </si>
  <si>
    <t>Sum of Gym Sub</t>
  </si>
  <si>
    <t xml:space="preserve">BAHRIA HERITAGE CLUB </t>
  </si>
  <si>
    <t>DAILY SALE REPORT</t>
  </si>
  <si>
    <t xml:space="preserve"> Bowling Alley</t>
  </si>
  <si>
    <t xml:space="preserve"> Gym</t>
  </si>
  <si>
    <t xml:space="preserve"> Family Pool</t>
  </si>
  <si>
    <t xml:space="preserve"> Squash Court</t>
  </si>
  <si>
    <t xml:space="preserve"> Ladies Pool</t>
  </si>
  <si>
    <t xml:space="preserve"> Cinema</t>
  </si>
  <si>
    <t xml:space="preserve"> Cigar launge</t>
  </si>
  <si>
    <t xml:space="preserve"> Pool Lockers</t>
  </si>
  <si>
    <t xml:space="preserve"> SPA</t>
  </si>
  <si>
    <t xml:space="preserve"> Padel Court</t>
  </si>
  <si>
    <t xml:space="preserve"> Ladies Saloon</t>
  </si>
  <si>
    <t xml:space="preserve"> HC Chambers</t>
  </si>
  <si>
    <t xml:space="preserve"> Gym Sub</t>
  </si>
  <si>
    <t xml:space="preserve"> Vanue Charges</t>
  </si>
  <si>
    <t>Party Charges</t>
  </si>
  <si>
    <t>Food And beverages</t>
  </si>
  <si>
    <t xml:space="preserve">TOTAL SALE </t>
  </si>
  <si>
    <t>15 % SST ON ONLY F&amp; B</t>
  </si>
  <si>
    <t xml:space="preserve">TOTAL MONTHLY CHARGES </t>
  </si>
  <si>
    <t xml:space="preserve">GRAND TOTAL </t>
  </si>
  <si>
    <t>DECEMBER</t>
  </si>
  <si>
    <t>Party Charges OCT</t>
  </si>
  <si>
    <t>Party Charges NOV</t>
  </si>
  <si>
    <t>AREARS</t>
  </si>
  <si>
    <t>ADVANCD PAID</t>
  </si>
  <si>
    <t>-</t>
  </si>
  <si>
    <t>ADVANCED</t>
  </si>
  <si>
    <t>ADVANCED PAID</t>
  </si>
  <si>
    <t>POMFRAT</t>
  </si>
  <si>
    <t>JAMBO PRAWN</t>
  </si>
  <si>
    <t>DASI QUIL BBQ</t>
  </si>
  <si>
    <t>PARTRIGE</t>
  </si>
  <si>
    <t>VENSION</t>
  </si>
  <si>
    <t>GAJAR HALWA</t>
  </si>
  <si>
    <t>DASI DUCK</t>
  </si>
  <si>
    <t>CHICKEN BOTI</t>
  </si>
  <si>
    <t>COFFEE</t>
  </si>
  <si>
    <t xml:space="preserve">TAMBOLA </t>
  </si>
  <si>
    <t>CARD</t>
  </si>
  <si>
    <t>PAID THROUGH CARD</t>
  </si>
  <si>
    <t>INV: 169</t>
  </si>
  <si>
    <t>BATHC: 19</t>
  </si>
  <si>
    <t>CHOCOLATE CAKE 1 POUND</t>
  </si>
  <si>
    <t>INV:</t>
  </si>
  <si>
    <t>BCT:</t>
  </si>
  <si>
    <t>MANDATORY CHARGES</t>
  </si>
  <si>
    <t>Sum of Vanue Charges</t>
  </si>
  <si>
    <t>Sum of PARTY CHARGES</t>
  </si>
  <si>
    <t>cash</t>
  </si>
  <si>
    <t>THREE HORSE BEER</t>
  </si>
  <si>
    <t>JD SINGLE</t>
  </si>
  <si>
    <t>CHIVAS SINGLE</t>
  </si>
  <si>
    <t>DOUBLE CUT LAM CHOPS</t>
  </si>
  <si>
    <t>CARD PAID</t>
  </si>
  <si>
    <t>MISTAKE IN TOTAL</t>
  </si>
  <si>
    <t>CREAM OF MASHROOMS</t>
  </si>
  <si>
    <t>SAUSAGES</t>
  </si>
  <si>
    <t>BUFFET BRUNCH</t>
  </si>
  <si>
    <t>BUFFET DINNER</t>
  </si>
  <si>
    <t>SIGNATURE LAUNGE</t>
  </si>
  <si>
    <t>DRY CHICKEN CHILLI</t>
  </si>
  <si>
    <t>000146</t>
  </si>
  <si>
    <t>000147</t>
  </si>
  <si>
    <t>000149</t>
  </si>
  <si>
    <t>000151</t>
  </si>
  <si>
    <t>000152</t>
  </si>
  <si>
    <t>000153</t>
  </si>
  <si>
    <t>000157</t>
  </si>
  <si>
    <t>000158</t>
  </si>
  <si>
    <t>000159</t>
  </si>
  <si>
    <t>000177</t>
  </si>
  <si>
    <t>000176</t>
  </si>
  <si>
    <t>000175</t>
  </si>
  <si>
    <t>000174</t>
  </si>
  <si>
    <t>000172</t>
  </si>
  <si>
    <t>000171</t>
  </si>
  <si>
    <t>000170</t>
  </si>
  <si>
    <t>000169</t>
  </si>
  <si>
    <t>000168</t>
  </si>
  <si>
    <t>000166</t>
  </si>
  <si>
    <t>000165</t>
  </si>
  <si>
    <t>000164</t>
  </si>
  <si>
    <t>000163</t>
  </si>
  <si>
    <t>000018</t>
  </si>
  <si>
    <t>000019</t>
  </si>
  <si>
    <t>transaction_amount</t>
  </si>
  <si>
    <t>mdr_deducted</t>
  </si>
  <si>
    <t>fed_deducted</t>
  </si>
  <si>
    <t>net_payout_amount</t>
  </si>
  <si>
    <t>facility</t>
  </si>
  <si>
    <t>name</t>
  </si>
  <si>
    <t>PADDLE</t>
  </si>
  <si>
    <t>SALOON</t>
  </si>
  <si>
    <t>KIDS PLAY ARE</t>
  </si>
  <si>
    <t>yasir awan</t>
  </si>
  <si>
    <t>GUEST</t>
  </si>
  <si>
    <t>AAYAT ZUBAIR</t>
  </si>
  <si>
    <t>SHAHBAZ</t>
  </si>
  <si>
    <t>sst 15%</t>
  </si>
  <si>
    <t>Sum of sst 15%</t>
  </si>
  <si>
    <t xml:space="preserve">(SST)    </t>
  </si>
  <si>
    <t>ISL BUFFET</t>
  </si>
  <si>
    <t>AMERICAN COFFEE</t>
  </si>
  <si>
    <t>BUFFET</t>
  </si>
  <si>
    <t>PAID VIA ONLINE AND PAYORDER</t>
  </si>
  <si>
    <t>AKBARI BOTI TIKKA</t>
  </si>
  <si>
    <t xml:space="preserve">BUFFET DINNER </t>
  </si>
  <si>
    <t xml:space="preserve">BUFFET DINNER KIDS </t>
  </si>
  <si>
    <t>FROM 1ST-DEC-2025, TILL 25TH-DEC-2025.</t>
  </si>
  <si>
    <t>EXTRA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</si>
</sst>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\-mmm\-yyyy"/>
    <numFmt numFmtId="165" formatCode="[$-409]d/mmm/yy;@"/>
    <numFmt numFmtId="166" formatCode="_(* #,##0_);_(* \(#,##0\);_(* &quot;-&quot;??_);_(@_)"/>
    <numFmt numFmtId="167" formatCode="[$-F800]dddd\,\ mmmm\ dd\,\ yyyy"/>
    <numFmt numFmtId="168" formatCode="d/m/yyyy"/>
    <numFmt numFmtId="169" formatCode="d\-mm\-yyyy"/>
    <numFmt numFmtId="170" formatCode="[$-F800]dd\,\ mm\ dd\,\ yyyy"/>
  </numFmts>
  <fonts count="63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463C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6"/>
      <name val="Yu Gothic"/>
      <family val="2"/>
      <charset val="128"/>
    </font>
    <font>
      <sz val="8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Calibri"/>
      <family val="2"/>
    </font>
    <font>
      <b/>
      <sz val="14"/>
      <color theme="0"/>
      <name val="Times New Roman"/>
      <family val="1"/>
    </font>
    <font>
      <sz val="18"/>
      <color theme="2"/>
      <name val="Algerian"/>
      <family val="5"/>
    </font>
    <font>
      <sz val="11"/>
      <color theme="2"/>
      <name val="Calibri"/>
      <family val="2"/>
    </font>
    <font>
      <sz val="11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5" tint="-0.499984740745262"/>
      <name val="Times New Roman"/>
      <family val="1"/>
    </font>
    <font>
      <b/>
      <sz val="2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FF"/>
      <name val="Times New Roman"/>
      <family val="1"/>
    </font>
    <font>
      <b/>
      <sz val="10"/>
      <name val="Times New Roman"/>
      <family val="1"/>
    </font>
    <font>
      <sz val="11"/>
      <color theme="1"/>
      <name val="Algerian"/>
      <family val="5"/>
    </font>
    <font>
      <sz val="12"/>
      <name val="Times New Roman"/>
      <family val="1"/>
    </font>
    <font>
      <b/>
      <sz val="14"/>
      <name val="Calibri"/>
      <family val="2"/>
    </font>
    <font>
      <sz val="14"/>
      <name val="Calibri"/>
      <family val="2"/>
    </font>
    <font>
      <sz val="22"/>
      <name val="Algerian"/>
      <family val="5"/>
    </font>
    <font>
      <sz val="48"/>
      <name val="Algerian"/>
      <family val="5"/>
    </font>
    <font>
      <b/>
      <sz val="16"/>
      <name val="Algerian"/>
      <family val="5"/>
    </font>
    <font>
      <sz val="22"/>
      <color theme="1"/>
      <name val="Algerian"/>
      <family val="5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sz val="16"/>
      <color theme="1"/>
      <name val="Algerian"/>
      <family val="5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Times New Roman"/>
      <family val="1"/>
    </font>
    <font>
      <b/>
      <sz val="14"/>
      <color theme="2"/>
      <name val="Times New Roman"/>
      <family val="1"/>
    </font>
    <font>
      <b/>
      <sz val="10"/>
      <color theme="2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sz val="28"/>
      <color theme="0"/>
      <name val="Calibri"/>
      <family val="2"/>
    </font>
    <font>
      <sz val="20"/>
      <color theme="0"/>
      <name val="Calibri"/>
      <family val="2"/>
    </font>
    <font>
      <b/>
      <sz val="16"/>
      <name val="Calibri"/>
      <family val="2"/>
    </font>
    <font>
      <sz val="20"/>
      <name val="Calibri"/>
      <family val="2"/>
    </font>
    <font>
      <b/>
      <sz val="20"/>
      <name val="Calibri"/>
      <family val="2"/>
    </font>
    <font>
      <sz val="9"/>
      <color indexed="81"/>
      <name val="Tahoma"/>
      <family val="2"/>
    </font>
    <font>
      <b/>
      <sz val="10"/>
      <color rgb="FFFFFF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ajor"/>
    </font>
    <font>
      <sz val="10"/>
      <name val="Calibri"/>
      <family val="2"/>
      <scheme val="major"/>
    </font>
    <font>
      <sz val="10"/>
      <color rgb="FF000000"/>
      <name val="Calibri"/>
      <family val="2"/>
      <scheme val="major"/>
    </font>
  </fonts>
  <fills count="2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-0.249977111117893"/>
        <bgColor rgb="FFDEEAF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>
      <protection locked="0"/>
    </xf>
    <xf numFmtId="43" fontId="9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0"/>
  </cellStyleXfs>
  <cellXfs count="472">
    <xf numFmtId="0" fontId="0" fillId="0" borderId="0" xfId="0">
      <alignment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6" fillId="3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0" xfId="0" applyFont="1" applyAlignment="1"/>
    <xf numFmtId="0" fontId="20" fillId="1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/>
    </xf>
    <xf numFmtId="0" fontId="9" fillId="13" borderId="23" xfId="0" applyFont="1" applyFill="1" applyBorder="1">
      <alignment vertical="center"/>
    </xf>
    <xf numFmtId="0" fontId="9" fillId="13" borderId="23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>
      <alignment vertical="center"/>
    </xf>
    <xf numFmtId="0" fontId="4" fillId="6" borderId="0" xfId="0" applyFont="1" applyFill="1" applyAlignment="1"/>
    <xf numFmtId="0" fontId="4" fillId="6" borderId="0" xfId="0" applyFont="1" applyFill="1" applyAlignment="1">
      <alignment horizontal="right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3" fillId="0" borderId="1" xfId="0" applyFont="1" applyBorder="1" applyAlignment="1"/>
    <xf numFmtId="0" fontId="24" fillId="0" borderId="1" xfId="0" applyFont="1" applyBorder="1" applyAlignment="1"/>
    <xf numFmtId="0" fontId="24" fillId="0" borderId="1" xfId="0" applyFont="1" applyBorder="1" applyAlignment="1">
      <alignment horizontal="right" wrapText="1"/>
    </xf>
    <xf numFmtId="0" fontId="24" fillId="0" borderId="1" xfId="0" applyFont="1" applyBorder="1" applyAlignment="1">
      <alignment horizontal="center" wrapText="1"/>
    </xf>
    <xf numFmtId="166" fontId="13" fillId="0" borderId="47" xfId="0" applyNumberFormat="1" applyFont="1" applyBorder="1" applyAlignment="1"/>
    <xf numFmtId="166" fontId="13" fillId="0" borderId="48" xfId="0" applyNumberFormat="1" applyFont="1" applyBorder="1" applyAlignment="1"/>
    <xf numFmtId="166" fontId="13" fillId="0" borderId="49" xfId="0" applyNumberFormat="1" applyFont="1" applyBorder="1" applyAlignment="1"/>
    <xf numFmtId="166" fontId="13" fillId="8" borderId="50" xfId="0" applyNumberFormat="1" applyFont="1" applyFill="1" applyBorder="1" applyAlignment="1"/>
    <xf numFmtId="0" fontId="24" fillId="0" borderId="52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/>
    </xf>
    <xf numFmtId="0" fontId="24" fillId="0" borderId="34" xfId="0" applyFont="1" applyBorder="1" applyAlignment="1"/>
    <xf numFmtId="0" fontId="24" fillId="0" borderId="35" xfId="0" applyFont="1" applyBorder="1" applyAlignment="1"/>
    <xf numFmtId="0" fontId="24" fillId="0" borderId="35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4" fillId="0" borderId="5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7" xfId="0" applyFont="1" applyBorder="1" applyAlignment="1"/>
    <xf numFmtId="0" fontId="10" fillId="8" borderId="33" xfId="0" applyFont="1" applyFill="1" applyBorder="1" applyAlignment="1">
      <alignment horizontal="center"/>
    </xf>
    <xf numFmtId="0" fontId="24" fillId="0" borderId="40" xfId="0" applyFont="1" applyBorder="1" applyAlignment="1"/>
    <xf numFmtId="0" fontId="24" fillId="0" borderId="40" xfId="0" applyFont="1" applyBorder="1" applyAlignment="1">
      <alignment horizontal="center"/>
    </xf>
    <xf numFmtId="0" fontId="26" fillId="0" borderId="32" xfId="0" applyFont="1" applyBorder="1" applyAlignment="1"/>
    <xf numFmtId="0" fontId="26" fillId="0" borderId="32" xfId="0" applyFont="1" applyBorder="1" applyAlignment="1">
      <alignment horizontal="center"/>
    </xf>
    <xf numFmtId="166" fontId="13" fillId="8" borderId="41" xfId="0" applyNumberFormat="1" applyFont="1" applyFill="1" applyBorder="1" applyAlignment="1"/>
    <xf numFmtId="0" fontId="26" fillId="0" borderId="35" xfId="0" applyFont="1" applyBorder="1" applyAlignment="1"/>
    <xf numFmtId="0" fontId="26" fillId="0" borderId="35" xfId="0" applyFont="1" applyBorder="1" applyAlignment="1">
      <alignment horizontal="center"/>
    </xf>
    <xf numFmtId="166" fontId="13" fillId="2" borderId="39" xfId="0" applyNumberFormat="1" applyFont="1" applyFill="1" applyBorder="1" applyAlignment="1"/>
    <xf numFmtId="0" fontId="26" fillId="0" borderId="64" xfId="0" applyFont="1" applyBorder="1" applyAlignment="1"/>
    <xf numFmtId="0" fontId="26" fillId="0" borderId="64" xfId="0" applyFont="1" applyBorder="1" applyAlignment="1">
      <alignment horizontal="center"/>
    </xf>
    <xf numFmtId="166" fontId="13" fillId="9" borderId="65" xfId="0" applyNumberFormat="1" applyFont="1" applyFill="1" applyBorder="1" applyAlignment="1"/>
    <xf numFmtId="43" fontId="31" fillId="0" borderId="12" xfId="2" applyFont="1" applyBorder="1" applyAlignment="1">
      <alignment horizontal="right" vertical="center" wrapText="1"/>
    </xf>
    <xf numFmtId="166" fontId="16" fillId="0" borderId="12" xfId="2" applyNumberFormat="1" applyFont="1" applyBorder="1" applyAlignment="1">
      <alignment horizontal="right" vertical="center"/>
    </xf>
    <xf numFmtId="166" fontId="16" fillId="0" borderId="12" xfId="2" quotePrefix="1" applyNumberFormat="1" applyFont="1" applyBorder="1" applyAlignment="1">
      <alignment horizontal="right" vertical="center"/>
    </xf>
    <xf numFmtId="43" fontId="15" fillId="0" borderId="1" xfId="2" applyFont="1" applyFill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17" borderId="20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left" vertical="center"/>
    </xf>
    <xf numFmtId="0" fontId="10" fillId="17" borderId="25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left" vertical="center"/>
    </xf>
    <xf numFmtId="0" fontId="10" fillId="17" borderId="12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/>
    </xf>
    <xf numFmtId="0" fontId="10" fillId="17" borderId="12" xfId="0" applyFont="1" applyFill="1" applyBorder="1" applyAlignment="1"/>
    <xf numFmtId="0" fontId="33" fillId="17" borderId="12" xfId="0" applyFont="1" applyFill="1" applyBorder="1" applyAlignment="1">
      <alignment horizontal="center" vertical="center"/>
    </xf>
    <xf numFmtId="0" fontId="33" fillId="17" borderId="12" xfId="0" applyFont="1" applyFill="1" applyBorder="1" applyAlignment="1"/>
    <xf numFmtId="0" fontId="33" fillId="17" borderId="1" xfId="0" applyFont="1" applyFill="1" applyBorder="1">
      <alignment vertical="center"/>
    </xf>
    <xf numFmtId="0" fontId="33" fillId="17" borderId="12" xfId="0" applyFont="1" applyFill="1" applyBorder="1">
      <alignment vertical="center"/>
    </xf>
    <xf numFmtId="0" fontId="14" fillId="5" borderId="0" xfId="4" applyFont="1" applyFill="1" applyAlignment="1">
      <alignment vertical="center"/>
    </xf>
    <xf numFmtId="0" fontId="32" fillId="15" borderId="1" xfId="0" applyFont="1" applyFill="1" applyBorder="1" applyAlignment="1">
      <alignment horizontal="center" vertical="center" wrapText="1"/>
    </xf>
    <xf numFmtId="0" fontId="4" fillId="6" borderId="0" xfId="0" applyFont="1" applyFill="1">
      <alignment vertical="center"/>
    </xf>
    <xf numFmtId="0" fontId="38" fillId="16" borderId="30" xfId="0" applyFont="1" applyFill="1" applyBorder="1" applyAlignment="1">
      <alignment horizontal="center" vertical="center" wrapText="1"/>
    </xf>
    <xf numFmtId="0" fontId="38" fillId="16" borderId="7" xfId="0" applyFont="1" applyFill="1" applyBorder="1" applyAlignment="1">
      <alignment horizontal="center" vertical="center" wrapText="1"/>
    </xf>
    <xf numFmtId="0" fontId="38" fillId="16" borderId="8" xfId="0" applyFont="1" applyFill="1" applyBorder="1" applyAlignment="1">
      <alignment horizontal="center" vertical="center" wrapText="1"/>
    </xf>
    <xf numFmtId="0" fontId="38" fillId="16" borderId="17" xfId="0" applyFont="1" applyFill="1" applyBorder="1" applyAlignment="1">
      <alignment horizontal="center" vertical="center" wrapText="1"/>
    </xf>
    <xf numFmtId="0" fontId="33" fillId="17" borderId="1" xfId="1" applyFont="1" applyFill="1" applyBorder="1" applyAlignment="1">
      <alignment horizontal="center"/>
      <protection locked="0"/>
    </xf>
    <xf numFmtId="0" fontId="33" fillId="17" borderId="20" xfId="1" applyFont="1" applyFill="1" applyBorder="1" applyAlignment="1">
      <alignment horizontal="center"/>
      <protection locked="0"/>
    </xf>
    <xf numFmtId="0" fontId="41" fillId="17" borderId="20" xfId="0" applyFont="1" applyFill="1" applyBorder="1" applyAlignment="1">
      <alignment horizontal="center" vertical="center"/>
    </xf>
    <xf numFmtId="0" fontId="41" fillId="17" borderId="1" xfId="0" quotePrefix="1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33" fillId="19" borderId="1" xfId="1" applyFont="1" applyFill="1" applyBorder="1" applyAlignment="1">
      <alignment horizontal="center"/>
      <protection locked="0"/>
    </xf>
    <xf numFmtId="0" fontId="41" fillId="19" borderId="1" xfId="0" applyFont="1" applyFill="1" applyBorder="1" applyAlignment="1">
      <alignment horizontal="center" vertical="center"/>
    </xf>
    <xf numFmtId="0" fontId="10" fillId="19" borderId="12" xfId="0" applyFont="1" applyFill="1" applyBorder="1" applyAlignment="1"/>
    <xf numFmtId="0" fontId="41" fillId="19" borderId="1" xfId="0" quotePrefix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/>
    </xf>
    <xf numFmtId="0" fontId="10" fillId="19" borderId="12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33" fillId="14" borderId="1" xfId="1" applyFont="1" applyFill="1" applyBorder="1" applyAlignment="1">
      <alignment horizontal="center"/>
      <protection locked="0"/>
    </xf>
    <xf numFmtId="0" fontId="41" fillId="14" borderId="1" xfId="0" applyFont="1" applyFill="1" applyBorder="1" applyAlignment="1">
      <alignment horizontal="center" vertical="center"/>
    </xf>
    <xf numFmtId="0" fontId="10" fillId="14" borderId="12" xfId="0" applyFont="1" applyFill="1" applyBorder="1" applyAlignment="1"/>
    <xf numFmtId="0" fontId="10" fillId="19" borderId="12" xfId="0" applyFont="1" applyFill="1" applyBorder="1">
      <alignment vertical="center"/>
    </xf>
    <xf numFmtId="0" fontId="10" fillId="17" borderId="12" xfId="0" applyFont="1" applyFill="1" applyBorder="1">
      <alignment vertical="center"/>
    </xf>
    <xf numFmtId="166" fontId="0" fillId="0" borderId="0" xfId="0" applyNumberFormat="1">
      <alignment vertical="center"/>
    </xf>
    <xf numFmtId="166" fontId="42" fillId="15" borderId="1" xfId="2" applyNumberFormat="1" applyFont="1" applyFill="1" applyBorder="1" applyAlignment="1">
      <alignment horizontal="left" vertical="center" wrapText="1"/>
    </xf>
    <xf numFmtId="0" fontId="23" fillId="0" borderId="12" xfId="0" applyFont="1" applyBorder="1" applyAlignment="1"/>
    <xf numFmtId="0" fontId="24" fillId="0" borderId="12" xfId="0" applyFont="1" applyBorder="1" applyAlignment="1"/>
    <xf numFmtId="0" fontId="24" fillId="0" borderId="3" xfId="0" applyFont="1" applyBorder="1" applyAlignment="1"/>
    <xf numFmtId="0" fontId="24" fillId="0" borderId="31" xfId="0" applyFont="1" applyBorder="1" applyAlignment="1"/>
    <xf numFmtId="43" fontId="0" fillId="0" borderId="0" xfId="0" applyNumberFormat="1" applyAlignment="1"/>
    <xf numFmtId="166" fontId="0" fillId="0" borderId="0" xfId="0" applyNumberFormat="1" applyAlignment="1"/>
    <xf numFmtId="0" fontId="26" fillId="0" borderId="40" xfId="0" applyFont="1" applyBorder="1" applyAlignment="1"/>
    <xf numFmtId="0" fontId="26" fillId="0" borderId="40" xfId="0" applyFont="1" applyBorder="1" applyAlignment="1">
      <alignment horizontal="center"/>
    </xf>
    <xf numFmtId="166" fontId="13" fillId="2" borderId="73" xfId="0" applyNumberFormat="1" applyFont="1" applyFill="1" applyBorder="1" applyAlignment="1"/>
    <xf numFmtId="0" fontId="24" fillId="20" borderId="1" xfId="0" applyFont="1" applyFill="1" applyBorder="1" applyAlignment="1"/>
    <xf numFmtId="0" fontId="24" fillId="20" borderId="12" xfId="0" applyFont="1" applyFill="1" applyBorder="1" applyAlignment="1"/>
    <xf numFmtId="43" fontId="24" fillId="20" borderId="1" xfId="0" applyNumberFormat="1" applyFont="1" applyFill="1" applyBorder="1" applyAlignment="1"/>
    <xf numFmtId="0" fontId="40" fillId="19" borderId="1" xfId="0" applyFont="1" applyFill="1" applyBorder="1" applyAlignment="1">
      <alignment horizontal="center" vertical="center"/>
    </xf>
    <xf numFmtId="0" fontId="40" fillId="19" borderId="1" xfId="0" applyFont="1" applyFill="1" applyBorder="1" applyAlignment="1">
      <alignment horizontal="left" vertical="center"/>
    </xf>
    <xf numFmtId="0" fontId="43" fillId="19" borderId="1" xfId="1" applyFont="1" applyFill="1" applyBorder="1" applyAlignment="1">
      <alignment horizontal="center"/>
      <protection locked="0"/>
    </xf>
    <xf numFmtId="166" fontId="6" fillId="0" borderId="0" xfId="0" applyNumberFormat="1" applyFont="1" applyAlignment="1"/>
    <xf numFmtId="43" fontId="12" fillId="0" borderId="12" xfId="2" applyFont="1" applyBorder="1" applyAlignment="1">
      <alignment horizontal="center" vertical="center" wrapText="1"/>
    </xf>
    <xf numFmtId="166" fontId="0" fillId="0" borderId="0" xfId="2" applyNumberFormat="1" applyFont="1" applyAlignment="1"/>
    <xf numFmtId="43" fontId="22" fillId="0" borderId="20" xfId="2" applyFont="1" applyBorder="1" applyAlignment="1">
      <alignment horizontal="center" vertical="center" wrapText="1"/>
    </xf>
    <xf numFmtId="43" fontId="13" fillId="2" borderId="51" xfId="2" applyFont="1" applyFill="1" applyBorder="1" applyAlignment="1"/>
    <xf numFmtId="43" fontId="24" fillId="0" borderId="0" xfId="2" applyFont="1" applyAlignment="1"/>
    <xf numFmtId="43" fontId="27" fillId="0" borderId="0" xfId="2" applyFont="1" applyAlignment="1">
      <alignment vertical="center"/>
    </xf>
    <xf numFmtId="43" fontId="0" fillId="0" borderId="0" xfId="2" applyFont="1" applyAlignment="1"/>
    <xf numFmtId="43" fontId="0" fillId="0" borderId="0" xfId="2" applyFont="1" applyAlignment="1">
      <alignment vertical="center"/>
    </xf>
    <xf numFmtId="166" fontId="22" fillId="0" borderId="20" xfId="2" applyNumberFormat="1" applyFont="1" applyBorder="1" applyAlignment="1">
      <alignment horizontal="center" vertical="center" wrapText="1"/>
    </xf>
    <xf numFmtId="166" fontId="13" fillId="0" borderId="50" xfId="2" applyNumberFormat="1" applyFont="1" applyBorder="1" applyAlignment="1">
      <alignment horizontal="center" vertical="center"/>
    </xf>
    <xf numFmtId="166" fontId="24" fillId="0" borderId="36" xfId="2" applyNumberFormat="1" applyFont="1" applyBorder="1" applyAlignment="1">
      <alignment horizontal="center" vertical="center"/>
    </xf>
    <xf numFmtId="166" fontId="10" fillId="9" borderId="33" xfId="2" applyNumberFormat="1" applyFont="1" applyFill="1" applyBorder="1" applyAlignment="1">
      <alignment horizontal="center" vertical="center"/>
    </xf>
    <xf numFmtId="166" fontId="24" fillId="0" borderId="34" xfId="2" applyNumberFormat="1" applyFont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0" fontId="24" fillId="0" borderId="6" xfId="0" applyFont="1" applyBorder="1" applyAlignment="1"/>
    <xf numFmtId="0" fontId="24" fillId="0" borderId="14" xfId="0" applyFont="1" applyBorder="1" applyAlignment="1"/>
    <xf numFmtId="166" fontId="16" fillId="0" borderId="31" xfId="2" applyNumberFormat="1" applyFont="1" applyBorder="1" applyAlignment="1">
      <alignment horizontal="right" vertical="center"/>
    </xf>
    <xf numFmtId="166" fontId="16" fillId="0" borderId="83" xfId="2" applyNumberFormat="1" applyFont="1" applyBorder="1" applyAlignment="1">
      <alignment horizontal="right" vertical="center"/>
    </xf>
    <xf numFmtId="0" fontId="16" fillId="0" borderId="31" xfId="0" applyFont="1" applyBorder="1" applyAlignment="1">
      <alignment horizontal="center" vertical="center"/>
    </xf>
    <xf numFmtId="0" fontId="29" fillId="0" borderId="14" xfId="0" applyFont="1" applyBorder="1" applyAlignment="1" applyProtection="1">
      <alignment horizontal="center" vertical="center"/>
      <protection locked="0"/>
    </xf>
    <xf numFmtId="166" fontId="16" fillId="0" borderId="14" xfId="2" applyNumberFormat="1" applyFont="1" applyBorder="1" applyAlignment="1">
      <alignment horizontal="right" vertical="center"/>
    </xf>
    <xf numFmtId="43" fontId="12" fillId="0" borderId="14" xfId="2" applyFont="1" applyBorder="1" applyAlignment="1">
      <alignment horizontal="center" vertical="center" wrapText="1"/>
    </xf>
    <xf numFmtId="0" fontId="12" fillId="15" borderId="86" xfId="0" applyFont="1" applyFill="1" applyBorder="1" applyAlignment="1" applyProtection="1">
      <alignment horizontal="center" vertical="center" wrapText="1"/>
      <protection locked="0"/>
    </xf>
    <xf numFmtId="0" fontId="9" fillId="14" borderId="0" xfId="0" applyFont="1" applyFill="1">
      <alignment vertical="center"/>
    </xf>
    <xf numFmtId="166" fontId="13" fillId="2" borderId="51" xfId="2" applyNumberFormat="1" applyFont="1" applyFill="1" applyBorder="1" applyAlignment="1"/>
    <xf numFmtId="166" fontId="24" fillId="0" borderId="53" xfId="2" applyNumberFormat="1" applyFont="1" applyBorder="1" applyAlignment="1"/>
    <xf numFmtId="166" fontId="10" fillId="2" borderId="55" xfId="2" applyNumberFormat="1" applyFont="1" applyFill="1" applyBorder="1" applyAlignment="1"/>
    <xf numFmtId="166" fontId="6" fillId="0" borderId="0" xfId="2" applyNumberFormat="1" applyFont="1" applyAlignment="1"/>
    <xf numFmtId="166" fontId="0" fillId="0" borderId="0" xfId="2" applyNumberFormat="1" applyFont="1" applyAlignment="1">
      <alignment vertical="center"/>
    </xf>
    <xf numFmtId="0" fontId="9" fillId="17" borderId="1" xfId="0" applyFont="1" applyFill="1" applyBorder="1">
      <alignment vertical="center"/>
    </xf>
    <xf numFmtId="0" fontId="45" fillId="0" borderId="1" xfId="0" applyFont="1" applyBorder="1" applyAlignment="1"/>
    <xf numFmtId="0" fontId="45" fillId="0" borderId="12" xfId="0" applyFont="1" applyBorder="1" applyAlignment="1"/>
    <xf numFmtId="0" fontId="17" fillId="0" borderId="0" xfId="0" applyFont="1" applyAlignment="1"/>
    <xf numFmtId="14" fontId="23" fillId="0" borderId="1" xfId="0" applyNumberFormat="1" applyFont="1" applyBorder="1" applyAlignment="1"/>
    <xf numFmtId="0" fontId="9" fillId="17" borderId="28" xfId="0" applyFont="1" applyFill="1" applyBorder="1">
      <alignment vertical="center"/>
    </xf>
    <xf numFmtId="0" fontId="14" fillId="23" borderId="1" xfId="0" applyFont="1" applyFill="1" applyBorder="1">
      <alignment vertical="center"/>
    </xf>
    <xf numFmtId="166" fontId="14" fillId="23" borderId="1" xfId="2" applyNumberFormat="1" applyFont="1" applyFill="1" applyBorder="1" applyAlignment="1">
      <alignment vertical="center"/>
    </xf>
    <xf numFmtId="166" fontId="16" fillId="23" borderId="1" xfId="2" applyNumberFormat="1" applyFont="1" applyFill="1" applyBorder="1" applyAlignment="1">
      <alignment horizontal="center"/>
    </xf>
    <xf numFmtId="166" fontId="16" fillId="23" borderId="1" xfId="2" applyNumberFormat="1" applyFont="1" applyFill="1" applyBorder="1" applyAlignment="1">
      <alignment horizontal="center" vertical="center"/>
    </xf>
    <xf numFmtId="0" fontId="11" fillId="23" borderId="0" xfId="0" applyFont="1" applyFill="1" applyAlignment="1">
      <alignment horizontal="center" vertical="center" wrapText="1"/>
    </xf>
    <xf numFmtId="0" fontId="14" fillId="23" borderId="0" xfId="0" applyFont="1" applyFill="1">
      <alignment vertical="center"/>
    </xf>
    <xf numFmtId="166" fontId="14" fillId="23" borderId="0" xfId="2" applyNumberFormat="1" applyFont="1" applyFill="1" applyAlignment="1">
      <alignment vertical="center"/>
    </xf>
    <xf numFmtId="166" fontId="16" fillId="23" borderId="0" xfId="2" applyNumberFormat="1" applyFont="1" applyFill="1" applyAlignment="1">
      <alignment horizontal="center"/>
    </xf>
    <xf numFmtId="166" fontId="16" fillId="23" borderId="0" xfId="2" applyNumberFormat="1" applyFont="1" applyFill="1" applyAlignment="1">
      <alignment horizontal="center" vertical="center"/>
    </xf>
    <xf numFmtId="168" fontId="14" fillId="23" borderId="1" xfId="0" applyNumberFormat="1" applyFont="1" applyFill="1" applyBorder="1">
      <alignment vertical="center"/>
    </xf>
    <xf numFmtId="0" fontId="46" fillId="22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164" fontId="18" fillId="22" borderId="1" xfId="0" applyNumberFormat="1" applyFont="1" applyFill="1" applyBorder="1" applyAlignment="1">
      <alignment horizontal="center" vertical="center" wrapText="1"/>
    </xf>
    <xf numFmtId="166" fontId="18" fillId="22" borderId="1" xfId="2" applyNumberFormat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166" fontId="29" fillId="3" borderId="1" xfId="2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 wrapText="1"/>
    </xf>
    <xf numFmtId="166" fontId="48" fillId="3" borderId="0" xfId="2" applyNumberFormat="1" applyFont="1" applyFill="1" applyAlignment="1">
      <alignment horizontal="center" vertical="center"/>
    </xf>
    <xf numFmtId="0" fontId="47" fillId="4" borderId="9" xfId="0" applyFont="1" applyFill="1" applyBorder="1" applyAlignment="1">
      <alignment horizontal="center" vertical="center" wrapText="1"/>
    </xf>
    <xf numFmtId="166" fontId="47" fillId="4" borderId="9" xfId="2" applyNumberFormat="1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/>
    </xf>
    <xf numFmtId="0" fontId="48" fillId="3" borderId="0" xfId="0" applyFont="1" applyFill="1" applyAlignment="1">
      <alignment horizontal="left" vertical="center"/>
    </xf>
    <xf numFmtId="0" fontId="47" fillId="4" borderId="9" xfId="2" applyNumberFormat="1" applyFont="1" applyFill="1" applyBorder="1" applyAlignment="1">
      <alignment horizontal="center" vertical="center" wrapText="1"/>
    </xf>
    <xf numFmtId="0" fontId="29" fillId="3" borderId="1" xfId="2" applyNumberFormat="1" applyFont="1" applyFill="1" applyBorder="1" applyAlignment="1">
      <alignment horizontal="center" vertical="center" wrapText="1"/>
    </xf>
    <xf numFmtId="0" fontId="31" fillId="3" borderId="0" xfId="2" applyNumberFormat="1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48" fillId="3" borderId="66" xfId="0" applyFont="1" applyFill="1" applyBorder="1" applyAlignment="1">
      <alignment horizontal="left" vertical="center"/>
    </xf>
    <xf numFmtId="0" fontId="48" fillId="3" borderId="66" xfId="0" applyFont="1" applyFill="1" applyBorder="1" applyAlignment="1">
      <alignment horizontal="center" vertical="center"/>
    </xf>
    <xf numFmtId="0" fontId="31" fillId="3" borderId="66" xfId="2" applyNumberFormat="1" applyFont="1" applyFill="1" applyBorder="1" applyAlignment="1">
      <alignment horizontal="center" vertical="center"/>
    </xf>
    <xf numFmtId="0" fontId="31" fillId="3" borderId="67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/>
    </xf>
    <xf numFmtId="166" fontId="16" fillId="3" borderId="1" xfId="2" applyNumberFormat="1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 wrapText="1"/>
    </xf>
    <xf numFmtId="166" fontId="29" fillId="3" borderId="67" xfId="2" applyNumberFormat="1" applyFont="1" applyFill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/>
    </xf>
    <xf numFmtId="168" fontId="0" fillId="0" borderId="0" xfId="0" applyNumberFormat="1">
      <alignment vertical="center"/>
    </xf>
    <xf numFmtId="168" fontId="29" fillId="3" borderId="1" xfId="0" applyNumberFormat="1" applyFont="1" applyFill="1" applyBorder="1" applyAlignment="1">
      <alignment horizontal="center" vertical="center" wrapText="1"/>
    </xf>
    <xf numFmtId="15" fontId="16" fillId="3" borderId="1" xfId="0" applyNumberFormat="1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33" fillId="10" borderId="1" xfId="1" applyFont="1" applyFill="1" applyBorder="1" applyAlignment="1">
      <alignment horizontal="center"/>
      <protection locked="0"/>
    </xf>
    <xf numFmtId="0" fontId="41" fillId="10" borderId="1" xfId="0" applyFont="1" applyFill="1" applyBorder="1" applyAlignment="1">
      <alignment horizontal="center" vertical="center"/>
    </xf>
    <xf numFmtId="0" fontId="33" fillId="10" borderId="1" xfId="0" applyFont="1" applyFill="1" applyBorder="1">
      <alignment vertical="center"/>
    </xf>
    <xf numFmtId="0" fontId="9" fillId="10" borderId="0" xfId="0" applyFont="1" applyFill="1">
      <alignment vertical="center"/>
    </xf>
    <xf numFmtId="166" fontId="16" fillId="0" borderId="0" xfId="2" applyNumberFormat="1" applyFont="1" applyFill="1" applyAlignment="1">
      <alignment horizontal="center" vertical="center"/>
    </xf>
    <xf numFmtId="0" fontId="0" fillId="20" borderId="1" xfId="0" applyFill="1" applyBorder="1" applyAlignment="1">
      <alignment horizontal="center" vertical="center" wrapText="1"/>
    </xf>
    <xf numFmtId="166" fontId="0" fillId="20" borderId="1" xfId="0" applyNumberForma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15" fontId="0" fillId="0" borderId="0" xfId="2" applyNumberFormat="1" applyFont="1" applyAlignment="1">
      <alignment vertical="center"/>
    </xf>
    <xf numFmtId="43" fontId="9" fillId="20" borderId="1" xfId="2" applyFont="1" applyFill="1" applyBorder="1" applyAlignment="1">
      <alignment horizontal="center" vertical="center" wrapText="1"/>
    </xf>
    <xf numFmtId="43" fontId="0" fillId="20" borderId="1" xfId="2" applyFont="1" applyFill="1" applyBorder="1" applyAlignment="1">
      <alignment horizontal="center" vertical="center" wrapText="1"/>
    </xf>
    <xf numFmtId="43" fontId="9" fillId="0" borderId="0" xfId="2" applyFont="1" applyAlignment="1">
      <alignment vertical="center"/>
    </xf>
    <xf numFmtId="43" fontId="0" fillId="0" borderId="0" xfId="0" applyNumberFormat="1">
      <alignment vertical="center"/>
    </xf>
    <xf numFmtId="166" fontId="9" fillId="20" borderId="1" xfId="0" applyNumberFormat="1" applyFont="1" applyFill="1" applyBorder="1" applyAlignment="1">
      <alignment horizontal="center" vertical="center" wrapText="1"/>
    </xf>
    <xf numFmtId="166" fontId="0" fillId="0" borderId="0" xfId="2" applyNumberFormat="1" applyFont="1" applyFill="1" applyAlignment="1">
      <alignment vertical="center"/>
    </xf>
    <xf numFmtId="168" fontId="22" fillId="0" borderId="20" xfId="0" applyNumberFormat="1" applyFont="1" applyBorder="1" applyAlignment="1">
      <alignment horizontal="center" vertical="center" wrapText="1"/>
    </xf>
    <xf numFmtId="168" fontId="13" fillId="2" borderId="51" xfId="0" applyNumberFormat="1" applyFont="1" applyFill="1" applyBorder="1" applyAlignment="1"/>
    <xf numFmtId="168" fontId="24" fillId="0" borderId="0" xfId="0" applyNumberFormat="1" applyFont="1" applyAlignment="1">
      <alignment horizontal="right"/>
    </xf>
    <xf numFmtId="168" fontId="27" fillId="0" borderId="0" xfId="0" applyNumberFormat="1" applyFont="1">
      <alignment vertical="center"/>
    </xf>
    <xf numFmtId="168" fontId="0" fillId="0" borderId="0" xfId="0" applyNumberFormat="1" applyAlignment="1">
      <alignment horizontal="right"/>
    </xf>
    <xf numFmtId="168" fontId="6" fillId="0" borderId="0" xfId="0" applyNumberFormat="1" applyFont="1" applyAlignment="1"/>
    <xf numFmtId="43" fontId="6" fillId="0" borderId="0" xfId="2" applyFont="1" applyAlignment="1"/>
    <xf numFmtId="0" fontId="23" fillId="0" borderId="2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165" fontId="23" fillId="0" borderId="1" xfId="0" applyNumberFormat="1" applyFont="1" applyBorder="1" applyAlignment="1">
      <alignment horizontal="center"/>
    </xf>
    <xf numFmtId="43" fontId="23" fillId="0" borderId="1" xfId="2" applyFont="1" applyFill="1" applyBorder="1" applyAlignment="1">
      <alignment horizontal="center"/>
    </xf>
    <xf numFmtId="43" fontId="23" fillId="0" borderId="1" xfId="2" applyFont="1" applyBorder="1" applyAlignment="1"/>
    <xf numFmtId="0" fontId="24" fillId="0" borderId="1" xfId="0" applyFont="1" applyBorder="1" applyAlignment="1">
      <alignment horizontal="center"/>
    </xf>
    <xf numFmtId="0" fontId="23" fillId="20" borderId="1" xfId="0" applyFont="1" applyFill="1" applyBorder="1" applyAlignment="1">
      <alignment horizontal="center" vertical="center"/>
    </xf>
    <xf numFmtId="43" fontId="23" fillId="20" borderId="1" xfId="2" applyFont="1" applyFill="1" applyBorder="1" applyAlignment="1"/>
    <xf numFmtId="0" fontId="23" fillId="20" borderId="12" xfId="0" applyFont="1" applyFill="1" applyBorder="1" applyAlignment="1">
      <alignment horizontal="center" vertical="center"/>
    </xf>
    <xf numFmtId="0" fontId="51" fillId="21" borderId="1" xfId="0" applyFont="1" applyFill="1" applyBorder="1" applyAlignment="1">
      <alignment horizontal="left" vertical="top"/>
    </xf>
    <xf numFmtId="43" fontId="23" fillId="0" borderId="1" xfId="2" applyFont="1" applyFill="1" applyBorder="1" applyAlignment="1"/>
    <xf numFmtId="0" fontId="51" fillId="20" borderId="1" xfId="0" applyFont="1" applyFill="1" applyBorder="1" applyAlignment="1">
      <alignment horizontal="left" vertical="top"/>
    </xf>
    <xf numFmtId="0" fontId="23" fillId="20" borderId="1" xfId="0" applyFont="1" applyFill="1" applyBorder="1" applyAlignment="1">
      <alignment horizontal="left"/>
    </xf>
    <xf numFmtId="0" fontId="23" fillId="20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0" borderId="0" xfId="0" applyFont="1" applyAlignment="1"/>
    <xf numFmtId="0" fontId="24" fillId="20" borderId="0" xfId="0" applyFont="1" applyFill="1" applyAlignment="1"/>
    <xf numFmtId="0" fontId="23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45" fillId="0" borderId="21" xfId="0" applyFont="1" applyBorder="1" applyAlignment="1">
      <alignment horizontal="center" vertical="center"/>
    </xf>
    <xf numFmtId="43" fontId="45" fillId="0" borderId="1" xfId="2" applyFont="1" applyBorder="1" applyAlignment="1"/>
    <xf numFmtId="0" fontId="23" fillId="0" borderId="22" xfId="0" applyFont="1" applyBorder="1" applyAlignment="1">
      <alignment horizontal="center" vertical="center"/>
    </xf>
    <xf numFmtId="0" fontId="51" fillId="0" borderId="6" xfId="0" applyFont="1" applyBorder="1" applyAlignment="1">
      <alignment horizontal="left" vertical="top"/>
    </xf>
    <xf numFmtId="0" fontId="24" fillId="0" borderId="6" xfId="0" applyFont="1" applyBorder="1" applyAlignment="1">
      <alignment horizontal="center"/>
    </xf>
    <xf numFmtId="43" fontId="23" fillId="0" borderId="6" xfId="2" applyFont="1" applyBorder="1" applyAlignment="1"/>
    <xf numFmtId="0" fontId="0" fillId="24" borderId="1" xfId="0" applyFill="1" applyBorder="1">
      <alignment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6" fillId="0" borderId="0" xfId="0" applyFont="1" applyAlignment="1"/>
    <xf numFmtId="166" fontId="14" fillId="0" borderId="0" xfId="2" applyNumberFormat="1" applyFont="1" applyFill="1" applyAlignment="1">
      <alignment vertical="center"/>
    </xf>
    <xf numFmtId="166" fontId="14" fillId="0" borderId="0" xfId="2" applyNumberFormat="1" applyFont="1" applyFill="1" applyAlignment="1">
      <alignment horizontal="center" vertical="center"/>
    </xf>
    <xf numFmtId="0" fontId="14" fillId="0" borderId="29" xfId="0" applyFont="1" applyBorder="1">
      <alignment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69" fontId="12" fillId="3" borderId="0" xfId="0" applyNumberFormat="1" applyFont="1" applyFill="1" applyAlignment="1">
      <alignment horizontal="center" vertical="center"/>
    </xf>
    <xf numFmtId="43" fontId="12" fillId="3" borderId="0" xfId="2" applyFont="1" applyFill="1" applyBorder="1" applyAlignment="1">
      <alignment horizontal="center" vertical="center"/>
    </xf>
    <xf numFmtId="166" fontId="12" fillId="3" borderId="0" xfId="2" applyNumberFormat="1" applyFont="1" applyFill="1" applyBorder="1" applyAlignment="1">
      <alignment horizontal="center" vertical="center"/>
    </xf>
    <xf numFmtId="166" fontId="12" fillId="3" borderId="0" xfId="2" applyNumberFormat="1" applyFont="1" applyFill="1" applyBorder="1" applyAlignment="1">
      <alignment horizontal="center"/>
    </xf>
    <xf numFmtId="0" fontId="11" fillId="3" borderId="88" xfId="0" applyFont="1" applyFill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 wrapText="1"/>
    </xf>
    <xf numFmtId="164" fontId="11" fillId="3" borderId="79" xfId="0" applyNumberFormat="1" applyFont="1" applyFill="1" applyBorder="1" applyAlignment="1">
      <alignment horizontal="center" vertical="center" wrapText="1"/>
    </xf>
    <xf numFmtId="0" fontId="16" fillId="3" borderId="89" xfId="0" applyFont="1" applyFill="1" applyBorder="1" applyAlignment="1">
      <alignment horizontal="center" vertical="center"/>
    </xf>
    <xf numFmtId="0" fontId="16" fillId="3" borderId="2" xfId="0" applyFont="1" applyFill="1" applyBorder="1">
      <alignment vertical="center"/>
    </xf>
    <xf numFmtId="0" fontId="16" fillId="3" borderId="68" xfId="0" applyFont="1" applyFill="1" applyBorder="1">
      <alignment vertical="center"/>
    </xf>
    <xf numFmtId="166" fontId="23" fillId="0" borderId="1" xfId="2" applyNumberFormat="1" applyFont="1" applyFill="1" applyBorder="1" applyAlignment="1"/>
    <xf numFmtId="168" fontId="23" fillId="0" borderId="1" xfId="0" applyNumberFormat="1" applyFont="1" applyBorder="1" applyAlignment="1">
      <alignment horizontal="right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4" fillId="20" borderId="0" xfId="0" applyFont="1" applyFill="1" applyAlignment="1">
      <alignment horizontal="center" vertical="center" wrapText="1"/>
    </xf>
    <xf numFmtId="167" fontId="54" fillId="20" borderId="0" xfId="0" applyNumberFormat="1" applyFont="1" applyFill="1" applyAlignment="1">
      <alignment horizontal="center" vertical="center" wrapText="1"/>
    </xf>
    <xf numFmtId="166" fontId="54" fillId="20" borderId="0" xfId="2" applyNumberFormat="1" applyFont="1" applyFill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170" fontId="55" fillId="0" borderId="0" xfId="0" applyNumberFormat="1" applyFont="1" applyAlignment="1">
      <alignment horizontal="right" vertical="center"/>
    </xf>
    <xf numFmtId="166" fontId="55" fillId="0" borderId="0" xfId="2" applyNumberFormat="1" applyFont="1" applyAlignment="1">
      <alignment vertical="center"/>
    </xf>
    <xf numFmtId="0" fontId="54" fillId="20" borderId="0" xfId="0" applyFont="1" applyFill="1" applyAlignment="1">
      <alignment horizontal="center"/>
    </xf>
    <xf numFmtId="167" fontId="56" fillId="20" borderId="0" xfId="0" applyNumberFormat="1" applyFont="1" applyFill="1" applyAlignment="1">
      <alignment horizontal="right" vertical="center"/>
    </xf>
    <xf numFmtId="166" fontId="56" fillId="20" borderId="0" xfId="2" applyNumberFormat="1" applyFont="1" applyFill="1" applyAlignment="1">
      <alignment vertical="center"/>
    </xf>
    <xf numFmtId="167" fontId="55" fillId="0" borderId="0" xfId="0" applyNumberFormat="1" applyFont="1">
      <alignment vertical="center"/>
    </xf>
    <xf numFmtId="0" fontId="55" fillId="0" borderId="0" xfId="0" applyFont="1">
      <alignment vertical="center"/>
    </xf>
    <xf numFmtId="166" fontId="56" fillId="0" borderId="0" xfId="2" applyNumberFormat="1" applyFont="1" applyFill="1" applyAlignment="1">
      <alignment vertical="center"/>
    </xf>
    <xf numFmtId="167" fontId="0" fillId="0" borderId="0" xfId="0" applyNumberFormat="1">
      <alignment vertical="center"/>
    </xf>
    <xf numFmtId="166" fontId="18" fillId="22" borderId="88" xfId="2" applyNumberFormat="1" applyFont="1" applyFill="1" applyBorder="1" applyAlignment="1">
      <alignment horizontal="center" vertical="center" wrapText="1"/>
    </xf>
    <xf numFmtId="166" fontId="11" fillId="3" borderId="15" xfId="2" applyNumberFormat="1" applyFont="1" applyFill="1" applyBorder="1" applyAlignment="1">
      <alignment horizontal="center" vertical="center" wrapText="1"/>
    </xf>
    <xf numFmtId="166" fontId="11" fillId="3" borderId="10" xfId="2" applyNumberFormat="1" applyFont="1" applyFill="1" applyBorder="1" applyAlignment="1">
      <alignment horizontal="center" vertical="center" wrapText="1"/>
    </xf>
    <xf numFmtId="166" fontId="11" fillId="3" borderId="11" xfId="2" applyNumberFormat="1" applyFont="1" applyFill="1" applyBorder="1" applyAlignment="1">
      <alignment horizontal="center" vertical="center" wrapText="1"/>
    </xf>
    <xf numFmtId="43" fontId="12" fillId="3" borderId="13" xfId="2" applyFont="1" applyFill="1" applyBorder="1" applyAlignment="1">
      <alignment horizontal="center" vertical="center"/>
    </xf>
    <xf numFmtId="166" fontId="12" fillId="3" borderId="16" xfId="2" applyNumberFormat="1" applyFont="1" applyFill="1" applyBorder="1" applyAlignment="1">
      <alignment horizontal="center" vertical="center"/>
    </xf>
    <xf numFmtId="166" fontId="16" fillId="3" borderId="77" xfId="2" applyNumberFormat="1" applyFont="1" applyFill="1" applyBorder="1" applyAlignment="1">
      <alignment vertical="center"/>
    </xf>
    <xf numFmtId="166" fontId="16" fillId="3" borderId="70" xfId="2" applyNumberFormat="1" applyFont="1" applyFill="1" applyBorder="1" applyAlignment="1">
      <alignment vertical="center"/>
    </xf>
    <xf numFmtId="166" fontId="16" fillId="3" borderId="90" xfId="2" applyNumberFormat="1" applyFont="1" applyFill="1" applyBorder="1" applyAlignment="1">
      <alignment vertical="center"/>
    </xf>
    <xf numFmtId="166" fontId="12" fillId="3" borderId="13" xfId="2" applyNumberFormat="1" applyFont="1" applyFill="1" applyBorder="1" applyAlignment="1">
      <alignment horizontal="center" vertical="center"/>
    </xf>
    <xf numFmtId="166" fontId="12" fillId="3" borderId="16" xfId="2" applyNumberFormat="1" applyFont="1" applyFill="1" applyBorder="1" applyAlignment="1">
      <alignment horizontal="center"/>
    </xf>
    <xf numFmtId="166" fontId="14" fillId="25" borderId="1" xfId="2" applyNumberFormat="1" applyFont="1" applyFill="1" applyBorder="1" applyAlignment="1">
      <alignment vertical="center"/>
    </xf>
    <xf numFmtId="0" fontId="55" fillId="0" borderId="0" xfId="0" applyFont="1" applyAlignment="1">
      <alignment horizontal="left" vertical="top"/>
    </xf>
    <xf numFmtId="166" fontId="56" fillId="0" borderId="0" xfId="2" applyNumberFormat="1" applyFont="1" applyFill="1" applyAlignment="1">
      <alignment horizontal="left" vertical="top"/>
    </xf>
    <xf numFmtId="166" fontId="56" fillId="0" borderId="0" xfId="2" applyNumberFormat="1" applyFont="1" applyFill="1" applyAlignment="1">
      <alignment horizontal="left" vertical="center"/>
    </xf>
    <xf numFmtId="166" fontId="56" fillId="20" borderId="0" xfId="2" applyNumberFormat="1" applyFont="1" applyFill="1" applyAlignment="1">
      <alignment horizontal="left" vertical="center"/>
    </xf>
    <xf numFmtId="0" fontId="58" fillId="2" borderId="2" xfId="4" applyFont="1" applyFill="1" applyBorder="1" applyAlignment="1">
      <alignment vertical="center"/>
    </xf>
    <xf numFmtId="0" fontId="58" fillId="2" borderId="68" xfId="4" applyFont="1" applyFill="1" applyBorder="1" applyAlignment="1">
      <alignment vertical="center" wrapText="1"/>
    </xf>
    <xf numFmtId="0" fontId="58" fillId="2" borderId="28" xfId="4" applyFont="1" applyFill="1" applyBorder="1" applyAlignment="1">
      <alignment vertical="center" wrapText="1"/>
    </xf>
    <xf numFmtId="0" fontId="31" fillId="0" borderId="0" xfId="0" applyFont="1" applyAlignment="1"/>
    <xf numFmtId="0" fontId="58" fillId="2" borderId="1" xfId="4" applyFont="1" applyFill="1" applyBorder="1" applyAlignment="1">
      <alignment vertical="center" wrapText="1"/>
    </xf>
    <xf numFmtId="0" fontId="58" fillId="2" borderId="1" xfId="4" applyFont="1" applyFill="1" applyBorder="1" applyAlignment="1">
      <alignment vertical="center"/>
    </xf>
    <xf numFmtId="0" fontId="59" fillId="0" borderId="27" xfId="4" applyFont="1" applyBorder="1" applyAlignment="1">
      <alignment horizontal="left" vertical="center" wrapText="1"/>
    </xf>
    <xf numFmtId="0" fontId="24" fillId="0" borderId="0" xfId="0" applyFont="1" applyAlignment="1" applyProtection="1">
      <protection locked="0"/>
    </xf>
    <xf numFmtId="0" fontId="59" fillId="0" borderId="0" xfId="4" applyFont="1"/>
    <xf numFmtId="0" fontId="23" fillId="0" borderId="0" xfId="4" applyFont="1"/>
    <xf numFmtId="0" fontId="31" fillId="0" borderId="0" xfId="4" applyFont="1" applyAlignment="1">
      <alignment vertical="center"/>
    </xf>
    <xf numFmtId="0" fontId="29" fillId="0" borderId="67" xfId="4" applyFont="1" applyBorder="1" applyAlignment="1">
      <alignment horizontal="left" vertical="center" wrapText="1"/>
    </xf>
    <xf numFmtId="0" fontId="23" fillId="0" borderId="0" xfId="0" applyFont="1" applyAlignment="1"/>
    <xf numFmtId="0" fontId="29" fillId="0" borderId="1" xfId="0" applyFont="1" applyBorder="1" applyAlignment="1">
      <alignment horizontal="left" vertical="center" wrapText="1"/>
    </xf>
    <xf numFmtId="166" fontId="24" fillId="0" borderId="0" xfId="2" applyNumberFormat="1" applyFont="1" applyAlignment="1"/>
    <xf numFmtId="166" fontId="14" fillId="24" borderId="1" xfId="2" applyNumberFormat="1" applyFont="1" applyFill="1" applyBorder="1" applyAlignment="1">
      <alignment vertical="center"/>
    </xf>
    <xf numFmtId="0" fontId="29" fillId="24" borderId="1" xfId="0" applyFont="1" applyFill="1" applyBorder="1" applyAlignment="1">
      <alignment horizontal="center" vertical="center" wrapText="1"/>
    </xf>
    <xf numFmtId="0" fontId="29" fillId="24" borderId="1" xfId="0" applyFont="1" applyFill="1" applyBorder="1" applyAlignment="1">
      <alignment horizontal="left" vertical="center" wrapText="1"/>
    </xf>
    <xf numFmtId="168" fontId="29" fillId="24" borderId="1" xfId="0" applyNumberFormat="1" applyFont="1" applyFill="1" applyBorder="1" applyAlignment="1">
      <alignment horizontal="center" vertical="center" wrapText="1"/>
    </xf>
    <xf numFmtId="0" fontId="29" fillId="24" borderId="1" xfId="2" applyNumberFormat="1" applyFont="1" applyFill="1" applyBorder="1" applyAlignment="1">
      <alignment horizontal="center" vertical="center" wrapText="1"/>
    </xf>
    <xf numFmtId="166" fontId="29" fillId="24" borderId="1" xfId="2" applyNumberFormat="1" applyFont="1" applyFill="1" applyBorder="1" applyAlignment="1">
      <alignment horizontal="center" vertical="center" wrapText="1"/>
    </xf>
    <xf numFmtId="168" fontId="29" fillId="6" borderId="1" xfId="0" applyNumberFormat="1" applyFont="1" applyFill="1" applyBorder="1" applyAlignment="1">
      <alignment horizontal="center" vertical="center" wrapText="1"/>
    </xf>
    <xf numFmtId="166" fontId="16" fillId="24" borderId="1" xfId="2" applyNumberFormat="1" applyFont="1" applyFill="1" applyBorder="1" applyAlignment="1">
      <alignment horizontal="center" vertical="center"/>
    </xf>
    <xf numFmtId="166" fontId="55" fillId="0" borderId="0" xfId="0" applyNumberFormat="1" applyFont="1">
      <alignment vertical="center"/>
    </xf>
    <xf numFmtId="0" fontId="44" fillId="0" borderId="0" xfId="0" applyFont="1" applyAlignment="1">
      <alignment horizontal="center" vertical="center"/>
    </xf>
    <xf numFmtId="0" fontId="29" fillId="25" borderId="1" xfId="0" applyFont="1" applyFill="1" applyBorder="1" applyAlignment="1">
      <alignment horizontal="left" vertical="center" wrapText="1"/>
    </xf>
    <xf numFmtId="168" fontId="29" fillId="25" borderId="1" xfId="0" applyNumberFormat="1" applyFont="1" applyFill="1" applyBorder="1" applyAlignment="1">
      <alignment horizontal="center" vertical="center" wrapText="1"/>
    </xf>
    <xf numFmtId="0" fontId="29" fillId="25" borderId="1" xfId="2" applyNumberFormat="1" applyFont="1" applyFill="1" applyBorder="1" applyAlignment="1">
      <alignment horizontal="center" vertical="center" wrapText="1"/>
    </xf>
    <xf numFmtId="166" fontId="29" fillId="25" borderId="1" xfId="2" applyNumberFormat="1" applyFont="1" applyFill="1" applyBorder="1" applyAlignment="1">
      <alignment horizontal="center" vertical="center" wrapText="1"/>
    </xf>
    <xf numFmtId="168" fontId="2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56" fillId="0" borderId="0" xfId="2" applyNumberFormat="1" applyFont="1" applyFill="1" applyAlignment="1">
      <alignment horizontal="center" vertical="center"/>
    </xf>
    <xf numFmtId="166" fontId="56" fillId="20" borderId="0" xfId="2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4" borderId="91" xfId="0" applyFill="1" applyBorder="1">
      <alignment vertical="center"/>
    </xf>
    <xf numFmtId="168" fontId="0" fillId="24" borderId="1" xfId="0" applyNumberFormat="1" applyFill="1" applyBorder="1">
      <alignment vertical="center"/>
    </xf>
    <xf numFmtId="168" fontId="0" fillId="0" borderId="0" xfId="0" applyNumberFormat="1" applyAlignment="1"/>
    <xf numFmtId="166" fontId="29" fillId="25" borderId="0" xfId="2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66" fontId="47" fillId="4" borderId="92" xfId="2" applyNumberFormat="1" applyFont="1" applyFill="1" applyBorder="1" applyAlignment="1">
      <alignment horizontal="center" vertical="center" wrapText="1"/>
    </xf>
    <xf numFmtId="166" fontId="29" fillId="3" borderId="2" xfId="2" applyNumberFormat="1" applyFont="1" applyFill="1" applyBorder="1" applyAlignment="1">
      <alignment horizontal="center" vertical="center" wrapText="1"/>
    </xf>
    <xf numFmtId="166" fontId="29" fillId="3" borderId="66" xfId="2" applyNumberFormat="1" applyFont="1" applyFill="1" applyBorder="1" applyAlignment="1">
      <alignment horizontal="center" vertical="center" wrapText="1"/>
    </xf>
    <xf numFmtId="166" fontId="29" fillId="24" borderId="28" xfId="2" applyNumberFormat="1" applyFont="1" applyFill="1" applyBorder="1" applyAlignment="1">
      <alignment horizontal="center" vertical="center" wrapText="1"/>
    </xf>
    <xf numFmtId="166" fontId="29" fillId="25" borderId="28" xfId="2" applyNumberFormat="1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28" xfId="0" applyFont="1" applyFill="1" applyBorder="1" applyAlignment="1">
      <alignment horizontal="left" vertical="center" wrapText="1"/>
    </xf>
    <xf numFmtId="166" fontId="14" fillId="26" borderId="1" xfId="2" applyNumberFormat="1" applyFont="1" applyFill="1" applyBorder="1" applyAlignment="1">
      <alignment vertical="center"/>
    </xf>
    <xf numFmtId="0" fontId="14" fillId="26" borderId="1" xfId="0" applyFont="1" applyFill="1" applyBorder="1">
      <alignment vertical="center"/>
    </xf>
    <xf numFmtId="166" fontId="29" fillId="25" borderId="2" xfId="2" applyNumberFormat="1" applyFont="1" applyFill="1" applyBorder="1" applyAlignment="1">
      <alignment horizontal="center" vertical="center" wrapText="1"/>
    </xf>
    <xf numFmtId="166" fontId="16" fillId="27" borderId="1" xfId="2" applyNumberFormat="1" applyFont="1" applyFill="1" applyBorder="1" applyAlignment="1">
      <alignment horizontal="center" vertical="center"/>
    </xf>
    <xf numFmtId="166" fontId="14" fillId="27" borderId="1" xfId="2" applyNumberFormat="1" applyFont="1" applyFill="1" applyBorder="1" applyAlignment="1">
      <alignment vertical="center"/>
    </xf>
    <xf numFmtId="0" fontId="60" fillId="0" borderId="1" xfId="4" applyFont="1" applyBorder="1" applyAlignment="1">
      <alignment horizontal="center" vertical="center"/>
    </xf>
    <xf numFmtId="0" fontId="60" fillId="0" borderId="1" xfId="4" applyFont="1" applyBorder="1" applyAlignment="1">
      <alignment horizontal="left" vertical="center" wrapText="1"/>
    </xf>
    <xf numFmtId="166" fontId="60" fillId="0" borderId="1" xfId="2" applyNumberFormat="1" applyFont="1" applyFill="1" applyBorder="1" applyAlignment="1">
      <alignment horizontal="center" vertical="center" wrapText="1"/>
    </xf>
    <xf numFmtId="166" fontId="60" fillId="0" borderId="1" xfId="2" applyNumberFormat="1" applyFont="1" applyFill="1" applyBorder="1" applyAlignment="1">
      <alignment horizontal="center"/>
    </xf>
    <xf numFmtId="0" fontId="61" fillId="0" borderId="1" xfId="4" applyFont="1" applyBorder="1" applyAlignment="1">
      <alignment horizontal="left" vertical="center"/>
    </xf>
    <xf numFmtId="166" fontId="61" fillId="0" borderId="1" xfId="2" applyNumberFormat="1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0" fillId="0" borderId="1" xfId="4" applyFont="1" applyBorder="1" applyAlignment="1">
      <alignment horizontal="left" vertical="center"/>
    </xf>
    <xf numFmtId="0" fontId="60" fillId="0" borderId="1" xfId="4" applyFont="1" applyBorder="1" applyAlignment="1">
      <alignment horizontal="left" wrapText="1"/>
    </xf>
    <xf numFmtId="166" fontId="60" fillId="0" borderId="1" xfId="2" applyNumberFormat="1" applyFont="1" applyFill="1" applyBorder="1" applyAlignment="1">
      <alignment horizontal="center" vertical="center"/>
    </xf>
    <xf numFmtId="0" fontId="62" fillId="0" borderId="1" xfId="0" applyFont="1" applyBorder="1" applyAlignment="1">
      <alignment horizontal="left" vertical="center" wrapText="1"/>
    </xf>
    <xf numFmtId="166" fontId="61" fillId="0" borderId="1" xfId="2" applyNumberFormat="1" applyFont="1" applyFill="1" applyBorder="1" applyAlignment="1"/>
    <xf numFmtId="0" fontId="62" fillId="3" borderId="1" xfId="0" applyFont="1" applyFill="1" applyBorder="1" applyAlignment="1">
      <alignment horizontal="left" vertical="center" wrapText="1"/>
    </xf>
    <xf numFmtId="0" fontId="48" fillId="0" borderId="0" xfId="0" applyFont="1" applyAlignment="1"/>
    <xf numFmtId="0" fontId="61" fillId="0" borderId="1" xfId="0" applyFont="1" applyBorder="1" applyAlignment="1"/>
    <xf numFmtId="166" fontId="61" fillId="0" borderId="1" xfId="2" applyNumberFormat="1" applyFont="1" applyBorder="1" applyAlignment="1"/>
    <xf numFmtId="0" fontId="37" fillId="18" borderId="15" xfId="0" applyFont="1" applyFill="1" applyBorder="1" applyAlignment="1">
      <alignment horizontal="center" vertical="center"/>
    </xf>
    <xf numFmtId="0" fontId="37" fillId="18" borderId="10" xfId="0" applyFont="1" applyFill="1" applyBorder="1" applyAlignment="1">
      <alignment horizontal="center" vertical="center"/>
    </xf>
    <xf numFmtId="0" fontId="37" fillId="18" borderId="11" xfId="0" applyFont="1" applyFill="1" applyBorder="1" applyAlignment="1">
      <alignment horizontal="center" vertical="center"/>
    </xf>
    <xf numFmtId="0" fontId="37" fillId="18" borderId="4" xfId="0" applyFont="1" applyFill="1" applyBorder="1" applyAlignment="1">
      <alignment horizontal="center" vertical="center"/>
    </xf>
    <xf numFmtId="0" fontId="37" fillId="18" borderId="42" xfId="0" applyFont="1" applyFill="1" applyBorder="1" applyAlignment="1">
      <alignment horizontal="center" vertical="center"/>
    </xf>
    <xf numFmtId="0" fontId="37" fillId="18" borderId="71" xfId="0" applyFont="1" applyFill="1" applyBorder="1" applyAlignment="1">
      <alignment horizontal="center" vertical="center"/>
    </xf>
    <xf numFmtId="0" fontId="36" fillId="18" borderId="18" xfId="0" applyFont="1" applyFill="1" applyBorder="1" applyAlignment="1">
      <alignment horizontal="center" vertical="center"/>
    </xf>
    <xf numFmtId="0" fontId="36" fillId="18" borderId="66" xfId="0" applyFont="1" applyFill="1" applyBorder="1" applyAlignment="1">
      <alignment horizontal="center" vertical="center"/>
    </xf>
    <xf numFmtId="0" fontId="36" fillId="18" borderId="67" xfId="0" applyFont="1" applyFill="1" applyBorder="1" applyAlignment="1">
      <alignment horizontal="center" vertical="center"/>
    </xf>
    <xf numFmtId="0" fontId="9" fillId="18" borderId="15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/>
    </xf>
    <xf numFmtId="0" fontId="9" fillId="18" borderId="13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/>
    </xf>
    <xf numFmtId="0" fontId="9" fillId="18" borderId="71" xfId="0" applyFont="1" applyFill="1" applyBorder="1" applyAlignment="1">
      <alignment horizontal="center" vertical="center"/>
    </xf>
    <xf numFmtId="0" fontId="52" fillId="4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31" fillId="0" borderId="76" xfId="0" applyFont="1" applyBorder="1" applyAlignment="1">
      <alignment horizontal="left" vertical="center" wrapText="1"/>
    </xf>
    <xf numFmtId="0" fontId="31" fillId="0" borderId="68" xfId="0" applyFont="1" applyBorder="1" applyAlignment="1">
      <alignment horizontal="left" vertical="center" wrapText="1"/>
    </xf>
    <xf numFmtId="0" fontId="31" fillId="0" borderId="28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1" fillId="0" borderId="76" xfId="0" applyFont="1" applyBorder="1" applyAlignment="1">
      <alignment horizontal="left" vertical="center"/>
    </xf>
    <xf numFmtId="0" fontId="31" fillId="0" borderId="68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76" xfId="0" applyFont="1" applyBorder="1" applyAlignment="1" applyProtection="1">
      <alignment horizontal="left" vertical="center" wrapText="1"/>
      <protection locked="0"/>
    </xf>
    <xf numFmtId="0" fontId="31" fillId="0" borderId="68" xfId="0" applyFont="1" applyBorder="1" applyAlignment="1" applyProtection="1">
      <alignment horizontal="left" vertical="center" wrapText="1"/>
      <protection locked="0"/>
    </xf>
    <xf numFmtId="0" fontId="31" fillId="0" borderId="28" xfId="0" applyFont="1" applyBorder="1" applyAlignment="1" applyProtection="1">
      <alignment horizontal="left" vertical="center" wrapText="1"/>
      <protection locked="0"/>
    </xf>
    <xf numFmtId="0" fontId="29" fillId="0" borderId="76" xfId="0" applyFont="1" applyBorder="1" applyAlignment="1">
      <alignment horizontal="left" vertical="center"/>
    </xf>
    <xf numFmtId="0" fontId="29" fillId="0" borderId="68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78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9" fillId="0" borderId="80" xfId="0" applyFont="1" applyBorder="1" applyAlignment="1">
      <alignment horizontal="left" vertical="center"/>
    </xf>
    <xf numFmtId="0" fontId="31" fillId="0" borderId="77" xfId="0" applyFont="1" applyBorder="1" applyAlignment="1">
      <alignment horizontal="left" vertical="center" wrapText="1"/>
    </xf>
    <xf numFmtId="0" fontId="31" fillId="0" borderId="70" xfId="0" applyFont="1" applyBorder="1" applyAlignment="1">
      <alignment horizontal="left" vertical="center" wrapText="1"/>
    </xf>
    <xf numFmtId="0" fontId="31" fillId="0" borderId="84" xfId="0" applyFont="1" applyBorder="1" applyAlignment="1">
      <alignment horizontal="left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15" borderId="18" xfId="0" applyFont="1" applyFill="1" applyBorder="1" applyAlignment="1" applyProtection="1">
      <alignment horizontal="center" vertical="center" wrapText="1"/>
      <protection locked="0"/>
    </xf>
    <xf numFmtId="0" fontId="12" fillId="15" borderId="66" xfId="0" applyFont="1" applyFill="1" applyBorder="1" applyAlignment="1" applyProtection="1">
      <alignment horizontal="center" vertical="center" wrapText="1"/>
      <protection locked="0"/>
    </xf>
    <xf numFmtId="0" fontId="12" fillId="15" borderId="67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2" xfId="0" applyFont="1" applyBorder="1" applyAlignment="1">
      <alignment horizontal="center"/>
    </xf>
    <xf numFmtId="0" fontId="29" fillId="0" borderId="76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8" fillId="15" borderId="75" xfId="0" applyFont="1" applyFill="1" applyBorder="1" applyAlignment="1">
      <alignment horizontal="center" vertical="center" wrapText="1"/>
    </xf>
    <xf numFmtId="0" fontId="28" fillId="15" borderId="69" xfId="0" applyFont="1" applyFill="1" applyBorder="1" applyAlignment="1">
      <alignment horizontal="center" vertical="center" wrapText="1"/>
    </xf>
    <xf numFmtId="0" fontId="28" fillId="15" borderId="2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4" fillId="6" borderId="85" xfId="0" applyFont="1" applyFill="1" applyBorder="1" applyAlignment="1">
      <alignment horizontal="center"/>
    </xf>
    <xf numFmtId="0" fontId="4" fillId="6" borderId="86" xfId="0" applyFont="1" applyFill="1" applyBorder="1" applyAlignment="1">
      <alignment horizontal="center"/>
    </xf>
    <xf numFmtId="0" fontId="16" fillId="0" borderId="77" xfId="0" applyFont="1" applyBorder="1" applyAlignment="1" applyProtection="1">
      <alignment horizontal="center" vertical="center"/>
      <protection locked="0"/>
    </xf>
    <xf numFmtId="0" fontId="16" fillId="0" borderId="70" xfId="0" applyFont="1" applyBorder="1" applyAlignment="1" applyProtection="1">
      <alignment horizontal="center" vertical="center"/>
      <protection locked="0"/>
    </xf>
    <xf numFmtId="0" fontId="16" fillId="0" borderId="84" xfId="0" applyFont="1" applyBorder="1" applyAlignment="1" applyProtection="1">
      <alignment horizontal="center" vertical="center"/>
      <protection locked="0"/>
    </xf>
    <xf numFmtId="0" fontId="10" fillId="15" borderId="75" xfId="0" applyFont="1" applyFill="1" applyBorder="1" applyAlignment="1">
      <alignment horizontal="center" vertical="center" wrapText="1"/>
    </xf>
    <xf numFmtId="0" fontId="10" fillId="15" borderId="69" xfId="0" applyFont="1" applyFill="1" applyBorder="1" applyAlignment="1">
      <alignment horizontal="center" vertical="center" wrapText="1"/>
    </xf>
    <xf numFmtId="0" fontId="10" fillId="15" borderId="26" xfId="0" applyFont="1" applyFill="1" applyBorder="1" applyAlignment="1">
      <alignment horizontal="center" vertical="center" wrapText="1"/>
    </xf>
    <xf numFmtId="0" fontId="29" fillId="0" borderId="81" xfId="0" applyFont="1" applyBorder="1" applyAlignment="1">
      <alignment horizontal="left" vertical="center"/>
    </xf>
    <xf numFmtId="0" fontId="29" fillId="0" borderId="74" xfId="0" applyFont="1" applyBorder="1" applyAlignment="1">
      <alignment horizontal="left" vertical="center"/>
    </xf>
    <xf numFmtId="0" fontId="29" fillId="0" borderId="82" xfId="0" applyFont="1" applyBorder="1" applyAlignment="1">
      <alignment horizontal="left" vertical="center"/>
    </xf>
    <xf numFmtId="0" fontId="12" fillId="6" borderId="87" xfId="0" applyFont="1" applyFill="1" applyBorder="1" applyAlignment="1" applyProtection="1">
      <alignment horizontal="center" vertical="center" wrapText="1"/>
      <protection locked="0"/>
    </xf>
    <xf numFmtId="0" fontId="12" fillId="6" borderId="43" xfId="0" applyFont="1" applyFill="1" applyBorder="1" applyAlignment="1" applyProtection="1">
      <alignment horizontal="center" vertical="center" wrapText="1"/>
      <protection locked="0"/>
    </xf>
    <xf numFmtId="0" fontId="12" fillId="6" borderId="24" xfId="0" applyFont="1" applyFill="1" applyBorder="1" applyAlignment="1" applyProtection="1">
      <alignment horizontal="center" vertical="center" wrapText="1"/>
      <protection locked="0"/>
    </xf>
    <xf numFmtId="0" fontId="5" fillId="0" borderId="74" xfId="0" applyFont="1" applyBorder="1" applyAlignment="1" applyProtection="1">
      <alignment horizontal="center" vertical="top" wrapText="1"/>
      <protection locked="0"/>
    </xf>
    <xf numFmtId="14" fontId="42" fillId="15" borderId="1" xfId="0" applyNumberFormat="1" applyFont="1" applyFill="1" applyBorder="1" applyAlignment="1">
      <alignment horizontal="right" vertical="center" wrapText="1"/>
    </xf>
    <xf numFmtId="0" fontId="42" fillId="15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10" fillId="15" borderId="19" xfId="0" applyFont="1" applyFill="1" applyBorder="1" applyAlignment="1">
      <alignment horizontal="center" vertical="center" wrapText="1"/>
    </xf>
    <xf numFmtId="0" fontId="10" fillId="15" borderId="20" xfId="0" applyFont="1" applyFill="1" applyBorder="1" applyAlignment="1">
      <alignment horizontal="center" vertical="center" wrapText="1"/>
    </xf>
    <xf numFmtId="0" fontId="10" fillId="15" borderId="2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5" fillId="7" borderId="56" xfId="0" applyFont="1" applyFill="1" applyBorder="1" applyAlignment="1">
      <alignment horizontal="center"/>
    </xf>
    <xf numFmtId="0" fontId="25" fillId="7" borderId="57" xfId="0" applyFont="1" applyFill="1" applyBorder="1" applyAlignment="1">
      <alignment horizontal="center"/>
    </xf>
    <xf numFmtId="0" fontId="25" fillId="7" borderId="58" xfId="0" applyFont="1" applyFill="1" applyBorder="1" applyAlignment="1">
      <alignment horizontal="center"/>
    </xf>
    <xf numFmtId="0" fontId="25" fillId="7" borderId="59" xfId="0" applyFont="1" applyFill="1" applyBorder="1" applyAlignment="1">
      <alignment horizontal="center"/>
    </xf>
    <xf numFmtId="0" fontId="25" fillId="7" borderId="60" xfId="0" applyFont="1" applyFill="1" applyBorder="1" applyAlignment="1">
      <alignment horizontal="center"/>
    </xf>
    <xf numFmtId="0" fontId="25" fillId="7" borderId="38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66" fontId="25" fillId="7" borderId="44" xfId="0" applyNumberFormat="1" applyFont="1" applyFill="1" applyBorder="1" applyAlignment="1">
      <alignment horizontal="center"/>
    </xf>
    <xf numFmtId="166" fontId="25" fillId="7" borderId="45" xfId="0" applyNumberFormat="1" applyFont="1" applyFill="1" applyBorder="1" applyAlignment="1">
      <alignment horizontal="center"/>
    </xf>
    <xf numFmtId="166" fontId="25" fillId="7" borderId="46" xfId="0" applyNumberFormat="1" applyFont="1" applyFill="1" applyBorder="1" applyAlignment="1">
      <alignment horizontal="center"/>
    </xf>
    <xf numFmtId="9" fontId="27" fillId="14" borderId="15" xfId="3" applyFont="1" applyFill="1" applyBorder="1" applyAlignment="1">
      <alignment horizontal="center" vertical="center"/>
    </xf>
    <xf numFmtId="9" fontId="27" fillId="14" borderId="13" xfId="3" applyFont="1" applyFill="1" applyBorder="1" applyAlignment="1">
      <alignment horizontal="center" vertical="center"/>
    </xf>
    <xf numFmtId="9" fontId="27" fillId="14" borderId="4" xfId="3" applyFont="1" applyFill="1" applyBorder="1" applyAlignment="1">
      <alignment horizontal="center" vertical="center"/>
    </xf>
    <xf numFmtId="166" fontId="27" fillId="14" borderId="17" xfId="2" applyNumberFormat="1" applyFont="1" applyFill="1" applyBorder="1" applyAlignment="1">
      <alignment horizontal="center" vertical="center"/>
    </xf>
    <xf numFmtId="166" fontId="27" fillId="14" borderId="43" xfId="2" applyNumberFormat="1" applyFont="1" applyFill="1" applyBorder="1" applyAlignment="1">
      <alignment horizontal="center" vertical="center"/>
    </xf>
    <xf numFmtId="166" fontId="27" fillId="14" borderId="24" xfId="2" applyNumberFormat="1" applyFont="1" applyFill="1" applyBorder="1" applyAlignment="1">
      <alignment horizontal="center" vertical="center"/>
    </xf>
    <xf numFmtId="0" fontId="25" fillId="7" borderId="61" xfId="0" applyFont="1" applyFill="1" applyBorder="1" applyAlignment="1">
      <alignment horizontal="center"/>
    </xf>
    <xf numFmtId="0" fontId="25" fillId="7" borderId="62" xfId="0" applyFont="1" applyFill="1" applyBorder="1" applyAlignment="1">
      <alignment horizontal="center"/>
    </xf>
    <xf numFmtId="0" fontId="25" fillId="7" borderId="63" xfId="0" applyFont="1" applyFill="1" applyBorder="1" applyAlignment="1">
      <alignment horizontal="center"/>
    </xf>
    <xf numFmtId="0" fontId="19" fillId="11" borderId="13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9" fillId="11" borderId="42" xfId="0" applyFont="1" applyFill="1" applyBorder="1" applyAlignment="1">
      <alignment horizontal="center" vertical="center"/>
    </xf>
    <xf numFmtId="166" fontId="16" fillId="25" borderId="1" xfId="2" applyNumberFormat="1" applyFont="1" applyFill="1" applyBorder="1" applyAlignment="1">
      <alignment horizontal="center" vertical="center"/>
    </xf>
  </cellXfs>
  <cellStyles count="5">
    <cellStyle name="Comma" xfId="2" builtinId="3"/>
    <cellStyle name="Hyperlink" xfId="1" xr:uid="{00000000-0005-0000-0000-000001000000}"/>
    <cellStyle name="Normal" xfId="0" builtinId="0"/>
    <cellStyle name="Normal 2" xfId="4" xr:uid="{00000000-0005-0000-0000-000003000000}"/>
    <cellStyle name="Percent" xfId="3" builtinId="5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colors>
    <mruColors>
      <color rgb="FF000000"/>
      <color rgb="FF001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108690</xdr:colOff>
      <xdr:row>0</xdr:row>
      <xdr:rowOff>61257</xdr:rowOff>
    </xdr:from>
    <xdr:to>
      <xdr:col>0</xdr:col>
      <xdr:colOff>1289915</xdr:colOff>
      <xdr:row>1</xdr:row>
      <xdr:rowOff>741735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11249" y="61257"/>
          <a:ext cx="1181225" cy="117353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0</xdr:col>
      <xdr:colOff>25101</xdr:colOff>
      <xdr:row>14</xdr:row>
      <xdr:rowOff>268825</xdr:rowOff>
    </xdr:from>
    <xdr:to>
      <xdr:col>0</xdr:col>
      <xdr:colOff>1348740</xdr:colOff>
      <xdr:row>23</xdr:row>
      <xdr:rowOff>268824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36E365-6C90-95BA-4BF6-834C617CB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1" y="4650325"/>
          <a:ext cx="1323639" cy="2505807"/>
        </a:xfrm>
        <a:prstGeom prst="rect">
          <a:avLst/>
        </a:prstGeom>
      </xdr:spPr>
    </xdr:pic>
    <xdr:clientData/>
  </xdr:twoCellAnchor>
  <xdr:twoCellAnchor editAs="oneCell">
    <xdr:from>
      <xdr:col>0</xdr:col>
      <xdr:colOff>14654</xdr:colOff>
      <xdr:row>3</xdr:row>
      <xdr:rowOff>256879</xdr:rowOff>
    </xdr:from>
    <xdr:to>
      <xdr:col>0</xdr:col>
      <xdr:colOff>1337844</xdr:colOff>
      <xdr:row>12</xdr:row>
      <xdr:rowOff>148879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AED72E-2832-B5F6-2C2A-76488AE30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" y="1854148"/>
          <a:ext cx="1323190" cy="2397808"/>
        </a:xfrm>
        <a:prstGeom prst="rect">
          <a:avLst/>
        </a:prstGeom>
      </xdr:spPr>
    </xdr:pic>
    <xdr:clientData/>
  </xdr:twoCellAnchor>
  <xdr:twoCellAnchor editAs="oneCell">
    <xdr:from>
      <xdr:col>0</xdr:col>
      <xdr:colOff>24315</xdr:colOff>
      <xdr:row>25</xdr:row>
      <xdr:rowOff>100666</xdr:rowOff>
    </xdr:from>
    <xdr:to>
      <xdr:col>0</xdr:col>
      <xdr:colOff>1349712</xdr:colOff>
      <xdr:row>32</xdr:row>
      <xdr:rowOff>197612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5F629C-DFC6-2228-F208-888183EA9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5" y="7544820"/>
          <a:ext cx="1325397" cy="204590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" refreshedDate="46017.464861574073" createdVersion="8" refreshedVersion="8" minRefreshableVersion="3" recordCount="1419" xr:uid="{94AF1F8C-CAA8-4F36-80BC-81AC16503FA1}">
  <cacheSource type="worksheet">
    <worksheetSource ref="A1:H1048576" sheet="F &amp; B"/>
  </cacheSource>
  <cacheFields count="8">
    <cacheField name="S.NO" numFmtId="0">
      <sharedItems containsBlank="1" containsMixedTypes="1" containsNumber="1" containsInteger="1" minValue="1" maxValue="1414"/>
    </cacheField>
    <cacheField name="MEMBERSHIP ID" numFmtId="0">
      <sharedItems containsBlank="1"/>
    </cacheField>
    <cacheField name="NAME" numFmtId="0">
      <sharedItems containsBlank="1"/>
    </cacheField>
    <cacheField name="DATE" numFmtId="0">
      <sharedItems containsNonDate="0" containsDate="1" containsString="0" containsBlank="1" minDate="2025-12-01T00:00:00" maxDate="2025-12-26T00:00:00" count="26">
        <d v="2025-12-01T00:00:00"/>
        <d v="2025-12-02T00:00:00"/>
        <d v="2025-12-04T00:00:00"/>
        <d v="2025-12-03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m/>
      </sharedItems>
    </cacheField>
    <cacheField name="QTY." numFmtId="0">
      <sharedItems containsString="0" containsBlank="1" containsNumber="1" containsInteger="1" minValue="1" maxValue="757"/>
    </cacheField>
    <cacheField name="FOOD ORDER" numFmtId="0">
      <sharedItems containsBlank="1"/>
    </cacheField>
    <cacheField name="AMOUNT" numFmtId="166">
      <sharedItems containsBlank="1" containsMixedTypes="1" containsNumber="1" containsInteger="1" minValue="0" maxValue="5319274"/>
    </cacheField>
    <cacheField name="sst 15%" numFmtId="166">
      <sharedItems containsString="0" containsBlank="1" containsNumber="1" minValue="0" maxValue="784571.10000000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" refreshedDate="46017.464889467592" createdVersion="8" refreshedVersion="8" minRefreshableVersion="3" recordCount="1618" xr:uid="{59E3DDB5-90F7-4D9B-B9F5-96C5771DF726}">
  <cacheSource type="worksheet">
    <worksheetSource ref="A1:U1048576" sheet="FACILITIES"/>
  </cacheSource>
  <cacheFields count="21">
    <cacheField name="S.no" numFmtId="0">
      <sharedItems containsBlank="1" containsMixedTypes="1" containsNumber="1" containsInteger="1" minValue="1" maxValue="344"/>
    </cacheField>
    <cacheField name="Membership number" numFmtId="0">
      <sharedItems containsBlank="1" count="80">
        <s v="HCFM-0684"/>
        <s v="HCFM-0526"/>
        <s v="HCFM-0515"/>
        <s v="HCFM-0597"/>
        <s v="HCFM-0512"/>
        <s v="HCFM-0548"/>
        <s v="HCFM-0609"/>
        <s v="HCFM-0586"/>
        <s v="HCFM-0596"/>
        <s v="HCFM-0664"/>
        <s v="HCFM-0642"/>
        <s v="HCFM-0657"/>
        <s v="HCFM-0534"/>
        <s v="HCFM-0502"/>
        <s v="HCFM-0509"/>
        <s v="HCFM-0543"/>
        <s v="HCFM-0524"/>
        <s v="HCFM-0644"/>
        <s v="HCFM-0648"/>
        <s v="HCFM-0518"/>
        <s v="HCFM-0542"/>
        <s v="HCFM-0654"/>
        <s v="HCFM-0650"/>
        <s v="HCFM-0641"/>
        <s v="HCFM-0510"/>
        <s v="HCFM-0554"/>
        <s v="HCFM-0"/>
        <s v="HCFM-0506"/>
        <s v="HCFM-0682"/>
        <s v="HCFM-0516"/>
        <s v="HCFM-0656"/>
        <s v="HCFM-0508"/>
        <s v="HCFM-0670"/>
        <s v="HCFM-0545"/>
        <s v="HCFM-0683"/>
        <s v="HCFM-0556"/>
        <s v="HCFM-0519"/>
        <s v="HCFM-0521"/>
        <s v="HCFM-0655"/>
        <s v="HCFM-0513"/>
        <s v="HCFM-0638"/>
        <s v="HCFM-0639"/>
        <s v="HCFM-0536"/>
        <s v="HCFM-0659"/>
        <s v="HCFM-0583"/>
        <s v="HCFM-0503"/>
        <s v="HCFM-0668"/>
        <s v="HCFM-0667"/>
        <s v="HCFM-0539"/>
        <s v="HCFM-0680"/>
        <s v="HCFM-0671"/>
        <s v="HCFM-0686"/>
        <s v="HCFM-0674"/>
        <s v="HCFM-0514"/>
        <s v="HCFM-0520"/>
        <s v="HCFM-0593"/>
        <s v="HCFM-0598"/>
        <s v="HCFM-0558"/>
        <s v="HCFM-0530"/>
        <s v="HCFM-0672"/>
        <s v="HCFM-0533"/>
        <s v="HCFM-0504"/>
        <s v="HCFM-0541"/>
        <s v="HCFM-0678"/>
        <s v="HCFM-0679"/>
        <s v="HCFM-0544"/>
        <s v="HCFM-0588"/>
        <s v="HCFM-0546"/>
        <s v="HCFM-0549"/>
        <s v="HCFM-0669"/>
        <s v="HCFM-0540"/>
        <s v="HCFM-0585"/>
        <s v="HCFM-0601"/>
        <s v="HCFM-0651"/>
        <s v="HCFM-0522"/>
        <s v="HCFM-0677"/>
        <s v="HCFM-0529"/>
        <s v="HCFM-0551"/>
        <s v="HCFM-0538"/>
        <m/>
      </sharedItems>
    </cacheField>
    <cacheField name="Name" numFmtId="0">
      <sharedItems containsBlank="1"/>
    </cacheField>
    <cacheField name="Date" numFmtId="0">
      <sharedItems containsNonDate="0" containsDate="1" containsString="0" containsBlank="1" minDate="2025-11-01T00:00:00" maxDate="2025-12-26T00:00:00" count="28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m/>
        <d v="2025-11-01T00:00:00" u="1"/>
        <d v="2025-11-02T00:00:00" u="1"/>
      </sharedItems>
    </cacheField>
    <cacheField name="Bowling Alley" numFmtId="0">
      <sharedItems containsString="0" containsBlank="1" containsNumber="1" containsInteger="1" minValue="0" maxValue="89100"/>
    </cacheField>
    <cacheField name="Gym" numFmtId="0">
      <sharedItems containsString="0" containsBlank="1" containsNumber="1" containsInteger="1" minValue="0" maxValue="34050"/>
    </cacheField>
    <cacheField name="Family Pool" numFmtId="0">
      <sharedItems containsString="0" containsBlank="1" containsNumber="1" containsInteger="1" minValue="0" maxValue="1500"/>
    </cacheField>
    <cacheField name="Squash Court" numFmtId="166">
      <sharedItems containsString="0" containsBlank="1" containsNumber="1" containsInteger="1" minValue="0" maxValue="7500"/>
    </cacheField>
    <cacheField name="Ladies Pool" numFmtId="166">
      <sharedItems containsString="0" containsBlank="1" containsNumber="1" containsInteger="1" minValue="0" maxValue="300"/>
    </cacheField>
    <cacheField name="Amusement Arcade" numFmtId="166">
      <sharedItems containsString="0" containsBlank="1" containsNumber="1" containsInteger="1" minValue="0" maxValue="109100"/>
    </cacheField>
    <cacheField name="Cinema" numFmtId="166">
      <sharedItems containsString="0" containsBlank="1" containsNumber="1" containsInteger="1" minValue="0" maxValue="17000"/>
    </cacheField>
    <cacheField name="Cigar Lounge" numFmtId="166">
      <sharedItems containsString="0" containsBlank="1" containsNumber="1" containsInteger="1" minValue="0" maxValue="0"/>
    </cacheField>
    <cacheField name="Pool Lockers" numFmtId="166">
      <sharedItems containsString="0" containsBlank="1" containsNumber="1" containsInteger="1" minValue="0" maxValue="200"/>
    </cacheField>
    <cacheField name="SPA" numFmtId="166">
      <sharedItems containsString="0" containsBlank="1" containsNumber="1" containsInteger="1" minValue="0" maxValue="3000"/>
    </cacheField>
    <cacheField name="Padel Court" numFmtId="166">
      <sharedItems containsString="0" containsBlank="1" containsNumber="1" containsInteger="1" minValue="0" maxValue="78450"/>
    </cacheField>
    <cacheField name="Ladies Saloon" numFmtId="166">
      <sharedItems containsString="0" containsBlank="1" containsNumber="1" containsInteger="1" minValue="0" maxValue="261400"/>
    </cacheField>
    <cacheField name="HC Chambers" numFmtId="166">
      <sharedItems containsString="0" containsBlank="1" containsNumber="1" containsInteger="1" minValue="0" maxValue="0"/>
    </cacheField>
    <cacheField name="Gym Sub" numFmtId="166">
      <sharedItems containsString="0" containsBlank="1" containsNumber="1" containsInteger="1" minValue="0" maxValue="0"/>
    </cacheField>
    <cacheField name="Vanue Charges" numFmtId="166">
      <sharedItems containsString="0" containsBlank="1" containsNumber="1" containsInteger="1" minValue="0" maxValue="635000"/>
    </cacheField>
    <cacheField name="PARTY CHARGES" numFmtId="166">
      <sharedItems containsString="0" containsBlank="1" containsNumber="1" containsInteger="1" minValue="0" maxValue="508000"/>
    </cacheField>
    <cacheField name="TOTAL" numFmtId="166">
      <sharedItems containsString="0" containsBlank="1" containsNumber="1" containsInteger="1" minValue="0" maxValue="1744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9">
  <r>
    <n v="1"/>
    <s v="HCFM-0684"/>
    <s v="MR. ZAMIR ALI SHAH"/>
    <x v="0"/>
    <n v="8"/>
    <s v="SODA WATER CAN"/>
    <n v="1600"/>
    <n v="240"/>
  </r>
  <r>
    <n v="2"/>
    <s v="HCFM-0684"/>
    <s v="MR. ZAMIR ALI SHAH"/>
    <x v="0"/>
    <n v="4"/>
    <s v="CORKAGE"/>
    <n v="4000"/>
    <n v="600"/>
  </r>
  <r>
    <n v="3"/>
    <s v="HCFM-0684"/>
    <s v="MR. ZAMIR ALI SHAH"/>
    <x v="0"/>
    <n v="1"/>
    <s v="PRAWN TEMPURA"/>
    <n v="2000"/>
    <n v="300"/>
  </r>
  <r>
    <n v="4"/>
    <s v="HCFM-0684"/>
    <s v="MR. ZAMIR ALI SHAH"/>
    <x v="0"/>
    <n v="1"/>
    <s v="CHICKEN ROULADE"/>
    <n v="850"/>
    <n v="127.5"/>
  </r>
  <r>
    <n v="5"/>
    <s v="HCFM-0684"/>
    <s v="MR. ZAMIR ALI SHAH"/>
    <x v="0"/>
    <n v="1"/>
    <s v="HC SPECIAL MUTTON KARAHI"/>
    <n v="1800"/>
    <n v="270"/>
  </r>
  <r>
    <n v="6"/>
    <s v="HCFM-0684"/>
    <s v="MR. ZAMIR ALI SHAH"/>
    <x v="0"/>
    <n v="1"/>
    <s v="DRY BEEF CHILLI"/>
    <n v="999"/>
    <n v="149.85"/>
  </r>
  <r>
    <n v="7"/>
    <s v="HCFM-0684"/>
    <s v="MR. ZAMIR ALI SHAH"/>
    <x v="0"/>
    <n v="1"/>
    <s v="RAITA"/>
    <n v="200"/>
    <n v="30"/>
  </r>
  <r>
    <n v="8"/>
    <s v="HCFM-0684"/>
    <s v="MR. ZAMIR ALI SHAH"/>
    <x v="0"/>
    <n v="1"/>
    <s v="FRESH GARDEN SALAD"/>
    <n v="800"/>
    <n v="120"/>
  </r>
  <r>
    <n v="9"/>
    <s v="HCFM-0684"/>
    <s v="MR. ZAMIR ALI SHAH"/>
    <x v="0"/>
    <n v="1"/>
    <s v="MINERAL WATER LARGE"/>
    <n v="150"/>
    <n v="22.5"/>
  </r>
  <r>
    <n v="10"/>
    <s v="HCFM-0503"/>
    <s v="MR.GHULAM NABI OTHI"/>
    <x v="0"/>
    <n v="1"/>
    <s v="SPECIAL CHICKEN POPCORN"/>
    <n v="500"/>
    <n v="75"/>
  </r>
  <r>
    <n v="11"/>
    <s v="HCFM-0503"/>
    <s v="MR.GHULAM NABI OTHI"/>
    <x v="0"/>
    <n v="1"/>
    <s v="CREAM OF MASHROOM SOUP"/>
    <n v="400"/>
    <n v="60"/>
  </r>
  <r>
    <n v="12"/>
    <s v="HCFM-0503"/>
    <s v="MR.GHULAM NABI OTHI"/>
    <x v="0"/>
    <n v="1"/>
    <s v="RAITA"/>
    <n v="200"/>
    <n v="30"/>
  </r>
  <r>
    <n v="13"/>
    <s v="HCFM-0503"/>
    <s v="MR.GHULAM NABI OTHI"/>
    <x v="0"/>
    <n v="1"/>
    <s v="MINERAL WATER LARGE"/>
    <n v="150"/>
    <n v="22.5"/>
  </r>
  <r>
    <n v="14"/>
    <s v="HCFM-0534"/>
    <s v="MR.PIR MUJEEB JAN SARHANDI"/>
    <x v="0"/>
    <n v="2"/>
    <s v="MIX TEA"/>
    <n v="400"/>
    <n v="60"/>
  </r>
  <r>
    <n v="15"/>
    <s v="HCFM-0525"/>
    <s v="DR.SAJJAD AHMED SOLANGI"/>
    <x v="0"/>
    <n v="4"/>
    <s v="HOT N SOUR SOUP"/>
    <n v="1400"/>
    <n v="210"/>
  </r>
  <r>
    <n v="16"/>
    <s v="HCFM-0525"/>
    <s v="DR.SAJJAD AHMED SOLANGI"/>
    <x v="0"/>
    <n v="1"/>
    <s v="CHINESE CORN SOUP"/>
    <n v="250"/>
    <n v="37.5"/>
  </r>
  <r>
    <n v="17"/>
    <s v="HCFM-0525"/>
    <s v="DR.SAJJAD AHMED SOLANGI"/>
    <x v="0"/>
    <n v="1"/>
    <s v="HC SPECIAL MUTTON KARAHI"/>
    <n v="1800"/>
    <n v="270"/>
  </r>
  <r>
    <n v="18"/>
    <s v="HCFM-0525"/>
    <s v="DR.SAJJAD AHMED SOLANGI"/>
    <x v="0"/>
    <n v="1"/>
    <s v="RAITA"/>
    <n v="200"/>
    <n v="30"/>
  </r>
  <r>
    <n v="19"/>
    <s v="HCFM-0525"/>
    <s v="DR.SAJJAD AHMED SOLANGI"/>
    <x v="0"/>
    <n v="1"/>
    <s v="FRESH GARDEN SALAD"/>
    <n v="800"/>
    <n v="120"/>
  </r>
  <r>
    <n v="20"/>
    <s v="HCFM-0525"/>
    <s v="DR.SAJJAD AHMED SOLANGI"/>
    <x v="0"/>
    <n v="6"/>
    <s v="PLAIN NAAN"/>
    <n v="420"/>
    <n v="63"/>
  </r>
  <r>
    <n v="21"/>
    <s v="HCFM-0525"/>
    <s v="DR.SAJJAD AHMED SOLANGI"/>
    <x v="0"/>
    <n v="1"/>
    <s v="MINERAL WATER LARGE"/>
    <n v="150"/>
    <n v="22.5"/>
  </r>
  <r>
    <n v="22"/>
    <s v="HCFM-0525"/>
    <s v="DR.SAJJAD AHMED SOLANGI"/>
    <x v="0"/>
    <n v="1"/>
    <s v="MIX TEA"/>
    <n v="200"/>
    <n v="30"/>
  </r>
  <r>
    <n v="23"/>
    <s v="HCFM-0525"/>
    <s v="DR.SAJJAD AHMED SOLANGI"/>
    <x v="0"/>
    <n v="1"/>
    <s v="SOFT DRINKS"/>
    <n v="150"/>
    <n v="22.5"/>
  </r>
  <r>
    <n v="24"/>
    <s v="HCFM-0525"/>
    <s v="DR.SAJJAD AHMED SOLANGI"/>
    <x v="0"/>
    <n v="1"/>
    <s v="CHICKEN SHASHLIK RICE"/>
    <n v="800"/>
    <n v="120"/>
  </r>
  <r>
    <n v="25"/>
    <s v="HCFM-0522"/>
    <s v="MR.IQBAL AHMED MALLAH"/>
    <x v="1"/>
    <n v="4"/>
    <s v="BLACK LABEL SINGLE WL"/>
    <n v="4000"/>
    <n v="600"/>
  </r>
  <r>
    <n v="26"/>
    <s v="HCFM-0522"/>
    <s v="MR.IQBAL AHMED MALLAH"/>
    <x v="1"/>
    <n v="1"/>
    <s v="FINGER FISH N CHIPS"/>
    <n v="1250"/>
    <n v="187.5"/>
  </r>
  <r>
    <n v="27"/>
    <s v="HCFM-0522"/>
    <s v="MR.IQBAL AHMED MALLAH"/>
    <x v="1"/>
    <n v="1"/>
    <s v="SHISH TAOUK"/>
    <n v="1200"/>
    <n v="180"/>
  </r>
  <r>
    <n v="28"/>
    <s v="HCFM-0522"/>
    <s v="MR.IQBAL AHMED MALLAH"/>
    <x v="1"/>
    <n v="1"/>
    <s v="RESHMI SEEKH KABAB"/>
    <n v="999"/>
    <n v="149.85"/>
  </r>
  <r>
    <n v="29"/>
    <s v="HCFM-0522"/>
    <s v="MR.IQBAL AHMED MALLAH"/>
    <x v="1"/>
    <n v="1"/>
    <s v="MINERAL WATER LARGE"/>
    <n v="150"/>
    <n v="22.5"/>
  </r>
  <r>
    <n v="30"/>
    <s v="HCFM-0522"/>
    <s v="MR.IQBAL AHMED MALLAH"/>
    <x v="1"/>
    <n v="1"/>
    <s v="MIX TEA"/>
    <n v="200"/>
    <n v="30"/>
  </r>
  <r>
    <n v="31"/>
    <s v="HCFM-0522"/>
    <s v="MR.IQBAL AHMED MALLAH"/>
    <x v="1"/>
    <n v="1"/>
    <s v="SOFT DRINKS"/>
    <n v="150"/>
    <n v="22.5"/>
  </r>
  <r>
    <n v="32"/>
    <s v="HCFM-0522"/>
    <s v="MR.IQBAL AHMED MALLAH"/>
    <x v="1"/>
    <n v="3"/>
    <s v="PLAIN NAAN"/>
    <n v="210"/>
    <n v="31.5"/>
  </r>
  <r>
    <n v="33"/>
    <s v="HCFM-0523"/>
    <s v="MR.KANYO LAL"/>
    <x v="1"/>
    <n v="2"/>
    <s v="MINERAL WATER LARGE"/>
    <n v="300"/>
    <n v="45"/>
  </r>
  <r>
    <n v="34"/>
    <s v="HCFM-0523"/>
    <s v="MR.KANYO LAL"/>
    <x v="1"/>
    <n v="1"/>
    <s v="MUGHLAI HANDI"/>
    <n v="1300"/>
    <n v="195"/>
  </r>
  <r>
    <n v="35"/>
    <s v="HCFM-0523"/>
    <s v="MR.KANYO LAL"/>
    <x v="1"/>
    <n v="1"/>
    <s v="CHICKEN PESHAWARI KARAHI"/>
    <n v="900"/>
    <n v="135"/>
  </r>
  <r>
    <n v="36"/>
    <s v="HCFM-0523"/>
    <s v="MR.KANYO LAL"/>
    <x v="1"/>
    <n v="2"/>
    <s v="CHINESE FRIED RICE"/>
    <n v="800"/>
    <n v="120"/>
  </r>
  <r>
    <n v="37"/>
    <s v="HCFM-0523"/>
    <s v="MR.KANYO LAL"/>
    <x v="1"/>
    <n v="2"/>
    <s v="FRESH GARDEN SALAD"/>
    <n v="1600"/>
    <n v="240"/>
  </r>
  <r>
    <n v="38"/>
    <s v="HCFM-0523"/>
    <s v="MR.KANYO LAL"/>
    <x v="1"/>
    <n v="2"/>
    <s v="GARLIC NAAN"/>
    <n v="260"/>
    <n v="39"/>
  </r>
  <r>
    <n v="39"/>
    <s v="HCFM-0523"/>
    <s v="MR.KANYO LAL"/>
    <x v="1"/>
    <n v="2"/>
    <s v="ROGHNI NAAN"/>
    <n v="300"/>
    <n v="45"/>
  </r>
  <r>
    <n v="40"/>
    <s v="HCFM-0523"/>
    <s v="MR.KANYO LAL"/>
    <x v="1"/>
    <n v="2"/>
    <s v="PLAIN NAAN"/>
    <n v="140"/>
    <n v="21"/>
  </r>
  <r>
    <n v="41"/>
    <s v="HCFM-0523"/>
    <s v="MR.KANYO LAL"/>
    <x v="1"/>
    <n v="2"/>
    <s v="SOFT DRINKS"/>
    <n v="300"/>
    <n v="45"/>
  </r>
  <r>
    <n v="42"/>
    <s v="HCFM-0523"/>
    <s v="MR.KANYO LAL"/>
    <x v="1"/>
    <n v="1"/>
    <s v="GREEN TEA"/>
    <n v="150"/>
    <n v="22.5"/>
  </r>
  <r>
    <n v="43"/>
    <s v="HCFM-0523"/>
    <s v="MR.KANYO LAL"/>
    <x v="1"/>
    <n v="1"/>
    <s v="CREAM CARAMEL"/>
    <n v="350"/>
    <n v="52.5"/>
  </r>
  <r>
    <n v="44"/>
    <s v="HCFM-0523"/>
    <s v="MR.KANYO LAL"/>
    <x v="1"/>
    <n v="1"/>
    <s v="RAITA"/>
    <n v="200"/>
    <n v="30"/>
  </r>
  <r>
    <n v="45"/>
    <s v="HCFM-0684"/>
    <s v="MR. ZAMIR ALI SHAH"/>
    <x v="1"/>
    <n v="1"/>
    <s v="CHINESE SZECHUAN SOUP"/>
    <n v="350"/>
    <n v="52.5"/>
  </r>
  <r>
    <n v="46"/>
    <s v="HCFM-0684"/>
    <s v="MR. ZAMIR ALI SHAH"/>
    <x v="1"/>
    <n v="1"/>
    <s v="MINERAL WATER SMALL"/>
    <n v="100"/>
    <n v="15"/>
  </r>
  <r>
    <n v="47"/>
    <s v="HCFM-0673"/>
    <s v="MR. AKSHAY RAJ"/>
    <x v="1"/>
    <n v="10"/>
    <s v="MINERAL WATER SMALL"/>
    <n v="1000"/>
    <n v="150"/>
  </r>
  <r>
    <n v="48"/>
    <s v="HCFM-0673"/>
    <s v="MR. AKSHAY RAJ"/>
    <x v="1"/>
    <n v="6"/>
    <s v="COFFEE CAPPUCINO"/>
    <n v="2100"/>
    <n v="315"/>
  </r>
  <r>
    <n v="49"/>
    <s v="HCFM-0673"/>
    <s v="MR. AKSHAY RAJ"/>
    <x v="1"/>
    <n v="3"/>
    <s v="GREEN TEA"/>
    <n v="450"/>
    <n v="67.5"/>
  </r>
  <r>
    <n v="50"/>
    <s v="HCFM-0673"/>
    <s v="MR. AKSHAY RAJ"/>
    <x v="1"/>
    <n v="1"/>
    <s v="MIX TEA"/>
    <n v="200"/>
    <n v="30"/>
  </r>
  <r>
    <n v="51"/>
    <s v="HCFM-0673"/>
    <s v="MR. AKSHAY RAJ"/>
    <x v="1"/>
    <n v="2"/>
    <s v="ASSORTED COOKIES"/>
    <n v="800"/>
    <n v="120"/>
  </r>
  <r>
    <n v="52"/>
    <s v="HCFM-0679"/>
    <s v="MR. ANEEL ZAHOOR"/>
    <x v="1"/>
    <n v="2"/>
    <s v="ZINGER BURGER"/>
    <n v="1400"/>
    <n v="210"/>
  </r>
  <r>
    <n v="53"/>
    <s v="HCFM-0596"/>
    <s v="DGM AZFAR ALI"/>
    <x v="1"/>
    <n v="1"/>
    <s v="CHINESE CORN SOUP"/>
    <n v="250"/>
    <n v="37.5"/>
  </r>
  <r>
    <n v="54"/>
    <s v="HCFM-0596"/>
    <s v="DGM AZFAR ALI"/>
    <x v="1"/>
    <n v="1"/>
    <s v="CLUB SANDWICH"/>
    <n v="1250"/>
    <n v="187.5"/>
  </r>
  <r>
    <n v="55"/>
    <s v="HCFM-0596"/>
    <s v="DGM AZFAR ALI"/>
    <x v="1"/>
    <n v="1"/>
    <s v="PLAIN FRIES"/>
    <n v="250"/>
    <n v="37.5"/>
  </r>
  <r>
    <n v="56"/>
    <s v="HCFM-0596"/>
    <s v="DGM AZFAR ALI"/>
    <x v="1"/>
    <n v="2"/>
    <s v="MIX TEA"/>
    <n v="400"/>
    <n v="60"/>
  </r>
  <r>
    <n v="57"/>
    <s v="HCFM-0596"/>
    <s v="DGM AZFAR ALI"/>
    <x v="1"/>
    <n v="3"/>
    <s v="CHICKEN PATTIES"/>
    <n v="300"/>
    <n v="45"/>
  </r>
  <r>
    <n v="58"/>
    <s v="HCFM-0596"/>
    <s v="DGM AZFAR ALI"/>
    <x v="1"/>
    <n v="1"/>
    <s v="MINERAL WATER LARGE"/>
    <n v="150"/>
    <n v="22.5"/>
  </r>
  <r>
    <n v="59"/>
    <s v="HCFM-0646"/>
    <s v="BAHRIA INTERNATIONAL HOSPITAL"/>
    <x v="1"/>
    <n v="8"/>
    <s v="ASSORTED COOKIES"/>
    <n v="3200"/>
    <m/>
  </r>
  <r>
    <n v="60"/>
    <s v="HCFM-0668"/>
    <s v="MR. KASHIF SAEED"/>
    <x v="1"/>
    <n v="1"/>
    <s v="CLUB SANDWICH"/>
    <n v="1250"/>
    <n v="187.5"/>
  </r>
  <r>
    <n v="61"/>
    <s v="HCFM-0646"/>
    <s v="BAHRIA INTERNATIONAL HOSPITAL"/>
    <x v="1"/>
    <n v="25"/>
    <s v="CHICKEN PATTIES"/>
    <n v="2500"/>
    <m/>
  </r>
  <r>
    <n v="62"/>
    <s v="HCFM-0646"/>
    <s v="BAHRIA INTERNATIONAL HOSPITAL"/>
    <x v="1"/>
    <n v="10"/>
    <s v="DOUGHNUTS"/>
    <n v="1500"/>
    <m/>
  </r>
  <r>
    <n v="63"/>
    <s v="HCFM-0646"/>
    <s v="BAHRIA INTERNATIONAL HOSPITAL"/>
    <x v="1"/>
    <n v="9"/>
    <s v="ASSORTED PASTRY"/>
    <n v="2250"/>
    <m/>
  </r>
  <r>
    <n v="64"/>
    <s v="HCFM-0515"/>
    <s v="MR.TARIQUE ZUBAIR"/>
    <x v="1"/>
    <n v="1"/>
    <s v="GRILLED CHICKEN SANDWICH"/>
    <n v="575"/>
    <n v="86.25"/>
  </r>
  <r>
    <n v="65"/>
    <s v="HCFM-0515"/>
    <s v="MR.TARIQUE ZUBAIR"/>
    <x v="1"/>
    <n v="4"/>
    <s v="PLAIN NAAN"/>
    <n v="280"/>
    <n v="42"/>
  </r>
  <r>
    <n v="66"/>
    <s v="HCFM-0641"/>
    <s v="AAMIR RASOOL"/>
    <x v="2"/>
    <n v="1"/>
    <s v="MINERAL WATER LARGE"/>
    <n v="150"/>
    <n v="22.5"/>
  </r>
  <r>
    <n v="67"/>
    <s v="HCFM-0641"/>
    <s v="AAMIR RASOOL"/>
    <x v="2"/>
    <n v="1"/>
    <s v="PINA COLADA"/>
    <n v="450"/>
    <n v="67.5"/>
  </r>
  <r>
    <n v="68"/>
    <s v="HCFM-0559"/>
    <s v="MR.SYED HAMID SHAH"/>
    <x v="2"/>
    <n v="1"/>
    <s v="CHICKEN ROULADE"/>
    <n v="850"/>
    <n v="127.5"/>
  </r>
  <r>
    <n v="69"/>
    <s v="HCFM-0559"/>
    <s v="MR.SYED HAMID SHAH"/>
    <x v="2"/>
    <n v="1"/>
    <s v="MINERAL WATER LARGE"/>
    <n v="150"/>
    <n v="22.5"/>
  </r>
  <r>
    <n v="70"/>
    <s v="HCFM-0559"/>
    <s v="MR.SYED HAMID SHAH"/>
    <x v="2"/>
    <n v="1"/>
    <s v="CHICKEN DYNAMITE"/>
    <n v="850"/>
    <n v="127.5"/>
  </r>
  <r>
    <n v="71"/>
    <s v="HCFM-0559"/>
    <s v="MR.SYED HAMID SHAH"/>
    <x v="2"/>
    <n v="1"/>
    <s v="CLUB SANDWICH"/>
    <n v="1250"/>
    <n v="187.5"/>
  </r>
  <r>
    <n v="72"/>
    <s v="HCFM-0559"/>
    <s v="MR.SYED HAMID SHAH"/>
    <x v="2"/>
    <n v="4"/>
    <s v="MINT LEMONADE"/>
    <n v="1400"/>
    <n v="210"/>
  </r>
  <r>
    <n v="73"/>
    <s v="HCFM-0656"/>
    <s v="ZAIB UR REHMAN"/>
    <x v="2"/>
    <n v="1"/>
    <s v="CHICKEN KARAHI"/>
    <n v="900"/>
    <n v="135"/>
  </r>
  <r>
    <n v="74"/>
    <s v="HCFM-0656"/>
    <s v="ZAIB UR REHMAN"/>
    <x v="2"/>
    <n v="6"/>
    <s v="PLAIN NAAN"/>
    <n v="420"/>
    <n v="63"/>
  </r>
  <r>
    <n v="75"/>
    <s v="HCFM-0656"/>
    <s v="ZAIB UR REHMAN"/>
    <x v="2"/>
    <n v="3"/>
    <s v="MEDITERRANEAN GRILLED FISH"/>
    <n v="3300"/>
    <n v="495"/>
  </r>
  <r>
    <n v="76"/>
    <s v="HCFM-0541"/>
    <s v="MR.SHAN ELAHI SEHGAL"/>
    <x v="2"/>
    <n v="1"/>
    <s v="SEPRATE RICE"/>
    <n v="300"/>
    <n v="45"/>
  </r>
  <r>
    <n v="77"/>
    <s v="HCFM-0541"/>
    <s v="MR.SHAN ELAHI SEHGAL"/>
    <x v="2"/>
    <n v="1"/>
    <s v="CHICKEN PATTIES"/>
    <n v="100"/>
    <n v="15"/>
  </r>
  <r>
    <n v="78"/>
    <s v="HCFM-0541"/>
    <s v="MR.SHAN ELAHI SEHGAL"/>
    <x v="2"/>
    <n v="1"/>
    <s v="MINERAL WATER SMALL"/>
    <n v="100"/>
    <n v="15"/>
  </r>
  <r>
    <n v="79"/>
    <s v="HCFM-0654"/>
    <s v="SYED JIBRAN MUSHTAQ"/>
    <x v="2"/>
    <n v="1"/>
    <s v="HOT N SOUR SOUP"/>
    <n v="350"/>
    <n v="52.5"/>
  </r>
  <r>
    <n v="80"/>
    <s v="HCFM-0654"/>
    <s v="SYED JIBRAN MUSHTAQ"/>
    <x v="2"/>
    <n v="3"/>
    <s v="PANE CAKE"/>
    <n v="1350"/>
    <n v="202.5"/>
  </r>
  <r>
    <n v="81"/>
    <s v="HCFM-0654"/>
    <s v="SYED JIBRAN MUSHTAQ"/>
    <x v="2"/>
    <n v="1"/>
    <s v="CLUB SANDWICH"/>
    <n v="1250"/>
    <n v="187.5"/>
  </r>
  <r>
    <n v="82"/>
    <s v="HCFM-0654"/>
    <s v="SYED JIBRAN MUSHTAQ"/>
    <x v="2"/>
    <n v="2"/>
    <s v="MINT LEMONADE"/>
    <n v="700"/>
    <n v="105"/>
  </r>
  <r>
    <n v="83"/>
    <s v="HCFM-0654"/>
    <s v="SYED JIBRAN MUSHTAQ"/>
    <x v="2"/>
    <n v="1"/>
    <s v="PANEER RESHMI HANDI"/>
    <n v="1000"/>
    <n v="150"/>
  </r>
  <r>
    <n v="84"/>
    <s v="HCFM-0654"/>
    <s v="SYED JIBRAN MUSHTAQ"/>
    <x v="2"/>
    <n v="3"/>
    <s v="PLAIN NAAN"/>
    <n v="210"/>
    <n v="31.5"/>
  </r>
  <r>
    <n v="85"/>
    <s v="HCFM-0654"/>
    <s v="SYED JIBRAN MUSHTAQ"/>
    <x v="2"/>
    <n v="1"/>
    <s v="THAI SESAME CHICKEN"/>
    <n v="1200"/>
    <n v="180"/>
  </r>
  <r>
    <n v="86"/>
    <s v="HCFM-0654"/>
    <s v="SYED JIBRAN MUSHTAQ"/>
    <x v="2"/>
    <n v="2"/>
    <s v="MINERAL WATER LARGE"/>
    <n v="300"/>
    <n v="45"/>
  </r>
  <r>
    <n v="87"/>
    <s v="HCFM-0654"/>
    <s v="SYED JIBRAN MUSHTAQ"/>
    <x v="2"/>
    <n v="1"/>
    <s v="PLAIN FRIES"/>
    <n v="250"/>
    <n v="37.5"/>
  </r>
  <r>
    <n v="88"/>
    <s v="HCFM-0654"/>
    <s v="SYED JIBRAN MUSHTAQ"/>
    <x v="2"/>
    <n v="1"/>
    <s v="VEGETABLE FRIED RICE"/>
    <n v="300"/>
    <n v="45"/>
  </r>
  <r>
    <n v="89"/>
    <s v="HCFM-0654"/>
    <s v="SYED JIBRAN MUSHTAQ"/>
    <x v="2"/>
    <n v="4"/>
    <s v="MINERAL WATER SMALL"/>
    <n v="400"/>
    <n v="60"/>
  </r>
  <r>
    <n v="90"/>
    <s v="HCFM-0543"/>
    <s v="MR.MUHAMMAD ATIF USMANI"/>
    <x v="3"/>
    <n v="2"/>
    <s v="HOT N SOUR SOUP"/>
    <n v="700"/>
    <n v="105"/>
  </r>
  <r>
    <n v="91"/>
    <s v="HCFM-0659"/>
    <s v="Heritage club"/>
    <x v="3"/>
    <n v="4"/>
    <s v="COFFEE CAPPUCINO"/>
    <n v="1400"/>
    <n v="210"/>
  </r>
  <r>
    <n v="92"/>
    <s v="HCFM-0659"/>
    <s v="Heritage club"/>
    <x v="3"/>
    <n v="2"/>
    <s v="CLUB SANDWICH"/>
    <n v="2500"/>
    <n v="375"/>
  </r>
  <r>
    <n v="93"/>
    <s v="HCFM-0659"/>
    <s v="Heritage club"/>
    <x v="3"/>
    <n v="1"/>
    <s v="MIX TEA"/>
    <n v="200"/>
    <n v="30"/>
  </r>
  <r>
    <n v="94"/>
    <s v="HCFM-0644"/>
    <s v="SABA AHSAN"/>
    <x v="3"/>
    <n v="1"/>
    <s v="CLUB SANDWICH"/>
    <n v="1250"/>
    <n v="187.5"/>
  </r>
  <r>
    <n v="95"/>
    <s v="HCFM-0644"/>
    <s v="SABA AHSAN"/>
    <x v="3"/>
    <n v="1"/>
    <s v="MINERAL WATER SMALL"/>
    <n v="100"/>
    <n v="15"/>
  </r>
  <r>
    <n v="96"/>
    <s v="HCFM-0677"/>
    <s v="MR. MUNAWAR HUSSAIN"/>
    <x v="3"/>
    <n v="1"/>
    <s v="COFFEE CAPPUCINO"/>
    <n v="350"/>
    <n v="52.5"/>
  </r>
  <r>
    <n v="97"/>
    <s v="HCFM-0677"/>
    <s v="MR. MUNAWAR HUSSAIN"/>
    <x v="3"/>
    <n v="1"/>
    <s v="CHIP COOKIES"/>
    <n v="200"/>
    <n v="30"/>
  </r>
  <r>
    <n v="98"/>
    <s v="HCFM-0638"/>
    <s v="RIAZ FAZAL"/>
    <x v="3"/>
    <n v="1"/>
    <s v="CLUB SANDWICH"/>
    <n v="1250"/>
    <n v="187.5"/>
  </r>
  <r>
    <n v="99"/>
    <s v="HCFM-0581"/>
    <s v="BRIG DR. GHULAM MEHDI (Retd)"/>
    <x v="3"/>
    <n v="1"/>
    <s v="ASSORTED COOKIES"/>
    <n v="400"/>
    <n v="60"/>
  </r>
  <r>
    <n v="100"/>
    <s v="HCFM-0646"/>
    <s v="BAHRIA INTERNATIONAL HOSPITAL"/>
    <x v="3"/>
    <n v="30"/>
    <s v="CHICKEN PATTIES"/>
    <n v="3000"/>
    <m/>
  </r>
  <r>
    <n v="101"/>
    <s v="HCFM-0646"/>
    <s v="BAHRIA INTERNATIONAL HOSPITAL"/>
    <x v="3"/>
    <n v="16"/>
    <s v="ASSORTED PASTRY"/>
    <n v="4000"/>
    <m/>
  </r>
  <r>
    <n v="102"/>
    <s v="HCFM-0646"/>
    <s v="BAHRIA INTERNATIONAL HOSPITAL"/>
    <x v="3"/>
    <n v="10"/>
    <s v="DOUGHNUTS"/>
    <n v="1500"/>
    <m/>
  </r>
  <r>
    <n v="103"/>
    <s v="HCFM-0641"/>
    <s v="AAMIR RASOOL"/>
    <x v="3"/>
    <n v="5"/>
    <s v="HOT N SOUR SOUP"/>
    <n v="1750"/>
    <n v="262.5"/>
  </r>
  <r>
    <n v="104"/>
    <s v="HCFM-0641"/>
    <s v="AAMIR RASOOL"/>
    <x v="3"/>
    <n v="2"/>
    <s v="MINERAL WATER LARGE"/>
    <n v="300"/>
    <n v="45"/>
  </r>
  <r>
    <n v="105"/>
    <s v="HCFM-0661"/>
    <s v="ARSLAN KHAN ABRO "/>
    <x v="3"/>
    <n v="1"/>
    <s v="CLUB SANDWICH"/>
    <n v="1250"/>
    <n v="187.5"/>
  </r>
  <r>
    <n v="106"/>
    <s v="HCFM-0661"/>
    <s v="ARSLAN KHAN ABRO "/>
    <x v="3"/>
    <n v="4"/>
    <s v="MIX TEA"/>
    <n v="800"/>
    <n v="120"/>
  </r>
  <r>
    <n v="107"/>
    <s v="HCFM-0661"/>
    <s v="ARSLAN KHAN ABRO "/>
    <x v="3"/>
    <n v="2"/>
    <s v="MINERAL WATER LARGE"/>
    <n v="300"/>
    <n v="45"/>
  </r>
  <r>
    <n v="108"/>
    <s v="HCFM-0661"/>
    <s v="ARSLAN KHAN ABRO "/>
    <x v="3"/>
    <n v="1"/>
    <s v="HC SPECIAL CHICKEN POPCORN"/>
    <n v="500"/>
    <n v="75"/>
  </r>
  <r>
    <n v="109"/>
    <s v="HCFM-0661"/>
    <s v="ARSLAN KHAN ABRO "/>
    <x v="3"/>
    <n v="2"/>
    <s v="PLAIN COOKIES"/>
    <n v="800"/>
    <n v="120"/>
  </r>
  <r>
    <n v="110"/>
    <s v="HCFM-0650"/>
    <s v="KHURRAM FIRDOUS"/>
    <x v="4"/>
    <n v="4"/>
    <s v="MINERAL WATER SMALL"/>
    <n v="400"/>
    <n v="60"/>
  </r>
  <r>
    <n v="111"/>
    <s v="HCFM-0650"/>
    <s v="KHURRAM FIRDOUS"/>
    <x v="4"/>
    <n v="1"/>
    <s v="MINERAL WATER LARGE"/>
    <n v="150"/>
    <n v="22.5"/>
  </r>
  <r>
    <n v="112"/>
    <s v="HCFM-0650"/>
    <s v="KHURRAM FIRDOUS"/>
    <x v="4"/>
    <n v="3"/>
    <s v="HOT N SOUR SOUP"/>
    <n v="1050"/>
    <n v="157.5"/>
  </r>
  <r>
    <n v="113"/>
    <s v="HCFM-0650"/>
    <s v="KHURRAM FIRDOUS"/>
    <x v="4"/>
    <n v="1"/>
    <s v="MADRASI HANDI"/>
    <n v="900"/>
    <n v="135"/>
  </r>
  <r>
    <n v="114"/>
    <s v="HCFM-0650"/>
    <s v="KHURRAM FIRDOUS"/>
    <x v="4"/>
    <n v="2"/>
    <s v="SHISH TAOUK"/>
    <n v="2400"/>
    <n v="360"/>
  </r>
  <r>
    <n v="115"/>
    <s v="HCFM-0650"/>
    <s v="KHURRAM FIRDOUS"/>
    <x v="4"/>
    <n v="3"/>
    <s v="GARLIC NAAN"/>
    <n v="390"/>
    <n v="58.5"/>
  </r>
  <r>
    <n v="116"/>
    <s v="HCFM-0650"/>
    <s v="KHURRAM FIRDOUS"/>
    <x v="4"/>
    <n v="3"/>
    <s v="PLAIN NAAN"/>
    <n v="210"/>
    <n v="31.5"/>
  </r>
  <r>
    <n v="117"/>
    <s v="HCFM-0650"/>
    <s v="KHURRAM FIRDOUS"/>
    <x v="4"/>
    <n v="1"/>
    <s v="CHICKEN CHOWMEIN"/>
    <n v="950"/>
    <n v="142.5"/>
  </r>
  <r>
    <n v="118"/>
    <s v="HCFM-0649"/>
    <s v="IFTIKHAR SHAH"/>
    <x v="4"/>
    <n v="2"/>
    <s v="HC SPECIAL MUTTON KARAHI"/>
    <n v="3600"/>
    <n v="540"/>
  </r>
  <r>
    <n v="119"/>
    <s v="HCFM-0649"/>
    <s v="IFTIKHAR SHAH"/>
    <x v="4"/>
    <n v="1"/>
    <s v="MIX VEGETABLES"/>
    <n v="400"/>
    <n v="60"/>
  </r>
  <r>
    <n v="120"/>
    <s v="HCFM-0649"/>
    <s v="IFTIKHAR SHAH"/>
    <x v="4"/>
    <n v="1"/>
    <s v="RAITA"/>
    <n v="200"/>
    <n v="30"/>
  </r>
  <r>
    <n v="121"/>
    <s v="HCFM-0649"/>
    <s v="IFTIKHAR SHAH"/>
    <x v="4"/>
    <n v="1"/>
    <s v="KACHUMBER SALAD"/>
    <n v="500"/>
    <n v="75"/>
  </r>
  <r>
    <n v="122"/>
    <s v="HCFM-0649"/>
    <s v="IFTIKHAR SHAH"/>
    <x v="4"/>
    <n v="1"/>
    <s v="MINERAL WATER LARGE"/>
    <n v="150"/>
    <n v="22.5"/>
  </r>
  <r>
    <n v="123"/>
    <s v="HCFM-0649"/>
    <s v="IFTIKHAR SHAH"/>
    <x v="4"/>
    <n v="2"/>
    <s v="PLAIN NAAN"/>
    <n v="140"/>
    <n v="21"/>
  </r>
  <r>
    <n v="124"/>
    <s v="HCFM-0649"/>
    <s v="IFTIKHAR SHAH"/>
    <x v="4"/>
    <n v="2"/>
    <s v="ROGHNI NAAN"/>
    <n v="300"/>
    <n v="45"/>
  </r>
  <r>
    <n v="125"/>
    <s v="HCFM-0649"/>
    <s v="IFTIKHAR SHAH"/>
    <x v="4"/>
    <n v="2"/>
    <s v="GARLIC NAAN"/>
    <n v="260"/>
    <n v="39"/>
  </r>
  <r>
    <n v="126"/>
    <s v="HCFM-0649"/>
    <s v="IFTIKHAR SHAH"/>
    <x v="4"/>
    <n v="3"/>
    <s v="FRESH LEM"/>
    <n v="600"/>
    <n v="90"/>
  </r>
  <r>
    <n v="127"/>
    <s v="HCFM-0649"/>
    <s v="IFTIKHAR SHAH"/>
    <x v="4"/>
    <n v="3"/>
    <s v="MIX TEA"/>
    <n v="600"/>
    <n v="90"/>
  </r>
  <r>
    <n v="128"/>
    <s v="HCFM-0541"/>
    <s v="MR.SHAN ELAHI SEHGAL"/>
    <x v="4"/>
    <n v="1"/>
    <s v="MINERAL WATER SMALL"/>
    <n v="100"/>
    <n v="15"/>
  </r>
  <r>
    <n v="129"/>
    <s v="HCFM-0541"/>
    <s v="MR.SHAN ELAHI SEHGAL"/>
    <x v="4"/>
    <n v="1"/>
    <s v="MIX VEGETABLES"/>
    <n v="400"/>
    <n v="60"/>
  </r>
  <r>
    <n v="130"/>
    <s v="HCFM-0541"/>
    <s v="MR.SHAN ELAHI SEHGAL"/>
    <x v="4"/>
    <n v="2"/>
    <s v="PLAIN NAAN"/>
    <n v="140"/>
    <n v="21"/>
  </r>
  <r>
    <n v="131"/>
    <s v="HCFM-0541"/>
    <s v="MR.SHAN ELAHI SEHGAL"/>
    <x v="4"/>
    <n v="1"/>
    <s v="MIX TEA"/>
    <n v="200"/>
    <n v="30"/>
  </r>
  <r>
    <n v="132"/>
    <s v="HCFM-0679"/>
    <s v="MR. ANEEL ZAHOOR"/>
    <x v="4"/>
    <n v="1"/>
    <s v="PLAIN COOKIES"/>
    <n v="400"/>
    <n v="60"/>
  </r>
  <r>
    <n v="133"/>
    <s v="HCFM-0679"/>
    <s v="MR. ANEEL ZAHOOR"/>
    <x v="4"/>
    <n v="2"/>
    <s v="MINERAL WATER SMALL"/>
    <n v="200"/>
    <n v="30"/>
  </r>
  <r>
    <n v="134"/>
    <s v="HCFM-0679"/>
    <s v="MR. ANEEL ZAHOOR"/>
    <x v="4"/>
    <n v="2"/>
    <s v="ZINGER BURGER"/>
    <n v="1400"/>
    <n v="210"/>
  </r>
  <r>
    <n v="135"/>
    <s v="HCFM-0679"/>
    <s v="MR. ANEEL ZAHOOR"/>
    <x v="4"/>
    <n v="2"/>
    <s v="MIX TEA"/>
    <n v="400"/>
    <n v="60"/>
  </r>
  <r>
    <n v="136"/>
    <s v="HCFM-0648"/>
    <s v="AYSM MIRZA"/>
    <x v="4"/>
    <n v="3"/>
    <s v="SOFT DRINKS"/>
    <n v="450"/>
    <n v="67.5"/>
  </r>
  <r>
    <n v="137"/>
    <s v="HCFM-0648"/>
    <s v="AYSM MIRZA"/>
    <x v="4"/>
    <n v="2"/>
    <s v="ZINGER BURGER"/>
    <n v="1400"/>
    <n v="210"/>
  </r>
  <r>
    <n v="138"/>
    <s v="HCFM-0648"/>
    <s v="AYSM MIRZA"/>
    <x v="4"/>
    <n v="1"/>
    <s v="CHICKEN CHEESE BURGER"/>
    <n v="750"/>
    <n v="112.5"/>
  </r>
  <r>
    <n v="139"/>
    <s v="HCFM-0586"/>
    <s v="MR.SYED MURTAZA ALI"/>
    <x v="4"/>
    <n v="1"/>
    <s v="PASTA"/>
    <n v="1200"/>
    <n v="180"/>
  </r>
  <r>
    <n v="140"/>
    <s v="HCFM-0586"/>
    <s v="MR.SYED MURTAZA ALI"/>
    <x v="4"/>
    <n v="1"/>
    <s v="SOFT DRINKS"/>
    <n v="150"/>
    <n v="22.5"/>
  </r>
  <r>
    <n v="141"/>
    <s v="HCFM-0641"/>
    <s v="AAMIR RASOOL"/>
    <x v="4"/>
    <n v="3"/>
    <s v="CHICKEN BURGER"/>
    <n v="1650"/>
    <n v="247.5"/>
  </r>
  <r>
    <n v="142"/>
    <s v="HCFM-0641"/>
    <s v="AAMIR RASOOL"/>
    <x v="4"/>
    <n v="2"/>
    <s v="HC SPECIAL CHICKEN POPCORN"/>
    <n v="1000"/>
    <n v="150"/>
  </r>
  <r>
    <n v="143"/>
    <s v="HCFM-0641"/>
    <s v="AAMIR RASOOL"/>
    <x v="4"/>
    <n v="1"/>
    <s v="FETTUCINE ALFREDO"/>
    <n v="900"/>
    <n v="135"/>
  </r>
  <r>
    <n v="144"/>
    <s v="HCFM-0641"/>
    <s v="AAMIR RASOOL"/>
    <x v="4"/>
    <n v="2"/>
    <s v="MINERAL WATER SMALL"/>
    <n v="200"/>
    <n v="30"/>
  </r>
  <r>
    <n v="145"/>
    <s v="HCFM-0641"/>
    <s v="AAMIR RASOOL"/>
    <x v="4"/>
    <n v="1"/>
    <s v="MINERAL WATER LARGE"/>
    <n v="150"/>
    <n v="22.5"/>
  </r>
  <r>
    <n v="146"/>
    <s v="HCFM-0641"/>
    <s v="AAMIR RASOOL"/>
    <x v="4"/>
    <n v="4"/>
    <s v="SOFT DRINKS"/>
    <n v="600"/>
    <n v="90"/>
  </r>
  <r>
    <n v="147"/>
    <s v="HCFM-0510"/>
    <s v="MR.MUHAMMAD RIZWAN"/>
    <x v="4"/>
    <n v="2"/>
    <s v="MIX TEA"/>
    <n v="400"/>
    <n v="60"/>
  </r>
  <r>
    <n v="148"/>
    <s v="HCFM-0510"/>
    <s v="MR.MUHAMMAD RIZWAN"/>
    <x v="4"/>
    <n v="1"/>
    <s v="MINERAL WATER SMALL"/>
    <n v="100"/>
    <n v="15"/>
  </r>
  <r>
    <n v="149"/>
    <s v="HCFM-0646"/>
    <s v="BAHRIA INTERNATIONAL HOSPITAL"/>
    <x v="4"/>
    <n v="8"/>
    <s v="PLAIN COOKIES"/>
    <n v="3200"/>
    <m/>
  </r>
  <r>
    <n v="150"/>
    <s v="HCFM-0646"/>
    <s v="BAHRIA INTERNATIONAL HOSPITAL"/>
    <x v="4"/>
    <n v="30"/>
    <s v="CHICKEN PATTIES"/>
    <n v="3000"/>
    <m/>
  </r>
  <r>
    <n v="151"/>
    <s v="HCFM-0646"/>
    <s v="BAHRIA INTERNATIONAL HOSPITAL"/>
    <x v="4"/>
    <n v="15"/>
    <s v="ASSORTED PASTRY"/>
    <n v="3750"/>
    <m/>
  </r>
  <r>
    <n v="152"/>
    <s v="HCFM-0646"/>
    <s v="BAHRIA INTERNATIONAL HOSPITAL"/>
    <x v="4"/>
    <n v="6"/>
    <s v="DOUGHNUTS"/>
    <n v="900"/>
    <m/>
  </r>
  <r>
    <n v="153"/>
    <s v="HCFM-0581"/>
    <s v="BRIG DR. GHULAM MEHDI (Retd)"/>
    <x v="5"/>
    <n v="2"/>
    <s v="POMFRAT"/>
    <n v="2000"/>
    <n v="300"/>
  </r>
  <r>
    <n v="154"/>
    <s v="HCFM-0581"/>
    <s v="BRIG DR. GHULAM MEHDI (Retd)"/>
    <x v="5"/>
    <n v="2"/>
    <s v="JAMBO PRAWN"/>
    <n v="3600"/>
    <n v="540"/>
  </r>
  <r>
    <n v="155"/>
    <s v="HCFM-0581"/>
    <s v="BRIG DR. GHULAM MEHDI (Retd)"/>
    <x v="5"/>
    <n v="1"/>
    <s v="VENSION"/>
    <n v="1800"/>
    <n v="270"/>
  </r>
  <r>
    <n v="156"/>
    <s v="HCFM-0581"/>
    <s v="BRIG DR. GHULAM MEHDI (Retd)"/>
    <x v="5"/>
    <n v="1"/>
    <s v="PEANUT AND NIMCO"/>
    <n v="300"/>
    <n v="45"/>
  </r>
  <r>
    <n v="157"/>
    <s v="HCFM-0581"/>
    <s v="BRIG DR. GHULAM MEHDI (Retd)"/>
    <x v="5"/>
    <n v="2"/>
    <s v="MINERAL WATER SMALL"/>
    <n v="200"/>
    <n v="30"/>
  </r>
  <r>
    <n v="158"/>
    <s v="HCFM-0657"/>
    <s v="NASIR ABBAS"/>
    <x v="5"/>
    <n v="3"/>
    <s v="DASI QUIL BBQ"/>
    <n v="3300"/>
    <n v="495"/>
  </r>
  <r>
    <n v="159"/>
    <s v="HCFM-0657"/>
    <s v="NASIR ABBAS"/>
    <x v="5"/>
    <n v="3"/>
    <s v="PARTRIGE"/>
    <n v="4200"/>
    <n v="630"/>
  </r>
  <r>
    <n v="160"/>
    <s v="HCFM-0657"/>
    <s v="NASIR ABBAS"/>
    <x v="5"/>
    <n v="3"/>
    <s v="JAMBO PRAWN"/>
    <n v="5400"/>
    <n v="810"/>
  </r>
  <r>
    <n v="161"/>
    <s v="HCFM-0657"/>
    <s v="NASIR ABBAS"/>
    <x v="5"/>
    <n v="2"/>
    <s v="POMFRAT"/>
    <n v="2000"/>
    <n v="300"/>
  </r>
  <r>
    <n v="162"/>
    <s v="HCFM-0657"/>
    <s v="NASIR ABBAS"/>
    <x v="5"/>
    <n v="3"/>
    <s v="VENSION"/>
    <n v="5400"/>
    <n v="810"/>
  </r>
  <r>
    <n v="163"/>
    <s v="HCFM-0657"/>
    <s v="NASIR ABBAS"/>
    <x v="5"/>
    <n v="1"/>
    <s v="MINERAL WATER LARGE"/>
    <n v="150"/>
    <n v="22.5"/>
  </r>
  <r>
    <n v="164"/>
    <s v="HCFM-0657"/>
    <s v="NASIR ABBAS"/>
    <x v="5"/>
    <n v="3"/>
    <s v="GAJAR HALWA"/>
    <n v="1350"/>
    <n v="202.5"/>
  </r>
  <r>
    <n v="165"/>
    <s v="HCFM-0654"/>
    <s v="SYED JIBRAN MUSHTAQ"/>
    <x v="5"/>
    <n v="2"/>
    <s v="MINERAL WATER SMALL"/>
    <n v="200"/>
    <n v="30"/>
  </r>
  <r>
    <n v="166"/>
    <s v="HCFM-0654"/>
    <s v="SYED JIBRAN MUSHTAQ"/>
    <x v="5"/>
    <n v="2"/>
    <s v="VENSION"/>
    <n v="3600"/>
    <n v="540"/>
  </r>
  <r>
    <n v="167"/>
    <s v="HCFM-0654"/>
    <s v="SYED JIBRAN MUSHTAQ"/>
    <x v="5"/>
    <n v="2"/>
    <s v="DASI QUIL BBQ"/>
    <n v="2200"/>
    <n v="330"/>
  </r>
  <r>
    <n v="168"/>
    <s v="HCFM-0654"/>
    <s v="SYED JIBRAN MUSHTAQ"/>
    <x v="5"/>
    <n v="1"/>
    <s v="PLAIN FRIES"/>
    <n v="250"/>
    <n v="37.5"/>
  </r>
  <r>
    <n v="169"/>
    <s v="HCFM-0654"/>
    <s v="SYED JIBRAN MUSHTAQ"/>
    <x v="5"/>
    <n v="2"/>
    <s v="GAJAR HALWA"/>
    <n v="900"/>
    <n v="135"/>
  </r>
  <r>
    <n v="170"/>
    <s v="HCFM-0543"/>
    <s v="MR.MUHAMMAD ATIF USMANI"/>
    <x v="5"/>
    <n v="1"/>
    <s v="VENSION"/>
    <n v="1800"/>
    <n v="270"/>
  </r>
  <r>
    <n v="171"/>
    <s v="HCFM-0543"/>
    <s v="MR.MUHAMMAD ATIF USMANI"/>
    <x v="5"/>
    <n v="1"/>
    <s v="DASI QUIL BBQ"/>
    <n v="1100"/>
    <n v="165"/>
  </r>
  <r>
    <n v="172"/>
    <s v="HCFM-0553"/>
    <s v="MR.FAISAL MERCHANT"/>
    <x v="5"/>
    <n v="4"/>
    <s v="VENSION"/>
    <n v="7200"/>
    <n v="1080"/>
  </r>
  <r>
    <n v="173"/>
    <s v="HCFM-0553"/>
    <s v="MR.FAISAL MERCHANT"/>
    <x v="5"/>
    <n v="2"/>
    <s v="POMFRAT"/>
    <n v="2000"/>
    <n v="300"/>
  </r>
  <r>
    <n v="174"/>
    <s v="HCFM-0553"/>
    <s v="MR.FAISAL MERCHANT"/>
    <x v="5"/>
    <n v="2"/>
    <s v="JAMBO PRAWN"/>
    <n v="3600"/>
    <n v="540"/>
  </r>
  <r>
    <n v="175"/>
    <s v="HCFM-0553"/>
    <s v="MR.FAISAL MERCHANT"/>
    <x v="5"/>
    <n v="1"/>
    <s v="DASI DUCK"/>
    <n v="2000"/>
    <n v="300"/>
  </r>
  <r>
    <n v="176"/>
    <s v="HCFM-0553"/>
    <s v="MR.FAISAL MERCHANT"/>
    <x v="5"/>
    <n v="4"/>
    <s v="DASI QUIL BBQ"/>
    <n v="4400"/>
    <n v="660"/>
  </r>
  <r>
    <n v="177"/>
    <s v="HCFM-0553"/>
    <s v="MR.FAISAL MERCHANT"/>
    <x v="5"/>
    <n v="5"/>
    <s v="MINERAL WATER SMALL"/>
    <n v="500"/>
    <n v="75"/>
  </r>
  <r>
    <n v="178"/>
    <s v="HCFM-0553"/>
    <s v="MR.FAISAL MERCHANT"/>
    <x v="5"/>
    <n v="3"/>
    <s v="GAJAR HALWA"/>
    <n v="1350"/>
    <n v="202.5"/>
  </r>
  <r>
    <n v="179"/>
    <s v="HCFM-0503"/>
    <s v="MR.GHULAM NABI OTHI"/>
    <x v="5"/>
    <n v="1"/>
    <s v="MINERAL WATER LARGE"/>
    <n v="150"/>
    <n v="22.5"/>
  </r>
  <r>
    <n v="180"/>
    <s v="HCFM-0503"/>
    <s v="MR.GHULAM NABI OTHI"/>
    <x v="5"/>
    <n v="1"/>
    <s v="BEEF BOTI"/>
    <n v="1200"/>
    <n v="180"/>
  </r>
  <r>
    <n v="181"/>
    <s v="HCFM-0503"/>
    <s v="MR.GHULAM NABI OTHI"/>
    <x v="5"/>
    <n v="1"/>
    <s v="PLAIN NAAN"/>
    <n v="70"/>
    <n v="10.5"/>
  </r>
  <r>
    <n v="182"/>
    <s v="HCFM-0515"/>
    <s v="MR.TARIQUE ZUBAIR"/>
    <x v="5"/>
    <n v="1"/>
    <s v="DASI DUCK"/>
    <n v="2000"/>
    <n v="300"/>
  </r>
  <r>
    <n v="183"/>
    <s v="HCFM-0515"/>
    <s v="MR.TARIQUE ZUBAIR"/>
    <x v="5"/>
    <n v="2"/>
    <s v="PARTRIGE"/>
    <n v="2800"/>
    <n v="420"/>
  </r>
  <r>
    <n v="184"/>
    <s v="HCFM-0515"/>
    <s v="MR.TARIQUE ZUBAIR"/>
    <x v="5"/>
    <n v="2"/>
    <s v="CHICKEN BOTI"/>
    <n v="1600"/>
    <n v="240"/>
  </r>
  <r>
    <n v="185"/>
    <s v="HCFM-0515"/>
    <s v="MR.TARIQUE ZUBAIR"/>
    <x v="5"/>
    <n v="2"/>
    <s v="POMFRAT"/>
    <n v="2000"/>
    <n v="300"/>
  </r>
  <r>
    <n v="186"/>
    <s v="HCFM-0515"/>
    <s v="MR.TARIQUE ZUBAIR"/>
    <x v="5"/>
    <n v="2"/>
    <s v="VENSION"/>
    <n v="3600"/>
    <n v="540"/>
  </r>
  <r>
    <n v="187"/>
    <s v="HCFM-0515"/>
    <s v="MR.TARIQUE ZUBAIR"/>
    <x v="5"/>
    <n v="4"/>
    <s v="PLAIN NAAN"/>
    <n v="280"/>
    <n v="42"/>
  </r>
  <r>
    <n v="188"/>
    <s v="HCFM-0515"/>
    <s v="MR.TARIQUE ZUBAIR"/>
    <x v="5"/>
    <n v="6"/>
    <s v="SOFT DRINKS"/>
    <n v="900"/>
    <n v="135"/>
  </r>
  <r>
    <n v="189"/>
    <s v="HCFM-0515"/>
    <s v="MR.TARIQUE ZUBAIR"/>
    <x v="5"/>
    <n v="3"/>
    <s v="COFFEE"/>
    <n v="1650"/>
    <n v="247.5"/>
  </r>
  <r>
    <n v="190"/>
    <s v="HCFM-0542"/>
    <s v="MR.HANIF AHSAN ZUBEDI"/>
    <x v="5"/>
    <n v="1"/>
    <s v="MALAI BOTI"/>
    <n v="1150"/>
    <n v="172.5"/>
  </r>
  <r>
    <n v="191"/>
    <s v="HCFM-0542"/>
    <s v="MR.HANIF AHSAN ZUBEDI"/>
    <x v="5"/>
    <n v="1"/>
    <s v="BEEF BOTI"/>
    <n v="900"/>
    <n v="135"/>
  </r>
  <r>
    <n v="192"/>
    <s v="HCFM-0542"/>
    <s v="MR.HANIF AHSAN ZUBEDI"/>
    <x v="5"/>
    <n v="1"/>
    <s v="BEEF SEEKH KABAB"/>
    <n v="1200"/>
    <n v="180"/>
  </r>
  <r>
    <n v="193"/>
    <s v="HCFM-0542"/>
    <s v="MR.HANIF AHSAN ZUBEDI"/>
    <x v="5"/>
    <n v="2"/>
    <s v="MINERAL WATER SMALL"/>
    <n v="200"/>
    <n v="30"/>
  </r>
  <r>
    <n v="194"/>
    <s v="HCFM-0542"/>
    <s v="MR.HANIF AHSAN ZUBEDI"/>
    <x v="5"/>
    <n v="2"/>
    <s v="SOFT DRINKS"/>
    <n v="300"/>
    <n v="45"/>
  </r>
  <r>
    <n v="195"/>
    <s v="HCFM-0522"/>
    <s v="MR.IQBAL AHMED MALLAH"/>
    <x v="5"/>
    <n v="1"/>
    <s v="BEEF SEEKH KABAB"/>
    <n v="1200"/>
    <n v="180"/>
  </r>
  <r>
    <n v="196"/>
    <s v="HCFM-0522"/>
    <s v="MR.IQBAL AHMED MALLAH"/>
    <x v="5"/>
    <n v="2"/>
    <s v="POMFRAT"/>
    <n v="2000"/>
    <n v="300"/>
  </r>
  <r>
    <n v="197"/>
    <s v="HCFM-0522"/>
    <s v="MR.IQBAL AHMED MALLAH"/>
    <x v="5"/>
    <n v="2"/>
    <s v="MINERAL WATER LARGE"/>
    <n v="300"/>
    <n v="45"/>
  </r>
  <r>
    <n v="198"/>
    <s v="HCFM-0522"/>
    <s v="MR.IQBAL AHMED MALLAH"/>
    <x v="5"/>
    <n v="2"/>
    <s v="PLAIN NAAN"/>
    <n v="140"/>
    <n v="21"/>
  </r>
  <r>
    <n v="199"/>
    <s v="HCFM-0668"/>
    <s v="MR. KASHIF SAEED"/>
    <x v="5"/>
    <n v="1"/>
    <s v="CLUB SANDWICH"/>
    <n v="1250"/>
    <n v="187.5"/>
  </r>
  <r>
    <n v="200"/>
    <s v="HCFM-0598"/>
    <s v="DGM FATIMA ZAHID"/>
    <x v="5"/>
    <n v="2"/>
    <s v="LATTE COFFEE"/>
    <n v="700"/>
    <n v="105"/>
  </r>
  <r>
    <n v="201"/>
    <s v="HCFM-0598"/>
    <s v="DGM FATIMA ZAHID"/>
    <x v="5"/>
    <n v="1"/>
    <s v="MIX TEA"/>
    <n v="200"/>
    <n v="30"/>
  </r>
  <r>
    <n v="202"/>
    <s v="HCFM-0598"/>
    <s v="DGM FATIMA ZAHID"/>
    <x v="5"/>
    <n v="2"/>
    <s v="PANE CAKE"/>
    <n v="900"/>
    <n v="135"/>
  </r>
  <r>
    <n v="203"/>
    <s v="HCFM-0598"/>
    <s v="DGM FATIMA ZAHID"/>
    <x v="5"/>
    <n v="2"/>
    <s v="MINERAL WATER SMALL"/>
    <n v="200"/>
    <n v="30"/>
  </r>
  <r>
    <n v="204"/>
    <s v="HCFM-0597"/>
    <s v="GM GHULAM DASTAGEER"/>
    <x v="5"/>
    <n v="1"/>
    <s v="MASHROOM CHEESE OMELETTE"/>
    <n v="450"/>
    <n v="67.5"/>
  </r>
  <r>
    <n v="205"/>
    <s v="HCFM-0597"/>
    <s v="GM GHULAM DASTAGEER"/>
    <x v="5"/>
    <n v="1"/>
    <s v="TAWA PARATHA"/>
    <n v="150"/>
    <n v="22.5"/>
  </r>
  <r>
    <n v="206"/>
    <s v="HCFM-0597"/>
    <s v="GM GHULAM DASTAGEER"/>
    <x v="5"/>
    <n v="1"/>
    <s v="MINERAL WATER SMALL"/>
    <n v="100"/>
    <n v="15"/>
  </r>
  <r>
    <n v="207"/>
    <s v="HCFM-0597"/>
    <s v="GM GHULAM DASTAGEER"/>
    <x v="5"/>
    <n v="1"/>
    <s v="MIX TEA"/>
    <n v="200"/>
    <n v="30"/>
  </r>
  <r>
    <n v="208"/>
    <s v="HCFM-0522"/>
    <s v="MR.IQBAL AHMED MALLAH"/>
    <x v="5"/>
    <n v="3"/>
    <s v="CORKAGE"/>
    <n v="3000"/>
    <n v="450"/>
  </r>
  <r>
    <n v="209"/>
    <s v="HCFM-0686"/>
    <s v="MR. GHULAM MUSTAFA"/>
    <x v="5"/>
    <n v="2"/>
    <s v="CORKAGE"/>
    <n v="2000"/>
    <n v="300"/>
  </r>
  <r>
    <n v="210"/>
    <s v="HCFM-0503"/>
    <s v="MR.GHULAM NABI OTHI"/>
    <x v="5"/>
    <n v="7"/>
    <s v="VODKA SINGLE"/>
    <n v="3850"/>
    <n v="577.5"/>
  </r>
  <r>
    <n v="211"/>
    <s v="HCFM-0503"/>
    <s v="MR.GHULAM NABI OTHI"/>
    <x v="5"/>
    <n v="3"/>
    <s v="MURREE BEER"/>
    <n v="3000"/>
    <n v="450"/>
  </r>
  <r>
    <n v="212"/>
    <s v="HCFM-0641"/>
    <s v="AAMIR RASOOL"/>
    <x v="5"/>
    <n v="4"/>
    <s v="BLACK LABEL SINGLE"/>
    <n v="3200"/>
    <n v="480"/>
  </r>
  <r>
    <n v="213"/>
    <s v="HCFM-0641"/>
    <s v="AAMIR RASOOL"/>
    <x v="5"/>
    <n v="2"/>
    <s v="PEANUT AND NIMCO"/>
    <n v="600"/>
    <n v="90"/>
  </r>
  <r>
    <n v="214"/>
    <s v="HCFM-0664"/>
    <s v="SHAHBAZ AHMED"/>
    <x v="5"/>
    <n v="1"/>
    <s v="MINERAL WATER LARGE"/>
    <n v="150"/>
    <n v="22.5"/>
  </r>
  <r>
    <n v="215"/>
    <s v="HCFM-0664"/>
    <s v="SHAHBAZ AHMED"/>
    <x v="5"/>
    <n v="2"/>
    <s v="CHICKEN ROULADE"/>
    <n v="1700"/>
    <n v="255"/>
  </r>
  <r>
    <n v="216"/>
    <s v="HCFM-0664"/>
    <s v="SHAHBAZ AHMED"/>
    <x v="5"/>
    <n v="2"/>
    <s v="PLAIN POPCORN"/>
    <n v="1000"/>
    <n v="150"/>
  </r>
  <r>
    <n v="217"/>
    <s v="HCFM-0664"/>
    <s v="SHAHBAZ AHMED"/>
    <x v="5"/>
    <n v="2"/>
    <s v="GRILLED CHICKEN SANDWICH"/>
    <n v="1150"/>
    <n v="172.5"/>
  </r>
  <r>
    <n v="218"/>
    <s v="HCFM-0664"/>
    <s v="SHAHBAZ AHMED"/>
    <x v="5"/>
    <n v="2"/>
    <s v="COFFEE CAPPUCINO"/>
    <n v="700"/>
    <n v="105"/>
  </r>
  <r>
    <n v="219"/>
    <s v="HCFM-0664"/>
    <s v="SHAHBAZ AHMED"/>
    <x v="5"/>
    <n v="4"/>
    <s v="MIX TEA"/>
    <n v="800"/>
    <n v="120"/>
  </r>
  <r>
    <n v="220"/>
    <s v="HCFM-0644"/>
    <s v="SABA AHSAN"/>
    <x v="5"/>
    <n v="2"/>
    <s v="CLUB SANDWICH"/>
    <n v="2500"/>
    <n v="375"/>
  </r>
  <r>
    <n v="221"/>
    <s v="HCFM-0644"/>
    <s v="SABA AHSAN"/>
    <x v="5"/>
    <n v="2"/>
    <s v="MIX TEA"/>
    <n v="400"/>
    <n v="60"/>
  </r>
  <r>
    <n v="222"/>
    <s v="HCFM-0656"/>
    <s v="ZAIB UR REHMAN"/>
    <x v="5"/>
    <n v="1"/>
    <s v="MINERAL WATER SMALL"/>
    <n v="100"/>
    <n v="15"/>
  </r>
  <r>
    <n v="223"/>
    <s v="HCFM-0545"/>
    <s v="MR. HASAN KARIM"/>
    <x v="5"/>
    <n v="1"/>
    <s v="MINERAL WATER SMALL"/>
    <n v="100"/>
    <n v="15"/>
  </r>
  <r>
    <n v="224"/>
    <s v="HCFM-0545"/>
    <s v="MR. HASAN KARIM"/>
    <x v="5"/>
    <n v="1"/>
    <s v="HOT N SOUR SOUP"/>
    <n v="350"/>
    <n v="52.5"/>
  </r>
  <r>
    <n v="225"/>
    <s v="HCFM-0554"/>
    <s v="MR.IMRAN WAZEER"/>
    <x v="5"/>
    <n v="1"/>
    <s v="MINERAL WATER SMALL"/>
    <n v="100"/>
    <n v="15"/>
  </r>
  <r>
    <n v="226"/>
    <s v="HCFM-0554"/>
    <s v="MR.IMRAN WAZEER"/>
    <x v="5"/>
    <n v="2"/>
    <s v="PLAIN FRIES"/>
    <n v="500"/>
    <n v="75"/>
  </r>
  <r>
    <n v="227"/>
    <s v="HCFM-0596"/>
    <s v="DGM AZFAR ALI"/>
    <x v="5"/>
    <n v="1"/>
    <s v="MINERAL WATER SMALL"/>
    <n v="100"/>
    <n v="15"/>
  </r>
  <r>
    <n v="228"/>
    <s v="HCFM-0656"/>
    <s v="ZAIB UR REHMAN"/>
    <x v="5"/>
    <n v="1"/>
    <s v="MINERAL WATER LARGE"/>
    <n v="150"/>
    <n v="22.5"/>
  </r>
  <r>
    <n v="229"/>
    <s v="HCFM-0516"/>
    <s v="MR.ATIF SHAFQAT"/>
    <x v="5"/>
    <n v="2"/>
    <s v="SOFT DRINKS"/>
    <n v="300"/>
    <n v="45"/>
  </r>
  <r>
    <n v="230"/>
    <s v="HCFM-0516"/>
    <s v="MR.ATIF SHAFQAT"/>
    <x v="5"/>
    <n v="1"/>
    <s v="CHICKEN PESHAWARI KARAHI"/>
    <n v="900"/>
    <n v="135"/>
  </r>
  <r>
    <n v="231"/>
    <s v="HCFM-0516"/>
    <s v="MR.ATIF SHAFQAT"/>
    <x v="5"/>
    <n v="2"/>
    <s v="GRILLED CHICKEN SANDWICH"/>
    <n v="1150"/>
    <n v="172.5"/>
  </r>
  <r>
    <n v="232"/>
    <s v="HCFM-0516"/>
    <s v="MR.ATIF SHAFQAT"/>
    <x v="5"/>
    <n v="1"/>
    <s v="CLUB SANDWICH"/>
    <n v="1250"/>
    <n v="187.5"/>
  </r>
  <r>
    <n v="233"/>
    <s v="HCFM-0516"/>
    <s v="MR.ATIF SHAFQAT"/>
    <x v="5"/>
    <n v="1"/>
    <s v="PLAIN NAAN"/>
    <n v="70"/>
    <n v="10.5"/>
  </r>
  <r>
    <n v="234"/>
    <s v="HCFM-0516"/>
    <s v="MR.ATIF SHAFQAT"/>
    <x v="5"/>
    <n v="2"/>
    <s v="ROGHNI NAAN"/>
    <n v="300"/>
    <n v="45"/>
  </r>
  <r>
    <n v="235"/>
    <s v="HCFM-0684"/>
    <s v="MR. ZAMIR ALI SHAH"/>
    <x v="5"/>
    <n v="1"/>
    <s v="MINERAL WATER LARGE"/>
    <n v="150"/>
    <n v="22.5"/>
  </r>
  <r>
    <n v="236"/>
    <s v="HCFM-0541"/>
    <s v="MR.SHAN ELAHI SEHGAL"/>
    <x v="5"/>
    <n v="1"/>
    <s v="PLAIN FRIES"/>
    <n v="250"/>
    <n v="37.5"/>
  </r>
  <r>
    <n v="237"/>
    <s v="HCFM-0554"/>
    <s v="MR.IMRAN WAZEER"/>
    <x v="5"/>
    <n v="1"/>
    <s v="PLAIN FRIES"/>
    <n v="250"/>
    <n v="37.5"/>
  </r>
  <r>
    <n v="238"/>
    <s v="HCFM-0554"/>
    <s v="MR.IMRAN WAZEER"/>
    <x v="5"/>
    <n v="1"/>
    <s v="SOFT DRINKS"/>
    <n v="150"/>
    <n v="22.5"/>
  </r>
  <r>
    <n v="239"/>
    <s v="HCFM-0670"/>
    <s v="MR. TEHSEEN FAIZ"/>
    <x v="5"/>
    <n v="1"/>
    <s v="ZINGER BURGER"/>
    <n v="700"/>
    <n v="105"/>
  </r>
  <r>
    <n v="240"/>
    <s v="HCFM-0670"/>
    <s v="MR. TEHSEEN FAIZ"/>
    <x v="5"/>
    <n v="1"/>
    <s v="PASTA"/>
    <n v="1200"/>
    <n v="180"/>
  </r>
  <r>
    <n v="241"/>
    <s v="HCFM-0670"/>
    <s v="MR. TEHSEEN FAIZ"/>
    <x v="5"/>
    <n v="1"/>
    <s v="CLUB SANDWICH"/>
    <n v="1250"/>
    <n v="187.5"/>
  </r>
  <r>
    <n v="242"/>
    <s v="HCFM-0670"/>
    <s v="MR. TEHSEEN FAIZ"/>
    <x v="5"/>
    <n v="1"/>
    <s v="MINERAL WATER LARGE"/>
    <n v="150"/>
    <n v="22.5"/>
  </r>
  <r>
    <n v="243"/>
    <s v="HCFM-0670"/>
    <s v="MR. TEHSEEN FAIZ"/>
    <x v="5"/>
    <n v="3"/>
    <s v="SOFT DRINKS"/>
    <n v="450"/>
    <n v="67.5"/>
  </r>
  <r>
    <n v="244"/>
    <s v="HCFM-0682"/>
    <s v="MR. ZAHIR REHMAN"/>
    <x v="5"/>
    <n v="5"/>
    <s v="MINERAL WATER SMALL"/>
    <n v="500"/>
    <n v="75"/>
  </r>
  <r>
    <n v="245"/>
    <s v="HCFM-0682"/>
    <s v="MR. ZAHIR REHMAN"/>
    <x v="5"/>
    <n v="2"/>
    <s v="PIZZA FRIES FULL"/>
    <n v="1000"/>
    <n v="150"/>
  </r>
  <r>
    <n v="246"/>
    <s v="HCFM-0682"/>
    <s v="MR. ZAHIR REHMAN"/>
    <x v="5"/>
    <n v="3"/>
    <s v="CHICKEN FRIED RICE"/>
    <n v="1650"/>
    <n v="247.5"/>
  </r>
  <r>
    <n v="247"/>
    <s v="HCFM-0682"/>
    <s v="MR. ZAHIR REHMAN"/>
    <x v="5"/>
    <n v="1"/>
    <s v="SINGAPOREAN FRIED RICE"/>
    <n v="1000"/>
    <n v="150"/>
  </r>
  <r>
    <n v="248"/>
    <s v="HCFM-0682"/>
    <s v="MR. ZAHIR REHMAN"/>
    <x v="5"/>
    <n v="3"/>
    <s v="CHICKEN BURGER"/>
    <n v="1650"/>
    <n v="247.5"/>
  </r>
  <r>
    <n v="249"/>
    <s v="HCFM-0682"/>
    <s v="MR. ZAHIR REHMAN"/>
    <x v="5"/>
    <n v="4"/>
    <s v="DASI QUIL BBQ"/>
    <n v="4400"/>
    <n v="660"/>
  </r>
  <r>
    <n v="250"/>
    <s v="HCFM-0682"/>
    <s v="MR. ZAHIR REHMAN"/>
    <x v="5"/>
    <n v="1"/>
    <s v="DASI DUCK"/>
    <n v="2000"/>
    <n v="300"/>
  </r>
  <r>
    <n v="251"/>
    <s v="HCFM-0682"/>
    <s v="MR. ZAHIR REHMAN"/>
    <x v="5"/>
    <n v="4"/>
    <s v="JAMBO PRAWN"/>
    <n v="7200"/>
    <n v="1080"/>
  </r>
  <r>
    <n v="252"/>
    <s v="HCFM-0682"/>
    <s v="MR. ZAHIR REHMAN"/>
    <x v="5"/>
    <n v="1"/>
    <s v="POMFRAT"/>
    <n v="1000"/>
    <n v="150"/>
  </r>
  <r>
    <n v="253"/>
    <s v="HCFM-0668"/>
    <s v="MR. KASHIF SAEED"/>
    <x v="5"/>
    <n v="3"/>
    <s v="MINERAL WATER SMALL"/>
    <n v="300"/>
    <n v="45"/>
  </r>
  <r>
    <n v="254"/>
    <s v="HCFM-0668"/>
    <s v="MR. KASHIF SAEED"/>
    <x v="5"/>
    <n v="1"/>
    <s v="CHICKEN BOTI"/>
    <n v="800"/>
    <n v="120"/>
  </r>
  <r>
    <n v="255"/>
    <s v="HCFM-0668"/>
    <s v="MR. KASHIF SAEED"/>
    <x v="5"/>
    <n v="2"/>
    <s v="JAMBO PRAWN"/>
    <n v="3600"/>
    <n v="540"/>
  </r>
  <r>
    <n v="256"/>
    <s v="HCFM-0668"/>
    <s v="MR. KASHIF SAEED"/>
    <x v="5"/>
    <n v="1"/>
    <s v="POMFRAT"/>
    <n v="1000"/>
    <n v="150"/>
  </r>
  <r>
    <n v="257"/>
    <s v="HCFM-0519"/>
    <s v="DR.NAZEER HUSSAIN KALHORO"/>
    <x v="5"/>
    <n v="2"/>
    <s v="POMFRAT"/>
    <n v="2000"/>
    <n v="300"/>
  </r>
  <r>
    <n v="258"/>
    <s v="HCFM-0519"/>
    <s v="DR.NAZEER HUSSAIN KALHORO"/>
    <x v="5"/>
    <n v="1"/>
    <s v="MINERAL WATER LARGE"/>
    <n v="150"/>
    <n v="22.5"/>
  </r>
  <r>
    <n v="259"/>
    <s v="HCFM-0519"/>
    <s v="DR.NAZEER HUSSAIN KALHORO"/>
    <x v="5"/>
    <n v="2"/>
    <s v="PARTRIGE"/>
    <n v="2800"/>
    <n v="420"/>
  </r>
  <r>
    <n v="260"/>
    <s v="HCFM-0519"/>
    <s v="DR.NAZEER HUSSAIN KALHORO"/>
    <x v="5"/>
    <n v="1"/>
    <s v="MALAI BOTI"/>
    <n v="1150"/>
    <n v="172.5"/>
  </r>
  <r>
    <n v="261"/>
    <s v="HCFM-0519"/>
    <s v="DR.NAZEER HUSSAIN KALHORO"/>
    <x v="5"/>
    <n v="1"/>
    <s v="JAMBO PRAWN"/>
    <n v="1800"/>
    <n v="270"/>
  </r>
  <r>
    <n v="262"/>
    <s v="HCFM-0519"/>
    <s v="DR.NAZEER HUSSAIN KALHORO"/>
    <x v="5"/>
    <n v="2"/>
    <s v="DASI QUIL BBQ"/>
    <n v="2200"/>
    <n v="330"/>
  </r>
  <r>
    <n v="263"/>
    <s v="HCFM-0641"/>
    <s v="AAMIR RASOOL"/>
    <x v="5"/>
    <n v="4"/>
    <s v="POMFRAT"/>
    <n v="4000"/>
    <n v="600"/>
  </r>
  <r>
    <n v="264"/>
    <s v="HCFM-0641"/>
    <s v="AAMIR RASOOL"/>
    <x v="5"/>
    <n v="2"/>
    <s v="MINERAL WATER LARGE"/>
    <n v="300"/>
    <n v="45"/>
  </r>
  <r>
    <n v="265"/>
    <s v="HCFM-0641"/>
    <s v="AAMIR RASOOL"/>
    <x v="5"/>
    <n v="3"/>
    <s v="PARTRIGE"/>
    <n v="4200"/>
    <n v="630"/>
  </r>
  <r>
    <n v="266"/>
    <s v="HCFM-0641"/>
    <s v="AAMIR RASOOL"/>
    <x v="5"/>
    <n v="4"/>
    <s v="DASI QUIL BBQ"/>
    <n v="4400"/>
    <n v="660"/>
  </r>
  <r>
    <n v="267"/>
    <s v="HCFM-0641"/>
    <s v="AAMIR RASOOL"/>
    <x v="5"/>
    <n v="2"/>
    <s v="SOFT DRINKS"/>
    <n v="300"/>
    <n v="45"/>
  </r>
  <r>
    <n v="268"/>
    <s v="HCFM-0641"/>
    <s v="AAMIR RASOOL"/>
    <x v="5"/>
    <n v="2"/>
    <s v="VENSION"/>
    <n v="3600"/>
    <n v="540"/>
  </r>
  <r>
    <n v="269"/>
    <s v="HCFM-0533"/>
    <s v="MR.ZULQARNAIN"/>
    <x v="5"/>
    <n v="4"/>
    <s v="BEEF BOTI"/>
    <n v="4800"/>
    <n v="720"/>
  </r>
  <r>
    <n v="270"/>
    <s v="HCFM-0533"/>
    <s v="MR.ZULQARNAIN"/>
    <x v="5"/>
    <n v="4"/>
    <s v="CHICKEN BOTI"/>
    <n v="3200"/>
    <n v="480"/>
  </r>
  <r>
    <n v="271"/>
    <s v="HCFM-0533"/>
    <s v="MR.ZULQARNAIN"/>
    <x v="5"/>
    <n v="3"/>
    <s v="JAMBO PRAWN"/>
    <n v="5400"/>
    <n v="810"/>
  </r>
  <r>
    <n v="272"/>
    <s v="HCFM-0533"/>
    <s v="MR.ZULQARNAIN"/>
    <x v="5"/>
    <n v="6"/>
    <s v="MINERAL WATER SMALL"/>
    <n v="600"/>
    <n v="90"/>
  </r>
  <r>
    <n v="273"/>
    <s v="HCFM-0533"/>
    <s v="MR.ZULQARNAIN"/>
    <x v="5"/>
    <n v="1"/>
    <s v="VENSION"/>
    <n v="1800"/>
    <n v="270"/>
  </r>
  <r>
    <n v="274"/>
    <s v="HCFM-0664"/>
    <s v="SHAHBAZ AHMED"/>
    <x v="5"/>
    <n v="2"/>
    <s v="JAMBO PRAWN"/>
    <n v="3600"/>
    <n v="540"/>
  </r>
  <r>
    <n v="275"/>
    <s v="HCFM-0664"/>
    <s v="SHAHBAZ AHMED"/>
    <x v="5"/>
    <n v="1"/>
    <s v="CHICKEN BOTI"/>
    <n v="800"/>
    <n v="120"/>
  </r>
  <r>
    <n v="276"/>
    <s v="HCFM-0664"/>
    <s v="SHAHBAZ AHMED"/>
    <x v="5"/>
    <n v="1"/>
    <s v="POMFRAT"/>
    <n v="1000"/>
    <n v="150"/>
  </r>
  <r>
    <n v="277"/>
    <s v="HCFM-0664"/>
    <s v="SHAHBAZ AHMED"/>
    <x v="5"/>
    <n v="1"/>
    <s v="BEEF BOTI"/>
    <n v="1200"/>
    <n v="180"/>
  </r>
  <r>
    <n v="278"/>
    <s v="HCFM-0664"/>
    <s v="SHAHBAZ AHMED"/>
    <x v="5"/>
    <n v="1"/>
    <s v="DASI QUIL BBQ"/>
    <n v="1100"/>
    <n v="165"/>
  </r>
  <r>
    <n v="279"/>
    <s v="HCFM-0664"/>
    <s v="SHAHBAZ AHMED"/>
    <x v="5"/>
    <n v="4"/>
    <s v="SOFT DRINKS"/>
    <n v="600"/>
    <n v="90"/>
  </r>
  <r>
    <n v="280"/>
    <s v="HCFM-0589"/>
    <s v="DGM.REHAN TARIQ"/>
    <x v="5"/>
    <n v="1"/>
    <s v="JAMBO PRAWN"/>
    <n v="1800"/>
    <n v="270"/>
  </r>
  <r>
    <n v="281"/>
    <s v="HCFM-0589"/>
    <s v="DGM.REHAN TARIQ"/>
    <x v="5"/>
    <n v="1"/>
    <s v="CHICKEN BOTI"/>
    <n v="800"/>
    <n v="120"/>
  </r>
  <r>
    <n v="282"/>
    <s v="HCFM-0589"/>
    <s v="DGM.REHAN TARIQ"/>
    <x v="5"/>
    <n v="1"/>
    <s v="POMFRAT"/>
    <n v="1000"/>
    <n v="150"/>
  </r>
  <r>
    <n v="283"/>
    <s v="HCFM-0589"/>
    <s v="DGM.REHAN TARIQ"/>
    <x v="5"/>
    <n v="2"/>
    <s v="TAWA PARATHA"/>
    <n v="300"/>
    <n v="45"/>
  </r>
  <r>
    <n v="284"/>
    <s v="HCFM-0589"/>
    <s v="DGM.REHAN TARIQ"/>
    <x v="5"/>
    <n v="1"/>
    <s v="SOFT DRINKS"/>
    <n v="150"/>
    <n v="22.5"/>
  </r>
  <r>
    <n v="285"/>
    <s v="HCFM-0541"/>
    <s v="MR.SHAN ELAHI SEHGAL"/>
    <x v="5"/>
    <n v="2"/>
    <s v="JAMBO PRAWN"/>
    <n v="3600"/>
    <n v="540"/>
  </r>
  <r>
    <n v="286"/>
    <s v="HCFM-0541"/>
    <s v="MR.SHAN ELAHI SEHGAL"/>
    <x v="5"/>
    <n v="4"/>
    <s v="CHICKEN BOTI"/>
    <n v="3200"/>
    <n v="480"/>
  </r>
  <r>
    <n v="287"/>
    <s v="HCFM-0541"/>
    <s v="MR.SHAN ELAHI SEHGAL"/>
    <x v="5"/>
    <n v="1"/>
    <s v="POMFRAT"/>
    <n v="1000"/>
    <n v="150"/>
  </r>
  <r>
    <n v="288"/>
    <s v="HCFM-0541"/>
    <s v="MR.SHAN ELAHI SEHGAL"/>
    <x v="5"/>
    <n v="1"/>
    <s v="BEEF BOTI"/>
    <n v="1200"/>
    <n v="180"/>
  </r>
  <r>
    <n v="289"/>
    <s v="HCFM-0541"/>
    <s v="MR.SHAN ELAHI SEHGAL"/>
    <x v="5"/>
    <n v="3"/>
    <s v="PLAIN NAAN"/>
    <n v="210"/>
    <n v="31.5"/>
  </r>
  <r>
    <n v="290"/>
    <s v="HCFM-0541"/>
    <s v="MR.SHAN ELAHI SEHGAL"/>
    <x v="5"/>
    <n v="3"/>
    <s v="MINERAL WATER SMALL"/>
    <n v="300"/>
    <n v="45"/>
  </r>
  <r>
    <n v="291"/>
    <s v="HCFM-0541"/>
    <s v="MR.SHAN ELAHI SEHGAL"/>
    <x v="5"/>
    <n v="2"/>
    <s v="GAJAR HALWA"/>
    <n v="900"/>
    <n v="135"/>
  </r>
  <r>
    <n v="292"/>
    <s v="HCFM-0686"/>
    <s v="MR. GHULAM MUSTAFA"/>
    <x v="5"/>
    <n v="1"/>
    <s v="MINERAL WATER LARGE"/>
    <n v="150"/>
    <n v="22.5"/>
  </r>
  <r>
    <n v="293"/>
    <s v="HCFM-0686"/>
    <s v="MR. GHULAM MUSTAFA"/>
    <x v="5"/>
    <n v="2"/>
    <s v="VENSION"/>
    <n v="3600"/>
    <n v="540"/>
  </r>
  <r>
    <n v="294"/>
    <s v="HCFM-0686"/>
    <s v="MR. GHULAM MUSTAFA"/>
    <x v="5"/>
    <n v="4"/>
    <s v="DASI QUIL BBQ"/>
    <n v="4400"/>
    <n v="660"/>
  </r>
  <r>
    <n v="295"/>
    <s v="HCFM-0686"/>
    <s v="MR. GHULAM MUSTAFA"/>
    <x v="5"/>
    <n v="4"/>
    <s v="BEEF BOTI"/>
    <n v="4800"/>
    <n v="720"/>
  </r>
  <r>
    <n v="296"/>
    <s v="HCFM-0686"/>
    <s v="MR. GHULAM MUSTAFA"/>
    <x v="5"/>
    <n v="4"/>
    <s v="PLAIN NAAN"/>
    <n v="280"/>
    <n v="42"/>
  </r>
  <r>
    <n v="297"/>
    <s v="HCFM-0686"/>
    <s v="MR. GHULAM MUSTAFA"/>
    <x v="5"/>
    <n v="1"/>
    <s v="GAJAR HALWA"/>
    <n v="450"/>
    <n v="67.5"/>
  </r>
  <r>
    <n v="298"/>
    <s v="HCFM-0686"/>
    <s v="MR. GHULAM MUSTAFA"/>
    <x v="5"/>
    <n v="1"/>
    <s v="POMFRAT"/>
    <n v="1000"/>
    <n v="150"/>
  </r>
  <r>
    <n v="299"/>
    <s v="HCFM-0686"/>
    <s v="MR. GHULAM MUSTAFA"/>
    <x v="5"/>
    <n v="1"/>
    <s v="VENSION"/>
    <n v="1800"/>
    <n v="270"/>
  </r>
  <r>
    <n v="300"/>
    <s v="HCFM-0686"/>
    <s v="MR. GHULAM MUSTAFA"/>
    <x v="5"/>
    <n v="1"/>
    <s v="CHICKEN BOTI"/>
    <n v="800"/>
    <n v="120"/>
  </r>
  <r>
    <n v="301"/>
    <s v="HCFM-0686"/>
    <s v="MR. GHULAM MUSTAFA"/>
    <x v="5"/>
    <n v="1"/>
    <s v="JAMBO PRAWN"/>
    <n v="1800"/>
    <n v="270"/>
  </r>
  <r>
    <n v="302"/>
    <s v="HCFM-0686"/>
    <s v="MR. GHULAM MUSTAFA"/>
    <x v="5"/>
    <n v="2"/>
    <s v="MINERAL WATER SMALL"/>
    <n v="200"/>
    <n v="30"/>
  </r>
  <r>
    <n v="303"/>
    <s v="HCFM-0684"/>
    <s v="MR. ZAMIR ALI SHAH"/>
    <x v="6"/>
    <n v="3"/>
    <s v="CORKAGE"/>
    <n v="3000"/>
    <n v="450"/>
  </r>
  <r>
    <n v="304"/>
    <s v="HCFM-0557"/>
    <s v="MR.KHADIM HUSSAIN"/>
    <x v="6"/>
    <n v="2"/>
    <s v="MINERAL WATER LARGE"/>
    <n v="300"/>
    <n v="45"/>
  </r>
  <r>
    <n v="305"/>
    <s v="HCFM-0557"/>
    <s v="MR.KHADIM HUSSAIN"/>
    <x v="6"/>
    <n v="4"/>
    <s v="HOT N SOUR SOUP"/>
    <n v="1400"/>
    <n v="210"/>
  </r>
  <r>
    <n v="306"/>
    <s v="HCFM-0557"/>
    <s v="MR.KHADIM HUSSAIN"/>
    <x v="6"/>
    <n v="4"/>
    <s v="CHINESE SZECHUAN SOUP"/>
    <n v="1400"/>
    <n v="210"/>
  </r>
  <r>
    <n v="307"/>
    <s v="HCFM-0557"/>
    <s v="MR.KHADIM HUSSAIN"/>
    <x v="6"/>
    <n v="1"/>
    <s v="VEGETABLE FRIED RICE"/>
    <n v="300"/>
    <n v="45"/>
  </r>
  <r>
    <n v="308"/>
    <s v="HCFM-0557"/>
    <s v="MR.KHADIM HUSSAIN"/>
    <x v="6"/>
    <n v="1"/>
    <s v="PASTA"/>
    <n v="1200"/>
    <n v="180"/>
  </r>
  <r>
    <n v="309"/>
    <s v="HCFM-0557"/>
    <s v="MR.KHADIM HUSSAIN"/>
    <x v="6"/>
    <n v="1"/>
    <s v="CHICKEN TIKKA"/>
    <n v="600"/>
    <n v="90"/>
  </r>
  <r>
    <n v="310"/>
    <s v="HCFM-0557"/>
    <s v="MR.KHADIM HUSSAIN"/>
    <x v="6"/>
    <n v="1"/>
    <s v="MALAI BOTI"/>
    <n v="1150"/>
    <n v="172.5"/>
  </r>
  <r>
    <n v="311"/>
    <s v="HCFM-0557"/>
    <s v="MR.KHADIM HUSSAIN"/>
    <x v="6"/>
    <n v="1"/>
    <s v="BEEF SEEKH KABAB"/>
    <n v="1200"/>
    <n v="180"/>
  </r>
  <r>
    <n v="312"/>
    <s v="HCFM-0557"/>
    <s v="MR.KHADIM HUSSAIN"/>
    <x v="6"/>
    <n v="1"/>
    <s v="SHISH TAOUK"/>
    <n v="1200"/>
    <n v="180"/>
  </r>
  <r>
    <n v="313"/>
    <s v="HCFM-0557"/>
    <s v="MR.KHADIM HUSSAIN"/>
    <x v="6"/>
    <n v="6"/>
    <s v="PURI PARATHA"/>
    <n v="900"/>
    <n v="135"/>
  </r>
  <r>
    <n v="314"/>
    <s v="HCFM-0557"/>
    <s v="MR.KHADIM HUSSAIN"/>
    <x v="6"/>
    <n v="7"/>
    <s v="SOFT DRINKS"/>
    <n v="1050"/>
    <n v="157.5"/>
  </r>
  <r>
    <n v="315"/>
    <s v="HCFM-0512"/>
    <s v="MR.ZEESHAN IQBAL"/>
    <x v="6"/>
    <n v="1"/>
    <s v="MALAI BOTI"/>
    <n v="1150"/>
    <n v="172.5"/>
  </r>
  <r>
    <n v="316"/>
    <s v="HCFM-0512"/>
    <s v="MR.ZEESHAN IQBAL"/>
    <x v="6"/>
    <n v="1"/>
    <s v="PIZZA FRIES FULL"/>
    <n v="500"/>
    <n v="75"/>
  </r>
  <r>
    <n v="317"/>
    <s v="HCFM-0512"/>
    <s v="MR.ZEESHAN IQBAL"/>
    <x v="6"/>
    <n v="1"/>
    <s v="CLUB SANDWICH"/>
    <n v="1250"/>
    <n v="187.5"/>
  </r>
  <r>
    <n v="318"/>
    <s v="HCFM-0512"/>
    <s v="MR.ZEESHAN IQBAL"/>
    <x v="6"/>
    <n v="1"/>
    <s v="TENDERLOIN STEAK"/>
    <n v="1400"/>
    <n v="210"/>
  </r>
  <r>
    <n v="319"/>
    <s v="HCFM-0512"/>
    <s v="MR.ZEESHAN IQBAL"/>
    <x v="6"/>
    <n v="1"/>
    <s v="PASTA"/>
    <n v="1200"/>
    <n v="180"/>
  </r>
  <r>
    <n v="320"/>
    <s v="HCFM-0684"/>
    <s v="MR. ZAMIR ALI SHAH"/>
    <x v="6"/>
    <n v="3"/>
    <s v="CHINESE SZECHUAN SOUP"/>
    <n v="1050"/>
    <n v="157.5"/>
  </r>
  <r>
    <n v="321"/>
    <s v="HCFM-0684"/>
    <s v="MR. ZAMIR ALI SHAH"/>
    <x v="6"/>
    <n v="3"/>
    <s v="CHICKEN DYNAMITE"/>
    <n v="2550"/>
    <n v="382.5"/>
  </r>
  <r>
    <n v="322"/>
    <s v="HCFM-0684"/>
    <s v="MR. ZAMIR ALI SHAH"/>
    <x v="6"/>
    <n v="2"/>
    <s v="MINERAL WATER LARGE"/>
    <n v="300"/>
    <n v="45"/>
  </r>
  <r>
    <n v="323"/>
    <s v="HCFM-0684"/>
    <s v="MR. ZAMIR ALI SHAH"/>
    <x v="6"/>
    <n v="1"/>
    <s v="CHICKEN KARAHI"/>
    <n v="900"/>
    <n v="135"/>
  </r>
  <r>
    <n v="324"/>
    <s v="HCFM-0684"/>
    <s v="MR. ZAMIR ALI SHAH"/>
    <x v="6"/>
    <n v="4"/>
    <s v="ZINGER BURGER"/>
    <n v="2800"/>
    <n v="420"/>
  </r>
  <r>
    <n v="325"/>
    <s v="HCFM-0684"/>
    <s v="MR. ZAMIR ALI SHAH"/>
    <x v="6"/>
    <n v="3"/>
    <s v="GARLIC NAAN"/>
    <n v="390"/>
    <n v="58.5"/>
  </r>
  <r>
    <n v="326"/>
    <s v="HCFM-0684"/>
    <s v="MR. ZAMIR ALI SHAH"/>
    <x v="6"/>
    <n v="1"/>
    <s v="GAJAR HALWA"/>
    <n v="450"/>
    <n v="67.5"/>
  </r>
  <r>
    <n v="327"/>
    <s v="HCFM-0684"/>
    <s v="MR. ZAMIR ALI SHAH"/>
    <x v="6"/>
    <n v="1"/>
    <s v="SOFT DRINKS"/>
    <n v="150"/>
    <n v="22.5"/>
  </r>
  <r>
    <n v="328"/>
    <s v="HCFM-0556"/>
    <s v="MR.SYED SALMAN RAZA"/>
    <x v="6"/>
    <n v="1"/>
    <s v="BEEF CHEESE BURGER"/>
    <n v="750"/>
    <n v="112.5"/>
  </r>
  <r>
    <n v="329"/>
    <s v="HCFM-0556"/>
    <s v="MR.SYED SALMAN RAZA"/>
    <x v="6"/>
    <n v="1"/>
    <s v="CHICKEN CHOWMEIN"/>
    <n v="950"/>
    <n v="142.5"/>
  </r>
  <r>
    <n v="330"/>
    <s v="HCFM-0556"/>
    <s v="MR.SYED SALMAN RAZA"/>
    <x v="6"/>
    <n v="1"/>
    <s v="CHICKEN HANDI"/>
    <n v="1000"/>
    <n v="150"/>
  </r>
  <r>
    <n v="331"/>
    <s v="HCFM-0545"/>
    <s v="MR. HASAN KARIM"/>
    <x v="6"/>
    <n v="1"/>
    <s v="COFFEE CAPPUCINO"/>
    <n v="350"/>
    <n v="52.5"/>
  </r>
  <r>
    <n v="332"/>
    <s v="HCFM-0545"/>
    <s v="MR. HASAN KARIM"/>
    <x v="6"/>
    <n v="1"/>
    <s v="CHICKEN PATTIES"/>
    <n v="100"/>
    <n v="15"/>
  </r>
  <r>
    <n v="333"/>
    <s v="HCFM-0583"/>
    <s v="MR.CAREL HEDRIK BURGER"/>
    <x v="6"/>
    <n v="2"/>
    <s v="PIZZA FRIES FULL"/>
    <n v="1000"/>
    <n v="150"/>
  </r>
  <r>
    <n v="334"/>
    <s v="HCFM-0583"/>
    <s v="MR.CAREL HEDRIK BURGER"/>
    <x v="6"/>
    <n v="1"/>
    <s v="ZINGER BURGER"/>
    <n v="700"/>
    <n v="105"/>
  </r>
  <r>
    <n v="335"/>
    <s v="HCFM-0583"/>
    <s v="MR.CAREL HEDRIK BURGER"/>
    <x v="6"/>
    <n v="2"/>
    <s v="SOFT DRINKS"/>
    <n v="300"/>
    <n v="45"/>
  </r>
  <r>
    <n v="336"/>
    <s v="HCFM-0542"/>
    <s v="MR.HANIF AHSAN ZUBEDI"/>
    <x v="6"/>
    <n v="3"/>
    <s v="MINERAL WATER SMALL"/>
    <n v="300"/>
    <n v="45"/>
  </r>
  <r>
    <n v="337"/>
    <s v="HCFM-0542"/>
    <s v="MR.HANIF AHSAN ZUBEDI"/>
    <x v="6"/>
    <n v="1"/>
    <s v="MIX TEA"/>
    <n v="200"/>
    <n v="30"/>
  </r>
  <r>
    <n v="338"/>
    <s v="HCFM-0542"/>
    <s v="MR.HANIF AHSAN ZUBEDI"/>
    <x v="6"/>
    <n v="2"/>
    <s v="MINERAL WATER SMALL"/>
    <n v="200"/>
    <n v="30"/>
  </r>
  <r>
    <n v="339"/>
    <s v="HCFM-0504"/>
    <s v="MR.BILAL AHMED"/>
    <x v="6"/>
    <n v="1"/>
    <s v="PIZZA FRIES FULL"/>
    <n v="500"/>
    <n v="75"/>
  </r>
  <r>
    <n v="340"/>
    <s v="HCFM-0663"/>
    <s v="JAM FEROZ "/>
    <x v="6"/>
    <n v="1"/>
    <s v="HOT N SOUR SOUP"/>
    <n v="350"/>
    <n v="52.5"/>
  </r>
  <r>
    <n v="341"/>
    <s v="HCFM-0663"/>
    <s v="JAM FEROZ "/>
    <x v="6"/>
    <n v="1"/>
    <s v="SHISH TAOUK"/>
    <n v="1200"/>
    <n v="180"/>
  </r>
  <r>
    <n v="342"/>
    <s v="HCFM-0663"/>
    <s v="JAM FEROZ "/>
    <x v="6"/>
    <n v="1"/>
    <s v="HC SPECIAL CHICKEN POPCORN"/>
    <n v="500"/>
    <n v="75"/>
  </r>
  <r>
    <n v="343"/>
    <s v="HCFM-0663"/>
    <s v="JAM FEROZ "/>
    <x v="6"/>
    <n v="1"/>
    <s v="HC SPECIAL MUTTON KARAHI"/>
    <n v="1800"/>
    <n v="270"/>
  </r>
  <r>
    <n v="344"/>
    <s v="HCFM-0663"/>
    <s v="JAM FEROZ "/>
    <x v="6"/>
    <n v="1"/>
    <s v="CHICKEN SHASHLIK RICE"/>
    <n v="800"/>
    <n v="120"/>
  </r>
  <r>
    <n v="345"/>
    <s v="HCFM-0663"/>
    <s v="JAM FEROZ "/>
    <x v="6"/>
    <n v="1"/>
    <s v="MINERAL WATER LARGE"/>
    <n v="150"/>
    <n v="22.5"/>
  </r>
  <r>
    <n v="346"/>
    <s v="HCFM-0663"/>
    <s v="JAM FEROZ "/>
    <x v="6"/>
    <n v="3"/>
    <s v="PLAIN NAAN"/>
    <n v="210"/>
    <n v="31.5"/>
  </r>
  <r>
    <n v="347"/>
    <s v="HCFM-0663"/>
    <s v="JAM FEROZ "/>
    <x v="6"/>
    <n v="1"/>
    <s v="ROGHNI NAAN"/>
    <n v="150"/>
    <n v="22.5"/>
  </r>
  <r>
    <n v="348"/>
    <s v="HCFM-0663"/>
    <s v="JAM FEROZ "/>
    <x v="6"/>
    <n v="1"/>
    <s v="RAITA"/>
    <n v="200"/>
    <n v="30"/>
  </r>
  <r>
    <n v="349"/>
    <s v="HCFM-0683"/>
    <s v="MR. YASIR RASHEED"/>
    <x v="6"/>
    <n v="1"/>
    <s v="BEEF CHEESE BURGER"/>
    <n v="750"/>
    <n v="112.5"/>
  </r>
  <r>
    <n v="350"/>
    <s v="HCFM-0683"/>
    <s v="MR. YASIR RASHEED"/>
    <x v="6"/>
    <n v="1"/>
    <s v="ZINGER BURGER"/>
    <n v="700"/>
    <n v="105"/>
  </r>
  <r>
    <n v="351"/>
    <s v="HCFM-0683"/>
    <s v="MR. YASIR RASHEED"/>
    <x v="6"/>
    <n v="2"/>
    <s v="PLAIN FRIES"/>
    <n v="500"/>
    <n v="75"/>
  </r>
  <r>
    <n v="352"/>
    <s v="HCFM-0683"/>
    <s v="MR. YASIR RASHEED"/>
    <x v="6"/>
    <n v="2"/>
    <s v="GREEN TEA"/>
    <n v="300"/>
    <n v="45"/>
  </r>
  <r>
    <n v="353"/>
    <s v="HCFM-0683"/>
    <s v="MR. YASIR RASHEED"/>
    <x v="6"/>
    <n v="2"/>
    <s v="MINERAL WATER SMALL"/>
    <n v="200"/>
    <n v="30"/>
  </r>
  <r>
    <n v="354"/>
    <s v="HCFM-0684"/>
    <s v="MR. ZAMIR ALI SHAH"/>
    <x v="6"/>
    <n v="2"/>
    <s v="MINERAL WATER LARGE"/>
    <n v="300"/>
    <n v="45"/>
  </r>
  <r>
    <n v="355"/>
    <s v="HCFM-0684"/>
    <s v="MR. ZAMIR ALI SHAH"/>
    <x v="6"/>
    <n v="2"/>
    <s v="SPECIAL CHICKEN POPCORN"/>
    <n v="1000"/>
    <n v="150"/>
  </r>
  <r>
    <n v="356"/>
    <s v="HCFM-0684"/>
    <s v="MR. ZAMIR ALI SHAH"/>
    <x v="6"/>
    <n v="2"/>
    <s v="CLUB SANDWICH"/>
    <n v="2500"/>
    <n v="375"/>
  </r>
  <r>
    <n v="357"/>
    <s v="HCFM-0684"/>
    <s v="MR. ZAMIR ALI SHAH"/>
    <x v="6"/>
    <n v="2"/>
    <s v="CHICKEN DYNAMITE"/>
    <n v="1700"/>
    <n v="255"/>
  </r>
  <r>
    <n v="358"/>
    <s v="HCFM-0654"/>
    <s v="SYED JIBRAN MUSHTAQ"/>
    <x v="6"/>
    <n v="3"/>
    <s v="MINERAL WATER SMALL"/>
    <n v="300"/>
    <n v="45"/>
  </r>
  <r>
    <n v="359"/>
    <s v="HCFM-0654"/>
    <s v="SYED JIBRAN MUSHTAQ"/>
    <x v="6"/>
    <n v="1"/>
    <s v="MINERAL WATER LARGE"/>
    <n v="150"/>
    <n v="22.5"/>
  </r>
  <r>
    <n v="360"/>
    <s v="HCFM-0654"/>
    <s v="SYED JIBRAN MUSHTAQ"/>
    <x v="6"/>
    <n v="1"/>
    <s v="PLAIN FRIES"/>
    <n v="250"/>
    <n v="37.5"/>
  </r>
  <r>
    <n v="361"/>
    <s v="HCFM-0654"/>
    <s v="SYED JIBRAN MUSHTAQ"/>
    <x v="6"/>
    <n v="6"/>
    <s v="DOUGHNUTS"/>
    <s v="TAMBOLA "/>
    <m/>
  </r>
  <r>
    <n v="362"/>
    <s v="HCFM-0654"/>
    <s v="SYED JIBRAN MUSHTAQ"/>
    <x v="6"/>
    <n v="4"/>
    <s v="SUNDAY BRUNCH"/>
    <s v="TAMBOLA "/>
    <m/>
  </r>
  <r>
    <n v="363"/>
    <s v="HCFM-0586"/>
    <s v="MR.SYED MURTAZA ALI"/>
    <x v="6"/>
    <n v="2"/>
    <s v="SUNDAY BRUNCH"/>
    <s v="TAMBOLA "/>
    <m/>
  </r>
  <r>
    <n v="364"/>
    <s v="HCFM-0583"/>
    <s v="MR.CAREL HEDRIK BURGER"/>
    <x v="6"/>
    <n v="8"/>
    <s v="SUNDAY BRUNCH "/>
    <n v="14800"/>
    <n v="2220"/>
  </r>
  <r>
    <n v="365"/>
    <s v="HCFM-0583"/>
    <s v="MR.CAREL HEDRIK BURGER"/>
    <x v="6"/>
    <n v="2"/>
    <s v="MINERAL WATER LARGE"/>
    <n v="300"/>
    <n v="45"/>
  </r>
  <r>
    <n v="366"/>
    <s v="HCFM-0583"/>
    <s v="MR.CAREL HEDRIK BURGER"/>
    <x v="6"/>
    <n v="4"/>
    <s v="LASSI"/>
    <n v="1200"/>
    <n v="180"/>
  </r>
  <r>
    <n v="367"/>
    <s v="HCFM-0583"/>
    <s v="MR.CAREL HEDRIK BURGER"/>
    <x v="6"/>
    <n v="2"/>
    <s v="COFFEE CAPPUCINO"/>
    <n v="700"/>
    <n v="105"/>
  </r>
  <r>
    <n v="368"/>
    <s v="HCFM-0588"/>
    <s v="ZULFIQAR AHMED MEMON"/>
    <x v="6"/>
    <n v="8"/>
    <s v="SUNDAY BRUNCH "/>
    <n v="14800"/>
    <n v="2220"/>
  </r>
  <r>
    <n v="369"/>
    <s v="HCFM-0588"/>
    <s v="ZULFIQAR AHMED MEMON"/>
    <x v="6"/>
    <n v="2"/>
    <s v="MINERAL WATER LARGE"/>
    <n v="300"/>
    <n v="45"/>
  </r>
  <r>
    <n v="370"/>
    <s v="HCFM-0588"/>
    <s v="ZULFIQAR AHMED MEMON"/>
    <x v="6"/>
    <n v="4"/>
    <s v="LASSI"/>
    <n v="1200"/>
    <n v="180"/>
  </r>
  <r>
    <n v="371"/>
    <s v="HCFM-0586"/>
    <s v="MR.SYED MURTAZA ALI"/>
    <x v="6"/>
    <n v="1"/>
    <s v="SUNDAY BRUNCH"/>
    <n v="1550"/>
    <n v="232.5"/>
  </r>
  <r>
    <n v="372"/>
    <s v="HCFM-0586"/>
    <s v="MR.SYED MURTAZA ALI"/>
    <x v="6"/>
    <n v="1"/>
    <s v="MINERAL WATER LARGE"/>
    <n v="150"/>
    <n v="22.5"/>
  </r>
  <r>
    <n v="373"/>
    <s v="HCFM-0586"/>
    <s v="MR.SYED MURTAZA ALI"/>
    <x v="6"/>
    <n v="2"/>
    <s v="LASSI"/>
    <n v="600"/>
    <n v="90"/>
  </r>
  <r>
    <n v="374"/>
    <s v="HCFM-0586"/>
    <s v="MR.SYED MURTAZA ALI"/>
    <x v="6"/>
    <n v="1"/>
    <s v="BLACK COFFEE"/>
    <n v="300"/>
    <n v="45"/>
  </r>
  <r>
    <n v="375"/>
    <s v="HCFM-0657"/>
    <s v="NASIR ABBAS"/>
    <x v="6"/>
    <n v="7"/>
    <s v="SUNDAY BRUNCH"/>
    <n v="10850"/>
    <n v="1627.5"/>
  </r>
  <r>
    <n v="376"/>
    <s v="HCFM-0657"/>
    <s v="NASIR ABBAS"/>
    <x v="6"/>
    <n v="1"/>
    <s v="MINERAL WATER LARGE"/>
    <n v="150"/>
    <n v="22.5"/>
  </r>
  <r>
    <n v="377"/>
    <s v="HCFM-0657"/>
    <s v="NASIR ABBAS"/>
    <x v="6"/>
    <n v="5"/>
    <s v="LASSI"/>
    <n v="1500"/>
    <n v="225"/>
  </r>
  <r>
    <n v="378"/>
    <s v="HCFM-0657"/>
    <s v="NASIR ABBAS"/>
    <x v="6"/>
    <n v="2"/>
    <s v="SOFT DRINKS"/>
    <n v="300"/>
    <n v="45"/>
  </r>
  <r>
    <n v="379"/>
    <s v="HCFM-0532"/>
    <s v="MR.KHALID JAVED"/>
    <x v="6"/>
    <n v="4"/>
    <s v="SUNDAY BRUNCH"/>
    <n v="6200"/>
    <n v="930"/>
  </r>
  <r>
    <n v="380"/>
    <s v="HCFM-0532"/>
    <s v="MR.KHALID JAVED"/>
    <x v="6"/>
    <n v="1"/>
    <s v="MINERAL WATER LARGE"/>
    <n v="150"/>
    <n v="22.5"/>
  </r>
  <r>
    <n v="381"/>
    <s v="HCFM-0542"/>
    <s v="MR.HANIF AHSAN ZUBEDI"/>
    <x v="6"/>
    <n v="14"/>
    <s v="SUNDAY BRUNCH"/>
    <n v="21700"/>
    <n v="3255"/>
  </r>
  <r>
    <n v="382"/>
    <s v="HCFM-0542"/>
    <s v="MR.HANIF AHSAN ZUBEDI"/>
    <x v="6"/>
    <n v="4"/>
    <s v="MINERAL WATER LARGE"/>
    <n v="600"/>
    <n v="90"/>
  </r>
  <r>
    <n v="383"/>
    <s v="HCFM-0542"/>
    <s v="MR.HANIF AHSAN ZUBEDI"/>
    <x v="6"/>
    <n v="5"/>
    <s v="SUNDAY BRUNCH KIDS"/>
    <n v="3875"/>
    <n v="581.25"/>
  </r>
  <r>
    <n v="384"/>
    <s v="HCFM-0519"/>
    <s v="DR.NAZEER HUSSAIN KALHORO"/>
    <x v="6"/>
    <n v="5"/>
    <s v="SUNDAY BRUNCH "/>
    <n v="9250"/>
    <n v="1387.5"/>
  </r>
  <r>
    <n v="385"/>
    <s v="HCFM-0519"/>
    <s v="DR.NAZEER HUSSAIN KALHORO"/>
    <x v="6"/>
    <n v="1"/>
    <s v="MINERAL WATER LARGE"/>
    <n v="150"/>
    <n v="22.5"/>
  </r>
  <r>
    <n v="386"/>
    <s v="HCFM-0519"/>
    <s v="DR.NAZEER HUSSAIN KALHORO"/>
    <x v="6"/>
    <n v="1"/>
    <s v="MINERAL WATER SMALL"/>
    <n v="100"/>
    <n v="15"/>
  </r>
  <r>
    <n v="387"/>
    <s v="HCFM-0519"/>
    <s v="DR.NAZEER HUSSAIN KALHORO"/>
    <x v="6"/>
    <n v="2"/>
    <s v="SOFT DRINKS"/>
    <n v="300"/>
    <n v="45"/>
  </r>
  <r>
    <n v="388"/>
    <s v="HCFM-0519"/>
    <s v="DR.NAZEER HUSSAIN KALHORO"/>
    <x v="6"/>
    <n v="1"/>
    <s v="SUNDAY BRUNCH KIDS "/>
    <n v="925"/>
    <n v="138.75"/>
  </r>
  <r>
    <n v="389"/>
    <s v="HCFM-0545"/>
    <s v="MR. HASAN KARIM"/>
    <x v="6"/>
    <n v="2"/>
    <s v="SUNDAY BRUNCH "/>
    <n v="3700"/>
    <n v="555"/>
  </r>
  <r>
    <n v="390"/>
    <s v="HCFM-0545"/>
    <s v="MR. HASAN KARIM"/>
    <x v="6"/>
    <n v="1"/>
    <s v="LASSI"/>
    <n v="300"/>
    <n v="45"/>
  </r>
  <r>
    <n v="391"/>
    <s v="HCFM-0589"/>
    <s v="DGM.REHAN TARIQ"/>
    <x v="6"/>
    <n v="2"/>
    <s v="SUNDAY BRUNCH "/>
    <n v="3700"/>
    <n v="555"/>
  </r>
  <r>
    <n v="392"/>
    <s v="HCFM-0589"/>
    <s v="DGM.REHAN TARIQ"/>
    <x v="6"/>
    <n v="2"/>
    <s v="MINERAL WATER SMALL"/>
    <n v="200"/>
    <n v="30"/>
  </r>
  <r>
    <n v="393"/>
    <s v="HCFM-0654"/>
    <s v="SYED JIBRAN MUSHTAQ"/>
    <x v="6"/>
    <n v="2"/>
    <s v="SUNDAY BRUNCH "/>
    <n v="3700"/>
    <n v="555"/>
  </r>
  <r>
    <n v="394"/>
    <s v="HCFM-0654"/>
    <s v="SYED JIBRAN MUSHTAQ"/>
    <x v="6"/>
    <n v="3"/>
    <s v="COFFEE CAPPUCINO"/>
    <n v="1050"/>
    <n v="157.5"/>
  </r>
  <r>
    <n v="395"/>
    <s v="HCFM-0654"/>
    <s v="SYED JIBRAN MUSHTAQ"/>
    <x v="6"/>
    <n v="2"/>
    <s v="MINERAL WATER SMALL"/>
    <n v="200"/>
    <n v="30"/>
  </r>
  <r>
    <n v="396"/>
    <s v="HCFM-0581"/>
    <s v="BRIG DR. GHULAM MEHDI (Retd)"/>
    <x v="6"/>
    <n v="2"/>
    <s v="SUNDAY BRUNCH "/>
    <n v="3700"/>
    <n v="555"/>
  </r>
  <r>
    <n v="397"/>
    <s v="HCFM-0581"/>
    <s v="BRIG DR. GHULAM MEHDI (Retd)"/>
    <x v="6"/>
    <n v="2"/>
    <s v="LASSI"/>
    <n v="600"/>
    <n v="90"/>
  </r>
  <r>
    <n v="398"/>
    <s v="HCFM-0581"/>
    <s v="BRIG DR. GHULAM MEHDI (Retd)"/>
    <x v="6"/>
    <n v="1"/>
    <s v="MINERAL WATER SMALL"/>
    <n v="100"/>
    <n v="15"/>
  </r>
  <r>
    <n v="399"/>
    <s v="HCFM-0655"/>
    <s v="SADDAM HUSSAIN"/>
    <x v="7"/>
    <n v="1"/>
    <s v="HOT N SOUR SOUP"/>
    <n v="350"/>
    <n v="52.5"/>
  </r>
  <r>
    <n v="400"/>
    <s v="HCFM-0655"/>
    <s v="SADDAM HUSSAIN"/>
    <x v="7"/>
    <n v="3"/>
    <s v="SPECIAL CHICKEN POPCORN"/>
    <n v="1500"/>
    <n v="225"/>
  </r>
  <r>
    <n v="401"/>
    <s v="HCFM-0655"/>
    <s v="SADDAM HUSSAIN"/>
    <x v="7"/>
    <n v="1"/>
    <s v="CLUB SANDWICH"/>
    <n v="1250"/>
    <n v="187.5"/>
  </r>
  <r>
    <n v="402"/>
    <s v="HCFM-0655"/>
    <s v="SADDAM HUSSAIN"/>
    <x v="7"/>
    <n v="2"/>
    <s v="PLAIN FRIES"/>
    <n v="500"/>
    <n v="75"/>
  </r>
  <r>
    <n v="403"/>
    <s v="HCFM-0655"/>
    <s v="SADDAM HUSSAIN"/>
    <x v="7"/>
    <n v="1"/>
    <s v="APPLE JUICE"/>
    <n v="200"/>
    <n v="30"/>
  </r>
  <r>
    <n v="404"/>
    <s v="HCFM-0655"/>
    <s v="SADDAM HUSSAIN"/>
    <x v="7"/>
    <n v="2"/>
    <s v="MINERAL WATER LARGE"/>
    <n v="300"/>
    <n v="45"/>
  </r>
  <r>
    <n v="405"/>
    <s v="HCFM-0503"/>
    <s v="MR.GHULAM NABI OTHI"/>
    <x v="7"/>
    <n v="1"/>
    <s v="MINERAL WATER LARGE"/>
    <n v="150"/>
    <n v="22.5"/>
  </r>
  <r>
    <n v="406"/>
    <s v="HCFM-0503"/>
    <s v="MR.GHULAM NABI OTHI"/>
    <x v="7"/>
    <n v="2"/>
    <s v="MINERAL WATER SMALL"/>
    <n v="200"/>
    <n v="30"/>
  </r>
  <r>
    <n v="407"/>
    <s v="HCFM-0503"/>
    <s v="MR.GHULAM NABI OTHI"/>
    <x v="7"/>
    <n v="2"/>
    <s v="PEANUT AND NIMCO"/>
    <n v="600"/>
    <n v="90"/>
  </r>
  <r>
    <n v="408"/>
    <s v="HCFM-0663"/>
    <s v="JAM FEROZ "/>
    <x v="7"/>
    <n v="2"/>
    <s v="MUTTON KARAHI (RED/WHITE/GREEN)"/>
    <n v="3600"/>
    <n v="540"/>
  </r>
  <r>
    <n v="409"/>
    <s v="HCFM-0663"/>
    <s v="JAM FEROZ "/>
    <x v="7"/>
    <n v="2"/>
    <s v="CHICKEN HANDI"/>
    <n v="2000"/>
    <n v="300"/>
  </r>
  <r>
    <n v="410"/>
    <s v="HCFM-0663"/>
    <s v="JAM FEROZ "/>
    <x v="7"/>
    <n v="5"/>
    <s v="PLAIN NAAN"/>
    <n v="350"/>
    <n v="52.5"/>
  </r>
  <r>
    <n v="411"/>
    <s v="HCFM-0663"/>
    <s v="JAM FEROZ "/>
    <x v="7"/>
    <n v="1"/>
    <s v="FRESH GARDEN SALAD"/>
    <n v="800"/>
    <n v="120"/>
  </r>
  <r>
    <n v="412"/>
    <s v="HCFM-0663"/>
    <s v="JAM FEROZ "/>
    <x v="7"/>
    <n v="1"/>
    <s v="RAITA"/>
    <n v="200"/>
    <n v="30"/>
  </r>
  <r>
    <n v="413"/>
    <s v="HCFM-0663"/>
    <s v="JAM FEROZ "/>
    <x v="7"/>
    <n v="2"/>
    <s v="CLUB SANDWICH"/>
    <n v="2500"/>
    <n v="375"/>
  </r>
  <r>
    <n v="414"/>
    <s v="HCFM-0663"/>
    <s v="JAM FEROZ "/>
    <x v="7"/>
    <n v="3"/>
    <s v="COFFEE CAPPUCINO"/>
    <n v="1050"/>
    <n v="157.5"/>
  </r>
  <r>
    <n v="415"/>
    <s v="HCFM-0663"/>
    <s v="JAM FEROZ "/>
    <x v="7"/>
    <n v="1"/>
    <s v="MINERAL WATER LARGE"/>
    <n v="150"/>
    <n v="22.5"/>
  </r>
  <r>
    <n v="416"/>
    <s v="HCFM-0515"/>
    <s v="MR.TARIQUE ZUBAIR"/>
    <x v="7"/>
    <n v="1"/>
    <s v="CHICKEN CHOWMEIN"/>
    <n v="950"/>
    <n v="142.5"/>
  </r>
  <r>
    <n v="417"/>
    <s v="HCFM-0680"/>
    <s v="MR. AYAZ JAMRO"/>
    <x v="7"/>
    <n v="1"/>
    <s v="MASHROOM CHEESE OMELETTE"/>
    <n v="450"/>
    <n v="67.5"/>
  </r>
  <r>
    <n v="418"/>
    <s v="HCFM-0680"/>
    <s v="MR. AYAZ JAMRO"/>
    <x v="7"/>
    <n v="1"/>
    <s v="GRILLED CHICKEN SANDWICH"/>
    <n v="575"/>
    <n v="86.25"/>
  </r>
  <r>
    <n v="419"/>
    <s v="HCFM-0680"/>
    <s v="MR. AYAZ JAMRO"/>
    <x v="7"/>
    <n v="1"/>
    <s v="TAWA PARATHA"/>
    <n v="150"/>
    <n v="22.5"/>
  </r>
  <r>
    <n v="420"/>
    <s v="HCFM-0680"/>
    <s v="MR. AYAZ JAMRO"/>
    <x v="7"/>
    <n v="1"/>
    <s v="MINERAL WATER SMALL"/>
    <n v="100"/>
    <n v="15"/>
  </r>
  <r>
    <n v="421"/>
    <s v="HCFM-0680"/>
    <s v="MR. AYAZ JAMRO"/>
    <x v="7"/>
    <n v="1"/>
    <s v="LATTE COFFEE"/>
    <n v="350"/>
    <n v="52.5"/>
  </r>
  <r>
    <n v="422"/>
    <s v="HCFM-0521"/>
    <s v="MR.HAFEEZ AHMED SIYAL"/>
    <x v="7"/>
    <n v="1"/>
    <s v="MINERAL WATER SMALL"/>
    <n v="100"/>
    <n v="15"/>
  </r>
  <r>
    <n v="423"/>
    <s v="HCFM-0600"/>
    <s v="DR.FAKHRUNISSA WAHEED"/>
    <x v="7"/>
    <n v="2"/>
    <s v="CREAM OF MASHROOM SOUP"/>
    <n v="800"/>
    <n v="120"/>
  </r>
  <r>
    <n v="424"/>
    <s v="HCFM-0600"/>
    <s v="DR.FAKHRUNISSA WAHEED"/>
    <x v="7"/>
    <n v="1"/>
    <s v="MAKHANI KARAHI"/>
    <n v="1000"/>
    <n v="150"/>
  </r>
  <r>
    <n v="425"/>
    <s v="HCFM-0600"/>
    <s v="DR.FAKHRUNISSA WAHEED"/>
    <x v="7"/>
    <n v="1"/>
    <s v="SINGAPOREAN FRIED RICE"/>
    <n v="1000"/>
    <n v="150"/>
  </r>
  <r>
    <n v="426"/>
    <s v="HCFM-0600"/>
    <s v="DR.FAKHRUNISSA WAHEED"/>
    <x v="7"/>
    <n v="1"/>
    <s v="PIZZA FRIES FULL"/>
    <n v="500"/>
    <n v="75"/>
  </r>
  <r>
    <n v="427"/>
    <s v="HCFM-0600"/>
    <s v="DR.FAKHRUNISSA WAHEED"/>
    <x v="7"/>
    <n v="3"/>
    <s v="TAWA PARATHA"/>
    <n v="450"/>
    <n v="67.5"/>
  </r>
  <r>
    <n v="428"/>
    <s v="HCFM-0600"/>
    <s v="DR.FAKHRUNISSA WAHEED"/>
    <x v="7"/>
    <n v="2"/>
    <s v="PLAIN NAAN"/>
    <n v="140"/>
    <n v="21"/>
  </r>
  <r>
    <n v="429"/>
    <s v="HCFM-0600"/>
    <s v="DR.FAKHRUNISSA WAHEED"/>
    <x v="7"/>
    <n v="1"/>
    <s v="MINERAL WATER LARGE"/>
    <n v="150"/>
    <n v="22.5"/>
  </r>
  <r>
    <n v="430"/>
    <s v="HCFM-0600"/>
    <s v="DR.FAKHRUNISSA WAHEED"/>
    <x v="7"/>
    <n v="1"/>
    <s v="PLAIN FRIES"/>
    <n v="250"/>
    <n v="37.5"/>
  </r>
  <r>
    <n v="431"/>
    <s v="HCFM-0600"/>
    <s v="DR.FAKHRUNISSA WAHEED"/>
    <x v="7"/>
    <n v="4"/>
    <s v="SOFT DRINKS"/>
    <n v="600"/>
    <n v="90"/>
  </r>
  <r>
    <n v="432"/>
    <s v="HCFM-0507"/>
    <s v="MR.SYED TAHIR ABBAS"/>
    <x v="8"/>
    <n v="2"/>
    <s v="MASHROOM CHEESE OMELETTE"/>
    <n v="900"/>
    <n v="135"/>
  </r>
  <r>
    <n v="433"/>
    <s v="HCFM-0507"/>
    <s v="MR.SYED TAHIR ABBAS"/>
    <x v="8"/>
    <n v="2"/>
    <s v="PAKISTANI OMELETTE"/>
    <n v="600"/>
    <n v="90"/>
  </r>
  <r>
    <n v="434"/>
    <s v="HCFM-0507"/>
    <s v="MR.SYED TAHIR ABBAS"/>
    <x v="8"/>
    <n v="3"/>
    <s v="TAWA PARATHA"/>
    <n v="450"/>
    <n v="67.5"/>
  </r>
  <r>
    <n v="435"/>
    <s v="HCFM-0507"/>
    <s v="MR.SYED TAHIR ABBAS"/>
    <x v="8"/>
    <n v="5"/>
    <s v="BROWN BREAD"/>
    <n v="300"/>
    <n v="45"/>
  </r>
  <r>
    <n v="436"/>
    <s v="HCFM-0507"/>
    <s v="MR.SYED TAHIR ABBAS"/>
    <x v="8"/>
    <n v="4"/>
    <s v="MIX TEA"/>
    <n v="800"/>
    <n v="120"/>
  </r>
  <r>
    <n v="437"/>
    <s v="HCFM-0507"/>
    <s v="MR.SYED TAHIR ABBAS"/>
    <x v="8"/>
    <n v="1"/>
    <s v="MINERAL WATER LARGE"/>
    <n v="150"/>
    <n v="22.5"/>
  </r>
  <r>
    <n v="438"/>
    <s v="HCFM-0664"/>
    <s v="SHAHBAZ AHMED"/>
    <x v="8"/>
    <n v="2"/>
    <s v="CHICKEN PESHAWARI KARAHI"/>
    <n v="1800"/>
    <n v="270"/>
  </r>
  <r>
    <n v="439"/>
    <s v="HCFM-0664"/>
    <s v="SHAHBAZ AHMED"/>
    <x v="8"/>
    <n v="2"/>
    <s v="MAKHANI KARAHI"/>
    <n v="2000"/>
    <n v="300"/>
  </r>
  <r>
    <n v="440"/>
    <s v="HCFM-0664"/>
    <s v="SHAHBAZ AHMED"/>
    <x v="8"/>
    <n v="1"/>
    <s v="VEGETABLE FRIED RICE"/>
    <n v="300"/>
    <n v="45"/>
  </r>
  <r>
    <n v="441"/>
    <s v="HCFM-0664"/>
    <s v="SHAHBAZ AHMED"/>
    <x v="8"/>
    <n v="1"/>
    <s v="SINGAPOREAN FRIED RICE"/>
    <n v="1000"/>
    <n v="150"/>
  </r>
  <r>
    <n v="442"/>
    <s v="HCFM-0664"/>
    <s v="SHAHBAZ AHMED"/>
    <x v="8"/>
    <n v="1"/>
    <s v="CHICKEN MANCHURIAN"/>
    <n v="800"/>
    <n v="120"/>
  </r>
  <r>
    <n v="443"/>
    <s v="HCFM-0664"/>
    <s v="SHAHBAZ AHMED"/>
    <x v="8"/>
    <n v="1"/>
    <s v="RESHMI SEEKH KABAB"/>
    <n v="999"/>
    <n v="149.85"/>
  </r>
  <r>
    <n v="444"/>
    <s v="HCFM-0664"/>
    <s v="SHAHBAZ AHMED"/>
    <x v="8"/>
    <n v="1"/>
    <s v="SHISH TAOUK"/>
    <n v="1200"/>
    <n v="180"/>
  </r>
  <r>
    <n v="445"/>
    <s v="HCFM-0664"/>
    <s v="SHAHBAZ AHMED"/>
    <x v="8"/>
    <n v="1"/>
    <s v="MALAI BOTI"/>
    <n v="1150"/>
    <n v="172.5"/>
  </r>
  <r>
    <n v="446"/>
    <s v="HCFM-0664"/>
    <s v="SHAHBAZ AHMED"/>
    <x v="8"/>
    <n v="1"/>
    <s v="CHICKEN TIKKA"/>
    <n v="600"/>
    <n v="90"/>
  </r>
  <r>
    <n v="447"/>
    <s v="HCFM-0664"/>
    <s v="SHAHBAZ AHMED"/>
    <x v="8"/>
    <n v="1"/>
    <s v="RAITA"/>
    <n v="200"/>
    <n v="30"/>
  </r>
  <r>
    <n v="448"/>
    <s v="HCFM-0664"/>
    <s v="SHAHBAZ AHMED"/>
    <x v="8"/>
    <n v="3"/>
    <s v="MINERAL WATER LARGE"/>
    <n v="450"/>
    <n v="67.5"/>
  </r>
  <r>
    <n v="449"/>
    <s v="HCFM-0664"/>
    <s v="SHAHBAZ AHMED"/>
    <x v="8"/>
    <n v="7"/>
    <s v="PLAIN NAAN"/>
    <n v="490"/>
    <n v="73.5"/>
  </r>
  <r>
    <n v="450"/>
    <s v="HCFM-0664"/>
    <s v="SHAHBAZ AHMED"/>
    <x v="8"/>
    <n v="7"/>
    <s v="ROGHNI NAAN"/>
    <n v="1050"/>
    <n v="157.5"/>
  </r>
  <r>
    <n v="451"/>
    <s v="HCFM-0664"/>
    <s v="SHAHBAZ AHMED"/>
    <x v="8"/>
    <n v="2"/>
    <s v="RUSSIAN SALAD"/>
    <n v="800"/>
    <n v="120"/>
  </r>
  <r>
    <n v="452"/>
    <s v="HCFM-0639"/>
    <s v="HUSSAIN WAJID"/>
    <x v="8"/>
    <n v="3"/>
    <s v="GRILLED CHICKEN SANDWICH"/>
    <n v="1725"/>
    <n v="258.75"/>
  </r>
  <r>
    <n v="453"/>
    <s v="HCFM-0639"/>
    <s v="HUSSAIN WAJID"/>
    <x v="8"/>
    <n v="4"/>
    <s v="SOFT DRINKS"/>
    <n v="600"/>
    <n v="90"/>
  </r>
  <r>
    <n v="454"/>
    <s v="HCFM-0646"/>
    <s v="BAHRIA INTERNATIONAL HOSPITAL"/>
    <x v="8"/>
    <n v="40"/>
    <s v="CHICKEN PATTIES"/>
    <n v="4000"/>
    <m/>
  </r>
  <r>
    <n v="455"/>
    <s v="HCFM-0646"/>
    <s v="BAHRIA INTERNATIONAL HOSPITAL"/>
    <x v="8"/>
    <n v="12"/>
    <s v="ASSORTED PASTRY"/>
    <n v="3000"/>
    <m/>
  </r>
  <r>
    <n v="456"/>
    <s v="HCFM-0646"/>
    <s v="BAHRIA INTERNATIONAL HOSPITAL"/>
    <x v="8"/>
    <n v="9"/>
    <s v="DOUGHNUTS"/>
    <n v="1350"/>
    <m/>
  </r>
  <r>
    <n v="457"/>
    <s v="HCFM-0638"/>
    <s v="RIAZ FAZAL"/>
    <x v="8"/>
    <n v="2"/>
    <s v="MINERAL WATER LARGE"/>
    <n v="300"/>
    <n v="45"/>
  </r>
  <r>
    <n v="458"/>
    <s v="HCFM-0659"/>
    <s v="Heritage club"/>
    <x v="8"/>
    <n v="1"/>
    <s v="MIX TEA"/>
    <n v="200"/>
    <n v="30"/>
  </r>
  <r>
    <n v="459"/>
    <s v="HCFM-0659"/>
    <s v="Heritage club"/>
    <x v="8"/>
    <n v="1"/>
    <s v="MINERAL WATER SMALL"/>
    <n v="100"/>
    <n v="15"/>
  </r>
  <r>
    <n v="460"/>
    <s v="HCFM-0638"/>
    <s v="RIAZ FAZAL"/>
    <x v="8"/>
    <n v="1"/>
    <s v="CLUB SANDWICH"/>
    <n v="1250"/>
    <n v="187.5"/>
  </r>
  <r>
    <n v="461"/>
    <s v="HCFM-0641"/>
    <s v="AAMIR RASOOL"/>
    <x v="8"/>
    <n v="2"/>
    <s v="CLUB SANDWICH"/>
    <n v="2500"/>
    <n v="375"/>
  </r>
  <r>
    <n v="462"/>
    <s v="HCFM-0641"/>
    <s v="AAMIR RASOOL"/>
    <x v="8"/>
    <n v="1"/>
    <s v="MINERAL WATER LARGE"/>
    <n v="150"/>
    <n v="22.5"/>
  </r>
  <r>
    <n v="463"/>
    <s v="HCFM-0641"/>
    <s v="AAMIR RASOOL"/>
    <x v="8"/>
    <n v="6"/>
    <s v="MIX TEA"/>
    <n v="1200"/>
    <n v="180"/>
  </r>
  <r>
    <n v="464"/>
    <s v="HCFM-0641"/>
    <s v="AAMIR RASOOL"/>
    <x v="8"/>
    <n v="2"/>
    <s v="CHICKEN DYNAMITE"/>
    <n v="1700"/>
    <n v="255"/>
  </r>
  <r>
    <n v="465"/>
    <s v="HCFM-0641"/>
    <s v="AAMIR RASOOL"/>
    <x v="8"/>
    <n v="2"/>
    <s v="HC SPECIAL CHICKEN POPCORN"/>
    <n v="1000"/>
    <n v="150"/>
  </r>
  <r>
    <n v="466"/>
    <s v="HCFM-0661"/>
    <s v="ARSLAN KHAN ABRO "/>
    <x v="8"/>
    <n v="2"/>
    <s v="MINERAL WATER LARGE"/>
    <n v="300"/>
    <n v="45"/>
  </r>
  <r>
    <n v="467"/>
    <s v="HCFM-0661"/>
    <s v="ARSLAN KHAN ABRO "/>
    <x v="8"/>
    <n v="1"/>
    <s v="CHICKEN STRIPS"/>
    <n v="700"/>
    <n v="105"/>
  </r>
  <r>
    <n v="468"/>
    <s v="HCFM-0661"/>
    <s v="ARSLAN KHAN ABRO "/>
    <x v="8"/>
    <n v="1"/>
    <s v="MIX TEA"/>
    <n v="200"/>
    <n v="30"/>
  </r>
  <r>
    <n v="469"/>
    <s v="HCFM-0661"/>
    <s v="ARSLAN KHAN ABRO "/>
    <x v="8"/>
    <n v="1"/>
    <s v="GRILLED CHICKEN SANDWICH"/>
    <n v="575"/>
    <n v="86.25"/>
  </r>
  <r>
    <n v="470"/>
    <s v="HCFM-0659"/>
    <s v="Heritage club"/>
    <x v="8"/>
    <n v="1"/>
    <s v="LATTE COFFEE"/>
    <n v="350"/>
    <n v="52.5"/>
  </r>
  <r>
    <n v="471"/>
    <s v="HCFM-0659"/>
    <s v="Heritage club"/>
    <x v="8"/>
    <n v="1"/>
    <s v="MINT LEMONADE"/>
    <n v="350"/>
    <n v="52.5"/>
  </r>
  <r>
    <n v="472"/>
    <s v="HCFM-0659"/>
    <s v="Heritage club"/>
    <x v="9"/>
    <n v="1"/>
    <s v="CHOCOLATE CAKE 1 POUND"/>
    <n v="0"/>
    <n v="0"/>
  </r>
  <r>
    <n v="473"/>
    <s v="HCFM-0648"/>
    <s v="AYSM MIRZA"/>
    <x v="9"/>
    <n v="1"/>
    <s v="MINERAL WATER SMALL"/>
    <n v="100"/>
    <n v="15"/>
  </r>
  <r>
    <n v="474"/>
    <s v="HCFM-0648"/>
    <s v="AYSM MIRZA"/>
    <x v="9"/>
    <n v="2"/>
    <s v="MIX TEA"/>
    <n v="400"/>
    <n v="60"/>
  </r>
  <r>
    <n v="475"/>
    <s v="HCFM-0648"/>
    <s v="AYSM MIRZA"/>
    <x v="9"/>
    <n v="2"/>
    <s v="PLAIN POPCORN"/>
    <n v="1000"/>
    <n v="150"/>
  </r>
  <r>
    <n v="476"/>
    <s v="HCFM-0648"/>
    <s v="AYSM MIRZA"/>
    <x v="9"/>
    <n v="4"/>
    <s v="ZINGER BURGER"/>
    <n v="2800"/>
    <n v="420"/>
  </r>
  <r>
    <n v="477"/>
    <s v="HCFM-0648"/>
    <s v="AYSM MIRZA"/>
    <x v="9"/>
    <n v="1"/>
    <s v="PASTA"/>
    <n v="1200"/>
    <n v="180"/>
  </r>
  <r>
    <n v="478"/>
    <s v="HCFM-0504"/>
    <s v="MR.BILAL AHMED"/>
    <x v="9"/>
    <n v="3"/>
    <s v="COFFEE CAPPUCINO"/>
    <n v="1050"/>
    <n v="157.5"/>
  </r>
  <r>
    <n v="479"/>
    <s v="HCFM-0504"/>
    <s v="MR.BILAL AHMED"/>
    <x v="9"/>
    <n v="1"/>
    <s v="MINERAL WATER LARGE"/>
    <n v="150"/>
    <n v="22.5"/>
  </r>
  <r>
    <n v="480"/>
    <s v="HCFM-0521"/>
    <s v="MR.HAFEEZ AHMED SIYAL"/>
    <x v="9"/>
    <n v="1"/>
    <s v="CHINESE SZECHUAN SOUP"/>
    <n v="350"/>
    <n v="52.5"/>
  </r>
  <r>
    <n v="481"/>
    <s v="HCFM-0659"/>
    <s v="Heritage club"/>
    <x v="9"/>
    <n v="2"/>
    <s v="PLAIN FRIES"/>
    <n v="500"/>
    <n v="75"/>
  </r>
  <r>
    <n v="482"/>
    <s v="HCFM-0659"/>
    <s v="Heritage club"/>
    <x v="9"/>
    <n v="1"/>
    <s v="PLAIN POPCORN"/>
    <n v="500"/>
    <n v="75"/>
  </r>
  <r>
    <n v="483"/>
    <s v="HCFM-0650"/>
    <s v="KHURRAM FIRDOUS"/>
    <x v="9"/>
    <n v="1"/>
    <s v="CLUB SANDWICH"/>
    <n v="1250"/>
    <n v="187.5"/>
  </r>
  <r>
    <n v="484"/>
    <s v="HCFM-0650"/>
    <s v="KHURRAM FIRDOUS"/>
    <x v="9"/>
    <n v="1"/>
    <s v="PLAIN POPCORN"/>
    <n v="500"/>
    <n v="75"/>
  </r>
  <r>
    <n v="485"/>
    <s v="HCFM-0650"/>
    <s v="KHURRAM FIRDOUS"/>
    <x v="9"/>
    <n v="1"/>
    <s v="PLAIN FRIES"/>
    <n v="250"/>
    <n v="37.5"/>
  </r>
  <r>
    <n v="486"/>
    <s v="HCFM-0650"/>
    <s v="KHURRAM FIRDOUS"/>
    <x v="9"/>
    <n v="1"/>
    <s v="MINERAL WATER LARGE"/>
    <n v="150"/>
    <n v="22.5"/>
  </r>
  <r>
    <n v="487"/>
    <s v="HCFM-0677"/>
    <s v="MR. MUNAWAR HUSSAIN"/>
    <x v="9"/>
    <n v="1"/>
    <s v="MINERAL WATER SMALL"/>
    <n v="100"/>
    <n v="15"/>
  </r>
  <r>
    <n v="488"/>
    <s v="HCFM-0677"/>
    <s v="MR. MUNAWAR HUSSAIN"/>
    <x v="9"/>
    <n v="1"/>
    <s v="HOT N SOUR SOUP"/>
    <n v="350"/>
    <n v="52.5"/>
  </r>
  <r>
    <n v="489"/>
    <s v="HCFM-0677"/>
    <s v="MR. MUNAWAR HUSSAIN"/>
    <x v="9"/>
    <n v="1"/>
    <s v="HC SPECIAL DAAL MAKHNI"/>
    <n v="500"/>
    <n v="75"/>
  </r>
  <r>
    <n v="490"/>
    <s v="HCFM-0677"/>
    <s v="MR. MUNAWAR HUSSAIN"/>
    <x v="9"/>
    <n v="1"/>
    <s v="GARLIC NAAN"/>
    <n v="130"/>
    <n v="19.5"/>
  </r>
  <r>
    <n v="491"/>
    <s v="HCFM-0677"/>
    <s v="MR. MUNAWAR HUSSAIN"/>
    <x v="9"/>
    <n v="1"/>
    <s v="SOFT DRINKS"/>
    <n v="150"/>
    <n v="22.5"/>
  </r>
  <r>
    <n v="492"/>
    <s v="HCFM-0677"/>
    <s v="MR. MUNAWAR HUSSAIN"/>
    <x v="9"/>
    <n v="1"/>
    <s v="RAITA"/>
    <n v="200"/>
    <n v="30"/>
  </r>
  <r>
    <n v="493"/>
    <s v="HCFM-0677"/>
    <s v="MR. MUNAWAR HUSSAIN"/>
    <x v="9"/>
    <n v="1"/>
    <s v="PLAIN NAAN"/>
    <n v="70"/>
    <n v="10.5"/>
  </r>
  <r>
    <n v="494"/>
    <s v="HCFM-0679"/>
    <s v="MR. ANEEL ZAHOOR"/>
    <x v="9"/>
    <n v="1"/>
    <s v="MINERAL WATER SMALL"/>
    <n v="100"/>
    <n v="15"/>
  </r>
  <r>
    <n v="495"/>
    <s v="HCFM-0679"/>
    <s v="MR. ANEEL ZAHOOR"/>
    <x v="9"/>
    <n v="1"/>
    <s v="ZINGER BURGER"/>
    <n v="700"/>
    <n v="105"/>
  </r>
  <r>
    <n v="496"/>
    <s v="HCFM-0521"/>
    <s v="MR.HAFEEZ AHMED SIYAL"/>
    <x v="9"/>
    <n v="1"/>
    <s v="MINERAL WATER SMALL"/>
    <n v="100"/>
    <n v="15"/>
  </r>
  <r>
    <n v="497"/>
    <s v="HCFM-0648"/>
    <s v="AYSM MIRZA"/>
    <x v="9"/>
    <n v="1"/>
    <s v="MINERAL WATER SMALL"/>
    <n v="100"/>
    <n v="15"/>
  </r>
  <r>
    <n v="498"/>
    <s v="HCFM-0648"/>
    <s v="AYSM MIRZA"/>
    <x v="9"/>
    <n v="1"/>
    <s v="SOFT DRINKS"/>
    <n v="150"/>
    <n v="22.5"/>
  </r>
  <r>
    <n v="499"/>
    <s v="HCFM-0515"/>
    <s v="MR.TARIQUE ZUBAIR"/>
    <x v="9"/>
    <n v="1"/>
    <s v="CLUB SANDWICH"/>
    <n v="1250"/>
    <n v="187.5"/>
  </r>
  <r>
    <n v="500"/>
    <s v="HCFM-0515"/>
    <s v="MR.TARIQUE ZUBAIR"/>
    <x v="9"/>
    <n v="2"/>
    <s v="SOFT DRINKS"/>
    <n v="300"/>
    <n v="45"/>
  </r>
  <r>
    <n v="501"/>
    <s v="HCFM-0664"/>
    <s v="SHAHBAZ AHMED"/>
    <x v="9"/>
    <n v="1"/>
    <s v="MINERAL WATER SMALL"/>
    <n v="100"/>
    <n v="15"/>
  </r>
  <r>
    <n v="502"/>
    <s v="HCFM-0644"/>
    <s v="SABA AHSAN"/>
    <x v="9"/>
    <n v="1"/>
    <s v="MINERAL WATER SMALL"/>
    <n v="100"/>
    <n v="15"/>
  </r>
  <r>
    <n v="503"/>
    <s v="HCFM-0644"/>
    <s v="SABA AHSAN"/>
    <x v="9"/>
    <n v="1"/>
    <s v="CLUB SANDWICH"/>
    <n v="1250"/>
    <n v="187.5"/>
  </r>
  <r>
    <n v="504"/>
    <s v="HCFM-0644"/>
    <s v="SABA AHSAN"/>
    <x v="9"/>
    <n v="1"/>
    <s v="COFFEE CAPPUCINO"/>
    <n v="350"/>
    <n v="52.5"/>
  </r>
  <r>
    <n v="505"/>
    <s v="HCFM-0536"/>
    <s v="MR.ASHOK KUMAR"/>
    <x v="9"/>
    <n v="3"/>
    <s v="ZINGER BURGER"/>
    <n v="2100"/>
    <n v="315"/>
  </r>
  <r>
    <n v="506"/>
    <s v="HCFM-0536"/>
    <s v="MR.ASHOK KUMAR"/>
    <x v="9"/>
    <n v="1"/>
    <s v="CLUB SANDWICH"/>
    <n v="1250"/>
    <n v="187.5"/>
  </r>
  <r>
    <n v="507"/>
    <s v="HCFM-0536"/>
    <s v="MR.ASHOK KUMAR"/>
    <x v="9"/>
    <n v="4"/>
    <s v="MINERAL WATER SMALL"/>
    <n v="400"/>
    <n v="60"/>
  </r>
  <r>
    <n v="508"/>
    <s v="HCFM-0509"/>
    <s v="MR.SYED ABDULLAH ALI"/>
    <x v="9"/>
    <n v="1"/>
    <s v="MINERAL WATER SMALL"/>
    <n v="100"/>
    <n v="15"/>
  </r>
  <r>
    <n v="509"/>
    <s v="HCFM-0509"/>
    <s v="MR.SYED ABDULLAH ALI"/>
    <x v="9"/>
    <n v="1"/>
    <s v="PLAIN FRIES"/>
    <n v="250"/>
    <n v="37.5"/>
  </r>
  <r>
    <n v="510"/>
    <s v="HCFM-0679"/>
    <s v="MR. ANEEL ZAHOOR"/>
    <x v="9"/>
    <n v="1"/>
    <s v="CHICKEN HANDI"/>
    <n v="1000"/>
    <n v="150"/>
  </r>
  <r>
    <n v="511"/>
    <s v="HCFM-0679"/>
    <s v="MR. ANEEL ZAHOOR"/>
    <x v="9"/>
    <n v="1"/>
    <s v="MEDITERRANEAN GRILLED FISH"/>
    <n v="1100"/>
    <n v="165"/>
  </r>
  <r>
    <n v="512"/>
    <s v="HCFM-0679"/>
    <s v="MR. ANEEL ZAHOOR"/>
    <x v="9"/>
    <n v="2"/>
    <s v="GARLIC NAAN"/>
    <n v="260"/>
    <n v="39"/>
  </r>
  <r>
    <n v="513"/>
    <s v="HCFM-0679"/>
    <s v="MR. ANEEL ZAHOOR"/>
    <x v="9"/>
    <n v="2"/>
    <s v="ROGHNI NAAN"/>
    <n v="300"/>
    <n v="45"/>
  </r>
  <r>
    <n v="514"/>
    <s v="HCFM-0679"/>
    <s v="MR. ANEEL ZAHOOR"/>
    <x v="9"/>
    <n v="1"/>
    <s v="MALAI BOTI"/>
    <n v="1150"/>
    <n v="172.5"/>
  </r>
  <r>
    <n v="515"/>
    <s v="HCFM-0679"/>
    <s v="MR. ANEEL ZAHOOR"/>
    <x v="9"/>
    <n v="1"/>
    <s v="RESHMI SEEKH KABAB"/>
    <n v="999"/>
    <n v="149.85"/>
  </r>
  <r>
    <n v="516"/>
    <s v="HCFM-0554"/>
    <s v="MR.IMRAN WAZEER"/>
    <x v="9"/>
    <n v="1"/>
    <s v="MINERAL WATER LARGE"/>
    <n v="150"/>
    <n v="22.5"/>
  </r>
  <r>
    <n v="517"/>
    <s v="HCFM-0554"/>
    <s v="MR.IMRAN WAZEER"/>
    <x v="9"/>
    <n v="1"/>
    <s v="CHICKEN STRIPS"/>
    <n v="700"/>
    <n v="105"/>
  </r>
  <r>
    <n v="518"/>
    <s v="HCFM-0554"/>
    <s v="MR.IMRAN WAZEER"/>
    <x v="9"/>
    <n v="2"/>
    <s v="PIZZA FRIES HALF"/>
    <n v="500"/>
    <n v="75"/>
  </r>
  <r>
    <n v="519"/>
    <s v="HCFM-0554"/>
    <s v="MR.IMRAN WAZEER"/>
    <x v="9"/>
    <n v="1"/>
    <s v="PLAIN FRIES"/>
    <n v="250"/>
    <n v="37.5"/>
  </r>
  <r>
    <n v="520"/>
    <s v="HCFM-0554"/>
    <s v="MR.IMRAN WAZEER"/>
    <x v="9"/>
    <n v="1"/>
    <s v="PLAIN POPCORN"/>
    <n v="500"/>
    <n v="75"/>
  </r>
  <r>
    <n v="521"/>
    <s v="HCFM-0503"/>
    <s v="MR.GHULAM NABI OTHI"/>
    <x v="10"/>
    <n v="1"/>
    <s v="FISH N CHIPS"/>
    <n v="1200"/>
    <n v="180"/>
  </r>
  <r>
    <n v="522"/>
    <s v="HCFM-0503"/>
    <s v="MR.GHULAM NABI OTHI"/>
    <x v="10"/>
    <n v="2"/>
    <s v="MINERAL WATER LARGE"/>
    <n v="300"/>
    <n v="45"/>
  </r>
  <r>
    <n v="523"/>
    <s v="HCFM-0503"/>
    <s v="MR.GHULAM NABI OTHI"/>
    <x v="10"/>
    <n v="2"/>
    <s v="RESHMI SEEKH KABAB"/>
    <n v="1998"/>
    <n v="299.7"/>
  </r>
  <r>
    <n v="524"/>
    <s v="HCFM-0503"/>
    <s v="MR.GHULAM NABI OTHI"/>
    <x v="10"/>
    <n v="1"/>
    <s v="MALAI BOTI"/>
    <n v="1150"/>
    <n v="172.5"/>
  </r>
  <r>
    <n v="525"/>
    <s v="HCFM-0503"/>
    <s v="MR.GHULAM NABI OTHI"/>
    <x v="10"/>
    <n v="1"/>
    <s v="CHICKEN HANDI"/>
    <n v="1000"/>
    <n v="150"/>
  </r>
  <r>
    <n v="526"/>
    <s v="HCFM-0503"/>
    <s v="MR.GHULAM NABI OTHI"/>
    <x v="10"/>
    <n v="2"/>
    <s v="SHISH TAOUK"/>
    <n v="2400"/>
    <n v="360"/>
  </r>
  <r>
    <n v="527"/>
    <s v="HCFM-0503"/>
    <s v="MR.GHULAM NABI OTHI"/>
    <x v="10"/>
    <n v="4"/>
    <s v="GARLIC NAAN"/>
    <n v="520"/>
    <n v="78"/>
  </r>
  <r>
    <n v="528"/>
    <s v="HCFM-0503"/>
    <s v="MR.GHULAM NABI OTHI"/>
    <x v="10"/>
    <n v="1"/>
    <s v="RAITA"/>
    <n v="200"/>
    <n v="30"/>
  </r>
  <r>
    <n v="529"/>
    <s v="HCFM-0503"/>
    <s v="MR.GHULAM NABI OTHI"/>
    <x v="10"/>
    <n v="2"/>
    <s v="PLAIN NAAN"/>
    <n v="140"/>
    <n v="21"/>
  </r>
  <r>
    <n v="530"/>
    <s v="HCFM-0503"/>
    <s v="MR.GHULAM NABI OTHI"/>
    <x v="10"/>
    <n v="3"/>
    <s v="MIX NIMCO"/>
    <n v="900"/>
    <n v="135"/>
  </r>
  <r>
    <n v="531"/>
    <s v="HCFM-0586"/>
    <s v="MR.SYED MURTAZA ALI"/>
    <x v="10"/>
    <n v="1"/>
    <s v="FETTUCINE ALFREDO"/>
    <n v="900"/>
    <n v="135"/>
  </r>
  <r>
    <n v="532"/>
    <s v="HCFM-0586"/>
    <s v="MR.SYED MURTAZA ALI"/>
    <x v="10"/>
    <n v="1"/>
    <s v="PIZZA FRIES HALF"/>
    <n v="250"/>
    <n v="37.5"/>
  </r>
  <r>
    <n v="533"/>
    <s v="HCFM-0586"/>
    <s v="MR.SYED MURTAZA ALI"/>
    <x v="10"/>
    <n v="1"/>
    <s v="SOFT DRINKS"/>
    <n v="150"/>
    <n v="22.5"/>
  </r>
  <r>
    <n v="534"/>
    <s v="HCFM-0583"/>
    <s v="MR.CAREL HEDRIK BURGER"/>
    <x v="10"/>
    <n v="2"/>
    <s v="TEA"/>
    <n v="400"/>
    <n v="60"/>
  </r>
  <r>
    <n v="535"/>
    <s v="HCFM-0583"/>
    <s v="MR.CAREL HEDRIK BURGER"/>
    <x v="10"/>
    <n v="1"/>
    <s v="CLUB SANDWICH"/>
    <n v="1250"/>
    <n v="187.5"/>
  </r>
  <r>
    <n v="536"/>
    <s v="HCFM-0515"/>
    <s v="MR.TARIQUE ZUBAIR"/>
    <x v="10"/>
    <n v="4"/>
    <s v="PLAIN NAAN"/>
    <n v="280"/>
    <n v="42"/>
  </r>
  <r>
    <n v="537"/>
    <s v="HCFM-0515"/>
    <s v="MR.TARIQUE ZUBAIR"/>
    <x v="10"/>
    <n v="1"/>
    <s v="SHISH TAOUK"/>
    <n v="1200"/>
    <n v="180"/>
  </r>
  <r>
    <n v="538"/>
    <s v="HCFM-0650"/>
    <s v="KHURRAM FIRDOUS"/>
    <x v="11"/>
    <n v="2"/>
    <s v="SOFT DRINKS"/>
    <n v="300"/>
    <n v="45"/>
  </r>
  <r>
    <n v="539"/>
    <s v="HCFM-0646"/>
    <s v="BAHRIA INTERNATIONAL HOSPITAL"/>
    <x v="11"/>
    <n v="30"/>
    <s v="CHICKEN PATTIES"/>
    <n v="3000"/>
    <m/>
  </r>
  <r>
    <n v="540"/>
    <s v="HCFM-0646"/>
    <s v="BAHRIA INTERNATIONAL HOSPITAL"/>
    <x v="11"/>
    <n v="11"/>
    <s v="ASSORTED PASTRY"/>
    <n v="2750"/>
    <m/>
  </r>
  <r>
    <n v="541"/>
    <s v="HCFM-0646"/>
    <s v="BAHRIA INTERNATIONAL HOSPITAL"/>
    <x v="11"/>
    <n v="8"/>
    <s v="ASSORTED COOKIES"/>
    <n v="3200"/>
    <m/>
  </r>
  <r>
    <n v="542"/>
    <s v="HCFM-0503"/>
    <s v="MR.GHULAM NABI OTHI"/>
    <x v="11"/>
    <n v="1"/>
    <s v="PEANUT AND NIMCO"/>
    <n v="300"/>
    <n v="45"/>
  </r>
  <r>
    <n v="543"/>
    <s v="HCFM-0503"/>
    <s v="MR.GHULAM NABI OTHI"/>
    <x v="11"/>
    <n v="16"/>
    <s v="VODKA SINGLE"/>
    <n v="8800"/>
    <n v="1320"/>
  </r>
  <r>
    <n v="544"/>
    <s v="HCFM-0586"/>
    <s v="MR.SYED MURTAZA ALI"/>
    <x v="11"/>
    <n v="2"/>
    <s v="CHINESE SZECHUAN SOUP"/>
    <n v="700"/>
    <n v="105"/>
  </r>
  <r>
    <n v="545"/>
    <s v="HCFM-0650"/>
    <s v="KHURRAM FIRDOUS"/>
    <x v="11"/>
    <n v="1"/>
    <s v="MINERAL WATER LARGE"/>
    <n v="150"/>
    <n v="22.5"/>
  </r>
  <r>
    <n v="546"/>
    <s v="HCFM-0650"/>
    <s v="KHURRAM FIRDOUS"/>
    <x v="11"/>
    <n v="1"/>
    <s v="CHICKEN PATTIES"/>
    <n v="100"/>
    <n v="15"/>
  </r>
  <r>
    <n v="547"/>
    <s v="HCFM-0650"/>
    <s v="KHURRAM FIRDOUS"/>
    <x v="11"/>
    <n v="1"/>
    <s v="MIX TEA"/>
    <n v="200"/>
    <n v="30"/>
  </r>
  <r>
    <n v="548"/>
    <s v="HCFM-0650"/>
    <s v="KHURRAM FIRDOUS"/>
    <x v="11"/>
    <n v="1"/>
    <s v="MADRASI HANDI"/>
    <n v="900"/>
    <n v="135"/>
  </r>
  <r>
    <n v="549"/>
    <s v="HCFM-0650"/>
    <s v="KHURRAM FIRDOUS"/>
    <x v="11"/>
    <n v="2"/>
    <s v="CLUB SANDWICH"/>
    <n v="2500"/>
    <n v="375"/>
  </r>
  <r>
    <n v="550"/>
    <s v="HCFM-0650"/>
    <s v="KHURRAM FIRDOUS"/>
    <x v="11"/>
    <n v="1"/>
    <s v="SPECIAL BREAST LEG TIKKA"/>
    <n v="800"/>
    <n v="120"/>
  </r>
  <r>
    <n v="551"/>
    <s v="HCFM-0650"/>
    <s v="KHURRAM FIRDOUS"/>
    <x v="11"/>
    <n v="1"/>
    <s v="PLAIN FRIES"/>
    <n v="250"/>
    <n v="37.5"/>
  </r>
  <r>
    <n v="552"/>
    <s v="HCFM-0650"/>
    <s v="KHURRAM FIRDOUS"/>
    <x v="11"/>
    <n v="2"/>
    <s v="TAWA PARATHA"/>
    <n v="300"/>
    <n v="45"/>
  </r>
  <r>
    <n v="553"/>
    <s v="HCFM-0650"/>
    <s v="KHURRAM FIRDOUS"/>
    <x v="11"/>
    <n v="1"/>
    <s v="MINERAL WATER LARGE"/>
    <n v="150"/>
    <n v="22.5"/>
  </r>
  <r>
    <n v="554"/>
    <s v="HCFM-0650"/>
    <s v="KHURRAM FIRDOUS"/>
    <x v="11"/>
    <n v="1"/>
    <s v="HOT N SOUR SOUP"/>
    <n v="350"/>
    <n v="52.5"/>
  </r>
  <r>
    <n v="555"/>
    <s v="HCFM-0524"/>
    <s v="MR.MANOJ KUMAR"/>
    <x v="11"/>
    <n v="2"/>
    <s v="HOT N SOUR SOUP"/>
    <n v="700"/>
    <n v="105"/>
  </r>
  <r>
    <n v="556"/>
    <s v="HCFM-0524"/>
    <s v="MR.MANOJ KUMAR"/>
    <x v="11"/>
    <n v="2"/>
    <s v="CLUB SANDWICH"/>
    <n v="2500"/>
    <n v="375"/>
  </r>
  <r>
    <n v="557"/>
    <s v="HCFM-0524"/>
    <s v="MR.MANOJ KUMAR"/>
    <x v="11"/>
    <n v="1"/>
    <s v="CHICKEN CHOWMEIN"/>
    <n v="950"/>
    <n v="142.5"/>
  </r>
  <r>
    <n v="558"/>
    <s v="HCFM-0524"/>
    <s v="MR.MANOJ KUMAR"/>
    <x v="11"/>
    <n v="1"/>
    <s v="MALAI BOTI"/>
    <n v="1150"/>
    <n v="172.5"/>
  </r>
  <r>
    <n v="559"/>
    <s v="HCFM-0524"/>
    <s v="MR.MANOJ KUMAR"/>
    <x v="11"/>
    <n v="2"/>
    <s v="HC SPECIAL TIKKA"/>
    <n v="1600"/>
    <n v="240"/>
  </r>
  <r>
    <n v="560"/>
    <s v="HCFM-0524"/>
    <s v="MR.MANOJ KUMAR"/>
    <x v="11"/>
    <n v="2"/>
    <s v="GARLIC NAAN"/>
    <n v="260"/>
    <n v="39"/>
  </r>
  <r>
    <n v="561"/>
    <s v="HCFM-0524"/>
    <s v="MR.MANOJ KUMAR"/>
    <x v="11"/>
    <n v="2"/>
    <s v="PLAIN NAAN"/>
    <n v="140"/>
    <n v="21"/>
  </r>
  <r>
    <n v="562"/>
    <s v="HCFM-0524"/>
    <s v="MR.MANOJ KUMAR"/>
    <x v="11"/>
    <n v="1"/>
    <s v="MINERAL WATER LARGE"/>
    <n v="150"/>
    <n v="22.5"/>
  </r>
  <r>
    <n v="563"/>
    <s v="HCFM-0524"/>
    <s v="MR.MANOJ KUMAR"/>
    <x v="11"/>
    <n v="10"/>
    <s v="SOFT DRINKS"/>
    <n v="1500"/>
    <n v="225"/>
  </r>
  <r>
    <n v="564"/>
    <s v="HCFM-0524"/>
    <s v="MR.MANOJ KUMAR"/>
    <x v="11"/>
    <n v="1"/>
    <s v="PLAIN FRIES"/>
    <n v="250"/>
    <n v="37.5"/>
  </r>
  <r>
    <n v="565"/>
    <s v="HCFM-0684"/>
    <s v="MR. ZAMIR ALI SHAH"/>
    <x v="11"/>
    <n v="2"/>
    <s v="GRILLED CHICKEN SANDWICH"/>
    <n v="1150"/>
    <n v="172.5"/>
  </r>
  <r>
    <n v="566"/>
    <s v="HCFM-0684"/>
    <s v="MR. ZAMIR ALI SHAH"/>
    <x v="11"/>
    <n v="2"/>
    <s v="FINGER FISH N CHIPS"/>
    <n v="2500"/>
    <n v="375"/>
  </r>
  <r>
    <n v="567"/>
    <s v="HCFM-0684"/>
    <s v="MR. ZAMIR ALI SHAH"/>
    <x v="11"/>
    <n v="2"/>
    <s v="MIX TEA"/>
    <n v="400"/>
    <n v="60"/>
  </r>
  <r>
    <n v="568"/>
    <s v="HCFM-0684"/>
    <s v="MR. ZAMIR ALI SHAH"/>
    <x v="11"/>
    <n v="1"/>
    <s v="MINERAL WATER LARGE"/>
    <n v="150"/>
    <n v="22.5"/>
  </r>
  <r>
    <n v="569"/>
    <s v="HCFM-0684"/>
    <s v="MR. ZAMIR ALI SHAH"/>
    <x v="11"/>
    <n v="2"/>
    <s v="CHICKEN PESHAWARI KARAHI"/>
    <n v="1800"/>
    <n v="270"/>
  </r>
  <r>
    <n v="570"/>
    <s v="HCFM-0684"/>
    <s v="MR. ZAMIR ALI SHAH"/>
    <x v="11"/>
    <n v="2"/>
    <s v="RESHMI SEEKH KABAB"/>
    <n v="1998"/>
    <n v="299.7"/>
  </r>
  <r>
    <n v="571"/>
    <s v="HCFM-0684"/>
    <s v="MR. ZAMIR ALI SHAH"/>
    <x v="11"/>
    <n v="1"/>
    <s v="MALAI BOTI"/>
    <n v="1150"/>
    <n v="172.5"/>
  </r>
  <r>
    <n v="572"/>
    <s v="HCFM-0684"/>
    <s v="MR. ZAMIR ALI SHAH"/>
    <x v="11"/>
    <n v="1"/>
    <s v="SHISH TAOUK"/>
    <n v="1200"/>
    <n v="180"/>
  </r>
  <r>
    <n v="573"/>
    <s v="HCFM-0684"/>
    <s v="MR. ZAMIR ALI SHAH"/>
    <x v="11"/>
    <n v="1"/>
    <s v="HC SPECIAL TIKKA"/>
    <n v="800"/>
    <n v="120"/>
  </r>
  <r>
    <n v="574"/>
    <s v="HCFM-0684"/>
    <s v="MR. ZAMIR ALI SHAH"/>
    <x v="11"/>
    <n v="1"/>
    <s v="SINGAPOREAN FRIED RICE"/>
    <n v="1000"/>
    <n v="150"/>
  </r>
  <r>
    <n v="575"/>
    <s v="HCFM-0684"/>
    <s v="MR. ZAMIR ALI SHAH"/>
    <x v="11"/>
    <n v="6"/>
    <s v="GARLIC NAAN"/>
    <n v="780"/>
    <n v="117"/>
  </r>
  <r>
    <n v="576"/>
    <s v="HCFM-0684"/>
    <s v="MR. ZAMIR ALI SHAH"/>
    <x v="11"/>
    <n v="3"/>
    <s v="ROGHNI NAAN"/>
    <n v="450"/>
    <n v="67.5"/>
  </r>
  <r>
    <n v="577"/>
    <s v="HCFM-0684"/>
    <s v="MR. ZAMIR ALI SHAH"/>
    <x v="11"/>
    <n v="5"/>
    <s v="PLAIN NAAN"/>
    <n v="350"/>
    <n v="52.5"/>
  </r>
  <r>
    <n v="578"/>
    <s v="HCFM-0684"/>
    <s v="MR. ZAMIR ALI SHAH"/>
    <x v="11"/>
    <n v="3"/>
    <s v="RAITA"/>
    <n v="600"/>
    <n v="90"/>
  </r>
  <r>
    <n v="579"/>
    <s v="HCFM-0684"/>
    <s v="MR. ZAMIR ALI SHAH"/>
    <x v="11"/>
    <n v="2"/>
    <s v="FRESH GARDEN SALAD"/>
    <n v="1600"/>
    <n v="240"/>
  </r>
  <r>
    <n v="580"/>
    <s v="HCFM-0684"/>
    <s v="MR. ZAMIR ALI SHAH"/>
    <x v="11"/>
    <n v="2"/>
    <s v="SOFT DRINKS"/>
    <n v="300"/>
    <n v="45"/>
  </r>
  <r>
    <n v="581"/>
    <s v="HCFM-0684"/>
    <s v="MR. ZAMIR ALI SHAH"/>
    <x v="11"/>
    <n v="2"/>
    <s v="MINERAL WATER LARGE"/>
    <n v="300"/>
    <n v="45"/>
  </r>
  <r>
    <n v="582"/>
    <s v="HCFM-0684"/>
    <s v="MR. ZAMIR ALI SHAH"/>
    <x v="11"/>
    <n v="1"/>
    <s v="PLAIN FRIES"/>
    <n v="250"/>
    <n v="37.5"/>
  </r>
  <r>
    <n v="583"/>
    <s v="HCFM-0526"/>
    <s v="MR.MUIED AHMED DURRANI"/>
    <x v="11"/>
    <n v="1"/>
    <s v="GRILLED CHICKEN SANDWICH"/>
    <n v="575"/>
    <n v="86.25"/>
  </r>
  <r>
    <n v="584"/>
    <s v="HCFM-0526"/>
    <s v="MR.MUIED AHMED DURRANI"/>
    <x v="11"/>
    <n v="1"/>
    <s v="FRESH GARDEN SALAD"/>
    <n v="800"/>
    <n v="120"/>
  </r>
  <r>
    <n v="585"/>
    <s v="HCFM-0526"/>
    <s v="MR.MUIED AHMED DURRANI"/>
    <x v="11"/>
    <n v="2"/>
    <s v="HOT N SOUR SOUP"/>
    <n v="700"/>
    <n v="105"/>
  </r>
  <r>
    <n v="586"/>
    <s v="HCFM-0526"/>
    <s v="MR.MUIED AHMED DURRANI"/>
    <x v="11"/>
    <n v="1"/>
    <s v="COFFEE CAPPUCINO"/>
    <n v="350"/>
    <n v="52.5"/>
  </r>
  <r>
    <n v="587"/>
    <s v="HCFM-0526"/>
    <s v="MR.MUIED AHMED DURRANI"/>
    <x v="11"/>
    <n v="2"/>
    <s v="MIX TEA"/>
    <n v="400"/>
    <n v="60"/>
  </r>
  <r>
    <n v="588"/>
    <s v="HCFM-0526"/>
    <s v="MR.MUIED AHMED DURRANI"/>
    <x v="11"/>
    <n v="1"/>
    <s v="MINERAL WATER LARGE"/>
    <n v="150"/>
    <n v="22.5"/>
  </r>
  <r>
    <n v="589"/>
    <s v="HCFM-0513"/>
    <s v="MR.SAJJAD ALI"/>
    <x v="11"/>
    <n v="1"/>
    <s v="CHICKEN KARAHI"/>
    <n v="900"/>
    <n v="135"/>
  </r>
  <r>
    <n v="590"/>
    <s v="HCFM-0513"/>
    <s v="MR.SAJJAD ALI"/>
    <x v="11"/>
    <n v="1"/>
    <s v="FINGER FISH N CHIPS"/>
    <n v="1250"/>
    <n v="187.5"/>
  </r>
  <r>
    <n v="591"/>
    <s v="HCFM-0513"/>
    <s v="MR.SAJJAD ALI"/>
    <x v="11"/>
    <n v="1"/>
    <s v="RESHMI SEEKH KABAB"/>
    <n v="999"/>
    <n v="149.85"/>
  </r>
  <r>
    <n v="592"/>
    <s v="HCFM-0513"/>
    <s v="MR.SAJJAD ALI"/>
    <x v="11"/>
    <n v="4"/>
    <s v="HC SPECIAL TIKKA"/>
    <n v="3200"/>
    <n v="480"/>
  </r>
  <r>
    <n v="593"/>
    <s v="HCFM-0513"/>
    <s v="MR.SAJJAD ALI"/>
    <x v="11"/>
    <n v="2"/>
    <s v="DAAL MAKHANI"/>
    <n v="1200"/>
    <n v="180"/>
  </r>
  <r>
    <n v="594"/>
    <s v="HCFM-0513"/>
    <s v="MR.SAJJAD ALI"/>
    <x v="11"/>
    <n v="8"/>
    <s v="ROGHNI NAAN"/>
    <n v="1200"/>
    <n v="180"/>
  </r>
  <r>
    <n v="595"/>
    <s v="HCFM-0513"/>
    <s v="MR.SAJJAD ALI"/>
    <x v="11"/>
    <n v="1"/>
    <s v="MINERAL WATER SMALL"/>
    <n v="100"/>
    <n v="15"/>
  </r>
  <r>
    <n v="596"/>
    <s v="HCFM-0513"/>
    <s v="MR.SAJJAD ALI"/>
    <x v="11"/>
    <n v="3"/>
    <s v="SOFT DRINKS"/>
    <n v="450"/>
    <n v="67.5"/>
  </r>
  <r>
    <n v="597"/>
    <s v="HCFM-0513"/>
    <s v="MR.SAJJAD ALI"/>
    <x v="11"/>
    <n v="1"/>
    <s v="RAITA"/>
    <n v="200"/>
    <n v="30"/>
  </r>
  <r>
    <n v="598"/>
    <s v="HCFM-0513"/>
    <s v="MR.SAJJAD ALI"/>
    <x v="11"/>
    <n v="1"/>
    <s v="FRESH GARDEN SALAD"/>
    <n v="800"/>
    <n v="120"/>
  </r>
  <r>
    <n v="599"/>
    <s v="HCFM-0668"/>
    <s v="MR. KASHIF SAEED"/>
    <x v="11"/>
    <n v="3"/>
    <s v="SOFT DRINKS"/>
    <n v="450"/>
    <n v="67.5"/>
  </r>
  <r>
    <n v="600"/>
    <s v="HCFM-0668"/>
    <s v="MR. KASHIF SAEED"/>
    <x v="11"/>
    <n v="1"/>
    <s v="TENDERLOIN STEAK"/>
    <n v="1400"/>
    <n v="210"/>
  </r>
  <r>
    <n v="601"/>
    <s v="HCFM-0668"/>
    <s v="MR. KASHIF SAEED"/>
    <x v="11"/>
    <n v="2"/>
    <s v="CHICKEN ROULADE"/>
    <n v="1700"/>
    <n v="255"/>
  </r>
  <r>
    <n v="602"/>
    <s v="HCFM-0668"/>
    <s v="MR. KASHIF SAEED"/>
    <x v="11"/>
    <n v="2"/>
    <s v="CHICKEN DYNAMITE"/>
    <n v="1700"/>
    <n v="255"/>
  </r>
  <r>
    <n v="603"/>
    <s v="HCFM-0668"/>
    <s v="MR. KASHIF SAEED"/>
    <x v="11"/>
    <n v="4"/>
    <s v="HOT N SOUR SOUP"/>
    <n v="1400"/>
    <n v="210"/>
  </r>
  <r>
    <n v="604"/>
    <s v="HCFM-0668"/>
    <s v="MR. KASHIF SAEED"/>
    <x v="11"/>
    <n v="1"/>
    <s v="BEEF SEEKH KABAB"/>
    <n v="1200"/>
    <n v="180"/>
  </r>
  <r>
    <n v="605"/>
    <s v="HCFM-0668"/>
    <s v="MR. KASHIF SAEED"/>
    <x v="11"/>
    <n v="1"/>
    <s v="CHANDAN KABAB"/>
    <n v="1500"/>
    <n v="225"/>
  </r>
  <r>
    <n v="606"/>
    <s v="HCFM-0668"/>
    <s v="MR. KASHIF SAEED"/>
    <x v="11"/>
    <n v="1"/>
    <s v="MALAI BOTI"/>
    <n v="1150"/>
    <n v="172.5"/>
  </r>
  <r>
    <n v="607"/>
    <s v="HCFM-0668"/>
    <s v="MR. KASHIF SAEED"/>
    <x v="11"/>
    <n v="2"/>
    <s v="HC SPECIAL CAESAR SALAD"/>
    <n v="1200"/>
    <n v="180"/>
  </r>
  <r>
    <n v="608"/>
    <s v="HCFM-0668"/>
    <s v="MR. KASHIF SAEED"/>
    <x v="11"/>
    <n v="5"/>
    <s v="GARLIC NAAN"/>
    <n v="650"/>
    <n v="97.5"/>
  </r>
  <r>
    <n v="609"/>
    <s v="HCFM-0668"/>
    <s v="MR. KASHIF SAEED"/>
    <x v="11"/>
    <n v="1"/>
    <s v="MINERAL WATER LARGE"/>
    <n v="150"/>
    <n v="22.5"/>
  </r>
  <r>
    <n v="610"/>
    <s v="HCFM-0668"/>
    <s v="MR. KASHIF SAEED"/>
    <x v="11"/>
    <n v="1"/>
    <s v="ASSORTED COOKIES"/>
    <n v="400"/>
    <n v="60"/>
  </r>
  <r>
    <n v="611"/>
    <s v="HCFM-0668"/>
    <s v="MR. KASHIF SAEED"/>
    <x v="11"/>
    <n v="2"/>
    <s v="MIX TEA"/>
    <n v="400"/>
    <n v="60"/>
  </r>
  <r>
    <n v="612"/>
    <s v="HCFM-0512"/>
    <s v="MR.ZEESHAN IQBAL"/>
    <x v="11"/>
    <n v="1"/>
    <s v="PIZZA FRIES HALF"/>
    <n v="250"/>
    <n v="37.5"/>
  </r>
  <r>
    <n v="613"/>
    <s v="HCFM-0670"/>
    <s v="MR. TEHSEEN FAIZ"/>
    <x v="11"/>
    <n v="1"/>
    <s v="HC SPECIAL FRIED RICE"/>
    <n v="300"/>
    <n v="45"/>
  </r>
  <r>
    <n v="614"/>
    <s v="HCFM-0670"/>
    <s v="MR. TEHSEEN FAIZ"/>
    <x v="11"/>
    <n v="1"/>
    <s v="RESHMI SEEKH KABAB"/>
    <n v="999"/>
    <n v="149.85"/>
  </r>
  <r>
    <n v="615"/>
    <s v="HCFM-0670"/>
    <s v="MR. TEHSEEN FAIZ"/>
    <x v="11"/>
    <n v="1"/>
    <s v="FISH N CHIPS"/>
    <n v="1200"/>
    <n v="180"/>
  </r>
  <r>
    <n v="616"/>
    <s v="HCFM-0670"/>
    <s v="MR. TEHSEEN FAIZ"/>
    <x v="11"/>
    <n v="1"/>
    <s v="SHISH TAOUK"/>
    <n v="1200"/>
    <n v="180"/>
  </r>
  <r>
    <n v="617"/>
    <s v="HCFM-0670"/>
    <s v="MR. TEHSEEN FAIZ"/>
    <x v="11"/>
    <n v="1"/>
    <s v="CHICKEN SHASHLIK"/>
    <n v="800"/>
    <n v="120"/>
  </r>
  <r>
    <n v="618"/>
    <s v="HCFM-0670"/>
    <s v="MR. TEHSEEN FAIZ"/>
    <x v="11"/>
    <n v="1"/>
    <s v="MALAI BOTI"/>
    <n v="1150"/>
    <n v="172.5"/>
  </r>
  <r>
    <n v="619"/>
    <s v="HCFM-0686"/>
    <s v="MR. GHULAM MUSTAFA"/>
    <x v="12"/>
    <n v="2"/>
    <s v="MINERAL WATER LARGE"/>
    <n v="300"/>
    <n v="45"/>
  </r>
  <r>
    <n v="620"/>
    <s v="HCFM-0686"/>
    <s v="MR. GHULAM MUSTAFA"/>
    <x v="12"/>
    <n v="3"/>
    <s v="SOFT DRINKS"/>
    <n v="450"/>
    <n v="67.5"/>
  </r>
  <r>
    <n v="621"/>
    <s v="HCFM-0686"/>
    <s v="MR. GHULAM MUSTAFA"/>
    <x v="12"/>
    <n v="4"/>
    <s v="THREE HORSE BEER"/>
    <n v="3200"/>
    <n v="480"/>
  </r>
  <r>
    <n v="622"/>
    <s v="HCFM-0686"/>
    <s v="MR. GHULAM MUSTAFA"/>
    <x v="12"/>
    <n v="4"/>
    <s v="PEANUT AND NIMCO"/>
    <n v="1200"/>
    <n v="180"/>
  </r>
  <r>
    <n v="623"/>
    <s v="HCFM-0674"/>
    <s v="MR. RAJESH KUMAR CHAWLA"/>
    <x v="12"/>
    <n v="2"/>
    <s v="MINERAL WATER LARGE"/>
    <n v="300"/>
    <n v="45"/>
  </r>
  <r>
    <n v="624"/>
    <s v="HCFM-0674"/>
    <s v="MR. RAJESH KUMAR CHAWLA"/>
    <x v="12"/>
    <n v="2"/>
    <s v="SOFT DRINKS"/>
    <n v="300"/>
    <n v="45"/>
  </r>
  <r>
    <n v="625"/>
    <s v="HCFM-0674"/>
    <s v="MR. RAJESH KUMAR CHAWLA"/>
    <x v="12"/>
    <n v="2"/>
    <s v="PEANUT AND NIMCO"/>
    <n v="600"/>
    <n v="90"/>
  </r>
  <r>
    <n v="626"/>
    <s v="HCFM-0683"/>
    <s v="MR. YASIR RASHEED"/>
    <x v="12"/>
    <n v="2"/>
    <s v="THREE HORSE BEER"/>
    <n v="1600"/>
    <n v="240"/>
  </r>
  <r>
    <n v="627"/>
    <s v="HCFM-0683"/>
    <s v="MR. YASIR RASHEED"/>
    <x v="12"/>
    <n v="3"/>
    <s v="MINERAL WATER SMALL"/>
    <n v="300"/>
    <n v="45"/>
  </r>
  <r>
    <n v="628"/>
    <s v="HCFM-0683"/>
    <s v="MR. YASIR RASHEED"/>
    <x v="12"/>
    <n v="2"/>
    <s v="SOFT DRINKS"/>
    <n v="300"/>
    <n v="45"/>
  </r>
  <r>
    <n v="629"/>
    <s v="HCFM-0659"/>
    <s v="Heritage club"/>
    <x v="12"/>
    <n v="5"/>
    <s v="MINERAL WATER LARGE"/>
    <n v="750"/>
    <n v="112.5"/>
  </r>
  <r>
    <n v="630"/>
    <s v="HCFM-0659"/>
    <s v="Heritage club"/>
    <x v="12"/>
    <n v="4"/>
    <s v="SOFT DRINKS"/>
    <n v="600"/>
    <n v="90"/>
  </r>
  <r>
    <n v="631"/>
    <s v="HCFM-0654"/>
    <s v="SYED JIBRAN MUSHTAQ"/>
    <x v="12"/>
    <n v="2"/>
    <s v="THREE HORSE BEER"/>
    <n v="1600"/>
    <n v="240"/>
  </r>
  <r>
    <n v="632"/>
    <s v="HCFM-0654"/>
    <s v="SYED JIBRAN MUSHTAQ"/>
    <x v="12"/>
    <n v="2"/>
    <s v="MINERAL WATER LARGE"/>
    <n v="300"/>
    <n v="45"/>
  </r>
  <r>
    <n v="633"/>
    <s v="HCFM-0654"/>
    <s v="SYED JIBRAN MUSHTAQ"/>
    <x v="12"/>
    <n v="3"/>
    <s v="MINERAL WATER SMALL"/>
    <n v="300"/>
    <n v="45"/>
  </r>
  <r>
    <n v="634"/>
    <s v="HCFM-0654"/>
    <s v="SYED JIBRAN MUSHTAQ"/>
    <x v="12"/>
    <n v="2"/>
    <s v="SOFT DRINKS"/>
    <n v="300"/>
    <n v="45"/>
  </r>
  <r>
    <n v="635"/>
    <s v="HCFM-0654"/>
    <s v="SYED JIBRAN MUSHTAQ"/>
    <x v="12"/>
    <n v="2"/>
    <s v="PEANUT AND NIMCO"/>
    <n v="600"/>
    <n v="90"/>
  </r>
  <r>
    <n v="636"/>
    <s v="HCFM-0519"/>
    <s v="DR.NAZEER HUSSAIN KALHORO"/>
    <x v="12"/>
    <n v="2"/>
    <s v="BLACK LABEL SINGLE"/>
    <n v="1600"/>
    <n v="240"/>
  </r>
  <r>
    <n v="637"/>
    <s v="HCFM-0519"/>
    <s v="DR.NAZEER HUSSAIN KALHORO"/>
    <x v="12"/>
    <n v="1"/>
    <s v="MINERAL WATER LARGE"/>
    <n v="150"/>
    <n v="22.5"/>
  </r>
  <r>
    <n v="638"/>
    <s v="HCFM-0519"/>
    <s v="DR.NAZEER HUSSAIN KALHORO"/>
    <x v="12"/>
    <n v="1"/>
    <s v="PEANUT AND NIMCO"/>
    <n v="300"/>
    <n v="45"/>
  </r>
  <r>
    <n v="639"/>
    <s v="HCFM-0514"/>
    <s v="MR.DILEEP KUMAR"/>
    <x v="12"/>
    <n v="33"/>
    <s v="JD SINGLE"/>
    <n v="33000"/>
    <n v="4950"/>
  </r>
  <r>
    <n v="640"/>
    <s v="HCFM-0514"/>
    <s v="MR.DILEEP KUMAR"/>
    <x v="12"/>
    <n v="2"/>
    <s v="MINERAL WATER LARGE"/>
    <n v="300"/>
    <n v="45"/>
  </r>
  <r>
    <n v="641"/>
    <s v="HCFM-0514"/>
    <s v="MR.DILEEP KUMAR"/>
    <x v="12"/>
    <n v="2"/>
    <s v="PEANUT AND NIMCO"/>
    <n v="600"/>
    <n v="90"/>
  </r>
  <r>
    <n v="642"/>
    <s v="HCFM-0514"/>
    <s v="MR.DILEEP KUMAR"/>
    <x v="12"/>
    <n v="1"/>
    <s v="MURREE BEER"/>
    <n v="1000"/>
    <n v="150"/>
  </r>
  <r>
    <n v="643"/>
    <s v="HCFM-0514"/>
    <s v="MR.DILEEP KUMAR"/>
    <x v="12"/>
    <n v="2"/>
    <s v="MINERAL WATER SMALL"/>
    <n v="200"/>
    <n v="30"/>
  </r>
  <r>
    <n v="644"/>
    <s v="HCFM-0514"/>
    <s v="MR.DILEEP KUMAR"/>
    <x v="12"/>
    <n v="2"/>
    <s v="MINERAL WATER LARGE"/>
    <n v="300"/>
    <n v="45"/>
  </r>
  <r>
    <n v="645"/>
    <s v="HCFM-0515"/>
    <s v="MR.TARIQUE ZUBAIR"/>
    <x v="12"/>
    <n v="2"/>
    <s v="GREY GROOSE VODKA SINGLE"/>
    <n v="1500"/>
    <n v="225"/>
  </r>
  <r>
    <n v="646"/>
    <s v="HCFM-0515"/>
    <s v="MR.TARIQUE ZUBAIR"/>
    <x v="12"/>
    <n v="4"/>
    <s v="BLACK LABEL SINGLE"/>
    <n v="3200"/>
    <n v="480"/>
  </r>
  <r>
    <n v="647"/>
    <s v="HCFM-0515"/>
    <s v="MR.TARIQUE ZUBAIR"/>
    <x v="12"/>
    <n v="3"/>
    <s v="SOFT DRINKS"/>
    <n v="450"/>
    <n v="67.5"/>
  </r>
  <r>
    <n v="648"/>
    <s v="HCFM-0536"/>
    <s v="MR.ASHOK KUMAR"/>
    <x v="12"/>
    <n v="1"/>
    <s v="PLAIN FRIES"/>
    <n v="250"/>
    <n v="37.5"/>
  </r>
  <r>
    <n v="649"/>
    <s v="HCFM-0536"/>
    <s v="MR.ASHOK KUMAR"/>
    <x v="12"/>
    <n v="5"/>
    <s v="MINERAL WATER SMALL"/>
    <n v="500"/>
    <n v="75"/>
  </r>
  <r>
    <n v="650"/>
    <s v="HCFM-0536"/>
    <s v="MR.ASHOK KUMAR"/>
    <x v="12"/>
    <n v="1"/>
    <s v="PEANUT AND NIMCO"/>
    <n v="300"/>
    <n v="45"/>
  </r>
  <r>
    <n v="651"/>
    <s v="HCFM-0644"/>
    <s v="SABA AHSAN"/>
    <x v="12"/>
    <n v="1"/>
    <s v="MASHROOM CHEESE OMELETTE"/>
    <n v="450"/>
    <n v="67.5"/>
  </r>
  <r>
    <n v="652"/>
    <s v="HCFM-0644"/>
    <s v="SABA AHSAN"/>
    <x v="12"/>
    <n v="1"/>
    <s v="FRIED EGG WITH SAUSAGES"/>
    <n v="390"/>
    <n v="58.5"/>
  </r>
  <r>
    <n v="653"/>
    <s v="HCFM-0644"/>
    <s v="SABA AHSAN"/>
    <x v="12"/>
    <n v="1"/>
    <s v="MIX TEA"/>
    <n v="200"/>
    <n v="30"/>
  </r>
  <r>
    <n v="654"/>
    <s v="HCFM-0644"/>
    <s v="SABA AHSAN"/>
    <x v="12"/>
    <n v="3"/>
    <s v="TAWA PARATHA"/>
    <n v="450"/>
    <n v="67.5"/>
  </r>
  <r>
    <n v="655"/>
    <s v="HCFM-0583"/>
    <s v="MR.CAREL HEDRIK BURGER"/>
    <x v="12"/>
    <n v="2"/>
    <s v="MASHROOM CHEESE OMELETTE"/>
    <n v="900"/>
    <n v="135"/>
  </r>
  <r>
    <n v="656"/>
    <s v="HCFM-0583"/>
    <s v="MR.CAREL HEDRIK BURGER"/>
    <x v="12"/>
    <n v="4"/>
    <s v="CROISSANT ROLL"/>
    <n v="600"/>
    <n v="90"/>
  </r>
  <r>
    <n v="657"/>
    <s v="HCFM-0583"/>
    <s v="MR.CAREL HEDRIK BURGER"/>
    <x v="12"/>
    <n v="2"/>
    <s v="COFFEE CAPPUCINO"/>
    <n v="700"/>
    <n v="105"/>
  </r>
  <r>
    <n v="658"/>
    <s v="HCFM-0583"/>
    <s v="MR.CAREL HEDRIK BURGER"/>
    <x v="12"/>
    <n v="1"/>
    <s v="MINERAL WATER SMALL"/>
    <n v="100"/>
    <n v="15"/>
  </r>
  <r>
    <n v="659"/>
    <s v="HCFM-0503"/>
    <s v="MR.GHULAM NABI OTHI"/>
    <x v="12"/>
    <n v="8"/>
    <s v="BLACK LABEL SINGLE"/>
    <n v="8000"/>
    <n v="1200"/>
  </r>
  <r>
    <n v="660"/>
    <s v="HCFM-0503"/>
    <s v="MR.GHULAM NABI OTHI"/>
    <x v="12"/>
    <n v="2"/>
    <s v="CHIVAS SINGLE"/>
    <n v="2000"/>
    <n v="300"/>
  </r>
  <r>
    <n v="661"/>
    <s v="HCFM-0503"/>
    <s v="MR.GHULAM NABI OTHI"/>
    <x v="12"/>
    <n v="1"/>
    <s v="MINERAL WATER LARGE"/>
    <n v="150"/>
    <n v="22.5"/>
  </r>
  <r>
    <n v="662"/>
    <s v="HCFM-0503"/>
    <s v="MR.GHULAM NABI OTHI"/>
    <x v="12"/>
    <n v="1"/>
    <s v="MINERAL WATER SMALL"/>
    <n v="100"/>
    <n v="15"/>
  </r>
  <r>
    <n v="663"/>
    <s v="HCFM-0670"/>
    <s v="MR. TEHSEEN FAIZ"/>
    <x v="12"/>
    <n v="1"/>
    <s v="CHICKEN CHOWMEIN"/>
    <n v="950"/>
    <n v="142.5"/>
  </r>
  <r>
    <n v="664"/>
    <s v="HCFM-0670"/>
    <s v="MR. TEHSEEN FAIZ"/>
    <x v="12"/>
    <n v="1"/>
    <s v="CLUB SANDWICH"/>
    <n v="1250"/>
    <n v="187.5"/>
  </r>
  <r>
    <n v="665"/>
    <s v="HCFM-0670"/>
    <s v="MR. TEHSEEN FAIZ"/>
    <x v="12"/>
    <n v="2"/>
    <s v="PIZZA FRIES HALF"/>
    <n v="500"/>
    <n v="75"/>
  </r>
  <r>
    <n v="666"/>
    <s v="HCFM-0503"/>
    <s v="MR.GHULAM NABI OTHI"/>
    <x v="12"/>
    <n v="2"/>
    <s v="MINERAL WATER LARGE"/>
    <n v="300"/>
    <n v="45"/>
  </r>
  <r>
    <n v="667"/>
    <s v="HCFM-0503"/>
    <s v="MR.GHULAM NABI OTHI"/>
    <x v="12"/>
    <n v="1"/>
    <s v="MALAI BOTI"/>
    <n v="1150"/>
    <n v="172.5"/>
  </r>
  <r>
    <n v="668"/>
    <s v="HCFM-0503"/>
    <s v="MR.GHULAM NABI OTHI"/>
    <x v="12"/>
    <n v="1"/>
    <s v="PEANUT AND NIMCO"/>
    <n v="300"/>
    <n v="45"/>
  </r>
  <r>
    <n v="669"/>
    <s v="HCFM-0520"/>
    <s v="MR.NIZAM UDDIN NIZAMANI"/>
    <x v="12"/>
    <n v="1"/>
    <s v="CHINESE SZECHUAN SOUP"/>
    <n v="350"/>
    <n v="52.5"/>
  </r>
  <r>
    <n v="670"/>
    <s v="HCFM-0520"/>
    <s v="MR.NIZAM UDDIN NIZAMANI"/>
    <x v="12"/>
    <n v="1"/>
    <s v="MINERAL WATER SMALL"/>
    <n v="100"/>
    <n v="15"/>
  </r>
  <r>
    <n v="671"/>
    <s v="HCFM-0520"/>
    <s v="MR.NIZAM UDDIN NIZAMANI"/>
    <x v="12"/>
    <n v="1"/>
    <s v="ZINGER BURGER"/>
    <n v="700"/>
    <n v="105"/>
  </r>
  <r>
    <n v="672"/>
    <s v="HCFM-0539"/>
    <s v="MR.QAMARUZZAMAN"/>
    <x v="12"/>
    <n v="3"/>
    <s v="CLUB SANDWICH"/>
    <n v="3750"/>
    <n v="562.5"/>
  </r>
  <r>
    <n v="673"/>
    <s v="HCFM-0539"/>
    <s v="MR.QAMARUZZAMAN"/>
    <x v="12"/>
    <n v="1"/>
    <s v="CHICKEN STRIPS"/>
    <n v="700"/>
    <n v="105"/>
  </r>
  <r>
    <n v="674"/>
    <s v="HCFM-0539"/>
    <s v="MR.QAMARUZZAMAN"/>
    <x v="12"/>
    <n v="4"/>
    <s v="ZINGER BURGER"/>
    <n v="2800"/>
    <n v="420"/>
  </r>
  <r>
    <n v="675"/>
    <s v="HCFM-0539"/>
    <s v="MR.QAMARUZZAMAN"/>
    <x v="12"/>
    <n v="3"/>
    <s v="SOFT DRINKS"/>
    <n v="450"/>
    <n v="67.5"/>
  </r>
  <r>
    <n v="676"/>
    <s v="HCFM-0539"/>
    <s v="MR.QAMARUZZAMAN"/>
    <x v="12"/>
    <n v="1"/>
    <s v="MINERAL WATER LARGE"/>
    <n v="150"/>
    <n v="22.5"/>
  </r>
  <r>
    <n v="677"/>
    <s v="HCFM-0545"/>
    <s v="MR. HASAN KARIM"/>
    <x v="12"/>
    <n v="1"/>
    <s v="MINERAL WATER SMALL"/>
    <n v="100"/>
    <n v="15"/>
  </r>
  <r>
    <n v="678"/>
    <s v="HCFM-0545"/>
    <s v="MR. HASAN KARIM"/>
    <x v="12"/>
    <n v="1"/>
    <s v="HOT N SOUR SOUP"/>
    <n v="350"/>
    <n v="52.5"/>
  </r>
  <r>
    <n v="679"/>
    <s v="HCFM-0642"/>
    <s v="ASIF ASHFAQ"/>
    <x v="12"/>
    <n v="4"/>
    <s v="SHAHJAHANI BIRYANI FULL"/>
    <n v="6000"/>
    <n v="900"/>
  </r>
  <r>
    <n v="680"/>
    <s v="HCFM-0642"/>
    <s v="ASIF ASHFAQ"/>
    <x v="12"/>
    <n v="4"/>
    <s v="HC SPECIAL MUTTON KARAHI"/>
    <n v="7200"/>
    <n v="1080"/>
  </r>
  <r>
    <n v="681"/>
    <s v="HCFM-0642"/>
    <s v="ASIF ASHFAQ"/>
    <x v="12"/>
    <n v="4"/>
    <s v="DOUBLE CUT LAM CHOPS"/>
    <n v="8000"/>
    <n v="1200"/>
  </r>
  <r>
    <n v="682"/>
    <s v="HCFM-0642"/>
    <s v="ASIF ASHFAQ"/>
    <x v="12"/>
    <n v="2"/>
    <s v="MALAI BOTI"/>
    <n v="2300"/>
    <n v="345"/>
  </r>
  <r>
    <n v="683"/>
    <s v="HCFM-0642"/>
    <s v="ASIF ASHFAQ"/>
    <x v="12"/>
    <n v="2"/>
    <s v="BEHARI BOTI"/>
    <n v="2400"/>
    <n v="360"/>
  </r>
  <r>
    <n v="684"/>
    <s v="HCFM-0642"/>
    <s v="ASIF ASHFAQ"/>
    <x v="12"/>
    <n v="2"/>
    <s v="CHANDAN KABAB"/>
    <n v="3000"/>
    <n v="450"/>
  </r>
  <r>
    <n v="685"/>
    <s v="HCFM-0642"/>
    <s v="ASIF ASHFAQ"/>
    <x v="12"/>
    <n v="4"/>
    <s v="RAITA"/>
    <n v="800"/>
    <n v="120"/>
  </r>
  <r>
    <n v="686"/>
    <s v="HCFM-0642"/>
    <s v="ASIF ASHFAQ"/>
    <x v="12"/>
    <n v="2"/>
    <s v="FRESH GARDEN SALAD"/>
    <n v="1600"/>
    <n v="240"/>
  </r>
  <r>
    <n v="687"/>
    <s v="HCFM-0642"/>
    <s v="ASIF ASHFAQ"/>
    <x v="12"/>
    <n v="4"/>
    <s v="MINERAL WATER LARGE"/>
    <n v="600"/>
    <n v="90"/>
  </r>
  <r>
    <n v="688"/>
    <s v="HCFM-0642"/>
    <s v="ASIF ASHFAQ"/>
    <x v="12"/>
    <n v="10"/>
    <s v="SOFT DRINKS"/>
    <n v="1500"/>
    <n v="225"/>
  </r>
  <r>
    <n v="689"/>
    <s v="HCFM-0642"/>
    <s v="ASIF ASHFAQ"/>
    <x v="12"/>
    <n v="15"/>
    <s v="GAJAR HALWA"/>
    <n v="6750"/>
    <n v="1012.5"/>
  </r>
  <r>
    <n v="690"/>
    <s v="HCFM-0649"/>
    <s v="IFTIKHAR SHAH"/>
    <x v="12"/>
    <n v="13"/>
    <s v="HC SPECIAL DAAL MASALA"/>
    <n v="5200"/>
    <n v="780"/>
  </r>
  <r>
    <n v="691"/>
    <s v="HCFM-0649"/>
    <s v="IFTIKHAR SHAH"/>
    <x v="12"/>
    <n v="50"/>
    <s v="ROGHNI NAAN"/>
    <n v="7500"/>
    <n v="1125"/>
  </r>
  <r>
    <n v="692"/>
    <s v="HCFM-0649"/>
    <s v="IFTIKHAR SHAH"/>
    <x v="12"/>
    <n v="20"/>
    <s v="MIX VEGETABLES"/>
    <n v="8000"/>
    <n v="1200"/>
  </r>
  <r>
    <n v="693"/>
    <s v="HCFM-0649"/>
    <s v="IFTIKHAR SHAH"/>
    <x v="12"/>
    <n v="27"/>
    <s v="GAJAR HALWA"/>
    <n v="12150"/>
    <n v="1822.5"/>
  </r>
  <r>
    <n v="694"/>
    <s v="HCFM-0649"/>
    <s v="IFTIKHAR SHAH"/>
    <x v="12"/>
    <n v="10"/>
    <s v="KABULI PULAO"/>
    <n v="15000"/>
    <n v="2250"/>
  </r>
  <r>
    <n v="695"/>
    <s v="HCFM-0649"/>
    <s v="IFTIKHAR SHAH"/>
    <x v="12"/>
    <n v="12"/>
    <s v="MUTTON KARAHI (RED/WHITE/GREEN)"/>
    <n v="21600"/>
    <n v="3240"/>
  </r>
  <r>
    <n v="696"/>
    <s v="HCFM-0514"/>
    <s v="MR.DILEEP KUMAR"/>
    <x v="12"/>
    <n v="1"/>
    <s v="SHISH TAOUK"/>
    <n v="1200"/>
    <n v="180"/>
  </r>
  <r>
    <n v="697"/>
    <s v="HCFM-0514"/>
    <s v="MR.DILEEP KUMAR"/>
    <x v="12"/>
    <n v="2"/>
    <s v="MINERAL WATER LARGE"/>
    <n v="300"/>
    <n v="45"/>
  </r>
  <r>
    <n v="698"/>
    <s v="HCFM-0514"/>
    <s v="MR.DILEEP KUMAR"/>
    <x v="12"/>
    <n v="1"/>
    <s v="MALAI BOTI"/>
    <n v="1150"/>
    <n v="172.5"/>
  </r>
  <r>
    <n v="699"/>
    <s v="HCFM-0514"/>
    <s v="MR.DILEEP KUMAR"/>
    <x v="12"/>
    <n v="2"/>
    <s v="PLAIN POPCORN"/>
    <n v="1000"/>
    <n v="150"/>
  </r>
  <r>
    <n v="700"/>
    <s v="HCFM-0656"/>
    <s v="ZAIB UR REHMAN"/>
    <x v="12"/>
    <n v="1"/>
    <s v="MINERAL WATER LARGE"/>
    <n v="150"/>
    <n v="22.5"/>
  </r>
  <r>
    <n v="701"/>
    <s v="HCFM-0503"/>
    <s v="MR.GHULAM NABI OTHI"/>
    <x v="12"/>
    <n v="1"/>
    <s v="SHISH TAOUK"/>
    <n v="1200"/>
    <n v="180"/>
  </r>
  <r>
    <n v="702"/>
    <s v="HCFM-0503"/>
    <s v="MR.GHULAM NABI OTHI"/>
    <x v="12"/>
    <n v="1"/>
    <s v="CORKAGE"/>
    <n v="1000"/>
    <n v="150"/>
  </r>
  <r>
    <n v="703"/>
    <s v="HCFM-0504"/>
    <s v="MR.BILAL AHMED"/>
    <x v="12"/>
    <n v="1"/>
    <s v="PIZZA FRIES HALF"/>
    <n v="250"/>
    <n v="37.5"/>
  </r>
  <r>
    <n v="704"/>
    <s v="HCFM-0542"/>
    <s v="MR.HANIF AHSAN ZUBEDI"/>
    <x v="12"/>
    <n v="2"/>
    <s v="MINERAL WATER SMALL"/>
    <n v="200"/>
    <n v="30"/>
  </r>
  <r>
    <n v="705"/>
    <s v="HCFM-0595"/>
    <s v="BRIG.KHALID MEHMOOD"/>
    <x v="12"/>
    <n v="6"/>
    <s v="RESHMI SEEKH KABAB"/>
    <n v="5994"/>
    <n v="899.1"/>
  </r>
  <r>
    <n v="706"/>
    <s v="HCFM-0521"/>
    <s v="MR.HAFEEZ AHMED SIYAL"/>
    <x v="12"/>
    <n v="2"/>
    <s v="MINERAL WATER SMALL"/>
    <n v="200"/>
    <n v="30"/>
  </r>
  <r>
    <n v="707"/>
    <s v="HCFM-0521"/>
    <s v="MR.HAFEEZ AHMED SIYAL"/>
    <x v="12"/>
    <n v="1"/>
    <s v="CHINESE SZECHUAN SOUP"/>
    <n v="350"/>
    <n v="52.5"/>
  </r>
  <r>
    <n v="708"/>
    <s v="HCFM-0654"/>
    <s v="SYED JIBRAN MUSHTAQ"/>
    <x v="12"/>
    <n v="1"/>
    <s v="CLUB SANDWICH"/>
    <n v="1250"/>
    <n v="187.5"/>
  </r>
  <r>
    <n v="709"/>
    <s v="HCFM-0654"/>
    <s v="SYED JIBRAN MUSHTAQ"/>
    <x v="12"/>
    <n v="1"/>
    <s v="MINERAL WATER SMALL"/>
    <n v="100"/>
    <n v="15"/>
  </r>
  <r>
    <n v="710"/>
    <s v="HCFM-0541"/>
    <s v="MR.SHAN ELAHI SEHGAL"/>
    <x v="12"/>
    <n v="1"/>
    <s v="MIX VEGETABLES"/>
    <n v="400"/>
    <n v="60"/>
  </r>
  <r>
    <n v="711"/>
    <s v="HCFM-0541"/>
    <s v="MR.SHAN ELAHI SEHGAL"/>
    <x v="12"/>
    <n v="1"/>
    <s v="MINERAL WATER SMALL"/>
    <n v="100"/>
    <n v="15"/>
  </r>
  <r>
    <n v="712"/>
    <s v="HCFM-0541"/>
    <s v="MR.SHAN ELAHI SEHGAL"/>
    <x v="12"/>
    <n v="2"/>
    <s v="PLAIN NAAN"/>
    <n v="140"/>
    <n v="21"/>
  </r>
  <r>
    <n v="713"/>
    <s v="HCFM-0541"/>
    <s v="MR.SHAN ELAHI SEHGAL"/>
    <x v="12"/>
    <n v="1"/>
    <s v="MIX TEA"/>
    <n v="200"/>
    <n v="30"/>
  </r>
  <r>
    <n v="714"/>
    <s v="HCFM-0659"/>
    <s v="Heritage club"/>
    <x v="12"/>
    <n v="1"/>
    <s v="VODKA SINGLE"/>
    <n v="1000"/>
    <n v="150"/>
  </r>
  <r>
    <n v="715"/>
    <s v="HCFM-0659"/>
    <s v="Heritage club"/>
    <x v="12"/>
    <n v="5"/>
    <s v="BLACK LABEL SINGLE"/>
    <n v="4000"/>
    <n v="600"/>
  </r>
  <r>
    <n v="716"/>
    <s v="HCFM-0659"/>
    <s v="Heritage club"/>
    <x v="12"/>
    <n v="7"/>
    <s v="MURREE BEER"/>
    <n v="7000"/>
    <n v="1050"/>
  </r>
  <r>
    <n v="717"/>
    <s v="HCFM-0659"/>
    <s v="Heritage club"/>
    <x v="12"/>
    <n v="10"/>
    <s v="MINERAL WATER LARGE"/>
    <n v="1500"/>
    <n v="225"/>
  </r>
  <r>
    <n v="718"/>
    <s v="HCFM-0659"/>
    <s v="Heritage club"/>
    <x v="12"/>
    <n v="5"/>
    <s v="MINERAL WATER SMALL"/>
    <n v="500"/>
    <n v="75"/>
  </r>
  <r>
    <n v="719"/>
    <s v="HCFM-0521"/>
    <s v="MR.HAFEEZ AHMED SIYAL"/>
    <x v="13"/>
    <n v="3"/>
    <s v="CREAM OF MASHROOM SOUP"/>
    <n v="1200"/>
    <n v="180"/>
  </r>
  <r>
    <n v="720"/>
    <s v="HCFM-0521"/>
    <s v="MR.HAFEEZ AHMED SIYAL"/>
    <x v="13"/>
    <n v="2"/>
    <s v="SOFT DRINKS"/>
    <n v="300"/>
    <n v="45"/>
  </r>
  <r>
    <n v="721"/>
    <s v="HCFM-0521"/>
    <s v="MR.HAFEEZ AHMED SIYAL"/>
    <x v="13"/>
    <n v="3"/>
    <s v="PLAIN NAAN"/>
    <n v="210"/>
    <n v="31.5"/>
  </r>
  <r>
    <n v="722"/>
    <s v="HCFM-0521"/>
    <s v="MR.HAFEEZ AHMED SIYAL"/>
    <x v="13"/>
    <n v="1"/>
    <s v="FRESH LEM"/>
    <n v="200"/>
    <n v="30"/>
  </r>
  <r>
    <n v="723"/>
    <s v="HCFM-0521"/>
    <s v="MR.HAFEEZ AHMED SIYAL"/>
    <x v="13"/>
    <n v="1"/>
    <s v="MAKHANI HANDI"/>
    <n v="1000"/>
    <n v="150"/>
  </r>
  <r>
    <n v="724"/>
    <s v="HCFM-0521"/>
    <s v="MR.HAFEEZ AHMED SIYAL"/>
    <x v="13"/>
    <n v="1"/>
    <s v="MINERAL WATER SMALL"/>
    <n v="100"/>
    <n v="15"/>
  </r>
  <r>
    <n v="725"/>
    <s v="HCFM-0530"/>
    <s v="MR.MUHAMMAD HANIF"/>
    <x v="13"/>
    <n v="2"/>
    <s v="CHICKEN TIKKA"/>
    <n v="1200"/>
    <n v="180"/>
  </r>
  <r>
    <n v="726"/>
    <s v="HCFM-0530"/>
    <s v="MR.MUHAMMAD HANIF"/>
    <x v="13"/>
    <n v="2"/>
    <s v="SHISH TAOUK"/>
    <n v="2400"/>
    <n v="360"/>
  </r>
  <r>
    <n v="727"/>
    <s v="HCFM-0530"/>
    <s v="MR.MUHAMMAD HANIF"/>
    <x v="13"/>
    <n v="3"/>
    <s v="MALAI BOTI"/>
    <n v="3450"/>
    <n v="517.5"/>
  </r>
  <r>
    <n v="728"/>
    <s v="HCFM-0530"/>
    <s v="MR.MUHAMMAD HANIF"/>
    <x v="13"/>
    <n v="3"/>
    <s v="BEEF SEEKH KABAB"/>
    <n v="3600"/>
    <n v="540"/>
  </r>
  <r>
    <n v="729"/>
    <s v="HCFM-0530"/>
    <s v="MR.MUHAMMAD HANIF"/>
    <x v="13"/>
    <n v="4"/>
    <s v="RAITA"/>
    <n v="800"/>
    <n v="120"/>
  </r>
  <r>
    <n v="730"/>
    <s v="HCFM-0530"/>
    <s v="MR.MUHAMMAD HANIF"/>
    <x v="13"/>
    <n v="2"/>
    <s v="FRESH GARDEN SALAD"/>
    <n v="1600"/>
    <n v="240"/>
  </r>
  <r>
    <n v="731"/>
    <s v="HCFM-0530"/>
    <s v="MR.MUHAMMAD HANIF"/>
    <x v="13"/>
    <n v="2"/>
    <s v="HC SPECIAL CAESAR SALAD"/>
    <n v="1200"/>
    <n v="180"/>
  </r>
  <r>
    <n v="732"/>
    <s v="HCFM-0530"/>
    <s v="MR.MUHAMMAD HANIF"/>
    <x v="13"/>
    <n v="8"/>
    <s v="TAWA PARATHA"/>
    <n v="1200"/>
    <n v="180"/>
  </r>
  <r>
    <n v="733"/>
    <s v="HCFM-0530"/>
    <s v="MR.MUHAMMAD HANIF"/>
    <x v="13"/>
    <n v="3"/>
    <s v="GARLIC NAAN"/>
    <n v="390"/>
    <n v="58.5"/>
  </r>
  <r>
    <n v="734"/>
    <s v="HCFM-0530"/>
    <s v="MR.MUHAMMAD HANIF"/>
    <x v="13"/>
    <n v="3"/>
    <s v="ROGHNI NAAN"/>
    <n v="450"/>
    <n v="67.5"/>
  </r>
  <r>
    <n v="735"/>
    <s v="HCFM-0530"/>
    <s v="MR.MUHAMMAD HANIF"/>
    <x v="13"/>
    <n v="3"/>
    <s v="PLAIN NAAN"/>
    <n v="210"/>
    <n v="31.5"/>
  </r>
  <r>
    <n v="736"/>
    <s v="HCFM-0596"/>
    <s v="DGM AZFAR ALI"/>
    <x v="13"/>
    <n v="1"/>
    <s v="MINERAL WATER SMALL"/>
    <n v="100"/>
    <n v="15"/>
  </r>
  <r>
    <n v="737"/>
    <s v="HCFM-0512"/>
    <s v="MR.ZEESHAN IQBAL"/>
    <x v="13"/>
    <n v="1"/>
    <s v="MINERAL WATER LARGE"/>
    <n v="150"/>
    <n v="22.5"/>
  </r>
  <r>
    <n v="738"/>
    <s v="HCFM-0512"/>
    <s v="MR.ZEESHAN IQBAL"/>
    <x v="13"/>
    <n v="1"/>
    <s v="PLAIN FRIES"/>
    <n v="250"/>
    <n v="37.5"/>
  </r>
  <r>
    <n v="739"/>
    <s v="HCFM-0558"/>
    <s v="MUHAMMAD EBRAHIM TIWANA"/>
    <x v="13"/>
    <n v="1"/>
    <s v="ASSORTED PASTRY"/>
    <n v="250"/>
    <n v="37.5"/>
  </r>
  <r>
    <n v="740"/>
    <s v="HCFM-0558"/>
    <s v="MUHAMMAD EBRAHIM TIWANA"/>
    <x v="13"/>
    <n v="1"/>
    <s v="ASSORTED COOKIES"/>
    <n v="400"/>
    <n v="60"/>
  </r>
  <r>
    <n v="741"/>
    <s v="HCFM-0558"/>
    <s v="MUHAMMAD EBRAHIM TIWANA"/>
    <x v="13"/>
    <n v="2"/>
    <s v="DOUGHNUTS"/>
    <n v="300"/>
    <n v="45"/>
  </r>
  <r>
    <n v="742"/>
    <s v="HCFM-0686"/>
    <s v="MR. GHULAM MUSTAFA"/>
    <x v="13"/>
    <n v="1"/>
    <s v="MINERAL WATER LARGE"/>
    <n v="150"/>
    <n v="22.5"/>
  </r>
  <r>
    <n v="743"/>
    <s v="HCFM-0686"/>
    <s v="MR. GHULAM MUSTAFA"/>
    <x v="13"/>
    <n v="1"/>
    <s v="CHINESE CORN SOUP"/>
    <n v="250"/>
    <n v="37.5"/>
  </r>
  <r>
    <n v="744"/>
    <s v="HCFM-0686"/>
    <s v="MR. GHULAM MUSTAFA"/>
    <x v="13"/>
    <n v="2"/>
    <s v="CHINESE SZECHUAN SOUP"/>
    <n v="700"/>
    <n v="105"/>
  </r>
  <r>
    <n v="745"/>
    <s v="HCFM-0686"/>
    <s v="MR. GHULAM MUSTAFA"/>
    <x v="13"/>
    <n v="1"/>
    <s v="SHISH TAOUK"/>
    <n v="1200"/>
    <n v="180"/>
  </r>
  <r>
    <n v="746"/>
    <s v="HCFM-0686"/>
    <s v="MR. GHULAM MUSTAFA"/>
    <x v="13"/>
    <n v="1"/>
    <s v="CHICKEN CHOWMEIN"/>
    <n v="950"/>
    <n v="142.5"/>
  </r>
  <r>
    <n v="747"/>
    <s v="HCFM-0679"/>
    <s v="MR. ANEEL ZAHOOR"/>
    <x v="13"/>
    <n v="1"/>
    <s v="MINERAL WATER SMALL"/>
    <n v="100"/>
    <n v="15"/>
  </r>
  <r>
    <n v="748"/>
    <s v="HCFM-0558"/>
    <s v="MUHAMMAD EBRAHIM TIWANA"/>
    <x v="13"/>
    <n v="4"/>
    <s v="CLUB SANDWICH"/>
    <n v="5000"/>
    <n v="750"/>
  </r>
  <r>
    <n v="749"/>
    <s v="HCFM-0558"/>
    <s v="MUHAMMAD EBRAHIM TIWANA"/>
    <x v="13"/>
    <n v="2"/>
    <s v="MALAI BOTI"/>
    <n v="2300"/>
    <n v="345"/>
  </r>
  <r>
    <n v="750"/>
    <s v="HCFM-0558"/>
    <s v="MUHAMMAD EBRAHIM TIWANA"/>
    <x v="13"/>
    <n v="1"/>
    <s v="SHISH TAOUK"/>
    <n v="1200"/>
    <n v="180"/>
  </r>
  <r>
    <n v="751"/>
    <s v="HCFM-0558"/>
    <s v="MUHAMMAD EBRAHIM TIWANA"/>
    <x v="13"/>
    <n v="1"/>
    <s v="CHICKEN KARAHI"/>
    <n v="900"/>
    <n v="135"/>
  </r>
  <r>
    <n v="752"/>
    <s v="HCFM-0558"/>
    <s v="MUHAMMAD EBRAHIM TIWANA"/>
    <x v="13"/>
    <n v="1"/>
    <s v="GRILLED CHICKEN ROASTED"/>
    <n v="850"/>
    <n v="127.5"/>
  </r>
  <r>
    <n v="753"/>
    <s v="HCFM-0558"/>
    <s v="MUHAMMAD EBRAHIM TIWANA"/>
    <x v="13"/>
    <n v="3"/>
    <s v="GARLIC NAAN"/>
    <n v="390"/>
    <n v="58.5"/>
  </r>
  <r>
    <n v="754"/>
    <s v="HCFM-0558"/>
    <s v="MUHAMMAD EBRAHIM TIWANA"/>
    <x v="13"/>
    <n v="1"/>
    <s v="MINERAL WATER SMALL"/>
    <n v="100"/>
    <n v="15"/>
  </r>
  <r>
    <n v="755"/>
    <s v="HCFM-0558"/>
    <s v="MUHAMMAD EBRAHIM TIWANA"/>
    <x v="13"/>
    <n v="2"/>
    <s v="SOFT DRINKS"/>
    <n v="300"/>
    <n v="45"/>
  </r>
  <r>
    <n v="756"/>
    <s v="HCFM-0646"/>
    <s v="BAHRIA INTERNATIONAL HOSPITAL"/>
    <x v="13"/>
    <n v="20"/>
    <s v="ASSORTED PASTRY"/>
    <n v="5000"/>
    <m/>
  </r>
  <r>
    <n v="757"/>
    <s v="HCFM-0646"/>
    <s v="BAHRIA INTERNATIONAL HOSPITAL"/>
    <x v="13"/>
    <n v="10"/>
    <s v="DOUGHNUTS"/>
    <n v="1500"/>
    <m/>
  </r>
  <r>
    <n v="758"/>
    <s v="HCFM-0646"/>
    <s v="BAHRIA INTERNATIONAL HOSPITAL"/>
    <x v="13"/>
    <n v="30"/>
    <s v="CHICKEN PATTIES"/>
    <n v="3000"/>
    <m/>
  </r>
  <r>
    <n v="759"/>
    <s v="HCFM-0542"/>
    <s v="MR.HANIF AHSAN ZUBEDI"/>
    <x v="13"/>
    <n v="1"/>
    <s v="MINERAL WATER SMALL"/>
    <n v="100"/>
    <n v="15"/>
  </r>
  <r>
    <n v="760"/>
    <s v="HCFM-0545"/>
    <s v="MR. HASAN KARIM"/>
    <x v="13"/>
    <n v="1"/>
    <s v="MINERAL WATER SMALL"/>
    <n v="100"/>
    <n v="15"/>
  </r>
  <r>
    <n v="761"/>
    <s v="HCFM-0545"/>
    <s v="MR. HASAN KARIM"/>
    <x v="13"/>
    <n v="2"/>
    <s v="MIX TEA"/>
    <n v="400"/>
    <n v="60"/>
  </r>
  <r>
    <n v="762"/>
    <s v="HCFM-0519"/>
    <s v="DR.NAZEER HUSSAIN KALHORO"/>
    <x v="13"/>
    <n v="2"/>
    <s v="MINERAL WATER SMALL"/>
    <n v="200"/>
    <n v="30"/>
  </r>
  <r>
    <n v="763"/>
    <s v="HCFM-0509"/>
    <s v="MR.SYED ABDULLAH ALI"/>
    <x v="13"/>
    <n v="4"/>
    <s v="MIX TEA"/>
    <n v="800"/>
    <n v="120"/>
  </r>
  <r>
    <n v="764"/>
    <s v="HCFM-0509"/>
    <s v="MR.SYED ABDULLAH ALI"/>
    <x v="13"/>
    <n v="1"/>
    <s v="MINERAL WATER LARGE"/>
    <n v="150"/>
    <n v="22.5"/>
  </r>
  <r>
    <n v="765"/>
    <s v="HCFM-0641"/>
    <s v="AAMIR RASOOL"/>
    <x v="13"/>
    <n v="1"/>
    <s v="CHICKEN DYNAMITE"/>
    <n v="850"/>
    <n v="127.5"/>
  </r>
  <r>
    <n v="766"/>
    <s v="HCFM-0641"/>
    <s v="AAMIR RASOOL"/>
    <x v="13"/>
    <n v="1"/>
    <s v="ZINGER BURGER"/>
    <n v="700"/>
    <n v="105"/>
  </r>
  <r>
    <n v="767"/>
    <s v="HCFM-0641"/>
    <s v="AAMIR RASOOL"/>
    <x v="13"/>
    <n v="2"/>
    <s v="SOFT DRINKS"/>
    <n v="300"/>
    <n v="45"/>
  </r>
  <r>
    <n v="768"/>
    <s v="HCFM-0641"/>
    <s v="AAMIR RASOOL"/>
    <x v="13"/>
    <n v="2"/>
    <s v="MINERAL WATER SMALL"/>
    <n v="200"/>
    <n v="30"/>
  </r>
  <r>
    <n v="769"/>
    <s v="HCFM-0641"/>
    <s v="AAMIR RASOOL"/>
    <x v="13"/>
    <n v="1"/>
    <s v="BBQ LOADED FRIES HALF"/>
    <n v="270"/>
    <n v="40.5"/>
  </r>
  <r>
    <n v="770"/>
    <s v="HCFM-0659"/>
    <s v="Heritage club"/>
    <x v="13"/>
    <n v="1"/>
    <s v="MIX TEA"/>
    <n v="200"/>
    <n v="30"/>
  </r>
  <r>
    <n v="771"/>
    <s v="HCFM-0659"/>
    <s v="Heritage club"/>
    <x v="13"/>
    <n v="1"/>
    <s v="MINERAL WATER SMALL"/>
    <n v="100"/>
    <n v="15"/>
  </r>
  <r>
    <n v="772"/>
    <s v="HCFM-0515"/>
    <s v="MR.TARIQUE ZUBAIR"/>
    <x v="13"/>
    <n v="1"/>
    <s v="CHICKEN HANDI"/>
    <n v="0"/>
    <n v="0"/>
  </r>
  <r>
    <n v="773"/>
    <s v="HCFM-0515"/>
    <s v="MR.TARIQUE ZUBAIR"/>
    <x v="13"/>
    <n v="4"/>
    <s v="PLAIN NAAN"/>
    <n v="0"/>
    <n v="0"/>
  </r>
  <r>
    <n v="774"/>
    <s v="HCFM-0542"/>
    <s v="MR.HANIF AHSAN ZUBEDI"/>
    <x v="13"/>
    <n v="8"/>
    <s v="SUNDAY BRUNCH"/>
    <n v="12400"/>
    <n v="1860"/>
  </r>
  <r>
    <n v="775"/>
    <s v="HCFM-0542"/>
    <s v="MR.HANIF AHSAN ZUBEDI"/>
    <x v="13"/>
    <n v="4"/>
    <s v="SUNDAY BRUNCH KIDS"/>
    <n v="3100"/>
    <n v="465"/>
  </r>
  <r>
    <n v="776"/>
    <s v="HCFM-0542"/>
    <s v="MR.HANIF AHSAN ZUBEDI"/>
    <x v="13"/>
    <n v="2"/>
    <s v="LASSI"/>
    <n v="600"/>
    <n v="90"/>
  </r>
  <r>
    <n v="777"/>
    <s v="HCFM-0542"/>
    <s v="MR.HANIF AHSAN ZUBEDI"/>
    <x v="13"/>
    <n v="2"/>
    <s v="MINERAL WATER LARGE"/>
    <n v="300"/>
    <n v="45"/>
  </r>
  <r>
    <n v="778"/>
    <s v="HCFM-0519"/>
    <s v="DR.NAZEER HUSSAIN KALHORO"/>
    <x v="13"/>
    <n v="5"/>
    <s v="SUNDAY BRUNCH "/>
    <n v="9250"/>
    <n v="1387.5"/>
  </r>
  <r>
    <n v="779"/>
    <s v="HCFM-0519"/>
    <s v="DR.NAZEER HUSSAIN KALHORO"/>
    <x v="13"/>
    <n v="2"/>
    <s v="SUNDAY BRUNCH KIDS "/>
    <n v="1850"/>
    <n v="277.5"/>
  </r>
  <r>
    <n v="780"/>
    <s v="HCFM-0519"/>
    <s v="DR.NAZEER HUSSAIN KALHORO"/>
    <x v="13"/>
    <n v="1"/>
    <s v="MINERAL WATER SMALL"/>
    <n v="100"/>
    <n v="15"/>
  </r>
  <r>
    <n v="781"/>
    <s v="HCFM-0519"/>
    <s v="DR.NAZEER HUSSAIN KALHORO"/>
    <x v="13"/>
    <n v="1"/>
    <s v="MINERAL WATER LARGE"/>
    <n v="150"/>
    <n v="22.5"/>
  </r>
  <r>
    <n v="782"/>
    <s v="HCFM-0596"/>
    <s v="DGM AZFAR ALI"/>
    <x v="13"/>
    <n v="6"/>
    <s v="SUNDAY BRUNCH"/>
    <n v="9300"/>
    <n v="1395"/>
  </r>
  <r>
    <n v="783"/>
    <s v="HCFM-0596"/>
    <s v="DGM AZFAR ALI"/>
    <x v="13"/>
    <n v="2"/>
    <s v="LASSI"/>
    <n v="600"/>
    <n v="90"/>
  </r>
  <r>
    <n v="784"/>
    <s v="HCFM-0596"/>
    <s v="DGM AZFAR ALI"/>
    <x v="13"/>
    <n v="3"/>
    <s v="MINERAL WATER LARGE"/>
    <n v="450"/>
    <n v="67.5"/>
  </r>
  <r>
    <n v="785"/>
    <s v="HCFM-0596"/>
    <s v="DGM AZFAR ALI"/>
    <x v="13"/>
    <n v="1"/>
    <s v="COFFEE CAPPUCINO"/>
    <n v="350"/>
    <n v="52.5"/>
  </r>
  <r>
    <n v="786"/>
    <s v="HCFM-0596"/>
    <s v="DGM AZFAR ALI"/>
    <x v="13"/>
    <n v="3"/>
    <s v="SUNDAY BRUNCH KIDS"/>
    <n v="2325"/>
    <n v="348.75"/>
  </r>
  <r>
    <n v="787"/>
    <s v="HCFM-0581"/>
    <s v="BRIG DR. GHULAM MEHDI (Retd)"/>
    <x v="13"/>
    <n v="3"/>
    <s v="SUNDAY BRUNCH"/>
    <n v="4650"/>
    <n v="697.5"/>
  </r>
  <r>
    <n v="788"/>
    <s v="HCFM-0581"/>
    <s v="BRIG DR. GHULAM MEHDI (Retd)"/>
    <x v="13"/>
    <n v="2"/>
    <s v="LASSI"/>
    <n v="600"/>
    <n v="90"/>
  </r>
  <r>
    <n v="789"/>
    <s v="HCFM-0581"/>
    <s v="BRIG DR. GHULAM MEHDI (Retd)"/>
    <x v="13"/>
    <n v="1"/>
    <s v="MINERAL WATER LARGE"/>
    <n v="150"/>
    <n v="22.5"/>
  </r>
  <r>
    <n v="790"/>
    <s v="HCFM-0583"/>
    <s v="MR.CAREL HEDRIK BURGER"/>
    <x v="13"/>
    <n v="8"/>
    <s v="SUNDAY BRUNCH "/>
    <n v="14800"/>
    <n v="2220"/>
  </r>
  <r>
    <n v="791"/>
    <s v="HCFM-0583"/>
    <s v="MR.CAREL HEDRIK BURGER"/>
    <x v="13"/>
    <n v="4"/>
    <s v="LASSI"/>
    <n v="1200"/>
    <n v="180"/>
  </r>
  <r>
    <n v="792"/>
    <s v="HCFM-0583"/>
    <s v="MR.CAREL HEDRIK BURGER"/>
    <x v="13"/>
    <n v="1"/>
    <s v="COFFEE CAPPUCINO"/>
    <n v="350"/>
    <n v="52.5"/>
  </r>
  <r>
    <n v="793"/>
    <s v="HCFM-0583"/>
    <s v="MR.CAREL HEDRIK BURGER"/>
    <x v="13"/>
    <n v="2"/>
    <s v="MINERAL WATER LARGE"/>
    <n v="300"/>
    <n v="45"/>
  </r>
  <r>
    <n v="794"/>
    <s v="HCFM-0583"/>
    <s v="MR.CAREL HEDRIK BURGER"/>
    <x v="13"/>
    <n v="5"/>
    <s v="SOFT DRINKS"/>
    <n v="750"/>
    <n v="112.5"/>
  </r>
  <r>
    <n v="795"/>
    <s v="HCFM-0598"/>
    <s v="DGM FATIMA ZAHID"/>
    <x v="13"/>
    <n v="4"/>
    <s v="SUNDAY BRUNCH "/>
    <n v="7400"/>
    <n v="1110"/>
  </r>
  <r>
    <n v="796"/>
    <s v="HCFM-0598"/>
    <s v="DGM FATIMA ZAHID"/>
    <x v="13"/>
    <n v="2"/>
    <s v="SUNDAY BRUNCH KIDS "/>
    <n v="1850"/>
    <n v="277.5"/>
  </r>
  <r>
    <n v="797"/>
    <s v="HCFM-0598"/>
    <s v="DGM FATIMA ZAHID"/>
    <x v="13"/>
    <n v="3"/>
    <s v="COFFEE CAPPUCINO"/>
    <n v="1050"/>
    <n v="157.5"/>
  </r>
  <r>
    <n v="798"/>
    <s v="HCFM-0598"/>
    <s v="DGM FATIMA ZAHID"/>
    <x v="13"/>
    <n v="1"/>
    <s v="MINERAL WATER LARGE"/>
    <n v="150"/>
    <n v="22.5"/>
  </r>
  <r>
    <n v="799"/>
    <s v="HCFM-0664"/>
    <s v="SHAHBAZ AHMED"/>
    <x v="13"/>
    <n v="2"/>
    <s v="SUNDAY BRUNCH "/>
    <n v="3700"/>
    <n v="555"/>
  </r>
  <r>
    <n v="800"/>
    <s v="HCFM-0664"/>
    <s v="SHAHBAZ AHMED"/>
    <x v="13"/>
    <n v="1"/>
    <s v="MINERAL WATER LARGE"/>
    <n v="150"/>
    <n v="22.5"/>
  </r>
  <r>
    <n v="801"/>
    <s v="HCFM-0554"/>
    <s v="MR.IMRAN WAZEER"/>
    <x v="13"/>
    <n v="3"/>
    <s v="SUNDAY BRUNCH"/>
    <n v="4650"/>
    <n v="697.5"/>
  </r>
  <r>
    <n v="802"/>
    <s v="HCFM-0554"/>
    <s v="MR.IMRAN WAZEER"/>
    <x v="13"/>
    <n v="1"/>
    <s v="MINERAL WATER LARGE"/>
    <n v="150"/>
    <n v="22.5"/>
  </r>
  <r>
    <n v="803"/>
    <s v="HCFM-0554"/>
    <s v="MR.IMRAN WAZEER"/>
    <x v="13"/>
    <n v="2"/>
    <s v="LASSI"/>
    <n v="600"/>
    <n v="90"/>
  </r>
  <r>
    <n v="804"/>
    <s v="HCFM-0672"/>
    <s v="MRS RIFFAT ZULFIQAR"/>
    <x v="13"/>
    <n v="11"/>
    <s v="SUNDAY BRUNCH"/>
    <n v="17050"/>
    <n v="2557.5"/>
  </r>
  <r>
    <n v="805"/>
    <s v="HCFM-0672"/>
    <s v="MRS RIFFAT ZULFIQAR"/>
    <x v="13"/>
    <n v="2"/>
    <s v="SUNDAY BRUNCH KIDS"/>
    <n v="1550"/>
    <n v="232.5"/>
  </r>
  <r>
    <n v="806"/>
    <s v="HCFM-0672"/>
    <s v="MRS RIFFAT ZULFIQAR"/>
    <x v="13"/>
    <n v="2"/>
    <s v="COFFEE CAPPUCINO"/>
    <n v="700"/>
    <n v="105"/>
  </r>
  <r>
    <n v="807"/>
    <s v="HCFM-0672"/>
    <s v="MRS RIFFAT ZULFIQAR"/>
    <x v="13"/>
    <n v="3"/>
    <s v="MINERAL WATER LARGE"/>
    <n v="450"/>
    <n v="67.5"/>
  </r>
  <r>
    <n v="808"/>
    <s v="HCFM-0672"/>
    <s v="MRS RIFFAT ZULFIQAR"/>
    <x v="13"/>
    <n v="2"/>
    <s v="LASSI"/>
    <n v="600"/>
    <n v="90"/>
  </r>
  <r>
    <n v="809"/>
    <s v="HCFM-0672"/>
    <s v="MRS RIFFAT ZULFIQAR"/>
    <x v="13"/>
    <n v="4"/>
    <s v="SOFT DRINKS"/>
    <n v="600"/>
    <n v="90"/>
  </r>
  <r>
    <n v="810"/>
    <s v="HCFM-0589"/>
    <s v="DGM.REHAN TARIQ"/>
    <x v="13"/>
    <n v="2"/>
    <s v="SUNDAY BRUNCH"/>
    <n v="3100"/>
    <n v="465"/>
  </r>
  <r>
    <n v="811"/>
    <s v="HCFM-0589"/>
    <s v="DGM.REHAN TARIQ"/>
    <x v="13"/>
    <n v="1"/>
    <s v="MINERAL WATER LARGE"/>
    <n v="150"/>
    <n v="22.5"/>
  </r>
  <r>
    <n v="812"/>
    <s v="HCFM-0583"/>
    <s v="MR.CAREL HEDRIK BURGER"/>
    <x v="14"/>
    <n v="2"/>
    <s v="PIZZA FRIES FULL"/>
    <n v="1000"/>
    <n v="150"/>
  </r>
  <r>
    <n v="813"/>
    <s v="HCFM-0583"/>
    <s v="MR.CAREL HEDRIK BURGER"/>
    <x v="14"/>
    <n v="3"/>
    <s v="SOFT DRINKS"/>
    <n v="450"/>
    <n v="67.5"/>
  </r>
  <r>
    <n v="814"/>
    <s v="HCFM-0536"/>
    <s v="MR.ASHOK KUMAR"/>
    <x v="14"/>
    <n v="1"/>
    <s v="MINERAL WATER LARGE"/>
    <n v="150"/>
    <n v="22.5"/>
  </r>
  <r>
    <n v="815"/>
    <s v="HCFM-0536"/>
    <s v="MR.ASHOK KUMAR"/>
    <x v="14"/>
    <n v="3"/>
    <s v="BLACK COFFEE"/>
    <n v="900"/>
    <n v="135"/>
  </r>
  <r>
    <n v="816"/>
    <s v="HCFM-0595"/>
    <s v="BRIG.KHALID MEHMOOD"/>
    <x v="14"/>
    <n v="1"/>
    <s v="ALMOND CAKE"/>
    <n v="1600"/>
    <n v="240"/>
  </r>
  <r>
    <n v="817"/>
    <s v="HCFM-0670"/>
    <s v="MR. TEHSEEN FAIZ"/>
    <x v="14"/>
    <n v="1"/>
    <s v="CLUB SANDWICH"/>
    <n v="1250"/>
    <n v="187.5"/>
  </r>
  <r>
    <n v="818"/>
    <s v="HCFM-0670"/>
    <s v="MR. TEHSEEN FAIZ"/>
    <x v="14"/>
    <n v="2"/>
    <s v="BBQ LOADED FRIES FULL"/>
    <n v="1080"/>
    <n v="162"/>
  </r>
  <r>
    <n v="819"/>
    <s v="HCFM-0670"/>
    <s v="MR. TEHSEEN FAIZ"/>
    <x v="14"/>
    <n v="1"/>
    <s v="MINERAL WATER LARGE"/>
    <n v="150"/>
    <n v="22.5"/>
  </r>
  <r>
    <n v="820"/>
    <s v="HCFM-0670"/>
    <s v="MR. TEHSEEN FAIZ"/>
    <x v="14"/>
    <n v="1"/>
    <s v="PLAIN POPCORN"/>
    <n v="500"/>
    <n v="75"/>
  </r>
  <r>
    <n v="821"/>
    <s v="HCFM-0670"/>
    <s v="MR. TEHSEEN FAIZ"/>
    <x v="14"/>
    <n v="2"/>
    <s v="SOFT DRINKS"/>
    <n v="300"/>
    <n v="45"/>
  </r>
  <r>
    <n v="822"/>
    <s v="HCFM-0554"/>
    <s v="MR.IMRAN WAZEER"/>
    <x v="15"/>
    <n v="1"/>
    <s v="MINERAL WATER LARGE"/>
    <n v="150"/>
    <n v="22.5"/>
  </r>
  <r>
    <n v="823"/>
    <s v="HCFM-0554"/>
    <s v="MR.IMRAN WAZEER"/>
    <x v="15"/>
    <n v="1"/>
    <s v="HC SPECIAL TIKKA"/>
    <n v="800"/>
    <n v="120"/>
  </r>
  <r>
    <n v="824"/>
    <s v="HCFM-0554"/>
    <s v="MR.IMRAN WAZEER"/>
    <x v="15"/>
    <n v="1"/>
    <s v="SPECIAL BREAST LEG TIKKA"/>
    <n v="800"/>
    <n v="120"/>
  </r>
  <r>
    <n v="825"/>
    <s v="HCFM-0554"/>
    <s v="MR.IMRAN WAZEER"/>
    <x v="15"/>
    <n v="1"/>
    <s v="VEGETABLE FRIED RICE"/>
    <n v="300"/>
    <n v="45"/>
  </r>
  <r>
    <n v="826"/>
    <s v="HCFM-0554"/>
    <s v="MR.IMRAN WAZEER"/>
    <x v="15"/>
    <n v="1"/>
    <s v="MALAI BOTI"/>
    <n v="1150"/>
    <n v="172.5"/>
  </r>
  <r>
    <n v="827"/>
    <s v="HCFM-0554"/>
    <s v="MR.IMRAN WAZEER"/>
    <x v="15"/>
    <n v="1"/>
    <s v="SHISH TAOUK"/>
    <n v="1200"/>
    <n v="180"/>
  </r>
  <r>
    <n v="828"/>
    <s v="HCFM-0554"/>
    <s v="MR.IMRAN WAZEER"/>
    <x v="15"/>
    <n v="1"/>
    <s v="RESHMI SEEKH KABAB"/>
    <n v="999"/>
    <n v="149.85"/>
  </r>
  <r>
    <n v="829"/>
    <s v="HCFM-0554"/>
    <s v="MR.IMRAN WAZEER"/>
    <x v="15"/>
    <n v="3"/>
    <s v="PLAIN NAAN"/>
    <n v="210"/>
    <n v="31.5"/>
  </r>
  <r>
    <n v="830"/>
    <s v="HCFM-0554"/>
    <s v="MR.IMRAN WAZEER"/>
    <x v="15"/>
    <n v="3"/>
    <s v="ROGHNI NAAN"/>
    <n v="450"/>
    <n v="67.5"/>
  </r>
  <r>
    <n v="831"/>
    <s v="HCFM-0554"/>
    <s v="MR.IMRAN WAZEER"/>
    <x v="15"/>
    <n v="1"/>
    <s v="CHICKEN HANDI"/>
    <n v="1000"/>
    <n v="150"/>
  </r>
  <r>
    <n v="832"/>
    <s v="HCFM-0554"/>
    <s v="MR.IMRAN WAZEER"/>
    <x v="15"/>
    <n v="1"/>
    <s v="MIX TEA"/>
    <n v="200"/>
    <n v="30"/>
  </r>
  <r>
    <n v="833"/>
    <s v="HCFM-0554"/>
    <s v="MR.IMRAN WAZEER"/>
    <x v="15"/>
    <n v="1"/>
    <s v="COFFEE CAPPUCINO"/>
    <n v="350"/>
    <n v="52.5"/>
  </r>
  <r>
    <n v="834"/>
    <s v="HCFM-0646"/>
    <s v="BAHRIA INTERNATIONAL HOSPITAL"/>
    <x v="15"/>
    <n v="21"/>
    <s v="ASSORTED PASTRY"/>
    <n v="5250"/>
    <m/>
  </r>
  <r>
    <n v="835"/>
    <s v="HCFM-0646"/>
    <s v="BAHRIA INTERNATIONAL HOSPITAL"/>
    <x v="15"/>
    <n v="6"/>
    <s v="CHOCOLATE ECLAIR"/>
    <n v="900"/>
    <m/>
  </r>
  <r>
    <n v="836"/>
    <s v="HCFM-0646"/>
    <s v="BAHRIA INTERNATIONAL HOSPITAL"/>
    <x v="15"/>
    <n v="30"/>
    <s v="CHICKEN PATTIES"/>
    <n v="3000"/>
    <m/>
  </r>
  <r>
    <n v="837"/>
    <s v="HCFM-0646"/>
    <s v="BAHRIA INTERNATIONAL HOSPITAL"/>
    <x v="15"/>
    <n v="15"/>
    <s v="DOUGHNUTS"/>
    <n v="2250"/>
    <m/>
  </r>
  <r>
    <n v="838"/>
    <s v="HCFM-0646"/>
    <s v="BAHRIA INTERNATIONAL HOSPITAL"/>
    <x v="15"/>
    <n v="6"/>
    <s v="ASSORTED COOKIES"/>
    <n v="2400"/>
    <m/>
  </r>
  <r>
    <n v="839"/>
    <s v="HCFM-0667"/>
    <s v="MR. FAYAZ ALI SOOMRO"/>
    <x v="15"/>
    <n v="4"/>
    <s v="SPECIAL BREAST LEG TIKKA"/>
    <n v="3200"/>
    <n v="480"/>
  </r>
  <r>
    <n v="840"/>
    <s v="HCFM-0667"/>
    <s v="MR. FAYAZ ALI SOOMRO"/>
    <x v="15"/>
    <n v="1"/>
    <s v="RESHMI SEEKH KABAB"/>
    <n v="999"/>
    <n v="149.85"/>
  </r>
  <r>
    <n v="841"/>
    <s v="HCFM-0667"/>
    <s v="MR. FAYAZ ALI SOOMRO"/>
    <x v="15"/>
    <n v="1"/>
    <s v="BEEF SEEKH KABAB"/>
    <n v="1200"/>
    <n v="180"/>
  </r>
  <r>
    <n v="842"/>
    <s v="HCFM-0667"/>
    <s v="MR. FAYAZ ALI SOOMRO"/>
    <x v="15"/>
    <n v="1"/>
    <s v="MALAI BOTI"/>
    <n v="1150"/>
    <n v="172.5"/>
  </r>
  <r>
    <n v="843"/>
    <s v="HCFM-0667"/>
    <s v="MR. FAYAZ ALI SOOMRO"/>
    <x v="15"/>
    <n v="1"/>
    <s v="SHISH TAOUK"/>
    <n v="1200"/>
    <n v="180"/>
  </r>
  <r>
    <n v="844"/>
    <s v="HCFM-0667"/>
    <s v="MR. FAYAZ ALI SOOMRO"/>
    <x v="15"/>
    <n v="1"/>
    <s v="BEEF BOTI"/>
    <n v="1200"/>
    <n v="180"/>
  </r>
  <r>
    <n v="845"/>
    <s v="HCFM-0504"/>
    <s v="MR.BILAL AHMED"/>
    <x v="15"/>
    <n v="2"/>
    <s v="MINERAL WATER SMALL"/>
    <n v="200"/>
    <n v="30"/>
  </r>
  <r>
    <n v="846"/>
    <s v="HCFM-0504"/>
    <s v="MR.BILAL AHMED"/>
    <x v="15"/>
    <n v="2"/>
    <s v="COFFEE CAPPUCINO"/>
    <n v="700"/>
    <n v="105"/>
  </r>
  <r>
    <n v="847"/>
    <s v="HCFM-0515"/>
    <s v="MR.TARIQUE ZUBAIR"/>
    <x v="15"/>
    <n v="1"/>
    <s v="CLUB SANDWICH"/>
    <n v="1250"/>
    <n v="187.5"/>
  </r>
  <r>
    <n v="848"/>
    <s v="HCFM-0515"/>
    <s v="MR.TARIQUE ZUBAIR"/>
    <x v="15"/>
    <n v="1"/>
    <s v="SOFT DRINKS"/>
    <n v="150"/>
    <n v="22.5"/>
  </r>
  <r>
    <n v="849"/>
    <s v="HCFM-0541"/>
    <s v="MR.SHAN ELAHI SEHGAL"/>
    <x v="16"/>
    <n v="1"/>
    <s v="CLUB SANDWICH"/>
    <n v="1250"/>
    <n v="187.5"/>
  </r>
  <r>
    <n v="850"/>
    <s v="HCFM-0541"/>
    <s v="MR.SHAN ELAHI SEHGAL"/>
    <x v="16"/>
    <n v="2"/>
    <s v="PLAIN POPCORN"/>
    <n v="1000"/>
    <n v="150"/>
  </r>
  <r>
    <n v="851"/>
    <s v="HCFM-0541"/>
    <s v="MR.SHAN ELAHI SEHGAL"/>
    <x v="16"/>
    <n v="2"/>
    <s v="SOFT DRINKS"/>
    <n v="300"/>
    <n v="45"/>
  </r>
  <r>
    <n v="852"/>
    <s v="HCFM-0548"/>
    <s v="MR.ZAIN FAROOQ"/>
    <x v="16"/>
    <n v="1"/>
    <s v="PLAIN POPCORN"/>
    <n v="500"/>
    <n v="75"/>
  </r>
  <r>
    <n v="853"/>
    <s v="HCFM-0554"/>
    <s v="MR.IMRAN WAZEER"/>
    <x v="16"/>
    <n v="1"/>
    <s v="PIZZA FRIES HALF"/>
    <n v="250"/>
    <n v="37.5"/>
  </r>
  <r>
    <n v="854"/>
    <s v="HCFM-0554"/>
    <s v="MR.IMRAN WAZEER"/>
    <x v="16"/>
    <n v="1"/>
    <s v="ZINGER BURGER"/>
    <n v="700"/>
    <n v="105"/>
  </r>
  <r>
    <n v="855"/>
    <s v="HCFM-0554"/>
    <s v="MR.IMRAN WAZEER"/>
    <x v="16"/>
    <n v="1"/>
    <s v="MINERAL WATER SMALL"/>
    <n v="100"/>
    <n v="15"/>
  </r>
  <r>
    <n v="856"/>
    <s v="HCFM-0686"/>
    <s v="MR. GHULAM MUSTAFA"/>
    <x v="16"/>
    <n v="1"/>
    <s v="CHICKEN STRIPS"/>
    <n v="700"/>
    <n v="105"/>
  </r>
  <r>
    <n v="857"/>
    <s v="HCFM-0686"/>
    <s v="MR. GHULAM MUSTAFA"/>
    <x v="16"/>
    <n v="1"/>
    <s v="HOT N SOUR SOUP"/>
    <n v="350"/>
    <n v="52.5"/>
  </r>
  <r>
    <n v="858"/>
    <s v="HCFM-0686"/>
    <s v="MR. GHULAM MUSTAFA"/>
    <x v="16"/>
    <n v="1"/>
    <s v="CHINESE CORN SOUP"/>
    <n v="250"/>
    <n v="37.5"/>
  </r>
  <r>
    <n v="859"/>
    <s v="HCFM-0686"/>
    <s v="MR. GHULAM MUSTAFA"/>
    <x v="16"/>
    <n v="1"/>
    <s v="PLAIN FRIES"/>
    <n v="250"/>
    <n v="37.5"/>
  </r>
  <r>
    <n v="860"/>
    <s v="HCFM-0686"/>
    <s v="MR. GHULAM MUSTAFA"/>
    <x v="16"/>
    <n v="1"/>
    <s v="CREAM OF MASHROOM SOUP"/>
    <n v="400"/>
    <n v="60"/>
  </r>
  <r>
    <n v="861"/>
    <s v="HCFM-0686"/>
    <s v="MR. GHULAM MUSTAFA"/>
    <x v="16"/>
    <n v="1"/>
    <s v="EGG FRIED RICE"/>
    <n v="300"/>
    <n v="45"/>
  </r>
  <r>
    <n v="862"/>
    <s v="HCFM-0686"/>
    <s v="MR. GHULAM MUSTAFA"/>
    <x v="16"/>
    <n v="1"/>
    <s v="BEEF BOTI"/>
    <n v="1200"/>
    <n v="180"/>
  </r>
  <r>
    <n v="863"/>
    <s v="HCFM-0686"/>
    <s v="MR. GHULAM MUSTAFA"/>
    <x v="16"/>
    <n v="1"/>
    <s v="RESHMI SEEKH KABAB"/>
    <n v="999"/>
    <n v="149.85"/>
  </r>
  <r>
    <n v="864"/>
    <s v="HCFM-0686"/>
    <s v="MR. GHULAM MUSTAFA"/>
    <x v="16"/>
    <n v="1"/>
    <s v="LAHORI KARAHI"/>
    <n v="900"/>
    <n v="135"/>
  </r>
  <r>
    <n v="865"/>
    <s v="HCFM-0686"/>
    <s v="MR. GHULAM MUSTAFA"/>
    <x v="16"/>
    <n v="1"/>
    <s v="HC SPECIAL DAAL MAKHNI"/>
    <n v="500"/>
    <n v="75"/>
  </r>
  <r>
    <n v="866"/>
    <s v="HCFM-0686"/>
    <s v="MR. GHULAM MUSTAFA"/>
    <x v="16"/>
    <n v="2"/>
    <s v="PLAIN NAAN"/>
    <n v="140"/>
    <n v="21"/>
  </r>
  <r>
    <n v="867"/>
    <s v="HCFM-0686"/>
    <s v="MR. GHULAM MUSTAFA"/>
    <x v="16"/>
    <n v="2"/>
    <s v="GARLIC NAAN"/>
    <n v="260"/>
    <n v="39"/>
  </r>
  <r>
    <n v="868"/>
    <s v="HCFM-0686"/>
    <s v="MR. GHULAM MUSTAFA"/>
    <x v="16"/>
    <n v="2"/>
    <s v="ROGHNI NAAN"/>
    <n v="300"/>
    <n v="45"/>
  </r>
  <r>
    <n v="869"/>
    <s v="HCFM-0686"/>
    <s v="MR. GHULAM MUSTAFA"/>
    <x v="16"/>
    <n v="1"/>
    <s v="MINERAL WATER LARGE"/>
    <n v="150"/>
    <n v="22.5"/>
  </r>
  <r>
    <n v="870"/>
    <s v="HCFM-0686"/>
    <s v="MR. GHULAM MUSTAFA"/>
    <x v="16"/>
    <n v="1"/>
    <s v="SOFT DRINKS"/>
    <n v="150"/>
    <n v="22.5"/>
  </r>
  <r>
    <n v="871"/>
    <s v="HCFM-0548"/>
    <s v="MR.ZAIN FAROOQ"/>
    <x v="16"/>
    <n v="2"/>
    <s v="HC SPECIAL CAESAR SALAD"/>
    <n v="1200"/>
    <n v="180"/>
  </r>
  <r>
    <n v="872"/>
    <s v="HCFM-0541"/>
    <s v="MR.SHAN ELAHI SEHGAL"/>
    <x v="16"/>
    <n v="1"/>
    <s v="MIX TEA"/>
    <n v="200"/>
    <n v="30"/>
  </r>
  <r>
    <n v="873"/>
    <s v="HCFM-0541"/>
    <s v="MR.SHAN ELAHI SEHGAL"/>
    <x v="16"/>
    <n v="1"/>
    <s v="MINERAL WATER SMALL"/>
    <n v="100"/>
    <n v="15"/>
  </r>
  <r>
    <n v="874"/>
    <s v="HCFM-0541"/>
    <s v="MR.SHAN ELAHI SEHGAL"/>
    <x v="16"/>
    <n v="2"/>
    <s v="CHICKEN PATTIES"/>
    <n v="200"/>
    <n v="30"/>
  </r>
  <r>
    <n v="875"/>
    <s v="HCFM-0678"/>
    <s v="MR. AIJAZ ALI BALOCH"/>
    <x v="16"/>
    <n v="5"/>
    <s v="PLAIN NAAN"/>
    <n v="350"/>
    <n v="52.5"/>
  </r>
  <r>
    <n v="876"/>
    <s v="HCFM-0678"/>
    <s v="MR. AIJAZ ALI BALOCH"/>
    <x v="16"/>
    <n v="1"/>
    <s v="MUTTON KARAHI (RED/WHITE/GREEN)"/>
    <n v="1800"/>
    <n v="270"/>
  </r>
  <r>
    <n v="877"/>
    <s v="HCFM-0678"/>
    <s v="MR. AIJAZ ALI BALOCH"/>
    <x v="16"/>
    <n v="2"/>
    <s v="ROGHNI NAAN"/>
    <n v="300"/>
    <n v="45"/>
  </r>
  <r>
    <n v="878"/>
    <s v="HCFM-0678"/>
    <s v="MR. AIJAZ ALI BALOCH"/>
    <x v="16"/>
    <n v="2"/>
    <s v="GARLIC NAAN"/>
    <n v="260"/>
    <n v="39"/>
  </r>
  <r>
    <n v="879"/>
    <s v="HCFM-0678"/>
    <s v="MR. AIJAZ ALI BALOCH"/>
    <x v="16"/>
    <n v="1"/>
    <s v="VEGETABLE FRIED RICE"/>
    <n v="300"/>
    <n v="45"/>
  </r>
  <r>
    <n v="880"/>
    <s v="HCFM-0678"/>
    <s v="MR. AIJAZ ALI BALOCH"/>
    <x v="16"/>
    <n v="4"/>
    <s v="MINT LEMONADE"/>
    <n v="1400"/>
    <n v="210"/>
  </r>
  <r>
    <n v="881"/>
    <s v="HCFM-0678"/>
    <s v="MR. AIJAZ ALI BALOCH"/>
    <x v="16"/>
    <n v="4"/>
    <s v="SOFT DRINKS"/>
    <n v="600"/>
    <n v="90"/>
  </r>
  <r>
    <n v="882"/>
    <s v="HCFM-0678"/>
    <s v="MR. AIJAZ ALI BALOCH"/>
    <x v="16"/>
    <n v="1"/>
    <s v="MINERAL WATER LARGE"/>
    <n v="150"/>
    <n v="22.5"/>
  </r>
  <r>
    <n v="883"/>
    <s v="HCFM-0678"/>
    <s v="MR. AIJAZ ALI BALOCH"/>
    <x v="16"/>
    <n v="1"/>
    <s v="MUTTON KARAHI (RED/WHITE/GREEN)"/>
    <n v="1800"/>
    <n v="270"/>
  </r>
  <r>
    <n v="884"/>
    <s v="HCFM-0678"/>
    <s v="MR. AIJAZ ALI BALOCH"/>
    <x v="16"/>
    <n v="1"/>
    <s v="BEEF SEEKH KABAB"/>
    <n v="1200"/>
    <n v="180"/>
  </r>
  <r>
    <n v="885"/>
    <s v="HCFM-0678"/>
    <s v="MR. AIJAZ ALI BALOCH"/>
    <x v="16"/>
    <n v="1"/>
    <s v="MALAI BOTI"/>
    <n v="1150"/>
    <n v="172.5"/>
  </r>
  <r>
    <n v="886"/>
    <s v="HCFM-0678"/>
    <s v="MR. AIJAZ ALI BALOCH"/>
    <x v="16"/>
    <n v="1"/>
    <s v="VEGETABLE FRIED RICE"/>
    <n v="300"/>
    <n v="45"/>
  </r>
  <r>
    <n v="887"/>
    <s v="HCFM-0678"/>
    <s v="MR. AIJAZ ALI BALOCH"/>
    <x v="16"/>
    <n v="1"/>
    <s v="CHICKEN CHOWMEIN"/>
    <n v="950"/>
    <n v="142.5"/>
  </r>
  <r>
    <n v="888"/>
    <s v="HCFM-0678"/>
    <s v="MR. AIJAZ ALI BALOCH"/>
    <x v="16"/>
    <n v="1"/>
    <s v="SHISH TAOUK"/>
    <n v="1200"/>
    <n v="180"/>
  </r>
  <r>
    <n v="889"/>
    <s v="HCFM-0678"/>
    <s v="MR. AIJAZ ALI BALOCH"/>
    <x v="16"/>
    <n v="1"/>
    <s v="RESHMI SEEKH KABAB"/>
    <n v="999"/>
    <n v="149.85"/>
  </r>
  <r>
    <n v="890"/>
    <s v="HCFM-0678"/>
    <s v="MR. AIJAZ ALI BALOCH"/>
    <x v="16"/>
    <n v="1"/>
    <s v="FRESH GARDEN SALAD"/>
    <n v="800"/>
    <n v="120"/>
  </r>
  <r>
    <n v="891"/>
    <s v="HCFM-0678"/>
    <s v="MR. AIJAZ ALI BALOCH"/>
    <x v="16"/>
    <n v="1"/>
    <s v="RAITA"/>
    <n v="200"/>
    <n v="30"/>
  </r>
  <r>
    <n v="892"/>
    <s v="HCFM-0678"/>
    <s v="MR. AIJAZ ALI BALOCH"/>
    <x v="16"/>
    <n v="1"/>
    <s v="HC SPECIAL TIKKA"/>
    <n v="800"/>
    <n v="120"/>
  </r>
  <r>
    <n v="893"/>
    <s v="HCFM-0678"/>
    <s v="MR. AIJAZ ALI BALOCH"/>
    <x v="16"/>
    <n v="2"/>
    <s v="CHICKEN DYNAMITE"/>
    <n v="1700"/>
    <n v="255"/>
  </r>
  <r>
    <n v="894"/>
    <s v="HCFM-0678"/>
    <s v="MR. AIJAZ ALI BALOCH"/>
    <x v="16"/>
    <n v="2"/>
    <s v="MINT LEMONADE"/>
    <n v="700"/>
    <n v="105"/>
  </r>
  <r>
    <n v="895"/>
    <s v="HCFM-0678"/>
    <s v="MR. AIJAZ ALI BALOCH"/>
    <x v="16"/>
    <n v="3"/>
    <s v="MINERAL WATER SMALL"/>
    <n v="300"/>
    <n v="45"/>
  </r>
  <r>
    <n v="896"/>
    <s v="HCFM-0678"/>
    <s v="MR. AIJAZ ALI BALOCH"/>
    <x v="16"/>
    <n v="14"/>
    <s v="CHIVAS SINGLE"/>
    <n v="14000"/>
    <n v="2100"/>
  </r>
  <r>
    <n v="897"/>
    <s v="HCFM-0677"/>
    <s v="MR. MUNAWAR HUSSAIN"/>
    <x v="16"/>
    <n v="1"/>
    <s v="MINERAL WATER LARGE"/>
    <n v="150"/>
    <n v="22.5"/>
  </r>
  <r>
    <n v="898"/>
    <s v="HCFM-0677"/>
    <s v="MR. MUNAWAR HUSSAIN"/>
    <x v="16"/>
    <n v="1"/>
    <s v="HOT N SOUR SOUP"/>
    <n v="350"/>
    <n v="52.5"/>
  </r>
  <r>
    <n v="899"/>
    <s v="HCFM-0677"/>
    <s v="MR. MUNAWAR HUSSAIN"/>
    <x v="16"/>
    <n v="1"/>
    <s v="CHINESE SZECHUAN SOUP"/>
    <n v="350"/>
    <n v="52.5"/>
  </r>
  <r>
    <n v="900"/>
    <s v="HCFM-0677"/>
    <s v="MR. MUNAWAR HUSSAIN"/>
    <x v="16"/>
    <n v="1"/>
    <s v="HC SPECIAL DAAL MASALA"/>
    <n v="400"/>
    <n v="60"/>
  </r>
  <r>
    <n v="901"/>
    <s v="HCFM-0677"/>
    <s v="MR. MUNAWAR HUSSAIN"/>
    <x v="16"/>
    <n v="1"/>
    <s v="PASTA"/>
    <n v="1200"/>
    <n v="180"/>
  </r>
  <r>
    <n v="902"/>
    <s v="HCFM-0677"/>
    <s v="MR. MUNAWAR HUSSAIN"/>
    <x v="16"/>
    <n v="1"/>
    <s v="PLAIN NAAN"/>
    <n v="70"/>
    <n v="10.5"/>
  </r>
  <r>
    <n v="903"/>
    <s v="HCFM-0677"/>
    <s v="MR. MUNAWAR HUSSAIN"/>
    <x v="16"/>
    <n v="1"/>
    <s v="GARLIC NAAN"/>
    <n v="130"/>
    <n v="19.5"/>
  </r>
  <r>
    <n v="904"/>
    <s v="HCFM-0677"/>
    <s v="MR. MUNAWAR HUSSAIN"/>
    <x v="16"/>
    <n v="1"/>
    <s v="COFFEE CAPPUCINO"/>
    <n v="350"/>
    <n v="52.5"/>
  </r>
  <r>
    <n v="905"/>
    <s v="HCFM-0679"/>
    <s v="MR. ANEEL ZAHOOR"/>
    <x v="17"/>
    <n v="3"/>
    <s v="ZINGER BURGER"/>
    <n v="2100"/>
    <n v="315"/>
  </r>
  <r>
    <n v="906"/>
    <s v="HCFM-0679"/>
    <s v="MR. ANEEL ZAHOOR"/>
    <x v="17"/>
    <n v="2"/>
    <s v="CHICKEN PATTIES"/>
    <n v="200"/>
    <n v="30"/>
  </r>
  <r>
    <n v="907"/>
    <s v="HCFM-0679"/>
    <s v="MR. ANEEL ZAHOOR"/>
    <x v="17"/>
    <n v="2"/>
    <s v="MIX TEA"/>
    <n v="400"/>
    <n v="60"/>
  </r>
  <r>
    <n v="908"/>
    <s v="HCFM-0679"/>
    <s v="MR. ANEEL ZAHOOR"/>
    <x v="17"/>
    <n v="2"/>
    <s v="SOFT DRINKS"/>
    <n v="300"/>
    <n v="45"/>
  </r>
  <r>
    <n v="909"/>
    <s v="HCFM-0679"/>
    <s v="MR. ANEEL ZAHOOR"/>
    <x v="17"/>
    <n v="1"/>
    <s v="MINERAL WATER SMALL"/>
    <n v="100"/>
    <n v="15"/>
  </r>
  <r>
    <n v="910"/>
    <s v="HCFM-0679"/>
    <s v="MR. ANEEL ZAHOOR"/>
    <x v="17"/>
    <n v="2"/>
    <s v="MINERAL WATER LARGE"/>
    <n v="300"/>
    <n v="45"/>
  </r>
  <r>
    <n v="911"/>
    <s v="HCFM-0679"/>
    <s v="MR. ANEEL ZAHOOR"/>
    <x v="17"/>
    <n v="1"/>
    <s v="HC SPECIAL MUTTON KARAHI"/>
    <n v="1800"/>
    <n v="270"/>
  </r>
  <r>
    <n v="912"/>
    <s v="HCFM-0679"/>
    <s v="MR. ANEEL ZAHOOR"/>
    <x v="17"/>
    <n v="1"/>
    <s v="CHICKEN KARAHI"/>
    <n v="900"/>
    <n v="135"/>
  </r>
  <r>
    <n v="913"/>
    <s v="HCFM-0679"/>
    <s v="MR. ANEEL ZAHOOR"/>
    <x v="17"/>
    <n v="1"/>
    <s v="SHISH TAOUK"/>
    <n v="1200"/>
    <n v="180"/>
  </r>
  <r>
    <n v="914"/>
    <s v="HCFM-0679"/>
    <s v="MR. ANEEL ZAHOOR"/>
    <x v="17"/>
    <n v="5"/>
    <s v="PLAIN NAAN"/>
    <n v="350"/>
    <n v="52.5"/>
  </r>
  <r>
    <n v="915"/>
    <s v="HCFM-0679"/>
    <s v="MR. ANEEL ZAHOOR"/>
    <x v="17"/>
    <n v="1"/>
    <s v="PLAIN FRIES"/>
    <n v="250"/>
    <n v="37.5"/>
  </r>
  <r>
    <n v="916"/>
    <s v="HCFM-0679"/>
    <s v="MR. ANEEL ZAHOOR"/>
    <x v="17"/>
    <n v="4"/>
    <s v="GARLIC NAAN"/>
    <n v="520"/>
    <n v="78"/>
  </r>
  <r>
    <n v="917"/>
    <s v="HCFM-0679"/>
    <s v="MR. ANEEL ZAHOOR"/>
    <x v="17"/>
    <n v="4"/>
    <s v="SOFT DRINKS"/>
    <n v="600"/>
    <n v="90"/>
  </r>
  <r>
    <n v="918"/>
    <s v="HCFM-0679"/>
    <s v="MR. ANEEL ZAHOOR"/>
    <x v="17"/>
    <n v="1"/>
    <s v="MINT LEMONADE"/>
    <n v="350"/>
    <n v="52.5"/>
  </r>
  <r>
    <n v="919"/>
    <s v="HCFM-0679"/>
    <s v="MR. ANEEL ZAHOOR"/>
    <x v="17"/>
    <n v="1"/>
    <s v="GRILLED CHICKEN ROASTED"/>
    <n v="850"/>
    <n v="127.5"/>
  </r>
  <r>
    <n v="920"/>
    <s v="HCFM-0684"/>
    <s v="MR. ZAMIR ALI SHAH"/>
    <x v="17"/>
    <n v="1"/>
    <s v="COFFEE CAPPUCINO"/>
    <n v="350"/>
    <n v="52.5"/>
  </r>
  <r>
    <n v="921"/>
    <s v="HCFM-0684"/>
    <s v="MR. ZAMIR ALI SHAH"/>
    <x v="17"/>
    <n v="1"/>
    <s v="CLUB SANDWICH"/>
    <n v="1250"/>
    <n v="187.5"/>
  </r>
  <r>
    <n v="922"/>
    <s v="HCFM-0684"/>
    <s v="MR. ZAMIR ALI SHAH"/>
    <x v="17"/>
    <n v="2"/>
    <s v="MINERAL WATER SMALL"/>
    <n v="200"/>
    <n v="30"/>
  </r>
  <r>
    <n v="923"/>
    <s v="HCFM-0684"/>
    <s v="MR. ZAMIR ALI SHAH"/>
    <x v="17"/>
    <n v="1"/>
    <s v="MIX TEA"/>
    <n v="200"/>
    <n v="30"/>
  </r>
  <r>
    <n v="924"/>
    <s v="HCFM-0684"/>
    <s v="MR. ZAMIR ALI SHAH"/>
    <x v="17"/>
    <n v="1"/>
    <s v="PLAIN POPCORN"/>
    <n v="500"/>
    <n v="75"/>
  </r>
  <r>
    <n v="925"/>
    <s v="HCFM-0684"/>
    <s v="MR. ZAMIR ALI SHAH"/>
    <x v="17"/>
    <n v="1"/>
    <s v="CHICKEN CHOWMEIN"/>
    <n v="950"/>
    <n v="142.5"/>
  </r>
  <r>
    <n v="926"/>
    <s v="HCFM-0684"/>
    <s v="MR. ZAMIR ALI SHAH"/>
    <x v="17"/>
    <n v="1"/>
    <s v="MINERAL WATER LARGE"/>
    <n v="150"/>
    <n v="22.5"/>
  </r>
  <r>
    <n v="927"/>
    <s v="HCFM-0648"/>
    <s v="AYSM MIRZA"/>
    <x v="17"/>
    <n v="2"/>
    <s v="BROWN BREAD"/>
    <n v="120"/>
    <n v="18"/>
  </r>
  <r>
    <n v="928"/>
    <s v="HCFM-0648"/>
    <s v="AYSM MIRZA"/>
    <x v="17"/>
    <n v="1"/>
    <s v="MASHROOM CHEESE OMELETTE"/>
    <n v="450"/>
    <n v="67.5"/>
  </r>
  <r>
    <n v="929"/>
    <s v="HCFM-0648"/>
    <s v="AYSM MIRZA"/>
    <x v="17"/>
    <n v="1"/>
    <s v="MIX TEA"/>
    <n v="200"/>
    <n v="30"/>
  </r>
  <r>
    <n v="930"/>
    <s v="HCFM-0541"/>
    <s v="MR.SHAN ELAHI SEHGAL"/>
    <x v="17"/>
    <n v="2"/>
    <s v="MINERAL WATER LARGE"/>
    <n v="300"/>
    <n v="45"/>
  </r>
  <r>
    <n v="931"/>
    <s v="HCFM-0541"/>
    <s v="MR.SHAN ELAHI SEHGAL"/>
    <x v="17"/>
    <n v="1"/>
    <s v="RESHMI SEEKH KABAB"/>
    <n v="999"/>
    <n v="149.85"/>
  </r>
  <r>
    <n v="932"/>
    <s v="HCFM-0541"/>
    <s v="MR.SHAN ELAHI SEHGAL"/>
    <x v="17"/>
    <n v="1"/>
    <s v="BEEF SEEKH KABAB"/>
    <n v="1200"/>
    <n v="180"/>
  </r>
  <r>
    <n v="933"/>
    <s v="HCFM-0541"/>
    <s v="MR.SHAN ELAHI SEHGAL"/>
    <x v="17"/>
    <n v="1"/>
    <s v="SHISH TAOUK"/>
    <n v="1200"/>
    <n v="180"/>
  </r>
  <r>
    <n v="934"/>
    <s v="HCFM-0541"/>
    <s v="MR.SHAN ELAHI SEHGAL"/>
    <x v="17"/>
    <n v="8"/>
    <s v="PLAIN NAAN"/>
    <n v="560"/>
    <n v="84"/>
  </r>
  <r>
    <n v="935"/>
    <s v="HCFM-0541"/>
    <s v="MR.SHAN ELAHI SEHGAL"/>
    <x v="17"/>
    <n v="1"/>
    <s v="CHINESE CORN SOUP"/>
    <n v="250"/>
    <n v="37.5"/>
  </r>
  <r>
    <n v="936"/>
    <s v="HCFM-0541"/>
    <s v="MR.SHAN ELAHI SEHGAL"/>
    <x v="17"/>
    <n v="1"/>
    <s v="CHINESE SZECHUAN SOUP"/>
    <n v="350"/>
    <n v="52.5"/>
  </r>
  <r>
    <n v="937"/>
    <s v="HCFM-0541"/>
    <s v="MR.SHAN ELAHI SEHGAL"/>
    <x v="17"/>
    <n v="1"/>
    <s v="SOFT DRINKS"/>
    <n v="150"/>
    <n v="22.5"/>
  </r>
  <r>
    <n v="938"/>
    <s v="HCFM-0541"/>
    <s v="MR.SHAN ELAHI SEHGAL"/>
    <x v="17"/>
    <n v="1"/>
    <s v="BEEF BOTI"/>
    <n v="1200"/>
    <n v="180"/>
  </r>
  <r>
    <n v="939"/>
    <s v="HCFM-0583"/>
    <s v="MR.CAREL HEDRIK BURGER"/>
    <x v="18"/>
    <n v="1"/>
    <s v="MIX TEA"/>
    <n v="200"/>
    <n v="30"/>
  </r>
  <r>
    <n v="940"/>
    <s v="HCFM-0541"/>
    <s v="MR.SHAN ELAHI SEHGAL"/>
    <x v="18"/>
    <n v="1"/>
    <s v="MIX TEA"/>
    <n v="200"/>
    <n v="30"/>
  </r>
  <r>
    <n v="941"/>
    <s v="HCFM-0586"/>
    <s v="MR.SYED MURTAZA ALI"/>
    <x v="18"/>
    <n v="1"/>
    <s v="ZINGER BURGER"/>
    <n v="700"/>
    <n v="105"/>
  </r>
  <r>
    <n v="942"/>
    <s v="HCFM-0586"/>
    <s v="MR.SYED MURTAZA ALI"/>
    <x v="18"/>
    <n v="1"/>
    <s v="PIZZA FRIES HALF"/>
    <n v="250"/>
    <n v="37.5"/>
  </r>
  <r>
    <n v="943"/>
    <s v="HCFM-0680"/>
    <s v="MR. AYAZ JAMRO"/>
    <x v="18"/>
    <n v="1"/>
    <s v="MINERAL WATER LARGE"/>
    <n v="150"/>
    <n v="22.5"/>
  </r>
  <r>
    <n v="944"/>
    <s v="HCFM-0680"/>
    <s v="MR. AYAZ JAMRO"/>
    <x v="18"/>
    <n v="1"/>
    <s v="CREAM OF MASHROOM SOUP"/>
    <n v="400"/>
    <n v="60"/>
  </r>
  <r>
    <n v="945"/>
    <s v="HCFM-0680"/>
    <s v="MR. AYAZ JAMRO"/>
    <x v="18"/>
    <n v="1"/>
    <s v="GRILLED CHICKEN SANDWICH"/>
    <n v="575"/>
    <n v="86.25"/>
  </r>
  <r>
    <n v="946"/>
    <s v="HCFM-0680"/>
    <s v="MR. AYAZ JAMRO"/>
    <x v="18"/>
    <n v="1"/>
    <s v="MADRASI HANDI"/>
    <n v="900"/>
    <n v="135"/>
  </r>
  <r>
    <n v="947"/>
    <s v="HCFM-0680"/>
    <s v="MR. AYAZ JAMRO"/>
    <x v="18"/>
    <n v="1"/>
    <s v="PASTA"/>
    <n v="1200"/>
    <n v="180"/>
  </r>
  <r>
    <n v="948"/>
    <s v="HCFM-0680"/>
    <s v="MR. AYAZ JAMRO"/>
    <x v="18"/>
    <n v="2"/>
    <s v="PLAIN NAAN"/>
    <n v="140"/>
    <n v="21"/>
  </r>
  <r>
    <n v="949"/>
    <s v="HCFM-0680"/>
    <s v="MR. AYAZ JAMRO"/>
    <x v="18"/>
    <n v="1"/>
    <s v="GARLIC NAAN"/>
    <n v="130"/>
    <n v="19.5"/>
  </r>
  <r>
    <n v="950"/>
    <s v="HCFM-0680"/>
    <s v="MR. AYAZ JAMRO"/>
    <x v="18"/>
    <n v="2"/>
    <s v="SOFT DRINKS"/>
    <n v="300"/>
    <n v="45"/>
  </r>
  <r>
    <n v="951"/>
    <s v="HCFM-0680"/>
    <s v="MR. AYAZ JAMRO"/>
    <x v="18"/>
    <n v="1"/>
    <s v="COFFEE CAPPUCINO"/>
    <n v="350"/>
    <n v="52.5"/>
  </r>
  <r>
    <n v="952"/>
    <s v="HCFM-0668"/>
    <s v="MR. KASHIF SAEED"/>
    <x v="18"/>
    <n v="1"/>
    <s v="CHICKEN ROULADE"/>
    <n v="850"/>
    <n v="127.5"/>
  </r>
  <r>
    <n v="953"/>
    <s v="HCFM-0668"/>
    <s v="MR. KASHIF SAEED"/>
    <x v="18"/>
    <n v="1"/>
    <s v="CHICKEN STRIPS"/>
    <n v="700"/>
    <n v="105"/>
  </r>
  <r>
    <n v="954"/>
    <s v="HCFM-0668"/>
    <s v="MR. KASHIF SAEED"/>
    <x v="18"/>
    <n v="1"/>
    <s v="SINGAPOREAN FRIED RICE"/>
    <n v="1000"/>
    <n v="150"/>
  </r>
  <r>
    <n v="955"/>
    <s v="HCFM-0668"/>
    <s v="MR. KASHIF SAEED"/>
    <x v="18"/>
    <n v="1"/>
    <s v="AMERICAN CHOPSUEY"/>
    <n v="950"/>
    <n v="142.5"/>
  </r>
  <r>
    <n v="956"/>
    <s v="HCFM-0668"/>
    <s v="MR. KASHIF SAEED"/>
    <x v="18"/>
    <n v="2"/>
    <s v="MINT LEMONADE"/>
    <n v="700"/>
    <n v="105"/>
  </r>
  <r>
    <n v="957"/>
    <s v="HCFM-0668"/>
    <s v="MR. KASHIF SAEED"/>
    <x v="18"/>
    <n v="1"/>
    <s v="SOFT DRINKS"/>
    <n v="150"/>
    <n v="22.5"/>
  </r>
  <r>
    <n v="958"/>
    <s v="HCFM-0668"/>
    <s v="MR. KASHIF SAEED"/>
    <x v="18"/>
    <n v="1"/>
    <s v="MINERAL WATER LARGE"/>
    <n v="150"/>
    <n v="22.5"/>
  </r>
  <r>
    <n v="959"/>
    <s v="HCFM-0668"/>
    <s v="MR. KASHIF SAEED"/>
    <x v="18"/>
    <n v="1"/>
    <s v="PLAIN COOKIES"/>
    <n v="400"/>
    <n v="60"/>
  </r>
  <r>
    <n v="960"/>
    <s v="HCFM-0588"/>
    <s v="ZULFIQAR AHMED MEMON"/>
    <x v="18"/>
    <n v="4"/>
    <s v="ZINGER BURGER"/>
    <n v="2800"/>
    <n v="420"/>
  </r>
  <r>
    <n v="961"/>
    <s v="HCFM-0588"/>
    <s v="ZULFIQAR AHMED MEMON"/>
    <x v="18"/>
    <n v="1"/>
    <s v="CLUB SANDWICH"/>
    <n v="1250"/>
    <n v="187.5"/>
  </r>
  <r>
    <n v="962"/>
    <s v="HCFM-0588"/>
    <s v="ZULFIQAR AHMED MEMON"/>
    <x v="18"/>
    <n v="2"/>
    <s v="PIZZA FRIES HALF"/>
    <n v="500"/>
    <n v="75"/>
  </r>
  <r>
    <n v="963"/>
    <s v="HCFM-0588"/>
    <s v="ZULFIQAR AHMED MEMON"/>
    <x v="18"/>
    <n v="1"/>
    <s v="MINERAL WATER LARGE"/>
    <n v="150"/>
    <n v="22.5"/>
  </r>
  <r>
    <n v="964"/>
    <s v="HCFM-0588"/>
    <s v="ZULFIQAR AHMED MEMON"/>
    <x v="18"/>
    <n v="3"/>
    <s v="SOFT DRINKS"/>
    <n v="450"/>
    <n v="67.5"/>
  </r>
  <r>
    <n v="965"/>
    <s v="HCFM-0646"/>
    <s v="BAHRIA INTERNATIONAL HOSPITAL"/>
    <x v="18"/>
    <n v="30"/>
    <s v="CHICKEN PATTIES"/>
    <n v="3000"/>
    <m/>
  </r>
  <r>
    <n v="966"/>
    <s v="HCFM-0646"/>
    <s v="BAHRIA INTERNATIONAL HOSPITAL"/>
    <x v="18"/>
    <n v="12"/>
    <s v="ASSORTED PASTRY"/>
    <n v="3000"/>
    <m/>
  </r>
  <r>
    <n v="967"/>
    <s v="HCFM-0646"/>
    <s v="BAHRIA INTERNATIONAL HOSPITAL"/>
    <x v="18"/>
    <n v="10"/>
    <s v="DOUGHNUTS"/>
    <n v="1500"/>
    <m/>
  </r>
  <r>
    <n v="968"/>
    <s v="HCFM-0646"/>
    <s v="BAHRIA INTERNATIONAL HOSPITAL"/>
    <x v="18"/>
    <n v="6"/>
    <s v="CHOCOLATE ECLAIR"/>
    <n v="900"/>
    <m/>
  </r>
  <r>
    <n v="969"/>
    <s v="HCFM-0646"/>
    <s v="BAHRIA INTERNATIONAL HOSPITAL"/>
    <x v="18"/>
    <n v="2"/>
    <s v="ASSORTED COOKIES 500GM"/>
    <n v="1600"/>
    <m/>
  </r>
  <r>
    <n v="970"/>
    <s v="HCFM-0521"/>
    <s v="MR.HAFEEZ AHMED SIYAL"/>
    <x v="18"/>
    <n v="4"/>
    <s v="CHINESE SZECHUAN SOUP"/>
    <n v="1400"/>
    <n v="210"/>
  </r>
  <r>
    <n v="971"/>
    <s v="HCFM-0521"/>
    <s v="MR.HAFEEZ AHMED SIYAL"/>
    <x v="18"/>
    <n v="1"/>
    <s v="HC SPECIAL CHICKEN POPCORN"/>
    <n v="500"/>
    <n v="75"/>
  </r>
  <r>
    <n v="972"/>
    <s v="HCFM-0521"/>
    <s v="MR.HAFEEZ AHMED SIYAL"/>
    <x v="18"/>
    <n v="1"/>
    <s v="PLAIN FRIES"/>
    <n v="250"/>
    <n v="37.5"/>
  </r>
  <r>
    <n v="973"/>
    <s v="HCFM-0521"/>
    <s v="MR.HAFEEZ AHMED SIYAL"/>
    <x v="18"/>
    <n v="1"/>
    <s v="MINERAL WATER SMALL"/>
    <n v="100"/>
    <n v="15"/>
  </r>
  <r>
    <n v="974"/>
    <s v="HCFM-0597"/>
    <s v="GM GHULAM DASTAGEER"/>
    <x v="18"/>
    <n v="1"/>
    <s v="HC SPECIAL CHICKEN POPCORN"/>
    <n v="500"/>
    <n v="75"/>
  </r>
  <r>
    <n v="975"/>
    <s v="HCFM-0597"/>
    <s v="GM GHULAM DASTAGEER"/>
    <x v="18"/>
    <n v="1"/>
    <s v="PLAIN FRIES"/>
    <n v="250"/>
    <n v="37.5"/>
  </r>
  <r>
    <n v="976"/>
    <s v="HCFM-0597"/>
    <s v="GM GHULAM DASTAGEER"/>
    <x v="18"/>
    <n v="1"/>
    <s v="MINERAL WATER SMALL"/>
    <n v="100"/>
    <n v="15"/>
  </r>
  <r>
    <n v="977"/>
    <s v="HCFM-0654"/>
    <s v="SYED JIBRAN MUSHTAQ"/>
    <x v="18"/>
    <n v="2"/>
    <s v="CREAM OF MASHROOMS"/>
    <n v="900"/>
    <n v="135"/>
  </r>
  <r>
    <n v="978"/>
    <s v="HCFM-0670"/>
    <s v="MR. TEHSEEN FAIZ"/>
    <x v="18"/>
    <n v="1"/>
    <s v="PLAIN FRIES"/>
    <n v="250"/>
    <n v="37.5"/>
  </r>
  <r>
    <n v="979"/>
    <s v="HCFM-0641"/>
    <s v="AAMIR RASOOL"/>
    <x v="18"/>
    <n v="1"/>
    <s v="CLUB SANDWICH"/>
    <n v="1250"/>
    <n v="187.5"/>
  </r>
  <r>
    <n v="980"/>
    <s v="HCFM-0641"/>
    <s v="AAMIR RASOOL"/>
    <x v="18"/>
    <n v="2"/>
    <s v="MIX TEA"/>
    <n v="400"/>
    <n v="60"/>
  </r>
  <r>
    <n v="981"/>
    <s v="HCFM-0641"/>
    <s v="AAMIR RASOOL"/>
    <x v="18"/>
    <n v="1"/>
    <s v="MINERAL WATER LARGE"/>
    <n v="150"/>
    <n v="22.5"/>
  </r>
  <r>
    <n v="982"/>
    <s v="HCFM-0657"/>
    <s v="NASIR ABBAS"/>
    <x v="19"/>
    <n v="2"/>
    <s v="PANE CAKE"/>
    <n v="900"/>
    <n v="135"/>
  </r>
  <r>
    <n v="983"/>
    <s v="HCFM-0657"/>
    <s v="NASIR ABBAS"/>
    <x v="19"/>
    <n v="5"/>
    <s v="PAKISTANI OMELETTE"/>
    <n v="1500"/>
    <n v="225"/>
  </r>
  <r>
    <n v="984"/>
    <s v="HCFM-0657"/>
    <s v="NASIR ABBAS"/>
    <x v="19"/>
    <n v="2"/>
    <s v="CHEESE OMELETTE"/>
    <n v="900"/>
    <n v="135"/>
  </r>
  <r>
    <n v="985"/>
    <s v="HCFM-0657"/>
    <s v="NASIR ABBAS"/>
    <x v="19"/>
    <n v="8"/>
    <s v="PURI PARATHA"/>
    <n v="1200"/>
    <n v="180"/>
  </r>
  <r>
    <n v="986"/>
    <s v="HCFM-0657"/>
    <s v="NASIR ABBAS"/>
    <x v="19"/>
    <n v="5"/>
    <s v="MIX TEA"/>
    <n v="1000"/>
    <n v="150"/>
  </r>
  <r>
    <n v="987"/>
    <s v="HCFM-0657"/>
    <s v="NASIR ABBAS"/>
    <x v="19"/>
    <n v="5"/>
    <s v="SAUSAGES"/>
    <n v="2000"/>
    <n v="300"/>
  </r>
  <r>
    <n v="988"/>
    <s v="HCFM-0657"/>
    <s v="NASIR ABBAS"/>
    <x v="19"/>
    <n v="1"/>
    <s v="MINERAL WATER LARGE"/>
    <n v="150"/>
    <n v="22.5"/>
  </r>
  <r>
    <n v="989"/>
    <s v="HCFM-0524"/>
    <s v="MR.MANOJ KUMAR"/>
    <x v="19"/>
    <n v="1"/>
    <s v="MINERAL WATER LARGE"/>
    <n v="150"/>
    <n v="22.5"/>
  </r>
  <r>
    <n v="990"/>
    <s v="HCFM-0524"/>
    <s v="MR.MANOJ KUMAR"/>
    <x v="19"/>
    <n v="1"/>
    <s v="HC BUTTERFLY PRAWNS"/>
    <n v="1700"/>
    <n v="255"/>
  </r>
  <r>
    <n v="991"/>
    <s v="HCFM-0524"/>
    <s v="MR.MANOJ KUMAR"/>
    <x v="19"/>
    <n v="1"/>
    <s v="CHICKEN KARAHI"/>
    <n v="900"/>
    <n v="135"/>
  </r>
  <r>
    <n v="992"/>
    <s v="HCFM-0524"/>
    <s v="MR.MANOJ KUMAR"/>
    <x v="19"/>
    <n v="1"/>
    <s v="FRESH GARDEN SALAD"/>
    <n v="800"/>
    <n v="120"/>
  </r>
  <r>
    <n v="993"/>
    <s v="HCFM-0524"/>
    <s v="MR.MANOJ KUMAR"/>
    <x v="19"/>
    <n v="2"/>
    <s v="PLAIN NAAN"/>
    <n v="140"/>
    <n v="21"/>
  </r>
  <r>
    <n v="994"/>
    <s v="HCFM-0524"/>
    <s v="MR.MANOJ KUMAR"/>
    <x v="19"/>
    <n v="2"/>
    <s v="GARLIC NAAN"/>
    <n v="260"/>
    <n v="39"/>
  </r>
  <r>
    <n v="995"/>
    <s v="HCFM-0524"/>
    <s v="MR.MANOJ KUMAR"/>
    <x v="19"/>
    <n v="1"/>
    <s v="RAITA"/>
    <n v="200"/>
    <n v="30"/>
  </r>
  <r>
    <n v="996"/>
    <s v="HCFM-0543"/>
    <s v="MR.MUHAMMAD ATIF USMANI"/>
    <x v="19"/>
    <n v="1"/>
    <s v="HOT N SOUR SOUP"/>
    <n v="350"/>
    <n v="52.5"/>
  </r>
  <r>
    <n v="997"/>
    <s v="HCFM-0543"/>
    <s v="MR.MUHAMMAD ATIF USMANI"/>
    <x v="19"/>
    <n v="1"/>
    <s v="SHISH TAOUK"/>
    <n v="1200"/>
    <n v="180"/>
  </r>
  <r>
    <n v="998"/>
    <s v="HCFM-0543"/>
    <s v="MR.MUHAMMAD ATIF USMANI"/>
    <x v="19"/>
    <n v="2"/>
    <s v="PLAIN NAAN"/>
    <n v="140"/>
    <n v="21"/>
  </r>
  <r>
    <n v="999"/>
    <s v="HCFM-0543"/>
    <s v="MR.MUHAMMAD ATIF USMANI"/>
    <x v="19"/>
    <n v="1"/>
    <s v="MINERAL WATER LARGE"/>
    <n v="150"/>
    <n v="22.5"/>
  </r>
  <r>
    <n v="1000"/>
    <s v="HCFM-0520"/>
    <s v="MR.NIZAM UDDIN NIZAMANI"/>
    <x v="19"/>
    <n v="1"/>
    <s v="CHINESE SZECHUAN SOUP"/>
    <n v="350"/>
    <n v="52.5"/>
  </r>
  <r>
    <n v="1001"/>
    <s v="HCFM-0520"/>
    <s v="MR.NIZAM UDDIN NIZAMANI"/>
    <x v="19"/>
    <n v="1"/>
    <s v="FRESH GARDEN SALAD"/>
    <n v="800"/>
    <n v="120"/>
  </r>
  <r>
    <n v="1002"/>
    <s v="HCFM-0520"/>
    <s v="MR.NIZAM UDDIN NIZAMANI"/>
    <x v="19"/>
    <n v="3"/>
    <s v="PLAIN NAAN"/>
    <n v="210"/>
    <n v="31.5"/>
  </r>
  <r>
    <n v="1003"/>
    <s v="HCFM-0520"/>
    <s v="MR.NIZAM UDDIN NIZAMANI"/>
    <x v="19"/>
    <n v="1"/>
    <s v="SHISH TAOUK"/>
    <n v="1200"/>
    <n v="180"/>
  </r>
  <r>
    <n v="1004"/>
    <s v="HCFM-0520"/>
    <s v="MR.NIZAM UDDIN NIZAMANI"/>
    <x v="19"/>
    <n v="1"/>
    <s v="RAITA"/>
    <n v="200"/>
    <n v="30"/>
  </r>
  <r>
    <n v="1005"/>
    <s v="HCFM-0654"/>
    <s v="SYED JIBRAN MUSHTAQ"/>
    <x v="19"/>
    <n v="1"/>
    <s v="CHICKEN KARAHI"/>
    <n v="900"/>
    <n v="135"/>
  </r>
  <r>
    <n v="1006"/>
    <s v="HCFM-0654"/>
    <s v="SYED JIBRAN MUSHTAQ"/>
    <x v="19"/>
    <n v="1"/>
    <s v="BEEF SEEKH KABAB"/>
    <n v="1200"/>
    <n v="180"/>
  </r>
  <r>
    <n v="1007"/>
    <s v="HCFM-0654"/>
    <s v="SYED JIBRAN MUSHTAQ"/>
    <x v="19"/>
    <n v="3"/>
    <s v="PLAIN NAAN"/>
    <n v="210"/>
    <n v="31.5"/>
  </r>
  <r>
    <n v="1008"/>
    <s v="HCFM-0678"/>
    <s v="MR. AIJAZ ALI BALOCH"/>
    <x v="19"/>
    <n v="2"/>
    <s v="MALAI BOTI"/>
    <n v="2300"/>
    <n v="345"/>
  </r>
  <r>
    <n v="1009"/>
    <s v="HCFM-0678"/>
    <s v="MR. AIJAZ ALI BALOCH"/>
    <x v="19"/>
    <n v="2"/>
    <s v="SHISH TAOUK"/>
    <n v="2400"/>
    <n v="360"/>
  </r>
  <r>
    <n v="1010"/>
    <s v="HCFM-0678"/>
    <s v="MR. AIJAZ ALI BALOCH"/>
    <x v="19"/>
    <n v="2"/>
    <s v="BEEF SEEKH KABAB"/>
    <n v="2400"/>
    <n v="360"/>
  </r>
  <r>
    <n v="1011"/>
    <s v="HCFM-0678"/>
    <s v="MR. AIJAZ ALI BALOCH"/>
    <x v="19"/>
    <n v="2"/>
    <s v="RESHMI SEEKH KABAB"/>
    <n v="1998"/>
    <n v="299.7"/>
  </r>
  <r>
    <n v="1012"/>
    <s v="HCFM-0678"/>
    <s v="MR. AIJAZ ALI BALOCH"/>
    <x v="19"/>
    <n v="1"/>
    <s v="MADRASI HANDI"/>
    <n v="900"/>
    <n v="135"/>
  </r>
  <r>
    <n v="1013"/>
    <s v="HCFM-0678"/>
    <s v="MR. AIJAZ ALI BALOCH"/>
    <x v="19"/>
    <n v="2"/>
    <s v="CHICKEN KARAHI"/>
    <n v="1800"/>
    <n v="270"/>
  </r>
  <r>
    <n v="1014"/>
    <s v="HCFM-0678"/>
    <s v="MR. AIJAZ ALI BALOCH"/>
    <x v="19"/>
    <n v="1"/>
    <s v="MUGHLAI HANDI"/>
    <n v="1300"/>
    <n v="195"/>
  </r>
  <r>
    <n v="1015"/>
    <s v="HCFM-0678"/>
    <s v="MR. AIJAZ ALI BALOCH"/>
    <x v="19"/>
    <n v="3"/>
    <s v="ZINGER BURGER"/>
    <n v="2100"/>
    <n v="315"/>
  </r>
  <r>
    <n v="1016"/>
    <s v="HCFM-0678"/>
    <s v="MR. AIJAZ ALI BALOCH"/>
    <x v="19"/>
    <n v="5"/>
    <s v="PLAIN NAAN"/>
    <n v="350"/>
    <n v="52.5"/>
  </r>
  <r>
    <n v="1017"/>
    <s v="HCFM-0678"/>
    <s v="MR. AIJAZ ALI BALOCH"/>
    <x v="19"/>
    <n v="5"/>
    <s v="GARLIC NAAN"/>
    <n v="650"/>
    <n v="97.5"/>
  </r>
  <r>
    <n v="1018"/>
    <s v="HCFM-0678"/>
    <s v="MR. AIJAZ ALI BALOCH"/>
    <x v="19"/>
    <n v="2"/>
    <s v="RAITA"/>
    <n v="400"/>
    <n v="60"/>
  </r>
  <r>
    <n v="1019"/>
    <s v="HCFM-0678"/>
    <s v="MR. AIJAZ ALI BALOCH"/>
    <x v="19"/>
    <n v="2"/>
    <s v="FRESH GARDEN SALAD"/>
    <n v="1600"/>
    <n v="240"/>
  </r>
  <r>
    <n v="1020"/>
    <s v="HCFM-0678"/>
    <s v="MR. AIJAZ ALI BALOCH"/>
    <x v="19"/>
    <n v="3"/>
    <s v="MINT LEMONADE"/>
    <n v="1050"/>
    <n v="157.5"/>
  </r>
  <r>
    <n v="1021"/>
    <s v="HCFM-0678"/>
    <s v="MR. AIJAZ ALI BALOCH"/>
    <x v="19"/>
    <n v="4"/>
    <s v="SOFT DRINKS"/>
    <n v="600"/>
    <n v="90"/>
  </r>
  <r>
    <n v="1022"/>
    <s v="HCFM-0678"/>
    <s v="MR. AIJAZ ALI BALOCH"/>
    <x v="19"/>
    <n v="2"/>
    <s v="MINERAL WATER LARGE"/>
    <n v="300"/>
    <n v="45"/>
  </r>
  <r>
    <n v="1023"/>
    <s v="HCFM-0678"/>
    <s v="MR. AIJAZ ALI BALOCH"/>
    <x v="19"/>
    <n v="4"/>
    <s v="PLAIN NAAN"/>
    <n v="280"/>
    <n v="42"/>
  </r>
  <r>
    <n v="1024"/>
    <s v="HCFM-0521"/>
    <s v="MR.HAFEEZ AHMED SIYAL"/>
    <x v="19"/>
    <n v="1"/>
    <s v="CLUB SANDWICH"/>
    <n v="1250"/>
    <n v="187.5"/>
  </r>
  <r>
    <n v="1025"/>
    <s v="HCFM-0521"/>
    <s v="MR.HAFEEZ AHMED SIYAL"/>
    <x v="19"/>
    <n v="3"/>
    <s v="CHINESE SZECHUAN SOUP"/>
    <n v="1050"/>
    <n v="157.5"/>
  </r>
  <r>
    <n v="1026"/>
    <s v="HCFM-0521"/>
    <s v="MR.HAFEEZ AHMED SIYAL"/>
    <x v="19"/>
    <n v="1"/>
    <s v="MINERAL WATER LARGE"/>
    <n v="150"/>
    <n v="22.5"/>
  </r>
  <r>
    <n v="1027"/>
    <s v="HCFM-0549"/>
    <s v="MR.WAQAR UDDIN"/>
    <x v="19"/>
    <n v="3"/>
    <s v="CHICKEN HANDI"/>
    <n v="3000"/>
    <n v="450"/>
  </r>
  <r>
    <n v="1028"/>
    <s v="HCFM-0549"/>
    <s v="MR.WAQAR UDDIN"/>
    <x v="19"/>
    <n v="3"/>
    <s v="HC SPECIAL MUTTON KARAHI"/>
    <n v="5400"/>
    <n v="810"/>
  </r>
  <r>
    <n v="1029"/>
    <s v="HCFM-0549"/>
    <s v="MR.WAQAR UDDIN"/>
    <x v="19"/>
    <n v="3"/>
    <s v="VEGETABLE FRIED RICE"/>
    <n v="900"/>
    <n v="135"/>
  </r>
  <r>
    <n v="1030"/>
    <s v="HCFM-0549"/>
    <s v="MR.WAQAR UDDIN"/>
    <x v="19"/>
    <n v="3"/>
    <s v="DRY BEEF CHILLI"/>
    <n v="2997"/>
    <n v="449.55"/>
  </r>
  <r>
    <n v="1031"/>
    <s v="HCFM-0549"/>
    <s v="MR.WAQAR UDDIN"/>
    <x v="19"/>
    <n v="3"/>
    <s v="MINERAL WATER LARGE"/>
    <n v="450"/>
    <n v="67.5"/>
  </r>
  <r>
    <n v="1032"/>
    <s v="HCFM-0549"/>
    <s v="MR.WAQAR UDDIN"/>
    <x v="19"/>
    <n v="2"/>
    <s v="FINGER FISH N CHIPS"/>
    <n v="2500"/>
    <n v="375"/>
  </r>
  <r>
    <n v="1033"/>
    <s v="HCFM-0549"/>
    <s v="MR.WAQAR UDDIN"/>
    <x v="19"/>
    <n v="8"/>
    <s v="PLAIN NAAN"/>
    <n v="560"/>
    <n v="84"/>
  </r>
  <r>
    <n v="1034"/>
    <s v="HCFM-0598"/>
    <s v="DGM FATIMA ZAHID"/>
    <x v="19"/>
    <n v="1"/>
    <s v="GRILLED CHICKEN SANDWICH"/>
    <n v="575"/>
    <n v="86.25"/>
  </r>
  <r>
    <n v="1035"/>
    <s v="HCFM-0598"/>
    <s v="DGM FATIMA ZAHID"/>
    <x v="19"/>
    <n v="1"/>
    <s v="FINGER FISH N CHIPS"/>
    <n v="1250"/>
    <n v="187.5"/>
  </r>
  <r>
    <n v="1036"/>
    <s v="HCFM-0598"/>
    <s v="DGM FATIMA ZAHID"/>
    <x v="19"/>
    <n v="2"/>
    <s v="PIZZA FRIES HALF"/>
    <n v="500"/>
    <n v="75"/>
  </r>
  <r>
    <n v="1037"/>
    <s v="HCFM-0598"/>
    <s v="DGM FATIMA ZAHID"/>
    <x v="19"/>
    <n v="1"/>
    <s v="PANE CAKE"/>
    <n v="450"/>
    <n v="67.5"/>
  </r>
  <r>
    <n v="1038"/>
    <s v="HCFM-0598"/>
    <s v="DGM FATIMA ZAHID"/>
    <x v="19"/>
    <n v="1"/>
    <s v="SOFT DRINKS"/>
    <n v="150"/>
    <n v="22.5"/>
  </r>
  <r>
    <n v="1039"/>
    <s v="HCFM-0598"/>
    <s v="DGM FATIMA ZAHID"/>
    <x v="19"/>
    <n v="2"/>
    <s v="COFFEE CAPPUCINO"/>
    <n v="700"/>
    <n v="105"/>
  </r>
  <r>
    <n v="1040"/>
    <s v="HCFM-0598"/>
    <s v="DGM FATIMA ZAHID"/>
    <x v="19"/>
    <n v="1"/>
    <s v="MIX TEA"/>
    <n v="200"/>
    <n v="30"/>
  </r>
  <r>
    <n v="1041"/>
    <s v="HCFM-0541"/>
    <s v="MR.SHAN ELAHI SEHGAL"/>
    <x v="19"/>
    <n v="1"/>
    <s v="MINERAL WATER LARGE"/>
    <n v="150"/>
    <n v="22.5"/>
  </r>
  <r>
    <n v="1042"/>
    <s v="HCFM-0541"/>
    <s v="MR.SHAN ELAHI SEHGAL"/>
    <x v="19"/>
    <n v="3"/>
    <s v="MIX TEA"/>
    <n v="600"/>
    <n v="90"/>
  </r>
  <r>
    <n v="1043"/>
    <s v="HCFM-0541"/>
    <s v="MR.SHAN ELAHI SEHGAL"/>
    <x v="19"/>
    <n v="2"/>
    <s v="CLUB SANDWICH"/>
    <n v="2500"/>
    <n v="375"/>
  </r>
  <r>
    <n v="1044"/>
    <s v="HCFM-0541"/>
    <s v="MR.SHAN ELAHI SEHGAL"/>
    <x v="19"/>
    <n v="1"/>
    <s v="MIX TEA"/>
    <n v="200"/>
    <n v="30"/>
  </r>
  <r>
    <n v="1045"/>
    <s v="HCFM-0541"/>
    <s v="MR.SHAN ELAHI SEHGAL"/>
    <x v="19"/>
    <n v="2"/>
    <s v="SOFT DRINKS"/>
    <n v="300"/>
    <n v="45"/>
  </r>
  <r>
    <n v="1046"/>
    <s v="HCFM-0641"/>
    <s v="AAMIR RASOOL"/>
    <x v="19"/>
    <n v="1"/>
    <s v="CLUB SANDWICH"/>
    <n v="1250"/>
    <n v="187.5"/>
  </r>
  <r>
    <n v="1047"/>
    <s v="HCFM-0641"/>
    <s v="AAMIR RASOOL"/>
    <x v="19"/>
    <n v="1"/>
    <s v="CHICKEN DYNAMITE"/>
    <n v="850"/>
    <n v="127.5"/>
  </r>
  <r>
    <n v="1048"/>
    <s v="HCFM-0641"/>
    <s v="AAMIR RASOOL"/>
    <x v="19"/>
    <n v="2"/>
    <s v="MINERAL WATER LARGE"/>
    <n v="300"/>
    <n v="45"/>
  </r>
  <r>
    <n v="1049"/>
    <s v="HCFM-0654"/>
    <s v="SYED JIBRAN MUSHTAQ"/>
    <x v="19"/>
    <n v="2"/>
    <s v="ZINGER BURGER"/>
    <n v="1400"/>
    <n v="210"/>
  </r>
  <r>
    <n v="1050"/>
    <s v="HCFM-0654"/>
    <s v="SYED JIBRAN MUSHTAQ"/>
    <x v="19"/>
    <n v="2"/>
    <s v="MINERAL WATER SMALL"/>
    <n v="200"/>
    <n v="30"/>
  </r>
  <r>
    <n v="1051"/>
    <s v="HCFM-0521"/>
    <s v="MR.HAFEEZ AHMED SIYAL"/>
    <x v="19"/>
    <n v="1"/>
    <s v="HC SPECIAL CHICKEN POPCORN"/>
    <n v="500"/>
    <n v="75"/>
  </r>
  <r>
    <n v="1052"/>
    <s v="HCFM-0684"/>
    <s v="MR. ZAMIR ALI SHAH"/>
    <x v="19"/>
    <n v="4"/>
    <s v="CORKAGE"/>
    <n v="4000"/>
    <n v="600"/>
  </r>
  <r>
    <n v="1053"/>
    <s v="HCFM-0545"/>
    <s v="MR. HASAN KARIM"/>
    <x v="19"/>
    <n v="2"/>
    <s v="MIX TEA"/>
    <n v="400"/>
    <n v="60"/>
  </r>
  <r>
    <n v="1054"/>
    <s v="HCFM-0545"/>
    <s v="MR. HASAN KARIM"/>
    <x v="19"/>
    <n v="1"/>
    <s v="PLAIN FRIES"/>
    <n v="250"/>
    <n v="37.5"/>
  </r>
  <r>
    <n v="1055"/>
    <s v="HCFM-0545"/>
    <s v="MR. HASAN KARIM"/>
    <x v="19"/>
    <n v="1"/>
    <s v="MINERAL WATER SMALL"/>
    <n v="100"/>
    <n v="15"/>
  </r>
  <r>
    <n v="1056"/>
    <s v="HCFM-0679"/>
    <s v="MR. ANEEL ZAHOOR"/>
    <x v="19"/>
    <n v="1"/>
    <s v="MINERAL WATER LARGE"/>
    <n v="150"/>
    <n v="22.5"/>
  </r>
  <r>
    <n v="1057"/>
    <s v="HCFM-0679"/>
    <s v="MR. ANEEL ZAHOOR"/>
    <x v="19"/>
    <n v="1"/>
    <s v="CLUB SANDWICH"/>
    <n v="1250"/>
    <n v="187.5"/>
  </r>
  <r>
    <n v="1058"/>
    <s v="HCFM-0679"/>
    <s v="MR. ANEEL ZAHOOR"/>
    <x v="19"/>
    <n v="1"/>
    <s v="MIX TEA"/>
    <n v="200"/>
    <n v="30"/>
  </r>
  <r>
    <n v="1059"/>
    <s v="HCFM-0679"/>
    <s v="MR. ANEEL ZAHOOR"/>
    <x v="19"/>
    <n v="2"/>
    <s v="SOFT DRINKS"/>
    <n v="300"/>
    <n v="45"/>
  </r>
  <r>
    <n v="1060"/>
    <s v="HCFM-0670"/>
    <s v="MR. TEHSEEN FAIZ"/>
    <x v="19"/>
    <n v="1"/>
    <s v="CLUB SANDWICH"/>
    <n v="1250"/>
    <n v="187.5"/>
  </r>
  <r>
    <n v="1061"/>
    <s v="HCFM-0670"/>
    <s v="MR. TEHSEEN FAIZ"/>
    <x v="19"/>
    <n v="1"/>
    <s v="PIZZA FRIES FULL"/>
    <n v="500"/>
    <n v="75"/>
  </r>
  <r>
    <n v="1062"/>
    <s v="HCFM-0641"/>
    <s v="AAMIR RASOOL"/>
    <x v="19"/>
    <n v="1"/>
    <s v="HC SPECIAL TIKKA"/>
    <n v="800"/>
    <n v="120"/>
  </r>
  <r>
    <n v="1063"/>
    <s v="HCFM-0641"/>
    <s v="AAMIR RASOOL"/>
    <x v="19"/>
    <n v="1"/>
    <s v="SHISH TAOUK"/>
    <n v="1200"/>
    <n v="180"/>
  </r>
  <r>
    <n v="1064"/>
    <s v="HCFM-0641"/>
    <s v="AAMIR RASOOL"/>
    <x v="19"/>
    <n v="1"/>
    <s v="MALAI BOTI"/>
    <n v="1150"/>
    <n v="172.5"/>
  </r>
  <r>
    <n v="1065"/>
    <s v="HCFM-0641"/>
    <s v="AAMIR RASOOL"/>
    <x v="19"/>
    <n v="1"/>
    <s v="MIX VEGETABLES"/>
    <n v="400"/>
    <n v="60"/>
  </r>
  <r>
    <n v="1066"/>
    <s v="HCFM-0641"/>
    <s v="AAMIR RASOOL"/>
    <x v="19"/>
    <n v="1"/>
    <s v="MUTTON KARAHI (RED/WHITE/GREEN)"/>
    <n v="1800"/>
    <n v="270"/>
  </r>
  <r>
    <n v="1067"/>
    <s v="HCFM-0641"/>
    <s v="AAMIR RASOOL"/>
    <x v="19"/>
    <n v="1"/>
    <s v="FRESH GARDEN SALAD"/>
    <n v="800"/>
    <n v="120"/>
  </r>
  <r>
    <n v="1068"/>
    <s v="HCFM-0641"/>
    <s v="AAMIR RASOOL"/>
    <x v="19"/>
    <n v="7"/>
    <s v="PLAIN NAAN"/>
    <n v="490"/>
    <n v="73.5"/>
  </r>
  <r>
    <n v="1069"/>
    <s v="HCFM-0641"/>
    <s v="AAMIR RASOOL"/>
    <x v="19"/>
    <n v="1"/>
    <s v="MINERAL WATER LARGE"/>
    <n v="150"/>
    <n v="22.5"/>
  </r>
  <r>
    <n v="1070"/>
    <s v="HCFM-0659"/>
    <s v="Heritage club"/>
    <x v="19"/>
    <n v="2"/>
    <s v="MINERAL WATER LARGE"/>
    <n v="300"/>
    <n v="45"/>
  </r>
  <r>
    <n v="1071"/>
    <s v="HCFM-0659"/>
    <s v="Heritage club"/>
    <x v="19"/>
    <n v="4"/>
    <s v="MIX TEA"/>
    <n v="800"/>
    <n v="120"/>
  </r>
  <r>
    <n v="1072"/>
    <s v="HCFM-0659"/>
    <s v="Heritage club"/>
    <x v="19"/>
    <n v="1"/>
    <s v="CHICKEN KARAHI"/>
    <n v="900"/>
    <n v="135"/>
  </r>
  <r>
    <n v="1073"/>
    <s v="HCFM-0659"/>
    <s v="Heritage club"/>
    <x v="19"/>
    <n v="5"/>
    <s v="PLAIN NAAN"/>
    <n v="350"/>
    <n v="52.5"/>
  </r>
  <r>
    <n v="1074"/>
    <s v="HCFM-0684"/>
    <s v="MR. ZAMIR ALI SHAH"/>
    <x v="19"/>
    <n v="3"/>
    <s v="MINERAL WATER LARGE"/>
    <n v="450"/>
    <n v="67.5"/>
  </r>
  <r>
    <n v="1075"/>
    <s v="HCFM-0684"/>
    <s v="MR. ZAMIR ALI SHAH"/>
    <x v="19"/>
    <n v="1"/>
    <s v="CHICKEN DYNAMITE"/>
    <n v="850"/>
    <n v="127.5"/>
  </r>
  <r>
    <n v="1076"/>
    <s v="HCFM-0684"/>
    <s v="MR. ZAMIR ALI SHAH"/>
    <x v="19"/>
    <n v="1"/>
    <s v="HC BUTTERFLY PRAWNS"/>
    <n v="1700"/>
    <n v="255"/>
  </r>
  <r>
    <n v="1077"/>
    <s v="HCFM-0684"/>
    <s v="MR. ZAMIR ALI SHAH"/>
    <x v="19"/>
    <n v="1"/>
    <s v="SHISH TAOUK"/>
    <n v="1200"/>
    <n v="180"/>
  </r>
  <r>
    <n v="1078"/>
    <s v="HCFM-0684"/>
    <s v="MR. ZAMIR ALI SHAH"/>
    <x v="19"/>
    <n v="1"/>
    <s v="BEEF BOTI"/>
    <n v="1200"/>
    <n v="180"/>
  </r>
  <r>
    <n v="1079"/>
    <s v="HCFM-0684"/>
    <s v="MR. ZAMIR ALI SHAH"/>
    <x v="19"/>
    <n v="2"/>
    <s v="MALAI BOTI"/>
    <n v="2300"/>
    <n v="345"/>
  </r>
  <r>
    <n v="1080"/>
    <s v="HCFM-0504"/>
    <s v="MR.BILAL AHMED"/>
    <x v="19"/>
    <n v="4"/>
    <s v="MIX TEA"/>
    <n v="800"/>
    <n v="120"/>
  </r>
  <r>
    <n v="1081"/>
    <s v="HCFM-0504"/>
    <s v="MR.BILAL AHMED"/>
    <x v="19"/>
    <n v="2"/>
    <s v="CLUB SANDWICH"/>
    <n v="2500"/>
    <n v="375"/>
  </r>
  <r>
    <n v="1082"/>
    <s v="HCFM-0504"/>
    <s v="MR.BILAL AHMED"/>
    <x v="19"/>
    <n v="4"/>
    <s v="MINERAL WATER SMALL"/>
    <n v="400"/>
    <n v="60"/>
  </r>
  <r>
    <n v="1083"/>
    <s v="HCFM-0545"/>
    <s v="MR. HASAN KARIM"/>
    <x v="19"/>
    <n v="1"/>
    <s v="MINERAL WATER SMALL"/>
    <n v="100"/>
    <n v="15"/>
  </r>
  <r>
    <n v="1084"/>
    <s v="HCFM-0545"/>
    <s v="MR. HASAN KARIM"/>
    <x v="19"/>
    <n v="1"/>
    <s v="HOT N SOUR SOUP"/>
    <n v="350"/>
    <n v="52.5"/>
  </r>
  <r>
    <n v="1085"/>
    <s v="HCFM-0506"/>
    <s v="MR.MUHAMMAD ARIF"/>
    <x v="19"/>
    <n v="1"/>
    <s v="MALAI BOTI"/>
    <n v="1150"/>
    <n v="172.5"/>
  </r>
  <r>
    <n v="1086"/>
    <s v="HCFM-0506"/>
    <s v="MR.MUHAMMAD ARIF"/>
    <x v="19"/>
    <n v="1"/>
    <s v="RESHMI SEEKH KABAB"/>
    <n v="999"/>
    <n v="149.85"/>
  </r>
  <r>
    <n v="1087"/>
    <s v="HCFM-0506"/>
    <s v="MR.MUHAMMAD ARIF"/>
    <x v="19"/>
    <n v="1"/>
    <s v="CHANDAN KABAB"/>
    <n v="1500"/>
    <n v="225"/>
  </r>
  <r>
    <n v="1088"/>
    <s v="HCFM-0506"/>
    <s v="MR.MUHAMMAD ARIF"/>
    <x v="19"/>
    <n v="1"/>
    <s v="SHISH TAOUK"/>
    <n v="1200"/>
    <n v="180"/>
  </r>
  <r>
    <n v="1089"/>
    <s v="HCFM-0506"/>
    <s v="MR.MUHAMMAD ARIF"/>
    <x v="19"/>
    <n v="1"/>
    <s v="CHICKEN HANDI"/>
    <n v="1000"/>
    <n v="150"/>
  </r>
  <r>
    <n v="1090"/>
    <s v="HCFM-0506"/>
    <s v="MR.MUHAMMAD ARIF"/>
    <x v="19"/>
    <n v="1"/>
    <s v="PIZZA FRIES FULL"/>
    <n v="500"/>
    <n v="75"/>
  </r>
  <r>
    <n v="1091"/>
    <s v="HCFM-0506"/>
    <s v="MR.MUHAMMAD ARIF"/>
    <x v="19"/>
    <n v="1"/>
    <s v="RAJASTANI BOTI"/>
    <n v="1050"/>
    <n v="157.5"/>
  </r>
  <r>
    <n v="1092"/>
    <s v="HCFM-0506"/>
    <s v="MR.MUHAMMAD ARIF"/>
    <x v="19"/>
    <n v="7"/>
    <s v="PLAIN NAAN"/>
    <n v="490"/>
    <n v="73.5"/>
  </r>
  <r>
    <n v="1093"/>
    <s v="HCFM-0506"/>
    <s v="MR.MUHAMMAD ARIF"/>
    <x v="19"/>
    <n v="1"/>
    <s v="FRESH GARDEN SALAD"/>
    <n v="800"/>
    <n v="120"/>
  </r>
  <r>
    <n v="1094"/>
    <s v="HCFM-0506"/>
    <s v="MR.MUHAMMAD ARIF"/>
    <x v="19"/>
    <n v="2"/>
    <s v="RAITA"/>
    <n v="400"/>
    <n v="60"/>
  </r>
  <r>
    <n v="1095"/>
    <s v="HCFM-0506"/>
    <s v="MR.MUHAMMAD ARIF"/>
    <x v="19"/>
    <n v="1"/>
    <s v="MINERAL WATER LARGE"/>
    <n v="150"/>
    <n v="22.5"/>
  </r>
  <r>
    <n v="1096"/>
    <s v="HCFM-0506"/>
    <s v="MR.MUHAMMAD ARIF"/>
    <x v="19"/>
    <n v="2"/>
    <s v="PLAIN NAAN"/>
    <n v="140"/>
    <n v="21"/>
  </r>
  <r>
    <n v="1097"/>
    <s v="HCFM-0506"/>
    <s v="MR.MUHAMMAD ARIF"/>
    <x v="19"/>
    <n v="6"/>
    <s v="COFFEE CAPPUCINO"/>
    <n v="2100"/>
    <n v="315"/>
  </r>
  <r>
    <n v="1098"/>
    <s v="HCFM-0545"/>
    <s v="MR. HASAN KARIM"/>
    <x v="19"/>
    <n v="1"/>
    <s v="GRILLED CHICKEN SANDWICH"/>
    <n v="575"/>
    <n v="86.25"/>
  </r>
  <r>
    <n v="1099"/>
    <s v="HCFM-0545"/>
    <s v="MR. HASAN KARIM"/>
    <x v="19"/>
    <n v="1"/>
    <s v="COFFEE CAPPUCINO"/>
    <n v="350"/>
    <n v="52.5"/>
  </r>
  <r>
    <n v="1100"/>
    <s v="HCFM-0545"/>
    <s v="MR. HASAN KARIM"/>
    <x v="19"/>
    <n v="1"/>
    <s v="MINERAL WATER SMALL"/>
    <n v="100"/>
    <n v="15"/>
  </r>
  <r>
    <n v="1101"/>
    <s v="HCFM-0540"/>
    <s v="MR.MUHAMMAD SALIQ SIDDIQUI"/>
    <x v="20"/>
    <n v="3"/>
    <s v="MINT LEMONADE"/>
    <n v="1050"/>
    <n v="157.5"/>
  </r>
  <r>
    <n v="1102"/>
    <s v="HCFM-0545"/>
    <s v="MR. HASAN KARIM"/>
    <x v="20"/>
    <n v="2"/>
    <s v="PLAIN FRIES"/>
    <n v="500"/>
    <n v="75"/>
  </r>
  <r>
    <n v="1103"/>
    <s v="HCFM-0545"/>
    <s v="MR. HASAN KARIM"/>
    <x v="20"/>
    <n v="1"/>
    <s v="FINGER FISH N CHIPS"/>
    <n v="1250"/>
    <n v="187.5"/>
  </r>
  <r>
    <n v="1104"/>
    <s v="HCFM-0545"/>
    <s v="MR. HASAN KARIM"/>
    <x v="20"/>
    <n v="2"/>
    <s v="CHICKEN KARAHI"/>
    <n v="1800"/>
    <n v="270"/>
  </r>
  <r>
    <n v="1105"/>
    <s v="HCFM-0545"/>
    <s v="MR. HASAN KARIM"/>
    <x v="20"/>
    <n v="1"/>
    <s v="CHILI DRY RICE"/>
    <n v="800"/>
    <n v="120"/>
  </r>
  <r>
    <n v="1106"/>
    <s v="HCFM-0545"/>
    <s v="MR. HASAN KARIM"/>
    <x v="20"/>
    <n v="1"/>
    <s v="SEASONAL VEGETABLE MASALA"/>
    <n v="400"/>
    <n v="60"/>
  </r>
  <r>
    <n v="1107"/>
    <s v="HCFM-0545"/>
    <s v="MR. HASAN KARIM"/>
    <x v="20"/>
    <n v="1"/>
    <s v="GARLIC NAAN"/>
    <n v="130"/>
    <n v="19.5"/>
  </r>
  <r>
    <n v="1108"/>
    <s v="HCFM-0545"/>
    <s v="MR. HASAN KARIM"/>
    <x v="20"/>
    <n v="8"/>
    <s v="PLAIN NAAN"/>
    <n v="560"/>
    <n v="84"/>
  </r>
  <r>
    <n v="1109"/>
    <s v="HCFM-0545"/>
    <s v="MR. HASAN KARIM"/>
    <x v="20"/>
    <n v="2"/>
    <s v="MINERAL WATER LARGE"/>
    <n v="300"/>
    <n v="45"/>
  </r>
  <r>
    <n v="1110"/>
    <s v="HCFM-0545"/>
    <s v="MR. HASAN KARIM"/>
    <x v="20"/>
    <n v="4"/>
    <s v="MINERAL WATER SMALL"/>
    <n v="400"/>
    <n v="60"/>
  </r>
  <r>
    <n v="1111"/>
    <s v="HCFM-0545"/>
    <s v="MR. HASAN KARIM"/>
    <x v="20"/>
    <n v="1"/>
    <s v="COFFEE CAPPUCINO"/>
    <n v="350"/>
    <n v="52.5"/>
  </r>
  <r>
    <n v="1112"/>
    <s v="HCFM-0545"/>
    <s v="MR. HASAN KARIM"/>
    <x v="20"/>
    <n v="1"/>
    <s v="CREAM CARAMEL"/>
    <n v="350"/>
    <n v="52.5"/>
  </r>
  <r>
    <n v="1113"/>
    <s v="HCFM-0545"/>
    <s v="MR. HASAN KARIM"/>
    <x v="20"/>
    <n v="3"/>
    <s v="FRESH LEM"/>
    <n v="600"/>
    <n v="90"/>
  </r>
  <r>
    <n v="1114"/>
    <s v="HCFM-0545"/>
    <s v="MR. HASAN KARIM"/>
    <x v="20"/>
    <n v="1"/>
    <s v="SOFT DRINKS"/>
    <n v="150"/>
    <n v="22.5"/>
  </r>
  <r>
    <n v="1115"/>
    <s v="HCFM-0642"/>
    <s v="ASIF ASHFAQ"/>
    <x v="20"/>
    <n v="2"/>
    <s v="MINERAL WATER LARGE"/>
    <n v="300"/>
    <n v="45"/>
  </r>
  <r>
    <n v="1116"/>
    <s v="HCFM-0642"/>
    <s v="ASIF ASHFAQ"/>
    <x v="20"/>
    <n v="1"/>
    <s v="MIX TEA"/>
    <n v="200"/>
    <n v="30"/>
  </r>
  <r>
    <n v="1117"/>
    <s v="HCFM-0609"/>
    <s v="DR.NASEEM MUNSHI"/>
    <x v="20"/>
    <n v="3"/>
    <s v="CLUB SANDWICH"/>
    <n v="3750"/>
    <n v="562.5"/>
  </r>
  <r>
    <n v="1118"/>
    <s v="HCFM-0609"/>
    <s v="DR.NASEEM MUNSHI"/>
    <x v="20"/>
    <n v="1"/>
    <s v="CHICKEN CHEESE BURGER"/>
    <n v="750"/>
    <n v="112.5"/>
  </r>
  <r>
    <n v="1119"/>
    <s v="HCFM-0669"/>
    <s v="MR . SYED RAHAT HUSSAIN ZAIDI"/>
    <x v="20"/>
    <n v="3"/>
    <s v="PASTA"/>
    <n v="3600"/>
    <n v="540"/>
  </r>
  <r>
    <n v="1120"/>
    <s v="HCFM-0669"/>
    <s v="MR . SYED RAHAT HUSSAIN ZAIDI"/>
    <x v="20"/>
    <n v="5"/>
    <s v="GRILLED CHICKEN SANDWICH"/>
    <n v="2875"/>
    <n v="431.25"/>
  </r>
  <r>
    <n v="1121"/>
    <s v="HCFM-0669"/>
    <s v="MR . SYED RAHAT HUSSAIN ZAIDI"/>
    <x v="20"/>
    <n v="33"/>
    <s v="PLAIN FRIES"/>
    <n v="8250"/>
    <n v="1237.5"/>
  </r>
  <r>
    <n v="1122"/>
    <s v="HCFM-0669"/>
    <s v="MR . SYED RAHAT HUSSAIN ZAIDI"/>
    <x v="20"/>
    <n v="20"/>
    <s v="MIX TEA"/>
    <n v="4000"/>
    <n v="600"/>
  </r>
  <r>
    <n v="1123"/>
    <s v="HCFM-0669"/>
    <s v="MR . SYED RAHAT HUSSAIN ZAIDI"/>
    <x v="20"/>
    <n v="4"/>
    <s v="SOFT DRINKS"/>
    <n v="600"/>
    <n v="90"/>
  </r>
  <r>
    <n v="1124"/>
    <s v="HCFM-0521"/>
    <s v="MR.HAFEEZ AHMED SIYAL"/>
    <x v="20"/>
    <n v="1"/>
    <s v="CHINESE SZECHUAN SOUP"/>
    <n v="350"/>
    <n v="52.5"/>
  </r>
  <r>
    <n v="1125"/>
    <s v="HCFM-0521"/>
    <s v="MR.HAFEEZ AHMED SIYAL"/>
    <x v="20"/>
    <n v="1"/>
    <s v="HC SPECIAL CHICKEN POPCORN"/>
    <n v="500"/>
    <n v="75"/>
  </r>
  <r>
    <n v="1126"/>
    <s v="HCFM-0521"/>
    <s v="MR.HAFEEZ AHMED SIYAL"/>
    <x v="20"/>
    <n v="1"/>
    <s v="GRILLED CHICKEN SANDWICH"/>
    <n v="575"/>
    <n v="86.25"/>
  </r>
  <r>
    <n v="1127"/>
    <s v="HCFM-0521"/>
    <s v="MR.HAFEEZ AHMED SIYAL"/>
    <x v="20"/>
    <n v="1"/>
    <s v="MINT LEMONADE"/>
    <n v="350"/>
    <n v="52.5"/>
  </r>
  <r>
    <n v="1128"/>
    <s v="HCFM-0591"/>
    <s v="COL.AMIR RAZA"/>
    <x v="20"/>
    <n v="1"/>
    <s v="MUTTON SHINWARI KARAHI"/>
    <n v="1800"/>
    <n v="270"/>
  </r>
  <r>
    <n v="1129"/>
    <s v="HCFM-0591"/>
    <s v="COL.AMIR RAZA"/>
    <x v="20"/>
    <n v="2"/>
    <s v="CHICKEN CHEESE BURGER"/>
    <n v="1500"/>
    <n v="225"/>
  </r>
  <r>
    <n v="1130"/>
    <s v="HCFM-0591"/>
    <s v="COL.AMIR RAZA"/>
    <x v="20"/>
    <n v="1"/>
    <s v="RESHMI SEEKH KABAB"/>
    <n v="999"/>
    <n v="149.85"/>
  </r>
  <r>
    <n v="1131"/>
    <s v="HCFM-0591"/>
    <s v="COL.AMIR RAZA"/>
    <x v="20"/>
    <n v="1"/>
    <s v="BEEF BOTI"/>
    <n v="1200"/>
    <n v="180"/>
  </r>
  <r>
    <n v="1132"/>
    <s v="HCFM-0591"/>
    <s v="COL.AMIR RAZA"/>
    <x v="20"/>
    <n v="1"/>
    <s v="DRY BEEF CHILLI"/>
    <n v="999"/>
    <n v="149.85"/>
  </r>
  <r>
    <n v="1133"/>
    <s v="HCFM-0591"/>
    <s v="COL.AMIR RAZA"/>
    <x v="20"/>
    <n v="6"/>
    <s v="PLAIN NAAN"/>
    <n v="420"/>
    <n v="63"/>
  </r>
  <r>
    <n v="1134"/>
    <s v="HCFM-0591"/>
    <s v="COL.AMIR RAZA"/>
    <x v="20"/>
    <n v="2"/>
    <s v="SOFT DRINKS"/>
    <n v="300"/>
    <n v="45"/>
  </r>
  <r>
    <n v="1135"/>
    <s v="HCFM-0591"/>
    <s v="COL.AMIR RAZA"/>
    <x v="20"/>
    <n v="1"/>
    <s v="MINERAL WATER LARGE"/>
    <n v="150"/>
    <n v="22.5"/>
  </r>
  <r>
    <n v="1136"/>
    <s v="HCFM-0536"/>
    <s v="MR.ASHOK KUMAR"/>
    <x v="20"/>
    <n v="1"/>
    <s v="MINERAL WATER LARGE"/>
    <n v="150"/>
    <n v="22.5"/>
  </r>
  <r>
    <n v="1137"/>
    <s v="HCFM-0536"/>
    <s v="MR.ASHOK KUMAR"/>
    <x v="20"/>
    <n v="1"/>
    <s v="MIX TEA"/>
    <n v="200"/>
    <n v="30"/>
  </r>
  <r>
    <n v="1138"/>
    <s v="HCFM-0536"/>
    <s v="MR.ASHOK KUMAR"/>
    <x v="20"/>
    <n v="4"/>
    <s v="LATTE COFFEE"/>
    <n v="1400"/>
    <n v="210"/>
  </r>
  <r>
    <n v="1139"/>
    <s v="HCFM-0684"/>
    <s v="MR. ZAMIR ALI SHAH"/>
    <x v="20"/>
    <n v="2"/>
    <s v="MINERAL WATER SMALL"/>
    <n v="200"/>
    <n v="30"/>
  </r>
  <r>
    <n v="1140"/>
    <s v="HCFM-0684"/>
    <s v="MR. ZAMIR ALI SHAH"/>
    <x v="20"/>
    <n v="1"/>
    <s v="MEDITERRANEAN GRILLED FISH"/>
    <n v="1100"/>
    <n v="165"/>
  </r>
  <r>
    <n v="1141"/>
    <s v="HCFM-0684"/>
    <s v="MR. ZAMIR ALI SHAH"/>
    <x v="20"/>
    <n v="1"/>
    <s v="MUTTON KARAHI (RED/WHITE/GREEN)"/>
    <n v="1800"/>
    <n v="270"/>
  </r>
  <r>
    <n v="1142"/>
    <s v="HCFM-0684"/>
    <s v="MR. ZAMIR ALI SHAH"/>
    <x v="20"/>
    <n v="2"/>
    <s v="GARLIC NAAN"/>
    <n v="260"/>
    <n v="39"/>
  </r>
  <r>
    <n v="1143"/>
    <s v="HCFM-0684"/>
    <s v="MR. ZAMIR ALI SHAH"/>
    <x v="20"/>
    <n v="2"/>
    <s v="PLAIN NAAN"/>
    <n v="140"/>
    <n v="21"/>
  </r>
  <r>
    <n v="1144"/>
    <s v="HCFM-0684"/>
    <s v="MR. ZAMIR ALI SHAH"/>
    <x v="20"/>
    <n v="2"/>
    <s v="CREAM CARAMEL"/>
    <n v="700"/>
    <n v="105"/>
  </r>
  <r>
    <n v="1145"/>
    <s v="HCFM-0545"/>
    <s v="MR. HASAN KARIM"/>
    <x v="20"/>
    <n v="1"/>
    <s v="MINERAL WATER SMALL"/>
    <n v="100"/>
    <n v="15"/>
  </r>
  <r>
    <n v="1146"/>
    <s v="HCFM-0672"/>
    <s v="MRS RIFFAT ZULFIQAR"/>
    <x v="20"/>
    <n v="2"/>
    <s v="CREAM OF MASHROOM SOUP"/>
    <n v="800"/>
    <n v="120"/>
  </r>
  <r>
    <n v="1147"/>
    <s v="HCFM-0672"/>
    <s v="MRS RIFFAT ZULFIQAR"/>
    <x v="20"/>
    <n v="1"/>
    <s v="MUTTON SHINWARI KARAHI"/>
    <n v="1800"/>
    <n v="270"/>
  </r>
  <r>
    <n v="1148"/>
    <s v="HCFM-0672"/>
    <s v="MRS RIFFAT ZULFIQAR"/>
    <x v="20"/>
    <n v="1"/>
    <s v="SHISH TAOUK"/>
    <n v="1200"/>
    <n v="180"/>
  </r>
  <r>
    <n v="1149"/>
    <s v="HCFM-0672"/>
    <s v="MRS RIFFAT ZULFIQAR"/>
    <x v="20"/>
    <n v="2"/>
    <s v="GARLIC NAAN"/>
    <n v="260"/>
    <n v="39"/>
  </r>
  <r>
    <n v="1150"/>
    <s v="HCFM-0672"/>
    <s v="MRS RIFFAT ZULFIQAR"/>
    <x v="20"/>
    <n v="1"/>
    <s v="PLAIN NAAN"/>
    <n v="70"/>
    <n v="10.5"/>
  </r>
  <r>
    <n v="1151"/>
    <s v="HCFM-0672"/>
    <s v="MRS RIFFAT ZULFIQAR"/>
    <x v="20"/>
    <n v="2"/>
    <s v="MINERAL WATER SMALL"/>
    <n v="200"/>
    <n v="30"/>
  </r>
  <r>
    <n v="1152"/>
    <s v="HCFM-0585"/>
    <s v="DGM AMJAD ALI SHAIKH"/>
    <x v="20"/>
    <n v="1"/>
    <s v="MINERAL WATER SMALL"/>
    <n v="100"/>
    <n v="15"/>
  </r>
  <r>
    <n v="1153"/>
    <s v="HCFM-0585"/>
    <s v="DGM AMJAD ALI SHAIKH"/>
    <x v="20"/>
    <n v="1"/>
    <s v="SINGAPOREAN FRIED RICE"/>
    <n v="1000"/>
    <n v="150"/>
  </r>
  <r>
    <n v="1154"/>
    <s v="HCFM-0585"/>
    <s v="DGM AMJAD ALI SHAIKH"/>
    <x v="20"/>
    <n v="1"/>
    <s v="CHICKEN ROULADE"/>
    <n v="850"/>
    <n v="127.5"/>
  </r>
  <r>
    <n v="1155"/>
    <s v="HCFM-0585"/>
    <s v="DGM AMJAD ALI SHAIKH"/>
    <x v="20"/>
    <n v="1"/>
    <s v="CLUB SANDWICH"/>
    <n v="1250"/>
    <n v="187.5"/>
  </r>
  <r>
    <n v="1156"/>
    <s v="HCFM-0585"/>
    <s v="DGM AMJAD ALI SHAIKH"/>
    <x v="20"/>
    <n v="1"/>
    <s v="HC SPECIAL MUTTON KARAHI"/>
    <n v="1800"/>
    <n v="270"/>
  </r>
  <r>
    <n v="1157"/>
    <s v="HCFM-0642"/>
    <s v="ASIF ASHFAQ"/>
    <x v="20"/>
    <n v="50"/>
    <s v="BUFFET BRUNCH"/>
    <n v="190000"/>
    <n v="28500"/>
  </r>
  <r>
    <n v="1158"/>
    <s v="HCFM-0642"/>
    <s v="ASIF ASHFAQ"/>
    <x v="20"/>
    <n v="13"/>
    <s v="MINERAL WATER LARGE"/>
    <n v="1950"/>
    <n v="292.5"/>
  </r>
  <r>
    <n v="1159"/>
    <s v="HCFM-0642"/>
    <s v="ASIF ASHFAQ"/>
    <x v="20"/>
    <n v="48"/>
    <s v="SOFT DRINKS"/>
    <n v="7200"/>
    <n v="1080"/>
  </r>
  <r>
    <n v="1160"/>
    <s v="HCFM-0669"/>
    <s v="MR . SYED RAHAT HUSSAIN ZAIDI"/>
    <x v="20"/>
    <n v="22"/>
    <s v="SUNDAY BRUNCH"/>
    <n v="34100"/>
    <n v="5115"/>
  </r>
  <r>
    <n v="1161"/>
    <s v="HCFM-0669"/>
    <s v="MR . SYED RAHAT HUSSAIN ZAIDI"/>
    <x v="20"/>
    <n v="5"/>
    <s v="SUNDAY BRUNCH KIDS"/>
    <n v="3875"/>
    <n v="581.25"/>
  </r>
  <r>
    <n v="1162"/>
    <s v="HCFM-0669"/>
    <s v="MR . SYED RAHAT HUSSAIN ZAIDI"/>
    <x v="20"/>
    <n v="7"/>
    <s v="MINERAL WATER LARGE"/>
    <n v="1050"/>
    <n v="157.5"/>
  </r>
  <r>
    <n v="1163"/>
    <s v="HCFM-0669"/>
    <s v="MR . SYED RAHAT HUSSAIN ZAIDI"/>
    <x v="20"/>
    <n v="4"/>
    <s v="MINT LEMONADE"/>
    <n v="1400"/>
    <n v="210"/>
  </r>
  <r>
    <n v="1164"/>
    <s v="HCFM-0669"/>
    <s v="MR . SYED RAHAT HUSSAIN ZAIDI"/>
    <x v="20"/>
    <n v="7"/>
    <s v="COFFEE CAPPUCINO"/>
    <n v="2450"/>
    <n v="367.5"/>
  </r>
  <r>
    <n v="1165"/>
    <s v="HCFM-0669"/>
    <s v="MR . SYED RAHAT HUSSAIN ZAIDI"/>
    <x v="20"/>
    <n v="7"/>
    <s v="SOFT DRINKS"/>
    <n v="1050"/>
    <n v="157.5"/>
  </r>
  <r>
    <n v="1166"/>
    <s v="HCFM-0541"/>
    <s v="MR.SHAN ELAHI SEHGAL"/>
    <x v="20"/>
    <n v="9"/>
    <s v="SUNDAY BRUNCH"/>
    <n v="13950"/>
    <n v="2092.5"/>
  </r>
  <r>
    <n v="1167"/>
    <s v="HCFM-0541"/>
    <s v="MR.SHAN ELAHI SEHGAL"/>
    <x v="20"/>
    <n v="2"/>
    <s v="MINERAL WATER LARGE"/>
    <n v="300"/>
    <n v="45"/>
  </r>
  <r>
    <n v="1168"/>
    <s v="HCFM-0541"/>
    <s v="MR.SHAN ELAHI SEHGAL"/>
    <x v="20"/>
    <n v="1"/>
    <s v="MINT LEMONADE"/>
    <n v="350"/>
    <n v="52.5"/>
  </r>
  <r>
    <n v="1169"/>
    <s v="HCFM-0541"/>
    <s v="MR.SHAN ELAHI SEHGAL"/>
    <x v="20"/>
    <n v="1"/>
    <s v="SUNDAY BRUNCH KIDS"/>
    <n v="775"/>
    <n v="116.25"/>
  </r>
  <r>
    <n v="1170"/>
    <s v="HCFM-0513"/>
    <s v="MR.SAJJAD ALI"/>
    <x v="20"/>
    <n v="1"/>
    <s v="MINERAL WATER LARGE"/>
    <n v="150"/>
    <n v="22.5"/>
  </r>
  <r>
    <n v="1171"/>
    <s v="HCFM-0513"/>
    <s v="MR.SAJJAD ALI"/>
    <x v="20"/>
    <n v="1"/>
    <s v="CLUB SANDWICH"/>
    <n v="1250"/>
    <n v="187.5"/>
  </r>
  <r>
    <n v="1172"/>
    <s v="HCFM-0513"/>
    <s v="MR.SAJJAD ALI"/>
    <x v="20"/>
    <n v="1"/>
    <s v="FINGER FISH N CHIPS"/>
    <n v="1250"/>
    <n v="187.5"/>
  </r>
  <r>
    <n v="1173"/>
    <s v="HCFM-0581"/>
    <s v="BRIG DR. GHULAM MEHDI (Retd)"/>
    <x v="20"/>
    <n v="3"/>
    <s v="SUNDAY BRUNCH"/>
    <n v="4650"/>
    <n v="697.5"/>
  </r>
  <r>
    <n v="1174"/>
    <s v="HCFM-0581"/>
    <s v="BRIG DR. GHULAM MEHDI (Retd)"/>
    <x v="20"/>
    <n v="1"/>
    <s v="MINERAL WATER LARGE"/>
    <n v="150"/>
    <n v="22.5"/>
  </r>
  <r>
    <n v="1175"/>
    <s v="HCFM-0581"/>
    <s v="BRIG DR. GHULAM MEHDI (Retd)"/>
    <x v="20"/>
    <n v="2"/>
    <s v="LASSI"/>
    <n v="600"/>
    <n v="90"/>
  </r>
  <r>
    <n v="1176"/>
    <s v="HCFM-0672"/>
    <s v="MRS RIFFAT ZULFIQAR"/>
    <x v="20"/>
    <n v="7"/>
    <s v="SUNDAY BRUNCH"/>
    <n v="10850"/>
    <n v="1627.5"/>
  </r>
  <r>
    <n v="1177"/>
    <s v="HCFM-0672"/>
    <s v="MRS RIFFAT ZULFIQAR"/>
    <x v="20"/>
    <n v="2"/>
    <s v="MINERAL WATER LARGE"/>
    <n v="300"/>
    <n v="45"/>
  </r>
  <r>
    <n v="1178"/>
    <s v="HCFM-0672"/>
    <s v="MRS RIFFAT ZULFIQAR"/>
    <x v="20"/>
    <n v="2"/>
    <s v="LASSI"/>
    <n v="600"/>
    <n v="90"/>
  </r>
  <r>
    <n v="1179"/>
    <s v="HCFM-0672"/>
    <s v="MRS RIFFAT ZULFIQAR"/>
    <x v="20"/>
    <n v="1"/>
    <s v="COFFEE CAPPUCINO"/>
    <n v="350"/>
    <n v="52.5"/>
  </r>
  <r>
    <n v="1180"/>
    <s v="HCFM-0651"/>
    <s v="ALI LEGHARI"/>
    <x v="20"/>
    <n v="48"/>
    <s v="MINERAL WATER LARGE"/>
    <n v="7200"/>
    <n v="1080"/>
  </r>
  <r>
    <n v="1181"/>
    <s v="HCFM-0651"/>
    <s v="ALI LEGHARI"/>
    <x v="20"/>
    <n v="242"/>
    <s v="SOFT DRINKS"/>
    <n v="36300"/>
    <n v="5445"/>
  </r>
  <r>
    <n v="1182"/>
    <s v="HCFM-0520"/>
    <s v="MR.NIZAM UDDIN NIZAMANI"/>
    <x v="21"/>
    <n v="35"/>
    <s v="BUFFET DINNER"/>
    <n v="87500"/>
    <n v="13125"/>
  </r>
  <r>
    <n v="1183"/>
    <s v="HCFM-0520"/>
    <s v="MR.NIZAM UDDIN NIZAMANI"/>
    <x v="21"/>
    <n v="46"/>
    <s v="SOFT DRINKS"/>
    <n v="6900"/>
    <n v="1035"/>
  </r>
  <r>
    <n v="1184"/>
    <s v="HCFM-0520"/>
    <s v="MR.NIZAM UDDIN NIZAMANI"/>
    <x v="21"/>
    <n v="34"/>
    <s v="MINERAL WATER SMALL"/>
    <n v="3400"/>
    <n v="510"/>
  </r>
  <r>
    <n v="1185"/>
    <s v="HCFM-0520"/>
    <s v="MR.NIZAM UDDIN NIZAMANI"/>
    <x v="21"/>
    <n v="1"/>
    <s v="SIGNATURE LAUNGE"/>
    <n v="5000"/>
    <n v="750"/>
  </r>
  <r>
    <n v="1186"/>
    <s v="HCFM-0646"/>
    <s v="BAHRIA INTERNATIONAL HOSPITAL"/>
    <x v="21"/>
    <n v="16"/>
    <s v="ASSORTED PASTRY"/>
    <n v="4000"/>
    <m/>
  </r>
  <r>
    <n v="1187"/>
    <s v="HCFM-0646"/>
    <s v="BAHRIA INTERNATIONAL HOSPITAL"/>
    <x v="21"/>
    <n v="10"/>
    <s v="DOUGHNUTS"/>
    <n v="1500"/>
    <m/>
  </r>
  <r>
    <n v="1188"/>
    <s v="HCFM-0646"/>
    <s v="BAHRIA INTERNATIONAL HOSPITAL"/>
    <x v="21"/>
    <n v="6"/>
    <s v="CHOCOLATE ECLAIR"/>
    <n v="900"/>
    <m/>
  </r>
  <r>
    <n v="1189"/>
    <s v="HCFM-0646"/>
    <s v="BAHRIA INTERNATIONAL HOSPITAL"/>
    <x v="21"/>
    <n v="30"/>
    <s v="CHICKEN PATTIES"/>
    <n v="3000"/>
    <m/>
  </r>
  <r>
    <n v="1190"/>
    <s v="HCFM-0684"/>
    <s v="MR. ZAMIR ALI SHAH"/>
    <x v="21"/>
    <n v="3"/>
    <s v="FINGER FISH N CHIPS"/>
    <n v="3750"/>
    <n v="562.5"/>
  </r>
  <r>
    <n v="1191"/>
    <s v="HCFM-0684"/>
    <s v="MR. ZAMIR ALI SHAH"/>
    <x v="21"/>
    <n v="2"/>
    <s v="CLUB SANDWICH"/>
    <n v="2500"/>
    <n v="375"/>
  </r>
  <r>
    <n v="1192"/>
    <s v="HCFM-0684"/>
    <s v="MR. ZAMIR ALI SHAH"/>
    <x v="21"/>
    <n v="1"/>
    <s v="MINERAL WATER LARGE"/>
    <n v="150"/>
    <n v="22.5"/>
  </r>
  <r>
    <n v="1193"/>
    <s v="HCFM-0684"/>
    <s v="MR. ZAMIR ALI SHAH"/>
    <x v="21"/>
    <n v="3"/>
    <s v="MIX TEA"/>
    <n v="600"/>
    <n v="90"/>
  </r>
  <r>
    <n v="1194"/>
    <s v="HCFM-0684"/>
    <s v="MR. ZAMIR ALI SHAH"/>
    <x v="21"/>
    <n v="2"/>
    <s v="MINERAL WATER SMALL"/>
    <n v="200"/>
    <n v="30"/>
  </r>
  <r>
    <n v="1195"/>
    <s v="HCFM-0585"/>
    <s v="DGM AMJAD ALI SHAIKH"/>
    <x v="21"/>
    <n v="1"/>
    <s v="SHAHJAHANI BIRYANI HALF"/>
    <n v="950"/>
    <n v="142.5"/>
  </r>
  <r>
    <n v="1196"/>
    <s v="HCFM-0585"/>
    <s v="DGM AMJAD ALI SHAIKH"/>
    <x v="21"/>
    <n v="1"/>
    <s v="GRILLED CHICKEN ROASTED"/>
    <n v="850"/>
    <n v="127.5"/>
  </r>
  <r>
    <n v="1197"/>
    <s v="HCFM-0541"/>
    <s v="MR.SHAN ELAHI SEHGAL"/>
    <x v="21"/>
    <n v="1"/>
    <s v="PLAIN FRIES"/>
    <n v="250"/>
    <n v="37.5"/>
  </r>
  <r>
    <n v="1198"/>
    <s v="HCFM-0541"/>
    <s v="MR.SHAN ELAHI SEHGAL"/>
    <x v="21"/>
    <n v="1"/>
    <s v="MINERAL WATER SMALL"/>
    <n v="100"/>
    <n v="15"/>
  </r>
  <r>
    <n v="1199"/>
    <s v="HCFM-0684"/>
    <s v="MR. ZAMIR ALI SHAH"/>
    <x v="21"/>
    <n v="12"/>
    <s v="SOFT DRINKS"/>
    <n v="1800"/>
    <n v="270"/>
  </r>
  <r>
    <n v="1200"/>
    <s v="HCFM-0684"/>
    <s v="MR. ZAMIR ALI SHAH"/>
    <x v="21"/>
    <n v="2"/>
    <s v="CHICKEN BURGER"/>
    <n v="1100"/>
    <n v="165"/>
  </r>
  <r>
    <n v="1201"/>
    <s v="HCFM-0684"/>
    <s v="MR. ZAMIR ALI SHAH"/>
    <x v="21"/>
    <n v="2"/>
    <s v="ZINGER BURGER"/>
    <n v="1400"/>
    <n v="210"/>
  </r>
  <r>
    <n v="1202"/>
    <s v="HCFM-0684"/>
    <s v="MR. ZAMIR ALI SHAH"/>
    <x v="21"/>
    <n v="1"/>
    <s v="BEEF BURGER"/>
    <n v="999"/>
    <n v="149.85"/>
  </r>
  <r>
    <n v="1203"/>
    <s v="HCFM-0684"/>
    <s v="MR. ZAMIR ALI SHAH"/>
    <x v="21"/>
    <n v="1"/>
    <s v="MINERAL WATER LARGE"/>
    <n v="150"/>
    <n v="22.5"/>
  </r>
  <r>
    <n v="1204"/>
    <s v="HCFM-0650"/>
    <s v="KHURRAM FIRDOUS"/>
    <x v="21"/>
    <n v="1"/>
    <s v="CLUB SANDWICH"/>
    <n v="1250"/>
    <n v="187.5"/>
  </r>
  <r>
    <n v="1205"/>
    <s v="HCFM-0650"/>
    <s v="KHURRAM FIRDOUS"/>
    <x v="21"/>
    <n v="2"/>
    <s v="MIX TEA"/>
    <n v="400"/>
    <n v="60"/>
  </r>
  <r>
    <n v="1206"/>
    <s v="HCFM-0521"/>
    <s v="MR.HAFEEZ AHMED SIYAL"/>
    <x v="21"/>
    <n v="1"/>
    <s v="MINERAL WATER SMALL"/>
    <n v="100"/>
    <n v="15"/>
  </r>
  <r>
    <n v="1207"/>
    <s v="HCFM-0684"/>
    <s v="MR. ZAMIR ALI SHAH"/>
    <x v="21"/>
    <n v="2"/>
    <s v="CLUB SANDWICH"/>
    <n v="2500"/>
    <n v="375"/>
  </r>
  <r>
    <n v="1208"/>
    <s v="HCFM-0684"/>
    <s v="MR. ZAMIR ALI SHAH"/>
    <x v="21"/>
    <n v="3"/>
    <s v="ZINGER BURGER"/>
    <n v="2100"/>
    <n v="315"/>
  </r>
  <r>
    <n v="1209"/>
    <s v="HCFM-0684"/>
    <s v="MR. ZAMIR ALI SHAH"/>
    <x v="21"/>
    <n v="1"/>
    <s v="PIZZA FRIES HALF"/>
    <n v="250"/>
    <n v="37.5"/>
  </r>
  <r>
    <n v="1210"/>
    <s v="HCFM-0684"/>
    <s v="MR. ZAMIR ALI SHAH"/>
    <x v="21"/>
    <n v="6"/>
    <s v="SOFT DRINKS"/>
    <n v="900"/>
    <n v="135"/>
  </r>
  <r>
    <n v="1211"/>
    <s v="HCFM-0684"/>
    <s v="MR. ZAMIR ALI SHAH"/>
    <x v="21"/>
    <n v="1"/>
    <s v="MINERAL WATER LARGE"/>
    <n v="150"/>
    <n v="22.5"/>
  </r>
  <r>
    <n v="1212"/>
    <s v="HCFM-0648"/>
    <s v="AYSM MIRZA"/>
    <x v="21"/>
    <n v="2"/>
    <s v="MALAI BOTI"/>
    <n v="2300"/>
    <n v="345"/>
  </r>
  <r>
    <n v="1213"/>
    <s v="HCFM-0648"/>
    <s v="AYSM MIRZA"/>
    <x v="21"/>
    <n v="2"/>
    <s v="SHISH TAOUK"/>
    <n v="2400"/>
    <n v="360"/>
  </r>
  <r>
    <n v="1214"/>
    <s v="HCFM-0648"/>
    <s v="AYSM MIRZA"/>
    <x v="21"/>
    <n v="2"/>
    <s v="CHICKEN KARAHI"/>
    <n v="1800"/>
    <n v="270"/>
  </r>
  <r>
    <n v="1215"/>
    <s v="HCFM-0648"/>
    <s v="AYSM MIRZA"/>
    <x v="21"/>
    <n v="2"/>
    <s v="DRY CHICKEN CHILLI"/>
    <n v="1998"/>
    <n v="299.7"/>
  </r>
  <r>
    <n v="1216"/>
    <s v="HCFM-0648"/>
    <s v="AYSM MIRZA"/>
    <x v="21"/>
    <n v="1"/>
    <s v="CHICKEN BURGER"/>
    <n v="550"/>
    <n v="82.5"/>
  </r>
  <r>
    <n v="1217"/>
    <s v="HCFM-0648"/>
    <s v="AYSM MIRZA"/>
    <x v="21"/>
    <n v="1"/>
    <s v="PIZZA FRIES FULL"/>
    <n v="500"/>
    <n v="75"/>
  </r>
  <r>
    <n v="1218"/>
    <s v="HCFM-0648"/>
    <s v="AYSM MIRZA"/>
    <x v="21"/>
    <n v="2"/>
    <s v="PLAIN POPCORN"/>
    <n v="1000"/>
    <n v="150"/>
  </r>
  <r>
    <n v="1219"/>
    <s v="HCFM-0648"/>
    <s v="AYSM MIRZA"/>
    <x v="21"/>
    <n v="2"/>
    <s v="MINERAL WATER LARGE"/>
    <n v="300"/>
    <n v="45"/>
  </r>
  <r>
    <n v="1220"/>
    <s v="HCFM-0648"/>
    <s v="AYSM MIRZA"/>
    <x v="21"/>
    <n v="4"/>
    <s v="PEACH MOJITO"/>
    <n v="1596"/>
    <n v="239.4"/>
  </r>
  <r>
    <n v="1221"/>
    <s v="HCFM-0648"/>
    <s v="AYSM MIRZA"/>
    <x v="21"/>
    <n v="1"/>
    <s v="SOFT DRINKS"/>
    <n v="150"/>
    <n v="22.5"/>
  </r>
  <r>
    <n v="1222"/>
    <s v="HCFM-0595"/>
    <s v="BRIG.KHALID MEHMOOD"/>
    <x v="22"/>
    <n v="20"/>
    <s v="HOT N SOUR SOUP"/>
    <n v="7000"/>
    <n v="1050"/>
  </r>
  <r>
    <n v="1223"/>
    <s v="HCFM-0595"/>
    <s v="BRIG.KHALID MEHMOOD"/>
    <x v="22"/>
    <n v="7"/>
    <s v="EGG FRIED RICE"/>
    <n v="2100"/>
    <n v="315"/>
  </r>
  <r>
    <n v="1224"/>
    <s v="HCFM-0595"/>
    <s v="BRIG.KHALID MEHMOOD"/>
    <x v="22"/>
    <n v="7"/>
    <s v="VEGETABLE FRIED RICE"/>
    <n v="2100"/>
    <n v="315"/>
  </r>
  <r>
    <n v="1225"/>
    <s v="HCFM-0595"/>
    <s v="BRIG.KHALID MEHMOOD"/>
    <x v="22"/>
    <n v="7"/>
    <s v="CHICKEN CHOWMEIN"/>
    <n v="6650"/>
    <n v="997.5"/>
  </r>
  <r>
    <n v="1226"/>
    <s v="HCFM-0595"/>
    <s v="BRIG.KHALID MEHMOOD"/>
    <x v="22"/>
    <n v="8"/>
    <s v="THAI CASHEW NUT CHICKEN"/>
    <n v="6800"/>
    <n v="1020"/>
  </r>
  <r>
    <n v="1227"/>
    <s v="HCFM-0595"/>
    <s v="BRIG.KHALID MEHMOOD"/>
    <x v="22"/>
    <n v="7"/>
    <s v="SWEET N SOUR CHICKEN"/>
    <n v="5600"/>
    <n v="840"/>
  </r>
  <r>
    <n v="1228"/>
    <s v="HCFM-0595"/>
    <s v="BRIG.KHALID MEHMOOD"/>
    <x v="22"/>
    <n v="8"/>
    <s v="AMBERI FISH TIKKA"/>
    <n v="11600"/>
    <n v="1740"/>
  </r>
  <r>
    <n v="1229"/>
    <s v="HCFM-0595"/>
    <s v="BRIG.KHALID MEHMOOD"/>
    <x v="22"/>
    <n v="21"/>
    <s v="ICE CREAM DOUBLE SCOOP"/>
    <n v="4620"/>
    <n v="693"/>
  </r>
  <r>
    <n v="1230"/>
    <s v="HCFM-0595"/>
    <s v="BRIG.KHALID MEHMOOD"/>
    <x v="22"/>
    <n v="6"/>
    <s v="MINERAL WATER LARGE"/>
    <n v="900"/>
    <n v="135"/>
  </r>
  <r>
    <n v="1231"/>
    <s v="HCFM-0595"/>
    <s v="BRIG.KHALID MEHMOOD"/>
    <x v="22"/>
    <n v="20"/>
    <s v="SOFT DRINKS"/>
    <n v="3000"/>
    <n v="450"/>
  </r>
  <r>
    <n v="1232"/>
    <s v="HCFM-0659"/>
    <s v="Heritage club"/>
    <x v="22"/>
    <n v="2"/>
    <s v="MINERAL WATER LARGE"/>
    <n v="300"/>
    <n v="45"/>
  </r>
  <r>
    <n v="1233"/>
    <s v="HCFM-0659"/>
    <s v="Heritage club"/>
    <x v="22"/>
    <n v="1"/>
    <s v="CLUB SANDWICH"/>
    <n v="1250"/>
    <n v="187.5"/>
  </r>
  <r>
    <n v="1234"/>
    <s v="HCFM-0659"/>
    <s v="Heritage club"/>
    <x v="22"/>
    <n v="2"/>
    <s v="LATTE COFFEE"/>
    <n v="700"/>
    <n v="105"/>
  </r>
  <r>
    <n v="1235"/>
    <s v="HCFM-0659"/>
    <s v="Heritage club"/>
    <x v="22"/>
    <n v="1"/>
    <s v="GRILLED CHICKEN SANDWICH"/>
    <n v="575"/>
    <n v="86.25"/>
  </r>
  <r>
    <n v="1236"/>
    <s v="HCFM-0659"/>
    <s v="Heritage club"/>
    <x v="22"/>
    <n v="4"/>
    <s v="CREAM OF MASHROOM SOUP"/>
    <n v="1600"/>
    <n v="240"/>
  </r>
  <r>
    <n v="1237"/>
    <s v="HCFM-0659"/>
    <s v="Heritage club"/>
    <x v="22"/>
    <n v="1"/>
    <s v="HOT N SOUR SOUP"/>
    <n v="350"/>
    <n v="52.5"/>
  </r>
  <r>
    <n v="1238"/>
    <s v="HCFM-0524"/>
    <s v="MR.MANOJ KUMAR"/>
    <x v="22"/>
    <n v="2"/>
    <s v="MINERAL WATER LARGE"/>
    <n v="300"/>
    <n v="45"/>
  </r>
  <r>
    <n v="1239"/>
    <s v="HCFM-0524"/>
    <s v="MR.MANOJ KUMAR"/>
    <x v="22"/>
    <n v="3"/>
    <s v="VEGETABLE FRIED RICE"/>
    <n v="900"/>
    <n v="135"/>
  </r>
  <r>
    <n v="1240"/>
    <s v="HCFM-0524"/>
    <s v="MR.MANOJ KUMAR"/>
    <x v="22"/>
    <n v="1"/>
    <s v="CHICKEN PESHAWARI KARAHI"/>
    <n v="900"/>
    <n v="135"/>
  </r>
  <r>
    <n v="1241"/>
    <s v="HCFM-0524"/>
    <s v="MR.MANOJ KUMAR"/>
    <x v="22"/>
    <n v="1"/>
    <s v="LAHORI KARAHI"/>
    <n v="900"/>
    <n v="135"/>
  </r>
  <r>
    <n v="1242"/>
    <s v="HCFM-0524"/>
    <s v="MR.MANOJ KUMAR"/>
    <x v="22"/>
    <n v="1"/>
    <s v="DAAL MAKHANI"/>
    <n v="600"/>
    <n v="90"/>
  </r>
  <r>
    <n v="1243"/>
    <s v="HCFM-0524"/>
    <s v="MR.MANOJ KUMAR"/>
    <x v="22"/>
    <n v="10"/>
    <s v="SOFT DRINKS"/>
    <n v="1500"/>
    <n v="225"/>
  </r>
  <r>
    <n v="1244"/>
    <s v="HCFM-0524"/>
    <s v="MR.MANOJ KUMAR"/>
    <x v="22"/>
    <n v="1"/>
    <s v="PASTA"/>
    <n v="1200"/>
    <n v="180"/>
  </r>
  <r>
    <n v="1245"/>
    <s v="HCFM-0524"/>
    <s v="MR.MANOJ KUMAR"/>
    <x v="22"/>
    <n v="2"/>
    <s v="CLUB SANDWICH"/>
    <n v="2500"/>
    <n v="375"/>
  </r>
  <r>
    <n v="1246"/>
    <s v="HCFM-0524"/>
    <s v="MR.MANOJ KUMAR"/>
    <x v="22"/>
    <n v="1"/>
    <s v="SHISH TAOUK"/>
    <n v="1200"/>
    <n v="180"/>
  </r>
  <r>
    <n v="1247"/>
    <s v="HCFM-0524"/>
    <s v="MR.MANOJ KUMAR"/>
    <x v="22"/>
    <n v="2"/>
    <s v="PLAIN NAAN"/>
    <n v="140"/>
    <n v="21"/>
  </r>
  <r>
    <n v="1248"/>
    <s v="HCFM-0524"/>
    <s v="MR.MANOJ KUMAR"/>
    <x v="22"/>
    <n v="1"/>
    <s v="RAITA"/>
    <n v="200"/>
    <n v="30"/>
  </r>
  <r>
    <n v="1249"/>
    <s v="HCFM-0524"/>
    <s v="MR.MANOJ KUMAR"/>
    <x v="22"/>
    <n v="1"/>
    <s v="FRESH GARDEN SALAD"/>
    <n v="800"/>
    <n v="120"/>
  </r>
  <r>
    <n v="1250"/>
    <s v="HCFM-0524"/>
    <s v="MR.MANOJ KUMAR"/>
    <x v="22"/>
    <n v="7"/>
    <s v="PLAIN NAAN"/>
    <n v="490"/>
    <n v="73.5"/>
  </r>
  <r>
    <n v="1251"/>
    <s v="HCFM-0524"/>
    <s v="MR.MANOJ KUMAR"/>
    <x v="22"/>
    <n v="5"/>
    <s v="ROGHNI NAAN"/>
    <n v="750"/>
    <n v="112.5"/>
  </r>
  <r>
    <n v="1252"/>
    <s v="HCFM-0541"/>
    <s v="MR.SHAN ELAHI SEHGAL"/>
    <x v="22"/>
    <n v="1"/>
    <s v="ZINGER BURGER"/>
    <n v="700"/>
    <n v="105"/>
  </r>
  <r>
    <n v="1253"/>
    <s v="HCFM-0541"/>
    <s v="MR.SHAN ELAHI SEHGAL"/>
    <x v="22"/>
    <n v="1"/>
    <s v="MIX TEA"/>
    <n v="200"/>
    <n v="30"/>
  </r>
  <r>
    <n v="1254"/>
    <s v="HCFM-0541"/>
    <s v="MR.SHAN ELAHI SEHGAL"/>
    <x v="22"/>
    <n v="1"/>
    <s v="MINERAL WATER SMALL"/>
    <n v="100"/>
    <n v="15"/>
  </r>
  <r>
    <n v="1255"/>
    <s v="HCFM-0677"/>
    <s v="MR. MUNAWAR HUSSAIN"/>
    <x v="22"/>
    <n v="2"/>
    <s v="COFFEE CAPPUCINO"/>
    <n v="700"/>
    <n v="105"/>
  </r>
  <r>
    <n v="1256"/>
    <s v="HCFM-0677"/>
    <s v="MR. MUNAWAR HUSSAIN"/>
    <x v="22"/>
    <n v="1"/>
    <s v="MINERAL WATER SMALL"/>
    <n v="100"/>
    <n v="15"/>
  </r>
  <r>
    <n v="1257"/>
    <s v="HCFM-0522"/>
    <s v="MR.IQBAL AHMED MALLAH"/>
    <x v="22"/>
    <n v="2"/>
    <s v="MINERAL WATER LARGE"/>
    <n v="300"/>
    <n v="45"/>
  </r>
  <r>
    <n v="1258"/>
    <s v="HCFM-0522"/>
    <s v="MR.IQBAL AHMED MALLAH"/>
    <x v="22"/>
    <n v="1"/>
    <s v="CLUB SANDWICH"/>
    <n v="1250"/>
    <n v="187.5"/>
  </r>
  <r>
    <n v="1259"/>
    <s v="HCFM-0522"/>
    <s v="MR.IQBAL AHMED MALLAH"/>
    <x v="22"/>
    <n v="2"/>
    <s v="HC SPECIAL CHICKEN POPCORN"/>
    <n v="1000"/>
    <n v="150"/>
  </r>
  <r>
    <n v="1260"/>
    <s v="HCFM-0522"/>
    <s v="MR.IQBAL AHMED MALLAH"/>
    <x v="22"/>
    <n v="2"/>
    <s v="PIZZA FRIES FULL"/>
    <n v="1000"/>
    <n v="150"/>
  </r>
  <r>
    <n v="1261"/>
    <s v="HCFM-0522"/>
    <s v="MR.IQBAL AHMED MALLAH"/>
    <x v="22"/>
    <n v="1"/>
    <s v="PASTA"/>
    <n v="1200"/>
    <n v="180"/>
  </r>
  <r>
    <n v="1262"/>
    <s v="HCFM-0522"/>
    <s v="MR.IQBAL AHMED MALLAH"/>
    <x v="22"/>
    <n v="1"/>
    <s v="GRILLED CHICKEN SANDWICH"/>
    <n v="575"/>
    <n v="86.25"/>
  </r>
  <r>
    <n v="1263"/>
    <s v="HCFM-0522"/>
    <s v="MR.IQBAL AHMED MALLAH"/>
    <x v="22"/>
    <n v="1"/>
    <s v="PLAIN FRIES"/>
    <n v="250"/>
    <n v="37.5"/>
  </r>
  <r>
    <n v="1264"/>
    <s v="HCFM-0522"/>
    <s v="MR.IQBAL AHMED MALLAH"/>
    <x v="22"/>
    <n v="1"/>
    <s v="ZINGER BURGER"/>
    <n v="700"/>
    <n v="105"/>
  </r>
  <r>
    <n v="1265"/>
    <s v="HCFM-0522"/>
    <s v="MR.IQBAL AHMED MALLAH"/>
    <x v="22"/>
    <n v="1"/>
    <s v="MIX TEA"/>
    <n v="200"/>
    <n v="30"/>
  </r>
  <r>
    <n v="1266"/>
    <s v="HCFM-0522"/>
    <s v="MR.IQBAL AHMED MALLAH"/>
    <x v="22"/>
    <n v="8"/>
    <s v="SOFT DRINKS"/>
    <n v="1200"/>
    <n v="180"/>
  </r>
  <r>
    <n v="1267"/>
    <s v="HCFM-0677"/>
    <s v="MR. MUNAWAR HUSSAIN"/>
    <x v="22"/>
    <n v="2"/>
    <s v="MINT LEMONADE"/>
    <n v="700"/>
    <n v="105"/>
  </r>
  <r>
    <n v="1268"/>
    <s v="HCFM-0659"/>
    <s v="Heritage club"/>
    <x v="23"/>
    <n v="757"/>
    <s v="ISL BUFFET"/>
    <n v="3028000"/>
    <n v="454200"/>
  </r>
  <r>
    <n v="1269"/>
    <s v="HCFM-0659"/>
    <s v="Heritage club"/>
    <x v="23"/>
    <n v="15"/>
    <s v="MINERAL WATER SMALL"/>
    <n v="1500"/>
    <n v="225"/>
  </r>
  <r>
    <n v="1270"/>
    <s v="HCFM-0659"/>
    <s v="Heritage club"/>
    <x v="23"/>
    <n v="18"/>
    <s v="MINERAL WATER LARGE"/>
    <n v="2700"/>
    <n v="405"/>
  </r>
  <r>
    <n v="1271"/>
    <s v="HCFM-0659"/>
    <s v="Heritage club"/>
    <x v="23"/>
    <n v="5"/>
    <s v="AMERICAN COFFEE"/>
    <n v="1500"/>
    <n v="225"/>
  </r>
  <r>
    <n v="1272"/>
    <s v="HCFM-0659"/>
    <s v="Heritage club"/>
    <x v="23"/>
    <n v="3"/>
    <s v="BLACK COFFEE"/>
    <n v="900"/>
    <n v="135"/>
  </r>
  <r>
    <n v="1273"/>
    <s v="HCFM-0659"/>
    <s v="Heritage club"/>
    <x v="23"/>
    <n v="7"/>
    <s v="COFFEE CAPPUCINO"/>
    <n v="2450"/>
    <n v="367.5"/>
  </r>
  <r>
    <n v="1274"/>
    <s v="HCFM-0659"/>
    <s v="Heritage club"/>
    <x v="23"/>
    <n v="91"/>
    <s v="BUFFET"/>
    <n v="45500"/>
    <n v="6825"/>
  </r>
  <r>
    <n v="1275"/>
    <s v="HCFM-0664"/>
    <s v="SHAHBAZ AHMED"/>
    <x v="23"/>
    <n v="1"/>
    <s v="CHICKEN KARAHI"/>
    <n v="900"/>
    <n v="135"/>
  </r>
  <r>
    <n v="1276"/>
    <s v="HCFM-0664"/>
    <s v="SHAHBAZ AHMED"/>
    <x v="23"/>
    <n v="1"/>
    <s v="HC SPECIAL MUTTON KARAHI"/>
    <n v="1800"/>
    <n v="270"/>
  </r>
  <r>
    <n v="1277"/>
    <s v="HCFM-0664"/>
    <s v="SHAHBAZ AHMED"/>
    <x v="23"/>
    <n v="2"/>
    <s v="HC SPECIAL TIKKA"/>
    <n v="1600"/>
    <n v="240"/>
  </r>
  <r>
    <n v="1278"/>
    <s v="HCFM-0664"/>
    <s v="SHAHBAZ AHMED"/>
    <x v="23"/>
    <n v="4"/>
    <s v="ROGHNI NAAN"/>
    <n v="600"/>
    <n v="90"/>
  </r>
  <r>
    <n v="1279"/>
    <s v="HCFM-0664"/>
    <s v="SHAHBAZ AHMED"/>
    <x v="23"/>
    <n v="3"/>
    <s v="PLAIN NAAN"/>
    <n v="210"/>
    <n v="31.5"/>
  </r>
  <r>
    <n v="1280"/>
    <s v="HCFM-0664"/>
    <s v="SHAHBAZ AHMED"/>
    <x v="23"/>
    <n v="9"/>
    <s v="SOFT DRINKS"/>
    <n v="1350"/>
    <n v="202.5"/>
  </r>
  <r>
    <n v="1281"/>
    <s v="HCFM-0664"/>
    <s v="SHAHBAZ AHMED"/>
    <x v="23"/>
    <n v="2"/>
    <s v="MINERAL WATER LARGE"/>
    <n v="300"/>
    <n v="45"/>
  </r>
  <r>
    <n v="1282"/>
    <s v="HCFM-0506"/>
    <s v="MR.MUHAMMAD ARIF"/>
    <x v="23"/>
    <n v="2"/>
    <s v="MINERAL WATER LARGE"/>
    <n v="300"/>
    <n v="45"/>
  </r>
  <r>
    <n v="1283"/>
    <s v="HCFM-0506"/>
    <s v="MR.MUHAMMAD ARIF"/>
    <x v="23"/>
    <n v="1"/>
    <s v="SINGAPOREAN FRIED RICE"/>
    <n v="1000"/>
    <n v="150"/>
  </r>
  <r>
    <n v="1284"/>
    <s v="HCFM-0506"/>
    <s v="MR.MUHAMMAD ARIF"/>
    <x v="23"/>
    <n v="1"/>
    <s v="DRY CHICKEN CHILLI"/>
    <n v="999"/>
    <n v="149.85"/>
  </r>
  <r>
    <n v="1285"/>
    <s v="HCFM-0506"/>
    <s v="MR.MUHAMMAD ARIF"/>
    <x v="23"/>
    <n v="1"/>
    <s v="CHINESE SZECHUAN SOUP"/>
    <n v="350"/>
    <n v="52.5"/>
  </r>
  <r>
    <n v="1286"/>
    <s v="HCFM-0506"/>
    <s v="MR.MUHAMMAD ARIF"/>
    <x v="23"/>
    <n v="1"/>
    <s v="MAMA MIA BURGER"/>
    <n v="750"/>
    <n v="112.5"/>
  </r>
  <r>
    <n v="1287"/>
    <s v="HCFM-0506"/>
    <s v="MR.MUHAMMAD ARIF"/>
    <x v="23"/>
    <n v="2"/>
    <s v="CREAM OF MASHROOM SOUP"/>
    <n v="800"/>
    <n v="120"/>
  </r>
  <r>
    <n v="1288"/>
    <s v="HCFM-0506"/>
    <s v="MR.MUHAMMAD ARIF"/>
    <x v="23"/>
    <n v="1"/>
    <s v="MAKHANI HANDI"/>
    <n v="1000"/>
    <n v="150"/>
  </r>
  <r>
    <n v="1289"/>
    <s v="HCFM-0506"/>
    <s v="MR.MUHAMMAD ARIF"/>
    <x v="23"/>
    <n v="2"/>
    <s v="GARLIC NAAN"/>
    <n v="260"/>
    <n v="39"/>
  </r>
  <r>
    <n v="1290"/>
    <s v="HCFM-0506"/>
    <s v="MR.MUHAMMAD ARIF"/>
    <x v="23"/>
    <n v="1"/>
    <s v="PLAIN NAAN"/>
    <n v="70"/>
    <n v="10.5"/>
  </r>
  <r>
    <n v="1291"/>
    <s v="HCFM-0542"/>
    <s v="MR.HANIF AHSAN ZUBEDI"/>
    <x v="23"/>
    <n v="1"/>
    <s v="PLAIN POPCORN"/>
    <n v="500"/>
    <n v="75"/>
  </r>
  <r>
    <n v="1292"/>
    <s v="HCFM-0542"/>
    <s v="MR.HANIF AHSAN ZUBEDI"/>
    <x v="23"/>
    <n v="1"/>
    <s v="MINT LEMONADE"/>
    <n v="350"/>
    <n v="52.5"/>
  </r>
  <r>
    <n v="1293"/>
    <s v="HCFM-0542"/>
    <s v="MR.HANIF AHSAN ZUBEDI"/>
    <x v="23"/>
    <n v="2"/>
    <s v="MIX TEA"/>
    <n v="400"/>
    <n v="60"/>
  </r>
  <r>
    <n v="1294"/>
    <s v="HCFM-0534"/>
    <s v="MR.PIR MUJEEB JAN SARHANDI"/>
    <x v="23"/>
    <n v="1"/>
    <s v="HC SPECIAL MUTTON KARAHI"/>
    <n v="1800"/>
    <n v="270"/>
  </r>
  <r>
    <n v="1295"/>
    <s v="HCFM-0534"/>
    <s v="MR.PIR MUJEEB JAN SARHANDI"/>
    <x v="23"/>
    <n v="1"/>
    <s v="FINGER FISH N CHIPS"/>
    <n v="1250"/>
    <n v="187.5"/>
  </r>
  <r>
    <n v="1296"/>
    <s v="HCFM-0534"/>
    <s v="MR.PIR MUJEEB JAN SARHANDI"/>
    <x v="23"/>
    <n v="1"/>
    <s v="DRY BEEF CHILLI"/>
    <n v="999"/>
    <n v="149.85"/>
  </r>
  <r>
    <n v="1297"/>
    <s v="HCFM-0534"/>
    <s v="MR.PIR MUJEEB JAN SARHANDI"/>
    <x v="23"/>
    <n v="5"/>
    <s v="PLAIN NAAN"/>
    <n v="350"/>
    <n v="52.5"/>
  </r>
  <r>
    <n v="1298"/>
    <s v="HCFM-0534"/>
    <s v="MR.PIR MUJEEB JAN SARHANDI"/>
    <x v="23"/>
    <n v="3"/>
    <s v="SOFT DRINKS"/>
    <n v="450"/>
    <n v="67.5"/>
  </r>
  <r>
    <n v="1299"/>
    <s v="HCFM-0534"/>
    <s v="MR.PIR MUJEEB JAN SARHANDI"/>
    <x v="23"/>
    <n v="1"/>
    <s v="MINERAL WATER LARGE"/>
    <n v="150"/>
    <n v="22.5"/>
  </r>
  <r>
    <n v="1300"/>
    <s v="HCFM-0502"/>
    <s v="MR. JABIR SHAHZAD"/>
    <x v="23"/>
    <n v="1"/>
    <s v="WAIKIKI SALAD"/>
    <n v="800"/>
    <n v="120"/>
  </r>
  <r>
    <n v="1301"/>
    <s v="HCFM-0502"/>
    <s v="MR. JABIR SHAHZAD"/>
    <x v="23"/>
    <n v="2"/>
    <s v="ZINGER BURGER"/>
    <n v="1400"/>
    <n v="210"/>
  </r>
  <r>
    <n v="1302"/>
    <s v="HCFM-0502"/>
    <s v="MR. JABIR SHAHZAD"/>
    <x v="23"/>
    <n v="1"/>
    <s v="CLUB SANDWICH"/>
    <n v="1250"/>
    <n v="187.5"/>
  </r>
  <r>
    <n v="1303"/>
    <s v="HCFM-0502"/>
    <s v="MR. JABIR SHAHZAD"/>
    <x v="23"/>
    <n v="1"/>
    <s v="CHICKEN CHOWMEIN"/>
    <n v="950"/>
    <n v="142.5"/>
  </r>
  <r>
    <n v="1304"/>
    <s v="HCFM-0502"/>
    <s v="MR. JABIR SHAHZAD"/>
    <x v="23"/>
    <n v="1"/>
    <s v="FINGER FISH N CHIPS"/>
    <n v="1250"/>
    <n v="187.5"/>
  </r>
  <r>
    <n v="1305"/>
    <s v="HCFM-0502"/>
    <s v="MR. JABIR SHAHZAD"/>
    <x v="23"/>
    <n v="1"/>
    <s v="CHICKEN HANDI"/>
    <n v="1000"/>
    <n v="150"/>
  </r>
  <r>
    <n v="1306"/>
    <s v="HCFM-0502"/>
    <s v="MR. JABIR SHAHZAD"/>
    <x v="23"/>
    <n v="2"/>
    <s v="MALAI BOTI"/>
    <n v="2300"/>
    <n v="345"/>
  </r>
  <r>
    <n v="1307"/>
    <s v="HCFM-0502"/>
    <s v="MR. JABIR SHAHZAD"/>
    <x v="23"/>
    <n v="1"/>
    <s v="SHISH TAOUK"/>
    <n v="1200"/>
    <n v="180"/>
  </r>
  <r>
    <n v="1308"/>
    <s v="HCFM-0502"/>
    <s v="MR. JABIR SHAHZAD"/>
    <x v="23"/>
    <n v="1"/>
    <s v="AKBARI BOTI TIKKA"/>
    <n v="600"/>
    <n v="90"/>
  </r>
  <r>
    <n v="1309"/>
    <s v="HCFM-0502"/>
    <s v="MR. JABIR SHAHZAD"/>
    <x v="23"/>
    <n v="10"/>
    <s v="PURI PARATHA"/>
    <n v="1500"/>
    <n v="225"/>
  </r>
  <r>
    <n v="1310"/>
    <s v="HCFM-0502"/>
    <s v="MR. JABIR SHAHZAD"/>
    <x v="23"/>
    <n v="2"/>
    <s v="RAITA"/>
    <n v="400"/>
    <n v="60"/>
  </r>
  <r>
    <n v="1311"/>
    <s v="HCFM-0502"/>
    <s v="MR. JABIR SHAHZAD"/>
    <x v="23"/>
    <n v="2"/>
    <s v="MINERAL WATER LARGE"/>
    <n v="300"/>
    <n v="45"/>
  </r>
  <r>
    <n v="1312"/>
    <s v="HCFM-0646"/>
    <s v="BAHRIA INTERNATIONAL HOSPITAL"/>
    <x v="23"/>
    <n v="10"/>
    <s v="ASSORTED PASTRY"/>
    <n v="2500"/>
    <n v="375"/>
  </r>
  <r>
    <n v="1313"/>
    <s v="HCFM-0646"/>
    <s v="BAHRIA INTERNATIONAL HOSPITAL"/>
    <x v="23"/>
    <n v="10"/>
    <s v="DOUGHNUTS"/>
    <n v="1500"/>
    <n v="225"/>
  </r>
  <r>
    <n v="1314"/>
    <s v="HCFM-0646"/>
    <s v="BAHRIA INTERNATIONAL HOSPITAL"/>
    <x v="23"/>
    <n v="4"/>
    <s v="ASSORTED COOKIES"/>
    <n v="1600"/>
    <n v="240"/>
  </r>
  <r>
    <n v="1315"/>
    <s v="HCFM-0656"/>
    <s v="ZAIB UR REHMAN"/>
    <x v="23"/>
    <n v="1"/>
    <s v="MIX TEA"/>
    <n v="200"/>
    <n v="30"/>
  </r>
  <r>
    <n v="1316"/>
    <s v="HCFM-0656"/>
    <s v="ZAIB UR REHMAN"/>
    <x v="23"/>
    <n v="1"/>
    <s v="GREEN TEA"/>
    <n v="150"/>
    <n v="22.5"/>
  </r>
  <r>
    <n v="1317"/>
    <s v="HCFM-0677"/>
    <s v="MR. MUNAWAR HUSSAIN"/>
    <x v="23"/>
    <n v="2"/>
    <s v="BLACK COFFEE"/>
    <n v="600"/>
    <n v="90"/>
  </r>
  <r>
    <n v="1318"/>
    <s v="HCFM-0663"/>
    <s v="JAM FEROZ "/>
    <x v="23"/>
    <n v="1"/>
    <s v="MINERAL WATER LARGE"/>
    <n v="150"/>
    <n v="22.5"/>
  </r>
  <r>
    <n v="1319"/>
    <s v="HCFM-0663"/>
    <s v="JAM FEROZ "/>
    <x v="23"/>
    <n v="1"/>
    <s v="CLUB SANDWICH"/>
    <n v="1250"/>
    <n v="187.5"/>
  </r>
  <r>
    <n v="1320"/>
    <s v="HCFM-0663"/>
    <s v="JAM FEROZ "/>
    <x v="23"/>
    <n v="3"/>
    <s v="COFFEE CAPPUCINO"/>
    <n v="1050"/>
    <n v="157.5"/>
  </r>
  <r>
    <n v="1321"/>
    <s v="HCFM-0663"/>
    <s v="JAM FEROZ "/>
    <x v="23"/>
    <n v="4"/>
    <s v="CHICKEN HANDI"/>
    <n v="4000"/>
    <n v="600"/>
  </r>
  <r>
    <n v="1322"/>
    <s v="HCFM-0663"/>
    <s v="JAM FEROZ "/>
    <x v="23"/>
    <n v="2"/>
    <s v="SHISH TAOUK"/>
    <n v="2400"/>
    <n v="360"/>
  </r>
  <r>
    <n v="1323"/>
    <s v="HCFM-0663"/>
    <s v="JAM FEROZ "/>
    <x v="23"/>
    <n v="2"/>
    <s v="FINGER FISH N CHIPS"/>
    <n v="2500"/>
    <n v="375"/>
  </r>
  <r>
    <n v="1324"/>
    <s v="HCFM-0663"/>
    <s v="JAM FEROZ "/>
    <x v="23"/>
    <n v="3"/>
    <s v="PLAIN NAAN"/>
    <n v="210"/>
    <n v="31.5"/>
  </r>
  <r>
    <n v="1325"/>
    <s v="HCFM-0663"/>
    <s v="JAM FEROZ "/>
    <x v="23"/>
    <n v="6"/>
    <s v="GARLIC NAAN"/>
    <n v="780"/>
    <n v="117"/>
  </r>
  <r>
    <n v="1326"/>
    <s v="HCFM-0663"/>
    <s v="JAM FEROZ "/>
    <x v="23"/>
    <n v="4"/>
    <s v="HC SPECIAL MUTTON KARAHI"/>
    <n v="7200"/>
    <n v="1080"/>
  </r>
  <r>
    <n v="1327"/>
    <s v="HCFM-0545"/>
    <s v="MR. HASAN KARIM"/>
    <x v="24"/>
    <n v="3"/>
    <s v="FINGER FISH N CHIPS"/>
    <n v="3750"/>
    <n v="562.5"/>
  </r>
  <r>
    <n v="1328"/>
    <s v="HCFM-0545"/>
    <s v="MR. HASAN KARIM"/>
    <x v="24"/>
    <n v="4"/>
    <s v="PLAIN FRIES"/>
    <n v="1000"/>
    <n v="150"/>
  </r>
  <r>
    <n v="1329"/>
    <s v="HCFM-0545"/>
    <s v="MR. HASAN KARIM"/>
    <x v="24"/>
    <n v="4"/>
    <s v="CHICKEN KARAHI"/>
    <n v="3600"/>
    <n v="540"/>
  </r>
  <r>
    <n v="1330"/>
    <s v="HCFM-0545"/>
    <s v="MR. HASAN KARIM"/>
    <x v="24"/>
    <n v="3"/>
    <s v="DRY BEEF CHILLI"/>
    <n v="2997"/>
    <n v="449.55"/>
  </r>
  <r>
    <n v="1331"/>
    <s v="HCFM-0545"/>
    <s v="MR. HASAN KARIM"/>
    <x v="24"/>
    <n v="3"/>
    <s v="CHICKEN CHOWMEIN"/>
    <n v="2850"/>
    <n v="427.5"/>
  </r>
  <r>
    <n v="1332"/>
    <s v="HCFM-0545"/>
    <s v="MR. HASAN KARIM"/>
    <x v="24"/>
    <n v="2"/>
    <s v="RAITA"/>
    <n v="400"/>
    <n v="60"/>
  </r>
  <r>
    <n v="1333"/>
    <s v="HCFM-0545"/>
    <s v="MR. HASAN KARIM"/>
    <x v="24"/>
    <n v="1"/>
    <s v="PASTA"/>
    <n v="1200"/>
    <n v="180"/>
  </r>
  <r>
    <n v="1334"/>
    <s v="HCFM-0545"/>
    <s v="MR. HASAN KARIM"/>
    <x v="24"/>
    <n v="8"/>
    <s v="GARLIC NAAN"/>
    <n v="1040"/>
    <n v="156"/>
  </r>
  <r>
    <n v="1335"/>
    <s v="HCFM-0545"/>
    <s v="MR. HASAN KARIM"/>
    <x v="24"/>
    <n v="8"/>
    <s v="PLAIN NAAN"/>
    <n v="560"/>
    <n v="84"/>
  </r>
  <r>
    <n v="1336"/>
    <s v="HCFM-0545"/>
    <s v="MR. HASAN KARIM"/>
    <x v="24"/>
    <n v="9"/>
    <s v="SOFT DRINKS"/>
    <n v="1350"/>
    <n v="202.5"/>
  </r>
  <r>
    <n v="1337"/>
    <s v="HCFM-0545"/>
    <s v="MR. HASAN KARIM"/>
    <x v="24"/>
    <n v="3"/>
    <s v="MINERAL WATER LARGE"/>
    <n v="450"/>
    <n v="67.5"/>
  </r>
  <r>
    <n v="1338"/>
    <s v="HCFM-0545"/>
    <s v="MR. HASAN KARIM"/>
    <x v="24"/>
    <n v="2"/>
    <s v="MINERAL WATER SMALL"/>
    <n v="200"/>
    <n v="30"/>
  </r>
  <r>
    <n v="1339"/>
    <s v="HCFM-0545"/>
    <s v="MR. HASAN KARIM"/>
    <x v="24"/>
    <n v="2"/>
    <s v="FRESH GARDEN SALAD"/>
    <n v="1600"/>
    <n v="240"/>
  </r>
  <r>
    <n v="1340"/>
    <s v="HCFM-0600"/>
    <s v="DR.FAKHRUNISSA WAHEED"/>
    <x v="24"/>
    <n v="7"/>
    <s v="BUFFET DINNER "/>
    <n v="17500"/>
    <n v="2625"/>
  </r>
  <r>
    <n v="1341"/>
    <s v="HCFM-0600"/>
    <s v="DR.FAKHRUNISSA WAHEED"/>
    <x v="24"/>
    <n v="1"/>
    <s v="BUFFET DINNER KIDS "/>
    <n v="1250"/>
    <n v="187.5"/>
  </r>
  <r>
    <n v="1342"/>
    <s v="HCFM-0600"/>
    <s v="DR.FAKHRUNISSA WAHEED"/>
    <x v="24"/>
    <n v="2"/>
    <s v="MINERAL WATER LARGE"/>
    <n v="300"/>
    <n v="45"/>
  </r>
  <r>
    <n v="1343"/>
    <s v="HCFM-0600"/>
    <s v="DR.FAKHRUNISSA WAHEED"/>
    <x v="24"/>
    <n v="6"/>
    <s v="MINT LEMONADE"/>
    <n v="2100"/>
    <n v="315"/>
  </r>
  <r>
    <n v="1344"/>
    <s v="HCFM-0600"/>
    <s v="DR.FAKHRUNISSA WAHEED"/>
    <x v="24"/>
    <n v="4"/>
    <s v="COFFEE CAPPUCINO"/>
    <n v="1400"/>
    <n v="210"/>
  </r>
  <r>
    <n v="1345"/>
    <s v="HCFM-0600"/>
    <s v="DR.FAKHRUNISSA WAHEED"/>
    <x v="24"/>
    <n v="3"/>
    <s v="MIX TEA"/>
    <n v="600"/>
    <n v="90"/>
  </r>
  <r>
    <n v="1346"/>
    <s v="HCFM-0600"/>
    <s v="DR.FAKHRUNISSA WAHEED"/>
    <x v="24"/>
    <n v="4"/>
    <s v="MINERAL WATER SMALL"/>
    <n v="400"/>
    <n v="60"/>
  </r>
  <r>
    <n v="1347"/>
    <s v="HCFM-0600"/>
    <s v="DR.FAKHRUNISSA WAHEED"/>
    <x v="24"/>
    <n v="3"/>
    <s v="SOFT DRINKS"/>
    <n v="450"/>
    <n v="67.5"/>
  </r>
  <r>
    <n v="1348"/>
    <s v="HCFM-0583"/>
    <s v="MR.CAREL HEDRIK BURGER"/>
    <x v="24"/>
    <n v="12"/>
    <s v="BUFFET DINNER "/>
    <n v="30000"/>
    <n v="4500"/>
  </r>
  <r>
    <n v="1349"/>
    <s v="HCFM-0583"/>
    <s v="MR.CAREL HEDRIK BURGER"/>
    <x v="24"/>
    <n v="8"/>
    <s v="MINERAL WATER SMALL"/>
    <n v="800"/>
    <n v="120"/>
  </r>
  <r>
    <n v="1350"/>
    <s v="HCFM-0583"/>
    <s v="MR.CAREL HEDRIK BURGER"/>
    <x v="24"/>
    <n v="2"/>
    <s v="MINERAL WATER LARGE"/>
    <n v="300"/>
    <n v="45"/>
  </r>
  <r>
    <n v="1351"/>
    <s v="HCFM-0583"/>
    <s v="MR.CAREL HEDRIK BURGER"/>
    <x v="24"/>
    <n v="3"/>
    <s v="SOFT DRINKS"/>
    <n v="450"/>
    <n v="67.5"/>
  </r>
  <r>
    <n v="1352"/>
    <s v="HCFM-0583"/>
    <s v="MR.CAREL HEDRIK BURGER"/>
    <x v="24"/>
    <n v="4"/>
    <s v="LASSI"/>
    <n v="1200"/>
    <n v="180"/>
  </r>
  <r>
    <n v="1353"/>
    <s v="HCFM-0583"/>
    <s v="MR.CAREL HEDRIK BURGER"/>
    <x v="24"/>
    <n v="9"/>
    <s v="HEINKEN BEER"/>
    <n v="27000"/>
    <n v="4050"/>
  </r>
  <r>
    <n v="1354"/>
    <s v="HCFM-0657"/>
    <s v="NASIR ABBAS"/>
    <x v="24"/>
    <n v="6"/>
    <s v="BUFFET DINNER "/>
    <n v="15000"/>
    <n v="2250"/>
  </r>
  <r>
    <n v="1355"/>
    <s v="HCFM-0657"/>
    <s v="NASIR ABBAS"/>
    <x v="24"/>
    <n v="6"/>
    <s v="MINT LEMONADE"/>
    <n v="2100"/>
    <n v="315"/>
  </r>
  <r>
    <n v="1356"/>
    <s v="HCFM-0657"/>
    <s v="NASIR ABBAS"/>
    <x v="24"/>
    <n v="2"/>
    <s v="MINERAL WATER LARGE"/>
    <n v="300"/>
    <n v="45"/>
  </r>
  <r>
    <n v="1357"/>
    <s v="HCFM-0581"/>
    <s v="BRIG DR. GHULAM MEHDI (Retd)"/>
    <x v="24"/>
    <n v="2"/>
    <s v="BUFFET DINNER "/>
    <n v="5000"/>
    <n v="750"/>
  </r>
  <r>
    <n v="1358"/>
    <s v="HCFM-0581"/>
    <s v="BRIG DR. GHULAM MEHDI (Retd)"/>
    <x v="24"/>
    <n v="2"/>
    <s v="MINT LEMONADE"/>
    <n v="700"/>
    <n v="105"/>
  </r>
  <r>
    <n v="1359"/>
    <s v="HCFM-0581"/>
    <s v="BRIG DR. GHULAM MEHDI (Retd)"/>
    <x v="24"/>
    <n v="1"/>
    <s v="MINERAL WATER LARGE"/>
    <n v="150"/>
    <n v="22.5"/>
  </r>
  <r>
    <n v="1360"/>
    <s v="HCFM-AH001"/>
    <s v="ADMIRAL AHMED HAYAT"/>
    <x v="24"/>
    <n v="9"/>
    <s v="BUFFET DINNER "/>
    <n v="22500"/>
    <n v="3375"/>
  </r>
  <r>
    <n v="1361"/>
    <s v="HCFM-AH001"/>
    <s v="ADMIRAL AHMED HAYAT"/>
    <x v="24"/>
    <n v="5"/>
    <s v="MINT LEMONADE"/>
    <n v="1750"/>
    <n v="262.5"/>
  </r>
  <r>
    <n v="1362"/>
    <s v="HCFM-AH001"/>
    <s v="ADMIRAL AHMED HAYAT"/>
    <x v="24"/>
    <n v="2"/>
    <s v="MINERAL WATER LARGE"/>
    <n v="300"/>
    <n v="45"/>
  </r>
  <r>
    <n v="1363"/>
    <s v="HCFM-0548"/>
    <s v="MR.ZAIN FAROOQ"/>
    <x v="24"/>
    <n v="3"/>
    <s v="BUFFET DINNER "/>
    <n v="7500"/>
    <n v="1125"/>
  </r>
  <r>
    <n v="1364"/>
    <s v="HCFM-0548"/>
    <s v="MR.ZAIN FAROOQ"/>
    <x v="24"/>
    <n v="2"/>
    <s v="MINERAL WATER SMALL"/>
    <n v="200"/>
    <n v="30"/>
  </r>
  <r>
    <n v="1365"/>
    <s v="HCFM-0551"/>
    <s v="MR.ASIF ALI"/>
    <x v="24"/>
    <n v="9"/>
    <s v="BUFFET DINNER "/>
    <n v="22500"/>
    <n v="3375"/>
  </r>
  <r>
    <n v="1366"/>
    <s v="HCFM-0551"/>
    <s v="MR.ASIF ALI"/>
    <x v="24"/>
    <n v="5"/>
    <s v="MINERAL WATER SMALL"/>
    <n v="500"/>
    <n v="75"/>
  </r>
  <r>
    <n v="1367"/>
    <s v="HCFM-0551"/>
    <s v="MR.ASIF ALI"/>
    <x v="24"/>
    <n v="9"/>
    <s v="SOFT DRINKS"/>
    <n v="1350"/>
    <n v="202.5"/>
  </r>
  <r>
    <n v="1368"/>
    <s v="HCFM-0609"/>
    <s v="DR.NASEEM MUNSHI"/>
    <x v="24"/>
    <n v="6"/>
    <s v="BUFFET DINNER "/>
    <n v="15000"/>
    <n v="2250"/>
  </r>
  <r>
    <n v="1369"/>
    <s v="HCFM-0609"/>
    <s v="DR.NASEEM MUNSHI"/>
    <x v="24"/>
    <n v="5"/>
    <s v="MINT LEMONADE"/>
    <n v="1750"/>
    <n v="262.5"/>
  </r>
  <r>
    <n v="1370"/>
    <s v="HCFM-0609"/>
    <s v="DR.NASEEM MUNSHI"/>
    <x v="24"/>
    <n v="1"/>
    <s v="MINERAL WATER LARGE"/>
    <n v="150"/>
    <n v="22.5"/>
  </r>
  <r>
    <n v="1371"/>
    <s v="HCFM-0609"/>
    <s v="DR.NASEEM MUNSHI"/>
    <x v="24"/>
    <n v="1"/>
    <s v="SOFT DRINKS"/>
    <n v="150"/>
    <n v="22.5"/>
  </r>
  <r>
    <n v="1372"/>
    <s v="HCFM-0682"/>
    <s v="MR. ZAHIR REHMAN"/>
    <x v="24"/>
    <n v="2"/>
    <s v="MINERAL WATER LARGE"/>
    <n v="300"/>
    <n v="45"/>
  </r>
  <r>
    <n v="1373"/>
    <s v="HCFM-0682"/>
    <s v="MR. ZAHIR REHMAN"/>
    <x v="24"/>
    <n v="1"/>
    <s v="PLAIN POPCORN"/>
    <n v="500"/>
    <n v="75"/>
  </r>
  <r>
    <n v="1374"/>
    <s v="HCFM-0682"/>
    <s v="MR. ZAHIR REHMAN"/>
    <x v="24"/>
    <n v="1"/>
    <s v="AMBERI FISH TIKKA"/>
    <n v="1450"/>
    <n v="217.5"/>
  </r>
  <r>
    <n v="1375"/>
    <s v="HCFM-0682"/>
    <s v="MR. ZAHIR REHMAN"/>
    <x v="24"/>
    <n v="1"/>
    <s v="MALAYSIAN CHICKEN SATAY"/>
    <n v="800"/>
    <n v="120"/>
  </r>
  <r>
    <n v="1376"/>
    <s v="HCFM-0682"/>
    <s v="MR. ZAHIR REHMAN"/>
    <x v="24"/>
    <n v="2"/>
    <s v="CHINESE SZECHUAN SOUP"/>
    <n v="700"/>
    <n v="105"/>
  </r>
  <r>
    <n v="1377"/>
    <s v="HCFM-0682"/>
    <s v="MR. ZAHIR REHMAN"/>
    <x v="24"/>
    <n v="1"/>
    <s v="SOFT DRINKS"/>
    <n v="150"/>
    <n v="22.5"/>
  </r>
  <r>
    <n v="1378"/>
    <s v="HCFM-0583"/>
    <s v="MR.CAREL HEDRIK BURGER"/>
    <x v="24"/>
    <n v="4"/>
    <s v="SOFT DRINKS"/>
    <n v="600"/>
    <n v="90"/>
  </r>
  <r>
    <n v="1379"/>
    <s v="HCFM-0503"/>
    <s v="MR.GHULAM NABI OTHI"/>
    <x v="24"/>
    <n v="4"/>
    <s v="MURREE BEER"/>
    <n v="4000"/>
    <n v="600"/>
  </r>
  <r>
    <n v="1380"/>
    <s v="HCFM-0503"/>
    <s v="MR.GHULAM NABI OTHI"/>
    <x v="24"/>
    <n v="5"/>
    <s v="BLACK LABEL SINGLE WL"/>
    <n v="5000"/>
    <n v="750"/>
  </r>
  <r>
    <n v="1381"/>
    <s v="HCFM-0551"/>
    <s v="MR.ASIF ALI"/>
    <x v="24"/>
    <n v="2"/>
    <s v="COFFEE CAPPUCINO"/>
    <n v="700"/>
    <n v="105"/>
  </r>
  <r>
    <n v="1382"/>
    <s v="HCFM-0551"/>
    <s v="MR.ASIF ALI"/>
    <x v="24"/>
    <n v="1"/>
    <s v="MINERAL WATER LARGE"/>
    <n v="150"/>
    <n v="22.5"/>
  </r>
  <r>
    <n v="1383"/>
    <s v="HCFM-0551"/>
    <s v="MR.ASIF ALI"/>
    <x v="24"/>
    <n v="2"/>
    <s v="MIX TEA"/>
    <n v="400"/>
    <n v="60"/>
  </r>
  <r>
    <n v="1384"/>
    <s v="HCFM-0551"/>
    <s v="MR.ASIF ALI"/>
    <x v="24"/>
    <n v="4"/>
    <s v="MINT LEMONADE"/>
    <n v="1400"/>
    <n v="210"/>
  </r>
  <r>
    <n v="1385"/>
    <s v="HCFM-0551"/>
    <s v="MR.ASIF ALI"/>
    <x v="24"/>
    <n v="3"/>
    <s v="PIZZA FRIES HALF"/>
    <n v="750"/>
    <n v="112.5"/>
  </r>
  <r>
    <n v="1386"/>
    <s v="HCFM-0551"/>
    <s v="MR.ASIF ALI"/>
    <x v="24"/>
    <n v="1"/>
    <s v="MINERAL WATER SMALL"/>
    <n v="100"/>
    <n v="15"/>
  </r>
  <r>
    <n v="1387"/>
    <s v="HCFM-0672"/>
    <s v="MRS RIFFAT ZULFIQAR"/>
    <x v="24"/>
    <n v="2"/>
    <s v="COLD SANDWICH"/>
    <n v="800"/>
    <n v="120"/>
  </r>
  <r>
    <n v="1388"/>
    <s v="HCFM-0672"/>
    <s v="MRS RIFFAT ZULFIQAR"/>
    <x v="24"/>
    <n v="1"/>
    <s v="MINERAL WATER SMALL"/>
    <n v="100"/>
    <n v="15"/>
  </r>
  <r>
    <n v="1389"/>
    <s v="HCFM-0644"/>
    <s v="SABA AHSAN"/>
    <x v="24"/>
    <n v="1"/>
    <s v="CLUB SANDWICH"/>
    <n v="1250"/>
    <n v="187.5"/>
  </r>
  <r>
    <n v="1390"/>
    <s v="HCFM-0644"/>
    <s v="SABA AHSAN"/>
    <x v="24"/>
    <n v="1"/>
    <s v="CHICKEN HANDI"/>
    <n v="1000"/>
    <n v="150"/>
  </r>
  <r>
    <n v="1391"/>
    <s v="HCFM-0644"/>
    <s v="SABA AHSAN"/>
    <x v="24"/>
    <n v="1"/>
    <s v="CHICKEN KARAHI"/>
    <n v="900"/>
    <n v="135"/>
  </r>
  <r>
    <n v="1392"/>
    <s v="HCFM-0644"/>
    <s v="SABA AHSAN"/>
    <x v="24"/>
    <n v="1"/>
    <s v="ZINGER BURGER"/>
    <n v="700"/>
    <n v="105"/>
  </r>
  <r>
    <n v="1393"/>
    <s v="HCFM-0644"/>
    <s v="SABA AHSAN"/>
    <x v="24"/>
    <n v="1"/>
    <s v="CHICKEN STRIPS"/>
    <n v="700"/>
    <n v="105"/>
  </r>
  <r>
    <n v="1394"/>
    <s v="HCFM-0644"/>
    <s v="SABA AHSAN"/>
    <x v="24"/>
    <n v="2"/>
    <s v="MIX TEA"/>
    <n v="400"/>
    <n v="60"/>
  </r>
  <r>
    <n v="1395"/>
    <s v="HCFM-0644"/>
    <s v="SABA AHSAN"/>
    <x v="24"/>
    <n v="1"/>
    <s v="MINERAL WATER LARGE"/>
    <n v="150"/>
    <n v="22.5"/>
  </r>
  <r>
    <n v="1396"/>
    <s v="HCFM-0545"/>
    <s v="MR. HASAN KARIM"/>
    <x v="24"/>
    <n v="1"/>
    <s v="MINERAL WATER SMALL"/>
    <n v="100"/>
    <n v="15"/>
  </r>
  <r>
    <n v="1397"/>
    <s v="HCFM-0545"/>
    <s v="MR. HASAN KARIM"/>
    <x v="24"/>
    <n v="1"/>
    <s v="HOT N SOUR SOUP"/>
    <n v="350"/>
    <n v="52.5"/>
  </r>
  <r>
    <n v="1398"/>
    <s v="HCFM-0545"/>
    <s v="MR. HASAN KARIM"/>
    <x v="24"/>
    <n v="2"/>
    <s v="PLAIN FRIES"/>
    <n v="500"/>
    <n v="75"/>
  </r>
  <r>
    <n v="1399"/>
    <s v="HCFM-0545"/>
    <s v="MR. HASAN KARIM"/>
    <x v="24"/>
    <n v="2"/>
    <s v="MIX TEA"/>
    <n v="400"/>
    <n v="60"/>
  </r>
  <r>
    <n v="1400"/>
    <s v="HCFM-0545"/>
    <s v="MR. HASAN KARIM"/>
    <x v="24"/>
    <n v="1"/>
    <s v="MINERAL WATER SMALL"/>
    <n v="100"/>
    <n v="15"/>
  </r>
  <r>
    <n v="1401"/>
    <s v="HCFM-0597"/>
    <s v="GM GHULAM DASTAGEER"/>
    <x v="24"/>
    <n v="3"/>
    <s v="MINERAL WATER SMALL"/>
    <n v="300"/>
    <n v="45"/>
  </r>
  <r>
    <n v="1402"/>
    <s v="HCFM-0597"/>
    <s v="GM GHULAM DASTAGEER"/>
    <x v="24"/>
    <n v="1"/>
    <s v="CHICKEN STRIPS"/>
    <n v="700"/>
    <n v="105"/>
  </r>
  <r>
    <n v="1403"/>
    <s v="HCFM-0597"/>
    <s v="GM GHULAM DASTAGEER"/>
    <x v="24"/>
    <n v="1"/>
    <s v="PASTA"/>
    <n v="1200"/>
    <n v="180"/>
  </r>
  <r>
    <n v="1404"/>
    <s v="HCFM-0597"/>
    <s v="GM GHULAM DASTAGEER"/>
    <x v="24"/>
    <n v="1"/>
    <s v="SHISH TAOUK"/>
    <n v="1200"/>
    <n v="180"/>
  </r>
  <r>
    <n v="1405"/>
    <s v="HCFM-0545"/>
    <s v="MR. HASAN KARIM"/>
    <x v="24"/>
    <n v="2"/>
    <s v="PLAIN FRIES"/>
    <n v="500"/>
    <n v="75"/>
  </r>
  <r>
    <n v="1406"/>
    <s v="HCFM-0545"/>
    <s v="MR. HASAN KARIM"/>
    <x v="24"/>
    <n v="1"/>
    <s v="COFFEE CAPPUCINO"/>
    <n v="350"/>
    <n v="52.5"/>
  </r>
  <r>
    <n v="1407"/>
    <s v="HCFM-0545"/>
    <s v="MR. HASAN KARIM"/>
    <x v="24"/>
    <n v="1"/>
    <s v="SOFT DRINKS"/>
    <n v="150"/>
    <n v="22.5"/>
  </r>
  <r>
    <n v="1408"/>
    <s v="HCFM-0545"/>
    <s v="MR. HASAN KARIM"/>
    <x v="24"/>
    <n v="1"/>
    <s v="MINERAL WATER SMALL"/>
    <n v="100"/>
    <n v="15"/>
  </r>
  <r>
    <n v="1409"/>
    <s v="HCFM-0677"/>
    <s v="MR. MUNAWAR HUSSAIN"/>
    <x v="24"/>
    <n v="6"/>
    <s v="MINERAL WATER SMALL"/>
    <n v="600"/>
    <n v="90"/>
  </r>
  <r>
    <n v="1410"/>
    <s v="HCFM-0677"/>
    <s v="MR. MUNAWAR HUSSAIN"/>
    <x v="24"/>
    <n v="6"/>
    <s v="COFFEE CAPPUCINO"/>
    <n v="2100"/>
    <n v="315"/>
  </r>
  <r>
    <n v="1411"/>
    <s v="HCFM-0677"/>
    <s v="MR. MUNAWAR HUSSAIN"/>
    <x v="24"/>
    <n v="2"/>
    <s v="ASSORTED PASTRY"/>
    <n v="500"/>
    <n v="75"/>
  </r>
  <r>
    <n v="1412"/>
    <s v="HCFM-0529"/>
    <s v="DR.UMER QAZI"/>
    <x v="24"/>
    <n v="2"/>
    <s v="PLAIN NAAN"/>
    <n v="140"/>
    <n v="21"/>
  </r>
  <r>
    <n v="1413"/>
    <s v="HCFM-0529"/>
    <s v="DR.UMER QAZI"/>
    <x v="24"/>
    <n v="2"/>
    <s v="HC SPECIAL TIKKA"/>
    <n v="1600"/>
    <n v="240"/>
  </r>
  <r>
    <n v="1414"/>
    <s v="HCFM-0529"/>
    <s v="DR.UMER QAZI"/>
    <x v="24"/>
    <n v="2"/>
    <s v="MINERAL WATER SMALL"/>
    <n v="200"/>
    <n v="30"/>
  </r>
  <r>
    <s v=""/>
    <s v="HCFM-0"/>
    <e v="#N/A"/>
    <x v="25"/>
    <m/>
    <m/>
    <s v="0"/>
    <n v="0"/>
  </r>
  <r>
    <s v=""/>
    <s v="HCFM-0"/>
    <e v="#N/A"/>
    <x v="25"/>
    <m/>
    <m/>
    <s v="0"/>
    <n v="0"/>
  </r>
  <r>
    <s v=""/>
    <s v="HCFM-0"/>
    <e v="#N/A"/>
    <x v="25"/>
    <m/>
    <m/>
    <s v="0"/>
    <n v="0"/>
  </r>
  <r>
    <m/>
    <m/>
    <m/>
    <x v="25"/>
    <m/>
    <s v="TOTAL"/>
    <n v="5319274"/>
    <n v="784571.10000000009"/>
  </r>
  <r>
    <m/>
    <m/>
    <m/>
    <x v="25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8">
  <r>
    <n v="1"/>
    <x v="0"/>
    <s v="MR. ZAMIR ALI SHAH"/>
    <x v="0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2"/>
    <x v="1"/>
    <s v="MR.MUIED AHMED DURRANI"/>
    <x v="0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3"/>
    <x v="2"/>
    <s v="MR.TARIQUE ZUBAIR"/>
    <x v="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"/>
    <x v="3"/>
    <s v="GM GHULAM DASTAGEER"/>
    <x v="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5"/>
    <x v="4"/>
    <s v="MR.ZEESHAN IQBAL"/>
    <x v="0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6"/>
    <x v="5"/>
    <s v="MR.ZAIN FAROOQ"/>
    <x v="0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7"/>
    <x v="6"/>
    <s v="DR.NASEEM MUNSHI"/>
    <x v="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8"/>
    <x v="7"/>
    <s v="MR.SYED MURTAZA ALI"/>
    <x v="1"/>
    <n v="0"/>
    <n v="0"/>
    <n v="150"/>
    <n v="0"/>
    <n v="0"/>
    <n v="0"/>
    <n v="0"/>
    <n v="0"/>
    <n v="0"/>
    <n v="0"/>
    <n v="0"/>
    <n v="0"/>
    <n v="0"/>
    <n v="0"/>
    <n v="0"/>
    <n v="0"/>
    <n v="150"/>
  </r>
  <r>
    <n v="9"/>
    <x v="8"/>
    <s v="DGM AZFAR ALI"/>
    <x v="1"/>
    <n v="1200"/>
    <n v="0"/>
    <n v="0"/>
    <n v="0"/>
    <n v="0"/>
    <n v="0"/>
    <n v="0"/>
    <n v="0"/>
    <n v="0"/>
    <n v="0"/>
    <n v="0"/>
    <n v="0"/>
    <n v="0"/>
    <n v="0"/>
    <n v="0"/>
    <n v="0"/>
    <n v="1200"/>
  </r>
  <r>
    <n v="10"/>
    <x v="2"/>
    <s v="MR.TARIQUE ZUBAIR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"/>
    <x v="3"/>
    <s v="GM GHULAM DASTAGEER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"/>
    <x v="4"/>
    <s v="MR.ZEESHAN IQBAL"/>
    <x v="1"/>
    <n v="0"/>
    <n v="600"/>
    <n v="0"/>
    <n v="0"/>
    <n v="0"/>
    <n v="0"/>
    <n v="0"/>
    <n v="0"/>
    <n v="0"/>
    <n v="0"/>
    <n v="0"/>
    <n v="0"/>
    <n v="0"/>
    <n v="0"/>
    <n v="0"/>
    <n v="0"/>
    <n v="600"/>
  </r>
  <r>
    <n v="13"/>
    <x v="9"/>
    <s v="SHAHBAZ AHMED"/>
    <x v="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4"/>
    <x v="10"/>
    <s v="ASIF ASHFAQ"/>
    <x v="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5"/>
    <x v="11"/>
    <s v="NASIR ABBAS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"/>
    <x v="5"/>
    <s v="MR.ZAIN FAROOQ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7"/>
    <x v="6"/>
    <s v="DR.NASEEM MUNSHI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8"/>
    <x v="12"/>
    <s v="MR.PIR MUJEEB JAN SARHANDI"/>
    <x v="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9"/>
    <x v="13"/>
    <s v="MR. JABIR SHAHZAD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0"/>
    <x v="14"/>
    <s v="MR.SYED ABDULLAH ALI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"/>
    <x v="15"/>
    <s v="MR.MUHAMMAD ATIF USMANI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2"/>
    <x v="1"/>
    <s v="MR.MUIED AHMED DURRANI"/>
    <x v="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3"/>
    <x v="16"/>
    <s v="MR.MANOJ KUMAR"/>
    <x v="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4"/>
    <x v="17"/>
    <s v="SABA AHSAN"/>
    <x v="2"/>
    <n v="0"/>
    <n v="0"/>
    <n v="0"/>
    <n v="0"/>
    <n v="0"/>
    <n v="0"/>
    <n v="0"/>
    <n v="0"/>
    <n v="0"/>
    <n v="0"/>
    <n v="0"/>
    <n v="5000"/>
    <n v="0"/>
    <n v="0"/>
    <n v="0"/>
    <n v="0"/>
    <n v="5000"/>
  </r>
  <r>
    <n v="25"/>
    <x v="18"/>
    <s v="AYSM MIRZA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6"/>
    <x v="3"/>
    <s v="GM GHULAM DASTAGEER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7"/>
    <x v="2"/>
    <s v="MR.TARIQUE ZUBAIR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8"/>
    <x v="19"/>
    <s v="DR.SANTOSH KUMAR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9"/>
    <x v="4"/>
    <s v="MR.ZEESHAN IQBAL"/>
    <x v="2"/>
    <n v="0"/>
    <n v="600"/>
    <n v="0"/>
    <n v="0"/>
    <n v="0"/>
    <n v="0"/>
    <n v="0"/>
    <n v="0"/>
    <n v="0"/>
    <n v="0"/>
    <n v="0"/>
    <n v="0"/>
    <n v="0"/>
    <n v="0"/>
    <n v="0"/>
    <n v="0"/>
    <n v="600"/>
  </r>
  <r>
    <n v="30"/>
    <x v="9"/>
    <s v="SHAHBAZ AHMED"/>
    <x v="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1"/>
    <x v="10"/>
    <s v="ASIF ASHFAQ"/>
    <x v="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2"/>
    <x v="5"/>
    <s v="MR.ZAIN FAROOQ"/>
    <x v="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3"/>
    <x v="15"/>
    <s v="MR.MUHAMMAD ATIF USMANI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4"/>
    <x v="0"/>
    <s v="MR. ZAMIR ALI SHAH"/>
    <x v="3"/>
    <n v="0"/>
    <n v="0"/>
    <n v="0"/>
    <n v="0"/>
    <n v="0"/>
    <n v="0"/>
    <n v="0"/>
    <n v="0"/>
    <n v="0"/>
    <n v="0"/>
    <n v="0"/>
    <n v="16000"/>
    <n v="0"/>
    <n v="0"/>
    <n v="0"/>
    <n v="0"/>
    <n v="16000"/>
  </r>
  <r>
    <n v="35"/>
    <x v="2"/>
    <s v="MR.TARIQUE ZUBAIR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6"/>
    <x v="3"/>
    <s v="GM GHULAM DASTAGEER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7"/>
    <x v="19"/>
    <s v="DR.SANTOSH KUMAR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8"/>
    <x v="9"/>
    <s v="SHAHBAZ AHMED"/>
    <x v="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9"/>
    <x v="18"/>
    <s v="AYSM MIRZA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0"/>
    <x v="5"/>
    <s v="MR.ZAIN FAROOQ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1"/>
    <x v="11"/>
    <s v="NASIR ABBAS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2"/>
    <x v="15"/>
    <s v="MR.MUHAMMAD ATIF USMANI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3"/>
    <x v="12"/>
    <s v="MR.PIR MUJEEB JAN SARHANDI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4"/>
    <x v="4"/>
    <s v="MR.ZEESHAN IQBAL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5"/>
    <x v="14"/>
    <s v="MR.SYED ABDULLAH ALI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6"/>
    <x v="13"/>
    <s v="MR. JABIR SHAHZAD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7"/>
    <x v="20"/>
    <s v="MR.HANIF AHSAN ZUBEDI"/>
    <x v="3"/>
    <n v="0"/>
    <n v="0"/>
    <n v="0"/>
    <n v="0"/>
    <n v="0"/>
    <n v="1800"/>
    <n v="0"/>
    <n v="0"/>
    <n v="0"/>
    <n v="0"/>
    <n v="0"/>
    <n v="0"/>
    <n v="0"/>
    <n v="0"/>
    <n v="0"/>
    <n v="0"/>
    <n v="1800"/>
  </r>
  <r>
    <n v="48"/>
    <x v="21"/>
    <s v="SYED JIBRAN MUSHTAQ"/>
    <x v="3"/>
    <n v="0"/>
    <n v="0"/>
    <n v="0"/>
    <n v="0"/>
    <n v="0"/>
    <n v="2800"/>
    <n v="0"/>
    <n v="0"/>
    <n v="0"/>
    <n v="0"/>
    <n v="0"/>
    <n v="0"/>
    <n v="0"/>
    <n v="0"/>
    <n v="0"/>
    <n v="0"/>
    <n v="2800"/>
  </r>
  <r>
    <n v="49"/>
    <x v="22"/>
    <s v="KHURRAM FIRDOUS"/>
    <x v="4"/>
    <n v="0"/>
    <n v="0"/>
    <n v="0"/>
    <n v="0"/>
    <n v="0"/>
    <n v="0"/>
    <n v="0"/>
    <n v="0"/>
    <n v="0"/>
    <n v="0"/>
    <n v="5500"/>
    <n v="0"/>
    <n v="0"/>
    <n v="0"/>
    <n v="0"/>
    <n v="0"/>
    <n v="5500"/>
  </r>
  <r>
    <n v="50"/>
    <x v="9"/>
    <s v="SHAHBAZ AHMED"/>
    <x v="4"/>
    <n v="0"/>
    <n v="300"/>
    <n v="0"/>
    <n v="0"/>
    <n v="0"/>
    <n v="0"/>
    <n v="0"/>
    <n v="0"/>
    <n v="0"/>
    <n v="0"/>
    <n v="6000"/>
    <n v="0"/>
    <n v="0"/>
    <n v="0"/>
    <n v="0"/>
    <n v="0"/>
    <n v="6300"/>
  </r>
  <r>
    <n v="51"/>
    <x v="2"/>
    <s v="MR.TARIQUE ZUBAIR"/>
    <x v="4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52"/>
    <x v="23"/>
    <s v="AAMIR RASOOL"/>
    <x v="4"/>
    <n v="2700"/>
    <n v="0"/>
    <n v="0"/>
    <n v="0"/>
    <n v="0"/>
    <n v="2600"/>
    <n v="0"/>
    <n v="0"/>
    <n v="0"/>
    <n v="0"/>
    <n v="0"/>
    <n v="0"/>
    <n v="0"/>
    <n v="0"/>
    <n v="0"/>
    <n v="0"/>
    <n v="5300"/>
  </r>
  <r>
    <n v="53"/>
    <x v="18"/>
    <s v="AYSM MIRZA"/>
    <x v="4"/>
    <n v="0"/>
    <n v="150"/>
    <n v="0"/>
    <n v="0"/>
    <n v="0"/>
    <n v="1300"/>
    <n v="0"/>
    <n v="0"/>
    <n v="0"/>
    <n v="0"/>
    <n v="0"/>
    <n v="0"/>
    <n v="0"/>
    <n v="0"/>
    <n v="0"/>
    <n v="0"/>
    <n v="1450"/>
  </r>
  <r>
    <n v="54"/>
    <x v="24"/>
    <s v="MR.MUHAMMAD RIZWAN"/>
    <x v="4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55"/>
    <x v="10"/>
    <s v="ASIF ASHFAQ"/>
    <x v="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56"/>
    <x v="25"/>
    <s v="MR.IMRAN WAZEER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57"/>
    <x v="4"/>
    <s v="MR.ZEESHAN IQBAL"/>
    <x v="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58"/>
    <x v="19"/>
    <s v="DR.SANTOSH KUMAR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59"/>
    <x v="5"/>
    <s v="MR.ZAIN FAROOQ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0"/>
    <x v="11"/>
    <s v="NASIR ABBAS"/>
    <x v="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61"/>
    <x v="13"/>
    <s v="MR. JABIR SHAHZAD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2"/>
    <x v="26"/>
    <s v="CARD"/>
    <x v="5"/>
    <n v="0"/>
    <n v="0"/>
    <n v="0"/>
    <n v="0"/>
    <n v="0"/>
    <n v="0"/>
    <n v="0"/>
    <n v="0"/>
    <n v="0"/>
    <n v="0"/>
    <n v="11200"/>
    <n v="0"/>
    <n v="0"/>
    <n v="0"/>
    <n v="0"/>
    <n v="0"/>
    <n v="11200"/>
  </r>
  <r>
    <n v="63"/>
    <x v="25"/>
    <s v="MR.IMRAN WAZEER"/>
    <x v="5"/>
    <n v="0"/>
    <n v="150"/>
    <n v="0"/>
    <n v="0"/>
    <n v="0"/>
    <n v="900"/>
    <n v="0"/>
    <n v="0"/>
    <n v="0"/>
    <n v="0"/>
    <n v="2250"/>
    <n v="0"/>
    <n v="0"/>
    <n v="0"/>
    <n v="0"/>
    <n v="0"/>
    <n v="3300"/>
  </r>
  <r>
    <n v="64"/>
    <x v="0"/>
    <s v="MR. ZAMIR ALI SHAH"/>
    <x v="5"/>
    <n v="0"/>
    <n v="0"/>
    <n v="0"/>
    <n v="0"/>
    <n v="0"/>
    <n v="3000"/>
    <n v="0"/>
    <n v="0"/>
    <n v="0"/>
    <n v="0"/>
    <n v="4000"/>
    <n v="0"/>
    <n v="0"/>
    <n v="0"/>
    <n v="0"/>
    <n v="0"/>
    <n v="7000"/>
  </r>
  <r>
    <n v="65"/>
    <x v="4"/>
    <s v="MR.ZEESHAN IQBAL"/>
    <x v="5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66"/>
    <x v="14"/>
    <s v="MR.SYED ABDULLAH ALI"/>
    <x v="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7"/>
    <x v="20"/>
    <s v="MR.HANIF AHSAN ZUBEDI"/>
    <x v="5"/>
    <n v="0"/>
    <n v="600"/>
    <n v="0"/>
    <n v="0"/>
    <n v="0"/>
    <n v="1100"/>
    <n v="0"/>
    <n v="0"/>
    <n v="0"/>
    <n v="0"/>
    <n v="0"/>
    <n v="0"/>
    <n v="0"/>
    <n v="0"/>
    <n v="0"/>
    <n v="0"/>
    <n v="1700"/>
  </r>
  <r>
    <n v="68"/>
    <x v="5"/>
    <s v="MR.ZAIN FAROOQ"/>
    <x v="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9"/>
    <x v="11"/>
    <s v="NASIR ABBAS"/>
    <x v="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70"/>
    <x v="27"/>
    <s v="MR.MUHAMMAD ARIF"/>
    <x v="5"/>
    <n v="2700"/>
    <n v="0"/>
    <n v="0"/>
    <n v="0"/>
    <n v="0"/>
    <n v="600"/>
    <n v="0"/>
    <n v="0"/>
    <n v="0"/>
    <n v="0"/>
    <n v="0"/>
    <n v="0"/>
    <n v="0"/>
    <n v="0"/>
    <n v="0"/>
    <n v="0"/>
    <n v="3300"/>
  </r>
  <r>
    <n v="71"/>
    <x v="28"/>
    <s v="MR. ZAHIR REHMAN"/>
    <x v="5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72"/>
    <x v="8"/>
    <s v="DGM AZFAR ALI"/>
    <x v="5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73"/>
    <x v="29"/>
    <s v="MR.ATIF SHAFQAT"/>
    <x v="5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74"/>
    <x v="30"/>
    <s v="ZAIB UR REHMAN"/>
    <x v="5"/>
    <n v="0"/>
    <n v="0"/>
    <n v="0"/>
    <n v="0"/>
    <n v="0"/>
    <n v="2200"/>
    <n v="0"/>
    <n v="0"/>
    <n v="0"/>
    <n v="0"/>
    <n v="0"/>
    <n v="0"/>
    <n v="0"/>
    <n v="0"/>
    <n v="0"/>
    <n v="0"/>
    <n v="2200"/>
  </r>
  <r>
    <n v="75"/>
    <x v="26"/>
    <s v="CARD"/>
    <x v="5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76"/>
    <x v="31"/>
    <s v="MR.SHIRAZ AHMED"/>
    <x v="5"/>
    <n v="2400"/>
    <n v="0"/>
    <n v="0"/>
    <n v="0"/>
    <n v="0"/>
    <n v="0"/>
    <n v="0"/>
    <n v="0"/>
    <n v="0"/>
    <n v="0"/>
    <n v="0"/>
    <n v="0"/>
    <n v="0"/>
    <n v="0"/>
    <n v="0"/>
    <n v="0"/>
    <n v="2400"/>
  </r>
  <r>
    <n v="77"/>
    <x v="32"/>
    <s v="MR. TEHSEEN FAIZ"/>
    <x v="5"/>
    <n v="2400"/>
    <n v="0"/>
    <n v="0"/>
    <n v="0"/>
    <n v="0"/>
    <n v="0"/>
    <n v="0"/>
    <n v="0"/>
    <n v="0"/>
    <n v="0"/>
    <n v="0"/>
    <n v="0"/>
    <n v="0"/>
    <n v="0"/>
    <n v="0"/>
    <n v="0"/>
    <n v="2400"/>
  </r>
  <r>
    <n v="78"/>
    <x v="33"/>
    <s v="MR. HASAN KARIM"/>
    <x v="5"/>
    <n v="0"/>
    <n v="0"/>
    <n v="0"/>
    <n v="0"/>
    <n v="0"/>
    <n v="0"/>
    <n v="300"/>
    <n v="0"/>
    <n v="0"/>
    <n v="0"/>
    <n v="5500"/>
    <n v="0"/>
    <n v="0"/>
    <n v="0"/>
    <n v="0"/>
    <n v="0"/>
    <n v="5800"/>
  </r>
  <r>
    <n v="79"/>
    <x v="26"/>
    <s v="CARD"/>
    <x v="6"/>
    <n v="0"/>
    <n v="0"/>
    <n v="0"/>
    <n v="0"/>
    <n v="0"/>
    <n v="0"/>
    <n v="0"/>
    <n v="0"/>
    <n v="0"/>
    <n v="0"/>
    <n v="0"/>
    <n v="20500"/>
    <n v="0"/>
    <n v="0"/>
    <n v="0"/>
    <n v="0"/>
    <n v="20500"/>
  </r>
  <r>
    <n v="80"/>
    <x v="26"/>
    <e v="#N/A"/>
    <x v="6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1"/>
    <x v="21"/>
    <s v="SYED JIBRAN MUSHTAQ"/>
    <x v="6"/>
    <n v="1200"/>
    <n v="0"/>
    <n v="0"/>
    <n v="0"/>
    <n v="0"/>
    <n v="1800"/>
    <n v="0"/>
    <n v="0"/>
    <n v="0"/>
    <n v="1500"/>
    <n v="0"/>
    <n v="0"/>
    <n v="0"/>
    <n v="0"/>
    <n v="0"/>
    <n v="0"/>
    <n v="4500"/>
  </r>
  <r>
    <n v="82"/>
    <x v="34"/>
    <s v="MR. YASIR RASHEED"/>
    <x v="6"/>
    <n v="0"/>
    <n v="0"/>
    <n v="0"/>
    <n v="0"/>
    <n v="0"/>
    <n v="0"/>
    <n v="0"/>
    <n v="0"/>
    <n v="0"/>
    <n v="1500"/>
    <n v="0"/>
    <n v="0"/>
    <n v="0"/>
    <n v="0"/>
    <n v="0"/>
    <n v="0"/>
    <n v="1500"/>
  </r>
  <r>
    <n v="83"/>
    <x v="20"/>
    <s v="MR.HANIF AHSAN ZUBEDI"/>
    <x v="6"/>
    <n v="2400"/>
    <n v="0"/>
    <n v="0"/>
    <n v="0"/>
    <n v="0"/>
    <n v="6700"/>
    <n v="0"/>
    <n v="0"/>
    <n v="0"/>
    <n v="0"/>
    <n v="0"/>
    <n v="0"/>
    <n v="0"/>
    <n v="0"/>
    <n v="0"/>
    <n v="0"/>
    <n v="9100"/>
  </r>
  <r>
    <n v="84"/>
    <x v="22"/>
    <s v="KHURRAM FIRDOUS"/>
    <x v="6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85"/>
    <x v="35"/>
    <s v="MR.SYED SALMAN RAZA"/>
    <x v="6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86"/>
    <x v="26"/>
    <s v="CARD"/>
    <x v="6"/>
    <n v="0"/>
    <n v="0"/>
    <n v="0"/>
    <n v="0"/>
    <n v="0"/>
    <n v="3000"/>
    <n v="0"/>
    <n v="0"/>
    <n v="0"/>
    <n v="0"/>
    <n v="0"/>
    <n v="0"/>
    <n v="0"/>
    <n v="0"/>
    <n v="0"/>
    <n v="0"/>
    <n v="3000"/>
  </r>
  <r>
    <n v="87"/>
    <x v="36"/>
    <s v="DR.NAZEER HUSSAIN KALHORO"/>
    <x v="6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88"/>
    <x v="4"/>
    <s v="MR.ZEESHAN IQBAL"/>
    <x v="6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89"/>
    <x v="11"/>
    <s v="NASIR ABBAS"/>
    <x v="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0"/>
    <x v="5"/>
    <s v="MR.ZAIN FAROOQ"/>
    <x v="6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91"/>
    <x v="15"/>
    <s v="MR.MUHAMMAD ATIF USMANI"/>
    <x v="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2"/>
    <x v="30"/>
    <s v="ZAIB UR REHMAN"/>
    <x v="6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93"/>
    <x v="26"/>
    <s v="CARD"/>
    <x v="6"/>
    <n v="6000"/>
    <n v="0"/>
    <n v="0"/>
    <n v="0"/>
    <n v="0"/>
    <n v="0"/>
    <n v="0"/>
    <n v="0"/>
    <n v="0"/>
    <n v="0"/>
    <n v="0"/>
    <n v="0"/>
    <n v="0"/>
    <n v="0"/>
    <n v="0"/>
    <n v="0"/>
    <n v="6000"/>
  </r>
  <r>
    <n v="94"/>
    <x v="37"/>
    <s v="MR.HAFEEZ AHMED SIYAL"/>
    <x v="7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95"/>
    <x v="38"/>
    <s v="SADDAM HUSSAIN"/>
    <x v="7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96"/>
    <x v="2"/>
    <s v="MR.TARIQUE ZUBAI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7"/>
    <x v="3"/>
    <s v="GM GHULAM DASTAGEE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8"/>
    <x v="4"/>
    <s v="MR.ZEESHAN IQBAL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9"/>
    <x v="10"/>
    <s v="ASIF ASHFAQ"/>
    <x v="7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00"/>
    <x v="25"/>
    <s v="MR.IMRAN WAZEE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1"/>
    <x v="19"/>
    <s v="DR.SANTOSH KUMA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2"/>
    <x v="5"/>
    <s v="MR.ZAIN FAROOQ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3"/>
    <x v="6"/>
    <s v="DR.NASEEM MUNSHI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4"/>
    <x v="26"/>
    <e v="#N/A"/>
    <x v="8"/>
    <n v="0"/>
    <n v="0"/>
    <n v="0"/>
    <n v="0"/>
    <n v="0"/>
    <n v="0"/>
    <n v="0"/>
    <n v="0"/>
    <n v="0"/>
    <n v="0"/>
    <n v="0"/>
    <n v="12000"/>
    <n v="0"/>
    <n v="0"/>
    <n v="0"/>
    <n v="0"/>
    <n v="12000"/>
  </r>
  <r>
    <n v="105"/>
    <x v="39"/>
    <s v="MR.SAJJAD ALI"/>
    <x v="8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n v="106"/>
    <x v="40"/>
    <s v="RIAZ FAZAL"/>
    <x v="8"/>
    <n v="0"/>
    <n v="0"/>
    <n v="0"/>
    <n v="0"/>
    <n v="0"/>
    <n v="0"/>
    <n v="0"/>
    <n v="0"/>
    <n v="0"/>
    <n v="0"/>
    <n v="0"/>
    <n v="6000"/>
    <n v="0"/>
    <n v="0"/>
    <n v="0"/>
    <n v="0"/>
    <n v="6000"/>
  </r>
  <r>
    <n v="107"/>
    <x v="41"/>
    <s v="HUSSAIN WAJID"/>
    <x v="8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108"/>
    <x v="2"/>
    <s v="MR.TARIQUE ZUBAI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9"/>
    <x v="3"/>
    <s v="GM GHULAM DASTAGEE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0"/>
    <x v="4"/>
    <s v="MR.ZEESHAN IQBAL"/>
    <x v="8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111"/>
    <x v="19"/>
    <s v="DR.SANTOSH KUMA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2"/>
    <x v="25"/>
    <s v="MR.IMRAN WAZEE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3"/>
    <x v="10"/>
    <s v="ASIF ASHFAQ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4"/>
    <x v="5"/>
    <s v="MR.ZAIN FAROOQ"/>
    <x v="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15"/>
    <x v="11"/>
    <s v="NASIR ABBAS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6"/>
    <x v="7"/>
    <s v="MR.SYED MURTAZA AL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7"/>
    <x v="24"/>
    <s v="MR.MUHAMMAD RIZWAN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8"/>
    <x v="6"/>
    <s v="DR.NASEEM MUNSH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9"/>
    <x v="12"/>
    <s v="MR.PIR MUJEEB JAN SARHAND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0"/>
    <x v="15"/>
    <s v="MR.MUHAMMAD ATIF USMAN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1"/>
    <x v="13"/>
    <s v="MR. JABIR SHAHZAD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2"/>
    <x v="34"/>
    <s v="MR. YASIR RASHEED"/>
    <x v="9"/>
    <n v="0"/>
    <n v="0"/>
    <n v="0"/>
    <n v="0"/>
    <n v="0"/>
    <n v="0"/>
    <n v="0"/>
    <n v="0"/>
    <n v="0"/>
    <n v="0"/>
    <n v="0"/>
    <n v="450"/>
    <n v="0"/>
    <n v="0"/>
    <n v="0"/>
    <n v="0"/>
    <n v="450"/>
  </r>
  <r>
    <n v="123"/>
    <x v="9"/>
    <s v="SHAHBAZ AHMED"/>
    <x v="9"/>
    <n v="0"/>
    <n v="300"/>
    <n v="0"/>
    <n v="0"/>
    <n v="0"/>
    <n v="300"/>
    <n v="0"/>
    <n v="0"/>
    <n v="0"/>
    <n v="0"/>
    <n v="0"/>
    <n v="2500"/>
    <n v="0"/>
    <n v="0"/>
    <n v="0"/>
    <n v="0"/>
    <n v="3100"/>
  </r>
  <r>
    <n v="124"/>
    <x v="42"/>
    <s v="MR.ASHOK KUMAR"/>
    <x v="9"/>
    <n v="0"/>
    <n v="0"/>
    <n v="0"/>
    <n v="0"/>
    <n v="0"/>
    <n v="600"/>
    <n v="1800"/>
    <n v="0"/>
    <n v="0"/>
    <n v="0"/>
    <n v="0"/>
    <n v="0"/>
    <n v="0"/>
    <n v="0"/>
    <n v="0"/>
    <n v="0"/>
    <n v="2400"/>
  </r>
  <r>
    <n v="125"/>
    <x v="25"/>
    <s v="MR.IMRAN WAZEER"/>
    <x v="9"/>
    <n v="0"/>
    <n v="150"/>
    <n v="0"/>
    <n v="0"/>
    <n v="0"/>
    <n v="0"/>
    <n v="1200"/>
    <n v="0"/>
    <n v="0"/>
    <n v="0"/>
    <n v="0"/>
    <n v="0"/>
    <n v="0"/>
    <n v="0"/>
    <n v="0"/>
    <n v="0"/>
    <n v="1350"/>
  </r>
  <r>
    <n v="126"/>
    <x v="17"/>
    <s v="SABA AHSAN"/>
    <x v="9"/>
    <n v="0"/>
    <n v="0"/>
    <n v="0"/>
    <n v="0"/>
    <n v="0"/>
    <n v="0"/>
    <n v="600"/>
    <n v="0"/>
    <n v="0"/>
    <n v="0"/>
    <n v="0"/>
    <n v="0"/>
    <n v="0"/>
    <n v="0"/>
    <n v="0"/>
    <n v="0"/>
    <n v="600"/>
  </r>
  <r>
    <n v="127"/>
    <x v="43"/>
    <s v="Heritage club"/>
    <x v="9"/>
    <n v="0"/>
    <n v="0"/>
    <n v="0"/>
    <n v="0"/>
    <n v="0"/>
    <n v="0"/>
    <n v="2400"/>
    <n v="0"/>
    <n v="0"/>
    <n v="0"/>
    <n v="0"/>
    <n v="0"/>
    <n v="0"/>
    <n v="0"/>
    <n v="0"/>
    <n v="0"/>
    <n v="2400"/>
  </r>
  <r>
    <n v="128"/>
    <x v="18"/>
    <s v="AYSM MIRZA"/>
    <x v="9"/>
    <n v="0"/>
    <n v="0"/>
    <n v="0"/>
    <n v="0"/>
    <n v="0"/>
    <n v="0"/>
    <n v="1500"/>
    <n v="0"/>
    <n v="0"/>
    <n v="0"/>
    <n v="0"/>
    <n v="0"/>
    <n v="0"/>
    <n v="0"/>
    <n v="0"/>
    <n v="0"/>
    <n v="1500"/>
  </r>
  <r>
    <n v="129"/>
    <x v="4"/>
    <s v="MR.ZEESHAN IQBAL"/>
    <x v="9"/>
    <n v="0"/>
    <n v="600"/>
    <n v="0"/>
    <n v="0"/>
    <n v="0"/>
    <n v="0"/>
    <n v="0"/>
    <n v="0"/>
    <n v="0"/>
    <n v="0"/>
    <n v="0"/>
    <n v="0"/>
    <n v="0"/>
    <n v="0"/>
    <n v="0"/>
    <n v="0"/>
    <n v="600"/>
  </r>
  <r>
    <n v="130"/>
    <x v="19"/>
    <s v="DR.SANTOSH KUMAR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1"/>
    <x v="10"/>
    <s v="ASIF ASHFAQ"/>
    <x v="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2"/>
    <x v="5"/>
    <s v="MR.ZAIN FAROOQ"/>
    <x v="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3"/>
    <x v="37"/>
    <s v="MR.HAFEEZ AHMED SIYAL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4"/>
    <x v="24"/>
    <s v="MR.MUHAMMAD RIZWAN"/>
    <x v="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5"/>
    <x v="15"/>
    <s v="MR.MUHAMMAD ATIF USMANI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6"/>
    <x v="14"/>
    <s v="MR.SYED ABDULLAH ALI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7"/>
    <x v="9"/>
    <s v="SHAHBAZ AHMED"/>
    <x v="10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8"/>
    <x v="25"/>
    <s v="MR.IMRAN WAZEER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9"/>
    <x v="10"/>
    <s v="ASIF ASHFAQ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0"/>
    <x v="18"/>
    <s v="AYSM MIRZA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1"/>
    <x v="3"/>
    <s v="GM GHULAM DASTAGEER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2"/>
    <x v="2"/>
    <s v="MR.TARIQUE ZUBAIR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3"/>
    <x v="5"/>
    <s v="MR.ZAIN FAROOQ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4"/>
    <x v="6"/>
    <s v="DR.NASEEM MUNSHI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5"/>
    <x v="12"/>
    <s v="MR.PIR MUJEEB JAN SARHANDI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6"/>
    <x v="32"/>
    <s v="MR. TEHSEEN FAIZ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7"/>
    <x v="15"/>
    <s v="MR.MUHAMMAD ATIF USMANI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8"/>
    <x v="44"/>
    <s v="MR.CAREL HEDRIK BURGER"/>
    <x v="10"/>
    <n v="0"/>
    <n v="0"/>
    <n v="0"/>
    <n v="0"/>
    <n v="0"/>
    <n v="0"/>
    <n v="0"/>
    <n v="0"/>
    <n v="0"/>
    <n v="0"/>
    <n v="0"/>
    <n v="12000"/>
    <n v="0"/>
    <n v="0"/>
    <n v="0"/>
    <n v="0"/>
    <n v="12000"/>
  </r>
  <r>
    <n v="149"/>
    <x v="45"/>
    <s v="MR.GHULAM NABI OTHI"/>
    <x v="10"/>
    <n v="0"/>
    <n v="0"/>
    <n v="0"/>
    <n v="0"/>
    <n v="0"/>
    <n v="0"/>
    <n v="0"/>
    <n v="0"/>
    <n v="0"/>
    <n v="0"/>
    <n v="0"/>
    <n v="0"/>
    <n v="0"/>
    <n v="0"/>
    <n v="5000"/>
    <n v="0"/>
    <n v="5000"/>
  </r>
  <r>
    <n v="150"/>
    <x v="46"/>
    <s v="MR. KASHIF SAEED"/>
    <x v="11"/>
    <n v="0"/>
    <n v="0"/>
    <n v="0"/>
    <n v="0"/>
    <n v="0"/>
    <n v="1300"/>
    <n v="0"/>
    <n v="0"/>
    <n v="0"/>
    <n v="0"/>
    <n v="0"/>
    <n v="0"/>
    <n v="0"/>
    <n v="0"/>
    <n v="0"/>
    <n v="0"/>
    <n v="1300"/>
  </r>
  <r>
    <n v="151"/>
    <x v="16"/>
    <s v="MR.MANOJ KUMAR"/>
    <x v="11"/>
    <n v="0"/>
    <n v="0"/>
    <n v="0"/>
    <n v="0"/>
    <n v="0"/>
    <n v="2600"/>
    <n v="0"/>
    <n v="0"/>
    <n v="0"/>
    <n v="0"/>
    <n v="0"/>
    <n v="0"/>
    <n v="0"/>
    <n v="0"/>
    <n v="0"/>
    <n v="0"/>
    <n v="2600"/>
  </r>
  <r>
    <n v="152"/>
    <x v="22"/>
    <s v="KHURRAM FIRDOUS"/>
    <x v="11"/>
    <n v="0"/>
    <n v="0"/>
    <n v="0"/>
    <n v="0"/>
    <n v="0"/>
    <n v="1900"/>
    <n v="0"/>
    <n v="0"/>
    <n v="0"/>
    <n v="0"/>
    <n v="0"/>
    <n v="0"/>
    <n v="0"/>
    <n v="0"/>
    <n v="0"/>
    <n v="0"/>
    <n v="1900"/>
  </r>
  <r>
    <n v="153"/>
    <x v="7"/>
    <s v="MR.SYED MURTAZA ALI"/>
    <x v="11"/>
    <n v="0"/>
    <n v="0"/>
    <n v="150"/>
    <n v="0"/>
    <n v="0"/>
    <n v="0"/>
    <n v="0"/>
    <n v="0"/>
    <n v="0"/>
    <n v="0"/>
    <n v="0"/>
    <n v="0"/>
    <n v="0"/>
    <n v="0"/>
    <n v="0"/>
    <n v="0"/>
    <n v="150"/>
  </r>
  <r>
    <n v="154"/>
    <x v="0"/>
    <s v="MR. ZAMIR ALI SHAH"/>
    <x v="11"/>
    <n v="2700"/>
    <n v="0"/>
    <n v="0"/>
    <n v="0"/>
    <n v="0"/>
    <n v="0"/>
    <n v="0"/>
    <n v="0"/>
    <n v="0"/>
    <n v="0"/>
    <n v="0"/>
    <n v="0"/>
    <n v="0"/>
    <n v="0"/>
    <n v="0"/>
    <n v="0"/>
    <n v="2700"/>
  </r>
  <r>
    <n v="155"/>
    <x v="4"/>
    <s v="MR.ZEESHAN IQBAL"/>
    <x v="1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56"/>
    <x v="9"/>
    <s v="SHAHBAZ AHMED"/>
    <x v="1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57"/>
    <x v="5"/>
    <s v="MR.ZAIN FAROOQ"/>
    <x v="1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58"/>
    <x v="26"/>
    <e v="#N/A"/>
    <x v="11"/>
    <n v="0"/>
    <n v="150"/>
    <n v="0"/>
    <n v="0"/>
    <n v="0"/>
    <n v="0"/>
    <n v="0"/>
    <n v="0"/>
    <n v="0"/>
    <n v="0"/>
    <n v="0"/>
    <n v="0"/>
    <n v="0"/>
    <n v="0"/>
    <n v="150000"/>
    <n v="0"/>
    <n v="150150"/>
  </r>
  <r>
    <n v="159"/>
    <x v="13"/>
    <s v="MR. JABIR SHAHZAD"/>
    <x v="1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0"/>
    <x v="4"/>
    <s v="MR.ZEESHAN IQBAL"/>
    <x v="1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61"/>
    <x v="37"/>
    <s v="MR.HAFEEZ AHMED SIYAL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2"/>
    <x v="11"/>
    <s v="NASIR ABBAS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3"/>
    <x v="12"/>
    <s v="MR.PIR MUJEEB JAN SARHANDI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4"/>
    <x v="47"/>
    <s v="MR. FAYAZ ALI SOOMRO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5"/>
    <x v="10"/>
    <s v="ASIF ASHFAQ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6"/>
    <x v="21"/>
    <s v="SYED JIBRAN MUSHTAQ"/>
    <x v="12"/>
    <n v="0"/>
    <n v="0"/>
    <n v="0"/>
    <n v="0"/>
    <n v="0"/>
    <n v="0"/>
    <n v="0"/>
    <n v="0"/>
    <n v="0"/>
    <n v="0"/>
    <n v="0"/>
    <n v="11500"/>
    <n v="0"/>
    <n v="0"/>
    <n v="0"/>
    <n v="0"/>
    <n v="11500"/>
  </r>
  <r>
    <n v="167"/>
    <x v="33"/>
    <s v="MR. HASAN KARIM"/>
    <x v="12"/>
    <n v="0"/>
    <n v="0"/>
    <n v="0"/>
    <n v="0"/>
    <n v="0"/>
    <n v="0"/>
    <n v="300"/>
    <n v="0"/>
    <n v="0"/>
    <n v="0"/>
    <n v="0"/>
    <n v="0"/>
    <n v="0"/>
    <n v="0"/>
    <n v="0"/>
    <n v="0"/>
    <n v="300"/>
  </r>
  <r>
    <n v="168"/>
    <x v="48"/>
    <s v="MR.QAMARUZZAMAN"/>
    <x v="12"/>
    <n v="600"/>
    <n v="0"/>
    <n v="0"/>
    <n v="0"/>
    <n v="0"/>
    <n v="0"/>
    <n v="0"/>
    <n v="0"/>
    <n v="0"/>
    <n v="0"/>
    <n v="0"/>
    <n v="0"/>
    <n v="0"/>
    <n v="0"/>
    <n v="0"/>
    <n v="0"/>
    <n v="600"/>
  </r>
  <r>
    <n v="169"/>
    <x v="30"/>
    <s v="ZAIB UR REHMAN"/>
    <x v="12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170"/>
    <x v="34"/>
    <s v="MR. YASIR RASHEED"/>
    <x v="12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171"/>
    <x v="20"/>
    <s v="MR.HANIF AHSAN ZUBEDI"/>
    <x v="12"/>
    <n v="0"/>
    <n v="0"/>
    <n v="0"/>
    <n v="0"/>
    <n v="0"/>
    <n v="1100"/>
    <n v="0"/>
    <n v="0"/>
    <n v="0"/>
    <n v="0"/>
    <n v="0"/>
    <n v="0"/>
    <n v="0"/>
    <n v="0"/>
    <n v="0"/>
    <n v="0"/>
    <n v="1100"/>
  </r>
  <r>
    <n v="172"/>
    <x v="25"/>
    <s v="MR.IMRAN WAZEER"/>
    <x v="12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173"/>
    <x v="48"/>
    <s v="MR.QAMARUZZAMAN"/>
    <x v="12"/>
    <n v="1200"/>
    <n v="0"/>
    <n v="0"/>
    <n v="0"/>
    <n v="0"/>
    <n v="500"/>
    <n v="0"/>
    <n v="0"/>
    <n v="0"/>
    <n v="0"/>
    <n v="0"/>
    <n v="0"/>
    <n v="0"/>
    <n v="0"/>
    <n v="0"/>
    <n v="0"/>
    <n v="1700"/>
  </r>
  <r>
    <n v="174"/>
    <x v="49"/>
    <s v="MR. AYAZ JAMRO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5"/>
    <x v="25"/>
    <s v="MR.IMRAN WAZEER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6"/>
    <x v="50"/>
    <s v="MRS. HASSAN RAF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7"/>
    <x v="34"/>
    <s v="MR. YASIR RASHEED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8"/>
    <x v="21"/>
    <s v="SYED JIBRAN MUSHTAQ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9"/>
    <x v="51"/>
    <s v="MR. GHULAM MUSTAFA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0"/>
    <x v="42"/>
    <s v="MR.ASHOK KUMAR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1"/>
    <x v="52"/>
    <s v="MR. RAJESH KUMAR CHAWLA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2"/>
    <x v="28"/>
    <s v="MR. ZAHIR REHMAN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3"/>
    <x v="45"/>
    <s v="MR.GHULAM NABI OTH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4"/>
    <x v="23"/>
    <s v="AAMIR RASOOL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5"/>
    <x v="12"/>
    <s v="MR.PIR MUJEEB JAN SARHAND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6"/>
    <x v="36"/>
    <s v="DR.NAZEER HUSSAIN KALHORO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7"/>
    <x v="53"/>
    <s v="MR.DILEEP KUMAR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8"/>
    <x v="54"/>
    <s v="MR.NIZAM UDDIN NIZAMAN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9"/>
    <x v="26"/>
    <s v="CASH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0"/>
    <x v="26"/>
    <s v="CARD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1"/>
    <x v="5"/>
    <s v="MR.ZAIN FAROOQ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192"/>
    <x v="37"/>
    <s v="MR.HAFEEZ AHMED SIYAL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193"/>
    <x v="55"/>
    <s v="CAPT.HAMID UZ ZAFAR"/>
    <x v="12"/>
    <n v="0"/>
    <n v="0"/>
    <n v="0"/>
    <n v="0"/>
    <n v="0"/>
    <n v="0"/>
    <n v="0"/>
    <n v="0"/>
    <n v="0"/>
    <n v="0"/>
    <n v="0"/>
    <n v="0"/>
    <n v="0"/>
    <n v="0"/>
    <n v="0"/>
    <n v="9500"/>
    <n v="9500"/>
  </r>
  <r>
    <n v="194"/>
    <x v="6"/>
    <s v="DR.NASEEM MUNSHI"/>
    <x v="12"/>
    <n v="0"/>
    <n v="0"/>
    <n v="0"/>
    <n v="0"/>
    <n v="0"/>
    <n v="0"/>
    <n v="0"/>
    <n v="0"/>
    <n v="0"/>
    <n v="0"/>
    <n v="0"/>
    <n v="0"/>
    <n v="0"/>
    <n v="0"/>
    <n v="0"/>
    <n v="2000"/>
    <n v="2000"/>
  </r>
  <r>
    <n v="195"/>
    <x v="12"/>
    <s v="MR.PIR MUJEEB JAN SARHANDI"/>
    <x v="12"/>
    <n v="0"/>
    <n v="0"/>
    <n v="0"/>
    <n v="0"/>
    <n v="0"/>
    <n v="0"/>
    <n v="0"/>
    <n v="0"/>
    <n v="0"/>
    <n v="0"/>
    <n v="0"/>
    <n v="0"/>
    <n v="0"/>
    <n v="0"/>
    <n v="0"/>
    <n v="2000"/>
    <n v="2000"/>
  </r>
  <r>
    <n v="196"/>
    <x v="56"/>
    <s v="DGM FATIMA ZAHID"/>
    <x v="12"/>
    <n v="0"/>
    <n v="0"/>
    <n v="0"/>
    <n v="0"/>
    <n v="0"/>
    <n v="0"/>
    <n v="0"/>
    <n v="0"/>
    <n v="0"/>
    <n v="0"/>
    <n v="0"/>
    <n v="0"/>
    <n v="0"/>
    <n v="0"/>
    <n v="0"/>
    <n v="19500"/>
    <n v="19500"/>
  </r>
  <r>
    <n v="197"/>
    <x v="57"/>
    <s v="MUHAMMAD EBRAHIM TIWANA"/>
    <x v="12"/>
    <n v="0"/>
    <n v="0"/>
    <n v="0"/>
    <n v="0"/>
    <n v="0"/>
    <n v="0"/>
    <n v="0"/>
    <n v="0"/>
    <n v="0"/>
    <n v="0"/>
    <n v="0"/>
    <n v="0"/>
    <n v="0"/>
    <n v="0"/>
    <n v="0"/>
    <n v="9000"/>
    <n v="9000"/>
  </r>
  <r>
    <n v="198"/>
    <x v="49"/>
    <s v="MR. AYAZ JAMRO"/>
    <x v="12"/>
    <n v="0"/>
    <n v="0"/>
    <n v="0"/>
    <n v="0"/>
    <n v="0"/>
    <n v="0"/>
    <n v="0"/>
    <n v="0"/>
    <n v="0"/>
    <n v="0"/>
    <n v="0"/>
    <n v="0"/>
    <n v="0"/>
    <n v="0"/>
    <n v="0"/>
    <n v="7000"/>
    <n v="7000"/>
  </r>
  <r>
    <n v="199"/>
    <x v="4"/>
    <s v="MR.ZEESHAN IQBAL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200"/>
    <x v="58"/>
    <s v="MR.MUHAMMAD HANIF"/>
    <x v="12"/>
    <n v="0"/>
    <n v="0"/>
    <n v="0"/>
    <n v="0"/>
    <n v="0"/>
    <n v="0"/>
    <n v="0"/>
    <n v="0"/>
    <n v="0"/>
    <n v="0"/>
    <n v="0"/>
    <n v="0"/>
    <n v="0"/>
    <n v="0"/>
    <n v="0"/>
    <n v="5000"/>
    <n v="5000"/>
  </r>
  <r>
    <n v="201"/>
    <x v="8"/>
    <s v="DGM AZFAR ALI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202"/>
    <x v="36"/>
    <s v="DR.NAZEER HUSSAIN KALHORO"/>
    <x v="12"/>
    <n v="0"/>
    <n v="0"/>
    <n v="0"/>
    <n v="0"/>
    <n v="0"/>
    <n v="0"/>
    <n v="0"/>
    <n v="0"/>
    <n v="0"/>
    <n v="0"/>
    <n v="0"/>
    <n v="0"/>
    <n v="0"/>
    <n v="0"/>
    <n v="0"/>
    <n v="4500"/>
    <n v="4500"/>
  </r>
  <r>
    <n v="203"/>
    <x v="20"/>
    <s v="MR.HANIF AHSAN ZUBEDI"/>
    <x v="12"/>
    <n v="0"/>
    <n v="0"/>
    <n v="0"/>
    <n v="0"/>
    <n v="0"/>
    <n v="0"/>
    <n v="0"/>
    <n v="0"/>
    <n v="0"/>
    <n v="0"/>
    <n v="0"/>
    <n v="0"/>
    <n v="0"/>
    <n v="0"/>
    <n v="0"/>
    <n v="4500"/>
    <n v="4500"/>
  </r>
  <r>
    <n v="204"/>
    <x v="1"/>
    <s v="MR.MUIED AHMED DURRANI"/>
    <x v="12"/>
    <n v="0"/>
    <n v="0"/>
    <n v="0"/>
    <n v="0"/>
    <n v="0"/>
    <n v="0"/>
    <n v="0"/>
    <n v="0"/>
    <n v="0"/>
    <n v="0"/>
    <n v="0"/>
    <n v="0"/>
    <n v="0"/>
    <n v="0"/>
    <n v="0"/>
    <n v="7000"/>
    <n v="7000"/>
  </r>
  <r>
    <n v="205"/>
    <x v="25"/>
    <s v="MR.IMRAN WAZEER"/>
    <x v="12"/>
    <n v="0"/>
    <n v="0"/>
    <n v="0"/>
    <n v="0"/>
    <n v="0"/>
    <n v="0"/>
    <n v="0"/>
    <n v="0"/>
    <n v="0"/>
    <n v="0"/>
    <n v="0"/>
    <n v="0"/>
    <n v="0"/>
    <n v="0"/>
    <n v="0"/>
    <n v="2000"/>
    <n v="2000"/>
  </r>
  <r>
    <n v="206"/>
    <x v="59"/>
    <s v="MRS RIFFAT ZULFIQAR"/>
    <x v="12"/>
    <n v="0"/>
    <n v="0"/>
    <n v="0"/>
    <n v="0"/>
    <n v="0"/>
    <n v="0"/>
    <n v="0"/>
    <n v="0"/>
    <n v="0"/>
    <n v="0"/>
    <n v="0"/>
    <n v="0"/>
    <n v="0"/>
    <n v="0"/>
    <n v="0"/>
    <n v="40000"/>
    <n v="40000"/>
  </r>
  <r>
    <n v="207"/>
    <x v="51"/>
    <s v="MR. GHULAM MUSTAFA"/>
    <x v="12"/>
    <n v="0"/>
    <n v="0"/>
    <n v="0"/>
    <n v="0"/>
    <n v="0"/>
    <n v="0"/>
    <n v="0"/>
    <n v="0"/>
    <n v="0"/>
    <n v="0"/>
    <n v="0"/>
    <n v="0"/>
    <n v="0"/>
    <n v="0"/>
    <n v="0"/>
    <n v="15000"/>
    <n v="15000"/>
  </r>
  <r>
    <n v="208"/>
    <x v="40"/>
    <s v="RIAZ FAZAL"/>
    <x v="13"/>
    <n v="0"/>
    <n v="0"/>
    <n v="0"/>
    <n v="0"/>
    <n v="0"/>
    <n v="0"/>
    <n v="0"/>
    <n v="0"/>
    <n v="0"/>
    <n v="0"/>
    <n v="5500"/>
    <n v="0"/>
    <n v="0"/>
    <n v="0"/>
    <n v="0"/>
    <n v="0"/>
    <n v="5500"/>
  </r>
  <r>
    <n v="209"/>
    <x v="23"/>
    <s v="AAMIR RASOOL"/>
    <x v="13"/>
    <n v="0"/>
    <n v="0"/>
    <n v="0"/>
    <n v="600"/>
    <n v="0"/>
    <n v="600"/>
    <n v="0"/>
    <n v="0"/>
    <n v="0"/>
    <n v="0"/>
    <n v="0"/>
    <n v="0"/>
    <n v="0"/>
    <n v="0"/>
    <n v="0"/>
    <n v="0"/>
    <n v="1200"/>
  </r>
  <r>
    <n v="210"/>
    <x v="26"/>
    <s v="cash"/>
    <x v="13"/>
    <n v="0"/>
    <n v="0"/>
    <n v="0"/>
    <n v="0"/>
    <n v="0"/>
    <n v="0"/>
    <n v="0"/>
    <n v="0"/>
    <n v="0"/>
    <n v="0"/>
    <n v="0"/>
    <n v="20000"/>
    <n v="0"/>
    <n v="0"/>
    <n v="0"/>
    <n v="0"/>
    <n v="20000"/>
  </r>
  <r>
    <n v="211"/>
    <x v="26"/>
    <s v="cash"/>
    <x v="13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212"/>
    <x v="5"/>
    <s v="MR.ZAIN FAROOQ"/>
    <x v="1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3"/>
    <x v="37"/>
    <s v="MR.HAFEEZ AHMED SIYAL"/>
    <x v="13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214"/>
    <x v="55"/>
    <s v="CAPT.HAMID UZ ZAFAR"/>
    <x v="1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15"/>
    <x v="6"/>
    <s v="DR.NASEEM MUNSHI"/>
    <x v="1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6"/>
    <x v="12"/>
    <s v="MR.PIR MUJEEB JAN SARHANDI"/>
    <x v="1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7"/>
    <x v="56"/>
    <s v="DGM FATIMA ZAHID"/>
    <x v="13"/>
    <n v="2400"/>
    <n v="0"/>
    <n v="0"/>
    <n v="0"/>
    <n v="0"/>
    <n v="300"/>
    <n v="0"/>
    <n v="0"/>
    <n v="0"/>
    <n v="0"/>
    <n v="0"/>
    <n v="0"/>
    <n v="0"/>
    <n v="0"/>
    <n v="0"/>
    <n v="0"/>
    <n v="2700"/>
  </r>
  <r>
    <n v="218"/>
    <x v="57"/>
    <s v="MUHAMMAD EBRAHIM TIWANA"/>
    <x v="13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219"/>
    <x v="49"/>
    <s v="MR. AYAZ JAMRO"/>
    <x v="13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220"/>
    <x v="4"/>
    <s v="MR.ZEESHAN IQBAL"/>
    <x v="13"/>
    <n v="0"/>
    <n v="150"/>
    <n v="0"/>
    <n v="0"/>
    <n v="0"/>
    <n v="2000"/>
    <n v="0"/>
    <n v="0"/>
    <n v="0"/>
    <n v="0"/>
    <n v="0"/>
    <n v="0"/>
    <n v="0"/>
    <n v="0"/>
    <n v="0"/>
    <n v="0"/>
    <n v="2150"/>
  </r>
  <r>
    <n v="221"/>
    <x v="58"/>
    <s v="MR.MUHAMMAD HANIF"/>
    <x v="13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222"/>
    <x v="8"/>
    <s v="DGM AZFAR ALI"/>
    <x v="13"/>
    <n v="1200"/>
    <n v="0"/>
    <n v="0"/>
    <n v="0"/>
    <n v="0"/>
    <n v="2100"/>
    <n v="0"/>
    <n v="0"/>
    <n v="0"/>
    <n v="0"/>
    <n v="0"/>
    <n v="0"/>
    <n v="0"/>
    <n v="0"/>
    <n v="0"/>
    <n v="0"/>
    <n v="3300"/>
  </r>
  <r>
    <n v="223"/>
    <x v="36"/>
    <s v="DR.NAZEER HUSSAIN KALHORO"/>
    <x v="13"/>
    <n v="0"/>
    <n v="0"/>
    <n v="0"/>
    <n v="0"/>
    <n v="0"/>
    <n v="1400"/>
    <n v="0"/>
    <n v="0"/>
    <n v="0"/>
    <n v="0"/>
    <n v="0"/>
    <n v="0"/>
    <n v="0"/>
    <n v="0"/>
    <n v="0"/>
    <n v="0"/>
    <n v="1400"/>
  </r>
  <r>
    <n v="224"/>
    <x v="20"/>
    <s v="MR.HANIF AHSAN ZUBEDI"/>
    <x v="13"/>
    <n v="300"/>
    <n v="0"/>
    <n v="0"/>
    <n v="300"/>
    <n v="0"/>
    <n v="2100"/>
    <n v="0"/>
    <n v="0"/>
    <n v="0"/>
    <n v="0"/>
    <n v="0"/>
    <n v="0"/>
    <n v="0"/>
    <n v="0"/>
    <n v="0"/>
    <n v="0"/>
    <n v="2700"/>
  </r>
  <r>
    <n v="225"/>
    <x v="1"/>
    <s v="MR.MUIED AHMED DURRANI"/>
    <x v="13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26"/>
    <x v="25"/>
    <s v="MR.IMRAN WAZEER"/>
    <x v="13"/>
    <n v="2400"/>
    <n v="0"/>
    <n v="0"/>
    <n v="0"/>
    <n v="0"/>
    <n v="0"/>
    <n v="0"/>
    <n v="0"/>
    <n v="0"/>
    <n v="0"/>
    <n v="0"/>
    <n v="0"/>
    <n v="0"/>
    <n v="0"/>
    <n v="0"/>
    <n v="0"/>
    <n v="2400"/>
  </r>
  <r>
    <n v="227"/>
    <x v="59"/>
    <s v="MRS RIFFAT ZULFIQAR"/>
    <x v="13"/>
    <n v="4200"/>
    <n v="0"/>
    <n v="0"/>
    <n v="0"/>
    <n v="0"/>
    <n v="0"/>
    <n v="0"/>
    <n v="0"/>
    <n v="0"/>
    <n v="0"/>
    <n v="0"/>
    <n v="0"/>
    <n v="0"/>
    <n v="0"/>
    <n v="0"/>
    <n v="0"/>
    <n v="4200"/>
  </r>
  <r>
    <n v="228"/>
    <x v="51"/>
    <s v="MR. GHULAM MUSTAFA"/>
    <x v="13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229"/>
    <x v="32"/>
    <s v="MR. TEHSEEN FAIZ"/>
    <x v="14"/>
    <n v="0"/>
    <n v="0"/>
    <n v="0"/>
    <n v="0"/>
    <n v="0"/>
    <n v="0"/>
    <n v="900"/>
    <n v="0"/>
    <n v="0"/>
    <n v="0"/>
    <n v="0"/>
    <n v="0"/>
    <n v="0"/>
    <n v="0"/>
    <n v="0"/>
    <n v="0"/>
    <n v="900"/>
  </r>
  <r>
    <n v="230"/>
    <x v="19"/>
    <s v="DR.SANTOSH KUMAR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1"/>
    <x v="3"/>
    <s v="GM GHULAM DASTAGEER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2"/>
    <x v="9"/>
    <s v="SHAHBAZ AHMED"/>
    <x v="1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33"/>
    <x v="25"/>
    <s v="MR.IMRAN WAZEER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4"/>
    <x v="18"/>
    <s v="AYSM MIRZA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5"/>
    <x v="12"/>
    <s v="MR.PIR MUJEEB JAN SARHANDI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6"/>
    <x v="6"/>
    <s v="DR.NASEEM MUNSHI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7"/>
    <x v="26"/>
    <s v="CARD"/>
    <x v="15"/>
    <n v="0"/>
    <n v="0"/>
    <n v="0"/>
    <n v="0"/>
    <n v="0"/>
    <n v="0"/>
    <n v="0"/>
    <n v="0"/>
    <n v="0"/>
    <n v="0"/>
    <n v="0"/>
    <n v="2000"/>
    <n v="0"/>
    <n v="0"/>
    <n v="0"/>
    <n v="0"/>
    <n v="2000"/>
  </r>
  <r>
    <n v="238"/>
    <x v="4"/>
    <s v="MR.ZEESHAN IQBAL"/>
    <x v="15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239"/>
    <x v="9"/>
    <s v="SHAHBAZ AHMED"/>
    <x v="15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40"/>
    <x v="25"/>
    <s v="MR.IMRAN WAZEER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1"/>
    <x v="47"/>
    <s v="MR. FAYAZ ALI SOOMRO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2"/>
    <x v="5"/>
    <s v="MR.ZAIN FAROOQ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3"/>
    <x v="7"/>
    <s v="MR.SYED MURTAZA ALI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4"/>
    <x v="12"/>
    <s v="MR.PIR MUJEEB JAN SARHANDI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5"/>
    <x v="15"/>
    <s v="MR.MUHAMMAD ATIF USMANI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6"/>
    <x v="37"/>
    <s v="MR.HAFEEZ AHMED SIYAL"/>
    <x v="15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247"/>
    <x v="60"/>
    <s v="MR.ZULQARNAIN"/>
    <x v="15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248"/>
    <x v="61"/>
    <s v="MR.BILAL AHMED"/>
    <x v="15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249"/>
    <x v="43"/>
    <s v="Heritage club"/>
    <x v="16"/>
    <n v="0"/>
    <n v="0"/>
    <n v="0"/>
    <n v="0"/>
    <n v="0"/>
    <n v="0"/>
    <n v="0"/>
    <n v="0"/>
    <n v="0"/>
    <n v="0"/>
    <n v="6000"/>
    <n v="0"/>
    <n v="0"/>
    <n v="0"/>
    <n v="0"/>
    <n v="0"/>
    <n v="6000"/>
  </r>
  <r>
    <n v="250"/>
    <x v="26"/>
    <s v="CARD"/>
    <x v="16"/>
    <n v="0"/>
    <n v="0"/>
    <n v="0"/>
    <n v="0"/>
    <n v="0"/>
    <n v="0"/>
    <n v="2600"/>
    <n v="0"/>
    <n v="0"/>
    <n v="0"/>
    <n v="0"/>
    <n v="0"/>
    <n v="0"/>
    <n v="0"/>
    <n v="0"/>
    <n v="0"/>
    <n v="2600"/>
  </r>
  <r>
    <n v="251"/>
    <x v="62"/>
    <s v="MR.SHAN ELAHI SEHGAL"/>
    <x v="16"/>
    <n v="0"/>
    <n v="0"/>
    <n v="0"/>
    <n v="0"/>
    <n v="0"/>
    <n v="0"/>
    <n v="900"/>
    <n v="0"/>
    <n v="0"/>
    <n v="0"/>
    <n v="0"/>
    <n v="0"/>
    <n v="0"/>
    <n v="0"/>
    <n v="0"/>
    <n v="0"/>
    <n v="900"/>
  </r>
  <r>
    <n v="252"/>
    <x v="25"/>
    <s v="MR.IMRAN WAZEER"/>
    <x v="16"/>
    <n v="0"/>
    <n v="0"/>
    <n v="0"/>
    <n v="0"/>
    <n v="0"/>
    <n v="0"/>
    <n v="600"/>
    <n v="0"/>
    <n v="0"/>
    <n v="0"/>
    <n v="0"/>
    <n v="0"/>
    <n v="0"/>
    <n v="0"/>
    <n v="0"/>
    <n v="0"/>
    <n v="600"/>
  </r>
  <r>
    <n v="253"/>
    <x v="5"/>
    <s v="MR.ZAIN FAROOQ"/>
    <x v="16"/>
    <n v="0"/>
    <n v="300"/>
    <n v="0"/>
    <n v="0"/>
    <n v="0"/>
    <n v="0"/>
    <n v="600"/>
    <n v="0"/>
    <n v="0"/>
    <n v="0"/>
    <n v="0"/>
    <n v="0"/>
    <n v="0"/>
    <n v="0"/>
    <n v="0"/>
    <n v="0"/>
    <n v="900"/>
  </r>
  <r>
    <n v="254"/>
    <x v="44"/>
    <s v="MR.CAREL HEDRIK BURGER"/>
    <x v="16"/>
    <n v="0"/>
    <n v="0"/>
    <n v="0"/>
    <n v="0"/>
    <n v="0"/>
    <n v="0"/>
    <n v="0"/>
    <n v="0"/>
    <n v="0"/>
    <n v="0"/>
    <n v="0"/>
    <n v="6000"/>
    <n v="0"/>
    <n v="0"/>
    <n v="0"/>
    <n v="0"/>
    <n v="6000"/>
  </r>
  <r>
    <n v="255"/>
    <x v="10"/>
    <s v="ASIF ASHFAQ"/>
    <x v="1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56"/>
    <x v="19"/>
    <s v="DR.SANTOSH KUMAR"/>
    <x v="1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57"/>
    <x v="4"/>
    <s v="MR.ZEESHAN IQBAL"/>
    <x v="16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258"/>
    <x v="9"/>
    <s v="SHAHBAZ AHMED"/>
    <x v="16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59"/>
    <x v="24"/>
    <s v="MR.MUHAMMAD RIZWAN"/>
    <x v="16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60"/>
    <x v="59"/>
    <s v="MRS RIFFAT ZULFIQAR"/>
    <x v="1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61"/>
    <x v="63"/>
    <s v="MR. AIJAZ ALI BALOCH"/>
    <x v="16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262"/>
    <x v="51"/>
    <s v="MR. GHULAM MUSTAFA"/>
    <x v="16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263"/>
    <x v="43"/>
    <s v="Heritage club"/>
    <x v="17"/>
    <n v="0"/>
    <n v="0"/>
    <n v="0"/>
    <n v="0"/>
    <n v="0"/>
    <n v="0"/>
    <n v="0"/>
    <n v="0"/>
    <n v="0"/>
    <n v="0"/>
    <n v="6000"/>
    <n v="0"/>
    <n v="0"/>
    <n v="0"/>
    <n v="0"/>
    <n v="0"/>
    <n v="6000"/>
  </r>
  <r>
    <n v="264"/>
    <x v="64"/>
    <s v="MR. ANEEL ZAHOOR"/>
    <x v="17"/>
    <n v="0"/>
    <n v="0"/>
    <n v="0"/>
    <n v="0"/>
    <n v="0"/>
    <n v="1600"/>
    <n v="0"/>
    <n v="0"/>
    <n v="0"/>
    <n v="0"/>
    <n v="0"/>
    <n v="30450"/>
    <n v="0"/>
    <n v="0"/>
    <n v="0"/>
    <n v="0"/>
    <n v="32050"/>
  </r>
  <r>
    <n v="265"/>
    <x v="0"/>
    <s v="MR. ZAMIR ALI SHAH"/>
    <x v="17"/>
    <n v="0"/>
    <n v="0"/>
    <n v="0"/>
    <n v="0"/>
    <n v="0"/>
    <n v="2500"/>
    <n v="0"/>
    <n v="0"/>
    <n v="0"/>
    <n v="0"/>
    <n v="0"/>
    <n v="8200"/>
    <n v="0"/>
    <n v="0"/>
    <n v="0"/>
    <n v="0"/>
    <n v="10700"/>
  </r>
  <r>
    <n v="266"/>
    <x v="44"/>
    <s v="MR.CAREL HEDRIK BURGER"/>
    <x v="18"/>
    <n v="0"/>
    <n v="0"/>
    <n v="0"/>
    <n v="0"/>
    <n v="0"/>
    <n v="0"/>
    <n v="0"/>
    <n v="0"/>
    <n v="0"/>
    <n v="0"/>
    <n v="0"/>
    <n v="10800"/>
    <n v="0"/>
    <n v="0"/>
    <n v="0"/>
    <n v="0"/>
    <n v="10800"/>
  </r>
  <r>
    <n v="267"/>
    <x v="17"/>
    <s v="SABA AHSAN"/>
    <x v="18"/>
    <n v="0"/>
    <n v="0"/>
    <n v="0"/>
    <n v="0"/>
    <n v="0"/>
    <n v="0"/>
    <n v="0"/>
    <n v="0"/>
    <n v="0"/>
    <n v="0"/>
    <n v="0"/>
    <n v="950"/>
    <n v="0"/>
    <n v="0"/>
    <n v="0"/>
    <n v="0"/>
    <n v="950"/>
  </r>
  <r>
    <n v="268"/>
    <x v="65"/>
    <s v="MR.MOHAMMAD ASHRAF SHAIKH"/>
    <x v="18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69"/>
    <x v="66"/>
    <s v="ZULFIQAR AHMED MEMON"/>
    <x v="18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70"/>
    <x v="4"/>
    <s v="MR.ZEESHAN IQBAL"/>
    <x v="1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71"/>
    <x v="6"/>
    <s v="DR.NASEEM MUNSHI"/>
    <x v="1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72"/>
    <x v="9"/>
    <s v="SHAHBAZ AHMED"/>
    <x v="1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73"/>
    <x v="15"/>
    <s v="MR.MUHAMMAD ATIF USMANI"/>
    <x v="1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74"/>
    <x v="55"/>
    <s v="CAPT.HAMID UZ ZAFAR"/>
    <x v="1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75"/>
    <x v="37"/>
    <s v="MR.HAFEEZ AHMED SIYAL"/>
    <x v="18"/>
    <n v="0"/>
    <n v="0"/>
    <n v="0"/>
    <n v="0"/>
    <n v="0"/>
    <n v="800"/>
    <n v="0"/>
    <n v="0"/>
    <n v="0"/>
    <n v="0"/>
    <n v="0"/>
    <n v="0"/>
    <n v="0"/>
    <n v="0"/>
    <n v="0"/>
    <n v="0"/>
    <n v="800"/>
  </r>
  <r>
    <n v="276"/>
    <x v="49"/>
    <s v="MR. AYAZ JAMRO"/>
    <x v="18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277"/>
    <x v="32"/>
    <s v="MR. TEHSEEN FAIZ"/>
    <x v="18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278"/>
    <x v="26"/>
    <s v="CARD"/>
    <x v="19"/>
    <n v="0"/>
    <n v="0"/>
    <n v="0"/>
    <n v="0"/>
    <n v="0"/>
    <n v="0"/>
    <n v="0"/>
    <n v="0"/>
    <n v="0"/>
    <n v="0"/>
    <n v="0"/>
    <n v="4000"/>
    <n v="0"/>
    <n v="0"/>
    <n v="0"/>
    <n v="0"/>
    <n v="4000"/>
  </r>
  <r>
    <n v="279"/>
    <x v="44"/>
    <s v="MR.CAREL HEDRIK BURGER"/>
    <x v="19"/>
    <n v="0"/>
    <n v="0"/>
    <n v="0"/>
    <n v="0"/>
    <n v="0"/>
    <n v="0"/>
    <n v="0"/>
    <n v="0"/>
    <n v="0"/>
    <n v="0"/>
    <n v="0"/>
    <n v="8500"/>
    <n v="0"/>
    <n v="0"/>
    <n v="0"/>
    <n v="0"/>
    <n v="8500"/>
  </r>
  <r>
    <n v="280"/>
    <x v="64"/>
    <s v="MR. ANEEL ZAHOOR"/>
    <x v="19"/>
    <n v="0"/>
    <n v="0"/>
    <n v="0"/>
    <n v="0"/>
    <n v="0"/>
    <n v="0"/>
    <n v="0"/>
    <n v="0"/>
    <n v="0"/>
    <n v="0"/>
    <n v="0"/>
    <n v="27500"/>
    <n v="0"/>
    <n v="0"/>
    <n v="0"/>
    <n v="0"/>
    <n v="27500"/>
  </r>
  <r>
    <n v="281"/>
    <x v="67"/>
    <s v="MR.ATHER TARIQ"/>
    <x v="19"/>
    <n v="0"/>
    <n v="0"/>
    <n v="0"/>
    <n v="0"/>
    <n v="0"/>
    <n v="0"/>
    <n v="0"/>
    <n v="0"/>
    <n v="0"/>
    <n v="0"/>
    <n v="0"/>
    <n v="300"/>
    <n v="0"/>
    <n v="0"/>
    <n v="0"/>
    <n v="0"/>
    <n v="300"/>
  </r>
  <r>
    <n v="282"/>
    <x v="9"/>
    <s v="SHAHBAZ AHMED"/>
    <x v="1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83"/>
    <x v="37"/>
    <s v="MR.HAFEEZ AHMED SIYAL"/>
    <x v="19"/>
    <n v="0"/>
    <n v="150"/>
    <n v="0"/>
    <n v="0"/>
    <n v="0"/>
    <n v="800"/>
    <n v="0"/>
    <n v="0"/>
    <n v="0"/>
    <n v="0"/>
    <n v="0"/>
    <n v="0"/>
    <n v="0"/>
    <n v="0"/>
    <n v="0"/>
    <n v="0"/>
    <n v="950"/>
  </r>
  <r>
    <n v="284"/>
    <x v="6"/>
    <s v="DR.NASEEM MUNSHI"/>
    <x v="1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85"/>
    <x v="4"/>
    <s v="MR.ZEESHAN IQBAL"/>
    <x v="1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86"/>
    <x v="56"/>
    <s v="DGM FATIMA ZAHID"/>
    <x v="19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87"/>
    <x v="21"/>
    <s v="SYED JIBRAN MUSHTAQ"/>
    <x v="19"/>
    <n v="0"/>
    <n v="0"/>
    <n v="0"/>
    <n v="0"/>
    <n v="0"/>
    <n v="800"/>
    <n v="0"/>
    <n v="0"/>
    <n v="0"/>
    <n v="0"/>
    <n v="0"/>
    <n v="0"/>
    <n v="0"/>
    <n v="0"/>
    <n v="0"/>
    <n v="0"/>
    <n v="800"/>
  </r>
  <r>
    <n v="288"/>
    <x v="63"/>
    <s v="MR. AIJAZ ALI BALOCH"/>
    <x v="19"/>
    <n v="0"/>
    <n v="0"/>
    <n v="0"/>
    <n v="0"/>
    <n v="0"/>
    <n v="4400"/>
    <n v="0"/>
    <n v="0"/>
    <n v="0"/>
    <n v="0"/>
    <n v="0"/>
    <n v="0"/>
    <n v="0"/>
    <n v="0"/>
    <n v="0"/>
    <n v="0"/>
    <n v="4400"/>
  </r>
  <r>
    <n v="289"/>
    <x v="68"/>
    <s v="MR.WAQAR UDDIN"/>
    <x v="19"/>
    <n v="2700"/>
    <n v="0"/>
    <n v="0"/>
    <n v="0"/>
    <n v="0"/>
    <n v="0"/>
    <n v="0"/>
    <n v="0"/>
    <n v="0"/>
    <n v="0"/>
    <n v="0"/>
    <n v="0"/>
    <n v="0"/>
    <n v="0"/>
    <n v="0"/>
    <n v="0"/>
    <n v="2700"/>
  </r>
  <r>
    <n v="290"/>
    <x v="1"/>
    <s v="MR.MUIED AHMED DURRANI"/>
    <x v="19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291"/>
    <x v="62"/>
    <s v="MR.SHAN ELAHI SEHGAL"/>
    <x v="19"/>
    <n v="1200"/>
    <n v="0"/>
    <n v="0"/>
    <n v="0"/>
    <n v="0"/>
    <n v="0"/>
    <n v="0"/>
    <n v="0"/>
    <n v="0"/>
    <n v="0"/>
    <n v="0"/>
    <n v="0"/>
    <n v="0"/>
    <n v="0"/>
    <n v="0"/>
    <n v="0"/>
    <n v="1200"/>
  </r>
  <r>
    <n v="292"/>
    <x v="16"/>
    <s v="MR.MANOJ KUMAR"/>
    <x v="19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93"/>
    <x v="26"/>
    <s v="CARD"/>
    <x v="20"/>
    <n v="0"/>
    <n v="0"/>
    <n v="0"/>
    <n v="0"/>
    <n v="0"/>
    <n v="0"/>
    <n v="0"/>
    <n v="0"/>
    <n v="0"/>
    <n v="0"/>
    <n v="0"/>
    <n v="7500"/>
    <n v="0"/>
    <n v="0"/>
    <n v="0"/>
    <n v="0"/>
    <n v="7500"/>
  </r>
  <r>
    <n v="294"/>
    <x v="10"/>
    <s v="ASIF ASHFAQ"/>
    <x v="20"/>
    <n v="0"/>
    <n v="0"/>
    <n v="0"/>
    <n v="0"/>
    <n v="0"/>
    <n v="3300"/>
    <n v="0"/>
    <n v="0"/>
    <n v="0"/>
    <n v="0"/>
    <n v="5500"/>
    <n v="0"/>
    <n v="0"/>
    <n v="0"/>
    <n v="0"/>
    <n v="0"/>
    <n v="8800"/>
  </r>
  <r>
    <n v="295"/>
    <x v="69"/>
    <s v="MR . SYED RAHAT HUSSAIN ZAIDI"/>
    <x v="20"/>
    <n v="7200"/>
    <n v="0"/>
    <n v="1200"/>
    <n v="3600"/>
    <n v="0"/>
    <n v="3100"/>
    <n v="0"/>
    <n v="0"/>
    <n v="200"/>
    <n v="0"/>
    <n v="11000"/>
    <n v="0"/>
    <n v="0"/>
    <n v="0"/>
    <n v="0"/>
    <n v="0"/>
    <n v="26300"/>
  </r>
  <r>
    <n v="296"/>
    <x v="24"/>
    <s v="MR.MUHAMMAD RIZWAN"/>
    <x v="20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97"/>
    <x v="70"/>
    <s v="MR.MUHAMMAD SALIQ SIDDIQUI"/>
    <x v="20"/>
    <n v="2400"/>
    <n v="0"/>
    <n v="0"/>
    <n v="0"/>
    <n v="0"/>
    <n v="1000"/>
    <n v="0"/>
    <n v="0"/>
    <n v="0"/>
    <n v="0"/>
    <n v="0"/>
    <n v="0"/>
    <n v="0"/>
    <n v="0"/>
    <n v="0"/>
    <n v="0"/>
    <n v="3400"/>
  </r>
  <r>
    <n v="298"/>
    <x v="71"/>
    <s v="DGM AMJAD ALI SHAIKH"/>
    <x v="20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99"/>
    <x v="33"/>
    <s v="MR. HASAN KARIM"/>
    <x v="20"/>
    <n v="0"/>
    <n v="0"/>
    <n v="0"/>
    <n v="0"/>
    <n v="0"/>
    <n v="0"/>
    <n v="300"/>
    <n v="0"/>
    <n v="0"/>
    <n v="0"/>
    <n v="0"/>
    <n v="0"/>
    <n v="0"/>
    <n v="0"/>
    <n v="0"/>
    <n v="0"/>
    <n v="300"/>
  </r>
  <r>
    <n v="300"/>
    <x v="72"/>
    <s v="GM HAROON RASHEED"/>
    <x v="2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01"/>
    <x v="12"/>
    <s v="MR.PIR MUJEEB JAN SARHANDI"/>
    <x v="2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02"/>
    <x v="73"/>
    <s v="ALI LEGHARI"/>
    <x v="20"/>
    <n v="0"/>
    <n v="0"/>
    <n v="0"/>
    <n v="0"/>
    <n v="0"/>
    <n v="0"/>
    <n v="0"/>
    <n v="0"/>
    <n v="0"/>
    <n v="0"/>
    <n v="0"/>
    <n v="0"/>
    <n v="0"/>
    <n v="0"/>
    <n v="0"/>
    <n v="365000"/>
    <n v="365000"/>
  </r>
  <r>
    <n v="303"/>
    <x v="31"/>
    <s v="MR.SHIRAZ AHMED"/>
    <x v="21"/>
    <n v="0"/>
    <n v="0"/>
    <n v="0"/>
    <n v="0"/>
    <n v="0"/>
    <n v="1100"/>
    <n v="0"/>
    <n v="0"/>
    <n v="0"/>
    <n v="0"/>
    <n v="0"/>
    <n v="0"/>
    <n v="0"/>
    <n v="0"/>
    <n v="0"/>
    <n v="0"/>
    <n v="1100"/>
  </r>
  <r>
    <n v="304"/>
    <x v="37"/>
    <s v="MR.HAFEEZ AHMED SIYAL"/>
    <x v="2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305"/>
    <x v="0"/>
    <s v="MR. ZAMIR ALI SHAH"/>
    <x v="21"/>
    <n v="0"/>
    <n v="0"/>
    <n v="0"/>
    <n v="0"/>
    <n v="0"/>
    <n v="6500"/>
    <n v="0"/>
    <n v="0"/>
    <n v="0"/>
    <n v="0"/>
    <n v="0"/>
    <n v="0"/>
    <n v="0"/>
    <n v="0"/>
    <n v="0"/>
    <n v="0"/>
    <n v="6500"/>
  </r>
  <r>
    <n v="306"/>
    <x v="18"/>
    <s v="AYSM MIRZA"/>
    <x v="2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307"/>
    <x v="10"/>
    <s v="ASIF ASHFAQ"/>
    <x v="2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08"/>
    <x v="37"/>
    <s v="MR.HAFEEZ AHMED SIYAL"/>
    <x v="2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09"/>
    <x v="9"/>
    <s v="SHAHBAZ AHMED"/>
    <x v="2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10"/>
    <x v="0"/>
    <s v="MR. ZAMIR ALI SHAH"/>
    <x v="21"/>
    <n v="10200"/>
    <n v="0"/>
    <n v="0"/>
    <n v="0"/>
    <n v="0"/>
    <n v="0"/>
    <n v="0"/>
    <n v="0"/>
    <n v="0"/>
    <n v="0"/>
    <n v="0"/>
    <n v="0"/>
    <n v="0"/>
    <n v="0"/>
    <n v="0"/>
    <n v="0"/>
    <n v="10200"/>
  </r>
  <r>
    <n v="311"/>
    <x v="13"/>
    <s v="MR. JABIR SHAHZAD"/>
    <x v="22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312"/>
    <x v="39"/>
    <s v="MR.SAJJAD ALI"/>
    <x v="22"/>
    <n v="0"/>
    <n v="0"/>
    <n v="0"/>
    <n v="0"/>
    <n v="0"/>
    <n v="0"/>
    <n v="0"/>
    <n v="0"/>
    <n v="0"/>
    <n v="0"/>
    <n v="0"/>
    <n v="9500"/>
    <n v="0"/>
    <n v="0"/>
    <n v="0"/>
    <n v="0"/>
    <n v="9500"/>
  </r>
  <r>
    <n v="313"/>
    <x v="26"/>
    <e v="#N/A"/>
    <x v="22"/>
    <n v="0"/>
    <n v="0"/>
    <n v="0"/>
    <n v="0"/>
    <n v="0"/>
    <n v="0"/>
    <n v="0"/>
    <n v="0"/>
    <n v="0"/>
    <n v="0"/>
    <n v="0"/>
    <n v="19250"/>
    <n v="0"/>
    <n v="0"/>
    <n v="0"/>
    <n v="0"/>
    <n v="19250"/>
  </r>
  <r>
    <n v="314"/>
    <x v="43"/>
    <s v="Heritage club"/>
    <x v="22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315"/>
    <x v="36"/>
    <s v="DR.NAZEER HUSSAIN KALHORO"/>
    <x v="22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316"/>
    <x v="74"/>
    <s v="MR.IQBAL AHMED MALLAH"/>
    <x v="22"/>
    <n v="0"/>
    <n v="0"/>
    <n v="0"/>
    <n v="0"/>
    <n v="0"/>
    <n v="3200"/>
    <n v="0"/>
    <n v="0"/>
    <n v="0"/>
    <n v="0"/>
    <n v="0"/>
    <n v="0"/>
    <n v="0"/>
    <n v="0"/>
    <n v="0"/>
    <n v="0"/>
    <n v="3200"/>
  </r>
  <r>
    <n v="317"/>
    <x v="4"/>
    <s v="MR.ZEESHAN IQBAL"/>
    <x v="2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18"/>
    <x v="10"/>
    <s v="ASIF ASHFAQ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19"/>
    <x v="75"/>
    <s v="MR. MUNAWAR HUSSAIN"/>
    <x v="2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20"/>
    <x v="6"/>
    <s v="DR.NASEEM MUNSHI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21"/>
    <x v="12"/>
    <s v="MR.PIR MUJEEB JAN SARHANDI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22"/>
    <x v="63"/>
    <s v="MR. AIJAZ ALI BALOCH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23"/>
    <x v="16"/>
    <s v="MR.MANOJ KUMAR"/>
    <x v="22"/>
    <n v="2100"/>
    <n v="0"/>
    <n v="0"/>
    <n v="0"/>
    <n v="0"/>
    <n v="0"/>
    <n v="0"/>
    <n v="0"/>
    <n v="0"/>
    <n v="0"/>
    <n v="0"/>
    <n v="0"/>
    <n v="0"/>
    <n v="0"/>
    <n v="0"/>
    <n v="0"/>
    <n v="2100"/>
  </r>
  <r>
    <n v="324"/>
    <x v="20"/>
    <s v="MR.HANIF AHSAN ZUBEDI"/>
    <x v="22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325"/>
    <x v="43"/>
    <s v="Heritage club"/>
    <x v="22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326"/>
    <x v="43"/>
    <s v="Heritage club"/>
    <x v="23"/>
    <n v="0"/>
    <n v="0"/>
    <n v="0"/>
    <n v="0"/>
    <n v="0"/>
    <n v="0"/>
    <n v="0"/>
    <n v="0"/>
    <n v="0"/>
    <n v="0"/>
    <n v="0"/>
    <n v="0"/>
    <n v="0"/>
    <n v="0"/>
    <n v="480000"/>
    <n v="0"/>
    <n v="480000"/>
  </r>
  <r>
    <n v="327"/>
    <x v="26"/>
    <s v="CARD"/>
    <x v="23"/>
    <n v="0"/>
    <n v="0"/>
    <n v="0"/>
    <n v="0"/>
    <n v="0"/>
    <n v="0"/>
    <n v="0"/>
    <n v="0"/>
    <n v="0"/>
    <n v="0"/>
    <n v="0"/>
    <n v="11500"/>
    <n v="0"/>
    <n v="0"/>
    <n v="0"/>
    <n v="0"/>
    <n v="11500"/>
  </r>
  <r>
    <n v="328"/>
    <x v="10"/>
    <s v="ASIF ASHFAQ"/>
    <x v="23"/>
    <n v="0"/>
    <n v="0"/>
    <n v="0"/>
    <n v="3000"/>
    <n v="0"/>
    <n v="0"/>
    <n v="0"/>
    <n v="0"/>
    <n v="0"/>
    <n v="0"/>
    <n v="0"/>
    <n v="0"/>
    <n v="0"/>
    <n v="0"/>
    <n v="0"/>
    <n v="0"/>
    <n v="3000"/>
  </r>
  <r>
    <n v="329"/>
    <x v="20"/>
    <s v="MR.HANIF AHSAN ZUBEDI"/>
    <x v="23"/>
    <n v="0"/>
    <n v="0"/>
    <n v="0"/>
    <n v="0"/>
    <n v="300"/>
    <n v="300"/>
    <n v="2700"/>
    <n v="0"/>
    <n v="0"/>
    <n v="0"/>
    <n v="0"/>
    <n v="0"/>
    <n v="0"/>
    <n v="0"/>
    <n v="0"/>
    <n v="0"/>
    <n v="3300"/>
  </r>
  <r>
    <n v="330"/>
    <x v="13"/>
    <s v="MR. JABIR SHAHZAD"/>
    <x v="23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331"/>
    <x v="4"/>
    <s v="MR.ZEESHAN IQBAL"/>
    <x v="23"/>
    <n v="0"/>
    <n v="0"/>
    <n v="0"/>
    <n v="0"/>
    <n v="0"/>
    <n v="800"/>
    <n v="0"/>
    <n v="0"/>
    <n v="0"/>
    <n v="0"/>
    <n v="0"/>
    <n v="0"/>
    <n v="0"/>
    <n v="0"/>
    <n v="0"/>
    <n v="0"/>
    <n v="800"/>
  </r>
  <r>
    <n v="332"/>
    <x v="9"/>
    <s v="SHAHBAZ AHMED"/>
    <x v="2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33"/>
    <x v="59"/>
    <s v="MRS RIFFAT ZULFIQAR"/>
    <x v="2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34"/>
    <x v="26"/>
    <e v="#N/A"/>
    <x v="23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335"/>
    <x v="26"/>
    <s v="CARD"/>
    <x v="24"/>
    <n v="0"/>
    <n v="0"/>
    <n v="0"/>
    <n v="0"/>
    <n v="0"/>
    <n v="0"/>
    <n v="0"/>
    <n v="0"/>
    <n v="0"/>
    <n v="0"/>
    <n v="0"/>
    <n v="4500"/>
    <n v="0"/>
    <n v="0"/>
    <n v="0"/>
    <n v="0"/>
    <n v="4500"/>
  </r>
  <r>
    <n v="336"/>
    <x v="17"/>
    <s v="SABA AHSAN"/>
    <x v="24"/>
    <n v="0"/>
    <n v="0"/>
    <n v="0"/>
    <n v="0"/>
    <n v="0"/>
    <n v="0"/>
    <n v="0"/>
    <n v="0"/>
    <n v="0"/>
    <n v="0"/>
    <n v="0"/>
    <n v="2000"/>
    <n v="0"/>
    <n v="0"/>
    <n v="0"/>
    <n v="0"/>
    <n v="2000"/>
  </r>
  <r>
    <n v="337"/>
    <x v="76"/>
    <s v="DR.UMER QAZI"/>
    <x v="24"/>
    <n v="0"/>
    <n v="0"/>
    <n v="0"/>
    <n v="0"/>
    <n v="0"/>
    <n v="0"/>
    <n v="0"/>
    <n v="0"/>
    <n v="0"/>
    <n v="0"/>
    <n v="10000"/>
    <n v="0"/>
    <n v="0"/>
    <n v="0"/>
    <n v="0"/>
    <n v="0"/>
    <n v="10000"/>
  </r>
  <r>
    <n v="338"/>
    <x v="5"/>
    <s v="MR.ZAIN FAROOQ"/>
    <x v="24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339"/>
    <x v="77"/>
    <s v="MR.ASIF ALI"/>
    <x v="24"/>
    <n v="0"/>
    <n v="150"/>
    <n v="0"/>
    <n v="0"/>
    <n v="0"/>
    <n v="2100"/>
    <n v="0"/>
    <n v="0"/>
    <n v="0"/>
    <n v="0"/>
    <n v="0"/>
    <n v="0"/>
    <n v="0"/>
    <n v="0"/>
    <n v="0"/>
    <n v="0"/>
    <n v="2250"/>
  </r>
  <r>
    <n v="340"/>
    <x v="43"/>
    <s v="Heritage club"/>
    <x v="24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341"/>
    <x v="33"/>
    <s v="MR. HASAN KARIM"/>
    <x v="24"/>
    <n v="5700"/>
    <n v="0"/>
    <n v="0"/>
    <n v="0"/>
    <n v="0"/>
    <n v="1000"/>
    <n v="300"/>
    <n v="0"/>
    <n v="0"/>
    <n v="0"/>
    <n v="0"/>
    <n v="0"/>
    <n v="0"/>
    <n v="0"/>
    <n v="0"/>
    <n v="0"/>
    <n v="7000"/>
  </r>
  <r>
    <n v="342"/>
    <x v="75"/>
    <s v="MR. MUNAWAR HUSSAIN"/>
    <x v="24"/>
    <n v="1800"/>
    <n v="300"/>
    <n v="0"/>
    <n v="0"/>
    <n v="0"/>
    <n v="0"/>
    <n v="0"/>
    <n v="0"/>
    <n v="0"/>
    <n v="0"/>
    <n v="0"/>
    <n v="0"/>
    <n v="0"/>
    <n v="0"/>
    <n v="0"/>
    <n v="0"/>
    <n v="2100"/>
  </r>
  <r>
    <n v="343"/>
    <x v="78"/>
    <s v="MR.MUHAMMAD ZAIN"/>
    <x v="24"/>
    <n v="600"/>
    <n v="0"/>
    <n v="0"/>
    <n v="0"/>
    <n v="0"/>
    <n v="0"/>
    <n v="0"/>
    <n v="0"/>
    <n v="0"/>
    <n v="0"/>
    <n v="0"/>
    <n v="0"/>
    <n v="0"/>
    <n v="0"/>
    <n v="0"/>
    <n v="0"/>
    <n v="600"/>
  </r>
  <r>
    <n v="344"/>
    <x v="12"/>
    <s v="MR.PIR MUJEEB JAN SARHANDI"/>
    <x v="2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s v=""/>
    <x v="26"/>
    <e v="#N/A"/>
    <x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"/>
    <x v="26"/>
    <e v="#N/A"/>
    <x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"/>
    <x v="26"/>
    <e v="#N/A"/>
    <x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79"/>
    <s v="Total"/>
    <x v="25"/>
    <n v="89100"/>
    <n v="34050"/>
    <n v="1500"/>
    <n v="7500"/>
    <n v="300"/>
    <n v="109100"/>
    <n v="17000"/>
    <n v="0"/>
    <n v="200"/>
    <n v="3000"/>
    <n v="78450"/>
    <n v="261400"/>
    <n v="0"/>
    <n v="0"/>
    <n v="635000"/>
    <n v="508000"/>
    <n v="1744600"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FEE5A-58DB-4EED-98D3-817F52DE80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35" firstHeaderRow="0" firstDataRow="1" firstDataCol="1"/>
  <pivotFields count="8">
    <pivotField showAll="0"/>
    <pivotField showAll="0"/>
    <pivotField showAll="0"/>
    <pivotField axis="axisRow" multipleItemSelectionAllowed="1" showAll="0">
      <items count="2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5"/>
        <item x="22"/>
        <item x="23"/>
        <item x="24"/>
        <item t="default"/>
      </items>
    </pivotField>
    <pivotField showAll="0"/>
    <pivotField showAll="0"/>
    <pivotField dataField="1" showAll="0"/>
    <pivotField dataField="1"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6" baseField="0" baseItem="0"/>
    <dataField name="Sum of sst 15%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76F5E-4AC3-4C2E-84AA-A21D4E11399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V35" firstHeaderRow="0" firstDataRow="1" firstDataCol="1"/>
  <pivotFields count="21">
    <pivotField showAll="0"/>
    <pivotField showAll="0">
      <items count="81">
        <item x="26"/>
        <item x="13"/>
        <item x="45"/>
        <item x="61"/>
        <item x="27"/>
        <item x="31"/>
        <item x="14"/>
        <item x="24"/>
        <item x="4"/>
        <item x="39"/>
        <item x="53"/>
        <item x="2"/>
        <item x="29"/>
        <item x="19"/>
        <item x="36"/>
        <item x="54"/>
        <item x="37"/>
        <item x="16"/>
        <item x="1"/>
        <item x="58"/>
        <item x="60"/>
        <item x="12"/>
        <item x="42"/>
        <item x="48"/>
        <item x="70"/>
        <item x="62"/>
        <item x="20"/>
        <item x="15"/>
        <item x="65"/>
        <item x="33"/>
        <item x="67"/>
        <item x="5"/>
        <item x="68"/>
        <item x="25"/>
        <item x="35"/>
        <item x="57"/>
        <item x="44"/>
        <item x="71"/>
        <item x="7"/>
        <item x="66"/>
        <item x="55"/>
        <item x="8"/>
        <item x="3"/>
        <item x="56"/>
        <item x="72"/>
        <item x="6"/>
        <item x="40"/>
        <item x="41"/>
        <item x="23"/>
        <item x="10"/>
        <item x="17"/>
        <item x="18"/>
        <item x="22"/>
        <item x="73"/>
        <item x="21"/>
        <item x="38"/>
        <item x="30"/>
        <item x="11"/>
        <item x="43"/>
        <item x="9"/>
        <item x="47"/>
        <item x="46"/>
        <item x="69"/>
        <item x="32"/>
        <item x="50"/>
        <item x="59"/>
        <item x="52"/>
        <item x="63"/>
        <item x="64"/>
        <item x="49"/>
        <item x="28"/>
        <item x="34"/>
        <item x="0"/>
        <item x="51"/>
        <item x="79"/>
        <item x="74"/>
        <item x="75"/>
        <item x="76"/>
        <item x="77"/>
        <item x="78"/>
        <item t="default"/>
      </items>
    </pivotField>
    <pivotField showAll="0"/>
    <pivotField axis="axisRow" multipleItemSelectionAllowed="1" showAll="0">
      <items count="29">
        <item m="1" x="26"/>
        <item m="1" x="27"/>
        <item h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3"/>
  </rowFields>
  <rowItems count="2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Sum of Bowling Alley" fld="4" baseField="0" baseItem="0"/>
    <dataField name="Sum of Gym" fld="5" baseField="0" baseItem="0"/>
    <dataField name="Sum of Family Pool" fld="6" baseField="0" baseItem="0"/>
    <dataField name="Sum of Squash Court" fld="7" baseField="0" baseItem="0"/>
    <dataField name="Sum of Ladies Pool" fld="8" baseField="0" baseItem="0"/>
    <dataField name="Sum of Amusement Arcade" fld="9" baseField="0" baseItem="0"/>
    <dataField name="Sum of Cinema" fld="10" baseField="0" baseItem="0"/>
    <dataField name="Sum of Cigar Lounge" fld="11" baseField="0" baseItem="0"/>
    <dataField name="Sum of Pool Lockers" fld="12" baseField="0" baseItem="0"/>
    <dataField name="Sum of SPA" fld="13" baseField="0" baseItem="0"/>
    <dataField name="Sum of Padel Court" fld="14" baseField="0" baseItem="0"/>
    <dataField name="Sum of Ladies Saloon" fld="15" baseField="0" baseItem="0"/>
    <dataField name="Sum of Gym Sub" fld="17" baseField="0" baseItem="0"/>
    <dataField name="Sum of HC Chambers" fld="16" baseField="0" baseItem="0"/>
    <dataField name="Sum of Vanue Charges" fld="18" baseField="0" baseItem="0"/>
    <dataField name="Sum of PARTY CHARGES" fld="19" baseField="0" baseItem="0"/>
  </dataFields>
  <formats count="2">
    <format dxfId="34">
      <pivotArea field="1" type="button" dataOnly="0" labelOnly="1" outline="0"/>
    </format>
    <format dxfId="33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thar.tariq@logistics-leaders.com" TargetMode="External"/><Relationship Id="rId21" Type="http://schemas.openxmlformats.org/officeDocument/2006/relationships/hyperlink" Target="mailto:Qamar@ezzaintl.com" TargetMode="External"/><Relationship Id="rId42" Type="http://schemas.openxmlformats.org/officeDocument/2006/relationships/hyperlink" Target="mailto:g.dastageer@btkarachi.com" TargetMode="External"/><Relationship Id="rId47" Type="http://schemas.openxmlformats.org/officeDocument/2006/relationships/hyperlink" Target="mailto:zahid.awan@btkarachi.com" TargetMode="External"/><Relationship Id="rId63" Type="http://schemas.openxmlformats.org/officeDocument/2006/relationships/hyperlink" Target="mailto:ahmadhayat.btic@gmail.com" TargetMode="External"/><Relationship Id="rId68" Type="http://schemas.openxmlformats.org/officeDocument/2006/relationships/hyperlink" Target="mailto:Syed.tahir.abbas@hotmail.com" TargetMode="External"/><Relationship Id="rId84" Type="http://schemas.openxmlformats.org/officeDocument/2006/relationships/hyperlink" Target="mailto:hussain@fmcbrake.com.pk" TargetMode="External"/><Relationship Id="rId89" Type="http://schemas.openxmlformats.org/officeDocument/2006/relationships/hyperlink" Target="mailto:iftikharshah54@yahoo.com" TargetMode="External"/><Relationship Id="rId16" Type="http://schemas.openxmlformats.org/officeDocument/2006/relationships/hyperlink" Target="mailto:zulqarnainhabib@gmail.com" TargetMode="External"/><Relationship Id="rId11" Type="http://schemas.openxmlformats.org/officeDocument/2006/relationships/hyperlink" Target="mailto:Sanoorhafsa123@gmail.com" TargetMode="External"/><Relationship Id="rId32" Type="http://schemas.openxmlformats.org/officeDocument/2006/relationships/hyperlink" Target="mailto:imranwazeerpk@gmail.com" TargetMode="External"/><Relationship Id="rId37" Type="http://schemas.openxmlformats.org/officeDocument/2006/relationships/hyperlink" Target="mailto:rehan.tariq@btkarachi.com" TargetMode="External"/><Relationship Id="rId53" Type="http://schemas.openxmlformats.org/officeDocument/2006/relationships/hyperlink" Target="mailto:khadim2016@icloud.com" TargetMode="External"/><Relationship Id="rId58" Type="http://schemas.openxmlformats.org/officeDocument/2006/relationships/hyperlink" Target="mailto:asym1480@gmail.com" TargetMode="External"/><Relationship Id="rId74" Type="http://schemas.openxmlformats.org/officeDocument/2006/relationships/hyperlink" Target="mailto:dgomani@yahoo.com" TargetMode="External"/><Relationship Id="rId79" Type="http://schemas.openxmlformats.org/officeDocument/2006/relationships/hyperlink" Target="mailto:Mehdighulam1@gmail.com" TargetMode="External"/><Relationship Id="rId102" Type="http://schemas.openxmlformats.org/officeDocument/2006/relationships/hyperlink" Target="mailto:falisoomro@secmc.com.pk" TargetMode="External"/><Relationship Id="rId5" Type="http://schemas.openxmlformats.org/officeDocument/2006/relationships/hyperlink" Target="mailto:hafeezsiyal09@gmail.com" TargetMode="External"/><Relationship Id="rId90" Type="http://schemas.openxmlformats.org/officeDocument/2006/relationships/hyperlink" Target="mailto:Khurramchandiwala@gmail.com" TargetMode="External"/><Relationship Id="rId95" Type="http://schemas.openxmlformats.org/officeDocument/2006/relationships/hyperlink" Target="mailto:abroarslan69@gmail.com" TargetMode="External"/><Relationship Id="rId22" Type="http://schemas.openxmlformats.org/officeDocument/2006/relationships/hyperlink" Target="mailto:ssiddiqi2@yahoo.com" TargetMode="External"/><Relationship Id="rId27" Type="http://schemas.openxmlformats.org/officeDocument/2006/relationships/hyperlink" Target="mailto:gobind.lund@nbp.com.pk" TargetMode="External"/><Relationship Id="rId43" Type="http://schemas.openxmlformats.org/officeDocument/2006/relationships/hyperlink" Target="mailto:fatima.zahid@btkarachi.com" TargetMode="External"/><Relationship Id="rId48" Type="http://schemas.openxmlformats.org/officeDocument/2006/relationships/hyperlink" Target="mailto:docburni@gmail.com" TargetMode="External"/><Relationship Id="rId64" Type="http://schemas.openxmlformats.org/officeDocument/2006/relationships/hyperlink" Target="mailto:Jabirshah@hotmil.com" TargetMode="External"/><Relationship Id="rId69" Type="http://schemas.openxmlformats.org/officeDocument/2006/relationships/hyperlink" Target="mailto:Syedabdullchali89@gmil.com" TargetMode="External"/><Relationship Id="rId80" Type="http://schemas.openxmlformats.org/officeDocument/2006/relationships/hyperlink" Target="mailto:engr.amjadalishaikh@gmail.com" TargetMode="External"/><Relationship Id="rId85" Type="http://schemas.openxmlformats.org/officeDocument/2006/relationships/hyperlink" Target="mailto:mukhtarshar@gmail.com" TargetMode="External"/><Relationship Id="rId12" Type="http://schemas.openxmlformats.org/officeDocument/2006/relationships/hyperlink" Target="mailto:Kokrejavicky@yhoo.com" TargetMode="External"/><Relationship Id="rId17" Type="http://schemas.openxmlformats.org/officeDocument/2006/relationships/hyperlink" Target="mailto:hamzajan1996@hotmail.com" TargetMode="External"/><Relationship Id="rId33" Type="http://schemas.openxmlformats.org/officeDocument/2006/relationships/hyperlink" Target="mailto:salman4raza@msn.com" TargetMode="External"/><Relationship Id="rId38" Type="http://schemas.openxmlformats.org/officeDocument/2006/relationships/hyperlink" Target="mailto:amir.raza@bahriaadventureland.com" TargetMode="External"/><Relationship Id="rId59" Type="http://schemas.openxmlformats.org/officeDocument/2006/relationships/hyperlink" Target="mailto:ameer.mohammad@gbtrader.org" TargetMode="External"/><Relationship Id="rId103" Type="http://schemas.openxmlformats.org/officeDocument/2006/relationships/hyperlink" Target="mailto:mksaeed79@hotmail.com" TargetMode="External"/><Relationship Id="rId20" Type="http://schemas.openxmlformats.org/officeDocument/2006/relationships/hyperlink" Target="mailto:zuraaco_z@gmail.com" TargetMode="External"/><Relationship Id="rId41" Type="http://schemas.openxmlformats.org/officeDocument/2006/relationships/hyperlink" Target="mailto:azfar.ali@btkarachi.com" TargetMode="External"/><Relationship Id="rId54" Type="http://schemas.openxmlformats.org/officeDocument/2006/relationships/hyperlink" Target="mailto:fareyausmani@gmail.com" TargetMode="External"/><Relationship Id="rId62" Type="http://schemas.openxmlformats.org/officeDocument/2006/relationships/hyperlink" Target="mailto:a.amemon@yahoo.com" TargetMode="External"/><Relationship Id="rId70" Type="http://schemas.openxmlformats.org/officeDocument/2006/relationships/hyperlink" Target="mailto:meshgroup193@gmail.com" TargetMode="External"/><Relationship Id="rId75" Type="http://schemas.openxmlformats.org/officeDocument/2006/relationships/hyperlink" Target="mailto:Shafqatatif@hotmail.com" TargetMode="External"/><Relationship Id="rId83" Type="http://schemas.openxmlformats.org/officeDocument/2006/relationships/hyperlink" Target="mailto:ibadexportsolution@gmail.com" TargetMode="External"/><Relationship Id="rId88" Type="http://schemas.openxmlformats.org/officeDocument/2006/relationships/hyperlink" Target="mailto:aleenaahsan@hotmail.com" TargetMode="External"/><Relationship Id="rId91" Type="http://schemas.openxmlformats.org/officeDocument/2006/relationships/hyperlink" Target="mailto:alileghari1994@gmail.com" TargetMode="External"/><Relationship Id="rId96" Type="http://schemas.openxmlformats.org/officeDocument/2006/relationships/hyperlink" Target="mailto:hasan@nasraschool.edu.pk" TargetMode="External"/><Relationship Id="rId1" Type="http://schemas.openxmlformats.org/officeDocument/2006/relationships/hyperlink" Target="mailto:sh-ahmed@hotmail.com" TargetMode="External"/><Relationship Id="rId6" Type="http://schemas.openxmlformats.org/officeDocument/2006/relationships/hyperlink" Target="mailto:Iqbalahmed.Mallah@hotmail.com" TargetMode="External"/><Relationship Id="rId15" Type="http://schemas.openxmlformats.org/officeDocument/2006/relationships/hyperlink" Target="mailto:khalid.javed@omsltd.net" TargetMode="External"/><Relationship Id="rId23" Type="http://schemas.openxmlformats.org/officeDocument/2006/relationships/hyperlink" Target="mailto:Shanelahisehgal@hotmail.com" TargetMode="External"/><Relationship Id="rId28" Type="http://schemas.openxmlformats.org/officeDocument/2006/relationships/hyperlink" Target="mailto:zainfarooq@hotmail.com" TargetMode="External"/><Relationship Id="rId36" Type="http://schemas.openxmlformats.org/officeDocument/2006/relationships/hyperlink" Target="mailto:zulfitim@gmail.com" TargetMode="External"/><Relationship Id="rId49" Type="http://schemas.openxmlformats.org/officeDocument/2006/relationships/hyperlink" Target="mailto:zia.khan@btkarachi.com" TargetMode="External"/><Relationship Id="rId57" Type="http://schemas.openxmlformats.org/officeDocument/2006/relationships/hyperlink" Target="mailto:imail.1999@gmail.com" TargetMode="External"/><Relationship Id="rId10" Type="http://schemas.openxmlformats.org/officeDocument/2006/relationships/hyperlink" Target="mailto:Muied@outlook.com" TargetMode="External"/><Relationship Id="rId31" Type="http://schemas.openxmlformats.org/officeDocument/2006/relationships/hyperlink" Target="mailto:faisalmerchant@yahoo.com" TargetMode="External"/><Relationship Id="rId44" Type="http://schemas.openxmlformats.org/officeDocument/2006/relationships/hyperlink" Target="mailto:raza.rehman@btkarachi.com" TargetMode="External"/><Relationship Id="rId52" Type="http://schemas.openxmlformats.org/officeDocument/2006/relationships/hyperlink" Target="mailto:ebrahim.nsps@gmail.com" TargetMode="External"/><Relationship Id="rId60" Type="http://schemas.openxmlformats.org/officeDocument/2006/relationships/hyperlink" Target="mailto:jibrangilani@gmail.com" TargetMode="External"/><Relationship Id="rId65" Type="http://schemas.openxmlformats.org/officeDocument/2006/relationships/hyperlink" Target="mailto:Alirazaothi@gmail.com" TargetMode="External"/><Relationship Id="rId73" Type="http://schemas.openxmlformats.org/officeDocument/2006/relationships/hyperlink" Target="mailto:Sajjad.Kazi.isra@gmail.com" TargetMode="External"/><Relationship Id="rId78" Type="http://schemas.openxmlformats.org/officeDocument/2006/relationships/hyperlink" Target="mailto:ashrafsheikh@hotmail.com" TargetMode="External"/><Relationship Id="rId81" Type="http://schemas.openxmlformats.org/officeDocument/2006/relationships/hyperlink" Target="mailto:mrtali@yahoo.com" TargetMode="External"/><Relationship Id="rId86" Type="http://schemas.openxmlformats.org/officeDocument/2006/relationships/hyperlink" Target="mailto:alkarimmotors@hotmail.com" TargetMode="External"/><Relationship Id="rId94" Type="http://schemas.openxmlformats.org/officeDocument/2006/relationships/hyperlink" Target="mailto:nasir.abbas@nbp.com.pk" TargetMode="External"/><Relationship Id="rId99" Type="http://schemas.openxmlformats.org/officeDocument/2006/relationships/hyperlink" Target="mailto:jamferoz@gmail.com" TargetMode="External"/><Relationship Id="rId101" Type="http://schemas.openxmlformats.org/officeDocument/2006/relationships/hyperlink" Target="mailto:kznayz@gmail.com" TargetMode="External"/><Relationship Id="rId4" Type="http://schemas.openxmlformats.org/officeDocument/2006/relationships/hyperlink" Target="mailto:drnazeerhussain@hotmail.com" TargetMode="External"/><Relationship Id="rId9" Type="http://schemas.openxmlformats.org/officeDocument/2006/relationships/hyperlink" Target="mailto:Solangisajjad1977@gmail.com" TargetMode="External"/><Relationship Id="rId13" Type="http://schemas.openxmlformats.org/officeDocument/2006/relationships/hyperlink" Target="mailto:docuk1982@yahoo.com" TargetMode="External"/><Relationship Id="rId18" Type="http://schemas.openxmlformats.org/officeDocument/2006/relationships/hyperlink" Target="mailto:hammadasif801@gmail.com" TargetMode="External"/><Relationship Id="rId39" Type="http://schemas.openxmlformats.org/officeDocument/2006/relationships/hyperlink" Target="mailto:huzaffar@btkarachi.com" TargetMode="External"/><Relationship Id="rId34" Type="http://schemas.openxmlformats.org/officeDocument/2006/relationships/hyperlink" Target="mailto:Callie.hendrik@btkarachi.com" TargetMode="External"/><Relationship Id="rId50" Type="http://schemas.openxmlformats.org/officeDocument/2006/relationships/hyperlink" Target="mailto:yaqoob.awan@btkarachi.com" TargetMode="External"/><Relationship Id="rId55" Type="http://schemas.openxmlformats.org/officeDocument/2006/relationships/hyperlink" Target="mailto:engr.muneerkhan@gmail.com" TargetMode="External"/><Relationship Id="rId76" Type="http://schemas.openxmlformats.org/officeDocument/2006/relationships/hyperlink" Target="mailto:drsantoshpamnani@gmail.com" TargetMode="External"/><Relationship Id="rId97" Type="http://schemas.openxmlformats.org/officeDocument/2006/relationships/hyperlink" Target="mailto:syed.rahat.hunain.zaidi@gmail.com" TargetMode="External"/><Relationship Id="rId104" Type="http://schemas.openxmlformats.org/officeDocument/2006/relationships/hyperlink" Target="mailto:balochai@yahoo.com" TargetMode="External"/><Relationship Id="rId7" Type="http://schemas.openxmlformats.org/officeDocument/2006/relationships/hyperlink" Target="mailto:Kanyolal.Mandhwani@gmail.com" TargetMode="External"/><Relationship Id="rId71" Type="http://schemas.openxmlformats.org/officeDocument/2006/relationships/hyperlink" Target="mailto:Talharshaikh4@gmail.com" TargetMode="External"/><Relationship Id="rId92" Type="http://schemas.openxmlformats.org/officeDocument/2006/relationships/hyperlink" Target="mailto:azadlashari.09@gmail.com" TargetMode="External"/><Relationship Id="rId2" Type="http://schemas.openxmlformats.org/officeDocument/2006/relationships/hyperlink" Target="mailto:tariq.zubair@btkarachi.com" TargetMode="External"/><Relationship Id="rId29" Type="http://schemas.openxmlformats.org/officeDocument/2006/relationships/hyperlink" Target="mailto:sadaat_waqar@yahoo.com" TargetMode="External"/><Relationship Id="rId24" Type="http://schemas.openxmlformats.org/officeDocument/2006/relationships/hyperlink" Target="mailto:Haneefahsan@hotmail.com" TargetMode="External"/><Relationship Id="rId40" Type="http://schemas.openxmlformats.org/officeDocument/2006/relationships/hyperlink" Target="mailto:khalid.mahmood@btkarachi.com" TargetMode="External"/><Relationship Id="rId45" Type="http://schemas.openxmlformats.org/officeDocument/2006/relationships/hyperlink" Target="mailto:drfakhrunisa@gmail.com" TargetMode="External"/><Relationship Id="rId66" Type="http://schemas.openxmlformats.org/officeDocument/2006/relationships/hyperlink" Target="mailto:bilalak061@gmail.com" TargetMode="External"/><Relationship Id="rId87" Type="http://schemas.openxmlformats.org/officeDocument/2006/relationships/hyperlink" Target="mailto:asiftextile@hotmail.com" TargetMode="External"/><Relationship Id="rId61" Type="http://schemas.openxmlformats.org/officeDocument/2006/relationships/hyperlink" Target="mailto:schandio1624@gmail.com" TargetMode="External"/><Relationship Id="rId82" Type="http://schemas.openxmlformats.org/officeDocument/2006/relationships/hyperlink" Target="mailto:naseemmunshi@hotmail.com" TargetMode="External"/><Relationship Id="rId19" Type="http://schemas.openxmlformats.org/officeDocument/2006/relationships/hyperlink" Target="mailto:arta_ashoka@hotmail.com" TargetMode="External"/><Relationship Id="rId14" Type="http://schemas.openxmlformats.org/officeDocument/2006/relationships/hyperlink" Target="mailto:haneef_pk@hotmail.com" TargetMode="External"/><Relationship Id="rId30" Type="http://schemas.openxmlformats.org/officeDocument/2006/relationships/hyperlink" Target="mailto:asifali.sbp@gmail.com" TargetMode="External"/><Relationship Id="rId35" Type="http://schemas.openxmlformats.org/officeDocument/2006/relationships/hyperlink" Target="mailto:akbar_rao@yahoo.com" TargetMode="External"/><Relationship Id="rId56" Type="http://schemas.openxmlformats.org/officeDocument/2006/relationships/hyperlink" Target="mailto:muhammad.ibrahim@btkhospital.com" TargetMode="External"/><Relationship Id="rId77" Type="http://schemas.openxmlformats.org/officeDocument/2006/relationships/hyperlink" Target="mailto:nizambaloch@gmail.com" TargetMode="External"/><Relationship Id="rId100" Type="http://schemas.openxmlformats.org/officeDocument/2006/relationships/hyperlink" Target="mailto:shahbazahmedijaz88@gmail.com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mailto:Mkvedani@gmil.com" TargetMode="External"/><Relationship Id="rId51" Type="http://schemas.openxmlformats.org/officeDocument/2006/relationships/hyperlink" Target="mailto:hamid.forecast@gmail.com" TargetMode="External"/><Relationship Id="rId72" Type="http://schemas.openxmlformats.org/officeDocument/2006/relationships/hyperlink" Target="mailto:zchamdia@gmail.com" TargetMode="External"/><Relationship Id="rId93" Type="http://schemas.openxmlformats.org/officeDocument/2006/relationships/hyperlink" Target="mailto:abumousa701@gmail.com" TargetMode="External"/><Relationship Id="rId98" Type="http://schemas.openxmlformats.org/officeDocument/2006/relationships/hyperlink" Target="mailto:miantehseenfaiz@gmail.com" TargetMode="External"/><Relationship Id="rId3" Type="http://schemas.openxmlformats.org/officeDocument/2006/relationships/hyperlink" Target="mailto:ahaqrana111@icloud.com" TargetMode="External"/><Relationship Id="rId25" Type="http://schemas.openxmlformats.org/officeDocument/2006/relationships/hyperlink" Target="mailto:ma.usmani@live.com" TargetMode="External"/><Relationship Id="rId46" Type="http://schemas.openxmlformats.org/officeDocument/2006/relationships/hyperlink" Target="mailto:haroonrasheedbahria@gmail.com" TargetMode="External"/><Relationship Id="rId67" Type="http://schemas.openxmlformats.org/officeDocument/2006/relationships/hyperlink" Target="mailto:maszone198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indianhealthyrecipes.com/chicken-jalfrezi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01"/>
  <sheetViews>
    <sheetView topLeftCell="A91" zoomScaleNormal="100" workbookViewId="0">
      <selection activeCell="C23" sqref="C23"/>
    </sheetView>
  </sheetViews>
  <sheetFormatPr defaultColWidth="14" defaultRowHeight="15" customHeight="1"/>
  <cols>
    <col min="1" max="1" width="6.44140625" style="8" customWidth="1"/>
    <col min="2" max="2" width="16" style="8" bestFit="1" customWidth="1"/>
    <col min="3" max="3" width="42.6640625" style="8" bestFit="1" customWidth="1"/>
    <col min="4" max="4" width="36.6640625" style="8" bestFit="1" customWidth="1"/>
    <col min="5" max="5" width="19.6640625" style="8" customWidth="1"/>
    <col min="6" max="6" width="122.6640625" style="8" customWidth="1"/>
    <col min="7" max="7" width="26" style="8" customWidth="1"/>
    <col min="8" max="8" width="13.5546875" style="8" customWidth="1"/>
    <col min="9" max="9" width="20.33203125" style="8" customWidth="1"/>
    <col min="10" max="16384" width="14" style="8"/>
  </cols>
  <sheetData>
    <row r="1" spans="1:9" ht="36" customHeight="1">
      <c r="A1" s="375"/>
      <c r="B1" s="376"/>
      <c r="C1" s="366" t="s">
        <v>505</v>
      </c>
      <c r="D1" s="367"/>
      <c r="E1" s="367"/>
      <c r="F1" s="368"/>
    </row>
    <row r="2" spans="1:9" ht="36" customHeight="1" thickBot="1">
      <c r="A2" s="377"/>
      <c r="B2" s="378"/>
      <c r="C2" s="369"/>
      <c r="D2" s="370"/>
      <c r="E2" s="370"/>
      <c r="F2" s="371"/>
    </row>
    <row r="3" spans="1:9" ht="36" customHeight="1" thickBot="1">
      <c r="A3" s="379"/>
      <c r="B3" s="380"/>
      <c r="C3" s="372" t="s">
        <v>758</v>
      </c>
      <c r="D3" s="373"/>
      <c r="E3" s="373"/>
      <c r="F3" s="374"/>
    </row>
    <row r="4" spans="1:9" s="57" customFormat="1" ht="45" customHeight="1" thickBot="1">
      <c r="A4" s="75" t="s">
        <v>760</v>
      </c>
      <c r="B4" s="76" t="s">
        <v>759</v>
      </c>
      <c r="C4" s="76" t="s">
        <v>2</v>
      </c>
      <c r="D4" s="76" t="s">
        <v>3</v>
      </c>
      <c r="E4" s="77" t="s">
        <v>4</v>
      </c>
      <c r="F4" s="78" t="s">
        <v>5</v>
      </c>
      <c r="G4" s="56"/>
      <c r="H4" s="56"/>
      <c r="I4" s="56"/>
    </row>
    <row r="5" spans="1:9" ht="16.2" customHeight="1" thickBot="1">
      <c r="A5" s="60">
        <v>1</v>
      </c>
      <c r="B5" s="60" t="s">
        <v>7</v>
      </c>
      <c r="C5" s="61" t="s">
        <v>8</v>
      </c>
      <c r="D5" s="80" t="s">
        <v>9</v>
      </c>
      <c r="E5" s="81"/>
      <c r="F5" s="62"/>
      <c r="G5" s="58"/>
      <c r="H5" s="58"/>
      <c r="I5" s="58"/>
    </row>
    <row r="6" spans="1:9" ht="16.2" customHeight="1" thickBot="1">
      <c r="A6" s="60">
        <v>2</v>
      </c>
      <c r="B6" s="63" t="s">
        <v>10</v>
      </c>
      <c r="C6" s="64" t="s">
        <v>11</v>
      </c>
      <c r="D6" s="79" t="s">
        <v>12</v>
      </c>
      <c r="E6" s="82" t="s">
        <v>13</v>
      </c>
      <c r="F6" s="65" t="s">
        <v>14</v>
      </c>
      <c r="G6" s="58"/>
      <c r="H6" s="58"/>
      <c r="I6" s="58"/>
    </row>
    <row r="7" spans="1:9" ht="16.2" customHeight="1" thickBot="1">
      <c r="A7" s="60">
        <v>3</v>
      </c>
      <c r="B7" s="63" t="s">
        <v>15</v>
      </c>
      <c r="C7" s="64" t="s">
        <v>16</v>
      </c>
      <c r="D7" s="79" t="s">
        <v>17</v>
      </c>
      <c r="E7" s="82" t="s">
        <v>18</v>
      </c>
      <c r="F7" s="65" t="s">
        <v>19</v>
      </c>
      <c r="G7" s="58"/>
      <c r="H7" s="58"/>
      <c r="I7" s="58"/>
    </row>
    <row r="8" spans="1:9" ht="16.2" customHeight="1" thickBot="1">
      <c r="A8" s="60">
        <v>4</v>
      </c>
      <c r="B8" s="63" t="s">
        <v>20</v>
      </c>
      <c r="C8" s="64" t="s">
        <v>21</v>
      </c>
      <c r="D8" s="79" t="s">
        <v>22</v>
      </c>
      <c r="E8" s="82" t="s">
        <v>23</v>
      </c>
      <c r="F8" s="65" t="s">
        <v>24</v>
      </c>
      <c r="G8" s="58"/>
      <c r="H8" s="58"/>
      <c r="I8" s="58"/>
    </row>
    <row r="9" spans="1:9" ht="16.2" customHeight="1" thickBot="1">
      <c r="A9" s="60">
        <v>5</v>
      </c>
      <c r="B9" s="63" t="s">
        <v>25</v>
      </c>
      <c r="C9" s="64" t="s">
        <v>26</v>
      </c>
      <c r="D9" s="79" t="s">
        <v>417</v>
      </c>
      <c r="E9" s="82" t="s">
        <v>27</v>
      </c>
      <c r="F9" s="65" t="s">
        <v>28</v>
      </c>
      <c r="G9" s="58"/>
      <c r="H9" s="58"/>
      <c r="I9" s="58"/>
    </row>
    <row r="10" spans="1:9" ht="16.2" customHeight="1" thickBot="1">
      <c r="A10" s="60">
        <v>6</v>
      </c>
      <c r="B10" s="63" t="s">
        <v>29</v>
      </c>
      <c r="C10" s="64" t="s">
        <v>30</v>
      </c>
      <c r="D10" s="79" t="s">
        <v>31</v>
      </c>
      <c r="E10" s="82" t="s">
        <v>32</v>
      </c>
      <c r="F10" s="65" t="s">
        <v>33</v>
      </c>
      <c r="G10" s="58"/>
      <c r="H10" s="58"/>
      <c r="I10" s="58"/>
    </row>
    <row r="11" spans="1:9" ht="16.2" customHeight="1" thickBot="1">
      <c r="A11" s="60">
        <v>7</v>
      </c>
      <c r="B11" s="63" t="s">
        <v>34</v>
      </c>
      <c r="C11" s="64" t="s">
        <v>35</v>
      </c>
      <c r="D11" s="79" t="s">
        <v>36</v>
      </c>
      <c r="E11" s="82" t="s">
        <v>37</v>
      </c>
      <c r="F11" s="65" t="s">
        <v>38</v>
      </c>
      <c r="G11" s="58"/>
      <c r="H11" s="58"/>
      <c r="I11" s="58"/>
    </row>
    <row r="12" spans="1:9" ht="16.2" customHeight="1" thickBot="1">
      <c r="A12" s="60">
        <v>8</v>
      </c>
      <c r="B12" s="63" t="s">
        <v>39</v>
      </c>
      <c r="C12" s="64" t="s">
        <v>40</v>
      </c>
      <c r="D12" s="79" t="s">
        <v>41</v>
      </c>
      <c r="E12" s="82" t="s">
        <v>42</v>
      </c>
      <c r="F12" s="65" t="s">
        <v>43</v>
      </c>
      <c r="G12" s="58"/>
      <c r="H12" s="58"/>
      <c r="I12" s="58"/>
    </row>
    <row r="13" spans="1:9" ht="16.2" customHeight="1" thickBot="1">
      <c r="A13" s="60">
        <v>9</v>
      </c>
      <c r="B13" s="63" t="s">
        <v>44</v>
      </c>
      <c r="C13" s="64" t="s">
        <v>45</v>
      </c>
      <c r="D13" s="79" t="s">
        <v>46</v>
      </c>
      <c r="E13" s="82" t="s">
        <v>47</v>
      </c>
      <c r="F13" s="65" t="s">
        <v>48</v>
      </c>
      <c r="G13" s="58"/>
      <c r="H13" s="58"/>
      <c r="I13" s="58"/>
    </row>
    <row r="14" spans="1:9" ht="16.2" customHeight="1" thickBot="1">
      <c r="A14" s="60">
        <v>10</v>
      </c>
      <c r="B14" s="63" t="s">
        <v>49</v>
      </c>
      <c r="C14" s="64" t="s">
        <v>50</v>
      </c>
      <c r="D14" s="79" t="s">
        <v>51</v>
      </c>
      <c r="E14" s="82" t="s">
        <v>52</v>
      </c>
      <c r="F14" s="65" t="s">
        <v>53</v>
      </c>
      <c r="G14" s="58"/>
      <c r="H14" s="58"/>
      <c r="I14" s="58"/>
    </row>
    <row r="15" spans="1:9" ht="16.2" customHeight="1" thickBot="1">
      <c r="A15" s="60">
        <v>11</v>
      </c>
      <c r="B15" s="63" t="s">
        <v>54</v>
      </c>
      <c r="C15" s="64" t="s">
        <v>55</v>
      </c>
      <c r="D15" s="79" t="s">
        <v>56</v>
      </c>
      <c r="E15" s="82" t="s">
        <v>57</v>
      </c>
      <c r="F15" s="65" t="s">
        <v>58</v>
      </c>
      <c r="G15" s="58"/>
      <c r="H15" s="58"/>
      <c r="I15" s="58"/>
    </row>
    <row r="16" spans="1:9" ht="16.2" customHeight="1" thickBot="1">
      <c r="A16" s="60">
        <v>12</v>
      </c>
      <c r="B16" s="63" t="s">
        <v>59</v>
      </c>
      <c r="C16" s="64" t="s">
        <v>60</v>
      </c>
      <c r="D16" s="79" t="s">
        <v>61</v>
      </c>
      <c r="E16" s="82" t="s">
        <v>62</v>
      </c>
      <c r="F16" s="65" t="s">
        <v>63</v>
      </c>
      <c r="G16" s="58"/>
      <c r="H16" s="58"/>
      <c r="I16" s="58"/>
    </row>
    <row r="17" spans="1:9" ht="16.2" customHeight="1" thickBot="1">
      <c r="A17" s="60">
        <v>13</v>
      </c>
      <c r="B17" s="63" t="s">
        <v>64</v>
      </c>
      <c r="C17" s="64" t="s">
        <v>65</v>
      </c>
      <c r="D17" s="79" t="s">
        <v>66</v>
      </c>
      <c r="E17" s="82" t="s">
        <v>67</v>
      </c>
      <c r="F17" s="65" t="s">
        <v>68</v>
      </c>
      <c r="G17" s="58"/>
      <c r="H17" s="58"/>
      <c r="I17" s="58"/>
    </row>
    <row r="18" spans="1:9" ht="16.2" customHeight="1" thickBot="1">
      <c r="A18" s="60">
        <v>14</v>
      </c>
      <c r="B18" s="84" t="s">
        <v>69</v>
      </c>
      <c r="C18" s="85" t="s">
        <v>70</v>
      </c>
      <c r="D18" s="84" t="s">
        <v>71</v>
      </c>
      <c r="E18" s="89" t="s">
        <v>72</v>
      </c>
      <c r="F18" s="91"/>
      <c r="G18" s="58"/>
      <c r="H18" s="58"/>
      <c r="I18" s="58"/>
    </row>
    <row r="19" spans="1:9" ht="16.2" customHeight="1" thickBot="1">
      <c r="A19" s="60">
        <v>15</v>
      </c>
      <c r="B19" s="63" t="s">
        <v>73</v>
      </c>
      <c r="C19" s="64" t="s">
        <v>74</v>
      </c>
      <c r="D19" s="79" t="s">
        <v>75</v>
      </c>
      <c r="E19" s="82" t="s">
        <v>76</v>
      </c>
      <c r="F19" s="65" t="s">
        <v>77</v>
      </c>
      <c r="G19" s="58"/>
      <c r="H19" s="58"/>
      <c r="I19" s="58"/>
    </row>
    <row r="20" spans="1:9" ht="16.2" customHeight="1" thickBot="1">
      <c r="A20" s="60">
        <v>16</v>
      </c>
      <c r="B20" s="63" t="s">
        <v>78</v>
      </c>
      <c r="C20" s="64" t="s">
        <v>79</v>
      </c>
      <c r="D20" s="79" t="s">
        <v>80</v>
      </c>
      <c r="E20" s="82" t="s">
        <v>81</v>
      </c>
      <c r="F20" s="65" t="s">
        <v>82</v>
      </c>
      <c r="G20" s="58"/>
      <c r="H20" s="58"/>
      <c r="I20" s="58"/>
    </row>
    <row r="21" spans="1:9" ht="16.2" customHeight="1" thickBot="1">
      <c r="A21" s="60">
        <v>17</v>
      </c>
      <c r="B21" s="63" t="s">
        <v>83</v>
      </c>
      <c r="C21" s="64" t="s">
        <v>84</v>
      </c>
      <c r="D21" s="79" t="s">
        <v>85</v>
      </c>
      <c r="E21" s="82" t="s">
        <v>86</v>
      </c>
      <c r="F21" s="65" t="s">
        <v>87</v>
      </c>
      <c r="G21" s="58"/>
      <c r="H21" s="58"/>
      <c r="I21" s="58"/>
    </row>
    <row r="22" spans="1:9" ht="16.2" customHeight="1" thickBot="1">
      <c r="A22" s="60">
        <v>18</v>
      </c>
      <c r="B22" s="63" t="s">
        <v>88</v>
      </c>
      <c r="C22" s="64" t="s">
        <v>89</v>
      </c>
      <c r="D22" s="79" t="s">
        <v>90</v>
      </c>
      <c r="E22" s="82" t="s">
        <v>91</v>
      </c>
      <c r="F22" s="65" t="s">
        <v>92</v>
      </c>
      <c r="G22" s="58"/>
      <c r="H22" s="58"/>
      <c r="I22" s="58"/>
    </row>
    <row r="23" spans="1:9" ht="16.2" customHeight="1" thickBot="1">
      <c r="A23" s="60">
        <v>19</v>
      </c>
      <c r="B23" s="63" t="s">
        <v>93</v>
      </c>
      <c r="C23" s="64" t="s">
        <v>94</v>
      </c>
      <c r="D23" s="79" t="s">
        <v>95</v>
      </c>
      <c r="E23" s="82" t="s">
        <v>96</v>
      </c>
      <c r="F23" s="65" t="s">
        <v>97</v>
      </c>
      <c r="G23" s="58"/>
      <c r="H23" s="58"/>
      <c r="I23" s="58"/>
    </row>
    <row r="24" spans="1:9" ht="16.2" customHeight="1" thickBot="1">
      <c r="A24" s="60">
        <v>20</v>
      </c>
      <c r="B24" s="63" t="s">
        <v>98</v>
      </c>
      <c r="C24" s="64" t="s">
        <v>99</v>
      </c>
      <c r="D24" s="79" t="s">
        <v>100</v>
      </c>
      <c r="E24" s="82" t="s">
        <v>101</v>
      </c>
      <c r="F24" s="65" t="s">
        <v>102</v>
      </c>
      <c r="G24" s="58"/>
      <c r="H24" s="58"/>
      <c r="I24" s="58"/>
    </row>
    <row r="25" spans="1:9" ht="16.2" customHeight="1" thickBot="1">
      <c r="A25" s="60">
        <v>21</v>
      </c>
      <c r="B25" s="63" t="s">
        <v>103</v>
      </c>
      <c r="C25" s="64" t="s">
        <v>104</v>
      </c>
      <c r="D25" s="79" t="s">
        <v>105</v>
      </c>
      <c r="E25" s="82" t="s">
        <v>106</v>
      </c>
      <c r="F25" s="65" t="s">
        <v>107</v>
      </c>
      <c r="G25" s="58"/>
      <c r="H25" s="58"/>
      <c r="I25" s="58"/>
    </row>
    <row r="26" spans="1:9" ht="16.2" customHeight="1" thickBot="1">
      <c r="A26" s="60">
        <v>22</v>
      </c>
      <c r="B26" s="63" t="s">
        <v>108</v>
      </c>
      <c r="C26" s="64" t="s">
        <v>109</v>
      </c>
      <c r="D26" s="79" t="s">
        <v>110</v>
      </c>
      <c r="E26" s="82" t="s">
        <v>111</v>
      </c>
      <c r="F26" s="65" t="s">
        <v>112</v>
      </c>
      <c r="G26" s="58"/>
      <c r="H26" s="58"/>
      <c r="I26" s="58"/>
    </row>
    <row r="27" spans="1:9" ht="16.2" customHeight="1" thickBot="1">
      <c r="A27" s="60">
        <v>23</v>
      </c>
      <c r="B27" s="63" t="s">
        <v>113</v>
      </c>
      <c r="C27" s="64" t="s">
        <v>114</v>
      </c>
      <c r="D27" s="79" t="s">
        <v>115</v>
      </c>
      <c r="E27" s="82" t="s">
        <v>116</v>
      </c>
      <c r="F27" s="65" t="s">
        <v>117</v>
      </c>
      <c r="G27" s="58"/>
      <c r="H27" s="58"/>
      <c r="I27" s="58"/>
    </row>
    <row r="28" spans="1:9" ht="16.2" customHeight="1" thickBot="1">
      <c r="A28" s="60">
        <v>24</v>
      </c>
      <c r="B28" s="63" t="s">
        <v>118</v>
      </c>
      <c r="C28" s="64" t="s">
        <v>119</v>
      </c>
      <c r="D28" s="79" t="s">
        <v>120</v>
      </c>
      <c r="E28" s="82" t="s">
        <v>121</v>
      </c>
      <c r="F28" s="65" t="s">
        <v>122</v>
      </c>
      <c r="G28" s="58"/>
      <c r="H28" s="58"/>
      <c r="I28" s="58"/>
    </row>
    <row r="29" spans="1:9" ht="16.2" customHeight="1" thickBot="1">
      <c r="A29" s="60">
        <v>25</v>
      </c>
      <c r="B29" s="63" t="s">
        <v>123</v>
      </c>
      <c r="C29" s="64" t="s">
        <v>124</v>
      </c>
      <c r="D29" s="79" t="s">
        <v>125</v>
      </c>
      <c r="E29" s="82" t="s">
        <v>126</v>
      </c>
      <c r="F29" s="65" t="s">
        <v>127</v>
      </c>
      <c r="G29" s="58"/>
      <c r="H29" s="58"/>
      <c r="I29" s="58"/>
    </row>
    <row r="30" spans="1:9" ht="16.2" customHeight="1" thickBot="1">
      <c r="A30" s="60">
        <v>26</v>
      </c>
      <c r="B30" s="63" t="s">
        <v>128</v>
      </c>
      <c r="C30" s="64" t="s">
        <v>129</v>
      </c>
      <c r="D30" s="79" t="s">
        <v>130</v>
      </c>
      <c r="E30" s="82" t="s">
        <v>131</v>
      </c>
      <c r="F30" s="65" t="s">
        <v>132</v>
      </c>
      <c r="G30" s="58"/>
      <c r="H30" s="58"/>
      <c r="I30" s="58"/>
    </row>
    <row r="31" spans="1:9" ht="16.2" customHeight="1" thickBot="1">
      <c r="A31" s="60">
        <v>27</v>
      </c>
      <c r="B31" s="63" t="s">
        <v>133</v>
      </c>
      <c r="C31" s="64" t="s">
        <v>134</v>
      </c>
      <c r="D31" s="79" t="s">
        <v>135</v>
      </c>
      <c r="E31" s="82" t="s">
        <v>136</v>
      </c>
      <c r="F31" s="65" t="s">
        <v>137</v>
      </c>
      <c r="G31" s="58"/>
      <c r="H31" s="58"/>
      <c r="I31" s="58"/>
    </row>
    <row r="32" spans="1:9" ht="16.2" customHeight="1" thickBot="1">
      <c r="A32" s="60">
        <v>28</v>
      </c>
      <c r="B32" s="63" t="s">
        <v>138</v>
      </c>
      <c r="C32" s="64" t="s">
        <v>139</v>
      </c>
      <c r="D32" s="79" t="s">
        <v>140</v>
      </c>
      <c r="E32" s="82" t="s">
        <v>141</v>
      </c>
      <c r="F32" s="65" t="s">
        <v>63</v>
      </c>
      <c r="G32" s="58"/>
      <c r="H32" s="58"/>
      <c r="I32" s="58"/>
    </row>
    <row r="33" spans="1:9" ht="16.2" customHeight="1" thickBot="1">
      <c r="A33" s="60">
        <v>29</v>
      </c>
      <c r="B33" s="63" t="s">
        <v>142</v>
      </c>
      <c r="C33" s="64" t="s">
        <v>143</v>
      </c>
      <c r="D33" s="79" t="s">
        <v>144</v>
      </c>
      <c r="E33" s="83">
        <v>3002021430</v>
      </c>
      <c r="F33" s="65" t="s">
        <v>145</v>
      </c>
      <c r="G33" s="58"/>
      <c r="H33" s="58"/>
      <c r="I33" s="58"/>
    </row>
    <row r="34" spans="1:9" ht="16.2" customHeight="1" thickBot="1">
      <c r="A34" s="60">
        <v>30</v>
      </c>
      <c r="B34" s="63" t="s">
        <v>146</v>
      </c>
      <c r="C34" s="64" t="s">
        <v>147</v>
      </c>
      <c r="D34" s="79" t="s">
        <v>148</v>
      </c>
      <c r="E34" s="82" t="s">
        <v>149</v>
      </c>
      <c r="F34" s="65" t="s">
        <v>150</v>
      </c>
      <c r="G34" s="58"/>
      <c r="H34" s="58"/>
      <c r="I34" s="58"/>
    </row>
    <row r="35" spans="1:9" ht="16.2" customHeight="1" thickBot="1">
      <c r="A35" s="60">
        <v>31</v>
      </c>
      <c r="B35" s="63" t="s">
        <v>151</v>
      </c>
      <c r="C35" s="64" t="s">
        <v>152</v>
      </c>
      <c r="D35" s="79" t="s">
        <v>153</v>
      </c>
      <c r="E35" s="83">
        <v>3332110598</v>
      </c>
      <c r="F35" s="65" t="s">
        <v>154</v>
      </c>
      <c r="G35" s="58"/>
      <c r="H35" s="58"/>
      <c r="I35" s="58"/>
    </row>
    <row r="36" spans="1:9" ht="16.2" customHeight="1" thickBot="1">
      <c r="A36" s="60">
        <v>32</v>
      </c>
      <c r="B36" s="63" t="s">
        <v>155</v>
      </c>
      <c r="C36" s="64" t="s">
        <v>156</v>
      </c>
      <c r="D36" s="79" t="s">
        <v>157</v>
      </c>
      <c r="E36" s="82" t="s">
        <v>158</v>
      </c>
      <c r="F36" s="65" t="s">
        <v>159</v>
      </c>
      <c r="G36" s="58"/>
      <c r="H36" s="58"/>
      <c r="I36" s="58"/>
    </row>
    <row r="37" spans="1:9" ht="16.2" customHeight="1" thickBot="1">
      <c r="A37" s="60">
        <v>33</v>
      </c>
      <c r="B37" s="63" t="s">
        <v>160</v>
      </c>
      <c r="C37" s="64" t="s">
        <v>161</v>
      </c>
      <c r="D37" s="79" t="s">
        <v>956</v>
      </c>
      <c r="E37" s="82" t="s">
        <v>162</v>
      </c>
      <c r="F37" s="65" t="s">
        <v>163</v>
      </c>
      <c r="G37" s="58"/>
      <c r="H37" s="58"/>
      <c r="I37" s="58"/>
    </row>
    <row r="38" spans="1:9" ht="16.2" customHeight="1" thickBot="1">
      <c r="A38" s="60">
        <v>34</v>
      </c>
      <c r="B38" s="63" t="s">
        <v>164</v>
      </c>
      <c r="C38" s="64" t="s">
        <v>165</v>
      </c>
      <c r="D38" s="79" t="s">
        <v>166</v>
      </c>
      <c r="E38" s="82" t="s">
        <v>167</v>
      </c>
      <c r="F38" s="65" t="s">
        <v>168</v>
      </c>
      <c r="G38" s="58"/>
      <c r="H38" s="58"/>
      <c r="I38" s="58"/>
    </row>
    <row r="39" spans="1:9" ht="16.2" customHeight="1" thickBot="1">
      <c r="A39" s="60">
        <v>35</v>
      </c>
      <c r="B39" s="63" t="s">
        <v>173</v>
      </c>
      <c r="C39" s="64" t="s">
        <v>174</v>
      </c>
      <c r="D39" s="79" t="s">
        <v>966</v>
      </c>
      <c r="E39" s="82" t="s">
        <v>175</v>
      </c>
      <c r="F39" s="65" t="s">
        <v>176</v>
      </c>
      <c r="G39" s="58"/>
      <c r="H39" s="58"/>
      <c r="I39" s="58"/>
    </row>
    <row r="40" spans="1:9" ht="16.2" customHeight="1" thickBot="1">
      <c r="A40" s="60">
        <v>36</v>
      </c>
      <c r="B40" s="63" t="s">
        <v>177</v>
      </c>
      <c r="C40" s="64" t="s">
        <v>178</v>
      </c>
      <c r="D40" s="79" t="s">
        <v>179</v>
      </c>
      <c r="E40" s="82" t="s">
        <v>180</v>
      </c>
      <c r="F40" s="65" t="s">
        <v>181</v>
      </c>
      <c r="G40" s="58"/>
      <c r="H40" s="58"/>
      <c r="I40" s="58"/>
    </row>
    <row r="41" spans="1:9" ht="16.2" customHeight="1" thickBot="1">
      <c r="A41" s="60">
        <v>37</v>
      </c>
      <c r="B41" s="63" t="s">
        <v>182</v>
      </c>
      <c r="C41" s="64" t="s">
        <v>183</v>
      </c>
      <c r="D41" s="79" t="s">
        <v>184</v>
      </c>
      <c r="E41" s="82" t="s">
        <v>185</v>
      </c>
      <c r="F41" s="65" t="s">
        <v>186</v>
      </c>
      <c r="G41" s="58"/>
      <c r="H41" s="58"/>
      <c r="I41" s="58"/>
    </row>
    <row r="42" spans="1:9" ht="16.2" customHeight="1" thickBot="1">
      <c r="A42" s="60">
        <v>38</v>
      </c>
      <c r="B42" s="63" t="s">
        <v>187</v>
      </c>
      <c r="C42" s="64" t="s">
        <v>188</v>
      </c>
      <c r="D42" s="79" t="s">
        <v>189</v>
      </c>
      <c r="E42" s="82" t="s">
        <v>190</v>
      </c>
      <c r="F42" s="65" t="s">
        <v>191</v>
      </c>
      <c r="G42" s="58"/>
      <c r="H42" s="58"/>
      <c r="I42" s="58"/>
    </row>
    <row r="43" spans="1:9" ht="16.2" customHeight="1" thickBot="1">
      <c r="A43" s="60">
        <v>39</v>
      </c>
      <c r="B43" s="63" t="s">
        <v>192</v>
      </c>
      <c r="C43" s="64" t="s">
        <v>193</v>
      </c>
      <c r="D43" s="79" t="s">
        <v>194</v>
      </c>
      <c r="E43" s="82" t="s">
        <v>195</v>
      </c>
      <c r="F43" s="65" t="s">
        <v>196</v>
      </c>
      <c r="G43" s="58"/>
      <c r="H43" s="58"/>
      <c r="I43" s="58"/>
    </row>
    <row r="44" spans="1:9" ht="16.2" customHeight="1" thickBot="1">
      <c r="A44" s="60">
        <v>40</v>
      </c>
      <c r="B44" s="63" t="s">
        <v>197</v>
      </c>
      <c r="C44" s="64" t="s">
        <v>198</v>
      </c>
      <c r="D44" s="79" t="s">
        <v>199</v>
      </c>
      <c r="E44" s="82" t="s">
        <v>200</v>
      </c>
      <c r="F44" s="65" t="s">
        <v>201</v>
      </c>
      <c r="G44" s="58"/>
      <c r="H44" s="58"/>
      <c r="I44" s="58"/>
    </row>
    <row r="45" spans="1:9" ht="16.2" customHeight="1" thickBot="1">
      <c r="A45" s="60">
        <v>41</v>
      </c>
      <c r="B45" s="63" t="s">
        <v>202</v>
      </c>
      <c r="C45" s="64" t="s">
        <v>203</v>
      </c>
      <c r="D45" s="79" t="s">
        <v>204</v>
      </c>
      <c r="E45" s="82" t="s">
        <v>205</v>
      </c>
      <c r="F45" s="65" t="s">
        <v>206</v>
      </c>
      <c r="G45" s="58"/>
      <c r="H45" s="58"/>
      <c r="I45" s="58"/>
    </row>
    <row r="46" spans="1:9" ht="16.2" customHeight="1" thickBot="1">
      <c r="A46" s="60">
        <v>42</v>
      </c>
      <c r="B46" s="63" t="s">
        <v>795</v>
      </c>
      <c r="C46" s="64" t="s">
        <v>796</v>
      </c>
      <c r="D46" s="79" t="s">
        <v>797</v>
      </c>
      <c r="E46" s="82">
        <v>3332149596</v>
      </c>
      <c r="F46" s="65" t="s">
        <v>798</v>
      </c>
      <c r="G46" s="58"/>
      <c r="H46" s="58"/>
      <c r="I46" s="58"/>
    </row>
    <row r="47" spans="1:9" ht="16.2" customHeight="1" thickBot="1">
      <c r="A47" s="60">
        <v>43</v>
      </c>
      <c r="B47" s="63" t="s">
        <v>207</v>
      </c>
      <c r="C47" s="64" t="s">
        <v>208</v>
      </c>
      <c r="D47" s="79" t="s">
        <v>209</v>
      </c>
      <c r="E47" s="82" t="s">
        <v>210</v>
      </c>
      <c r="F47" s="65" t="s">
        <v>211</v>
      </c>
      <c r="G47" s="58"/>
      <c r="H47" s="58"/>
      <c r="I47" s="58"/>
    </row>
    <row r="48" spans="1:9" ht="16.2" customHeight="1" thickBot="1">
      <c r="A48" s="60">
        <v>44</v>
      </c>
      <c r="B48" s="63" t="s">
        <v>212</v>
      </c>
      <c r="C48" s="64" t="s">
        <v>213</v>
      </c>
      <c r="D48" s="79" t="s">
        <v>214</v>
      </c>
      <c r="E48" s="82" t="s">
        <v>215</v>
      </c>
      <c r="F48" s="65" t="s">
        <v>216</v>
      </c>
      <c r="G48" s="58"/>
      <c r="H48" s="58"/>
      <c r="I48" s="58"/>
    </row>
    <row r="49" spans="1:9" ht="16.2" customHeight="1" thickBot="1">
      <c r="A49" s="60">
        <v>45</v>
      </c>
      <c r="B49" s="63" t="s">
        <v>217</v>
      </c>
      <c r="C49" s="64" t="s">
        <v>218</v>
      </c>
      <c r="D49" s="79" t="s">
        <v>219</v>
      </c>
      <c r="E49" s="83">
        <v>3002788801</v>
      </c>
      <c r="F49" s="65" t="s">
        <v>220</v>
      </c>
      <c r="G49" s="58"/>
      <c r="H49" s="58"/>
      <c r="I49" s="58"/>
    </row>
    <row r="50" spans="1:9" ht="16.2" customHeight="1" thickBot="1">
      <c r="A50" s="60">
        <v>46</v>
      </c>
      <c r="B50" s="63" t="s">
        <v>221</v>
      </c>
      <c r="C50" s="64" t="s">
        <v>222</v>
      </c>
      <c r="D50" s="79" t="s">
        <v>223</v>
      </c>
      <c r="E50" s="82" t="s">
        <v>224</v>
      </c>
      <c r="F50" s="65" t="s">
        <v>225</v>
      </c>
      <c r="G50" s="58"/>
      <c r="H50" s="58"/>
      <c r="I50" s="58"/>
    </row>
    <row r="51" spans="1:9" ht="16.2" customHeight="1" thickBot="1">
      <c r="A51" s="60">
        <v>47</v>
      </c>
      <c r="B51" s="63" t="s">
        <v>226</v>
      </c>
      <c r="C51" s="64" t="s">
        <v>227</v>
      </c>
      <c r="D51" s="79" t="s">
        <v>957</v>
      </c>
      <c r="E51" s="82" t="s">
        <v>228</v>
      </c>
      <c r="F51" s="65" t="s">
        <v>229</v>
      </c>
      <c r="G51" s="58"/>
      <c r="H51" s="58"/>
      <c r="I51" s="58"/>
    </row>
    <row r="52" spans="1:9" ht="16.2" customHeight="1" thickBot="1">
      <c r="A52" s="60">
        <v>48</v>
      </c>
      <c r="B52" s="63" t="s">
        <v>230</v>
      </c>
      <c r="C52" s="64" t="s">
        <v>231</v>
      </c>
      <c r="D52" s="79" t="s">
        <v>232</v>
      </c>
      <c r="E52" s="82" t="s">
        <v>233</v>
      </c>
      <c r="F52" s="65" t="s">
        <v>234</v>
      </c>
      <c r="G52" s="58"/>
      <c r="H52" s="58"/>
      <c r="I52" s="58"/>
    </row>
    <row r="53" spans="1:9" ht="16.2" customHeight="1" thickBot="1">
      <c r="A53" s="60">
        <v>49</v>
      </c>
      <c r="B53" s="63" t="s">
        <v>235</v>
      </c>
      <c r="C53" s="64" t="s">
        <v>236</v>
      </c>
      <c r="D53" s="79" t="s">
        <v>237</v>
      </c>
      <c r="E53" s="82" t="s">
        <v>238</v>
      </c>
      <c r="F53" s="65" t="s">
        <v>239</v>
      </c>
      <c r="G53" s="58"/>
      <c r="H53" s="58"/>
      <c r="I53" s="58"/>
    </row>
    <row r="54" spans="1:9" ht="16.2" customHeight="1" thickBot="1">
      <c r="A54" s="60">
        <v>50</v>
      </c>
      <c r="B54" s="63" t="s">
        <v>240</v>
      </c>
      <c r="C54" s="64" t="s">
        <v>241</v>
      </c>
      <c r="D54" s="79" t="s">
        <v>970</v>
      </c>
      <c r="E54" s="82" t="s">
        <v>242</v>
      </c>
      <c r="F54" s="65" t="s">
        <v>243</v>
      </c>
      <c r="G54" s="58"/>
      <c r="H54" s="58"/>
      <c r="I54" s="58"/>
    </row>
    <row r="55" spans="1:9" ht="16.2" customHeight="1" thickBot="1">
      <c r="A55" s="60">
        <v>51</v>
      </c>
      <c r="B55" s="63" t="s">
        <v>244</v>
      </c>
      <c r="C55" s="64" t="s">
        <v>245</v>
      </c>
      <c r="D55" s="79" t="s">
        <v>246</v>
      </c>
      <c r="E55" s="82" t="s">
        <v>247</v>
      </c>
      <c r="F55" s="65" t="s">
        <v>248</v>
      </c>
      <c r="G55" s="58"/>
      <c r="H55" s="58"/>
      <c r="I55" s="58"/>
    </row>
    <row r="56" spans="1:9" ht="16.2" customHeight="1" thickBot="1">
      <c r="A56" s="60">
        <v>52</v>
      </c>
      <c r="B56" s="63" t="s">
        <v>249</v>
      </c>
      <c r="C56" s="64" t="s">
        <v>250</v>
      </c>
      <c r="D56" s="79" t="s">
        <v>251</v>
      </c>
      <c r="E56" s="82" t="s">
        <v>252</v>
      </c>
      <c r="F56" s="65" t="s">
        <v>253</v>
      </c>
      <c r="G56" s="58"/>
      <c r="H56" s="58"/>
      <c r="I56" s="58"/>
    </row>
    <row r="57" spans="1:9" ht="16.2" customHeight="1" thickBot="1">
      <c r="A57" s="60">
        <v>53</v>
      </c>
      <c r="B57" s="63" t="s">
        <v>254</v>
      </c>
      <c r="C57" s="64" t="s">
        <v>255</v>
      </c>
      <c r="D57" s="79" t="s">
        <v>958</v>
      </c>
      <c r="E57" s="82" t="s">
        <v>256</v>
      </c>
      <c r="F57" s="65" t="s">
        <v>257</v>
      </c>
      <c r="G57" s="58"/>
      <c r="H57" s="58"/>
      <c r="I57" s="58"/>
    </row>
    <row r="58" spans="1:9" ht="16.2" customHeight="1" thickBot="1">
      <c r="A58" s="60">
        <v>54</v>
      </c>
      <c r="B58" s="84" t="s">
        <v>258</v>
      </c>
      <c r="C58" s="85" t="s">
        <v>980</v>
      </c>
      <c r="D58" s="86" t="s">
        <v>260</v>
      </c>
      <c r="E58" s="89" t="s">
        <v>261</v>
      </c>
      <c r="F58" s="91" t="s">
        <v>262</v>
      </c>
      <c r="H58" s="58"/>
      <c r="I58" s="58"/>
    </row>
    <row r="59" spans="1:9" ht="16.2" customHeight="1" thickBot="1">
      <c r="A59" s="60">
        <v>55</v>
      </c>
      <c r="B59" s="84" t="s">
        <v>263</v>
      </c>
      <c r="C59" s="85" t="s">
        <v>264</v>
      </c>
      <c r="D59" s="86" t="s">
        <v>265</v>
      </c>
      <c r="E59" s="89" t="s">
        <v>266</v>
      </c>
      <c r="F59" s="91" t="s">
        <v>267</v>
      </c>
      <c r="H59" s="58"/>
      <c r="I59" s="58"/>
    </row>
    <row r="60" spans="1:9" ht="16.2" customHeight="1" thickBot="1">
      <c r="A60" s="60">
        <v>56</v>
      </c>
      <c r="B60" s="84" t="s">
        <v>268</v>
      </c>
      <c r="C60" s="85" t="s">
        <v>269</v>
      </c>
      <c r="D60" s="86" t="s">
        <v>270</v>
      </c>
      <c r="E60" s="89" t="s">
        <v>271</v>
      </c>
      <c r="F60" s="91" t="s">
        <v>272</v>
      </c>
      <c r="H60" s="58"/>
      <c r="I60" s="58"/>
    </row>
    <row r="61" spans="1:9" ht="16.2" customHeight="1" thickBot="1">
      <c r="A61" s="60">
        <v>57</v>
      </c>
      <c r="B61" s="84" t="s">
        <v>273</v>
      </c>
      <c r="C61" s="85" t="s">
        <v>274</v>
      </c>
      <c r="D61" s="86" t="s">
        <v>275</v>
      </c>
      <c r="E61" s="89" t="s">
        <v>276</v>
      </c>
      <c r="F61" s="91" t="s">
        <v>277</v>
      </c>
      <c r="H61" s="58"/>
      <c r="I61" s="58"/>
    </row>
    <row r="62" spans="1:9" ht="16.2" customHeight="1" thickBot="1">
      <c r="A62" s="60">
        <v>58</v>
      </c>
      <c r="B62" s="84" t="s">
        <v>278</v>
      </c>
      <c r="C62" s="85" t="s">
        <v>495</v>
      </c>
      <c r="D62" s="86" t="s">
        <v>279</v>
      </c>
      <c r="E62" s="89" t="s">
        <v>280</v>
      </c>
      <c r="F62" s="91" t="s">
        <v>281</v>
      </c>
      <c r="H62" s="58"/>
      <c r="I62" s="58"/>
    </row>
    <row r="63" spans="1:9" ht="16.2" customHeight="1" thickBot="1">
      <c r="A63" s="60">
        <v>59</v>
      </c>
      <c r="B63" s="113" t="s">
        <v>282</v>
      </c>
      <c r="C63" s="114" t="s">
        <v>283</v>
      </c>
      <c r="D63" s="86" t="s">
        <v>284</v>
      </c>
      <c r="E63" s="89" t="s">
        <v>285</v>
      </c>
      <c r="F63" s="91" t="s">
        <v>286</v>
      </c>
      <c r="H63" s="58"/>
      <c r="I63" s="58"/>
    </row>
    <row r="64" spans="1:9" ht="16.2" customHeight="1" thickBot="1">
      <c r="A64" s="60">
        <v>60</v>
      </c>
      <c r="B64" s="84" t="s">
        <v>287</v>
      </c>
      <c r="C64" s="85" t="s">
        <v>288</v>
      </c>
      <c r="D64" s="86" t="s">
        <v>289</v>
      </c>
      <c r="E64" s="89" t="s">
        <v>290</v>
      </c>
      <c r="F64" s="91" t="s">
        <v>291</v>
      </c>
      <c r="H64" s="58"/>
      <c r="I64" s="58"/>
    </row>
    <row r="65" spans="1:9" ht="16.2" customHeight="1" thickBot="1">
      <c r="A65" s="60">
        <v>61</v>
      </c>
      <c r="B65" s="84" t="s">
        <v>296</v>
      </c>
      <c r="C65" s="85" t="s">
        <v>297</v>
      </c>
      <c r="D65" s="86" t="s">
        <v>298</v>
      </c>
      <c r="E65" s="89" t="s">
        <v>299</v>
      </c>
      <c r="F65" s="91" t="s">
        <v>300</v>
      </c>
      <c r="H65" s="58"/>
      <c r="I65" s="58"/>
    </row>
    <row r="66" spans="1:9" ht="16.2" customHeight="1" thickBot="1">
      <c r="A66" s="60">
        <v>62</v>
      </c>
      <c r="B66" s="84" t="s">
        <v>301</v>
      </c>
      <c r="C66" s="85" t="s">
        <v>302</v>
      </c>
      <c r="D66" s="86" t="s">
        <v>303</v>
      </c>
      <c r="E66" s="89" t="s">
        <v>304</v>
      </c>
      <c r="F66" s="97" t="s">
        <v>305</v>
      </c>
      <c r="H66" s="58"/>
      <c r="I66" s="58"/>
    </row>
    <row r="67" spans="1:9" ht="16.2" customHeight="1" thickBot="1">
      <c r="A67" s="60">
        <v>63</v>
      </c>
      <c r="B67" s="84" t="s">
        <v>306</v>
      </c>
      <c r="C67" s="85" t="s">
        <v>307</v>
      </c>
      <c r="D67" s="86" t="s">
        <v>981</v>
      </c>
      <c r="E67" s="87">
        <v>3212294044</v>
      </c>
      <c r="F67" s="97"/>
      <c r="H67" s="58"/>
      <c r="I67" s="58"/>
    </row>
    <row r="68" spans="1:9" ht="16.2" customHeight="1" thickBot="1">
      <c r="A68" s="60">
        <v>64</v>
      </c>
      <c r="B68" s="84" t="s">
        <v>308</v>
      </c>
      <c r="C68" s="85" t="s">
        <v>309</v>
      </c>
      <c r="D68" s="86" t="s">
        <v>310</v>
      </c>
      <c r="E68" s="87">
        <v>3453655775</v>
      </c>
      <c r="F68" s="97" t="s">
        <v>311</v>
      </c>
      <c r="H68" s="58"/>
      <c r="I68" s="58"/>
    </row>
    <row r="69" spans="1:9" ht="16.2" customHeight="1" thickBot="1">
      <c r="A69" s="60">
        <v>65</v>
      </c>
      <c r="B69" s="84" t="s">
        <v>312</v>
      </c>
      <c r="C69" s="85" t="s">
        <v>313</v>
      </c>
      <c r="D69" s="86" t="s">
        <v>314</v>
      </c>
      <c r="E69" s="87">
        <v>3003140270</v>
      </c>
      <c r="F69" s="97"/>
      <c r="H69" s="58"/>
      <c r="I69" s="58"/>
    </row>
    <row r="70" spans="1:9" ht="16.2" customHeight="1" thickBot="1">
      <c r="A70" s="60">
        <v>66</v>
      </c>
      <c r="B70" s="84" t="s">
        <v>315</v>
      </c>
      <c r="C70" s="85" t="s">
        <v>316</v>
      </c>
      <c r="D70" s="86" t="s">
        <v>317</v>
      </c>
      <c r="E70" s="89" t="s">
        <v>318</v>
      </c>
      <c r="F70" s="97"/>
      <c r="H70" s="58"/>
      <c r="I70" s="58"/>
    </row>
    <row r="71" spans="1:9" ht="16.2" customHeight="1" thickBot="1">
      <c r="A71" s="60">
        <v>67</v>
      </c>
      <c r="B71" s="84" t="s">
        <v>319</v>
      </c>
      <c r="C71" s="85" t="s">
        <v>320</v>
      </c>
      <c r="D71" s="86" t="s">
        <v>321</v>
      </c>
      <c r="E71" s="87">
        <v>3212684804</v>
      </c>
      <c r="F71" s="97" t="s">
        <v>322</v>
      </c>
      <c r="H71" s="58"/>
      <c r="I71" s="58"/>
    </row>
    <row r="72" spans="1:9" ht="16.2" customHeight="1" thickBot="1">
      <c r="A72" s="60">
        <v>68</v>
      </c>
      <c r="B72" s="63" t="s">
        <v>323</v>
      </c>
      <c r="C72" s="64" t="s">
        <v>324</v>
      </c>
      <c r="D72" s="79" t="s">
        <v>325</v>
      </c>
      <c r="E72" s="82" t="s">
        <v>326</v>
      </c>
      <c r="F72" s="98" t="s">
        <v>327</v>
      </c>
      <c r="G72" s="58"/>
      <c r="H72" s="58"/>
      <c r="I72" s="58"/>
    </row>
    <row r="73" spans="1:9" ht="16.2" customHeight="1" thickBot="1">
      <c r="A73" s="60">
        <v>69</v>
      </c>
      <c r="B73" s="84" t="s">
        <v>328</v>
      </c>
      <c r="C73" s="85" t="s">
        <v>329</v>
      </c>
      <c r="D73" s="86" t="s">
        <v>330</v>
      </c>
      <c r="E73" s="89" t="s">
        <v>331</v>
      </c>
      <c r="F73" s="97" t="s">
        <v>332</v>
      </c>
      <c r="G73" s="58"/>
      <c r="H73" s="58"/>
      <c r="I73" s="58"/>
    </row>
    <row r="74" spans="1:9" ht="16.2" customHeight="1" thickBot="1">
      <c r="A74" s="60">
        <v>70</v>
      </c>
      <c r="B74" s="113" t="s">
        <v>446</v>
      </c>
      <c r="C74" s="114" t="s">
        <v>343</v>
      </c>
      <c r="D74" s="115" t="s">
        <v>344</v>
      </c>
      <c r="E74" s="87">
        <v>3012172230</v>
      </c>
      <c r="F74" s="97" t="s">
        <v>345</v>
      </c>
      <c r="G74" s="58"/>
      <c r="H74" s="58"/>
      <c r="I74" s="58"/>
    </row>
    <row r="75" spans="1:9" ht="16.2" customHeight="1" thickBot="1">
      <c r="A75" s="60">
        <v>71</v>
      </c>
      <c r="B75" s="84" t="s">
        <v>346</v>
      </c>
      <c r="C75" s="85" t="s">
        <v>347</v>
      </c>
      <c r="D75" s="86" t="s">
        <v>348</v>
      </c>
      <c r="E75" s="87">
        <v>3002020885</v>
      </c>
      <c r="F75" s="97" t="s">
        <v>349</v>
      </c>
      <c r="G75" s="58"/>
      <c r="H75" s="58"/>
      <c r="I75" s="58"/>
    </row>
    <row r="76" spans="1:9" ht="16.2" customHeight="1" thickBot="1">
      <c r="A76" s="60">
        <v>72</v>
      </c>
      <c r="B76" s="84" t="s">
        <v>350</v>
      </c>
      <c r="C76" s="85" t="s">
        <v>351</v>
      </c>
      <c r="D76" s="86" t="s">
        <v>967</v>
      </c>
      <c r="E76" s="87">
        <v>3219294138</v>
      </c>
      <c r="F76" s="97" t="s">
        <v>352</v>
      </c>
      <c r="G76" s="58"/>
      <c r="H76" s="58"/>
      <c r="I76" s="58"/>
    </row>
    <row r="77" spans="1:9" ht="16.2" customHeight="1" thickBot="1">
      <c r="A77" s="60">
        <v>73</v>
      </c>
      <c r="B77" s="84" t="s">
        <v>353</v>
      </c>
      <c r="C77" s="85" t="s">
        <v>463</v>
      </c>
      <c r="D77" s="115" t="s">
        <v>354</v>
      </c>
      <c r="E77" s="87">
        <v>3002231183</v>
      </c>
      <c r="F77" s="97" t="s">
        <v>355</v>
      </c>
      <c r="G77" s="58"/>
      <c r="H77" s="58"/>
      <c r="I77" s="58"/>
    </row>
    <row r="78" spans="1:9" ht="16.2" customHeight="1" thickBot="1">
      <c r="A78" s="60">
        <v>74</v>
      </c>
      <c r="B78" s="84" t="s">
        <v>356</v>
      </c>
      <c r="C78" s="85" t="s">
        <v>445</v>
      </c>
      <c r="D78" s="86" t="s">
        <v>357</v>
      </c>
      <c r="E78" s="87">
        <v>3002033090</v>
      </c>
      <c r="F78" s="97" t="s">
        <v>358</v>
      </c>
      <c r="G78" s="58"/>
      <c r="H78" s="58"/>
      <c r="I78" s="58"/>
    </row>
    <row r="79" spans="1:9" ht="16.2" customHeight="1" thickBot="1">
      <c r="A79" s="60">
        <v>75</v>
      </c>
      <c r="B79" s="90" t="s">
        <v>359</v>
      </c>
      <c r="C79" s="85" t="s">
        <v>360</v>
      </c>
      <c r="D79" s="86" t="s">
        <v>361</v>
      </c>
      <c r="E79" s="87">
        <v>3009278599</v>
      </c>
      <c r="F79" s="88"/>
      <c r="G79" s="59"/>
      <c r="H79" s="59"/>
      <c r="I79" s="59"/>
    </row>
    <row r="80" spans="1:9" ht="16.2" customHeight="1" thickBot="1">
      <c r="A80" s="60">
        <v>76</v>
      </c>
      <c r="B80" s="66" t="s">
        <v>390</v>
      </c>
      <c r="C80" s="64" t="s">
        <v>391</v>
      </c>
      <c r="D80" s="79" t="s">
        <v>676</v>
      </c>
      <c r="E80" s="83">
        <v>3460272783</v>
      </c>
      <c r="F80" s="67"/>
      <c r="G80" s="59"/>
      <c r="H80" s="59"/>
      <c r="I80" s="59"/>
    </row>
    <row r="81" spans="1:7" ht="16.2" customHeight="1" thickBot="1">
      <c r="A81" s="60">
        <v>77</v>
      </c>
      <c r="B81" s="63" t="s">
        <v>375</v>
      </c>
      <c r="C81" s="64" t="s">
        <v>379</v>
      </c>
      <c r="D81" s="79" t="s">
        <v>677</v>
      </c>
      <c r="E81" s="83">
        <v>3002241181</v>
      </c>
      <c r="F81" s="67"/>
      <c r="G81" s="58"/>
    </row>
    <row r="82" spans="1:7" ht="16.2" customHeight="1" thickBot="1">
      <c r="A82" s="60">
        <v>78</v>
      </c>
      <c r="B82" s="63" t="s">
        <v>377</v>
      </c>
      <c r="C82" s="64" t="s">
        <v>380</v>
      </c>
      <c r="D82" s="79" t="s">
        <v>969</v>
      </c>
      <c r="E82" s="83">
        <v>3003944127</v>
      </c>
      <c r="F82" s="67"/>
      <c r="G82" s="58"/>
    </row>
    <row r="83" spans="1:7" s="141" customFormat="1" ht="16.2" customHeight="1" thickBot="1">
      <c r="A83" s="60">
        <v>79</v>
      </c>
      <c r="B83" s="92" t="s">
        <v>374</v>
      </c>
      <c r="C83" s="93" t="s">
        <v>392</v>
      </c>
      <c r="D83" s="94" t="s">
        <v>678</v>
      </c>
      <c r="E83" s="95">
        <v>3452088967</v>
      </c>
      <c r="F83" s="96" t="s">
        <v>1050</v>
      </c>
    </row>
    <row r="84" spans="1:7" ht="16.2" customHeight="1" thickBot="1">
      <c r="A84" s="60">
        <v>80</v>
      </c>
      <c r="B84" s="63" t="s">
        <v>373</v>
      </c>
      <c r="C84" s="64" t="s">
        <v>381</v>
      </c>
      <c r="D84" s="79" t="s">
        <v>679</v>
      </c>
      <c r="E84" s="83">
        <v>3219275943</v>
      </c>
      <c r="F84" s="67"/>
    </row>
    <row r="85" spans="1:7" ht="16.2" customHeight="1" thickBot="1">
      <c r="A85" s="60">
        <v>81</v>
      </c>
      <c r="B85" s="84" t="s">
        <v>378</v>
      </c>
      <c r="C85" s="85" t="s">
        <v>382</v>
      </c>
      <c r="D85" s="86" t="s">
        <v>680</v>
      </c>
      <c r="E85" s="87">
        <v>3333777803</v>
      </c>
      <c r="F85" s="88"/>
    </row>
    <row r="86" spans="1:7" ht="16.2" customHeight="1" thickBot="1">
      <c r="A86" s="60">
        <v>82</v>
      </c>
      <c r="B86" s="63" t="s">
        <v>393</v>
      </c>
      <c r="C86" s="64" t="s">
        <v>394</v>
      </c>
      <c r="D86" s="79" t="s">
        <v>681</v>
      </c>
      <c r="E86" s="83">
        <v>3327296921</v>
      </c>
      <c r="F86" s="67"/>
    </row>
    <row r="87" spans="1:7" ht="16.2" customHeight="1" thickBot="1">
      <c r="A87" s="60">
        <v>83</v>
      </c>
      <c r="B87" s="63" t="s">
        <v>395</v>
      </c>
      <c r="C87" s="64" t="s">
        <v>396</v>
      </c>
      <c r="D87" s="79" t="s">
        <v>682</v>
      </c>
      <c r="E87" s="83">
        <v>3243461988</v>
      </c>
      <c r="F87" s="67"/>
    </row>
    <row r="88" spans="1:7" ht="16.2" customHeight="1" thickBot="1">
      <c r="A88" s="60">
        <v>84</v>
      </c>
      <c r="B88" s="63" t="s">
        <v>383</v>
      </c>
      <c r="C88" s="64" t="s">
        <v>384</v>
      </c>
      <c r="D88" s="79" t="s">
        <v>683</v>
      </c>
      <c r="E88" s="83">
        <v>3323394004</v>
      </c>
      <c r="F88" s="67"/>
    </row>
    <row r="89" spans="1:7" ht="16.2" customHeight="1" thickBot="1">
      <c r="A89" s="60">
        <v>85</v>
      </c>
      <c r="B89" s="63" t="s">
        <v>385</v>
      </c>
      <c r="C89" s="64" t="s">
        <v>386</v>
      </c>
      <c r="D89" s="79" t="s">
        <v>684</v>
      </c>
      <c r="E89" s="83">
        <v>3333211480</v>
      </c>
      <c r="F89" s="67"/>
    </row>
    <row r="90" spans="1:7" ht="16.2" customHeight="1" thickBot="1">
      <c r="A90" s="60">
        <v>86</v>
      </c>
      <c r="B90" s="63" t="s">
        <v>388</v>
      </c>
      <c r="C90" s="64" t="s">
        <v>387</v>
      </c>
      <c r="D90" s="79" t="s">
        <v>685</v>
      </c>
      <c r="E90" s="83" t="s">
        <v>971</v>
      </c>
      <c r="F90" s="67"/>
    </row>
    <row r="91" spans="1:7" ht="16.2" customHeight="1" thickBot="1">
      <c r="A91" s="60">
        <v>87</v>
      </c>
      <c r="B91" s="63" t="s">
        <v>376</v>
      </c>
      <c r="C91" s="64" t="s">
        <v>389</v>
      </c>
      <c r="D91" s="79" t="s">
        <v>686</v>
      </c>
      <c r="E91" s="83"/>
      <c r="F91" s="67"/>
    </row>
    <row r="92" spans="1:7" ht="16.2" customHeight="1" thickBot="1">
      <c r="A92" s="60">
        <v>88</v>
      </c>
      <c r="B92" s="63" t="s">
        <v>428</v>
      </c>
      <c r="C92" s="64" t="s">
        <v>429</v>
      </c>
      <c r="D92" s="79" t="s">
        <v>968</v>
      </c>
      <c r="E92" s="83"/>
      <c r="F92" s="68"/>
    </row>
    <row r="93" spans="1:7" ht="16.2" customHeight="1" thickBot="1">
      <c r="A93" s="60">
        <v>89</v>
      </c>
      <c r="B93" s="63" t="s">
        <v>424</v>
      </c>
      <c r="C93" s="64" t="s">
        <v>425</v>
      </c>
      <c r="D93" s="79" t="s">
        <v>687</v>
      </c>
      <c r="E93" s="83"/>
      <c r="F93" s="67"/>
    </row>
    <row r="94" spans="1:7" ht="16.2" customHeight="1" thickBot="1">
      <c r="A94" s="60">
        <v>90</v>
      </c>
      <c r="B94" s="63" t="s">
        <v>421</v>
      </c>
      <c r="C94" s="64" t="s">
        <v>422</v>
      </c>
      <c r="D94" s="79" t="s">
        <v>688</v>
      </c>
      <c r="E94" s="83"/>
      <c r="F94" s="67"/>
    </row>
    <row r="95" spans="1:7" ht="16.2" customHeight="1" thickBot="1">
      <c r="A95" s="60">
        <v>91</v>
      </c>
      <c r="B95" s="63" t="s">
        <v>430</v>
      </c>
      <c r="C95" s="64" t="s">
        <v>431</v>
      </c>
      <c r="D95" s="79" t="s">
        <v>689</v>
      </c>
      <c r="E95" s="83"/>
      <c r="F95" s="67"/>
    </row>
    <row r="96" spans="1:7" ht="16.2" customHeight="1" thickBot="1">
      <c r="A96" s="60">
        <v>92</v>
      </c>
      <c r="B96" s="63" t="s">
        <v>420</v>
      </c>
      <c r="C96" s="64" t="s">
        <v>423</v>
      </c>
      <c r="D96" s="79" t="s">
        <v>690</v>
      </c>
      <c r="E96" s="83"/>
      <c r="F96" s="67"/>
    </row>
    <row r="97" spans="1:7" ht="16.2" customHeight="1" thickBot="1">
      <c r="A97" s="60">
        <v>93</v>
      </c>
      <c r="B97" s="63" t="s">
        <v>418</v>
      </c>
      <c r="C97" s="64" t="s">
        <v>419</v>
      </c>
      <c r="D97" s="79" t="s">
        <v>691</v>
      </c>
      <c r="E97" s="83"/>
      <c r="F97" s="67"/>
    </row>
    <row r="98" spans="1:7" ht="16.2" customHeight="1" thickBot="1">
      <c r="A98" s="60">
        <v>94</v>
      </c>
      <c r="B98" s="63" t="s">
        <v>426</v>
      </c>
      <c r="C98" s="64" t="s">
        <v>427</v>
      </c>
      <c r="D98" s="79" t="s">
        <v>692</v>
      </c>
      <c r="E98" s="83"/>
      <c r="F98" s="67"/>
    </row>
    <row r="99" spans="1:7" ht="16.2" customHeight="1" thickBot="1">
      <c r="A99" s="60">
        <v>95</v>
      </c>
      <c r="B99" s="63" t="s">
        <v>432</v>
      </c>
      <c r="C99" s="64" t="s">
        <v>433</v>
      </c>
      <c r="D99" s="79" t="s">
        <v>693</v>
      </c>
      <c r="E99" s="83"/>
      <c r="F99" s="67"/>
    </row>
    <row r="100" spans="1:7" ht="16.2" customHeight="1" thickBot="1">
      <c r="A100" s="60">
        <v>96</v>
      </c>
      <c r="B100" s="92" t="s">
        <v>454</v>
      </c>
      <c r="C100" s="93" t="s">
        <v>449</v>
      </c>
      <c r="D100" s="94"/>
      <c r="E100" s="95"/>
      <c r="F100" s="96"/>
    </row>
    <row r="101" spans="1:7" ht="16.2" customHeight="1" thickBot="1">
      <c r="A101" s="60">
        <v>97</v>
      </c>
      <c r="B101" s="63" t="s">
        <v>448</v>
      </c>
      <c r="C101" s="64" t="s">
        <v>453</v>
      </c>
      <c r="D101" s="79" t="s">
        <v>694</v>
      </c>
      <c r="E101" s="83"/>
      <c r="F101" s="67"/>
    </row>
    <row r="102" spans="1:7" ht="16.2" customHeight="1" thickBot="1">
      <c r="A102" s="60">
        <v>98</v>
      </c>
      <c r="B102" s="63" t="s">
        <v>342</v>
      </c>
      <c r="C102" s="64" t="s">
        <v>649</v>
      </c>
      <c r="D102" s="79" t="s">
        <v>961</v>
      </c>
      <c r="E102" s="83"/>
      <c r="F102" s="69"/>
    </row>
    <row r="103" spans="1:7" ht="16.2" customHeight="1" thickBot="1">
      <c r="A103" s="60">
        <v>99</v>
      </c>
      <c r="B103" s="63" t="s">
        <v>650</v>
      </c>
      <c r="C103" s="64" t="s">
        <v>651</v>
      </c>
      <c r="D103" s="79" t="s">
        <v>962</v>
      </c>
      <c r="E103" s="83"/>
      <c r="F103" s="71"/>
    </row>
    <row r="104" spans="1:7" ht="16.2" customHeight="1" thickBot="1">
      <c r="A104" s="60">
        <v>100</v>
      </c>
      <c r="B104" s="63" t="s">
        <v>648</v>
      </c>
      <c r="C104" s="64" t="s">
        <v>652</v>
      </c>
      <c r="D104" s="79" t="s">
        <v>963</v>
      </c>
      <c r="E104" s="83"/>
      <c r="F104" s="71"/>
    </row>
    <row r="105" spans="1:7" ht="16.2" customHeight="1" thickBot="1">
      <c r="A105" s="60">
        <v>101</v>
      </c>
      <c r="B105" s="63" t="s">
        <v>753</v>
      </c>
      <c r="C105" s="64" t="s">
        <v>754</v>
      </c>
      <c r="D105" s="79"/>
      <c r="E105" s="83"/>
      <c r="F105" s="71"/>
    </row>
    <row r="106" spans="1:7" ht="16.2" customHeight="1" thickBot="1">
      <c r="A106" s="60">
        <v>102</v>
      </c>
      <c r="B106" s="63" t="s">
        <v>761</v>
      </c>
      <c r="C106" s="64" t="s">
        <v>763</v>
      </c>
      <c r="D106" s="79" t="s">
        <v>964</v>
      </c>
      <c r="E106" s="83"/>
      <c r="F106" s="71"/>
    </row>
    <row r="107" spans="1:7" ht="16.2" customHeight="1" thickBot="1">
      <c r="A107" s="60">
        <v>103</v>
      </c>
      <c r="B107" s="63" t="s">
        <v>762</v>
      </c>
      <c r="C107" s="64" t="s">
        <v>764</v>
      </c>
      <c r="D107" s="79" t="s">
        <v>965</v>
      </c>
      <c r="E107" s="83"/>
      <c r="F107" s="70"/>
    </row>
    <row r="108" spans="1:7" ht="16.2" customHeight="1" thickBot="1">
      <c r="A108" s="60">
        <v>104</v>
      </c>
      <c r="B108" s="63" t="s">
        <v>947</v>
      </c>
      <c r="C108" s="64" t="s">
        <v>949</v>
      </c>
      <c r="D108" s="79" t="s">
        <v>959</v>
      </c>
      <c r="E108" s="83"/>
      <c r="F108" s="70"/>
    </row>
    <row r="109" spans="1:7" ht="16.2" customHeight="1" thickBot="1">
      <c r="A109" s="60">
        <v>105</v>
      </c>
      <c r="B109" s="63" t="s">
        <v>948</v>
      </c>
      <c r="C109" s="64" t="s">
        <v>950</v>
      </c>
      <c r="D109" s="79" t="s">
        <v>960</v>
      </c>
      <c r="E109" s="83">
        <v>3035555228</v>
      </c>
      <c r="F109" s="70"/>
    </row>
    <row r="110" spans="1:7" s="199" customFormat="1" ht="14.25" customHeight="1" thickBot="1">
      <c r="A110" s="193">
        <v>106</v>
      </c>
      <c r="B110" s="194" t="s">
        <v>952</v>
      </c>
      <c r="C110" s="195" t="s">
        <v>953</v>
      </c>
      <c r="D110" s="196"/>
      <c r="E110" s="197"/>
      <c r="F110" s="198"/>
    </row>
    <row r="111" spans="1:7" ht="14.25" customHeight="1" thickBot="1">
      <c r="A111" s="60">
        <v>107</v>
      </c>
      <c r="B111" s="63" t="s">
        <v>1004</v>
      </c>
      <c r="C111" s="64" t="s">
        <v>1007</v>
      </c>
      <c r="D111" s="79"/>
      <c r="E111" s="83"/>
      <c r="F111" s="70"/>
    </row>
    <row r="112" spans="1:7" ht="14.25" customHeight="1" thickBot="1">
      <c r="A112" s="60">
        <v>108</v>
      </c>
      <c r="B112" s="63" t="s">
        <v>1005</v>
      </c>
      <c r="C112" s="64" t="s">
        <v>1009</v>
      </c>
      <c r="D112" s="79"/>
      <c r="E112" s="83"/>
      <c r="F112" s="70">
        <v>675000</v>
      </c>
      <c r="G112" s="8" t="s">
        <v>1075</v>
      </c>
    </row>
    <row r="113" spans="1:7" ht="14.25" customHeight="1" thickBot="1">
      <c r="A113" s="60">
        <v>109</v>
      </c>
      <c r="B113" s="63" t="s">
        <v>1006</v>
      </c>
      <c r="C113" s="64" t="s">
        <v>1008</v>
      </c>
      <c r="D113" s="79"/>
      <c r="E113" s="83"/>
      <c r="F113" s="70">
        <v>675000</v>
      </c>
      <c r="G113" s="8" t="s">
        <v>1075</v>
      </c>
    </row>
    <row r="114" spans="1:7" ht="14.25" customHeight="1" thickBot="1">
      <c r="A114" s="60">
        <v>111</v>
      </c>
      <c r="B114" s="63" t="s">
        <v>1014</v>
      </c>
      <c r="C114" s="64" t="s">
        <v>1015</v>
      </c>
      <c r="D114" s="79"/>
      <c r="E114" s="83"/>
      <c r="F114" s="70"/>
    </row>
    <row r="115" spans="1:7" ht="14.25" customHeight="1" thickBot="1">
      <c r="A115" s="60">
        <v>112</v>
      </c>
      <c r="B115" s="63" t="s">
        <v>1020</v>
      </c>
      <c r="C115" s="64" t="s">
        <v>1022</v>
      </c>
      <c r="D115" s="79"/>
      <c r="E115" s="83"/>
      <c r="F115" s="70"/>
    </row>
    <row r="116" spans="1:7" ht="14.25" customHeight="1" thickBot="1">
      <c r="A116" s="60">
        <v>113</v>
      </c>
      <c r="B116" s="63" t="s">
        <v>1021</v>
      </c>
      <c r="C116" s="64" t="s">
        <v>1023</v>
      </c>
      <c r="D116" s="79" t="s">
        <v>1026</v>
      </c>
      <c r="E116" s="83">
        <v>3002073678</v>
      </c>
      <c r="F116" s="70"/>
    </row>
    <row r="117" spans="1:7" ht="14.25" customHeight="1" thickBot="1">
      <c r="A117" s="60">
        <v>114</v>
      </c>
      <c r="B117" s="63" t="s">
        <v>1024</v>
      </c>
      <c r="C117" s="64" t="s">
        <v>1041</v>
      </c>
      <c r="D117" s="79"/>
      <c r="E117" s="83"/>
      <c r="F117" s="70"/>
    </row>
    <row r="118" spans="1:7" ht="14.25" customHeight="1" thickBot="1">
      <c r="A118" s="60">
        <v>115</v>
      </c>
      <c r="B118" s="63" t="s">
        <v>1039</v>
      </c>
      <c r="C118" s="64" t="s">
        <v>1071</v>
      </c>
      <c r="D118" s="147"/>
      <c r="E118" s="147"/>
      <c r="F118" s="147"/>
    </row>
    <row r="119" spans="1:7" ht="14.25" customHeight="1" thickBot="1">
      <c r="A119" s="60">
        <v>116</v>
      </c>
      <c r="B119" s="63" t="s">
        <v>1040</v>
      </c>
      <c r="C119" s="64" t="s">
        <v>1025</v>
      </c>
      <c r="D119" s="147"/>
      <c r="E119" s="147"/>
      <c r="F119" s="152"/>
    </row>
    <row r="120" spans="1:7" ht="14.25" customHeight="1" thickBot="1">
      <c r="A120" s="60">
        <v>117</v>
      </c>
      <c r="B120" s="63" t="s">
        <v>1051</v>
      </c>
      <c r="C120" s="64" t="s">
        <v>1055</v>
      </c>
      <c r="D120" s="147"/>
      <c r="E120" s="147"/>
      <c r="F120" s="152"/>
    </row>
    <row r="121" spans="1:7" ht="14.25" customHeight="1" thickBot="1">
      <c r="A121" s="60">
        <v>118</v>
      </c>
      <c r="B121" s="63" t="s">
        <v>1052</v>
      </c>
      <c r="C121" s="64" t="s">
        <v>1060</v>
      </c>
      <c r="D121" s="147"/>
      <c r="E121" s="147"/>
      <c r="F121" s="152"/>
    </row>
    <row r="122" spans="1:7" ht="14.25" customHeight="1" thickBot="1">
      <c r="A122" s="60">
        <v>119</v>
      </c>
      <c r="B122" s="63" t="s">
        <v>1053</v>
      </c>
      <c r="C122" s="64" t="s">
        <v>1070</v>
      </c>
      <c r="D122" s="147"/>
      <c r="E122" s="147"/>
      <c r="F122" s="152">
        <v>450000</v>
      </c>
      <c r="G122" s="8" t="s">
        <v>1075</v>
      </c>
    </row>
    <row r="123" spans="1:7" ht="14.25" customHeight="1" thickBot="1">
      <c r="A123" s="60">
        <v>120</v>
      </c>
      <c r="B123" s="63" t="s">
        <v>1054</v>
      </c>
      <c r="C123" s="64" t="s">
        <v>1077</v>
      </c>
      <c r="D123" s="147"/>
      <c r="E123" s="147"/>
      <c r="F123" s="147"/>
    </row>
    <row r="124" spans="1:7" ht="14.25" customHeight="1" thickBot="1">
      <c r="A124" s="60">
        <v>121</v>
      </c>
      <c r="B124" s="63" t="s">
        <v>1073</v>
      </c>
      <c r="C124" s="64" t="s">
        <v>1076</v>
      </c>
      <c r="D124" s="147"/>
      <c r="E124" s="147"/>
      <c r="F124" s="147"/>
    </row>
    <row r="125" spans="1:7" ht="14.25" customHeight="1">
      <c r="A125" s="60">
        <v>122</v>
      </c>
      <c r="B125" s="63" t="s">
        <v>1074</v>
      </c>
      <c r="C125" s="64" t="s">
        <v>1069</v>
      </c>
      <c r="D125" s="147"/>
      <c r="E125" s="147"/>
      <c r="F125" s="147"/>
    </row>
    <row r="126" spans="1:7" ht="14.25" customHeight="1">
      <c r="A126" s="147"/>
      <c r="B126" s="63"/>
      <c r="C126" s="147"/>
      <c r="D126" s="147"/>
      <c r="E126" s="147"/>
      <c r="F126" s="147"/>
    </row>
    <row r="127" spans="1:7" ht="14.25" customHeight="1"/>
    <row r="128" spans="1:7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4:F119" xr:uid="{00000000-0009-0000-0000-000000000000}"/>
  <mergeCells count="3">
    <mergeCell ref="C1:F2"/>
    <mergeCell ref="C3:F3"/>
    <mergeCell ref="A1:B3"/>
  </mergeCells>
  <phoneticPr fontId="7" alignment="center"/>
  <hyperlinks>
    <hyperlink ref="D11" r:id="rId1" xr:uid="{00000000-0004-0000-0000-000000000000}"/>
    <hyperlink ref="D18" r:id="rId2" xr:uid="{00000000-0004-0000-0000-000001000000}"/>
    <hyperlink ref="D20" r:id="rId3" xr:uid="{00000000-0004-0000-0000-000002000000}"/>
    <hyperlink ref="D22" r:id="rId4" xr:uid="{00000000-0004-0000-0000-000003000000}"/>
    <hyperlink ref="D24" r:id="rId5" xr:uid="{00000000-0004-0000-0000-000004000000}"/>
    <hyperlink ref="D25" r:id="rId6" xr:uid="{00000000-0004-0000-0000-000005000000}"/>
    <hyperlink ref="D26" r:id="rId7" xr:uid="{00000000-0004-0000-0000-000006000000}"/>
    <hyperlink ref="D27" r:id="rId8" xr:uid="{00000000-0004-0000-0000-000007000000}"/>
    <hyperlink ref="D28" r:id="rId9" xr:uid="{00000000-0004-0000-0000-000008000000}"/>
    <hyperlink ref="D29" r:id="rId10" xr:uid="{00000000-0004-0000-0000-000009000000}"/>
    <hyperlink ref="D30" r:id="rId11" xr:uid="{00000000-0004-0000-0000-00000A000000}"/>
    <hyperlink ref="D31" r:id="rId12" xr:uid="{00000000-0004-0000-0000-00000B000000}"/>
    <hyperlink ref="D32" r:id="rId13" xr:uid="{00000000-0004-0000-0000-00000C000000}"/>
    <hyperlink ref="D33" r:id="rId14" xr:uid="{00000000-0004-0000-0000-00000D000000}"/>
    <hyperlink ref="D34" r:id="rId15" xr:uid="{00000000-0004-0000-0000-00000E000000}"/>
    <hyperlink ref="D35" r:id="rId16" xr:uid="{00000000-0004-0000-0000-00000F000000}"/>
    <hyperlink ref="D36" r:id="rId17" xr:uid="{00000000-0004-0000-0000-000010000000}"/>
    <hyperlink ref="D37" r:id="rId18" xr:uid="{00000000-0004-0000-0000-000011000000}"/>
    <hyperlink ref="D38" r:id="rId19" xr:uid="{00000000-0004-0000-0000-000012000000}"/>
    <hyperlink ref="D39" r:id="rId20" xr:uid="{00000000-0004-0000-0000-000013000000}"/>
    <hyperlink ref="D40" r:id="rId21" xr:uid="{00000000-0004-0000-0000-000014000000}"/>
    <hyperlink ref="D41" r:id="rId22" xr:uid="{00000000-0004-0000-0000-000015000000}"/>
    <hyperlink ref="D42" r:id="rId23" xr:uid="{00000000-0004-0000-0000-000016000000}"/>
    <hyperlink ref="D43" r:id="rId24" xr:uid="{00000000-0004-0000-0000-000017000000}"/>
    <hyperlink ref="D44" r:id="rId25" xr:uid="{00000000-0004-0000-0000-000018000000}"/>
    <hyperlink ref="D47" r:id="rId26" xr:uid="{00000000-0004-0000-0000-000019000000}"/>
    <hyperlink ref="D48" r:id="rId27" xr:uid="{00000000-0004-0000-0000-00001A000000}"/>
    <hyperlink ref="D49" r:id="rId28" xr:uid="{00000000-0004-0000-0000-00001B000000}"/>
    <hyperlink ref="D50" r:id="rId29" xr:uid="{00000000-0004-0000-0000-00001C000000}"/>
    <hyperlink ref="D51" r:id="rId30" xr:uid="{00000000-0004-0000-0000-00001D000000}"/>
    <hyperlink ref="D52" r:id="rId31" xr:uid="{00000000-0004-0000-0000-00001E000000}"/>
    <hyperlink ref="D53" r:id="rId32" xr:uid="{00000000-0004-0000-0000-00001F000000}"/>
    <hyperlink ref="D54" r:id="rId33" xr:uid="{00000000-0004-0000-0000-000020000000}"/>
    <hyperlink ref="D59" r:id="rId34" xr:uid="{00000000-0004-0000-0000-000021000000}"/>
    <hyperlink ref="D62" r:id="rId35" xr:uid="{00000000-0004-0000-0000-000022000000}"/>
    <hyperlink ref="D63" r:id="rId36" xr:uid="{00000000-0004-0000-0000-000023000000}"/>
    <hyperlink ref="D64" r:id="rId37" xr:uid="{00000000-0004-0000-0000-000024000000}"/>
    <hyperlink ref="D65" r:id="rId38" xr:uid="{00000000-0004-0000-0000-000025000000}"/>
    <hyperlink ref="D66" r:id="rId39" xr:uid="{00000000-0004-0000-0000-000026000000}"/>
    <hyperlink ref="D67" r:id="rId40" xr:uid="{00000000-0004-0000-0000-000027000000}"/>
    <hyperlink ref="D68" r:id="rId41" xr:uid="{00000000-0004-0000-0000-000028000000}"/>
    <hyperlink ref="D69" r:id="rId42" xr:uid="{00000000-0004-0000-0000-000029000000}"/>
    <hyperlink ref="D70" r:id="rId43" xr:uid="{00000000-0004-0000-0000-00002A000000}"/>
    <hyperlink ref="D71" r:id="rId44" xr:uid="{00000000-0004-0000-0000-00002B000000}"/>
    <hyperlink ref="D72" r:id="rId45" xr:uid="{00000000-0004-0000-0000-00002C000000}"/>
    <hyperlink ref="D73" r:id="rId46" xr:uid="{00000000-0004-0000-0000-00002D000000}"/>
    <hyperlink ref="D74" r:id="rId47" xr:uid="{00000000-0004-0000-0000-00002F000000}"/>
    <hyperlink ref="D75" r:id="rId48" xr:uid="{00000000-0004-0000-0000-000030000000}"/>
    <hyperlink ref="D77" r:id="rId49" xr:uid="{00000000-0004-0000-0000-000031000000}"/>
    <hyperlink ref="D78" r:id="rId50" xr:uid="{00000000-0004-0000-0000-000032000000}"/>
    <hyperlink ref="D57" r:id="rId51" xr:uid="{00000000-0004-0000-0000-000033000000}"/>
    <hyperlink ref="D56" r:id="rId52" xr:uid="{00000000-0004-0000-0000-000034000000}"/>
    <hyperlink ref="D55" r:id="rId53" xr:uid="{00000000-0004-0000-0000-000035000000}"/>
    <hyperlink ref="D76" r:id="rId54" xr:uid="{00000000-0004-0000-0000-000036000000}"/>
    <hyperlink ref="D86" r:id="rId55" xr:uid="{00000000-0004-0000-0000-000037000000}"/>
    <hyperlink ref="D87" r:id="rId56" xr:uid="{00000000-0004-0000-0000-000038000000}"/>
    <hyperlink ref="D88" r:id="rId57" xr:uid="{00000000-0004-0000-0000-000039000000}"/>
    <hyperlink ref="D89" r:id="rId58" xr:uid="{00000000-0004-0000-0000-00003A000000}"/>
    <hyperlink ref="D94" r:id="rId59" xr:uid="{00000000-0004-0000-0000-00003B000000}"/>
    <hyperlink ref="D95" r:id="rId60" xr:uid="{00000000-0004-0000-0000-00003C000000}"/>
    <hyperlink ref="D96" r:id="rId61" xr:uid="{00000000-0004-0000-0000-00003D000000}"/>
    <hyperlink ref="D99" r:id="rId62" xr:uid="{00000000-0004-0000-0000-00003E000000}"/>
    <hyperlink ref="D5" r:id="rId63" xr:uid="{00000000-0004-0000-0000-00003F000000}"/>
    <hyperlink ref="D6" r:id="rId64" xr:uid="{00000000-0004-0000-0000-000040000000}"/>
    <hyperlink ref="D7" r:id="rId65" xr:uid="{00000000-0004-0000-0000-000041000000}"/>
    <hyperlink ref="D8" r:id="rId66" xr:uid="{00000000-0004-0000-0000-000042000000}"/>
    <hyperlink ref="D9" r:id="rId67" xr:uid="{00000000-0004-0000-0000-000043000000}"/>
    <hyperlink ref="D10" r:id="rId68" xr:uid="{00000000-0004-0000-0000-000044000000}"/>
    <hyperlink ref="D12" r:id="rId69" xr:uid="{00000000-0004-0000-0000-000045000000}"/>
    <hyperlink ref="D13" r:id="rId70" xr:uid="{00000000-0004-0000-0000-000046000000}"/>
    <hyperlink ref="D14" r:id="rId71" xr:uid="{00000000-0004-0000-0000-000047000000}"/>
    <hyperlink ref="D15" r:id="rId72" xr:uid="{00000000-0004-0000-0000-000048000000}"/>
    <hyperlink ref="D16" r:id="rId73" xr:uid="{00000000-0004-0000-0000-000049000000}"/>
    <hyperlink ref="D17" r:id="rId74" xr:uid="{00000000-0004-0000-0000-00004A000000}"/>
    <hyperlink ref="D19" r:id="rId75" xr:uid="{00000000-0004-0000-0000-00004B000000}"/>
    <hyperlink ref="D21" r:id="rId76" xr:uid="{00000000-0004-0000-0000-00004C000000}"/>
    <hyperlink ref="D23" r:id="rId77" xr:uid="{00000000-0004-0000-0000-00004D000000}"/>
    <hyperlink ref="D45" r:id="rId78" xr:uid="{00000000-0004-0000-0000-00004E000000}"/>
    <hyperlink ref="D58" r:id="rId79" xr:uid="{00000000-0004-0000-0000-00004F000000}"/>
    <hyperlink ref="D60" r:id="rId80" xr:uid="{00000000-0004-0000-0000-000050000000}"/>
    <hyperlink ref="D61" r:id="rId81" xr:uid="{00000000-0004-0000-0000-000051000000}"/>
    <hyperlink ref="D79" r:id="rId82" xr:uid="{00000000-0004-0000-0000-000052000000}"/>
    <hyperlink ref="D80" r:id="rId83" xr:uid="{00000000-0004-0000-0000-000053000000}"/>
    <hyperlink ref="D81" r:id="rId84" xr:uid="{00000000-0004-0000-0000-000054000000}"/>
    <hyperlink ref="D82" r:id="rId85" xr:uid="{00000000-0004-0000-0000-000055000000}"/>
    <hyperlink ref="D83" r:id="rId86" xr:uid="{00000000-0004-0000-0000-000056000000}"/>
    <hyperlink ref="D84" r:id="rId87" xr:uid="{00000000-0004-0000-0000-000057000000}"/>
    <hyperlink ref="D85" r:id="rId88" xr:uid="{00000000-0004-0000-0000-000058000000}"/>
    <hyperlink ref="D90" r:id="rId89" xr:uid="{00000000-0004-0000-0000-000059000000}"/>
    <hyperlink ref="D91" r:id="rId90" xr:uid="{00000000-0004-0000-0000-00005A000000}"/>
    <hyperlink ref="D92" r:id="rId91" xr:uid="{00000000-0004-0000-0000-00005B000000}"/>
    <hyperlink ref="D93" r:id="rId92" xr:uid="{00000000-0004-0000-0000-00005C000000}"/>
    <hyperlink ref="D97" r:id="rId93" xr:uid="{00000000-0004-0000-0000-00005D000000}"/>
    <hyperlink ref="D98" r:id="rId94" xr:uid="{00000000-0004-0000-0000-00005E000000}"/>
    <hyperlink ref="D101" r:id="rId95" xr:uid="{00000000-0004-0000-0000-00005F000000}"/>
    <hyperlink ref="D46" r:id="rId96" xr:uid="{00000000-0004-0000-0000-000060000000}"/>
    <hyperlink ref="D108" r:id="rId97" xr:uid="{00000000-0004-0000-0000-000061000000}"/>
    <hyperlink ref="D109" r:id="rId98" xr:uid="{00000000-0004-0000-0000-000062000000}"/>
    <hyperlink ref="D102" r:id="rId99" xr:uid="{00000000-0004-0000-0000-000063000000}"/>
    <hyperlink ref="D103" r:id="rId100" xr:uid="{00000000-0004-0000-0000-000064000000}"/>
    <hyperlink ref="D104" r:id="rId101" xr:uid="{00000000-0004-0000-0000-000065000000}"/>
    <hyperlink ref="D106" r:id="rId102" xr:uid="{00000000-0004-0000-0000-000066000000}"/>
    <hyperlink ref="D107" r:id="rId103" xr:uid="{00000000-0004-0000-0000-000067000000}"/>
    <hyperlink ref="D116" r:id="rId104" xr:uid="{D12F2740-E6CE-492B-A127-14F8D5A462EE}"/>
  </hyperlinks>
  <pageMargins left="0.7" right="0.7" top="0.75" bottom="0.75" header="0" footer="0"/>
  <pageSetup orientation="portrait" r:id="rId10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7797-C3F2-47C7-AFAB-EFED2FECA463}">
  <dimension ref="A1:AE124"/>
  <sheetViews>
    <sheetView zoomScale="55" zoomScaleNormal="55" workbookViewId="0">
      <selection activeCell="P4" sqref="P4"/>
    </sheetView>
  </sheetViews>
  <sheetFormatPr defaultRowHeight="14.4"/>
  <cols>
    <col min="1" max="1" width="5.44140625" bestFit="1" customWidth="1"/>
    <col min="2" max="2" width="12.44140625" bestFit="1" customWidth="1"/>
    <col min="3" max="3" width="32.33203125" bestFit="1" customWidth="1"/>
    <col min="4" max="9" width="9.6640625" customWidth="1"/>
    <col min="10" max="10" width="11.109375" bestFit="1" customWidth="1"/>
    <col min="11" max="12" width="9.6640625" customWidth="1"/>
    <col min="13" max="13" width="11.109375" bestFit="1" customWidth="1"/>
    <col min="14" max="14" width="9.6640625" customWidth="1"/>
    <col min="15" max="15" width="12.33203125" bestFit="1" customWidth="1"/>
    <col min="16" max="17" width="9.6640625" customWidth="1"/>
    <col min="18" max="19" width="16.6640625" bestFit="1" customWidth="1"/>
    <col min="20" max="20" width="17.6640625" bestFit="1" customWidth="1"/>
    <col min="21" max="21" width="10.5546875" customWidth="1"/>
    <col min="22" max="22" width="9.6640625" customWidth="1"/>
    <col min="23" max="23" width="15.44140625" style="124" bestFit="1" customWidth="1"/>
    <col min="24" max="24" width="13" style="124" bestFit="1" customWidth="1"/>
    <col min="25" max="25" width="13" style="124" customWidth="1"/>
    <col min="26" max="26" width="15" style="124" customWidth="1"/>
    <col min="27" max="27" width="17.88671875" style="124" bestFit="1" customWidth="1"/>
    <col min="28" max="28" width="20.6640625" style="124" bestFit="1" customWidth="1"/>
    <col min="29" max="29" width="14.109375" bestFit="1" customWidth="1"/>
    <col min="30" max="30" width="18.88671875" bestFit="1" customWidth="1"/>
    <col min="31" max="31" width="13" bestFit="1" customWidth="1"/>
  </cols>
  <sheetData>
    <row r="1" spans="1:31" s="11" customFormat="1" ht="43.2">
      <c r="A1" s="201" t="s">
        <v>696</v>
      </c>
      <c r="B1" s="201" t="s">
        <v>1102</v>
      </c>
      <c r="C1" s="201" t="s">
        <v>1103</v>
      </c>
      <c r="D1" s="201" t="s">
        <v>401</v>
      </c>
      <c r="E1" s="201" t="s">
        <v>412</v>
      </c>
      <c r="F1" s="201" t="s">
        <v>456</v>
      </c>
      <c r="G1" s="201" t="s">
        <v>402</v>
      </c>
      <c r="H1" s="201" t="s">
        <v>457</v>
      </c>
      <c r="I1" s="201" t="s">
        <v>935</v>
      </c>
      <c r="J1" s="201" t="s">
        <v>403</v>
      </c>
      <c r="K1" s="202" t="s">
        <v>369</v>
      </c>
      <c r="L1" s="202" t="s">
        <v>370</v>
      </c>
      <c r="M1" s="202" t="s">
        <v>371</v>
      </c>
      <c r="N1" s="202" t="s">
        <v>1097</v>
      </c>
      <c r="O1" s="202" t="s">
        <v>1098</v>
      </c>
      <c r="P1" s="202" t="s">
        <v>979</v>
      </c>
      <c r="Q1" s="202" t="s">
        <v>1099</v>
      </c>
      <c r="R1" s="202" t="s">
        <v>1100</v>
      </c>
      <c r="S1" s="209" t="s">
        <v>1105</v>
      </c>
      <c r="T1" s="201" t="s">
        <v>411</v>
      </c>
      <c r="U1" s="201" t="s">
        <v>1235</v>
      </c>
      <c r="V1" s="203" t="s">
        <v>743</v>
      </c>
      <c r="W1" s="205" t="s">
        <v>1089</v>
      </c>
      <c r="X1" s="205" t="s">
        <v>1158</v>
      </c>
      <c r="Y1" s="205" t="s">
        <v>1161</v>
      </c>
      <c r="Z1" s="205" t="s">
        <v>1180</v>
      </c>
      <c r="AA1" s="205" t="s">
        <v>1104</v>
      </c>
      <c r="AB1" s="206" t="s">
        <v>750</v>
      </c>
      <c r="AC1" s="201" t="s">
        <v>397</v>
      </c>
      <c r="AD1" s="203" t="s">
        <v>462</v>
      </c>
    </row>
    <row r="2" spans="1:31">
      <c r="A2">
        <v>1</v>
      </c>
      <c r="B2" t="s">
        <v>7</v>
      </c>
      <c r="C2" t="s">
        <v>8</v>
      </c>
      <c r="D2" s="146">
        <f>SUMIFS(FACILITIES!E:E,FACILITIES!$B:$B,B2)</f>
        <v>0</v>
      </c>
      <c r="E2" s="146">
        <f>SUMIFS(FACILITIES!F:F,FACILITIES!$B:$B,$B2)</f>
        <v>0</v>
      </c>
      <c r="F2" s="146">
        <f>SUMIFS(FACILITIES!G:G,FACILITIES!$B:$B,B2)</f>
        <v>0</v>
      </c>
      <c r="G2" s="146">
        <f>SUMIFS(FACILITIES!H:H,FACILITIES!$B:$B,B2)</f>
        <v>0</v>
      </c>
      <c r="H2" s="146">
        <f>SUMIFS(FACILITIES!I:I,FACILITIES!$B:$B,B2)</f>
        <v>0</v>
      </c>
      <c r="I2" s="146">
        <f>SUMIFS(FACILITIES!J:J,FACILITIES!$B:$B,B2)</f>
        <v>0</v>
      </c>
      <c r="J2" s="146">
        <f>SUMIFS(FACILITIES!K:K,FACILITIES!$B:$B,B2)</f>
        <v>0</v>
      </c>
      <c r="K2" s="146">
        <f>SUMIFS(FACILITIES!L:L,FACILITIES!$B:$B,B2)</f>
        <v>0</v>
      </c>
      <c r="L2" s="146">
        <f>SUMIFS(FACILITIES!M:M,FACILITIES!$B:$B,B2)</f>
        <v>0</v>
      </c>
      <c r="M2" s="146">
        <f>SUMIFS(FACILITIES!N:N,FACILITIES!$B:$B,B2)</f>
        <v>0</v>
      </c>
      <c r="N2" s="146">
        <f>SUMIFS(FACILITIES!O:O,FACILITIES!$B:$B,B2)</f>
        <v>0</v>
      </c>
      <c r="O2" s="146">
        <f>SUMIFS(FACILITIES!P:P,FACILITIES!$B:$B,B2)</f>
        <v>0</v>
      </c>
      <c r="P2" s="146">
        <f>SUMIFS(FACILITIES!Q:Q,FACILITIES!$B:$B,B2)</f>
        <v>0</v>
      </c>
      <c r="Q2" s="146">
        <f>SUMIFS(FACILITIES!R:R,FACILITIES!$B:$B,B2)</f>
        <v>0</v>
      </c>
      <c r="R2" s="146">
        <f>SUMIFS(FACILITIES!T:T,FACILITIES!B:B,B2)</f>
        <v>0</v>
      </c>
      <c r="S2" s="146">
        <f>SUMIFS(FACILITIES!S:S,FACILITIES!B:B,B2)</f>
        <v>0</v>
      </c>
      <c r="T2" s="146">
        <f>SUMIFS('F &amp; B'!G:G,'F &amp; B'!B:B,B2)</f>
        <v>24550</v>
      </c>
      <c r="U2" s="210">
        <f>T2*0.15</f>
        <v>3682.5</v>
      </c>
      <c r="V2" s="146">
        <f>SUMIFS('FIXED AMOUNT'!G:G,'FIXED AMOUNT'!B:B,B2)</f>
        <v>7000</v>
      </c>
      <c r="W2" s="124">
        <f t="shared" ref="W2:W33" si="0">SUM(D2:V2)</f>
        <v>35232.5</v>
      </c>
      <c r="X2" s="124">
        <f>SUMIFS('FIXED AMOUNT'!E:E,'FIXED AMOUNT'!B:B,'data base '!B:B)</f>
        <v>0</v>
      </c>
      <c r="Y2" s="124">
        <f>SUMIFS('FIXED AMOUNT'!F:F,'FIXED AMOUNT'!B:B,'data base '!B:B)</f>
        <v>0</v>
      </c>
      <c r="Z2" s="124">
        <f>SUMIFS('FIXED AMOUNT'!V:V,'FIXED AMOUNT'!B:B,B:B)</f>
        <v>0</v>
      </c>
      <c r="AA2" s="124">
        <f>W2+X2-Y2+Z2</f>
        <v>35232.5</v>
      </c>
      <c r="AB2" s="207">
        <f>W2*0.1</f>
        <v>3523.25</v>
      </c>
      <c r="AC2" s="204">
        <v>45945</v>
      </c>
      <c r="AD2" s="124">
        <f>AA2+AB2</f>
        <v>38755.75</v>
      </c>
      <c r="AE2" s="208"/>
    </row>
    <row r="3" spans="1:31">
      <c r="A3">
        <v>2</v>
      </c>
      <c r="B3" t="s">
        <v>10</v>
      </c>
      <c r="C3" t="s">
        <v>11</v>
      </c>
      <c r="D3" s="146">
        <f>SUMIFS(FACILITIES!E:E,FACILITIES!$B:$B,B3)</f>
        <v>0</v>
      </c>
      <c r="E3" s="146">
        <f>SUMIFS(FACILITIES!F:F,FACILITIES!$B:$B,$B3)</f>
        <v>750</v>
      </c>
      <c r="F3" s="146">
        <f>SUMIFS(FACILITIES!G:G,FACILITIES!$B:$B,B3)</f>
        <v>0</v>
      </c>
      <c r="G3" s="146">
        <f>SUMIFS(FACILITIES!H:H,FACILITIES!$B:$B,B3)</f>
        <v>0</v>
      </c>
      <c r="H3" s="146">
        <f>SUMIFS(FACILITIES!I:I,FACILITIES!$B:$B,B3)</f>
        <v>0</v>
      </c>
      <c r="I3" s="146">
        <f>SUMIFS(FACILITIES!J:J,FACILITIES!$B:$B,B3)</f>
        <v>1100</v>
      </c>
      <c r="J3" s="146">
        <f>SUMIFS(FACILITIES!K:K,FACILITIES!$B:$B,B3)</f>
        <v>0</v>
      </c>
      <c r="K3" s="146">
        <f>SUMIFS(FACILITIES!L:L,FACILITIES!$B:$B,B3)</f>
        <v>0</v>
      </c>
      <c r="L3" s="146">
        <f>SUMIFS(FACILITIES!M:M,FACILITIES!$B:$B,B3)</f>
        <v>0</v>
      </c>
      <c r="M3" s="146">
        <f>SUMIFS(FACILITIES!N:N,FACILITIES!$B:$B,B3)</f>
        <v>0</v>
      </c>
      <c r="N3" s="146">
        <f>SUMIFS(FACILITIES!O:O,FACILITIES!$B:$B,B3)</f>
        <v>0</v>
      </c>
      <c r="O3" s="146">
        <f>SUMIFS(FACILITIES!P:P,FACILITIES!$B:$B,B3)</f>
        <v>0</v>
      </c>
      <c r="P3" s="146">
        <f>SUMIFS(FACILITIES!Q:Q,FACILITIES!$B:$B,B3)</f>
        <v>0</v>
      </c>
      <c r="Q3" s="146">
        <f>SUMIFS(FACILITIES!R:R,FACILITIES!$B:$B,B3)</f>
        <v>0</v>
      </c>
      <c r="R3" s="146">
        <f>SUMIFS(FACILITIES!T:T,FACILITIES!B:B,B3)</f>
        <v>0</v>
      </c>
      <c r="S3" s="146">
        <f>SUMIFS(FACILITIES!S:S,FACILITIES!B:B,B3)</f>
        <v>0</v>
      </c>
      <c r="T3" s="146">
        <f>SUMIFS('F &amp; B'!G:G,'F &amp; B'!B:B,B3)</f>
        <v>12950</v>
      </c>
      <c r="U3" s="210">
        <f t="shared" ref="U3:U66" si="1">T3*0.15</f>
        <v>1942.5</v>
      </c>
      <c r="V3" s="146">
        <f>SUMIFS('FIXED AMOUNT'!G:G,'FIXED AMOUNT'!B:B,B3)</f>
        <v>7000</v>
      </c>
      <c r="W3" s="124">
        <f t="shared" si="0"/>
        <v>23742.5</v>
      </c>
      <c r="X3" s="124">
        <f>SUMIFS('FIXED AMOUNT'!E:E,'FIXED AMOUNT'!B:B,'data base '!B:B)</f>
        <v>0</v>
      </c>
      <c r="Y3" s="124">
        <f>SUMIFS('FIXED AMOUNT'!F:F,'FIXED AMOUNT'!B:B,'data base '!B:B)</f>
        <v>0</v>
      </c>
      <c r="Z3" s="124">
        <f>SUMIFS('FIXED AMOUNT'!V:V,'FIXED AMOUNT'!B:B,B:B)</f>
        <v>0</v>
      </c>
      <c r="AA3" s="124">
        <f t="shared" ref="AA3:AA66" si="2">W3+X3-Y3+Z3</f>
        <v>23742.5</v>
      </c>
      <c r="AB3" s="207">
        <f t="shared" ref="AB3:AB66" si="3">W3*0.1</f>
        <v>2374.25</v>
      </c>
      <c r="AC3" s="204">
        <v>45945</v>
      </c>
      <c r="AD3" s="124">
        <f t="shared" ref="AD3:AD66" si="4">AA3+AB3</f>
        <v>26116.75</v>
      </c>
      <c r="AE3" s="208"/>
    </row>
    <row r="4" spans="1:31">
      <c r="A4">
        <v>3</v>
      </c>
      <c r="B4" t="s">
        <v>15</v>
      </c>
      <c r="C4" t="s">
        <v>16</v>
      </c>
      <c r="D4" s="146">
        <f>SUMIFS(FACILITIES!E:E,FACILITIES!$B:$B,B4)</f>
        <v>0</v>
      </c>
      <c r="E4" s="146">
        <f>SUMIFS(FACILITIES!F:F,FACILITIES!$B:$B,$B4)</f>
        <v>0</v>
      </c>
      <c r="F4" s="146">
        <f>SUMIFS(FACILITIES!G:G,FACILITIES!$B:$B,B4)</f>
        <v>0</v>
      </c>
      <c r="G4" s="146">
        <f>SUMIFS(FACILITIES!H:H,FACILITIES!$B:$B,B4)</f>
        <v>0</v>
      </c>
      <c r="H4" s="146">
        <f>SUMIFS(FACILITIES!I:I,FACILITIES!$B:$B,B4)</f>
        <v>0</v>
      </c>
      <c r="I4" s="146">
        <f>SUMIFS(FACILITIES!J:J,FACILITIES!$B:$B,B4)</f>
        <v>0</v>
      </c>
      <c r="J4" s="146">
        <f>SUMIFS(FACILITIES!K:K,FACILITIES!$B:$B,B4)</f>
        <v>0</v>
      </c>
      <c r="K4" s="146">
        <f>SUMIFS(FACILITIES!L:L,FACILITIES!$B:$B,B4)</f>
        <v>0</v>
      </c>
      <c r="L4" s="146">
        <f>SUMIFS(FACILITIES!M:M,FACILITIES!$B:$B,B4)</f>
        <v>0</v>
      </c>
      <c r="M4" s="146">
        <f>SUMIFS(FACILITIES!N:N,FACILITIES!$B:$B,B4)</f>
        <v>0</v>
      </c>
      <c r="N4" s="146">
        <f>SUMIFS(FACILITIES!O:O,FACILITIES!$B:$B,B4)</f>
        <v>0</v>
      </c>
      <c r="O4" s="146">
        <f>SUMIFS(FACILITIES!P:P,FACILITIES!$B:$B,B4)</f>
        <v>0</v>
      </c>
      <c r="P4" s="146">
        <f>SUMIFS(FACILITIES!Q:Q,FACILITIES!$B:$B,B4)</f>
        <v>0</v>
      </c>
      <c r="Q4" s="146">
        <f>SUMIFS(FACILITIES!R:R,FACILITIES!$B:$B,B4)</f>
        <v>0</v>
      </c>
      <c r="R4" s="146">
        <f>SUMIFS(FACILITIES!T:T,FACILITIES!B:B,B4)</f>
        <v>0</v>
      </c>
      <c r="S4" s="146">
        <f>SUMIFS(FACILITIES!S:S,FACILITIES!B:B,B4)</f>
        <v>5000</v>
      </c>
      <c r="T4" s="146">
        <f>SUMIFS('F &amp; B'!G:G,'F &amp; B'!B:B,B4)</f>
        <v>52578</v>
      </c>
      <c r="U4" s="210">
        <f t="shared" si="1"/>
        <v>7886.7</v>
      </c>
      <c r="V4" s="146">
        <f>SUMIFS('FIXED AMOUNT'!G:G,'FIXED AMOUNT'!B:B,B4)</f>
        <v>7000</v>
      </c>
      <c r="W4" s="124">
        <f t="shared" si="0"/>
        <v>72464.7</v>
      </c>
      <c r="X4" s="124">
        <f>SUMIFS('FIXED AMOUNT'!E:E,'FIXED AMOUNT'!B:B,'data base '!B:B)</f>
        <v>0</v>
      </c>
      <c r="Y4" s="124">
        <f>SUMIFS('FIXED AMOUNT'!F:F,'FIXED AMOUNT'!B:B,'data base '!B:B)</f>
        <v>0</v>
      </c>
      <c r="Z4" s="124">
        <f>SUMIFS('FIXED AMOUNT'!V:V,'FIXED AMOUNT'!B:B,B:B)</f>
        <v>0</v>
      </c>
      <c r="AA4" s="124">
        <f>W4+X4-Y4+Z4</f>
        <v>72464.7</v>
      </c>
      <c r="AB4" s="207">
        <f t="shared" si="3"/>
        <v>7246.47</v>
      </c>
      <c r="AC4" s="204">
        <v>45945</v>
      </c>
      <c r="AD4" s="124">
        <f t="shared" si="4"/>
        <v>79711.17</v>
      </c>
      <c r="AE4" s="208"/>
    </row>
    <row r="5" spans="1:31">
      <c r="A5">
        <v>4</v>
      </c>
      <c r="B5" t="s">
        <v>20</v>
      </c>
      <c r="C5" t="s">
        <v>21</v>
      </c>
      <c r="D5" s="146">
        <f>SUMIFS(FACILITIES!E:E,FACILITIES!$B:$B,B5)</f>
        <v>0</v>
      </c>
      <c r="E5" s="146">
        <f>SUMIFS(FACILITIES!F:F,FACILITIES!$B:$B,$B5)</f>
        <v>0</v>
      </c>
      <c r="F5" s="146">
        <f>SUMIFS(FACILITIES!G:G,FACILITIES!$B:$B,B5)</f>
        <v>0</v>
      </c>
      <c r="G5" s="146">
        <f>SUMIFS(FACILITIES!H:H,FACILITIES!$B:$B,B5)</f>
        <v>0</v>
      </c>
      <c r="H5" s="146">
        <f>SUMIFS(FACILITIES!I:I,FACILITIES!$B:$B,B5)</f>
        <v>0</v>
      </c>
      <c r="I5" s="146">
        <f>SUMIFS(FACILITIES!J:J,FACILITIES!$B:$B,B5)</f>
        <v>500</v>
      </c>
      <c r="J5" s="146">
        <f>SUMIFS(FACILITIES!K:K,FACILITIES!$B:$B,B5)</f>
        <v>0</v>
      </c>
      <c r="K5" s="146">
        <f>SUMIFS(FACILITIES!L:L,FACILITIES!$B:$B,B5)</f>
        <v>0</v>
      </c>
      <c r="L5" s="146">
        <f>SUMIFS(FACILITIES!M:M,FACILITIES!$B:$B,B5)</f>
        <v>0</v>
      </c>
      <c r="M5" s="146">
        <f>SUMIFS(FACILITIES!N:N,FACILITIES!$B:$B,B5)</f>
        <v>0</v>
      </c>
      <c r="N5" s="146">
        <f>SUMIFS(FACILITIES!O:O,FACILITIES!$B:$B,B5)</f>
        <v>0</v>
      </c>
      <c r="O5" s="146">
        <f>SUMIFS(FACILITIES!P:P,FACILITIES!$B:$B,B5)</f>
        <v>0</v>
      </c>
      <c r="P5" s="146">
        <f>SUMIFS(FACILITIES!Q:Q,FACILITIES!$B:$B,B5)</f>
        <v>0</v>
      </c>
      <c r="Q5" s="146">
        <f>SUMIFS(FACILITIES!R:R,FACILITIES!$B:$B,B5)</f>
        <v>0</v>
      </c>
      <c r="R5" s="146">
        <f>SUMIFS(FACILITIES!T:T,FACILITIES!B:B,B5)</f>
        <v>0</v>
      </c>
      <c r="S5" s="146">
        <f>SUMIFS(FACILITIES!S:S,FACILITIES!B:B,B5)</f>
        <v>0</v>
      </c>
      <c r="T5" s="146">
        <f>SUMIFS('F &amp; B'!G:G,'F &amp; B'!B:B,B5)</f>
        <v>6550</v>
      </c>
      <c r="U5" s="210">
        <f t="shared" si="1"/>
        <v>982.5</v>
      </c>
      <c r="V5" s="146">
        <f>SUMIFS('FIXED AMOUNT'!G:G,'FIXED AMOUNT'!B:B,B5)</f>
        <v>7000</v>
      </c>
      <c r="W5" s="124">
        <f t="shared" si="0"/>
        <v>15032.5</v>
      </c>
      <c r="X5" s="124">
        <f>SUMIFS('FIXED AMOUNT'!E:E,'FIXED AMOUNT'!B:B,'data base '!B:B)</f>
        <v>0</v>
      </c>
      <c r="Y5" s="124">
        <f>SUMIFS('FIXED AMOUNT'!F:F,'FIXED AMOUNT'!B:B,'data base '!B:B)</f>
        <v>0</v>
      </c>
      <c r="Z5" s="124">
        <f>SUMIFS('FIXED AMOUNT'!V:V,'FIXED AMOUNT'!B:B,B:B)</f>
        <v>0</v>
      </c>
      <c r="AA5" s="124">
        <f>W5+X5-Y5+Z5</f>
        <v>15032.5</v>
      </c>
      <c r="AB5" s="207">
        <f t="shared" si="3"/>
        <v>1503.25</v>
      </c>
      <c r="AC5" s="204">
        <v>45945</v>
      </c>
      <c r="AD5" s="124">
        <f t="shared" si="4"/>
        <v>16535.75</v>
      </c>
      <c r="AE5" s="208"/>
    </row>
    <row r="6" spans="1:31">
      <c r="A6">
        <v>5</v>
      </c>
      <c r="B6" t="s">
        <v>25</v>
      </c>
      <c r="C6" t="s">
        <v>26</v>
      </c>
      <c r="D6" s="146">
        <f>SUMIFS(FACILITIES!E:E,FACILITIES!$B:$B,B6)</f>
        <v>2700</v>
      </c>
      <c r="E6" s="146">
        <f>SUMIFS(FACILITIES!F:F,FACILITIES!$B:$B,$B6)</f>
        <v>0</v>
      </c>
      <c r="F6" s="146">
        <f>SUMIFS(FACILITIES!G:G,FACILITIES!$B:$B,B6)</f>
        <v>0</v>
      </c>
      <c r="G6" s="146">
        <f>SUMIFS(FACILITIES!H:H,FACILITIES!$B:$B,B6)</f>
        <v>0</v>
      </c>
      <c r="H6" s="146">
        <f>SUMIFS(FACILITIES!I:I,FACILITIES!$B:$B,B6)</f>
        <v>0</v>
      </c>
      <c r="I6" s="146">
        <f>SUMIFS(FACILITIES!J:J,FACILITIES!$B:$B,B6)</f>
        <v>600</v>
      </c>
      <c r="J6" s="146">
        <f>SUMIFS(FACILITIES!K:K,FACILITIES!$B:$B,B6)</f>
        <v>0</v>
      </c>
      <c r="K6" s="146">
        <f>SUMIFS(FACILITIES!L:L,FACILITIES!$B:$B,B6)</f>
        <v>0</v>
      </c>
      <c r="L6" s="146">
        <f>SUMIFS(FACILITIES!M:M,FACILITIES!$B:$B,B6)</f>
        <v>0</v>
      </c>
      <c r="M6" s="146">
        <f>SUMIFS(FACILITIES!N:N,FACILITIES!$B:$B,B6)</f>
        <v>0</v>
      </c>
      <c r="N6" s="146">
        <f>SUMIFS(FACILITIES!O:O,FACILITIES!$B:$B,B6)</f>
        <v>0</v>
      </c>
      <c r="O6" s="146">
        <f>SUMIFS(FACILITIES!P:P,FACILITIES!$B:$B,B6)</f>
        <v>0</v>
      </c>
      <c r="P6" s="146">
        <f>SUMIFS(FACILITIES!Q:Q,FACILITIES!$B:$B,B6)</f>
        <v>0</v>
      </c>
      <c r="Q6" s="146">
        <f>SUMIFS(FACILITIES!R:R,FACILITIES!$B:$B,B6)</f>
        <v>0</v>
      </c>
      <c r="R6" s="146">
        <f>SUMIFS(FACILITIES!T:T,FACILITIES!B:B,B6)</f>
        <v>0</v>
      </c>
      <c r="S6" s="146">
        <f>SUMIFS(FACILITIES!S:S,FACILITIES!B:B,B6)</f>
        <v>0</v>
      </c>
      <c r="T6" s="146">
        <f>SUMIFS('F &amp; B'!G:G,'F &amp; B'!B:B,B6)</f>
        <v>22657</v>
      </c>
      <c r="U6" s="210">
        <f t="shared" si="1"/>
        <v>3398.5499999999997</v>
      </c>
      <c r="V6" s="146">
        <f>SUMIFS('FIXED AMOUNT'!G:G,'FIXED AMOUNT'!B:B,B6)</f>
        <v>7000</v>
      </c>
      <c r="W6" s="124">
        <f t="shared" si="0"/>
        <v>36355.550000000003</v>
      </c>
      <c r="X6" s="124">
        <f>SUMIFS('FIXED AMOUNT'!E:E,'FIXED AMOUNT'!B:B,'data base '!B:B)</f>
        <v>0</v>
      </c>
      <c r="Y6" s="124">
        <f>SUMIFS('FIXED AMOUNT'!F:F,'FIXED AMOUNT'!B:B,'data base '!B:B)</f>
        <v>0</v>
      </c>
      <c r="Z6" s="124">
        <f>SUMIFS('FIXED AMOUNT'!V:V,'FIXED AMOUNT'!B:B,B:B)</f>
        <v>8474</v>
      </c>
      <c r="AA6" s="124">
        <f t="shared" si="2"/>
        <v>44829.55</v>
      </c>
      <c r="AB6" s="207">
        <f t="shared" si="3"/>
        <v>3635.5550000000003</v>
      </c>
      <c r="AC6" s="204">
        <v>45945</v>
      </c>
      <c r="AD6" s="124">
        <f t="shared" si="4"/>
        <v>48465.105000000003</v>
      </c>
      <c r="AE6" s="208"/>
    </row>
    <row r="7" spans="1:31">
      <c r="A7">
        <v>6</v>
      </c>
      <c r="B7" t="s">
        <v>29</v>
      </c>
      <c r="C7" t="s">
        <v>30</v>
      </c>
      <c r="D7" s="146">
        <f>SUMIFS(FACILITIES!E:E,FACILITIES!$B:$B,B7)</f>
        <v>0</v>
      </c>
      <c r="E7" s="146">
        <f>SUMIFS(FACILITIES!F:F,FACILITIES!$B:$B,$B7)</f>
        <v>0</v>
      </c>
      <c r="F7" s="146">
        <f>SUMIFS(FACILITIES!G:G,FACILITIES!$B:$B,B7)</f>
        <v>0</v>
      </c>
      <c r="G7" s="146">
        <f>SUMIFS(FACILITIES!H:H,FACILITIES!$B:$B,B7)</f>
        <v>0</v>
      </c>
      <c r="H7" s="146">
        <f>SUMIFS(FACILITIES!I:I,FACILITIES!$B:$B,B7)</f>
        <v>0</v>
      </c>
      <c r="I7" s="146">
        <f>SUMIFS(FACILITIES!J:J,FACILITIES!$B:$B,B7)</f>
        <v>0</v>
      </c>
      <c r="J7" s="146">
        <f>SUMIFS(FACILITIES!K:K,FACILITIES!$B:$B,B7)</f>
        <v>0</v>
      </c>
      <c r="K7" s="146">
        <f>SUMIFS(FACILITIES!L:L,FACILITIES!$B:$B,B7)</f>
        <v>0</v>
      </c>
      <c r="L7" s="146">
        <f>SUMIFS(FACILITIES!M:M,FACILITIES!$B:$B,B7)</f>
        <v>0</v>
      </c>
      <c r="M7" s="146">
        <f>SUMIFS(FACILITIES!N:N,FACILITIES!$B:$B,B7)</f>
        <v>0</v>
      </c>
      <c r="N7" s="146">
        <f>SUMIFS(FACILITIES!O:O,FACILITIES!$B:$B,B7)</f>
        <v>0</v>
      </c>
      <c r="O7" s="146">
        <f>SUMIFS(FACILITIES!P:P,FACILITIES!$B:$B,B7)</f>
        <v>0</v>
      </c>
      <c r="P7" s="146">
        <f>SUMIFS(FACILITIES!Q:Q,FACILITIES!$B:$B,B7)</f>
        <v>0</v>
      </c>
      <c r="Q7" s="146">
        <f>SUMIFS(FACILITIES!R:R,FACILITIES!$B:$B,B7)</f>
        <v>0</v>
      </c>
      <c r="R7" s="146">
        <f>SUMIFS(FACILITIES!T:T,FACILITIES!B:B,B7)</f>
        <v>0</v>
      </c>
      <c r="S7" s="146">
        <f>SUMIFS(FACILITIES!S:S,FACILITIES!B:B,B7)</f>
        <v>0</v>
      </c>
      <c r="T7" s="146">
        <f>SUMIFS('F &amp; B'!G:G,'F &amp; B'!B:B,B7)</f>
        <v>3200</v>
      </c>
      <c r="U7" s="210">
        <f t="shared" si="1"/>
        <v>480</v>
      </c>
      <c r="V7" s="146">
        <f>SUMIFS('FIXED AMOUNT'!G:G,'FIXED AMOUNT'!B:B,B7)</f>
        <v>7000</v>
      </c>
      <c r="W7" s="124">
        <f t="shared" si="0"/>
        <v>10680</v>
      </c>
      <c r="X7" s="124">
        <f>SUMIFS('FIXED AMOUNT'!E:E,'FIXED AMOUNT'!B:B,'data base '!B:B)</f>
        <v>0</v>
      </c>
      <c r="Y7" s="124">
        <f>SUMIFS('FIXED AMOUNT'!F:F,'FIXED AMOUNT'!B:B,'data base '!B:B)</f>
        <v>0</v>
      </c>
      <c r="Z7" s="124">
        <f>SUMIFS('FIXED AMOUNT'!V:V,'FIXED AMOUNT'!B:B,B:B)</f>
        <v>44350</v>
      </c>
      <c r="AA7" s="124">
        <f t="shared" si="2"/>
        <v>55030</v>
      </c>
      <c r="AB7" s="207">
        <f t="shared" si="3"/>
        <v>1068</v>
      </c>
      <c r="AC7" s="204">
        <v>45945</v>
      </c>
      <c r="AD7" s="124">
        <f t="shared" si="4"/>
        <v>56098</v>
      </c>
      <c r="AE7" s="208"/>
    </row>
    <row r="8" spans="1:31">
      <c r="A8">
        <v>7</v>
      </c>
      <c r="B8" t="s">
        <v>34</v>
      </c>
      <c r="C8" t="s">
        <v>35</v>
      </c>
      <c r="D8" s="146">
        <f>SUMIFS(FACILITIES!E:E,FACILITIES!$B:$B,B8)</f>
        <v>2400</v>
      </c>
      <c r="E8" s="146">
        <f>SUMIFS(FACILITIES!F:F,FACILITIES!$B:$B,$B8)</f>
        <v>0</v>
      </c>
      <c r="F8" s="146">
        <f>SUMIFS(FACILITIES!G:G,FACILITIES!$B:$B,B8)</f>
        <v>0</v>
      </c>
      <c r="G8" s="146">
        <f>SUMIFS(FACILITIES!H:H,FACILITIES!$B:$B,B8)</f>
        <v>0</v>
      </c>
      <c r="H8" s="146">
        <f>SUMIFS(FACILITIES!I:I,FACILITIES!$B:$B,B8)</f>
        <v>0</v>
      </c>
      <c r="I8" s="146">
        <f>SUMIFS(FACILITIES!J:J,FACILITIES!$B:$B,B8)</f>
        <v>1100</v>
      </c>
      <c r="J8" s="146">
        <f>SUMIFS(FACILITIES!K:K,FACILITIES!$B:$B,B8)</f>
        <v>0</v>
      </c>
      <c r="K8" s="146">
        <f>SUMIFS(FACILITIES!L:L,FACILITIES!$B:$B,B8)</f>
        <v>0</v>
      </c>
      <c r="L8" s="146">
        <f>SUMIFS(FACILITIES!M:M,FACILITIES!$B:$B,B8)</f>
        <v>0</v>
      </c>
      <c r="M8" s="146">
        <f>SUMIFS(FACILITIES!N:N,FACILITIES!$B:$B,B8)</f>
        <v>0</v>
      </c>
      <c r="N8" s="146">
        <f>SUMIFS(FACILITIES!O:O,FACILITIES!$B:$B,B8)</f>
        <v>0</v>
      </c>
      <c r="O8" s="146">
        <f>SUMIFS(FACILITIES!P:P,FACILITIES!$B:$B,B8)</f>
        <v>0</v>
      </c>
      <c r="P8" s="146">
        <f>SUMIFS(FACILITIES!Q:Q,FACILITIES!$B:$B,B8)</f>
        <v>0</v>
      </c>
      <c r="Q8" s="146">
        <f>SUMIFS(FACILITIES!R:R,FACILITIES!$B:$B,B8)</f>
        <v>0</v>
      </c>
      <c r="R8" s="146">
        <f>SUMIFS(FACILITIES!T:T,FACILITIES!B:B,B8)</f>
        <v>0</v>
      </c>
      <c r="S8" s="146">
        <f>SUMIFS(FACILITIES!S:S,FACILITIES!B:B,B8)</f>
        <v>0</v>
      </c>
      <c r="T8" s="146">
        <f>SUMIFS('F &amp; B'!G:G,'F &amp; B'!B:B,B8)</f>
        <v>0</v>
      </c>
      <c r="U8" s="210">
        <f t="shared" si="1"/>
        <v>0</v>
      </c>
      <c r="V8" s="146">
        <f>SUMIFS('FIXED AMOUNT'!G:G,'FIXED AMOUNT'!B:B,B8)</f>
        <v>7000</v>
      </c>
      <c r="W8" s="124">
        <f t="shared" si="0"/>
        <v>10500</v>
      </c>
      <c r="X8" s="124">
        <f>SUMIFS('FIXED AMOUNT'!E:E,'FIXED AMOUNT'!B:B,'data base '!B:B)</f>
        <v>0</v>
      </c>
      <c r="Y8" s="124">
        <f>SUMIFS('FIXED AMOUNT'!F:F,'FIXED AMOUNT'!B:B,'data base '!B:B)</f>
        <v>0</v>
      </c>
      <c r="Z8" s="124">
        <f>SUMIFS('FIXED AMOUNT'!V:V,'FIXED AMOUNT'!B:B,B:B)</f>
        <v>0</v>
      </c>
      <c r="AA8" s="124">
        <f t="shared" si="2"/>
        <v>10500</v>
      </c>
      <c r="AB8" s="207">
        <f t="shared" si="3"/>
        <v>1050</v>
      </c>
      <c r="AC8" s="204">
        <v>45945</v>
      </c>
      <c r="AD8" s="124">
        <f t="shared" si="4"/>
        <v>11550</v>
      </c>
      <c r="AE8" s="208"/>
    </row>
    <row r="9" spans="1:31">
      <c r="A9">
        <v>8</v>
      </c>
      <c r="B9" t="s">
        <v>39</v>
      </c>
      <c r="C9" t="s">
        <v>40</v>
      </c>
      <c r="D9" s="146">
        <f>SUMIFS(FACILITIES!E:E,FACILITIES!$B:$B,B9)</f>
        <v>0</v>
      </c>
      <c r="E9" s="146">
        <f>SUMIFS(FACILITIES!F:F,FACILITIES!$B:$B,$B9)</f>
        <v>600</v>
      </c>
      <c r="F9" s="146">
        <f>SUMIFS(FACILITIES!G:G,FACILITIES!$B:$B,B9)</f>
        <v>0</v>
      </c>
      <c r="G9" s="146">
        <f>SUMIFS(FACILITIES!H:H,FACILITIES!$B:$B,B9)</f>
        <v>0</v>
      </c>
      <c r="H9" s="146">
        <f>SUMIFS(FACILITIES!I:I,FACILITIES!$B:$B,B9)</f>
        <v>0</v>
      </c>
      <c r="I9" s="146">
        <f>SUMIFS(FACILITIES!J:J,FACILITIES!$B:$B,B9)</f>
        <v>0</v>
      </c>
      <c r="J9" s="146">
        <f>SUMIFS(FACILITIES!K:K,FACILITIES!$B:$B,B9)</f>
        <v>0</v>
      </c>
      <c r="K9" s="146">
        <f>SUMIFS(FACILITIES!L:L,FACILITIES!$B:$B,B9)</f>
        <v>0</v>
      </c>
      <c r="L9" s="146">
        <f>SUMIFS(FACILITIES!M:M,FACILITIES!$B:$B,B9)</f>
        <v>0</v>
      </c>
      <c r="M9" s="146">
        <f>SUMIFS(FACILITIES!N:N,FACILITIES!$B:$B,B9)</f>
        <v>0</v>
      </c>
      <c r="N9" s="146">
        <f>SUMIFS(FACILITIES!O:O,FACILITIES!$B:$B,B9)</f>
        <v>0</v>
      </c>
      <c r="O9" s="146">
        <f>SUMIFS(FACILITIES!P:P,FACILITIES!$B:$B,B9)</f>
        <v>0</v>
      </c>
      <c r="P9" s="146">
        <f>SUMIFS(FACILITIES!Q:Q,FACILITIES!$B:$B,B9)</f>
        <v>0</v>
      </c>
      <c r="Q9" s="146">
        <f>SUMIFS(FACILITIES!R:R,FACILITIES!$B:$B,B9)</f>
        <v>0</v>
      </c>
      <c r="R9" s="146">
        <f>SUMIFS(FACILITIES!T:T,FACILITIES!B:B,B9)</f>
        <v>0</v>
      </c>
      <c r="S9" s="146">
        <f>SUMIFS(FACILITIES!S:S,FACILITIES!B:B,B9)</f>
        <v>0</v>
      </c>
      <c r="T9" s="146">
        <f>SUMIFS('F &amp; B'!G:G,'F &amp; B'!B:B,B9)</f>
        <v>1300</v>
      </c>
      <c r="U9" s="210">
        <f t="shared" si="1"/>
        <v>195</v>
      </c>
      <c r="V9" s="146">
        <f>SUMIFS('FIXED AMOUNT'!G:G,'FIXED AMOUNT'!B:B,B9)</f>
        <v>7000</v>
      </c>
      <c r="W9" s="124">
        <f t="shared" si="0"/>
        <v>9095</v>
      </c>
      <c r="X9" s="124">
        <f>SUMIFS('FIXED AMOUNT'!E:E,'FIXED AMOUNT'!B:B,'data base '!B:B)</f>
        <v>0</v>
      </c>
      <c r="Y9" s="124">
        <f>SUMIFS('FIXED AMOUNT'!F:F,'FIXED AMOUNT'!B:B,'data base '!B:B)</f>
        <v>0</v>
      </c>
      <c r="Z9" s="124">
        <f>SUMIFS('FIXED AMOUNT'!V:V,'FIXED AMOUNT'!B:B,B:B)</f>
        <v>0</v>
      </c>
      <c r="AA9" s="124">
        <f t="shared" si="2"/>
        <v>9095</v>
      </c>
      <c r="AB9" s="207">
        <f t="shared" si="3"/>
        <v>909.5</v>
      </c>
      <c r="AC9" s="204">
        <v>45945</v>
      </c>
      <c r="AD9" s="124">
        <f t="shared" si="4"/>
        <v>10004.5</v>
      </c>
      <c r="AE9" s="208"/>
    </row>
    <row r="10" spans="1:31">
      <c r="A10">
        <v>9</v>
      </c>
      <c r="B10" t="s">
        <v>44</v>
      </c>
      <c r="C10" t="s">
        <v>45</v>
      </c>
      <c r="D10" s="146">
        <f>SUMIFS(FACILITIES!E:E,FACILITIES!$B:$B,B10)</f>
        <v>1800</v>
      </c>
      <c r="E10" s="146">
        <f>SUMIFS(FACILITIES!F:F,FACILITIES!$B:$B,$B10)</f>
        <v>750</v>
      </c>
      <c r="F10" s="146">
        <f>SUMIFS(FACILITIES!G:G,FACILITIES!$B:$B,B10)</f>
        <v>0</v>
      </c>
      <c r="G10" s="146">
        <f>SUMIFS(FACILITIES!H:H,FACILITIES!$B:$B,B10)</f>
        <v>0</v>
      </c>
      <c r="H10" s="146">
        <f>SUMIFS(FACILITIES!I:I,FACILITIES!$B:$B,B10)</f>
        <v>0</v>
      </c>
      <c r="I10" s="146">
        <f>SUMIFS(FACILITIES!J:J,FACILITIES!$B:$B,B10)</f>
        <v>0</v>
      </c>
      <c r="J10" s="146">
        <f>SUMIFS(FACILITIES!K:K,FACILITIES!$B:$B,B10)</f>
        <v>0</v>
      </c>
      <c r="K10" s="146">
        <f>SUMIFS(FACILITIES!L:L,FACILITIES!$B:$B,B10)</f>
        <v>0</v>
      </c>
      <c r="L10" s="146">
        <f>SUMIFS(FACILITIES!M:M,FACILITIES!$B:$B,B10)</f>
        <v>0</v>
      </c>
      <c r="M10" s="146">
        <f>SUMIFS(FACILITIES!N:N,FACILITIES!$B:$B,B10)</f>
        <v>0</v>
      </c>
      <c r="N10" s="146">
        <f>SUMIFS(FACILITIES!O:O,FACILITIES!$B:$B,B10)</f>
        <v>0</v>
      </c>
      <c r="O10" s="146">
        <f>SUMIFS(FACILITIES!P:P,FACILITIES!$B:$B,B10)</f>
        <v>0</v>
      </c>
      <c r="P10" s="146">
        <f>SUMIFS(FACILITIES!Q:Q,FACILITIES!$B:$B,B10)</f>
        <v>0</v>
      </c>
      <c r="Q10" s="146">
        <f>SUMIFS(FACILITIES!R:R,FACILITIES!$B:$B,B10)</f>
        <v>0</v>
      </c>
      <c r="R10" s="146">
        <f>SUMIFS(FACILITIES!T:T,FACILITIES!B:B,B10)</f>
        <v>0</v>
      </c>
      <c r="S10" s="146">
        <f>SUMIFS(FACILITIES!S:S,FACILITIES!B:B,B10)</f>
        <v>0</v>
      </c>
      <c r="T10" s="146">
        <f>SUMIFS('F &amp; B'!G:G,'F &amp; B'!B:B,B10)</f>
        <v>500</v>
      </c>
      <c r="U10" s="210">
        <f t="shared" si="1"/>
        <v>75</v>
      </c>
      <c r="V10" s="146">
        <f>SUMIFS('FIXED AMOUNT'!G:G,'FIXED AMOUNT'!B:B,B10)</f>
        <v>7000</v>
      </c>
      <c r="W10" s="124">
        <f t="shared" si="0"/>
        <v>10125</v>
      </c>
      <c r="X10" s="124">
        <f>SUMIFS('FIXED AMOUNT'!E:E,'FIXED AMOUNT'!B:B,'data base '!B:B)</f>
        <v>0</v>
      </c>
      <c r="Y10" s="124">
        <f>SUMIFS('FIXED AMOUNT'!F:F,'FIXED AMOUNT'!B:B,'data base '!B:B)</f>
        <v>0</v>
      </c>
      <c r="Z10" s="124">
        <f>SUMIFS('FIXED AMOUNT'!V:V,'FIXED AMOUNT'!B:B,B:B)</f>
        <v>17926</v>
      </c>
      <c r="AA10" s="124">
        <f t="shared" si="2"/>
        <v>28051</v>
      </c>
      <c r="AB10" s="207">
        <f t="shared" si="3"/>
        <v>1012.5</v>
      </c>
      <c r="AC10" s="204">
        <v>45945</v>
      </c>
      <c r="AD10" s="124">
        <f t="shared" si="4"/>
        <v>29063.5</v>
      </c>
      <c r="AE10" s="208"/>
    </row>
    <row r="11" spans="1:31">
      <c r="A11">
        <v>10</v>
      </c>
      <c r="B11" t="s">
        <v>49</v>
      </c>
      <c r="C11" t="s">
        <v>50</v>
      </c>
      <c r="D11" s="146">
        <f>SUMIFS(FACILITIES!E:E,FACILITIES!$B:$B,B11)</f>
        <v>0</v>
      </c>
      <c r="E11" s="146">
        <f>SUMIFS(FACILITIES!F:F,FACILITIES!$B:$B,$B11)</f>
        <v>0</v>
      </c>
      <c r="F11" s="146">
        <f>SUMIFS(FACILITIES!G:G,FACILITIES!$B:$B,B11)</f>
        <v>0</v>
      </c>
      <c r="G11" s="146">
        <f>SUMIFS(FACILITIES!H:H,FACILITIES!$B:$B,B11)</f>
        <v>0</v>
      </c>
      <c r="H11" s="146">
        <f>SUMIFS(FACILITIES!I:I,FACILITIES!$B:$B,B11)</f>
        <v>0</v>
      </c>
      <c r="I11" s="146">
        <f>SUMIFS(FACILITIES!J:J,FACILITIES!$B:$B,B11)</f>
        <v>0</v>
      </c>
      <c r="J11" s="146">
        <f>SUMIFS(FACILITIES!K:K,FACILITIES!$B:$B,B11)</f>
        <v>0</v>
      </c>
      <c r="K11" s="146">
        <f>SUMIFS(FACILITIES!L:L,FACILITIES!$B:$B,B11)</f>
        <v>0</v>
      </c>
      <c r="L11" s="146">
        <f>SUMIFS(FACILITIES!M:M,FACILITIES!$B:$B,B11)</f>
        <v>0</v>
      </c>
      <c r="M11" s="146">
        <f>SUMIFS(FACILITIES!N:N,FACILITIES!$B:$B,B11)</f>
        <v>0</v>
      </c>
      <c r="N11" s="146">
        <f>SUMIFS(FACILITIES!O:O,FACILITIES!$B:$B,B11)</f>
        <v>0</v>
      </c>
      <c r="O11" s="146">
        <f>SUMIFS(FACILITIES!P:P,FACILITIES!$B:$B,B11)</f>
        <v>0</v>
      </c>
      <c r="P11" s="146">
        <f>SUMIFS(FACILITIES!Q:Q,FACILITIES!$B:$B,B11)</f>
        <v>0</v>
      </c>
      <c r="Q11" s="146">
        <f>SUMIFS(FACILITIES!R:R,FACILITIES!$B:$B,B11)</f>
        <v>0</v>
      </c>
      <c r="R11" s="146">
        <f>SUMIFS(FACILITIES!T:T,FACILITIES!B:B,B11)</f>
        <v>0</v>
      </c>
      <c r="S11" s="146">
        <f>SUMIFS(FACILITIES!S:S,FACILITIES!B:B,B11)</f>
        <v>0</v>
      </c>
      <c r="T11" s="146">
        <f>SUMIFS('F &amp; B'!G:G,'F &amp; B'!B:B,B11)</f>
        <v>0</v>
      </c>
      <c r="U11" s="210">
        <f t="shared" si="1"/>
        <v>0</v>
      </c>
      <c r="V11" s="146">
        <f>SUMIFS('FIXED AMOUNT'!G:G,'FIXED AMOUNT'!B:B,B11)</f>
        <v>7000</v>
      </c>
      <c r="W11" s="124">
        <f t="shared" si="0"/>
        <v>7000</v>
      </c>
      <c r="X11" s="124">
        <f>SUMIFS('FIXED AMOUNT'!E:E,'FIXED AMOUNT'!B:B,'data base '!B:B)</f>
        <v>0</v>
      </c>
      <c r="Y11" s="124">
        <f>SUMIFS('FIXED AMOUNT'!F:F,'FIXED AMOUNT'!B:B,'data base '!B:B)</f>
        <v>0</v>
      </c>
      <c r="Z11" s="124">
        <f>SUMIFS('FIXED AMOUNT'!V:V,'FIXED AMOUNT'!B:B,B:B)</f>
        <v>0</v>
      </c>
      <c r="AA11" s="124">
        <f t="shared" si="2"/>
        <v>7000</v>
      </c>
      <c r="AB11" s="207">
        <f t="shared" si="3"/>
        <v>700</v>
      </c>
      <c r="AC11" s="204">
        <v>45945</v>
      </c>
      <c r="AD11" s="124">
        <f t="shared" si="4"/>
        <v>7700</v>
      </c>
      <c r="AE11" s="208"/>
    </row>
    <row r="12" spans="1:31">
      <c r="A12">
        <v>11</v>
      </c>
      <c r="B12" t="s">
        <v>54</v>
      </c>
      <c r="C12" t="s">
        <v>55</v>
      </c>
      <c r="D12" s="146">
        <f>SUMIFS(FACILITIES!E:E,FACILITIES!$B:$B,B12)</f>
        <v>0</v>
      </c>
      <c r="E12" s="146">
        <f>SUMIFS(FACILITIES!F:F,FACILITIES!$B:$B,$B12)</f>
        <v>6150</v>
      </c>
      <c r="F12" s="146">
        <f>SUMIFS(FACILITIES!G:G,FACILITIES!$B:$B,B12)</f>
        <v>0</v>
      </c>
      <c r="G12" s="146">
        <f>SUMIFS(FACILITIES!H:H,FACILITIES!$B:$B,B12)</f>
        <v>0</v>
      </c>
      <c r="H12" s="146">
        <f>SUMIFS(FACILITIES!I:I,FACILITIES!$B:$B,B12)</f>
        <v>0</v>
      </c>
      <c r="I12" s="146">
        <f>SUMIFS(FACILITIES!J:J,FACILITIES!$B:$B,B12)</f>
        <v>3100</v>
      </c>
      <c r="J12" s="146">
        <f>SUMIFS(FACILITIES!K:K,FACILITIES!$B:$B,B12)</f>
        <v>0</v>
      </c>
      <c r="K12" s="146">
        <f>SUMIFS(FACILITIES!L:L,FACILITIES!$B:$B,B12)</f>
        <v>0</v>
      </c>
      <c r="L12" s="146">
        <f>SUMIFS(FACILITIES!M:M,FACILITIES!$B:$B,B12)</f>
        <v>0</v>
      </c>
      <c r="M12" s="146">
        <f>SUMIFS(FACILITIES!N:N,FACILITIES!$B:$B,B12)</f>
        <v>0</v>
      </c>
      <c r="N12" s="146">
        <f>SUMIFS(FACILITIES!O:O,FACILITIES!$B:$B,B12)</f>
        <v>0</v>
      </c>
      <c r="O12" s="146">
        <f>SUMIFS(FACILITIES!P:P,FACILITIES!$B:$B,B12)</f>
        <v>0</v>
      </c>
      <c r="P12" s="146">
        <f>SUMIFS(FACILITIES!Q:Q,FACILITIES!$B:$B,B12)</f>
        <v>0</v>
      </c>
      <c r="Q12" s="146">
        <f>SUMIFS(FACILITIES!R:R,FACILITIES!$B:$B,B12)</f>
        <v>0</v>
      </c>
      <c r="R12" s="146">
        <f>SUMIFS(FACILITIES!T:T,FACILITIES!B:B,B12)</f>
        <v>4000</v>
      </c>
      <c r="S12" s="146">
        <f>SUMIFS(FACILITIES!S:S,FACILITIES!B:B,B12)</f>
        <v>0</v>
      </c>
      <c r="T12" s="146">
        <f>SUMIFS('F &amp; B'!G:G,'F &amp; B'!B:B,B12)</f>
        <v>6150</v>
      </c>
      <c r="U12" s="210">
        <f t="shared" si="1"/>
        <v>922.5</v>
      </c>
      <c r="V12" s="146">
        <f>SUMIFS('FIXED AMOUNT'!G:G,'FIXED AMOUNT'!B:B,B12)</f>
        <v>7000</v>
      </c>
      <c r="W12" s="124">
        <f t="shared" si="0"/>
        <v>27322.5</v>
      </c>
      <c r="X12" s="124">
        <f>SUMIFS('FIXED AMOUNT'!E:E,'FIXED AMOUNT'!B:B,'data base '!B:B)</f>
        <v>0</v>
      </c>
      <c r="Y12" s="124">
        <f>SUMIFS('FIXED AMOUNT'!F:F,'FIXED AMOUNT'!B:B,'data base '!B:B)</f>
        <v>0</v>
      </c>
      <c r="Z12" s="124">
        <f>SUMIFS('FIXED AMOUNT'!V:V,'FIXED AMOUNT'!B:B,B:B)</f>
        <v>3176</v>
      </c>
      <c r="AA12" s="124">
        <f t="shared" si="2"/>
        <v>30498.5</v>
      </c>
      <c r="AB12" s="207">
        <f t="shared" si="3"/>
        <v>2732.25</v>
      </c>
      <c r="AC12" s="204">
        <v>45945</v>
      </c>
      <c r="AD12" s="124">
        <f t="shared" si="4"/>
        <v>33230.75</v>
      </c>
      <c r="AE12" s="208"/>
    </row>
    <row r="13" spans="1:31">
      <c r="A13">
        <v>12</v>
      </c>
      <c r="B13" t="s">
        <v>59</v>
      </c>
      <c r="C13" t="s">
        <v>60</v>
      </c>
      <c r="D13" s="146">
        <f>SUMIFS(FACILITIES!E:E,FACILITIES!$B:$B,B13)</f>
        <v>0</v>
      </c>
      <c r="E13" s="146">
        <f>SUMIFS(FACILITIES!F:F,FACILITIES!$B:$B,$B13)</f>
        <v>0</v>
      </c>
      <c r="F13" s="146">
        <f>SUMIFS(FACILITIES!G:G,FACILITIES!$B:$B,B13)</f>
        <v>0</v>
      </c>
      <c r="G13" s="146">
        <f>SUMIFS(FACILITIES!H:H,FACILITIES!$B:$B,B13)</f>
        <v>0</v>
      </c>
      <c r="H13" s="146">
        <f>SUMIFS(FACILITIES!I:I,FACILITIES!$B:$B,B13)</f>
        <v>0</v>
      </c>
      <c r="I13" s="146">
        <f>SUMIFS(FACILITIES!J:J,FACILITIES!$B:$B,B13)</f>
        <v>0</v>
      </c>
      <c r="J13" s="146">
        <f>SUMIFS(FACILITIES!K:K,FACILITIES!$B:$B,B13)</f>
        <v>0</v>
      </c>
      <c r="K13" s="146">
        <f>SUMIFS(FACILITIES!L:L,FACILITIES!$B:$B,B13)</f>
        <v>0</v>
      </c>
      <c r="L13" s="146">
        <f>SUMIFS(FACILITIES!M:M,FACILITIES!$B:$B,B13)</f>
        <v>0</v>
      </c>
      <c r="M13" s="146">
        <f>SUMIFS(FACILITIES!N:N,FACILITIES!$B:$B,B13)</f>
        <v>0</v>
      </c>
      <c r="N13" s="146">
        <f>SUMIFS(FACILITIES!O:O,FACILITIES!$B:$B,B13)</f>
        <v>0</v>
      </c>
      <c r="O13" s="146">
        <f>SUMIFS(FACILITIES!P:P,FACILITIES!$B:$B,B13)</f>
        <v>12000</v>
      </c>
      <c r="P13" s="146">
        <f>SUMIFS(FACILITIES!Q:Q,FACILITIES!$B:$B,B13)</f>
        <v>0</v>
      </c>
      <c r="Q13" s="146">
        <f>SUMIFS(FACILITIES!R:R,FACILITIES!$B:$B,B13)</f>
        <v>0</v>
      </c>
      <c r="R13" s="146">
        <f>SUMIFS(FACILITIES!T:T,FACILITIES!B:B,B13)</f>
        <v>0</v>
      </c>
      <c r="S13" s="146">
        <f>SUMIFS(FACILITIES!S:S,FACILITIES!B:B,B13)</f>
        <v>0</v>
      </c>
      <c r="T13" s="146">
        <f>SUMIFS('F &amp; B'!G:G,'F &amp; B'!B:B,B13)</f>
        <v>23647</v>
      </c>
      <c r="U13" s="210">
        <f t="shared" si="1"/>
        <v>3547.0499999999997</v>
      </c>
      <c r="V13" s="146">
        <f>SUMIFS('FIXED AMOUNT'!G:G,'FIXED AMOUNT'!B:B,B13)</f>
        <v>7000</v>
      </c>
      <c r="W13" s="124">
        <f t="shared" si="0"/>
        <v>46194.05</v>
      </c>
      <c r="X13" s="124">
        <f>SUMIFS('FIXED AMOUNT'!E:E,'FIXED AMOUNT'!B:B,'data base '!B:B)</f>
        <v>0</v>
      </c>
      <c r="Y13" s="124">
        <f>SUMIFS('FIXED AMOUNT'!F:F,'FIXED AMOUNT'!B:B,'data base '!B:B)</f>
        <v>0</v>
      </c>
      <c r="Z13" s="124">
        <f>SUMIFS('FIXED AMOUNT'!V:V,'FIXED AMOUNT'!B:B,B:B)</f>
        <v>0</v>
      </c>
      <c r="AA13" s="124">
        <f t="shared" si="2"/>
        <v>46194.05</v>
      </c>
      <c r="AB13" s="207">
        <f t="shared" si="3"/>
        <v>4619.4050000000007</v>
      </c>
      <c r="AC13" s="204">
        <v>45945</v>
      </c>
      <c r="AD13" s="124">
        <f t="shared" si="4"/>
        <v>50813.455000000002</v>
      </c>
      <c r="AE13" s="208"/>
    </row>
    <row r="14" spans="1:31">
      <c r="A14">
        <v>13</v>
      </c>
      <c r="B14" t="s">
        <v>64</v>
      </c>
      <c r="C14" t="s">
        <v>65</v>
      </c>
      <c r="D14" s="146">
        <f>SUMIFS(FACILITIES!E:E,FACILITIES!$B:$B,B14)</f>
        <v>0</v>
      </c>
      <c r="E14" s="146">
        <f>SUMIFS(FACILITIES!F:F,FACILITIES!$B:$B,$B14)</f>
        <v>0</v>
      </c>
      <c r="F14" s="146">
        <f>SUMIFS(FACILITIES!G:G,FACILITIES!$B:$B,B14)</f>
        <v>0</v>
      </c>
      <c r="G14" s="146">
        <f>SUMIFS(FACILITIES!H:H,FACILITIES!$B:$B,B14)</f>
        <v>0</v>
      </c>
      <c r="H14" s="146">
        <f>SUMIFS(FACILITIES!I:I,FACILITIES!$B:$B,B14)</f>
        <v>0</v>
      </c>
      <c r="I14" s="146">
        <f>SUMIFS(FACILITIES!J:J,FACILITIES!$B:$B,B14)</f>
        <v>0</v>
      </c>
      <c r="J14" s="146">
        <f>SUMIFS(FACILITIES!K:K,FACILITIES!$B:$B,B14)</f>
        <v>0</v>
      </c>
      <c r="K14" s="146">
        <f>SUMIFS(FACILITIES!L:L,FACILITIES!$B:$B,B14)</f>
        <v>0</v>
      </c>
      <c r="L14" s="146">
        <f>SUMIFS(FACILITIES!M:M,FACILITIES!$B:$B,B14)</f>
        <v>0</v>
      </c>
      <c r="M14" s="146">
        <f>SUMIFS(FACILITIES!N:N,FACILITIES!$B:$B,B14)</f>
        <v>0</v>
      </c>
      <c r="N14" s="146">
        <f>SUMIFS(FACILITIES!O:O,FACILITIES!$B:$B,B14)</f>
        <v>0</v>
      </c>
      <c r="O14" s="146">
        <f>SUMIFS(FACILITIES!P:P,FACILITIES!$B:$B,B14)</f>
        <v>0</v>
      </c>
      <c r="P14" s="146">
        <f>SUMIFS(FACILITIES!Q:Q,FACILITIES!$B:$B,B14)</f>
        <v>0</v>
      </c>
      <c r="Q14" s="146">
        <f>SUMIFS(FACILITIES!R:R,FACILITIES!$B:$B,B14)</f>
        <v>0</v>
      </c>
      <c r="R14" s="146">
        <f>SUMIFS(FACILITIES!T:T,FACILITIES!B:B,B14)</f>
        <v>0</v>
      </c>
      <c r="S14" s="146">
        <f>SUMIFS(FACILITIES!S:S,FACILITIES!B:B,B14)</f>
        <v>0</v>
      </c>
      <c r="T14" s="146">
        <f>SUMIFS('F &amp; B'!G:G,'F &amp; B'!B:B,B14)</f>
        <v>39050</v>
      </c>
      <c r="U14" s="210">
        <f t="shared" si="1"/>
        <v>5857.5</v>
      </c>
      <c r="V14" s="146">
        <f>SUMIFS('FIXED AMOUNT'!G:G,'FIXED AMOUNT'!B:B,B14)</f>
        <v>7000</v>
      </c>
      <c r="W14" s="124">
        <f t="shared" si="0"/>
        <v>51907.5</v>
      </c>
      <c r="X14" s="124">
        <f>SUMIFS('FIXED AMOUNT'!E:E,'FIXED AMOUNT'!B:B,'data base '!B:B)</f>
        <v>0</v>
      </c>
      <c r="Y14" s="124">
        <f>SUMIFS('FIXED AMOUNT'!F:F,'FIXED AMOUNT'!B:B,'data base '!B:B)</f>
        <v>0</v>
      </c>
      <c r="Z14" s="124">
        <f>SUMIFS('FIXED AMOUNT'!V:V,'FIXED AMOUNT'!B:B,B:B)</f>
        <v>12030</v>
      </c>
      <c r="AA14" s="124">
        <f t="shared" si="2"/>
        <v>63937.5</v>
      </c>
      <c r="AB14" s="207">
        <f t="shared" si="3"/>
        <v>5190.75</v>
      </c>
      <c r="AC14" s="204">
        <v>45945</v>
      </c>
      <c r="AD14" s="124">
        <f t="shared" si="4"/>
        <v>69128.25</v>
      </c>
      <c r="AE14" s="208"/>
    </row>
    <row r="15" spans="1:31">
      <c r="A15">
        <v>14</v>
      </c>
      <c r="B15" t="s">
        <v>69</v>
      </c>
      <c r="C15" t="s">
        <v>70</v>
      </c>
      <c r="D15" s="146">
        <f>SUMIFS(FACILITIES!E:E,FACILITIES!$B:$B,B15)</f>
        <v>0</v>
      </c>
      <c r="E15" s="146">
        <f>SUMIFS(FACILITIES!F:F,FACILITIES!$B:$B,$B15)</f>
        <v>1050</v>
      </c>
      <c r="F15" s="146">
        <f>SUMIFS(FACILITIES!G:G,FACILITIES!$B:$B,B15)</f>
        <v>0</v>
      </c>
      <c r="G15" s="146">
        <f>SUMIFS(FACILITIES!H:H,FACILITIES!$B:$B,B15)</f>
        <v>0</v>
      </c>
      <c r="H15" s="146">
        <f>SUMIFS(FACILITIES!I:I,FACILITIES!$B:$B,B15)</f>
        <v>0</v>
      </c>
      <c r="I15" s="146">
        <f>SUMIFS(FACILITIES!J:J,FACILITIES!$B:$B,B15)</f>
        <v>1500</v>
      </c>
      <c r="J15" s="146">
        <f>SUMIFS(FACILITIES!K:K,FACILITIES!$B:$B,B15)</f>
        <v>0</v>
      </c>
      <c r="K15" s="146">
        <f>SUMIFS(FACILITIES!L:L,FACILITIES!$B:$B,B15)</f>
        <v>0</v>
      </c>
      <c r="L15" s="146">
        <f>SUMIFS(FACILITIES!M:M,FACILITIES!$B:$B,B15)</f>
        <v>0</v>
      </c>
      <c r="M15" s="146">
        <f>SUMIFS(FACILITIES!N:N,FACILITIES!$B:$B,B15)</f>
        <v>0</v>
      </c>
      <c r="N15" s="146">
        <f>SUMIFS(FACILITIES!O:O,FACILITIES!$B:$B,B15)</f>
        <v>0</v>
      </c>
      <c r="O15" s="146">
        <f>SUMIFS(FACILITIES!P:P,FACILITIES!$B:$B,B15)</f>
        <v>0</v>
      </c>
      <c r="P15" s="146">
        <f>SUMIFS(FACILITIES!Q:Q,FACILITIES!$B:$B,B15)</f>
        <v>0</v>
      </c>
      <c r="Q15" s="146">
        <f>SUMIFS(FACILITIES!R:R,FACILITIES!$B:$B,B15)</f>
        <v>0</v>
      </c>
      <c r="R15" s="146">
        <f>SUMIFS(FACILITIES!T:T,FACILITIES!B:B,B15)</f>
        <v>0</v>
      </c>
      <c r="S15" s="146">
        <f>SUMIFS(FACILITIES!S:S,FACILITIES!B:B,B15)</f>
        <v>0</v>
      </c>
      <c r="T15" s="146">
        <f>SUMIFS('F &amp; B'!G:G,'F &amp; B'!B:B,B15)</f>
        <v>25360</v>
      </c>
      <c r="U15" s="210">
        <f t="shared" si="1"/>
        <v>3804</v>
      </c>
      <c r="V15" s="146">
        <f>SUMIFS('FIXED AMOUNT'!G:G,'FIXED AMOUNT'!B:B,B15)</f>
        <v>7000</v>
      </c>
      <c r="W15" s="124">
        <f t="shared" si="0"/>
        <v>38714</v>
      </c>
      <c r="X15" s="124">
        <f>SUMIFS('FIXED AMOUNT'!E:E,'FIXED AMOUNT'!B:B,'data base '!B:B)</f>
        <v>0</v>
      </c>
      <c r="Y15" s="124">
        <f>SUMIFS('FIXED AMOUNT'!F:F,'FIXED AMOUNT'!B:B,'data base '!B:B)</f>
        <v>0</v>
      </c>
      <c r="Z15" s="124">
        <f>SUMIFS('FIXED AMOUNT'!V:V,'FIXED AMOUNT'!B:B,B:B)</f>
        <v>0</v>
      </c>
      <c r="AA15" s="124">
        <f t="shared" si="2"/>
        <v>38714</v>
      </c>
      <c r="AB15" s="207">
        <f t="shared" si="3"/>
        <v>3871.4</v>
      </c>
      <c r="AC15" s="204">
        <v>45945</v>
      </c>
      <c r="AD15" s="124">
        <v>0</v>
      </c>
      <c r="AE15" s="208"/>
    </row>
    <row r="16" spans="1:31">
      <c r="A16">
        <v>15</v>
      </c>
      <c r="B16" t="s">
        <v>73</v>
      </c>
      <c r="C16" t="s">
        <v>74</v>
      </c>
      <c r="D16" s="146">
        <f>SUMIFS(FACILITIES!E:E,FACILITIES!$B:$B,B16)</f>
        <v>0</v>
      </c>
      <c r="E16" s="146">
        <f>SUMIFS(FACILITIES!F:F,FACILITIES!$B:$B,$B16)</f>
        <v>0</v>
      </c>
      <c r="F16" s="146">
        <f>SUMIFS(FACILITIES!G:G,FACILITIES!$B:$B,B16)</f>
        <v>0</v>
      </c>
      <c r="G16" s="146">
        <f>SUMIFS(FACILITIES!H:H,FACILITIES!$B:$B,B16)</f>
        <v>0</v>
      </c>
      <c r="H16" s="146">
        <f>SUMIFS(FACILITIES!I:I,FACILITIES!$B:$B,B16)</f>
        <v>0</v>
      </c>
      <c r="I16" s="146">
        <f>SUMIFS(FACILITIES!J:J,FACILITIES!$B:$B,B16)</f>
        <v>600</v>
      </c>
      <c r="J16" s="146">
        <f>SUMIFS(FACILITIES!K:K,FACILITIES!$B:$B,B16)</f>
        <v>0</v>
      </c>
      <c r="K16" s="146">
        <f>SUMIFS(FACILITIES!L:L,FACILITIES!$B:$B,B16)</f>
        <v>0</v>
      </c>
      <c r="L16" s="146">
        <f>SUMIFS(FACILITIES!M:M,FACILITIES!$B:$B,B16)</f>
        <v>0</v>
      </c>
      <c r="M16" s="146">
        <f>SUMIFS(FACILITIES!N:N,FACILITIES!$B:$B,B16)</f>
        <v>0</v>
      </c>
      <c r="N16" s="146">
        <f>SUMIFS(FACILITIES!O:O,FACILITIES!$B:$B,B16)</f>
        <v>0</v>
      </c>
      <c r="O16" s="146">
        <f>SUMIFS(FACILITIES!P:P,FACILITIES!$B:$B,B16)</f>
        <v>0</v>
      </c>
      <c r="P16" s="146">
        <f>SUMIFS(FACILITIES!Q:Q,FACILITIES!$B:$B,B16)</f>
        <v>0</v>
      </c>
      <c r="Q16" s="146">
        <f>SUMIFS(FACILITIES!R:R,FACILITIES!$B:$B,B16)</f>
        <v>0</v>
      </c>
      <c r="R16" s="146">
        <f>SUMIFS(FACILITIES!T:T,FACILITIES!B:B,B16)</f>
        <v>0</v>
      </c>
      <c r="S16" s="146">
        <f>SUMIFS(FACILITIES!S:S,FACILITIES!B:B,B16)</f>
        <v>0</v>
      </c>
      <c r="T16" s="146">
        <f>SUMIFS('F &amp; B'!G:G,'F &amp; B'!B:B,B16)</f>
        <v>3970</v>
      </c>
      <c r="U16" s="210">
        <f t="shared" si="1"/>
        <v>595.5</v>
      </c>
      <c r="V16" s="146">
        <f>SUMIFS('FIXED AMOUNT'!G:G,'FIXED AMOUNT'!B:B,B16)</f>
        <v>7000</v>
      </c>
      <c r="W16" s="124">
        <f t="shared" si="0"/>
        <v>12165.5</v>
      </c>
      <c r="X16" s="124">
        <f>SUMIFS('FIXED AMOUNT'!E:E,'FIXED AMOUNT'!B:B,'data base '!B:B)</f>
        <v>0</v>
      </c>
      <c r="Y16" s="124">
        <f>SUMIFS('FIXED AMOUNT'!F:F,'FIXED AMOUNT'!B:B,'data base '!B:B)</f>
        <v>0</v>
      </c>
      <c r="Z16" s="124">
        <f>SUMIFS('FIXED AMOUNT'!V:V,'FIXED AMOUNT'!B:B,B:B)</f>
        <v>47155</v>
      </c>
      <c r="AA16" s="124">
        <f t="shared" si="2"/>
        <v>59320.5</v>
      </c>
      <c r="AB16" s="207">
        <f t="shared" si="3"/>
        <v>1216.55</v>
      </c>
      <c r="AC16" s="204">
        <v>45945</v>
      </c>
      <c r="AD16" s="124">
        <f t="shared" si="4"/>
        <v>60537.05</v>
      </c>
      <c r="AE16" s="208"/>
    </row>
    <row r="17" spans="1:31">
      <c r="A17">
        <v>16</v>
      </c>
      <c r="B17" t="s">
        <v>78</v>
      </c>
      <c r="C17" t="s">
        <v>79</v>
      </c>
      <c r="D17" s="146">
        <f>SUMIFS(FACILITIES!E:E,FACILITIES!$B:$B,B17)</f>
        <v>0</v>
      </c>
      <c r="E17" s="146">
        <f>SUMIFS(FACILITIES!F:F,FACILITIES!$B:$B,$B17)</f>
        <v>0</v>
      </c>
      <c r="F17" s="146">
        <f>SUMIFS(FACILITIES!G:G,FACILITIES!$B:$B,B17)</f>
        <v>0</v>
      </c>
      <c r="G17" s="146">
        <f>SUMIFS(FACILITIES!H:H,FACILITIES!$B:$B,B17)</f>
        <v>0</v>
      </c>
      <c r="H17" s="146">
        <f>SUMIFS(FACILITIES!I:I,FACILITIES!$B:$B,B17)</f>
        <v>0</v>
      </c>
      <c r="I17" s="146">
        <f>SUMIFS(FACILITIES!J:J,FACILITIES!$B:$B,B17)</f>
        <v>0</v>
      </c>
      <c r="J17" s="146">
        <f>SUMIFS(FACILITIES!K:K,FACILITIES!$B:$B,B17)</f>
        <v>0</v>
      </c>
      <c r="K17" s="146">
        <f>SUMIFS(FACILITIES!L:L,FACILITIES!$B:$B,B17)</f>
        <v>0</v>
      </c>
      <c r="L17" s="146">
        <f>SUMIFS(FACILITIES!M:M,FACILITIES!$B:$B,B17)</f>
        <v>0</v>
      </c>
      <c r="M17" s="146">
        <f>SUMIFS(FACILITIES!N:N,FACILITIES!$B:$B,B17)</f>
        <v>0</v>
      </c>
      <c r="N17" s="146">
        <f>SUMIFS(FACILITIES!O:O,FACILITIES!$B:$B,B17)</f>
        <v>0</v>
      </c>
      <c r="O17" s="146">
        <f>SUMIFS(FACILITIES!P:P,FACILITIES!$B:$B,B17)</f>
        <v>0</v>
      </c>
      <c r="P17" s="146">
        <f>SUMIFS(FACILITIES!Q:Q,FACILITIES!$B:$B,B17)</f>
        <v>0</v>
      </c>
      <c r="Q17" s="146">
        <f>SUMIFS(FACILITIES!R:R,FACILITIES!$B:$B,B17)</f>
        <v>0</v>
      </c>
      <c r="R17" s="146">
        <f>SUMIFS(FACILITIES!T:T,FACILITIES!B:B,B17)</f>
        <v>0</v>
      </c>
      <c r="S17" s="146">
        <f>SUMIFS(FACILITIES!S:S,FACILITIES!B:B,B17)</f>
        <v>0</v>
      </c>
      <c r="T17" s="146">
        <f>SUMIFS('F &amp; B'!G:G,'F &amp; B'!B:B,B17)</f>
        <v>0</v>
      </c>
      <c r="U17" s="210">
        <f t="shared" si="1"/>
        <v>0</v>
      </c>
      <c r="V17" s="146">
        <f>SUMIFS('FIXED AMOUNT'!G:G,'FIXED AMOUNT'!B:B,B17)</f>
        <v>7000</v>
      </c>
      <c r="W17" s="124">
        <f t="shared" si="0"/>
        <v>7000</v>
      </c>
      <c r="X17" s="124">
        <f>SUMIFS('FIXED AMOUNT'!E:E,'FIXED AMOUNT'!B:B,'data base '!B:B)</f>
        <v>0</v>
      </c>
      <c r="Y17" s="124">
        <f>SUMIFS('FIXED AMOUNT'!F:F,'FIXED AMOUNT'!B:B,'data base '!B:B)</f>
        <v>0</v>
      </c>
      <c r="Z17" s="124">
        <f>SUMIFS('FIXED AMOUNT'!V:V,'FIXED AMOUNT'!B:B,B:B)</f>
        <v>37300</v>
      </c>
      <c r="AA17" s="124">
        <f t="shared" si="2"/>
        <v>44300</v>
      </c>
      <c r="AB17" s="207">
        <f t="shared" si="3"/>
        <v>700</v>
      </c>
      <c r="AC17" s="204">
        <v>45945</v>
      </c>
      <c r="AD17" s="124">
        <f t="shared" si="4"/>
        <v>45000</v>
      </c>
      <c r="AE17" s="208"/>
    </row>
    <row r="18" spans="1:31">
      <c r="A18">
        <v>17</v>
      </c>
      <c r="B18" t="s">
        <v>83</v>
      </c>
      <c r="C18" t="s">
        <v>84</v>
      </c>
      <c r="D18" s="146">
        <f>SUMIFS(FACILITIES!E:E,FACILITIES!$B:$B,B18)</f>
        <v>0</v>
      </c>
      <c r="E18" s="146">
        <f>SUMIFS(FACILITIES!F:F,FACILITIES!$B:$B,$B18)</f>
        <v>1200</v>
      </c>
      <c r="F18" s="146">
        <f>SUMIFS(FACILITIES!G:G,FACILITIES!$B:$B,B18)</f>
        <v>0</v>
      </c>
      <c r="G18" s="146">
        <f>SUMIFS(FACILITIES!H:H,FACILITIES!$B:$B,B18)</f>
        <v>0</v>
      </c>
      <c r="H18" s="146">
        <f>SUMIFS(FACILITIES!I:I,FACILITIES!$B:$B,B18)</f>
        <v>0</v>
      </c>
      <c r="I18" s="146">
        <f>SUMIFS(FACILITIES!J:J,FACILITIES!$B:$B,B18)</f>
        <v>0</v>
      </c>
      <c r="J18" s="146">
        <f>SUMIFS(FACILITIES!K:K,FACILITIES!$B:$B,B18)</f>
        <v>0</v>
      </c>
      <c r="K18" s="146">
        <f>SUMIFS(FACILITIES!L:L,FACILITIES!$B:$B,B18)</f>
        <v>0</v>
      </c>
      <c r="L18" s="146">
        <f>SUMIFS(FACILITIES!M:M,FACILITIES!$B:$B,B18)</f>
        <v>0</v>
      </c>
      <c r="M18" s="146">
        <f>SUMIFS(FACILITIES!N:N,FACILITIES!$B:$B,B18)</f>
        <v>0</v>
      </c>
      <c r="N18" s="146">
        <f>SUMIFS(FACILITIES!O:O,FACILITIES!$B:$B,B18)</f>
        <v>0</v>
      </c>
      <c r="O18" s="146">
        <f>SUMIFS(FACILITIES!P:P,FACILITIES!$B:$B,B18)</f>
        <v>0</v>
      </c>
      <c r="P18" s="146">
        <f>SUMIFS(FACILITIES!Q:Q,FACILITIES!$B:$B,B18)</f>
        <v>0</v>
      </c>
      <c r="Q18" s="146">
        <f>SUMIFS(FACILITIES!R:R,FACILITIES!$B:$B,B18)</f>
        <v>0</v>
      </c>
      <c r="R18" s="146">
        <f>SUMIFS(FACILITIES!T:T,FACILITIES!B:B,B18)</f>
        <v>0</v>
      </c>
      <c r="S18" s="146">
        <f>SUMIFS(FACILITIES!S:S,FACILITIES!B:B,B18)</f>
        <v>0</v>
      </c>
      <c r="T18" s="146">
        <f>SUMIFS('F &amp; B'!G:G,'F &amp; B'!B:B,B18)</f>
        <v>0</v>
      </c>
      <c r="U18" s="210">
        <f t="shared" si="1"/>
        <v>0</v>
      </c>
      <c r="V18" s="146">
        <f>SUMIFS('FIXED AMOUNT'!G:G,'FIXED AMOUNT'!B:B,B18)</f>
        <v>7000</v>
      </c>
      <c r="W18" s="124">
        <f t="shared" si="0"/>
        <v>8200</v>
      </c>
      <c r="X18" s="124">
        <f>SUMIFS('FIXED AMOUNT'!E:E,'FIXED AMOUNT'!B:B,'data base '!B:B)</f>
        <v>0</v>
      </c>
      <c r="Y18" s="124">
        <f>SUMIFS('FIXED AMOUNT'!F:F,'FIXED AMOUNT'!B:B,'data base '!B:B)</f>
        <v>0</v>
      </c>
      <c r="Z18" s="124">
        <f>SUMIFS('FIXED AMOUNT'!V:V,'FIXED AMOUNT'!B:B,B:B)</f>
        <v>1076</v>
      </c>
      <c r="AA18" s="124">
        <f t="shared" si="2"/>
        <v>9276</v>
      </c>
      <c r="AB18" s="207">
        <f t="shared" si="3"/>
        <v>820</v>
      </c>
      <c r="AC18" s="204">
        <v>45945</v>
      </c>
      <c r="AD18" s="124">
        <f t="shared" si="4"/>
        <v>10096</v>
      </c>
      <c r="AE18" s="208"/>
    </row>
    <row r="19" spans="1:31">
      <c r="A19">
        <v>18</v>
      </c>
      <c r="B19" t="s">
        <v>88</v>
      </c>
      <c r="C19" t="s">
        <v>89</v>
      </c>
      <c r="D19" s="146">
        <f>SUMIFS(FACILITIES!E:E,FACILITIES!$B:$B,B19)</f>
        <v>0</v>
      </c>
      <c r="E19" s="146">
        <f>SUMIFS(FACILITIES!F:F,FACILITIES!$B:$B,$B19)</f>
        <v>0</v>
      </c>
      <c r="F19" s="146">
        <f>SUMIFS(FACILITIES!G:G,FACILITIES!$B:$B,B19)</f>
        <v>0</v>
      </c>
      <c r="G19" s="146">
        <f>SUMIFS(FACILITIES!H:H,FACILITIES!$B:$B,B19)</f>
        <v>0</v>
      </c>
      <c r="H19" s="146">
        <f>SUMIFS(FACILITIES!I:I,FACILITIES!$B:$B,B19)</f>
        <v>0</v>
      </c>
      <c r="I19" s="146">
        <f>SUMIFS(FACILITIES!J:J,FACILITIES!$B:$B,B19)</f>
        <v>4000</v>
      </c>
      <c r="J19" s="146">
        <f>SUMIFS(FACILITIES!K:K,FACILITIES!$B:$B,B19)</f>
        <v>0</v>
      </c>
      <c r="K19" s="146">
        <f>SUMIFS(FACILITIES!L:L,FACILITIES!$B:$B,B19)</f>
        <v>0</v>
      </c>
      <c r="L19" s="146">
        <f>SUMIFS(FACILITIES!M:M,FACILITIES!$B:$B,B19)</f>
        <v>0</v>
      </c>
      <c r="M19" s="146">
        <f>SUMIFS(FACILITIES!N:N,FACILITIES!$B:$B,B19)</f>
        <v>0</v>
      </c>
      <c r="N19" s="146">
        <f>SUMIFS(FACILITIES!O:O,FACILITIES!$B:$B,B19)</f>
        <v>0</v>
      </c>
      <c r="O19" s="146">
        <f>SUMIFS(FACILITIES!P:P,FACILITIES!$B:$B,B19)</f>
        <v>0</v>
      </c>
      <c r="P19" s="146">
        <f>SUMIFS(FACILITIES!Q:Q,FACILITIES!$B:$B,B19)</f>
        <v>0</v>
      </c>
      <c r="Q19" s="146">
        <f>SUMIFS(FACILITIES!R:R,FACILITIES!$B:$B,B19)</f>
        <v>0</v>
      </c>
      <c r="R19" s="146">
        <f>SUMIFS(FACILITIES!T:T,FACILITIES!B:B,B19)</f>
        <v>4500</v>
      </c>
      <c r="S19" s="146">
        <f>SUMIFS(FACILITIES!S:S,FACILITIES!B:B,B19)</f>
        <v>0</v>
      </c>
      <c r="T19" s="146">
        <f>SUMIFS('F &amp; B'!G:G,'F &amp; B'!B:B,B19)</f>
        <v>34425</v>
      </c>
      <c r="U19" s="210">
        <f t="shared" si="1"/>
        <v>5163.75</v>
      </c>
      <c r="V19" s="146">
        <f>SUMIFS('FIXED AMOUNT'!G:G,'FIXED AMOUNT'!B:B,B19)</f>
        <v>7000</v>
      </c>
      <c r="W19" s="124">
        <f t="shared" si="0"/>
        <v>55088.75</v>
      </c>
      <c r="X19" s="124">
        <f>SUMIFS('FIXED AMOUNT'!E:E,'FIXED AMOUNT'!B:B,'data base '!B:B)</f>
        <v>0</v>
      </c>
      <c r="Y19" s="124">
        <f>SUMIFS('FIXED AMOUNT'!F:F,'FIXED AMOUNT'!B:B,'data base '!B:B)</f>
        <v>0</v>
      </c>
      <c r="Z19" s="124">
        <f>SUMIFS('FIXED AMOUNT'!V:V,'FIXED AMOUNT'!B:B,B:B)</f>
        <v>0</v>
      </c>
      <c r="AA19" s="124">
        <f t="shared" si="2"/>
        <v>55088.75</v>
      </c>
      <c r="AB19" s="207">
        <f t="shared" si="3"/>
        <v>5508.875</v>
      </c>
      <c r="AC19" s="204">
        <v>45945</v>
      </c>
      <c r="AD19" s="124">
        <f t="shared" si="4"/>
        <v>60597.625</v>
      </c>
      <c r="AE19" s="208"/>
    </row>
    <row r="20" spans="1:31">
      <c r="A20">
        <v>19</v>
      </c>
      <c r="B20" t="s">
        <v>93</v>
      </c>
      <c r="C20" t="s">
        <v>94</v>
      </c>
      <c r="D20" s="146">
        <f>SUMIFS(FACILITIES!E:E,FACILITIES!$B:$B,B20)</f>
        <v>0</v>
      </c>
      <c r="E20" s="146">
        <f>SUMIFS(FACILITIES!F:F,FACILITIES!$B:$B,$B20)</f>
        <v>0</v>
      </c>
      <c r="F20" s="146">
        <f>SUMIFS(FACILITIES!G:G,FACILITIES!$B:$B,B20)</f>
        <v>0</v>
      </c>
      <c r="G20" s="146">
        <f>SUMIFS(FACILITIES!H:H,FACILITIES!$B:$B,B20)</f>
        <v>0</v>
      </c>
      <c r="H20" s="146">
        <f>SUMIFS(FACILITIES!I:I,FACILITIES!$B:$B,B20)</f>
        <v>0</v>
      </c>
      <c r="I20" s="146">
        <f>SUMIFS(FACILITIES!J:J,FACILITIES!$B:$B,B20)</f>
        <v>0</v>
      </c>
      <c r="J20" s="146">
        <f>SUMIFS(FACILITIES!K:K,FACILITIES!$B:$B,B20)</f>
        <v>0</v>
      </c>
      <c r="K20" s="146">
        <f>SUMIFS(FACILITIES!L:L,FACILITIES!$B:$B,B20)</f>
        <v>0</v>
      </c>
      <c r="L20" s="146">
        <f>SUMIFS(FACILITIES!M:M,FACILITIES!$B:$B,B20)</f>
        <v>0</v>
      </c>
      <c r="M20" s="146">
        <f>SUMIFS(FACILITIES!N:N,FACILITIES!$B:$B,B20)</f>
        <v>0</v>
      </c>
      <c r="N20" s="146">
        <f>SUMIFS(FACILITIES!O:O,FACILITIES!$B:$B,B20)</f>
        <v>0</v>
      </c>
      <c r="O20" s="146">
        <f>SUMIFS(FACILITIES!P:P,FACILITIES!$B:$B,B20)</f>
        <v>0</v>
      </c>
      <c r="P20" s="146">
        <f>SUMIFS(FACILITIES!Q:Q,FACILITIES!$B:$B,B20)</f>
        <v>0</v>
      </c>
      <c r="Q20" s="146">
        <f>SUMIFS(FACILITIES!R:R,FACILITIES!$B:$B,B20)</f>
        <v>0</v>
      </c>
      <c r="R20" s="146">
        <f>SUMIFS(FACILITIES!T:T,FACILITIES!B:B,B20)</f>
        <v>0</v>
      </c>
      <c r="S20" s="146">
        <f>SUMIFS(FACILITIES!S:S,FACILITIES!B:B,B20)</f>
        <v>0</v>
      </c>
      <c r="T20" s="146">
        <f>SUMIFS('F &amp; B'!G:G,'F &amp; B'!B:B,B20)</f>
        <v>98060</v>
      </c>
      <c r="U20" s="210">
        <f t="shared" si="1"/>
        <v>14709</v>
      </c>
      <c r="V20" s="146">
        <f>SUMIFS('FIXED AMOUNT'!G:G,'FIXED AMOUNT'!B:B,B20)</f>
        <v>7000</v>
      </c>
      <c r="W20" s="124">
        <f t="shared" si="0"/>
        <v>119769</v>
      </c>
      <c r="X20" s="124">
        <f>SUMIFS('FIXED AMOUNT'!E:E,'FIXED AMOUNT'!B:B,'data base '!B:B)</f>
        <v>0</v>
      </c>
      <c r="Y20" s="124">
        <f>SUMIFS('FIXED AMOUNT'!F:F,'FIXED AMOUNT'!B:B,'data base '!B:B)</f>
        <v>0</v>
      </c>
      <c r="Z20" s="124">
        <f>SUMIFS('FIXED AMOUNT'!V:V,'FIXED AMOUNT'!B:B,B:B)</f>
        <v>0</v>
      </c>
      <c r="AA20" s="124">
        <f t="shared" si="2"/>
        <v>119769</v>
      </c>
      <c r="AB20" s="207">
        <f t="shared" si="3"/>
        <v>11976.900000000001</v>
      </c>
      <c r="AC20" s="204">
        <v>45945</v>
      </c>
      <c r="AD20" s="124">
        <f t="shared" si="4"/>
        <v>131745.9</v>
      </c>
      <c r="AE20" s="208"/>
    </row>
    <row r="21" spans="1:31">
      <c r="A21">
        <v>20</v>
      </c>
      <c r="B21" t="s">
        <v>98</v>
      </c>
      <c r="C21" t="s">
        <v>99</v>
      </c>
      <c r="D21" s="146">
        <f>SUMIFS(FACILITIES!E:E,FACILITIES!$B:$B,B21)</f>
        <v>0</v>
      </c>
      <c r="E21" s="146">
        <f>SUMIFS(FACILITIES!F:F,FACILITIES!$B:$B,$B21)</f>
        <v>1200</v>
      </c>
      <c r="F21" s="146">
        <f>SUMIFS(FACILITIES!G:G,FACILITIES!$B:$B,B21)</f>
        <v>0</v>
      </c>
      <c r="G21" s="146">
        <f>SUMIFS(FACILITIES!H:H,FACILITIES!$B:$B,B21)</f>
        <v>0</v>
      </c>
      <c r="H21" s="146">
        <f>SUMIFS(FACILITIES!I:I,FACILITIES!$B:$B,B21)</f>
        <v>0</v>
      </c>
      <c r="I21" s="146">
        <f>SUMIFS(FACILITIES!J:J,FACILITIES!$B:$B,B21)</f>
        <v>2800</v>
      </c>
      <c r="J21" s="146">
        <f>SUMIFS(FACILITIES!K:K,FACILITIES!$B:$B,B21)</f>
        <v>0</v>
      </c>
      <c r="K21" s="146">
        <f>SUMIFS(FACILITIES!L:L,FACILITIES!$B:$B,B21)</f>
        <v>0</v>
      </c>
      <c r="L21" s="146">
        <f>SUMIFS(FACILITIES!M:M,FACILITIES!$B:$B,B21)</f>
        <v>0</v>
      </c>
      <c r="M21" s="146">
        <f>SUMIFS(FACILITIES!N:N,FACILITIES!$B:$B,B21)</f>
        <v>0</v>
      </c>
      <c r="N21" s="146">
        <f>SUMIFS(FACILITIES!O:O,FACILITIES!$B:$B,B21)</f>
        <v>0</v>
      </c>
      <c r="O21" s="146">
        <f>SUMIFS(FACILITIES!P:P,FACILITIES!$B:$B,B21)</f>
        <v>0</v>
      </c>
      <c r="P21" s="146">
        <f>SUMIFS(FACILITIES!Q:Q,FACILITIES!$B:$B,B21)</f>
        <v>0</v>
      </c>
      <c r="Q21" s="146">
        <f>SUMIFS(FACILITIES!R:R,FACILITIES!$B:$B,B21)</f>
        <v>0</v>
      </c>
      <c r="R21" s="146">
        <f>SUMIFS(FACILITIES!T:T,FACILITIES!B:B,B21)</f>
        <v>4000</v>
      </c>
      <c r="S21" s="146">
        <f>SUMIFS(FACILITIES!S:S,FACILITIES!B:B,B21)</f>
        <v>0</v>
      </c>
      <c r="T21" s="146">
        <f>SUMIFS('F &amp; B'!G:G,'F &amp; B'!B:B,B21)</f>
        <v>11185</v>
      </c>
      <c r="U21" s="210">
        <f t="shared" si="1"/>
        <v>1677.75</v>
      </c>
      <c r="V21" s="146">
        <f>SUMIFS('FIXED AMOUNT'!G:G,'FIXED AMOUNT'!B:B,B21)</f>
        <v>7000</v>
      </c>
      <c r="W21" s="124">
        <f t="shared" si="0"/>
        <v>27862.75</v>
      </c>
      <c r="X21" s="124">
        <f>SUMIFS('FIXED AMOUNT'!E:E,'FIXED AMOUNT'!B:B,'data base '!B:B)</f>
        <v>0</v>
      </c>
      <c r="Y21" s="124">
        <f>SUMIFS('FIXED AMOUNT'!F:F,'FIXED AMOUNT'!B:B,'data base '!B:B)</f>
        <v>0</v>
      </c>
      <c r="Z21" s="124">
        <f>SUMIFS('FIXED AMOUNT'!V:V,'FIXED AMOUNT'!B:B,B:B)</f>
        <v>0</v>
      </c>
      <c r="AA21" s="124">
        <f t="shared" si="2"/>
        <v>27862.75</v>
      </c>
      <c r="AB21" s="207">
        <f t="shared" si="3"/>
        <v>2786.2750000000001</v>
      </c>
      <c r="AC21" s="204">
        <v>45945</v>
      </c>
      <c r="AD21" s="124">
        <f t="shared" si="4"/>
        <v>30649.025000000001</v>
      </c>
      <c r="AE21" s="208"/>
    </row>
    <row r="22" spans="1:31">
      <c r="A22">
        <v>21</v>
      </c>
      <c r="B22" t="s">
        <v>103</v>
      </c>
      <c r="C22" t="s">
        <v>104</v>
      </c>
      <c r="D22" s="146">
        <f>SUMIFS(FACILITIES!E:E,FACILITIES!$B:$B,B22)</f>
        <v>0</v>
      </c>
      <c r="E22" s="146">
        <f>SUMIFS(FACILITIES!F:F,FACILITIES!$B:$B,$B22)</f>
        <v>0</v>
      </c>
      <c r="F22" s="146">
        <f>SUMIFS(FACILITIES!G:G,FACILITIES!$B:$B,B22)</f>
        <v>0</v>
      </c>
      <c r="G22" s="146">
        <f>SUMIFS(FACILITIES!H:H,FACILITIES!$B:$B,B22)</f>
        <v>0</v>
      </c>
      <c r="H22" s="146">
        <f>SUMIFS(FACILITIES!I:I,FACILITIES!$B:$B,B22)</f>
        <v>0</v>
      </c>
      <c r="I22" s="146">
        <f>SUMIFS(FACILITIES!J:J,FACILITIES!$B:$B,B22)</f>
        <v>3200</v>
      </c>
      <c r="J22" s="146">
        <f>SUMIFS(FACILITIES!K:K,FACILITIES!$B:$B,B22)</f>
        <v>0</v>
      </c>
      <c r="K22" s="146">
        <f>SUMIFS(FACILITIES!L:L,FACILITIES!$B:$B,B22)</f>
        <v>0</v>
      </c>
      <c r="L22" s="146">
        <f>SUMIFS(FACILITIES!M:M,FACILITIES!$B:$B,B22)</f>
        <v>0</v>
      </c>
      <c r="M22" s="146">
        <f>SUMIFS(FACILITIES!N:N,FACILITIES!$B:$B,B22)</f>
        <v>0</v>
      </c>
      <c r="N22" s="146">
        <f>SUMIFS(FACILITIES!O:O,FACILITIES!$B:$B,B22)</f>
        <v>0</v>
      </c>
      <c r="O22" s="146">
        <f>SUMIFS(FACILITIES!P:P,FACILITIES!$B:$B,B22)</f>
        <v>0</v>
      </c>
      <c r="P22" s="146">
        <f>SUMIFS(FACILITIES!Q:Q,FACILITIES!$B:$B,B22)</f>
        <v>0</v>
      </c>
      <c r="Q22" s="146">
        <f>SUMIFS(FACILITIES!R:R,FACILITIES!$B:$B,B22)</f>
        <v>0</v>
      </c>
      <c r="R22" s="146">
        <f>SUMIFS(FACILITIES!T:T,FACILITIES!B:B,B22)</f>
        <v>0</v>
      </c>
      <c r="S22" s="146">
        <f>SUMIFS(FACILITIES!S:S,FACILITIES!B:B,B22)</f>
        <v>0</v>
      </c>
      <c r="T22" s="146">
        <f>SUMIFS('F &amp; B'!G:G,'F &amp; B'!B:B,B22)</f>
        <v>22474</v>
      </c>
      <c r="U22" s="210">
        <f t="shared" si="1"/>
        <v>3371.1</v>
      </c>
      <c r="V22" s="146">
        <f>SUMIFS('FIXED AMOUNT'!G:G,'FIXED AMOUNT'!B:B,B22)</f>
        <v>7000</v>
      </c>
      <c r="W22" s="124">
        <f t="shared" si="0"/>
        <v>36045.1</v>
      </c>
      <c r="X22" s="124">
        <f>SUMIFS('FIXED AMOUNT'!E:E,'FIXED AMOUNT'!B:B,'data base '!B:B)</f>
        <v>0</v>
      </c>
      <c r="Y22" s="124">
        <f>SUMIFS('FIXED AMOUNT'!F:F,'FIXED AMOUNT'!B:B,'data base '!B:B)</f>
        <v>0</v>
      </c>
      <c r="Z22" s="124">
        <f>SUMIFS('FIXED AMOUNT'!V:V,'FIXED AMOUNT'!B:B,B:B)</f>
        <v>0</v>
      </c>
      <c r="AA22" s="124">
        <f t="shared" si="2"/>
        <v>36045.1</v>
      </c>
      <c r="AB22" s="207">
        <f t="shared" si="3"/>
        <v>3604.51</v>
      </c>
      <c r="AC22" s="204">
        <v>45945</v>
      </c>
      <c r="AD22" s="124">
        <f t="shared" si="4"/>
        <v>39649.61</v>
      </c>
      <c r="AE22" s="208"/>
    </row>
    <row r="23" spans="1:31">
      <c r="A23">
        <v>22</v>
      </c>
      <c r="B23" t="s">
        <v>108</v>
      </c>
      <c r="C23" t="s">
        <v>109</v>
      </c>
      <c r="D23" s="146">
        <f>SUMIFS(FACILITIES!E:E,FACILITIES!$B:$B,B23)</f>
        <v>0</v>
      </c>
      <c r="E23" s="146">
        <f>SUMIFS(FACILITIES!F:F,FACILITIES!$B:$B,$B23)</f>
        <v>0</v>
      </c>
      <c r="F23" s="146">
        <f>SUMIFS(FACILITIES!G:G,FACILITIES!$B:$B,B23)</f>
        <v>0</v>
      </c>
      <c r="G23" s="146">
        <f>SUMIFS(FACILITIES!H:H,FACILITIES!$B:$B,B23)</f>
        <v>0</v>
      </c>
      <c r="H23" s="146">
        <f>SUMIFS(FACILITIES!I:I,FACILITIES!$B:$B,B23)</f>
        <v>0</v>
      </c>
      <c r="I23" s="146">
        <f>SUMIFS(FACILITIES!J:J,FACILITIES!$B:$B,B23)</f>
        <v>0</v>
      </c>
      <c r="J23" s="146">
        <f>SUMIFS(FACILITIES!K:K,FACILITIES!$B:$B,B23)</f>
        <v>0</v>
      </c>
      <c r="K23" s="146">
        <f>SUMIFS(FACILITIES!L:L,FACILITIES!$B:$B,B23)</f>
        <v>0</v>
      </c>
      <c r="L23" s="146">
        <f>SUMIFS(FACILITIES!M:M,FACILITIES!$B:$B,B23)</f>
        <v>0</v>
      </c>
      <c r="M23" s="146">
        <f>SUMIFS(FACILITIES!N:N,FACILITIES!$B:$B,B23)</f>
        <v>0</v>
      </c>
      <c r="N23" s="146">
        <f>SUMIFS(FACILITIES!O:O,FACILITIES!$B:$B,B23)</f>
        <v>0</v>
      </c>
      <c r="O23" s="146">
        <f>SUMIFS(FACILITIES!P:P,FACILITIES!$B:$B,B23)</f>
        <v>0</v>
      </c>
      <c r="P23" s="146">
        <f>SUMIFS(FACILITIES!Q:Q,FACILITIES!$B:$B,B23)</f>
        <v>0</v>
      </c>
      <c r="Q23" s="146">
        <f>SUMIFS(FACILITIES!R:R,FACILITIES!$B:$B,B23)</f>
        <v>0</v>
      </c>
      <c r="R23" s="146">
        <f>SUMIFS(FACILITIES!T:T,FACILITIES!B:B,B23)</f>
        <v>0</v>
      </c>
      <c r="S23" s="146">
        <f>SUMIFS(FACILITIES!S:S,FACILITIES!B:B,B23)</f>
        <v>0</v>
      </c>
      <c r="T23" s="146">
        <f>SUMIFS('F &amp; B'!G:G,'F &amp; B'!B:B,B23)</f>
        <v>6600</v>
      </c>
      <c r="U23" s="210">
        <f t="shared" si="1"/>
        <v>990</v>
      </c>
      <c r="V23" s="146">
        <f>SUMIFS('FIXED AMOUNT'!G:G,'FIXED AMOUNT'!B:B,B23)</f>
        <v>7000</v>
      </c>
      <c r="W23" s="124">
        <f t="shared" si="0"/>
        <v>14590</v>
      </c>
      <c r="X23" s="124">
        <f>SUMIFS('FIXED AMOUNT'!E:E,'FIXED AMOUNT'!B:B,'data base '!B:B)</f>
        <v>0</v>
      </c>
      <c r="Y23" s="124">
        <f>SUMIFS('FIXED AMOUNT'!F:F,'FIXED AMOUNT'!B:B,'data base '!B:B)</f>
        <v>0</v>
      </c>
      <c r="Z23" s="124">
        <f>SUMIFS('FIXED AMOUNT'!V:V,'FIXED AMOUNT'!B:B,B:B)</f>
        <v>14290</v>
      </c>
      <c r="AA23" s="124">
        <f t="shared" si="2"/>
        <v>28880</v>
      </c>
      <c r="AB23" s="207">
        <f t="shared" si="3"/>
        <v>1459</v>
      </c>
      <c r="AC23" s="204">
        <v>45945</v>
      </c>
      <c r="AD23" s="124">
        <f t="shared" si="4"/>
        <v>30339</v>
      </c>
      <c r="AE23" s="208"/>
    </row>
    <row r="24" spans="1:31">
      <c r="A24">
        <v>23</v>
      </c>
      <c r="B24" t="s">
        <v>113</v>
      </c>
      <c r="C24" t="s">
        <v>114</v>
      </c>
      <c r="D24" s="146">
        <f>SUMIFS(FACILITIES!E:E,FACILITIES!$B:$B,B24)</f>
        <v>3000</v>
      </c>
      <c r="E24" s="146">
        <f>SUMIFS(FACILITIES!F:F,FACILITIES!$B:$B,$B24)</f>
        <v>0</v>
      </c>
      <c r="F24" s="146">
        <f>SUMIFS(FACILITIES!G:G,FACILITIES!$B:$B,B24)</f>
        <v>0</v>
      </c>
      <c r="G24" s="146">
        <f>SUMIFS(FACILITIES!H:H,FACILITIES!$B:$B,B24)</f>
        <v>0</v>
      </c>
      <c r="H24" s="146">
        <f>SUMIFS(FACILITIES!I:I,FACILITIES!$B:$B,B24)</f>
        <v>0</v>
      </c>
      <c r="I24" s="146">
        <f>SUMIFS(FACILITIES!J:J,FACILITIES!$B:$B,B24)</f>
        <v>2900</v>
      </c>
      <c r="J24" s="146">
        <f>SUMIFS(FACILITIES!K:K,FACILITIES!$B:$B,B24)</f>
        <v>0</v>
      </c>
      <c r="K24" s="146">
        <f>SUMIFS(FACILITIES!L:L,FACILITIES!$B:$B,B24)</f>
        <v>0</v>
      </c>
      <c r="L24" s="146">
        <f>SUMIFS(FACILITIES!M:M,FACILITIES!$B:$B,B24)</f>
        <v>0</v>
      </c>
      <c r="M24" s="146">
        <f>SUMIFS(FACILITIES!N:N,FACILITIES!$B:$B,B24)</f>
        <v>0</v>
      </c>
      <c r="N24" s="146">
        <f>SUMIFS(FACILITIES!O:O,FACILITIES!$B:$B,B24)</f>
        <v>0</v>
      </c>
      <c r="O24" s="146">
        <f>SUMIFS(FACILITIES!P:P,FACILITIES!$B:$B,B24)</f>
        <v>0</v>
      </c>
      <c r="P24" s="146">
        <f>SUMIFS(FACILITIES!Q:Q,FACILITIES!$B:$B,B24)</f>
        <v>0</v>
      </c>
      <c r="Q24" s="146">
        <f>SUMIFS(FACILITIES!R:R,FACILITIES!$B:$B,B24)</f>
        <v>0</v>
      </c>
      <c r="R24" s="146">
        <f>SUMIFS(FACILITIES!T:T,FACILITIES!B:B,B24)</f>
        <v>0</v>
      </c>
      <c r="S24" s="146">
        <f>SUMIFS(FACILITIES!S:S,FACILITIES!B:B,B24)</f>
        <v>0</v>
      </c>
      <c r="T24" s="146">
        <f>SUMIFS('F &amp; B'!G:G,'F &amp; B'!B:B,B24)</f>
        <v>25730</v>
      </c>
      <c r="U24" s="210">
        <f t="shared" si="1"/>
        <v>3859.5</v>
      </c>
      <c r="V24" s="146">
        <f>SUMIFS('FIXED AMOUNT'!G:G,'FIXED AMOUNT'!B:B,B24)</f>
        <v>7000</v>
      </c>
      <c r="W24" s="124">
        <f t="shared" si="0"/>
        <v>42489.5</v>
      </c>
      <c r="X24" s="124">
        <f>SUMIFS('FIXED AMOUNT'!E:E,'FIXED AMOUNT'!B:B,'data base '!B:B)</f>
        <v>0</v>
      </c>
      <c r="Y24" s="124">
        <f>SUMIFS('FIXED AMOUNT'!F:F,'FIXED AMOUNT'!B:B,'data base '!B:B)</f>
        <v>0</v>
      </c>
      <c r="Z24" s="124">
        <f>SUMIFS('FIXED AMOUNT'!V:V,'FIXED AMOUNT'!B:B,B:B)</f>
        <v>0</v>
      </c>
      <c r="AA24" s="124">
        <f t="shared" si="2"/>
        <v>42489.5</v>
      </c>
      <c r="AB24" s="207">
        <f t="shared" si="3"/>
        <v>4248.95</v>
      </c>
      <c r="AC24" s="204">
        <v>45945</v>
      </c>
      <c r="AD24" s="124">
        <f t="shared" si="4"/>
        <v>46738.45</v>
      </c>
      <c r="AE24" s="208"/>
    </row>
    <row r="25" spans="1:31">
      <c r="A25">
        <v>24</v>
      </c>
      <c r="B25" t="s">
        <v>118</v>
      </c>
      <c r="C25" t="s">
        <v>119</v>
      </c>
      <c r="D25" s="146">
        <f>SUMIFS(FACILITIES!E:E,FACILITIES!$B:$B,B25)</f>
        <v>0</v>
      </c>
      <c r="E25" s="146">
        <f>SUMIFS(FACILITIES!F:F,FACILITIES!$B:$B,$B25)</f>
        <v>0</v>
      </c>
      <c r="F25" s="146">
        <f>SUMIFS(FACILITIES!G:G,FACILITIES!$B:$B,B25)</f>
        <v>0</v>
      </c>
      <c r="G25" s="146">
        <f>SUMIFS(FACILITIES!H:H,FACILITIES!$B:$B,B25)</f>
        <v>0</v>
      </c>
      <c r="H25" s="146">
        <f>SUMIFS(FACILITIES!I:I,FACILITIES!$B:$B,B25)</f>
        <v>0</v>
      </c>
      <c r="I25" s="146">
        <f>SUMIFS(FACILITIES!J:J,FACILITIES!$B:$B,B25)</f>
        <v>0</v>
      </c>
      <c r="J25" s="146">
        <f>SUMIFS(FACILITIES!K:K,FACILITIES!$B:$B,B25)</f>
        <v>0</v>
      </c>
      <c r="K25" s="146">
        <f>SUMIFS(FACILITIES!L:L,FACILITIES!$B:$B,B25)</f>
        <v>0</v>
      </c>
      <c r="L25" s="146">
        <f>SUMIFS(FACILITIES!M:M,FACILITIES!$B:$B,B25)</f>
        <v>0</v>
      </c>
      <c r="M25" s="146">
        <f>SUMIFS(FACILITIES!N:N,FACILITIES!$B:$B,B25)</f>
        <v>0</v>
      </c>
      <c r="N25" s="146">
        <f>SUMIFS(FACILITIES!O:O,FACILITIES!$B:$B,B25)</f>
        <v>0</v>
      </c>
      <c r="O25" s="146">
        <f>SUMIFS(FACILITIES!P:P,FACILITIES!$B:$B,B25)</f>
        <v>0</v>
      </c>
      <c r="P25" s="146">
        <f>SUMIFS(FACILITIES!Q:Q,FACILITIES!$B:$B,B25)</f>
        <v>0</v>
      </c>
      <c r="Q25" s="146">
        <f>SUMIFS(FACILITIES!R:R,FACILITIES!$B:$B,B25)</f>
        <v>0</v>
      </c>
      <c r="R25" s="146">
        <f>SUMIFS(FACILITIES!T:T,FACILITIES!B:B,B25)</f>
        <v>0</v>
      </c>
      <c r="S25" s="146">
        <f>SUMIFS(FACILITIES!S:S,FACILITIES!B:B,B25)</f>
        <v>0</v>
      </c>
      <c r="T25" s="146">
        <f>SUMIFS('F &amp; B'!G:G,'F &amp; B'!B:B,B25)</f>
        <v>6170</v>
      </c>
      <c r="U25" s="210">
        <f t="shared" si="1"/>
        <v>925.5</v>
      </c>
      <c r="V25" s="146">
        <f>SUMIFS('FIXED AMOUNT'!G:G,'FIXED AMOUNT'!B:B,B25)</f>
        <v>7000</v>
      </c>
      <c r="W25" s="124">
        <f t="shared" si="0"/>
        <v>14095.5</v>
      </c>
      <c r="X25" s="124">
        <f>SUMIFS('FIXED AMOUNT'!E:E,'FIXED AMOUNT'!B:B,'data base '!B:B)</f>
        <v>0</v>
      </c>
      <c r="Y25" s="124">
        <f>SUMIFS('FIXED AMOUNT'!F:F,'FIXED AMOUNT'!B:B,'data base '!B:B)</f>
        <v>0</v>
      </c>
      <c r="Z25" s="124">
        <f>SUMIFS('FIXED AMOUNT'!V:V,'FIXED AMOUNT'!B:B,B:B)</f>
        <v>0</v>
      </c>
      <c r="AA25" s="124">
        <f t="shared" si="2"/>
        <v>14095.5</v>
      </c>
      <c r="AB25" s="207">
        <f t="shared" si="3"/>
        <v>1409.5500000000002</v>
      </c>
      <c r="AC25" s="204">
        <v>45945</v>
      </c>
      <c r="AD25" s="124">
        <f t="shared" si="4"/>
        <v>15505.05</v>
      </c>
      <c r="AE25" s="208"/>
    </row>
    <row r="26" spans="1:31">
      <c r="A26">
        <v>25</v>
      </c>
      <c r="B26" t="s">
        <v>123</v>
      </c>
      <c r="C26" t="s">
        <v>124</v>
      </c>
      <c r="D26" s="146">
        <f>SUMIFS(FACILITIES!E:E,FACILITIES!$B:$B,B26)</f>
        <v>1800</v>
      </c>
      <c r="E26" s="146">
        <f>SUMIFS(FACILITIES!F:F,FACILITIES!$B:$B,$B26)</f>
        <v>0</v>
      </c>
      <c r="F26" s="146">
        <f>SUMIFS(FACILITIES!G:G,FACILITIES!$B:$B,B26)</f>
        <v>0</v>
      </c>
      <c r="G26" s="146">
        <f>SUMIFS(FACILITIES!H:H,FACILITIES!$B:$B,B26)</f>
        <v>0</v>
      </c>
      <c r="H26" s="146">
        <f>SUMIFS(FACILITIES!I:I,FACILITIES!$B:$B,B26)</f>
        <v>0</v>
      </c>
      <c r="I26" s="146">
        <f>SUMIFS(FACILITIES!J:J,FACILITIES!$B:$B,B26)</f>
        <v>900</v>
      </c>
      <c r="J26" s="146">
        <f>SUMIFS(FACILITIES!K:K,FACILITIES!$B:$B,B26)</f>
        <v>0</v>
      </c>
      <c r="K26" s="146">
        <f>SUMIFS(FACILITIES!L:L,FACILITIES!$B:$B,B26)</f>
        <v>0</v>
      </c>
      <c r="L26" s="146">
        <f>SUMIFS(FACILITIES!M:M,FACILITIES!$B:$B,B26)</f>
        <v>0</v>
      </c>
      <c r="M26" s="146">
        <f>SUMIFS(FACILITIES!N:N,FACILITIES!$B:$B,B26)</f>
        <v>0</v>
      </c>
      <c r="N26" s="146">
        <f>SUMIFS(FACILITIES!O:O,FACILITIES!$B:$B,B26)</f>
        <v>0</v>
      </c>
      <c r="O26" s="146">
        <f>SUMIFS(FACILITIES!P:P,FACILITIES!$B:$B,B26)</f>
        <v>0</v>
      </c>
      <c r="P26" s="146">
        <f>SUMIFS(FACILITIES!Q:Q,FACILITIES!$B:$B,B26)</f>
        <v>0</v>
      </c>
      <c r="Q26" s="146">
        <f>SUMIFS(FACILITIES!R:R,FACILITIES!$B:$B,B26)</f>
        <v>0</v>
      </c>
      <c r="R26" s="146">
        <f>SUMIFS(FACILITIES!T:T,FACILITIES!B:B,B26)</f>
        <v>7000</v>
      </c>
      <c r="S26" s="146">
        <f>SUMIFS(FACILITIES!S:S,FACILITIES!B:B,B26)</f>
        <v>0</v>
      </c>
      <c r="T26" s="146">
        <f>SUMIFS('F &amp; B'!G:G,'F &amp; B'!B:B,B26)</f>
        <v>2975</v>
      </c>
      <c r="U26" s="210">
        <f t="shared" si="1"/>
        <v>446.25</v>
      </c>
      <c r="V26" s="146">
        <f>SUMIFS('FIXED AMOUNT'!G:G,'FIXED AMOUNT'!B:B,B26)</f>
        <v>7000</v>
      </c>
      <c r="W26" s="124">
        <f t="shared" si="0"/>
        <v>20121.25</v>
      </c>
      <c r="X26" s="124">
        <f>SUMIFS('FIXED AMOUNT'!E:E,'FIXED AMOUNT'!B:B,'data base '!B:B)</f>
        <v>0</v>
      </c>
      <c r="Y26" s="124">
        <f>SUMIFS('FIXED AMOUNT'!F:F,'FIXED AMOUNT'!B:B,'data base '!B:B)</f>
        <v>0</v>
      </c>
      <c r="Z26" s="124">
        <f>SUMIFS('FIXED AMOUNT'!V:V,'FIXED AMOUNT'!B:B,B:B)</f>
        <v>0</v>
      </c>
      <c r="AA26" s="124">
        <f t="shared" si="2"/>
        <v>20121.25</v>
      </c>
      <c r="AB26" s="207">
        <f t="shared" si="3"/>
        <v>2012.125</v>
      </c>
      <c r="AC26" s="204">
        <v>45945</v>
      </c>
      <c r="AD26" s="124">
        <f t="shared" si="4"/>
        <v>22133.375</v>
      </c>
      <c r="AE26" s="208"/>
    </row>
    <row r="27" spans="1:31">
      <c r="A27">
        <v>26</v>
      </c>
      <c r="B27" t="s">
        <v>128</v>
      </c>
      <c r="C27" t="s">
        <v>129</v>
      </c>
      <c r="D27" s="146">
        <f>SUMIFS(FACILITIES!E:E,FACILITIES!$B:$B,B27)</f>
        <v>0</v>
      </c>
      <c r="E27" s="146">
        <f>SUMIFS(FACILITIES!F:F,FACILITIES!$B:$B,$B27)</f>
        <v>0</v>
      </c>
      <c r="F27" s="146">
        <f>SUMIFS(FACILITIES!G:G,FACILITIES!$B:$B,B27)</f>
        <v>0</v>
      </c>
      <c r="G27" s="146">
        <f>SUMIFS(FACILITIES!H:H,FACILITIES!$B:$B,B27)</f>
        <v>0</v>
      </c>
      <c r="H27" s="146">
        <f>SUMIFS(FACILITIES!I:I,FACILITIES!$B:$B,B27)</f>
        <v>0</v>
      </c>
      <c r="I27" s="146">
        <f>SUMIFS(FACILITIES!J:J,FACILITIES!$B:$B,B27)</f>
        <v>0</v>
      </c>
      <c r="J27" s="146">
        <f>SUMIFS(FACILITIES!K:K,FACILITIES!$B:$B,B27)</f>
        <v>0</v>
      </c>
      <c r="K27" s="146">
        <f>SUMIFS(FACILITIES!L:L,FACILITIES!$B:$B,B27)</f>
        <v>0</v>
      </c>
      <c r="L27" s="146">
        <f>SUMIFS(FACILITIES!M:M,FACILITIES!$B:$B,B27)</f>
        <v>0</v>
      </c>
      <c r="M27" s="146">
        <f>SUMIFS(FACILITIES!N:N,FACILITIES!$B:$B,B27)</f>
        <v>0</v>
      </c>
      <c r="N27" s="146">
        <f>SUMIFS(FACILITIES!O:O,FACILITIES!$B:$B,B27)</f>
        <v>0</v>
      </c>
      <c r="O27" s="146">
        <f>SUMIFS(FACILITIES!P:P,FACILITIES!$B:$B,B27)</f>
        <v>0</v>
      </c>
      <c r="P27" s="146">
        <f>SUMIFS(FACILITIES!Q:Q,FACILITIES!$B:$B,B27)</f>
        <v>0</v>
      </c>
      <c r="Q27" s="146">
        <f>SUMIFS(FACILITIES!R:R,FACILITIES!$B:$B,B27)</f>
        <v>0</v>
      </c>
      <c r="R27" s="146">
        <f>SUMIFS(FACILITIES!T:T,FACILITIES!B:B,B27)</f>
        <v>0</v>
      </c>
      <c r="S27" s="146">
        <f>SUMIFS(FACILITIES!S:S,FACILITIES!B:B,B27)</f>
        <v>0</v>
      </c>
      <c r="T27" s="146">
        <f>SUMIFS('F &amp; B'!G:G,'F &amp; B'!B:B,B27)</f>
        <v>0</v>
      </c>
      <c r="U27" s="210">
        <f t="shared" si="1"/>
        <v>0</v>
      </c>
      <c r="V27" s="146">
        <f>SUMIFS('FIXED AMOUNT'!G:G,'FIXED AMOUNT'!B:B,B27)</f>
        <v>7000</v>
      </c>
      <c r="W27" s="124">
        <f t="shared" si="0"/>
        <v>7000</v>
      </c>
      <c r="X27" s="124">
        <f>SUMIFS('FIXED AMOUNT'!E:E,'FIXED AMOUNT'!B:B,'data base '!B:B)</f>
        <v>0</v>
      </c>
      <c r="Y27" s="124">
        <f>SUMIFS('FIXED AMOUNT'!F:F,'FIXED AMOUNT'!B:B,'data base '!B:B)</f>
        <v>0</v>
      </c>
      <c r="Z27" s="124">
        <f>SUMIFS('FIXED AMOUNT'!V:V,'FIXED AMOUNT'!B:B,B:B)</f>
        <v>8847</v>
      </c>
      <c r="AA27" s="124">
        <f t="shared" si="2"/>
        <v>15847</v>
      </c>
      <c r="AB27" s="207">
        <f t="shared" si="3"/>
        <v>700</v>
      </c>
      <c r="AC27" s="204">
        <v>45945</v>
      </c>
      <c r="AD27" s="124">
        <f t="shared" si="4"/>
        <v>16547</v>
      </c>
      <c r="AE27" s="208"/>
    </row>
    <row r="28" spans="1:31">
      <c r="A28">
        <v>27</v>
      </c>
      <c r="B28" t="s">
        <v>133</v>
      </c>
      <c r="C28" t="s">
        <v>134</v>
      </c>
      <c r="D28" s="146">
        <f>SUMIFS(FACILITIES!E:E,FACILITIES!$B:$B,B28)</f>
        <v>0</v>
      </c>
      <c r="E28" s="146">
        <f>SUMIFS(FACILITIES!F:F,FACILITIES!$B:$B,$B28)</f>
        <v>0</v>
      </c>
      <c r="F28" s="146">
        <f>SUMIFS(FACILITIES!G:G,FACILITIES!$B:$B,B28)</f>
        <v>0</v>
      </c>
      <c r="G28" s="146">
        <f>SUMIFS(FACILITIES!H:H,FACILITIES!$B:$B,B28)</f>
        <v>0</v>
      </c>
      <c r="H28" s="146">
        <f>SUMIFS(FACILITIES!I:I,FACILITIES!$B:$B,B28)</f>
        <v>0</v>
      </c>
      <c r="I28" s="146">
        <f>SUMIFS(FACILITIES!J:J,FACILITIES!$B:$B,B28)</f>
        <v>0</v>
      </c>
      <c r="J28" s="146">
        <f>SUMIFS(FACILITIES!K:K,FACILITIES!$B:$B,B28)</f>
        <v>0</v>
      </c>
      <c r="K28" s="146">
        <f>SUMIFS(FACILITIES!L:L,FACILITIES!$B:$B,B28)</f>
        <v>0</v>
      </c>
      <c r="L28" s="146">
        <f>SUMIFS(FACILITIES!M:M,FACILITIES!$B:$B,B28)</f>
        <v>0</v>
      </c>
      <c r="M28" s="146">
        <f>SUMIFS(FACILITIES!N:N,FACILITIES!$B:$B,B28)</f>
        <v>0</v>
      </c>
      <c r="N28" s="146">
        <f>SUMIFS(FACILITIES!O:O,FACILITIES!$B:$B,B28)</f>
        <v>0</v>
      </c>
      <c r="O28" s="146">
        <f>SUMIFS(FACILITIES!P:P,FACILITIES!$B:$B,B28)</f>
        <v>0</v>
      </c>
      <c r="P28" s="146">
        <f>SUMIFS(FACILITIES!Q:Q,FACILITIES!$B:$B,B28)</f>
        <v>0</v>
      </c>
      <c r="Q28" s="146">
        <f>SUMIFS(FACILITIES!R:R,FACILITIES!$B:$B,B28)</f>
        <v>0</v>
      </c>
      <c r="R28" s="146">
        <f>SUMIFS(FACILITIES!T:T,FACILITIES!B:B,B28)</f>
        <v>0</v>
      </c>
      <c r="S28" s="146">
        <f>SUMIFS(FACILITIES!S:S,FACILITIES!B:B,B28)</f>
        <v>0</v>
      </c>
      <c r="T28" s="146">
        <f>SUMIFS('F &amp; B'!G:G,'F &amp; B'!B:B,B28)</f>
        <v>0</v>
      </c>
      <c r="U28" s="210">
        <f t="shared" si="1"/>
        <v>0</v>
      </c>
      <c r="V28" s="146">
        <f>SUMIFS('FIXED AMOUNT'!G:G,'FIXED AMOUNT'!B:B,B28)</f>
        <v>7000</v>
      </c>
      <c r="W28" s="124">
        <f t="shared" si="0"/>
        <v>7000</v>
      </c>
      <c r="X28" s="124">
        <f>SUMIFS('FIXED AMOUNT'!E:E,'FIXED AMOUNT'!B:B,'data base '!B:B)</f>
        <v>0</v>
      </c>
      <c r="Y28" s="124">
        <f>SUMIFS('FIXED AMOUNT'!F:F,'FIXED AMOUNT'!B:B,'data base '!B:B)</f>
        <v>0</v>
      </c>
      <c r="Z28" s="124">
        <f>SUMIFS('FIXED AMOUNT'!V:V,'FIXED AMOUNT'!B:B,B:B)</f>
        <v>22852</v>
      </c>
      <c r="AA28" s="124">
        <f t="shared" si="2"/>
        <v>29852</v>
      </c>
      <c r="AB28" s="207">
        <f t="shared" si="3"/>
        <v>700</v>
      </c>
      <c r="AC28" s="204">
        <v>45945</v>
      </c>
      <c r="AD28" s="124">
        <f t="shared" si="4"/>
        <v>30552</v>
      </c>
      <c r="AE28" s="208"/>
    </row>
    <row r="29" spans="1:31">
      <c r="A29">
        <v>28</v>
      </c>
      <c r="B29" t="s">
        <v>138</v>
      </c>
      <c r="C29" t="s">
        <v>139</v>
      </c>
      <c r="D29" s="146">
        <f>SUMIFS(FACILITIES!E:E,FACILITIES!$B:$B,B29)</f>
        <v>0</v>
      </c>
      <c r="E29" s="146">
        <f>SUMIFS(FACILITIES!F:F,FACILITIES!$B:$B,$B29)</f>
        <v>0</v>
      </c>
      <c r="F29" s="146">
        <f>SUMIFS(FACILITIES!G:G,FACILITIES!$B:$B,B29)</f>
        <v>0</v>
      </c>
      <c r="G29" s="146">
        <f>SUMIFS(FACILITIES!H:H,FACILITIES!$B:$B,B29)</f>
        <v>0</v>
      </c>
      <c r="H29" s="146">
        <f>SUMIFS(FACILITIES!I:I,FACILITIES!$B:$B,B29)</f>
        <v>0</v>
      </c>
      <c r="I29" s="146">
        <f>SUMIFS(FACILITIES!J:J,FACILITIES!$B:$B,B29)</f>
        <v>0</v>
      </c>
      <c r="J29" s="146">
        <f>SUMIFS(FACILITIES!K:K,FACILITIES!$B:$B,B29)</f>
        <v>0</v>
      </c>
      <c r="K29" s="146">
        <f>SUMIFS(FACILITIES!L:L,FACILITIES!$B:$B,B29)</f>
        <v>0</v>
      </c>
      <c r="L29" s="146">
        <f>SUMIFS(FACILITIES!M:M,FACILITIES!$B:$B,B29)</f>
        <v>0</v>
      </c>
      <c r="M29" s="146">
        <f>SUMIFS(FACILITIES!N:N,FACILITIES!$B:$B,B29)</f>
        <v>0</v>
      </c>
      <c r="N29" s="146">
        <f>SUMIFS(FACILITIES!O:O,FACILITIES!$B:$B,B29)</f>
        <v>10000</v>
      </c>
      <c r="O29" s="146">
        <f>SUMIFS(FACILITIES!P:P,FACILITIES!$B:$B,B29)</f>
        <v>0</v>
      </c>
      <c r="P29" s="146">
        <f>SUMIFS(FACILITIES!Q:Q,FACILITIES!$B:$B,B29)</f>
        <v>0</v>
      </c>
      <c r="Q29" s="146">
        <f>SUMIFS(FACILITIES!R:R,FACILITIES!$B:$B,B29)</f>
        <v>0</v>
      </c>
      <c r="R29" s="146">
        <f>SUMIFS(FACILITIES!T:T,FACILITIES!B:B,B29)</f>
        <v>0</v>
      </c>
      <c r="S29" s="146">
        <f>SUMIFS(FACILITIES!S:S,FACILITIES!B:B,B29)</f>
        <v>0</v>
      </c>
      <c r="T29" s="146">
        <f>SUMIFS('F &amp; B'!G:G,'F &amp; B'!B:B,B29)</f>
        <v>1940</v>
      </c>
      <c r="U29" s="210">
        <f t="shared" si="1"/>
        <v>291</v>
      </c>
      <c r="V29" s="146">
        <f>SUMIFS('FIXED AMOUNT'!G:G,'FIXED AMOUNT'!B:B,B29)</f>
        <v>7000</v>
      </c>
      <c r="W29" s="124">
        <f t="shared" si="0"/>
        <v>19231</v>
      </c>
      <c r="X29" s="124">
        <f>SUMIFS('FIXED AMOUNT'!E:E,'FIXED AMOUNT'!B:B,'data base '!B:B)</f>
        <v>0</v>
      </c>
      <c r="Y29" s="124">
        <f>SUMIFS('FIXED AMOUNT'!F:F,'FIXED AMOUNT'!B:B,'data base '!B:B)</f>
        <v>0</v>
      </c>
      <c r="Z29" s="124">
        <f>SUMIFS('FIXED AMOUNT'!V:V,'FIXED AMOUNT'!B:B,B:B)</f>
        <v>46260</v>
      </c>
      <c r="AA29" s="124">
        <f t="shared" si="2"/>
        <v>65491</v>
      </c>
      <c r="AB29" s="207">
        <f t="shared" si="3"/>
        <v>1923.1000000000001</v>
      </c>
      <c r="AC29" s="204">
        <v>45945</v>
      </c>
      <c r="AD29" s="124">
        <f t="shared" si="4"/>
        <v>67414.100000000006</v>
      </c>
      <c r="AE29" s="208"/>
    </row>
    <row r="30" spans="1:31">
      <c r="A30">
        <v>29</v>
      </c>
      <c r="B30" t="s">
        <v>142</v>
      </c>
      <c r="C30" t="s">
        <v>143</v>
      </c>
      <c r="D30" s="146">
        <f>SUMIFS(FACILITIES!E:E,FACILITIES!$B:$B,B30)</f>
        <v>0</v>
      </c>
      <c r="E30" s="146">
        <f>SUMIFS(FACILITIES!F:F,FACILITIES!$B:$B,$B30)</f>
        <v>0</v>
      </c>
      <c r="F30" s="146">
        <f>SUMIFS(FACILITIES!G:G,FACILITIES!$B:$B,B30)</f>
        <v>0</v>
      </c>
      <c r="G30" s="146">
        <f>SUMIFS(FACILITIES!H:H,FACILITIES!$B:$B,B30)</f>
        <v>0</v>
      </c>
      <c r="H30" s="146">
        <f>SUMIFS(FACILITIES!I:I,FACILITIES!$B:$B,B30)</f>
        <v>0</v>
      </c>
      <c r="I30" s="146">
        <f>SUMIFS(FACILITIES!J:J,FACILITIES!$B:$B,B30)</f>
        <v>1500</v>
      </c>
      <c r="J30" s="146">
        <f>SUMIFS(FACILITIES!K:K,FACILITIES!$B:$B,B30)</f>
        <v>0</v>
      </c>
      <c r="K30" s="146">
        <f>SUMIFS(FACILITIES!L:L,FACILITIES!$B:$B,B30)</f>
        <v>0</v>
      </c>
      <c r="L30" s="146">
        <f>SUMIFS(FACILITIES!M:M,FACILITIES!$B:$B,B30)</f>
        <v>0</v>
      </c>
      <c r="M30" s="146">
        <f>SUMIFS(FACILITIES!N:N,FACILITIES!$B:$B,B30)</f>
        <v>0</v>
      </c>
      <c r="N30" s="146">
        <f>SUMIFS(FACILITIES!O:O,FACILITIES!$B:$B,B30)</f>
        <v>0</v>
      </c>
      <c r="O30" s="146">
        <f>SUMIFS(FACILITIES!P:P,FACILITIES!$B:$B,B30)</f>
        <v>0</v>
      </c>
      <c r="P30" s="146">
        <f>SUMIFS(FACILITIES!Q:Q,FACILITIES!$B:$B,B30)</f>
        <v>0</v>
      </c>
      <c r="Q30" s="146">
        <f>SUMIFS(FACILITIES!R:R,FACILITIES!$B:$B,B30)</f>
        <v>0</v>
      </c>
      <c r="R30" s="146">
        <f>SUMIFS(FACILITIES!T:T,FACILITIES!B:B,B30)</f>
        <v>5000</v>
      </c>
      <c r="S30" s="146">
        <f>SUMIFS(FACILITIES!S:S,FACILITIES!B:B,B30)</f>
        <v>0</v>
      </c>
      <c r="T30" s="146">
        <f>SUMIFS('F &amp; B'!G:G,'F &amp; B'!B:B,B30)</f>
        <v>16500</v>
      </c>
      <c r="U30" s="210">
        <f t="shared" si="1"/>
        <v>2475</v>
      </c>
      <c r="V30" s="146">
        <f>SUMIFS('FIXED AMOUNT'!G:G,'FIXED AMOUNT'!B:B,B30)</f>
        <v>7000</v>
      </c>
      <c r="W30" s="124">
        <f t="shared" si="0"/>
        <v>32475</v>
      </c>
      <c r="X30" s="124">
        <f>SUMIFS('FIXED AMOUNT'!E:E,'FIXED AMOUNT'!B:B,'data base '!B:B)</f>
        <v>0</v>
      </c>
      <c r="Y30" s="124">
        <f>SUMIFS('FIXED AMOUNT'!F:F,'FIXED AMOUNT'!B:B,'data base '!B:B)</f>
        <v>0</v>
      </c>
      <c r="Z30" s="124">
        <f>SUMIFS('FIXED AMOUNT'!V:V,'FIXED AMOUNT'!B:B,B:B)</f>
        <v>38350</v>
      </c>
      <c r="AA30" s="124">
        <f t="shared" si="2"/>
        <v>70825</v>
      </c>
      <c r="AB30" s="207">
        <f t="shared" si="3"/>
        <v>3247.5</v>
      </c>
      <c r="AC30" s="204">
        <v>45945</v>
      </c>
      <c r="AD30" s="124">
        <f t="shared" si="4"/>
        <v>74072.5</v>
      </c>
      <c r="AE30" s="208"/>
    </row>
    <row r="31" spans="1:31">
      <c r="A31">
        <v>30</v>
      </c>
      <c r="B31" t="s">
        <v>146</v>
      </c>
      <c r="C31" t="s">
        <v>147</v>
      </c>
      <c r="D31" s="146">
        <f>SUMIFS(FACILITIES!E:E,FACILITIES!$B:$B,B31)</f>
        <v>0</v>
      </c>
      <c r="E31" s="146">
        <f>SUMIFS(FACILITIES!F:F,FACILITIES!$B:$B,$B31)</f>
        <v>0</v>
      </c>
      <c r="F31" s="146">
        <f>SUMIFS(FACILITIES!G:G,FACILITIES!$B:$B,B31)</f>
        <v>0</v>
      </c>
      <c r="G31" s="146">
        <f>SUMIFS(FACILITIES!H:H,FACILITIES!$B:$B,B31)</f>
        <v>0</v>
      </c>
      <c r="H31" s="146">
        <f>SUMIFS(FACILITIES!I:I,FACILITIES!$B:$B,B31)</f>
        <v>0</v>
      </c>
      <c r="I31" s="146">
        <f>SUMIFS(FACILITIES!J:J,FACILITIES!$B:$B,B31)</f>
        <v>0</v>
      </c>
      <c r="J31" s="146">
        <f>SUMIFS(FACILITIES!K:K,FACILITIES!$B:$B,B31)</f>
        <v>0</v>
      </c>
      <c r="K31" s="146">
        <f>SUMIFS(FACILITIES!L:L,FACILITIES!$B:$B,B31)</f>
        <v>0</v>
      </c>
      <c r="L31" s="146">
        <f>SUMIFS(FACILITIES!M:M,FACILITIES!$B:$B,B31)</f>
        <v>0</v>
      </c>
      <c r="M31" s="146">
        <f>SUMIFS(FACILITIES!N:N,FACILITIES!$B:$B,B31)</f>
        <v>0</v>
      </c>
      <c r="N31" s="146">
        <f>SUMIFS(FACILITIES!O:O,FACILITIES!$B:$B,B31)</f>
        <v>0</v>
      </c>
      <c r="O31" s="146">
        <f>SUMIFS(FACILITIES!P:P,FACILITIES!$B:$B,B31)</f>
        <v>0</v>
      </c>
      <c r="P31" s="146">
        <f>SUMIFS(FACILITIES!Q:Q,FACILITIES!$B:$B,B31)</f>
        <v>0</v>
      </c>
      <c r="Q31" s="146">
        <f>SUMIFS(FACILITIES!R:R,FACILITIES!$B:$B,B31)</f>
        <v>0</v>
      </c>
      <c r="R31" s="146">
        <f>SUMIFS(FACILITIES!T:T,FACILITIES!B:B,B31)</f>
        <v>0</v>
      </c>
      <c r="S31" s="146">
        <f>SUMIFS(FACILITIES!S:S,FACILITIES!B:B,B31)</f>
        <v>0</v>
      </c>
      <c r="T31" s="146">
        <f>SUMIFS('F &amp; B'!G:G,'F &amp; B'!B:B,B31)</f>
        <v>6350</v>
      </c>
      <c r="U31" s="210">
        <f t="shared" si="1"/>
        <v>952.5</v>
      </c>
      <c r="V31" s="146">
        <f>SUMIFS('FIXED AMOUNT'!G:G,'FIXED AMOUNT'!B:B,B31)</f>
        <v>7000</v>
      </c>
      <c r="W31" s="124">
        <f t="shared" si="0"/>
        <v>14302.5</v>
      </c>
      <c r="X31" s="124">
        <f>SUMIFS('FIXED AMOUNT'!E:E,'FIXED AMOUNT'!B:B,'data base '!B:B)</f>
        <v>0</v>
      </c>
      <c r="Y31" s="124">
        <f>SUMIFS('FIXED AMOUNT'!F:F,'FIXED AMOUNT'!B:B,'data base '!B:B)</f>
        <v>0</v>
      </c>
      <c r="Z31" s="124">
        <f>SUMIFS('FIXED AMOUNT'!V:V,'FIXED AMOUNT'!B:B,B:B)</f>
        <v>0</v>
      </c>
      <c r="AA31" s="124">
        <f t="shared" si="2"/>
        <v>14302.5</v>
      </c>
      <c r="AB31" s="207">
        <f t="shared" si="3"/>
        <v>1430.25</v>
      </c>
      <c r="AC31" s="204">
        <v>45945</v>
      </c>
      <c r="AD31" s="124">
        <f t="shared" si="4"/>
        <v>15732.75</v>
      </c>
      <c r="AE31" s="208"/>
    </row>
    <row r="32" spans="1:31">
      <c r="A32">
        <v>31</v>
      </c>
      <c r="B32" t="s">
        <v>151</v>
      </c>
      <c r="C32" t="s">
        <v>152</v>
      </c>
      <c r="D32" s="146">
        <f>SUMIFS(FACILITIES!E:E,FACILITIES!$B:$B,B32)</f>
        <v>1500</v>
      </c>
      <c r="E32" s="146">
        <f>SUMIFS(FACILITIES!F:F,FACILITIES!$B:$B,$B32)</f>
        <v>0</v>
      </c>
      <c r="F32" s="146">
        <f>SUMIFS(FACILITIES!G:G,FACILITIES!$B:$B,B32)</f>
        <v>0</v>
      </c>
      <c r="G32" s="146">
        <f>SUMIFS(FACILITIES!H:H,FACILITIES!$B:$B,B32)</f>
        <v>0</v>
      </c>
      <c r="H32" s="146">
        <f>SUMIFS(FACILITIES!I:I,FACILITIES!$B:$B,B32)</f>
        <v>0</v>
      </c>
      <c r="I32" s="146">
        <f>SUMIFS(FACILITIES!J:J,FACILITIES!$B:$B,B32)</f>
        <v>0</v>
      </c>
      <c r="J32" s="146">
        <f>SUMIFS(FACILITIES!K:K,FACILITIES!$B:$B,B32)</f>
        <v>0</v>
      </c>
      <c r="K32" s="146">
        <f>SUMIFS(FACILITIES!L:L,FACILITIES!$B:$B,B32)</f>
        <v>0</v>
      </c>
      <c r="L32" s="146">
        <f>SUMIFS(FACILITIES!M:M,FACILITIES!$B:$B,B32)</f>
        <v>0</v>
      </c>
      <c r="M32" s="146">
        <f>SUMIFS(FACILITIES!N:N,FACILITIES!$B:$B,B32)</f>
        <v>0</v>
      </c>
      <c r="N32" s="146">
        <f>SUMIFS(FACILITIES!O:O,FACILITIES!$B:$B,B32)</f>
        <v>0</v>
      </c>
      <c r="O32" s="146">
        <f>SUMIFS(FACILITIES!P:P,FACILITIES!$B:$B,B32)</f>
        <v>0</v>
      </c>
      <c r="P32" s="146">
        <f>SUMIFS(FACILITIES!Q:Q,FACILITIES!$B:$B,B32)</f>
        <v>0</v>
      </c>
      <c r="Q32" s="146">
        <f>SUMIFS(FACILITIES!R:R,FACILITIES!$B:$B,B32)</f>
        <v>0</v>
      </c>
      <c r="R32" s="146">
        <f>SUMIFS(FACILITIES!T:T,FACILITIES!B:B,B32)</f>
        <v>0</v>
      </c>
      <c r="S32" s="146">
        <f>SUMIFS(FACILITIES!S:S,FACILITIES!B:B,B32)</f>
        <v>0</v>
      </c>
      <c r="T32" s="146">
        <f>SUMIFS('F &amp; B'!G:G,'F &amp; B'!B:B,B32)</f>
        <v>15800</v>
      </c>
      <c r="U32" s="210">
        <f t="shared" si="1"/>
        <v>2370</v>
      </c>
      <c r="V32" s="146">
        <f>SUMIFS('FIXED AMOUNT'!G:G,'FIXED AMOUNT'!B:B,B32)</f>
        <v>7000</v>
      </c>
      <c r="W32" s="124">
        <f t="shared" si="0"/>
        <v>26670</v>
      </c>
      <c r="X32" s="124">
        <f>SUMIFS('FIXED AMOUNT'!E:E,'FIXED AMOUNT'!B:B,'data base '!B:B)</f>
        <v>0</v>
      </c>
      <c r="Y32" s="124">
        <f>SUMIFS('FIXED AMOUNT'!F:F,'FIXED AMOUNT'!B:B,'data base '!B:B)</f>
        <v>0</v>
      </c>
      <c r="Z32" s="124">
        <f>SUMIFS('FIXED AMOUNT'!V:V,'FIXED AMOUNT'!B:B,B:B)</f>
        <v>0</v>
      </c>
      <c r="AA32" s="124">
        <f t="shared" si="2"/>
        <v>26670</v>
      </c>
      <c r="AB32" s="207">
        <f t="shared" si="3"/>
        <v>2667</v>
      </c>
      <c r="AC32" s="204">
        <v>45945</v>
      </c>
      <c r="AD32" s="124">
        <f t="shared" si="4"/>
        <v>29337</v>
      </c>
      <c r="AE32" s="208"/>
    </row>
    <row r="33" spans="1:31">
      <c r="A33">
        <v>32</v>
      </c>
      <c r="B33" t="s">
        <v>155</v>
      </c>
      <c r="C33" t="s">
        <v>156</v>
      </c>
      <c r="D33" s="146">
        <f>SUMIFS(FACILITIES!E:E,FACILITIES!$B:$B,B33)</f>
        <v>0</v>
      </c>
      <c r="E33" s="146">
        <f>SUMIFS(FACILITIES!F:F,FACILITIES!$B:$B,$B33)</f>
        <v>1800</v>
      </c>
      <c r="F33" s="146">
        <f>SUMIFS(FACILITIES!G:G,FACILITIES!$B:$B,B33)</f>
        <v>0</v>
      </c>
      <c r="G33" s="146">
        <f>SUMIFS(FACILITIES!H:H,FACILITIES!$B:$B,B33)</f>
        <v>0</v>
      </c>
      <c r="H33" s="146">
        <f>SUMIFS(FACILITIES!I:I,FACILITIES!$B:$B,B33)</f>
        <v>0</v>
      </c>
      <c r="I33" s="146">
        <f>SUMIFS(FACILITIES!J:J,FACILITIES!$B:$B,B33)</f>
        <v>0</v>
      </c>
      <c r="J33" s="146">
        <f>SUMIFS(FACILITIES!K:K,FACILITIES!$B:$B,B33)</f>
        <v>0</v>
      </c>
      <c r="K33" s="146">
        <f>SUMIFS(FACILITIES!L:L,FACILITIES!$B:$B,B33)</f>
        <v>0</v>
      </c>
      <c r="L33" s="146">
        <f>SUMIFS(FACILITIES!M:M,FACILITIES!$B:$B,B33)</f>
        <v>0</v>
      </c>
      <c r="M33" s="146">
        <f>SUMIFS(FACILITIES!N:N,FACILITIES!$B:$B,B33)</f>
        <v>0</v>
      </c>
      <c r="N33" s="146">
        <f>SUMIFS(FACILITIES!O:O,FACILITIES!$B:$B,B33)</f>
        <v>0</v>
      </c>
      <c r="O33" s="146">
        <f>SUMIFS(FACILITIES!P:P,FACILITIES!$B:$B,B33)</f>
        <v>0</v>
      </c>
      <c r="P33" s="146">
        <f>SUMIFS(FACILITIES!Q:Q,FACILITIES!$B:$B,B33)</f>
        <v>0</v>
      </c>
      <c r="Q33" s="146">
        <f>SUMIFS(FACILITIES!R:R,FACILITIES!$B:$B,B33)</f>
        <v>0</v>
      </c>
      <c r="R33" s="146">
        <f>SUMIFS(FACILITIES!T:T,FACILITIES!B:B,B33)</f>
        <v>2000</v>
      </c>
      <c r="S33" s="146">
        <f>SUMIFS(FACILITIES!S:S,FACILITIES!B:B,B33)</f>
        <v>0</v>
      </c>
      <c r="T33" s="146">
        <f>SUMIFS('F &amp; B'!G:G,'F &amp; B'!B:B,B33)</f>
        <v>5399</v>
      </c>
      <c r="U33" s="210">
        <f t="shared" si="1"/>
        <v>809.85</v>
      </c>
      <c r="V33" s="146">
        <f>SUMIFS('FIXED AMOUNT'!G:G,'FIXED AMOUNT'!B:B,B33)</f>
        <v>7000</v>
      </c>
      <c r="W33" s="124">
        <f t="shared" si="0"/>
        <v>17008.849999999999</v>
      </c>
      <c r="X33" s="124">
        <f>SUMIFS('FIXED AMOUNT'!E:E,'FIXED AMOUNT'!B:B,'data base '!B:B)</f>
        <v>0</v>
      </c>
      <c r="Y33" s="124">
        <f>SUMIFS('FIXED AMOUNT'!F:F,'FIXED AMOUNT'!B:B,'data base '!B:B)</f>
        <v>0</v>
      </c>
      <c r="Z33" s="124">
        <f>SUMIFS('FIXED AMOUNT'!V:V,'FIXED AMOUNT'!B:B,B:B)</f>
        <v>12312</v>
      </c>
      <c r="AA33" s="124">
        <f t="shared" si="2"/>
        <v>29320.85</v>
      </c>
      <c r="AB33" s="207">
        <f t="shared" si="3"/>
        <v>1700.885</v>
      </c>
      <c r="AC33" s="204">
        <v>45945</v>
      </c>
      <c r="AD33" s="124">
        <f t="shared" si="4"/>
        <v>31021.734999999997</v>
      </c>
      <c r="AE33" s="208"/>
    </row>
    <row r="34" spans="1:31">
      <c r="A34">
        <v>33</v>
      </c>
      <c r="B34" t="s">
        <v>160</v>
      </c>
      <c r="C34" t="s">
        <v>161</v>
      </c>
      <c r="D34" s="146">
        <f>SUMIFS(FACILITIES!E:E,FACILITIES!$B:$B,B34)</f>
        <v>0</v>
      </c>
      <c r="E34" s="146">
        <f>SUMIFS(FACILITIES!F:F,FACILITIES!$B:$B,$B34)</f>
        <v>0</v>
      </c>
      <c r="F34" s="146">
        <f>SUMIFS(FACILITIES!G:G,FACILITIES!$B:$B,B34)</f>
        <v>0</v>
      </c>
      <c r="G34" s="146">
        <f>SUMIFS(FACILITIES!H:H,FACILITIES!$B:$B,B34)</f>
        <v>0</v>
      </c>
      <c r="H34" s="146">
        <f>SUMIFS(FACILITIES!I:I,FACILITIES!$B:$B,B34)</f>
        <v>0</v>
      </c>
      <c r="I34" s="146">
        <f>SUMIFS(FACILITIES!J:J,FACILITIES!$B:$B,B34)</f>
        <v>0</v>
      </c>
      <c r="J34" s="146">
        <f>SUMIFS(FACILITIES!K:K,FACILITIES!$B:$B,B34)</f>
        <v>0</v>
      </c>
      <c r="K34" s="146">
        <f>SUMIFS(FACILITIES!L:L,FACILITIES!$B:$B,B34)</f>
        <v>0</v>
      </c>
      <c r="L34" s="146">
        <f>SUMIFS(FACILITIES!M:M,FACILITIES!$B:$B,B34)</f>
        <v>0</v>
      </c>
      <c r="M34" s="146">
        <f>SUMIFS(FACILITIES!N:N,FACILITIES!$B:$B,B34)</f>
        <v>0</v>
      </c>
      <c r="N34" s="146">
        <f>SUMIFS(FACILITIES!O:O,FACILITIES!$B:$B,B34)</f>
        <v>0</v>
      </c>
      <c r="O34" s="146">
        <f>SUMIFS(FACILITIES!P:P,FACILITIES!$B:$B,B34)</f>
        <v>0</v>
      </c>
      <c r="P34" s="146">
        <f>SUMIFS(FACILITIES!Q:Q,FACILITIES!$B:$B,B34)</f>
        <v>0</v>
      </c>
      <c r="Q34" s="146">
        <f>SUMIFS(FACILITIES!R:R,FACILITIES!$B:$B,B34)</f>
        <v>0</v>
      </c>
      <c r="R34" s="146">
        <f>SUMIFS(FACILITIES!T:T,FACILITIES!B:B,B34)</f>
        <v>0</v>
      </c>
      <c r="S34" s="146">
        <f>SUMIFS(FACILITIES!S:S,FACILITIES!B:B,B34)</f>
        <v>0</v>
      </c>
      <c r="T34" s="146">
        <f>SUMIFS('F &amp; B'!G:G,'F &amp; B'!B:B,B34)</f>
        <v>0</v>
      </c>
      <c r="U34" s="210">
        <f t="shared" si="1"/>
        <v>0</v>
      </c>
      <c r="V34" s="146">
        <f>SUMIFS('FIXED AMOUNT'!G:G,'FIXED AMOUNT'!B:B,B34)</f>
        <v>7000</v>
      </c>
      <c r="W34" s="124">
        <f t="shared" ref="W34:W65" si="5">SUM(D34:V34)</f>
        <v>7000</v>
      </c>
      <c r="X34" s="124">
        <f>SUMIFS('FIXED AMOUNT'!E:E,'FIXED AMOUNT'!B:B,'data base '!B:B)</f>
        <v>0</v>
      </c>
      <c r="Y34" s="124">
        <f>SUMIFS('FIXED AMOUNT'!F:F,'FIXED AMOUNT'!B:B,'data base '!B:B)</f>
        <v>0</v>
      </c>
      <c r="Z34" s="124">
        <f>SUMIFS('FIXED AMOUNT'!V:V,'FIXED AMOUNT'!B:B,B:B)</f>
        <v>10870</v>
      </c>
      <c r="AA34" s="124">
        <f t="shared" si="2"/>
        <v>17870</v>
      </c>
      <c r="AB34" s="207">
        <f t="shared" si="3"/>
        <v>700</v>
      </c>
      <c r="AC34" s="204">
        <v>45945</v>
      </c>
      <c r="AD34" s="124">
        <f t="shared" si="4"/>
        <v>18570</v>
      </c>
      <c r="AE34" s="208"/>
    </row>
    <row r="35" spans="1:31">
      <c r="A35">
        <v>34</v>
      </c>
      <c r="B35" t="s">
        <v>164</v>
      </c>
      <c r="C35" t="s">
        <v>165</v>
      </c>
      <c r="D35" s="146">
        <f>SUMIFS(FACILITIES!E:E,FACILITIES!$B:$B,B35)</f>
        <v>0</v>
      </c>
      <c r="E35" s="146">
        <f>SUMIFS(FACILITIES!F:F,FACILITIES!$B:$B,$B35)</f>
        <v>0</v>
      </c>
      <c r="F35" s="146">
        <f>SUMIFS(FACILITIES!G:G,FACILITIES!$B:$B,B35)</f>
        <v>0</v>
      </c>
      <c r="G35" s="146">
        <f>SUMIFS(FACILITIES!H:H,FACILITIES!$B:$B,B35)</f>
        <v>0</v>
      </c>
      <c r="H35" s="146">
        <f>SUMIFS(FACILITIES!I:I,FACILITIES!$B:$B,B35)</f>
        <v>0</v>
      </c>
      <c r="I35" s="146">
        <f>SUMIFS(FACILITIES!J:J,FACILITIES!$B:$B,B35)</f>
        <v>600</v>
      </c>
      <c r="J35" s="146">
        <f>SUMIFS(FACILITIES!K:K,FACILITIES!$B:$B,B35)</f>
        <v>1800</v>
      </c>
      <c r="K35" s="146">
        <f>SUMIFS(FACILITIES!L:L,FACILITIES!$B:$B,B35)</f>
        <v>0</v>
      </c>
      <c r="L35" s="146">
        <f>SUMIFS(FACILITIES!M:M,FACILITIES!$B:$B,B35)</f>
        <v>0</v>
      </c>
      <c r="M35" s="146">
        <f>SUMIFS(FACILITIES!N:N,FACILITIES!$B:$B,B35)</f>
        <v>0</v>
      </c>
      <c r="N35" s="146">
        <f>SUMIFS(FACILITIES!O:O,FACILITIES!$B:$B,B35)</f>
        <v>0</v>
      </c>
      <c r="O35" s="146">
        <f>SUMIFS(FACILITIES!P:P,FACILITIES!$B:$B,B35)</f>
        <v>0</v>
      </c>
      <c r="P35" s="146">
        <f>SUMIFS(FACILITIES!Q:Q,FACILITIES!$B:$B,B35)</f>
        <v>0</v>
      </c>
      <c r="Q35" s="146">
        <f>SUMIFS(FACILITIES!R:R,FACILITIES!$B:$B,B35)</f>
        <v>0</v>
      </c>
      <c r="R35" s="146">
        <f>SUMIFS(FACILITIES!T:T,FACILITIES!B:B,B35)</f>
        <v>0</v>
      </c>
      <c r="S35" s="146">
        <f>SUMIFS(FACILITIES!S:S,FACILITIES!B:B,B35)</f>
        <v>0</v>
      </c>
      <c r="T35" s="146">
        <f>SUMIFS('F &amp; B'!G:G,'F &amp; B'!B:B,B35)</f>
        <v>7600</v>
      </c>
      <c r="U35" s="210">
        <f t="shared" si="1"/>
        <v>1140</v>
      </c>
      <c r="V35" s="146">
        <f>SUMIFS('FIXED AMOUNT'!G:G,'FIXED AMOUNT'!B:B,B35)</f>
        <v>7000</v>
      </c>
      <c r="W35" s="124">
        <f t="shared" si="5"/>
        <v>18140</v>
      </c>
      <c r="X35" s="124">
        <f>SUMIFS('FIXED AMOUNT'!E:E,'FIXED AMOUNT'!B:B,'data base '!B:B)</f>
        <v>0</v>
      </c>
      <c r="Y35" s="124">
        <f>SUMIFS('FIXED AMOUNT'!F:F,'FIXED AMOUNT'!B:B,'data base '!B:B)</f>
        <v>0</v>
      </c>
      <c r="Z35" s="124">
        <f>SUMIFS('FIXED AMOUNT'!V:V,'FIXED AMOUNT'!B:B,B:B)</f>
        <v>0</v>
      </c>
      <c r="AA35" s="124">
        <f t="shared" si="2"/>
        <v>18140</v>
      </c>
      <c r="AB35" s="207">
        <f t="shared" si="3"/>
        <v>1814</v>
      </c>
      <c r="AC35" s="204">
        <v>45945</v>
      </c>
      <c r="AD35" s="124">
        <f t="shared" si="4"/>
        <v>19954</v>
      </c>
      <c r="AE35" s="208"/>
    </row>
    <row r="36" spans="1:31">
      <c r="A36">
        <v>35</v>
      </c>
      <c r="B36" t="s">
        <v>173</v>
      </c>
      <c r="C36" t="s">
        <v>174</v>
      </c>
      <c r="D36" s="146">
        <f>SUMIFS(FACILITIES!E:E,FACILITIES!$B:$B,B36)</f>
        <v>600</v>
      </c>
      <c r="E36" s="146">
        <f>SUMIFS(FACILITIES!F:F,FACILITIES!$B:$B,$B36)</f>
        <v>0</v>
      </c>
      <c r="F36" s="146">
        <f>SUMIFS(FACILITIES!G:G,FACILITIES!$B:$B,B36)</f>
        <v>0</v>
      </c>
      <c r="G36" s="146">
        <f>SUMIFS(FACILITIES!H:H,FACILITIES!$B:$B,B36)</f>
        <v>0</v>
      </c>
      <c r="H36" s="146">
        <f>SUMIFS(FACILITIES!I:I,FACILITIES!$B:$B,B36)</f>
        <v>0</v>
      </c>
      <c r="I36" s="146">
        <f>SUMIFS(FACILITIES!J:J,FACILITIES!$B:$B,B36)</f>
        <v>0</v>
      </c>
      <c r="J36" s="146">
        <f>SUMIFS(FACILITIES!K:K,FACILITIES!$B:$B,B36)</f>
        <v>0</v>
      </c>
      <c r="K36" s="146">
        <f>SUMIFS(FACILITIES!L:L,FACILITIES!$B:$B,B36)</f>
        <v>0</v>
      </c>
      <c r="L36" s="146">
        <f>SUMIFS(FACILITIES!M:M,FACILITIES!$B:$B,B36)</f>
        <v>0</v>
      </c>
      <c r="M36" s="146">
        <f>SUMIFS(FACILITIES!N:N,FACILITIES!$B:$B,B36)</f>
        <v>0</v>
      </c>
      <c r="N36" s="146">
        <f>SUMIFS(FACILITIES!O:O,FACILITIES!$B:$B,B36)</f>
        <v>0</v>
      </c>
      <c r="O36" s="146">
        <f>SUMIFS(FACILITIES!P:P,FACILITIES!$B:$B,B36)</f>
        <v>0</v>
      </c>
      <c r="P36" s="146">
        <f>SUMIFS(FACILITIES!Q:Q,FACILITIES!$B:$B,B36)</f>
        <v>0</v>
      </c>
      <c r="Q36" s="146">
        <f>SUMIFS(FACILITIES!R:R,FACILITIES!$B:$B,B36)</f>
        <v>0</v>
      </c>
      <c r="R36" s="146">
        <f>SUMIFS(FACILITIES!T:T,FACILITIES!B:B,B36)</f>
        <v>0</v>
      </c>
      <c r="S36" s="146">
        <f>SUMIFS(FACILITIES!S:S,FACILITIES!B:B,B36)</f>
        <v>0</v>
      </c>
      <c r="T36" s="146">
        <f>SUMIFS('F &amp; B'!G:G,'F &amp; B'!B:B,B36)</f>
        <v>0</v>
      </c>
      <c r="U36" s="210">
        <f t="shared" si="1"/>
        <v>0</v>
      </c>
      <c r="V36" s="146">
        <f>SUMIFS('FIXED AMOUNT'!G:G,'FIXED AMOUNT'!B:B,B36)</f>
        <v>7000</v>
      </c>
      <c r="W36" s="124">
        <f t="shared" si="5"/>
        <v>7600</v>
      </c>
      <c r="X36" s="124">
        <f>SUMIFS('FIXED AMOUNT'!E:E,'FIXED AMOUNT'!B:B,'data base '!B:B)</f>
        <v>0</v>
      </c>
      <c r="Y36" s="124">
        <f>SUMIFS('FIXED AMOUNT'!F:F,'FIXED AMOUNT'!B:B,'data base '!B:B)</f>
        <v>0</v>
      </c>
      <c r="Z36" s="124">
        <f>SUMIFS('FIXED AMOUNT'!V:V,'FIXED AMOUNT'!B:B,B:B)</f>
        <v>0</v>
      </c>
      <c r="AA36" s="124">
        <f t="shared" si="2"/>
        <v>7600</v>
      </c>
      <c r="AB36" s="207">
        <f t="shared" si="3"/>
        <v>760</v>
      </c>
      <c r="AC36" s="204">
        <v>45945</v>
      </c>
      <c r="AD36" s="124">
        <f t="shared" si="4"/>
        <v>8360</v>
      </c>
      <c r="AE36" s="208"/>
    </row>
    <row r="37" spans="1:31">
      <c r="A37">
        <v>36</v>
      </c>
      <c r="B37" t="s">
        <v>177</v>
      </c>
      <c r="C37" t="s">
        <v>178</v>
      </c>
      <c r="D37" s="146">
        <f>SUMIFS(FACILITIES!E:E,FACILITIES!$B:$B,B37)</f>
        <v>1800</v>
      </c>
      <c r="E37" s="146">
        <f>SUMIFS(FACILITIES!F:F,FACILITIES!$B:$B,$B37)</f>
        <v>0</v>
      </c>
      <c r="F37" s="146">
        <f>SUMIFS(FACILITIES!G:G,FACILITIES!$B:$B,B37)</f>
        <v>0</v>
      </c>
      <c r="G37" s="146">
        <f>SUMIFS(FACILITIES!H:H,FACILITIES!$B:$B,B37)</f>
        <v>0</v>
      </c>
      <c r="H37" s="146">
        <f>SUMIFS(FACILITIES!I:I,FACILITIES!$B:$B,B37)</f>
        <v>0</v>
      </c>
      <c r="I37" s="146">
        <f>SUMIFS(FACILITIES!J:J,FACILITIES!$B:$B,B37)</f>
        <v>500</v>
      </c>
      <c r="J37" s="146">
        <f>SUMIFS(FACILITIES!K:K,FACILITIES!$B:$B,B37)</f>
        <v>0</v>
      </c>
      <c r="K37" s="146">
        <f>SUMIFS(FACILITIES!L:L,FACILITIES!$B:$B,B37)</f>
        <v>0</v>
      </c>
      <c r="L37" s="146">
        <f>SUMIFS(FACILITIES!M:M,FACILITIES!$B:$B,B37)</f>
        <v>0</v>
      </c>
      <c r="M37" s="146">
        <f>SUMIFS(FACILITIES!N:N,FACILITIES!$B:$B,B37)</f>
        <v>0</v>
      </c>
      <c r="N37" s="146">
        <f>SUMIFS(FACILITIES!O:O,FACILITIES!$B:$B,B37)</f>
        <v>0</v>
      </c>
      <c r="O37" s="146">
        <f>SUMIFS(FACILITIES!P:P,FACILITIES!$B:$B,B37)</f>
        <v>0</v>
      </c>
      <c r="P37" s="146">
        <f>SUMIFS(FACILITIES!Q:Q,FACILITIES!$B:$B,B37)</f>
        <v>0</v>
      </c>
      <c r="Q37" s="146">
        <f>SUMIFS(FACILITIES!R:R,FACILITIES!$B:$B,B37)</f>
        <v>0</v>
      </c>
      <c r="R37" s="146">
        <f>SUMIFS(FACILITIES!T:T,FACILITIES!B:B,B37)</f>
        <v>0</v>
      </c>
      <c r="S37" s="146">
        <f>SUMIFS(FACILITIES!S:S,FACILITIES!B:B,B37)</f>
        <v>0</v>
      </c>
      <c r="T37" s="146">
        <f>SUMIFS('F &amp; B'!G:G,'F &amp; B'!B:B,B37)</f>
        <v>7850</v>
      </c>
      <c r="U37" s="210">
        <f t="shared" si="1"/>
        <v>1177.5</v>
      </c>
      <c r="V37" s="146">
        <f>SUMIFS('FIXED AMOUNT'!G:G,'FIXED AMOUNT'!B:B,B37)</f>
        <v>7000</v>
      </c>
      <c r="W37" s="124">
        <f t="shared" si="5"/>
        <v>18327.5</v>
      </c>
      <c r="X37" s="124">
        <f>SUMIFS('FIXED AMOUNT'!E:E,'FIXED AMOUNT'!B:B,'data base '!B:B)</f>
        <v>0</v>
      </c>
      <c r="Y37" s="124">
        <f>SUMIFS('FIXED AMOUNT'!F:F,'FIXED AMOUNT'!B:B,'data base '!B:B)</f>
        <v>0</v>
      </c>
      <c r="Z37" s="124">
        <f>SUMIFS('FIXED AMOUNT'!V:V,'FIXED AMOUNT'!B:B,B:B)</f>
        <v>0</v>
      </c>
      <c r="AA37" s="124">
        <f t="shared" si="2"/>
        <v>18327.5</v>
      </c>
      <c r="AB37" s="207">
        <f t="shared" si="3"/>
        <v>1832.75</v>
      </c>
      <c r="AC37" s="204">
        <v>45945</v>
      </c>
      <c r="AD37" s="124">
        <f t="shared" si="4"/>
        <v>20160.25</v>
      </c>
      <c r="AE37" s="208"/>
    </row>
    <row r="38" spans="1:31">
      <c r="A38">
        <v>37</v>
      </c>
      <c r="B38" t="s">
        <v>182</v>
      </c>
      <c r="C38" t="s">
        <v>183</v>
      </c>
      <c r="D38" s="146">
        <f>SUMIFS(FACILITIES!E:E,FACILITIES!$B:$B,B38)</f>
        <v>2400</v>
      </c>
      <c r="E38" s="146">
        <f>SUMIFS(FACILITIES!F:F,FACILITIES!$B:$B,$B38)</f>
        <v>0</v>
      </c>
      <c r="F38" s="146">
        <f>SUMIFS(FACILITIES!G:G,FACILITIES!$B:$B,B38)</f>
        <v>0</v>
      </c>
      <c r="G38" s="146">
        <f>SUMIFS(FACILITIES!H:H,FACILITIES!$B:$B,B38)</f>
        <v>0</v>
      </c>
      <c r="H38" s="146">
        <f>SUMIFS(FACILITIES!I:I,FACILITIES!$B:$B,B38)</f>
        <v>0</v>
      </c>
      <c r="I38" s="146">
        <f>SUMIFS(FACILITIES!J:J,FACILITIES!$B:$B,B38)</f>
        <v>1000</v>
      </c>
      <c r="J38" s="146">
        <f>SUMIFS(FACILITIES!K:K,FACILITIES!$B:$B,B38)</f>
        <v>0</v>
      </c>
      <c r="K38" s="146">
        <f>SUMIFS(FACILITIES!L:L,FACILITIES!$B:$B,B38)</f>
        <v>0</v>
      </c>
      <c r="L38" s="146">
        <f>SUMIFS(FACILITIES!M:M,FACILITIES!$B:$B,B38)</f>
        <v>0</v>
      </c>
      <c r="M38" s="146">
        <f>SUMIFS(FACILITIES!N:N,FACILITIES!$B:$B,B38)</f>
        <v>0</v>
      </c>
      <c r="N38" s="146">
        <f>SUMIFS(FACILITIES!O:O,FACILITIES!$B:$B,B38)</f>
        <v>0</v>
      </c>
      <c r="O38" s="146">
        <f>SUMIFS(FACILITIES!P:P,FACILITIES!$B:$B,B38)</f>
        <v>0</v>
      </c>
      <c r="P38" s="146">
        <f>SUMIFS(FACILITIES!Q:Q,FACILITIES!$B:$B,B38)</f>
        <v>0</v>
      </c>
      <c r="Q38" s="146">
        <f>SUMIFS(FACILITIES!R:R,FACILITIES!$B:$B,B38)</f>
        <v>0</v>
      </c>
      <c r="R38" s="146">
        <f>SUMIFS(FACILITIES!T:T,FACILITIES!B:B,B38)</f>
        <v>0</v>
      </c>
      <c r="S38" s="146">
        <f>SUMIFS(FACILITIES!S:S,FACILITIES!B:B,B38)</f>
        <v>0</v>
      </c>
      <c r="T38" s="146">
        <f>SUMIFS('F &amp; B'!G:G,'F &amp; B'!B:B,B38)</f>
        <v>1050</v>
      </c>
      <c r="U38" s="210">
        <f t="shared" si="1"/>
        <v>157.5</v>
      </c>
      <c r="V38" s="146">
        <f>SUMIFS('FIXED AMOUNT'!G:G,'FIXED AMOUNT'!B:B,B38)</f>
        <v>7000</v>
      </c>
      <c r="W38" s="124">
        <f t="shared" si="5"/>
        <v>11607.5</v>
      </c>
      <c r="X38" s="124">
        <f>SUMIFS('FIXED AMOUNT'!E:E,'FIXED AMOUNT'!B:B,'data base '!B:B)</f>
        <v>0</v>
      </c>
      <c r="Y38" s="124">
        <f>SUMIFS('FIXED AMOUNT'!F:F,'FIXED AMOUNT'!B:B,'data base '!B:B)</f>
        <v>0</v>
      </c>
      <c r="Z38" s="124">
        <f>SUMIFS('FIXED AMOUNT'!V:V,'FIXED AMOUNT'!B:B,B:B)</f>
        <v>36261</v>
      </c>
      <c r="AA38" s="124">
        <f t="shared" si="2"/>
        <v>47868.5</v>
      </c>
      <c r="AB38" s="207">
        <f t="shared" si="3"/>
        <v>1160.75</v>
      </c>
      <c r="AC38" s="204">
        <v>45945</v>
      </c>
      <c r="AD38" s="124">
        <f t="shared" si="4"/>
        <v>49029.25</v>
      </c>
      <c r="AE38" s="208"/>
    </row>
    <row r="39" spans="1:31">
      <c r="A39">
        <v>38</v>
      </c>
      <c r="B39" t="s">
        <v>187</v>
      </c>
      <c r="C39" t="s">
        <v>188</v>
      </c>
      <c r="D39" s="146">
        <f>SUMIFS(FACILITIES!E:E,FACILITIES!$B:$B,B39)</f>
        <v>1200</v>
      </c>
      <c r="E39" s="146">
        <f>SUMIFS(FACILITIES!F:F,FACILITIES!$B:$B,$B39)</f>
        <v>0</v>
      </c>
      <c r="F39" s="146">
        <f>SUMIFS(FACILITIES!G:G,FACILITIES!$B:$B,B39)</f>
        <v>0</v>
      </c>
      <c r="G39" s="146">
        <f>SUMIFS(FACILITIES!H:H,FACILITIES!$B:$B,B39)</f>
        <v>0</v>
      </c>
      <c r="H39" s="146">
        <f>SUMIFS(FACILITIES!I:I,FACILITIES!$B:$B,B39)</f>
        <v>0</v>
      </c>
      <c r="I39" s="146">
        <f>SUMIFS(FACILITIES!J:J,FACILITIES!$B:$B,B39)</f>
        <v>0</v>
      </c>
      <c r="J39" s="146">
        <f>SUMIFS(FACILITIES!K:K,FACILITIES!$B:$B,B39)</f>
        <v>900</v>
      </c>
      <c r="K39" s="146">
        <f>SUMIFS(FACILITIES!L:L,FACILITIES!$B:$B,B39)</f>
        <v>0</v>
      </c>
      <c r="L39" s="146">
        <f>SUMIFS(FACILITIES!M:M,FACILITIES!$B:$B,B39)</f>
        <v>0</v>
      </c>
      <c r="M39" s="146">
        <f>SUMIFS(FACILITIES!N:N,FACILITIES!$B:$B,B39)</f>
        <v>0</v>
      </c>
      <c r="N39" s="146">
        <f>SUMIFS(FACILITIES!O:O,FACILITIES!$B:$B,B39)</f>
        <v>0</v>
      </c>
      <c r="O39" s="146">
        <f>SUMIFS(FACILITIES!P:P,FACILITIES!$B:$B,B39)</f>
        <v>0</v>
      </c>
      <c r="P39" s="146">
        <f>SUMIFS(FACILITIES!Q:Q,FACILITIES!$B:$B,B39)</f>
        <v>0</v>
      </c>
      <c r="Q39" s="146">
        <f>SUMIFS(FACILITIES!R:R,FACILITIES!$B:$B,B39)</f>
        <v>0</v>
      </c>
      <c r="R39" s="146">
        <f>SUMIFS(FACILITIES!T:T,FACILITIES!B:B,B39)</f>
        <v>0</v>
      </c>
      <c r="S39" s="146">
        <f>SUMIFS(FACILITIES!S:S,FACILITIES!B:B,B39)</f>
        <v>0</v>
      </c>
      <c r="T39" s="146">
        <f>SUMIFS('F &amp; B'!G:G,'F &amp; B'!B:B,B39)</f>
        <v>43074</v>
      </c>
      <c r="U39" s="210">
        <f t="shared" si="1"/>
        <v>6461.0999999999995</v>
      </c>
      <c r="V39" s="146">
        <f>SUMIFS('FIXED AMOUNT'!G:G,'FIXED AMOUNT'!B:B,B39)</f>
        <v>7000</v>
      </c>
      <c r="W39" s="124">
        <f t="shared" si="5"/>
        <v>58635.1</v>
      </c>
      <c r="X39" s="124">
        <f>SUMIFS('FIXED AMOUNT'!E:E,'FIXED AMOUNT'!B:B,'data base '!B:B)</f>
        <v>0</v>
      </c>
      <c r="Y39" s="124">
        <f>SUMIFS('FIXED AMOUNT'!F:F,'FIXED AMOUNT'!B:B,'data base '!B:B)</f>
        <v>0</v>
      </c>
      <c r="Z39" s="124">
        <f>SUMIFS('FIXED AMOUNT'!V:V,'FIXED AMOUNT'!B:B,B:B)</f>
        <v>0</v>
      </c>
      <c r="AA39" s="124">
        <f t="shared" si="2"/>
        <v>58635.1</v>
      </c>
      <c r="AB39" s="207">
        <f t="shared" si="3"/>
        <v>5863.51</v>
      </c>
      <c r="AC39" s="204">
        <v>45945</v>
      </c>
      <c r="AD39" s="124">
        <f t="shared" si="4"/>
        <v>64498.61</v>
      </c>
      <c r="AE39" s="208"/>
    </row>
    <row r="40" spans="1:31">
      <c r="A40">
        <v>39</v>
      </c>
      <c r="B40" t="s">
        <v>192</v>
      </c>
      <c r="C40" t="s">
        <v>193</v>
      </c>
      <c r="D40" s="146">
        <f>SUMIFS(FACILITIES!E:E,FACILITIES!$B:$B,B40)</f>
        <v>4200</v>
      </c>
      <c r="E40" s="146">
        <f>SUMIFS(FACILITIES!F:F,FACILITIES!$B:$B,$B40)</f>
        <v>600</v>
      </c>
      <c r="F40" s="146">
        <f>SUMIFS(FACILITIES!G:G,FACILITIES!$B:$B,B40)</f>
        <v>0</v>
      </c>
      <c r="G40" s="146">
        <f>SUMIFS(FACILITIES!H:H,FACILITIES!$B:$B,B40)</f>
        <v>300</v>
      </c>
      <c r="H40" s="146">
        <f>SUMIFS(FACILITIES!I:I,FACILITIES!$B:$B,B40)</f>
        <v>300</v>
      </c>
      <c r="I40" s="146">
        <f>SUMIFS(FACILITIES!J:J,FACILITIES!$B:$B,B40)</f>
        <v>13100</v>
      </c>
      <c r="J40" s="146">
        <f>SUMIFS(FACILITIES!K:K,FACILITIES!$B:$B,B40)</f>
        <v>2700</v>
      </c>
      <c r="K40" s="146">
        <f>SUMIFS(FACILITIES!L:L,FACILITIES!$B:$B,B40)</f>
        <v>0</v>
      </c>
      <c r="L40" s="146">
        <f>SUMIFS(FACILITIES!M:M,FACILITIES!$B:$B,B40)</f>
        <v>0</v>
      </c>
      <c r="M40" s="146">
        <f>SUMIFS(FACILITIES!N:N,FACILITIES!$B:$B,B40)</f>
        <v>0</v>
      </c>
      <c r="N40" s="146">
        <f>SUMIFS(FACILITIES!O:O,FACILITIES!$B:$B,B40)</f>
        <v>0</v>
      </c>
      <c r="O40" s="146">
        <f>SUMIFS(FACILITIES!P:P,FACILITIES!$B:$B,B40)</f>
        <v>0</v>
      </c>
      <c r="P40" s="146">
        <f>SUMIFS(FACILITIES!Q:Q,FACILITIES!$B:$B,B40)</f>
        <v>0</v>
      </c>
      <c r="Q40" s="146">
        <f>SUMIFS(FACILITIES!R:R,FACILITIES!$B:$B,B40)</f>
        <v>0</v>
      </c>
      <c r="R40" s="146">
        <f>SUMIFS(FACILITIES!T:T,FACILITIES!B:B,B40)</f>
        <v>4500</v>
      </c>
      <c r="S40" s="146">
        <f>SUMIFS(FACILITIES!S:S,FACILITIES!B:B,B40)</f>
        <v>0</v>
      </c>
      <c r="T40" s="146">
        <f>SUMIFS('F &amp; B'!G:G,'F &amp; B'!B:B,B40)</f>
        <v>48575</v>
      </c>
      <c r="U40" s="210">
        <f t="shared" si="1"/>
        <v>7286.25</v>
      </c>
      <c r="V40" s="146">
        <f>SUMIFS('FIXED AMOUNT'!G:G,'FIXED AMOUNT'!B:B,B40)</f>
        <v>7000</v>
      </c>
      <c r="W40" s="124">
        <f t="shared" si="5"/>
        <v>88561.25</v>
      </c>
      <c r="X40" s="124">
        <f>SUMIFS('FIXED AMOUNT'!E:E,'FIXED AMOUNT'!B:B,'data base '!B:B)</f>
        <v>0</v>
      </c>
      <c r="Y40" s="124">
        <f>SUMIFS('FIXED AMOUNT'!F:F,'FIXED AMOUNT'!B:B,'data base '!B:B)</f>
        <v>0</v>
      </c>
      <c r="Z40" s="124">
        <f>SUMIFS('FIXED AMOUNT'!V:V,'FIXED AMOUNT'!B:B,B:B)</f>
        <v>0</v>
      </c>
      <c r="AA40" s="124">
        <f t="shared" si="2"/>
        <v>88561.25</v>
      </c>
      <c r="AB40" s="207">
        <f t="shared" si="3"/>
        <v>8856.125</v>
      </c>
      <c r="AC40" s="204">
        <v>45945</v>
      </c>
      <c r="AD40" s="124">
        <f t="shared" si="4"/>
        <v>97417.375</v>
      </c>
      <c r="AE40" s="208"/>
    </row>
    <row r="41" spans="1:31">
      <c r="A41">
        <v>40</v>
      </c>
      <c r="B41" t="s">
        <v>197</v>
      </c>
      <c r="C41" t="s">
        <v>198</v>
      </c>
      <c r="D41" s="146">
        <f>SUMIFS(FACILITIES!E:E,FACILITIES!$B:$B,B41)</f>
        <v>0</v>
      </c>
      <c r="E41" s="146">
        <f>SUMIFS(FACILITIES!F:F,FACILITIES!$B:$B,$B41)</f>
        <v>1350</v>
      </c>
      <c r="F41" s="146">
        <f>SUMIFS(FACILITIES!G:G,FACILITIES!$B:$B,B41)</f>
        <v>0</v>
      </c>
      <c r="G41" s="146">
        <f>SUMIFS(FACILITIES!H:H,FACILITIES!$B:$B,B41)</f>
        <v>0</v>
      </c>
      <c r="H41" s="146">
        <f>SUMIFS(FACILITIES!I:I,FACILITIES!$B:$B,B41)</f>
        <v>0</v>
      </c>
      <c r="I41" s="146">
        <f>SUMIFS(FACILITIES!J:J,FACILITIES!$B:$B,B41)</f>
        <v>0</v>
      </c>
      <c r="J41" s="146">
        <f>SUMIFS(FACILITIES!K:K,FACILITIES!$B:$B,B41)</f>
        <v>0</v>
      </c>
      <c r="K41" s="146">
        <f>SUMIFS(FACILITIES!L:L,FACILITIES!$B:$B,B41)</f>
        <v>0</v>
      </c>
      <c r="L41" s="146">
        <f>SUMIFS(FACILITIES!M:M,FACILITIES!$B:$B,B41)</f>
        <v>0</v>
      </c>
      <c r="M41" s="146">
        <f>SUMIFS(FACILITIES!N:N,FACILITIES!$B:$B,B41)</f>
        <v>0</v>
      </c>
      <c r="N41" s="146">
        <f>SUMIFS(FACILITIES!O:O,FACILITIES!$B:$B,B41)</f>
        <v>0</v>
      </c>
      <c r="O41" s="146">
        <f>SUMIFS(FACILITIES!P:P,FACILITIES!$B:$B,B41)</f>
        <v>0</v>
      </c>
      <c r="P41" s="146">
        <f>SUMIFS(FACILITIES!Q:Q,FACILITIES!$B:$B,B41)</f>
        <v>0</v>
      </c>
      <c r="Q41" s="146">
        <f>SUMIFS(FACILITIES!R:R,FACILITIES!$B:$B,B41)</f>
        <v>0</v>
      </c>
      <c r="R41" s="146">
        <f>SUMIFS(FACILITIES!T:T,FACILITIES!B:B,B41)</f>
        <v>0</v>
      </c>
      <c r="S41" s="146">
        <f>SUMIFS(FACILITIES!S:S,FACILITIES!B:B,B41)</f>
        <v>0</v>
      </c>
      <c r="T41" s="146">
        <f>SUMIFS('F &amp; B'!G:G,'F &amp; B'!B:B,B41)</f>
        <v>5440</v>
      </c>
      <c r="U41" s="210">
        <f t="shared" si="1"/>
        <v>816</v>
      </c>
      <c r="V41" s="146">
        <f>SUMIFS('FIXED AMOUNT'!G:G,'FIXED AMOUNT'!B:B,B41)</f>
        <v>7000</v>
      </c>
      <c r="W41" s="124">
        <f t="shared" si="5"/>
        <v>14606</v>
      </c>
      <c r="X41" s="124">
        <f>SUMIFS('FIXED AMOUNT'!E:E,'FIXED AMOUNT'!B:B,'data base '!B:B)</f>
        <v>0</v>
      </c>
      <c r="Y41" s="124">
        <f>SUMIFS('FIXED AMOUNT'!F:F,'FIXED AMOUNT'!B:B,'data base '!B:B)</f>
        <v>0</v>
      </c>
      <c r="Z41" s="124">
        <f>SUMIFS('FIXED AMOUNT'!V:V,'FIXED AMOUNT'!B:B,B:B)</f>
        <v>0</v>
      </c>
      <c r="AA41" s="124">
        <f t="shared" si="2"/>
        <v>14606</v>
      </c>
      <c r="AB41" s="207">
        <f t="shared" si="3"/>
        <v>1460.6000000000001</v>
      </c>
      <c r="AC41" s="204">
        <v>45945</v>
      </c>
      <c r="AD41" s="124">
        <f t="shared" si="4"/>
        <v>16066.6</v>
      </c>
      <c r="AE41" s="208"/>
    </row>
    <row r="42" spans="1:31">
      <c r="A42">
        <v>41</v>
      </c>
      <c r="B42" t="s">
        <v>202</v>
      </c>
      <c r="C42" t="s">
        <v>203</v>
      </c>
      <c r="D42" s="146">
        <f>SUMIFS(FACILITIES!E:E,FACILITIES!$B:$B,B42)</f>
        <v>900</v>
      </c>
      <c r="E42" s="146">
        <f>SUMIFS(FACILITIES!F:F,FACILITIES!$B:$B,$B42)</f>
        <v>0</v>
      </c>
      <c r="F42" s="146">
        <f>SUMIFS(FACILITIES!G:G,FACILITIES!$B:$B,B42)</f>
        <v>0</v>
      </c>
      <c r="G42" s="146">
        <f>SUMIFS(FACILITIES!H:H,FACILITIES!$B:$B,B42)</f>
        <v>0</v>
      </c>
      <c r="H42" s="146">
        <f>SUMIFS(FACILITIES!I:I,FACILITIES!$B:$B,B42)</f>
        <v>0</v>
      </c>
      <c r="I42" s="146">
        <f>SUMIFS(FACILITIES!J:J,FACILITIES!$B:$B,B42)</f>
        <v>0</v>
      </c>
      <c r="J42" s="146">
        <f>SUMIFS(FACILITIES!K:K,FACILITIES!$B:$B,B42)</f>
        <v>0</v>
      </c>
      <c r="K42" s="146">
        <f>SUMIFS(FACILITIES!L:L,FACILITIES!$B:$B,B42)</f>
        <v>0</v>
      </c>
      <c r="L42" s="146">
        <f>SUMIFS(FACILITIES!M:M,FACILITIES!$B:$B,B42)</f>
        <v>0</v>
      </c>
      <c r="M42" s="146">
        <f>SUMIFS(FACILITIES!N:N,FACILITIES!$B:$B,B42)</f>
        <v>0</v>
      </c>
      <c r="N42" s="146">
        <f>SUMIFS(FACILITIES!O:O,FACILITIES!$B:$B,B42)</f>
        <v>0</v>
      </c>
      <c r="O42" s="146">
        <f>SUMIFS(FACILITIES!P:P,FACILITIES!$B:$B,B42)</f>
        <v>0</v>
      </c>
      <c r="P42" s="146">
        <f>SUMIFS(FACILITIES!Q:Q,FACILITIES!$B:$B,B42)</f>
        <v>0</v>
      </c>
      <c r="Q42" s="146">
        <f>SUMIFS(FACILITIES!R:R,FACILITIES!$B:$B,B42)</f>
        <v>0</v>
      </c>
      <c r="R42" s="146">
        <f>SUMIFS(FACILITIES!T:T,FACILITIES!B:B,B42)</f>
        <v>0</v>
      </c>
      <c r="S42" s="146">
        <f>SUMIFS(FACILITIES!S:S,FACILITIES!B:B,B42)</f>
        <v>0</v>
      </c>
      <c r="T42" s="146">
        <f>SUMIFS('F &amp; B'!G:G,'F &amp; B'!B:B,B42)</f>
        <v>0</v>
      </c>
      <c r="U42" s="210">
        <f t="shared" si="1"/>
        <v>0</v>
      </c>
      <c r="V42" s="146">
        <f>SUMIFS('FIXED AMOUNT'!G:G,'FIXED AMOUNT'!B:B,B42)</f>
        <v>7000</v>
      </c>
      <c r="W42" s="124">
        <f t="shared" si="5"/>
        <v>7900</v>
      </c>
      <c r="X42" s="124">
        <f>SUMIFS('FIXED AMOUNT'!E:E,'FIXED AMOUNT'!B:B,'data base '!B:B)</f>
        <v>0</v>
      </c>
      <c r="Y42" s="124">
        <f>SUMIFS('FIXED AMOUNT'!F:F,'FIXED AMOUNT'!B:B,'data base '!B:B)</f>
        <v>0</v>
      </c>
      <c r="Z42" s="124">
        <f>SUMIFS('FIXED AMOUNT'!V:V,'FIXED AMOUNT'!B:B,B:B)</f>
        <v>58950</v>
      </c>
      <c r="AA42" s="124">
        <f t="shared" si="2"/>
        <v>66850</v>
      </c>
      <c r="AB42" s="207">
        <f t="shared" si="3"/>
        <v>790</v>
      </c>
      <c r="AC42" s="204">
        <v>45945</v>
      </c>
      <c r="AD42" s="124">
        <f t="shared" si="4"/>
        <v>67640</v>
      </c>
      <c r="AE42" s="208"/>
    </row>
    <row r="43" spans="1:31">
      <c r="A43">
        <v>42</v>
      </c>
      <c r="B43" t="s">
        <v>795</v>
      </c>
      <c r="C43" t="s">
        <v>796</v>
      </c>
      <c r="D43" s="146">
        <f>SUMIFS(FACILITIES!E:E,FACILITIES!$B:$B,B43)</f>
        <v>5700</v>
      </c>
      <c r="E43" s="146">
        <f>SUMIFS(FACILITIES!F:F,FACILITIES!$B:$B,$B43)</f>
        <v>0</v>
      </c>
      <c r="F43" s="146">
        <f>SUMIFS(FACILITIES!G:G,FACILITIES!$B:$B,B43)</f>
        <v>0</v>
      </c>
      <c r="G43" s="146">
        <f>SUMIFS(FACILITIES!H:H,FACILITIES!$B:$B,B43)</f>
        <v>0</v>
      </c>
      <c r="H43" s="146">
        <f>SUMIFS(FACILITIES!I:I,FACILITIES!$B:$B,B43)</f>
        <v>0</v>
      </c>
      <c r="I43" s="146">
        <f>SUMIFS(FACILITIES!J:J,FACILITIES!$B:$B,B43)</f>
        <v>1000</v>
      </c>
      <c r="J43" s="146">
        <f>SUMIFS(FACILITIES!K:K,FACILITIES!$B:$B,B43)</f>
        <v>1200</v>
      </c>
      <c r="K43" s="146">
        <f>SUMIFS(FACILITIES!L:L,FACILITIES!$B:$B,B43)</f>
        <v>0</v>
      </c>
      <c r="L43" s="146">
        <f>SUMIFS(FACILITIES!M:M,FACILITIES!$B:$B,B43)</f>
        <v>0</v>
      </c>
      <c r="M43" s="146">
        <f>SUMIFS(FACILITIES!N:N,FACILITIES!$B:$B,B43)</f>
        <v>0</v>
      </c>
      <c r="N43" s="146">
        <f>SUMIFS(FACILITIES!O:O,FACILITIES!$B:$B,B43)</f>
        <v>5500</v>
      </c>
      <c r="O43" s="146">
        <f>SUMIFS(FACILITIES!P:P,FACILITIES!$B:$B,B43)</f>
        <v>0</v>
      </c>
      <c r="P43" s="146">
        <f>SUMIFS(FACILITIES!Q:Q,FACILITIES!$B:$B,B43)</f>
        <v>0</v>
      </c>
      <c r="Q43" s="146">
        <f>SUMIFS(FACILITIES!R:R,FACILITIES!$B:$B,B43)</f>
        <v>0</v>
      </c>
      <c r="R43" s="146">
        <f>SUMIFS(FACILITIES!T:T,FACILITIES!B:B,B43)</f>
        <v>0</v>
      </c>
      <c r="S43" s="146">
        <f>SUMIFS(FACILITIES!S:S,FACILITIES!B:B,B43)</f>
        <v>0</v>
      </c>
      <c r="T43" s="146">
        <f>SUMIFS('F &amp; B'!G:G,'F &amp; B'!B:B,B43)</f>
        <v>40562</v>
      </c>
      <c r="U43" s="210">
        <f t="shared" si="1"/>
        <v>6084.3</v>
      </c>
      <c r="V43" s="146">
        <f>SUMIFS('FIXED AMOUNT'!G:G,'FIXED AMOUNT'!B:B,B43)</f>
        <v>7000</v>
      </c>
      <c r="W43" s="124">
        <f t="shared" si="5"/>
        <v>67046.3</v>
      </c>
      <c r="X43" s="124">
        <f>SUMIFS('FIXED AMOUNT'!E:E,'FIXED AMOUNT'!B:B,'data base '!B:B)</f>
        <v>0</v>
      </c>
      <c r="Y43" s="124">
        <f>SUMIFS('FIXED AMOUNT'!F:F,'FIXED AMOUNT'!B:B,'data base '!B:B)</f>
        <v>0</v>
      </c>
      <c r="Z43" s="124">
        <f>SUMIFS('FIXED AMOUNT'!V:V,'FIXED AMOUNT'!B:B,B:B)</f>
        <v>0</v>
      </c>
      <c r="AA43" s="124">
        <f t="shared" si="2"/>
        <v>67046.3</v>
      </c>
      <c r="AB43" s="207">
        <f t="shared" si="3"/>
        <v>6704.630000000001</v>
      </c>
      <c r="AC43" s="204">
        <v>45945</v>
      </c>
      <c r="AD43" s="124">
        <f t="shared" si="4"/>
        <v>73750.930000000008</v>
      </c>
      <c r="AE43" s="208"/>
    </row>
    <row r="44" spans="1:31">
      <c r="A44">
        <v>43</v>
      </c>
      <c r="B44" t="s">
        <v>207</v>
      </c>
      <c r="C44" t="s">
        <v>208</v>
      </c>
      <c r="D44" s="146">
        <f>SUMIFS(FACILITIES!E:E,FACILITIES!$B:$B,B44)</f>
        <v>0</v>
      </c>
      <c r="E44" s="146">
        <f>SUMIFS(FACILITIES!F:F,FACILITIES!$B:$B,$B44)</f>
        <v>0</v>
      </c>
      <c r="F44" s="146">
        <f>SUMIFS(FACILITIES!G:G,FACILITIES!$B:$B,B44)</f>
        <v>0</v>
      </c>
      <c r="G44" s="146">
        <f>SUMIFS(FACILITIES!H:H,FACILITIES!$B:$B,B44)</f>
        <v>0</v>
      </c>
      <c r="H44" s="146">
        <f>SUMIFS(FACILITIES!I:I,FACILITIES!$B:$B,B44)</f>
        <v>0</v>
      </c>
      <c r="I44" s="146">
        <f>SUMIFS(FACILITIES!J:J,FACILITIES!$B:$B,B44)</f>
        <v>0</v>
      </c>
      <c r="J44" s="146">
        <f>SUMIFS(FACILITIES!K:K,FACILITIES!$B:$B,B44)</f>
        <v>0</v>
      </c>
      <c r="K44" s="146">
        <f>SUMIFS(FACILITIES!L:L,FACILITIES!$B:$B,B44)</f>
        <v>0</v>
      </c>
      <c r="L44" s="146">
        <f>SUMIFS(FACILITIES!M:M,FACILITIES!$B:$B,B44)</f>
        <v>0</v>
      </c>
      <c r="M44" s="146">
        <f>SUMIFS(FACILITIES!N:N,FACILITIES!$B:$B,B44)</f>
        <v>0</v>
      </c>
      <c r="N44" s="146">
        <f>SUMIFS(FACILITIES!O:O,FACILITIES!$B:$B,B44)</f>
        <v>0</v>
      </c>
      <c r="O44" s="146">
        <f>SUMIFS(FACILITIES!P:P,FACILITIES!$B:$B,B44)</f>
        <v>300</v>
      </c>
      <c r="P44" s="146">
        <f>SUMIFS(FACILITIES!Q:Q,FACILITIES!$B:$B,B44)</f>
        <v>0</v>
      </c>
      <c r="Q44" s="146">
        <f>SUMIFS(FACILITIES!R:R,FACILITIES!$B:$B,B44)</f>
        <v>0</v>
      </c>
      <c r="R44" s="146">
        <f>SUMIFS(FACILITIES!T:T,FACILITIES!B:B,B44)</f>
        <v>0</v>
      </c>
      <c r="S44" s="146">
        <f>SUMIFS(FACILITIES!S:S,FACILITIES!B:B,B44)</f>
        <v>0</v>
      </c>
      <c r="T44" s="146">
        <f>SUMIFS('F &amp; B'!G:G,'F &amp; B'!B:B,B44)</f>
        <v>0</v>
      </c>
      <c r="U44" s="210">
        <f t="shared" si="1"/>
        <v>0</v>
      </c>
      <c r="V44" s="146">
        <f>SUMIFS('FIXED AMOUNT'!G:G,'FIXED AMOUNT'!B:B,B44)</f>
        <v>7000</v>
      </c>
      <c r="W44" s="124">
        <f t="shared" si="5"/>
        <v>7300</v>
      </c>
      <c r="X44" s="124">
        <f>SUMIFS('FIXED AMOUNT'!E:E,'FIXED AMOUNT'!B:B,'data base '!B:B)</f>
        <v>0</v>
      </c>
      <c r="Y44" s="124">
        <f>SUMIFS('FIXED AMOUNT'!F:F,'FIXED AMOUNT'!B:B,'data base '!B:B)</f>
        <v>0</v>
      </c>
      <c r="Z44" s="124">
        <f>SUMIFS('FIXED AMOUNT'!V:V,'FIXED AMOUNT'!B:B,B:B)</f>
        <v>0</v>
      </c>
      <c r="AA44" s="124">
        <f t="shared" si="2"/>
        <v>7300</v>
      </c>
      <c r="AB44" s="207">
        <f t="shared" si="3"/>
        <v>730</v>
      </c>
      <c r="AC44" s="204">
        <v>45945</v>
      </c>
      <c r="AD44" s="124">
        <f t="shared" si="4"/>
        <v>8030</v>
      </c>
      <c r="AE44" s="124"/>
    </row>
    <row r="45" spans="1:31">
      <c r="A45">
        <v>44</v>
      </c>
      <c r="B45" t="s">
        <v>212</v>
      </c>
      <c r="C45" t="s">
        <v>213</v>
      </c>
      <c r="D45" s="146">
        <f>SUMIFS(FACILITIES!E:E,FACILITIES!$B:$B,B45)</f>
        <v>0</v>
      </c>
      <c r="E45" s="146">
        <f>SUMIFS(FACILITIES!F:F,FACILITIES!$B:$B,$B45)</f>
        <v>0</v>
      </c>
      <c r="F45" s="146">
        <f>SUMIFS(FACILITIES!G:G,FACILITIES!$B:$B,B45)</f>
        <v>0</v>
      </c>
      <c r="G45" s="146">
        <f>SUMIFS(FACILITIES!H:H,FACILITIES!$B:$B,B45)</f>
        <v>0</v>
      </c>
      <c r="H45" s="146">
        <f>SUMIFS(FACILITIES!I:I,FACILITIES!$B:$B,B45)</f>
        <v>0</v>
      </c>
      <c r="I45" s="146">
        <f>SUMIFS(FACILITIES!J:J,FACILITIES!$B:$B,B45)</f>
        <v>0</v>
      </c>
      <c r="J45" s="146">
        <f>SUMIFS(FACILITIES!K:K,FACILITIES!$B:$B,B45)</f>
        <v>0</v>
      </c>
      <c r="K45" s="146">
        <f>SUMIFS(FACILITIES!L:L,FACILITIES!$B:$B,B45)</f>
        <v>0</v>
      </c>
      <c r="L45" s="146">
        <f>SUMIFS(FACILITIES!M:M,FACILITIES!$B:$B,B45)</f>
        <v>0</v>
      </c>
      <c r="M45" s="146">
        <f>SUMIFS(FACILITIES!N:N,FACILITIES!$B:$B,B45)</f>
        <v>0</v>
      </c>
      <c r="N45" s="146">
        <f>SUMIFS(FACILITIES!O:O,FACILITIES!$B:$B,B45)</f>
        <v>0</v>
      </c>
      <c r="O45" s="146">
        <f>SUMIFS(FACILITIES!P:P,FACILITIES!$B:$B,B45)</f>
        <v>0</v>
      </c>
      <c r="P45" s="146">
        <f>SUMIFS(FACILITIES!Q:Q,FACILITIES!$B:$B,B45)</f>
        <v>0</v>
      </c>
      <c r="Q45" s="146">
        <f>SUMIFS(FACILITIES!R:R,FACILITIES!$B:$B,B45)</f>
        <v>0</v>
      </c>
      <c r="R45" s="146">
        <f>SUMIFS(FACILITIES!T:T,FACILITIES!B:B,B45)</f>
        <v>0</v>
      </c>
      <c r="S45" s="146">
        <f>SUMIFS(FACILITIES!S:S,FACILITIES!B:B,B45)</f>
        <v>0</v>
      </c>
      <c r="T45" s="146">
        <f>SUMIFS('F &amp; B'!G:G,'F &amp; B'!B:B,B45)</f>
        <v>0</v>
      </c>
      <c r="U45" s="210">
        <f t="shared" si="1"/>
        <v>0</v>
      </c>
      <c r="V45" s="146">
        <f>SUMIFS('FIXED AMOUNT'!G:G,'FIXED AMOUNT'!B:B,B45)</f>
        <v>7000</v>
      </c>
      <c r="W45" s="124">
        <f t="shared" si="5"/>
        <v>7000</v>
      </c>
      <c r="X45" s="124">
        <f>SUMIFS('FIXED AMOUNT'!E:E,'FIXED AMOUNT'!B:B,'data base '!B:B)</f>
        <v>0</v>
      </c>
      <c r="Y45" s="124">
        <f>SUMIFS('FIXED AMOUNT'!F:F,'FIXED AMOUNT'!B:B,'data base '!B:B)</f>
        <v>0</v>
      </c>
      <c r="Z45" s="124">
        <f>SUMIFS('FIXED AMOUNT'!V:V,'FIXED AMOUNT'!B:B,B:B)</f>
        <v>33021</v>
      </c>
      <c r="AA45" s="124">
        <f t="shared" si="2"/>
        <v>40021</v>
      </c>
      <c r="AB45" s="207">
        <f t="shared" si="3"/>
        <v>700</v>
      </c>
      <c r="AC45" s="204">
        <v>45945</v>
      </c>
      <c r="AD45" s="124">
        <f t="shared" si="4"/>
        <v>40721</v>
      </c>
      <c r="AE45" s="124"/>
    </row>
    <row r="46" spans="1:31">
      <c r="A46">
        <v>45</v>
      </c>
      <c r="B46" t="s">
        <v>217</v>
      </c>
      <c r="C46" t="s">
        <v>218</v>
      </c>
      <c r="D46" s="146">
        <f>SUMIFS(FACILITIES!E:E,FACILITIES!$B:$B,B46)</f>
        <v>0</v>
      </c>
      <c r="E46" s="146">
        <f>SUMIFS(FACILITIES!F:F,FACILITIES!$B:$B,$B46)</f>
        <v>3150</v>
      </c>
      <c r="F46" s="146">
        <f>SUMIFS(FACILITIES!G:G,FACILITIES!$B:$B,B46)</f>
        <v>0</v>
      </c>
      <c r="G46" s="146">
        <f>SUMIFS(FACILITIES!H:H,FACILITIES!$B:$B,B46)</f>
        <v>0</v>
      </c>
      <c r="H46" s="146">
        <f>SUMIFS(FACILITIES!I:I,FACILITIES!$B:$B,B46)</f>
        <v>0</v>
      </c>
      <c r="I46" s="146">
        <f>SUMIFS(FACILITIES!J:J,FACILITIES!$B:$B,B46)</f>
        <v>600</v>
      </c>
      <c r="J46" s="146">
        <f>SUMIFS(FACILITIES!K:K,FACILITIES!$B:$B,B46)</f>
        <v>600</v>
      </c>
      <c r="K46" s="146">
        <f>SUMIFS(FACILITIES!L:L,FACILITIES!$B:$B,B46)</f>
        <v>0</v>
      </c>
      <c r="L46" s="146">
        <f>SUMIFS(FACILITIES!M:M,FACILITIES!$B:$B,B46)</f>
        <v>0</v>
      </c>
      <c r="M46" s="146">
        <f>SUMIFS(FACILITIES!N:N,FACILITIES!$B:$B,B46)</f>
        <v>0</v>
      </c>
      <c r="N46" s="146">
        <f>SUMIFS(FACILITIES!O:O,FACILITIES!$B:$B,B46)</f>
        <v>0</v>
      </c>
      <c r="O46" s="146">
        <f>SUMIFS(FACILITIES!P:P,FACILITIES!$B:$B,B46)</f>
        <v>0</v>
      </c>
      <c r="P46" s="146">
        <f>SUMIFS(FACILITIES!Q:Q,FACILITIES!$B:$B,B46)</f>
        <v>0</v>
      </c>
      <c r="Q46" s="146">
        <f>SUMIFS(FACILITIES!R:R,FACILITIES!$B:$B,B46)</f>
        <v>0</v>
      </c>
      <c r="R46" s="146">
        <f>SUMIFS(FACILITIES!T:T,FACILITIES!B:B,B46)</f>
        <v>4000</v>
      </c>
      <c r="S46" s="146">
        <f>SUMIFS(FACILITIES!S:S,FACILITIES!B:B,B46)</f>
        <v>0</v>
      </c>
      <c r="T46" s="146">
        <f>SUMIFS('F &amp; B'!G:G,'F &amp; B'!B:B,B46)</f>
        <v>9400</v>
      </c>
      <c r="U46" s="210">
        <f t="shared" si="1"/>
        <v>1410</v>
      </c>
      <c r="V46" s="146">
        <f>SUMIFS('FIXED AMOUNT'!G:G,'FIXED AMOUNT'!B:B,B46)</f>
        <v>7000</v>
      </c>
      <c r="W46" s="124">
        <f t="shared" si="5"/>
        <v>26160</v>
      </c>
      <c r="X46" s="124">
        <f>SUMIFS('FIXED AMOUNT'!E:E,'FIXED AMOUNT'!B:B,'data base '!B:B)</f>
        <v>0</v>
      </c>
      <c r="Y46" s="124">
        <f>SUMIFS('FIXED AMOUNT'!F:F,'FIXED AMOUNT'!B:B,'data base '!B:B)</f>
        <v>0</v>
      </c>
      <c r="Z46" s="124">
        <f>SUMIFS('FIXED AMOUNT'!V:V,'FIXED AMOUNT'!B:B,B:B)</f>
        <v>0</v>
      </c>
      <c r="AA46" s="124">
        <f t="shared" si="2"/>
        <v>26160</v>
      </c>
      <c r="AB46" s="207">
        <f t="shared" si="3"/>
        <v>2616</v>
      </c>
      <c r="AC46" s="204">
        <v>45945</v>
      </c>
      <c r="AD46" s="124">
        <f t="shared" si="4"/>
        <v>28776</v>
      </c>
      <c r="AE46" s="208"/>
    </row>
    <row r="47" spans="1:31">
      <c r="A47">
        <v>46</v>
      </c>
      <c r="B47" t="s">
        <v>221</v>
      </c>
      <c r="C47" t="s">
        <v>222</v>
      </c>
      <c r="D47" s="146">
        <f>SUMIFS(FACILITIES!E:E,FACILITIES!$B:$B,B47)</f>
        <v>2700</v>
      </c>
      <c r="E47" s="146">
        <f>SUMIFS(FACILITIES!F:F,FACILITIES!$B:$B,$B47)</f>
        <v>0</v>
      </c>
      <c r="F47" s="146">
        <f>SUMIFS(FACILITIES!G:G,FACILITIES!$B:$B,B47)</f>
        <v>0</v>
      </c>
      <c r="G47" s="146">
        <f>SUMIFS(FACILITIES!H:H,FACILITIES!$B:$B,B47)</f>
        <v>0</v>
      </c>
      <c r="H47" s="146">
        <f>SUMIFS(FACILITIES!I:I,FACILITIES!$B:$B,B47)</f>
        <v>0</v>
      </c>
      <c r="I47" s="146">
        <f>SUMIFS(FACILITIES!J:J,FACILITIES!$B:$B,B47)</f>
        <v>0</v>
      </c>
      <c r="J47" s="146">
        <f>SUMIFS(FACILITIES!K:K,FACILITIES!$B:$B,B47)</f>
        <v>0</v>
      </c>
      <c r="K47" s="146">
        <f>SUMIFS(FACILITIES!L:L,FACILITIES!$B:$B,B47)</f>
        <v>0</v>
      </c>
      <c r="L47" s="146">
        <f>SUMIFS(FACILITIES!M:M,FACILITIES!$B:$B,B47)</f>
        <v>0</v>
      </c>
      <c r="M47" s="146">
        <f>SUMIFS(FACILITIES!N:N,FACILITIES!$B:$B,B47)</f>
        <v>0</v>
      </c>
      <c r="N47" s="146">
        <f>SUMIFS(FACILITIES!O:O,FACILITIES!$B:$B,B47)</f>
        <v>0</v>
      </c>
      <c r="O47" s="146">
        <f>SUMIFS(FACILITIES!P:P,FACILITIES!$B:$B,B47)</f>
        <v>0</v>
      </c>
      <c r="P47" s="146">
        <f>SUMIFS(FACILITIES!Q:Q,FACILITIES!$B:$B,B47)</f>
        <v>0</v>
      </c>
      <c r="Q47" s="146">
        <f>SUMIFS(FACILITIES!R:R,FACILITIES!$B:$B,B47)</f>
        <v>0</v>
      </c>
      <c r="R47" s="146">
        <f>SUMIFS(FACILITIES!T:T,FACILITIES!B:B,B47)</f>
        <v>0</v>
      </c>
      <c r="S47" s="146">
        <f>SUMIFS(FACILITIES!S:S,FACILITIES!B:B,B47)</f>
        <v>0</v>
      </c>
      <c r="T47" s="146">
        <f>SUMIFS('F &amp; B'!G:G,'F &amp; B'!B:B,B47)</f>
        <v>15807</v>
      </c>
      <c r="U47" s="210">
        <f t="shared" si="1"/>
        <v>2371.0499999999997</v>
      </c>
      <c r="V47" s="146">
        <f>SUMIFS('FIXED AMOUNT'!G:G,'FIXED AMOUNT'!B:B,B47)</f>
        <v>7000</v>
      </c>
      <c r="W47" s="124">
        <f t="shared" si="5"/>
        <v>27878.05</v>
      </c>
      <c r="X47" s="124">
        <f>SUMIFS('FIXED AMOUNT'!E:E,'FIXED AMOUNT'!B:B,'data base '!B:B)</f>
        <v>0</v>
      </c>
      <c r="Y47" s="124">
        <f>SUMIFS('FIXED AMOUNT'!F:F,'FIXED AMOUNT'!B:B,'data base '!B:B)</f>
        <v>0</v>
      </c>
      <c r="Z47" s="124">
        <f>SUMIFS('FIXED AMOUNT'!V:V,'FIXED AMOUNT'!B:B,B:B)</f>
        <v>9023</v>
      </c>
      <c r="AA47" s="124">
        <f t="shared" si="2"/>
        <v>36901.050000000003</v>
      </c>
      <c r="AB47" s="207">
        <f t="shared" si="3"/>
        <v>2787.8050000000003</v>
      </c>
      <c r="AC47" s="204">
        <v>45945</v>
      </c>
      <c r="AD47" s="124">
        <f t="shared" si="4"/>
        <v>39688.855000000003</v>
      </c>
      <c r="AE47" s="208"/>
    </row>
    <row r="48" spans="1:31">
      <c r="A48">
        <v>47</v>
      </c>
      <c r="B48" t="s">
        <v>226</v>
      </c>
      <c r="C48" t="s">
        <v>227</v>
      </c>
      <c r="D48" s="146">
        <f>SUMIFS(FACILITIES!E:E,FACILITIES!$B:$B,B48)</f>
        <v>0</v>
      </c>
      <c r="E48" s="146">
        <f>SUMIFS(FACILITIES!F:F,FACILITIES!$B:$B,$B48)</f>
        <v>150</v>
      </c>
      <c r="F48" s="146">
        <f>SUMIFS(FACILITIES!G:G,FACILITIES!$B:$B,B48)</f>
        <v>0</v>
      </c>
      <c r="G48" s="146">
        <f>SUMIFS(FACILITIES!H:H,FACILITIES!$B:$B,B48)</f>
        <v>0</v>
      </c>
      <c r="H48" s="146">
        <f>SUMIFS(FACILITIES!I:I,FACILITIES!$B:$B,B48)</f>
        <v>0</v>
      </c>
      <c r="I48" s="146">
        <f>SUMIFS(FACILITIES!J:J,FACILITIES!$B:$B,B48)</f>
        <v>2100</v>
      </c>
      <c r="J48" s="146">
        <f>SUMIFS(FACILITIES!K:K,FACILITIES!$B:$B,B48)</f>
        <v>0</v>
      </c>
      <c r="K48" s="146">
        <f>SUMIFS(FACILITIES!L:L,FACILITIES!$B:$B,B48)</f>
        <v>0</v>
      </c>
      <c r="L48" s="146">
        <f>SUMIFS(FACILITIES!M:M,FACILITIES!$B:$B,B48)</f>
        <v>0</v>
      </c>
      <c r="M48" s="146">
        <f>SUMIFS(FACILITIES!N:N,FACILITIES!$B:$B,B48)</f>
        <v>0</v>
      </c>
      <c r="N48" s="146">
        <f>SUMIFS(FACILITIES!O:O,FACILITIES!$B:$B,B48)</f>
        <v>0</v>
      </c>
      <c r="O48" s="146">
        <f>SUMIFS(FACILITIES!P:P,FACILITIES!$B:$B,B48)</f>
        <v>0</v>
      </c>
      <c r="P48" s="146">
        <f>SUMIFS(FACILITIES!Q:Q,FACILITIES!$B:$B,B48)</f>
        <v>0</v>
      </c>
      <c r="Q48" s="146">
        <f>SUMIFS(FACILITIES!R:R,FACILITIES!$B:$B,B48)</f>
        <v>0</v>
      </c>
      <c r="R48" s="146">
        <f>SUMIFS(FACILITIES!T:T,FACILITIES!B:B,B48)</f>
        <v>0</v>
      </c>
      <c r="S48" s="146">
        <f>SUMIFS(FACILITIES!S:S,FACILITIES!B:B,B48)</f>
        <v>0</v>
      </c>
      <c r="T48" s="146">
        <f>SUMIFS('F &amp; B'!G:G,'F &amp; B'!B:B,B48)</f>
        <v>27850</v>
      </c>
      <c r="U48" s="210">
        <f t="shared" si="1"/>
        <v>4177.5</v>
      </c>
      <c r="V48" s="146">
        <f>SUMIFS('FIXED AMOUNT'!G:G,'FIXED AMOUNT'!B:B,B48)</f>
        <v>7000</v>
      </c>
      <c r="W48" s="124">
        <f t="shared" si="5"/>
        <v>41277.5</v>
      </c>
      <c r="X48" s="124">
        <f>SUMIFS('FIXED AMOUNT'!E:E,'FIXED AMOUNT'!B:B,'data base '!B:B)</f>
        <v>0</v>
      </c>
      <c r="Y48" s="124">
        <f>SUMIFS('FIXED AMOUNT'!F:F,'FIXED AMOUNT'!B:B,'data base '!B:B)</f>
        <v>0</v>
      </c>
      <c r="Z48" s="124">
        <f>SUMIFS('FIXED AMOUNT'!V:V,'FIXED AMOUNT'!B:B,B:B)</f>
        <v>0</v>
      </c>
      <c r="AA48" s="124">
        <f t="shared" si="2"/>
        <v>41277.5</v>
      </c>
      <c r="AB48" s="207">
        <f t="shared" si="3"/>
        <v>4127.75</v>
      </c>
      <c r="AC48" s="204">
        <v>45945</v>
      </c>
      <c r="AD48" s="124">
        <f t="shared" si="4"/>
        <v>45405.25</v>
      </c>
      <c r="AE48" s="208"/>
    </row>
    <row r="49" spans="1:31">
      <c r="A49">
        <v>48</v>
      </c>
      <c r="B49" t="s">
        <v>230</v>
      </c>
      <c r="C49" t="s">
        <v>231</v>
      </c>
      <c r="D49" s="146">
        <f>SUMIFS(FACILITIES!E:E,FACILITIES!$B:$B,B49)</f>
        <v>0</v>
      </c>
      <c r="E49" s="146">
        <f>SUMIFS(FACILITIES!F:F,FACILITIES!$B:$B,$B49)</f>
        <v>0</v>
      </c>
      <c r="F49" s="146">
        <f>SUMIFS(FACILITIES!G:G,FACILITIES!$B:$B,B49)</f>
        <v>0</v>
      </c>
      <c r="G49" s="146">
        <f>SUMIFS(FACILITIES!H:H,FACILITIES!$B:$B,B49)</f>
        <v>0</v>
      </c>
      <c r="H49" s="146">
        <f>SUMIFS(FACILITIES!I:I,FACILITIES!$B:$B,B49)</f>
        <v>0</v>
      </c>
      <c r="I49" s="146">
        <f>SUMIFS(FACILITIES!J:J,FACILITIES!$B:$B,B49)</f>
        <v>0</v>
      </c>
      <c r="J49" s="146">
        <f>SUMIFS(FACILITIES!K:K,FACILITIES!$B:$B,B49)</f>
        <v>0</v>
      </c>
      <c r="K49" s="146">
        <f>SUMIFS(FACILITIES!L:L,FACILITIES!$B:$B,B49)</f>
        <v>0</v>
      </c>
      <c r="L49" s="146">
        <f>SUMIFS(FACILITIES!M:M,FACILITIES!$B:$B,B49)</f>
        <v>0</v>
      </c>
      <c r="M49" s="146">
        <f>SUMIFS(FACILITIES!N:N,FACILITIES!$B:$B,B49)</f>
        <v>0</v>
      </c>
      <c r="N49" s="146">
        <f>SUMIFS(FACILITIES!O:O,FACILITIES!$B:$B,B49)</f>
        <v>0</v>
      </c>
      <c r="O49" s="146">
        <f>SUMIFS(FACILITIES!P:P,FACILITIES!$B:$B,B49)</f>
        <v>0</v>
      </c>
      <c r="P49" s="146">
        <f>SUMIFS(FACILITIES!Q:Q,FACILITIES!$B:$B,B49)</f>
        <v>0</v>
      </c>
      <c r="Q49" s="146">
        <f>SUMIFS(FACILITIES!R:R,FACILITIES!$B:$B,B49)</f>
        <v>0</v>
      </c>
      <c r="R49" s="146">
        <f>SUMIFS(FACILITIES!T:T,FACILITIES!B:B,B49)</f>
        <v>0</v>
      </c>
      <c r="S49" s="146">
        <f>SUMIFS(FACILITIES!S:S,FACILITIES!B:B,B49)</f>
        <v>0</v>
      </c>
      <c r="T49" s="146">
        <f>SUMIFS('F &amp; B'!G:G,'F &amp; B'!B:B,B49)</f>
        <v>21050</v>
      </c>
      <c r="U49" s="210">
        <f t="shared" si="1"/>
        <v>3157.5</v>
      </c>
      <c r="V49" s="146">
        <f>SUMIFS('FIXED AMOUNT'!G:G,'FIXED AMOUNT'!B:B,B49)</f>
        <v>7000</v>
      </c>
      <c r="W49" s="124">
        <f t="shared" si="5"/>
        <v>31207.5</v>
      </c>
      <c r="X49" s="124">
        <f>SUMIFS('FIXED AMOUNT'!E:E,'FIXED AMOUNT'!B:B,'data base '!B:B)</f>
        <v>0</v>
      </c>
      <c r="Y49" s="124">
        <f>SUMIFS('FIXED AMOUNT'!F:F,'FIXED AMOUNT'!B:B,'data base '!B:B)</f>
        <v>0</v>
      </c>
      <c r="Z49" s="124">
        <f>SUMIFS('FIXED AMOUNT'!V:V,'FIXED AMOUNT'!B:B,B:B)</f>
        <v>0</v>
      </c>
      <c r="AA49" s="124">
        <f t="shared" si="2"/>
        <v>31207.5</v>
      </c>
      <c r="AB49" s="207">
        <f t="shared" si="3"/>
        <v>3120.75</v>
      </c>
      <c r="AC49" s="204">
        <v>45945</v>
      </c>
      <c r="AD49" s="124">
        <f t="shared" si="4"/>
        <v>34328.25</v>
      </c>
      <c r="AE49" s="208"/>
    </row>
    <row r="50" spans="1:31">
      <c r="A50">
        <v>49</v>
      </c>
      <c r="B50" t="s">
        <v>235</v>
      </c>
      <c r="C50" t="s">
        <v>236</v>
      </c>
      <c r="D50" s="146">
        <f>SUMIFS(FACILITIES!E:E,FACILITIES!$B:$B,B50)</f>
        <v>2400</v>
      </c>
      <c r="E50" s="146">
        <f>SUMIFS(FACILITIES!F:F,FACILITIES!$B:$B,$B50)</f>
        <v>1200</v>
      </c>
      <c r="F50" s="146">
        <f>SUMIFS(FACILITIES!G:G,FACILITIES!$B:$B,B50)</f>
        <v>0</v>
      </c>
      <c r="G50" s="146">
        <f>SUMIFS(FACILITIES!H:H,FACILITIES!$B:$B,B50)</f>
        <v>0</v>
      </c>
      <c r="H50" s="146">
        <f>SUMIFS(FACILITIES!I:I,FACILITIES!$B:$B,B50)</f>
        <v>0</v>
      </c>
      <c r="I50" s="146">
        <f>SUMIFS(FACILITIES!J:J,FACILITIES!$B:$B,B50)</f>
        <v>1800</v>
      </c>
      <c r="J50" s="146">
        <f>SUMIFS(FACILITIES!K:K,FACILITIES!$B:$B,B50)</f>
        <v>1800</v>
      </c>
      <c r="K50" s="146">
        <f>SUMIFS(FACILITIES!L:L,FACILITIES!$B:$B,B50)</f>
        <v>0</v>
      </c>
      <c r="L50" s="146">
        <f>SUMIFS(FACILITIES!M:M,FACILITIES!$B:$B,B50)</f>
        <v>0</v>
      </c>
      <c r="M50" s="146">
        <f>SUMIFS(FACILITIES!N:N,FACILITIES!$B:$B,B50)</f>
        <v>0</v>
      </c>
      <c r="N50" s="146">
        <f>SUMIFS(FACILITIES!O:O,FACILITIES!$B:$B,B50)</f>
        <v>2250</v>
      </c>
      <c r="O50" s="146">
        <f>SUMIFS(FACILITIES!P:P,FACILITIES!$B:$B,B50)</f>
        <v>0</v>
      </c>
      <c r="P50" s="146">
        <f>SUMIFS(FACILITIES!Q:Q,FACILITIES!$B:$B,B50)</f>
        <v>0</v>
      </c>
      <c r="Q50" s="146">
        <f>SUMIFS(FACILITIES!R:R,FACILITIES!$B:$B,B50)</f>
        <v>0</v>
      </c>
      <c r="R50" s="146">
        <f>SUMIFS(FACILITIES!T:T,FACILITIES!B:B,B50)</f>
        <v>2000</v>
      </c>
      <c r="S50" s="146">
        <f>SUMIFS(FACILITIES!S:S,FACILITIES!B:B,B50)</f>
        <v>0</v>
      </c>
      <c r="T50" s="146">
        <f>SUMIFS('F &amp; B'!G:G,'F &amp; B'!B:B,B50)</f>
        <v>17159</v>
      </c>
      <c r="U50" s="210">
        <f t="shared" si="1"/>
        <v>2573.85</v>
      </c>
      <c r="V50" s="146">
        <f>SUMIFS('FIXED AMOUNT'!G:G,'FIXED AMOUNT'!B:B,B50)</f>
        <v>7000</v>
      </c>
      <c r="W50" s="124">
        <f t="shared" si="5"/>
        <v>38182.85</v>
      </c>
      <c r="X50" s="124">
        <f>SUMIFS('FIXED AMOUNT'!E:E,'FIXED AMOUNT'!B:B,'data base '!B:B)</f>
        <v>0</v>
      </c>
      <c r="Y50" s="124">
        <f>SUMIFS('FIXED AMOUNT'!F:F,'FIXED AMOUNT'!B:B,'data base '!B:B)</f>
        <v>0</v>
      </c>
      <c r="Z50" s="124">
        <f>SUMIFS('FIXED AMOUNT'!V:V,'FIXED AMOUNT'!B:B,B:B)</f>
        <v>0</v>
      </c>
      <c r="AA50" s="124">
        <f t="shared" si="2"/>
        <v>38182.85</v>
      </c>
      <c r="AB50" s="207">
        <f t="shared" si="3"/>
        <v>3818.2849999999999</v>
      </c>
      <c r="AC50" s="204">
        <v>45945</v>
      </c>
      <c r="AD50" s="124">
        <f t="shared" si="4"/>
        <v>42001.134999999995</v>
      </c>
      <c r="AE50" s="208"/>
    </row>
    <row r="51" spans="1:31">
      <c r="A51">
        <v>50</v>
      </c>
      <c r="B51" t="s">
        <v>240</v>
      </c>
      <c r="C51" t="s">
        <v>241</v>
      </c>
      <c r="D51" s="146">
        <f>SUMIFS(FACILITIES!E:E,FACILITIES!$B:$B,B51)</f>
        <v>0</v>
      </c>
      <c r="E51" s="146">
        <f>SUMIFS(FACILITIES!F:F,FACILITIES!$B:$B,$B51)</f>
        <v>0</v>
      </c>
      <c r="F51" s="146">
        <f>SUMIFS(FACILITIES!G:G,FACILITIES!$B:$B,B51)</f>
        <v>0</v>
      </c>
      <c r="G51" s="146">
        <f>SUMIFS(FACILITIES!H:H,FACILITIES!$B:$B,B51)</f>
        <v>0</v>
      </c>
      <c r="H51" s="146">
        <f>SUMIFS(FACILITIES!I:I,FACILITIES!$B:$B,B51)</f>
        <v>0</v>
      </c>
      <c r="I51" s="146">
        <f>SUMIFS(FACILITIES!J:J,FACILITIES!$B:$B,B51)</f>
        <v>900</v>
      </c>
      <c r="J51" s="146">
        <f>SUMIFS(FACILITIES!K:K,FACILITIES!$B:$B,B51)</f>
        <v>0</v>
      </c>
      <c r="K51" s="146">
        <f>SUMIFS(FACILITIES!L:L,FACILITIES!$B:$B,B51)</f>
        <v>0</v>
      </c>
      <c r="L51" s="146">
        <f>SUMIFS(FACILITIES!M:M,FACILITIES!$B:$B,B51)</f>
        <v>0</v>
      </c>
      <c r="M51" s="146">
        <f>SUMIFS(FACILITIES!N:N,FACILITIES!$B:$B,B51)</f>
        <v>0</v>
      </c>
      <c r="N51" s="146">
        <f>SUMIFS(FACILITIES!O:O,FACILITIES!$B:$B,B51)</f>
        <v>0</v>
      </c>
      <c r="O51" s="146">
        <f>SUMIFS(FACILITIES!P:P,FACILITIES!$B:$B,B51)</f>
        <v>0</v>
      </c>
      <c r="P51" s="146">
        <f>SUMIFS(FACILITIES!Q:Q,FACILITIES!$B:$B,B51)</f>
        <v>0</v>
      </c>
      <c r="Q51" s="146">
        <f>SUMIFS(FACILITIES!R:R,FACILITIES!$B:$B,B51)</f>
        <v>0</v>
      </c>
      <c r="R51" s="146">
        <f>SUMIFS(FACILITIES!T:T,FACILITIES!B:B,B51)</f>
        <v>0</v>
      </c>
      <c r="S51" s="146">
        <f>SUMIFS(FACILITIES!S:S,FACILITIES!B:B,B51)</f>
        <v>0</v>
      </c>
      <c r="T51" s="146">
        <f>SUMIFS('F &amp; B'!G:G,'F &amp; B'!B:B,B51)</f>
        <v>2700</v>
      </c>
      <c r="U51" s="210">
        <f t="shared" si="1"/>
        <v>405</v>
      </c>
      <c r="V51" s="146">
        <f>SUMIFS('FIXED AMOUNT'!G:G,'FIXED AMOUNT'!B:B,B51)</f>
        <v>7000</v>
      </c>
      <c r="W51" s="124">
        <f t="shared" si="5"/>
        <v>11005</v>
      </c>
      <c r="X51" s="124">
        <f>SUMIFS('FIXED AMOUNT'!E:E,'FIXED AMOUNT'!B:B,'data base '!B:B)</f>
        <v>0</v>
      </c>
      <c r="Y51" s="124">
        <f>SUMIFS('FIXED AMOUNT'!F:F,'FIXED AMOUNT'!B:B,'data base '!B:B)</f>
        <v>0</v>
      </c>
      <c r="Z51" s="124">
        <f>SUMIFS('FIXED AMOUNT'!V:V,'FIXED AMOUNT'!B:B,B:B)</f>
        <v>0</v>
      </c>
      <c r="AA51" s="124">
        <f t="shared" si="2"/>
        <v>11005</v>
      </c>
      <c r="AB51" s="207">
        <f t="shared" si="3"/>
        <v>1100.5</v>
      </c>
      <c r="AC51" s="204">
        <v>45945</v>
      </c>
      <c r="AD51" s="124">
        <f t="shared" si="4"/>
        <v>12105.5</v>
      </c>
      <c r="AE51" s="208"/>
    </row>
    <row r="52" spans="1:31">
      <c r="A52">
        <v>51</v>
      </c>
      <c r="B52" t="s">
        <v>244</v>
      </c>
      <c r="C52" t="s">
        <v>245</v>
      </c>
      <c r="D52" s="146">
        <f>SUMIFS(FACILITIES!E:E,FACILITIES!$B:$B,B52)</f>
        <v>0</v>
      </c>
      <c r="E52" s="146">
        <f>SUMIFS(FACILITIES!F:F,FACILITIES!$B:$B,$B52)</f>
        <v>0</v>
      </c>
      <c r="F52" s="146">
        <f>SUMIFS(FACILITIES!G:G,FACILITIES!$B:$B,B52)</f>
        <v>0</v>
      </c>
      <c r="G52" s="146">
        <f>SUMIFS(FACILITIES!H:H,FACILITIES!$B:$B,B52)</f>
        <v>0</v>
      </c>
      <c r="H52" s="146">
        <f>SUMIFS(FACILITIES!I:I,FACILITIES!$B:$B,B52)</f>
        <v>0</v>
      </c>
      <c r="I52" s="146">
        <f>SUMIFS(FACILITIES!J:J,FACILITIES!$B:$B,B52)</f>
        <v>0</v>
      </c>
      <c r="J52" s="146">
        <f>SUMIFS(FACILITIES!K:K,FACILITIES!$B:$B,B52)</f>
        <v>0</v>
      </c>
      <c r="K52" s="146">
        <f>SUMIFS(FACILITIES!L:L,FACILITIES!$B:$B,B52)</f>
        <v>0</v>
      </c>
      <c r="L52" s="146">
        <f>SUMIFS(FACILITIES!M:M,FACILITIES!$B:$B,B52)</f>
        <v>0</v>
      </c>
      <c r="M52" s="146">
        <f>SUMIFS(FACILITIES!N:N,FACILITIES!$B:$B,B52)</f>
        <v>0</v>
      </c>
      <c r="N52" s="146">
        <f>SUMIFS(FACILITIES!O:O,FACILITIES!$B:$B,B52)</f>
        <v>0</v>
      </c>
      <c r="O52" s="146">
        <f>SUMIFS(FACILITIES!P:P,FACILITIES!$B:$B,B52)</f>
        <v>0</v>
      </c>
      <c r="P52" s="146">
        <f>SUMIFS(FACILITIES!Q:Q,FACILITIES!$B:$B,B52)</f>
        <v>0</v>
      </c>
      <c r="Q52" s="146">
        <f>SUMIFS(FACILITIES!R:R,FACILITIES!$B:$B,B52)</f>
        <v>0</v>
      </c>
      <c r="R52" s="146">
        <f>SUMIFS(FACILITIES!T:T,FACILITIES!B:B,B52)</f>
        <v>0</v>
      </c>
      <c r="S52" s="146">
        <f>SUMIFS(FACILITIES!S:S,FACILITIES!B:B,B52)</f>
        <v>0</v>
      </c>
      <c r="T52" s="146">
        <f>SUMIFS('F &amp; B'!G:G,'F &amp; B'!B:B,B52)</f>
        <v>16750</v>
      </c>
      <c r="U52" s="210">
        <f t="shared" si="1"/>
        <v>2512.5</v>
      </c>
      <c r="V52" s="146">
        <f>SUMIFS('FIXED AMOUNT'!G:G,'FIXED AMOUNT'!B:B,B52)</f>
        <v>7000</v>
      </c>
      <c r="W52" s="124">
        <f t="shared" si="5"/>
        <v>26262.5</v>
      </c>
      <c r="X52" s="124">
        <f>SUMIFS('FIXED AMOUNT'!E:E,'FIXED AMOUNT'!B:B,'data base '!B:B)</f>
        <v>0</v>
      </c>
      <c r="Y52" s="124">
        <f>SUMIFS('FIXED AMOUNT'!F:F,'FIXED AMOUNT'!B:B,'data base '!B:B)</f>
        <v>0</v>
      </c>
      <c r="Z52" s="124">
        <f>SUMIFS('FIXED AMOUNT'!V:V,'FIXED AMOUNT'!B:B,B:B)</f>
        <v>10175</v>
      </c>
      <c r="AA52" s="124">
        <f t="shared" si="2"/>
        <v>36437.5</v>
      </c>
      <c r="AB52" s="207">
        <f t="shared" si="3"/>
        <v>2626.25</v>
      </c>
      <c r="AC52" s="204">
        <v>45945</v>
      </c>
      <c r="AD52" s="124">
        <f t="shared" si="4"/>
        <v>39063.75</v>
      </c>
      <c r="AE52" s="208"/>
    </row>
    <row r="53" spans="1:31">
      <c r="A53">
        <v>52</v>
      </c>
      <c r="B53" t="s">
        <v>249</v>
      </c>
      <c r="C53" t="s">
        <v>250</v>
      </c>
      <c r="D53" s="146">
        <f>SUMIFS(FACILITIES!E:E,FACILITIES!$B:$B,B53)</f>
        <v>0</v>
      </c>
      <c r="E53" s="146">
        <f>SUMIFS(FACILITIES!F:F,FACILITIES!$B:$B,$B53)</f>
        <v>0</v>
      </c>
      <c r="F53" s="146">
        <f>SUMIFS(FACILITIES!G:G,FACILITIES!$B:$B,B53)</f>
        <v>0</v>
      </c>
      <c r="G53" s="146">
        <f>SUMIFS(FACILITIES!H:H,FACILITIES!$B:$B,B53)</f>
        <v>0</v>
      </c>
      <c r="H53" s="146">
        <f>SUMIFS(FACILITIES!I:I,FACILITIES!$B:$B,B53)</f>
        <v>0</v>
      </c>
      <c r="I53" s="146">
        <f>SUMIFS(FACILITIES!J:J,FACILITIES!$B:$B,B53)</f>
        <v>600</v>
      </c>
      <c r="J53" s="146">
        <f>SUMIFS(FACILITIES!K:K,FACILITIES!$B:$B,B53)</f>
        <v>0</v>
      </c>
      <c r="K53" s="146">
        <f>SUMIFS(FACILITIES!L:L,FACILITIES!$B:$B,B53)</f>
        <v>0</v>
      </c>
      <c r="L53" s="146">
        <f>SUMIFS(FACILITIES!M:M,FACILITIES!$B:$B,B53)</f>
        <v>0</v>
      </c>
      <c r="M53" s="146">
        <f>SUMIFS(FACILITIES!N:N,FACILITIES!$B:$B,B53)</f>
        <v>0</v>
      </c>
      <c r="N53" s="146">
        <f>SUMIFS(FACILITIES!O:O,FACILITIES!$B:$B,B53)</f>
        <v>0</v>
      </c>
      <c r="O53" s="146">
        <f>SUMIFS(FACILITIES!P:P,FACILITIES!$B:$B,B53)</f>
        <v>0</v>
      </c>
      <c r="P53" s="146">
        <f>SUMIFS(FACILITIES!Q:Q,FACILITIES!$B:$B,B53)</f>
        <v>0</v>
      </c>
      <c r="Q53" s="146">
        <f>SUMIFS(FACILITIES!R:R,FACILITIES!$B:$B,B53)</f>
        <v>0</v>
      </c>
      <c r="R53" s="146">
        <f>SUMIFS(FACILITIES!T:T,FACILITIES!B:B,B53)</f>
        <v>9000</v>
      </c>
      <c r="S53" s="146">
        <f>SUMIFS(FACILITIES!S:S,FACILITIES!B:B,B53)</f>
        <v>0</v>
      </c>
      <c r="T53" s="146">
        <f>SUMIFS('F &amp; B'!G:G,'F &amp; B'!B:B,B53)</f>
        <v>11990</v>
      </c>
      <c r="U53" s="210">
        <f t="shared" si="1"/>
        <v>1798.5</v>
      </c>
      <c r="V53" s="146">
        <f>SUMIFS('FIXED AMOUNT'!G:G,'FIXED AMOUNT'!B:B,B53)</f>
        <v>7000</v>
      </c>
      <c r="W53" s="124">
        <f t="shared" si="5"/>
        <v>30388.5</v>
      </c>
      <c r="X53" s="124">
        <f>SUMIFS('FIXED AMOUNT'!E:E,'FIXED AMOUNT'!B:B,'data base '!B:B)</f>
        <v>0</v>
      </c>
      <c r="Y53" s="124">
        <f>SUMIFS('FIXED AMOUNT'!F:F,'FIXED AMOUNT'!B:B,'data base '!B:B)</f>
        <v>0</v>
      </c>
      <c r="Z53" s="124">
        <f>SUMIFS('FIXED AMOUNT'!V:V,'FIXED AMOUNT'!B:B,B:B)</f>
        <v>19460</v>
      </c>
      <c r="AA53" s="124">
        <f t="shared" si="2"/>
        <v>49848.5</v>
      </c>
      <c r="AB53" s="207">
        <f t="shared" si="3"/>
        <v>3038.8500000000004</v>
      </c>
      <c r="AC53" s="204">
        <v>45945</v>
      </c>
      <c r="AD53" s="124">
        <f t="shared" si="4"/>
        <v>52887.35</v>
      </c>
      <c r="AE53" s="208"/>
    </row>
    <row r="54" spans="1:31">
      <c r="A54">
        <v>53</v>
      </c>
      <c r="B54" t="s">
        <v>254</v>
      </c>
      <c r="C54" t="s">
        <v>255</v>
      </c>
      <c r="D54" s="146">
        <f>SUMIFS(FACILITIES!E:E,FACILITIES!$B:$B,B54)</f>
        <v>0</v>
      </c>
      <c r="E54" s="146">
        <f>SUMIFS(FACILITIES!F:F,FACILITIES!$B:$B,$B54)</f>
        <v>0</v>
      </c>
      <c r="F54" s="146">
        <f>SUMIFS(FACILITIES!G:G,FACILITIES!$B:$B,B54)</f>
        <v>0</v>
      </c>
      <c r="G54" s="146">
        <f>SUMIFS(FACILITIES!H:H,FACILITIES!$B:$B,B54)</f>
        <v>0</v>
      </c>
      <c r="H54" s="146">
        <f>SUMIFS(FACILITIES!I:I,FACILITIES!$B:$B,B54)</f>
        <v>0</v>
      </c>
      <c r="I54" s="146">
        <f>SUMIFS(FACILITIES!J:J,FACILITIES!$B:$B,B54)</f>
        <v>0</v>
      </c>
      <c r="J54" s="146">
        <f>SUMIFS(FACILITIES!K:K,FACILITIES!$B:$B,B54)</f>
        <v>0</v>
      </c>
      <c r="K54" s="146">
        <f>SUMIFS(FACILITIES!L:L,FACILITIES!$B:$B,B54)</f>
        <v>0</v>
      </c>
      <c r="L54" s="146">
        <f>SUMIFS(FACILITIES!M:M,FACILITIES!$B:$B,B54)</f>
        <v>0</v>
      </c>
      <c r="M54" s="146">
        <f>SUMIFS(FACILITIES!N:N,FACILITIES!$B:$B,B54)</f>
        <v>0</v>
      </c>
      <c r="N54" s="146">
        <f>SUMIFS(FACILITIES!O:O,FACILITIES!$B:$B,B54)</f>
        <v>0</v>
      </c>
      <c r="O54" s="146">
        <f>SUMIFS(FACILITIES!P:P,FACILITIES!$B:$B,B54)</f>
        <v>0</v>
      </c>
      <c r="P54" s="146">
        <f>SUMIFS(FACILITIES!Q:Q,FACILITIES!$B:$B,B54)</f>
        <v>0</v>
      </c>
      <c r="Q54" s="146">
        <f>SUMIFS(FACILITIES!R:R,FACILITIES!$B:$B,B54)</f>
        <v>0</v>
      </c>
      <c r="R54" s="146">
        <f>SUMIFS(FACILITIES!T:T,FACILITIES!B:B,B54)</f>
        <v>0</v>
      </c>
      <c r="S54" s="146">
        <f>SUMIFS(FACILITIES!S:S,FACILITIES!B:B,B54)</f>
        <v>0</v>
      </c>
      <c r="T54" s="146">
        <f>SUMIFS('F &amp; B'!G:G,'F &amp; B'!B:B,B54)</f>
        <v>4500</v>
      </c>
      <c r="U54" s="210">
        <f t="shared" si="1"/>
        <v>675</v>
      </c>
      <c r="V54" s="146">
        <f>SUMIFS('FIXED AMOUNT'!G:G,'FIXED AMOUNT'!B:B,B54)</f>
        <v>7000</v>
      </c>
      <c r="W54" s="124">
        <f t="shared" si="5"/>
        <v>12175</v>
      </c>
      <c r="X54" s="124">
        <f>SUMIFS('FIXED AMOUNT'!E:E,'FIXED AMOUNT'!B:B,'data base '!B:B)</f>
        <v>0</v>
      </c>
      <c r="Y54" s="124">
        <f>SUMIFS('FIXED AMOUNT'!F:F,'FIXED AMOUNT'!B:B,'data base '!B:B)</f>
        <v>0</v>
      </c>
      <c r="Z54" s="124">
        <f>SUMIFS('FIXED AMOUNT'!V:V,'FIXED AMOUNT'!B:B,B:B)</f>
        <v>0</v>
      </c>
      <c r="AA54" s="124">
        <f t="shared" si="2"/>
        <v>12175</v>
      </c>
      <c r="AB54" s="207">
        <f t="shared" si="3"/>
        <v>1217.5</v>
      </c>
      <c r="AC54" s="204">
        <v>45945</v>
      </c>
      <c r="AD54" s="124">
        <f t="shared" si="4"/>
        <v>13392.5</v>
      </c>
      <c r="AE54" s="208"/>
    </row>
    <row r="55" spans="1:31">
      <c r="A55">
        <v>54</v>
      </c>
      <c r="B55" t="s">
        <v>258</v>
      </c>
      <c r="C55" t="s">
        <v>980</v>
      </c>
      <c r="D55" s="146">
        <f>SUMIFS(FACILITIES!E:E,FACILITIES!$B:$B,B55)</f>
        <v>0</v>
      </c>
      <c r="E55" s="146">
        <f>SUMIFS(FACILITIES!F:F,FACILITIES!$B:$B,$B55)</f>
        <v>0</v>
      </c>
      <c r="F55" s="146">
        <f>SUMIFS(FACILITIES!G:G,FACILITIES!$B:$B,B55)</f>
        <v>0</v>
      </c>
      <c r="G55" s="146">
        <f>SUMIFS(FACILITIES!H:H,FACILITIES!$B:$B,B55)</f>
        <v>0</v>
      </c>
      <c r="H55" s="146">
        <f>SUMIFS(FACILITIES!I:I,FACILITIES!$B:$B,B55)</f>
        <v>0</v>
      </c>
      <c r="I55" s="146">
        <f>SUMIFS(FACILITIES!J:J,FACILITIES!$B:$B,B55)</f>
        <v>0</v>
      </c>
      <c r="J55" s="146">
        <f>SUMIFS(FACILITIES!K:K,FACILITIES!$B:$B,B55)</f>
        <v>0</v>
      </c>
      <c r="K55" s="146">
        <f>SUMIFS(FACILITIES!L:L,FACILITIES!$B:$B,B55)</f>
        <v>0</v>
      </c>
      <c r="L55" s="146">
        <f>SUMIFS(FACILITIES!M:M,FACILITIES!$B:$B,B55)</f>
        <v>0</v>
      </c>
      <c r="M55" s="146">
        <f>SUMIFS(FACILITIES!N:N,FACILITIES!$B:$B,B55)</f>
        <v>0</v>
      </c>
      <c r="N55" s="146">
        <f>SUMIFS(FACILITIES!O:O,FACILITIES!$B:$B,B55)</f>
        <v>0</v>
      </c>
      <c r="O55" s="146">
        <f>SUMIFS(FACILITIES!P:P,FACILITIES!$B:$B,B55)</f>
        <v>0</v>
      </c>
      <c r="P55" s="146">
        <f>SUMIFS(FACILITIES!Q:Q,FACILITIES!$B:$B,B55)</f>
        <v>0</v>
      </c>
      <c r="Q55" s="146">
        <f>SUMIFS(FACILITIES!R:R,FACILITIES!$B:$B,B55)</f>
        <v>0</v>
      </c>
      <c r="R55" s="146">
        <f>SUMIFS(FACILITIES!T:T,FACILITIES!B:B,B55)</f>
        <v>0</v>
      </c>
      <c r="S55" s="146">
        <f>SUMIFS(FACILITIES!S:S,FACILITIES!B:B,B55)</f>
        <v>0</v>
      </c>
      <c r="T55" s="146">
        <f>SUMIFS('F &amp; B'!G:G,'F &amp; B'!B:B,B55)</f>
        <v>29350</v>
      </c>
      <c r="U55" s="210">
        <f t="shared" si="1"/>
        <v>4402.5</v>
      </c>
      <c r="V55" s="146">
        <f>SUMIFS('FIXED AMOUNT'!G:G,'FIXED AMOUNT'!B:B,B55)</f>
        <v>7000</v>
      </c>
      <c r="W55" s="124">
        <f t="shared" si="5"/>
        <v>40752.5</v>
      </c>
      <c r="X55" s="124">
        <f>SUMIFS('FIXED AMOUNT'!E:E,'FIXED AMOUNT'!B:B,'data base '!B:B)</f>
        <v>0</v>
      </c>
      <c r="Y55" s="124">
        <f>SUMIFS('FIXED AMOUNT'!F:F,'FIXED AMOUNT'!B:B,'data base '!B:B)</f>
        <v>0</v>
      </c>
      <c r="Z55" s="124">
        <f>SUMIFS('FIXED AMOUNT'!V:V,'FIXED AMOUNT'!B:B,B:B)</f>
        <v>0</v>
      </c>
      <c r="AA55" s="124">
        <f t="shared" si="2"/>
        <v>40752.5</v>
      </c>
      <c r="AB55" s="207">
        <f t="shared" si="3"/>
        <v>4075.25</v>
      </c>
      <c r="AC55" s="204">
        <v>45945</v>
      </c>
      <c r="AD55" s="124">
        <f t="shared" si="4"/>
        <v>44827.75</v>
      </c>
      <c r="AE55" s="208"/>
    </row>
    <row r="56" spans="1:31">
      <c r="A56">
        <v>55</v>
      </c>
      <c r="B56" t="s">
        <v>263</v>
      </c>
      <c r="C56" t="s">
        <v>264</v>
      </c>
      <c r="D56" s="146">
        <f>SUMIFS(FACILITIES!E:E,FACILITIES!$B:$B,B56)</f>
        <v>0</v>
      </c>
      <c r="E56" s="146">
        <f>SUMIFS(FACILITIES!F:F,FACILITIES!$B:$B,$B56)</f>
        <v>0</v>
      </c>
      <c r="F56" s="146">
        <f>SUMIFS(FACILITIES!G:G,FACILITIES!$B:$B,B56)</f>
        <v>0</v>
      </c>
      <c r="G56" s="146">
        <f>SUMIFS(FACILITIES!H:H,FACILITIES!$B:$B,B56)</f>
        <v>0</v>
      </c>
      <c r="H56" s="146">
        <f>SUMIFS(FACILITIES!I:I,FACILITIES!$B:$B,B56)</f>
        <v>0</v>
      </c>
      <c r="I56" s="146">
        <f>SUMIFS(FACILITIES!J:J,FACILITIES!$B:$B,B56)</f>
        <v>0</v>
      </c>
      <c r="J56" s="146">
        <f>SUMIFS(FACILITIES!K:K,FACILITIES!$B:$B,B56)</f>
        <v>0</v>
      </c>
      <c r="K56" s="146">
        <f>SUMIFS(FACILITIES!L:L,FACILITIES!$B:$B,B56)</f>
        <v>0</v>
      </c>
      <c r="L56" s="146">
        <f>SUMIFS(FACILITIES!M:M,FACILITIES!$B:$B,B56)</f>
        <v>0</v>
      </c>
      <c r="M56" s="146">
        <f>SUMIFS(FACILITIES!N:N,FACILITIES!$B:$B,B56)</f>
        <v>0</v>
      </c>
      <c r="N56" s="146">
        <f>SUMIFS(FACILITIES!O:O,FACILITIES!$B:$B,B56)</f>
        <v>0</v>
      </c>
      <c r="O56" s="146">
        <f>SUMIFS(FACILITIES!P:P,FACILITIES!$B:$B,B56)</f>
        <v>37300</v>
      </c>
      <c r="P56" s="146">
        <f>SUMIFS(FACILITIES!Q:Q,FACILITIES!$B:$B,B56)</f>
        <v>0</v>
      </c>
      <c r="Q56" s="146">
        <f>SUMIFS(FACILITIES!R:R,FACILITIES!$B:$B,B56)</f>
        <v>0</v>
      </c>
      <c r="R56" s="146">
        <f>SUMIFS(FACILITIES!T:T,FACILITIES!B:B,B56)</f>
        <v>0</v>
      </c>
      <c r="S56" s="146">
        <f>SUMIFS(FACILITIES!S:S,FACILITIES!B:B,B56)</f>
        <v>0</v>
      </c>
      <c r="T56" s="146">
        <f>SUMIFS('F &amp; B'!G:G,'F &amp; B'!B:B,B56)</f>
        <v>102350</v>
      </c>
      <c r="U56" s="210">
        <f t="shared" si="1"/>
        <v>15352.5</v>
      </c>
      <c r="V56" s="146">
        <f>SUMIFS('FIXED AMOUNT'!G:G,'FIXED AMOUNT'!B:B,B56)</f>
        <v>7000</v>
      </c>
      <c r="W56" s="124">
        <f t="shared" si="5"/>
        <v>162002.5</v>
      </c>
      <c r="X56" s="124">
        <f>SUMIFS('FIXED AMOUNT'!E:E,'FIXED AMOUNT'!B:B,'data base '!B:B)</f>
        <v>0</v>
      </c>
      <c r="Y56" s="124">
        <f>SUMIFS('FIXED AMOUNT'!F:F,'FIXED AMOUNT'!B:B,'data base '!B:B)</f>
        <v>0</v>
      </c>
      <c r="Z56" s="124">
        <f>SUMIFS('FIXED AMOUNT'!V:V,'FIXED AMOUNT'!B:B,B:B)</f>
        <v>0</v>
      </c>
      <c r="AA56" s="124">
        <f t="shared" si="2"/>
        <v>162002.5</v>
      </c>
      <c r="AB56" s="207">
        <f t="shared" si="3"/>
        <v>16200.25</v>
      </c>
      <c r="AC56" s="204">
        <v>45945</v>
      </c>
      <c r="AD56" s="124">
        <f t="shared" si="4"/>
        <v>178202.75</v>
      </c>
      <c r="AE56" s="208"/>
    </row>
    <row r="57" spans="1:31">
      <c r="A57">
        <v>56</v>
      </c>
      <c r="B57" t="s">
        <v>268</v>
      </c>
      <c r="C57" t="s">
        <v>269</v>
      </c>
      <c r="D57" s="146">
        <f>SUMIFS(FACILITIES!E:E,FACILITIES!$B:$B,B57)</f>
        <v>0</v>
      </c>
      <c r="E57" s="146">
        <f>SUMIFS(FACILITIES!F:F,FACILITIES!$B:$B,$B57)</f>
        <v>0</v>
      </c>
      <c r="F57" s="146">
        <f>SUMIFS(FACILITIES!G:G,FACILITIES!$B:$B,B57)</f>
        <v>0</v>
      </c>
      <c r="G57" s="146">
        <f>SUMIFS(FACILITIES!H:H,FACILITIES!$B:$B,B57)</f>
        <v>0</v>
      </c>
      <c r="H57" s="146">
        <f>SUMIFS(FACILITIES!I:I,FACILITIES!$B:$B,B57)</f>
        <v>0</v>
      </c>
      <c r="I57" s="146">
        <f>SUMIFS(FACILITIES!J:J,FACILITIES!$B:$B,B57)</f>
        <v>300</v>
      </c>
      <c r="J57" s="146">
        <f>SUMIFS(FACILITIES!K:K,FACILITIES!$B:$B,B57)</f>
        <v>0</v>
      </c>
      <c r="K57" s="146">
        <f>SUMIFS(FACILITIES!L:L,FACILITIES!$B:$B,B57)</f>
        <v>0</v>
      </c>
      <c r="L57" s="146">
        <f>SUMIFS(FACILITIES!M:M,FACILITIES!$B:$B,B57)</f>
        <v>0</v>
      </c>
      <c r="M57" s="146">
        <f>SUMIFS(FACILITIES!N:N,FACILITIES!$B:$B,B57)</f>
        <v>0</v>
      </c>
      <c r="N57" s="146">
        <f>SUMIFS(FACILITIES!O:O,FACILITIES!$B:$B,B57)</f>
        <v>0</v>
      </c>
      <c r="O57" s="146">
        <f>SUMIFS(FACILITIES!P:P,FACILITIES!$B:$B,B57)</f>
        <v>0</v>
      </c>
      <c r="P57" s="146">
        <f>SUMIFS(FACILITIES!Q:Q,FACILITIES!$B:$B,B57)</f>
        <v>0</v>
      </c>
      <c r="Q57" s="146">
        <f>SUMIFS(FACILITIES!R:R,FACILITIES!$B:$B,B57)</f>
        <v>0</v>
      </c>
      <c r="R57" s="146">
        <f>SUMIFS(FACILITIES!T:T,FACILITIES!B:B,B57)</f>
        <v>0</v>
      </c>
      <c r="S57" s="146">
        <f>SUMIFS(FACILITIES!S:S,FACILITIES!B:B,B57)</f>
        <v>0</v>
      </c>
      <c r="T57" s="146">
        <f>SUMIFS('F &amp; B'!G:G,'F &amp; B'!B:B,B57)</f>
        <v>6800</v>
      </c>
      <c r="U57" s="210">
        <f t="shared" si="1"/>
        <v>1020</v>
      </c>
      <c r="V57" s="146">
        <f>SUMIFS('FIXED AMOUNT'!G:G,'FIXED AMOUNT'!B:B,B57)</f>
        <v>7000</v>
      </c>
      <c r="W57" s="124">
        <f t="shared" si="5"/>
        <v>15120</v>
      </c>
      <c r="X57" s="124">
        <f>SUMIFS('FIXED AMOUNT'!E:E,'FIXED AMOUNT'!B:B,'data base '!B:B)</f>
        <v>0</v>
      </c>
      <c r="Y57" s="124">
        <f>SUMIFS('FIXED AMOUNT'!F:F,'FIXED AMOUNT'!B:B,'data base '!B:B)</f>
        <v>0</v>
      </c>
      <c r="Z57" s="124">
        <f>SUMIFS('FIXED AMOUNT'!V:V,'FIXED AMOUNT'!B:B,B:B)</f>
        <v>40660</v>
      </c>
      <c r="AA57" s="124">
        <f t="shared" si="2"/>
        <v>55780</v>
      </c>
      <c r="AB57" s="207">
        <f t="shared" si="3"/>
        <v>1512</v>
      </c>
      <c r="AC57" s="204">
        <v>45945</v>
      </c>
      <c r="AD57" s="124">
        <f t="shared" si="4"/>
        <v>57292</v>
      </c>
      <c r="AE57" s="208"/>
    </row>
    <row r="58" spans="1:31">
      <c r="A58">
        <v>57</v>
      </c>
      <c r="B58" t="s">
        <v>273</v>
      </c>
      <c r="C58" t="s">
        <v>274</v>
      </c>
      <c r="D58" s="146">
        <f>SUMIFS(FACILITIES!E:E,FACILITIES!$B:$B,B58)</f>
        <v>0</v>
      </c>
      <c r="E58" s="146">
        <f>SUMIFS(FACILITIES!F:F,FACILITIES!$B:$B,$B58)</f>
        <v>300</v>
      </c>
      <c r="F58" s="146">
        <f>SUMIFS(FACILITIES!G:G,FACILITIES!$B:$B,B58)</f>
        <v>300</v>
      </c>
      <c r="G58" s="146">
        <f>SUMIFS(FACILITIES!H:H,FACILITIES!$B:$B,B58)</f>
        <v>0</v>
      </c>
      <c r="H58" s="146">
        <f>SUMIFS(FACILITIES!I:I,FACILITIES!$B:$B,B58)</f>
        <v>0</v>
      </c>
      <c r="I58" s="146">
        <f>SUMIFS(FACILITIES!J:J,FACILITIES!$B:$B,B58)</f>
        <v>0</v>
      </c>
      <c r="J58" s="146">
        <f>SUMIFS(FACILITIES!K:K,FACILITIES!$B:$B,B58)</f>
        <v>0</v>
      </c>
      <c r="K58" s="146">
        <f>SUMIFS(FACILITIES!L:L,FACILITIES!$B:$B,B58)</f>
        <v>0</v>
      </c>
      <c r="L58" s="146">
        <f>SUMIFS(FACILITIES!M:M,FACILITIES!$B:$B,B58)</f>
        <v>0</v>
      </c>
      <c r="M58" s="146">
        <f>SUMIFS(FACILITIES!N:N,FACILITIES!$B:$B,B58)</f>
        <v>0</v>
      </c>
      <c r="N58" s="146">
        <f>SUMIFS(FACILITIES!O:O,FACILITIES!$B:$B,B58)</f>
        <v>0</v>
      </c>
      <c r="O58" s="146">
        <f>SUMIFS(FACILITIES!P:P,FACILITIES!$B:$B,B58)</f>
        <v>0</v>
      </c>
      <c r="P58" s="146">
        <f>SUMIFS(FACILITIES!Q:Q,FACILITIES!$B:$B,B58)</f>
        <v>0</v>
      </c>
      <c r="Q58" s="146">
        <f>SUMIFS(FACILITIES!R:R,FACILITIES!$B:$B,B58)</f>
        <v>0</v>
      </c>
      <c r="R58" s="146">
        <f>SUMIFS(FACILITIES!T:T,FACILITIES!B:B,B58)</f>
        <v>0</v>
      </c>
      <c r="S58" s="146">
        <f>SUMIFS(FACILITIES!S:S,FACILITIES!B:B,B58)</f>
        <v>0</v>
      </c>
      <c r="T58" s="146">
        <f>SUMIFS('F &amp; B'!G:G,'F &amp; B'!B:B,B58)</f>
        <v>6900</v>
      </c>
      <c r="U58" s="210">
        <f t="shared" si="1"/>
        <v>1035</v>
      </c>
      <c r="V58" s="146">
        <f>SUMIFS('FIXED AMOUNT'!G:G,'FIXED AMOUNT'!B:B,B58)</f>
        <v>7000</v>
      </c>
      <c r="W58" s="124">
        <f t="shared" si="5"/>
        <v>15535</v>
      </c>
      <c r="X58" s="124">
        <f>SUMIFS('FIXED AMOUNT'!E:E,'FIXED AMOUNT'!B:B,'data base '!B:B)</f>
        <v>0</v>
      </c>
      <c r="Y58" s="124">
        <f>SUMIFS('FIXED AMOUNT'!F:F,'FIXED AMOUNT'!B:B,'data base '!B:B)</f>
        <v>0</v>
      </c>
      <c r="Z58" s="124">
        <f>SUMIFS('FIXED AMOUNT'!V:V,'FIXED AMOUNT'!B:B,B:B)</f>
        <v>0</v>
      </c>
      <c r="AA58" s="124">
        <f t="shared" si="2"/>
        <v>15535</v>
      </c>
      <c r="AB58" s="207">
        <f t="shared" si="3"/>
        <v>1553.5</v>
      </c>
      <c r="AC58" s="204">
        <v>45945</v>
      </c>
      <c r="AD58" s="124">
        <f t="shared" si="4"/>
        <v>17088.5</v>
      </c>
      <c r="AE58" s="208"/>
    </row>
    <row r="59" spans="1:31">
      <c r="A59">
        <v>58</v>
      </c>
      <c r="B59" t="s">
        <v>278</v>
      </c>
      <c r="C59" t="s">
        <v>495</v>
      </c>
      <c r="D59" s="146">
        <f>SUMIFS(FACILITIES!E:E,FACILITIES!$B:$B,B59)</f>
        <v>0</v>
      </c>
      <c r="E59" s="146">
        <f>SUMIFS(FACILITIES!F:F,FACILITIES!$B:$B,$B59)</f>
        <v>0</v>
      </c>
      <c r="F59" s="146">
        <f>SUMIFS(FACILITIES!G:G,FACILITIES!$B:$B,B59)</f>
        <v>0</v>
      </c>
      <c r="G59" s="146">
        <f>SUMIFS(FACILITIES!H:H,FACILITIES!$B:$B,B59)</f>
        <v>0</v>
      </c>
      <c r="H59" s="146">
        <f>SUMIFS(FACILITIES!I:I,FACILITIES!$B:$B,B59)</f>
        <v>0</v>
      </c>
      <c r="I59" s="146">
        <f>SUMIFS(FACILITIES!J:J,FACILITIES!$B:$B,B59)</f>
        <v>0</v>
      </c>
      <c r="J59" s="146">
        <f>SUMIFS(FACILITIES!K:K,FACILITIES!$B:$B,B59)</f>
        <v>0</v>
      </c>
      <c r="K59" s="146">
        <f>SUMIFS(FACILITIES!L:L,FACILITIES!$B:$B,B59)</f>
        <v>0</v>
      </c>
      <c r="L59" s="146">
        <f>SUMIFS(FACILITIES!M:M,FACILITIES!$B:$B,B59)</f>
        <v>0</v>
      </c>
      <c r="M59" s="146">
        <f>SUMIFS(FACILITIES!N:N,FACILITIES!$B:$B,B59)</f>
        <v>0</v>
      </c>
      <c r="N59" s="146">
        <f>SUMIFS(FACILITIES!O:O,FACILITIES!$B:$B,B59)</f>
        <v>0</v>
      </c>
      <c r="O59" s="146">
        <f>SUMIFS(FACILITIES!P:P,FACILITIES!$B:$B,B59)</f>
        <v>0</v>
      </c>
      <c r="P59" s="146">
        <f>SUMIFS(FACILITIES!Q:Q,FACILITIES!$B:$B,B59)</f>
        <v>0</v>
      </c>
      <c r="Q59" s="146">
        <f>SUMIFS(FACILITIES!R:R,FACILITIES!$B:$B,B59)</f>
        <v>0</v>
      </c>
      <c r="R59" s="146">
        <f>SUMIFS(FACILITIES!T:T,FACILITIES!B:B,B59)</f>
        <v>0</v>
      </c>
      <c r="S59" s="146">
        <f>SUMIFS(FACILITIES!S:S,FACILITIES!B:B,B59)</f>
        <v>0</v>
      </c>
      <c r="T59" s="146">
        <f>SUMIFS('F &amp; B'!G:G,'F &amp; B'!B:B,B59)</f>
        <v>0</v>
      </c>
      <c r="U59" s="210">
        <f t="shared" si="1"/>
        <v>0</v>
      </c>
      <c r="V59" s="146">
        <f>SUMIFS('FIXED AMOUNT'!G:G,'FIXED AMOUNT'!B:B,B59)</f>
        <v>7000</v>
      </c>
      <c r="W59" s="124">
        <f t="shared" si="5"/>
        <v>7000</v>
      </c>
      <c r="X59" s="124">
        <f>SUMIFS('FIXED AMOUNT'!E:E,'FIXED AMOUNT'!B:B,'data base '!B:B)</f>
        <v>0</v>
      </c>
      <c r="Y59" s="124">
        <f>SUMIFS('FIXED AMOUNT'!F:F,'FIXED AMOUNT'!B:B,'data base '!B:B)</f>
        <v>0</v>
      </c>
      <c r="Z59" s="124">
        <f>SUMIFS('FIXED AMOUNT'!V:V,'FIXED AMOUNT'!B:B,B:B)</f>
        <v>38200</v>
      </c>
      <c r="AA59" s="124">
        <f t="shared" si="2"/>
        <v>45200</v>
      </c>
      <c r="AB59" s="207">
        <f t="shared" si="3"/>
        <v>700</v>
      </c>
      <c r="AC59" s="204">
        <v>45945</v>
      </c>
      <c r="AD59" s="124">
        <f t="shared" si="4"/>
        <v>45900</v>
      </c>
      <c r="AE59" s="208"/>
    </row>
    <row r="60" spans="1:31">
      <c r="A60">
        <v>59</v>
      </c>
      <c r="B60" t="s">
        <v>282</v>
      </c>
      <c r="C60" t="s">
        <v>283</v>
      </c>
      <c r="D60" s="146">
        <f>SUMIFS(FACILITIES!E:E,FACILITIES!$B:$B,B60)</f>
        <v>900</v>
      </c>
      <c r="E60" s="146">
        <f>SUMIFS(FACILITIES!F:F,FACILITIES!$B:$B,$B60)</f>
        <v>0</v>
      </c>
      <c r="F60" s="146">
        <f>SUMIFS(FACILITIES!G:G,FACILITIES!$B:$B,B60)</f>
        <v>0</v>
      </c>
      <c r="G60" s="146">
        <f>SUMIFS(FACILITIES!H:H,FACILITIES!$B:$B,B60)</f>
        <v>0</v>
      </c>
      <c r="H60" s="146">
        <f>SUMIFS(FACILITIES!I:I,FACILITIES!$B:$B,B60)</f>
        <v>0</v>
      </c>
      <c r="I60" s="146">
        <f>SUMIFS(FACILITIES!J:J,FACILITIES!$B:$B,B60)</f>
        <v>0</v>
      </c>
      <c r="J60" s="146">
        <f>SUMIFS(FACILITIES!K:K,FACILITIES!$B:$B,B60)</f>
        <v>0</v>
      </c>
      <c r="K60" s="146">
        <f>SUMIFS(FACILITIES!L:L,FACILITIES!$B:$B,B60)</f>
        <v>0</v>
      </c>
      <c r="L60" s="146">
        <f>SUMIFS(FACILITIES!M:M,FACILITIES!$B:$B,B60)</f>
        <v>0</v>
      </c>
      <c r="M60" s="146">
        <f>SUMIFS(FACILITIES!N:N,FACILITIES!$B:$B,B60)</f>
        <v>0</v>
      </c>
      <c r="N60" s="146">
        <f>SUMIFS(FACILITIES!O:O,FACILITIES!$B:$B,B60)</f>
        <v>0</v>
      </c>
      <c r="O60" s="146">
        <f>SUMIFS(FACILITIES!P:P,FACILITIES!$B:$B,B60)</f>
        <v>0</v>
      </c>
      <c r="P60" s="146">
        <f>SUMIFS(FACILITIES!Q:Q,FACILITIES!$B:$B,B60)</f>
        <v>0</v>
      </c>
      <c r="Q60" s="146">
        <f>SUMIFS(FACILITIES!R:R,FACILITIES!$B:$B,B60)</f>
        <v>0</v>
      </c>
      <c r="R60" s="146">
        <f>SUMIFS(FACILITIES!T:T,FACILITIES!B:B,B60)</f>
        <v>0</v>
      </c>
      <c r="S60" s="146">
        <f>SUMIFS(FACILITIES!S:S,FACILITIES!B:B,B60)</f>
        <v>0</v>
      </c>
      <c r="T60" s="146">
        <f>SUMIFS('F &amp; B'!G:G,'F &amp; B'!B:B,B60)</f>
        <v>21450</v>
      </c>
      <c r="U60" s="210">
        <f t="shared" si="1"/>
        <v>3217.5</v>
      </c>
      <c r="V60" s="146">
        <f>SUMIFS('FIXED AMOUNT'!G:G,'FIXED AMOUNT'!B:B,B60)</f>
        <v>7000</v>
      </c>
      <c r="W60" s="124">
        <f t="shared" si="5"/>
        <v>32567.5</v>
      </c>
      <c r="X60" s="124">
        <f>SUMIFS('FIXED AMOUNT'!E:E,'FIXED AMOUNT'!B:B,'data base '!B:B)</f>
        <v>0</v>
      </c>
      <c r="Y60" s="124">
        <f>SUMIFS('FIXED AMOUNT'!F:F,'FIXED AMOUNT'!B:B,'data base '!B:B)</f>
        <v>0</v>
      </c>
      <c r="Z60" s="124">
        <f>SUMIFS('FIXED AMOUNT'!V:V,'FIXED AMOUNT'!B:B,B:B)</f>
        <v>0</v>
      </c>
      <c r="AA60" s="124">
        <f t="shared" si="2"/>
        <v>32567.5</v>
      </c>
      <c r="AB60" s="207">
        <f t="shared" si="3"/>
        <v>3256.75</v>
      </c>
      <c r="AC60" s="204">
        <v>45945</v>
      </c>
      <c r="AD60" s="124">
        <f t="shared" si="4"/>
        <v>35824.25</v>
      </c>
      <c r="AE60" s="208"/>
    </row>
    <row r="61" spans="1:31">
      <c r="A61">
        <v>60</v>
      </c>
      <c r="B61" t="s">
        <v>287</v>
      </c>
      <c r="C61" t="s">
        <v>288</v>
      </c>
      <c r="D61" s="146">
        <f>SUMIFS(FACILITIES!E:E,FACILITIES!$B:$B,B61)</f>
        <v>0</v>
      </c>
      <c r="E61" s="146">
        <f>SUMIFS(FACILITIES!F:F,FACILITIES!$B:$B,$B61)</f>
        <v>0</v>
      </c>
      <c r="F61" s="146">
        <f>SUMIFS(FACILITIES!G:G,FACILITIES!$B:$B,B61)</f>
        <v>0</v>
      </c>
      <c r="G61" s="146">
        <f>SUMIFS(FACILITIES!H:H,FACILITIES!$B:$B,B61)</f>
        <v>0</v>
      </c>
      <c r="H61" s="146">
        <f>SUMIFS(FACILITIES!I:I,FACILITIES!$B:$B,B61)</f>
        <v>0</v>
      </c>
      <c r="I61" s="146">
        <f>SUMIFS(FACILITIES!J:J,FACILITIES!$B:$B,B61)</f>
        <v>0</v>
      </c>
      <c r="J61" s="146">
        <f>SUMIFS(FACILITIES!K:K,FACILITIES!$B:$B,B61)</f>
        <v>0</v>
      </c>
      <c r="K61" s="146">
        <f>SUMIFS(FACILITIES!L:L,FACILITIES!$B:$B,B61)</f>
        <v>0</v>
      </c>
      <c r="L61" s="146">
        <f>SUMIFS(FACILITIES!M:M,FACILITIES!$B:$B,B61)</f>
        <v>0</v>
      </c>
      <c r="M61" s="146">
        <f>SUMIFS(FACILITIES!N:N,FACILITIES!$B:$B,B61)</f>
        <v>0</v>
      </c>
      <c r="N61" s="146">
        <f>SUMIFS(FACILITIES!O:O,FACILITIES!$B:$B,B61)</f>
        <v>0</v>
      </c>
      <c r="O61" s="146">
        <f>SUMIFS(FACILITIES!P:P,FACILITIES!$B:$B,B61)</f>
        <v>0</v>
      </c>
      <c r="P61" s="146">
        <f>SUMIFS(FACILITIES!Q:Q,FACILITIES!$B:$B,B61)</f>
        <v>0</v>
      </c>
      <c r="Q61" s="146">
        <f>SUMIFS(FACILITIES!R:R,FACILITIES!$B:$B,B61)</f>
        <v>0</v>
      </c>
      <c r="R61" s="146">
        <f>SUMIFS(FACILITIES!T:T,FACILITIES!B:B,B61)</f>
        <v>0</v>
      </c>
      <c r="S61" s="146">
        <f>SUMIFS(FACILITIES!S:S,FACILITIES!B:B,B61)</f>
        <v>0</v>
      </c>
      <c r="T61" s="146">
        <f>SUMIFS('F &amp; B'!G:G,'F &amp; B'!B:B,B61)</f>
        <v>11200</v>
      </c>
      <c r="U61" s="210">
        <f t="shared" si="1"/>
        <v>1680</v>
      </c>
      <c r="V61" s="146">
        <f>SUMIFS('FIXED AMOUNT'!G:G,'FIXED AMOUNT'!B:B,B61)</f>
        <v>7000</v>
      </c>
      <c r="W61" s="124">
        <f t="shared" si="5"/>
        <v>19880</v>
      </c>
      <c r="X61" s="124">
        <f>SUMIFS('FIXED AMOUNT'!E:E,'FIXED AMOUNT'!B:B,'data base '!B:B)</f>
        <v>0</v>
      </c>
      <c r="Y61" s="124">
        <f>SUMIFS('FIXED AMOUNT'!F:F,'FIXED AMOUNT'!B:B,'data base '!B:B)</f>
        <v>0</v>
      </c>
      <c r="Z61" s="124">
        <f>SUMIFS('FIXED AMOUNT'!V:V,'FIXED AMOUNT'!B:B,B:B)</f>
        <v>3062</v>
      </c>
      <c r="AA61" s="124">
        <f t="shared" si="2"/>
        <v>22942</v>
      </c>
      <c r="AB61" s="207">
        <f t="shared" si="3"/>
        <v>1988</v>
      </c>
      <c r="AC61" s="204">
        <v>45945</v>
      </c>
      <c r="AD61" s="124">
        <f t="shared" si="4"/>
        <v>24930</v>
      </c>
      <c r="AE61" s="208"/>
    </row>
    <row r="62" spans="1:31">
      <c r="A62">
        <v>61</v>
      </c>
      <c r="B62" t="s">
        <v>296</v>
      </c>
      <c r="C62" t="s">
        <v>297</v>
      </c>
      <c r="D62" s="146">
        <f>SUMIFS(FACILITIES!E:E,FACILITIES!$B:$B,B62)</f>
        <v>0</v>
      </c>
      <c r="E62" s="146">
        <f>SUMIFS(FACILITIES!F:F,FACILITIES!$B:$B,$B62)</f>
        <v>0</v>
      </c>
      <c r="F62" s="146">
        <f>SUMIFS(FACILITIES!G:G,FACILITIES!$B:$B,B62)</f>
        <v>0</v>
      </c>
      <c r="G62" s="146">
        <f>SUMIFS(FACILITIES!H:H,FACILITIES!$B:$B,B62)</f>
        <v>0</v>
      </c>
      <c r="H62" s="146">
        <f>SUMIFS(FACILITIES!I:I,FACILITIES!$B:$B,B62)</f>
        <v>0</v>
      </c>
      <c r="I62" s="146">
        <f>SUMIFS(FACILITIES!J:J,FACILITIES!$B:$B,B62)</f>
        <v>0</v>
      </c>
      <c r="J62" s="146">
        <f>SUMIFS(FACILITIES!K:K,FACILITIES!$B:$B,B62)</f>
        <v>0</v>
      </c>
      <c r="K62" s="146">
        <f>SUMIFS(FACILITIES!L:L,FACILITIES!$B:$B,B62)</f>
        <v>0</v>
      </c>
      <c r="L62" s="146">
        <f>SUMIFS(FACILITIES!M:M,FACILITIES!$B:$B,B62)</f>
        <v>0</v>
      </c>
      <c r="M62" s="146">
        <f>SUMIFS(FACILITIES!N:N,FACILITIES!$B:$B,B62)</f>
        <v>0</v>
      </c>
      <c r="N62" s="146">
        <f>SUMIFS(FACILITIES!O:O,FACILITIES!$B:$B,B62)</f>
        <v>0</v>
      </c>
      <c r="O62" s="146">
        <f>SUMIFS(FACILITIES!P:P,FACILITIES!$B:$B,B62)</f>
        <v>0</v>
      </c>
      <c r="P62" s="146">
        <f>SUMIFS(FACILITIES!Q:Q,FACILITIES!$B:$B,B62)</f>
        <v>0</v>
      </c>
      <c r="Q62" s="146">
        <f>SUMIFS(FACILITIES!R:R,FACILITIES!$B:$B,B62)</f>
        <v>0</v>
      </c>
      <c r="R62" s="146">
        <f>SUMIFS(FACILITIES!T:T,FACILITIES!B:B,B62)</f>
        <v>0</v>
      </c>
      <c r="S62" s="146">
        <f>SUMIFS(FACILITIES!S:S,FACILITIES!B:B,B62)</f>
        <v>0</v>
      </c>
      <c r="T62" s="146">
        <f>SUMIFS('F &amp; B'!G:G,'F &amp; B'!B:B,B62)</f>
        <v>7368</v>
      </c>
      <c r="U62" s="210">
        <f t="shared" si="1"/>
        <v>1105.2</v>
      </c>
      <c r="V62" s="146">
        <f>SUMIFS('FIXED AMOUNT'!G:G,'FIXED AMOUNT'!B:B,B62)</f>
        <v>7000</v>
      </c>
      <c r="W62" s="124">
        <f t="shared" si="5"/>
        <v>15473.2</v>
      </c>
      <c r="X62" s="124">
        <f>SUMIFS('FIXED AMOUNT'!E:E,'FIXED AMOUNT'!B:B,'data base '!B:B)</f>
        <v>0</v>
      </c>
      <c r="Y62" s="124">
        <f>SUMIFS('FIXED AMOUNT'!F:F,'FIXED AMOUNT'!B:B,'data base '!B:B)</f>
        <v>0</v>
      </c>
      <c r="Z62" s="124">
        <f>SUMIFS('FIXED AMOUNT'!V:V,'FIXED AMOUNT'!B:B,B:B)</f>
        <v>31844</v>
      </c>
      <c r="AA62" s="124">
        <f t="shared" si="2"/>
        <v>47317.2</v>
      </c>
      <c r="AB62" s="207">
        <f t="shared" si="3"/>
        <v>1547.3200000000002</v>
      </c>
      <c r="AC62" s="204">
        <v>45945</v>
      </c>
      <c r="AD62" s="124">
        <f t="shared" si="4"/>
        <v>48864.52</v>
      </c>
      <c r="AE62" s="208"/>
    </row>
    <row r="63" spans="1:31">
      <c r="A63">
        <v>62</v>
      </c>
      <c r="B63" t="s">
        <v>301</v>
      </c>
      <c r="C63" t="s">
        <v>302</v>
      </c>
      <c r="D63" s="146">
        <f>SUMIFS(FACILITIES!E:E,FACILITIES!$B:$B,B63)</f>
        <v>0</v>
      </c>
      <c r="E63" s="146">
        <f>SUMIFS(FACILITIES!F:F,FACILITIES!$B:$B,$B63)</f>
        <v>600</v>
      </c>
      <c r="F63" s="146">
        <f>SUMIFS(FACILITIES!G:G,FACILITIES!$B:$B,B63)</f>
        <v>0</v>
      </c>
      <c r="G63" s="146">
        <f>SUMIFS(FACILITIES!H:H,FACILITIES!$B:$B,B63)</f>
        <v>0</v>
      </c>
      <c r="H63" s="146">
        <f>SUMIFS(FACILITIES!I:I,FACILITIES!$B:$B,B63)</f>
        <v>0</v>
      </c>
      <c r="I63" s="146">
        <f>SUMIFS(FACILITIES!J:J,FACILITIES!$B:$B,B63)</f>
        <v>0</v>
      </c>
      <c r="J63" s="146">
        <f>SUMIFS(FACILITIES!K:K,FACILITIES!$B:$B,B63)</f>
        <v>0</v>
      </c>
      <c r="K63" s="146">
        <f>SUMIFS(FACILITIES!L:L,FACILITIES!$B:$B,B63)</f>
        <v>0</v>
      </c>
      <c r="L63" s="146">
        <f>SUMIFS(FACILITIES!M:M,FACILITIES!$B:$B,B63)</f>
        <v>0</v>
      </c>
      <c r="M63" s="146">
        <f>SUMIFS(FACILITIES!N:N,FACILITIES!$B:$B,B63)</f>
        <v>0</v>
      </c>
      <c r="N63" s="146">
        <f>SUMIFS(FACILITIES!O:O,FACILITIES!$B:$B,B63)</f>
        <v>0</v>
      </c>
      <c r="O63" s="146">
        <f>SUMIFS(FACILITIES!P:P,FACILITIES!$B:$B,B63)</f>
        <v>0</v>
      </c>
      <c r="P63" s="146">
        <f>SUMIFS(FACILITIES!Q:Q,FACILITIES!$B:$B,B63)</f>
        <v>0</v>
      </c>
      <c r="Q63" s="146">
        <f>SUMIFS(FACILITIES!R:R,FACILITIES!$B:$B,B63)</f>
        <v>0</v>
      </c>
      <c r="R63" s="146">
        <f>SUMIFS(FACILITIES!T:T,FACILITIES!B:B,B63)</f>
        <v>9500</v>
      </c>
      <c r="S63" s="146">
        <f>SUMIFS(FACILITIES!S:S,FACILITIES!B:B,B63)</f>
        <v>0</v>
      </c>
      <c r="T63" s="146">
        <f>SUMIFS('F &amp; B'!G:G,'F &amp; B'!B:B,B63)</f>
        <v>0</v>
      </c>
      <c r="U63" s="210">
        <f t="shared" si="1"/>
        <v>0</v>
      </c>
      <c r="V63" s="146">
        <f>SUMIFS('FIXED AMOUNT'!G:G,'FIXED AMOUNT'!B:B,B63)</f>
        <v>7000</v>
      </c>
      <c r="W63" s="124">
        <f t="shared" si="5"/>
        <v>17100</v>
      </c>
      <c r="X63" s="124">
        <f>SUMIFS('FIXED AMOUNT'!E:E,'FIXED AMOUNT'!B:B,'data base '!B:B)</f>
        <v>0</v>
      </c>
      <c r="Y63" s="124">
        <f>SUMIFS('FIXED AMOUNT'!F:F,'FIXED AMOUNT'!B:B,'data base '!B:B)</f>
        <v>0</v>
      </c>
      <c r="Z63" s="124">
        <f>SUMIFS('FIXED AMOUNT'!V:V,'FIXED AMOUNT'!B:B,B:B)</f>
        <v>0</v>
      </c>
      <c r="AA63" s="124">
        <f t="shared" si="2"/>
        <v>17100</v>
      </c>
      <c r="AB63" s="207">
        <f t="shared" si="3"/>
        <v>1710</v>
      </c>
      <c r="AC63" s="204">
        <v>45945</v>
      </c>
      <c r="AD63" s="124">
        <f t="shared" si="4"/>
        <v>18810</v>
      </c>
      <c r="AE63" s="208"/>
    </row>
    <row r="64" spans="1:31">
      <c r="A64">
        <v>63</v>
      </c>
      <c r="B64" t="s">
        <v>306</v>
      </c>
      <c r="C64" t="s">
        <v>307</v>
      </c>
      <c r="D64" s="146">
        <f>SUMIFS(FACILITIES!E:E,FACILITIES!$B:$B,B64)</f>
        <v>0</v>
      </c>
      <c r="E64" s="146">
        <f>SUMIFS(FACILITIES!F:F,FACILITIES!$B:$B,$B64)</f>
        <v>0</v>
      </c>
      <c r="F64" s="146">
        <f>SUMIFS(FACILITIES!G:G,FACILITIES!$B:$B,B64)</f>
        <v>0</v>
      </c>
      <c r="G64" s="146">
        <f>SUMIFS(FACILITIES!H:H,FACILITIES!$B:$B,B64)</f>
        <v>0</v>
      </c>
      <c r="H64" s="146">
        <f>SUMIFS(FACILITIES!I:I,FACILITIES!$B:$B,B64)</f>
        <v>0</v>
      </c>
      <c r="I64" s="146">
        <f>SUMIFS(FACILITIES!J:J,FACILITIES!$B:$B,B64)</f>
        <v>0</v>
      </c>
      <c r="J64" s="146">
        <f>SUMIFS(FACILITIES!K:K,FACILITIES!$B:$B,B64)</f>
        <v>0</v>
      </c>
      <c r="K64" s="146">
        <f>SUMIFS(FACILITIES!L:L,FACILITIES!$B:$B,B64)</f>
        <v>0</v>
      </c>
      <c r="L64" s="146">
        <f>SUMIFS(FACILITIES!M:M,FACILITIES!$B:$B,B64)</f>
        <v>0</v>
      </c>
      <c r="M64" s="146">
        <f>SUMIFS(FACILITIES!N:N,FACILITIES!$B:$B,B64)</f>
        <v>0</v>
      </c>
      <c r="N64" s="146">
        <f>SUMIFS(FACILITIES!O:O,FACILITIES!$B:$B,B64)</f>
        <v>0</v>
      </c>
      <c r="O64" s="146">
        <f>SUMIFS(FACILITIES!P:P,FACILITIES!$B:$B,B64)</f>
        <v>0</v>
      </c>
      <c r="P64" s="146">
        <f>SUMIFS(FACILITIES!Q:Q,FACILITIES!$B:$B,B64)</f>
        <v>0</v>
      </c>
      <c r="Q64" s="146">
        <f>SUMIFS(FACILITIES!R:R,FACILITIES!$B:$B,B64)</f>
        <v>0</v>
      </c>
      <c r="R64" s="146">
        <f>SUMIFS(FACILITIES!T:T,FACILITIES!B:B,B64)</f>
        <v>0</v>
      </c>
      <c r="S64" s="146">
        <f>SUMIFS(FACILITIES!S:S,FACILITIES!B:B,B64)</f>
        <v>0</v>
      </c>
      <c r="T64" s="146">
        <f>SUMIFS('F &amp; B'!G:G,'F &amp; B'!B:B,B64)</f>
        <v>57964</v>
      </c>
      <c r="U64" s="210">
        <f t="shared" si="1"/>
        <v>8694.6</v>
      </c>
      <c r="V64" s="146">
        <f>SUMIFS('FIXED AMOUNT'!G:G,'FIXED AMOUNT'!B:B,B64)</f>
        <v>7000</v>
      </c>
      <c r="W64" s="124">
        <f t="shared" si="5"/>
        <v>73658.600000000006</v>
      </c>
      <c r="X64" s="124">
        <f>SUMIFS('FIXED AMOUNT'!E:E,'FIXED AMOUNT'!B:B,'data base '!B:B)</f>
        <v>0</v>
      </c>
      <c r="Y64" s="124">
        <f>SUMIFS('FIXED AMOUNT'!F:F,'FIXED AMOUNT'!B:B,'data base '!B:B)</f>
        <v>0</v>
      </c>
      <c r="Z64" s="124">
        <f>SUMIFS('FIXED AMOUNT'!V:V,'FIXED AMOUNT'!B:B,B:B)</f>
        <v>0</v>
      </c>
      <c r="AA64" s="124">
        <f t="shared" si="2"/>
        <v>73658.600000000006</v>
      </c>
      <c r="AB64" s="207">
        <f t="shared" si="3"/>
        <v>7365.8600000000006</v>
      </c>
      <c r="AC64" s="204">
        <v>45945</v>
      </c>
      <c r="AD64" s="124">
        <f t="shared" si="4"/>
        <v>81024.460000000006</v>
      </c>
      <c r="AE64" s="208"/>
    </row>
    <row r="65" spans="1:31">
      <c r="A65">
        <v>64</v>
      </c>
      <c r="B65" t="s">
        <v>308</v>
      </c>
      <c r="C65" t="s">
        <v>309</v>
      </c>
      <c r="D65" s="146">
        <f>SUMIFS(FACILITIES!E:E,FACILITIES!$B:$B,B65)</f>
        <v>2400</v>
      </c>
      <c r="E65" s="146">
        <f>SUMIFS(FACILITIES!F:F,FACILITIES!$B:$B,$B65)</f>
        <v>0</v>
      </c>
      <c r="F65" s="146">
        <f>SUMIFS(FACILITIES!G:G,FACILITIES!$B:$B,B65)</f>
        <v>0</v>
      </c>
      <c r="G65" s="146">
        <f>SUMIFS(FACILITIES!H:H,FACILITIES!$B:$B,B65)</f>
        <v>0</v>
      </c>
      <c r="H65" s="146">
        <f>SUMIFS(FACILITIES!I:I,FACILITIES!$B:$B,B65)</f>
        <v>0</v>
      </c>
      <c r="I65" s="146">
        <f>SUMIFS(FACILITIES!J:J,FACILITIES!$B:$B,B65)</f>
        <v>2700</v>
      </c>
      <c r="J65" s="146">
        <f>SUMIFS(FACILITIES!K:K,FACILITIES!$B:$B,B65)</f>
        <v>0</v>
      </c>
      <c r="K65" s="146">
        <f>SUMIFS(FACILITIES!L:L,FACILITIES!$B:$B,B65)</f>
        <v>0</v>
      </c>
      <c r="L65" s="146">
        <f>SUMIFS(FACILITIES!M:M,FACILITIES!$B:$B,B65)</f>
        <v>0</v>
      </c>
      <c r="M65" s="146">
        <f>SUMIFS(FACILITIES!N:N,FACILITIES!$B:$B,B65)</f>
        <v>0</v>
      </c>
      <c r="N65" s="146">
        <f>SUMIFS(FACILITIES!O:O,FACILITIES!$B:$B,B65)</f>
        <v>0</v>
      </c>
      <c r="O65" s="146">
        <f>SUMIFS(FACILITIES!P:P,FACILITIES!$B:$B,B65)</f>
        <v>0</v>
      </c>
      <c r="P65" s="146">
        <f>SUMIFS(FACILITIES!Q:Q,FACILITIES!$B:$B,B65)</f>
        <v>0</v>
      </c>
      <c r="Q65" s="146">
        <f>SUMIFS(FACILITIES!R:R,FACILITIES!$B:$B,B65)</f>
        <v>0</v>
      </c>
      <c r="R65" s="146">
        <f>SUMIFS(FACILITIES!T:T,FACILITIES!B:B,B65)</f>
        <v>4000</v>
      </c>
      <c r="S65" s="146">
        <f>SUMIFS(FACILITIES!S:S,FACILITIES!B:B,B65)</f>
        <v>0</v>
      </c>
      <c r="T65" s="146">
        <f>SUMIFS('F &amp; B'!G:G,'F &amp; B'!B:B,B65)</f>
        <v>15825</v>
      </c>
      <c r="U65" s="210">
        <f t="shared" si="1"/>
        <v>2373.75</v>
      </c>
      <c r="V65" s="146">
        <f>SUMIFS('FIXED AMOUNT'!G:G,'FIXED AMOUNT'!B:B,B65)</f>
        <v>7000</v>
      </c>
      <c r="W65" s="124">
        <f t="shared" si="5"/>
        <v>34298.75</v>
      </c>
      <c r="X65" s="124">
        <f>SUMIFS('FIXED AMOUNT'!E:E,'FIXED AMOUNT'!B:B,'data base '!B:B)</f>
        <v>0</v>
      </c>
      <c r="Y65" s="124">
        <f>SUMIFS('FIXED AMOUNT'!F:F,'FIXED AMOUNT'!B:B,'data base '!B:B)</f>
        <v>0</v>
      </c>
      <c r="Z65" s="124">
        <f>SUMIFS('FIXED AMOUNT'!V:V,'FIXED AMOUNT'!B:B,B:B)</f>
        <v>0</v>
      </c>
      <c r="AA65" s="124">
        <f t="shared" si="2"/>
        <v>34298.75</v>
      </c>
      <c r="AB65" s="207">
        <f t="shared" si="3"/>
        <v>3429.875</v>
      </c>
      <c r="AC65" s="204">
        <v>45945</v>
      </c>
      <c r="AD65" s="124">
        <f t="shared" si="4"/>
        <v>37728.625</v>
      </c>
      <c r="AE65" s="208"/>
    </row>
    <row r="66" spans="1:31">
      <c r="A66">
        <v>65</v>
      </c>
      <c r="B66" t="s">
        <v>312</v>
      </c>
      <c r="C66" t="s">
        <v>313</v>
      </c>
      <c r="D66" s="146">
        <f>SUMIFS(FACILITIES!E:E,FACILITIES!$B:$B,B66)</f>
        <v>0</v>
      </c>
      <c r="E66" s="146">
        <f>SUMIFS(FACILITIES!F:F,FACILITIES!$B:$B,$B66)</f>
        <v>1200</v>
      </c>
      <c r="F66" s="146">
        <f>SUMIFS(FACILITIES!G:G,FACILITIES!$B:$B,B66)</f>
        <v>0</v>
      </c>
      <c r="G66" s="146">
        <f>SUMIFS(FACILITIES!H:H,FACILITIES!$B:$B,B66)</f>
        <v>0</v>
      </c>
      <c r="H66" s="146">
        <f>SUMIFS(FACILITIES!I:I,FACILITIES!$B:$B,B66)</f>
        <v>0</v>
      </c>
      <c r="I66" s="146">
        <f>SUMIFS(FACILITIES!J:J,FACILITIES!$B:$B,B66)</f>
        <v>0</v>
      </c>
      <c r="J66" s="146">
        <f>SUMIFS(FACILITIES!K:K,FACILITIES!$B:$B,B66)</f>
        <v>0</v>
      </c>
      <c r="K66" s="146">
        <f>SUMIFS(FACILITIES!L:L,FACILITIES!$B:$B,B66)</f>
        <v>0</v>
      </c>
      <c r="L66" s="146">
        <f>SUMIFS(FACILITIES!M:M,FACILITIES!$B:$B,B66)</f>
        <v>0</v>
      </c>
      <c r="M66" s="146">
        <f>SUMIFS(FACILITIES!N:N,FACILITIES!$B:$B,B66)</f>
        <v>0</v>
      </c>
      <c r="N66" s="146">
        <f>SUMIFS(FACILITIES!O:O,FACILITIES!$B:$B,B66)</f>
        <v>0</v>
      </c>
      <c r="O66" s="146">
        <f>SUMIFS(FACILITIES!P:P,FACILITIES!$B:$B,B66)</f>
        <v>0</v>
      </c>
      <c r="P66" s="146">
        <f>SUMIFS(FACILITIES!Q:Q,FACILITIES!$B:$B,B66)</f>
        <v>0</v>
      </c>
      <c r="Q66" s="146">
        <f>SUMIFS(FACILITIES!R:R,FACILITIES!$B:$B,B66)</f>
        <v>0</v>
      </c>
      <c r="R66" s="146">
        <f>SUMIFS(FACILITIES!T:T,FACILITIES!B:B,B66)</f>
        <v>0</v>
      </c>
      <c r="S66" s="146">
        <f>SUMIFS(FACILITIES!S:S,FACILITIES!B:B,B66)</f>
        <v>0</v>
      </c>
      <c r="T66" s="146">
        <f>SUMIFS('F &amp; B'!G:G,'F &amp; B'!B:B,B66)</f>
        <v>5150</v>
      </c>
      <c r="U66" s="210">
        <f t="shared" si="1"/>
        <v>772.5</v>
      </c>
      <c r="V66" s="146">
        <f>SUMIFS('FIXED AMOUNT'!G:G,'FIXED AMOUNT'!B:B,B66)</f>
        <v>7000</v>
      </c>
      <c r="W66" s="124">
        <f t="shared" ref="W66:W97" si="6">SUM(D66:V66)</f>
        <v>14122.5</v>
      </c>
      <c r="X66" s="124">
        <f>SUMIFS('FIXED AMOUNT'!E:E,'FIXED AMOUNT'!B:B,'data base '!B:B)</f>
        <v>0</v>
      </c>
      <c r="Y66" s="124">
        <f>SUMIFS('FIXED AMOUNT'!F:F,'FIXED AMOUNT'!B:B,'data base '!B:B)</f>
        <v>0</v>
      </c>
      <c r="Z66" s="124">
        <f>SUMIFS('FIXED AMOUNT'!V:V,'FIXED AMOUNT'!B:B,B:B)</f>
        <v>0</v>
      </c>
      <c r="AA66" s="124">
        <f t="shared" si="2"/>
        <v>14122.5</v>
      </c>
      <c r="AB66" s="207">
        <f t="shared" si="3"/>
        <v>1412.25</v>
      </c>
      <c r="AC66" s="204">
        <v>45945</v>
      </c>
      <c r="AD66" s="124">
        <f t="shared" si="4"/>
        <v>15534.75</v>
      </c>
      <c r="AE66" s="208"/>
    </row>
    <row r="67" spans="1:31">
      <c r="A67">
        <v>66</v>
      </c>
      <c r="B67" t="s">
        <v>315</v>
      </c>
      <c r="C67" t="s">
        <v>316</v>
      </c>
      <c r="D67" s="146">
        <f>SUMIFS(FACILITIES!E:E,FACILITIES!$B:$B,B67)</f>
        <v>2400</v>
      </c>
      <c r="E67" s="146">
        <f>SUMIFS(FACILITIES!F:F,FACILITIES!$B:$B,$B67)</f>
        <v>0</v>
      </c>
      <c r="F67" s="146">
        <f>SUMIFS(FACILITIES!G:G,FACILITIES!$B:$B,B67)</f>
        <v>0</v>
      </c>
      <c r="G67" s="146">
        <f>SUMIFS(FACILITIES!H:H,FACILITIES!$B:$B,B67)</f>
        <v>0</v>
      </c>
      <c r="H67" s="146">
        <f>SUMIFS(FACILITIES!I:I,FACILITIES!$B:$B,B67)</f>
        <v>0</v>
      </c>
      <c r="I67" s="146">
        <f>SUMIFS(FACILITIES!J:J,FACILITIES!$B:$B,B67)</f>
        <v>600</v>
      </c>
      <c r="J67" s="146">
        <f>SUMIFS(FACILITIES!K:K,FACILITIES!$B:$B,B67)</f>
        <v>0</v>
      </c>
      <c r="K67" s="146">
        <f>SUMIFS(FACILITIES!L:L,FACILITIES!$B:$B,B67)</f>
        <v>0</v>
      </c>
      <c r="L67" s="146">
        <f>SUMIFS(FACILITIES!M:M,FACILITIES!$B:$B,B67)</f>
        <v>0</v>
      </c>
      <c r="M67" s="146">
        <f>SUMIFS(FACILITIES!N:N,FACILITIES!$B:$B,B67)</f>
        <v>0</v>
      </c>
      <c r="N67" s="146">
        <f>SUMIFS(FACILITIES!O:O,FACILITIES!$B:$B,B67)</f>
        <v>0</v>
      </c>
      <c r="O67" s="146">
        <f>SUMIFS(FACILITIES!P:P,FACILITIES!$B:$B,B67)</f>
        <v>0</v>
      </c>
      <c r="P67" s="146">
        <f>SUMIFS(FACILITIES!Q:Q,FACILITIES!$B:$B,B67)</f>
        <v>0</v>
      </c>
      <c r="Q67" s="146">
        <f>SUMIFS(FACILITIES!R:R,FACILITIES!$B:$B,B67)</f>
        <v>0</v>
      </c>
      <c r="R67" s="146">
        <f>SUMIFS(FACILITIES!T:T,FACILITIES!B:B,B67)</f>
        <v>19500</v>
      </c>
      <c r="S67" s="146">
        <f>SUMIFS(FACILITIES!S:S,FACILITIES!B:B,B67)</f>
        <v>0</v>
      </c>
      <c r="T67" s="146">
        <f>SUMIFS('F &amp; B'!G:G,'F &amp; B'!B:B,B67)</f>
        <v>16275</v>
      </c>
      <c r="U67" s="210">
        <f t="shared" ref="U67:U123" si="7">T67*0.15</f>
        <v>2441.25</v>
      </c>
      <c r="V67" s="146">
        <f>SUMIFS('FIXED AMOUNT'!G:G,'FIXED AMOUNT'!B:B,B67)</f>
        <v>7000</v>
      </c>
      <c r="W67" s="124">
        <f t="shared" si="6"/>
        <v>48216.25</v>
      </c>
      <c r="X67" s="124">
        <f>SUMIFS('FIXED AMOUNT'!E:E,'FIXED AMOUNT'!B:B,'data base '!B:B)</f>
        <v>0</v>
      </c>
      <c r="Y67" s="124">
        <f>SUMIFS('FIXED AMOUNT'!F:F,'FIXED AMOUNT'!B:B,'data base '!B:B)</f>
        <v>0</v>
      </c>
      <c r="Z67" s="124">
        <f>SUMIFS('FIXED AMOUNT'!V:V,'FIXED AMOUNT'!B:B,B:B)</f>
        <v>0</v>
      </c>
      <c r="AA67" s="124">
        <f t="shared" ref="AA67:AA123" si="8">W67+X67-Y67+Z67</f>
        <v>48216.25</v>
      </c>
      <c r="AB67" s="207">
        <f t="shared" ref="AB67:AB123" si="9">W67*0.1</f>
        <v>4821.625</v>
      </c>
      <c r="AC67" s="204">
        <v>45945</v>
      </c>
      <c r="AD67" s="124">
        <f t="shared" ref="AD67:AD122" si="10">AA67+AB67</f>
        <v>53037.875</v>
      </c>
      <c r="AE67" s="208"/>
    </row>
    <row r="68" spans="1:31">
      <c r="A68">
        <v>67</v>
      </c>
      <c r="B68" t="s">
        <v>319</v>
      </c>
      <c r="C68" t="s">
        <v>320</v>
      </c>
      <c r="D68" s="146">
        <f>SUMIFS(FACILITIES!E:E,FACILITIES!$B:$B,B68)</f>
        <v>0</v>
      </c>
      <c r="E68" s="146">
        <f>SUMIFS(FACILITIES!F:F,FACILITIES!$B:$B,$B68)</f>
        <v>0</v>
      </c>
      <c r="F68" s="146">
        <f>SUMIFS(FACILITIES!G:G,FACILITIES!$B:$B,B68)</f>
        <v>0</v>
      </c>
      <c r="G68" s="146">
        <f>SUMIFS(FACILITIES!H:H,FACILITIES!$B:$B,B68)</f>
        <v>0</v>
      </c>
      <c r="H68" s="146">
        <f>SUMIFS(FACILITIES!I:I,FACILITIES!$B:$B,B68)</f>
        <v>0</v>
      </c>
      <c r="I68" s="146">
        <f>SUMIFS(FACILITIES!J:J,FACILITIES!$B:$B,B68)</f>
        <v>0</v>
      </c>
      <c r="J68" s="146">
        <f>SUMIFS(FACILITIES!K:K,FACILITIES!$B:$B,B68)</f>
        <v>0</v>
      </c>
      <c r="K68" s="146">
        <f>SUMIFS(FACILITIES!L:L,FACILITIES!$B:$B,B68)</f>
        <v>0</v>
      </c>
      <c r="L68" s="146">
        <f>SUMIFS(FACILITIES!M:M,FACILITIES!$B:$B,B68)</f>
        <v>0</v>
      </c>
      <c r="M68" s="146">
        <f>SUMIFS(FACILITIES!N:N,FACILITIES!$B:$B,B68)</f>
        <v>0</v>
      </c>
      <c r="N68" s="146">
        <f>SUMIFS(FACILITIES!O:O,FACILITIES!$B:$B,B68)</f>
        <v>0</v>
      </c>
      <c r="O68" s="146">
        <f>SUMIFS(FACILITIES!P:P,FACILITIES!$B:$B,B68)</f>
        <v>0</v>
      </c>
      <c r="P68" s="146">
        <f>SUMIFS(FACILITIES!Q:Q,FACILITIES!$B:$B,B68)</f>
        <v>0</v>
      </c>
      <c r="Q68" s="146">
        <f>SUMIFS(FACILITIES!R:R,FACILITIES!$B:$B,B68)</f>
        <v>0</v>
      </c>
      <c r="R68" s="146">
        <f>SUMIFS(FACILITIES!T:T,FACILITIES!B:B,B68)</f>
        <v>0</v>
      </c>
      <c r="S68" s="146">
        <f>SUMIFS(FACILITIES!S:S,FACILITIES!B:B,B68)</f>
        <v>0</v>
      </c>
      <c r="T68" s="146">
        <f>SUMIFS('F &amp; B'!G:G,'F &amp; B'!B:B,B68)</f>
        <v>0</v>
      </c>
      <c r="U68" s="210">
        <f t="shared" si="7"/>
        <v>0</v>
      </c>
      <c r="V68" s="146">
        <f>SUMIFS('FIXED AMOUNT'!G:G,'FIXED AMOUNT'!B:B,B68)</f>
        <v>7000</v>
      </c>
      <c r="W68" s="124">
        <f t="shared" si="6"/>
        <v>7000</v>
      </c>
      <c r="X68" s="124">
        <f>SUMIFS('FIXED AMOUNT'!E:E,'FIXED AMOUNT'!B:B,'data base '!B:B)</f>
        <v>0</v>
      </c>
      <c r="Y68" s="124">
        <f>SUMIFS('FIXED AMOUNT'!F:F,'FIXED AMOUNT'!B:B,'data base '!B:B)</f>
        <v>0</v>
      </c>
      <c r="Z68" s="124">
        <f>SUMIFS('FIXED AMOUNT'!V:V,'FIXED AMOUNT'!B:B,B:B)</f>
        <v>0</v>
      </c>
      <c r="AA68" s="124">
        <f t="shared" si="8"/>
        <v>7000</v>
      </c>
      <c r="AB68" s="207">
        <f t="shared" si="9"/>
        <v>700</v>
      </c>
      <c r="AC68" s="204">
        <v>45945</v>
      </c>
      <c r="AD68" s="124">
        <f t="shared" si="10"/>
        <v>7700</v>
      </c>
      <c r="AE68" s="208"/>
    </row>
    <row r="69" spans="1:31">
      <c r="A69">
        <v>68</v>
      </c>
      <c r="B69" t="s">
        <v>323</v>
      </c>
      <c r="C69" t="s">
        <v>324</v>
      </c>
      <c r="D69" s="146">
        <f>SUMIFS(FACILITIES!E:E,FACILITIES!$B:$B,B69)</f>
        <v>0</v>
      </c>
      <c r="E69" s="146">
        <f>SUMIFS(FACILITIES!F:F,FACILITIES!$B:$B,$B69)</f>
        <v>0</v>
      </c>
      <c r="F69" s="146">
        <f>SUMIFS(FACILITIES!G:G,FACILITIES!$B:$B,B69)</f>
        <v>0</v>
      </c>
      <c r="G69" s="146">
        <f>SUMIFS(FACILITIES!H:H,FACILITIES!$B:$B,B69)</f>
        <v>0</v>
      </c>
      <c r="H69" s="146">
        <f>SUMIFS(FACILITIES!I:I,FACILITIES!$B:$B,B69)</f>
        <v>0</v>
      </c>
      <c r="I69" s="146">
        <f>SUMIFS(FACILITIES!J:J,FACILITIES!$B:$B,B69)</f>
        <v>0</v>
      </c>
      <c r="J69" s="146">
        <f>SUMIFS(FACILITIES!K:K,FACILITIES!$B:$B,B69)</f>
        <v>0</v>
      </c>
      <c r="K69" s="146">
        <f>SUMIFS(FACILITIES!L:L,FACILITIES!$B:$B,B69)</f>
        <v>0</v>
      </c>
      <c r="L69" s="146">
        <f>SUMIFS(FACILITIES!M:M,FACILITIES!$B:$B,B69)</f>
        <v>0</v>
      </c>
      <c r="M69" s="146">
        <f>SUMIFS(FACILITIES!N:N,FACILITIES!$B:$B,B69)</f>
        <v>0</v>
      </c>
      <c r="N69" s="146">
        <f>SUMIFS(FACILITIES!O:O,FACILITIES!$B:$B,B69)</f>
        <v>0</v>
      </c>
      <c r="O69" s="146">
        <f>SUMIFS(FACILITIES!P:P,FACILITIES!$B:$B,B69)</f>
        <v>0</v>
      </c>
      <c r="P69" s="146">
        <f>SUMIFS(FACILITIES!Q:Q,FACILITIES!$B:$B,B69)</f>
        <v>0</v>
      </c>
      <c r="Q69" s="146">
        <f>SUMIFS(FACILITIES!R:R,FACILITIES!$B:$B,B69)</f>
        <v>0</v>
      </c>
      <c r="R69" s="146">
        <f>SUMIFS(FACILITIES!T:T,FACILITIES!B:B,B69)</f>
        <v>0</v>
      </c>
      <c r="S69" s="146">
        <f>SUMIFS(FACILITIES!S:S,FACILITIES!B:B,B69)</f>
        <v>0</v>
      </c>
      <c r="T69" s="146">
        <f>SUMIFS('F &amp; B'!G:G,'F &amp; B'!B:B,B69)</f>
        <v>28890</v>
      </c>
      <c r="U69" s="210">
        <f t="shared" si="7"/>
        <v>4333.5</v>
      </c>
      <c r="V69" s="146">
        <f>SUMIFS('FIXED AMOUNT'!G:G,'FIXED AMOUNT'!B:B,B69)</f>
        <v>7000</v>
      </c>
      <c r="W69" s="124">
        <f t="shared" si="6"/>
        <v>40223.5</v>
      </c>
      <c r="X69" s="124">
        <f>SUMIFS('FIXED AMOUNT'!E:E,'FIXED AMOUNT'!B:B,'data base '!B:B)</f>
        <v>0</v>
      </c>
      <c r="Y69" s="124">
        <f>SUMIFS('FIXED AMOUNT'!F:F,'FIXED AMOUNT'!B:B,'data base '!B:B)</f>
        <v>0</v>
      </c>
      <c r="Z69" s="124">
        <f>SUMIFS('FIXED AMOUNT'!V:V,'FIXED AMOUNT'!B:B,B:B)</f>
        <v>0</v>
      </c>
      <c r="AA69" s="124">
        <f t="shared" si="8"/>
        <v>40223.5</v>
      </c>
      <c r="AB69" s="207">
        <f t="shared" si="9"/>
        <v>4022.3500000000004</v>
      </c>
      <c r="AC69" s="204">
        <v>45945</v>
      </c>
      <c r="AD69" s="124">
        <f t="shared" si="10"/>
        <v>44245.85</v>
      </c>
      <c r="AE69" s="208"/>
    </row>
    <row r="70" spans="1:31">
      <c r="A70">
        <v>69</v>
      </c>
      <c r="B70" t="s">
        <v>328</v>
      </c>
      <c r="C70" t="s">
        <v>329</v>
      </c>
      <c r="D70" s="146">
        <f>SUMIFS(FACILITIES!E:E,FACILITIES!$B:$B,B70)</f>
        <v>0</v>
      </c>
      <c r="E70" s="146">
        <f>SUMIFS(FACILITIES!F:F,FACILITIES!$B:$B,$B70)</f>
        <v>150</v>
      </c>
      <c r="F70" s="146">
        <f>SUMIFS(FACILITIES!G:G,FACILITIES!$B:$B,B70)</f>
        <v>0</v>
      </c>
      <c r="G70" s="146">
        <f>SUMIFS(FACILITIES!H:H,FACILITIES!$B:$B,B70)</f>
        <v>0</v>
      </c>
      <c r="H70" s="146">
        <f>SUMIFS(FACILITIES!I:I,FACILITIES!$B:$B,B70)</f>
        <v>0</v>
      </c>
      <c r="I70" s="146">
        <f>SUMIFS(FACILITIES!J:J,FACILITIES!$B:$B,B70)</f>
        <v>0</v>
      </c>
      <c r="J70" s="146">
        <f>SUMIFS(FACILITIES!K:K,FACILITIES!$B:$B,B70)</f>
        <v>0</v>
      </c>
      <c r="K70" s="146">
        <f>SUMIFS(FACILITIES!L:L,FACILITIES!$B:$B,B70)</f>
        <v>0</v>
      </c>
      <c r="L70" s="146">
        <f>SUMIFS(FACILITIES!M:M,FACILITIES!$B:$B,B70)</f>
        <v>0</v>
      </c>
      <c r="M70" s="146">
        <f>SUMIFS(FACILITIES!N:N,FACILITIES!$B:$B,B70)</f>
        <v>0</v>
      </c>
      <c r="N70" s="146">
        <f>SUMIFS(FACILITIES!O:O,FACILITIES!$B:$B,B70)</f>
        <v>0</v>
      </c>
      <c r="O70" s="146">
        <f>SUMIFS(FACILITIES!P:P,FACILITIES!$B:$B,B70)</f>
        <v>0</v>
      </c>
      <c r="P70" s="146">
        <f>SUMIFS(FACILITIES!Q:Q,FACILITIES!$B:$B,B70)</f>
        <v>0</v>
      </c>
      <c r="Q70" s="146">
        <f>SUMIFS(FACILITIES!R:R,FACILITIES!$B:$B,B70)</f>
        <v>0</v>
      </c>
      <c r="R70" s="146">
        <f>SUMIFS(FACILITIES!T:T,FACILITIES!B:B,B70)</f>
        <v>0</v>
      </c>
      <c r="S70" s="146">
        <f>SUMIFS(FACILITIES!S:S,FACILITIES!B:B,B70)</f>
        <v>0</v>
      </c>
      <c r="T70" s="146">
        <f>SUMIFS('F &amp; B'!G:G,'F &amp; B'!B:B,B70)</f>
        <v>0</v>
      </c>
      <c r="U70" s="210">
        <f t="shared" si="7"/>
        <v>0</v>
      </c>
      <c r="V70" s="146">
        <f>SUMIFS('FIXED AMOUNT'!G:G,'FIXED AMOUNT'!B:B,B70)</f>
        <v>7000</v>
      </c>
      <c r="W70" s="124">
        <f t="shared" si="6"/>
        <v>7150</v>
      </c>
      <c r="X70" s="124">
        <f>SUMIFS('FIXED AMOUNT'!E:E,'FIXED AMOUNT'!B:B,'data base '!B:B)</f>
        <v>0</v>
      </c>
      <c r="Y70" s="124">
        <f>SUMIFS('FIXED AMOUNT'!F:F,'FIXED AMOUNT'!B:B,'data base '!B:B)</f>
        <v>0</v>
      </c>
      <c r="Z70" s="124">
        <f>SUMIFS('FIXED AMOUNT'!V:V,'FIXED AMOUNT'!B:B,B:B)</f>
        <v>22374</v>
      </c>
      <c r="AA70" s="124">
        <f t="shared" si="8"/>
        <v>29524</v>
      </c>
      <c r="AB70" s="207">
        <f t="shared" si="9"/>
        <v>715</v>
      </c>
      <c r="AC70" s="204">
        <v>45945</v>
      </c>
      <c r="AD70" s="124">
        <f t="shared" si="10"/>
        <v>30239</v>
      </c>
      <c r="AE70" s="208"/>
    </row>
    <row r="71" spans="1:31">
      <c r="A71">
        <v>70</v>
      </c>
      <c r="B71" t="s">
        <v>446</v>
      </c>
      <c r="C71" t="s">
        <v>343</v>
      </c>
      <c r="D71" s="146">
        <f>SUMIFS(FACILITIES!E:E,FACILITIES!$B:$B,B71)</f>
        <v>0</v>
      </c>
      <c r="E71" s="146">
        <f>SUMIFS(FACILITIES!F:F,FACILITIES!$B:$B,$B71)</f>
        <v>0</v>
      </c>
      <c r="F71" s="146">
        <f>SUMIFS(FACILITIES!G:G,FACILITIES!$B:$B,B71)</f>
        <v>0</v>
      </c>
      <c r="G71" s="146">
        <f>SUMIFS(FACILITIES!H:H,FACILITIES!$B:$B,B71)</f>
        <v>0</v>
      </c>
      <c r="H71" s="146">
        <f>SUMIFS(FACILITIES!I:I,FACILITIES!$B:$B,B71)</f>
        <v>0</v>
      </c>
      <c r="I71" s="146">
        <f>SUMIFS(FACILITIES!J:J,FACILITIES!$B:$B,B71)</f>
        <v>0</v>
      </c>
      <c r="J71" s="146">
        <f>SUMIFS(FACILITIES!K:K,FACILITIES!$B:$B,B71)</f>
        <v>0</v>
      </c>
      <c r="K71" s="146">
        <f>SUMIFS(FACILITIES!L:L,FACILITIES!$B:$B,B71)</f>
        <v>0</v>
      </c>
      <c r="L71" s="146">
        <f>SUMIFS(FACILITIES!M:M,FACILITIES!$B:$B,B71)</f>
        <v>0</v>
      </c>
      <c r="M71" s="146">
        <f>SUMIFS(FACILITIES!N:N,FACILITIES!$B:$B,B71)</f>
        <v>0</v>
      </c>
      <c r="N71" s="146">
        <f>SUMIFS(FACILITIES!O:O,FACILITIES!$B:$B,B71)</f>
        <v>0</v>
      </c>
      <c r="O71" s="146">
        <f>SUMIFS(FACILITIES!P:P,FACILITIES!$B:$B,B71)</f>
        <v>0</v>
      </c>
      <c r="P71" s="146">
        <f>SUMIFS(FACILITIES!Q:Q,FACILITIES!$B:$B,B71)</f>
        <v>0</v>
      </c>
      <c r="Q71" s="146">
        <f>SUMIFS(FACILITIES!R:R,FACILITIES!$B:$B,B71)</f>
        <v>0</v>
      </c>
      <c r="R71" s="146">
        <f>SUMIFS(FACILITIES!T:T,FACILITIES!B:B,B71)</f>
        <v>0</v>
      </c>
      <c r="S71" s="146">
        <f>SUMIFS(FACILITIES!S:S,FACILITIES!B:B,B71)</f>
        <v>0</v>
      </c>
      <c r="T71" s="146">
        <f>SUMIFS('F &amp; B'!G:G,'F &amp; B'!B:B,B71)</f>
        <v>0</v>
      </c>
      <c r="U71" s="210">
        <f t="shared" si="7"/>
        <v>0</v>
      </c>
      <c r="V71" s="146">
        <f>SUMIFS('FIXED AMOUNT'!G:G,'FIXED AMOUNT'!B:B,B71)</f>
        <v>7000</v>
      </c>
      <c r="W71" s="124">
        <f t="shared" si="6"/>
        <v>7000</v>
      </c>
      <c r="X71" s="124">
        <f>SUMIFS('FIXED AMOUNT'!E:E,'FIXED AMOUNT'!B:B,'data base '!B:B)</f>
        <v>0</v>
      </c>
      <c r="Y71" s="124">
        <f>SUMIFS('FIXED AMOUNT'!F:F,'FIXED AMOUNT'!B:B,'data base '!B:B)</f>
        <v>0</v>
      </c>
      <c r="Z71" s="124">
        <f>SUMIFS('FIXED AMOUNT'!V:V,'FIXED AMOUNT'!B:B,B:B)</f>
        <v>0</v>
      </c>
      <c r="AA71" s="124">
        <f t="shared" si="8"/>
        <v>7000</v>
      </c>
      <c r="AB71" s="207">
        <f t="shared" si="9"/>
        <v>700</v>
      </c>
      <c r="AC71" s="204">
        <v>45945</v>
      </c>
      <c r="AD71" s="124">
        <f t="shared" si="10"/>
        <v>7700</v>
      </c>
      <c r="AE71" s="208"/>
    </row>
    <row r="72" spans="1:31">
      <c r="A72">
        <v>71</v>
      </c>
      <c r="B72" t="s">
        <v>346</v>
      </c>
      <c r="C72" t="s">
        <v>347</v>
      </c>
      <c r="D72" s="146">
        <f>SUMIFS(FACILITIES!E:E,FACILITIES!$B:$B,B72)</f>
        <v>0</v>
      </c>
      <c r="E72" s="146">
        <f>SUMIFS(FACILITIES!F:F,FACILITIES!$B:$B,$B72)</f>
        <v>0</v>
      </c>
      <c r="F72" s="146">
        <f>SUMIFS(FACILITIES!G:G,FACILITIES!$B:$B,B72)</f>
        <v>0</v>
      </c>
      <c r="G72" s="146">
        <f>SUMIFS(FACILITIES!H:H,FACILITIES!$B:$B,B72)</f>
        <v>0</v>
      </c>
      <c r="H72" s="146">
        <f>SUMIFS(FACILITIES!I:I,FACILITIES!$B:$B,B72)</f>
        <v>0</v>
      </c>
      <c r="I72" s="146">
        <f>SUMIFS(FACILITIES!J:J,FACILITIES!$B:$B,B72)</f>
        <v>0</v>
      </c>
      <c r="J72" s="146">
        <f>SUMIFS(FACILITIES!K:K,FACILITIES!$B:$B,B72)</f>
        <v>0</v>
      </c>
      <c r="K72" s="146">
        <f>SUMIFS(FACILITIES!L:L,FACILITIES!$B:$B,B72)</f>
        <v>0</v>
      </c>
      <c r="L72" s="146">
        <f>SUMIFS(FACILITIES!M:M,FACILITIES!$B:$B,B72)</f>
        <v>0</v>
      </c>
      <c r="M72" s="146">
        <f>SUMIFS(FACILITIES!N:N,FACILITIES!$B:$B,B72)</f>
        <v>0</v>
      </c>
      <c r="N72" s="146">
        <f>SUMIFS(FACILITIES!O:O,FACILITIES!$B:$B,B72)</f>
        <v>0</v>
      </c>
      <c r="O72" s="146">
        <f>SUMIFS(FACILITIES!P:P,FACILITIES!$B:$B,B72)</f>
        <v>0</v>
      </c>
      <c r="P72" s="146">
        <f>SUMIFS(FACILITIES!Q:Q,FACILITIES!$B:$B,B72)</f>
        <v>0</v>
      </c>
      <c r="Q72" s="146">
        <f>SUMIFS(FACILITIES!R:R,FACILITIES!$B:$B,B72)</f>
        <v>0</v>
      </c>
      <c r="R72" s="146">
        <f>SUMIFS(FACILITIES!T:T,FACILITIES!B:B,B72)</f>
        <v>0</v>
      </c>
      <c r="S72" s="146">
        <f>SUMIFS(FACILITIES!S:S,FACILITIES!B:B,B72)</f>
        <v>0</v>
      </c>
      <c r="T72" s="146">
        <f>SUMIFS('F &amp; B'!G:G,'F &amp; B'!B:B,B72)</f>
        <v>0</v>
      </c>
      <c r="U72" s="210">
        <f t="shared" si="7"/>
        <v>0</v>
      </c>
      <c r="V72" s="146">
        <f>SUMIFS('FIXED AMOUNT'!G:G,'FIXED AMOUNT'!B:B,B72)</f>
        <v>7000</v>
      </c>
      <c r="W72" s="124">
        <f t="shared" si="6"/>
        <v>7000</v>
      </c>
      <c r="X72" s="124">
        <f>SUMIFS('FIXED AMOUNT'!E:E,'FIXED AMOUNT'!B:B,'data base '!B:B)</f>
        <v>0</v>
      </c>
      <c r="Y72" s="124">
        <f>SUMIFS('FIXED AMOUNT'!F:F,'FIXED AMOUNT'!B:B,'data base '!B:B)</f>
        <v>0</v>
      </c>
      <c r="Z72" s="124">
        <f>SUMIFS('FIXED AMOUNT'!V:V,'FIXED AMOUNT'!B:B,B:B)</f>
        <v>0</v>
      </c>
      <c r="AA72" s="124">
        <f t="shared" si="8"/>
        <v>7000</v>
      </c>
      <c r="AB72" s="207">
        <f t="shared" si="9"/>
        <v>700</v>
      </c>
      <c r="AC72" s="204">
        <v>45945</v>
      </c>
      <c r="AD72" s="124">
        <f t="shared" si="10"/>
        <v>7700</v>
      </c>
      <c r="AE72" s="208"/>
    </row>
    <row r="73" spans="1:31">
      <c r="A73">
        <v>72</v>
      </c>
      <c r="B73" t="s">
        <v>350</v>
      </c>
      <c r="C73" t="s">
        <v>351</v>
      </c>
      <c r="D73" s="146">
        <f>SUMIFS(FACILITIES!E:E,FACILITIES!$B:$B,B73)</f>
        <v>0</v>
      </c>
      <c r="E73" s="146">
        <f>SUMIFS(FACILITIES!F:F,FACILITIES!$B:$B,$B73)</f>
        <v>0</v>
      </c>
      <c r="F73" s="146">
        <f>SUMIFS(FACILITIES!G:G,FACILITIES!$B:$B,B73)</f>
        <v>0</v>
      </c>
      <c r="G73" s="146">
        <f>SUMIFS(FACILITIES!H:H,FACILITIES!$B:$B,B73)</f>
        <v>0</v>
      </c>
      <c r="H73" s="146">
        <f>SUMIFS(FACILITIES!I:I,FACILITIES!$B:$B,B73)</f>
        <v>0</v>
      </c>
      <c r="I73" s="146">
        <f>SUMIFS(FACILITIES!J:J,FACILITIES!$B:$B,B73)</f>
        <v>0</v>
      </c>
      <c r="J73" s="146">
        <f>SUMIFS(FACILITIES!K:K,FACILITIES!$B:$B,B73)</f>
        <v>0</v>
      </c>
      <c r="K73" s="146">
        <f>SUMIFS(FACILITIES!L:L,FACILITIES!$B:$B,B73)</f>
        <v>0</v>
      </c>
      <c r="L73" s="146">
        <f>SUMIFS(FACILITIES!M:M,FACILITIES!$B:$B,B73)</f>
        <v>0</v>
      </c>
      <c r="M73" s="146">
        <f>SUMIFS(FACILITIES!N:N,FACILITIES!$B:$B,B73)</f>
        <v>0</v>
      </c>
      <c r="N73" s="146">
        <f>SUMIFS(FACILITIES!O:O,FACILITIES!$B:$B,B73)</f>
        <v>0</v>
      </c>
      <c r="O73" s="146">
        <f>SUMIFS(FACILITIES!P:P,FACILITIES!$B:$B,B73)</f>
        <v>0</v>
      </c>
      <c r="P73" s="146">
        <f>SUMIFS(FACILITIES!Q:Q,FACILITIES!$B:$B,B73)</f>
        <v>0</v>
      </c>
      <c r="Q73" s="146">
        <f>SUMIFS(FACILITIES!R:R,FACILITIES!$B:$B,B73)</f>
        <v>0</v>
      </c>
      <c r="R73" s="146">
        <f>SUMIFS(FACILITIES!T:T,FACILITIES!B:B,B73)</f>
        <v>0</v>
      </c>
      <c r="S73" s="146">
        <f>SUMIFS(FACILITIES!S:S,FACILITIES!B:B,B73)</f>
        <v>0</v>
      </c>
      <c r="T73" s="146">
        <f>SUMIFS('F &amp; B'!G:G,'F &amp; B'!B:B,B73)</f>
        <v>0</v>
      </c>
      <c r="U73" s="210">
        <f t="shared" si="7"/>
        <v>0</v>
      </c>
      <c r="V73" s="146">
        <f>SUMIFS('FIXED AMOUNT'!G:G,'FIXED AMOUNT'!B:B,B73)</f>
        <v>7000</v>
      </c>
      <c r="W73" s="124">
        <f t="shared" si="6"/>
        <v>7000</v>
      </c>
      <c r="X73" s="124">
        <f>SUMIFS('FIXED AMOUNT'!E:E,'FIXED AMOUNT'!B:B,'data base '!B:B)</f>
        <v>0</v>
      </c>
      <c r="Y73" s="124">
        <f>SUMIFS('FIXED AMOUNT'!F:F,'FIXED AMOUNT'!B:B,'data base '!B:B)</f>
        <v>0</v>
      </c>
      <c r="Z73" s="124">
        <f>SUMIFS('FIXED AMOUNT'!V:V,'FIXED AMOUNT'!B:B,B:B)</f>
        <v>60000</v>
      </c>
      <c r="AA73" s="124">
        <f t="shared" si="8"/>
        <v>67000</v>
      </c>
      <c r="AB73" s="207">
        <f t="shared" si="9"/>
        <v>700</v>
      </c>
      <c r="AC73" s="204">
        <v>45945</v>
      </c>
      <c r="AD73" s="124">
        <f t="shared" si="10"/>
        <v>67700</v>
      </c>
      <c r="AE73" s="208"/>
    </row>
    <row r="74" spans="1:31">
      <c r="A74">
        <v>73</v>
      </c>
      <c r="B74" t="s">
        <v>353</v>
      </c>
      <c r="C74" t="s">
        <v>463</v>
      </c>
      <c r="D74" s="146">
        <f>SUMIFS(FACILITIES!E:E,FACILITIES!$B:$B,B74)</f>
        <v>0</v>
      </c>
      <c r="E74" s="146">
        <f>SUMIFS(FACILITIES!F:F,FACILITIES!$B:$B,$B74)</f>
        <v>0</v>
      </c>
      <c r="F74" s="146">
        <f>SUMIFS(FACILITIES!G:G,FACILITIES!$B:$B,B74)</f>
        <v>0</v>
      </c>
      <c r="G74" s="146">
        <f>SUMIFS(FACILITIES!H:H,FACILITIES!$B:$B,B74)</f>
        <v>0</v>
      </c>
      <c r="H74" s="146">
        <f>SUMIFS(FACILITIES!I:I,FACILITIES!$B:$B,B74)</f>
        <v>0</v>
      </c>
      <c r="I74" s="146">
        <f>SUMIFS(FACILITIES!J:J,FACILITIES!$B:$B,B74)</f>
        <v>0</v>
      </c>
      <c r="J74" s="146">
        <f>SUMIFS(FACILITIES!K:K,FACILITIES!$B:$B,B74)</f>
        <v>0</v>
      </c>
      <c r="K74" s="146">
        <f>SUMIFS(FACILITIES!L:L,FACILITIES!$B:$B,B74)</f>
        <v>0</v>
      </c>
      <c r="L74" s="146">
        <f>SUMIFS(FACILITIES!M:M,FACILITIES!$B:$B,B74)</f>
        <v>0</v>
      </c>
      <c r="M74" s="146">
        <f>SUMIFS(FACILITIES!N:N,FACILITIES!$B:$B,B74)</f>
        <v>0</v>
      </c>
      <c r="N74" s="146">
        <f>SUMIFS(FACILITIES!O:O,FACILITIES!$B:$B,B74)</f>
        <v>0</v>
      </c>
      <c r="O74" s="146">
        <f>SUMIFS(FACILITIES!P:P,FACILITIES!$B:$B,B74)</f>
        <v>0</v>
      </c>
      <c r="P74" s="146">
        <f>SUMIFS(FACILITIES!Q:Q,FACILITIES!$B:$B,B74)</f>
        <v>0</v>
      </c>
      <c r="Q74" s="146">
        <f>SUMIFS(FACILITIES!R:R,FACILITIES!$B:$B,B74)</f>
        <v>0</v>
      </c>
      <c r="R74" s="146">
        <f>SUMIFS(FACILITIES!T:T,FACILITIES!B:B,B74)</f>
        <v>0</v>
      </c>
      <c r="S74" s="146">
        <f>SUMIFS(FACILITIES!S:S,FACILITIES!B:B,B74)</f>
        <v>0</v>
      </c>
      <c r="T74" s="146">
        <f>SUMIFS('F &amp; B'!G:G,'F &amp; B'!B:B,B74)</f>
        <v>0</v>
      </c>
      <c r="U74" s="210">
        <f t="shared" si="7"/>
        <v>0</v>
      </c>
      <c r="V74" s="146">
        <f>SUMIFS('FIXED AMOUNT'!G:G,'FIXED AMOUNT'!B:B,B74)</f>
        <v>7000</v>
      </c>
      <c r="W74" s="124">
        <f t="shared" si="6"/>
        <v>7000</v>
      </c>
      <c r="X74" s="124">
        <f>SUMIFS('FIXED AMOUNT'!E:E,'FIXED AMOUNT'!B:B,'data base '!B:B)</f>
        <v>0</v>
      </c>
      <c r="Y74" s="124">
        <f>SUMIFS('FIXED AMOUNT'!F:F,'FIXED AMOUNT'!B:B,'data base '!B:B)</f>
        <v>0</v>
      </c>
      <c r="Z74" s="124">
        <f>SUMIFS('FIXED AMOUNT'!V:V,'FIXED AMOUNT'!B:B,B:B)</f>
        <v>17700</v>
      </c>
      <c r="AA74" s="124">
        <f t="shared" si="8"/>
        <v>24700</v>
      </c>
      <c r="AB74" s="207">
        <f t="shared" si="9"/>
        <v>700</v>
      </c>
      <c r="AC74" s="204">
        <v>45945</v>
      </c>
      <c r="AD74" s="124">
        <f t="shared" si="10"/>
        <v>25400</v>
      </c>
      <c r="AE74" s="208"/>
    </row>
    <row r="75" spans="1:31">
      <c r="A75">
        <v>74</v>
      </c>
      <c r="B75" t="s">
        <v>356</v>
      </c>
      <c r="C75" t="s">
        <v>445</v>
      </c>
      <c r="D75" s="146">
        <f>SUMIFS(FACILITIES!E:E,FACILITIES!$B:$B,B75)</f>
        <v>0</v>
      </c>
      <c r="E75" s="146">
        <f>SUMIFS(FACILITIES!F:F,FACILITIES!$B:$B,$B75)</f>
        <v>0</v>
      </c>
      <c r="F75" s="146">
        <f>SUMIFS(FACILITIES!G:G,FACILITIES!$B:$B,B75)</f>
        <v>0</v>
      </c>
      <c r="G75" s="146">
        <f>SUMIFS(FACILITIES!H:H,FACILITIES!$B:$B,B75)</f>
        <v>0</v>
      </c>
      <c r="H75" s="146">
        <f>SUMIFS(FACILITIES!I:I,FACILITIES!$B:$B,B75)</f>
        <v>0</v>
      </c>
      <c r="I75" s="146">
        <f>SUMIFS(FACILITIES!J:J,FACILITIES!$B:$B,B75)</f>
        <v>0</v>
      </c>
      <c r="J75" s="146">
        <f>SUMIFS(FACILITIES!K:K,FACILITIES!$B:$B,B75)</f>
        <v>0</v>
      </c>
      <c r="K75" s="146">
        <f>SUMIFS(FACILITIES!L:L,FACILITIES!$B:$B,B75)</f>
        <v>0</v>
      </c>
      <c r="L75" s="146">
        <f>SUMIFS(FACILITIES!M:M,FACILITIES!$B:$B,B75)</f>
        <v>0</v>
      </c>
      <c r="M75" s="146">
        <f>SUMIFS(FACILITIES!N:N,FACILITIES!$B:$B,B75)</f>
        <v>0</v>
      </c>
      <c r="N75" s="146">
        <f>SUMIFS(FACILITIES!O:O,FACILITIES!$B:$B,B75)</f>
        <v>0</v>
      </c>
      <c r="O75" s="146">
        <f>SUMIFS(FACILITIES!P:P,FACILITIES!$B:$B,B75)</f>
        <v>0</v>
      </c>
      <c r="P75" s="146">
        <f>SUMIFS(FACILITIES!Q:Q,FACILITIES!$B:$B,B75)</f>
        <v>0</v>
      </c>
      <c r="Q75" s="146">
        <f>SUMIFS(FACILITIES!R:R,FACILITIES!$B:$B,B75)</f>
        <v>0</v>
      </c>
      <c r="R75" s="146">
        <f>SUMIFS(FACILITIES!T:T,FACILITIES!B:B,B75)</f>
        <v>0</v>
      </c>
      <c r="S75" s="146">
        <f>SUMIFS(FACILITIES!S:S,FACILITIES!B:B,B75)</f>
        <v>0</v>
      </c>
      <c r="T75" s="146">
        <f>SUMIFS('F &amp; B'!G:G,'F &amp; B'!B:B,B75)</f>
        <v>0</v>
      </c>
      <c r="U75" s="210">
        <f t="shared" si="7"/>
        <v>0</v>
      </c>
      <c r="V75" s="146">
        <f>SUMIFS('FIXED AMOUNT'!G:G,'FIXED AMOUNT'!B:B,B75)</f>
        <v>7000</v>
      </c>
      <c r="W75" s="124">
        <f t="shared" si="6"/>
        <v>7000</v>
      </c>
      <c r="X75" s="124">
        <f>SUMIFS('FIXED AMOUNT'!E:E,'FIXED AMOUNT'!B:B,'data base '!B:B)</f>
        <v>0</v>
      </c>
      <c r="Y75" s="124">
        <f>SUMIFS('FIXED AMOUNT'!F:F,'FIXED AMOUNT'!B:B,'data base '!B:B)</f>
        <v>0</v>
      </c>
      <c r="Z75" s="124">
        <f>SUMIFS('FIXED AMOUNT'!V:V,'FIXED AMOUNT'!B:B,B:B)</f>
        <v>60000</v>
      </c>
      <c r="AA75" s="124">
        <f t="shared" si="8"/>
        <v>67000</v>
      </c>
      <c r="AB75" s="207">
        <f t="shared" si="9"/>
        <v>700</v>
      </c>
      <c r="AC75" s="204">
        <v>45945</v>
      </c>
      <c r="AD75" s="124">
        <f t="shared" si="10"/>
        <v>67700</v>
      </c>
      <c r="AE75" s="208"/>
    </row>
    <row r="76" spans="1:31">
      <c r="A76">
        <v>75</v>
      </c>
      <c r="B76" t="s">
        <v>359</v>
      </c>
      <c r="C76" t="s">
        <v>360</v>
      </c>
      <c r="D76" s="146">
        <f>SUMIFS(FACILITIES!E:E,FACILITIES!$B:$B,B76)</f>
        <v>0</v>
      </c>
      <c r="E76" s="146">
        <f>SUMIFS(FACILITIES!F:F,FACILITIES!$B:$B,$B76)</f>
        <v>1500</v>
      </c>
      <c r="F76" s="146">
        <f>SUMIFS(FACILITIES!G:G,FACILITIES!$B:$B,B76)</f>
        <v>0</v>
      </c>
      <c r="G76" s="146">
        <f>SUMIFS(FACILITIES!H:H,FACILITIES!$B:$B,B76)</f>
        <v>0</v>
      </c>
      <c r="H76" s="146">
        <f>SUMIFS(FACILITIES!I:I,FACILITIES!$B:$B,B76)</f>
        <v>0</v>
      </c>
      <c r="I76" s="146">
        <f>SUMIFS(FACILITIES!J:J,FACILITIES!$B:$B,B76)</f>
        <v>0</v>
      </c>
      <c r="J76" s="146">
        <f>SUMIFS(FACILITIES!K:K,FACILITIES!$B:$B,B76)</f>
        <v>0</v>
      </c>
      <c r="K76" s="146">
        <f>SUMIFS(FACILITIES!L:L,FACILITIES!$B:$B,B76)</f>
        <v>0</v>
      </c>
      <c r="L76" s="146">
        <f>SUMIFS(FACILITIES!M:M,FACILITIES!$B:$B,B76)</f>
        <v>0</v>
      </c>
      <c r="M76" s="146">
        <f>SUMIFS(FACILITIES!N:N,FACILITIES!$B:$B,B76)</f>
        <v>0</v>
      </c>
      <c r="N76" s="146">
        <f>SUMIFS(FACILITIES!O:O,FACILITIES!$B:$B,B76)</f>
        <v>0</v>
      </c>
      <c r="O76" s="146">
        <f>SUMIFS(FACILITIES!P:P,FACILITIES!$B:$B,B76)</f>
        <v>0</v>
      </c>
      <c r="P76" s="146">
        <f>SUMIFS(FACILITIES!Q:Q,FACILITIES!$B:$B,B76)</f>
        <v>0</v>
      </c>
      <c r="Q76" s="146">
        <f>SUMIFS(FACILITIES!R:R,FACILITIES!$B:$B,B76)</f>
        <v>0</v>
      </c>
      <c r="R76" s="146">
        <f>SUMIFS(FACILITIES!T:T,FACILITIES!B:B,B76)</f>
        <v>2000</v>
      </c>
      <c r="S76" s="146">
        <f>SUMIFS(FACILITIES!S:S,FACILITIES!B:B,B76)</f>
        <v>0</v>
      </c>
      <c r="T76" s="146">
        <f>SUMIFS('F &amp; B'!G:G,'F &amp; B'!B:B,B76)</f>
        <v>21550</v>
      </c>
      <c r="U76" s="210">
        <f t="shared" si="7"/>
        <v>3232.5</v>
      </c>
      <c r="V76" s="146">
        <f>SUMIFS('FIXED AMOUNT'!G:G,'FIXED AMOUNT'!B:B,B76)</f>
        <v>7000</v>
      </c>
      <c r="W76" s="124">
        <f t="shared" si="6"/>
        <v>35282.5</v>
      </c>
      <c r="X76" s="124">
        <f>SUMIFS('FIXED AMOUNT'!E:E,'FIXED AMOUNT'!B:B,'data base '!B:B)</f>
        <v>0</v>
      </c>
      <c r="Y76" s="124">
        <f>SUMIFS('FIXED AMOUNT'!F:F,'FIXED AMOUNT'!B:B,'data base '!B:B)</f>
        <v>0</v>
      </c>
      <c r="Z76" s="124">
        <f>SUMIFS('FIXED AMOUNT'!V:V,'FIXED AMOUNT'!B:B,B:B)</f>
        <v>0</v>
      </c>
      <c r="AA76" s="124">
        <f t="shared" si="8"/>
        <v>35282.5</v>
      </c>
      <c r="AB76" s="207">
        <f t="shared" si="9"/>
        <v>3528.25</v>
      </c>
      <c r="AC76" s="204">
        <v>45945</v>
      </c>
      <c r="AD76" s="124">
        <f t="shared" si="10"/>
        <v>38810.75</v>
      </c>
      <c r="AE76" s="208"/>
    </row>
    <row r="77" spans="1:31">
      <c r="A77">
        <v>76</v>
      </c>
      <c r="B77" t="s">
        <v>390</v>
      </c>
      <c r="C77" t="s">
        <v>391</v>
      </c>
      <c r="D77" s="146">
        <f>SUMIFS(FACILITIES!E:E,FACILITIES!$B:$B,B77)</f>
        <v>0</v>
      </c>
      <c r="E77" s="146">
        <f>SUMIFS(FACILITIES!F:F,FACILITIES!$B:$B,$B77)</f>
        <v>0</v>
      </c>
      <c r="F77" s="146">
        <f>SUMIFS(FACILITIES!G:G,FACILITIES!$B:$B,B77)</f>
        <v>0</v>
      </c>
      <c r="G77" s="146">
        <f>SUMIFS(FACILITIES!H:H,FACILITIES!$B:$B,B77)</f>
        <v>0</v>
      </c>
      <c r="H77" s="146">
        <f>SUMIFS(FACILITIES!I:I,FACILITIES!$B:$B,B77)</f>
        <v>0</v>
      </c>
      <c r="I77" s="146">
        <f>SUMIFS(FACILITIES!J:J,FACILITIES!$B:$B,B77)</f>
        <v>0</v>
      </c>
      <c r="J77" s="146">
        <f>SUMIFS(FACILITIES!K:K,FACILITIES!$B:$B,B77)</f>
        <v>0</v>
      </c>
      <c r="K77" s="146">
        <f>SUMIFS(FACILITIES!L:L,FACILITIES!$B:$B,B77)</f>
        <v>0</v>
      </c>
      <c r="L77" s="146">
        <f>SUMIFS(FACILITIES!M:M,FACILITIES!$B:$B,B77)</f>
        <v>0</v>
      </c>
      <c r="M77" s="146">
        <f>SUMIFS(FACILITIES!N:N,FACILITIES!$B:$B,B77)</f>
        <v>0</v>
      </c>
      <c r="N77" s="146">
        <f>SUMIFS(FACILITIES!O:O,FACILITIES!$B:$B,B77)</f>
        <v>5500</v>
      </c>
      <c r="O77" s="146">
        <f>SUMIFS(FACILITIES!P:P,FACILITIES!$B:$B,B77)</f>
        <v>6000</v>
      </c>
      <c r="P77" s="146">
        <f>SUMIFS(FACILITIES!Q:Q,FACILITIES!$B:$B,B77)</f>
        <v>0</v>
      </c>
      <c r="Q77" s="146">
        <f>SUMIFS(FACILITIES!R:R,FACILITIES!$B:$B,B77)</f>
        <v>0</v>
      </c>
      <c r="R77" s="146">
        <f>SUMIFS(FACILITIES!T:T,FACILITIES!B:B,B77)</f>
        <v>0</v>
      </c>
      <c r="S77" s="146">
        <f>SUMIFS(FACILITIES!S:S,FACILITIES!B:B,B77)</f>
        <v>0</v>
      </c>
      <c r="T77" s="146">
        <f>SUMIFS('F &amp; B'!G:G,'F &amp; B'!B:B,B77)</f>
        <v>2800</v>
      </c>
      <c r="U77" s="210">
        <f t="shared" si="7"/>
        <v>420</v>
      </c>
      <c r="V77" s="146">
        <f>SUMIFS('FIXED AMOUNT'!G:G,'FIXED AMOUNT'!B:B,B77)</f>
        <v>7000</v>
      </c>
      <c r="W77" s="124">
        <f t="shared" si="6"/>
        <v>21720</v>
      </c>
      <c r="X77" s="124">
        <f>SUMIFS('FIXED AMOUNT'!E:E,'FIXED AMOUNT'!B:B,'data base '!B:B)</f>
        <v>0</v>
      </c>
      <c r="Y77" s="124">
        <f>SUMIFS('FIXED AMOUNT'!F:F,'FIXED AMOUNT'!B:B,'data base '!B:B)</f>
        <v>0</v>
      </c>
      <c r="Z77" s="124">
        <f>SUMIFS('FIXED AMOUNT'!V:V,'FIXED AMOUNT'!B:B,B:B)</f>
        <v>0</v>
      </c>
      <c r="AA77" s="124">
        <f t="shared" si="8"/>
        <v>21720</v>
      </c>
      <c r="AB77" s="207">
        <f t="shared" si="9"/>
        <v>2172</v>
      </c>
      <c r="AC77" s="204">
        <v>45945</v>
      </c>
      <c r="AD77" s="124">
        <f t="shared" si="10"/>
        <v>23892</v>
      </c>
      <c r="AE77" s="208"/>
    </row>
    <row r="78" spans="1:31">
      <c r="A78">
        <v>77</v>
      </c>
      <c r="B78" t="s">
        <v>375</v>
      </c>
      <c r="C78" t="s">
        <v>379</v>
      </c>
      <c r="D78" s="146">
        <f>SUMIFS(FACILITIES!E:E,FACILITIES!$B:$B,B78)</f>
        <v>1500</v>
      </c>
      <c r="E78" s="146">
        <f>SUMIFS(FACILITIES!F:F,FACILITIES!$B:$B,$B78)</f>
        <v>0</v>
      </c>
      <c r="F78" s="146">
        <f>SUMIFS(FACILITIES!G:G,FACILITIES!$B:$B,B78)</f>
        <v>0</v>
      </c>
      <c r="G78" s="146">
        <f>SUMIFS(FACILITIES!H:H,FACILITIES!$B:$B,B78)</f>
        <v>0</v>
      </c>
      <c r="H78" s="146">
        <f>SUMIFS(FACILITIES!I:I,FACILITIES!$B:$B,B78)</f>
        <v>0</v>
      </c>
      <c r="I78" s="146">
        <f>SUMIFS(FACILITIES!J:J,FACILITIES!$B:$B,B78)</f>
        <v>0</v>
      </c>
      <c r="J78" s="146">
        <f>SUMIFS(FACILITIES!K:K,FACILITIES!$B:$B,B78)</f>
        <v>0</v>
      </c>
      <c r="K78" s="146">
        <f>SUMIFS(FACILITIES!L:L,FACILITIES!$B:$B,B78)</f>
        <v>0</v>
      </c>
      <c r="L78" s="146">
        <f>SUMIFS(FACILITIES!M:M,FACILITIES!$B:$B,B78)</f>
        <v>0</v>
      </c>
      <c r="M78" s="146">
        <f>SUMIFS(FACILITIES!N:N,FACILITIES!$B:$B,B78)</f>
        <v>0</v>
      </c>
      <c r="N78" s="146">
        <f>SUMIFS(FACILITIES!O:O,FACILITIES!$B:$B,B78)</f>
        <v>0</v>
      </c>
      <c r="O78" s="146">
        <f>SUMIFS(FACILITIES!P:P,FACILITIES!$B:$B,B78)</f>
        <v>0</v>
      </c>
      <c r="P78" s="146">
        <f>SUMIFS(FACILITIES!Q:Q,FACILITIES!$B:$B,B78)</f>
        <v>0</v>
      </c>
      <c r="Q78" s="146">
        <f>SUMIFS(FACILITIES!R:R,FACILITIES!$B:$B,B78)</f>
        <v>0</v>
      </c>
      <c r="R78" s="146">
        <f>SUMIFS(FACILITIES!T:T,FACILITIES!B:B,B78)</f>
        <v>0</v>
      </c>
      <c r="S78" s="146">
        <f>SUMIFS(FACILITIES!S:S,FACILITIES!B:B,B78)</f>
        <v>0</v>
      </c>
      <c r="T78" s="146">
        <f>SUMIFS('F &amp; B'!G:G,'F &amp; B'!B:B,B78)</f>
        <v>2325</v>
      </c>
      <c r="U78" s="210">
        <f t="shared" si="7"/>
        <v>348.75</v>
      </c>
      <c r="V78" s="146">
        <f>SUMIFS('FIXED AMOUNT'!G:G,'FIXED AMOUNT'!B:B,B78)</f>
        <v>7000</v>
      </c>
      <c r="W78" s="124">
        <f t="shared" si="6"/>
        <v>11173.75</v>
      </c>
      <c r="X78" s="124">
        <f>SUMIFS('FIXED AMOUNT'!E:E,'FIXED AMOUNT'!B:B,'data base '!B:B)</f>
        <v>0</v>
      </c>
      <c r="Y78" s="124">
        <f>SUMIFS('FIXED AMOUNT'!F:F,'FIXED AMOUNT'!B:B,'data base '!B:B)</f>
        <v>0</v>
      </c>
      <c r="Z78" s="124">
        <f>SUMIFS('FIXED AMOUNT'!V:V,'FIXED AMOUNT'!B:B,B:B)</f>
        <v>0</v>
      </c>
      <c r="AA78" s="124">
        <f t="shared" si="8"/>
        <v>11173.75</v>
      </c>
      <c r="AB78" s="207">
        <f t="shared" si="9"/>
        <v>1117.375</v>
      </c>
      <c r="AC78" s="204">
        <v>45945</v>
      </c>
      <c r="AD78" s="124">
        <f t="shared" si="10"/>
        <v>12291.125</v>
      </c>
      <c r="AE78" s="208"/>
    </row>
    <row r="79" spans="1:31">
      <c r="A79">
        <v>78</v>
      </c>
      <c r="B79" t="s">
        <v>377</v>
      </c>
      <c r="C79" t="s">
        <v>380</v>
      </c>
      <c r="D79" s="146">
        <f>SUMIFS(FACILITIES!E:E,FACILITIES!$B:$B,B79)</f>
        <v>0</v>
      </c>
      <c r="E79" s="146">
        <f>SUMIFS(FACILITIES!F:F,FACILITIES!$B:$B,$B79)</f>
        <v>0</v>
      </c>
      <c r="F79" s="146">
        <f>SUMIFS(FACILITIES!G:G,FACILITIES!$B:$B,B79)</f>
        <v>0</v>
      </c>
      <c r="G79" s="146">
        <f>SUMIFS(FACILITIES!H:H,FACILITIES!$B:$B,B79)</f>
        <v>0</v>
      </c>
      <c r="H79" s="146">
        <f>SUMIFS(FACILITIES!I:I,FACILITIES!$B:$B,B79)</f>
        <v>0</v>
      </c>
      <c r="I79" s="146">
        <f>SUMIFS(FACILITIES!J:J,FACILITIES!$B:$B,B79)</f>
        <v>0</v>
      </c>
      <c r="J79" s="146">
        <f>SUMIFS(FACILITIES!K:K,FACILITIES!$B:$B,B79)</f>
        <v>0</v>
      </c>
      <c r="K79" s="146">
        <f>SUMIFS(FACILITIES!L:L,FACILITIES!$B:$B,B79)</f>
        <v>0</v>
      </c>
      <c r="L79" s="146">
        <f>SUMIFS(FACILITIES!M:M,FACILITIES!$B:$B,B79)</f>
        <v>0</v>
      </c>
      <c r="M79" s="146">
        <f>SUMIFS(FACILITIES!N:N,FACILITIES!$B:$B,B79)</f>
        <v>0</v>
      </c>
      <c r="N79" s="146">
        <f>SUMIFS(FACILITIES!O:O,FACILITIES!$B:$B,B79)</f>
        <v>0</v>
      </c>
      <c r="O79" s="146">
        <f>SUMIFS(FACILITIES!P:P,FACILITIES!$B:$B,B79)</f>
        <v>0</v>
      </c>
      <c r="P79" s="146">
        <f>SUMIFS(FACILITIES!Q:Q,FACILITIES!$B:$B,B79)</f>
        <v>0</v>
      </c>
      <c r="Q79" s="146">
        <f>SUMIFS(FACILITIES!R:R,FACILITIES!$B:$B,B79)</f>
        <v>0</v>
      </c>
      <c r="R79" s="146">
        <f>SUMIFS(FACILITIES!T:T,FACILITIES!B:B,B79)</f>
        <v>0</v>
      </c>
      <c r="S79" s="146">
        <f>SUMIFS(FACILITIES!S:S,FACILITIES!B:B,B79)</f>
        <v>0</v>
      </c>
      <c r="T79" s="146">
        <f>SUMIFS('F &amp; B'!G:G,'F &amp; B'!B:B,B79)</f>
        <v>0</v>
      </c>
      <c r="U79" s="210">
        <f t="shared" si="7"/>
        <v>0</v>
      </c>
      <c r="V79" s="146">
        <f>SUMIFS('FIXED AMOUNT'!G:G,'FIXED AMOUNT'!B:B,B79)</f>
        <v>7000</v>
      </c>
      <c r="W79" s="124">
        <f t="shared" si="6"/>
        <v>7000</v>
      </c>
      <c r="X79" s="124">
        <f>SUMIFS('FIXED AMOUNT'!E:E,'FIXED AMOUNT'!B:B,'data base '!B:B)</f>
        <v>0</v>
      </c>
      <c r="Y79" s="124">
        <f>SUMIFS('FIXED AMOUNT'!F:F,'FIXED AMOUNT'!B:B,'data base '!B:B)</f>
        <v>0</v>
      </c>
      <c r="Z79" s="124">
        <f>SUMIFS('FIXED AMOUNT'!V:V,'FIXED AMOUNT'!B:B,B:B)</f>
        <v>44951</v>
      </c>
      <c r="AA79" s="124">
        <f t="shared" si="8"/>
        <v>51951</v>
      </c>
      <c r="AB79" s="207">
        <f t="shared" si="9"/>
        <v>700</v>
      </c>
      <c r="AC79" s="204">
        <v>45945</v>
      </c>
      <c r="AD79" s="124">
        <f t="shared" si="10"/>
        <v>52651</v>
      </c>
      <c r="AE79" s="208"/>
    </row>
    <row r="80" spans="1:31">
      <c r="A80">
        <v>79</v>
      </c>
      <c r="B80" t="s">
        <v>374</v>
      </c>
      <c r="C80" t="s">
        <v>392</v>
      </c>
      <c r="D80" s="146">
        <f>SUMIFS(FACILITIES!E:E,FACILITIES!$B:$B,B80)</f>
        <v>2700</v>
      </c>
      <c r="E80" s="146">
        <f>SUMIFS(FACILITIES!F:F,FACILITIES!$B:$B,$B80)</f>
        <v>0</v>
      </c>
      <c r="F80" s="146">
        <f>SUMIFS(FACILITIES!G:G,FACILITIES!$B:$B,B80)</f>
        <v>0</v>
      </c>
      <c r="G80" s="146">
        <f>SUMIFS(FACILITIES!H:H,FACILITIES!$B:$B,B80)</f>
        <v>600</v>
      </c>
      <c r="H80" s="146">
        <f>SUMIFS(FACILITIES!I:I,FACILITIES!$B:$B,B80)</f>
        <v>0</v>
      </c>
      <c r="I80" s="146">
        <f>SUMIFS(FACILITIES!J:J,FACILITIES!$B:$B,B80)</f>
        <v>3200</v>
      </c>
      <c r="J80" s="146">
        <f>SUMIFS(FACILITIES!K:K,FACILITIES!$B:$B,B80)</f>
        <v>0</v>
      </c>
      <c r="K80" s="146">
        <f>SUMIFS(FACILITIES!L:L,FACILITIES!$B:$B,B80)</f>
        <v>0</v>
      </c>
      <c r="L80" s="146">
        <f>SUMIFS(FACILITIES!M:M,FACILITIES!$B:$B,B80)</f>
        <v>0</v>
      </c>
      <c r="M80" s="146">
        <f>SUMIFS(FACILITIES!N:N,FACILITIES!$B:$B,B80)</f>
        <v>0</v>
      </c>
      <c r="N80" s="146">
        <f>SUMIFS(FACILITIES!O:O,FACILITIES!$B:$B,B80)</f>
        <v>0</v>
      </c>
      <c r="O80" s="146">
        <f>SUMIFS(FACILITIES!P:P,FACILITIES!$B:$B,B80)</f>
        <v>0</v>
      </c>
      <c r="P80" s="146">
        <f>SUMIFS(FACILITIES!Q:Q,FACILITIES!$B:$B,B80)</f>
        <v>0</v>
      </c>
      <c r="Q80" s="146">
        <f>SUMIFS(FACILITIES!R:R,FACILITIES!$B:$B,B80)</f>
        <v>0</v>
      </c>
      <c r="R80" s="146">
        <f>SUMIFS(FACILITIES!T:T,FACILITIES!B:B,B80)</f>
        <v>0</v>
      </c>
      <c r="S80" s="146">
        <f>SUMIFS(FACILITIES!S:S,FACILITIES!B:B,B80)</f>
        <v>0</v>
      </c>
      <c r="T80" s="146">
        <f>SUMIFS('F &amp; B'!G:G,'F &amp; B'!B:B,B80)</f>
        <v>47810</v>
      </c>
      <c r="U80" s="210">
        <f t="shared" si="7"/>
        <v>7171.5</v>
      </c>
      <c r="V80" s="146">
        <f>SUMIFS('FIXED AMOUNT'!G:G,'FIXED AMOUNT'!B:B,B80)</f>
        <v>7000</v>
      </c>
      <c r="W80" s="124">
        <f t="shared" si="6"/>
        <v>68481.5</v>
      </c>
      <c r="X80" s="124">
        <f>SUMIFS('FIXED AMOUNT'!E:E,'FIXED AMOUNT'!B:B,'data base '!B:B)</f>
        <v>0</v>
      </c>
      <c r="Y80" s="124">
        <f>SUMIFS('FIXED AMOUNT'!F:F,'FIXED AMOUNT'!B:B,'data base '!B:B)</f>
        <v>0</v>
      </c>
      <c r="Z80" s="124">
        <f>SUMIFS('FIXED AMOUNT'!V:V,'FIXED AMOUNT'!B:B,B:B)</f>
        <v>0</v>
      </c>
      <c r="AA80" s="124">
        <f t="shared" si="8"/>
        <v>68481.5</v>
      </c>
      <c r="AB80" s="207">
        <f t="shared" si="9"/>
        <v>6848.1500000000005</v>
      </c>
      <c r="AC80" s="204">
        <v>45945</v>
      </c>
      <c r="AD80" s="124">
        <f t="shared" si="10"/>
        <v>75329.649999999994</v>
      </c>
      <c r="AE80" s="208"/>
    </row>
    <row r="81" spans="1:31">
      <c r="A81">
        <v>80</v>
      </c>
      <c r="B81" t="s">
        <v>373</v>
      </c>
      <c r="C81" t="s">
        <v>381</v>
      </c>
      <c r="D81" s="146">
        <f>SUMIFS(FACILITIES!E:E,FACILITIES!$B:$B,B81)</f>
        <v>0</v>
      </c>
      <c r="E81" s="146">
        <f>SUMIFS(FACILITIES!F:F,FACILITIES!$B:$B,$B81)</f>
        <v>2400</v>
      </c>
      <c r="F81" s="146">
        <f>SUMIFS(FACILITIES!G:G,FACILITIES!$B:$B,B81)</f>
        <v>0</v>
      </c>
      <c r="G81" s="146">
        <f>SUMIFS(FACILITIES!H:H,FACILITIES!$B:$B,B81)</f>
        <v>3000</v>
      </c>
      <c r="H81" s="146">
        <f>SUMIFS(FACILITIES!I:I,FACILITIES!$B:$B,B81)</f>
        <v>0</v>
      </c>
      <c r="I81" s="146">
        <f>SUMIFS(FACILITIES!J:J,FACILITIES!$B:$B,B81)</f>
        <v>3300</v>
      </c>
      <c r="J81" s="146">
        <f>SUMIFS(FACILITIES!K:K,FACILITIES!$B:$B,B81)</f>
        <v>0</v>
      </c>
      <c r="K81" s="146">
        <f>SUMIFS(FACILITIES!L:L,FACILITIES!$B:$B,B81)</f>
        <v>0</v>
      </c>
      <c r="L81" s="146">
        <f>SUMIFS(FACILITIES!M:M,FACILITIES!$B:$B,B81)</f>
        <v>0</v>
      </c>
      <c r="M81" s="146">
        <f>SUMIFS(FACILITIES!N:N,FACILITIES!$B:$B,B81)</f>
        <v>0</v>
      </c>
      <c r="N81" s="146">
        <f>SUMIFS(FACILITIES!O:O,FACILITIES!$B:$B,B81)</f>
        <v>5500</v>
      </c>
      <c r="O81" s="146">
        <f>SUMIFS(FACILITIES!P:P,FACILITIES!$B:$B,B81)</f>
        <v>0</v>
      </c>
      <c r="P81" s="146">
        <f>SUMIFS(FACILITIES!Q:Q,FACILITIES!$B:$B,B81)</f>
        <v>0</v>
      </c>
      <c r="Q81" s="146">
        <f>SUMIFS(FACILITIES!R:R,FACILITIES!$B:$B,B81)</f>
        <v>0</v>
      </c>
      <c r="R81" s="146">
        <f>SUMIFS(FACILITIES!T:T,FACILITIES!B:B,B81)</f>
        <v>0</v>
      </c>
      <c r="S81" s="146">
        <f>SUMIFS(FACILITIES!S:S,FACILITIES!B:B,B81)</f>
        <v>0</v>
      </c>
      <c r="T81" s="146">
        <f>SUMIFS('F &amp; B'!G:G,'F &amp; B'!B:B,B81)</f>
        <v>239800</v>
      </c>
      <c r="U81" s="210">
        <f t="shared" si="7"/>
        <v>35970</v>
      </c>
      <c r="V81" s="146">
        <f>SUMIFS('FIXED AMOUNT'!G:G,'FIXED AMOUNT'!B:B,B81)</f>
        <v>7000</v>
      </c>
      <c r="W81" s="124">
        <f t="shared" si="6"/>
        <v>296970</v>
      </c>
      <c r="X81" s="124">
        <f>SUMIFS('FIXED AMOUNT'!E:E,'FIXED AMOUNT'!B:B,'data base '!B:B)</f>
        <v>0</v>
      </c>
      <c r="Y81" s="124">
        <f>SUMIFS('FIXED AMOUNT'!F:F,'FIXED AMOUNT'!B:B,'data base '!B:B)</f>
        <v>0</v>
      </c>
      <c r="Z81" s="124">
        <f>SUMIFS('FIXED AMOUNT'!V:V,'FIXED AMOUNT'!B:B,B:B)</f>
        <v>0</v>
      </c>
      <c r="AA81" s="124">
        <f t="shared" si="8"/>
        <v>296970</v>
      </c>
      <c r="AB81" s="207">
        <f t="shared" si="9"/>
        <v>29697</v>
      </c>
      <c r="AC81" s="204">
        <v>45945</v>
      </c>
      <c r="AD81" s="124">
        <f t="shared" si="10"/>
        <v>326667</v>
      </c>
      <c r="AE81" s="208"/>
    </row>
    <row r="82" spans="1:31">
      <c r="A82">
        <v>81</v>
      </c>
      <c r="B82" t="s">
        <v>378</v>
      </c>
      <c r="C82" t="s">
        <v>382</v>
      </c>
      <c r="D82" s="146">
        <f>SUMIFS(FACILITIES!E:E,FACILITIES!$B:$B,B82)</f>
        <v>0</v>
      </c>
      <c r="E82" s="146">
        <f>SUMIFS(FACILITIES!F:F,FACILITIES!$B:$B,$B82)</f>
        <v>0</v>
      </c>
      <c r="F82" s="146">
        <f>SUMIFS(FACILITIES!G:G,FACILITIES!$B:$B,B82)</f>
        <v>0</v>
      </c>
      <c r="G82" s="146">
        <f>SUMIFS(FACILITIES!H:H,FACILITIES!$B:$B,B82)</f>
        <v>0</v>
      </c>
      <c r="H82" s="146">
        <f>SUMIFS(FACILITIES!I:I,FACILITIES!$B:$B,B82)</f>
        <v>0</v>
      </c>
      <c r="I82" s="146">
        <f>SUMIFS(FACILITIES!J:J,FACILITIES!$B:$B,B82)</f>
        <v>0</v>
      </c>
      <c r="J82" s="146">
        <f>SUMIFS(FACILITIES!K:K,FACILITIES!$B:$B,B82)</f>
        <v>600</v>
      </c>
      <c r="K82" s="146">
        <f>SUMIFS(FACILITIES!L:L,FACILITIES!$B:$B,B82)</f>
        <v>0</v>
      </c>
      <c r="L82" s="146">
        <f>SUMIFS(FACILITIES!M:M,FACILITIES!$B:$B,B82)</f>
        <v>0</v>
      </c>
      <c r="M82" s="146">
        <f>SUMIFS(FACILITIES!N:N,FACILITIES!$B:$B,B82)</f>
        <v>0</v>
      </c>
      <c r="N82" s="146">
        <f>SUMIFS(FACILITIES!O:O,FACILITIES!$B:$B,B82)</f>
        <v>0</v>
      </c>
      <c r="O82" s="146">
        <f>SUMIFS(FACILITIES!P:P,FACILITIES!$B:$B,B82)</f>
        <v>7950</v>
      </c>
      <c r="P82" s="146">
        <f>SUMIFS(FACILITIES!Q:Q,FACILITIES!$B:$B,B82)</f>
        <v>0</v>
      </c>
      <c r="Q82" s="146">
        <f>SUMIFS(FACILITIES!R:R,FACILITIES!$B:$B,B82)</f>
        <v>0</v>
      </c>
      <c r="R82" s="146">
        <f>SUMIFS(FACILITIES!T:T,FACILITIES!B:B,B82)</f>
        <v>0</v>
      </c>
      <c r="S82" s="146">
        <f>SUMIFS(FACILITIES!S:S,FACILITIES!B:B,B82)</f>
        <v>0</v>
      </c>
      <c r="T82" s="146">
        <f>SUMIFS('F &amp; B'!G:G,'F &amp; B'!B:B,B82)</f>
        <v>12540</v>
      </c>
      <c r="U82" s="210">
        <f t="shared" si="7"/>
        <v>1881</v>
      </c>
      <c r="V82" s="146">
        <f>SUMIFS('FIXED AMOUNT'!G:G,'FIXED AMOUNT'!B:B,B82)</f>
        <v>7000</v>
      </c>
      <c r="W82" s="124">
        <f t="shared" si="6"/>
        <v>29971</v>
      </c>
      <c r="X82" s="124">
        <f>SUMIFS('FIXED AMOUNT'!E:E,'FIXED AMOUNT'!B:B,'data base '!B:B)</f>
        <v>0</v>
      </c>
      <c r="Y82" s="124">
        <f>SUMIFS('FIXED AMOUNT'!F:F,'FIXED AMOUNT'!B:B,'data base '!B:B)</f>
        <v>0</v>
      </c>
      <c r="Z82" s="124">
        <f>SUMIFS('FIXED AMOUNT'!V:V,'FIXED AMOUNT'!B:B,B:B)</f>
        <v>14113</v>
      </c>
      <c r="AA82" s="124">
        <f t="shared" si="8"/>
        <v>44084</v>
      </c>
      <c r="AB82" s="207">
        <f t="shared" si="9"/>
        <v>2997.1000000000004</v>
      </c>
      <c r="AC82" s="204">
        <v>45945</v>
      </c>
      <c r="AD82" s="124">
        <f t="shared" si="10"/>
        <v>47081.1</v>
      </c>
      <c r="AE82" s="208"/>
    </row>
    <row r="83" spans="1:31">
      <c r="A83">
        <v>82</v>
      </c>
      <c r="B83" t="s">
        <v>393</v>
      </c>
      <c r="C83" t="s">
        <v>394</v>
      </c>
      <c r="D83" s="146">
        <f>SUMIFS(FACILITIES!E:E,FACILITIES!$B:$B,B83)</f>
        <v>0</v>
      </c>
      <c r="E83" s="146">
        <f>SUMIFS(FACILITIES!F:F,FACILITIES!$B:$B,$B83)</f>
        <v>0</v>
      </c>
      <c r="F83" s="146">
        <f>SUMIFS(FACILITIES!G:G,FACILITIES!$B:$B,B83)</f>
        <v>0</v>
      </c>
      <c r="G83" s="146">
        <f>SUMIFS(FACILITIES!H:H,FACILITIES!$B:$B,B83)</f>
        <v>0</v>
      </c>
      <c r="H83" s="146">
        <f>SUMIFS(FACILITIES!I:I,FACILITIES!$B:$B,B83)</f>
        <v>0</v>
      </c>
      <c r="I83" s="146">
        <f>SUMIFS(FACILITIES!J:J,FACILITIES!$B:$B,B83)</f>
        <v>0</v>
      </c>
      <c r="J83" s="146">
        <f>SUMIFS(FACILITIES!K:K,FACILITIES!$B:$B,B83)</f>
        <v>0</v>
      </c>
      <c r="K83" s="146">
        <f>SUMIFS(FACILITIES!L:L,FACILITIES!$B:$B,B83)</f>
        <v>0</v>
      </c>
      <c r="L83" s="146">
        <f>SUMIFS(FACILITIES!M:M,FACILITIES!$B:$B,B83)</f>
        <v>0</v>
      </c>
      <c r="M83" s="146">
        <f>SUMIFS(FACILITIES!N:N,FACILITIES!$B:$B,B83)</f>
        <v>0</v>
      </c>
      <c r="N83" s="146">
        <f>SUMIFS(FACILITIES!O:O,FACILITIES!$B:$B,B83)</f>
        <v>0</v>
      </c>
      <c r="O83" s="146">
        <f>SUMIFS(FACILITIES!P:P,FACILITIES!$B:$B,B83)</f>
        <v>0</v>
      </c>
      <c r="P83" s="146">
        <f>SUMIFS(FACILITIES!Q:Q,FACILITIES!$B:$B,B83)</f>
        <v>0</v>
      </c>
      <c r="Q83" s="146">
        <f>SUMIFS(FACILITIES!R:R,FACILITIES!$B:$B,B83)</f>
        <v>0</v>
      </c>
      <c r="R83" s="146">
        <f>SUMIFS(FACILITIES!T:T,FACILITIES!B:B,B83)</f>
        <v>0</v>
      </c>
      <c r="S83" s="146">
        <f>SUMIFS(FACILITIES!S:S,FACILITIES!B:B,B83)</f>
        <v>0</v>
      </c>
      <c r="T83" s="146">
        <f>SUMIFS('F &amp; B'!G:G,'F &amp; B'!B:B,B83)</f>
        <v>0</v>
      </c>
      <c r="U83" s="210">
        <f t="shared" si="7"/>
        <v>0</v>
      </c>
      <c r="V83" s="146">
        <f>SUMIFS('FIXED AMOUNT'!G:G,'FIXED AMOUNT'!B:B,B83)</f>
        <v>7000</v>
      </c>
      <c r="W83" s="124">
        <f t="shared" si="6"/>
        <v>7000</v>
      </c>
      <c r="X83" s="124">
        <f>SUMIFS('FIXED AMOUNT'!E:E,'FIXED AMOUNT'!B:B,'data base '!B:B)</f>
        <v>0</v>
      </c>
      <c r="Y83" s="124">
        <f>SUMIFS('FIXED AMOUNT'!F:F,'FIXED AMOUNT'!B:B,'data base '!B:B)</f>
        <v>0</v>
      </c>
      <c r="Z83" s="124">
        <f>SUMIFS('FIXED AMOUNT'!V:V,'FIXED AMOUNT'!B:B,B:B)</f>
        <v>0</v>
      </c>
      <c r="AA83" s="124">
        <f t="shared" si="8"/>
        <v>7000</v>
      </c>
      <c r="AB83" s="207">
        <f t="shared" si="9"/>
        <v>700</v>
      </c>
      <c r="AC83" s="204">
        <v>45945</v>
      </c>
      <c r="AD83" s="124">
        <f t="shared" si="10"/>
        <v>7700</v>
      </c>
      <c r="AE83" s="208"/>
    </row>
    <row r="84" spans="1:31">
      <c r="A84">
        <v>83</v>
      </c>
      <c r="B84" t="s">
        <v>395</v>
      </c>
      <c r="C84" t="s">
        <v>396</v>
      </c>
      <c r="D84" s="146">
        <f>SUMIFS(FACILITIES!E:E,FACILITIES!$B:$B,B84)</f>
        <v>0</v>
      </c>
      <c r="E84" s="146">
        <f>SUMIFS(FACILITIES!F:F,FACILITIES!$B:$B,$B84)</f>
        <v>0</v>
      </c>
      <c r="F84" s="146">
        <f>SUMIFS(FACILITIES!G:G,FACILITIES!$B:$B,B84)</f>
        <v>0</v>
      </c>
      <c r="G84" s="146">
        <f>SUMIFS(FACILITIES!H:H,FACILITIES!$B:$B,B84)</f>
        <v>0</v>
      </c>
      <c r="H84" s="146">
        <f>SUMIFS(FACILITIES!I:I,FACILITIES!$B:$B,B84)</f>
        <v>0</v>
      </c>
      <c r="I84" s="146">
        <f>SUMIFS(FACILITIES!J:J,FACILITIES!$B:$B,B84)</f>
        <v>0</v>
      </c>
      <c r="J84" s="146">
        <f>SUMIFS(FACILITIES!K:K,FACILITIES!$B:$B,B84)</f>
        <v>0</v>
      </c>
      <c r="K84" s="146">
        <f>SUMIFS(FACILITIES!L:L,FACILITIES!$B:$B,B84)</f>
        <v>0</v>
      </c>
      <c r="L84" s="146">
        <f>SUMIFS(FACILITIES!M:M,FACILITIES!$B:$B,B84)</f>
        <v>0</v>
      </c>
      <c r="M84" s="146">
        <f>SUMIFS(FACILITIES!N:N,FACILITIES!$B:$B,B84)</f>
        <v>0</v>
      </c>
      <c r="N84" s="146">
        <f>SUMIFS(FACILITIES!O:O,FACILITIES!$B:$B,B84)</f>
        <v>0</v>
      </c>
      <c r="O84" s="146">
        <f>SUMIFS(FACILITIES!P:P,FACILITIES!$B:$B,B84)</f>
        <v>0</v>
      </c>
      <c r="P84" s="146">
        <f>SUMIFS(FACILITIES!Q:Q,FACILITIES!$B:$B,B84)</f>
        <v>0</v>
      </c>
      <c r="Q84" s="146">
        <f>SUMIFS(FACILITIES!R:R,FACILITIES!$B:$B,B84)</f>
        <v>0</v>
      </c>
      <c r="R84" s="146">
        <f>SUMIFS(FACILITIES!T:T,FACILITIES!B:B,B84)</f>
        <v>0</v>
      </c>
      <c r="S84" s="146">
        <f>SUMIFS(FACILITIES!S:S,FACILITIES!B:B,B84)</f>
        <v>0</v>
      </c>
      <c r="T84" s="146">
        <f>SUMIFS('F &amp; B'!G:G,'F &amp; B'!B:B,B84)</f>
        <v>94400</v>
      </c>
      <c r="U84" s="210"/>
      <c r="V84" s="146">
        <f>SUMIFS('FIXED AMOUNT'!G:G,'FIXED AMOUNT'!B:B,B84)</f>
        <v>0</v>
      </c>
      <c r="W84" s="124">
        <f t="shared" si="6"/>
        <v>94400</v>
      </c>
      <c r="X84" s="124">
        <f>SUMIFS('FIXED AMOUNT'!E:E,'FIXED AMOUNT'!B:B,'data base '!B:B)</f>
        <v>0</v>
      </c>
      <c r="Y84" s="124">
        <f>SUMIFS('FIXED AMOUNT'!F:F,'FIXED AMOUNT'!B:B,'data base '!B:B)</f>
        <v>0</v>
      </c>
      <c r="Z84" s="124">
        <f>SUMIFS('FIXED AMOUNT'!V:V,'FIXED AMOUNT'!B:B,B:B)</f>
        <v>0</v>
      </c>
      <c r="AA84" s="124">
        <f t="shared" si="8"/>
        <v>94400</v>
      </c>
      <c r="AB84" s="207">
        <f t="shared" si="9"/>
        <v>9440</v>
      </c>
      <c r="AC84" s="204">
        <v>45945</v>
      </c>
      <c r="AD84" s="124">
        <f t="shared" si="10"/>
        <v>103840</v>
      </c>
      <c r="AE84" s="208"/>
    </row>
    <row r="85" spans="1:31">
      <c r="A85">
        <v>84</v>
      </c>
      <c r="B85" t="s">
        <v>383</v>
      </c>
      <c r="C85" t="s">
        <v>384</v>
      </c>
      <c r="D85" s="146">
        <f>SUMIFS(FACILITIES!E:E,FACILITIES!$B:$B,B85)</f>
        <v>0</v>
      </c>
      <c r="E85" s="146">
        <f>SUMIFS(FACILITIES!F:F,FACILITIES!$B:$B,$B85)</f>
        <v>0</v>
      </c>
      <c r="F85" s="146">
        <f>SUMIFS(FACILITIES!G:G,FACILITIES!$B:$B,B85)</f>
        <v>0</v>
      </c>
      <c r="G85" s="146">
        <f>SUMIFS(FACILITIES!H:H,FACILITIES!$B:$B,B85)</f>
        <v>0</v>
      </c>
      <c r="H85" s="146">
        <f>SUMIFS(FACILITIES!I:I,FACILITIES!$B:$B,B85)</f>
        <v>0</v>
      </c>
      <c r="I85" s="146">
        <f>SUMIFS(FACILITIES!J:J,FACILITIES!$B:$B,B85)</f>
        <v>0</v>
      </c>
      <c r="J85" s="146">
        <f>SUMIFS(FACILITIES!K:K,FACILITIES!$B:$B,B85)</f>
        <v>0</v>
      </c>
      <c r="K85" s="146">
        <f>SUMIFS(FACILITIES!L:L,FACILITIES!$B:$B,B85)</f>
        <v>0</v>
      </c>
      <c r="L85" s="146">
        <f>SUMIFS(FACILITIES!M:M,FACILITIES!$B:$B,B85)</f>
        <v>0</v>
      </c>
      <c r="M85" s="146">
        <f>SUMIFS(FACILITIES!N:N,FACILITIES!$B:$B,B85)</f>
        <v>0</v>
      </c>
      <c r="N85" s="146">
        <f>SUMIFS(FACILITIES!O:O,FACILITIES!$B:$B,B85)</f>
        <v>0</v>
      </c>
      <c r="O85" s="146">
        <f>SUMIFS(FACILITIES!P:P,FACILITIES!$B:$B,B85)</f>
        <v>0</v>
      </c>
      <c r="P85" s="146">
        <f>SUMIFS(FACILITIES!Q:Q,FACILITIES!$B:$B,B85)</f>
        <v>0</v>
      </c>
      <c r="Q85" s="146">
        <f>SUMIFS(FACILITIES!R:R,FACILITIES!$B:$B,B85)</f>
        <v>0</v>
      </c>
      <c r="R85" s="146">
        <f>SUMIFS(FACILITIES!T:T,FACILITIES!B:B,B85)</f>
        <v>0</v>
      </c>
      <c r="S85" s="146">
        <f>SUMIFS(FACILITIES!S:S,FACILITIES!B:B,B85)</f>
        <v>0</v>
      </c>
      <c r="T85" s="146">
        <f>SUMIFS('F &amp; B'!G:G,'F &amp; B'!B:B,B85)</f>
        <v>0</v>
      </c>
      <c r="U85" s="210">
        <f t="shared" si="7"/>
        <v>0</v>
      </c>
      <c r="V85" s="146">
        <f>SUMIFS('FIXED AMOUNT'!G:G,'FIXED AMOUNT'!B:B,B85)</f>
        <v>7000</v>
      </c>
      <c r="W85" s="124">
        <f t="shared" si="6"/>
        <v>7000</v>
      </c>
      <c r="X85" s="124">
        <f>SUMIFS('FIXED AMOUNT'!E:E,'FIXED AMOUNT'!B:B,'data base '!B:B)</f>
        <v>0</v>
      </c>
      <c r="Y85" s="124">
        <f>SUMIFS('FIXED AMOUNT'!F:F,'FIXED AMOUNT'!B:B,'data base '!B:B)</f>
        <v>0</v>
      </c>
      <c r="Z85" s="124">
        <f>SUMIFS('FIXED AMOUNT'!V:V,'FIXED AMOUNT'!B:B,B:B)</f>
        <v>15225</v>
      </c>
      <c r="AA85" s="124">
        <f t="shared" si="8"/>
        <v>22225</v>
      </c>
      <c r="AB85" s="207">
        <f t="shared" si="9"/>
        <v>700</v>
      </c>
      <c r="AC85" s="204">
        <v>45945</v>
      </c>
      <c r="AD85" s="124">
        <f t="shared" si="10"/>
        <v>22925</v>
      </c>
      <c r="AE85" s="208"/>
    </row>
    <row r="86" spans="1:31">
      <c r="A86">
        <v>85</v>
      </c>
      <c r="B86" t="s">
        <v>385</v>
      </c>
      <c r="C86" t="s">
        <v>386</v>
      </c>
      <c r="D86" s="146">
        <f>SUMIFS(FACILITIES!E:E,FACILITIES!$B:$B,B86)</f>
        <v>0</v>
      </c>
      <c r="E86" s="146">
        <f>SUMIFS(FACILITIES!F:F,FACILITIES!$B:$B,$B86)</f>
        <v>750</v>
      </c>
      <c r="F86" s="146">
        <f>SUMIFS(FACILITIES!G:G,FACILITIES!$B:$B,B86)</f>
        <v>0</v>
      </c>
      <c r="G86" s="146">
        <f>SUMIFS(FACILITIES!H:H,FACILITIES!$B:$B,B86)</f>
        <v>0</v>
      </c>
      <c r="H86" s="146">
        <f>SUMIFS(FACILITIES!I:I,FACILITIES!$B:$B,B86)</f>
        <v>0</v>
      </c>
      <c r="I86" s="146">
        <f>SUMIFS(FACILITIES!J:J,FACILITIES!$B:$B,B86)</f>
        <v>1600</v>
      </c>
      <c r="J86" s="146">
        <f>SUMIFS(FACILITIES!K:K,FACILITIES!$B:$B,B86)</f>
        <v>1500</v>
      </c>
      <c r="K86" s="146">
        <f>SUMIFS(FACILITIES!L:L,FACILITIES!$B:$B,B86)</f>
        <v>0</v>
      </c>
      <c r="L86" s="146">
        <f>SUMIFS(FACILITIES!M:M,FACILITIES!$B:$B,B86)</f>
        <v>0</v>
      </c>
      <c r="M86" s="146">
        <f>SUMIFS(FACILITIES!N:N,FACILITIES!$B:$B,B86)</f>
        <v>0</v>
      </c>
      <c r="N86" s="146">
        <f>SUMIFS(FACILITIES!O:O,FACILITIES!$B:$B,B86)</f>
        <v>0</v>
      </c>
      <c r="O86" s="146">
        <f>SUMIFS(FACILITIES!P:P,FACILITIES!$B:$B,B86)</f>
        <v>0</v>
      </c>
      <c r="P86" s="146">
        <f>SUMIFS(FACILITIES!Q:Q,FACILITIES!$B:$B,B86)</f>
        <v>0</v>
      </c>
      <c r="Q86" s="146">
        <f>SUMIFS(FACILITIES!R:R,FACILITIES!$B:$B,B86)</f>
        <v>0</v>
      </c>
      <c r="R86" s="146">
        <f>SUMIFS(FACILITIES!T:T,FACILITIES!B:B,B86)</f>
        <v>0</v>
      </c>
      <c r="S86" s="146">
        <f>SUMIFS(FACILITIES!S:S,FACILITIES!B:B,B86)</f>
        <v>0</v>
      </c>
      <c r="T86" s="146">
        <f>SUMIFS('F &amp; B'!G:G,'F &amp; B'!B:B,B86)</f>
        <v>21714</v>
      </c>
      <c r="U86" s="210">
        <f t="shared" si="7"/>
        <v>3257.1</v>
      </c>
      <c r="V86" s="146">
        <f>SUMIFS('FIXED AMOUNT'!G:G,'FIXED AMOUNT'!B:B,B86)</f>
        <v>7000</v>
      </c>
      <c r="W86" s="124">
        <f t="shared" si="6"/>
        <v>35821.1</v>
      </c>
      <c r="X86" s="124">
        <f>SUMIFS('FIXED AMOUNT'!E:E,'FIXED AMOUNT'!B:B,'data base '!B:B)</f>
        <v>0</v>
      </c>
      <c r="Y86" s="124">
        <f>SUMIFS('FIXED AMOUNT'!F:F,'FIXED AMOUNT'!B:B,'data base '!B:B)</f>
        <v>0</v>
      </c>
      <c r="Z86" s="124">
        <f>SUMIFS('FIXED AMOUNT'!V:V,'FIXED AMOUNT'!B:B,B:B)</f>
        <v>7926</v>
      </c>
      <c r="AA86" s="124">
        <f t="shared" si="8"/>
        <v>43747.1</v>
      </c>
      <c r="AB86" s="207">
        <f t="shared" si="9"/>
        <v>3582.11</v>
      </c>
      <c r="AC86" s="204">
        <v>45945</v>
      </c>
      <c r="AD86" s="124">
        <f t="shared" si="10"/>
        <v>47329.21</v>
      </c>
      <c r="AE86" s="208"/>
    </row>
    <row r="87" spans="1:31">
      <c r="A87">
        <v>86</v>
      </c>
      <c r="B87" t="s">
        <v>388</v>
      </c>
      <c r="C87" t="s">
        <v>387</v>
      </c>
      <c r="D87" s="146">
        <f>SUMIFS(FACILITIES!E:E,FACILITIES!$B:$B,B87)</f>
        <v>0</v>
      </c>
      <c r="E87" s="146">
        <f>SUMIFS(FACILITIES!F:F,FACILITIES!$B:$B,$B87)</f>
        <v>0</v>
      </c>
      <c r="F87" s="146">
        <f>SUMIFS(FACILITIES!G:G,FACILITIES!$B:$B,B87)</f>
        <v>0</v>
      </c>
      <c r="G87" s="146">
        <f>SUMIFS(FACILITIES!H:H,FACILITIES!$B:$B,B87)</f>
        <v>0</v>
      </c>
      <c r="H87" s="146">
        <f>SUMIFS(FACILITIES!I:I,FACILITIES!$B:$B,B87)</f>
        <v>0</v>
      </c>
      <c r="I87" s="146">
        <f>SUMIFS(FACILITIES!J:J,FACILITIES!$B:$B,B87)</f>
        <v>0</v>
      </c>
      <c r="J87" s="146">
        <f>SUMIFS(FACILITIES!K:K,FACILITIES!$B:$B,B87)</f>
        <v>0</v>
      </c>
      <c r="K87" s="146">
        <f>SUMIFS(FACILITIES!L:L,FACILITIES!$B:$B,B87)</f>
        <v>0</v>
      </c>
      <c r="L87" s="146">
        <f>SUMIFS(FACILITIES!M:M,FACILITIES!$B:$B,B87)</f>
        <v>0</v>
      </c>
      <c r="M87" s="146">
        <f>SUMIFS(FACILITIES!N:N,FACILITIES!$B:$B,B87)</f>
        <v>0</v>
      </c>
      <c r="N87" s="146">
        <f>SUMIFS(FACILITIES!O:O,FACILITIES!$B:$B,B87)</f>
        <v>0</v>
      </c>
      <c r="O87" s="146">
        <f>SUMIFS(FACILITIES!P:P,FACILITIES!$B:$B,B87)</f>
        <v>0</v>
      </c>
      <c r="P87" s="146">
        <f>SUMIFS(FACILITIES!Q:Q,FACILITIES!$B:$B,B87)</f>
        <v>0</v>
      </c>
      <c r="Q87" s="146">
        <f>SUMIFS(FACILITIES!R:R,FACILITIES!$B:$B,B87)</f>
        <v>0</v>
      </c>
      <c r="R87" s="146">
        <f>SUMIFS(FACILITIES!T:T,FACILITIES!B:B,B87)</f>
        <v>0</v>
      </c>
      <c r="S87" s="146">
        <f>SUMIFS(FACILITIES!S:S,FACILITIES!B:B,B87)</f>
        <v>0</v>
      </c>
      <c r="T87" s="146">
        <f>SUMIFS('F &amp; B'!G:G,'F &amp; B'!B:B,B87)</f>
        <v>76200</v>
      </c>
      <c r="U87" s="210">
        <f t="shared" si="7"/>
        <v>11430</v>
      </c>
      <c r="V87" s="146">
        <f>SUMIFS('FIXED AMOUNT'!G:G,'FIXED AMOUNT'!B:B,B87)</f>
        <v>7000</v>
      </c>
      <c r="W87" s="124">
        <f t="shared" si="6"/>
        <v>94630</v>
      </c>
      <c r="X87" s="124">
        <f>SUMIFS('FIXED AMOUNT'!E:E,'FIXED AMOUNT'!B:B,'data base '!B:B)</f>
        <v>0</v>
      </c>
      <c r="Y87" s="124">
        <f>SUMIFS('FIXED AMOUNT'!F:F,'FIXED AMOUNT'!B:B,'data base '!B:B)</f>
        <v>0</v>
      </c>
      <c r="Z87" s="124">
        <f>SUMIFS('FIXED AMOUNT'!V:V,'FIXED AMOUNT'!B:B,B:B)</f>
        <v>0</v>
      </c>
      <c r="AA87" s="124">
        <f t="shared" si="8"/>
        <v>94630</v>
      </c>
      <c r="AB87" s="207">
        <f t="shared" si="9"/>
        <v>9463</v>
      </c>
      <c r="AC87" s="204">
        <v>45945</v>
      </c>
      <c r="AD87" s="124">
        <f t="shared" si="10"/>
        <v>104093</v>
      </c>
      <c r="AE87" s="208"/>
    </row>
    <row r="88" spans="1:31">
      <c r="A88">
        <v>87</v>
      </c>
      <c r="B88" t="s">
        <v>376</v>
      </c>
      <c r="C88" t="s">
        <v>389</v>
      </c>
      <c r="D88" s="146">
        <f>SUMIFS(FACILITIES!E:E,FACILITIES!$B:$B,B88)</f>
        <v>0</v>
      </c>
      <c r="E88" s="146">
        <f>SUMIFS(FACILITIES!F:F,FACILITIES!$B:$B,$B88)</f>
        <v>0</v>
      </c>
      <c r="F88" s="146">
        <f>SUMIFS(FACILITIES!G:G,FACILITIES!$B:$B,B88)</f>
        <v>0</v>
      </c>
      <c r="G88" s="146">
        <f>SUMIFS(FACILITIES!H:H,FACILITIES!$B:$B,B88)</f>
        <v>0</v>
      </c>
      <c r="H88" s="146">
        <f>SUMIFS(FACILITIES!I:I,FACILITIES!$B:$B,B88)</f>
        <v>0</v>
      </c>
      <c r="I88" s="146">
        <f>SUMIFS(FACILITIES!J:J,FACILITIES!$B:$B,B88)</f>
        <v>2800</v>
      </c>
      <c r="J88" s="146">
        <f>SUMIFS(FACILITIES!K:K,FACILITIES!$B:$B,B88)</f>
        <v>0</v>
      </c>
      <c r="K88" s="146">
        <f>SUMIFS(FACILITIES!L:L,FACILITIES!$B:$B,B88)</f>
        <v>0</v>
      </c>
      <c r="L88" s="146">
        <f>SUMIFS(FACILITIES!M:M,FACILITIES!$B:$B,B88)</f>
        <v>0</v>
      </c>
      <c r="M88" s="146">
        <f>SUMIFS(FACILITIES!N:N,FACILITIES!$B:$B,B88)</f>
        <v>0</v>
      </c>
      <c r="N88" s="146">
        <f>SUMIFS(FACILITIES!O:O,FACILITIES!$B:$B,B88)</f>
        <v>5500</v>
      </c>
      <c r="O88" s="146">
        <f>SUMIFS(FACILITIES!P:P,FACILITIES!$B:$B,B88)</f>
        <v>0</v>
      </c>
      <c r="P88" s="146">
        <f>SUMIFS(FACILITIES!Q:Q,FACILITIES!$B:$B,B88)</f>
        <v>0</v>
      </c>
      <c r="Q88" s="146">
        <f>SUMIFS(FACILITIES!R:R,FACILITIES!$B:$B,B88)</f>
        <v>0</v>
      </c>
      <c r="R88" s="146">
        <f>SUMIFS(FACILITIES!T:T,FACILITIES!B:B,B88)</f>
        <v>0</v>
      </c>
      <c r="S88" s="146">
        <f>SUMIFS(FACILITIES!S:S,FACILITIES!B:B,B88)</f>
        <v>0</v>
      </c>
      <c r="T88" s="146">
        <f>SUMIFS('F &amp; B'!G:G,'F &amp; B'!B:B,B88)</f>
        <v>16250</v>
      </c>
      <c r="U88" s="210">
        <f t="shared" si="7"/>
        <v>2437.5</v>
      </c>
      <c r="V88" s="146">
        <f>SUMIFS('FIXED AMOUNT'!G:G,'FIXED AMOUNT'!B:B,B88)</f>
        <v>7000</v>
      </c>
      <c r="W88" s="124">
        <f t="shared" si="6"/>
        <v>33987.5</v>
      </c>
      <c r="X88" s="124">
        <f>SUMIFS('FIXED AMOUNT'!E:E,'FIXED AMOUNT'!B:B,'data base '!B:B)</f>
        <v>0</v>
      </c>
      <c r="Y88" s="124">
        <f>SUMIFS('FIXED AMOUNT'!F:F,'FIXED AMOUNT'!B:B,'data base '!B:B)</f>
        <v>0</v>
      </c>
      <c r="Z88" s="124">
        <f>SUMIFS('FIXED AMOUNT'!V:V,'FIXED AMOUNT'!B:B,B:B)</f>
        <v>2085</v>
      </c>
      <c r="AA88" s="124">
        <f t="shared" si="8"/>
        <v>36072.5</v>
      </c>
      <c r="AB88" s="207">
        <f t="shared" si="9"/>
        <v>3398.75</v>
      </c>
      <c r="AC88" s="204">
        <v>45945</v>
      </c>
      <c r="AD88" s="124">
        <f t="shared" si="10"/>
        <v>39471.25</v>
      </c>
      <c r="AE88" s="208"/>
    </row>
    <row r="89" spans="1:31">
      <c r="A89">
        <v>88</v>
      </c>
      <c r="B89" t="s">
        <v>428</v>
      </c>
      <c r="C89" t="s">
        <v>429</v>
      </c>
      <c r="D89" s="146">
        <f>SUMIFS(FACILITIES!E:E,FACILITIES!$B:$B,B89)</f>
        <v>0</v>
      </c>
      <c r="E89" s="146">
        <f>SUMIFS(FACILITIES!F:F,FACILITIES!$B:$B,$B89)</f>
        <v>0</v>
      </c>
      <c r="F89" s="146">
        <f>SUMIFS(FACILITIES!G:G,FACILITIES!$B:$B,B89)</f>
        <v>0</v>
      </c>
      <c r="G89" s="146">
        <f>SUMIFS(FACILITIES!H:H,FACILITIES!$B:$B,B89)</f>
        <v>0</v>
      </c>
      <c r="H89" s="146">
        <f>SUMIFS(FACILITIES!I:I,FACILITIES!$B:$B,B89)</f>
        <v>0</v>
      </c>
      <c r="I89" s="146">
        <f>SUMIFS(FACILITIES!J:J,FACILITIES!$B:$B,B89)</f>
        <v>0</v>
      </c>
      <c r="J89" s="146">
        <f>SUMIFS(FACILITIES!K:K,FACILITIES!$B:$B,B89)</f>
        <v>0</v>
      </c>
      <c r="K89" s="146">
        <f>SUMIFS(FACILITIES!L:L,FACILITIES!$B:$B,B89)</f>
        <v>0</v>
      </c>
      <c r="L89" s="146">
        <f>SUMIFS(FACILITIES!M:M,FACILITIES!$B:$B,B89)</f>
        <v>0</v>
      </c>
      <c r="M89" s="146">
        <f>SUMIFS(FACILITIES!N:N,FACILITIES!$B:$B,B89)</f>
        <v>0</v>
      </c>
      <c r="N89" s="146">
        <f>SUMIFS(FACILITIES!O:O,FACILITIES!$B:$B,B89)</f>
        <v>0</v>
      </c>
      <c r="O89" s="146">
        <f>SUMIFS(FACILITIES!P:P,FACILITIES!$B:$B,B89)</f>
        <v>0</v>
      </c>
      <c r="P89" s="146">
        <f>SUMIFS(FACILITIES!Q:Q,FACILITIES!$B:$B,B89)</f>
        <v>0</v>
      </c>
      <c r="Q89" s="146">
        <f>SUMIFS(FACILITIES!R:R,FACILITIES!$B:$B,B89)</f>
        <v>0</v>
      </c>
      <c r="R89" s="146">
        <f>SUMIFS(FACILITIES!T:T,FACILITIES!B:B,B89)</f>
        <v>365000</v>
      </c>
      <c r="S89" s="146">
        <f>SUMIFS(FACILITIES!S:S,FACILITIES!B:B,B89)</f>
        <v>100000</v>
      </c>
      <c r="T89" s="146">
        <f>SUMIFS('F &amp; B'!G:G,'F &amp; B'!B:B,B89)</f>
        <v>80050</v>
      </c>
      <c r="U89" s="210">
        <f t="shared" si="7"/>
        <v>12007.5</v>
      </c>
      <c r="V89" s="146">
        <f>SUMIFS('FIXED AMOUNT'!G:G,'FIXED AMOUNT'!B:B,B89)</f>
        <v>7000</v>
      </c>
      <c r="W89" s="124">
        <f t="shared" si="6"/>
        <v>564057.5</v>
      </c>
      <c r="X89" s="124">
        <f>SUMIFS('FIXED AMOUNT'!E:E,'FIXED AMOUNT'!B:B,'data base '!B:B)</f>
        <v>0</v>
      </c>
      <c r="Y89" s="124">
        <f>SUMIFS('FIXED AMOUNT'!F:F,'FIXED AMOUNT'!B:B,'data base '!B:B)</f>
        <v>0</v>
      </c>
      <c r="Z89" s="124">
        <f>SUMIFS('FIXED AMOUNT'!V:V,'FIXED AMOUNT'!B:B,B:B)</f>
        <v>0</v>
      </c>
      <c r="AA89" s="124">
        <f t="shared" si="8"/>
        <v>564057.5</v>
      </c>
      <c r="AB89" s="207">
        <f t="shared" si="9"/>
        <v>56405.75</v>
      </c>
      <c r="AC89" s="204">
        <v>45945</v>
      </c>
      <c r="AD89" s="124">
        <f t="shared" si="10"/>
        <v>620463.25</v>
      </c>
      <c r="AE89" s="208"/>
    </row>
    <row r="90" spans="1:31">
      <c r="A90">
        <v>89</v>
      </c>
      <c r="B90" t="s">
        <v>424</v>
      </c>
      <c r="C90" t="s">
        <v>425</v>
      </c>
      <c r="D90" s="146">
        <f>SUMIFS(FACILITIES!E:E,FACILITIES!$B:$B,B90)</f>
        <v>0</v>
      </c>
      <c r="E90" s="146">
        <f>SUMIFS(FACILITIES!F:F,FACILITIES!$B:$B,$B90)</f>
        <v>0</v>
      </c>
      <c r="F90" s="146">
        <f>SUMIFS(FACILITIES!G:G,FACILITIES!$B:$B,B90)</f>
        <v>0</v>
      </c>
      <c r="G90" s="146">
        <f>SUMIFS(FACILITIES!H:H,FACILITIES!$B:$B,B90)</f>
        <v>0</v>
      </c>
      <c r="H90" s="146">
        <f>SUMIFS(FACILITIES!I:I,FACILITIES!$B:$B,B90)</f>
        <v>0</v>
      </c>
      <c r="I90" s="146">
        <f>SUMIFS(FACILITIES!J:J,FACILITIES!$B:$B,B90)</f>
        <v>0</v>
      </c>
      <c r="J90" s="146">
        <f>SUMIFS(FACILITIES!K:K,FACILITIES!$B:$B,B90)</f>
        <v>0</v>
      </c>
      <c r="K90" s="146">
        <f>SUMIFS(FACILITIES!L:L,FACILITIES!$B:$B,B90)</f>
        <v>0</v>
      </c>
      <c r="L90" s="146">
        <f>SUMIFS(FACILITIES!M:M,FACILITIES!$B:$B,B90)</f>
        <v>0</v>
      </c>
      <c r="M90" s="146">
        <f>SUMIFS(FACILITIES!N:N,FACILITIES!$B:$B,B90)</f>
        <v>0</v>
      </c>
      <c r="N90" s="146">
        <f>SUMIFS(FACILITIES!O:O,FACILITIES!$B:$B,B90)</f>
        <v>0</v>
      </c>
      <c r="O90" s="146">
        <f>SUMIFS(FACILITIES!P:P,FACILITIES!$B:$B,B90)</f>
        <v>0</v>
      </c>
      <c r="P90" s="146">
        <f>SUMIFS(FACILITIES!Q:Q,FACILITIES!$B:$B,B90)</f>
        <v>0</v>
      </c>
      <c r="Q90" s="146">
        <f>SUMIFS(FACILITIES!R:R,FACILITIES!$B:$B,B90)</f>
        <v>0</v>
      </c>
      <c r="R90" s="146">
        <f>SUMIFS(FACILITIES!T:T,FACILITIES!B:B,B90)</f>
        <v>0</v>
      </c>
      <c r="S90" s="146">
        <f>SUMIFS(FACILITIES!S:S,FACILITIES!B:B,B90)</f>
        <v>0</v>
      </c>
      <c r="T90" s="146">
        <f>SUMIFS('F &amp; B'!G:G,'F &amp; B'!B:B,B90)</f>
        <v>0</v>
      </c>
      <c r="U90" s="210">
        <f t="shared" si="7"/>
        <v>0</v>
      </c>
      <c r="V90" s="146">
        <f>SUMIFS('FIXED AMOUNT'!G:G,'FIXED AMOUNT'!B:B,B90)</f>
        <v>7000</v>
      </c>
      <c r="W90" s="124">
        <f t="shared" si="6"/>
        <v>7000</v>
      </c>
      <c r="X90" s="124">
        <f>SUMIFS('FIXED AMOUNT'!E:E,'FIXED AMOUNT'!B:B,'data base '!B:B)</f>
        <v>0</v>
      </c>
      <c r="Y90" s="124">
        <f>SUMIFS('FIXED AMOUNT'!F:F,'FIXED AMOUNT'!B:B,'data base '!B:B)</f>
        <v>0</v>
      </c>
      <c r="Z90" s="124">
        <f>SUMIFS('FIXED AMOUNT'!V:V,'FIXED AMOUNT'!B:B,B:B)</f>
        <v>31471</v>
      </c>
      <c r="AA90" s="124">
        <f t="shared" si="8"/>
        <v>38471</v>
      </c>
      <c r="AB90" s="207">
        <f t="shared" si="9"/>
        <v>700</v>
      </c>
      <c r="AC90" s="204">
        <v>45945</v>
      </c>
      <c r="AD90" s="124">
        <f t="shared" si="10"/>
        <v>39171</v>
      </c>
      <c r="AE90" s="208"/>
    </row>
    <row r="91" spans="1:31">
      <c r="A91">
        <v>90</v>
      </c>
      <c r="B91" t="s">
        <v>421</v>
      </c>
      <c r="C91" t="s">
        <v>422</v>
      </c>
      <c r="D91" s="146">
        <f>SUMIFS(FACILITIES!E:E,FACILITIES!$B:$B,B91)</f>
        <v>0</v>
      </c>
      <c r="E91" s="146">
        <f>SUMIFS(FACILITIES!F:F,FACILITIES!$B:$B,$B91)</f>
        <v>0</v>
      </c>
      <c r="F91" s="146">
        <f>SUMIFS(FACILITIES!G:G,FACILITIES!$B:$B,B91)</f>
        <v>0</v>
      </c>
      <c r="G91" s="146">
        <f>SUMIFS(FACILITIES!H:H,FACILITIES!$B:$B,B91)</f>
        <v>0</v>
      </c>
      <c r="H91" s="146">
        <f>SUMIFS(FACILITIES!I:I,FACILITIES!$B:$B,B91)</f>
        <v>0</v>
      </c>
      <c r="I91" s="146">
        <f>SUMIFS(FACILITIES!J:J,FACILITIES!$B:$B,B91)</f>
        <v>0</v>
      </c>
      <c r="J91" s="146">
        <f>SUMIFS(FACILITIES!K:K,FACILITIES!$B:$B,B91)</f>
        <v>0</v>
      </c>
      <c r="K91" s="146">
        <f>SUMIFS(FACILITIES!L:L,FACILITIES!$B:$B,B91)</f>
        <v>0</v>
      </c>
      <c r="L91" s="146">
        <f>SUMIFS(FACILITIES!M:M,FACILITIES!$B:$B,B91)</f>
        <v>0</v>
      </c>
      <c r="M91" s="146">
        <f>SUMIFS(FACILITIES!N:N,FACILITIES!$B:$B,B91)</f>
        <v>0</v>
      </c>
      <c r="N91" s="146">
        <f>SUMIFS(FACILITIES!O:O,FACILITIES!$B:$B,B91)</f>
        <v>0</v>
      </c>
      <c r="O91" s="146">
        <f>SUMIFS(FACILITIES!P:P,FACILITIES!$B:$B,B91)</f>
        <v>0</v>
      </c>
      <c r="P91" s="146">
        <f>SUMIFS(FACILITIES!Q:Q,FACILITIES!$B:$B,B91)</f>
        <v>0</v>
      </c>
      <c r="Q91" s="146">
        <f>SUMIFS(FACILITIES!R:R,FACILITIES!$B:$B,B91)</f>
        <v>0</v>
      </c>
      <c r="R91" s="146">
        <f>SUMIFS(FACILITIES!T:T,FACILITIES!B:B,B91)</f>
        <v>0</v>
      </c>
      <c r="S91" s="146">
        <f>SUMIFS(FACILITIES!S:S,FACILITIES!B:B,B91)</f>
        <v>0</v>
      </c>
      <c r="T91" s="146">
        <f>SUMIFS('F &amp; B'!G:G,'F &amp; B'!B:B,B91)</f>
        <v>0</v>
      </c>
      <c r="U91" s="210">
        <f t="shared" si="7"/>
        <v>0</v>
      </c>
      <c r="V91" s="146">
        <f>SUMIFS('FIXED AMOUNT'!G:G,'FIXED AMOUNT'!B:B,B91)</f>
        <v>7000</v>
      </c>
      <c r="W91" s="124">
        <f t="shared" si="6"/>
        <v>7000</v>
      </c>
      <c r="X91" s="124">
        <f>SUMIFS('FIXED AMOUNT'!E:E,'FIXED AMOUNT'!B:B,'data base '!B:B)</f>
        <v>0</v>
      </c>
      <c r="Y91" s="124">
        <f>SUMIFS('FIXED AMOUNT'!F:F,'FIXED AMOUNT'!B:B,'data base '!B:B)</f>
        <v>0</v>
      </c>
      <c r="Z91" s="124">
        <f>SUMIFS('FIXED AMOUNT'!V:V,'FIXED AMOUNT'!B:B,B:B)</f>
        <v>0</v>
      </c>
      <c r="AA91" s="124">
        <f t="shared" si="8"/>
        <v>7000</v>
      </c>
      <c r="AB91" s="207">
        <f t="shared" si="9"/>
        <v>700</v>
      </c>
      <c r="AC91" s="204">
        <v>45945</v>
      </c>
      <c r="AD91" s="124">
        <f t="shared" si="10"/>
        <v>7700</v>
      </c>
      <c r="AE91" s="208"/>
    </row>
    <row r="92" spans="1:31">
      <c r="A92">
        <v>91</v>
      </c>
      <c r="B92" t="s">
        <v>430</v>
      </c>
      <c r="C92" t="s">
        <v>431</v>
      </c>
      <c r="D92" s="146">
        <f>SUMIFS(FACILITIES!E:E,FACILITIES!$B:$B,B92)</f>
        <v>1200</v>
      </c>
      <c r="E92" s="146">
        <f>SUMIFS(FACILITIES!F:F,FACILITIES!$B:$B,$B92)</f>
        <v>0</v>
      </c>
      <c r="F92" s="146">
        <f>SUMIFS(FACILITIES!G:G,FACILITIES!$B:$B,B92)</f>
        <v>0</v>
      </c>
      <c r="G92" s="146">
        <f>SUMIFS(FACILITIES!H:H,FACILITIES!$B:$B,B92)</f>
        <v>0</v>
      </c>
      <c r="H92" s="146">
        <f>SUMIFS(FACILITIES!I:I,FACILITIES!$B:$B,B92)</f>
        <v>0</v>
      </c>
      <c r="I92" s="146">
        <f>SUMIFS(FACILITIES!J:J,FACILITIES!$B:$B,B92)</f>
        <v>5400</v>
      </c>
      <c r="J92" s="146">
        <f>SUMIFS(FACILITIES!K:K,FACILITIES!$B:$B,B92)</f>
        <v>0</v>
      </c>
      <c r="K92" s="146">
        <f>SUMIFS(FACILITIES!L:L,FACILITIES!$B:$B,B92)</f>
        <v>0</v>
      </c>
      <c r="L92" s="146">
        <f>SUMIFS(FACILITIES!M:M,FACILITIES!$B:$B,B92)</f>
        <v>0</v>
      </c>
      <c r="M92" s="146">
        <f>SUMIFS(FACILITIES!N:N,FACILITIES!$B:$B,B92)</f>
        <v>1500</v>
      </c>
      <c r="N92" s="146">
        <f>SUMIFS(FACILITIES!O:O,FACILITIES!$B:$B,B92)</f>
        <v>0</v>
      </c>
      <c r="O92" s="146">
        <f>SUMIFS(FACILITIES!P:P,FACILITIES!$B:$B,B92)</f>
        <v>11500</v>
      </c>
      <c r="P92" s="146">
        <f>SUMIFS(FACILITIES!Q:Q,FACILITIES!$B:$B,B92)</f>
        <v>0</v>
      </c>
      <c r="Q92" s="146">
        <f>SUMIFS(FACILITIES!R:R,FACILITIES!$B:$B,B92)</f>
        <v>0</v>
      </c>
      <c r="R92" s="146">
        <f>SUMIFS(FACILITIES!T:T,FACILITIES!B:B,B92)</f>
        <v>0</v>
      </c>
      <c r="S92" s="146">
        <f>SUMIFS(FACILITIES!S:S,FACILITIES!B:B,B92)</f>
        <v>0</v>
      </c>
      <c r="T92" s="146">
        <f>SUMIFS('F &amp; B'!G:G,'F &amp; B'!B:B,B92)</f>
        <v>29370</v>
      </c>
      <c r="U92" s="210">
        <f t="shared" si="7"/>
        <v>4405.5</v>
      </c>
      <c r="V92" s="146">
        <f>SUMIFS('FIXED AMOUNT'!G:G,'FIXED AMOUNT'!B:B,B92)</f>
        <v>7000</v>
      </c>
      <c r="W92" s="124">
        <f t="shared" si="6"/>
        <v>60375.5</v>
      </c>
      <c r="X92" s="124">
        <f>SUMIFS('FIXED AMOUNT'!E:E,'FIXED AMOUNT'!B:B,'data base '!B:B)</f>
        <v>0</v>
      </c>
      <c r="Y92" s="124">
        <f>SUMIFS('FIXED AMOUNT'!F:F,'FIXED AMOUNT'!B:B,'data base '!B:B)</f>
        <v>0</v>
      </c>
      <c r="Z92" s="124">
        <f>SUMIFS('FIXED AMOUNT'!V:V,'FIXED AMOUNT'!B:B,B:B)</f>
        <v>0</v>
      </c>
      <c r="AA92" s="124">
        <f t="shared" si="8"/>
        <v>60375.5</v>
      </c>
      <c r="AB92" s="207">
        <f t="shared" si="9"/>
        <v>6037.55</v>
      </c>
      <c r="AC92" s="204">
        <v>45945</v>
      </c>
      <c r="AD92" s="124">
        <f t="shared" si="10"/>
        <v>66413.05</v>
      </c>
      <c r="AE92" s="208"/>
    </row>
    <row r="93" spans="1:31">
      <c r="A93">
        <v>92</v>
      </c>
      <c r="B93" t="s">
        <v>420</v>
      </c>
      <c r="C93" t="s">
        <v>423</v>
      </c>
      <c r="D93" s="146">
        <f>SUMIFS(FACILITIES!E:E,FACILITIES!$B:$B,B93)</f>
        <v>0</v>
      </c>
      <c r="E93" s="146">
        <f>SUMIFS(FACILITIES!F:F,FACILITIES!$B:$B,$B93)</f>
        <v>0</v>
      </c>
      <c r="F93" s="146">
        <f>SUMIFS(FACILITIES!G:G,FACILITIES!$B:$B,B93)</f>
        <v>0</v>
      </c>
      <c r="G93" s="146">
        <f>SUMIFS(FACILITIES!H:H,FACILITIES!$B:$B,B93)</f>
        <v>0</v>
      </c>
      <c r="H93" s="146">
        <f>SUMIFS(FACILITIES!I:I,FACILITIES!$B:$B,B93)</f>
        <v>0</v>
      </c>
      <c r="I93" s="146">
        <f>SUMIFS(FACILITIES!J:J,FACILITIES!$B:$B,B93)</f>
        <v>300</v>
      </c>
      <c r="J93" s="146">
        <f>SUMIFS(FACILITIES!K:K,FACILITIES!$B:$B,B93)</f>
        <v>0</v>
      </c>
      <c r="K93" s="146">
        <f>SUMIFS(FACILITIES!L:L,FACILITIES!$B:$B,B93)</f>
        <v>0</v>
      </c>
      <c r="L93" s="146">
        <f>SUMIFS(FACILITIES!M:M,FACILITIES!$B:$B,B93)</f>
        <v>0</v>
      </c>
      <c r="M93" s="146">
        <f>SUMIFS(FACILITIES!N:N,FACILITIES!$B:$B,B93)</f>
        <v>0</v>
      </c>
      <c r="N93" s="146">
        <f>SUMIFS(FACILITIES!O:O,FACILITIES!$B:$B,B93)</f>
        <v>0</v>
      </c>
      <c r="O93" s="146">
        <f>SUMIFS(FACILITIES!P:P,FACILITIES!$B:$B,B93)</f>
        <v>0</v>
      </c>
      <c r="P93" s="146">
        <f>SUMIFS(FACILITIES!Q:Q,FACILITIES!$B:$B,B93)</f>
        <v>0</v>
      </c>
      <c r="Q93" s="146">
        <f>SUMIFS(FACILITIES!R:R,FACILITIES!$B:$B,B93)</f>
        <v>0</v>
      </c>
      <c r="R93" s="146">
        <f>SUMIFS(FACILITIES!T:T,FACILITIES!B:B,B93)</f>
        <v>0</v>
      </c>
      <c r="S93" s="146">
        <f>SUMIFS(FACILITIES!S:S,FACILITIES!B:B,B93)</f>
        <v>0</v>
      </c>
      <c r="T93" s="146">
        <f>SUMIFS('F &amp; B'!G:G,'F &amp; B'!B:B,B93)</f>
        <v>4100</v>
      </c>
      <c r="U93" s="210">
        <f t="shared" si="7"/>
        <v>615</v>
      </c>
      <c r="V93" s="146">
        <f>SUMIFS('FIXED AMOUNT'!G:G,'FIXED AMOUNT'!B:B,B93)</f>
        <v>7000</v>
      </c>
      <c r="W93" s="124">
        <f t="shared" si="6"/>
        <v>12015</v>
      </c>
      <c r="X93" s="124">
        <f>SUMIFS('FIXED AMOUNT'!E:E,'FIXED AMOUNT'!B:B,'data base '!B:B)</f>
        <v>0</v>
      </c>
      <c r="Y93" s="124">
        <f>SUMIFS('FIXED AMOUNT'!F:F,'FIXED AMOUNT'!B:B,'data base '!B:B)</f>
        <v>0</v>
      </c>
      <c r="Z93" s="124">
        <f>SUMIFS('FIXED AMOUNT'!V:V,'FIXED AMOUNT'!B:B,B:B)</f>
        <v>0</v>
      </c>
      <c r="AA93" s="124">
        <f t="shared" si="8"/>
        <v>12015</v>
      </c>
      <c r="AB93" s="207">
        <f t="shared" si="9"/>
        <v>1201.5</v>
      </c>
      <c r="AC93" s="204">
        <v>45945</v>
      </c>
      <c r="AD93" s="124">
        <f t="shared" si="10"/>
        <v>13216.5</v>
      </c>
      <c r="AE93" s="208"/>
    </row>
    <row r="94" spans="1:31">
      <c r="A94">
        <v>93</v>
      </c>
      <c r="B94" t="s">
        <v>418</v>
      </c>
      <c r="C94" t="s">
        <v>419</v>
      </c>
      <c r="D94" s="146">
        <f>SUMIFS(FACILITIES!E:E,FACILITIES!$B:$B,B94)</f>
        <v>1500</v>
      </c>
      <c r="E94" s="146">
        <f>SUMIFS(FACILITIES!F:F,FACILITIES!$B:$B,$B94)</f>
        <v>0</v>
      </c>
      <c r="F94" s="146">
        <f>SUMIFS(FACILITIES!G:G,FACILITIES!$B:$B,B94)</f>
        <v>0</v>
      </c>
      <c r="G94" s="146">
        <f>SUMIFS(FACILITIES!H:H,FACILITIES!$B:$B,B94)</f>
        <v>0</v>
      </c>
      <c r="H94" s="146">
        <f>SUMIFS(FACILITIES!I:I,FACILITIES!$B:$B,B94)</f>
        <v>0</v>
      </c>
      <c r="I94" s="146">
        <f>SUMIFS(FACILITIES!J:J,FACILITIES!$B:$B,B94)</f>
        <v>3100</v>
      </c>
      <c r="J94" s="146">
        <f>SUMIFS(FACILITIES!K:K,FACILITIES!$B:$B,B94)</f>
        <v>0</v>
      </c>
      <c r="K94" s="146">
        <f>SUMIFS(FACILITIES!L:L,FACILITIES!$B:$B,B94)</f>
        <v>0</v>
      </c>
      <c r="L94" s="146">
        <f>SUMIFS(FACILITIES!M:M,FACILITIES!$B:$B,B94)</f>
        <v>0</v>
      </c>
      <c r="M94" s="146">
        <f>SUMIFS(FACILITIES!N:N,FACILITIES!$B:$B,B94)</f>
        <v>0</v>
      </c>
      <c r="N94" s="146">
        <f>SUMIFS(FACILITIES!O:O,FACILITIES!$B:$B,B94)</f>
        <v>0</v>
      </c>
      <c r="O94" s="146">
        <f>SUMIFS(FACILITIES!P:P,FACILITIES!$B:$B,B94)</f>
        <v>0</v>
      </c>
      <c r="P94" s="146">
        <f>SUMIFS(FACILITIES!Q:Q,FACILITIES!$B:$B,B94)</f>
        <v>0</v>
      </c>
      <c r="Q94" s="146">
        <f>SUMIFS(FACILITIES!R:R,FACILITIES!$B:$B,B94)</f>
        <v>0</v>
      </c>
      <c r="R94" s="146">
        <f>SUMIFS(FACILITIES!T:T,FACILITIES!B:B,B94)</f>
        <v>0</v>
      </c>
      <c r="S94" s="146">
        <f>SUMIFS(FACILITIES!S:S,FACILITIES!B:B,B94)</f>
        <v>0</v>
      </c>
      <c r="T94" s="146">
        <f>SUMIFS('F &amp; B'!G:G,'F &amp; B'!B:B,B94)</f>
        <v>5370</v>
      </c>
      <c r="U94" s="210">
        <f t="shared" si="7"/>
        <v>805.5</v>
      </c>
      <c r="V94" s="146">
        <f>SUMIFS('FIXED AMOUNT'!G:G,'FIXED AMOUNT'!B:B,B94)</f>
        <v>7000</v>
      </c>
      <c r="W94" s="124">
        <f t="shared" si="6"/>
        <v>17775.5</v>
      </c>
      <c r="X94" s="124">
        <f>SUMIFS('FIXED AMOUNT'!E:E,'FIXED AMOUNT'!B:B,'data base '!B:B)</f>
        <v>0</v>
      </c>
      <c r="Y94" s="124">
        <f>SUMIFS('FIXED AMOUNT'!F:F,'FIXED AMOUNT'!B:B,'data base '!B:B)</f>
        <v>0</v>
      </c>
      <c r="Z94" s="124">
        <f>SUMIFS('FIXED AMOUNT'!V:V,'FIXED AMOUNT'!B:B,B:B)</f>
        <v>0</v>
      </c>
      <c r="AA94" s="124">
        <f t="shared" si="8"/>
        <v>17775.5</v>
      </c>
      <c r="AB94" s="207">
        <f t="shared" si="9"/>
        <v>1777.5500000000002</v>
      </c>
      <c r="AC94" s="204">
        <v>45945</v>
      </c>
      <c r="AD94" s="124">
        <f t="shared" si="10"/>
        <v>19553.05</v>
      </c>
      <c r="AE94" s="208"/>
    </row>
    <row r="95" spans="1:31">
      <c r="A95">
        <v>94</v>
      </c>
      <c r="B95" t="s">
        <v>426</v>
      </c>
      <c r="C95" t="s">
        <v>427</v>
      </c>
      <c r="D95" s="146">
        <f>SUMIFS(FACILITIES!E:E,FACILITIES!$B:$B,B95)</f>
        <v>0</v>
      </c>
      <c r="E95" s="146">
        <f>SUMIFS(FACILITIES!F:F,FACILITIES!$B:$B,$B95)</f>
        <v>1200</v>
      </c>
      <c r="F95" s="146">
        <f>SUMIFS(FACILITIES!G:G,FACILITIES!$B:$B,B95)</f>
        <v>0</v>
      </c>
      <c r="G95" s="146">
        <f>SUMIFS(FACILITIES!H:H,FACILITIES!$B:$B,B95)</f>
        <v>0</v>
      </c>
      <c r="H95" s="146">
        <f>SUMIFS(FACILITIES!I:I,FACILITIES!$B:$B,B95)</f>
        <v>0</v>
      </c>
      <c r="I95" s="146">
        <f>SUMIFS(FACILITIES!J:J,FACILITIES!$B:$B,B95)</f>
        <v>0</v>
      </c>
      <c r="J95" s="146">
        <f>SUMIFS(FACILITIES!K:K,FACILITIES!$B:$B,B95)</f>
        <v>0</v>
      </c>
      <c r="K95" s="146">
        <f>SUMIFS(FACILITIES!L:L,FACILITIES!$B:$B,B95)</f>
        <v>0</v>
      </c>
      <c r="L95" s="146">
        <f>SUMIFS(FACILITIES!M:M,FACILITIES!$B:$B,B95)</f>
        <v>0</v>
      </c>
      <c r="M95" s="146">
        <f>SUMIFS(FACILITIES!N:N,FACILITIES!$B:$B,B95)</f>
        <v>0</v>
      </c>
      <c r="N95" s="146">
        <f>SUMIFS(FACILITIES!O:O,FACILITIES!$B:$B,B95)</f>
        <v>0</v>
      </c>
      <c r="O95" s="146">
        <f>SUMIFS(FACILITIES!P:P,FACILITIES!$B:$B,B95)</f>
        <v>0</v>
      </c>
      <c r="P95" s="146">
        <f>SUMIFS(FACILITIES!Q:Q,FACILITIES!$B:$B,B95)</f>
        <v>0</v>
      </c>
      <c r="Q95" s="146">
        <f>SUMIFS(FACILITIES!R:R,FACILITIES!$B:$B,B95)</f>
        <v>0</v>
      </c>
      <c r="R95" s="146">
        <f>SUMIFS(FACILITIES!T:T,FACILITIES!B:B,B95)</f>
        <v>0</v>
      </c>
      <c r="S95" s="146">
        <f>SUMIFS(FACILITIES!S:S,FACILITIES!B:B,B95)</f>
        <v>0</v>
      </c>
      <c r="T95" s="146">
        <f>SUMIFS('F &amp; B'!G:G,'F &amp; B'!B:B,B95)</f>
        <v>59650</v>
      </c>
      <c r="U95" s="210">
        <f t="shared" si="7"/>
        <v>8947.5</v>
      </c>
      <c r="V95" s="146">
        <f>SUMIFS('FIXED AMOUNT'!G:G,'FIXED AMOUNT'!B:B,B95)</f>
        <v>7000</v>
      </c>
      <c r="W95" s="124">
        <f t="shared" si="6"/>
        <v>76797.5</v>
      </c>
      <c r="X95" s="124">
        <f>SUMIFS('FIXED AMOUNT'!E:E,'FIXED AMOUNT'!B:B,'data base '!B:B)</f>
        <v>0</v>
      </c>
      <c r="Y95" s="124">
        <f>SUMIFS('FIXED AMOUNT'!F:F,'FIXED AMOUNT'!B:B,'data base '!B:B)</f>
        <v>0</v>
      </c>
      <c r="Z95" s="124">
        <f>SUMIFS('FIXED AMOUNT'!V:V,'FIXED AMOUNT'!B:B,B:B)</f>
        <v>0</v>
      </c>
      <c r="AA95" s="124">
        <f t="shared" si="8"/>
        <v>76797.5</v>
      </c>
      <c r="AB95" s="207">
        <f t="shared" si="9"/>
        <v>7679.75</v>
      </c>
      <c r="AC95" s="204">
        <v>45945</v>
      </c>
      <c r="AD95" s="124">
        <f t="shared" si="10"/>
        <v>84477.25</v>
      </c>
      <c r="AE95" s="208"/>
    </row>
    <row r="96" spans="1:31">
      <c r="A96">
        <v>95</v>
      </c>
      <c r="B96" t="s">
        <v>432</v>
      </c>
      <c r="C96" t="s">
        <v>433</v>
      </c>
      <c r="D96" s="146">
        <f>SUMIFS(FACILITIES!E:E,FACILITIES!$B:$B,B96)</f>
        <v>0</v>
      </c>
      <c r="E96" s="146">
        <f>SUMIFS(FACILITIES!F:F,FACILITIES!$B:$B,$B96)</f>
        <v>0</v>
      </c>
      <c r="F96" s="146">
        <f>SUMIFS(FACILITIES!G:G,FACILITIES!$B:$B,B96)</f>
        <v>0</v>
      </c>
      <c r="G96" s="146">
        <f>SUMIFS(FACILITIES!H:H,FACILITIES!$B:$B,B96)</f>
        <v>0</v>
      </c>
      <c r="H96" s="146">
        <f>SUMIFS(FACILITIES!I:I,FACILITIES!$B:$B,B96)</f>
        <v>0</v>
      </c>
      <c r="I96" s="146">
        <f>SUMIFS(FACILITIES!J:J,FACILITIES!$B:$B,B96)</f>
        <v>0</v>
      </c>
      <c r="J96" s="146">
        <f>SUMIFS(FACILITIES!K:K,FACILITIES!$B:$B,B96)</f>
        <v>0</v>
      </c>
      <c r="K96" s="146">
        <f>SUMIFS(FACILITIES!L:L,FACILITIES!$B:$B,B96)</f>
        <v>0</v>
      </c>
      <c r="L96" s="146">
        <f>SUMIFS(FACILITIES!M:M,FACILITIES!$B:$B,B96)</f>
        <v>0</v>
      </c>
      <c r="M96" s="146">
        <f>SUMIFS(FACILITIES!N:N,FACILITIES!$B:$B,B96)</f>
        <v>0</v>
      </c>
      <c r="N96" s="146">
        <f>SUMIFS(FACILITIES!O:O,FACILITIES!$B:$B,B96)</f>
        <v>0</v>
      </c>
      <c r="O96" s="146">
        <f>SUMIFS(FACILITIES!P:P,FACILITIES!$B:$B,B96)</f>
        <v>0</v>
      </c>
      <c r="P96" s="146">
        <f>SUMIFS(FACILITIES!Q:Q,FACILITIES!$B:$B,B96)</f>
        <v>0</v>
      </c>
      <c r="Q96" s="146">
        <f>SUMIFS(FACILITIES!R:R,FACILITIES!$B:$B,B96)</f>
        <v>0</v>
      </c>
      <c r="R96" s="146">
        <f>SUMIFS(FACILITIES!T:T,FACILITIES!B:B,B96)</f>
        <v>0</v>
      </c>
      <c r="S96" s="146">
        <f>SUMIFS(FACILITIES!S:S,FACILITIES!B:B,B96)</f>
        <v>0</v>
      </c>
      <c r="T96" s="146">
        <f>SUMIFS('F &amp; B'!G:G,'F &amp; B'!B:B,B96)</f>
        <v>0</v>
      </c>
      <c r="U96" s="210">
        <f t="shared" si="7"/>
        <v>0</v>
      </c>
      <c r="V96" s="146">
        <f>SUMIFS('FIXED AMOUNT'!G:G,'FIXED AMOUNT'!B:B,B96)</f>
        <v>7000</v>
      </c>
      <c r="W96" s="124">
        <f t="shared" si="6"/>
        <v>7000</v>
      </c>
      <c r="X96" s="124">
        <f>SUMIFS('FIXED AMOUNT'!E:E,'FIXED AMOUNT'!B:B,'data base '!B:B)</f>
        <v>0</v>
      </c>
      <c r="Y96" s="124">
        <f>SUMIFS('FIXED AMOUNT'!F:F,'FIXED AMOUNT'!B:B,'data base '!B:B)</f>
        <v>0</v>
      </c>
      <c r="Z96" s="124">
        <f>SUMIFS('FIXED AMOUNT'!V:V,'FIXED AMOUNT'!B:B,B:B)</f>
        <v>60000</v>
      </c>
      <c r="AA96" s="124">
        <f t="shared" si="8"/>
        <v>67000</v>
      </c>
      <c r="AB96" s="207">
        <f t="shared" si="9"/>
        <v>700</v>
      </c>
      <c r="AC96" s="204">
        <v>45945</v>
      </c>
      <c r="AD96" s="124">
        <f t="shared" si="10"/>
        <v>67700</v>
      </c>
      <c r="AE96" s="208"/>
    </row>
    <row r="97" spans="1:31">
      <c r="A97">
        <v>96</v>
      </c>
      <c r="B97" t="s">
        <v>454</v>
      </c>
      <c r="C97" t="s">
        <v>449</v>
      </c>
      <c r="D97" s="146">
        <f>SUMIFS(FACILITIES!E:E,FACILITIES!$B:$B,B97)</f>
        <v>1800</v>
      </c>
      <c r="E97" s="146">
        <f>SUMIFS(FACILITIES!F:F,FACILITIES!$B:$B,$B97)</f>
        <v>0</v>
      </c>
      <c r="F97" s="146">
        <f>SUMIFS(FACILITIES!G:G,FACILITIES!$B:$B,B97)</f>
        <v>0</v>
      </c>
      <c r="G97" s="146">
        <f>SUMIFS(FACILITIES!H:H,FACILITIES!$B:$B,B97)</f>
        <v>0</v>
      </c>
      <c r="H97" s="146">
        <f>SUMIFS(FACILITIES!I:I,FACILITIES!$B:$B,B97)</f>
        <v>0</v>
      </c>
      <c r="I97" s="146">
        <f>SUMIFS(FACILITIES!J:J,FACILITIES!$B:$B,B97)</f>
        <v>4000</v>
      </c>
      <c r="J97" s="146">
        <f>SUMIFS(FACILITIES!K:K,FACILITIES!$B:$B,B97)</f>
        <v>2400</v>
      </c>
      <c r="K97" s="146">
        <f>SUMIFS(FACILITIES!L:L,FACILITIES!$B:$B,B97)</f>
        <v>0</v>
      </c>
      <c r="L97" s="146">
        <f>SUMIFS(FACILITIES!M:M,FACILITIES!$B:$B,B97)</f>
        <v>0</v>
      </c>
      <c r="M97" s="146">
        <f>SUMIFS(FACILITIES!N:N,FACILITIES!$B:$B,B97)</f>
        <v>0</v>
      </c>
      <c r="N97" s="146">
        <f>SUMIFS(FACILITIES!O:O,FACILITIES!$B:$B,B97)</f>
        <v>12000</v>
      </c>
      <c r="O97" s="146">
        <f>SUMIFS(FACILITIES!P:P,FACILITIES!$B:$B,B97)</f>
        <v>0</v>
      </c>
      <c r="P97" s="146">
        <f>SUMIFS(FACILITIES!Q:Q,FACILITIES!$B:$B,B97)</f>
        <v>0</v>
      </c>
      <c r="Q97" s="146">
        <f>SUMIFS(FACILITIES!R:R,FACILITIES!$B:$B,B97)</f>
        <v>0</v>
      </c>
      <c r="R97" s="146">
        <f>SUMIFS(FACILITIES!T:T,FACILITIES!B:B,B97)</f>
        <v>0</v>
      </c>
      <c r="S97" s="146">
        <f>SUMIFS(FACILITIES!S:S,FACILITIES!B:B,B97)</f>
        <v>480000</v>
      </c>
      <c r="T97" s="146">
        <f>SUMIFS('F &amp; B'!G:G,'F &amp; B'!B:B,B97)</f>
        <v>3111425</v>
      </c>
      <c r="U97" s="210">
        <f t="shared" si="7"/>
        <v>466713.75</v>
      </c>
      <c r="V97" s="146">
        <f>SUMIFS('FIXED AMOUNT'!G:G,'FIXED AMOUNT'!B:B,B97)</f>
        <v>0</v>
      </c>
      <c r="W97" s="124">
        <f t="shared" si="6"/>
        <v>4078338.75</v>
      </c>
      <c r="X97" s="124">
        <f>SUMIFS('FIXED AMOUNT'!E:E,'FIXED AMOUNT'!B:B,'data base '!B:B)</f>
        <v>0</v>
      </c>
      <c r="Y97" s="124">
        <f>SUMIFS('FIXED AMOUNT'!F:F,'FIXED AMOUNT'!B:B,'data base '!B:B)</f>
        <v>0</v>
      </c>
      <c r="Z97" s="124">
        <f>SUMIFS('FIXED AMOUNT'!V:V,'FIXED AMOUNT'!B:B,B:B)</f>
        <v>0</v>
      </c>
      <c r="AA97" s="124">
        <f t="shared" si="8"/>
        <v>4078338.75</v>
      </c>
      <c r="AB97" s="207">
        <f t="shared" si="9"/>
        <v>407833.875</v>
      </c>
      <c r="AC97" s="204">
        <v>45945</v>
      </c>
      <c r="AD97" s="124">
        <f t="shared" si="10"/>
        <v>4486172.625</v>
      </c>
      <c r="AE97" s="208"/>
    </row>
    <row r="98" spans="1:31">
      <c r="A98">
        <v>97</v>
      </c>
      <c r="B98" t="s">
        <v>448</v>
      </c>
      <c r="C98" t="s">
        <v>453</v>
      </c>
      <c r="D98" s="146">
        <f>SUMIFS(FACILITIES!E:E,FACILITIES!$B:$B,B98)</f>
        <v>0</v>
      </c>
      <c r="E98" s="146">
        <f>SUMIFS(FACILITIES!F:F,FACILITIES!$B:$B,$B98)</f>
        <v>0</v>
      </c>
      <c r="F98" s="146">
        <f>SUMIFS(FACILITIES!G:G,FACILITIES!$B:$B,B98)</f>
        <v>0</v>
      </c>
      <c r="G98" s="146">
        <f>SUMIFS(FACILITIES!H:H,FACILITIES!$B:$B,B98)</f>
        <v>0</v>
      </c>
      <c r="H98" s="146">
        <f>SUMIFS(FACILITIES!I:I,FACILITIES!$B:$B,B98)</f>
        <v>0</v>
      </c>
      <c r="I98" s="146">
        <f>SUMIFS(FACILITIES!J:J,FACILITIES!$B:$B,B98)</f>
        <v>0</v>
      </c>
      <c r="J98" s="146">
        <f>SUMIFS(FACILITIES!K:K,FACILITIES!$B:$B,B98)</f>
        <v>0</v>
      </c>
      <c r="K98" s="146">
        <f>SUMIFS(FACILITIES!L:L,FACILITIES!$B:$B,B98)</f>
        <v>0</v>
      </c>
      <c r="L98" s="146">
        <f>SUMIFS(FACILITIES!M:M,FACILITIES!$B:$B,B98)</f>
        <v>0</v>
      </c>
      <c r="M98" s="146">
        <f>SUMIFS(FACILITIES!N:N,FACILITIES!$B:$B,B98)</f>
        <v>0</v>
      </c>
      <c r="N98" s="146">
        <f>SUMIFS(FACILITIES!O:O,FACILITIES!$B:$B,B98)</f>
        <v>0</v>
      </c>
      <c r="O98" s="146">
        <f>SUMIFS(FACILITIES!P:P,FACILITIES!$B:$B,B98)</f>
        <v>0</v>
      </c>
      <c r="P98" s="146">
        <f>SUMIFS(FACILITIES!Q:Q,FACILITIES!$B:$B,B98)</f>
        <v>0</v>
      </c>
      <c r="Q98" s="146">
        <f>SUMIFS(FACILITIES!R:R,FACILITIES!$B:$B,B98)</f>
        <v>0</v>
      </c>
      <c r="R98" s="146">
        <f>SUMIFS(FACILITIES!T:T,FACILITIES!B:B,B98)</f>
        <v>0</v>
      </c>
      <c r="S98" s="146">
        <f>SUMIFS(FACILITIES!S:S,FACILITIES!B:B,B98)</f>
        <v>0</v>
      </c>
      <c r="T98" s="146">
        <f>SUMIFS('F &amp; B'!G:G,'F &amp; B'!B:B,B98)</f>
        <v>5425</v>
      </c>
      <c r="U98" s="210">
        <f t="shared" si="7"/>
        <v>813.75</v>
      </c>
      <c r="V98" s="146">
        <f>SUMIFS('FIXED AMOUNT'!G:G,'FIXED AMOUNT'!B:B,B98)</f>
        <v>7000</v>
      </c>
      <c r="W98" s="124">
        <f t="shared" ref="W98:W123" si="11">SUM(D98:V98)</f>
        <v>13238.75</v>
      </c>
      <c r="X98" s="124">
        <f>SUMIFS('FIXED AMOUNT'!E:E,'FIXED AMOUNT'!B:B,'data base '!B:B)</f>
        <v>0</v>
      </c>
      <c r="Y98" s="124">
        <f>SUMIFS('FIXED AMOUNT'!F:F,'FIXED AMOUNT'!B:B,'data base '!B:B)</f>
        <v>0</v>
      </c>
      <c r="Z98" s="124">
        <f>SUMIFS('FIXED AMOUNT'!V:V,'FIXED AMOUNT'!B:B,B:B)</f>
        <v>30600</v>
      </c>
      <c r="AA98" s="124">
        <f t="shared" si="8"/>
        <v>43838.75</v>
      </c>
      <c r="AB98" s="207">
        <f t="shared" si="9"/>
        <v>1323.875</v>
      </c>
      <c r="AC98" s="204">
        <v>45945</v>
      </c>
      <c r="AD98" s="124">
        <f t="shared" si="10"/>
        <v>45162.625</v>
      </c>
      <c r="AE98" s="208"/>
    </row>
    <row r="99" spans="1:31">
      <c r="A99">
        <v>98</v>
      </c>
      <c r="B99" t="s">
        <v>342</v>
      </c>
      <c r="C99" t="s">
        <v>649</v>
      </c>
      <c r="D99" s="146">
        <f>SUMIFS(FACILITIES!E:E,FACILITIES!$B:$B,B99)</f>
        <v>0</v>
      </c>
      <c r="E99" s="146">
        <f>SUMIFS(FACILITIES!F:F,FACILITIES!$B:$B,$B99)</f>
        <v>0</v>
      </c>
      <c r="F99" s="146">
        <f>SUMIFS(FACILITIES!G:G,FACILITIES!$B:$B,B99)</f>
        <v>0</v>
      </c>
      <c r="G99" s="146">
        <f>SUMIFS(FACILITIES!H:H,FACILITIES!$B:$B,B99)</f>
        <v>0</v>
      </c>
      <c r="H99" s="146">
        <f>SUMIFS(FACILITIES!I:I,FACILITIES!$B:$B,B99)</f>
        <v>0</v>
      </c>
      <c r="I99" s="146">
        <f>SUMIFS(FACILITIES!J:J,FACILITIES!$B:$B,B99)</f>
        <v>0</v>
      </c>
      <c r="J99" s="146">
        <f>SUMIFS(FACILITIES!K:K,FACILITIES!$B:$B,B99)</f>
        <v>0</v>
      </c>
      <c r="K99" s="146">
        <f>SUMIFS(FACILITIES!L:L,FACILITIES!$B:$B,B99)</f>
        <v>0</v>
      </c>
      <c r="L99" s="146">
        <f>SUMIFS(FACILITIES!M:M,FACILITIES!$B:$B,B99)</f>
        <v>0</v>
      </c>
      <c r="M99" s="146">
        <f>SUMIFS(FACILITIES!N:N,FACILITIES!$B:$B,B99)</f>
        <v>0</v>
      </c>
      <c r="N99" s="146">
        <f>SUMIFS(FACILITIES!O:O,FACILITIES!$B:$B,B99)</f>
        <v>0</v>
      </c>
      <c r="O99" s="146">
        <f>SUMIFS(FACILITIES!P:P,FACILITIES!$B:$B,B99)</f>
        <v>0</v>
      </c>
      <c r="P99" s="146">
        <f>SUMIFS(FACILITIES!Q:Q,FACILITIES!$B:$B,B99)</f>
        <v>0</v>
      </c>
      <c r="Q99" s="146">
        <f>SUMIFS(FACILITIES!R:R,FACILITIES!$B:$B,B99)</f>
        <v>0</v>
      </c>
      <c r="R99" s="146">
        <f>SUMIFS(FACILITIES!T:T,FACILITIES!B:B,B99)</f>
        <v>0</v>
      </c>
      <c r="S99" s="146">
        <f>SUMIFS(FACILITIES!S:S,FACILITIES!B:B,B99)</f>
        <v>0</v>
      </c>
      <c r="T99" s="146">
        <f>SUMIFS('F &amp; B'!G:G,'F &amp; B'!B:B,B99)</f>
        <v>35550</v>
      </c>
      <c r="U99" s="210">
        <f t="shared" si="7"/>
        <v>5332.5</v>
      </c>
      <c r="V99" s="146">
        <f>SUMIFS('FIXED AMOUNT'!G:G,'FIXED AMOUNT'!B:B,B99)</f>
        <v>7000</v>
      </c>
      <c r="W99" s="124">
        <f t="shared" si="11"/>
        <v>47882.5</v>
      </c>
      <c r="X99" s="124">
        <f>SUMIFS('FIXED AMOUNT'!E:E,'FIXED AMOUNT'!B:B,'data base '!B:B)</f>
        <v>0</v>
      </c>
      <c r="Y99" s="124">
        <f>SUMIFS('FIXED AMOUNT'!F:F,'FIXED AMOUNT'!B:B,'data base '!B:B)</f>
        <v>0</v>
      </c>
      <c r="Z99" s="124">
        <f>SUMIFS('FIXED AMOUNT'!V:V,'FIXED AMOUNT'!B:B,B:B)</f>
        <v>0</v>
      </c>
      <c r="AA99" s="124">
        <f t="shared" si="8"/>
        <v>47882.5</v>
      </c>
      <c r="AB99" s="207">
        <f t="shared" si="9"/>
        <v>4788.25</v>
      </c>
      <c r="AC99" s="204">
        <v>45945</v>
      </c>
      <c r="AD99" s="124">
        <f t="shared" si="10"/>
        <v>52670.75</v>
      </c>
      <c r="AE99" s="208"/>
    </row>
    <row r="100" spans="1:31">
      <c r="A100">
        <v>99</v>
      </c>
      <c r="B100" t="s">
        <v>650</v>
      </c>
      <c r="C100" t="s">
        <v>651</v>
      </c>
      <c r="D100" s="146">
        <f>SUMIFS(FACILITIES!E:E,FACILITIES!$B:$B,B100)</f>
        <v>0</v>
      </c>
      <c r="E100" s="146">
        <f>SUMIFS(FACILITIES!F:F,FACILITIES!$B:$B,$B100)</f>
        <v>4200</v>
      </c>
      <c r="F100" s="146">
        <f>SUMIFS(FACILITIES!G:G,FACILITIES!$B:$B,B100)</f>
        <v>0</v>
      </c>
      <c r="G100" s="146">
        <f>SUMIFS(FACILITIES!H:H,FACILITIES!$B:$B,B100)</f>
        <v>0</v>
      </c>
      <c r="H100" s="146">
        <f>SUMIFS(FACILITIES!I:I,FACILITIES!$B:$B,B100)</f>
        <v>0</v>
      </c>
      <c r="I100" s="146">
        <f>SUMIFS(FACILITIES!J:J,FACILITIES!$B:$B,B100)</f>
        <v>300</v>
      </c>
      <c r="J100" s="146">
        <f>SUMIFS(FACILITIES!K:K,FACILITIES!$B:$B,B100)</f>
        <v>0</v>
      </c>
      <c r="K100" s="146">
        <f>SUMIFS(FACILITIES!L:L,FACILITIES!$B:$B,B100)</f>
        <v>0</v>
      </c>
      <c r="L100" s="146">
        <f>SUMIFS(FACILITIES!M:M,FACILITIES!$B:$B,B100)</f>
        <v>0</v>
      </c>
      <c r="M100" s="146">
        <f>SUMIFS(FACILITIES!N:N,FACILITIES!$B:$B,B100)</f>
        <v>0</v>
      </c>
      <c r="N100" s="146">
        <f>SUMIFS(FACILITIES!O:O,FACILITIES!$B:$B,B100)</f>
        <v>6000</v>
      </c>
      <c r="O100" s="146">
        <f>SUMIFS(FACILITIES!P:P,FACILITIES!$B:$B,B100)</f>
        <v>2500</v>
      </c>
      <c r="P100" s="146">
        <f>SUMIFS(FACILITIES!Q:Q,FACILITIES!$B:$B,B100)</f>
        <v>0</v>
      </c>
      <c r="Q100" s="146">
        <f>SUMIFS(FACILITIES!R:R,FACILITIES!$B:$B,B100)</f>
        <v>0</v>
      </c>
      <c r="R100" s="146">
        <f>SUMIFS(FACILITIES!T:T,FACILITIES!B:B,B100)</f>
        <v>0</v>
      </c>
      <c r="S100" s="146">
        <f>SUMIFS(FACILITIES!S:S,FACILITIES!B:B,B100)</f>
        <v>0</v>
      </c>
      <c r="T100" s="146">
        <f>SUMIFS('F &amp; B'!G:G,'F &amp; B'!B:B,B100)</f>
        <v>37349</v>
      </c>
      <c r="U100" s="210">
        <f t="shared" si="7"/>
        <v>5602.3499999999995</v>
      </c>
      <c r="V100" s="146">
        <f>SUMIFS('FIXED AMOUNT'!G:G,'FIXED AMOUNT'!B:B,B100)</f>
        <v>7000</v>
      </c>
      <c r="W100" s="124">
        <f t="shared" si="11"/>
        <v>62951.35</v>
      </c>
      <c r="X100" s="124">
        <f>SUMIFS('FIXED AMOUNT'!E:E,'FIXED AMOUNT'!B:B,'data base '!B:B)</f>
        <v>0</v>
      </c>
      <c r="Y100" s="124">
        <f>SUMIFS('FIXED AMOUNT'!F:F,'FIXED AMOUNT'!B:B,'data base '!B:B)</f>
        <v>0</v>
      </c>
      <c r="Z100" s="124">
        <f>SUMIFS('FIXED AMOUNT'!V:V,'FIXED AMOUNT'!B:B,B:B)</f>
        <v>0</v>
      </c>
      <c r="AA100" s="124">
        <f t="shared" si="8"/>
        <v>62951.35</v>
      </c>
      <c r="AB100" s="207">
        <f t="shared" si="9"/>
        <v>6295.1350000000002</v>
      </c>
      <c r="AC100" s="204">
        <v>45945</v>
      </c>
      <c r="AD100" s="124">
        <f t="shared" si="10"/>
        <v>69246.485000000001</v>
      </c>
      <c r="AE100" s="208"/>
    </row>
    <row r="101" spans="1:31">
      <c r="A101">
        <v>100</v>
      </c>
      <c r="B101" t="s">
        <v>648</v>
      </c>
      <c r="C101" t="s">
        <v>652</v>
      </c>
      <c r="D101" s="146">
        <f>SUMIFS(FACILITIES!E:E,FACILITIES!$B:$B,B101)</f>
        <v>0</v>
      </c>
      <c r="E101" s="146">
        <f>SUMIFS(FACILITIES!F:F,FACILITIES!$B:$B,$B101)</f>
        <v>0</v>
      </c>
      <c r="F101" s="146">
        <f>SUMIFS(FACILITIES!G:G,FACILITIES!$B:$B,B101)</f>
        <v>0</v>
      </c>
      <c r="G101" s="146">
        <f>SUMIFS(FACILITIES!H:H,FACILITIES!$B:$B,B101)</f>
        <v>0</v>
      </c>
      <c r="H101" s="146">
        <f>SUMIFS(FACILITIES!I:I,FACILITIES!$B:$B,B101)</f>
        <v>0</v>
      </c>
      <c r="I101" s="146">
        <f>SUMIFS(FACILITIES!J:J,FACILITIES!$B:$B,B101)</f>
        <v>0</v>
      </c>
      <c r="J101" s="146">
        <f>SUMIFS(FACILITIES!K:K,FACILITIES!$B:$B,B101)</f>
        <v>0</v>
      </c>
      <c r="K101" s="146">
        <f>SUMIFS(FACILITIES!L:L,FACILITIES!$B:$B,B101)</f>
        <v>0</v>
      </c>
      <c r="L101" s="146">
        <f>SUMIFS(FACILITIES!M:M,FACILITIES!$B:$B,B101)</f>
        <v>0</v>
      </c>
      <c r="M101" s="146">
        <f>SUMIFS(FACILITIES!N:N,FACILITIES!$B:$B,B101)</f>
        <v>0</v>
      </c>
      <c r="N101" s="146">
        <f>SUMIFS(FACILITIES!O:O,FACILITIES!$B:$B,B101)</f>
        <v>0</v>
      </c>
      <c r="O101" s="146">
        <f>SUMIFS(FACILITIES!P:P,FACILITIES!$B:$B,B101)</f>
        <v>0</v>
      </c>
      <c r="P101" s="146">
        <f>SUMIFS(FACILITIES!Q:Q,FACILITIES!$B:$B,B101)</f>
        <v>0</v>
      </c>
      <c r="Q101" s="146">
        <f>SUMIFS(FACILITIES!R:R,FACILITIES!$B:$B,B101)</f>
        <v>0</v>
      </c>
      <c r="R101" s="146">
        <f>SUMIFS(FACILITIES!T:T,FACILITIES!B:B,B101)</f>
        <v>0</v>
      </c>
      <c r="S101" s="146">
        <f>SUMIFS(FACILITIES!S:S,FACILITIES!B:B,B101)</f>
        <v>0</v>
      </c>
      <c r="T101" s="146">
        <f>SUMIFS('F &amp; B'!G:G,'F &amp; B'!B:B,B101)</f>
        <v>0</v>
      </c>
      <c r="U101" s="210">
        <f t="shared" si="7"/>
        <v>0</v>
      </c>
      <c r="V101" s="146">
        <f>SUMIFS('FIXED AMOUNT'!G:G,'FIXED AMOUNT'!B:B,B101)</f>
        <v>7000</v>
      </c>
      <c r="W101" s="124">
        <f t="shared" si="11"/>
        <v>7000</v>
      </c>
      <c r="X101" s="124">
        <f>SUMIFS('FIXED AMOUNT'!E:E,'FIXED AMOUNT'!B:B,'data base '!B:B)</f>
        <v>0</v>
      </c>
      <c r="Y101" s="124">
        <f>SUMIFS('FIXED AMOUNT'!F:F,'FIXED AMOUNT'!B:B,'data base '!B:B)</f>
        <v>0</v>
      </c>
      <c r="Z101" s="124">
        <f>SUMIFS('FIXED AMOUNT'!V:V,'FIXED AMOUNT'!B:B,B:B)</f>
        <v>0</v>
      </c>
      <c r="AA101" s="124">
        <f t="shared" si="8"/>
        <v>7000</v>
      </c>
      <c r="AB101" s="207">
        <f t="shared" si="9"/>
        <v>700</v>
      </c>
      <c r="AC101" s="204">
        <v>45945</v>
      </c>
      <c r="AD101" s="124">
        <f t="shared" si="10"/>
        <v>7700</v>
      </c>
      <c r="AE101" s="208"/>
    </row>
    <row r="102" spans="1:31">
      <c r="A102">
        <v>101</v>
      </c>
      <c r="B102" t="s">
        <v>753</v>
      </c>
      <c r="C102" t="s">
        <v>754</v>
      </c>
      <c r="D102" s="146">
        <f>SUMIFS(FACILITIES!E:E,FACILITIES!$B:$B,B102)</f>
        <v>0</v>
      </c>
      <c r="E102" s="146">
        <f>SUMIFS(FACILITIES!F:F,FACILITIES!$B:$B,$B102)</f>
        <v>0</v>
      </c>
      <c r="F102" s="146">
        <f>SUMIFS(FACILITIES!G:G,FACILITIES!$B:$B,B102)</f>
        <v>0</v>
      </c>
      <c r="G102" s="146">
        <f>SUMIFS(FACILITIES!H:H,FACILITIES!$B:$B,B102)</f>
        <v>0</v>
      </c>
      <c r="H102" s="146">
        <f>SUMIFS(FACILITIES!I:I,FACILITIES!$B:$B,B102)</f>
        <v>0</v>
      </c>
      <c r="I102" s="146">
        <f>SUMIFS(FACILITIES!J:J,FACILITIES!$B:$B,B102)</f>
        <v>0</v>
      </c>
      <c r="J102" s="146">
        <f>SUMIFS(FACILITIES!K:K,FACILITIES!$B:$B,B102)</f>
        <v>0</v>
      </c>
      <c r="K102" s="146">
        <f>SUMIFS(FACILITIES!L:L,FACILITIES!$B:$B,B102)</f>
        <v>0</v>
      </c>
      <c r="L102" s="146">
        <f>SUMIFS(FACILITIES!M:M,FACILITIES!$B:$B,B102)</f>
        <v>0</v>
      </c>
      <c r="M102" s="146">
        <f>SUMIFS(FACILITIES!N:N,FACILITIES!$B:$B,B102)</f>
        <v>0</v>
      </c>
      <c r="N102" s="146">
        <f>SUMIFS(FACILITIES!O:O,FACILITIES!$B:$B,B102)</f>
        <v>0</v>
      </c>
      <c r="O102" s="146">
        <f>SUMIFS(FACILITIES!P:P,FACILITIES!$B:$B,B102)</f>
        <v>0</v>
      </c>
      <c r="P102" s="146">
        <f>SUMIFS(FACILITIES!Q:Q,FACILITIES!$B:$B,B102)</f>
        <v>0</v>
      </c>
      <c r="Q102" s="146">
        <f>SUMIFS(FACILITIES!R:R,FACILITIES!$B:$B,B102)</f>
        <v>0</v>
      </c>
      <c r="R102" s="146">
        <f>SUMIFS(FACILITIES!T:T,FACILITIES!B:B,B102)</f>
        <v>0</v>
      </c>
      <c r="S102" s="146">
        <f>SUMIFS(FACILITIES!S:S,FACILITIES!B:B,B102)</f>
        <v>0</v>
      </c>
      <c r="T102" s="146">
        <f>SUMIFS('F &amp; B'!G:G,'F &amp; B'!B:B,B102)</f>
        <v>0</v>
      </c>
      <c r="U102" s="210">
        <f t="shared" si="7"/>
        <v>0</v>
      </c>
      <c r="V102" s="146">
        <f>SUMIFS('FIXED AMOUNT'!G:G,'FIXED AMOUNT'!B:B,B102)</f>
        <v>7000</v>
      </c>
      <c r="W102" s="124">
        <f t="shared" si="11"/>
        <v>7000</v>
      </c>
      <c r="X102" s="124">
        <f>SUMIFS('FIXED AMOUNT'!E:E,'FIXED AMOUNT'!B:B,'data base '!B:B)</f>
        <v>0</v>
      </c>
      <c r="Y102" s="124">
        <f>SUMIFS('FIXED AMOUNT'!F:F,'FIXED AMOUNT'!B:B,'data base '!B:B)</f>
        <v>0</v>
      </c>
      <c r="Z102" s="124">
        <f>SUMIFS('FIXED AMOUNT'!V:V,'FIXED AMOUNT'!B:B,B:B)</f>
        <v>0</v>
      </c>
      <c r="AA102" s="124">
        <f t="shared" si="8"/>
        <v>7000</v>
      </c>
      <c r="AB102" s="207">
        <f t="shared" si="9"/>
        <v>700</v>
      </c>
      <c r="AC102" s="204">
        <v>45945</v>
      </c>
      <c r="AD102" s="124">
        <f t="shared" si="10"/>
        <v>7700</v>
      </c>
      <c r="AE102" s="208"/>
    </row>
    <row r="103" spans="1:31">
      <c r="A103">
        <v>102</v>
      </c>
      <c r="B103" t="s">
        <v>761</v>
      </c>
      <c r="C103" t="s">
        <v>763</v>
      </c>
      <c r="D103" s="146">
        <f>SUMIFS(FACILITIES!E:E,FACILITIES!$B:$B,B103)</f>
        <v>0</v>
      </c>
      <c r="E103" s="146">
        <f>SUMIFS(FACILITIES!F:F,FACILITIES!$B:$B,$B103)</f>
        <v>300</v>
      </c>
      <c r="F103" s="146">
        <f>SUMIFS(FACILITIES!G:G,FACILITIES!$B:$B,B103)</f>
        <v>0</v>
      </c>
      <c r="G103" s="146">
        <f>SUMIFS(FACILITIES!H:H,FACILITIES!$B:$B,B103)</f>
        <v>0</v>
      </c>
      <c r="H103" s="146">
        <f>SUMIFS(FACILITIES!I:I,FACILITIES!$B:$B,B103)</f>
        <v>0</v>
      </c>
      <c r="I103" s="146">
        <f>SUMIFS(FACILITIES!J:J,FACILITIES!$B:$B,B103)</f>
        <v>0</v>
      </c>
      <c r="J103" s="146">
        <f>SUMIFS(FACILITIES!K:K,FACILITIES!$B:$B,B103)</f>
        <v>0</v>
      </c>
      <c r="K103" s="146">
        <f>SUMIFS(FACILITIES!L:L,FACILITIES!$B:$B,B103)</f>
        <v>0</v>
      </c>
      <c r="L103" s="146">
        <f>SUMIFS(FACILITIES!M:M,FACILITIES!$B:$B,B103)</f>
        <v>0</v>
      </c>
      <c r="M103" s="146">
        <f>SUMIFS(FACILITIES!N:N,FACILITIES!$B:$B,B103)</f>
        <v>0</v>
      </c>
      <c r="N103" s="146">
        <f>SUMIFS(FACILITIES!O:O,FACILITIES!$B:$B,B103)</f>
        <v>0</v>
      </c>
      <c r="O103" s="146">
        <f>SUMIFS(FACILITIES!P:P,FACILITIES!$B:$B,B103)</f>
        <v>0</v>
      </c>
      <c r="P103" s="146">
        <f>SUMIFS(FACILITIES!Q:Q,FACILITIES!$B:$B,B103)</f>
        <v>0</v>
      </c>
      <c r="Q103" s="146">
        <f>SUMIFS(FACILITIES!R:R,FACILITIES!$B:$B,B103)</f>
        <v>0</v>
      </c>
      <c r="R103" s="146">
        <f>SUMIFS(FACILITIES!T:T,FACILITIES!B:B,B103)</f>
        <v>0</v>
      </c>
      <c r="S103" s="146">
        <f>SUMIFS(FACILITIES!S:S,FACILITIES!B:B,B103)</f>
        <v>0</v>
      </c>
      <c r="T103" s="146">
        <f>SUMIFS('F &amp; B'!G:G,'F &amp; B'!B:B,B103)</f>
        <v>8949</v>
      </c>
      <c r="U103" s="210">
        <f t="shared" si="7"/>
        <v>1342.35</v>
      </c>
      <c r="V103" s="146">
        <f>SUMIFS('FIXED AMOUNT'!G:G,'FIXED AMOUNT'!B:B,B103)</f>
        <v>7000</v>
      </c>
      <c r="W103" s="124">
        <f t="shared" si="11"/>
        <v>17591.349999999999</v>
      </c>
      <c r="X103" s="124">
        <f>SUMIFS('FIXED AMOUNT'!E:E,'FIXED AMOUNT'!B:B,'data base '!B:B)</f>
        <v>0</v>
      </c>
      <c r="Y103" s="124">
        <f>SUMIFS('FIXED AMOUNT'!F:F,'FIXED AMOUNT'!B:B,'data base '!B:B)</f>
        <v>0</v>
      </c>
      <c r="Z103" s="124">
        <f>SUMIFS('FIXED AMOUNT'!V:V,'FIXED AMOUNT'!B:B,B:B)</f>
        <v>0</v>
      </c>
      <c r="AA103" s="124">
        <f t="shared" si="8"/>
        <v>17591.349999999999</v>
      </c>
      <c r="AB103" s="207">
        <f t="shared" si="9"/>
        <v>1759.135</v>
      </c>
      <c r="AC103" s="204">
        <v>45945</v>
      </c>
      <c r="AD103" s="124">
        <f t="shared" si="10"/>
        <v>19350.484999999997</v>
      </c>
      <c r="AE103" s="208"/>
    </row>
    <row r="104" spans="1:31">
      <c r="A104">
        <v>103</v>
      </c>
      <c r="B104" t="s">
        <v>762</v>
      </c>
      <c r="C104" t="s">
        <v>764</v>
      </c>
      <c r="D104" s="146">
        <f>SUMIFS(FACILITIES!E:E,FACILITIES!$B:$B,B104)</f>
        <v>0</v>
      </c>
      <c r="E104" s="146">
        <f>SUMIFS(FACILITIES!F:F,FACILITIES!$B:$B,$B104)</f>
        <v>0</v>
      </c>
      <c r="F104" s="146">
        <f>SUMIFS(FACILITIES!G:G,FACILITIES!$B:$B,B104)</f>
        <v>0</v>
      </c>
      <c r="G104" s="146">
        <f>SUMIFS(FACILITIES!H:H,FACILITIES!$B:$B,B104)</f>
        <v>0</v>
      </c>
      <c r="H104" s="146">
        <f>SUMIFS(FACILITIES!I:I,FACILITIES!$B:$B,B104)</f>
        <v>0</v>
      </c>
      <c r="I104" s="146">
        <f>SUMIFS(FACILITIES!J:J,FACILITIES!$B:$B,B104)</f>
        <v>1300</v>
      </c>
      <c r="J104" s="146">
        <f>SUMIFS(FACILITIES!K:K,FACILITIES!$B:$B,B104)</f>
        <v>0</v>
      </c>
      <c r="K104" s="146">
        <f>SUMIFS(FACILITIES!L:L,FACILITIES!$B:$B,B104)</f>
        <v>0</v>
      </c>
      <c r="L104" s="146">
        <f>SUMIFS(FACILITIES!M:M,FACILITIES!$B:$B,B104)</f>
        <v>0</v>
      </c>
      <c r="M104" s="146">
        <f>SUMIFS(FACILITIES!N:N,FACILITIES!$B:$B,B104)</f>
        <v>0</v>
      </c>
      <c r="N104" s="146">
        <f>SUMIFS(FACILITIES!O:O,FACILITIES!$B:$B,B104)</f>
        <v>0</v>
      </c>
      <c r="O104" s="146">
        <f>SUMIFS(FACILITIES!P:P,FACILITIES!$B:$B,B104)</f>
        <v>0</v>
      </c>
      <c r="P104" s="146">
        <f>SUMIFS(FACILITIES!Q:Q,FACILITIES!$B:$B,B104)</f>
        <v>0</v>
      </c>
      <c r="Q104" s="146">
        <f>SUMIFS(FACILITIES!R:R,FACILITIES!$B:$B,B104)</f>
        <v>0</v>
      </c>
      <c r="R104" s="146">
        <f>SUMIFS(FACILITIES!T:T,FACILITIES!B:B,B104)</f>
        <v>0</v>
      </c>
      <c r="S104" s="146">
        <f>SUMIFS(FACILITIES!S:S,FACILITIES!B:B,B104)</f>
        <v>0</v>
      </c>
      <c r="T104" s="146">
        <f>SUMIFS('F &amp; B'!G:G,'F &amp; B'!B:B,B104)</f>
        <v>26400</v>
      </c>
      <c r="U104" s="210">
        <f t="shared" si="7"/>
        <v>3960</v>
      </c>
      <c r="V104" s="146">
        <f>SUMIFS('FIXED AMOUNT'!G:G,'FIXED AMOUNT'!B:B,B104)</f>
        <v>7000</v>
      </c>
      <c r="W104" s="124">
        <f t="shared" si="11"/>
        <v>38660</v>
      </c>
      <c r="X104" s="124">
        <f>SUMIFS('FIXED AMOUNT'!E:E,'FIXED AMOUNT'!B:B,'data base '!B:B)</f>
        <v>0</v>
      </c>
      <c r="Y104" s="124">
        <f>SUMIFS('FIXED AMOUNT'!F:F,'FIXED AMOUNT'!B:B,'data base '!B:B)</f>
        <v>0</v>
      </c>
      <c r="Z104" s="124">
        <f>SUMIFS('FIXED AMOUNT'!V:V,'FIXED AMOUNT'!B:B,B:B)</f>
        <v>0</v>
      </c>
      <c r="AA104" s="124">
        <f t="shared" si="8"/>
        <v>38660</v>
      </c>
      <c r="AB104" s="207">
        <f t="shared" si="9"/>
        <v>3866</v>
      </c>
      <c r="AC104" s="204">
        <v>45945</v>
      </c>
      <c r="AD104" s="124">
        <f t="shared" si="10"/>
        <v>42526</v>
      </c>
      <c r="AE104" s="208"/>
    </row>
    <row r="105" spans="1:31">
      <c r="A105">
        <v>104</v>
      </c>
      <c r="B105" t="s">
        <v>947</v>
      </c>
      <c r="C105" t="s">
        <v>949</v>
      </c>
      <c r="D105" s="146">
        <f>SUMIFS(FACILITIES!E:E,FACILITIES!$B:$B,B105)</f>
        <v>7200</v>
      </c>
      <c r="E105" s="146">
        <f>SUMIFS(FACILITIES!F:F,FACILITIES!$B:$B,$B105)</f>
        <v>0</v>
      </c>
      <c r="F105" s="146">
        <f>SUMIFS(FACILITIES!G:G,FACILITIES!$B:$B,B105)</f>
        <v>1200</v>
      </c>
      <c r="G105" s="146">
        <f>SUMIFS(FACILITIES!H:H,FACILITIES!$B:$B,B105)</f>
        <v>3600</v>
      </c>
      <c r="H105" s="146">
        <f>SUMIFS(FACILITIES!I:I,FACILITIES!$B:$B,B105)</f>
        <v>0</v>
      </c>
      <c r="I105" s="146">
        <f>SUMIFS(FACILITIES!J:J,FACILITIES!$B:$B,B105)</f>
        <v>3100</v>
      </c>
      <c r="J105" s="146">
        <f>SUMIFS(FACILITIES!K:K,FACILITIES!$B:$B,B105)</f>
        <v>0</v>
      </c>
      <c r="K105" s="146">
        <f>SUMIFS(FACILITIES!L:L,FACILITIES!$B:$B,B105)</f>
        <v>0</v>
      </c>
      <c r="L105" s="146">
        <f>SUMIFS(FACILITIES!M:M,FACILITIES!$B:$B,B105)</f>
        <v>200</v>
      </c>
      <c r="M105" s="146">
        <f>SUMIFS(FACILITIES!N:N,FACILITIES!$B:$B,B105)</f>
        <v>0</v>
      </c>
      <c r="N105" s="146">
        <f>SUMIFS(FACILITIES!O:O,FACILITIES!$B:$B,B105)</f>
        <v>11000</v>
      </c>
      <c r="O105" s="146">
        <f>SUMIFS(FACILITIES!P:P,FACILITIES!$B:$B,B105)</f>
        <v>0</v>
      </c>
      <c r="P105" s="146">
        <f>SUMIFS(FACILITIES!Q:Q,FACILITIES!$B:$B,B105)</f>
        <v>0</v>
      </c>
      <c r="Q105" s="146">
        <f>SUMIFS(FACILITIES!R:R,FACILITIES!$B:$B,B105)</f>
        <v>0</v>
      </c>
      <c r="R105" s="146">
        <f>SUMIFS(FACILITIES!T:T,FACILITIES!B:B,B105)</f>
        <v>0</v>
      </c>
      <c r="S105" s="146">
        <f>SUMIFS(FACILITIES!S:S,FACILITIES!B:B,B105)</f>
        <v>0</v>
      </c>
      <c r="T105" s="146">
        <f>SUMIFS('F &amp; B'!G:G,'F &amp; B'!B:B,B105)</f>
        <v>63250</v>
      </c>
      <c r="U105" s="210">
        <f t="shared" si="7"/>
        <v>9487.5</v>
      </c>
      <c r="V105" s="146">
        <f>SUMIFS('FIXED AMOUNT'!G:G,'FIXED AMOUNT'!B:B,B105)</f>
        <v>7000</v>
      </c>
      <c r="W105" s="124">
        <f t="shared" si="11"/>
        <v>106037.5</v>
      </c>
      <c r="X105" s="124">
        <f>SUMIFS('FIXED AMOUNT'!E:E,'FIXED AMOUNT'!B:B,'data base '!B:B)</f>
        <v>0</v>
      </c>
      <c r="Y105" s="124">
        <f>SUMIFS('FIXED AMOUNT'!F:F,'FIXED AMOUNT'!B:B,'data base '!B:B)</f>
        <v>0</v>
      </c>
      <c r="Z105" s="124">
        <f>SUMIFS('FIXED AMOUNT'!V:V,'FIXED AMOUNT'!B:B,B:B)</f>
        <v>0</v>
      </c>
      <c r="AA105" s="124">
        <f t="shared" si="8"/>
        <v>106037.5</v>
      </c>
      <c r="AB105" s="207">
        <f t="shared" si="9"/>
        <v>10603.75</v>
      </c>
      <c r="AC105" s="204">
        <v>45945</v>
      </c>
      <c r="AD105" s="124">
        <f t="shared" si="10"/>
        <v>116641.25</v>
      </c>
      <c r="AE105" s="208"/>
    </row>
    <row r="106" spans="1:31">
      <c r="A106">
        <v>105</v>
      </c>
      <c r="B106" t="s">
        <v>948</v>
      </c>
      <c r="C106" t="s">
        <v>950</v>
      </c>
      <c r="D106" s="146">
        <f>SUMIFS(FACILITIES!E:E,FACILITIES!$B:$B,B106)</f>
        <v>2400</v>
      </c>
      <c r="E106" s="146">
        <f>SUMIFS(FACILITIES!F:F,FACILITIES!$B:$B,$B106)</f>
        <v>150</v>
      </c>
      <c r="F106" s="146">
        <f>SUMIFS(FACILITIES!G:G,FACILITIES!$B:$B,B106)</f>
        <v>0</v>
      </c>
      <c r="G106" s="146">
        <f>SUMIFS(FACILITIES!H:H,FACILITIES!$B:$B,B106)</f>
        <v>0</v>
      </c>
      <c r="H106" s="146">
        <f>SUMIFS(FACILITIES!I:I,FACILITIES!$B:$B,B106)</f>
        <v>0</v>
      </c>
      <c r="I106" s="146">
        <f>SUMIFS(FACILITIES!J:J,FACILITIES!$B:$B,B106)</f>
        <v>1500</v>
      </c>
      <c r="J106" s="146">
        <f>SUMIFS(FACILITIES!K:K,FACILITIES!$B:$B,B106)</f>
        <v>900</v>
      </c>
      <c r="K106" s="146">
        <f>SUMIFS(FACILITIES!L:L,FACILITIES!$B:$B,B106)</f>
        <v>0</v>
      </c>
      <c r="L106" s="146">
        <f>SUMIFS(FACILITIES!M:M,FACILITIES!$B:$B,B106)</f>
        <v>0</v>
      </c>
      <c r="M106" s="146">
        <f>SUMIFS(FACILITIES!N:N,FACILITIES!$B:$B,B106)</f>
        <v>0</v>
      </c>
      <c r="N106" s="146">
        <f>SUMIFS(FACILITIES!O:O,FACILITIES!$B:$B,B106)</f>
        <v>0</v>
      </c>
      <c r="O106" s="146">
        <f>SUMIFS(FACILITIES!P:P,FACILITIES!$B:$B,B106)</f>
        <v>0</v>
      </c>
      <c r="P106" s="146">
        <f>SUMIFS(FACILITIES!Q:Q,FACILITIES!$B:$B,B106)</f>
        <v>0</v>
      </c>
      <c r="Q106" s="146">
        <f>SUMIFS(FACILITIES!R:R,FACILITIES!$B:$B,B106)</f>
        <v>0</v>
      </c>
      <c r="R106" s="146">
        <f>SUMIFS(FACILITIES!T:T,FACILITIES!B:B,B106)</f>
        <v>0</v>
      </c>
      <c r="S106" s="146">
        <f>SUMIFS(FACILITIES!S:S,FACILITIES!B:B,B106)</f>
        <v>0</v>
      </c>
      <c r="T106" s="146">
        <f>SUMIFS('F &amp; B'!G:G,'F &amp; B'!B:B,B106)</f>
        <v>17379</v>
      </c>
      <c r="U106" s="210">
        <f t="shared" si="7"/>
        <v>2606.85</v>
      </c>
      <c r="V106" s="146">
        <f>SUMIFS('FIXED AMOUNT'!G:G,'FIXED AMOUNT'!B:B,B106)</f>
        <v>7000</v>
      </c>
      <c r="W106" s="124">
        <f t="shared" si="11"/>
        <v>31935.85</v>
      </c>
      <c r="X106" s="124">
        <f>SUMIFS('FIXED AMOUNT'!E:E,'FIXED AMOUNT'!B:B,'data base '!B:B)</f>
        <v>0</v>
      </c>
      <c r="Y106" s="124">
        <f>SUMIFS('FIXED AMOUNT'!F:F,'FIXED AMOUNT'!B:B,'data base '!B:B)</f>
        <v>0</v>
      </c>
      <c r="Z106" s="124">
        <f>SUMIFS('FIXED AMOUNT'!V:V,'FIXED AMOUNT'!B:B,B:B)</f>
        <v>22606</v>
      </c>
      <c r="AA106" s="124">
        <f t="shared" si="8"/>
        <v>54541.85</v>
      </c>
      <c r="AB106" s="207">
        <f t="shared" si="9"/>
        <v>3193.585</v>
      </c>
      <c r="AC106" s="204">
        <v>45945</v>
      </c>
      <c r="AD106" s="124">
        <f t="shared" si="10"/>
        <v>57735.434999999998</v>
      </c>
      <c r="AE106" s="208"/>
    </row>
    <row r="107" spans="1:31">
      <c r="A107">
        <v>106</v>
      </c>
      <c r="B107" t="s">
        <v>952</v>
      </c>
      <c r="C107" t="s">
        <v>953</v>
      </c>
      <c r="D107" s="146">
        <f>SUMIFS(FACILITIES!E:E,FACILITIES!$B:$B,B107)</f>
        <v>0</v>
      </c>
      <c r="E107" s="146">
        <f>SUMIFS(FACILITIES!F:F,FACILITIES!$B:$B,$B107)</f>
        <v>0</v>
      </c>
      <c r="F107" s="146">
        <f>SUMIFS(FACILITIES!G:G,FACILITIES!$B:$B,B107)</f>
        <v>0</v>
      </c>
      <c r="G107" s="146">
        <f>SUMIFS(FACILITIES!H:H,FACILITIES!$B:$B,B107)</f>
        <v>0</v>
      </c>
      <c r="H107" s="146">
        <f>SUMIFS(FACILITIES!I:I,FACILITIES!$B:$B,B107)</f>
        <v>0</v>
      </c>
      <c r="I107" s="146">
        <f>SUMIFS(FACILITIES!J:J,FACILITIES!$B:$B,B107)</f>
        <v>0</v>
      </c>
      <c r="J107" s="146">
        <f>SUMIFS(FACILITIES!K:K,FACILITIES!$B:$B,B107)</f>
        <v>0</v>
      </c>
      <c r="K107" s="146">
        <f>SUMIFS(FACILITIES!L:L,FACILITIES!$B:$B,B107)</f>
        <v>0</v>
      </c>
      <c r="L107" s="146">
        <f>SUMIFS(FACILITIES!M:M,FACILITIES!$B:$B,B107)</f>
        <v>0</v>
      </c>
      <c r="M107" s="146">
        <f>SUMIFS(FACILITIES!N:N,FACILITIES!$B:$B,B107)</f>
        <v>0</v>
      </c>
      <c r="N107" s="146">
        <f>SUMIFS(FACILITIES!O:O,FACILITIES!$B:$B,B107)</f>
        <v>0</v>
      </c>
      <c r="O107" s="146">
        <f>SUMIFS(FACILITIES!P:P,FACILITIES!$B:$B,B107)</f>
        <v>0</v>
      </c>
      <c r="P107" s="146">
        <f>SUMIFS(FACILITIES!Q:Q,FACILITIES!$B:$B,B107)</f>
        <v>0</v>
      </c>
      <c r="Q107" s="146">
        <f>SUMIFS(FACILITIES!R:R,FACILITIES!$B:$B,B107)</f>
        <v>0</v>
      </c>
      <c r="R107" s="146">
        <f>SUMIFS(FACILITIES!T:T,FACILITIES!B:B,B107)</f>
        <v>0</v>
      </c>
      <c r="S107" s="146">
        <f>SUMIFS(FACILITIES!S:S,FACILITIES!B:B,B107)</f>
        <v>0</v>
      </c>
      <c r="T107" s="146">
        <f>SUMIFS('F &amp; B'!G:G,'F &amp; B'!B:B,B107)</f>
        <v>0</v>
      </c>
      <c r="U107" s="210">
        <v>0</v>
      </c>
      <c r="V107" s="146">
        <f>SUMIFS('FIXED AMOUNT'!G:G,'FIXED AMOUNT'!B:B,B107)</f>
        <v>0</v>
      </c>
      <c r="W107" s="124">
        <f t="shared" si="11"/>
        <v>0</v>
      </c>
      <c r="X107" s="124">
        <f>SUMIFS('FIXED AMOUNT'!E:E,'FIXED AMOUNT'!B:B,'data base '!B:B)</f>
        <v>0</v>
      </c>
      <c r="Y107" s="124">
        <f>SUMIFS('FIXED AMOUNT'!F:F,'FIXED AMOUNT'!B:B,'data base '!B:B)</f>
        <v>0</v>
      </c>
      <c r="Z107" s="124">
        <f>SUMIFS('FIXED AMOUNT'!V:V,'FIXED AMOUNT'!B:B,B:B)</f>
        <v>0</v>
      </c>
      <c r="AA107" s="124">
        <f t="shared" si="8"/>
        <v>0</v>
      </c>
      <c r="AB107" s="207">
        <f t="shared" si="9"/>
        <v>0</v>
      </c>
      <c r="AC107" s="204">
        <v>45945</v>
      </c>
      <c r="AD107" s="124">
        <f t="shared" si="10"/>
        <v>0</v>
      </c>
      <c r="AE107" s="208"/>
    </row>
    <row r="108" spans="1:31">
      <c r="A108">
        <v>107</v>
      </c>
      <c r="B108" t="s">
        <v>1004</v>
      </c>
      <c r="C108" t="s">
        <v>1007</v>
      </c>
      <c r="D108" s="146">
        <f>SUMIFS(FACILITIES!E:E,FACILITIES!$B:$B,B108)</f>
        <v>4200</v>
      </c>
      <c r="E108" s="146">
        <f>SUMIFS(FACILITIES!F:F,FACILITIES!$B:$B,$B108)</f>
        <v>450</v>
      </c>
      <c r="F108" s="146">
        <f>SUMIFS(FACILITIES!G:G,FACILITIES!$B:$B,B108)</f>
        <v>0</v>
      </c>
      <c r="G108" s="146">
        <f>SUMIFS(FACILITIES!H:H,FACILITIES!$B:$B,B108)</f>
        <v>0</v>
      </c>
      <c r="H108" s="146">
        <f>SUMIFS(FACILITIES!I:I,FACILITIES!$B:$B,B108)</f>
        <v>0</v>
      </c>
      <c r="I108" s="146">
        <f>SUMIFS(FACILITIES!J:J,FACILITIES!$B:$B,B108)</f>
        <v>0</v>
      </c>
      <c r="J108" s="146">
        <f>SUMIFS(FACILITIES!K:K,FACILITIES!$B:$B,B108)</f>
        <v>0</v>
      </c>
      <c r="K108" s="146">
        <f>SUMIFS(FACILITIES!L:L,FACILITIES!$B:$B,B108)</f>
        <v>0</v>
      </c>
      <c r="L108" s="146">
        <f>SUMIFS(FACILITIES!M:M,FACILITIES!$B:$B,B108)</f>
        <v>0</v>
      </c>
      <c r="M108" s="146">
        <f>SUMIFS(FACILITIES!N:N,FACILITIES!$B:$B,B108)</f>
        <v>0</v>
      </c>
      <c r="N108" s="146">
        <f>SUMIFS(FACILITIES!O:O,FACILITIES!$B:$B,B108)</f>
        <v>0</v>
      </c>
      <c r="O108" s="146">
        <f>SUMIFS(FACILITIES!P:P,FACILITIES!$B:$B,B108)</f>
        <v>0</v>
      </c>
      <c r="P108" s="146">
        <f>SUMIFS(FACILITIES!Q:Q,FACILITIES!$B:$B,B108)</f>
        <v>0</v>
      </c>
      <c r="Q108" s="146">
        <f>SUMIFS(FACILITIES!R:R,FACILITIES!$B:$B,B108)</f>
        <v>0</v>
      </c>
      <c r="R108" s="146">
        <f>SUMIFS(FACILITIES!T:T,FACILITIES!B:B,B108)</f>
        <v>40000</v>
      </c>
      <c r="S108" s="146">
        <f>SUMIFS(FACILITIES!S:S,FACILITIES!B:B,B108)</f>
        <v>0</v>
      </c>
      <c r="T108" s="146">
        <f>SUMIFS('F &amp; B'!G:G,'F &amp; B'!B:B,B108)</f>
        <v>38280</v>
      </c>
      <c r="U108" s="210">
        <f t="shared" si="7"/>
        <v>5742</v>
      </c>
      <c r="V108" s="146">
        <f>SUMIFS('FIXED AMOUNT'!G:G,'FIXED AMOUNT'!B:B,B108)</f>
        <v>7000</v>
      </c>
      <c r="W108" s="124">
        <f t="shared" si="11"/>
        <v>95672</v>
      </c>
      <c r="X108" s="124">
        <f>SUMIFS('FIXED AMOUNT'!E:E,'FIXED AMOUNT'!B:B,'data base '!B:B)</f>
        <v>0</v>
      </c>
      <c r="Y108" s="124">
        <f>SUMIFS('FIXED AMOUNT'!F:F,'FIXED AMOUNT'!B:B,'data base '!B:B)</f>
        <v>0</v>
      </c>
      <c r="Z108" s="124">
        <f>SUMIFS('FIXED AMOUNT'!V:V,'FIXED AMOUNT'!B:B,B:B)</f>
        <v>0</v>
      </c>
      <c r="AA108" s="124">
        <f t="shared" si="8"/>
        <v>95672</v>
      </c>
      <c r="AB108" s="207">
        <f t="shared" si="9"/>
        <v>9567.2000000000007</v>
      </c>
      <c r="AC108" s="204">
        <v>45945</v>
      </c>
      <c r="AD108" s="124">
        <f t="shared" si="10"/>
        <v>105239.2</v>
      </c>
      <c r="AE108" s="208"/>
    </row>
    <row r="109" spans="1:31">
      <c r="A109">
        <v>108</v>
      </c>
      <c r="B109" t="s">
        <v>1005</v>
      </c>
      <c r="C109" t="s">
        <v>1009</v>
      </c>
      <c r="D109" s="146">
        <f>SUMIFS(FACILITIES!E:E,FACILITIES!$B:$B,B109)</f>
        <v>0</v>
      </c>
      <c r="E109" s="146">
        <f>SUMIFS(FACILITIES!F:F,FACILITIES!$B:$B,$B109)</f>
        <v>0</v>
      </c>
      <c r="F109" s="146">
        <f>SUMIFS(FACILITIES!G:G,FACILITIES!$B:$B,B109)</f>
        <v>0</v>
      </c>
      <c r="G109" s="146">
        <f>SUMIFS(FACILITIES!H:H,FACILITIES!$B:$B,B109)</f>
        <v>0</v>
      </c>
      <c r="H109" s="146">
        <f>SUMIFS(FACILITIES!I:I,FACILITIES!$B:$B,B109)</f>
        <v>0</v>
      </c>
      <c r="I109" s="146">
        <f>SUMIFS(FACILITIES!J:J,FACILITIES!$B:$B,B109)</f>
        <v>0</v>
      </c>
      <c r="J109" s="146">
        <f>SUMIFS(FACILITIES!K:K,FACILITIES!$B:$B,B109)</f>
        <v>0</v>
      </c>
      <c r="K109" s="146">
        <f>SUMIFS(FACILITIES!L:L,FACILITIES!$B:$B,B109)</f>
        <v>0</v>
      </c>
      <c r="L109" s="146">
        <f>SUMIFS(FACILITIES!M:M,FACILITIES!$B:$B,B109)</f>
        <v>0</v>
      </c>
      <c r="M109" s="146">
        <f>SUMIFS(FACILITIES!N:N,FACILITIES!$B:$B,B109)</f>
        <v>0</v>
      </c>
      <c r="N109" s="146">
        <f>SUMIFS(FACILITIES!O:O,FACILITIES!$B:$B,B109)</f>
        <v>0</v>
      </c>
      <c r="O109" s="146">
        <f>SUMIFS(FACILITIES!P:P,FACILITIES!$B:$B,B109)</f>
        <v>0</v>
      </c>
      <c r="P109" s="146">
        <f>SUMIFS(FACILITIES!Q:Q,FACILITIES!$B:$B,B109)</f>
        <v>0</v>
      </c>
      <c r="Q109" s="146">
        <f>SUMIFS(FACILITIES!R:R,FACILITIES!$B:$B,B109)</f>
        <v>0</v>
      </c>
      <c r="R109" s="146">
        <f>SUMIFS(FACILITIES!T:T,FACILITIES!B:B,B109)</f>
        <v>0</v>
      </c>
      <c r="S109" s="146">
        <f>SUMIFS(FACILITIES!S:S,FACILITIES!B:B,B109)</f>
        <v>0</v>
      </c>
      <c r="T109" s="146">
        <f>SUMIFS('F &amp; B'!G:G,'F &amp; B'!B:B,B109)</f>
        <v>4550</v>
      </c>
      <c r="U109" s="210">
        <f t="shared" si="7"/>
        <v>682.5</v>
      </c>
      <c r="V109" s="146">
        <f>SUMIFS('FIXED AMOUNT'!G:G,'FIXED AMOUNT'!B:B,B109)</f>
        <v>7000</v>
      </c>
      <c r="W109" s="124">
        <f t="shared" si="11"/>
        <v>12232.5</v>
      </c>
      <c r="X109" s="124">
        <f>SUMIFS('FIXED AMOUNT'!E:E,'FIXED AMOUNT'!B:B,'data base '!B:B)</f>
        <v>0</v>
      </c>
      <c r="Y109" s="124">
        <f>SUMIFS('FIXED AMOUNT'!F:F,'FIXED AMOUNT'!B:B,'data base '!B:B)</f>
        <v>0</v>
      </c>
      <c r="Z109" s="124">
        <f>SUMIFS('FIXED AMOUNT'!V:V,'FIXED AMOUNT'!B:B,B:B)</f>
        <v>55450</v>
      </c>
      <c r="AA109" s="124">
        <f t="shared" si="8"/>
        <v>67682.5</v>
      </c>
      <c r="AB109" s="207">
        <f t="shared" si="9"/>
        <v>1223.25</v>
      </c>
      <c r="AC109" s="204">
        <v>45945</v>
      </c>
      <c r="AD109" s="124">
        <f t="shared" si="10"/>
        <v>68905.75</v>
      </c>
      <c r="AE109" s="208"/>
    </row>
    <row r="110" spans="1:31">
      <c r="A110">
        <v>109</v>
      </c>
      <c r="B110" t="s">
        <v>1006</v>
      </c>
      <c r="C110" t="s">
        <v>1008</v>
      </c>
      <c r="D110" s="146">
        <f>SUMIFS(FACILITIES!E:E,FACILITIES!$B:$B,B110)</f>
        <v>0</v>
      </c>
      <c r="E110" s="146">
        <f>SUMIFS(FACILITIES!F:F,FACILITIES!$B:$B,$B110)</f>
        <v>0</v>
      </c>
      <c r="F110" s="146">
        <f>SUMIFS(FACILITIES!G:G,FACILITIES!$B:$B,B110)</f>
        <v>0</v>
      </c>
      <c r="G110" s="146">
        <f>SUMIFS(FACILITIES!H:H,FACILITIES!$B:$B,B110)</f>
        <v>0</v>
      </c>
      <c r="H110" s="146">
        <f>SUMIFS(FACILITIES!I:I,FACILITIES!$B:$B,B110)</f>
        <v>0</v>
      </c>
      <c r="I110" s="146">
        <f>SUMIFS(FACILITIES!J:J,FACILITIES!$B:$B,B110)</f>
        <v>0</v>
      </c>
      <c r="J110" s="146">
        <f>SUMIFS(FACILITIES!K:K,FACILITIES!$B:$B,B110)</f>
        <v>0</v>
      </c>
      <c r="K110" s="146">
        <f>SUMIFS(FACILITIES!L:L,FACILITIES!$B:$B,B110)</f>
        <v>0</v>
      </c>
      <c r="L110" s="146">
        <f>SUMIFS(FACILITIES!M:M,FACILITIES!$B:$B,B110)</f>
        <v>0</v>
      </c>
      <c r="M110" s="146">
        <f>SUMIFS(FACILITIES!N:N,FACILITIES!$B:$B,B110)</f>
        <v>0</v>
      </c>
      <c r="N110" s="146">
        <f>SUMIFS(FACILITIES!O:O,FACILITIES!$B:$B,B110)</f>
        <v>0</v>
      </c>
      <c r="O110" s="146">
        <f>SUMIFS(FACILITIES!P:P,FACILITIES!$B:$B,B110)</f>
        <v>0</v>
      </c>
      <c r="P110" s="146">
        <f>SUMIFS(FACILITIES!Q:Q,FACILITIES!$B:$B,B110)</f>
        <v>0</v>
      </c>
      <c r="Q110" s="146">
        <f>SUMIFS(FACILITIES!R:R,FACILITIES!$B:$B,B110)</f>
        <v>0</v>
      </c>
      <c r="R110" s="146">
        <f>SUMIFS(FACILITIES!T:T,FACILITIES!B:B,B110)</f>
        <v>0</v>
      </c>
      <c r="S110" s="146">
        <f>SUMIFS(FACILITIES!S:S,FACILITIES!B:B,B110)</f>
        <v>0</v>
      </c>
      <c r="T110" s="146">
        <f>SUMIFS('F &amp; B'!G:G,'F &amp; B'!B:B,B110)</f>
        <v>1200</v>
      </c>
      <c r="U110" s="210">
        <f t="shared" si="7"/>
        <v>180</v>
      </c>
      <c r="V110" s="146">
        <f>SUMIFS('FIXED AMOUNT'!G:G,'FIXED AMOUNT'!B:B,B110)</f>
        <v>7000</v>
      </c>
      <c r="W110" s="124">
        <f t="shared" si="11"/>
        <v>8380</v>
      </c>
      <c r="X110" s="124">
        <f>SUMIFS('FIXED AMOUNT'!E:E,'FIXED AMOUNT'!B:B,'data base '!B:B)</f>
        <v>0</v>
      </c>
      <c r="Y110" s="124">
        <f>SUMIFS('FIXED AMOUNT'!F:F,'FIXED AMOUNT'!B:B,'data base '!B:B)</f>
        <v>0</v>
      </c>
      <c r="Z110" s="124">
        <f>SUMIFS('FIXED AMOUNT'!V:V,'FIXED AMOUNT'!B:B,B:B)</f>
        <v>13571</v>
      </c>
      <c r="AA110" s="124">
        <f t="shared" si="8"/>
        <v>21951</v>
      </c>
      <c r="AB110" s="207">
        <f t="shared" si="9"/>
        <v>838</v>
      </c>
      <c r="AC110" s="204">
        <v>45945</v>
      </c>
      <c r="AD110" s="124">
        <f t="shared" si="10"/>
        <v>22789</v>
      </c>
      <c r="AE110" s="208"/>
    </row>
    <row r="111" spans="1:31">
      <c r="A111">
        <v>110</v>
      </c>
      <c r="B111" t="s">
        <v>1014</v>
      </c>
      <c r="C111" t="s">
        <v>1015</v>
      </c>
      <c r="D111" s="146">
        <f>SUMIFS(FACILITIES!E:E,FACILITIES!$B:$B,B111)</f>
        <v>0</v>
      </c>
      <c r="E111" s="146">
        <f>SUMIFS(FACILITIES!F:F,FACILITIES!$B:$B,$B111)</f>
        <v>0</v>
      </c>
      <c r="F111" s="146">
        <f>SUMIFS(FACILITIES!G:G,FACILITIES!$B:$B,B111)</f>
        <v>0</v>
      </c>
      <c r="G111" s="146">
        <f>SUMIFS(FACILITIES!H:H,FACILITIES!$B:$B,B111)</f>
        <v>0</v>
      </c>
      <c r="H111" s="146">
        <f>SUMIFS(FACILITIES!I:I,FACILITIES!$B:$B,B111)</f>
        <v>0</v>
      </c>
      <c r="I111" s="146">
        <f>SUMIFS(FACILITIES!J:J,FACILITIES!$B:$B,B111)</f>
        <v>0</v>
      </c>
      <c r="J111" s="146">
        <f>SUMIFS(FACILITIES!K:K,FACILITIES!$B:$B,B111)</f>
        <v>0</v>
      </c>
      <c r="K111" s="146">
        <f>SUMIFS(FACILITIES!L:L,FACILITIES!$B:$B,B111)</f>
        <v>0</v>
      </c>
      <c r="L111" s="146">
        <f>SUMIFS(FACILITIES!M:M,FACILITIES!$B:$B,B111)</f>
        <v>0</v>
      </c>
      <c r="M111" s="146">
        <f>SUMIFS(FACILITIES!N:N,FACILITIES!$B:$B,B111)</f>
        <v>0</v>
      </c>
      <c r="N111" s="146">
        <f>SUMIFS(FACILITIES!O:O,FACILITIES!$B:$B,B111)</f>
        <v>0</v>
      </c>
      <c r="O111" s="146">
        <f>SUMIFS(FACILITIES!P:P,FACILITIES!$B:$B,B111)</f>
        <v>0</v>
      </c>
      <c r="P111" s="146">
        <f>SUMIFS(FACILITIES!Q:Q,FACILITIES!$B:$B,B111)</f>
        <v>0</v>
      </c>
      <c r="Q111" s="146">
        <f>SUMIFS(FACILITIES!R:R,FACILITIES!$B:$B,B111)</f>
        <v>0</v>
      </c>
      <c r="R111" s="146">
        <f>SUMIFS(FACILITIES!T:T,FACILITIES!B:B,B111)</f>
        <v>0</v>
      </c>
      <c r="S111" s="146">
        <f>SUMIFS(FACILITIES!S:S,FACILITIES!B:B,B111)</f>
        <v>0</v>
      </c>
      <c r="T111" s="146">
        <f>SUMIFS('F &amp; B'!G:G,'F &amp; B'!B:B,B111)</f>
        <v>0</v>
      </c>
      <c r="U111" s="210">
        <f t="shared" si="7"/>
        <v>0</v>
      </c>
      <c r="V111" s="146">
        <f>SUMIFS('FIXED AMOUNT'!G:G,'FIXED AMOUNT'!B:B,B111)</f>
        <v>7000</v>
      </c>
      <c r="W111" s="124">
        <f t="shared" si="11"/>
        <v>7000</v>
      </c>
      <c r="X111" s="124">
        <f>SUMIFS('FIXED AMOUNT'!E:E,'FIXED AMOUNT'!B:B,'data base '!B:B)</f>
        <v>0</v>
      </c>
      <c r="Y111" s="124">
        <f>SUMIFS('FIXED AMOUNT'!F:F,'FIXED AMOUNT'!B:B,'data base '!B:B)</f>
        <v>0</v>
      </c>
      <c r="Z111" s="124">
        <f>SUMIFS('FIXED AMOUNT'!V:V,'FIXED AMOUNT'!B:B,B:B)</f>
        <v>60000</v>
      </c>
      <c r="AA111" s="124">
        <f t="shared" si="8"/>
        <v>67000</v>
      </c>
      <c r="AB111" s="207">
        <f t="shared" si="9"/>
        <v>700</v>
      </c>
      <c r="AC111" s="204">
        <v>45945</v>
      </c>
      <c r="AD111" s="124">
        <f t="shared" si="10"/>
        <v>67700</v>
      </c>
      <c r="AE111" s="208"/>
    </row>
    <row r="112" spans="1:31">
      <c r="A112">
        <v>111</v>
      </c>
      <c r="B112" t="s">
        <v>1020</v>
      </c>
      <c r="C112" t="s">
        <v>1022</v>
      </c>
      <c r="D112" s="146">
        <f>SUMIFS(FACILITIES!E:E,FACILITIES!$B:$B,B112)</f>
        <v>1800</v>
      </c>
      <c r="E112" s="146">
        <f>SUMIFS(FACILITIES!F:F,FACILITIES!$B:$B,$B112)</f>
        <v>600</v>
      </c>
      <c r="F112" s="146">
        <f>SUMIFS(FACILITIES!G:G,FACILITIES!$B:$B,B112)</f>
        <v>0</v>
      </c>
      <c r="G112" s="146">
        <f>SUMIFS(FACILITIES!H:H,FACILITIES!$B:$B,B112)</f>
        <v>0</v>
      </c>
      <c r="H112" s="146">
        <f>SUMIFS(FACILITIES!I:I,FACILITIES!$B:$B,B112)</f>
        <v>0</v>
      </c>
      <c r="I112" s="146">
        <f>SUMIFS(FACILITIES!J:J,FACILITIES!$B:$B,B112)</f>
        <v>0</v>
      </c>
      <c r="J112" s="146">
        <f>SUMIFS(FACILITIES!K:K,FACILITIES!$B:$B,B112)</f>
        <v>0</v>
      </c>
      <c r="K112" s="146">
        <f>SUMIFS(FACILITIES!L:L,FACILITIES!$B:$B,B112)</f>
        <v>0</v>
      </c>
      <c r="L112" s="146">
        <f>SUMIFS(FACILITIES!M:M,FACILITIES!$B:$B,B112)</f>
        <v>0</v>
      </c>
      <c r="M112" s="146">
        <f>SUMIFS(FACILITIES!N:N,FACILITIES!$B:$B,B112)</f>
        <v>0</v>
      </c>
      <c r="N112" s="146">
        <f>SUMIFS(FACILITIES!O:O,FACILITIES!$B:$B,B112)</f>
        <v>0</v>
      </c>
      <c r="O112" s="146">
        <f>SUMIFS(FACILITIES!P:P,FACILITIES!$B:$B,B112)</f>
        <v>0</v>
      </c>
      <c r="P112" s="146">
        <f>SUMIFS(FACILITIES!Q:Q,FACILITIES!$B:$B,B112)</f>
        <v>0</v>
      </c>
      <c r="Q112" s="146">
        <f>SUMIFS(FACILITIES!R:R,FACILITIES!$B:$B,B112)</f>
        <v>0</v>
      </c>
      <c r="R112" s="146">
        <f>SUMIFS(FACILITIES!T:T,FACILITIES!B:B,B112)</f>
        <v>0</v>
      </c>
      <c r="S112" s="146">
        <f>SUMIFS(FACILITIES!S:S,FACILITIES!B:B,B112)</f>
        <v>0</v>
      </c>
      <c r="T112" s="146">
        <f>SUMIFS('F &amp; B'!G:G,'F &amp; B'!B:B,B112)</f>
        <v>10350</v>
      </c>
      <c r="U112" s="210">
        <f t="shared" si="7"/>
        <v>1552.5</v>
      </c>
      <c r="V112" s="146">
        <f>SUMIFS('FIXED AMOUNT'!G:G,'FIXED AMOUNT'!B:B,B112)</f>
        <v>7000</v>
      </c>
      <c r="W112" s="124">
        <f t="shared" si="11"/>
        <v>21302.5</v>
      </c>
      <c r="X112" s="124">
        <f>SUMIFS('FIXED AMOUNT'!E:E,'FIXED AMOUNT'!B:B,'data base '!B:B)</f>
        <v>0</v>
      </c>
      <c r="Y112" s="124">
        <f>SUMIFS('FIXED AMOUNT'!F:F,'FIXED AMOUNT'!B:B,'data base '!B:B)</f>
        <v>0</v>
      </c>
      <c r="Z112" s="124">
        <f>SUMIFS('FIXED AMOUNT'!V:V,'FIXED AMOUNT'!B:B,B:B)</f>
        <v>0</v>
      </c>
      <c r="AA112" s="124">
        <f t="shared" si="8"/>
        <v>21302.5</v>
      </c>
      <c r="AB112" s="207">
        <f t="shared" si="9"/>
        <v>2130.25</v>
      </c>
      <c r="AC112" s="204">
        <v>45945</v>
      </c>
      <c r="AD112" s="124">
        <f t="shared" si="10"/>
        <v>23432.75</v>
      </c>
      <c r="AE112" s="208"/>
    </row>
    <row r="113" spans="1:31">
      <c r="A113">
        <v>112</v>
      </c>
      <c r="B113" t="s">
        <v>1021</v>
      </c>
      <c r="C113" t="s">
        <v>1023</v>
      </c>
      <c r="D113" s="146">
        <f>SUMIFS(FACILITIES!E:E,FACILITIES!$B:$B,B113)</f>
        <v>0</v>
      </c>
      <c r="E113" s="146">
        <f>SUMIFS(FACILITIES!F:F,FACILITIES!$B:$B,$B113)</f>
        <v>150</v>
      </c>
      <c r="F113" s="146">
        <f>SUMIFS(FACILITIES!G:G,FACILITIES!$B:$B,B113)</f>
        <v>0</v>
      </c>
      <c r="G113" s="146">
        <f>SUMIFS(FACILITIES!H:H,FACILITIES!$B:$B,B113)</f>
        <v>0</v>
      </c>
      <c r="H113" s="146">
        <f>SUMIFS(FACILITIES!I:I,FACILITIES!$B:$B,B113)</f>
        <v>0</v>
      </c>
      <c r="I113" s="146">
        <f>SUMIFS(FACILITIES!J:J,FACILITIES!$B:$B,B113)</f>
        <v>6400</v>
      </c>
      <c r="J113" s="146">
        <f>SUMIFS(FACILITIES!K:K,FACILITIES!$B:$B,B113)</f>
        <v>0</v>
      </c>
      <c r="K113" s="146">
        <f>SUMIFS(FACILITIES!L:L,FACILITIES!$B:$B,B113)</f>
        <v>0</v>
      </c>
      <c r="L113" s="146">
        <f>SUMIFS(FACILITIES!M:M,FACILITIES!$B:$B,B113)</f>
        <v>0</v>
      </c>
      <c r="M113" s="146">
        <f>SUMIFS(FACILITIES!N:N,FACILITIES!$B:$B,B113)</f>
        <v>0</v>
      </c>
      <c r="N113" s="146">
        <f>SUMIFS(FACILITIES!O:O,FACILITIES!$B:$B,B113)</f>
        <v>0</v>
      </c>
      <c r="O113" s="146">
        <f>SUMIFS(FACILITIES!P:P,FACILITIES!$B:$B,B113)</f>
        <v>0</v>
      </c>
      <c r="P113" s="146">
        <f>SUMIFS(FACILITIES!Q:Q,FACILITIES!$B:$B,B113)</f>
        <v>0</v>
      </c>
      <c r="Q113" s="146">
        <f>SUMIFS(FACILITIES!R:R,FACILITIES!$B:$B,B113)</f>
        <v>0</v>
      </c>
      <c r="R113" s="146">
        <f>SUMIFS(FACILITIES!T:T,FACILITIES!B:B,B113)</f>
        <v>0</v>
      </c>
      <c r="S113" s="146">
        <f>SUMIFS(FACILITIES!S:S,FACILITIES!B:B,B113)</f>
        <v>0</v>
      </c>
      <c r="T113" s="146">
        <f>SUMIFS('F &amp; B'!G:G,'F &amp; B'!B:B,B113)</f>
        <v>51687</v>
      </c>
      <c r="U113" s="210">
        <f t="shared" si="7"/>
        <v>7753.0499999999993</v>
      </c>
      <c r="V113" s="146">
        <f>SUMIFS('FIXED AMOUNT'!G:G,'FIXED AMOUNT'!B:B,B113)</f>
        <v>7000</v>
      </c>
      <c r="W113" s="124">
        <f t="shared" si="11"/>
        <v>72990.05</v>
      </c>
      <c r="X113" s="124">
        <f>SUMIFS('FIXED AMOUNT'!E:E,'FIXED AMOUNT'!B:B,'data base '!B:B)</f>
        <v>0</v>
      </c>
      <c r="Y113" s="124">
        <f>SUMIFS('FIXED AMOUNT'!F:F,'FIXED AMOUNT'!B:B,'data base '!B:B)</f>
        <v>0</v>
      </c>
      <c r="Z113" s="124">
        <f>SUMIFS('FIXED AMOUNT'!V:V,'FIXED AMOUNT'!B:B,B:B)</f>
        <v>0</v>
      </c>
      <c r="AA113" s="124">
        <f t="shared" si="8"/>
        <v>72990.05</v>
      </c>
      <c r="AB113" s="207">
        <f t="shared" si="9"/>
        <v>7299.005000000001</v>
      </c>
      <c r="AC113" s="204">
        <v>45945</v>
      </c>
      <c r="AD113" s="124">
        <f t="shared" si="10"/>
        <v>80289.055000000008</v>
      </c>
      <c r="AE113" s="208"/>
    </row>
    <row r="114" spans="1:31">
      <c r="A114">
        <v>113</v>
      </c>
      <c r="B114" t="s">
        <v>1024</v>
      </c>
      <c r="C114" t="s">
        <v>1041</v>
      </c>
      <c r="D114" s="146">
        <f>SUMIFS(FACILITIES!E:E,FACILITIES!$B:$B,B114)</f>
        <v>0</v>
      </c>
      <c r="E114" s="146">
        <f>SUMIFS(FACILITIES!F:F,FACILITIES!$B:$B,$B114)</f>
        <v>0</v>
      </c>
      <c r="F114" s="146">
        <f>SUMIFS(FACILITIES!G:G,FACILITIES!$B:$B,B114)</f>
        <v>0</v>
      </c>
      <c r="G114" s="146">
        <f>SUMIFS(FACILITIES!H:H,FACILITIES!$B:$B,B114)</f>
        <v>0</v>
      </c>
      <c r="H114" s="146">
        <f>SUMIFS(FACILITIES!I:I,FACILITIES!$B:$B,B114)</f>
        <v>0</v>
      </c>
      <c r="I114" s="146">
        <f>SUMIFS(FACILITIES!J:J,FACILITIES!$B:$B,B114)</f>
        <v>1600</v>
      </c>
      <c r="J114" s="146">
        <f>SUMIFS(FACILITIES!K:K,FACILITIES!$B:$B,B114)</f>
        <v>0</v>
      </c>
      <c r="K114" s="146">
        <f>SUMIFS(FACILITIES!L:L,FACILITIES!$B:$B,B114)</f>
        <v>0</v>
      </c>
      <c r="L114" s="146">
        <f>SUMIFS(FACILITIES!M:M,FACILITIES!$B:$B,B114)</f>
        <v>0</v>
      </c>
      <c r="M114" s="146">
        <f>SUMIFS(FACILITIES!N:N,FACILITIES!$B:$B,B114)</f>
        <v>0</v>
      </c>
      <c r="N114" s="146">
        <f>SUMIFS(FACILITIES!O:O,FACILITIES!$B:$B,B114)</f>
        <v>0</v>
      </c>
      <c r="O114" s="146">
        <f>SUMIFS(FACILITIES!P:P,FACILITIES!$B:$B,B114)</f>
        <v>57950</v>
      </c>
      <c r="P114" s="146">
        <f>SUMIFS(FACILITIES!Q:Q,FACILITIES!$B:$B,B114)</f>
        <v>0</v>
      </c>
      <c r="Q114" s="146">
        <f>SUMIFS(FACILITIES!R:R,FACILITIES!$B:$B,B114)</f>
        <v>0</v>
      </c>
      <c r="R114" s="146">
        <f>SUMIFS(FACILITIES!T:T,FACILITIES!B:B,B114)</f>
        <v>0</v>
      </c>
      <c r="S114" s="146">
        <f>SUMIFS(FACILITIES!S:S,FACILITIES!B:B,B114)</f>
        <v>0</v>
      </c>
      <c r="T114" s="146">
        <f>SUMIFS('F &amp; B'!G:G,'F &amp; B'!B:B,B114)</f>
        <v>21629</v>
      </c>
      <c r="U114" s="210">
        <f t="shared" si="7"/>
        <v>3244.35</v>
      </c>
      <c r="V114" s="146">
        <f>SUMIFS('FIXED AMOUNT'!G:G,'FIXED AMOUNT'!B:B,B114)</f>
        <v>7000</v>
      </c>
      <c r="W114" s="124">
        <f t="shared" si="11"/>
        <v>91423.35</v>
      </c>
      <c r="X114" s="124">
        <f>SUMIFS('FIXED AMOUNT'!E:E,'FIXED AMOUNT'!B:B,'data base '!B:B)</f>
        <v>0</v>
      </c>
      <c r="Y114" s="124">
        <f>SUMIFS('FIXED AMOUNT'!F:F,'FIXED AMOUNT'!B:B,'data base '!B:B)</f>
        <v>0</v>
      </c>
      <c r="Z114" s="124">
        <f>SUMIFS('FIXED AMOUNT'!V:V,'FIXED AMOUNT'!B:B,B:B)</f>
        <v>0</v>
      </c>
      <c r="AA114" s="124">
        <f t="shared" si="8"/>
        <v>91423.35</v>
      </c>
      <c r="AB114" s="207">
        <f t="shared" si="9"/>
        <v>9142.3350000000009</v>
      </c>
      <c r="AC114" s="204">
        <v>45945</v>
      </c>
      <c r="AD114" s="124">
        <f t="shared" si="10"/>
        <v>100565.68500000001</v>
      </c>
      <c r="AE114" s="208"/>
    </row>
    <row r="115" spans="1:31">
      <c r="A115">
        <v>114</v>
      </c>
      <c r="B115" t="s">
        <v>1039</v>
      </c>
      <c r="C115" t="s">
        <v>1071</v>
      </c>
      <c r="D115" s="146">
        <f>SUMIFS(FACILITIES!E:E,FACILITIES!$B:$B,B115)</f>
        <v>0</v>
      </c>
      <c r="E115" s="146">
        <f>SUMIFS(FACILITIES!F:F,FACILITIES!$B:$B,$B115)</f>
        <v>0</v>
      </c>
      <c r="F115" s="146">
        <f>SUMIFS(FACILITIES!G:G,FACILITIES!$B:$B,B115)</f>
        <v>0</v>
      </c>
      <c r="G115" s="146">
        <f>SUMIFS(FACILITIES!H:H,FACILITIES!$B:$B,B115)</f>
        <v>0</v>
      </c>
      <c r="H115" s="146">
        <f>SUMIFS(FACILITIES!I:I,FACILITIES!$B:$B,B115)</f>
        <v>0</v>
      </c>
      <c r="I115" s="146">
        <f>SUMIFS(FACILITIES!J:J,FACILITIES!$B:$B,B115)</f>
        <v>1500</v>
      </c>
      <c r="J115" s="146">
        <f>SUMIFS(FACILITIES!K:K,FACILITIES!$B:$B,B115)</f>
        <v>0</v>
      </c>
      <c r="K115" s="146">
        <f>SUMIFS(FACILITIES!L:L,FACILITIES!$B:$B,B115)</f>
        <v>0</v>
      </c>
      <c r="L115" s="146">
        <f>SUMIFS(FACILITIES!M:M,FACILITIES!$B:$B,B115)</f>
        <v>0</v>
      </c>
      <c r="M115" s="146">
        <f>SUMIFS(FACILITIES!N:N,FACILITIES!$B:$B,B115)</f>
        <v>0</v>
      </c>
      <c r="N115" s="146">
        <f>SUMIFS(FACILITIES!O:O,FACILITIES!$B:$B,B115)</f>
        <v>0</v>
      </c>
      <c r="O115" s="146">
        <f>SUMIFS(FACILITIES!P:P,FACILITIES!$B:$B,B115)</f>
        <v>0</v>
      </c>
      <c r="P115" s="146">
        <f>SUMIFS(FACILITIES!Q:Q,FACILITIES!$B:$B,B115)</f>
        <v>0</v>
      </c>
      <c r="Q115" s="146">
        <f>SUMIFS(FACILITIES!R:R,FACILITIES!$B:$B,B115)</f>
        <v>0</v>
      </c>
      <c r="R115" s="146">
        <f>SUMIFS(FACILITIES!T:T,FACILITIES!B:B,B115)</f>
        <v>7000</v>
      </c>
      <c r="S115" s="146">
        <f>SUMIFS(FACILITIES!S:S,FACILITIES!B:B,B115)</f>
        <v>0</v>
      </c>
      <c r="T115" s="146">
        <f>SUMIFS('F &amp; B'!G:G,'F &amp; B'!B:B,B115)</f>
        <v>5770</v>
      </c>
      <c r="U115" s="210">
        <f t="shared" si="7"/>
        <v>865.5</v>
      </c>
      <c r="V115" s="146">
        <f>SUMIFS('FIXED AMOUNT'!G:G,'FIXED AMOUNT'!B:B,B115)</f>
        <v>7000</v>
      </c>
      <c r="W115" s="124">
        <f t="shared" si="11"/>
        <v>22135.5</v>
      </c>
      <c r="X115" s="124">
        <f>SUMIFS('FIXED AMOUNT'!E:E,'FIXED AMOUNT'!B:B,'data base '!B:B)</f>
        <v>0</v>
      </c>
      <c r="Y115" s="124">
        <f>SUMIFS('FIXED AMOUNT'!F:F,'FIXED AMOUNT'!B:B,'data base '!B:B)</f>
        <v>0</v>
      </c>
      <c r="Z115" s="124">
        <f>SUMIFS('FIXED AMOUNT'!V:V,'FIXED AMOUNT'!B:B,B:B)</f>
        <v>0</v>
      </c>
      <c r="AA115" s="124">
        <f t="shared" si="8"/>
        <v>22135.5</v>
      </c>
      <c r="AB115" s="207">
        <f t="shared" si="9"/>
        <v>2213.5500000000002</v>
      </c>
      <c r="AC115" s="204">
        <v>45945</v>
      </c>
      <c r="AD115" s="124">
        <f t="shared" si="10"/>
        <v>24349.05</v>
      </c>
      <c r="AE115" s="208"/>
    </row>
    <row r="116" spans="1:31">
      <c r="A116">
        <v>115</v>
      </c>
      <c r="B116" t="s">
        <v>1040</v>
      </c>
      <c r="C116" t="s">
        <v>1025</v>
      </c>
      <c r="D116" s="146">
        <f>SUMIFS(FACILITIES!E:E,FACILITIES!$B:$B,B116)</f>
        <v>0</v>
      </c>
      <c r="E116" s="146">
        <f>SUMIFS(FACILITIES!F:F,FACILITIES!$B:$B,$B116)</f>
        <v>0</v>
      </c>
      <c r="F116" s="146">
        <f>SUMIFS(FACILITIES!G:G,FACILITIES!$B:$B,B116)</f>
        <v>0</v>
      </c>
      <c r="G116" s="146">
        <f>SUMIFS(FACILITIES!H:H,FACILITIES!$B:$B,B116)</f>
        <v>0</v>
      </c>
      <c r="H116" s="146">
        <f>SUMIFS(FACILITIES!I:I,FACILITIES!$B:$B,B116)</f>
        <v>0</v>
      </c>
      <c r="I116" s="146">
        <f>SUMIFS(FACILITIES!J:J,FACILITIES!$B:$B,B116)</f>
        <v>0</v>
      </c>
      <c r="J116" s="146">
        <f>SUMIFS(FACILITIES!K:K,FACILITIES!$B:$B,B116)</f>
        <v>0</v>
      </c>
      <c r="K116" s="146">
        <f>SUMIFS(FACILITIES!L:L,FACILITIES!$B:$B,B116)</f>
        <v>0</v>
      </c>
      <c r="L116" s="146">
        <f>SUMIFS(FACILITIES!M:M,FACILITIES!$B:$B,B116)</f>
        <v>0</v>
      </c>
      <c r="M116" s="146">
        <f>SUMIFS(FACILITIES!N:N,FACILITIES!$B:$B,B116)</f>
        <v>0</v>
      </c>
      <c r="N116" s="146">
        <f>SUMIFS(FACILITIES!O:O,FACILITIES!$B:$B,B116)</f>
        <v>0</v>
      </c>
      <c r="O116" s="146">
        <f>SUMIFS(FACILITIES!P:P,FACILITIES!$B:$B,B116)</f>
        <v>0</v>
      </c>
      <c r="P116" s="146">
        <f>SUMIFS(FACILITIES!Q:Q,FACILITIES!$B:$B,B116)</f>
        <v>0</v>
      </c>
      <c r="Q116" s="146">
        <f>SUMIFS(FACILITIES!R:R,FACILITIES!$B:$B,B116)</f>
        <v>0</v>
      </c>
      <c r="R116" s="146">
        <f>SUMIFS(FACILITIES!T:T,FACILITIES!B:B,B116)</f>
        <v>0</v>
      </c>
      <c r="S116" s="146">
        <f>SUMIFS(FACILITIES!S:S,FACILITIES!B:B,B116)</f>
        <v>0</v>
      </c>
      <c r="T116" s="146">
        <f>SUMIFS('F &amp; B'!G:G,'F &amp; B'!B:B,B116)</f>
        <v>0</v>
      </c>
      <c r="U116" s="210">
        <v>0</v>
      </c>
      <c r="V116" s="146">
        <f>SUMIFS('FIXED AMOUNT'!G:G,'FIXED AMOUNT'!B:B,B116)</f>
        <v>0</v>
      </c>
      <c r="W116" s="124">
        <f t="shared" si="11"/>
        <v>0</v>
      </c>
      <c r="Y116" s="124">
        <f>SUMIFS('FIXED AMOUNT'!F:F,'FIXED AMOUNT'!B:B,'data base '!B:B)</f>
        <v>0</v>
      </c>
      <c r="Z116" s="124">
        <f>SUMIFS('FIXED AMOUNT'!V:V,'FIXED AMOUNT'!B:B,B:B)</f>
        <v>0</v>
      </c>
      <c r="AA116" s="124">
        <f t="shared" si="8"/>
        <v>0</v>
      </c>
      <c r="AB116" s="207">
        <f t="shared" si="9"/>
        <v>0</v>
      </c>
      <c r="AC116" s="204">
        <v>45945</v>
      </c>
      <c r="AD116" s="124">
        <f t="shared" si="10"/>
        <v>0</v>
      </c>
      <c r="AE116" s="208"/>
    </row>
    <row r="117" spans="1:31">
      <c r="A117">
        <v>116</v>
      </c>
      <c r="B117" t="s">
        <v>1051</v>
      </c>
      <c r="C117" t="s">
        <v>1055</v>
      </c>
      <c r="D117" s="146">
        <f>SUMIFS(FACILITIES!E:E,FACILITIES!$B:$B,B117)</f>
        <v>0</v>
      </c>
      <c r="E117" s="146">
        <f>SUMIFS(FACILITIES!F:F,FACILITIES!$B:$B,$B117)</f>
        <v>0</v>
      </c>
      <c r="F117" s="146">
        <f>SUMIFS(FACILITIES!G:G,FACILITIES!$B:$B,B117)</f>
        <v>0</v>
      </c>
      <c r="G117" s="146">
        <f>SUMIFS(FACILITIES!H:H,FACILITIES!$B:$B,B117)</f>
        <v>0</v>
      </c>
      <c r="H117" s="146">
        <f>SUMIFS(FACILITIES!I:I,FACILITIES!$B:$B,B117)</f>
        <v>0</v>
      </c>
      <c r="I117" s="146">
        <f>SUMIFS(FACILITIES!J:J,FACILITIES!$B:$B,B117)</f>
        <v>1500</v>
      </c>
      <c r="J117" s="146">
        <f>SUMIFS(FACILITIES!K:K,FACILITIES!$B:$B,B117)</f>
        <v>0</v>
      </c>
      <c r="K117" s="146">
        <f>SUMIFS(FACILITIES!L:L,FACILITIES!$B:$B,B117)</f>
        <v>0</v>
      </c>
      <c r="L117" s="146">
        <f>SUMIFS(FACILITIES!M:M,FACILITIES!$B:$B,B117)</f>
        <v>0</v>
      </c>
      <c r="M117" s="146">
        <f>SUMIFS(FACILITIES!N:N,FACILITIES!$B:$B,B117)</f>
        <v>0</v>
      </c>
      <c r="N117" s="146">
        <f>SUMIFS(FACILITIES!O:O,FACILITIES!$B:$B,B117)</f>
        <v>0</v>
      </c>
      <c r="O117" s="146">
        <f>SUMIFS(FACILITIES!P:P,FACILITIES!$B:$B,B117)</f>
        <v>0</v>
      </c>
      <c r="P117" s="146">
        <f>SUMIFS(FACILITIES!Q:Q,FACILITIES!$B:$B,B117)</f>
        <v>0</v>
      </c>
      <c r="Q117" s="146">
        <f>SUMIFS(FACILITIES!R:R,FACILITIES!$B:$B,B117)</f>
        <v>0</v>
      </c>
      <c r="R117" s="146">
        <f>SUMIFS(FACILITIES!T:T,FACILITIES!B:B,B117)</f>
        <v>0</v>
      </c>
      <c r="S117" s="146">
        <f>SUMIFS(FACILITIES!S:S,FACILITIES!B:B,B117)</f>
        <v>0</v>
      </c>
      <c r="T117" s="146">
        <f>SUMIFS('F &amp; B'!G:G,'F &amp; B'!B:B,B117)</f>
        <v>24300</v>
      </c>
      <c r="U117" s="210">
        <f t="shared" si="7"/>
        <v>3645</v>
      </c>
      <c r="V117" s="146">
        <f>SUMIFS('FIXED AMOUNT'!G:G,'FIXED AMOUNT'!B:B,B117)</f>
        <v>7000</v>
      </c>
      <c r="W117" s="124">
        <f t="shared" si="11"/>
        <v>36445</v>
      </c>
      <c r="X117" s="124">
        <f>SUMIFS('FIXED AMOUNT'!E:E,'FIXED AMOUNT'!B:B,B117)</f>
        <v>0</v>
      </c>
      <c r="Y117" s="124">
        <f>SUMIFS('FIXED AMOUNT'!F:F,'FIXED AMOUNT'!B:B,'data base '!B:B)</f>
        <v>0</v>
      </c>
      <c r="Z117" s="124">
        <f>SUMIFS('FIXED AMOUNT'!V:V,'FIXED AMOUNT'!B:B,B:B)</f>
        <v>0</v>
      </c>
      <c r="AA117" s="124">
        <f t="shared" si="8"/>
        <v>36445</v>
      </c>
      <c r="AB117" s="207">
        <f t="shared" si="9"/>
        <v>3644.5</v>
      </c>
      <c r="AC117" s="204">
        <v>45945</v>
      </c>
      <c r="AD117" s="124">
        <f t="shared" si="10"/>
        <v>40089.5</v>
      </c>
      <c r="AE117" s="208"/>
    </row>
    <row r="118" spans="1:31">
      <c r="A118">
        <v>117</v>
      </c>
      <c r="B118" t="s">
        <v>1052</v>
      </c>
      <c r="C118" t="s">
        <v>1060</v>
      </c>
      <c r="D118" s="146">
        <f>SUMIFS(FACILITIES!E:E,FACILITIES!$B:$B,B118)</f>
        <v>0</v>
      </c>
      <c r="E118" s="146">
        <f>SUMIFS(FACILITIES!F:F,FACILITIES!$B:$B,$B118)</f>
        <v>0</v>
      </c>
      <c r="F118" s="146">
        <f>SUMIFS(FACILITIES!G:G,FACILITIES!$B:$B,B118)</f>
        <v>0</v>
      </c>
      <c r="G118" s="146">
        <f>SUMIFS(FACILITIES!H:H,FACILITIES!$B:$B,B118)</f>
        <v>0</v>
      </c>
      <c r="H118" s="146">
        <f>SUMIFS(FACILITIES!I:I,FACILITIES!$B:$B,B118)</f>
        <v>0</v>
      </c>
      <c r="I118" s="146">
        <f>SUMIFS(FACILITIES!J:J,FACILITIES!$B:$B,B118)</f>
        <v>600</v>
      </c>
      <c r="J118" s="146">
        <f>SUMIFS(FACILITIES!K:K,FACILITIES!$B:$B,B118)</f>
        <v>0</v>
      </c>
      <c r="K118" s="146">
        <f>SUMIFS(FACILITIES!L:L,FACILITIES!$B:$B,B118)</f>
        <v>0</v>
      </c>
      <c r="L118" s="146">
        <f>SUMIFS(FACILITIES!M:M,FACILITIES!$B:$B,B118)</f>
        <v>0</v>
      </c>
      <c r="M118" s="146">
        <f>SUMIFS(FACILITIES!N:N,FACILITIES!$B:$B,B118)</f>
        <v>1500</v>
      </c>
      <c r="N118" s="146">
        <f>SUMIFS(FACILITIES!O:O,FACILITIES!$B:$B,B118)</f>
        <v>0</v>
      </c>
      <c r="O118" s="146">
        <f>SUMIFS(FACILITIES!P:P,FACILITIES!$B:$B,B118)</f>
        <v>450</v>
      </c>
      <c r="P118" s="146">
        <f>SUMIFS(FACILITIES!Q:Q,FACILITIES!$B:$B,B118)</f>
        <v>0</v>
      </c>
      <c r="Q118" s="146">
        <f>SUMIFS(FACILITIES!R:R,FACILITIES!$B:$B,B118)</f>
        <v>0</v>
      </c>
      <c r="R118" s="146">
        <f>SUMIFS(FACILITIES!T:T,FACILITIES!B:B,B118)</f>
        <v>0</v>
      </c>
      <c r="S118" s="146">
        <f>SUMIFS(FACILITIES!S:S,FACILITIES!B:B,B118)</f>
        <v>0</v>
      </c>
      <c r="T118" s="146">
        <f>SUMIFS('F &amp; B'!G:G,'F &amp; B'!B:B,B118)</f>
        <v>4650</v>
      </c>
      <c r="U118" s="210">
        <f t="shared" si="7"/>
        <v>697.5</v>
      </c>
      <c r="V118" s="146">
        <f>SUMIFS('FIXED AMOUNT'!G:G,'FIXED AMOUNT'!B:B,B118)</f>
        <v>7000</v>
      </c>
      <c r="W118" s="124">
        <f t="shared" si="11"/>
        <v>14897.5</v>
      </c>
      <c r="X118" s="124">
        <f>SUMIFS('FIXED AMOUNT'!E:E,'FIXED AMOUNT'!B:B,B118)</f>
        <v>0</v>
      </c>
      <c r="Y118" s="124">
        <f>SUMIFS('FIXED AMOUNT'!F:F,'FIXED AMOUNT'!B:B,'data base '!B:B)</f>
        <v>0</v>
      </c>
      <c r="Z118" s="124">
        <f>SUMIFS('FIXED AMOUNT'!V:V,'FIXED AMOUNT'!B:B,B:B)</f>
        <v>0</v>
      </c>
      <c r="AA118" s="124">
        <f t="shared" si="8"/>
        <v>14897.5</v>
      </c>
      <c r="AB118" s="207">
        <f t="shared" si="9"/>
        <v>1489.75</v>
      </c>
      <c r="AC118" s="204">
        <v>45945</v>
      </c>
      <c r="AD118" s="124">
        <f t="shared" si="10"/>
        <v>16387.25</v>
      </c>
      <c r="AE118" s="208"/>
    </row>
    <row r="119" spans="1:31">
      <c r="A119">
        <v>118</v>
      </c>
      <c r="B119" t="s">
        <v>1053</v>
      </c>
      <c r="C119" t="s">
        <v>1070</v>
      </c>
      <c r="D119" s="146">
        <f>SUMIFS(FACILITIES!E:E,FACILITIES!$B:$B,B119)</f>
        <v>14700</v>
      </c>
      <c r="E119" s="146">
        <f>SUMIFS(FACILITIES!F:F,FACILITIES!$B:$B,$B119)</f>
        <v>0</v>
      </c>
      <c r="F119" s="146">
        <f>SUMIFS(FACILITIES!G:G,FACILITIES!$B:$B,B119)</f>
        <v>0</v>
      </c>
      <c r="G119" s="146">
        <f>SUMIFS(FACILITIES!H:H,FACILITIES!$B:$B,B119)</f>
        <v>0</v>
      </c>
      <c r="H119" s="146">
        <f>SUMIFS(FACILITIES!I:I,FACILITIES!$B:$B,B119)</f>
        <v>0</v>
      </c>
      <c r="I119" s="146">
        <f>SUMIFS(FACILITIES!J:J,FACILITIES!$B:$B,B119)</f>
        <v>12000</v>
      </c>
      <c r="J119" s="146">
        <f>SUMIFS(FACILITIES!K:K,FACILITIES!$B:$B,B119)</f>
        <v>0</v>
      </c>
      <c r="K119" s="146">
        <f>SUMIFS(FACILITIES!L:L,FACILITIES!$B:$B,B119)</f>
        <v>0</v>
      </c>
      <c r="L119" s="146">
        <f>SUMIFS(FACILITIES!M:M,FACILITIES!$B:$B,B119)</f>
        <v>0</v>
      </c>
      <c r="M119" s="146">
        <f>SUMIFS(FACILITIES!N:N,FACILITIES!$B:$B,B119)</f>
        <v>0</v>
      </c>
      <c r="N119" s="146">
        <f>SUMIFS(FACILITIES!O:O,FACILITIES!$B:$B,B119)</f>
        <v>4000</v>
      </c>
      <c r="O119" s="146">
        <f>SUMIFS(FACILITIES!P:P,FACILITIES!$B:$B,B119)</f>
        <v>24200</v>
      </c>
      <c r="P119" s="146">
        <f>SUMIFS(FACILITIES!Q:Q,FACILITIES!$B:$B,B119)</f>
        <v>0</v>
      </c>
      <c r="Q119" s="146">
        <f>SUMIFS(FACILITIES!R:R,FACILITIES!$B:$B,B119)</f>
        <v>0</v>
      </c>
      <c r="R119" s="146">
        <f>SUMIFS(FACILITIES!T:T,FACILITIES!B:B,B119)</f>
        <v>0</v>
      </c>
      <c r="S119" s="146">
        <f>SUMIFS(FACILITIES!S:S,FACILITIES!B:B,B119)</f>
        <v>0</v>
      </c>
      <c r="T119" s="146">
        <f>SUMIFS('F &amp; B'!G:G,'F &amp; B'!B:B,B119)</f>
        <v>84916</v>
      </c>
      <c r="U119" s="210">
        <f t="shared" si="7"/>
        <v>12737.4</v>
      </c>
      <c r="V119" s="146">
        <f>SUMIFS('FIXED AMOUNT'!G:G,'FIXED AMOUNT'!B:B,B119)</f>
        <v>7000</v>
      </c>
      <c r="W119" s="124">
        <f t="shared" si="11"/>
        <v>159553.4</v>
      </c>
      <c r="X119" s="124">
        <f>SUMIFS('FIXED AMOUNT'!E:E,'FIXED AMOUNT'!B:B,B119)</f>
        <v>0</v>
      </c>
      <c r="Y119" s="124">
        <f>SUMIFS('FIXED AMOUNT'!F:F,'FIXED AMOUNT'!B:B,'data base '!B:B)</f>
        <v>0</v>
      </c>
      <c r="Z119" s="124">
        <f>SUMIFS('FIXED AMOUNT'!V:V,'FIXED AMOUNT'!B:B,B:B)</f>
        <v>0</v>
      </c>
      <c r="AA119" s="124">
        <f t="shared" si="8"/>
        <v>159553.4</v>
      </c>
      <c r="AB119" s="207">
        <f t="shared" si="9"/>
        <v>15955.34</v>
      </c>
      <c r="AC119" s="204">
        <v>45945</v>
      </c>
      <c r="AD119" s="124">
        <f t="shared" si="10"/>
        <v>175508.74</v>
      </c>
      <c r="AE119" s="208"/>
    </row>
    <row r="120" spans="1:31">
      <c r="A120">
        <v>119</v>
      </c>
      <c r="B120" t="s">
        <v>1054</v>
      </c>
      <c r="C120" t="s">
        <v>1077</v>
      </c>
      <c r="D120" s="146">
        <f>SUMIFS(FACILITIES!E:E,FACILITIES!$B:$B,B120)</f>
        <v>0</v>
      </c>
      <c r="E120" s="146">
        <f>SUMIFS(FACILITIES!F:F,FACILITIES!$B:$B,$B120)</f>
        <v>0</v>
      </c>
      <c r="F120" s="146">
        <f>SUMIFS(FACILITIES!G:G,FACILITIES!$B:$B,B120)</f>
        <v>0</v>
      </c>
      <c r="G120" s="146">
        <f>SUMIFS(FACILITIES!H:H,FACILITIES!$B:$B,B120)</f>
        <v>0</v>
      </c>
      <c r="H120" s="146">
        <f>SUMIFS(FACILITIES!I:I,FACILITIES!$B:$B,B120)</f>
        <v>0</v>
      </c>
      <c r="I120" s="146">
        <f>SUMIFS(FACILITIES!J:J,FACILITIES!$B:$B,B120)</f>
        <v>0</v>
      </c>
      <c r="J120" s="146">
        <f>SUMIFS(FACILITIES!K:K,FACILITIES!$B:$B,B120)</f>
        <v>0</v>
      </c>
      <c r="K120" s="146">
        <f>SUMIFS(FACILITIES!L:L,FACILITIES!$B:$B,B120)</f>
        <v>0</v>
      </c>
      <c r="L120" s="146">
        <f>SUMIFS(FACILITIES!M:M,FACILITIES!$B:$B,B120)</f>
        <v>0</v>
      </c>
      <c r="M120" s="146">
        <f>SUMIFS(FACILITIES!N:N,FACILITIES!$B:$B,B120)</f>
        <v>0</v>
      </c>
      <c r="N120" s="146">
        <f>SUMIFS(FACILITIES!O:O,FACILITIES!$B:$B,B120)</f>
        <v>0</v>
      </c>
      <c r="O120" s="146">
        <f>SUMIFS(FACILITIES!P:P,FACILITIES!$B:$B,B120)</f>
        <v>0</v>
      </c>
      <c r="P120" s="146">
        <f>SUMIFS(FACILITIES!Q:Q,FACILITIES!$B:$B,B120)</f>
        <v>0</v>
      </c>
      <c r="Q120" s="146">
        <f>SUMIFS(FACILITIES!R:R,FACILITIES!$B:$B,B120)</f>
        <v>0</v>
      </c>
      <c r="R120" s="146">
        <f>SUMIFS(FACILITIES!T:T,FACILITIES!B:B,B120)</f>
        <v>0</v>
      </c>
      <c r="S120" s="146">
        <f>SUMIFS(FACILITIES!S:S,FACILITIES!B:B,B120)</f>
        <v>0</v>
      </c>
      <c r="T120" s="146">
        <f>SUMIFS('F &amp; B'!G:G,'F &amp; B'!B:B,B120)</f>
        <v>0</v>
      </c>
      <c r="U120" s="210">
        <f t="shared" si="7"/>
        <v>0</v>
      </c>
      <c r="V120" s="146">
        <f>SUMIFS('FIXED AMOUNT'!G:G,'FIXED AMOUNT'!B:B,B120)</f>
        <v>7000</v>
      </c>
      <c r="W120" s="124">
        <f t="shared" si="11"/>
        <v>7000</v>
      </c>
      <c r="X120" s="124">
        <f>SUMIFS('FIXED AMOUNT'!E:E,'FIXED AMOUNT'!B:B,B120)</f>
        <v>0</v>
      </c>
      <c r="Y120" s="124">
        <f>SUMIFS('FIXED AMOUNT'!F:F,'FIXED AMOUNT'!B:B,'data base '!B:B)</f>
        <v>0</v>
      </c>
      <c r="Z120" s="124">
        <f>SUMIFS('FIXED AMOUNT'!V:V,'FIXED AMOUNT'!B:B,B:B)</f>
        <v>30000</v>
      </c>
      <c r="AA120" s="124">
        <f t="shared" si="8"/>
        <v>37000</v>
      </c>
      <c r="AB120" s="207">
        <f t="shared" si="9"/>
        <v>700</v>
      </c>
      <c r="AC120" s="204">
        <v>45945</v>
      </c>
      <c r="AD120" s="124">
        <f t="shared" si="10"/>
        <v>37700</v>
      </c>
      <c r="AE120" s="55"/>
    </row>
    <row r="121" spans="1:31">
      <c r="A121">
        <v>120</v>
      </c>
      <c r="B121" t="s">
        <v>1073</v>
      </c>
      <c r="C121" t="s">
        <v>1076</v>
      </c>
      <c r="D121" s="146">
        <f>SUMIFS(FACILITIES!E:E,FACILITIES!$B:$B,B121)</f>
        <v>1800</v>
      </c>
      <c r="E121" s="146">
        <f>SUMIFS(FACILITIES!F:F,FACILITIES!$B:$B,$B121)</f>
        <v>0</v>
      </c>
      <c r="F121" s="146">
        <f>SUMIFS(FACILITIES!G:G,FACILITIES!$B:$B,B121)</f>
        <v>0</v>
      </c>
      <c r="G121" s="146">
        <f>SUMIFS(FACILITIES!H:H,FACILITIES!$B:$B,B121)</f>
        <v>0</v>
      </c>
      <c r="H121" s="146">
        <f>SUMIFS(FACILITIES!I:I,FACILITIES!$B:$B,B121)</f>
        <v>0</v>
      </c>
      <c r="I121" s="146">
        <f>SUMIFS(FACILITIES!J:J,FACILITIES!$B:$B,B121)</f>
        <v>2000</v>
      </c>
      <c r="J121" s="146">
        <f>SUMIFS(FACILITIES!K:K,FACILITIES!$B:$B,B121)</f>
        <v>0</v>
      </c>
      <c r="K121" s="146">
        <f>SUMIFS(FACILITIES!L:L,FACILITIES!$B:$B,B121)</f>
        <v>0</v>
      </c>
      <c r="L121" s="146">
        <f>SUMIFS(FACILITIES!M:M,FACILITIES!$B:$B,B121)</f>
        <v>0</v>
      </c>
      <c r="M121" s="146">
        <f>SUMIFS(FACILITIES!N:N,FACILITIES!$B:$B,B121)</f>
        <v>0</v>
      </c>
      <c r="N121" s="146">
        <f>SUMIFS(FACILITIES!O:O,FACILITIES!$B:$B,B121)</f>
        <v>0</v>
      </c>
      <c r="O121" s="146">
        <f>SUMIFS(FACILITIES!P:P,FACILITIES!$B:$B,B121)</f>
        <v>0</v>
      </c>
      <c r="P121" s="146">
        <f>SUMIFS(FACILITIES!Q:Q,FACILITIES!$B:$B,B121)</f>
        <v>0</v>
      </c>
      <c r="Q121" s="146">
        <f>SUMIFS(FACILITIES!R:R,FACILITIES!$B:$B,B121)</f>
        <v>0</v>
      </c>
      <c r="R121" s="146">
        <f>SUMIFS(FACILITIES!T:T,FACILITIES!B:B,B121)</f>
        <v>15000</v>
      </c>
      <c r="S121" s="146">
        <f>SUMIFS(FACILITIES!S:S,FACILITIES!B:B,B121)</f>
        <v>0</v>
      </c>
      <c r="T121" s="146">
        <f>SUMIFS('F &amp; B'!G:G,'F &amp; B'!B:B,B121)</f>
        <v>36529</v>
      </c>
      <c r="U121" s="210">
        <f t="shared" si="7"/>
        <v>5479.3499999999995</v>
      </c>
      <c r="V121" s="146">
        <f>SUMIFS('FIXED AMOUNT'!G:G,'FIXED AMOUNT'!B:B,B121)</f>
        <v>7000</v>
      </c>
      <c r="W121" s="124">
        <f t="shared" si="11"/>
        <v>67808.350000000006</v>
      </c>
      <c r="X121" s="124">
        <f>SUMIFS('FIXED AMOUNT'!E:E,'FIXED AMOUNT'!B:B,B121)</f>
        <v>0</v>
      </c>
      <c r="Y121" s="124">
        <f>SUMIFS('FIXED AMOUNT'!F:F,'FIXED AMOUNT'!B:B,'data base '!B:B)</f>
        <v>0</v>
      </c>
      <c r="Z121" s="124">
        <f>SUMIFS('FIXED AMOUNT'!V:V,'FIXED AMOUNT'!B:B,B:B)</f>
        <v>0</v>
      </c>
      <c r="AA121" s="124">
        <f t="shared" si="8"/>
        <v>67808.350000000006</v>
      </c>
      <c r="AB121" s="207">
        <f t="shared" si="9"/>
        <v>6780.8350000000009</v>
      </c>
      <c r="AC121" s="204">
        <v>45945</v>
      </c>
      <c r="AD121" s="124">
        <f t="shared" si="10"/>
        <v>74589.185000000012</v>
      </c>
      <c r="AE121" s="55"/>
    </row>
    <row r="122" spans="1:31">
      <c r="A122">
        <v>121</v>
      </c>
      <c r="B122" t="s">
        <v>1074</v>
      </c>
      <c r="C122" t="s">
        <v>1069</v>
      </c>
      <c r="D122" s="146">
        <f>SUMIFS(FACILITIES!E:E,FACILITIES!$B:$B,B122)</f>
        <v>0</v>
      </c>
      <c r="E122" s="146">
        <f>SUMIFS(FACILITIES!F:F,FACILITIES!$B:$B,$B122)</f>
        <v>0</v>
      </c>
      <c r="F122" s="146">
        <f>SUMIFS(FACILITIES!G:G,FACILITIES!$B:$B,B122)</f>
        <v>0</v>
      </c>
      <c r="G122" s="146">
        <f>SUMIFS(FACILITIES!H:H,FACILITIES!$B:$B,B122)</f>
        <v>0</v>
      </c>
      <c r="H122" s="146">
        <f>SUMIFS(FACILITIES!I:I,FACILITIES!$B:$B,B122)</f>
        <v>0</v>
      </c>
      <c r="I122" s="146">
        <f>SUMIFS(FACILITIES!J:J,FACILITIES!$B:$B,B122)</f>
        <v>0</v>
      </c>
      <c r="J122" s="146">
        <f>SUMIFS(FACILITIES!K:K,FACILITIES!$B:$B,B122)</f>
        <v>0</v>
      </c>
      <c r="K122" s="146">
        <f>SUMIFS(FACILITIES!L:L,FACILITIES!$B:$B,B122)</f>
        <v>0</v>
      </c>
      <c r="L122" s="146">
        <f>SUMIFS(FACILITIES!M:M,FACILITIES!$B:$B,B122)</f>
        <v>0</v>
      </c>
      <c r="M122" s="146">
        <f>SUMIFS(FACILITIES!N:N,FACILITIES!$B:$B,B122)</f>
        <v>0</v>
      </c>
      <c r="N122" s="146">
        <f>SUMIFS(FACILITIES!O:O,FACILITIES!$B:$B,B122)</f>
        <v>0</v>
      </c>
      <c r="O122" s="146">
        <f>SUMIFS(FACILITIES!P:P,FACILITIES!$B:$B,B122)</f>
        <v>0</v>
      </c>
      <c r="P122" s="146">
        <f>SUMIFS(FACILITIES!Q:Q,FACILITIES!$B:$B,B122)</f>
        <v>0</v>
      </c>
      <c r="Q122" s="146">
        <f>SUMIFS(FACILITIES!R:R,FACILITIES!$B:$B,B122)</f>
        <v>0</v>
      </c>
      <c r="R122" s="146">
        <f>SUMIFS(FACILITIES!T:T,FACILITIES!B:B,B122)</f>
        <v>0</v>
      </c>
      <c r="S122" s="146">
        <f>SUMIFS(FACILITIES!S:S,FACILITIES!B:B,B122)</f>
        <v>0</v>
      </c>
      <c r="T122" s="146">
        <f>SUMIFS('F &amp; B'!G:G,'F &amp; B'!B:B,B122)</f>
        <v>0</v>
      </c>
      <c r="U122" s="210">
        <f t="shared" si="7"/>
        <v>0</v>
      </c>
      <c r="V122" s="146">
        <f>SUMIFS('FIXED AMOUNT'!G:G,'FIXED AMOUNT'!B:B,B122)</f>
        <v>7000</v>
      </c>
      <c r="W122" s="124">
        <f t="shared" si="11"/>
        <v>7000</v>
      </c>
      <c r="X122" s="124">
        <f>SUMIFS('FIXED AMOUNT'!E:E,'FIXED AMOUNT'!B:B,B122)</f>
        <v>0</v>
      </c>
      <c r="Y122" s="124">
        <f>SUMIFS('FIXED AMOUNT'!F:F,'FIXED AMOUNT'!B:B,'data base '!B:B)</f>
        <v>0</v>
      </c>
      <c r="Z122" s="124">
        <f>SUMIFS('FIXED AMOUNT'!V:V,'FIXED AMOUNT'!B:B,B:B)</f>
        <v>0</v>
      </c>
      <c r="AA122" s="124">
        <f t="shared" si="8"/>
        <v>7000</v>
      </c>
      <c r="AB122" s="207">
        <f t="shared" si="9"/>
        <v>700</v>
      </c>
      <c r="AC122" s="204">
        <v>45945</v>
      </c>
      <c r="AD122" s="124">
        <f t="shared" si="10"/>
        <v>7700</v>
      </c>
      <c r="AE122" s="55"/>
    </row>
    <row r="123" spans="1:31">
      <c r="A123">
        <v>122</v>
      </c>
      <c r="B123" s="8" t="s">
        <v>756</v>
      </c>
      <c r="C123" s="8" t="s">
        <v>1090</v>
      </c>
      <c r="D123" s="146">
        <f>SUMIFS(FACILITIES!E:E,FACILITIES!$B:$B,B123)</f>
        <v>7500</v>
      </c>
      <c r="E123" s="146">
        <f>SUMIFS(FACILITIES!F:F,FACILITIES!$B:$B,$B123)</f>
        <v>150</v>
      </c>
      <c r="F123" s="146">
        <f>SUMIFS(FACILITIES!G:G,FACILITIES!$B:$B,B123)</f>
        <v>0</v>
      </c>
      <c r="G123" s="146">
        <f>SUMIFS(FACILITIES!H:H,FACILITIES!$B:$B,B123)</f>
        <v>0</v>
      </c>
      <c r="H123" s="146">
        <f>SUMIFS(FACILITIES!I:I,FACILITIES!$B:$B,B123)</f>
        <v>0</v>
      </c>
      <c r="I123" s="146">
        <f>SUMIFS(FACILITIES!J:J,FACILITIES!$B:$B,B123)</f>
        <v>4000</v>
      </c>
      <c r="J123" s="146">
        <f>SUMIFS(FACILITIES!K:K,FACILITIES!$B:$B,B123)</f>
        <v>2600</v>
      </c>
      <c r="K123" s="146">
        <f>SUMIFS(FACILITIES!L:L,FACILITIES!$B:$B,B123)</f>
        <v>0</v>
      </c>
      <c r="L123" s="146">
        <f>SUMIFS(FACILITIES!M:M,FACILITIES!$B:$B,B123)</f>
        <v>0</v>
      </c>
      <c r="M123" s="146">
        <f>SUMIFS(FACILITIES!N:N,FACILITIES!$B:$B,B123)</f>
        <v>0</v>
      </c>
      <c r="N123" s="146">
        <f>SUMIFS(FACILITIES!O:O,FACILITIES!$B:$B,B123)</f>
        <v>11200</v>
      </c>
      <c r="O123" s="146">
        <f>SUMIFS(FACILITIES!P:P,FACILITIES!$B:$B,B123)</f>
        <v>101250</v>
      </c>
      <c r="P123" s="146">
        <f>SUMIFS(FACILITIES!Q:Q,FACILITIES!$B:$B,B123)</f>
        <v>0</v>
      </c>
      <c r="Q123" s="146">
        <f>SUMIFS(FACILITIES!R:R,FACILITIES!$B:$B,B123)</f>
        <v>0</v>
      </c>
      <c r="R123" s="146">
        <f>SUMIFS(FACILITIES!T:T,FACILITIES!B:B,B123)</f>
        <v>0</v>
      </c>
      <c r="S123" s="146">
        <f>SUMIFS(FACILITIES!S:S,FACILITIES!B:B,B123)</f>
        <v>150000</v>
      </c>
      <c r="T123" s="146">
        <f>SUMIFS('F &amp; B'!G:G,'F &amp; B'!B:B,B123)</f>
        <v>0</v>
      </c>
      <c r="U123" s="210">
        <f t="shared" si="7"/>
        <v>0</v>
      </c>
      <c r="V123" s="146">
        <f>SUMIFS('FIXED AMOUNT'!G:G,'FIXED AMOUNT'!B:B,B123)</f>
        <v>0</v>
      </c>
      <c r="W123" s="124">
        <f t="shared" si="11"/>
        <v>276700</v>
      </c>
      <c r="X123" s="124">
        <f>SUMIFS('FIXED AMOUNT'!E:E,'FIXED AMOUNT'!B:B,B123)</f>
        <v>0</v>
      </c>
      <c r="Y123" s="124">
        <f>SUMIFS('FIXED AMOUNT'!F:F,'FIXED AMOUNT'!B:B,'data base '!B:B)</f>
        <v>0</v>
      </c>
      <c r="Z123" s="124">
        <f>SUMIFS('FIXED AMOUNT'!V:V,'FIXED AMOUNT'!B:B,B:B)</f>
        <v>0</v>
      </c>
      <c r="AA123" s="124">
        <f t="shared" si="8"/>
        <v>276700</v>
      </c>
      <c r="AB123" s="207">
        <f t="shared" si="9"/>
        <v>27670</v>
      </c>
      <c r="AC123" s="204">
        <v>45945</v>
      </c>
      <c r="AD123" s="124">
        <v>0</v>
      </c>
    </row>
    <row r="124" spans="1:31">
      <c r="D124" s="146">
        <f t="shared" ref="D124:R124" si="12">SUM(D2:D122)</f>
        <v>81600</v>
      </c>
      <c r="E124" s="146">
        <f t="shared" si="12"/>
        <v>33900</v>
      </c>
      <c r="F124" s="146">
        <f t="shared" si="12"/>
        <v>1500</v>
      </c>
      <c r="G124" s="146">
        <f t="shared" si="12"/>
        <v>7500</v>
      </c>
      <c r="H124" s="146">
        <f t="shared" si="12"/>
        <v>300</v>
      </c>
      <c r="I124" s="146">
        <f t="shared" si="12"/>
        <v>105100</v>
      </c>
      <c r="J124" s="146">
        <f t="shared" si="12"/>
        <v>14400</v>
      </c>
      <c r="K124" s="146">
        <f t="shared" si="12"/>
        <v>0</v>
      </c>
      <c r="L124" s="146">
        <f t="shared" si="12"/>
        <v>200</v>
      </c>
      <c r="M124" s="146">
        <f t="shared" si="12"/>
        <v>3000</v>
      </c>
      <c r="N124" s="146">
        <f t="shared" si="12"/>
        <v>67250</v>
      </c>
      <c r="O124" s="146">
        <f t="shared" si="12"/>
        <v>160150</v>
      </c>
      <c r="P124" s="146">
        <f t="shared" si="12"/>
        <v>0</v>
      </c>
      <c r="Q124" s="146">
        <f t="shared" si="12"/>
        <v>0</v>
      </c>
      <c r="R124" s="146">
        <f t="shared" si="12"/>
        <v>508000</v>
      </c>
      <c r="S124" s="146"/>
      <c r="T124" s="146">
        <f>SUM(T2:T122)</f>
        <v>5370466</v>
      </c>
      <c r="U124" s="210">
        <f>SUM(U2:U122)</f>
        <v>791409.9</v>
      </c>
      <c r="V124" s="146">
        <f>SUM(V2:V122)</f>
        <v>819000</v>
      </c>
      <c r="W124" s="124">
        <f>SUM(W2:W123)</f>
        <v>8825475.8999999985</v>
      </c>
      <c r="X124" s="124">
        <f t="shared" ref="X124:Y124" si="13">SUM(X2:X123)</f>
        <v>0</v>
      </c>
      <c r="Y124" s="124">
        <f t="shared" si="13"/>
        <v>0</v>
      </c>
      <c r="Z124" s="124">
        <f>SUM(Z2:Z123)</f>
        <v>1153996</v>
      </c>
      <c r="AA124" s="124">
        <f>SUM(AA2:AA123)</f>
        <v>9979471.9000000004</v>
      </c>
      <c r="AB124" s="124">
        <f t="shared" ref="AB124:AD124" si="14">SUM(AB2:AB123)</f>
        <v>882547.58999999985</v>
      </c>
      <c r="AC124" s="124"/>
      <c r="AD124" s="124">
        <f t="shared" si="14"/>
        <v>10515064.09</v>
      </c>
      <c r="AE124" s="208">
        <f>AD124-AA124</f>
        <v>535592.18999999948</v>
      </c>
    </row>
  </sheetData>
  <autoFilter ref="A1:AE124" xr:uid="{62B17797-C3F2-47C7-AFAB-EFED2FECA463}"/>
  <conditionalFormatting sqref="AB124:AD124 AE1:AE1048576">
    <cfRule type="duplicateValues" dxfId="3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4408-19F5-4373-ABB7-E19D5D437067}">
  <dimension ref="A1:V500"/>
  <sheetViews>
    <sheetView zoomScale="55" zoomScaleNormal="55" workbookViewId="0">
      <pane ySplit="1" topLeftCell="A2" activePane="bottomLeft" state="frozen"/>
      <selection pane="bottomLeft" activeCell="F20" sqref="F20"/>
    </sheetView>
  </sheetViews>
  <sheetFormatPr defaultColWidth="14" defaultRowHeight="13.8"/>
  <cols>
    <col min="1" max="1" width="5" style="247" customWidth="1"/>
    <col min="2" max="2" width="16.6640625" style="247" customWidth="1"/>
    <col min="3" max="3" width="54.33203125" style="247" bestFit="1" customWidth="1"/>
    <col min="4" max="4" width="14" style="251"/>
    <col min="5" max="5" width="22.33203125" style="249" bestFit="1" customWidth="1"/>
    <col min="6" max="6" width="22.33203125" style="249" customWidth="1"/>
    <col min="7" max="7" width="17.6640625" style="249" bestFit="1" customWidth="1"/>
    <col min="8" max="8" width="18.6640625" style="249" bestFit="1" customWidth="1"/>
    <col min="9" max="9" width="22.33203125" style="200" bestFit="1" customWidth="1"/>
    <col min="10" max="10" width="10.5546875" style="200" customWidth="1"/>
    <col min="11" max="11" width="18" style="200" bestFit="1" customWidth="1"/>
    <col min="12" max="12" width="21.6640625" style="249" bestFit="1" customWidth="1"/>
    <col min="13" max="13" width="10.33203125" style="249" customWidth="1"/>
    <col min="14" max="14" width="14" style="249" customWidth="1"/>
    <col min="15" max="15" width="15.33203125" style="250" customWidth="1"/>
    <col min="16" max="16" width="14.5546875" style="249" bestFit="1" customWidth="1"/>
    <col min="17" max="17" width="14.33203125" style="250" bestFit="1" customWidth="1"/>
    <col min="18" max="18" width="18.6640625" style="249" bestFit="1" customWidth="1"/>
    <col min="19" max="19" width="15" style="249" bestFit="1" customWidth="1"/>
    <col min="20" max="20" width="24.5546875" style="249" bestFit="1" customWidth="1"/>
    <col min="21" max="21" width="15.109375" style="249" bestFit="1" customWidth="1"/>
    <col min="22" max="22" width="20.6640625" style="249" customWidth="1"/>
    <col min="23" max="16384" width="14" style="247"/>
  </cols>
  <sheetData>
    <row r="1" spans="1:22" s="246" customFormat="1" ht="51.75" customHeight="1">
      <c r="A1" s="258" t="s">
        <v>0</v>
      </c>
      <c r="B1" s="259" t="s">
        <v>1</v>
      </c>
      <c r="C1" s="259" t="s">
        <v>2</v>
      </c>
      <c r="D1" s="260" t="s">
        <v>362</v>
      </c>
      <c r="E1" s="282" t="s">
        <v>1158</v>
      </c>
      <c r="F1" s="283" t="s">
        <v>1159</v>
      </c>
      <c r="G1" s="284" t="s">
        <v>413</v>
      </c>
      <c r="H1" s="282" t="s">
        <v>987</v>
      </c>
      <c r="I1" s="283" t="s">
        <v>1111</v>
      </c>
      <c r="J1" s="283" t="s">
        <v>1112</v>
      </c>
      <c r="K1" s="283" t="s">
        <v>1113</v>
      </c>
      <c r="L1" s="283" t="s">
        <v>1114</v>
      </c>
      <c r="M1" s="283" t="s">
        <v>1156</v>
      </c>
      <c r="N1" s="283" t="s">
        <v>1157</v>
      </c>
      <c r="O1" s="283" t="s">
        <v>1155</v>
      </c>
      <c r="P1" s="283" t="s">
        <v>1047</v>
      </c>
      <c r="Q1" s="283" t="s">
        <v>1045</v>
      </c>
      <c r="R1" s="283" t="s">
        <v>1046</v>
      </c>
      <c r="S1" s="283" t="s">
        <v>1048</v>
      </c>
      <c r="T1" s="283" t="s">
        <v>1049</v>
      </c>
      <c r="U1" s="283" t="s">
        <v>988</v>
      </c>
      <c r="V1" s="284" t="s">
        <v>993</v>
      </c>
    </row>
    <row r="2" spans="1:22" ht="20.25" customHeight="1">
      <c r="A2" s="261">
        <v>1</v>
      </c>
      <c r="B2" s="252" t="s">
        <v>7</v>
      </c>
      <c r="C2" s="253" t="s">
        <v>8</v>
      </c>
      <c r="D2" s="254">
        <v>45992</v>
      </c>
      <c r="E2" s="285">
        <v>0</v>
      </c>
      <c r="F2" s="255">
        <v>0</v>
      </c>
      <c r="G2" s="286">
        <v>7000</v>
      </c>
      <c r="H2" s="290">
        <f>SUM(I2:T2)</f>
        <v>65600</v>
      </c>
      <c r="I2" s="256">
        <f>SUMIFS(FACILITIES!T:T,FACILITIES!B:B,B2)</f>
        <v>0</v>
      </c>
      <c r="J2" s="256">
        <v>0</v>
      </c>
      <c r="K2" s="256">
        <v>0</v>
      </c>
      <c r="L2" s="256">
        <v>0</v>
      </c>
      <c r="M2" s="256" t="s">
        <v>1160</v>
      </c>
      <c r="N2" s="256">
        <v>0</v>
      </c>
      <c r="O2" s="256">
        <f>SUMIFS('F &amp; B'!G:G,'F &amp; B'!B:B,B2)</f>
        <v>24550</v>
      </c>
      <c r="P2" s="256">
        <v>0</v>
      </c>
      <c r="Q2" s="257">
        <v>11350</v>
      </c>
      <c r="R2" s="257">
        <v>11100</v>
      </c>
      <c r="S2" s="257">
        <v>18600</v>
      </c>
      <c r="T2" s="257">
        <v>0</v>
      </c>
      <c r="U2" s="257">
        <v>60000</v>
      </c>
      <c r="V2" s="291" t="str">
        <f>IF(U2-H2&gt;0, U2-H2, "")</f>
        <v/>
      </c>
    </row>
    <row r="3" spans="1:22" s="248" customFormat="1" ht="20.25" customHeight="1">
      <c r="A3" s="261">
        <v>2</v>
      </c>
      <c r="B3" s="252" t="s">
        <v>10</v>
      </c>
      <c r="C3" s="253" t="s">
        <v>11</v>
      </c>
      <c r="D3" s="254">
        <v>45992</v>
      </c>
      <c r="E3" s="285">
        <v>0</v>
      </c>
      <c r="F3" s="255">
        <v>0</v>
      </c>
      <c r="G3" s="286">
        <v>7000</v>
      </c>
      <c r="H3" s="290">
        <f t="shared" ref="H3:H66" si="0">SUM(I3:T3)</f>
        <v>61790</v>
      </c>
      <c r="I3" s="256">
        <f>SUMIFS(FACILITIES!T:T,FACILITIES!B:B,B3)</f>
        <v>0</v>
      </c>
      <c r="J3" s="256">
        <v>0</v>
      </c>
      <c r="K3" s="256">
        <v>0</v>
      </c>
      <c r="L3" s="256">
        <v>0</v>
      </c>
      <c r="M3" s="256" t="s">
        <v>1160</v>
      </c>
      <c r="N3" s="256">
        <v>4500</v>
      </c>
      <c r="O3" s="256">
        <f>SUMIFS('F &amp; B'!G:G,'F &amp; B'!B:B,B3)</f>
        <v>12950</v>
      </c>
      <c r="P3" s="256">
        <v>13200</v>
      </c>
      <c r="Q3" s="257">
        <v>5210</v>
      </c>
      <c r="R3" s="257">
        <v>15080</v>
      </c>
      <c r="S3" s="257">
        <v>8950</v>
      </c>
      <c r="T3" s="257">
        <v>1900</v>
      </c>
      <c r="U3" s="257">
        <v>60000</v>
      </c>
      <c r="V3" s="291" t="str">
        <f t="shared" ref="V3:V66" si="1">IF(U3-H3&gt;0, U3-H3, "")</f>
        <v/>
      </c>
    </row>
    <row r="4" spans="1:22" s="248" customFormat="1" ht="20.25" customHeight="1">
      <c r="A4" s="261">
        <v>3</v>
      </c>
      <c r="B4" s="252" t="s">
        <v>15</v>
      </c>
      <c r="C4" s="253" t="s">
        <v>16</v>
      </c>
      <c r="D4" s="254">
        <v>45992</v>
      </c>
      <c r="E4" s="285">
        <v>0</v>
      </c>
      <c r="F4" s="255">
        <v>0</v>
      </c>
      <c r="G4" s="286">
        <v>7000</v>
      </c>
      <c r="H4" s="290">
        <f t="shared" si="0"/>
        <v>168251</v>
      </c>
      <c r="I4" s="256">
        <f>SUMIFS(FACILITIES!T:T,FACILITIES!B:B,B4)</f>
        <v>0</v>
      </c>
      <c r="J4" s="256">
        <v>0</v>
      </c>
      <c r="K4" s="256">
        <v>0</v>
      </c>
      <c r="L4" s="256">
        <v>0</v>
      </c>
      <c r="M4" s="256" t="s">
        <v>1160</v>
      </c>
      <c r="N4" s="256">
        <v>2000</v>
      </c>
      <c r="O4" s="256">
        <f>SUMIFS('F &amp; B'!G:G,'F &amp; B'!B:B,B4)</f>
        <v>52578</v>
      </c>
      <c r="P4" s="256">
        <v>17820</v>
      </c>
      <c r="Q4" s="257">
        <v>19924</v>
      </c>
      <c r="R4" s="257">
        <v>30270</v>
      </c>
      <c r="S4" s="257">
        <v>11600</v>
      </c>
      <c r="T4" s="257">
        <v>34059</v>
      </c>
      <c r="U4" s="257">
        <v>60000</v>
      </c>
      <c r="V4" s="291" t="str">
        <f t="shared" si="1"/>
        <v/>
      </c>
    </row>
    <row r="5" spans="1:22" s="248" customFormat="1" ht="20.25" customHeight="1">
      <c r="A5" s="261">
        <v>4</v>
      </c>
      <c r="B5" s="252" t="s">
        <v>20</v>
      </c>
      <c r="C5" s="253" t="s">
        <v>21</v>
      </c>
      <c r="D5" s="254">
        <v>45992</v>
      </c>
      <c r="E5" s="285">
        <v>0</v>
      </c>
      <c r="F5" s="255">
        <v>0</v>
      </c>
      <c r="G5" s="286">
        <v>7000</v>
      </c>
      <c r="H5" s="290">
        <f t="shared" si="0"/>
        <v>105105</v>
      </c>
      <c r="I5" s="256">
        <f>SUMIFS(FACILITIES!T:T,FACILITIES!B:B,B5)</f>
        <v>0</v>
      </c>
      <c r="J5" s="256">
        <v>0</v>
      </c>
      <c r="K5" s="256">
        <v>0</v>
      </c>
      <c r="L5" s="256">
        <v>0</v>
      </c>
      <c r="M5" s="256" t="s">
        <v>1160</v>
      </c>
      <c r="N5" s="256">
        <v>0</v>
      </c>
      <c r="O5" s="256">
        <f>SUMIFS('F &amp; B'!G:G,'F &amp; B'!B:B,B5)</f>
        <v>6550</v>
      </c>
      <c r="P5" s="256">
        <v>25167</v>
      </c>
      <c r="Q5" s="257">
        <v>34700</v>
      </c>
      <c r="R5" s="257">
        <v>9150</v>
      </c>
      <c r="S5" s="257">
        <v>22388</v>
      </c>
      <c r="T5" s="257">
        <v>7150</v>
      </c>
      <c r="U5" s="257">
        <v>60000</v>
      </c>
      <c r="V5" s="291" t="str">
        <f t="shared" si="1"/>
        <v/>
      </c>
    </row>
    <row r="6" spans="1:22" ht="20.25" customHeight="1">
      <c r="A6" s="261">
        <v>5</v>
      </c>
      <c r="B6" s="252" t="s">
        <v>25</v>
      </c>
      <c r="C6" s="253" t="s">
        <v>26</v>
      </c>
      <c r="D6" s="254">
        <v>45992</v>
      </c>
      <c r="E6" s="285">
        <v>0</v>
      </c>
      <c r="F6" s="255">
        <v>0</v>
      </c>
      <c r="G6" s="286">
        <v>7000</v>
      </c>
      <c r="H6" s="290">
        <f t="shared" si="0"/>
        <v>51526</v>
      </c>
      <c r="I6" s="256">
        <f>SUMIFS(FACILITIES!T:T,FACILITIES!B:B,B6)</f>
        <v>0</v>
      </c>
      <c r="J6" s="256">
        <v>0</v>
      </c>
      <c r="K6" s="256">
        <v>0</v>
      </c>
      <c r="L6" s="256">
        <v>0</v>
      </c>
      <c r="M6" s="256" t="s">
        <v>1160</v>
      </c>
      <c r="N6" s="256">
        <v>0</v>
      </c>
      <c r="O6" s="256">
        <f>SUMIFS('F &amp; B'!G:G,'F &amp; B'!B:B,B6)</f>
        <v>22657</v>
      </c>
      <c r="P6" s="256">
        <v>7325</v>
      </c>
      <c r="Q6" s="257">
        <v>9974</v>
      </c>
      <c r="R6" s="257">
        <v>1200</v>
      </c>
      <c r="S6" s="257">
        <v>10370</v>
      </c>
      <c r="T6" s="257">
        <v>0</v>
      </c>
      <c r="U6" s="257">
        <v>60000</v>
      </c>
      <c r="V6" s="291">
        <f t="shared" si="1"/>
        <v>8474</v>
      </c>
    </row>
    <row r="7" spans="1:22" ht="20.25" customHeight="1">
      <c r="A7" s="261">
        <v>6</v>
      </c>
      <c r="B7" s="252" t="s">
        <v>29</v>
      </c>
      <c r="C7" s="253" t="s">
        <v>30</v>
      </c>
      <c r="D7" s="254">
        <v>45992</v>
      </c>
      <c r="E7" s="285">
        <v>0</v>
      </c>
      <c r="F7" s="255">
        <v>0</v>
      </c>
      <c r="G7" s="286">
        <v>7000</v>
      </c>
      <c r="H7" s="290">
        <f t="shared" si="0"/>
        <v>15650</v>
      </c>
      <c r="I7" s="256">
        <f>SUMIFS(FACILITIES!T:T,FACILITIES!B:B,B7)</f>
        <v>0</v>
      </c>
      <c r="J7" s="256">
        <v>0</v>
      </c>
      <c r="K7" s="256">
        <v>0</v>
      </c>
      <c r="L7" s="256">
        <v>0</v>
      </c>
      <c r="M7" s="256" t="s">
        <v>1160</v>
      </c>
      <c r="N7" s="256">
        <v>0</v>
      </c>
      <c r="O7" s="256">
        <f>SUMIFS('F &amp; B'!G:G,'F &amp; B'!B:B,B7)</f>
        <v>3200</v>
      </c>
      <c r="P7" s="256">
        <v>4420</v>
      </c>
      <c r="Q7" s="257">
        <v>3850</v>
      </c>
      <c r="R7" s="257">
        <v>4180</v>
      </c>
      <c r="S7" s="257">
        <v>0</v>
      </c>
      <c r="T7" s="257">
        <v>0</v>
      </c>
      <c r="U7" s="257">
        <v>60000</v>
      </c>
      <c r="V7" s="291">
        <f t="shared" si="1"/>
        <v>44350</v>
      </c>
    </row>
    <row r="8" spans="1:22" ht="20.25" customHeight="1">
      <c r="A8" s="261">
        <v>7</v>
      </c>
      <c r="B8" s="252" t="s">
        <v>34</v>
      </c>
      <c r="C8" s="253" t="s">
        <v>35</v>
      </c>
      <c r="D8" s="254">
        <v>45992</v>
      </c>
      <c r="E8" s="285">
        <v>0</v>
      </c>
      <c r="F8" s="255">
        <v>0</v>
      </c>
      <c r="G8" s="286">
        <v>7000</v>
      </c>
      <c r="H8" s="290">
        <f t="shared" si="0"/>
        <v>721159</v>
      </c>
      <c r="I8" s="256">
        <f>SUMIFS(FACILITIES!T:T,FACILITIES!B:B,B8)</f>
        <v>0</v>
      </c>
      <c r="J8" s="256">
        <v>0</v>
      </c>
      <c r="K8" s="256">
        <v>180000</v>
      </c>
      <c r="L8" s="256">
        <v>0</v>
      </c>
      <c r="M8" s="256" t="s">
        <v>1160</v>
      </c>
      <c r="N8" s="256">
        <v>270000</v>
      </c>
      <c r="O8" s="256">
        <f>SUMIFS('F &amp; B'!G:G,'F &amp; B'!B:B,B8)</f>
        <v>0</v>
      </c>
      <c r="P8" s="256">
        <v>3550</v>
      </c>
      <c r="Q8" s="257">
        <v>236849</v>
      </c>
      <c r="R8" s="257">
        <v>6160</v>
      </c>
      <c r="S8" s="257">
        <v>0</v>
      </c>
      <c r="T8" s="257">
        <v>24600</v>
      </c>
      <c r="U8" s="257">
        <v>60000</v>
      </c>
      <c r="V8" s="291" t="str">
        <f t="shared" si="1"/>
        <v/>
      </c>
    </row>
    <row r="9" spans="1:22" ht="20.25" customHeight="1">
      <c r="A9" s="261">
        <v>8</v>
      </c>
      <c r="B9" s="252" t="s">
        <v>39</v>
      </c>
      <c r="C9" s="253" t="s">
        <v>40</v>
      </c>
      <c r="D9" s="254">
        <v>45992</v>
      </c>
      <c r="E9" s="285">
        <v>0</v>
      </c>
      <c r="F9" s="255">
        <v>0</v>
      </c>
      <c r="G9" s="286">
        <v>7000</v>
      </c>
      <c r="H9" s="290">
        <f t="shared" si="0"/>
        <v>70453</v>
      </c>
      <c r="I9" s="256">
        <f>SUMIFS(FACILITIES!T:T,FACILITIES!B:B,B9)</f>
        <v>0</v>
      </c>
      <c r="J9" s="256">
        <v>0</v>
      </c>
      <c r="K9" s="256">
        <v>0</v>
      </c>
      <c r="L9" s="256">
        <v>0</v>
      </c>
      <c r="M9" s="256" t="s">
        <v>1160</v>
      </c>
      <c r="N9" s="256">
        <v>0</v>
      </c>
      <c r="O9" s="256">
        <f>SUMIFS('F &amp; B'!G:G,'F &amp; B'!B:B,B9)</f>
        <v>1300</v>
      </c>
      <c r="P9" s="256">
        <v>19930</v>
      </c>
      <c r="Q9" s="257">
        <v>25949</v>
      </c>
      <c r="R9" s="257">
        <v>14474</v>
      </c>
      <c r="S9" s="257">
        <v>3625</v>
      </c>
      <c r="T9" s="257">
        <v>5175</v>
      </c>
      <c r="U9" s="257">
        <v>60000</v>
      </c>
      <c r="V9" s="291" t="str">
        <f t="shared" si="1"/>
        <v/>
      </c>
    </row>
    <row r="10" spans="1:22" ht="20.25" customHeight="1">
      <c r="A10" s="261">
        <v>9</v>
      </c>
      <c r="B10" s="252" t="s">
        <v>44</v>
      </c>
      <c r="C10" s="253" t="s">
        <v>45</v>
      </c>
      <c r="D10" s="254">
        <v>45992</v>
      </c>
      <c r="E10" s="285">
        <v>0</v>
      </c>
      <c r="F10" s="255">
        <v>0</v>
      </c>
      <c r="G10" s="286">
        <v>7000</v>
      </c>
      <c r="H10" s="290">
        <f t="shared" si="0"/>
        <v>42074</v>
      </c>
      <c r="I10" s="256">
        <f>SUMIFS(FACILITIES!T:T,FACILITIES!B:B,B10)</f>
        <v>0</v>
      </c>
      <c r="J10" s="256">
        <v>0</v>
      </c>
      <c r="K10" s="256">
        <v>0</v>
      </c>
      <c r="L10" s="256">
        <v>0</v>
      </c>
      <c r="M10" s="256" t="s">
        <v>1160</v>
      </c>
      <c r="N10" s="256">
        <v>0</v>
      </c>
      <c r="O10" s="256">
        <f>SUMIFS('F &amp; B'!G:G,'F &amp; B'!B:B,B10)</f>
        <v>500</v>
      </c>
      <c r="P10" s="256">
        <v>6789</v>
      </c>
      <c r="Q10" s="257">
        <v>0</v>
      </c>
      <c r="R10" s="257">
        <v>28257</v>
      </c>
      <c r="S10" s="257">
        <v>0</v>
      </c>
      <c r="T10" s="257">
        <v>6528</v>
      </c>
      <c r="U10" s="257">
        <v>60000</v>
      </c>
      <c r="V10" s="291">
        <f t="shared" si="1"/>
        <v>17926</v>
      </c>
    </row>
    <row r="11" spans="1:22" ht="20.25" customHeight="1">
      <c r="A11" s="261">
        <v>10</v>
      </c>
      <c r="B11" s="252" t="s">
        <v>49</v>
      </c>
      <c r="C11" s="253" t="s">
        <v>50</v>
      </c>
      <c r="D11" s="254">
        <v>45992</v>
      </c>
      <c r="E11" s="285">
        <v>0</v>
      </c>
      <c r="F11" s="255">
        <v>0</v>
      </c>
      <c r="G11" s="286">
        <v>7000</v>
      </c>
      <c r="H11" s="290">
        <f t="shared" si="0"/>
        <v>74215</v>
      </c>
      <c r="I11" s="256">
        <f>SUMIFS(FACILITIES!T:T,FACILITIES!B:B,B11)</f>
        <v>0</v>
      </c>
      <c r="J11" s="256">
        <v>0</v>
      </c>
      <c r="K11" s="256">
        <v>0</v>
      </c>
      <c r="L11" s="256">
        <v>0</v>
      </c>
      <c r="M11" s="256" t="s">
        <v>1160</v>
      </c>
      <c r="N11" s="256">
        <v>0</v>
      </c>
      <c r="O11" s="256">
        <f>SUMIFS('F &amp; B'!G:G,'F &amp; B'!B:B,B11)</f>
        <v>0</v>
      </c>
      <c r="P11" s="256">
        <v>54066</v>
      </c>
      <c r="Q11" s="257">
        <v>0</v>
      </c>
      <c r="R11" s="257">
        <v>5349</v>
      </c>
      <c r="S11" s="257">
        <v>10000</v>
      </c>
      <c r="T11" s="257">
        <v>4800</v>
      </c>
      <c r="U11" s="257">
        <v>60000</v>
      </c>
      <c r="V11" s="291" t="str">
        <f t="shared" si="1"/>
        <v/>
      </c>
    </row>
    <row r="12" spans="1:22" ht="20.25" customHeight="1">
      <c r="A12" s="261">
        <v>11</v>
      </c>
      <c r="B12" s="252" t="s">
        <v>54</v>
      </c>
      <c r="C12" s="253" t="s">
        <v>55</v>
      </c>
      <c r="D12" s="254">
        <v>45992</v>
      </c>
      <c r="E12" s="285">
        <v>0</v>
      </c>
      <c r="F12" s="255">
        <v>0</v>
      </c>
      <c r="G12" s="286">
        <v>7000</v>
      </c>
      <c r="H12" s="290">
        <f t="shared" si="0"/>
        <v>56824</v>
      </c>
      <c r="I12" s="256">
        <f>SUMIFS(FACILITIES!T:T,FACILITIES!B:B,B12)</f>
        <v>4000</v>
      </c>
      <c r="J12" s="256">
        <v>0</v>
      </c>
      <c r="K12" s="256">
        <v>0</v>
      </c>
      <c r="L12" s="256">
        <v>0</v>
      </c>
      <c r="M12" s="256" t="s">
        <v>1160</v>
      </c>
      <c r="N12" s="256">
        <v>0</v>
      </c>
      <c r="O12" s="256">
        <f>SUMIFS('F &amp; B'!G:G,'F &amp; B'!B:B,B12)</f>
        <v>6150</v>
      </c>
      <c r="P12" s="256">
        <v>19849</v>
      </c>
      <c r="Q12" s="257">
        <v>18375</v>
      </c>
      <c r="R12" s="257">
        <v>1300</v>
      </c>
      <c r="S12" s="257">
        <v>5700</v>
      </c>
      <c r="T12" s="257">
        <v>1450</v>
      </c>
      <c r="U12" s="257">
        <v>60000</v>
      </c>
      <c r="V12" s="291">
        <f t="shared" si="1"/>
        <v>3176</v>
      </c>
    </row>
    <row r="13" spans="1:22" ht="20.25" customHeight="1">
      <c r="A13" s="261">
        <v>12</v>
      </c>
      <c r="B13" s="252" t="s">
        <v>59</v>
      </c>
      <c r="C13" s="253" t="s">
        <v>60</v>
      </c>
      <c r="D13" s="254">
        <v>45992</v>
      </c>
      <c r="E13" s="285">
        <v>0</v>
      </c>
      <c r="F13" s="255">
        <v>0</v>
      </c>
      <c r="G13" s="286">
        <v>7000</v>
      </c>
      <c r="H13" s="290">
        <f t="shared" si="0"/>
        <v>119581</v>
      </c>
      <c r="I13" s="256">
        <f>SUMIFS(FACILITIES!T:T,FACILITIES!B:B,B13)</f>
        <v>0</v>
      </c>
      <c r="J13" s="256">
        <v>0</v>
      </c>
      <c r="K13" s="256">
        <v>0</v>
      </c>
      <c r="L13" s="256">
        <v>0</v>
      </c>
      <c r="M13" s="256" t="s">
        <v>1160</v>
      </c>
      <c r="N13" s="256">
        <v>0</v>
      </c>
      <c r="O13" s="256">
        <f>SUMIFS('F &amp; B'!G:G,'F &amp; B'!B:B,B13)</f>
        <v>23647</v>
      </c>
      <c r="P13" s="256">
        <v>26185</v>
      </c>
      <c r="Q13" s="257">
        <v>38396</v>
      </c>
      <c r="R13" s="257">
        <v>2000</v>
      </c>
      <c r="S13" s="257">
        <v>23603</v>
      </c>
      <c r="T13" s="257">
        <v>5750</v>
      </c>
      <c r="U13" s="257">
        <v>60000</v>
      </c>
      <c r="V13" s="291" t="str">
        <f t="shared" si="1"/>
        <v/>
      </c>
    </row>
    <row r="14" spans="1:22" ht="20.25" customHeight="1">
      <c r="A14" s="261">
        <v>13</v>
      </c>
      <c r="B14" s="252" t="s">
        <v>64</v>
      </c>
      <c r="C14" s="253" t="s">
        <v>65</v>
      </c>
      <c r="D14" s="254">
        <v>45992</v>
      </c>
      <c r="E14" s="285">
        <v>0</v>
      </c>
      <c r="F14" s="255">
        <v>0</v>
      </c>
      <c r="G14" s="286">
        <v>7000</v>
      </c>
      <c r="H14" s="290">
        <f t="shared" si="0"/>
        <v>47970</v>
      </c>
      <c r="I14" s="256">
        <f>SUMIFS(FACILITIES!T:T,FACILITIES!B:B,B14)</f>
        <v>0</v>
      </c>
      <c r="J14" s="256">
        <v>0</v>
      </c>
      <c r="K14" s="256">
        <v>0</v>
      </c>
      <c r="L14" s="256">
        <v>0</v>
      </c>
      <c r="M14" s="256" t="s">
        <v>1160</v>
      </c>
      <c r="N14" s="256">
        <v>0</v>
      </c>
      <c r="O14" s="256">
        <f>SUMIFS('F &amp; B'!G:G,'F &amp; B'!B:B,B14)</f>
        <v>39050</v>
      </c>
      <c r="P14" s="256">
        <v>5450</v>
      </c>
      <c r="Q14" s="257">
        <v>0</v>
      </c>
      <c r="R14" s="257">
        <v>0</v>
      </c>
      <c r="S14" s="257">
        <v>3470</v>
      </c>
      <c r="T14" s="257">
        <v>0</v>
      </c>
      <c r="U14" s="257">
        <v>60000</v>
      </c>
      <c r="V14" s="291">
        <f t="shared" si="1"/>
        <v>12030</v>
      </c>
    </row>
    <row r="15" spans="1:22" ht="20.25" customHeight="1">
      <c r="A15" s="261">
        <v>14</v>
      </c>
      <c r="B15" s="252" t="s">
        <v>69</v>
      </c>
      <c r="C15" s="253" t="s">
        <v>70</v>
      </c>
      <c r="D15" s="254">
        <v>45992</v>
      </c>
      <c r="E15" s="285">
        <v>0</v>
      </c>
      <c r="F15" s="255">
        <v>0</v>
      </c>
      <c r="G15" s="286">
        <v>7000</v>
      </c>
      <c r="H15" s="290">
        <f t="shared" si="0"/>
        <v>267833</v>
      </c>
      <c r="I15" s="256">
        <f>SUMIFS(FACILITIES!T:T,FACILITIES!B:B,B15)</f>
        <v>0</v>
      </c>
      <c r="J15" s="256">
        <v>0</v>
      </c>
      <c r="K15" s="256">
        <v>0</v>
      </c>
      <c r="L15" s="256">
        <v>0</v>
      </c>
      <c r="M15" s="256" t="s">
        <v>1160</v>
      </c>
      <c r="N15" s="256">
        <v>0</v>
      </c>
      <c r="O15" s="256">
        <f>SUMIFS('F &amp; B'!G:G,'F &amp; B'!B:B,B15)</f>
        <v>25360</v>
      </c>
      <c r="P15" s="256">
        <v>49526</v>
      </c>
      <c r="Q15" s="257">
        <v>101365</v>
      </c>
      <c r="R15" s="257">
        <v>39230</v>
      </c>
      <c r="S15" s="257">
        <v>22710</v>
      </c>
      <c r="T15" s="257">
        <v>29642</v>
      </c>
      <c r="U15" s="257">
        <v>60000</v>
      </c>
      <c r="V15" s="291" t="str">
        <f t="shared" si="1"/>
        <v/>
      </c>
    </row>
    <row r="16" spans="1:22" ht="20.25" customHeight="1">
      <c r="A16" s="261">
        <v>15</v>
      </c>
      <c r="B16" s="252" t="s">
        <v>73</v>
      </c>
      <c r="C16" s="253" t="s">
        <v>74</v>
      </c>
      <c r="D16" s="254">
        <v>45992</v>
      </c>
      <c r="E16" s="285">
        <v>0</v>
      </c>
      <c r="F16" s="255">
        <v>0</v>
      </c>
      <c r="G16" s="286">
        <v>7000</v>
      </c>
      <c r="H16" s="290">
        <f t="shared" si="0"/>
        <v>12845</v>
      </c>
      <c r="I16" s="256">
        <f>SUMIFS(FACILITIES!T:T,FACILITIES!B:B,B16)</f>
        <v>0</v>
      </c>
      <c r="J16" s="256">
        <v>0</v>
      </c>
      <c r="K16" s="256">
        <v>0</v>
      </c>
      <c r="L16" s="256">
        <v>0</v>
      </c>
      <c r="M16" s="256" t="s">
        <v>1160</v>
      </c>
      <c r="N16" s="256">
        <v>0</v>
      </c>
      <c r="O16" s="256">
        <f>SUMIFS('F &amp; B'!G:G,'F &amp; B'!B:B,B16)</f>
        <v>3970</v>
      </c>
      <c r="P16" s="256">
        <v>0</v>
      </c>
      <c r="Q16" s="257">
        <v>5625</v>
      </c>
      <c r="R16" s="257">
        <v>3250</v>
      </c>
      <c r="S16" s="257">
        <v>0</v>
      </c>
      <c r="T16" s="257">
        <v>0</v>
      </c>
      <c r="U16" s="257">
        <v>60000</v>
      </c>
      <c r="V16" s="291">
        <f t="shared" si="1"/>
        <v>47155</v>
      </c>
    </row>
    <row r="17" spans="1:22" ht="20.25" customHeight="1">
      <c r="A17" s="261">
        <v>16</v>
      </c>
      <c r="B17" s="252" t="s">
        <v>78</v>
      </c>
      <c r="C17" s="253" t="s">
        <v>79</v>
      </c>
      <c r="D17" s="254">
        <v>45992</v>
      </c>
      <c r="E17" s="285">
        <v>0</v>
      </c>
      <c r="F17" s="255">
        <v>0</v>
      </c>
      <c r="G17" s="286">
        <v>7000</v>
      </c>
      <c r="H17" s="290">
        <f t="shared" si="0"/>
        <v>22700</v>
      </c>
      <c r="I17" s="256">
        <f>SUMIFS(FACILITIES!T:T,FACILITIES!B:B,B17)</f>
        <v>0</v>
      </c>
      <c r="J17" s="256">
        <v>0</v>
      </c>
      <c r="K17" s="256">
        <v>0</v>
      </c>
      <c r="L17" s="256">
        <v>0</v>
      </c>
      <c r="M17" s="256" t="s">
        <v>1160</v>
      </c>
      <c r="N17" s="256">
        <v>0</v>
      </c>
      <c r="O17" s="256">
        <f>SUMIFS('F &amp; B'!G:G,'F &amp; B'!B:B,B17)</f>
        <v>0</v>
      </c>
      <c r="P17" s="256">
        <v>0</v>
      </c>
      <c r="Q17" s="257">
        <v>3850</v>
      </c>
      <c r="R17" s="257">
        <v>2250</v>
      </c>
      <c r="S17" s="257">
        <v>12400</v>
      </c>
      <c r="T17" s="257">
        <v>4200</v>
      </c>
      <c r="U17" s="257">
        <v>60000</v>
      </c>
      <c r="V17" s="291">
        <f t="shared" si="1"/>
        <v>37300</v>
      </c>
    </row>
    <row r="18" spans="1:22" ht="20.25" customHeight="1">
      <c r="A18" s="261">
        <v>17</v>
      </c>
      <c r="B18" s="252" t="s">
        <v>83</v>
      </c>
      <c r="C18" s="253" t="s">
        <v>84</v>
      </c>
      <c r="D18" s="254">
        <v>45992</v>
      </c>
      <c r="E18" s="285">
        <v>0</v>
      </c>
      <c r="F18" s="255">
        <v>0</v>
      </c>
      <c r="G18" s="286">
        <v>7000</v>
      </c>
      <c r="H18" s="290">
        <f t="shared" si="0"/>
        <v>58924</v>
      </c>
      <c r="I18" s="256">
        <f>SUMIFS(FACILITIES!T:T,FACILITIES!B:B,B18)</f>
        <v>0</v>
      </c>
      <c r="J18" s="256">
        <v>0</v>
      </c>
      <c r="K18" s="256">
        <v>0</v>
      </c>
      <c r="L18" s="256">
        <v>0</v>
      </c>
      <c r="M18" s="256" t="s">
        <v>1160</v>
      </c>
      <c r="N18" s="256">
        <v>0</v>
      </c>
      <c r="O18" s="256">
        <f>SUMIFS('F &amp; B'!G:G,'F &amp; B'!B:B,B18)</f>
        <v>0</v>
      </c>
      <c r="P18" s="256">
        <v>9118</v>
      </c>
      <c r="Q18" s="257">
        <v>13869</v>
      </c>
      <c r="R18" s="257">
        <v>23050</v>
      </c>
      <c r="S18" s="257">
        <v>12887</v>
      </c>
      <c r="T18" s="257">
        <v>0</v>
      </c>
      <c r="U18" s="257">
        <v>60000</v>
      </c>
      <c r="V18" s="291">
        <f t="shared" si="1"/>
        <v>1076</v>
      </c>
    </row>
    <row r="19" spans="1:22" ht="20.25" customHeight="1">
      <c r="A19" s="261">
        <v>18</v>
      </c>
      <c r="B19" s="252" t="s">
        <v>88</v>
      </c>
      <c r="C19" s="253" t="s">
        <v>89</v>
      </c>
      <c r="D19" s="254">
        <v>45992</v>
      </c>
      <c r="E19" s="285">
        <v>0</v>
      </c>
      <c r="F19" s="255">
        <v>0</v>
      </c>
      <c r="G19" s="286">
        <v>7000</v>
      </c>
      <c r="H19" s="290">
        <f t="shared" si="0"/>
        <v>324198</v>
      </c>
      <c r="I19" s="256">
        <f>SUMIFS(FACILITIES!T:T,FACILITIES!B:B,B19)</f>
        <v>4500</v>
      </c>
      <c r="J19" s="256">
        <v>0</v>
      </c>
      <c r="K19" s="256">
        <v>0</v>
      </c>
      <c r="L19" s="256">
        <v>0</v>
      </c>
      <c r="M19" s="256" t="s">
        <v>1160</v>
      </c>
      <c r="N19" s="256">
        <v>2000</v>
      </c>
      <c r="O19" s="256">
        <f>SUMIFS('F &amp; B'!G:G,'F &amp; B'!B:B,B19)</f>
        <v>34425</v>
      </c>
      <c r="P19" s="256">
        <v>0</v>
      </c>
      <c r="Q19" s="257">
        <v>36025</v>
      </c>
      <c r="R19" s="257">
        <v>141649</v>
      </c>
      <c r="S19" s="257">
        <v>1149</v>
      </c>
      <c r="T19" s="257">
        <v>104450</v>
      </c>
      <c r="U19" s="257">
        <v>60000</v>
      </c>
      <c r="V19" s="291" t="str">
        <f t="shared" si="1"/>
        <v/>
      </c>
    </row>
    <row r="20" spans="1:22" ht="20.25" customHeight="1">
      <c r="A20" s="261">
        <v>19</v>
      </c>
      <c r="B20" s="252" t="s">
        <v>93</v>
      </c>
      <c r="C20" s="253" t="s">
        <v>94</v>
      </c>
      <c r="D20" s="254">
        <v>45992</v>
      </c>
      <c r="E20" s="285">
        <v>0</v>
      </c>
      <c r="F20" s="255">
        <v>0</v>
      </c>
      <c r="G20" s="286">
        <v>7000</v>
      </c>
      <c r="H20" s="290">
        <f t="shared" si="0"/>
        <v>153778.5</v>
      </c>
      <c r="I20" s="256">
        <f>SUMIFS(FACILITIES!T:T,FACILITIES!B:B,B20)</f>
        <v>0</v>
      </c>
      <c r="J20" s="256">
        <v>0</v>
      </c>
      <c r="K20" s="256">
        <v>0</v>
      </c>
      <c r="L20" s="256">
        <v>0</v>
      </c>
      <c r="M20" s="256" t="s">
        <v>1160</v>
      </c>
      <c r="N20" s="256">
        <v>2000</v>
      </c>
      <c r="O20" s="256">
        <f>SUMIFS('F &amp; B'!G:G,'F &amp; B'!B:B,B20)</f>
        <v>98060</v>
      </c>
      <c r="P20" s="256">
        <v>23851</v>
      </c>
      <c r="Q20" s="257">
        <v>8827.5</v>
      </c>
      <c r="R20" s="257">
        <v>8370</v>
      </c>
      <c r="S20" s="257">
        <v>9170</v>
      </c>
      <c r="T20" s="257">
        <v>3500</v>
      </c>
      <c r="U20" s="257">
        <v>60000</v>
      </c>
      <c r="V20" s="291" t="str">
        <f t="shared" si="1"/>
        <v/>
      </c>
    </row>
    <row r="21" spans="1:22" ht="20.25" customHeight="1">
      <c r="A21" s="261">
        <v>20</v>
      </c>
      <c r="B21" s="252" t="s">
        <v>98</v>
      </c>
      <c r="C21" s="253" t="s">
        <v>99</v>
      </c>
      <c r="D21" s="254">
        <v>45992</v>
      </c>
      <c r="E21" s="285">
        <v>0</v>
      </c>
      <c r="F21" s="255">
        <v>0</v>
      </c>
      <c r="G21" s="286">
        <v>7000</v>
      </c>
      <c r="H21" s="290">
        <f t="shared" si="0"/>
        <v>66814</v>
      </c>
      <c r="I21" s="256">
        <f>SUMIFS(FACILITIES!T:T,FACILITIES!B:B,B21)</f>
        <v>4000</v>
      </c>
      <c r="J21" s="256">
        <v>0</v>
      </c>
      <c r="K21" s="256">
        <v>0</v>
      </c>
      <c r="L21" s="256">
        <v>0</v>
      </c>
      <c r="M21" s="256" t="s">
        <v>1160</v>
      </c>
      <c r="N21" s="256">
        <v>0</v>
      </c>
      <c r="O21" s="256">
        <f>SUMIFS('F &amp; B'!G:G,'F &amp; B'!B:B,B21)</f>
        <v>11185</v>
      </c>
      <c r="P21" s="256">
        <v>6700</v>
      </c>
      <c r="Q21" s="257">
        <v>3350</v>
      </c>
      <c r="R21" s="257">
        <v>24609</v>
      </c>
      <c r="S21" s="257">
        <v>11850</v>
      </c>
      <c r="T21" s="257">
        <v>5120</v>
      </c>
      <c r="U21" s="257">
        <v>60000</v>
      </c>
      <c r="V21" s="291" t="str">
        <f t="shared" si="1"/>
        <v/>
      </c>
    </row>
    <row r="22" spans="1:22" ht="20.25" customHeight="1">
      <c r="A22" s="261">
        <v>21</v>
      </c>
      <c r="B22" s="252" t="s">
        <v>103</v>
      </c>
      <c r="C22" s="253" t="s">
        <v>104</v>
      </c>
      <c r="D22" s="254">
        <v>45992</v>
      </c>
      <c r="E22" s="285">
        <v>0</v>
      </c>
      <c r="F22" s="255">
        <v>0</v>
      </c>
      <c r="G22" s="286">
        <v>7000</v>
      </c>
      <c r="H22" s="290">
        <f t="shared" si="0"/>
        <v>144510</v>
      </c>
      <c r="I22" s="256">
        <f>SUMIFS(FACILITIES!T:T,FACILITIES!B:B,B22)</f>
        <v>0</v>
      </c>
      <c r="J22" s="256">
        <v>0</v>
      </c>
      <c r="K22" s="256">
        <v>0</v>
      </c>
      <c r="L22" s="256">
        <v>0</v>
      </c>
      <c r="M22" s="256" t="s">
        <v>1160</v>
      </c>
      <c r="N22" s="256">
        <v>12000</v>
      </c>
      <c r="O22" s="256">
        <f>SUMIFS('F &amp; B'!G:G,'F &amp; B'!B:B,B22)</f>
        <v>22474</v>
      </c>
      <c r="P22" s="256">
        <v>24872</v>
      </c>
      <c r="Q22" s="257">
        <v>7000</v>
      </c>
      <c r="R22" s="257">
        <v>0</v>
      </c>
      <c r="S22" s="257">
        <v>54195</v>
      </c>
      <c r="T22" s="257">
        <v>23969</v>
      </c>
      <c r="U22" s="257">
        <v>60000</v>
      </c>
      <c r="V22" s="291" t="str">
        <f t="shared" si="1"/>
        <v/>
      </c>
    </row>
    <row r="23" spans="1:22" ht="20.25" customHeight="1">
      <c r="A23" s="261">
        <v>22</v>
      </c>
      <c r="B23" s="252" t="s">
        <v>108</v>
      </c>
      <c r="C23" s="253" t="s">
        <v>109</v>
      </c>
      <c r="D23" s="254">
        <v>45992</v>
      </c>
      <c r="E23" s="285">
        <v>0</v>
      </c>
      <c r="F23" s="255">
        <v>0</v>
      </c>
      <c r="G23" s="286">
        <v>7000</v>
      </c>
      <c r="H23" s="290">
        <f t="shared" si="0"/>
        <v>45710</v>
      </c>
      <c r="I23" s="256">
        <f>SUMIFS(FACILITIES!T:T,FACILITIES!B:B,B23)</f>
        <v>0</v>
      </c>
      <c r="J23" s="256">
        <v>0</v>
      </c>
      <c r="K23" s="256">
        <v>0</v>
      </c>
      <c r="L23" s="256">
        <v>0</v>
      </c>
      <c r="M23" s="256" t="s">
        <v>1160</v>
      </c>
      <c r="N23" s="256">
        <v>0</v>
      </c>
      <c r="O23" s="256">
        <f>SUMIFS('F &amp; B'!G:G,'F &amp; B'!B:B,B23)</f>
        <v>6600</v>
      </c>
      <c r="P23" s="256">
        <v>4060</v>
      </c>
      <c r="Q23" s="257">
        <v>5650</v>
      </c>
      <c r="R23" s="257">
        <v>29400</v>
      </c>
      <c r="S23" s="257">
        <v>0</v>
      </c>
      <c r="T23" s="257">
        <v>0</v>
      </c>
      <c r="U23" s="257">
        <v>60000</v>
      </c>
      <c r="V23" s="291">
        <f t="shared" si="1"/>
        <v>14290</v>
      </c>
    </row>
    <row r="24" spans="1:22" ht="20.25" customHeight="1">
      <c r="A24" s="261">
        <v>23</v>
      </c>
      <c r="B24" s="252" t="s">
        <v>113</v>
      </c>
      <c r="C24" s="253" t="s">
        <v>114</v>
      </c>
      <c r="D24" s="254">
        <v>45992</v>
      </c>
      <c r="E24" s="285">
        <v>0</v>
      </c>
      <c r="F24" s="255">
        <v>0</v>
      </c>
      <c r="G24" s="286">
        <v>7000</v>
      </c>
      <c r="H24" s="290">
        <f t="shared" si="0"/>
        <v>60069</v>
      </c>
      <c r="I24" s="256">
        <f>SUMIFS(FACILITIES!T:T,FACILITIES!B:B,B24)</f>
        <v>0</v>
      </c>
      <c r="J24" s="256">
        <v>0</v>
      </c>
      <c r="K24" s="256">
        <v>0</v>
      </c>
      <c r="L24" s="256">
        <v>0</v>
      </c>
      <c r="M24" s="256" t="s">
        <v>1160</v>
      </c>
      <c r="N24" s="256">
        <v>0</v>
      </c>
      <c r="O24" s="256">
        <f>SUMIFS('F &amp; B'!G:G,'F &amp; B'!B:B,B24)</f>
        <v>25730</v>
      </c>
      <c r="P24" s="256">
        <v>8899</v>
      </c>
      <c r="Q24" s="257">
        <v>21420</v>
      </c>
      <c r="R24" s="257">
        <v>4020</v>
      </c>
      <c r="S24" s="257">
        <v>0</v>
      </c>
      <c r="T24" s="257">
        <v>0</v>
      </c>
      <c r="U24" s="257">
        <v>60000</v>
      </c>
      <c r="V24" s="291" t="str">
        <f t="shared" si="1"/>
        <v/>
      </c>
    </row>
    <row r="25" spans="1:22" ht="20.25" customHeight="1">
      <c r="A25" s="261">
        <v>24</v>
      </c>
      <c r="B25" s="252" t="s">
        <v>118</v>
      </c>
      <c r="C25" s="253" t="s">
        <v>119</v>
      </c>
      <c r="D25" s="254">
        <v>45992</v>
      </c>
      <c r="E25" s="285">
        <v>0</v>
      </c>
      <c r="F25" s="255">
        <v>0</v>
      </c>
      <c r="G25" s="286">
        <v>7000</v>
      </c>
      <c r="H25" s="290">
        <f t="shared" si="0"/>
        <v>97625</v>
      </c>
      <c r="I25" s="256">
        <f>SUMIFS(FACILITIES!T:T,FACILITIES!B:B,B25)</f>
        <v>0</v>
      </c>
      <c r="J25" s="256">
        <v>0</v>
      </c>
      <c r="K25" s="256">
        <v>0</v>
      </c>
      <c r="L25" s="256">
        <v>0</v>
      </c>
      <c r="M25" s="256" t="s">
        <v>1160</v>
      </c>
      <c r="N25" s="256">
        <v>2000</v>
      </c>
      <c r="O25" s="256">
        <f>SUMIFS('F &amp; B'!G:G,'F &amp; B'!B:B,B25)</f>
        <v>6170</v>
      </c>
      <c r="P25" s="256">
        <v>15500</v>
      </c>
      <c r="Q25" s="257">
        <v>35905</v>
      </c>
      <c r="R25" s="257">
        <v>30700</v>
      </c>
      <c r="S25" s="257">
        <v>350</v>
      </c>
      <c r="T25" s="257">
        <v>7000</v>
      </c>
      <c r="U25" s="257">
        <v>60000</v>
      </c>
      <c r="V25" s="291" t="str">
        <f t="shared" si="1"/>
        <v/>
      </c>
    </row>
    <row r="26" spans="1:22" ht="20.25" customHeight="1">
      <c r="A26" s="261">
        <v>25</v>
      </c>
      <c r="B26" s="252" t="s">
        <v>123</v>
      </c>
      <c r="C26" s="253" t="s">
        <v>124</v>
      </c>
      <c r="D26" s="254">
        <v>45992</v>
      </c>
      <c r="E26" s="285">
        <v>0</v>
      </c>
      <c r="F26" s="255">
        <v>0</v>
      </c>
      <c r="G26" s="286">
        <v>7000</v>
      </c>
      <c r="H26" s="290">
        <f>SUM(I26:T26)</f>
        <v>120364</v>
      </c>
      <c r="I26" s="256">
        <f>SUMIFS(FACILITIES!T:T,FACILITIES!B:B,B26)</f>
        <v>7000</v>
      </c>
      <c r="J26" s="256">
        <v>0</v>
      </c>
      <c r="K26" s="256">
        <v>0</v>
      </c>
      <c r="L26" s="256">
        <v>0</v>
      </c>
      <c r="M26" s="256" t="s">
        <v>1160</v>
      </c>
      <c r="N26" s="256">
        <v>0</v>
      </c>
      <c r="O26" s="256">
        <f>SUMIFS('F &amp; B'!G:G,'F &amp; B'!B:B,B26)</f>
        <v>2975</v>
      </c>
      <c r="P26" s="256">
        <v>35570</v>
      </c>
      <c r="Q26" s="257">
        <v>37099</v>
      </c>
      <c r="R26" s="257">
        <v>31620</v>
      </c>
      <c r="S26" s="257">
        <v>2400</v>
      </c>
      <c r="T26" s="257">
        <v>3700</v>
      </c>
      <c r="U26" s="257">
        <v>60000</v>
      </c>
      <c r="V26" s="291" t="str">
        <f t="shared" si="1"/>
        <v/>
      </c>
    </row>
    <row r="27" spans="1:22" ht="20.25" customHeight="1">
      <c r="A27" s="261">
        <v>26</v>
      </c>
      <c r="B27" s="252" t="s">
        <v>128</v>
      </c>
      <c r="C27" s="253" t="s">
        <v>129</v>
      </c>
      <c r="D27" s="254">
        <v>45992</v>
      </c>
      <c r="E27" s="285">
        <v>0</v>
      </c>
      <c r="F27" s="255">
        <v>0</v>
      </c>
      <c r="G27" s="286">
        <v>7000</v>
      </c>
      <c r="H27" s="290">
        <f t="shared" si="0"/>
        <v>51153</v>
      </c>
      <c r="I27" s="256">
        <f>SUMIFS(FACILITIES!T:T,FACILITIES!B:B,B27)</f>
        <v>0</v>
      </c>
      <c r="J27" s="256">
        <v>0</v>
      </c>
      <c r="K27" s="256">
        <v>0</v>
      </c>
      <c r="L27" s="256">
        <v>0</v>
      </c>
      <c r="M27" s="256" t="s">
        <v>1160</v>
      </c>
      <c r="N27" s="256">
        <v>0</v>
      </c>
      <c r="O27" s="256">
        <f>SUMIFS('F &amp; B'!G:G,'F &amp; B'!B:B,B27)</f>
        <v>0</v>
      </c>
      <c r="P27" s="256">
        <v>2894</v>
      </c>
      <c r="Q27" s="257">
        <v>21159</v>
      </c>
      <c r="R27" s="257">
        <v>4900</v>
      </c>
      <c r="S27" s="257">
        <v>14200</v>
      </c>
      <c r="T27" s="257">
        <v>8000</v>
      </c>
      <c r="U27" s="257">
        <v>60000</v>
      </c>
      <c r="V27" s="291">
        <f t="shared" si="1"/>
        <v>8847</v>
      </c>
    </row>
    <row r="28" spans="1:22" ht="20.25" customHeight="1">
      <c r="A28" s="261">
        <v>27</v>
      </c>
      <c r="B28" s="252" t="s">
        <v>133</v>
      </c>
      <c r="C28" s="253" t="s">
        <v>134</v>
      </c>
      <c r="D28" s="254">
        <v>45992</v>
      </c>
      <c r="E28" s="285">
        <v>0</v>
      </c>
      <c r="F28" s="255">
        <v>0</v>
      </c>
      <c r="G28" s="286">
        <v>7000</v>
      </c>
      <c r="H28" s="290">
        <f t="shared" si="0"/>
        <v>37148</v>
      </c>
      <c r="I28" s="256">
        <f>SUMIFS(FACILITIES!T:T,FACILITIES!B:B,B28)</f>
        <v>0</v>
      </c>
      <c r="J28" s="256">
        <v>0</v>
      </c>
      <c r="K28" s="256">
        <v>0</v>
      </c>
      <c r="L28" s="256">
        <v>0</v>
      </c>
      <c r="M28" s="256" t="s">
        <v>1160</v>
      </c>
      <c r="N28" s="256">
        <v>0</v>
      </c>
      <c r="O28" s="256">
        <f>SUMIFS('F &amp; B'!G:G,'F &amp; B'!B:B,B28)</f>
        <v>0</v>
      </c>
      <c r="P28" s="256">
        <v>0</v>
      </c>
      <c r="Q28" s="257">
        <v>23148</v>
      </c>
      <c r="R28" s="257">
        <v>14000</v>
      </c>
      <c r="S28" s="257">
        <v>0</v>
      </c>
      <c r="T28" s="257">
        <v>0</v>
      </c>
      <c r="U28" s="257">
        <v>60000</v>
      </c>
      <c r="V28" s="291">
        <f t="shared" si="1"/>
        <v>22852</v>
      </c>
    </row>
    <row r="29" spans="1:22" ht="20.25" customHeight="1">
      <c r="A29" s="261">
        <v>28</v>
      </c>
      <c r="B29" s="252" t="s">
        <v>138</v>
      </c>
      <c r="C29" s="253" t="s">
        <v>139</v>
      </c>
      <c r="D29" s="254">
        <v>45992</v>
      </c>
      <c r="E29" s="285">
        <v>0</v>
      </c>
      <c r="F29" s="255">
        <v>0</v>
      </c>
      <c r="G29" s="286">
        <v>7000</v>
      </c>
      <c r="H29" s="290">
        <f t="shared" si="0"/>
        <v>13740</v>
      </c>
      <c r="I29" s="256">
        <f>SUMIFS(FACILITIES!T:T,FACILITIES!B:B,B29)</f>
        <v>0</v>
      </c>
      <c r="J29" s="256">
        <v>0</v>
      </c>
      <c r="K29" s="256">
        <v>0</v>
      </c>
      <c r="L29" s="256">
        <v>0</v>
      </c>
      <c r="M29" s="256" t="s">
        <v>1160</v>
      </c>
      <c r="N29" s="256">
        <v>0</v>
      </c>
      <c r="O29" s="256">
        <f>SUMIFS('F &amp; B'!G:G,'F &amp; B'!B:B,B29)</f>
        <v>1940</v>
      </c>
      <c r="P29" s="256">
        <v>2400</v>
      </c>
      <c r="Q29" s="257">
        <v>600</v>
      </c>
      <c r="R29" s="257">
        <v>0</v>
      </c>
      <c r="S29" s="257">
        <v>8800</v>
      </c>
      <c r="T29" s="257">
        <v>0</v>
      </c>
      <c r="U29" s="257">
        <v>60000</v>
      </c>
      <c r="V29" s="291">
        <f t="shared" si="1"/>
        <v>46260</v>
      </c>
    </row>
    <row r="30" spans="1:22" ht="20.25" customHeight="1">
      <c r="A30" s="261">
        <v>29</v>
      </c>
      <c r="B30" s="252" t="s">
        <v>142</v>
      </c>
      <c r="C30" s="253" t="s">
        <v>143</v>
      </c>
      <c r="D30" s="254">
        <v>45992</v>
      </c>
      <c r="E30" s="285">
        <v>0</v>
      </c>
      <c r="F30" s="255">
        <v>0</v>
      </c>
      <c r="G30" s="286">
        <v>7000</v>
      </c>
      <c r="H30" s="290">
        <f t="shared" si="0"/>
        <v>21650</v>
      </c>
      <c r="I30" s="256">
        <f>SUMIFS(FACILITIES!T:T,FACILITIES!B:B,B30)</f>
        <v>5000</v>
      </c>
      <c r="J30" s="256">
        <v>0</v>
      </c>
      <c r="K30" s="256">
        <v>0</v>
      </c>
      <c r="L30" s="256">
        <v>0</v>
      </c>
      <c r="M30" s="256" t="s">
        <v>1160</v>
      </c>
      <c r="N30" s="256">
        <v>0</v>
      </c>
      <c r="O30" s="256">
        <f>SUMIFS('F &amp; B'!G:G,'F &amp; B'!B:B,B30)</f>
        <v>16500</v>
      </c>
      <c r="P30" s="256">
        <v>0</v>
      </c>
      <c r="Q30" s="257">
        <v>0</v>
      </c>
      <c r="R30" s="257">
        <v>150</v>
      </c>
      <c r="S30" s="257">
        <v>0</v>
      </c>
      <c r="T30" s="257">
        <v>0</v>
      </c>
      <c r="U30" s="257">
        <v>60000</v>
      </c>
      <c r="V30" s="291">
        <f t="shared" si="1"/>
        <v>38350</v>
      </c>
    </row>
    <row r="31" spans="1:22" ht="20.25" customHeight="1">
      <c r="A31" s="261">
        <v>30</v>
      </c>
      <c r="B31" s="252" t="s">
        <v>146</v>
      </c>
      <c r="C31" s="253" t="s">
        <v>147</v>
      </c>
      <c r="D31" s="254">
        <v>45992</v>
      </c>
      <c r="E31" s="285">
        <v>0</v>
      </c>
      <c r="F31" s="255">
        <v>0</v>
      </c>
      <c r="G31" s="286">
        <v>7000</v>
      </c>
      <c r="H31" s="290">
        <f t="shared" si="0"/>
        <v>61230</v>
      </c>
      <c r="I31" s="256">
        <f>SUMIFS(FACILITIES!T:T,FACILITIES!B:B,B31)</f>
        <v>0</v>
      </c>
      <c r="J31" s="256">
        <v>0</v>
      </c>
      <c r="K31" s="256">
        <v>0</v>
      </c>
      <c r="L31" s="256">
        <v>0</v>
      </c>
      <c r="M31" s="256" t="s">
        <v>1160</v>
      </c>
      <c r="N31" s="256">
        <v>0</v>
      </c>
      <c r="O31" s="256">
        <f>SUMIFS('F &amp; B'!G:G,'F &amp; B'!B:B,B31)</f>
        <v>6350</v>
      </c>
      <c r="P31" s="256">
        <v>0</v>
      </c>
      <c r="Q31" s="257">
        <v>8550</v>
      </c>
      <c r="R31" s="257">
        <v>46330</v>
      </c>
      <c r="S31" s="257">
        <v>0</v>
      </c>
      <c r="T31" s="257">
        <v>0</v>
      </c>
      <c r="U31" s="257">
        <v>60000</v>
      </c>
      <c r="V31" s="291" t="str">
        <f t="shared" si="1"/>
        <v/>
      </c>
    </row>
    <row r="32" spans="1:22" ht="20.25" customHeight="1">
      <c r="A32" s="261">
        <v>31</v>
      </c>
      <c r="B32" s="252" t="s">
        <v>151</v>
      </c>
      <c r="C32" s="253" t="s">
        <v>152</v>
      </c>
      <c r="D32" s="254">
        <v>45992</v>
      </c>
      <c r="E32" s="285">
        <v>0</v>
      </c>
      <c r="F32" s="255">
        <v>0</v>
      </c>
      <c r="G32" s="286">
        <v>7000</v>
      </c>
      <c r="H32" s="290">
        <f t="shared" si="0"/>
        <v>74539</v>
      </c>
      <c r="I32" s="256">
        <f>SUMIFS(FACILITIES!T:T,FACILITIES!B:B,B32)</f>
        <v>0</v>
      </c>
      <c r="J32" s="256">
        <v>0</v>
      </c>
      <c r="K32" s="256">
        <v>0</v>
      </c>
      <c r="L32" s="256">
        <v>0</v>
      </c>
      <c r="M32" s="256" t="s">
        <v>1160</v>
      </c>
      <c r="N32" s="256">
        <v>0</v>
      </c>
      <c r="O32" s="256">
        <f>SUMIFS('F &amp; B'!G:G,'F &amp; B'!B:B,B32)</f>
        <v>15800</v>
      </c>
      <c r="P32" s="256">
        <v>9049</v>
      </c>
      <c r="Q32" s="257">
        <v>17746</v>
      </c>
      <c r="R32" s="257">
        <v>0</v>
      </c>
      <c r="S32" s="257">
        <v>7799</v>
      </c>
      <c r="T32" s="257">
        <v>24145</v>
      </c>
      <c r="U32" s="257">
        <v>60000</v>
      </c>
      <c r="V32" s="291" t="str">
        <f t="shared" si="1"/>
        <v/>
      </c>
    </row>
    <row r="33" spans="1:22" ht="20.25" customHeight="1">
      <c r="A33" s="261">
        <v>32</v>
      </c>
      <c r="B33" s="252" t="s">
        <v>155</v>
      </c>
      <c r="C33" s="253" t="s">
        <v>156</v>
      </c>
      <c r="D33" s="254">
        <v>45992</v>
      </c>
      <c r="E33" s="285">
        <v>0</v>
      </c>
      <c r="F33" s="255">
        <v>0</v>
      </c>
      <c r="G33" s="286">
        <v>7000</v>
      </c>
      <c r="H33" s="290">
        <f t="shared" si="0"/>
        <v>47688</v>
      </c>
      <c r="I33" s="256">
        <f>SUMIFS(FACILITIES!T:T,FACILITIES!B:B,B33)</f>
        <v>2000</v>
      </c>
      <c r="J33" s="256">
        <v>0</v>
      </c>
      <c r="K33" s="256">
        <v>0</v>
      </c>
      <c r="L33" s="256">
        <v>0</v>
      </c>
      <c r="M33" s="256" t="s">
        <v>1160</v>
      </c>
      <c r="N33" s="256">
        <v>0</v>
      </c>
      <c r="O33" s="256">
        <f>SUMIFS('F &amp; B'!G:G,'F &amp; B'!B:B,B33)</f>
        <v>5399</v>
      </c>
      <c r="P33" s="256">
        <v>0</v>
      </c>
      <c r="Q33" s="257">
        <v>3799</v>
      </c>
      <c r="R33" s="257">
        <v>19400</v>
      </c>
      <c r="S33" s="257">
        <v>4790</v>
      </c>
      <c r="T33" s="257">
        <v>12300</v>
      </c>
      <c r="U33" s="257">
        <v>60000</v>
      </c>
      <c r="V33" s="291">
        <f t="shared" si="1"/>
        <v>12312</v>
      </c>
    </row>
    <row r="34" spans="1:22" ht="20.25" customHeight="1">
      <c r="A34" s="261">
        <v>33</v>
      </c>
      <c r="B34" s="252" t="s">
        <v>160</v>
      </c>
      <c r="C34" s="253" t="s">
        <v>161</v>
      </c>
      <c r="D34" s="254">
        <v>45992</v>
      </c>
      <c r="E34" s="285">
        <v>0</v>
      </c>
      <c r="F34" s="255">
        <v>0</v>
      </c>
      <c r="G34" s="286">
        <v>7000</v>
      </c>
      <c r="H34" s="290">
        <f t="shared" si="0"/>
        <v>49130</v>
      </c>
      <c r="I34" s="256">
        <f>SUMIFS(FACILITIES!T:T,FACILITIES!B:B,B34)</f>
        <v>0</v>
      </c>
      <c r="J34" s="256">
        <v>0</v>
      </c>
      <c r="K34" s="256">
        <v>0</v>
      </c>
      <c r="L34" s="256">
        <v>0</v>
      </c>
      <c r="M34" s="256" t="s">
        <v>1160</v>
      </c>
      <c r="N34" s="256">
        <v>0</v>
      </c>
      <c r="O34" s="256">
        <f>SUMIFS('F &amp; B'!G:G,'F &amp; B'!B:B,B34)</f>
        <v>0</v>
      </c>
      <c r="P34" s="256">
        <v>13550</v>
      </c>
      <c r="Q34" s="257">
        <v>10475</v>
      </c>
      <c r="R34" s="257">
        <v>4975</v>
      </c>
      <c r="S34" s="257">
        <v>9290</v>
      </c>
      <c r="T34" s="257">
        <v>10840</v>
      </c>
      <c r="U34" s="257">
        <v>60000</v>
      </c>
      <c r="V34" s="291">
        <f t="shared" si="1"/>
        <v>10870</v>
      </c>
    </row>
    <row r="35" spans="1:22" ht="20.25" customHeight="1">
      <c r="A35" s="261">
        <v>34</v>
      </c>
      <c r="B35" s="252" t="s">
        <v>164</v>
      </c>
      <c r="C35" s="253" t="s">
        <v>165</v>
      </c>
      <c r="D35" s="254">
        <v>45992</v>
      </c>
      <c r="E35" s="285">
        <v>0</v>
      </c>
      <c r="F35" s="255">
        <v>0</v>
      </c>
      <c r="G35" s="286">
        <v>7000</v>
      </c>
      <c r="H35" s="290">
        <f t="shared" si="0"/>
        <v>262710</v>
      </c>
      <c r="I35" s="256">
        <f>SUMIFS(FACILITIES!T:T,FACILITIES!B:B,B35)</f>
        <v>0</v>
      </c>
      <c r="J35" s="256">
        <v>0</v>
      </c>
      <c r="K35" s="256">
        <v>94000</v>
      </c>
      <c r="L35" s="256">
        <v>0</v>
      </c>
      <c r="M35" s="256" t="s">
        <v>1160</v>
      </c>
      <c r="N35" s="256">
        <v>0</v>
      </c>
      <c r="O35" s="256">
        <f>SUMIFS('F &amp; B'!G:G,'F &amp; B'!B:B,B35)</f>
        <v>7600</v>
      </c>
      <c r="P35" s="256">
        <v>3650</v>
      </c>
      <c r="Q35" s="257">
        <v>20600</v>
      </c>
      <c r="R35" s="257">
        <v>29670</v>
      </c>
      <c r="S35" s="257">
        <v>95590</v>
      </c>
      <c r="T35" s="257">
        <v>11600</v>
      </c>
      <c r="U35" s="257">
        <v>60000</v>
      </c>
      <c r="V35" s="291" t="str">
        <f t="shared" si="1"/>
        <v/>
      </c>
    </row>
    <row r="36" spans="1:22" ht="20.25" customHeight="1">
      <c r="A36" s="261">
        <v>35</v>
      </c>
      <c r="B36" s="252" t="s">
        <v>173</v>
      </c>
      <c r="C36" s="253" t="s">
        <v>174</v>
      </c>
      <c r="D36" s="254">
        <v>45992</v>
      </c>
      <c r="E36" s="285">
        <v>0</v>
      </c>
      <c r="F36" s="255">
        <v>0</v>
      </c>
      <c r="G36" s="286">
        <v>7000</v>
      </c>
      <c r="H36" s="290">
        <f t="shared" si="0"/>
        <v>85254</v>
      </c>
      <c r="I36" s="256">
        <f>SUMIFS(FACILITIES!T:T,FACILITIES!B:B,B36)</f>
        <v>0</v>
      </c>
      <c r="J36" s="256">
        <v>0</v>
      </c>
      <c r="K36" s="256">
        <v>0</v>
      </c>
      <c r="L36" s="256">
        <v>0</v>
      </c>
      <c r="M36" s="256" t="s">
        <v>1160</v>
      </c>
      <c r="N36" s="256">
        <v>0</v>
      </c>
      <c r="O36" s="256">
        <f>SUMIFS('F &amp; B'!G:G,'F &amp; B'!B:B,B36)</f>
        <v>0</v>
      </c>
      <c r="P36" s="257">
        <v>49322</v>
      </c>
      <c r="Q36" s="257">
        <v>5875</v>
      </c>
      <c r="R36" s="257">
        <v>14257</v>
      </c>
      <c r="S36" s="257">
        <v>12450</v>
      </c>
      <c r="T36" s="257">
        <v>3350</v>
      </c>
      <c r="U36" s="257">
        <v>60000</v>
      </c>
      <c r="V36" s="291" t="str">
        <f t="shared" si="1"/>
        <v/>
      </c>
    </row>
    <row r="37" spans="1:22" ht="20.25" customHeight="1">
      <c r="A37" s="261">
        <v>36</v>
      </c>
      <c r="B37" s="252" t="s">
        <v>177</v>
      </c>
      <c r="C37" s="253" t="s">
        <v>178</v>
      </c>
      <c r="D37" s="254">
        <v>45992</v>
      </c>
      <c r="E37" s="285">
        <v>0</v>
      </c>
      <c r="F37" s="255">
        <v>0</v>
      </c>
      <c r="G37" s="286">
        <v>7000</v>
      </c>
      <c r="H37" s="290">
        <f t="shared" si="0"/>
        <v>68900</v>
      </c>
      <c r="I37" s="256">
        <f>SUMIFS(FACILITIES!T:T,FACILITIES!B:B,B37)</f>
        <v>0</v>
      </c>
      <c r="J37" s="256">
        <v>0</v>
      </c>
      <c r="K37" s="256">
        <v>0</v>
      </c>
      <c r="L37" s="256">
        <v>0</v>
      </c>
      <c r="M37" s="256" t="s">
        <v>1160</v>
      </c>
      <c r="N37" s="256">
        <v>0</v>
      </c>
      <c r="O37" s="256">
        <f>SUMIFS('F &amp; B'!G:G,'F &amp; B'!B:B,B37)</f>
        <v>7850</v>
      </c>
      <c r="P37" s="257">
        <v>45600</v>
      </c>
      <c r="Q37" s="257">
        <v>7200</v>
      </c>
      <c r="R37" s="257">
        <v>8250</v>
      </c>
      <c r="S37" s="257">
        <v>0</v>
      </c>
      <c r="T37" s="257">
        <v>0</v>
      </c>
      <c r="U37" s="257">
        <v>60000</v>
      </c>
      <c r="V37" s="291" t="str">
        <f t="shared" si="1"/>
        <v/>
      </c>
    </row>
    <row r="38" spans="1:22" ht="20.25" customHeight="1">
      <c r="A38" s="261">
        <v>37</v>
      </c>
      <c r="B38" s="252" t="s">
        <v>182</v>
      </c>
      <c r="C38" s="253" t="s">
        <v>183</v>
      </c>
      <c r="D38" s="254">
        <v>45992</v>
      </c>
      <c r="E38" s="285">
        <v>0</v>
      </c>
      <c r="F38" s="255">
        <v>0</v>
      </c>
      <c r="G38" s="286">
        <v>7000</v>
      </c>
      <c r="H38" s="290">
        <f t="shared" si="0"/>
        <v>23739</v>
      </c>
      <c r="I38" s="256">
        <f>SUMIFS(FACILITIES!T:T,FACILITIES!B:B,B38)</f>
        <v>0</v>
      </c>
      <c r="J38" s="256">
        <v>0</v>
      </c>
      <c r="K38" s="256">
        <v>0</v>
      </c>
      <c r="L38" s="256">
        <v>0</v>
      </c>
      <c r="M38" s="256" t="s">
        <v>1160</v>
      </c>
      <c r="N38" s="256">
        <v>0</v>
      </c>
      <c r="O38" s="256">
        <f>SUMIFS('F &amp; B'!G:G,'F &amp; B'!B:B,B38)</f>
        <v>1050</v>
      </c>
      <c r="P38" s="257">
        <v>7479</v>
      </c>
      <c r="Q38" s="257">
        <v>5760</v>
      </c>
      <c r="R38" s="257">
        <v>9450</v>
      </c>
      <c r="S38" s="257">
        <v>0</v>
      </c>
      <c r="T38" s="257">
        <v>0</v>
      </c>
      <c r="U38" s="257">
        <v>60000</v>
      </c>
      <c r="V38" s="291">
        <f t="shared" si="1"/>
        <v>36261</v>
      </c>
    </row>
    <row r="39" spans="1:22" ht="20.25" customHeight="1">
      <c r="A39" s="261">
        <v>38</v>
      </c>
      <c r="B39" s="252" t="s">
        <v>187</v>
      </c>
      <c r="C39" s="253" t="s">
        <v>188</v>
      </c>
      <c r="D39" s="254">
        <v>45992</v>
      </c>
      <c r="E39" s="285">
        <v>0</v>
      </c>
      <c r="F39" s="255">
        <v>0</v>
      </c>
      <c r="G39" s="286">
        <v>7000</v>
      </c>
      <c r="H39" s="290">
        <f t="shared" si="0"/>
        <v>221089</v>
      </c>
      <c r="I39" s="256">
        <f>SUMIFS(FACILITIES!T:T,FACILITIES!B:B,B39)</f>
        <v>0</v>
      </c>
      <c r="J39" s="256">
        <v>0</v>
      </c>
      <c r="K39" s="256">
        <v>0</v>
      </c>
      <c r="L39" s="256">
        <v>0</v>
      </c>
      <c r="M39" s="256" t="s">
        <v>1160</v>
      </c>
      <c r="N39" s="256">
        <v>0</v>
      </c>
      <c r="O39" s="256">
        <f>SUMIFS('F &amp; B'!G:G,'F &amp; B'!B:B,B39)</f>
        <v>43074</v>
      </c>
      <c r="P39" s="257">
        <v>81436</v>
      </c>
      <c r="Q39" s="257">
        <v>65799</v>
      </c>
      <c r="R39" s="257">
        <v>20500</v>
      </c>
      <c r="S39" s="257">
        <v>0</v>
      </c>
      <c r="T39" s="257">
        <v>10280</v>
      </c>
      <c r="U39" s="257">
        <v>60000</v>
      </c>
      <c r="V39" s="291" t="str">
        <f t="shared" si="1"/>
        <v/>
      </c>
    </row>
    <row r="40" spans="1:22" ht="20.25" customHeight="1">
      <c r="A40" s="261">
        <v>39</v>
      </c>
      <c r="B40" s="252" t="s">
        <v>192</v>
      </c>
      <c r="C40" s="253" t="s">
        <v>193</v>
      </c>
      <c r="D40" s="254">
        <v>45992</v>
      </c>
      <c r="E40" s="285">
        <v>0</v>
      </c>
      <c r="F40" s="255">
        <v>0</v>
      </c>
      <c r="G40" s="286">
        <v>7000</v>
      </c>
      <c r="H40" s="290">
        <f t="shared" si="0"/>
        <v>210429</v>
      </c>
      <c r="I40" s="256">
        <f>SUMIFS(FACILITIES!T:T,FACILITIES!B:B,B40)</f>
        <v>4500</v>
      </c>
      <c r="J40" s="256">
        <v>0</v>
      </c>
      <c r="K40" s="256">
        <v>0</v>
      </c>
      <c r="L40" s="256">
        <v>0</v>
      </c>
      <c r="M40" s="256" t="s">
        <v>1160</v>
      </c>
      <c r="N40" s="256">
        <v>5000</v>
      </c>
      <c r="O40" s="256">
        <f>SUMIFS('F &amp; B'!G:G,'F &amp; B'!B:B,B40)</f>
        <v>48575</v>
      </c>
      <c r="P40" s="257">
        <v>0</v>
      </c>
      <c r="Q40" s="257">
        <v>31429</v>
      </c>
      <c r="R40" s="257">
        <v>56300</v>
      </c>
      <c r="S40" s="257">
        <v>30400</v>
      </c>
      <c r="T40" s="257">
        <v>34225</v>
      </c>
      <c r="U40" s="257">
        <v>60000</v>
      </c>
      <c r="V40" s="291" t="str">
        <f t="shared" si="1"/>
        <v/>
      </c>
    </row>
    <row r="41" spans="1:22" ht="20.25" customHeight="1">
      <c r="A41" s="261">
        <v>40</v>
      </c>
      <c r="B41" s="252" t="s">
        <v>197</v>
      </c>
      <c r="C41" s="253" t="s">
        <v>198</v>
      </c>
      <c r="D41" s="254">
        <v>45992</v>
      </c>
      <c r="E41" s="285">
        <v>0</v>
      </c>
      <c r="F41" s="255">
        <v>0</v>
      </c>
      <c r="G41" s="286">
        <v>7000</v>
      </c>
      <c r="H41" s="290">
        <f t="shared" si="0"/>
        <v>454865</v>
      </c>
      <c r="I41" s="256">
        <f>SUMIFS(FACILITIES!T:T,FACILITIES!B:B,B41)</f>
        <v>0</v>
      </c>
      <c r="J41" s="256">
        <v>0</v>
      </c>
      <c r="K41" s="256">
        <v>0</v>
      </c>
      <c r="L41" s="256">
        <v>412615</v>
      </c>
      <c r="M41" s="256" t="s">
        <v>1160</v>
      </c>
      <c r="N41" s="256">
        <v>2000</v>
      </c>
      <c r="O41" s="256">
        <f>SUMIFS('F &amp; B'!G:G,'F &amp; B'!B:B,B41)</f>
        <v>5440</v>
      </c>
      <c r="P41" s="257">
        <v>1410</v>
      </c>
      <c r="Q41" s="257">
        <v>22600</v>
      </c>
      <c r="R41" s="257">
        <v>6600</v>
      </c>
      <c r="S41" s="257">
        <v>3750</v>
      </c>
      <c r="T41" s="257">
        <v>450</v>
      </c>
      <c r="U41" s="257">
        <v>60000</v>
      </c>
      <c r="V41" s="291" t="str">
        <f t="shared" si="1"/>
        <v/>
      </c>
    </row>
    <row r="42" spans="1:22" ht="20.25" customHeight="1">
      <c r="A42" s="261">
        <v>41</v>
      </c>
      <c r="B42" s="252" t="s">
        <v>202</v>
      </c>
      <c r="C42" s="253" t="s">
        <v>203</v>
      </c>
      <c r="D42" s="254">
        <v>45992</v>
      </c>
      <c r="E42" s="285">
        <v>0</v>
      </c>
      <c r="F42" s="255">
        <v>0</v>
      </c>
      <c r="G42" s="286">
        <v>7000</v>
      </c>
      <c r="H42" s="290">
        <f t="shared" si="0"/>
        <v>1050</v>
      </c>
      <c r="I42" s="256">
        <f>SUMIFS(FACILITIES!T:T,FACILITIES!B:B,B42)</f>
        <v>0</v>
      </c>
      <c r="J42" s="256">
        <v>0</v>
      </c>
      <c r="K42" s="256">
        <v>0</v>
      </c>
      <c r="L42" s="256">
        <v>0</v>
      </c>
      <c r="M42" s="256" t="s">
        <v>1160</v>
      </c>
      <c r="N42" s="256">
        <v>0</v>
      </c>
      <c r="O42" s="256">
        <f>SUMIFS('F &amp; B'!G:G,'F &amp; B'!B:B,B42)</f>
        <v>0</v>
      </c>
      <c r="P42" s="257">
        <v>0</v>
      </c>
      <c r="Q42" s="257">
        <v>1050</v>
      </c>
      <c r="R42" s="257">
        <v>0</v>
      </c>
      <c r="S42" s="257">
        <v>0</v>
      </c>
      <c r="T42" s="257">
        <v>0</v>
      </c>
      <c r="U42" s="257">
        <v>60000</v>
      </c>
      <c r="V42" s="291">
        <f t="shared" si="1"/>
        <v>58950</v>
      </c>
    </row>
    <row r="43" spans="1:22" ht="20.25" customHeight="1">
      <c r="A43" s="261">
        <v>42</v>
      </c>
      <c r="B43" s="252" t="s">
        <v>795</v>
      </c>
      <c r="C43" s="253" t="s">
        <v>796</v>
      </c>
      <c r="D43" s="254">
        <v>45992</v>
      </c>
      <c r="E43" s="285">
        <v>0</v>
      </c>
      <c r="F43" s="255">
        <v>0</v>
      </c>
      <c r="G43" s="286">
        <v>7000</v>
      </c>
      <c r="H43" s="290">
        <f t="shared" si="0"/>
        <v>135880</v>
      </c>
      <c r="I43" s="256">
        <f>SUMIFS(FACILITIES!T:T,FACILITIES!B:B,B43)</f>
        <v>0</v>
      </c>
      <c r="J43" s="256">
        <v>0</v>
      </c>
      <c r="K43" s="256">
        <v>0</v>
      </c>
      <c r="L43" s="256">
        <v>0</v>
      </c>
      <c r="M43" s="256" t="s">
        <v>1160</v>
      </c>
      <c r="N43" s="256">
        <v>0</v>
      </c>
      <c r="O43" s="256">
        <f>SUMIFS('F &amp; B'!G:G,'F &amp; B'!B:B,B43)</f>
        <v>40562</v>
      </c>
      <c r="P43" s="257">
        <v>18409</v>
      </c>
      <c r="Q43" s="257">
        <v>18245</v>
      </c>
      <c r="R43" s="257">
        <v>21205</v>
      </c>
      <c r="S43" s="257">
        <v>14849</v>
      </c>
      <c r="T43" s="257">
        <v>22610</v>
      </c>
      <c r="U43" s="257">
        <v>60000</v>
      </c>
      <c r="V43" s="291" t="str">
        <f t="shared" si="1"/>
        <v/>
      </c>
    </row>
    <row r="44" spans="1:22" ht="20.25" customHeight="1">
      <c r="A44" s="261">
        <v>43</v>
      </c>
      <c r="B44" s="252" t="s">
        <v>207</v>
      </c>
      <c r="C44" s="253" t="s">
        <v>208</v>
      </c>
      <c r="D44" s="254">
        <v>45992</v>
      </c>
      <c r="E44" s="285">
        <v>0</v>
      </c>
      <c r="F44" s="255">
        <v>0</v>
      </c>
      <c r="G44" s="286">
        <v>7000</v>
      </c>
      <c r="H44" s="290">
        <f t="shared" si="0"/>
        <v>224889</v>
      </c>
      <c r="I44" s="256">
        <f>SUMIFS(FACILITIES!T:T,FACILITIES!B:B,B44)</f>
        <v>0</v>
      </c>
      <c r="J44" s="256">
        <v>0</v>
      </c>
      <c r="K44" s="256">
        <v>180000</v>
      </c>
      <c r="L44" s="256">
        <v>0</v>
      </c>
      <c r="M44" s="256" t="s">
        <v>1160</v>
      </c>
      <c r="N44" s="256">
        <v>0</v>
      </c>
      <c r="O44" s="256">
        <f>SUMIFS('F &amp; B'!G:G,'F &amp; B'!B:B,B44)</f>
        <v>0</v>
      </c>
      <c r="P44" s="257">
        <v>5980</v>
      </c>
      <c r="Q44" s="257">
        <v>4860</v>
      </c>
      <c r="R44" s="257">
        <v>14649</v>
      </c>
      <c r="S44" s="257">
        <v>16500</v>
      </c>
      <c r="T44" s="257">
        <v>2900</v>
      </c>
      <c r="U44" s="257">
        <v>60000</v>
      </c>
      <c r="V44" s="291" t="str">
        <f t="shared" si="1"/>
        <v/>
      </c>
    </row>
    <row r="45" spans="1:22" ht="20.25" customHeight="1">
      <c r="A45" s="261">
        <v>44</v>
      </c>
      <c r="B45" s="252" t="s">
        <v>212</v>
      </c>
      <c r="C45" s="253" t="s">
        <v>213</v>
      </c>
      <c r="D45" s="254">
        <v>45992</v>
      </c>
      <c r="E45" s="285">
        <v>0</v>
      </c>
      <c r="F45" s="255">
        <v>0</v>
      </c>
      <c r="G45" s="286">
        <v>7000</v>
      </c>
      <c r="H45" s="290">
        <f t="shared" si="0"/>
        <v>26979</v>
      </c>
      <c r="I45" s="256">
        <f>SUMIFS(FACILITIES!T:T,FACILITIES!B:B,B45)</f>
        <v>0</v>
      </c>
      <c r="J45" s="256">
        <v>0</v>
      </c>
      <c r="K45" s="256">
        <v>0</v>
      </c>
      <c r="L45" s="256">
        <v>0</v>
      </c>
      <c r="M45" s="256" t="s">
        <v>1160</v>
      </c>
      <c r="N45" s="256">
        <v>0</v>
      </c>
      <c r="O45" s="256">
        <f>SUMIFS('F &amp; B'!G:G,'F &amp; B'!B:B,B45)</f>
        <v>0</v>
      </c>
      <c r="P45" s="257">
        <v>0</v>
      </c>
      <c r="Q45" s="257">
        <v>0</v>
      </c>
      <c r="R45" s="257">
        <v>0</v>
      </c>
      <c r="S45" s="257">
        <v>0</v>
      </c>
      <c r="T45" s="257">
        <v>26979</v>
      </c>
      <c r="U45" s="257">
        <v>60000</v>
      </c>
      <c r="V45" s="291">
        <f t="shared" si="1"/>
        <v>33021</v>
      </c>
    </row>
    <row r="46" spans="1:22" ht="20.25" customHeight="1">
      <c r="A46" s="261">
        <v>45</v>
      </c>
      <c r="B46" s="252" t="s">
        <v>217</v>
      </c>
      <c r="C46" s="253" t="s">
        <v>218</v>
      </c>
      <c r="D46" s="254">
        <v>45992</v>
      </c>
      <c r="E46" s="285">
        <v>0</v>
      </c>
      <c r="F46" s="255">
        <v>0</v>
      </c>
      <c r="G46" s="286">
        <v>7000</v>
      </c>
      <c r="H46" s="290">
        <f t="shared" si="0"/>
        <v>92487</v>
      </c>
      <c r="I46" s="256">
        <f>SUMIFS(FACILITIES!T:T,FACILITIES!B:B,B46)</f>
        <v>4000</v>
      </c>
      <c r="J46" s="256">
        <v>0</v>
      </c>
      <c r="K46" s="256">
        <v>0</v>
      </c>
      <c r="L46" s="256">
        <v>0</v>
      </c>
      <c r="M46" s="256" t="s">
        <v>1160</v>
      </c>
      <c r="N46" s="256">
        <v>0</v>
      </c>
      <c r="O46" s="256">
        <f>SUMIFS('F &amp; B'!G:G,'F &amp; B'!B:B,B46)</f>
        <v>9400</v>
      </c>
      <c r="P46" s="257">
        <v>15000</v>
      </c>
      <c r="Q46" s="257">
        <v>33149</v>
      </c>
      <c r="R46" s="257">
        <v>14199</v>
      </c>
      <c r="S46" s="257">
        <v>2300</v>
      </c>
      <c r="T46" s="257">
        <v>14439</v>
      </c>
      <c r="U46" s="257">
        <v>60000</v>
      </c>
      <c r="V46" s="291" t="str">
        <f t="shared" si="1"/>
        <v/>
      </c>
    </row>
    <row r="47" spans="1:22" ht="20.25" customHeight="1">
      <c r="A47" s="261">
        <v>46</v>
      </c>
      <c r="B47" s="252" t="s">
        <v>221</v>
      </c>
      <c r="C47" s="253" t="s">
        <v>222</v>
      </c>
      <c r="D47" s="254">
        <v>45992</v>
      </c>
      <c r="E47" s="285">
        <v>0</v>
      </c>
      <c r="F47" s="255">
        <v>0</v>
      </c>
      <c r="G47" s="286">
        <v>7000</v>
      </c>
      <c r="H47" s="290">
        <f t="shared" si="0"/>
        <v>50977</v>
      </c>
      <c r="I47" s="256">
        <f>SUMIFS(FACILITIES!T:T,FACILITIES!B:B,B47)</f>
        <v>0</v>
      </c>
      <c r="J47" s="256">
        <v>0</v>
      </c>
      <c r="K47" s="256">
        <v>0</v>
      </c>
      <c r="L47" s="256">
        <v>0</v>
      </c>
      <c r="M47" s="256" t="s">
        <v>1160</v>
      </c>
      <c r="N47" s="256">
        <v>0</v>
      </c>
      <c r="O47" s="256">
        <f>SUMIFS('F &amp; B'!G:G,'F &amp; B'!B:B,B47)</f>
        <v>15807</v>
      </c>
      <c r="P47" s="257">
        <v>11600</v>
      </c>
      <c r="Q47" s="257">
        <v>15120</v>
      </c>
      <c r="R47" s="257">
        <v>0</v>
      </c>
      <c r="S47" s="257">
        <v>8450</v>
      </c>
      <c r="T47" s="257">
        <v>0</v>
      </c>
      <c r="U47" s="257">
        <v>60000</v>
      </c>
      <c r="V47" s="291">
        <f t="shared" si="1"/>
        <v>9023</v>
      </c>
    </row>
    <row r="48" spans="1:22" ht="20.25" customHeight="1">
      <c r="A48" s="261">
        <v>47</v>
      </c>
      <c r="B48" s="252" t="s">
        <v>226</v>
      </c>
      <c r="C48" s="253" t="s">
        <v>227</v>
      </c>
      <c r="D48" s="254">
        <v>45992</v>
      </c>
      <c r="E48" s="285">
        <v>0</v>
      </c>
      <c r="F48" s="255">
        <v>0</v>
      </c>
      <c r="G48" s="286">
        <v>7000</v>
      </c>
      <c r="H48" s="290">
        <f t="shared" si="0"/>
        <v>86225</v>
      </c>
      <c r="I48" s="256">
        <f>SUMIFS(FACILITIES!T:T,FACILITIES!B:B,B48)</f>
        <v>0</v>
      </c>
      <c r="J48" s="256">
        <v>0</v>
      </c>
      <c r="K48" s="256">
        <v>0</v>
      </c>
      <c r="L48" s="256">
        <v>0</v>
      </c>
      <c r="M48" s="256" t="s">
        <v>1160</v>
      </c>
      <c r="N48" s="256">
        <v>0</v>
      </c>
      <c r="O48" s="256">
        <f>SUMIFS('F &amp; B'!G:G,'F &amp; B'!B:B,B48)</f>
        <v>27850</v>
      </c>
      <c r="P48" s="257">
        <v>9100</v>
      </c>
      <c r="Q48" s="257">
        <v>24925</v>
      </c>
      <c r="R48" s="257">
        <v>0</v>
      </c>
      <c r="S48" s="257">
        <v>24350</v>
      </c>
      <c r="T48" s="257">
        <v>0</v>
      </c>
      <c r="U48" s="257">
        <v>60000</v>
      </c>
      <c r="V48" s="291" t="str">
        <f t="shared" si="1"/>
        <v/>
      </c>
    </row>
    <row r="49" spans="1:22" ht="20.25" customHeight="1">
      <c r="A49" s="261">
        <v>48</v>
      </c>
      <c r="B49" s="252" t="s">
        <v>230</v>
      </c>
      <c r="C49" s="253" t="s">
        <v>231</v>
      </c>
      <c r="D49" s="254">
        <v>45992</v>
      </c>
      <c r="E49" s="285">
        <v>0</v>
      </c>
      <c r="F49" s="255">
        <v>0</v>
      </c>
      <c r="G49" s="286">
        <v>7000</v>
      </c>
      <c r="H49" s="290">
        <f t="shared" si="0"/>
        <v>73449</v>
      </c>
      <c r="I49" s="256">
        <f>SUMIFS(FACILITIES!T:T,FACILITIES!B:B,B49)</f>
        <v>0</v>
      </c>
      <c r="J49" s="256">
        <v>0</v>
      </c>
      <c r="K49" s="256">
        <v>0</v>
      </c>
      <c r="L49" s="256">
        <v>0</v>
      </c>
      <c r="M49" s="256" t="s">
        <v>1160</v>
      </c>
      <c r="N49" s="256">
        <v>0</v>
      </c>
      <c r="O49" s="256">
        <f>SUMIFS('F &amp; B'!G:G,'F &amp; B'!B:B,B49)</f>
        <v>21050</v>
      </c>
      <c r="P49" s="257">
        <v>8300</v>
      </c>
      <c r="Q49" s="257">
        <v>9949</v>
      </c>
      <c r="R49" s="257">
        <v>25000</v>
      </c>
      <c r="S49" s="257">
        <v>8450</v>
      </c>
      <c r="T49" s="257">
        <v>700</v>
      </c>
      <c r="U49" s="257">
        <v>60000</v>
      </c>
      <c r="V49" s="291" t="str">
        <f t="shared" si="1"/>
        <v/>
      </c>
    </row>
    <row r="50" spans="1:22" ht="20.25" customHeight="1">
      <c r="A50" s="261">
        <v>49</v>
      </c>
      <c r="B50" s="252" t="s">
        <v>235</v>
      </c>
      <c r="C50" s="253" t="s">
        <v>236</v>
      </c>
      <c r="D50" s="254">
        <v>45992</v>
      </c>
      <c r="E50" s="285">
        <v>0</v>
      </c>
      <c r="F50" s="255">
        <v>0</v>
      </c>
      <c r="G50" s="286">
        <v>7000</v>
      </c>
      <c r="H50" s="290">
        <f t="shared" si="0"/>
        <v>137291</v>
      </c>
      <c r="I50" s="256">
        <f>SUMIFS(FACILITIES!T:T,FACILITIES!B:B,B50)</f>
        <v>2000</v>
      </c>
      <c r="J50" s="256">
        <v>0</v>
      </c>
      <c r="K50" s="256">
        <v>0</v>
      </c>
      <c r="L50" s="256">
        <v>0</v>
      </c>
      <c r="M50" s="256" t="s">
        <v>1160</v>
      </c>
      <c r="N50" s="256">
        <v>0</v>
      </c>
      <c r="O50" s="256">
        <f>SUMIFS('F &amp; B'!G:G,'F &amp; B'!B:B,B50)</f>
        <v>17159</v>
      </c>
      <c r="P50" s="257">
        <v>57523</v>
      </c>
      <c r="Q50" s="257">
        <v>9904</v>
      </c>
      <c r="R50" s="257">
        <v>19050</v>
      </c>
      <c r="S50" s="257">
        <v>17070</v>
      </c>
      <c r="T50" s="257">
        <v>14585</v>
      </c>
      <c r="U50" s="257">
        <v>60000</v>
      </c>
      <c r="V50" s="291" t="str">
        <f t="shared" si="1"/>
        <v/>
      </c>
    </row>
    <row r="51" spans="1:22" ht="20.25" customHeight="1">
      <c r="A51" s="261">
        <v>50</v>
      </c>
      <c r="B51" s="252" t="s">
        <v>240</v>
      </c>
      <c r="C51" s="253" t="s">
        <v>241</v>
      </c>
      <c r="D51" s="254">
        <v>45992</v>
      </c>
      <c r="E51" s="285">
        <v>0</v>
      </c>
      <c r="F51" s="255">
        <v>0</v>
      </c>
      <c r="G51" s="286">
        <v>7000</v>
      </c>
      <c r="H51" s="290">
        <f t="shared" si="0"/>
        <v>160835</v>
      </c>
      <c r="I51" s="256">
        <f>SUMIFS(FACILITIES!T:T,FACILITIES!B:B,B51)</f>
        <v>0</v>
      </c>
      <c r="J51" s="256">
        <v>0</v>
      </c>
      <c r="K51" s="256">
        <v>0</v>
      </c>
      <c r="L51" s="256">
        <v>0</v>
      </c>
      <c r="M51" s="256" t="s">
        <v>1160</v>
      </c>
      <c r="N51" s="256">
        <v>0</v>
      </c>
      <c r="O51" s="256">
        <f>SUMIFS('F &amp; B'!G:G,'F &amp; B'!B:B,B51)</f>
        <v>2700</v>
      </c>
      <c r="P51" s="257">
        <v>19650</v>
      </c>
      <c r="Q51" s="257">
        <v>24786</v>
      </c>
      <c r="R51" s="257">
        <v>47569</v>
      </c>
      <c r="S51" s="257">
        <v>8730</v>
      </c>
      <c r="T51" s="257">
        <v>57400</v>
      </c>
      <c r="U51" s="257">
        <v>60000</v>
      </c>
      <c r="V51" s="291" t="str">
        <f t="shared" si="1"/>
        <v/>
      </c>
    </row>
    <row r="52" spans="1:22" ht="20.25" customHeight="1">
      <c r="A52" s="261">
        <v>51</v>
      </c>
      <c r="B52" s="252" t="s">
        <v>244</v>
      </c>
      <c r="C52" s="253" t="s">
        <v>245</v>
      </c>
      <c r="D52" s="254">
        <v>45992</v>
      </c>
      <c r="E52" s="285">
        <v>0</v>
      </c>
      <c r="F52" s="255">
        <v>0</v>
      </c>
      <c r="G52" s="286">
        <v>7000</v>
      </c>
      <c r="H52" s="290">
        <f t="shared" si="0"/>
        <v>49825</v>
      </c>
      <c r="I52" s="256">
        <f>SUMIFS(FACILITIES!T:T,FACILITIES!B:B,B52)</f>
        <v>0</v>
      </c>
      <c r="J52" s="256">
        <v>0</v>
      </c>
      <c r="K52" s="256">
        <v>0</v>
      </c>
      <c r="L52" s="256">
        <v>0</v>
      </c>
      <c r="M52" s="256" t="s">
        <v>1160</v>
      </c>
      <c r="N52" s="256">
        <v>0</v>
      </c>
      <c r="O52" s="256">
        <f>SUMIFS('F &amp; B'!G:G,'F &amp; B'!B:B,B52)</f>
        <v>16750</v>
      </c>
      <c r="P52" s="257">
        <v>6800</v>
      </c>
      <c r="Q52" s="257">
        <v>14500</v>
      </c>
      <c r="R52" s="257">
        <v>11775</v>
      </c>
      <c r="S52" s="257">
        <v>0</v>
      </c>
      <c r="T52" s="257">
        <v>0</v>
      </c>
      <c r="U52" s="257">
        <v>60000</v>
      </c>
      <c r="V52" s="291">
        <f t="shared" si="1"/>
        <v>10175</v>
      </c>
    </row>
    <row r="53" spans="1:22" ht="21" customHeight="1">
      <c r="A53" s="261">
        <v>52</v>
      </c>
      <c r="B53" s="252" t="s">
        <v>249</v>
      </c>
      <c r="C53" s="253" t="s">
        <v>250</v>
      </c>
      <c r="D53" s="254">
        <v>45992</v>
      </c>
      <c r="E53" s="285">
        <v>0</v>
      </c>
      <c r="F53" s="255">
        <v>0</v>
      </c>
      <c r="G53" s="286">
        <v>7000</v>
      </c>
      <c r="H53" s="290">
        <f t="shared" si="0"/>
        <v>40540</v>
      </c>
      <c r="I53" s="256">
        <f>SUMIFS(FACILITIES!T:T,FACILITIES!B:B,B53)</f>
        <v>9000</v>
      </c>
      <c r="J53" s="256">
        <v>0</v>
      </c>
      <c r="K53" s="256">
        <v>0</v>
      </c>
      <c r="L53" s="256">
        <v>0</v>
      </c>
      <c r="M53" s="256" t="s">
        <v>1160</v>
      </c>
      <c r="N53" s="256">
        <v>0</v>
      </c>
      <c r="O53" s="256">
        <f>SUMIFS('F &amp; B'!G:G,'F &amp; B'!B:B,B53)</f>
        <v>11990</v>
      </c>
      <c r="P53" s="257">
        <v>4600</v>
      </c>
      <c r="Q53" s="257">
        <v>7000</v>
      </c>
      <c r="R53" s="257">
        <v>0</v>
      </c>
      <c r="S53" s="257">
        <v>0</v>
      </c>
      <c r="T53" s="257">
        <v>7950</v>
      </c>
      <c r="U53" s="257">
        <v>60000</v>
      </c>
      <c r="V53" s="291">
        <f t="shared" si="1"/>
        <v>19460</v>
      </c>
    </row>
    <row r="54" spans="1:22" ht="20.25" customHeight="1">
      <c r="A54" s="261">
        <v>53</v>
      </c>
      <c r="B54" s="252" t="s">
        <v>254</v>
      </c>
      <c r="C54" s="253" t="s">
        <v>255</v>
      </c>
      <c r="D54" s="254">
        <v>45992</v>
      </c>
      <c r="E54" s="285">
        <v>0</v>
      </c>
      <c r="F54" s="255">
        <v>0</v>
      </c>
      <c r="G54" s="286">
        <v>7000</v>
      </c>
      <c r="H54" s="290">
        <f t="shared" si="0"/>
        <v>218862</v>
      </c>
      <c r="I54" s="256">
        <f>SUMIFS(FACILITIES!T:T,FACILITIES!B:B,B54)</f>
        <v>0</v>
      </c>
      <c r="J54" s="256">
        <v>0</v>
      </c>
      <c r="K54" s="256">
        <v>0</v>
      </c>
      <c r="L54" s="256">
        <v>0</v>
      </c>
      <c r="M54" s="256" t="s">
        <v>1160</v>
      </c>
      <c r="N54" s="256">
        <v>67500</v>
      </c>
      <c r="O54" s="256">
        <f>SUMIFS('F &amp; B'!G:G,'F &amp; B'!B:B,B54)</f>
        <v>4500</v>
      </c>
      <c r="P54" s="257">
        <v>10350</v>
      </c>
      <c r="Q54" s="257">
        <v>90674</v>
      </c>
      <c r="R54" s="257">
        <v>0</v>
      </c>
      <c r="S54" s="257">
        <v>11829</v>
      </c>
      <c r="T54" s="257">
        <v>34009</v>
      </c>
      <c r="U54" s="257">
        <v>60000</v>
      </c>
      <c r="V54" s="291" t="str">
        <f t="shared" si="1"/>
        <v/>
      </c>
    </row>
    <row r="55" spans="1:22" ht="20.25" customHeight="1">
      <c r="A55" s="261">
        <v>54</v>
      </c>
      <c r="B55" s="252" t="s">
        <v>258</v>
      </c>
      <c r="C55" s="253" t="s">
        <v>259</v>
      </c>
      <c r="D55" s="254">
        <v>45992</v>
      </c>
      <c r="E55" s="285">
        <v>0</v>
      </c>
      <c r="F55" s="255">
        <v>0</v>
      </c>
      <c r="G55" s="286">
        <v>7000</v>
      </c>
      <c r="H55" s="290">
        <f t="shared" si="0"/>
        <v>178765</v>
      </c>
      <c r="I55" s="256">
        <f>SUMIFS(FACILITIES!T:T,FACILITIES!B:B,B55)</f>
        <v>0</v>
      </c>
      <c r="J55" s="256">
        <v>0</v>
      </c>
      <c r="K55" s="256">
        <v>0</v>
      </c>
      <c r="L55" s="256">
        <v>0</v>
      </c>
      <c r="M55" s="256" t="s">
        <v>1160</v>
      </c>
      <c r="N55" s="256">
        <v>0</v>
      </c>
      <c r="O55" s="256">
        <f>SUMIFS('F &amp; B'!G:G,'F &amp; B'!B:B,B55)</f>
        <v>29350</v>
      </c>
      <c r="P55" s="257">
        <v>15000</v>
      </c>
      <c r="Q55" s="257">
        <v>26100</v>
      </c>
      <c r="R55" s="257">
        <v>29300</v>
      </c>
      <c r="S55" s="257">
        <v>23400</v>
      </c>
      <c r="T55" s="257">
        <v>55615</v>
      </c>
      <c r="U55" s="257">
        <v>60000</v>
      </c>
      <c r="V55" s="291" t="str">
        <f t="shared" si="1"/>
        <v/>
      </c>
    </row>
    <row r="56" spans="1:22" ht="20.25" customHeight="1">
      <c r="A56" s="261">
        <v>55</v>
      </c>
      <c r="B56" s="252" t="s">
        <v>263</v>
      </c>
      <c r="C56" s="253" t="s">
        <v>264</v>
      </c>
      <c r="D56" s="254">
        <v>45992</v>
      </c>
      <c r="E56" s="285">
        <v>0</v>
      </c>
      <c r="F56" s="255">
        <v>0</v>
      </c>
      <c r="G56" s="286">
        <v>7000</v>
      </c>
      <c r="H56" s="290">
        <f t="shared" si="0"/>
        <v>269473</v>
      </c>
      <c r="I56" s="256">
        <f>SUMIFS(FACILITIES!T:T,FACILITIES!B:B,B56)</f>
        <v>0</v>
      </c>
      <c r="J56" s="256">
        <v>0</v>
      </c>
      <c r="K56" s="256">
        <v>0</v>
      </c>
      <c r="L56" s="256">
        <v>0</v>
      </c>
      <c r="M56" s="256" t="s">
        <v>1160</v>
      </c>
      <c r="N56" s="256">
        <v>0</v>
      </c>
      <c r="O56" s="256">
        <f>SUMIFS('F &amp; B'!G:G,'F &amp; B'!B:B,B56)</f>
        <v>102350</v>
      </c>
      <c r="P56" s="257">
        <v>44425</v>
      </c>
      <c r="Q56" s="257">
        <v>18799</v>
      </c>
      <c r="R56" s="257">
        <v>33049</v>
      </c>
      <c r="S56" s="257">
        <v>49600</v>
      </c>
      <c r="T56" s="257">
        <v>21250</v>
      </c>
      <c r="U56" s="257">
        <v>60000</v>
      </c>
      <c r="V56" s="291" t="str">
        <f t="shared" si="1"/>
        <v/>
      </c>
    </row>
    <row r="57" spans="1:22" ht="20.25" customHeight="1">
      <c r="A57" s="261">
        <v>56</v>
      </c>
      <c r="B57" s="252" t="s">
        <v>268</v>
      </c>
      <c r="C57" s="253" t="s">
        <v>269</v>
      </c>
      <c r="D57" s="254">
        <v>45992</v>
      </c>
      <c r="E57" s="285">
        <v>0</v>
      </c>
      <c r="F57" s="255">
        <v>0</v>
      </c>
      <c r="G57" s="286">
        <v>7000</v>
      </c>
      <c r="H57" s="290">
        <f t="shared" si="0"/>
        <v>19340</v>
      </c>
      <c r="I57" s="256">
        <f>SUMIFS(FACILITIES!T:T,FACILITIES!B:B,B57)</f>
        <v>0</v>
      </c>
      <c r="J57" s="256">
        <v>0</v>
      </c>
      <c r="K57" s="256">
        <v>0</v>
      </c>
      <c r="L57" s="256">
        <v>0</v>
      </c>
      <c r="M57" s="256" t="s">
        <v>1160</v>
      </c>
      <c r="N57" s="256">
        <v>0</v>
      </c>
      <c r="O57" s="256">
        <f>SUMIFS('F &amp; B'!G:G,'F &amp; B'!B:B,B57)</f>
        <v>6800</v>
      </c>
      <c r="P57" s="257">
        <v>3420</v>
      </c>
      <c r="Q57" s="257">
        <v>9120</v>
      </c>
      <c r="R57" s="257">
        <v>0</v>
      </c>
      <c r="S57" s="257">
        <v>0</v>
      </c>
      <c r="T57" s="257">
        <v>0</v>
      </c>
      <c r="U57" s="257">
        <v>60000</v>
      </c>
      <c r="V57" s="291">
        <f t="shared" si="1"/>
        <v>40660</v>
      </c>
    </row>
    <row r="58" spans="1:22" ht="20.25" customHeight="1">
      <c r="A58" s="261">
        <v>57</v>
      </c>
      <c r="B58" s="252" t="s">
        <v>273</v>
      </c>
      <c r="C58" s="253" t="s">
        <v>274</v>
      </c>
      <c r="D58" s="254">
        <v>45992</v>
      </c>
      <c r="E58" s="285">
        <v>0</v>
      </c>
      <c r="F58" s="255">
        <v>0</v>
      </c>
      <c r="G58" s="286">
        <v>7000</v>
      </c>
      <c r="H58" s="290">
        <f t="shared" si="0"/>
        <v>85906</v>
      </c>
      <c r="I58" s="256">
        <f>SUMIFS(FACILITIES!T:T,FACILITIES!B:B,B58)</f>
        <v>0</v>
      </c>
      <c r="J58" s="256">
        <v>0</v>
      </c>
      <c r="K58" s="256">
        <v>0</v>
      </c>
      <c r="L58" s="256">
        <v>0</v>
      </c>
      <c r="M58" s="256" t="s">
        <v>1160</v>
      </c>
      <c r="N58" s="256">
        <v>0</v>
      </c>
      <c r="O58" s="256">
        <f>SUMIFS('F &amp; B'!G:G,'F &amp; B'!B:B,B58)</f>
        <v>6900</v>
      </c>
      <c r="P58" s="257">
        <v>15909</v>
      </c>
      <c r="Q58" s="257">
        <v>7900</v>
      </c>
      <c r="R58" s="257">
        <v>27927</v>
      </c>
      <c r="S58" s="257">
        <v>8070</v>
      </c>
      <c r="T58" s="257">
        <v>19200</v>
      </c>
      <c r="U58" s="257">
        <v>60000</v>
      </c>
      <c r="V58" s="291" t="str">
        <f t="shared" si="1"/>
        <v/>
      </c>
    </row>
    <row r="59" spans="1:22" ht="20.25" customHeight="1">
      <c r="A59" s="261">
        <v>58</v>
      </c>
      <c r="B59" s="252" t="s">
        <v>278</v>
      </c>
      <c r="C59" s="253" t="s">
        <v>495</v>
      </c>
      <c r="D59" s="254">
        <v>45992</v>
      </c>
      <c r="E59" s="285">
        <v>0</v>
      </c>
      <c r="F59" s="255">
        <v>0</v>
      </c>
      <c r="G59" s="286">
        <v>7000</v>
      </c>
      <c r="H59" s="290">
        <f t="shared" si="0"/>
        <v>21800</v>
      </c>
      <c r="I59" s="256">
        <f>SUMIFS(FACILITIES!T:T,FACILITIES!B:B,B59)</f>
        <v>0</v>
      </c>
      <c r="J59" s="256">
        <v>0</v>
      </c>
      <c r="K59" s="256">
        <v>0</v>
      </c>
      <c r="L59" s="256">
        <v>0</v>
      </c>
      <c r="M59" s="256" t="s">
        <v>1160</v>
      </c>
      <c r="N59" s="256">
        <v>0</v>
      </c>
      <c r="O59" s="256">
        <f>SUMIFS('F &amp; B'!G:G,'F &amp; B'!B:B,B59)</f>
        <v>0</v>
      </c>
      <c r="P59" s="257">
        <v>3550</v>
      </c>
      <c r="Q59" s="257">
        <v>3300</v>
      </c>
      <c r="R59" s="257">
        <v>13300</v>
      </c>
      <c r="S59" s="257">
        <v>1650</v>
      </c>
      <c r="T59" s="257">
        <v>0</v>
      </c>
      <c r="U59" s="257">
        <v>60000</v>
      </c>
      <c r="V59" s="291">
        <f t="shared" si="1"/>
        <v>38200</v>
      </c>
    </row>
    <row r="60" spans="1:22" ht="20.25" customHeight="1">
      <c r="A60" s="261">
        <v>59</v>
      </c>
      <c r="B60" s="252" t="s">
        <v>282</v>
      </c>
      <c r="C60" s="253" t="s">
        <v>283</v>
      </c>
      <c r="D60" s="254">
        <v>45992</v>
      </c>
      <c r="E60" s="285">
        <v>0</v>
      </c>
      <c r="F60" s="255">
        <v>0</v>
      </c>
      <c r="G60" s="286">
        <v>7000</v>
      </c>
      <c r="H60" s="290">
        <f t="shared" si="0"/>
        <v>132931</v>
      </c>
      <c r="I60" s="256">
        <f>SUMIFS(FACILITIES!T:T,FACILITIES!B:B,B60)</f>
        <v>0</v>
      </c>
      <c r="J60" s="256">
        <v>0</v>
      </c>
      <c r="K60" s="256">
        <v>0</v>
      </c>
      <c r="L60" s="256">
        <v>0</v>
      </c>
      <c r="M60" s="256" t="s">
        <v>1160</v>
      </c>
      <c r="N60" s="256">
        <v>0</v>
      </c>
      <c r="O60" s="256">
        <f>SUMIFS('F &amp; B'!G:G,'F &amp; B'!B:B,B60)</f>
        <v>21450</v>
      </c>
      <c r="P60" s="257">
        <v>26278</v>
      </c>
      <c r="Q60" s="257">
        <v>34125</v>
      </c>
      <c r="R60" s="257">
        <v>11300</v>
      </c>
      <c r="S60" s="257">
        <v>39778</v>
      </c>
      <c r="T60" s="257">
        <v>0</v>
      </c>
      <c r="U60" s="257">
        <v>60000</v>
      </c>
      <c r="V60" s="291" t="str">
        <f t="shared" si="1"/>
        <v/>
      </c>
    </row>
    <row r="61" spans="1:22" ht="20.25" customHeight="1">
      <c r="A61" s="261">
        <v>60</v>
      </c>
      <c r="B61" s="252" t="s">
        <v>287</v>
      </c>
      <c r="C61" s="253" t="s">
        <v>288</v>
      </c>
      <c r="D61" s="254">
        <v>45992</v>
      </c>
      <c r="E61" s="285">
        <v>0</v>
      </c>
      <c r="F61" s="255">
        <v>0</v>
      </c>
      <c r="G61" s="286">
        <v>7000</v>
      </c>
      <c r="H61" s="290">
        <f t="shared" si="0"/>
        <v>56938</v>
      </c>
      <c r="I61" s="256">
        <f>SUMIFS(FACILITIES!T:T,FACILITIES!B:B,B61)</f>
        <v>0</v>
      </c>
      <c r="J61" s="256">
        <v>0</v>
      </c>
      <c r="K61" s="256">
        <v>0</v>
      </c>
      <c r="L61" s="256">
        <v>0</v>
      </c>
      <c r="M61" s="256" t="s">
        <v>1160</v>
      </c>
      <c r="N61" s="256">
        <v>0</v>
      </c>
      <c r="O61" s="256">
        <f>SUMIFS('F &amp; B'!G:G,'F &amp; B'!B:B,B61)</f>
        <v>11200</v>
      </c>
      <c r="P61" s="257">
        <v>14950</v>
      </c>
      <c r="Q61" s="257">
        <v>4050</v>
      </c>
      <c r="R61" s="257">
        <v>7550</v>
      </c>
      <c r="S61" s="257">
        <v>3850</v>
      </c>
      <c r="T61" s="257">
        <v>15338</v>
      </c>
      <c r="U61" s="257">
        <v>60000</v>
      </c>
      <c r="V61" s="291">
        <f t="shared" si="1"/>
        <v>3062</v>
      </c>
    </row>
    <row r="62" spans="1:22" ht="20.25" customHeight="1">
      <c r="A62" s="261">
        <v>61</v>
      </c>
      <c r="B62" s="252" t="s">
        <v>296</v>
      </c>
      <c r="C62" s="253" t="s">
        <v>297</v>
      </c>
      <c r="D62" s="254">
        <v>45992</v>
      </c>
      <c r="E62" s="285">
        <v>0</v>
      </c>
      <c r="F62" s="255">
        <v>0</v>
      </c>
      <c r="G62" s="286">
        <v>7000</v>
      </c>
      <c r="H62" s="290">
        <f t="shared" si="0"/>
        <v>28156</v>
      </c>
      <c r="I62" s="256">
        <f>SUMIFS(FACILITIES!T:T,FACILITIES!B:B,B62)</f>
        <v>0</v>
      </c>
      <c r="J62" s="256">
        <v>0</v>
      </c>
      <c r="K62" s="256">
        <v>0</v>
      </c>
      <c r="L62" s="256">
        <v>0</v>
      </c>
      <c r="M62" s="256" t="s">
        <v>1160</v>
      </c>
      <c r="N62" s="256">
        <v>0</v>
      </c>
      <c r="O62" s="256">
        <f>SUMIFS('F &amp; B'!G:G,'F &amp; B'!B:B,B62)</f>
        <v>7368</v>
      </c>
      <c r="P62" s="257">
        <v>10978</v>
      </c>
      <c r="Q62" s="257">
        <v>480</v>
      </c>
      <c r="R62" s="257">
        <v>7050</v>
      </c>
      <c r="S62" s="257">
        <v>1480</v>
      </c>
      <c r="T62" s="257">
        <v>800</v>
      </c>
      <c r="U62" s="257">
        <v>60000</v>
      </c>
      <c r="V62" s="291">
        <f t="shared" si="1"/>
        <v>31844</v>
      </c>
    </row>
    <row r="63" spans="1:22" ht="20.25" customHeight="1">
      <c r="A63" s="261">
        <v>62</v>
      </c>
      <c r="B63" s="252" t="s">
        <v>301</v>
      </c>
      <c r="C63" s="253" t="s">
        <v>302</v>
      </c>
      <c r="D63" s="254">
        <v>45992</v>
      </c>
      <c r="E63" s="285">
        <v>0</v>
      </c>
      <c r="F63" s="255">
        <v>0</v>
      </c>
      <c r="G63" s="286">
        <v>7000</v>
      </c>
      <c r="H63" s="290">
        <f t="shared" si="0"/>
        <v>303750</v>
      </c>
      <c r="I63" s="256">
        <f>SUMIFS(FACILITIES!T:T,FACILITIES!B:B,B63)</f>
        <v>9500</v>
      </c>
      <c r="J63" s="256">
        <v>0</v>
      </c>
      <c r="K63" s="256">
        <v>0</v>
      </c>
      <c r="L63" s="256">
        <v>0</v>
      </c>
      <c r="M63" s="256" t="s">
        <v>1160</v>
      </c>
      <c r="N63" s="256">
        <v>220000</v>
      </c>
      <c r="O63" s="256">
        <f>SUMIFS('F &amp; B'!G:G,'F &amp; B'!B:B,B63)</f>
        <v>0</v>
      </c>
      <c r="P63" s="257">
        <v>750</v>
      </c>
      <c r="Q63" s="257">
        <v>11400</v>
      </c>
      <c r="R63" s="257">
        <v>400</v>
      </c>
      <c r="S63" s="257">
        <v>6000</v>
      </c>
      <c r="T63" s="257">
        <v>55700</v>
      </c>
      <c r="U63" s="257">
        <v>60000</v>
      </c>
      <c r="V63" s="291" t="str">
        <f t="shared" si="1"/>
        <v/>
      </c>
    </row>
    <row r="64" spans="1:22" ht="20.25" customHeight="1">
      <c r="A64" s="261">
        <v>63</v>
      </c>
      <c r="B64" s="252" t="s">
        <v>306</v>
      </c>
      <c r="C64" s="253" t="s">
        <v>307</v>
      </c>
      <c r="D64" s="254">
        <v>45992</v>
      </c>
      <c r="E64" s="285">
        <v>0</v>
      </c>
      <c r="F64" s="255">
        <v>0</v>
      </c>
      <c r="G64" s="286">
        <v>7000</v>
      </c>
      <c r="H64" s="290">
        <f t="shared" si="0"/>
        <v>82764</v>
      </c>
      <c r="I64" s="256">
        <f>SUMIFS(FACILITIES!T:T,FACILITIES!B:B,B64)</f>
        <v>0</v>
      </c>
      <c r="J64" s="256">
        <v>0</v>
      </c>
      <c r="K64" s="256">
        <v>0</v>
      </c>
      <c r="L64" s="256">
        <v>0</v>
      </c>
      <c r="M64" s="256" t="s">
        <v>1160</v>
      </c>
      <c r="N64" s="256">
        <v>0</v>
      </c>
      <c r="O64" s="256">
        <f>SUMIFS('F &amp; B'!G:G,'F &amp; B'!B:B,B64)</f>
        <v>57964</v>
      </c>
      <c r="P64" s="257">
        <v>11900</v>
      </c>
      <c r="Q64" s="257">
        <v>0</v>
      </c>
      <c r="R64" s="257">
        <v>6200</v>
      </c>
      <c r="S64" s="257">
        <v>350</v>
      </c>
      <c r="T64" s="257">
        <v>6350</v>
      </c>
      <c r="U64" s="257">
        <v>60000</v>
      </c>
      <c r="V64" s="291" t="str">
        <f t="shared" si="1"/>
        <v/>
      </c>
    </row>
    <row r="65" spans="1:22" ht="20.25" customHeight="1">
      <c r="A65" s="261">
        <v>64</v>
      </c>
      <c r="B65" s="252" t="s">
        <v>308</v>
      </c>
      <c r="C65" s="253" t="s">
        <v>309</v>
      </c>
      <c r="D65" s="254">
        <v>45992</v>
      </c>
      <c r="E65" s="285">
        <v>0</v>
      </c>
      <c r="F65" s="255">
        <v>0</v>
      </c>
      <c r="G65" s="286">
        <v>7000</v>
      </c>
      <c r="H65" s="290">
        <f t="shared" si="0"/>
        <v>333365</v>
      </c>
      <c r="I65" s="256">
        <f>SUMIFS(FACILITIES!T:T,FACILITIES!B:B,B65)</f>
        <v>4000</v>
      </c>
      <c r="J65" s="256">
        <v>0</v>
      </c>
      <c r="K65" s="256">
        <v>0</v>
      </c>
      <c r="L65" s="256">
        <v>0</v>
      </c>
      <c r="M65" s="256" t="s">
        <v>1160</v>
      </c>
      <c r="N65" s="256">
        <v>230960</v>
      </c>
      <c r="O65" s="256">
        <f>SUMIFS('F &amp; B'!G:G,'F &amp; B'!B:B,B65)</f>
        <v>15825</v>
      </c>
      <c r="P65" s="257">
        <v>0</v>
      </c>
      <c r="Q65" s="257">
        <v>9430</v>
      </c>
      <c r="R65" s="257">
        <v>20800</v>
      </c>
      <c r="S65" s="257">
        <v>10300</v>
      </c>
      <c r="T65" s="257">
        <v>42050</v>
      </c>
      <c r="U65" s="257">
        <v>60000</v>
      </c>
      <c r="V65" s="291" t="str">
        <f t="shared" si="1"/>
        <v/>
      </c>
    </row>
    <row r="66" spans="1:22" ht="20.25" customHeight="1">
      <c r="A66" s="261">
        <v>65</v>
      </c>
      <c r="B66" s="252" t="s">
        <v>312</v>
      </c>
      <c r="C66" s="253" t="s">
        <v>313</v>
      </c>
      <c r="D66" s="254">
        <v>45992</v>
      </c>
      <c r="E66" s="285">
        <v>0</v>
      </c>
      <c r="F66" s="255">
        <v>0</v>
      </c>
      <c r="G66" s="286">
        <v>7000</v>
      </c>
      <c r="H66" s="290">
        <f t="shared" si="0"/>
        <v>97490.7</v>
      </c>
      <c r="I66" s="256">
        <f>SUMIFS(FACILITIES!T:T,FACILITIES!B:B,B66)</f>
        <v>0</v>
      </c>
      <c r="J66" s="256">
        <v>0</v>
      </c>
      <c r="K66" s="256">
        <v>0</v>
      </c>
      <c r="L66" s="256">
        <v>0</v>
      </c>
      <c r="M66" s="256" t="s">
        <v>1160</v>
      </c>
      <c r="N66" s="256">
        <v>6000</v>
      </c>
      <c r="O66" s="256">
        <f>SUMIFS('F &amp; B'!G:G,'F &amp; B'!B:B,B66)</f>
        <v>5150</v>
      </c>
      <c r="P66" s="257">
        <v>22320.7</v>
      </c>
      <c r="Q66" s="257">
        <v>6880</v>
      </c>
      <c r="R66" s="257">
        <v>22610</v>
      </c>
      <c r="S66" s="257">
        <v>20830</v>
      </c>
      <c r="T66" s="257">
        <v>13700</v>
      </c>
      <c r="U66" s="257">
        <v>60000</v>
      </c>
      <c r="V66" s="291" t="str">
        <f t="shared" si="1"/>
        <v/>
      </c>
    </row>
    <row r="67" spans="1:22" ht="20.25" customHeight="1">
      <c r="A67" s="261">
        <v>66</v>
      </c>
      <c r="B67" s="252" t="s">
        <v>315</v>
      </c>
      <c r="C67" s="253" t="s">
        <v>316</v>
      </c>
      <c r="D67" s="254">
        <v>45992</v>
      </c>
      <c r="E67" s="285">
        <v>0</v>
      </c>
      <c r="F67" s="255">
        <v>0</v>
      </c>
      <c r="G67" s="286">
        <v>7000</v>
      </c>
      <c r="H67" s="290">
        <f t="shared" ref="H67:H123" si="2">SUM(I67:T67)</f>
        <v>67171</v>
      </c>
      <c r="I67" s="256">
        <f>SUMIFS(FACILITIES!T:T,FACILITIES!B:B,B67)</f>
        <v>19500</v>
      </c>
      <c r="J67" s="256">
        <v>0</v>
      </c>
      <c r="K67" s="256">
        <v>0</v>
      </c>
      <c r="L67" s="256">
        <v>0</v>
      </c>
      <c r="M67" s="256" t="s">
        <v>1160</v>
      </c>
      <c r="N67" s="256">
        <v>0</v>
      </c>
      <c r="O67" s="256">
        <f>SUMIFS('F &amp; B'!G:G,'F &amp; B'!B:B,B67)</f>
        <v>16275</v>
      </c>
      <c r="P67" s="257">
        <v>16198</v>
      </c>
      <c r="Q67" s="257">
        <v>8898</v>
      </c>
      <c r="R67" s="257">
        <v>0</v>
      </c>
      <c r="S67" s="257">
        <v>0</v>
      </c>
      <c r="T67" s="257">
        <v>6300</v>
      </c>
      <c r="U67" s="257">
        <v>60000</v>
      </c>
      <c r="V67" s="291" t="str">
        <f t="shared" ref="V67:V96" si="3">IF(U67-H67&gt;0, U67-H67, "")</f>
        <v/>
      </c>
    </row>
    <row r="68" spans="1:22" ht="20.25" customHeight="1">
      <c r="A68" s="261">
        <v>67</v>
      </c>
      <c r="B68" s="252" t="s">
        <v>319</v>
      </c>
      <c r="C68" s="253" t="s">
        <v>320</v>
      </c>
      <c r="D68" s="254">
        <v>45992</v>
      </c>
      <c r="E68" s="285">
        <v>0</v>
      </c>
      <c r="F68" s="255">
        <v>0</v>
      </c>
      <c r="G68" s="286">
        <v>7000</v>
      </c>
      <c r="H68" s="290">
        <f t="shared" si="2"/>
        <v>64337</v>
      </c>
      <c r="I68" s="256">
        <f>SUMIFS(FACILITIES!T:T,FACILITIES!B:B,B68)</f>
        <v>0</v>
      </c>
      <c r="J68" s="256">
        <v>0</v>
      </c>
      <c r="K68" s="256">
        <v>0</v>
      </c>
      <c r="L68" s="256">
        <v>0</v>
      </c>
      <c r="M68" s="256" t="s">
        <v>1160</v>
      </c>
      <c r="N68" s="256">
        <v>0</v>
      </c>
      <c r="O68" s="256">
        <f>SUMIFS('F &amp; B'!G:G,'F &amp; B'!B:B,B68)</f>
        <v>0</v>
      </c>
      <c r="P68" s="257">
        <v>56099</v>
      </c>
      <c r="Q68" s="257">
        <v>0</v>
      </c>
      <c r="R68" s="257">
        <v>8238</v>
      </c>
      <c r="S68" s="257">
        <v>0</v>
      </c>
      <c r="T68" s="257">
        <v>0</v>
      </c>
      <c r="U68" s="257">
        <v>60000</v>
      </c>
      <c r="V68" s="291" t="str">
        <f t="shared" si="3"/>
        <v/>
      </c>
    </row>
    <row r="69" spans="1:22" ht="20.25" customHeight="1">
      <c r="A69" s="261">
        <v>68</v>
      </c>
      <c r="B69" s="252" t="s">
        <v>323</v>
      </c>
      <c r="C69" s="253" t="s">
        <v>324</v>
      </c>
      <c r="D69" s="254">
        <v>45992</v>
      </c>
      <c r="E69" s="285">
        <v>0</v>
      </c>
      <c r="F69" s="255">
        <v>0</v>
      </c>
      <c r="G69" s="286">
        <v>7000</v>
      </c>
      <c r="H69" s="290">
        <f t="shared" si="2"/>
        <v>70390</v>
      </c>
      <c r="I69" s="256">
        <f>SUMIFS(FACILITIES!T:T,FACILITIES!B:B,B69)</f>
        <v>0</v>
      </c>
      <c r="J69" s="256">
        <v>0</v>
      </c>
      <c r="K69" s="256">
        <v>0</v>
      </c>
      <c r="L69" s="256">
        <v>0</v>
      </c>
      <c r="M69" s="256" t="s">
        <v>1160</v>
      </c>
      <c r="N69" s="256">
        <v>0</v>
      </c>
      <c r="O69" s="256">
        <f>SUMIFS('F &amp; B'!G:G,'F &amp; B'!B:B,B69)</f>
        <v>28890</v>
      </c>
      <c r="P69" s="257">
        <v>7325</v>
      </c>
      <c r="Q69" s="257">
        <v>10175</v>
      </c>
      <c r="R69" s="257">
        <v>0</v>
      </c>
      <c r="S69" s="257">
        <v>19850</v>
      </c>
      <c r="T69" s="257">
        <v>4150</v>
      </c>
      <c r="U69" s="257">
        <v>60000</v>
      </c>
      <c r="V69" s="291" t="str">
        <f t="shared" si="3"/>
        <v/>
      </c>
    </row>
    <row r="70" spans="1:22" ht="20.25" customHeight="1">
      <c r="A70" s="261">
        <v>69</v>
      </c>
      <c r="B70" s="252" t="s">
        <v>328</v>
      </c>
      <c r="C70" s="253" t="s">
        <v>329</v>
      </c>
      <c r="D70" s="254">
        <v>45992</v>
      </c>
      <c r="E70" s="285">
        <v>0</v>
      </c>
      <c r="F70" s="255">
        <v>0</v>
      </c>
      <c r="G70" s="286">
        <v>7000</v>
      </c>
      <c r="H70" s="290">
        <f t="shared" si="2"/>
        <v>37626</v>
      </c>
      <c r="I70" s="256">
        <f>SUMIFS(FACILITIES!T:T,FACILITIES!B:B,B70)</f>
        <v>0</v>
      </c>
      <c r="J70" s="256">
        <v>0</v>
      </c>
      <c r="K70" s="256">
        <v>0</v>
      </c>
      <c r="L70" s="256">
        <v>0</v>
      </c>
      <c r="M70" s="256" t="s">
        <v>1160</v>
      </c>
      <c r="N70" s="256">
        <v>0</v>
      </c>
      <c r="O70" s="256">
        <f>SUMIFS('F &amp; B'!G:G,'F &amp; B'!B:B,B70)</f>
        <v>0</v>
      </c>
      <c r="P70" s="257">
        <v>24426</v>
      </c>
      <c r="Q70" s="257">
        <v>1300</v>
      </c>
      <c r="R70" s="257">
        <v>3150</v>
      </c>
      <c r="S70" s="257">
        <v>6650</v>
      </c>
      <c r="T70" s="257">
        <v>2100</v>
      </c>
      <c r="U70" s="257">
        <v>60000</v>
      </c>
      <c r="V70" s="291">
        <f t="shared" si="3"/>
        <v>22374</v>
      </c>
    </row>
    <row r="71" spans="1:22" ht="20.25" customHeight="1">
      <c r="A71" s="261">
        <v>70</v>
      </c>
      <c r="B71" s="252" t="s">
        <v>446</v>
      </c>
      <c r="C71" s="253" t="s">
        <v>343</v>
      </c>
      <c r="D71" s="254">
        <v>45992</v>
      </c>
      <c r="E71" s="285">
        <v>0</v>
      </c>
      <c r="F71" s="255">
        <v>0</v>
      </c>
      <c r="G71" s="286">
        <v>7000</v>
      </c>
      <c r="H71" s="290">
        <f t="shared" si="2"/>
        <v>604510</v>
      </c>
      <c r="I71" s="256">
        <f>SUMIFS(FACILITIES!T:T,FACILITIES!B:B,B71)</f>
        <v>0</v>
      </c>
      <c r="J71" s="256">
        <v>0</v>
      </c>
      <c r="K71" s="256">
        <v>477000</v>
      </c>
      <c r="L71" s="256">
        <v>0</v>
      </c>
      <c r="M71" s="256" t="s">
        <v>1160</v>
      </c>
      <c r="N71" s="256">
        <v>0</v>
      </c>
      <c r="O71" s="256">
        <f>SUMIFS('F &amp; B'!G:G,'F &amp; B'!B:B,B71)</f>
        <v>0</v>
      </c>
      <c r="P71" s="257">
        <v>77410</v>
      </c>
      <c r="Q71" s="257">
        <v>0</v>
      </c>
      <c r="R71" s="257">
        <v>8400</v>
      </c>
      <c r="S71" s="257">
        <v>41700</v>
      </c>
      <c r="T71" s="257">
        <v>0</v>
      </c>
      <c r="U71" s="257">
        <v>120000</v>
      </c>
      <c r="V71" s="291" t="str">
        <f t="shared" si="3"/>
        <v/>
      </c>
    </row>
    <row r="72" spans="1:22" ht="20.25" customHeight="1">
      <c r="A72" s="261">
        <v>71</v>
      </c>
      <c r="B72" s="252" t="s">
        <v>346</v>
      </c>
      <c r="C72" s="253" t="s">
        <v>347</v>
      </c>
      <c r="D72" s="254">
        <v>45992</v>
      </c>
      <c r="E72" s="285">
        <v>0</v>
      </c>
      <c r="F72" s="255">
        <v>0</v>
      </c>
      <c r="G72" s="286">
        <v>7000</v>
      </c>
      <c r="H72" s="290">
        <f t="shared" si="2"/>
        <v>65789</v>
      </c>
      <c r="I72" s="256">
        <f>SUMIFS(FACILITIES!T:T,FACILITIES!B:B,B72)</f>
        <v>0</v>
      </c>
      <c r="J72" s="256">
        <v>0</v>
      </c>
      <c r="K72" s="256">
        <v>0</v>
      </c>
      <c r="L72" s="256">
        <v>0</v>
      </c>
      <c r="M72" s="256" t="s">
        <v>1160</v>
      </c>
      <c r="N72" s="256">
        <v>0</v>
      </c>
      <c r="O72" s="256">
        <f>SUMIFS('F &amp; B'!G:G,'F &amp; B'!B:B,B72)</f>
        <v>0</v>
      </c>
      <c r="P72" s="257">
        <v>10725</v>
      </c>
      <c r="Q72" s="257">
        <v>5400</v>
      </c>
      <c r="R72" s="257">
        <v>20700</v>
      </c>
      <c r="S72" s="257">
        <v>17210</v>
      </c>
      <c r="T72" s="257">
        <v>11754</v>
      </c>
      <c r="U72" s="257">
        <v>60000</v>
      </c>
      <c r="V72" s="291" t="str">
        <f t="shared" si="3"/>
        <v/>
      </c>
    </row>
    <row r="73" spans="1:22" ht="20.25" customHeight="1">
      <c r="A73" s="261">
        <v>72</v>
      </c>
      <c r="B73" s="252" t="s">
        <v>350</v>
      </c>
      <c r="C73" s="253" t="s">
        <v>351</v>
      </c>
      <c r="D73" s="254">
        <v>45992</v>
      </c>
      <c r="E73" s="285">
        <v>0</v>
      </c>
      <c r="F73" s="255">
        <v>0</v>
      </c>
      <c r="G73" s="286">
        <v>7000</v>
      </c>
      <c r="H73" s="290">
        <f t="shared" si="2"/>
        <v>0</v>
      </c>
      <c r="I73" s="256">
        <f>SUMIFS(FACILITIES!T:T,FACILITIES!B:B,B73)</f>
        <v>0</v>
      </c>
      <c r="J73" s="256">
        <v>0</v>
      </c>
      <c r="K73" s="256">
        <v>0</v>
      </c>
      <c r="L73" s="256">
        <v>0</v>
      </c>
      <c r="M73" s="256" t="s">
        <v>1160</v>
      </c>
      <c r="N73" s="256">
        <v>0</v>
      </c>
      <c r="O73" s="256">
        <f>SUMIFS('F &amp; B'!G:G,'F &amp; B'!B:B,B73)</f>
        <v>0</v>
      </c>
      <c r="P73" s="257">
        <v>0</v>
      </c>
      <c r="Q73" s="257">
        <v>0</v>
      </c>
      <c r="R73" s="257">
        <v>0</v>
      </c>
      <c r="S73" s="257">
        <v>0</v>
      </c>
      <c r="T73" s="257">
        <v>0</v>
      </c>
      <c r="U73" s="257">
        <v>60000</v>
      </c>
      <c r="V73" s="291">
        <f t="shared" si="3"/>
        <v>60000</v>
      </c>
    </row>
    <row r="74" spans="1:22" ht="20.25" customHeight="1">
      <c r="A74" s="261">
        <v>73</v>
      </c>
      <c r="B74" s="252" t="s">
        <v>353</v>
      </c>
      <c r="C74" s="253" t="s">
        <v>463</v>
      </c>
      <c r="D74" s="254">
        <v>45992</v>
      </c>
      <c r="E74" s="285">
        <v>0</v>
      </c>
      <c r="F74" s="255">
        <v>0</v>
      </c>
      <c r="G74" s="286">
        <v>7000</v>
      </c>
      <c r="H74" s="290">
        <f t="shared" si="2"/>
        <v>42300</v>
      </c>
      <c r="I74" s="256">
        <f>SUMIFS(FACILITIES!T:T,FACILITIES!B:B,B74)</f>
        <v>0</v>
      </c>
      <c r="J74" s="256">
        <v>0</v>
      </c>
      <c r="K74" s="256">
        <v>0</v>
      </c>
      <c r="L74" s="256">
        <v>0</v>
      </c>
      <c r="M74" s="256" t="s">
        <v>1160</v>
      </c>
      <c r="N74" s="256">
        <v>0</v>
      </c>
      <c r="O74" s="256">
        <f>SUMIFS('F &amp; B'!G:G,'F &amp; B'!B:B,B74)</f>
        <v>0</v>
      </c>
      <c r="P74" s="257">
        <v>1000</v>
      </c>
      <c r="Q74" s="257">
        <v>400</v>
      </c>
      <c r="R74" s="257">
        <v>0</v>
      </c>
      <c r="S74" s="257">
        <v>40900</v>
      </c>
      <c r="T74" s="257">
        <v>0</v>
      </c>
      <c r="U74" s="257">
        <v>60000</v>
      </c>
      <c r="V74" s="291">
        <f t="shared" si="3"/>
        <v>17700</v>
      </c>
    </row>
    <row r="75" spans="1:22" ht="20.25" customHeight="1">
      <c r="A75" s="261">
        <v>74</v>
      </c>
      <c r="B75" s="252" t="s">
        <v>356</v>
      </c>
      <c r="C75" s="253" t="s">
        <v>445</v>
      </c>
      <c r="D75" s="254">
        <v>45992</v>
      </c>
      <c r="E75" s="285">
        <v>0</v>
      </c>
      <c r="F75" s="255">
        <v>0</v>
      </c>
      <c r="G75" s="286">
        <v>7000</v>
      </c>
      <c r="H75" s="290">
        <f t="shared" si="2"/>
        <v>0</v>
      </c>
      <c r="I75" s="256">
        <f>SUMIFS(FACILITIES!T:T,FACILITIES!B:B,B75)</f>
        <v>0</v>
      </c>
      <c r="J75" s="256">
        <v>0</v>
      </c>
      <c r="K75" s="256">
        <v>0</v>
      </c>
      <c r="L75" s="256">
        <v>0</v>
      </c>
      <c r="M75" s="256" t="s">
        <v>1160</v>
      </c>
      <c r="N75" s="256">
        <v>0</v>
      </c>
      <c r="O75" s="256">
        <f>SUMIFS('F &amp; B'!G:G,'F &amp; B'!B:B,B75)</f>
        <v>0</v>
      </c>
      <c r="P75" s="257">
        <v>0</v>
      </c>
      <c r="Q75" s="257">
        <v>0</v>
      </c>
      <c r="R75" s="257">
        <v>0</v>
      </c>
      <c r="S75" s="257">
        <v>0</v>
      </c>
      <c r="T75" s="257">
        <v>0</v>
      </c>
      <c r="U75" s="257">
        <v>60000</v>
      </c>
      <c r="V75" s="291">
        <f t="shared" si="3"/>
        <v>60000</v>
      </c>
    </row>
    <row r="76" spans="1:22" ht="20.25" customHeight="1">
      <c r="A76" s="261">
        <v>75</v>
      </c>
      <c r="B76" s="252" t="s">
        <v>359</v>
      </c>
      <c r="C76" s="253" t="s">
        <v>360</v>
      </c>
      <c r="D76" s="254">
        <v>45992</v>
      </c>
      <c r="E76" s="285">
        <v>0</v>
      </c>
      <c r="F76" s="255">
        <v>0</v>
      </c>
      <c r="G76" s="286">
        <v>7000</v>
      </c>
      <c r="H76" s="290">
        <f t="shared" si="2"/>
        <v>66300</v>
      </c>
      <c r="I76" s="256">
        <f>SUMIFS(FACILITIES!T:T,FACILITIES!B:B,B76)</f>
        <v>2000</v>
      </c>
      <c r="J76" s="256">
        <v>0</v>
      </c>
      <c r="K76" s="256">
        <v>0</v>
      </c>
      <c r="L76" s="256">
        <v>0</v>
      </c>
      <c r="M76" s="256" t="s">
        <v>1160</v>
      </c>
      <c r="N76" s="256">
        <v>0</v>
      </c>
      <c r="O76" s="256">
        <f>SUMIFS('F &amp; B'!G:G,'F &amp; B'!B:B,B76)</f>
        <v>21550</v>
      </c>
      <c r="P76" s="256">
        <v>350</v>
      </c>
      <c r="Q76" s="257">
        <v>0</v>
      </c>
      <c r="R76" s="257">
        <v>15850</v>
      </c>
      <c r="S76" s="257">
        <v>26550</v>
      </c>
      <c r="T76" s="257">
        <v>0</v>
      </c>
      <c r="U76" s="257">
        <v>60000</v>
      </c>
      <c r="V76" s="291" t="str">
        <f t="shared" si="3"/>
        <v/>
      </c>
    </row>
    <row r="77" spans="1:22" ht="20.25" customHeight="1">
      <c r="A77" s="261">
        <v>76</v>
      </c>
      <c r="B77" s="252" t="s">
        <v>390</v>
      </c>
      <c r="C77" s="253" t="s">
        <v>391</v>
      </c>
      <c r="D77" s="254">
        <v>45992</v>
      </c>
      <c r="E77" s="285">
        <v>0</v>
      </c>
      <c r="F77" s="255">
        <v>0</v>
      </c>
      <c r="G77" s="286">
        <v>7000</v>
      </c>
      <c r="H77" s="290">
        <f t="shared" si="2"/>
        <v>205209</v>
      </c>
      <c r="I77" s="256">
        <f>SUMIFS(FACILITIES!T:T,FACILITIES!B:B,B77)</f>
        <v>0</v>
      </c>
      <c r="J77" s="256">
        <v>0</v>
      </c>
      <c r="K77" s="256">
        <v>0</v>
      </c>
      <c r="L77" s="256">
        <v>0</v>
      </c>
      <c r="M77" s="256" t="s">
        <v>1160</v>
      </c>
      <c r="N77" s="256">
        <v>128000</v>
      </c>
      <c r="O77" s="256">
        <f>SUMIFS('F &amp; B'!G:G,'F &amp; B'!B:B,B77)</f>
        <v>2800</v>
      </c>
      <c r="P77" s="256">
        <v>28850</v>
      </c>
      <c r="Q77" s="257">
        <v>8900</v>
      </c>
      <c r="R77" s="257">
        <v>8509</v>
      </c>
      <c r="S77" s="257">
        <v>2350</v>
      </c>
      <c r="T77" s="257">
        <v>25800</v>
      </c>
      <c r="U77" s="257">
        <v>60000</v>
      </c>
      <c r="V77" s="291" t="str">
        <f t="shared" si="3"/>
        <v/>
      </c>
    </row>
    <row r="78" spans="1:22" ht="20.25" customHeight="1">
      <c r="A78" s="261">
        <v>77</v>
      </c>
      <c r="B78" s="252" t="s">
        <v>375</v>
      </c>
      <c r="C78" s="253" t="s">
        <v>379</v>
      </c>
      <c r="D78" s="254">
        <v>45992</v>
      </c>
      <c r="E78" s="285">
        <v>0</v>
      </c>
      <c r="F78" s="255">
        <v>0</v>
      </c>
      <c r="G78" s="286">
        <v>7000</v>
      </c>
      <c r="H78" s="290">
        <f t="shared" si="2"/>
        <v>91385</v>
      </c>
      <c r="I78" s="256">
        <f>SUMIFS(FACILITIES!T:T,FACILITIES!B:B,B78)</f>
        <v>0</v>
      </c>
      <c r="J78" s="256">
        <v>0</v>
      </c>
      <c r="K78" s="256">
        <v>0</v>
      </c>
      <c r="L78" s="256">
        <v>0</v>
      </c>
      <c r="M78" s="256" t="s">
        <v>1160</v>
      </c>
      <c r="N78" s="256">
        <v>0</v>
      </c>
      <c r="O78" s="256">
        <f>SUMIFS('F &amp; B'!G:G,'F &amp; B'!B:B,B78)</f>
        <v>2325</v>
      </c>
      <c r="P78" s="256">
        <v>0</v>
      </c>
      <c r="Q78" s="257">
        <v>0</v>
      </c>
      <c r="R78" s="257">
        <v>78850</v>
      </c>
      <c r="S78" s="257">
        <v>2510</v>
      </c>
      <c r="T78" s="257">
        <v>7700</v>
      </c>
      <c r="U78" s="257">
        <v>60000</v>
      </c>
      <c r="V78" s="291" t="str">
        <f t="shared" si="3"/>
        <v/>
      </c>
    </row>
    <row r="79" spans="1:22" ht="20.25" customHeight="1">
      <c r="A79" s="261">
        <v>78</v>
      </c>
      <c r="B79" s="252" t="s">
        <v>377</v>
      </c>
      <c r="C79" s="253" t="s">
        <v>380</v>
      </c>
      <c r="D79" s="254">
        <v>45992</v>
      </c>
      <c r="E79" s="285">
        <v>0</v>
      </c>
      <c r="F79" s="255">
        <v>0</v>
      </c>
      <c r="G79" s="286">
        <v>7000</v>
      </c>
      <c r="H79" s="290">
        <f t="shared" si="2"/>
        <v>15049</v>
      </c>
      <c r="I79" s="256">
        <f>SUMIFS(FACILITIES!T:T,FACILITIES!B:B,B79)</f>
        <v>0</v>
      </c>
      <c r="J79" s="256">
        <v>0</v>
      </c>
      <c r="K79" s="256">
        <v>0</v>
      </c>
      <c r="L79" s="256">
        <v>0</v>
      </c>
      <c r="M79" s="256" t="s">
        <v>1160</v>
      </c>
      <c r="N79" s="256">
        <v>0</v>
      </c>
      <c r="O79" s="256">
        <f>SUMIFS('F &amp; B'!G:G,'F &amp; B'!B:B,B79)</f>
        <v>0</v>
      </c>
      <c r="P79" s="256">
        <v>12899</v>
      </c>
      <c r="Q79" s="257">
        <v>0</v>
      </c>
      <c r="R79" s="257">
        <v>0</v>
      </c>
      <c r="S79" s="257">
        <v>0</v>
      </c>
      <c r="T79" s="257">
        <v>2150</v>
      </c>
      <c r="U79" s="257">
        <v>60000</v>
      </c>
      <c r="V79" s="291">
        <f t="shared" si="3"/>
        <v>44951</v>
      </c>
    </row>
    <row r="80" spans="1:22" ht="20.25" customHeight="1">
      <c r="A80" s="261">
        <v>79</v>
      </c>
      <c r="B80" s="252" t="s">
        <v>374</v>
      </c>
      <c r="C80" s="253" t="s">
        <v>392</v>
      </c>
      <c r="D80" s="254">
        <v>45992</v>
      </c>
      <c r="E80" s="285">
        <v>0</v>
      </c>
      <c r="F80" s="255">
        <v>0</v>
      </c>
      <c r="G80" s="286">
        <v>7000</v>
      </c>
      <c r="H80" s="290">
        <f t="shared" si="2"/>
        <v>820851</v>
      </c>
      <c r="I80" s="256">
        <f>SUMIFS(FACILITIES!T:T,FACILITIES!B:B,B80)</f>
        <v>0</v>
      </c>
      <c r="J80" s="256">
        <v>0</v>
      </c>
      <c r="K80" s="256">
        <v>0</v>
      </c>
      <c r="L80" s="256">
        <v>0</v>
      </c>
      <c r="M80" s="256" t="s">
        <v>1160</v>
      </c>
      <c r="N80" s="256">
        <v>31200</v>
      </c>
      <c r="O80" s="256">
        <f>SUMIFS('F &amp; B'!G:G,'F &amp; B'!B:B,B80)</f>
        <v>47810</v>
      </c>
      <c r="P80" s="256">
        <v>28949</v>
      </c>
      <c r="Q80" s="257">
        <v>557471</v>
      </c>
      <c r="R80" s="257">
        <v>59078</v>
      </c>
      <c r="S80" s="257">
        <v>51025</v>
      </c>
      <c r="T80" s="257">
        <v>45318</v>
      </c>
      <c r="U80" s="257">
        <v>60000</v>
      </c>
      <c r="V80" s="291" t="str">
        <f t="shared" si="3"/>
        <v/>
      </c>
    </row>
    <row r="81" spans="1:22" ht="20.25" customHeight="1">
      <c r="A81" s="261">
        <v>80</v>
      </c>
      <c r="B81" s="252" t="s">
        <v>373</v>
      </c>
      <c r="C81" s="253" t="s">
        <v>381</v>
      </c>
      <c r="D81" s="254">
        <v>45992</v>
      </c>
      <c r="E81" s="285">
        <v>0</v>
      </c>
      <c r="F81" s="255">
        <v>0</v>
      </c>
      <c r="G81" s="286">
        <v>7000</v>
      </c>
      <c r="H81" s="290">
        <f t="shared" si="2"/>
        <v>449050</v>
      </c>
      <c r="I81" s="256">
        <f>SUMIFS(FACILITIES!T:T,FACILITIES!B:B,B81)</f>
        <v>0</v>
      </c>
      <c r="J81" s="256">
        <v>0</v>
      </c>
      <c r="K81" s="256">
        <v>0</v>
      </c>
      <c r="L81" s="256">
        <v>0</v>
      </c>
      <c r="M81" s="256" t="s">
        <v>1160</v>
      </c>
      <c r="N81" s="256">
        <v>0</v>
      </c>
      <c r="O81" s="256">
        <f>SUMIFS('F &amp; B'!G:G,'F &amp; B'!B:B,B81)</f>
        <v>239800</v>
      </c>
      <c r="P81" s="256">
        <v>58885</v>
      </c>
      <c r="Q81" s="257">
        <v>50350</v>
      </c>
      <c r="R81" s="257">
        <v>26270</v>
      </c>
      <c r="S81" s="257">
        <v>73745</v>
      </c>
      <c r="T81" s="257">
        <v>0</v>
      </c>
      <c r="U81" s="257">
        <v>60000</v>
      </c>
      <c r="V81" s="291" t="str">
        <f t="shared" si="3"/>
        <v/>
      </c>
    </row>
    <row r="82" spans="1:22" ht="20.25" customHeight="1">
      <c r="A82" s="261">
        <v>81</v>
      </c>
      <c r="B82" s="252" t="s">
        <v>378</v>
      </c>
      <c r="C82" s="253" t="s">
        <v>382</v>
      </c>
      <c r="D82" s="254">
        <v>45992</v>
      </c>
      <c r="E82" s="285">
        <v>0</v>
      </c>
      <c r="F82" s="255">
        <v>0</v>
      </c>
      <c r="G82" s="286">
        <v>7000</v>
      </c>
      <c r="H82" s="290">
        <f t="shared" si="2"/>
        <v>45887</v>
      </c>
      <c r="I82" s="256">
        <f>SUMIFS(FACILITIES!T:T,FACILITIES!B:B,B82)</f>
        <v>0</v>
      </c>
      <c r="J82" s="256">
        <v>0</v>
      </c>
      <c r="K82" s="256">
        <v>0</v>
      </c>
      <c r="L82" s="256">
        <v>0</v>
      </c>
      <c r="M82" s="256" t="s">
        <v>1160</v>
      </c>
      <c r="N82" s="256">
        <v>0</v>
      </c>
      <c r="O82" s="256">
        <f>SUMIFS('F &amp; B'!G:G,'F &amp; B'!B:B,B82)</f>
        <v>12540</v>
      </c>
      <c r="P82" s="256">
        <v>11269</v>
      </c>
      <c r="Q82" s="257">
        <v>6399</v>
      </c>
      <c r="R82" s="257">
        <v>3000</v>
      </c>
      <c r="S82" s="257">
        <v>8239</v>
      </c>
      <c r="T82" s="257">
        <v>4440</v>
      </c>
      <c r="U82" s="257">
        <v>60000</v>
      </c>
      <c r="V82" s="291">
        <f t="shared" si="3"/>
        <v>14113</v>
      </c>
    </row>
    <row r="83" spans="1:22" ht="20.25" customHeight="1">
      <c r="A83" s="261">
        <v>82</v>
      </c>
      <c r="B83" s="252" t="s">
        <v>393</v>
      </c>
      <c r="C83" s="253" t="s">
        <v>394</v>
      </c>
      <c r="D83" s="254">
        <v>45992</v>
      </c>
      <c r="E83" s="285">
        <v>0</v>
      </c>
      <c r="F83" s="255">
        <v>0</v>
      </c>
      <c r="G83" s="286">
        <v>7000</v>
      </c>
      <c r="H83" s="290">
        <f t="shared" si="2"/>
        <v>76491</v>
      </c>
      <c r="I83" s="256">
        <f>SUMIFS(FACILITIES!T:T,FACILITIES!B:B,B83)</f>
        <v>0</v>
      </c>
      <c r="J83" s="256">
        <v>0</v>
      </c>
      <c r="K83" s="256">
        <v>0</v>
      </c>
      <c r="L83" s="256">
        <v>0</v>
      </c>
      <c r="M83" s="256" t="s">
        <v>1160</v>
      </c>
      <c r="N83" s="256">
        <v>0</v>
      </c>
      <c r="O83" s="256">
        <f>SUMIFS('F &amp; B'!G:G,'F &amp; B'!B:B,B83)</f>
        <v>0</v>
      </c>
      <c r="P83" s="256">
        <v>0</v>
      </c>
      <c r="Q83" s="257">
        <v>3850</v>
      </c>
      <c r="R83" s="257">
        <v>3350</v>
      </c>
      <c r="S83" s="257">
        <v>48446</v>
      </c>
      <c r="T83" s="257">
        <v>20845</v>
      </c>
      <c r="U83" s="257">
        <v>60000</v>
      </c>
      <c r="V83" s="291" t="str">
        <f t="shared" si="3"/>
        <v/>
      </c>
    </row>
    <row r="84" spans="1:22" ht="20.25" customHeight="1">
      <c r="A84" s="261">
        <v>83</v>
      </c>
      <c r="B84" s="252" t="s">
        <v>395</v>
      </c>
      <c r="C84" s="253" t="s">
        <v>396</v>
      </c>
      <c r="D84" s="254">
        <v>45992</v>
      </c>
      <c r="E84" s="285">
        <v>0</v>
      </c>
      <c r="F84" s="255">
        <v>0</v>
      </c>
      <c r="G84" s="286">
        <v>0</v>
      </c>
      <c r="H84" s="290">
        <f t="shared" si="2"/>
        <v>692370</v>
      </c>
      <c r="I84" s="256">
        <f>SUMIFS(FACILITIES!T:T,FACILITIES!B:B,B84)</f>
        <v>0</v>
      </c>
      <c r="J84" s="256">
        <v>0</v>
      </c>
      <c r="K84" s="256">
        <v>0</v>
      </c>
      <c r="L84" s="256">
        <v>0</v>
      </c>
      <c r="M84" s="256" t="s">
        <v>1160</v>
      </c>
      <c r="N84" s="256">
        <v>0</v>
      </c>
      <c r="O84" s="256">
        <f>SUMIFS('F &amp; B'!G:G,'F &amp; B'!B:B,B84)</f>
        <v>94400</v>
      </c>
      <c r="P84" s="256">
        <v>150450</v>
      </c>
      <c r="Q84" s="257">
        <v>103350</v>
      </c>
      <c r="R84" s="257">
        <v>113440</v>
      </c>
      <c r="S84" s="257">
        <v>125400</v>
      </c>
      <c r="T84" s="257">
        <v>105330</v>
      </c>
      <c r="U84" s="257">
        <v>0</v>
      </c>
      <c r="V84" s="291" t="str">
        <f t="shared" si="3"/>
        <v/>
      </c>
    </row>
    <row r="85" spans="1:22" ht="20.25" customHeight="1">
      <c r="A85" s="261">
        <v>84</v>
      </c>
      <c r="B85" s="252" t="s">
        <v>383</v>
      </c>
      <c r="C85" s="253" t="s">
        <v>384</v>
      </c>
      <c r="D85" s="254">
        <v>45992</v>
      </c>
      <c r="E85" s="285">
        <v>0</v>
      </c>
      <c r="F85" s="255">
        <v>0</v>
      </c>
      <c r="G85" s="286">
        <v>7000</v>
      </c>
      <c r="H85" s="290">
        <f t="shared" si="2"/>
        <v>44775</v>
      </c>
      <c r="I85" s="256">
        <f>SUMIFS(FACILITIES!T:T,FACILITIES!B:B,B85)</f>
        <v>0</v>
      </c>
      <c r="J85" s="256">
        <v>0</v>
      </c>
      <c r="K85" s="256">
        <v>0</v>
      </c>
      <c r="L85" s="256">
        <v>0</v>
      </c>
      <c r="M85" s="256" t="s">
        <v>1160</v>
      </c>
      <c r="N85" s="256">
        <v>0</v>
      </c>
      <c r="O85" s="256">
        <f>SUMIFS('F &amp; B'!G:G,'F &amp; B'!B:B,B85)</f>
        <v>0</v>
      </c>
      <c r="P85" s="256">
        <v>0</v>
      </c>
      <c r="Q85" s="257">
        <v>7875</v>
      </c>
      <c r="R85" s="257">
        <v>0</v>
      </c>
      <c r="S85" s="257">
        <v>0</v>
      </c>
      <c r="T85" s="257">
        <v>36900</v>
      </c>
      <c r="U85" s="257">
        <v>60000</v>
      </c>
      <c r="V85" s="291">
        <f t="shared" si="3"/>
        <v>15225</v>
      </c>
    </row>
    <row r="86" spans="1:22" ht="20.25" customHeight="1">
      <c r="A86" s="261">
        <v>85</v>
      </c>
      <c r="B86" s="252" t="s">
        <v>385</v>
      </c>
      <c r="C86" s="253" t="s">
        <v>386</v>
      </c>
      <c r="D86" s="254">
        <v>45992</v>
      </c>
      <c r="E86" s="285">
        <v>0</v>
      </c>
      <c r="F86" s="255">
        <v>0</v>
      </c>
      <c r="G86" s="286">
        <v>7000</v>
      </c>
      <c r="H86" s="290">
        <f t="shared" si="2"/>
        <v>52074</v>
      </c>
      <c r="I86" s="256">
        <f>SUMIFS(FACILITIES!T:T,FACILITIES!B:B,B86)</f>
        <v>0</v>
      </c>
      <c r="J86" s="256">
        <v>0</v>
      </c>
      <c r="K86" s="256">
        <v>0</v>
      </c>
      <c r="L86" s="256">
        <v>0</v>
      </c>
      <c r="M86" s="256" t="s">
        <v>1160</v>
      </c>
      <c r="N86" s="256">
        <v>0</v>
      </c>
      <c r="O86" s="256">
        <f>SUMIFS('F &amp; B'!G:G,'F &amp; B'!B:B,B86)</f>
        <v>21714</v>
      </c>
      <c r="P86" s="256">
        <v>8810</v>
      </c>
      <c r="Q86" s="257">
        <v>15980</v>
      </c>
      <c r="R86" s="257">
        <v>100</v>
      </c>
      <c r="S86" s="257">
        <v>4320</v>
      </c>
      <c r="T86" s="257">
        <v>1150</v>
      </c>
      <c r="U86" s="257">
        <v>60000</v>
      </c>
      <c r="V86" s="291">
        <f t="shared" si="3"/>
        <v>7926</v>
      </c>
    </row>
    <row r="87" spans="1:22" ht="20.25" customHeight="1">
      <c r="A87" s="261">
        <v>86</v>
      </c>
      <c r="B87" s="252" t="s">
        <v>388</v>
      </c>
      <c r="C87" s="253" t="s">
        <v>387</v>
      </c>
      <c r="D87" s="254">
        <v>45992</v>
      </c>
      <c r="E87" s="285">
        <v>0</v>
      </c>
      <c r="F87" s="255">
        <v>0</v>
      </c>
      <c r="G87" s="286">
        <v>7000</v>
      </c>
      <c r="H87" s="290">
        <f t="shared" si="2"/>
        <v>98500</v>
      </c>
      <c r="I87" s="256">
        <f>SUMIFS(FACILITIES!T:T,FACILITIES!B:B,B87)</f>
        <v>0</v>
      </c>
      <c r="J87" s="256">
        <v>0</v>
      </c>
      <c r="K87" s="256">
        <v>0</v>
      </c>
      <c r="L87" s="256">
        <v>0</v>
      </c>
      <c r="M87" s="256" t="s">
        <v>1160</v>
      </c>
      <c r="N87" s="256">
        <v>0</v>
      </c>
      <c r="O87" s="256">
        <f>SUMIFS('F &amp; B'!G:G,'F &amp; B'!B:B,B87)</f>
        <v>76200</v>
      </c>
      <c r="P87" s="256">
        <v>0</v>
      </c>
      <c r="Q87" s="257">
        <v>1150</v>
      </c>
      <c r="R87" s="257">
        <v>15100</v>
      </c>
      <c r="S87" s="257">
        <v>6050</v>
      </c>
      <c r="T87" s="257">
        <v>0</v>
      </c>
      <c r="U87" s="257">
        <v>60000</v>
      </c>
      <c r="V87" s="291" t="str">
        <f t="shared" si="3"/>
        <v/>
      </c>
    </row>
    <row r="88" spans="1:22" ht="20.25" customHeight="1">
      <c r="A88" s="261">
        <v>87</v>
      </c>
      <c r="B88" s="252" t="s">
        <v>376</v>
      </c>
      <c r="C88" s="253" t="s">
        <v>389</v>
      </c>
      <c r="D88" s="254">
        <v>45992</v>
      </c>
      <c r="E88" s="285">
        <v>0</v>
      </c>
      <c r="F88" s="255">
        <v>0</v>
      </c>
      <c r="G88" s="286">
        <v>7000</v>
      </c>
      <c r="H88" s="290">
        <f t="shared" si="2"/>
        <v>57915</v>
      </c>
      <c r="I88" s="256">
        <f>SUMIFS(FACILITIES!T:T,FACILITIES!B:B,B88)</f>
        <v>0</v>
      </c>
      <c r="J88" s="256">
        <v>0</v>
      </c>
      <c r="K88" s="256">
        <v>0</v>
      </c>
      <c r="L88" s="256">
        <v>0</v>
      </c>
      <c r="M88" s="256" t="s">
        <v>1160</v>
      </c>
      <c r="N88" s="256">
        <v>0</v>
      </c>
      <c r="O88" s="256">
        <f>SUMIFS('F &amp; B'!G:G,'F &amp; B'!B:B,B88)</f>
        <v>16250</v>
      </c>
      <c r="P88" s="256">
        <v>12180</v>
      </c>
      <c r="Q88" s="257">
        <v>12210</v>
      </c>
      <c r="R88" s="257">
        <v>7740</v>
      </c>
      <c r="S88" s="257">
        <v>5625</v>
      </c>
      <c r="T88" s="257">
        <v>3910</v>
      </c>
      <c r="U88" s="257">
        <v>60000</v>
      </c>
      <c r="V88" s="291">
        <f t="shared" si="3"/>
        <v>2085</v>
      </c>
    </row>
    <row r="89" spans="1:22" ht="20.25" customHeight="1">
      <c r="A89" s="261">
        <v>88</v>
      </c>
      <c r="B89" s="252" t="s">
        <v>428</v>
      </c>
      <c r="C89" s="253" t="s">
        <v>429</v>
      </c>
      <c r="D89" s="254">
        <v>45992</v>
      </c>
      <c r="E89" s="285">
        <v>0</v>
      </c>
      <c r="F89" s="255">
        <v>0</v>
      </c>
      <c r="G89" s="286">
        <v>7000</v>
      </c>
      <c r="H89" s="290">
        <f t="shared" si="2"/>
        <v>447750</v>
      </c>
      <c r="I89" s="256">
        <f>SUMIFS(FACILITIES!T:T,FACILITIES!B:B,B89)</f>
        <v>365000</v>
      </c>
      <c r="J89" s="256">
        <v>0</v>
      </c>
      <c r="K89" s="256">
        <v>0</v>
      </c>
      <c r="L89" s="256">
        <v>0</v>
      </c>
      <c r="M89" s="256" t="s">
        <v>1160</v>
      </c>
      <c r="N89" s="256">
        <v>0</v>
      </c>
      <c r="O89" s="256">
        <f>SUMIFS('F &amp; B'!G:G,'F &amp; B'!B:B,B89)</f>
        <v>80050</v>
      </c>
      <c r="P89" s="256">
        <v>0</v>
      </c>
      <c r="Q89" s="257">
        <v>2700</v>
      </c>
      <c r="R89" s="257">
        <v>0</v>
      </c>
      <c r="S89" s="257">
        <v>0</v>
      </c>
      <c r="T89" s="257">
        <v>0</v>
      </c>
      <c r="U89" s="257">
        <v>60000</v>
      </c>
      <c r="V89" s="291" t="str">
        <f t="shared" si="3"/>
        <v/>
      </c>
    </row>
    <row r="90" spans="1:22" ht="20.25" customHeight="1">
      <c r="A90" s="261">
        <v>89</v>
      </c>
      <c r="B90" s="252" t="s">
        <v>424</v>
      </c>
      <c r="C90" s="253" t="s">
        <v>425</v>
      </c>
      <c r="D90" s="254">
        <v>45992</v>
      </c>
      <c r="E90" s="285">
        <v>0</v>
      </c>
      <c r="F90" s="255">
        <v>0</v>
      </c>
      <c r="G90" s="286">
        <v>7000</v>
      </c>
      <c r="H90" s="290">
        <f t="shared" si="2"/>
        <v>28529</v>
      </c>
      <c r="I90" s="256">
        <f>SUMIFS(FACILITIES!T:T,FACILITIES!B:B,B90)</f>
        <v>0</v>
      </c>
      <c r="J90" s="256">
        <v>0</v>
      </c>
      <c r="K90" s="256">
        <v>0</v>
      </c>
      <c r="L90" s="256">
        <v>0</v>
      </c>
      <c r="M90" s="256" t="s">
        <v>1160</v>
      </c>
      <c r="N90" s="256">
        <v>0</v>
      </c>
      <c r="O90" s="256">
        <f>SUMIFS('F &amp; B'!G:G,'F &amp; B'!B:B,B90)</f>
        <v>0</v>
      </c>
      <c r="P90" s="256">
        <v>5300</v>
      </c>
      <c r="Q90" s="257">
        <v>0</v>
      </c>
      <c r="R90" s="257">
        <v>8369</v>
      </c>
      <c r="S90" s="257">
        <v>4070</v>
      </c>
      <c r="T90" s="257">
        <v>10790</v>
      </c>
      <c r="U90" s="257">
        <v>60000</v>
      </c>
      <c r="V90" s="291">
        <f t="shared" si="3"/>
        <v>31471</v>
      </c>
    </row>
    <row r="91" spans="1:22" ht="20.25" customHeight="1">
      <c r="A91" s="261">
        <v>90</v>
      </c>
      <c r="B91" s="252" t="s">
        <v>421</v>
      </c>
      <c r="C91" s="253" t="s">
        <v>422</v>
      </c>
      <c r="D91" s="254">
        <v>45992</v>
      </c>
      <c r="E91" s="285">
        <v>0</v>
      </c>
      <c r="F91" s="255">
        <v>0</v>
      </c>
      <c r="G91" s="286">
        <v>7000</v>
      </c>
      <c r="H91" s="290">
        <f t="shared" si="2"/>
        <v>74967</v>
      </c>
      <c r="I91" s="256">
        <f>SUMIFS(FACILITIES!T:T,FACILITIES!B:B,B91)</f>
        <v>0</v>
      </c>
      <c r="J91" s="256">
        <v>0</v>
      </c>
      <c r="K91" s="256">
        <v>0</v>
      </c>
      <c r="L91" s="256">
        <v>0</v>
      </c>
      <c r="M91" s="256" t="s">
        <v>1160</v>
      </c>
      <c r="N91" s="256">
        <v>0</v>
      </c>
      <c r="O91" s="256">
        <f>SUMIFS('F &amp; B'!G:G,'F &amp; B'!B:B,B91)</f>
        <v>0</v>
      </c>
      <c r="P91" s="256">
        <v>18560</v>
      </c>
      <c r="Q91" s="257">
        <v>8478</v>
      </c>
      <c r="R91" s="257">
        <v>8330</v>
      </c>
      <c r="S91" s="257">
        <v>0</v>
      </c>
      <c r="T91" s="257">
        <v>39599</v>
      </c>
      <c r="U91" s="257">
        <v>60000</v>
      </c>
      <c r="V91" s="291" t="str">
        <f t="shared" si="3"/>
        <v/>
      </c>
    </row>
    <row r="92" spans="1:22" ht="20.25" customHeight="1">
      <c r="A92" s="261">
        <v>91</v>
      </c>
      <c r="B92" s="252" t="s">
        <v>430</v>
      </c>
      <c r="C92" s="253" t="s">
        <v>431</v>
      </c>
      <c r="D92" s="254">
        <v>45992</v>
      </c>
      <c r="E92" s="285">
        <v>0</v>
      </c>
      <c r="F92" s="255">
        <v>0</v>
      </c>
      <c r="G92" s="286">
        <v>7000</v>
      </c>
      <c r="H92" s="290">
        <f t="shared" si="2"/>
        <v>164178</v>
      </c>
      <c r="I92" s="256">
        <f>SUMIFS(FACILITIES!T:T,FACILITIES!B:B,B92)</f>
        <v>0</v>
      </c>
      <c r="J92" s="256">
        <v>0</v>
      </c>
      <c r="K92" s="256">
        <v>0</v>
      </c>
      <c r="L92" s="256">
        <v>0</v>
      </c>
      <c r="M92" s="256" t="s">
        <v>1160</v>
      </c>
      <c r="N92" s="256">
        <v>3000</v>
      </c>
      <c r="O92" s="256">
        <f>SUMIFS('F &amp; B'!G:G,'F &amp; B'!B:B,B92)</f>
        <v>29370</v>
      </c>
      <c r="P92" s="256">
        <v>950</v>
      </c>
      <c r="Q92" s="257">
        <v>58560</v>
      </c>
      <c r="R92" s="257">
        <v>23698</v>
      </c>
      <c r="S92" s="257">
        <v>13300</v>
      </c>
      <c r="T92" s="257">
        <v>35300</v>
      </c>
      <c r="U92" s="257">
        <v>60000</v>
      </c>
      <c r="V92" s="291" t="str">
        <f t="shared" si="3"/>
        <v/>
      </c>
    </row>
    <row r="93" spans="1:22" ht="20.25" customHeight="1">
      <c r="A93" s="261">
        <v>92</v>
      </c>
      <c r="B93" s="252" t="s">
        <v>420</v>
      </c>
      <c r="C93" s="253" t="s">
        <v>423</v>
      </c>
      <c r="D93" s="254">
        <v>45992</v>
      </c>
      <c r="E93" s="285">
        <v>0</v>
      </c>
      <c r="F93" s="255">
        <v>0</v>
      </c>
      <c r="G93" s="286">
        <v>7000</v>
      </c>
      <c r="H93" s="290">
        <f t="shared" si="2"/>
        <v>79146</v>
      </c>
      <c r="I93" s="256">
        <f>SUMIFS(FACILITIES!T:T,FACILITIES!B:B,B93)</f>
        <v>0</v>
      </c>
      <c r="J93" s="256">
        <v>0</v>
      </c>
      <c r="K93" s="256">
        <v>0</v>
      </c>
      <c r="L93" s="256">
        <v>0</v>
      </c>
      <c r="M93" s="256" t="s">
        <v>1160</v>
      </c>
      <c r="N93" s="256">
        <v>0</v>
      </c>
      <c r="O93" s="256">
        <f>SUMIFS('F &amp; B'!G:G,'F &amp; B'!B:B,B93)</f>
        <v>4100</v>
      </c>
      <c r="P93" s="256">
        <v>500</v>
      </c>
      <c r="Q93" s="257">
        <v>7800</v>
      </c>
      <c r="R93" s="257">
        <v>65846</v>
      </c>
      <c r="S93" s="257">
        <v>900</v>
      </c>
      <c r="T93" s="257">
        <v>0</v>
      </c>
      <c r="U93" s="257">
        <v>60000</v>
      </c>
      <c r="V93" s="291" t="str">
        <f t="shared" si="3"/>
        <v/>
      </c>
    </row>
    <row r="94" spans="1:22" ht="20.25" customHeight="1">
      <c r="A94" s="261">
        <v>93</v>
      </c>
      <c r="B94" s="252" t="s">
        <v>418</v>
      </c>
      <c r="C94" s="253" t="s">
        <v>419</v>
      </c>
      <c r="D94" s="254">
        <v>45992</v>
      </c>
      <c r="E94" s="285">
        <v>0</v>
      </c>
      <c r="F94" s="255">
        <v>0</v>
      </c>
      <c r="G94" s="286">
        <v>7000</v>
      </c>
      <c r="H94" s="290">
        <f t="shared" si="2"/>
        <v>60290</v>
      </c>
      <c r="I94" s="256">
        <f>SUMIFS(FACILITIES!T:T,FACILITIES!B:B,B94)</f>
        <v>0</v>
      </c>
      <c r="J94" s="256">
        <v>0</v>
      </c>
      <c r="K94" s="256">
        <v>0</v>
      </c>
      <c r="L94" s="256">
        <v>0</v>
      </c>
      <c r="M94" s="256" t="s">
        <v>1160</v>
      </c>
      <c r="N94" s="256">
        <v>0</v>
      </c>
      <c r="O94" s="256">
        <f>SUMIFS('F &amp; B'!G:G,'F &amp; B'!B:B,B94)</f>
        <v>5370</v>
      </c>
      <c r="P94" s="256">
        <v>9860</v>
      </c>
      <c r="Q94" s="257">
        <v>5900</v>
      </c>
      <c r="R94" s="257">
        <v>37360</v>
      </c>
      <c r="S94" s="257">
        <v>0</v>
      </c>
      <c r="T94" s="257">
        <v>1800</v>
      </c>
      <c r="U94" s="257">
        <v>60000</v>
      </c>
      <c r="V94" s="291" t="str">
        <f t="shared" si="3"/>
        <v/>
      </c>
    </row>
    <row r="95" spans="1:22" ht="20.25" customHeight="1">
      <c r="A95" s="261">
        <v>94</v>
      </c>
      <c r="B95" s="252" t="s">
        <v>426</v>
      </c>
      <c r="C95" s="253" t="s">
        <v>427</v>
      </c>
      <c r="D95" s="254">
        <v>45992</v>
      </c>
      <c r="E95" s="285">
        <v>0</v>
      </c>
      <c r="F95" s="255">
        <v>0</v>
      </c>
      <c r="G95" s="286">
        <v>7000</v>
      </c>
      <c r="H95" s="290">
        <f t="shared" si="2"/>
        <v>161689</v>
      </c>
      <c r="I95" s="256">
        <f>SUMIFS(FACILITIES!T:T,FACILITIES!B:B,B95)</f>
        <v>0</v>
      </c>
      <c r="J95" s="256">
        <v>0</v>
      </c>
      <c r="K95" s="256">
        <v>0</v>
      </c>
      <c r="L95" s="256">
        <v>0</v>
      </c>
      <c r="M95" s="256" t="s">
        <v>1160</v>
      </c>
      <c r="N95" s="256">
        <v>0</v>
      </c>
      <c r="O95" s="256">
        <f>SUMIFS('F &amp; B'!G:G,'F &amp; B'!B:B,B95)</f>
        <v>59650</v>
      </c>
      <c r="P95" s="256">
        <v>500</v>
      </c>
      <c r="Q95" s="257">
        <v>15620</v>
      </c>
      <c r="R95" s="257">
        <v>23350</v>
      </c>
      <c r="S95" s="257">
        <v>41949</v>
      </c>
      <c r="T95" s="257">
        <v>20620</v>
      </c>
      <c r="U95" s="257">
        <v>60000</v>
      </c>
      <c r="V95" s="291" t="str">
        <f t="shared" si="3"/>
        <v/>
      </c>
    </row>
    <row r="96" spans="1:22" ht="20.25" customHeight="1">
      <c r="A96" s="261">
        <v>95</v>
      </c>
      <c r="B96" s="252" t="s">
        <v>432</v>
      </c>
      <c r="C96" s="253" t="s">
        <v>433</v>
      </c>
      <c r="D96" s="254">
        <v>45992</v>
      </c>
      <c r="E96" s="285">
        <v>0</v>
      </c>
      <c r="F96" s="255">
        <v>0</v>
      </c>
      <c r="G96" s="286">
        <v>7000</v>
      </c>
      <c r="H96" s="290">
        <f t="shared" si="2"/>
        <v>0</v>
      </c>
      <c r="I96" s="256">
        <f>SUMIFS(FACILITIES!T:T,FACILITIES!B:B,B96)</f>
        <v>0</v>
      </c>
      <c r="J96" s="256">
        <v>0</v>
      </c>
      <c r="K96" s="256">
        <v>0</v>
      </c>
      <c r="L96" s="256">
        <v>0</v>
      </c>
      <c r="M96" s="256" t="s">
        <v>1160</v>
      </c>
      <c r="N96" s="256">
        <v>0</v>
      </c>
      <c r="O96" s="256">
        <f>SUMIFS('F &amp; B'!G:G,'F &amp; B'!B:B,B96)</f>
        <v>0</v>
      </c>
      <c r="P96" s="256">
        <v>0</v>
      </c>
      <c r="Q96" s="257">
        <v>0</v>
      </c>
      <c r="R96" s="257">
        <v>0</v>
      </c>
      <c r="S96" s="257">
        <v>0</v>
      </c>
      <c r="T96" s="257">
        <v>0</v>
      </c>
      <c r="U96" s="257">
        <v>60000</v>
      </c>
      <c r="V96" s="291">
        <f t="shared" si="3"/>
        <v>60000</v>
      </c>
    </row>
    <row r="97" spans="1:22" ht="20.25" customHeight="1">
      <c r="A97" s="261">
        <v>96</v>
      </c>
      <c r="B97" s="252" t="s">
        <v>454</v>
      </c>
      <c r="C97" s="253" t="s">
        <v>505</v>
      </c>
      <c r="D97" s="254">
        <v>45992</v>
      </c>
      <c r="E97" s="285">
        <v>0</v>
      </c>
      <c r="F97" s="255">
        <v>0</v>
      </c>
      <c r="G97" s="286">
        <v>0</v>
      </c>
      <c r="H97" s="290">
        <f t="shared" si="2"/>
        <v>3262134</v>
      </c>
      <c r="I97" s="256">
        <f>SUMIFS(FACILITIES!T:T,FACILITIES!B:B,B97)</f>
        <v>0</v>
      </c>
      <c r="J97" s="256">
        <v>0</v>
      </c>
      <c r="K97" s="256">
        <v>0</v>
      </c>
      <c r="L97" s="256">
        <v>0</v>
      </c>
      <c r="M97" s="256" t="s">
        <v>1160</v>
      </c>
      <c r="N97" s="256">
        <v>0</v>
      </c>
      <c r="O97" s="256">
        <f>SUMIFS('F &amp; B'!G:G,'F &amp; B'!B:B,B97)</f>
        <v>3111425</v>
      </c>
      <c r="P97" s="257">
        <v>1680</v>
      </c>
      <c r="Q97" s="257">
        <v>52570</v>
      </c>
      <c r="R97" s="257">
        <v>73899</v>
      </c>
      <c r="S97" s="257">
        <v>17460</v>
      </c>
      <c r="T97" s="257">
        <v>5100</v>
      </c>
      <c r="U97" s="257">
        <v>0</v>
      </c>
      <c r="V97" s="291" t="str">
        <f>IF(U97-H97&gt;0, U97-H97, "")</f>
        <v/>
      </c>
    </row>
    <row r="98" spans="1:22" ht="20.25" customHeight="1">
      <c r="A98" s="261">
        <v>97</v>
      </c>
      <c r="B98" s="252" t="s">
        <v>448</v>
      </c>
      <c r="C98" s="253" t="s">
        <v>453</v>
      </c>
      <c r="D98" s="254">
        <v>45992</v>
      </c>
      <c r="E98" s="285">
        <v>0</v>
      </c>
      <c r="F98" s="255">
        <v>0</v>
      </c>
      <c r="G98" s="286">
        <v>7000</v>
      </c>
      <c r="H98" s="290">
        <f t="shared" si="2"/>
        <v>29400</v>
      </c>
      <c r="I98" s="256">
        <f>SUMIFS(FACILITIES!T:T,FACILITIES!B:B,B98)</f>
        <v>0</v>
      </c>
      <c r="J98" s="256">
        <v>0</v>
      </c>
      <c r="K98" s="256">
        <v>0</v>
      </c>
      <c r="L98" s="256">
        <v>0</v>
      </c>
      <c r="M98" s="256" t="s">
        <v>1160</v>
      </c>
      <c r="N98" s="256">
        <v>0</v>
      </c>
      <c r="O98" s="256">
        <f>SUMIFS('F &amp; B'!G:G,'F &amp; B'!B:B,B98)</f>
        <v>5425</v>
      </c>
      <c r="P98" s="257">
        <v>1550</v>
      </c>
      <c r="Q98" s="257">
        <v>150</v>
      </c>
      <c r="R98" s="257">
        <v>0</v>
      </c>
      <c r="S98" s="257">
        <v>4490</v>
      </c>
      <c r="T98" s="257">
        <v>17785</v>
      </c>
      <c r="U98" s="257">
        <v>60000</v>
      </c>
      <c r="V98" s="291">
        <f t="shared" ref="V98:V115" si="4">IF(U98-H98&gt;0, U98-H98, "")</f>
        <v>30600</v>
      </c>
    </row>
    <row r="99" spans="1:22" ht="20.25" customHeight="1">
      <c r="A99" s="261">
        <v>98</v>
      </c>
      <c r="B99" s="252" t="s">
        <v>342</v>
      </c>
      <c r="C99" s="253" t="s">
        <v>649</v>
      </c>
      <c r="D99" s="254">
        <v>45992</v>
      </c>
      <c r="E99" s="285">
        <v>0</v>
      </c>
      <c r="F99" s="255">
        <v>0</v>
      </c>
      <c r="G99" s="286">
        <v>7000</v>
      </c>
      <c r="H99" s="290">
        <f t="shared" si="2"/>
        <v>69870</v>
      </c>
      <c r="I99" s="256">
        <f>SUMIFS(FACILITIES!T:T,FACILITIES!B:B,B99)</f>
        <v>0</v>
      </c>
      <c r="J99" s="256">
        <v>0</v>
      </c>
      <c r="K99" s="256">
        <v>0</v>
      </c>
      <c r="L99" s="256">
        <v>0</v>
      </c>
      <c r="M99" s="256" t="s">
        <v>1160</v>
      </c>
      <c r="N99" s="256">
        <v>0</v>
      </c>
      <c r="O99" s="256">
        <f>SUMIFS('F &amp; B'!G:G,'F &amp; B'!B:B,B99)</f>
        <v>35550</v>
      </c>
      <c r="P99" s="257">
        <v>3480</v>
      </c>
      <c r="Q99" s="257">
        <v>9500</v>
      </c>
      <c r="R99" s="257">
        <v>0</v>
      </c>
      <c r="S99" s="257">
        <v>15640</v>
      </c>
      <c r="T99" s="257">
        <v>5700</v>
      </c>
      <c r="U99" s="257">
        <v>60000</v>
      </c>
      <c r="V99" s="291" t="str">
        <f t="shared" si="4"/>
        <v/>
      </c>
    </row>
    <row r="100" spans="1:22" ht="20.25" customHeight="1">
      <c r="A100" s="261">
        <v>99</v>
      </c>
      <c r="B100" s="252" t="s">
        <v>650</v>
      </c>
      <c r="C100" s="253" t="s">
        <v>651</v>
      </c>
      <c r="D100" s="254">
        <v>45992</v>
      </c>
      <c r="E100" s="285">
        <v>0</v>
      </c>
      <c r="F100" s="255">
        <v>0</v>
      </c>
      <c r="G100" s="286">
        <v>7000</v>
      </c>
      <c r="H100" s="290">
        <f t="shared" si="2"/>
        <v>410861</v>
      </c>
      <c r="I100" s="256">
        <f>SUMIFS(FACILITIES!T:T,FACILITIES!B:B,B100)</f>
        <v>0</v>
      </c>
      <c r="J100" s="256">
        <v>0</v>
      </c>
      <c r="K100" s="256">
        <v>0</v>
      </c>
      <c r="L100" s="256">
        <v>225000</v>
      </c>
      <c r="M100" s="256" t="s">
        <v>1160</v>
      </c>
      <c r="N100" s="256">
        <v>0</v>
      </c>
      <c r="O100" s="256">
        <f>SUMIFS('F &amp; B'!G:G,'F &amp; B'!B:B,B100)</f>
        <v>37349</v>
      </c>
      <c r="P100" s="256">
        <v>47114</v>
      </c>
      <c r="Q100" s="256">
        <v>52524</v>
      </c>
      <c r="R100" s="257">
        <v>20099</v>
      </c>
      <c r="S100" s="257">
        <v>4250</v>
      </c>
      <c r="T100" s="257">
        <v>24525</v>
      </c>
      <c r="U100" s="257">
        <v>60000</v>
      </c>
      <c r="V100" s="291" t="str">
        <f t="shared" si="4"/>
        <v/>
      </c>
    </row>
    <row r="101" spans="1:22" ht="20.25" customHeight="1">
      <c r="A101" s="261">
        <v>100</v>
      </c>
      <c r="B101" s="252" t="s">
        <v>648</v>
      </c>
      <c r="C101" s="253" t="s">
        <v>652</v>
      </c>
      <c r="D101" s="254">
        <v>45992</v>
      </c>
      <c r="E101" s="285">
        <v>0</v>
      </c>
      <c r="F101" s="255">
        <v>0</v>
      </c>
      <c r="G101" s="286">
        <v>7000</v>
      </c>
      <c r="H101" s="290">
        <f t="shared" si="2"/>
        <v>125743</v>
      </c>
      <c r="I101" s="256">
        <f>SUMIFS(FACILITIES!T:T,FACILITIES!B:B,B101)</f>
        <v>0</v>
      </c>
      <c r="J101" s="256">
        <v>0</v>
      </c>
      <c r="K101" s="256">
        <v>0</v>
      </c>
      <c r="L101" s="256">
        <v>0</v>
      </c>
      <c r="M101" s="256" t="s">
        <v>1160</v>
      </c>
      <c r="N101" s="256">
        <v>0</v>
      </c>
      <c r="O101" s="256">
        <f>SUMIFS('F &amp; B'!G:G,'F &amp; B'!B:B,B101)</f>
        <v>0</v>
      </c>
      <c r="P101" s="256">
        <v>51968</v>
      </c>
      <c r="Q101" s="256">
        <v>65200</v>
      </c>
      <c r="R101" s="257">
        <v>8575</v>
      </c>
      <c r="S101" s="257">
        <v>0</v>
      </c>
      <c r="T101" s="257">
        <v>0</v>
      </c>
      <c r="U101" s="257">
        <v>60000</v>
      </c>
      <c r="V101" s="291" t="str">
        <f t="shared" si="4"/>
        <v/>
      </c>
    </row>
    <row r="102" spans="1:22" ht="20.25" customHeight="1">
      <c r="A102" s="261">
        <v>101</v>
      </c>
      <c r="B102" s="252" t="s">
        <v>753</v>
      </c>
      <c r="C102" s="253" t="s">
        <v>754</v>
      </c>
      <c r="D102" s="254">
        <v>45992</v>
      </c>
      <c r="E102" s="285">
        <v>0</v>
      </c>
      <c r="F102" s="255">
        <v>0</v>
      </c>
      <c r="G102" s="286">
        <v>7000</v>
      </c>
      <c r="H102" s="290">
        <f t="shared" si="2"/>
        <v>24635</v>
      </c>
      <c r="I102" s="256">
        <f>SUMIFS(FACILITIES!T:T,FACILITIES!B:B,B102)</f>
        <v>0</v>
      </c>
      <c r="J102" s="256">
        <v>0</v>
      </c>
      <c r="K102" s="256">
        <v>0</v>
      </c>
      <c r="L102" s="256">
        <v>0</v>
      </c>
      <c r="M102" s="256" t="s">
        <v>1160</v>
      </c>
      <c r="N102" s="256">
        <v>0</v>
      </c>
      <c r="O102" s="256">
        <f>SUMIFS('F &amp; B'!G:G,'F &amp; B'!B:B,B102)</f>
        <v>0</v>
      </c>
      <c r="P102" s="256">
        <v>0</v>
      </c>
      <c r="Q102" s="256">
        <v>14635</v>
      </c>
      <c r="R102" s="257">
        <v>10000</v>
      </c>
      <c r="S102" s="257">
        <v>0</v>
      </c>
      <c r="T102" s="257">
        <v>0</v>
      </c>
      <c r="U102" s="257">
        <v>10000</v>
      </c>
      <c r="V102" s="291" t="str">
        <f t="shared" si="4"/>
        <v/>
      </c>
    </row>
    <row r="103" spans="1:22" ht="20.25" customHeight="1">
      <c r="A103" s="261">
        <v>102</v>
      </c>
      <c r="B103" s="252" t="s">
        <v>761</v>
      </c>
      <c r="C103" s="253" t="str">
        <f>VLOOKUP(B103,MEMBERS!B:C,2, )</f>
        <v>MR. FAYAZ ALI SOOMRO</v>
      </c>
      <c r="D103" s="254">
        <v>45992</v>
      </c>
      <c r="E103" s="285">
        <v>0</v>
      </c>
      <c r="F103" s="255">
        <v>0</v>
      </c>
      <c r="G103" s="286">
        <v>7000</v>
      </c>
      <c r="H103" s="290">
        <f t="shared" si="2"/>
        <v>77300</v>
      </c>
      <c r="I103" s="256">
        <f>SUMIFS(FACILITIES!T:T,FACILITIES!B:B,B103)</f>
        <v>0</v>
      </c>
      <c r="J103" s="256">
        <v>0</v>
      </c>
      <c r="K103" s="256">
        <v>0</v>
      </c>
      <c r="L103" s="256">
        <v>0</v>
      </c>
      <c r="M103" s="256" t="s">
        <v>1160</v>
      </c>
      <c r="N103" s="256">
        <v>0</v>
      </c>
      <c r="O103" s="256">
        <f>SUMIFS('F &amp; B'!G:G,'F &amp; B'!B:B,B103)</f>
        <v>8949</v>
      </c>
      <c r="P103" s="256">
        <v>38005</v>
      </c>
      <c r="Q103" s="256">
        <v>19799</v>
      </c>
      <c r="R103" s="257">
        <v>9350</v>
      </c>
      <c r="S103" s="257">
        <v>1197</v>
      </c>
      <c r="T103" s="257">
        <v>0</v>
      </c>
      <c r="U103" s="257">
        <v>60000</v>
      </c>
      <c r="V103" s="291" t="str">
        <f t="shared" si="4"/>
        <v/>
      </c>
    </row>
    <row r="104" spans="1:22" ht="20.25" customHeight="1">
      <c r="A104" s="261">
        <v>103</v>
      </c>
      <c r="B104" s="252" t="s">
        <v>762</v>
      </c>
      <c r="C104" s="253" t="str">
        <f>VLOOKUP(B104,MEMBERS!B:C,2, )</f>
        <v>MR. KASHIF SAEED</v>
      </c>
      <c r="D104" s="254">
        <v>45992</v>
      </c>
      <c r="E104" s="285">
        <v>0</v>
      </c>
      <c r="F104" s="255">
        <v>0</v>
      </c>
      <c r="G104" s="286">
        <v>7000</v>
      </c>
      <c r="H104" s="290">
        <f t="shared" si="2"/>
        <v>84098</v>
      </c>
      <c r="I104" s="256">
        <f>SUMIFS(FACILITIES!T:T,FACILITIES!B:B,B104)</f>
        <v>0</v>
      </c>
      <c r="J104" s="256">
        <v>0</v>
      </c>
      <c r="K104" s="256">
        <v>0</v>
      </c>
      <c r="L104" s="256">
        <v>0</v>
      </c>
      <c r="M104" s="256" t="s">
        <v>1160</v>
      </c>
      <c r="N104" s="256">
        <v>0</v>
      </c>
      <c r="O104" s="256">
        <f>SUMIFS('F &amp; B'!G:G,'F &amp; B'!B:B,B104)</f>
        <v>26400</v>
      </c>
      <c r="P104" s="256">
        <v>0</v>
      </c>
      <c r="Q104" s="256">
        <v>9300</v>
      </c>
      <c r="R104" s="257">
        <v>18420</v>
      </c>
      <c r="S104" s="257">
        <v>19888</v>
      </c>
      <c r="T104" s="257">
        <v>10090</v>
      </c>
      <c r="U104" s="257">
        <v>60000</v>
      </c>
      <c r="V104" s="291" t="str">
        <f t="shared" si="4"/>
        <v/>
      </c>
    </row>
    <row r="105" spans="1:22" ht="20.25" customHeight="1">
      <c r="A105" s="261">
        <v>104</v>
      </c>
      <c r="B105" s="252" t="s">
        <v>947</v>
      </c>
      <c r="C105" s="253" t="str">
        <f>VLOOKUP(B105,MEMBERS!B:C,2, )</f>
        <v>MR . SYED RAHAT HUSSAIN ZAIDI</v>
      </c>
      <c r="D105" s="254">
        <v>45992</v>
      </c>
      <c r="E105" s="285">
        <v>0</v>
      </c>
      <c r="F105" s="255">
        <v>0</v>
      </c>
      <c r="G105" s="286">
        <v>7000</v>
      </c>
      <c r="H105" s="290">
        <f t="shared" si="2"/>
        <v>82810</v>
      </c>
      <c r="I105" s="256">
        <f>SUMIFS(FACILITIES!T:T,FACILITIES!B:B,B105)</f>
        <v>0</v>
      </c>
      <c r="J105" s="256">
        <v>0</v>
      </c>
      <c r="K105" s="256">
        <v>0</v>
      </c>
      <c r="L105" s="256">
        <v>0</v>
      </c>
      <c r="M105" s="256" t="s">
        <v>1160</v>
      </c>
      <c r="N105" s="256">
        <v>0</v>
      </c>
      <c r="O105" s="256">
        <f>SUMIFS('F &amp; B'!G:G,'F &amp; B'!B:B,B105)</f>
        <v>63250</v>
      </c>
      <c r="P105" s="256">
        <v>5200</v>
      </c>
      <c r="Q105" s="256">
        <v>6100</v>
      </c>
      <c r="R105" s="257">
        <v>8260</v>
      </c>
      <c r="S105" s="257">
        <v>0</v>
      </c>
      <c r="T105" s="257">
        <v>0</v>
      </c>
      <c r="U105" s="257">
        <v>60000</v>
      </c>
      <c r="V105" s="291" t="str">
        <f t="shared" si="4"/>
        <v/>
      </c>
    </row>
    <row r="106" spans="1:22" ht="20.25" customHeight="1">
      <c r="A106" s="261">
        <v>105</v>
      </c>
      <c r="B106" s="252" t="s">
        <v>948</v>
      </c>
      <c r="C106" s="253" t="str">
        <f>VLOOKUP(B106,MEMBERS!B:C,2, )</f>
        <v>MR. TEHSEEN FAIZ</v>
      </c>
      <c r="D106" s="254">
        <v>45992</v>
      </c>
      <c r="E106" s="285">
        <v>0</v>
      </c>
      <c r="F106" s="255">
        <v>0</v>
      </c>
      <c r="G106" s="286">
        <v>7000</v>
      </c>
      <c r="H106" s="290">
        <f t="shared" si="2"/>
        <v>37394</v>
      </c>
      <c r="I106" s="256">
        <f>SUMIFS(FACILITIES!T:T,FACILITIES!B:B,B106)</f>
        <v>0</v>
      </c>
      <c r="J106" s="256">
        <v>0</v>
      </c>
      <c r="K106" s="256">
        <v>0</v>
      </c>
      <c r="L106" s="256">
        <v>0</v>
      </c>
      <c r="M106" s="256" t="s">
        <v>1160</v>
      </c>
      <c r="N106" s="256">
        <v>0</v>
      </c>
      <c r="O106" s="256">
        <f>SUMIFS('F &amp; B'!G:G,'F &amp; B'!B:B,B106)</f>
        <v>17379</v>
      </c>
      <c r="P106" s="256">
        <v>0</v>
      </c>
      <c r="Q106" s="256">
        <v>10420</v>
      </c>
      <c r="R106" s="257">
        <v>5405</v>
      </c>
      <c r="S106" s="257">
        <v>4090</v>
      </c>
      <c r="T106" s="257">
        <v>100</v>
      </c>
      <c r="U106" s="257">
        <v>60000</v>
      </c>
      <c r="V106" s="291">
        <f t="shared" si="4"/>
        <v>22606</v>
      </c>
    </row>
    <row r="107" spans="1:22" ht="20.25" customHeight="1">
      <c r="A107" s="261">
        <v>106</v>
      </c>
      <c r="B107" s="252" t="s">
        <v>952</v>
      </c>
      <c r="C107" s="253" t="str">
        <f>VLOOKUP(B107,MEMBERS!B:C,2, )</f>
        <v>MRS. HASSAN RAFI</v>
      </c>
      <c r="D107" s="254">
        <v>45992</v>
      </c>
      <c r="E107" s="285">
        <v>0</v>
      </c>
      <c r="F107" s="255">
        <v>0</v>
      </c>
      <c r="G107" s="286">
        <v>0</v>
      </c>
      <c r="H107" s="290">
        <f t="shared" si="2"/>
        <v>0</v>
      </c>
      <c r="I107" s="256">
        <f>SUMIFS(FACILITIES!T:T,FACILITIES!B:B,B107)</f>
        <v>0</v>
      </c>
      <c r="J107" s="256">
        <v>0</v>
      </c>
      <c r="K107" s="256">
        <v>0</v>
      </c>
      <c r="L107" s="256">
        <v>0</v>
      </c>
      <c r="M107" s="256" t="s">
        <v>1160</v>
      </c>
      <c r="N107" s="256">
        <v>0</v>
      </c>
      <c r="O107" s="256">
        <f>SUMIFS('F &amp; B'!G:G,'F &amp; B'!B:B,B107)</f>
        <v>0</v>
      </c>
      <c r="P107" s="256">
        <v>0</v>
      </c>
      <c r="Q107" s="256">
        <v>0</v>
      </c>
      <c r="R107" s="257">
        <v>0</v>
      </c>
      <c r="S107" s="257">
        <v>0</v>
      </c>
      <c r="T107" s="257">
        <v>0</v>
      </c>
      <c r="U107" s="257">
        <v>0</v>
      </c>
      <c r="V107" s="291" t="str">
        <f t="shared" si="4"/>
        <v/>
      </c>
    </row>
    <row r="108" spans="1:22" ht="20.25" customHeight="1">
      <c r="A108" s="261">
        <v>107</v>
      </c>
      <c r="B108" s="252" t="s">
        <v>1004</v>
      </c>
      <c r="C108" s="253" t="s">
        <v>1007</v>
      </c>
      <c r="D108" s="254">
        <v>45992</v>
      </c>
      <c r="E108" s="285">
        <v>0</v>
      </c>
      <c r="F108" s="255">
        <v>0</v>
      </c>
      <c r="G108" s="286">
        <v>7000</v>
      </c>
      <c r="H108" s="290">
        <f t="shared" si="2"/>
        <v>111805</v>
      </c>
      <c r="I108" s="256">
        <f>SUMIFS(FACILITIES!T:T,FACILITIES!B:B,B108)</f>
        <v>40000</v>
      </c>
      <c r="J108" s="256">
        <v>0</v>
      </c>
      <c r="K108" s="256">
        <v>0</v>
      </c>
      <c r="L108" s="256">
        <v>0</v>
      </c>
      <c r="M108" s="256" t="s">
        <v>1160</v>
      </c>
      <c r="N108" s="256">
        <v>0</v>
      </c>
      <c r="O108" s="256">
        <f>SUMIFS('F &amp; B'!G:G,'F &amp; B'!B:B,B108)</f>
        <v>38280</v>
      </c>
      <c r="P108" s="256">
        <v>7360</v>
      </c>
      <c r="Q108" s="256">
        <v>22965</v>
      </c>
      <c r="R108" s="257">
        <v>0</v>
      </c>
      <c r="S108" s="257">
        <v>3200</v>
      </c>
      <c r="T108" s="257">
        <v>0</v>
      </c>
      <c r="U108" s="257">
        <v>60000</v>
      </c>
      <c r="V108" s="291" t="str">
        <f t="shared" si="4"/>
        <v/>
      </c>
    </row>
    <row r="109" spans="1:22" ht="20.25" customHeight="1">
      <c r="A109" s="261">
        <v>108</v>
      </c>
      <c r="B109" s="252" t="s">
        <v>1005</v>
      </c>
      <c r="C109" s="253" t="s">
        <v>1009</v>
      </c>
      <c r="D109" s="254">
        <v>45992</v>
      </c>
      <c r="E109" s="285">
        <v>0</v>
      </c>
      <c r="F109" s="255">
        <v>0</v>
      </c>
      <c r="G109" s="286">
        <v>7000</v>
      </c>
      <c r="H109" s="290">
        <f t="shared" si="2"/>
        <v>4550</v>
      </c>
      <c r="I109" s="256">
        <f>SUMIFS(FACILITIES!T:T,FACILITIES!B:B,B109)</f>
        <v>0</v>
      </c>
      <c r="J109" s="256">
        <v>0</v>
      </c>
      <c r="K109" s="256">
        <v>0</v>
      </c>
      <c r="L109" s="256">
        <v>0</v>
      </c>
      <c r="M109" s="256" t="s">
        <v>1160</v>
      </c>
      <c r="N109" s="256">
        <v>0</v>
      </c>
      <c r="O109" s="256">
        <f>SUMIFS('F &amp; B'!G:G,'F &amp; B'!B:B,B109)</f>
        <v>4550</v>
      </c>
      <c r="P109" s="256">
        <v>0</v>
      </c>
      <c r="Q109" s="256">
        <v>0</v>
      </c>
      <c r="R109" s="257">
        <v>0</v>
      </c>
      <c r="S109" s="257">
        <v>0</v>
      </c>
      <c r="T109" s="257">
        <v>0</v>
      </c>
      <c r="U109" s="257">
        <v>60000</v>
      </c>
      <c r="V109" s="291">
        <f t="shared" si="4"/>
        <v>55450</v>
      </c>
    </row>
    <row r="110" spans="1:22" ht="20.25" customHeight="1">
      <c r="A110" s="261">
        <v>109</v>
      </c>
      <c r="B110" s="252" t="s">
        <v>1006</v>
      </c>
      <c r="C110" s="253" t="s">
        <v>1008</v>
      </c>
      <c r="D110" s="254">
        <v>45992</v>
      </c>
      <c r="E110" s="285">
        <v>0</v>
      </c>
      <c r="F110" s="255">
        <v>0</v>
      </c>
      <c r="G110" s="286">
        <v>7000</v>
      </c>
      <c r="H110" s="290">
        <f t="shared" si="2"/>
        <v>46429</v>
      </c>
      <c r="I110" s="256">
        <f>SUMIFS(FACILITIES!T:T,FACILITIES!B:B,B110)</f>
        <v>0</v>
      </c>
      <c r="J110" s="256">
        <v>0</v>
      </c>
      <c r="K110" s="256">
        <v>0</v>
      </c>
      <c r="L110" s="256">
        <v>0</v>
      </c>
      <c r="M110" s="256" t="s">
        <v>1160</v>
      </c>
      <c r="N110" s="256">
        <v>2000</v>
      </c>
      <c r="O110" s="256">
        <f>SUMIFS('F &amp; B'!G:G,'F &amp; B'!B:B,B110)</f>
        <v>1200</v>
      </c>
      <c r="P110" s="256">
        <v>5550</v>
      </c>
      <c r="Q110" s="256">
        <v>6949</v>
      </c>
      <c r="R110" s="257">
        <v>12230</v>
      </c>
      <c r="S110" s="257">
        <v>11450</v>
      </c>
      <c r="T110" s="257">
        <v>7050</v>
      </c>
      <c r="U110" s="257">
        <v>60000</v>
      </c>
      <c r="V110" s="291">
        <f t="shared" si="4"/>
        <v>13571</v>
      </c>
    </row>
    <row r="111" spans="1:22" ht="20.25" customHeight="1">
      <c r="A111" s="261">
        <v>110</v>
      </c>
      <c r="B111" s="252" t="s">
        <v>1014</v>
      </c>
      <c r="C111" s="253" t="s">
        <v>1015</v>
      </c>
      <c r="D111" s="254">
        <v>45992</v>
      </c>
      <c r="E111" s="285">
        <v>0</v>
      </c>
      <c r="F111" s="255">
        <v>0</v>
      </c>
      <c r="G111" s="286">
        <v>7000</v>
      </c>
      <c r="H111" s="290">
        <f t="shared" si="2"/>
        <v>0</v>
      </c>
      <c r="I111" s="256">
        <f>SUMIFS(FACILITIES!T:T,FACILITIES!B:B,B111)</f>
        <v>0</v>
      </c>
      <c r="J111" s="256">
        <v>0</v>
      </c>
      <c r="K111" s="256">
        <v>0</v>
      </c>
      <c r="L111" s="256">
        <v>0</v>
      </c>
      <c r="M111" s="256" t="s">
        <v>1160</v>
      </c>
      <c r="N111" s="256">
        <v>0</v>
      </c>
      <c r="O111" s="256">
        <f>SUMIFS('F &amp; B'!G:G,'F &amp; B'!B:B,B111)</f>
        <v>0</v>
      </c>
      <c r="P111" s="256">
        <v>0</v>
      </c>
      <c r="Q111" s="256">
        <v>0</v>
      </c>
      <c r="R111" s="257">
        <v>0</v>
      </c>
      <c r="S111" s="257">
        <v>0</v>
      </c>
      <c r="T111" s="257">
        <v>0</v>
      </c>
      <c r="U111" s="257">
        <v>60000</v>
      </c>
      <c r="V111" s="291">
        <f t="shared" si="4"/>
        <v>60000</v>
      </c>
    </row>
    <row r="112" spans="1:22" ht="20.25" customHeight="1">
      <c r="A112" s="261">
        <v>111</v>
      </c>
      <c r="B112" s="252" t="s">
        <v>1020</v>
      </c>
      <c r="C112" s="253" t="s">
        <v>1022</v>
      </c>
      <c r="D112" s="254">
        <v>45992</v>
      </c>
      <c r="E112" s="285">
        <v>0</v>
      </c>
      <c r="F112" s="255">
        <v>0</v>
      </c>
      <c r="G112" s="286">
        <v>7000</v>
      </c>
      <c r="H112" s="290">
        <f t="shared" si="2"/>
        <v>98751</v>
      </c>
      <c r="I112" s="256">
        <f>SUMIFS(FACILITIES!T:T,FACILITIES!B:B,B112)</f>
        <v>0</v>
      </c>
      <c r="J112" s="256">
        <v>0</v>
      </c>
      <c r="K112" s="256">
        <v>0</v>
      </c>
      <c r="L112" s="256">
        <v>0</v>
      </c>
      <c r="M112" s="256" t="s">
        <v>1160</v>
      </c>
      <c r="N112" s="256">
        <v>0</v>
      </c>
      <c r="O112" s="256">
        <f>SUMIFS('F &amp; B'!G:G,'F &amp; B'!B:B,B112)</f>
        <v>10350</v>
      </c>
      <c r="P112" s="256">
        <v>0</v>
      </c>
      <c r="Q112" s="256">
        <v>24049</v>
      </c>
      <c r="R112" s="257">
        <v>33587</v>
      </c>
      <c r="S112" s="257">
        <v>6475</v>
      </c>
      <c r="T112" s="257">
        <v>24290</v>
      </c>
      <c r="U112" s="257">
        <v>60000</v>
      </c>
      <c r="V112" s="291" t="str">
        <f t="shared" si="4"/>
        <v/>
      </c>
    </row>
    <row r="113" spans="1:22" ht="20.25" customHeight="1">
      <c r="A113" s="261">
        <v>112</v>
      </c>
      <c r="B113" s="252" t="s">
        <v>1021</v>
      </c>
      <c r="C113" s="253" t="s">
        <v>1023</v>
      </c>
      <c r="D113" s="254">
        <v>45992</v>
      </c>
      <c r="E113" s="285">
        <v>0</v>
      </c>
      <c r="F113" s="255">
        <v>0</v>
      </c>
      <c r="G113" s="286">
        <v>7000</v>
      </c>
      <c r="H113" s="290">
        <f t="shared" si="2"/>
        <v>124615</v>
      </c>
      <c r="I113" s="256">
        <f>SUMIFS(FACILITIES!T:T,FACILITIES!B:B,B113)</f>
        <v>0</v>
      </c>
      <c r="J113" s="256">
        <v>0</v>
      </c>
      <c r="K113" s="256">
        <v>0</v>
      </c>
      <c r="L113" s="256">
        <v>0</v>
      </c>
      <c r="M113" s="256" t="s">
        <v>1160</v>
      </c>
      <c r="N113" s="256">
        <v>0</v>
      </c>
      <c r="O113" s="256">
        <f>SUMIFS('F &amp; B'!G:G,'F &amp; B'!B:B,B113)</f>
        <v>51687</v>
      </c>
      <c r="P113" s="256">
        <v>0</v>
      </c>
      <c r="Q113" s="256">
        <v>8550</v>
      </c>
      <c r="R113" s="257">
        <v>21099</v>
      </c>
      <c r="S113" s="257">
        <v>10319</v>
      </c>
      <c r="T113" s="257">
        <v>32960</v>
      </c>
      <c r="U113" s="257">
        <v>60000</v>
      </c>
      <c r="V113" s="291" t="str">
        <f t="shared" si="4"/>
        <v/>
      </c>
    </row>
    <row r="114" spans="1:22" ht="20.25" customHeight="1">
      <c r="A114" s="261">
        <v>113</v>
      </c>
      <c r="B114" s="252" t="s">
        <v>1024</v>
      </c>
      <c r="C114" s="253" t="s">
        <v>1041</v>
      </c>
      <c r="D114" s="254">
        <v>45992</v>
      </c>
      <c r="E114" s="285">
        <v>0</v>
      </c>
      <c r="F114" s="255">
        <v>0</v>
      </c>
      <c r="G114" s="286">
        <v>7000</v>
      </c>
      <c r="H114" s="290">
        <f t="shared" si="2"/>
        <v>74954</v>
      </c>
      <c r="I114" s="256">
        <f>SUMIFS(FACILITIES!T:T,FACILITIES!B:B,B114)</f>
        <v>0</v>
      </c>
      <c r="J114" s="256">
        <v>0</v>
      </c>
      <c r="K114" s="256">
        <v>0</v>
      </c>
      <c r="L114" s="256">
        <v>0</v>
      </c>
      <c r="M114" s="256" t="s">
        <v>1160</v>
      </c>
      <c r="N114" s="256">
        <v>0</v>
      </c>
      <c r="O114" s="256">
        <f>SUMIFS('F &amp; B'!G:G,'F &amp; B'!B:B,B114)</f>
        <v>21629</v>
      </c>
      <c r="P114" s="256">
        <v>0</v>
      </c>
      <c r="Q114" s="256">
        <v>6315</v>
      </c>
      <c r="R114" s="257">
        <v>26750</v>
      </c>
      <c r="S114" s="257">
        <v>14310</v>
      </c>
      <c r="T114" s="257">
        <v>5950</v>
      </c>
      <c r="U114" s="257">
        <v>60000</v>
      </c>
      <c r="V114" s="291" t="str">
        <f t="shared" si="4"/>
        <v/>
      </c>
    </row>
    <row r="115" spans="1:22" ht="20.25" customHeight="1">
      <c r="A115" s="261">
        <v>114</v>
      </c>
      <c r="B115" s="252" t="s">
        <v>1039</v>
      </c>
      <c r="C115" s="253" t="s">
        <v>1071</v>
      </c>
      <c r="D115" s="254">
        <v>45992</v>
      </c>
      <c r="E115" s="285">
        <v>0</v>
      </c>
      <c r="F115" s="255">
        <v>0</v>
      </c>
      <c r="G115" s="286">
        <v>7000</v>
      </c>
      <c r="H115" s="290">
        <f t="shared" si="2"/>
        <v>99805</v>
      </c>
      <c r="I115" s="256">
        <f>SUMIFS(FACILITIES!T:T,FACILITIES!B:B,B115)</f>
        <v>7000</v>
      </c>
      <c r="J115" s="256">
        <v>0</v>
      </c>
      <c r="K115" s="256">
        <v>0</v>
      </c>
      <c r="L115" s="256">
        <v>0</v>
      </c>
      <c r="M115" s="256" t="s">
        <v>1160</v>
      </c>
      <c r="N115" s="256">
        <v>0</v>
      </c>
      <c r="O115" s="256">
        <f>SUMIFS('F &amp; B'!G:G,'F &amp; B'!B:B,B115)</f>
        <v>5770</v>
      </c>
      <c r="P115" s="256">
        <v>0</v>
      </c>
      <c r="Q115" s="256">
        <v>20220</v>
      </c>
      <c r="R115" s="257">
        <v>28490</v>
      </c>
      <c r="S115" s="257">
        <v>21785</v>
      </c>
      <c r="T115" s="257">
        <v>16540</v>
      </c>
      <c r="U115" s="257">
        <v>60000</v>
      </c>
      <c r="V115" s="291" t="str">
        <f t="shared" si="4"/>
        <v/>
      </c>
    </row>
    <row r="116" spans="1:22" ht="20.25" customHeight="1">
      <c r="A116" s="261">
        <v>115</v>
      </c>
      <c r="B116" s="252" t="s">
        <v>1040</v>
      </c>
      <c r="C116" s="253" t="s">
        <v>1025</v>
      </c>
      <c r="D116" s="254">
        <v>45992</v>
      </c>
      <c r="E116" s="285">
        <v>0</v>
      </c>
      <c r="F116" s="255">
        <v>0</v>
      </c>
      <c r="G116" s="286">
        <v>0</v>
      </c>
      <c r="H116" s="290">
        <f t="shared" si="2"/>
        <v>26500</v>
      </c>
      <c r="I116" s="256">
        <f>SUMIFS(FACILITIES!T:T,FACILITIES!B:B,B116)</f>
        <v>0</v>
      </c>
      <c r="J116" s="256">
        <v>0</v>
      </c>
      <c r="K116" s="256">
        <v>0</v>
      </c>
      <c r="L116" s="256">
        <v>0</v>
      </c>
      <c r="M116" s="256" t="s">
        <v>1160</v>
      </c>
      <c r="N116" s="256">
        <v>0</v>
      </c>
      <c r="O116" s="256">
        <f>SUMIFS('F &amp; B'!G:G,'F &amp; B'!B:B,B116)</f>
        <v>0</v>
      </c>
      <c r="P116" s="256">
        <v>0</v>
      </c>
      <c r="Q116" s="256">
        <v>14400</v>
      </c>
      <c r="R116" s="257">
        <v>1300</v>
      </c>
      <c r="S116" s="257">
        <v>2600</v>
      </c>
      <c r="T116" s="257">
        <v>8200</v>
      </c>
      <c r="U116" s="257">
        <v>0</v>
      </c>
      <c r="V116" s="291" t="str">
        <f>IF(U116-H116&gt;0, U116-H116, "")</f>
        <v/>
      </c>
    </row>
    <row r="117" spans="1:22" ht="20.25" customHeight="1">
      <c r="A117" s="261">
        <v>116</v>
      </c>
      <c r="B117" s="252" t="s">
        <v>1051</v>
      </c>
      <c r="C117" s="253" t="s">
        <v>1055</v>
      </c>
      <c r="D117" s="254">
        <v>45992</v>
      </c>
      <c r="E117" s="285">
        <v>0</v>
      </c>
      <c r="F117" s="255">
        <v>0</v>
      </c>
      <c r="G117" s="286">
        <v>7000</v>
      </c>
      <c r="H117" s="290">
        <f t="shared" si="2"/>
        <v>91370</v>
      </c>
      <c r="I117" s="256">
        <f>SUMIFS(FACILITIES!T:T,FACILITIES!B:B,B117)</f>
        <v>0</v>
      </c>
      <c r="J117" s="256">
        <v>0</v>
      </c>
      <c r="K117" s="256">
        <v>0</v>
      </c>
      <c r="L117" s="256">
        <v>0</v>
      </c>
      <c r="M117" s="256" t="s">
        <v>1160</v>
      </c>
      <c r="N117" s="256">
        <v>0</v>
      </c>
      <c r="O117" s="256">
        <f>SUMIFS('F &amp; B'!G:G,'F &amp; B'!B:B,B117)</f>
        <v>24300</v>
      </c>
      <c r="P117" s="256">
        <v>0</v>
      </c>
      <c r="Q117" s="256">
        <v>0</v>
      </c>
      <c r="R117" s="257">
        <v>28550</v>
      </c>
      <c r="S117" s="257">
        <v>17070</v>
      </c>
      <c r="T117" s="257">
        <v>21450</v>
      </c>
      <c r="U117" s="257">
        <v>60000</v>
      </c>
      <c r="V117" s="291" t="str">
        <f>IF(U117-H117&gt;0, U117-H117, "")</f>
        <v/>
      </c>
    </row>
    <row r="118" spans="1:22" ht="20.25" customHeight="1">
      <c r="A118" s="261">
        <v>117</v>
      </c>
      <c r="B118" s="252" t="s">
        <v>1052</v>
      </c>
      <c r="C118" s="253" t="s">
        <v>1060</v>
      </c>
      <c r="D118" s="254">
        <v>45992</v>
      </c>
      <c r="E118" s="285">
        <v>0</v>
      </c>
      <c r="F118" s="255">
        <v>0</v>
      </c>
      <c r="G118" s="286">
        <v>7000</v>
      </c>
      <c r="H118" s="290">
        <f t="shared" si="2"/>
        <v>238726</v>
      </c>
      <c r="I118" s="256">
        <f>SUMIFS(FACILITIES!T:T,FACILITIES!B:B,B118)</f>
        <v>0</v>
      </c>
      <c r="J118" s="256">
        <v>0</v>
      </c>
      <c r="K118" s="256">
        <v>0</v>
      </c>
      <c r="L118" s="256">
        <v>0</v>
      </c>
      <c r="M118" s="256" t="s">
        <v>1160</v>
      </c>
      <c r="N118" s="256">
        <v>4500</v>
      </c>
      <c r="O118" s="256">
        <f>SUMIFS('F &amp; B'!G:G,'F &amp; B'!B:B,B118)</f>
        <v>4650</v>
      </c>
      <c r="P118" s="256">
        <v>0</v>
      </c>
      <c r="Q118" s="256">
        <v>0</v>
      </c>
      <c r="R118" s="257">
        <v>70445</v>
      </c>
      <c r="S118" s="257">
        <v>134302</v>
      </c>
      <c r="T118" s="257">
        <v>24829</v>
      </c>
      <c r="U118" s="257">
        <v>60000</v>
      </c>
      <c r="V118" s="291" t="str">
        <f t="shared" ref="V118:V122" si="5">IF(U118-H118&gt;0, U118-H118, "")</f>
        <v/>
      </c>
    </row>
    <row r="119" spans="1:22" ht="20.25" customHeight="1">
      <c r="A119" s="261">
        <v>118</v>
      </c>
      <c r="B119" s="252" t="s">
        <v>1053</v>
      </c>
      <c r="C119" s="253" t="s">
        <v>1070</v>
      </c>
      <c r="D119" s="254">
        <v>45992</v>
      </c>
      <c r="E119" s="285">
        <v>0</v>
      </c>
      <c r="F119" s="255">
        <v>0</v>
      </c>
      <c r="G119" s="286">
        <v>7000</v>
      </c>
      <c r="H119" s="290">
        <f t="shared" si="2"/>
        <v>467674</v>
      </c>
      <c r="I119" s="256">
        <f>SUMIFS(FACILITIES!T:T,FACILITIES!B:B,B119)</f>
        <v>0</v>
      </c>
      <c r="J119" s="256">
        <v>0</v>
      </c>
      <c r="K119" s="256">
        <v>0</v>
      </c>
      <c r="L119" s="256">
        <v>0</v>
      </c>
      <c r="M119" s="256" t="s">
        <v>1160</v>
      </c>
      <c r="N119" s="256">
        <v>3000</v>
      </c>
      <c r="O119" s="256">
        <f>SUMIFS('F &amp; B'!G:G,'F &amp; B'!B:B,B119)</f>
        <v>84916</v>
      </c>
      <c r="P119" s="256">
        <v>0</v>
      </c>
      <c r="Q119" s="256">
        <v>0</v>
      </c>
      <c r="R119" s="257">
        <v>15798</v>
      </c>
      <c r="S119" s="257">
        <v>168250</v>
      </c>
      <c r="T119" s="257">
        <v>195710</v>
      </c>
      <c r="U119" s="257">
        <v>60000</v>
      </c>
      <c r="V119" s="291" t="str">
        <f t="shared" si="5"/>
        <v/>
      </c>
    </row>
    <row r="120" spans="1:22" ht="20.25" customHeight="1">
      <c r="A120" s="261">
        <v>119</v>
      </c>
      <c r="B120" s="252" t="s">
        <v>1054</v>
      </c>
      <c r="C120" s="253" t="s">
        <v>1077</v>
      </c>
      <c r="D120" s="254">
        <v>45992</v>
      </c>
      <c r="E120" s="285">
        <v>0</v>
      </c>
      <c r="F120" s="255">
        <v>0</v>
      </c>
      <c r="G120" s="286">
        <v>7000</v>
      </c>
      <c r="H120" s="290">
        <f t="shared" si="2"/>
        <v>0</v>
      </c>
      <c r="I120" s="256">
        <f>SUMIFS(FACILITIES!T:T,FACILITIES!B:B,B120)</f>
        <v>0</v>
      </c>
      <c r="J120" s="256">
        <v>0</v>
      </c>
      <c r="K120" s="256">
        <v>0</v>
      </c>
      <c r="L120" s="256">
        <v>0</v>
      </c>
      <c r="M120" s="256" t="s">
        <v>1160</v>
      </c>
      <c r="N120" s="256">
        <v>0</v>
      </c>
      <c r="O120" s="256">
        <f>SUMIFS('F &amp; B'!G:G,'F &amp; B'!B:B,B120)</f>
        <v>0</v>
      </c>
      <c r="P120" s="256">
        <v>0</v>
      </c>
      <c r="Q120" s="256">
        <v>0</v>
      </c>
      <c r="R120" s="257">
        <v>0</v>
      </c>
      <c r="S120" s="257">
        <v>0</v>
      </c>
      <c r="T120" s="257">
        <v>0</v>
      </c>
      <c r="U120" s="257">
        <v>30000</v>
      </c>
      <c r="V120" s="291">
        <f t="shared" si="5"/>
        <v>30000</v>
      </c>
    </row>
    <row r="121" spans="1:22" ht="20.25" customHeight="1">
      <c r="A121" s="261">
        <v>120</v>
      </c>
      <c r="B121" s="252" t="s">
        <v>1073</v>
      </c>
      <c r="C121" s="253" t="s">
        <v>1076</v>
      </c>
      <c r="D121" s="254">
        <v>45992</v>
      </c>
      <c r="E121" s="285">
        <v>0</v>
      </c>
      <c r="F121" s="255">
        <v>0</v>
      </c>
      <c r="G121" s="286">
        <v>7000</v>
      </c>
      <c r="H121" s="290">
        <f t="shared" si="2"/>
        <v>124178</v>
      </c>
      <c r="I121" s="256">
        <f>SUMIFS(FACILITIES!T:T,FACILITIES!B:B,B121)</f>
        <v>15000</v>
      </c>
      <c r="J121" s="256">
        <v>0</v>
      </c>
      <c r="K121" s="256">
        <v>0</v>
      </c>
      <c r="L121" s="256">
        <v>0</v>
      </c>
      <c r="M121" s="256" t="s">
        <v>1160</v>
      </c>
      <c r="N121" s="256">
        <v>4000</v>
      </c>
      <c r="O121" s="256">
        <f>SUMIFS('F &amp; B'!G:G,'F &amp; B'!B:B,B121)</f>
        <v>36529</v>
      </c>
      <c r="P121" s="256">
        <v>0</v>
      </c>
      <c r="Q121" s="256">
        <v>0</v>
      </c>
      <c r="R121" s="257">
        <v>0</v>
      </c>
      <c r="S121" s="257">
        <v>37400</v>
      </c>
      <c r="T121" s="257">
        <v>31249</v>
      </c>
      <c r="U121" s="257">
        <v>30000</v>
      </c>
      <c r="V121" s="291" t="str">
        <f t="shared" si="5"/>
        <v/>
      </c>
    </row>
    <row r="122" spans="1:22" ht="20.25" customHeight="1">
      <c r="A122" s="261">
        <v>121</v>
      </c>
      <c r="B122" s="252" t="s">
        <v>1074</v>
      </c>
      <c r="C122" s="253" t="s">
        <v>1069</v>
      </c>
      <c r="D122" s="254">
        <v>45992</v>
      </c>
      <c r="E122" s="285">
        <v>0</v>
      </c>
      <c r="F122" s="255">
        <v>0</v>
      </c>
      <c r="G122" s="286">
        <v>7000</v>
      </c>
      <c r="H122" s="290">
        <f t="shared" si="2"/>
        <v>44850</v>
      </c>
      <c r="I122" s="256">
        <f>SUMIFS(FACILITIES!T:T,FACILITIES!B:B,B122)</f>
        <v>0</v>
      </c>
      <c r="J122" s="256">
        <v>0</v>
      </c>
      <c r="K122" s="256">
        <v>0</v>
      </c>
      <c r="L122" s="256">
        <v>0</v>
      </c>
      <c r="M122" s="256" t="s">
        <v>1160</v>
      </c>
      <c r="N122" s="256">
        <v>0</v>
      </c>
      <c r="O122" s="256">
        <f>SUMIFS('F &amp; B'!G:G,'F &amp; B'!B:B,B122)</f>
        <v>0</v>
      </c>
      <c r="P122" s="256">
        <v>0</v>
      </c>
      <c r="Q122" s="256">
        <v>0</v>
      </c>
      <c r="R122" s="257">
        <v>0</v>
      </c>
      <c r="S122" s="257">
        <v>11050</v>
      </c>
      <c r="T122" s="257">
        <v>33800</v>
      </c>
      <c r="U122" s="257">
        <v>30000</v>
      </c>
      <c r="V122" s="291" t="str">
        <f t="shared" si="5"/>
        <v/>
      </c>
    </row>
    <row r="123" spans="1:22" ht="18" customHeight="1" thickBot="1">
      <c r="A123" s="262"/>
      <c r="B123" s="263"/>
      <c r="C123" s="263"/>
      <c r="D123" s="263"/>
      <c r="E123" s="287">
        <f>SUM(E2:E116)</f>
        <v>0</v>
      </c>
      <c r="F123" s="288">
        <v>0</v>
      </c>
      <c r="G123" s="289">
        <f>SUM(G2:G122)</f>
        <v>819000</v>
      </c>
      <c r="H123" s="290">
        <f t="shared" si="2"/>
        <v>16360738.199999999</v>
      </c>
      <c r="I123" s="290">
        <f>SUM(I2:I122)</f>
        <v>508000</v>
      </c>
      <c r="J123" s="288">
        <f t="shared" ref="J123:N123" si="6">SUM(J2:J122)</f>
        <v>0</v>
      </c>
      <c r="K123" s="288">
        <f t="shared" si="6"/>
        <v>931000</v>
      </c>
      <c r="L123" s="288">
        <f t="shared" si="6"/>
        <v>637615</v>
      </c>
      <c r="M123" s="288">
        <f t="shared" si="6"/>
        <v>0</v>
      </c>
      <c r="N123" s="288">
        <f t="shared" si="6"/>
        <v>1001660</v>
      </c>
      <c r="O123" s="288">
        <f>SUM(O2:O122)</f>
        <v>5370466</v>
      </c>
      <c r="P123" s="288">
        <f t="shared" ref="P123:S123" si="7">SUM(P2:P122)</f>
        <v>1638831.7</v>
      </c>
      <c r="Q123" s="288">
        <f t="shared" si="7"/>
        <v>2551460.5</v>
      </c>
      <c r="R123" s="288">
        <f t="shared" si="7"/>
        <v>1965368</v>
      </c>
      <c r="S123" s="288">
        <f t="shared" si="7"/>
        <v>1756337</v>
      </c>
      <c r="T123" s="288">
        <v>0</v>
      </c>
      <c r="U123" s="288">
        <f>SUM(U2:U122)</f>
        <v>6940000</v>
      </c>
      <c r="V123" s="289">
        <f>SUMIFS(V2:V122, V2:V122, "&gt;0",V2:V122, "&lt;=60000")</f>
        <v>1153996</v>
      </c>
    </row>
    <row r="124" spans="1:22" ht="18" customHeight="1">
      <c r="D124" s="247"/>
      <c r="I124" s="249"/>
      <c r="J124" s="249"/>
      <c r="K124" s="249"/>
      <c r="O124" s="249"/>
      <c r="Q124" s="249"/>
      <c r="V124" s="249">
        <f>SUMIF(V2:V122, "&lt;0")</f>
        <v>0</v>
      </c>
    </row>
    <row r="125" spans="1:22" ht="18" customHeight="1">
      <c r="D125" s="247"/>
    </row>
    <row r="126" spans="1:22" ht="18" customHeight="1">
      <c r="D126" s="247"/>
    </row>
    <row r="127" spans="1:22" ht="18" customHeight="1">
      <c r="D127" s="247"/>
    </row>
    <row r="128" spans="1:22" ht="18" customHeight="1">
      <c r="D128" s="247"/>
    </row>
    <row r="129" spans="4:4" ht="18" customHeight="1">
      <c r="D129" s="247"/>
    </row>
    <row r="130" spans="4:4" ht="18" customHeight="1">
      <c r="D130" s="247"/>
    </row>
    <row r="131" spans="4:4" ht="18" customHeight="1">
      <c r="D131" s="247"/>
    </row>
    <row r="132" spans="4:4" ht="18" customHeight="1">
      <c r="D132" s="247"/>
    </row>
    <row r="133" spans="4:4" ht="18" customHeight="1">
      <c r="D133" s="247"/>
    </row>
    <row r="134" spans="4:4" ht="18" customHeight="1">
      <c r="D134" s="247"/>
    </row>
    <row r="135" spans="4:4" ht="18" customHeight="1">
      <c r="D135" s="247"/>
    </row>
    <row r="136" spans="4:4" ht="18" customHeight="1">
      <c r="D136" s="247"/>
    </row>
    <row r="137" spans="4:4" ht="18" customHeight="1">
      <c r="D137" s="247"/>
    </row>
    <row r="138" spans="4:4" ht="18" customHeight="1">
      <c r="D138" s="247"/>
    </row>
    <row r="139" spans="4:4" ht="18" customHeight="1">
      <c r="D139" s="247"/>
    </row>
    <row r="140" spans="4:4" ht="18" customHeight="1">
      <c r="D140" s="247"/>
    </row>
    <row r="141" spans="4:4" ht="18" customHeight="1">
      <c r="D141" s="247"/>
    </row>
    <row r="142" spans="4:4" ht="18" customHeight="1">
      <c r="D142" s="247"/>
    </row>
    <row r="143" spans="4:4" ht="18" customHeight="1">
      <c r="D143" s="247"/>
    </row>
    <row r="144" spans="4:4" ht="18" customHeight="1">
      <c r="D144" s="247"/>
    </row>
    <row r="145" spans="4:4" ht="18" customHeight="1">
      <c r="D145" s="247"/>
    </row>
    <row r="146" spans="4:4" ht="18" customHeight="1">
      <c r="D146" s="247"/>
    </row>
    <row r="147" spans="4:4" ht="18" customHeight="1">
      <c r="D147" s="247"/>
    </row>
    <row r="148" spans="4:4" ht="18" customHeight="1">
      <c r="D148" s="247"/>
    </row>
    <row r="149" spans="4:4" ht="18" customHeight="1">
      <c r="D149" s="247"/>
    </row>
    <row r="150" spans="4:4" ht="18" customHeight="1">
      <c r="D150" s="247"/>
    </row>
    <row r="151" spans="4:4" ht="18" customHeight="1">
      <c r="D151" s="247"/>
    </row>
    <row r="152" spans="4:4" ht="18" customHeight="1">
      <c r="D152" s="247"/>
    </row>
    <row r="153" spans="4:4" ht="18" customHeight="1">
      <c r="D153" s="247"/>
    </row>
    <row r="154" spans="4:4" ht="18" customHeight="1">
      <c r="D154" s="247"/>
    </row>
    <row r="155" spans="4:4" ht="18" customHeight="1">
      <c r="D155" s="247"/>
    </row>
    <row r="156" spans="4:4" ht="18" customHeight="1">
      <c r="D156" s="247"/>
    </row>
    <row r="157" spans="4:4" ht="18" customHeight="1">
      <c r="D157" s="247"/>
    </row>
    <row r="158" spans="4:4" ht="18" customHeight="1">
      <c r="D158" s="247"/>
    </row>
    <row r="159" spans="4:4" ht="18" customHeight="1">
      <c r="D159" s="247"/>
    </row>
    <row r="160" spans="4:4" ht="18" customHeight="1">
      <c r="D160" s="247"/>
    </row>
    <row r="161" spans="4:4" ht="18" customHeight="1">
      <c r="D161" s="247"/>
    </row>
    <row r="162" spans="4:4" ht="18" customHeight="1">
      <c r="D162" s="247"/>
    </row>
    <row r="163" spans="4:4" ht="18" customHeight="1">
      <c r="D163" s="247"/>
    </row>
    <row r="164" spans="4:4" ht="18" customHeight="1">
      <c r="D164" s="247"/>
    </row>
    <row r="165" spans="4:4" ht="18" customHeight="1">
      <c r="D165" s="247"/>
    </row>
    <row r="166" spans="4:4" ht="18" customHeight="1">
      <c r="D166" s="247"/>
    </row>
    <row r="167" spans="4:4" ht="18" customHeight="1">
      <c r="D167" s="247"/>
    </row>
    <row r="168" spans="4:4" ht="18" customHeight="1">
      <c r="D168" s="247"/>
    </row>
    <row r="169" spans="4:4" ht="18" customHeight="1">
      <c r="D169" s="247"/>
    </row>
    <row r="170" spans="4:4" ht="18" customHeight="1">
      <c r="D170" s="247"/>
    </row>
    <row r="171" spans="4:4" ht="18" customHeight="1">
      <c r="D171" s="247"/>
    </row>
    <row r="172" spans="4:4" ht="18" customHeight="1">
      <c r="D172" s="247"/>
    </row>
    <row r="173" spans="4:4" ht="18" customHeight="1">
      <c r="D173" s="247"/>
    </row>
    <row r="174" spans="4:4" ht="18" customHeight="1">
      <c r="D174" s="247"/>
    </row>
    <row r="175" spans="4:4" ht="18" customHeight="1">
      <c r="D175" s="247"/>
    </row>
    <row r="176" spans="4:4" ht="18" customHeight="1">
      <c r="D176" s="247"/>
    </row>
    <row r="177" spans="4:4" ht="18" customHeight="1">
      <c r="D177" s="247"/>
    </row>
    <row r="178" spans="4:4" ht="18" customHeight="1">
      <c r="D178" s="247"/>
    </row>
    <row r="179" spans="4:4" ht="18" customHeight="1">
      <c r="D179" s="247"/>
    </row>
    <row r="180" spans="4:4" ht="18" customHeight="1">
      <c r="D180" s="247"/>
    </row>
    <row r="181" spans="4:4" ht="18" customHeight="1">
      <c r="D181" s="247"/>
    </row>
    <row r="182" spans="4:4" ht="18" customHeight="1">
      <c r="D182" s="247"/>
    </row>
    <row r="183" spans="4:4" ht="18" customHeight="1">
      <c r="D183" s="247"/>
    </row>
    <row r="184" spans="4:4" ht="18" customHeight="1">
      <c r="D184" s="247"/>
    </row>
    <row r="185" spans="4:4" ht="18" customHeight="1">
      <c r="D185" s="247"/>
    </row>
    <row r="186" spans="4:4" ht="18" customHeight="1">
      <c r="D186" s="247"/>
    </row>
    <row r="187" spans="4:4" ht="18" customHeight="1">
      <c r="D187" s="247"/>
    </row>
    <row r="188" spans="4:4" ht="18" customHeight="1">
      <c r="D188" s="247"/>
    </row>
    <row r="189" spans="4:4" ht="18" customHeight="1">
      <c r="D189" s="247"/>
    </row>
    <row r="190" spans="4:4" ht="18" customHeight="1">
      <c r="D190" s="247"/>
    </row>
    <row r="191" spans="4:4" ht="18" customHeight="1">
      <c r="D191" s="247"/>
    </row>
    <row r="192" spans="4:4" ht="18" customHeight="1">
      <c r="D192" s="247"/>
    </row>
    <row r="193" spans="4:4" ht="18" customHeight="1">
      <c r="D193" s="247"/>
    </row>
    <row r="194" spans="4:4" ht="18" customHeight="1">
      <c r="D194" s="247"/>
    </row>
    <row r="195" spans="4:4" ht="15.75" customHeight="1">
      <c r="D195" s="247"/>
    </row>
    <row r="196" spans="4:4" ht="15.75" customHeight="1">
      <c r="D196" s="247"/>
    </row>
    <row r="197" spans="4:4" ht="15.75" customHeight="1">
      <c r="D197" s="247"/>
    </row>
    <row r="198" spans="4:4" ht="15.75" customHeight="1">
      <c r="D198" s="247"/>
    </row>
    <row r="199" spans="4:4" ht="15.75" customHeight="1">
      <c r="D199" s="247"/>
    </row>
    <row r="200" spans="4:4" ht="15.75" customHeight="1">
      <c r="D200" s="247"/>
    </row>
    <row r="201" spans="4:4" ht="15.75" customHeight="1">
      <c r="D201" s="247"/>
    </row>
    <row r="202" spans="4:4" ht="15.75" customHeight="1">
      <c r="D202" s="247"/>
    </row>
    <row r="203" spans="4:4" ht="15.75" customHeight="1">
      <c r="D203" s="247"/>
    </row>
    <row r="204" spans="4:4" ht="15.75" customHeight="1">
      <c r="D204" s="247"/>
    </row>
    <row r="205" spans="4:4" ht="15.75" customHeight="1">
      <c r="D205" s="247"/>
    </row>
    <row r="206" spans="4:4" ht="15.75" customHeight="1">
      <c r="D206" s="247"/>
    </row>
    <row r="207" spans="4:4" ht="15.75" customHeight="1">
      <c r="D207" s="247"/>
    </row>
    <row r="208" spans="4:4" ht="15.75" customHeight="1">
      <c r="D208" s="247"/>
    </row>
    <row r="209" spans="4:4" ht="15.75" customHeight="1">
      <c r="D209" s="247"/>
    </row>
    <row r="210" spans="4:4" ht="15.75" customHeight="1">
      <c r="D210" s="247"/>
    </row>
    <row r="211" spans="4:4" ht="15.75" customHeight="1">
      <c r="D211" s="247"/>
    </row>
    <row r="212" spans="4:4" ht="15.75" customHeight="1">
      <c r="D212" s="247"/>
    </row>
    <row r="213" spans="4:4" ht="15.75" customHeight="1">
      <c r="D213" s="247"/>
    </row>
    <row r="214" spans="4:4" ht="15.75" customHeight="1">
      <c r="D214" s="247"/>
    </row>
    <row r="215" spans="4:4" ht="15.75" customHeight="1">
      <c r="D215" s="247"/>
    </row>
    <row r="216" spans="4:4" ht="15.75" customHeight="1">
      <c r="D216" s="247"/>
    </row>
    <row r="217" spans="4:4" ht="15.75" customHeight="1">
      <c r="D217" s="247"/>
    </row>
    <row r="218" spans="4:4" ht="15.75" customHeight="1">
      <c r="D218" s="247"/>
    </row>
    <row r="219" spans="4:4" ht="15.75" customHeight="1">
      <c r="D219" s="247"/>
    </row>
    <row r="220" spans="4:4" ht="15.75" customHeight="1">
      <c r="D220" s="247"/>
    </row>
    <row r="221" spans="4:4" ht="15.75" customHeight="1">
      <c r="D221" s="247"/>
    </row>
    <row r="222" spans="4:4" ht="15.75" customHeight="1">
      <c r="D222" s="247"/>
    </row>
    <row r="223" spans="4:4" ht="15.75" customHeight="1">
      <c r="D223" s="247"/>
    </row>
    <row r="224" spans="4:4" ht="15.75" customHeight="1">
      <c r="D224" s="247"/>
    </row>
    <row r="225" spans="4:4" ht="15.75" customHeight="1">
      <c r="D225" s="247"/>
    </row>
    <row r="226" spans="4:4" ht="15.75" customHeight="1">
      <c r="D226" s="247"/>
    </row>
    <row r="227" spans="4:4" ht="15.75" customHeight="1">
      <c r="D227" s="247"/>
    </row>
    <row r="228" spans="4:4" ht="15.75" customHeight="1">
      <c r="D228" s="247"/>
    </row>
    <row r="229" spans="4:4" ht="15.75" customHeight="1">
      <c r="D229" s="247"/>
    </row>
    <row r="230" spans="4:4" ht="15.75" customHeight="1">
      <c r="D230" s="247"/>
    </row>
    <row r="231" spans="4:4" ht="15.75" customHeight="1">
      <c r="D231" s="247"/>
    </row>
    <row r="232" spans="4:4" ht="15.75" customHeight="1">
      <c r="D232" s="247"/>
    </row>
    <row r="233" spans="4:4" ht="15.75" customHeight="1">
      <c r="D233" s="247"/>
    </row>
    <row r="234" spans="4:4" ht="15.75" customHeight="1">
      <c r="D234" s="247"/>
    </row>
    <row r="235" spans="4:4" ht="15.75" customHeight="1">
      <c r="D235" s="247"/>
    </row>
    <row r="236" spans="4:4" ht="15.75" customHeight="1">
      <c r="D236" s="247"/>
    </row>
    <row r="237" spans="4:4" ht="15.75" customHeight="1">
      <c r="D237" s="247"/>
    </row>
    <row r="238" spans="4:4" ht="15.75" customHeight="1">
      <c r="D238" s="247"/>
    </row>
    <row r="239" spans="4:4" ht="15.75" customHeight="1">
      <c r="D239" s="247"/>
    </row>
    <row r="240" spans="4:4" ht="15.75" customHeight="1">
      <c r="D240" s="247"/>
    </row>
    <row r="241" spans="4:4" ht="15.75" customHeight="1">
      <c r="D241" s="247"/>
    </row>
    <row r="242" spans="4:4" ht="15.75" customHeight="1">
      <c r="D242" s="247"/>
    </row>
    <row r="243" spans="4:4" ht="15.75" customHeight="1">
      <c r="D243" s="247"/>
    </row>
    <row r="244" spans="4:4" ht="15.75" customHeight="1">
      <c r="D244" s="247"/>
    </row>
    <row r="245" spans="4:4" ht="15.75" customHeight="1">
      <c r="D245" s="247"/>
    </row>
    <row r="246" spans="4:4" ht="15.75" customHeight="1">
      <c r="D246" s="247"/>
    </row>
    <row r="247" spans="4:4" ht="15.75" customHeight="1">
      <c r="D247" s="247"/>
    </row>
    <row r="248" spans="4:4" ht="15.75" customHeight="1">
      <c r="D248" s="247"/>
    </row>
    <row r="249" spans="4:4" ht="15.75" customHeight="1">
      <c r="D249" s="247"/>
    </row>
    <row r="250" spans="4:4" ht="15.75" customHeight="1">
      <c r="D250" s="247"/>
    </row>
    <row r="251" spans="4:4" ht="15.75" customHeight="1">
      <c r="D251" s="247"/>
    </row>
    <row r="252" spans="4:4" ht="15.75" customHeight="1">
      <c r="D252" s="247"/>
    </row>
    <row r="253" spans="4:4" ht="15.75" customHeight="1">
      <c r="D253" s="247"/>
    </row>
    <row r="254" spans="4:4" ht="15.75" customHeight="1">
      <c r="D254" s="247"/>
    </row>
    <row r="255" spans="4:4" ht="15.75" customHeight="1">
      <c r="D255" s="247"/>
    </row>
    <row r="256" spans="4:4" ht="15.75" customHeight="1">
      <c r="D256" s="247"/>
    </row>
    <row r="257" spans="4:4" ht="15.75" customHeight="1">
      <c r="D257" s="247"/>
    </row>
    <row r="258" spans="4:4" ht="15.75" customHeight="1">
      <c r="D258" s="247"/>
    </row>
    <row r="259" spans="4:4" ht="15.75" customHeight="1">
      <c r="D259" s="247"/>
    </row>
    <row r="260" spans="4:4" ht="15.75" customHeight="1">
      <c r="D260" s="247"/>
    </row>
    <row r="261" spans="4:4" ht="15.75" customHeight="1">
      <c r="D261" s="247"/>
    </row>
    <row r="262" spans="4:4" ht="15.75" customHeight="1">
      <c r="D262" s="247"/>
    </row>
    <row r="263" spans="4:4" ht="15.75" customHeight="1">
      <c r="D263" s="247"/>
    </row>
    <row r="264" spans="4:4" ht="15.75" customHeight="1">
      <c r="D264" s="247"/>
    </row>
    <row r="265" spans="4:4" ht="15.75" customHeight="1">
      <c r="D265" s="247"/>
    </row>
    <row r="266" spans="4:4" ht="15.75" customHeight="1">
      <c r="D266" s="247"/>
    </row>
    <row r="267" spans="4:4" ht="15.75" customHeight="1">
      <c r="D267" s="247"/>
    </row>
    <row r="268" spans="4:4" ht="15.75" customHeight="1">
      <c r="D268" s="247"/>
    </row>
    <row r="269" spans="4:4" ht="15.75" customHeight="1">
      <c r="D269" s="247"/>
    </row>
    <row r="270" spans="4:4" ht="15.75" customHeight="1">
      <c r="D270" s="247"/>
    </row>
    <row r="271" spans="4:4" ht="15.75" customHeight="1">
      <c r="D271" s="247"/>
    </row>
    <row r="272" spans="4:4" ht="15.75" customHeight="1">
      <c r="D272" s="247"/>
    </row>
    <row r="273" spans="4:4" ht="15.75" customHeight="1">
      <c r="D273" s="247"/>
    </row>
    <row r="274" spans="4:4" ht="15.75" customHeight="1">
      <c r="D274" s="247"/>
    </row>
    <row r="275" spans="4:4" ht="15.75" customHeight="1">
      <c r="D275" s="247"/>
    </row>
    <row r="276" spans="4:4" ht="15.75" customHeight="1">
      <c r="D276" s="247"/>
    </row>
    <row r="277" spans="4:4" ht="15.75" customHeight="1">
      <c r="D277" s="247"/>
    </row>
    <row r="278" spans="4:4" ht="15.75" customHeight="1">
      <c r="D278" s="247"/>
    </row>
    <row r="279" spans="4:4" ht="15.75" customHeight="1">
      <c r="D279" s="247"/>
    </row>
    <row r="280" spans="4:4" ht="15.75" customHeight="1">
      <c r="D280" s="247"/>
    </row>
    <row r="281" spans="4:4" ht="15.75" customHeight="1">
      <c r="D281" s="247"/>
    </row>
    <row r="282" spans="4:4" ht="15.75" customHeight="1">
      <c r="D282" s="247"/>
    </row>
    <row r="283" spans="4:4" ht="15.75" customHeight="1">
      <c r="D283" s="247"/>
    </row>
    <row r="284" spans="4:4" ht="15.75" customHeight="1">
      <c r="D284" s="247"/>
    </row>
    <row r="285" spans="4:4" ht="15.75" customHeight="1">
      <c r="D285" s="247"/>
    </row>
    <row r="286" spans="4:4" ht="15.75" customHeight="1">
      <c r="D286" s="247"/>
    </row>
    <row r="287" spans="4:4" ht="15.75" customHeight="1">
      <c r="D287" s="247"/>
    </row>
    <row r="288" spans="4:4" ht="15.75" customHeight="1">
      <c r="D288" s="247"/>
    </row>
    <row r="289" spans="4:4" ht="15.75" customHeight="1">
      <c r="D289" s="247"/>
    </row>
    <row r="290" spans="4:4" ht="15.75" customHeight="1">
      <c r="D290" s="247"/>
    </row>
    <row r="291" spans="4:4" ht="15.75" customHeight="1">
      <c r="D291" s="247"/>
    </row>
    <row r="292" spans="4:4" ht="15.75" customHeight="1">
      <c r="D292" s="247"/>
    </row>
    <row r="293" spans="4:4" ht="15.75" customHeight="1">
      <c r="D293" s="247"/>
    </row>
    <row r="294" spans="4:4" ht="15.75" customHeight="1">
      <c r="D294" s="247"/>
    </row>
    <row r="295" spans="4:4" ht="15.75" customHeight="1">
      <c r="D295" s="247"/>
    </row>
    <row r="296" spans="4:4" ht="15.75" customHeight="1">
      <c r="D296" s="247"/>
    </row>
    <row r="297" spans="4:4" ht="15.75" customHeight="1">
      <c r="D297" s="247"/>
    </row>
    <row r="298" spans="4:4" ht="15.75" customHeight="1">
      <c r="D298" s="247"/>
    </row>
    <row r="299" spans="4:4" ht="15.75" customHeight="1">
      <c r="D299" s="247"/>
    </row>
    <row r="300" spans="4:4" ht="15.75" customHeight="1">
      <c r="D300" s="247"/>
    </row>
    <row r="301" spans="4:4" ht="15.75" customHeight="1">
      <c r="D301" s="247"/>
    </row>
    <row r="302" spans="4:4" ht="15.75" customHeight="1">
      <c r="D302" s="247"/>
    </row>
    <row r="303" spans="4:4" ht="15.75" customHeight="1">
      <c r="D303" s="247"/>
    </row>
    <row r="304" spans="4:4" ht="15.75" customHeight="1">
      <c r="D304" s="247"/>
    </row>
    <row r="305" spans="4:4" ht="15.75" customHeight="1">
      <c r="D305" s="247"/>
    </row>
    <row r="306" spans="4:4" ht="15.75" customHeight="1">
      <c r="D306" s="247"/>
    </row>
    <row r="307" spans="4:4" ht="15.75" customHeight="1">
      <c r="D307" s="247"/>
    </row>
    <row r="308" spans="4:4" ht="15.75" customHeight="1">
      <c r="D308" s="247"/>
    </row>
    <row r="309" spans="4:4" ht="15.75" customHeight="1">
      <c r="D309" s="247"/>
    </row>
    <row r="310" spans="4:4" ht="15.75" customHeight="1">
      <c r="D310" s="247"/>
    </row>
    <row r="311" spans="4:4" ht="15.75" customHeight="1">
      <c r="D311" s="247"/>
    </row>
    <row r="312" spans="4:4" ht="15.75" customHeight="1">
      <c r="D312" s="247"/>
    </row>
    <row r="313" spans="4:4" ht="15.75" customHeight="1">
      <c r="D313" s="247"/>
    </row>
    <row r="314" spans="4:4" ht="15.75" customHeight="1">
      <c r="D314" s="247"/>
    </row>
    <row r="315" spans="4:4" ht="15.75" customHeight="1">
      <c r="D315" s="247"/>
    </row>
    <row r="316" spans="4:4" ht="15.75" customHeight="1">
      <c r="D316" s="247"/>
    </row>
    <row r="317" spans="4:4" ht="15.75" customHeight="1">
      <c r="D317" s="247"/>
    </row>
    <row r="318" spans="4:4" ht="15.75" customHeight="1">
      <c r="D318" s="247"/>
    </row>
    <row r="319" spans="4:4" ht="15.75" customHeight="1">
      <c r="D319" s="247"/>
    </row>
    <row r="320" spans="4:4" ht="15.75" customHeight="1">
      <c r="D320" s="247"/>
    </row>
    <row r="321" spans="4:4" ht="15.75" customHeight="1">
      <c r="D321" s="247"/>
    </row>
    <row r="322" spans="4:4" ht="15.75" customHeight="1">
      <c r="D322" s="247"/>
    </row>
    <row r="323" spans="4:4" ht="15.75" customHeight="1">
      <c r="D323" s="247"/>
    </row>
    <row r="324" spans="4:4" ht="15.75" customHeight="1">
      <c r="D324" s="247"/>
    </row>
    <row r="325" spans="4:4" ht="15.75" customHeight="1">
      <c r="D325" s="247"/>
    </row>
    <row r="326" spans="4:4" ht="15.75" customHeight="1">
      <c r="D326" s="247"/>
    </row>
    <row r="327" spans="4:4" ht="15.75" customHeight="1">
      <c r="D327" s="247"/>
    </row>
    <row r="328" spans="4:4" ht="15.75" customHeight="1">
      <c r="D328" s="247"/>
    </row>
    <row r="329" spans="4:4" ht="15.75" customHeight="1">
      <c r="D329" s="247"/>
    </row>
    <row r="330" spans="4:4" ht="15.75" customHeight="1">
      <c r="D330" s="247"/>
    </row>
    <row r="331" spans="4:4" ht="15.75" customHeight="1">
      <c r="D331" s="247"/>
    </row>
    <row r="332" spans="4:4" ht="15.75" customHeight="1">
      <c r="D332" s="247"/>
    </row>
    <row r="333" spans="4:4" ht="15.75" customHeight="1">
      <c r="D333" s="247"/>
    </row>
    <row r="334" spans="4:4" ht="15.75" customHeight="1">
      <c r="D334" s="247"/>
    </row>
    <row r="335" spans="4:4" ht="15.75" customHeight="1">
      <c r="D335" s="247"/>
    </row>
    <row r="336" spans="4:4" ht="15.75" customHeight="1">
      <c r="D336" s="247"/>
    </row>
    <row r="337" spans="4:4" ht="15.75" customHeight="1">
      <c r="D337" s="247"/>
    </row>
    <row r="338" spans="4:4" ht="15.75" customHeight="1">
      <c r="D338" s="247"/>
    </row>
    <row r="339" spans="4:4" ht="15.75" customHeight="1">
      <c r="D339" s="247"/>
    </row>
    <row r="340" spans="4:4" ht="15.75" customHeight="1">
      <c r="D340" s="247"/>
    </row>
    <row r="341" spans="4:4" ht="15.75" customHeight="1">
      <c r="D341" s="247"/>
    </row>
    <row r="342" spans="4:4" ht="15.75" customHeight="1">
      <c r="D342" s="247"/>
    </row>
    <row r="343" spans="4:4" ht="15.75" customHeight="1">
      <c r="D343" s="247"/>
    </row>
    <row r="344" spans="4:4" ht="15.75" customHeight="1">
      <c r="D344" s="247"/>
    </row>
    <row r="345" spans="4:4" ht="15.75" customHeight="1">
      <c r="D345" s="247"/>
    </row>
    <row r="346" spans="4:4" ht="15.75" customHeight="1">
      <c r="D346" s="247"/>
    </row>
    <row r="347" spans="4:4" ht="15.75" customHeight="1">
      <c r="D347" s="247"/>
    </row>
    <row r="348" spans="4:4" ht="15.75" customHeight="1">
      <c r="D348" s="247"/>
    </row>
    <row r="349" spans="4:4" ht="15.75" customHeight="1">
      <c r="D349" s="247"/>
    </row>
    <row r="350" spans="4:4" ht="15.75" customHeight="1">
      <c r="D350" s="247"/>
    </row>
    <row r="351" spans="4:4" ht="15.75" customHeight="1">
      <c r="D351" s="247"/>
    </row>
    <row r="352" spans="4:4" ht="15.75" customHeight="1">
      <c r="D352" s="247"/>
    </row>
    <row r="353" spans="4:4" ht="15.75" customHeight="1">
      <c r="D353" s="247"/>
    </row>
    <row r="354" spans="4:4" ht="15.75" customHeight="1">
      <c r="D354" s="247"/>
    </row>
    <row r="355" spans="4:4" ht="15.75" customHeight="1">
      <c r="D355" s="247"/>
    </row>
    <row r="356" spans="4:4" ht="15.75" customHeight="1">
      <c r="D356" s="247"/>
    </row>
    <row r="357" spans="4:4" ht="15.75" customHeight="1">
      <c r="D357" s="247"/>
    </row>
    <row r="358" spans="4:4" ht="15.75" customHeight="1">
      <c r="D358" s="247"/>
    </row>
    <row r="359" spans="4:4" ht="15.75" customHeight="1">
      <c r="D359" s="247"/>
    </row>
    <row r="360" spans="4:4" ht="15.75" customHeight="1">
      <c r="D360" s="247"/>
    </row>
    <row r="361" spans="4:4" ht="15.75" customHeight="1">
      <c r="D361" s="247"/>
    </row>
    <row r="362" spans="4:4" ht="15" customHeight="1">
      <c r="D362" s="247"/>
    </row>
    <row r="363" spans="4:4" ht="15" customHeight="1">
      <c r="D363" s="247"/>
    </row>
    <row r="364" spans="4:4" ht="15" customHeight="1">
      <c r="D364" s="247"/>
    </row>
    <row r="365" spans="4:4" ht="15" customHeight="1">
      <c r="D365" s="247"/>
    </row>
    <row r="366" spans="4:4" ht="15" customHeight="1">
      <c r="D366" s="247"/>
    </row>
    <row r="367" spans="4:4" ht="15" customHeight="1">
      <c r="D367" s="247"/>
    </row>
    <row r="368" spans="4:4" ht="15" customHeight="1">
      <c r="D368" s="247"/>
    </row>
    <row r="369" spans="4:4" ht="15" customHeight="1">
      <c r="D369" s="247"/>
    </row>
    <row r="370" spans="4:4" ht="15" customHeight="1">
      <c r="D370" s="247"/>
    </row>
    <row r="371" spans="4:4" ht="15" customHeight="1">
      <c r="D371" s="247"/>
    </row>
    <row r="372" spans="4:4" ht="15" customHeight="1">
      <c r="D372" s="247"/>
    </row>
    <row r="373" spans="4:4" ht="15" customHeight="1">
      <c r="D373" s="247"/>
    </row>
    <row r="374" spans="4:4" ht="15" customHeight="1">
      <c r="D374" s="247"/>
    </row>
    <row r="375" spans="4:4" ht="15" customHeight="1">
      <c r="D375" s="247"/>
    </row>
    <row r="376" spans="4:4" ht="15" customHeight="1">
      <c r="D376" s="247"/>
    </row>
    <row r="377" spans="4:4" ht="15" customHeight="1">
      <c r="D377" s="247"/>
    </row>
    <row r="378" spans="4:4" ht="15" customHeight="1">
      <c r="D378" s="247"/>
    </row>
    <row r="379" spans="4:4" ht="15" customHeight="1">
      <c r="D379" s="247"/>
    </row>
    <row r="380" spans="4:4" ht="15" customHeight="1">
      <c r="D380" s="247"/>
    </row>
    <row r="381" spans="4:4" ht="15" customHeight="1">
      <c r="D381" s="247"/>
    </row>
    <row r="382" spans="4:4" ht="15" customHeight="1">
      <c r="D382" s="247"/>
    </row>
    <row r="383" spans="4:4" ht="15" customHeight="1">
      <c r="D383" s="247"/>
    </row>
    <row r="384" spans="4:4" ht="15" customHeight="1">
      <c r="D384" s="247"/>
    </row>
    <row r="385" spans="4:4" ht="15" customHeight="1">
      <c r="D385" s="247"/>
    </row>
    <row r="386" spans="4:4" ht="15" customHeight="1">
      <c r="D386" s="247"/>
    </row>
    <row r="387" spans="4:4" ht="15" customHeight="1">
      <c r="D387" s="247"/>
    </row>
    <row r="388" spans="4:4" ht="15" customHeight="1">
      <c r="D388" s="247"/>
    </row>
    <row r="389" spans="4:4" ht="15" customHeight="1">
      <c r="D389" s="247"/>
    </row>
    <row r="390" spans="4:4" ht="15" customHeight="1">
      <c r="D390" s="247"/>
    </row>
    <row r="391" spans="4:4" ht="15" customHeight="1">
      <c r="D391" s="247"/>
    </row>
    <row r="392" spans="4:4" ht="15" customHeight="1">
      <c r="D392" s="247"/>
    </row>
    <row r="393" spans="4:4" ht="15" customHeight="1">
      <c r="D393" s="247"/>
    </row>
    <row r="394" spans="4:4" ht="15" customHeight="1">
      <c r="D394" s="247"/>
    </row>
    <row r="395" spans="4:4" ht="15" customHeight="1">
      <c r="D395" s="247"/>
    </row>
    <row r="396" spans="4:4" ht="15" customHeight="1">
      <c r="D396" s="247"/>
    </row>
    <row r="397" spans="4:4" ht="15" customHeight="1">
      <c r="D397" s="247"/>
    </row>
    <row r="398" spans="4:4" ht="15" customHeight="1">
      <c r="D398" s="247"/>
    </row>
    <row r="399" spans="4:4" ht="15" customHeight="1">
      <c r="D399" s="247"/>
    </row>
    <row r="400" spans="4:4" ht="15" customHeight="1">
      <c r="D400" s="247"/>
    </row>
    <row r="401" spans="4:4" ht="15" customHeight="1">
      <c r="D401" s="247"/>
    </row>
    <row r="402" spans="4:4" ht="15" customHeight="1">
      <c r="D402" s="247"/>
    </row>
    <row r="403" spans="4:4" ht="15" customHeight="1">
      <c r="D403" s="247"/>
    </row>
    <row r="404" spans="4:4" ht="15" customHeight="1">
      <c r="D404" s="247"/>
    </row>
    <row r="405" spans="4:4" ht="15" customHeight="1">
      <c r="D405" s="247"/>
    </row>
    <row r="406" spans="4:4" ht="15" customHeight="1">
      <c r="D406" s="247"/>
    </row>
    <row r="407" spans="4:4" ht="15" customHeight="1">
      <c r="D407" s="247"/>
    </row>
    <row r="408" spans="4:4" ht="15" customHeight="1">
      <c r="D408" s="247"/>
    </row>
    <row r="409" spans="4:4" ht="15" customHeight="1">
      <c r="D409" s="247"/>
    </row>
    <row r="410" spans="4:4" ht="15" customHeight="1">
      <c r="D410" s="247"/>
    </row>
    <row r="411" spans="4:4" ht="15" customHeight="1">
      <c r="D411" s="247"/>
    </row>
    <row r="412" spans="4:4" ht="15" customHeight="1">
      <c r="D412" s="247"/>
    </row>
    <row r="413" spans="4:4" ht="15" customHeight="1">
      <c r="D413" s="247"/>
    </row>
    <row r="414" spans="4:4" ht="15" customHeight="1">
      <c r="D414" s="247"/>
    </row>
    <row r="415" spans="4:4" ht="15" customHeight="1">
      <c r="D415" s="247"/>
    </row>
    <row r="416" spans="4:4" ht="15" customHeight="1">
      <c r="D416" s="247"/>
    </row>
    <row r="417" spans="4:4" ht="15" customHeight="1">
      <c r="D417" s="247"/>
    </row>
    <row r="418" spans="4:4" ht="15" customHeight="1">
      <c r="D418" s="247"/>
    </row>
    <row r="419" spans="4:4" ht="15" customHeight="1">
      <c r="D419" s="247"/>
    </row>
    <row r="420" spans="4:4" ht="15" customHeight="1">
      <c r="D420" s="247"/>
    </row>
    <row r="421" spans="4:4" ht="15" customHeight="1">
      <c r="D421" s="247"/>
    </row>
    <row r="422" spans="4:4" ht="15" customHeight="1">
      <c r="D422" s="247"/>
    </row>
    <row r="423" spans="4:4" ht="15" customHeight="1">
      <c r="D423" s="247"/>
    </row>
    <row r="424" spans="4:4" ht="15" customHeight="1">
      <c r="D424" s="247"/>
    </row>
    <row r="425" spans="4:4" ht="15" customHeight="1">
      <c r="D425" s="247"/>
    </row>
    <row r="426" spans="4:4" ht="15" customHeight="1">
      <c r="D426" s="247"/>
    </row>
    <row r="427" spans="4:4" ht="15" customHeight="1">
      <c r="D427" s="247"/>
    </row>
    <row r="428" spans="4:4" ht="15" customHeight="1">
      <c r="D428" s="247"/>
    </row>
    <row r="429" spans="4:4" ht="15" customHeight="1">
      <c r="D429" s="247"/>
    </row>
    <row r="430" spans="4:4" ht="15" customHeight="1">
      <c r="D430" s="247"/>
    </row>
    <row r="431" spans="4:4" ht="15" customHeight="1">
      <c r="D431" s="247"/>
    </row>
    <row r="432" spans="4:4" ht="15" customHeight="1">
      <c r="D432" s="247"/>
    </row>
    <row r="433" spans="4:4" ht="15" customHeight="1">
      <c r="D433" s="247"/>
    </row>
    <row r="434" spans="4:4" ht="15" customHeight="1">
      <c r="D434" s="247"/>
    </row>
    <row r="435" spans="4:4" ht="15" customHeight="1">
      <c r="D435" s="247"/>
    </row>
    <row r="436" spans="4:4" ht="15" customHeight="1">
      <c r="D436" s="247"/>
    </row>
    <row r="437" spans="4:4" ht="15" customHeight="1">
      <c r="D437" s="247"/>
    </row>
    <row r="438" spans="4:4" ht="15" customHeight="1">
      <c r="D438" s="247"/>
    </row>
    <row r="439" spans="4:4" ht="15" customHeight="1">
      <c r="D439" s="247"/>
    </row>
    <row r="440" spans="4:4" ht="15" customHeight="1">
      <c r="D440" s="247"/>
    </row>
    <row r="441" spans="4:4" ht="15" customHeight="1">
      <c r="D441" s="247"/>
    </row>
    <row r="442" spans="4:4" ht="15" customHeight="1">
      <c r="D442" s="247"/>
    </row>
    <row r="443" spans="4:4" ht="15" customHeight="1">
      <c r="D443" s="247"/>
    </row>
    <row r="444" spans="4:4" ht="15" customHeight="1">
      <c r="D444" s="247"/>
    </row>
    <row r="445" spans="4:4" ht="15" customHeight="1">
      <c r="D445" s="247"/>
    </row>
    <row r="446" spans="4:4" ht="15" customHeight="1">
      <c r="D446" s="247"/>
    </row>
    <row r="447" spans="4:4" ht="15" customHeight="1">
      <c r="D447" s="247"/>
    </row>
    <row r="448" spans="4:4" ht="15" customHeight="1">
      <c r="D448" s="247"/>
    </row>
    <row r="449" spans="4:4" ht="15" customHeight="1">
      <c r="D449" s="247"/>
    </row>
    <row r="450" spans="4:4" ht="15" customHeight="1">
      <c r="D450" s="247"/>
    </row>
    <row r="451" spans="4:4" ht="15" customHeight="1">
      <c r="D451" s="247"/>
    </row>
    <row r="452" spans="4:4" ht="15" customHeight="1">
      <c r="D452" s="247"/>
    </row>
    <row r="453" spans="4:4" ht="15" customHeight="1">
      <c r="D453" s="247"/>
    </row>
    <row r="454" spans="4:4" ht="15" customHeight="1">
      <c r="D454" s="247"/>
    </row>
    <row r="455" spans="4:4" ht="15" customHeight="1">
      <c r="D455" s="247"/>
    </row>
    <row r="456" spans="4:4" ht="15" customHeight="1">
      <c r="D456" s="247"/>
    </row>
    <row r="457" spans="4:4" ht="15" customHeight="1">
      <c r="D457" s="247"/>
    </row>
    <row r="458" spans="4:4" ht="15" customHeight="1">
      <c r="D458" s="247"/>
    </row>
    <row r="459" spans="4:4" ht="15" customHeight="1">
      <c r="D459" s="247"/>
    </row>
    <row r="460" spans="4:4" ht="15" customHeight="1">
      <c r="D460" s="247"/>
    </row>
    <row r="461" spans="4:4" ht="15" customHeight="1">
      <c r="D461" s="247"/>
    </row>
    <row r="462" spans="4:4" ht="15" customHeight="1">
      <c r="D462" s="247"/>
    </row>
    <row r="463" spans="4:4" ht="15" customHeight="1">
      <c r="D463" s="247"/>
    </row>
    <row r="464" spans="4:4" ht="15" customHeight="1">
      <c r="D464" s="247"/>
    </row>
    <row r="465" spans="4:4" ht="15" customHeight="1">
      <c r="D465" s="247"/>
    </row>
    <row r="466" spans="4:4" ht="15" customHeight="1">
      <c r="D466" s="247"/>
    </row>
    <row r="467" spans="4:4" ht="15" customHeight="1">
      <c r="D467" s="247"/>
    </row>
    <row r="468" spans="4:4" ht="15" customHeight="1">
      <c r="D468" s="247"/>
    </row>
    <row r="469" spans="4:4" ht="15" customHeight="1">
      <c r="D469" s="247"/>
    </row>
    <row r="470" spans="4:4" ht="15" customHeight="1">
      <c r="D470" s="247"/>
    </row>
    <row r="471" spans="4:4" ht="15" customHeight="1">
      <c r="D471" s="247"/>
    </row>
    <row r="472" spans="4:4" ht="15" customHeight="1">
      <c r="D472" s="247"/>
    </row>
    <row r="473" spans="4:4" ht="15" customHeight="1">
      <c r="D473" s="247"/>
    </row>
    <row r="474" spans="4:4" ht="15" customHeight="1">
      <c r="D474" s="247"/>
    </row>
    <row r="475" spans="4:4" ht="15" customHeight="1">
      <c r="D475" s="247"/>
    </row>
    <row r="476" spans="4:4" ht="15" customHeight="1">
      <c r="D476" s="247"/>
    </row>
    <row r="477" spans="4:4" ht="15" customHeight="1">
      <c r="D477" s="247"/>
    </row>
    <row r="478" spans="4:4" ht="15" customHeight="1">
      <c r="D478" s="247"/>
    </row>
    <row r="479" spans="4:4" ht="15" customHeight="1">
      <c r="D479" s="247"/>
    </row>
    <row r="480" spans="4:4" ht="15" customHeight="1">
      <c r="D480" s="247"/>
    </row>
    <row r="481" spans="4:4" ht="15" customHeight="1">
      <c r="D481" s="247"/>
    </row>
    <row r="482" spans="4:4" ht="15" customHeight="1">
      <c r="D482" s="247"/>
    </row>
    <row r="483" spans="4:4" ht="15" customHeight="1">
      <c r="D483" s="247"/>
    </row>
    <row r="484" spans="4:4" ht="15" customHeight="1">
      <c r="D484" s="247"/>
    </row>
    <row r="485" spans="4:4" ht="15" customHeight="1">
      <c r="D485" s="247"/>
    </row>
    <row r="486" spans="4:4" ht="15" customHeight="1">
      <c r="D486" s="247"/>
    </row>
    <row r="487" spans="4:4" ht="15" customHeight="1">
      <c r="D487" s="247"/>
    </row>
    <row r="488" spans="4:4" ht="15" customHeight="1">
      <c r="D488" s="247"/>
    </row>
    <row r="489" spans="4:4" ht="15" customHeight="1">
      <c r="D489" s="247"/>
    </row>
    <row r="490" spans="4:4" ht="15" customHeight="1">
      <c r="D490" s="247"/>
    </row>
    <row r="491" spans="4:4" ht="15" customHeight="1">
      <c r="D491" s="247"/>
    </row>
    <row r="492" spans="4:4" ht="15" customHeight="1">
      <c r="D492" s="247"/>
    </row>
    <row r="493" spans="4:4" ht="15" customHeight="1">
      <c r="D493" s="247"/>
    </row>
    <row r="494" spans="4:4" ht="15" customHeight="1">
      <c r="D494" s="247"/>
    </row>
    <row r="495" spans="4:4" ht="15" customHeight="1">
      <c r="D495" s="247"/>
    </row>
    <row r="496" spans="4:4" ht="15" customHeight="1">
      <c r="D496" s="247"/>
    </row>
    <row r="497" spans="4:4" ht="15" customHeight="1">
      <c r="D497" s="247"/>
    </row>
    <row r="498" spans="4:4" ht="15" customHeight="1">
      <c r="D498" s="247"/>
    </row>
    <row r="499" spans="4:4" ht="15" customHeight="1">
      <c r="D499" s="247"/>
    </row>
    <row r="500" spans="4:4" ht="15" customHeight="1">
      <c r="D500" s="247"/>
    </row>
  </sheetData>
  <autoFilter ref="A1:V1" xr:uid="{74474408-19F5-4373-ABB7-E19D5D437067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pageSetUpPr fitToPage="1"/>
  </sheetPr>
  <dimension ref="A1:U1618"/>
  <sheetViews>
    <sheetView zoomScale="55" zoomScaleNormal="55" workbookViewId="0">
      <pane ySplit="1" topLeftCell="A2" activePane="bottomLeft" state="frozen"/>
      <selection pane="bottomLeft" activeCell="P372" sqref="P372"/>
    </sheetView>
  </sheetViews>
  <sheetFormatPr defaultColWidth="14" defaultRowHeight="15" customHeight="1"/>
  <cols>
    <col min="1" max="1" width="6" style="158" customWidth="1"/>
    <col min="2" max="2" width="16.6640625" style="158" customWidth="1"/>
    <col min="3" max="3" width="38.109375" style="158" customWidth="1"/>
    <col min="4" max="4" width="14" style="158" customWidth="1"/>
    <col min="5" max="5" width="15.88671875" style="159" bestFit="1" customWidth="1"/>
    <col min="6" max="6" width="13.5546875" style="159" bestFit="1" customWidth="1"/>
    <col min="7" max="7" width="11.33203125" style="159" customWidth="1"/>
    <col min="8" max="8" width="11.6640625" style="159" customWidth="1"/>
    <col min="9" max="9" width="14.33203125" style="159" bestFit="1" customWidth="1"/>
    <col min="10" max="10" width="14.6640625" style="159" customWidth="1"/>
    <col min="11" max="11" width="11.33203125" style="159" customWidth="1"/>
    <col min="12" max="12" width="14.5546875" style="159" bestFit="1" customWidth="1"/>
    <col min="13" max="13" width="17.44140625" style="160" bestFit="1" customWidth="1"/>
    <col min="14" max="14" width="11.5546875" style="159" customWidth="1"/>
    <col min="15" max="15" width="12.6640625" style="159" customWidth="1"/>
    <col min="16" max="17" width="12.44140625" style="159" customWidth="1"/>
    <col min="18" max="20" width="12.44140625" style="161" customWidth="1"/>
    <col min="21" max="21" width="15" style="159" bestFit="1" customWidth="1"/>
    <col min="22" max="16384" width="14" style="158"/>
  </cols>
  <sheetData>
    <row r="1" spans="1:21" s="157" customFormat="1" ht="69.75" customHeight="1">
      <c r="A1" s="163" t="s">
        <v>0</v>
      </c>
      <c r="B1" s="164" t="s">
        <v>1</v>
      </c>
      <c r="C1" s="164" t="s">
        <v>2</v>
      </c>
      <c r="D1" s="165" t="s">
        <v>362</v>
      </c>
      <c r="E1" s="166" t="s">
        <v>363</v>
      </c>
      <c r="F1" s="166" t="s">
        <v>6</v>
      </c>
      <c r="G1" s="166" t="s">
        <v>364</v>
      </c>
      <c r="H1" s="166" t="s">
        <v>365</v>
      </c>
      <c r="I1" s="166" t="s">
        <v>366</v>
      </c>
      <c r="J1" s="166" t="s">
        <v>367</v>
      </c>
      <c r="K1" s="166" t="s">
        <v>368</v>
      </c>
      <c r="L1" s="166" t="s">
        <v>369</v>
      </c>
      <c r="M1" s="166" t="s">
        <v>370</v>
      </c>
      <c r="N1" s="166" t="s">
        <v>371</v>
      </c>
      <c r="O1" s="166" t="s">
        <v>1097</v>
      </c>
      <c r="P1" s="166" t="s">
        <v>1098</v>
      </c>
      <c r="Q1" s="166" t="s">
        <v>979</v>
      </c>
      <c r="R1" s="166" t="s">
        <v>1099</v>
      </c>
      <c r="S1" s="281" t="s">
        <v>434</v>
      </c>
      <c r="T1" s="281" t="s">
        <v>757</v>
      </c>
      <c r="U1" s="166" t="s">
        <v>1089</v>
      </c>
    </row>
    <row r="2" spans="1:21" ht="18" hidden="1" customHeight="1">
      <c r="A2" s="153">
        <f t="shared" ref="A2:A65" si="0">IF(D2&lt;&gt;"", ROW()-1, "")</f>
        <v>1</v>
      </c>
      <c r="B2" s="153" t="s">
        <v>1053</v>
      </c>
      <c r="C2" s="153" t="str">
        <f>VLOOKUP(B2,MEMBERS!B:C,2, )</f>
        <v>MR. ZAMIR ALI SHAH</v>
      </c>
      <c r="D2" s="162">
        <v>45992</v>
      </c>
      <c r="E2" s="154">
        <f>600*3</f>
        <v>1800</v>
      </c>
      <c r="F2" s="154">
        <v>0</v>
      </c>
      <c r="G2" s="154">
        <v>0</v>
      </c>
      <c r="H2" s="154">
        <v>0</v>
      </c>
      <c r="I2" s="154">
        <v>0</v>
      </c>
      <c r="J2" s="154">
        <v>0</v>
      </c>
      <c r="K2" s="154">
        <v>0</v>
      </c>
      <c r="L2" s="154">
        <v>0</v>
      </c>
      <c r="M2" s="155">
        <v>0</v>
      </c>
      <c r="N2" s="154">
        <v>0</v>
      </c>
      <c r="O2" s="154">
        <v>0</v>
      </c>
      <c r="P2" s="154">
        <v>0</v>
      </c>
      <c r="Q2" s="154">
        <v>0</v>
      </c>
      <c r="R2" s="156">
        <v>0</v>
      </c>
      <c r="S2" s="156">
        <v>0</v>
      </c>
      <c r="T2" s="156">
        <v>0</v>
      </c>
      <c r="U2" s="156">
        <f>SUM(E2:T2)</f>
        <v>1800</v>
      </c>
    </row>
    <row r="3" spans="1:21" ht="18" hidden="1" customHeight="1">
      <c r="A3" s="153">
        <f t="shared" si="0"/>
        <v>2</v>
      </c>
      <c r="B3" s="153" t="s">
        <v>123</v>
      </c>
      <c r="C3" s="153" t="str">
        <f>VLOOKUP(B3,MEMBERS!B:C,2, )</f>
        <v>MR.MUIED AHMED DURRANI</v>
      </c>
      <c r="D3" s="162">
        <v>45992</v>
      </c>
      <c r="E3" s="154">
        <v>0</v>
      </c>
      <c r="F3" s="154">
        <v>0</v>
      </c>
      <c r="G3" s="154">
        <v>0</v>
      </c>
      <c r="H3" s="154">
        <v>0</v>
      </c>
      <c r="I3" s="154">
        <v>0</v>
      </c>
      <c r="J3" s="154">
        <v>300</v>
      </c>
      <c r="K3" s="154">
        <v>0</v>
      </c>
      <c r="L3" s="154">
        <v>0</v>
      </c>
      <c r="M3" s="155">
        <v>0</v>
      </c>
      <c r="N3" s="154">
        <v>0</v>
      </c>
      <c r="O3" s="154">
        <v>0</v>
      </c>
      <c r="P3" s="154">
        <v>0</v>
      </c>
      <c r="Q3" s="154">
        <v>0</v>
      </c>
      <c r="R3" s="156">
        <v>0</v>
      </c>
      <c r="S3" s="156">
        <v>0</v>
      </c>
      <c r="T3" s="156">
        <v>0</v>
      </c>
      <c r="U3" s="156">
        <f t="shared" ref="U3:U66" si="1">SUM(E3:T3)</f>
        <v>300</v>
      </c>
    </row>
    <row r="4" spans="1:21" ht="18" hidden="1" customHeight="1">
      <c r="A4" s="153">
        <f t="shared" si="0"/>
        <v>3</v>
      </c>
      <c r="B4" s="153" t="s">
        <v>69</v>
      </c>
      <c r="C4" s="153" t="str">
        <f>VLOOKUP(B4,MEMBERS!B:C,2, )</f>
        <v>MR.TARIQUE ZUBAIR</v>
      </c>
      <c r="D4" s="162">
        <v>45992</v>
      </c>
      <c r="E4" s="154">
        <v>0</v>
      </c>
      <c r="F4" s="154">
        <v>150</v>
      </c>
      <c r="G4" s="154">
        <v>0</v>
      </c>
      <c r="H4" s="154">
        <v>0</v>
      </c>
      <c r="I4" s="154">
        <v>0</v>
      </c>
      <c r="J4" s="154">
        <v>0</v>
      </c>
      <c r="K4" s="154">
        <v>0</v>
      </c>
      <c r="L4" s="154">
        <v>0</v>
      </c>
      <c r="M4" s="155">
        <v>0</v>
      </c>
      <c r="N4" s="154">
        <v>0</v>
      </c>
      <c r="O4" s="154">
        <v>0</v>
      </c>
      <c r="P4" s="154">
        <v>0</v>
      </c>
      <c r="Q4" s="154">
        <v>0</v>
      </c>
      <c r="R4" s="156">
        <v>0</v>
      </c>
      <c r="S4" s="156">
        <v>0</v>
      </c>
      <c r="T4" s="156">
        <v>0</v>
      </c>
      <c r="U4" s="156">
        <f t="shared" si="1"/>
        <v>150</v>
      </c>
    </row>
    <row r="5" spans="1:21" ht="18" hidden="1" customHeight="1">
      <c r="A5" s="153">
        <f t="shared" si="0"/>
        <v>4</v>
      </c>
      <c r="B5" s="153" t="s">
        <v>312</v>
      </c>
      <c r="C5" s="153" t="str">
        <f>VLOOKUP(B5,MEMBERS!B:C,2, )</f>
        <v>GM GHULAM DASTAGEER</v>
      </c>
      <c r="D5" s="162">
        <v>45992</v>
      </c>
      <c r="E5" s="154">
        <v>0</v>
      </c>
      <c r="F5" s="154">
        <v>150</v>
      </c>
      <c r="G5" s="154">
        <v>0</v>
      </c>
      <c r="H5" s="154">
        <v>0</v>
      </c>
      <c r="I5" s="154">
        <v>0</v>
      </c>
      <c r="J5" s="154">
        <v>0</v>
      </c>
      <c r="K5" s="154">
        <v>0</v>
      </c>
      <c r="L5" s="154">
        <v>0</v>
      </c>
      <c r="M5" s="155">
        <v>0</v>
      </c>
      <c r="N5" s="154">
        <v>0</v>
      </c>
      <c r="O5" s="154">
        <v>0</v>
      </c>
      <c r="P5" s="154">
        <v>0</v>
      </c>
      <c r="Q5" s="154">
        <v>0</v>
      </c>
      <c r="R5" s="156">
        <v>0</v>
      </c>
      <c r="S5" s="156">
        <v>0</v>
      </c>
      <c r="T5" s="156">
        <v>0</v>
      </c>
      <c r="U5" s="156">
        <f t="shared" si="1"/>
        <v>150</v>
      </c>
    </row>
    <row r="6" spans="1:21" ht="18" hidden="1" customHeight="1">
      <c r="A6" s="153">
        <f t="shared" si="0"/>
        <v>5</v>
      </c>
      <c r="B6" s="153" t="s">
        <v>54</v>
      </c>
      <c r="C6" s="153" t="str">
        <f>VLOOKUP(B6,MEMBERS!B:C,2, )</f>
        <v>MR.ZEESHAN IQBAL</v>
      </c>
      <c r="D6" s="162">
        <v>45992</v>
      </c>
      <c r="E6" s="154">
        <v>0</v>
      </c>
      <c r="F6" s="154">
        <f>150+300</f>
        <v>450</v>
      </c>
      <c r="G6" s="154">
        <v>0</v>
      </c>
      <c r="H6" s="154">
        <v>0</v>
      </c>
      <c r="I6" s="154">
        <v>0</v>
      </c>
      <c r="J6" s="154">
        <v>0</v>
      </c>
      <c r="K6" s="154">
        <v>0</v>
      </c>
      <c r="L6" s="154">
        <v>0</v>
      </c>
      <c r="M6" s="155">
        <v>0</v>
      </c>
      <c r="N6" s="154">
        <v>0</v>
      </c>
      <c r="O6" s="154">
        <v>0</v>
      </c>
      <c r="P6" s="154">
        <v>0</v>
      </c>
      <c r="Q6" s="154">
        <v>0</v>
      </c>
      <c r="R6" s="156">
        <v>0</v>
      </c>
      <c r="S6" s="156">
        <v>0</v>
      </c>
      <c r="T6" s="156">
        <v>0</v>
      </c>
      <c r="U6" s="156">
        <f t="shared" si="1"/>
        <v>450</v>
      </c>
    </row>
    <row r="7" spans="1:21" ht="18" hidden="1" customHeight="1">
      <c r="A7" s="153">
        <f t="shared" si="0"/>
        <v>6</v>
      </c>
      <c r="B7" s="153" t="s">
        <v>217</v>
      </c>
      <c r="C7" s="153" t="str">
        <f>VLOOKUP(B7,MEMBERS!B:C,2, )</f>
        <v>MR.ZAIN FAROOQ</v>
      </c>
      <c r="D7" s="162">
        <v>45992</v>
      </c>
      <c r="E7" s="154">
        <v>0</v>
      </c>
      <c r="F7" s="154">
        <f>150*2</f>
        <v>300</v>
      </c>
      <c r="G7" s="154">
        <v>0</v>
      </c>
      <c r="H7" s="154">
        <v>0</v>
      </c>
      <c r="I7" s="154">
        <v>0</v>
      </c>
      <c r="J7" s="154">
        <v>0</v>
      </c>
      <c r="K7" s="154">
        <v>0</v>
      </c>
      <c r="L7" s="154">
        <v>0</v>
      </c>
      <c r="M7" s="155">
        <v>0</v>
      </c>
      <c r="N7" s="154">
        <v>0</v>
      </c>
      <c r="O7" s="154">
        <v>0</v>
      </c>
      <c r="P7" s="154">
        <v>0</v>
      </c>
      <c r="Q7" s="154">
        <v>0</v>
      </c>
      <c r="R7" s="156">
        <v>0</v>
      </c>
      <c r="S7" s="156">
        <v>0</v>
      </c>
      <c r="T7" s="156">
        <v>0</v>
      </c>
      <c r="U7" s="156">
        <f t="shared" si="1"/>
        <v>300</v>
      </c>
    </row>
    <row r="8" spans="1:21" ht="18" hidden="1" customHeight="1">
      <c r="A8" s="153">
        <f t="shared" si="0"/>
        <v>7</v>
      </c>
      <c r="B8" s="153" t="s">
        <v>359</v>
      </c>
      <c r="C8" s="153" t="str">
        <f>VLOOKUP(B8,MEMBERS!B:C,2, )</f>
        <v>DR.NASEEM MUNSHI</v>
      </c>
      <c r="D8" s="162">
        <v>45992</v>
      </c>
      <c r="E8" s="154">
        <v>0</v>
      </c>
      <c r="F8" s="154">
        <v>150</v>
      </c>
      <c r="G8" s="154">
        <v>0</v>
      </c>
      <c r="H8" s="154">
        <v>0</v>
      </c>
      <c r="I8" s="154">
        <v>0</v>
      </c>
      <c r="J8" s="154">
        <v>0</v>
      </c>
      <c r="K8" s="154">
        <v>0</v>
      </c>
      <c r="L8" s="154">
        <v>0</v>
      </c>
      <c r="M8" s="155">
        <v>0</v>
      </c>
      <c r="N8" s="154">
        <v>0</v>
      </c>
      <c r="O8" s="154">
        <v>0</v>
      </c>
      <c r="P8" s="154">
        <v>0</v>
      </c>
      <c r="Q8" s="154">
        <v>0</v>
      </c>
      <c r="R8" s="156">
        <v>0</v>
      </c>
      <c r="S8" s="156">
        <v>0</v>
      </c>
      <c r="T8" s="156">
        <v>0</v>
      </c>
      <c r="U8" s="156">
        <f t="shared" si="1"/>
        <v>150</v>
      </c>
    </row>
    <row r="9" spans="1:21" ht="18" hidden="1" customHeight="1">
      <c r="A9" s="153">
        <f t="shared" si="0"/>
        <v>8</v>
      </c>
      <c r="B9" s="153" t="s">
        <v>273</v>
      </c>
      <c r="C9" s="153" t="str">
        <f>VLOOKUP(B9,MEMBERS!B:C,2, )</f>
        <v>MR.SYED MURTAZA ALI</v>
      </c>
      <c r="D9" s="162">
        <v>45993</v>
      </c>
      <c r="E9" s="154">
        <v>0</v>
      </c>
      <c r="F9" s="154">
        <v>0</v>
      </c>
      <c r="G9" s="154">
        <v>150</v>
      </c>
      <c r="H9" s="154">
        <v>0</v>
      </c>
      <c r="I9" s="154">
        <v>0</v>
      </c>
      <c r="J9" s="154">
        <v>0</v>
      </c>
      <c r="K9" s="154">
        <v>0</v>
      </c>
      <c r="L9" s="154">
        <v>0</v>
      </c>
      <c r="M9" s="155">
        <v>0</v>
      </c>
      <c r="N9" s="154">
        <v>0</v>
      </c>
      <c r="O9" s="154">
        <v>0</v>
      </c>
      <c r="P9" s="154">
        <v>0</v>
      </c>
      <c r="Q9" s="154">
        <v>0</v>
      </c>
      <c r="R9" s="156">
        <v>0</v>
      </c>
      <c r="S9" s="156">
        <v>0</v>
      </c>
      <c r="T9" s="156">
        <v>0</v>
      </c>
      <c r="U9" s="156">
        <f t="shared" si="1"/>
        <v>150</v>
      </c>
    </row>
    <row r="10" spans="1:21" ht="18" hidden="1" customHeight="1">
      <c r="A10" s="153">
        <f t="shared" si="0"/>
        <v>9</v>
      </c>
      <c r="B10" s="153" t="s">
        <v>308</v>
      </c>
      <c r="C10" s="153" t="str">
        <f>VLOOKUP(B10,MEMBERS!B:C,2, )</f>
        <v>DGM AZFAR ALI</v>
      </c>
      <c r="D10" s="162">
        <v>45993</v>
      </c>
      <c r="E10" s="154">
        <f>600*2</f>
        <v>1200</v>
      </c>
      <c r="F10" s="154">
        <v>0</v>
      </c>
      <c r="G10" s="154">
        <v>0</v>
      </c>
      <c r="H10" s="154">
        <v>0</v>
      </c>
      <c r="I10" s="154">
        <v>0</v>
      </c>
      <c r="J10" s="154">
        <v>0</v>
      </c>
      <c r="K10" s="154">
        <v>0</v>
      </c>
      <c r="L10" s="154">
        <v>0</v>
      </c>
      <c r="M10" s="155">
        <v>0</v>
      </c>
      <c r="N10" s="154">
        <v>0</v>
      </c>
      <c r="O10" s="154">
        <v>0</v>
      </c>
      <c r="P10" s="154">
        <v>0</v>
      </c>
      <c r="Q10" s="154">
        <v>0</v>
      </c>
      <c r="R10" s="156">
        <v>0</v>
      </c>
      <c r="S10" s="156">
        <v>0</v>
      </c>
      <c r="T10" s="156">
        <v>0</v>
      </c>
      <c r="U10" s="156">
        <f t="shared" si="1"/>
        <v>1200</v>
      </c>
    </row>
    <row r="11" spans="1:21" ht="18" hidden="1" customHeight="1">
      <c r="A11" s="153">
        <f t="shared" si="0"/>
        <v>10</v>
      </c>
      <c r="B11" s="153" t="s">
        <v>69</v>
      </c>
      <c r="C11" s="153" t="str">
        <f>VLOOKUP(B11,MEMBERS!B:C,2, )</f>
        <v>MR.TARIQUE ZUBAIR</v>
      </c>
      <c r="D11" s="162">
        <v>45993</v>
      </c>
      <c r="E11" s="154">
        <v>0</v>
      </c>
      <c r="F11" s="154">
        <v>150</v>
      </c>
      <c r="G11" s="154">
        <v>0</v>
      </c>
      <c r="H11" s="154">
        <v>0</v>
      </c>
      <c r="I11" s="154">
        <v>0</v>
      </c>
      <c r="J11" s="154">
        <v>0</v>
      </c>
      <c r="K11" s="154">
        <v>0</v>
      </c>
      <c r="L11" s="154">
        <v>0</v>
      </c>
      <c r="M11" s="155">
        <v>0</v>
      </c>
      <c r="N11" s="154">
        <v>0</v>
      </c>
      <c r="O11" s="154">
        <v>0</v>
      </c>
      <c r="P11" s="154">
        <v>0</v>
      </c>
      <c r="Q11" s="154">
        <v>0</v>
      </c>
      <c r="R11" s="156">
        <v>0</v>
      </c>
      <c r="S11" s="156">
        <v>0</v>
      </c>
      <c r="T11" s="156">
        <v>0</v>
      </c>
      <c r="U11" s="156">
        <f t="shared" si="1"/>
        <v>150</v>
      </c>
    </row>
    <row r="12" spans="1:21" ht="18" hidden="1" customHeight="1">
      <c r="A12" s="153">
        <f t="shared" si="0"/>
        <v>11</v>
      </c>
      <c r="B12" s="153" t="s">
        <v>312</v>
      </c>
      <c r="C12" s="153" t="str">
        <f>VLOOKUP(B12,MEMBERS!B:C,2, )</f>
        <v>GM GHULAM DASTAGEER</v>
      </c>
      <c r="D12" s="162">
        <v>45993</v>
      </c>
      <c r="E12" s="154">
        <v>0</v>
      </c>
      <c r="F12" s="154">
        <v>150</v>
      </c>
      <c r="G12" s="154">
        <v>0</v>
      </c>
      <c r="H12" s="154">
        <v>0</v>
      </c>
      <c r="I12" s="154">
        <v>0</v>
      </c>
      <c r="J12" s="154">
        <v>0</v>
      </c>
      <c r="K12" s="154">
        <v>0</v>
      </c>
      <c r="L12" s="154">
        <v>0</v>
      </c>
      <c r="M12" s="155">
        <v>0</v>
      </c>
      <c r="N12" s="154">
        <v>0</v>
      </c>
      <c r="O12" s="154">
        <v>0</v>
      </c>
      <c r="P12" s="154">
        <v>0</v>
      </c>
      <c r="Q12" s="154">
        <v>0</v>
      </c>
      <c r="R12" s="156">
        <v>0</v>
      </c>
      <c r="S12" s="156">
        <v>0</v>
      </c>
      <c r="T12" s="156">
        <v>0</v>
      </c>
      <c r="U12" s="156">
        <f t="shared" si="1"/>
        <v>150</v>
      </c>
    </row>
    <row r="13" spans="1:21" ht="18" hidden="1" customHeight="1">
      <c r="A13" s="153">
        <f t="shared" si="0"/>
        <v>12</v>
      </c>
      <c r="B13" s="153" t="s">
        <v>54</v>
      </c>
      <c r="C13" s="153" t="str">
        <f>VLOOKUP(B13,MEMBERS!B:C,2, )</f>
        <v>MR.ZEESHAN IQBAL</v>
      </c>
      <c r="D13" s="162">
        <v>45993</v>
      </c>
      <c r="E13" s="154">
        <v>0</v>
      </c>
      <c r="F13" s="154">
        <f>150*2+300</f>
        <v>600</v>
      </c>
      <c r="G13" s="154">
        <v>0</v>
      </c>
      <c r="H13" s="154">
        <v>0</v>
      </c>
      <c r="I13" s="154">
        <v>0</v>
      </c>
      <c r="J13" s="154">
        <v>0</v>
      </c>
      <c r="K13" s="154">
        <v>0</v>
      </c>
      <c r="L13" s="154">
        <v>0</v>
      </c>
      <c r="M13" s="155">
        <v>0</v>
      </c>
      <c r="N13" s="154">
        <v>0</v>
      </c>
      <c r="O13" s="154">
        <v>0</v>
      </c>
      <c r="P13" s="154">
        <v>0</v>
      </c>
      <c r="Q13" s="154">
        <v>0</v>
      </c>
      <c r="R13" s="156">
        <v>0</v>
      </c>
      <c r="S13" s="156">
        <v>0</v>
      </c>
      <c r="T13" s="156">
        <v>0</v>
      </c>
      <c r="U13" s="156">
        <f t="shared" si="1"/>
        <v>600</v>
      </c>
    </row>
    <row r="14" spans="1:21" ht="18" hidden="1" customHeight="1">
      <c r="A14" s="153">
        <f t="shared" si="0"/>
        <v>13</v>
      </c>
      <c r="B14" s="153" t="s">
        <v>650</v>
      </c>
      <c r="C14" s="153" t="str">
        <f>VLOOKUP(B14,MEMBERS!B:C,2, )</f>
        <v>SHAHBAZ AHMED</v>
      </c>
      <c r="D14" s="162">
        <v>45993</v>
      </c>
      <c r="E14" s="154">
        <v>0</v>
      </c>
      <c r="F14" s="154">
        <f>150*2</f>
        <v>300</v>
      </c>
      <c r="G14" s="154">
        <v>0</v>
      </c>
      <c r="H14" s="154">
        <v>0</v>
      </c>
      <c r="I14" s="154">
        <v>0</v>
      </c>
      <c r="J14" s="154">
        <v>0</v>
      </c>
      <c r="K14" s="154">
        <v>0</v>
      </c>
      <c r="L14" s="154">
        <v>0</v>
      </c>
      <c r="M14" s="155">
        <v>0</v>
      </c>
      <c r="N14" s="154">
        <v>0</v>
      </c>
      <c r="O14" s="154">
        <v>0</v>
      </c>
      <c r="P14" s="154">
        <v>0</v>
      </c>
      <c r="Q14" s="154">
        <v>0</v>
      </c>
      <c r="R14" s="156">
        <v>0</v>
      </c>
      <c r="S14" s="156">
        <v>0</v>
      </c>
      <c r="T14" s="156">
        <v>0</v>
      </c>
      <c r="U14" s="156">
        <f t="shared" si="1"/>
        <v>300</v>
      </c>
    </row>
    <row r="15" spans="1:21" ht="18" hidden="1" customHeight="1">
      <c r="A15" s="153">
        <f t="shared" si="0"/>
        <v>14</v>
      </c>
      <c r="B15" s="153" t="s">
        <v>373</v>
      </c>
      <c r="C15" s="153" t="str">
        <f>VLOOKUP(B15,MEMBERS!B:C,2, )</f>
        <v>ASIF ASHFAQ</v>
      </c>
      <c r="D15" s="162">
        <v>45993</v>
      </c>
      <c r="E15" s="154">
        <v>0</v>
      </c>
      <c r="F15" s="154">
        <f>150*2</f>
        <v>300</v>
      </c>
      <c r="G15" s="154">
        <v>0</v>
      </c>
      <c r="H15" s="154">
        <v>0</v>
      </c>
      <c r="I15" s="154">
        <v>0</v>
      </c>
      <c r="J15" s="154">
        <v>0</v>
      </c>
      <c r="K15" s="154">
        <v>0</v>
      </c>
      <c r="L15" s="154">
        <v>0</v>
      </c>
      <c r="M15" s="155">
        <v>0</v>
      </c>
      <c r="N15" s="154">
        <v>0</v>
      </c>
      <c r="O15" s="154">
        <v>0</v>
      </c>
      <c r="P15" s="154">
        <v>0</v>
      </c>
      <c r="Q15" s="154">
        <v>0</v>
      </c>
      <c r="R15" s="156">
        <v>0</v>
      </c>
      <c r="S15" s="156">
        <v>0</v>
      </c>
      <c r="T15" s="156">
        <v>0</v>
      </c>
      <c r="U15" s="156">
        <f t="shared" si="1"/>
        <v>300</v>
      </c>
    </row>
    <row r="16" spans="1:21" ht="18" hidden="1" customHeight="1">
      <c r="A16" s="153">
        <f t="shared" si="0"/>
        <v>15</v>
      </c>
      <c r="B16" s="153" t="s">
        <v>426</v>
      </c>
      <c r="C16" s="153" t="str">
        <f>VLOOKUP(B16,MEMBERS!B:C,2, )</f>
        <v>NASIR ABBAS</v>
      </c>
      <c r="D16" s="162">
        <v>45993</v>
      </c>
      <c r="E16" s="154">
        <v>0</v>
      </c>
      <c r="F16" s="154">
        <v>150</v>
      </c>
      <c r="G16" s="154">
        <v>0</v>
      </c>
      <c r="H16" s="154">
        <v>0</v>
      </c>
      <c r="I16" s="154">
        <v>0</v>
      </c>
      <c r="J16" s="154">
        <v>0</v>
      </c>
      <c r="K16" s="154">
        <v>0</v>
      </c>
      <c r="L16" s="154">
        <v>0</v>
      </c>
      <c r="M16" s="155">
        <v>0</v>
      </c>
      <c r="N16" s="154">
        <v>0</v>
      </c>
      <c r="O16" s="154">
        <v>0</v>
      </c>
      <c r="P16" s="154">
        <v>0</v>
      </c>
      <c r="Q16" s="154">
        <v>0</v>
      </c>
      <c r="R16" s="156">
        <v>0</v>
      </c>
      <c r="S16" s="156">
        <v>0</v>
      </c>
      <c r="T16" s="156">
        <v>0</v>
      </c>
      <c r="U16" s="156">
        <f t="shared" si="1"/>
        <v>150</v>
      </c>
    </row>
    <row r="17" spans="1:21" ht="18" hidden="1" customHeight="1">
      <c r="A17" s="153">
        <f t="shared" si="0"/>
        <v>16</v>
      </c>
      <c r="B17" s="153" t="s">
        <v>217</v>
      </c>
      <c r="C17" s="153" t="str">
        <f>VLOOKUP(B17,MEMBERS!B:C,2, )</f>
        <v>MR.ZAIN FAROOQ</v>
      </c>
      <c r="D17" s="162">
        <v>45993</v>
      </c>
      <c r="E17" s="154">
        <v>0</v>
      </c>
      <c r="F17" s="154">
        <v>150</v>
      </c>
      <c r="G17" s="154">
        <v>0</v>
      </c>
      <c r="H17" s="154">
        <v>0</v>
      </c>
      <c r="I17" s="154">
        <v>0</v>
      </c>
      <c r="J17" s="154">
        <v>0</v>
      </c>
      <c r="K17" s="154">
        <v>0</v>
      </c>
      <c r="L17" s="154">
        <v>0</v>
      </c>
      <c r="M17" s="155">
        <v>0</v>
      </c>
      <c r="N17" s="154">
        <v>0</v>
      </c>
      <c r="O17" s="154">
        <v>0</v>
      </c>
      <c r="P17" s="154">
        <v>0</v>
      </c>
      <c r="Q17" s="154">
        <v>0</v>
      </c>
      <c r="R17" s="156">
        <v>0</v>
      </c>
      <c r="S17" s="156">
        <v>0</v>
      </c>
      <c r="T17" s="156">
        <v>0</v>
      </c>
      <c r="U17" s="156">
        <f t="shared" si="1"/>
        <v>150</v>
      </c>
    </row>
    <row r="18" spans="1:21" ht="18" hidden="1" customHeight="1">
      <c r="A18" s="153">
        <f t="shared" si="0"/>
        <v>17</v>
      </c>
      <c r="B18" s="153" t="s">
        <v>359</v>
      </c>
      <c r="C18" s="153" t="str">
        <f>VLOOKUP(B18,MEMBERS!B:C,2, )</f>
        <v>DR.NASEEM MUNSHI</v>
      </c>
      <c r="D18" s="162">
        <v>45993</v>
      </c>
      <c r="E18" s="154">
        <v>0</v>
      </c>
      <c r="F18" s="154">
        <v>150</v>
      </c>
      <c r="G18" s="154">
        <v>0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5">
        <v>0</v>
      </c>
      <c r="N18" s="154">
        <v>0</v>
      </c>
      <c r="O18" s="154">
        <v>0</v>
      </c>
      <c r="P18" s="154">
        <v>0</v>
      </c>
      <c r="Q18" s="154">
        <v>0</v>
      </c>
      <c r="R18" s="156">
        <v>0</v>
      </c>
      <c r="S18" s="156">
        <v>0</v>
      </c>
      <c r="T18" s="156">
        <v>0</v>
      </c>
      <c r="U18" s="156">
        <f t="shared" si="1"/>
        <v>150</v>
      </c>
    </row>
    <row r="19" spans="1:21" ht="18" hidden="1" customHeight="1">
      <c r="A19" s="153">
        <f t="shared" si="0"/>
        <v>18</v>
      </c>
      <c r="B19" s="153" t="s">
        <v>155</v>
      </c>
      <c r="C19" s="153" t="str">
        <f>VLOOKUP(B19,MEMBERS!B:C,2, )</f>
        <v>MR.PIR MUJEEB JAN SARHANDI</v>
      </c>
      <c r="D19" s="162">
        <v>45993</v>
      </c>
      <c r="E19" s="154">
        <v>0</v>
      </c>
      <c r="F19" s="154">
        <f>150*2</f>
        <v>300</v>
      </c>
      <c r="G19" s="154">
        <v>0</v>
      </c>
      <c r="H19" s="154">
        <v>0</v>
      </c>
      <c r="I19" s="154">
        <v>0</v>
      </c>
      <c r="J19" s="154">
        <v>0</v>
      </c>
      <c r="K19" s="154">
        <v>0</v>
      </c>
      <c r="L19" s="154">
        <v>0</v>
      </c>
      <c r="M19" s="155">
        <v>0</v>
      </c>
      <c r="N19" s="154">
        <v>0</v>
      </c>
      <c r="O19" s="154">
        <v>0</v>
      </c>
      <c r="P19" s="154">
        <v>0</v>
      </c>
      <c r="Q19" s="154">
        <v>0</v>
      </c>
      <c r="R19" s="156">
        <v>0</v>
      </c>
      <c r="S19" s="156">
        <v>0</v>
      </c>
      <c r="T19" s="156">
        <v>0</v>
      </c>
      <c r="U19" s="156">
        <f t="shared" si="1"/>
        <v>300</v>
      </c>
    </row>
    <row r="20" spans="1:21" ht="18" hidden="1" customHeight="1">
      <c r="A20" s="153">
        <f t="shared" si="0"/>
        <v>19</v>
      </c>
      <c r="B20" s="153" t="s">
        <v>10</v>
      </c>
      <c r="C20" s="153" t="str">
        <f>VLOOKUP(B20,MEMBERS!B:C,2, )</f>
        <v>MR. JABIR SHAHZAD</v>
      </c>
      <c r="D20" s="162">
        <v>45993</v>
      </c>
      <c r="E20" s="154">
        <v>0</v>
      </c>
      <c r="F20" s="154">
        <v>150</v>
      </c>
      <c r="G20" s="154">
        <v>0</v>
      </c>
      <c r="H20" s="154">
        <v>0</v>
      </c>
      <c r="I20" s="154">
        <v>0</v>
      </c>
      <c r="J20" s="154">
        <v>0</v>
      </c>
      <c r="K20" s="154">
        <v>0</v>
      </c>
      <c r="L20" s="154">
        <v>0</v>
      </c>
      <c r="M20" s="155">
        <v>0</v>
      </c>
      <c r="N20" s="154">
        <v>0</v>
      </c>
      <c r="O20" s="154">
        <v>0</v>
      </c>
      <c r="P20" s="154">
        <v>0</v>
      </c>
      <c r="Q20" s="154">
        <v>0</v>
      </c>
      <c r="R20" s="156">
        <v>0</v>
      </c>
      <c r="S20" s="156">
        <v>0</v>
      </c>
      <c r="T20" s="156">
        <v>0</v>
      </c>
      <c r="U20" s="156">
        <f t="shared" si="1"/>
        <v>150</v>
      </c>
    </row>
    <row r="21" spans="1:21" ht="18" hidden="1" customHeight="1">
      <c r="A21" s="153">
        <f t="shared" si="0"/>
        <v>20</v>
      </c>
      <c r="B21" s="153" t="s">
        <v>39</v>
      </c>
      <c r="C21" s="153" t="str">
        <f>VLOOKUP(B21,MEMBERS!B:C,2, )</f>
        <v>MR.SYED ABDULLAH ALI</v>
      </c>
      <c r="D21" s="162">
        <v>45993</v>
      </c>
      <c r="E21" s="154">
        <v>0</v>
      </c>
      <c r="F21" s="154">
        <v>150</v>
      </c>
      <c r="G21" s="154">
        <v>0</v>
      </c>
      <c r="H21" s="154">
        <v>0</v>
      </c>
      <c r="I21" s="154">
        <v>0</v>
      </c>
      <c r="J21" s="154">
        <v>0</v>
      </c>
      <c r="K21" s="154">
        <v>0</v>
      </c>
      <c r="L21" s="154">
        <v>0</v>
      </c>
      <c r="M21" s="155">
        <v>0</v>
      </c>
      <c r="N21" s="154">
        <v>0</v>
      </c>
      <c r="O21" s="154">
        <v>0</v>
      </c>
      <c r="P21" s="154">
        <v>0</v>
      </c>
      <c r="Q21" s="154">
        <v>0</v>
      </c>
      <c r="R21" s="156">
        <v>0</v>
      </c>
      <c r="S21" s="156">
        <v>0</v>
      </c>
      <c r="T21" s="156">
        <v>0</v>
      </c>
      <c r="U21" s="156">
        <f t="shared" si="1"/>
        <v>150</v>
      </c>
    </row>
    <row r="22" spans="1:21" ht="18" hidden="1" customHeight="1">
      <c r="A22" s="153">
        <f t="shared" si="0"/>
        <v>21</v>
      </c>
      <c r="B22" s="153" t="s">
        <v>197</v>
      </c>
      <c r="C22" s="153" t="str">
        <f>VLOOKUP(B22,MEMBERS!B:C,2, )</f>
        <v>MR.MUHAMMAD ATIF USMANI</v>
      </c>
      <c r="D22" s="162">
        <v>45993</v>
      </c>
      <c r="E22" s="154">
        <v>0</v>
      </c>
      <c r="F22" s="154">
        <v>150</v>
      </c>
      <c r="G22" s="154">
        <v>0</v>
      </c>
      <c r="H22" s="154">
        <v>0</v>
      </c>
      <c r="I22" s="154">
        <v>0</v>
      </c>
      <c r="J22" s="154">
        <v>0</v>
      </c>
      <c r="K22" s="154">
        <v>0</v>
      </c>
      <c r="L22" s="154">
        <v>0</v>
      </c>
      <c r="M22" s="155">
        <v>0</v>
      </c>
      <c r="N22" s="154">
        <v>0</v>
      </c>
      <c r="O22" s="154">
        <v>0</v>
      </c>
      <c r="P22" s="154">
        <v>0</v>
      </c>
      <c r="Q22" s="154">
        <v>0</v>
      </c>
      <c r="R22" s="156">
        <v>0</v>
      </c>
      <c r="S22" s="156">
        <v>0</v>
      </c>
      <c r="T22" s="156">
        <v>0</v>
      </c>
      <c r="U22" s="156">
        <f t="shared" si="1"/>
        <v>150</v>
      </c>
    </row>
    <row r="23" spans="1:21" ht="18" hidden="1" customHeight="1">
      <c r="A23" s="153">
        <f t="shared" si="0"/>
        <v>22</v>
      </c>
      <c r="B23" s="153" t="s">
        <v>123</v>
      </c>
      <c r="C23" s="153" t="str">
        <f>VLOOKUP(B23,MEMBERS!B:C,2, )</f>
        <v>MR.MUIED AHMED DURRANI</v>
      </c>
      <c r="D23" s="162">
        <v>45993</v>
      </c>
      <c r="E23" s="154">
        <v>0</v>
      </c>
      <c r="F23" s="154">
        <v>0</v>
      </c>
      <c r="G23" s="154">
        <v>0</v>
      </c>
      <c r="H23" s="154">
        <v>0</v>
      </c>
      <c r="I23" s="154">
        <v>0</v>
      </c>
      <c r="J23" s="154">
        <v>300</v>
      </c>
      <c r="K23" s="154">
        <v>0</v>
      </c>
      <c r="L23" s="154">
        <v>0</v>
      </c>
      <c r="M23" s="155">
        <v>0</v>
      </c>
      <c r="N23" s="154">
        <v>0</v>
      </c>
      <c r="O23" s="154">
        <v>0</v>
      </c>
      <c r="P23" s="154">
        <v>0</v>
      </c>
      <c r="Q23" s="154">
        <v>0</v>
      </c>
      <c r="R23" s="156">
        <v>0</v>
      </c>
      <c r="S23" s="156">
        <v>0</v>
      </c>
      <c r="T23" s="156">
        <v>0</v>
      </c>
      <c r="U23" s="156">
        <f t="shared" si="1"/>
        <v>300</v>
      </c>
    </row>
    <row r="24" spans="1:21" ht="18" hidden="1" customHeight="1">
      <c r="A24" s="153">
        <f t="shared" si="0"/>
        <v>23</v>
      </c>
      <c r="B24" s="153" t="s">
        <v>113</v>
      </c>
      <c r="C24" s="153" t="str">
        <f>VLOOKUP(B24,MEMBERS!B:C,2, )</f>
        <v>MR.MANOJ KUMAR</v>
      </c>
      <c r="D24" s="162">
        <v>45993</v>
      </c>
      <c r="E24" s="154">
        <v>0</v>
      </c>
      <c r="F24" s="154">
        <v>0</v>
      </c>
      <c r="G24" s="154">
        <v>0</v>
      </c>
      <c r="H24" s="154">
        <v>0</v>
      </c>
      <c r="I24" s="154">
        <v>0</v>
      </c>
      <c r="J24" s="154">
        <v>300</v>
      </c>
      <c r="K24" s="154">
        <v>0</v>
      </c>
      <c r="L24" s="154">
        <v>0</v>
      </c>
      <c r="M24" s="155">
        <v>0</v>
      </c>
      <c r="N24" s="154">
        <v>0</v>
      </c>
      <c r="O24" s="154">
        <v>0</v>
      </c>
      <c r="P24" s="154">
        <v>0</v>
      </c>
      <c r="Q24" s="154">
        <v>0</v>
      </c>
      <c r="R24" s="156">
        <v>0</v>
      </c>
      <c r="S24" s="156">
        <v>0</v>
      </c>
      <c r="T24" s="156">
        <v>0</v>
      </c>
      <c r="U24" s="156">
        <f t="shared" si="1"/>
        <v>300</v>
      </c>
    </row>
    <row r="25" spans="1:21" ht="18" hidden="1" customHeight="1">
      <c r="A25" s="153">
        <f t="shared" si="0"/>
        <v>24</v>
      </c>
      <c r="B25" s="153" t="s">
        <v>378</v>
      </c>
      <c r="C25" s="153" t="str">
        <f>VLOOKUP(B25,MEMBERS!B:C,2, )</f>
        <v>SABA AHSAN</v>
      </c>
      <c r="D25" s="162">
        <v>45994</v>
      </c>
      <c r="E25" s="154">
        <v>0</v>
      </c>
      <c r="F25" s="154">
        <v>0</v>
      </c>
      <c r="G25" s="154">
        <v>0</v>
      </c>
      <c r="H25" s="154">
        <v>0</v>
      </c>
      <c r="I25" s="154">
        <v>0</v>
      </c>
      <c r="J25" s="154">
        <v>0</v>
      </c>
      <c r="K25" s="154">
        <v>0</v>
      </c>
      <c r="L25" s="154">
        <v>0</v>
      </c>
      <c r="M25" s="155">
        <v>0</v>
      </c>
      <c r="N25" s="154">
        <v>0</v>
      </c>
      <c r="O25" s="154">
        <v>0</v>
      </c>
      <c r="P25" s="154">
        <v>5000</v>
      </c>
      <c r="Q25" s="154">
        <v>0</v>
      </c>
      <c r="R25" s="156">
        <v>0</v>
      </c>
      <c r="S25" s="156">
        <v>0</v>
      </c>
      <c r="T25" s="156">
        <v>0</v>
      </c>
      <c r="U25" s="156">
        <f t="shared" si="1"/>
        <v>5000</v>
      </c>
    </row>
    <row r="26" spans="1:21" ht="18" hidden="1" customHeight="1">
      <c r="A26" s="153">
        <f t="shared" si="0"/>
        <v>25</v>
      </c>
      <c r="B26" s="153" t="s">
        <v>385</v>
      </c>
      <c r="C26" s="153" t="str">
        <f>VLOOKUP(B26,MEMBERS!B:C,2, )</f>
        <v>AYSM MIRZA</v>
      </c>
      <c r="D26" s="162">
        <v>45994</v>
      </c>
      <c r="E26" s="154">
        <v>0</v>
      </c>
      <c r="F26" s="154">
        <v>150</v>
      </c>
      <c r="G26" s="154">
        <v>0</v>
      </c>
      <c r="H26" s="154">
        <v>0</v>
      </c>
      <c r="I26" s="154">
        <v>0</v>
      </c>
      <c r="J26" s="154">
        <v>0</v>
      </c>
      <c r="K26" s="154">
        <v>0</v>
      </c>
      <c r="L26" s="154">
        <v>0</v>
      </c>
      <c r="M26" s="155">
        <v>0</v>
      </c>
      <c r="N26" s="154">
        <v>0</v>
      </c>
      <c r="O26" s="154">
        <v>0</v>
      </c>
      <c r="P26" s="154">
        <v>0</v>
      </c>
      <c r="Q26" s="154">
        <v>0</v>
      </c>
      <c r="R26" s="156">
        <v>0</v>
      </c>
      <c r="S26" s="156">
        <v>0</v>
      </c>
      <c r="T26" s="156">
        <v>0</v>
      </c>
      <c r="U26" s="156">
        <f t="shared" si="1"/>
        <v>150</v>
      </c>
    </row>
    <row r="27" spans="1:21" ht="18" hidden="1" customHeight="1">
      <c r="A27" s="153">
        <f t="shared" si="0"/>
        <v>26</v>
      </c>
      <c r="B27" s="153" t="s">
        <v>312</v>
      </c>
      <c r="C27" s="153" t="str">
        <f>VLOOKUP(B27,MEMBERS!B:C,2, )</f>
        <v>GM GHULAM DASTAGEER</v>
      </c>
      <c r="D27" s="162">
        <v>45994</v>
      </c>
      <c r="E27" s="154">
        <v>0</v>
      </c>
      <c r="F27" s="154">
        <v>150</v>
      </c>
      <c r="G27" s="154">
        <v>0</v>
      </c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5">
        <v>0</v>
      </c>
      <c r="N27" s="154">
        <v>0</v>
      </c>
      <c r="O27" s="154">
        <v>0</v>
      </c>
      <c r="P27" s="154">
        <v>0</v>
      </c>
      <c r="Q27" s="154">
        <v>0</v>
      </c>
      <c r="R27" s="156">
        <v>0</v>
      </c>
      <c r="S27" s="156">
        <v>0</v>
      </c>
      <c r="T27" s="156">
        <v>0</v>
      </c>
      <c r="U27" s="156">
        <f t="shared" si="1"/>
        <v>150</v>
      </c>
    </row>
    <row r="28" spans="1:21" ht="18" hidden="1" customHeight="1">
      <c r="A28" s="153">
        <f t="shared" si="0"/>
        <v>27</v>
      </c>
      <c r="B28" s="153" t="s">
        <v>69</v>
      </c>
      <c r="C28" s="153" t="str">
        <f>VLOOKUP(B28,MEMBERS!B:C,2, )</f>
        <v>MR.TARIQUE ZUBAIR</v>
      </c>
      <c r="D28" s="162">
        <v>45994</v>
      </c>
      <c r="E28" s="154">
        <v>0</v>
      </c>
      <c r="F28" s="154">
        <v>150</v>
      </c>
      <c r="G28" s="154">
        <v>0</v>
      </c>
      <c r="H28" s="154">
        <v>0</v>
      </c>
      <c r="I28" s="154">
        <v>0</v>
      </c>
      <c r="J28" s="154">
        <v>0</v>
      </c>
      <c r="K28" s="154">
        <v>0</v>
      </c>
      <c r="L28" s="154">
        <v>0</v>
      </c>
      <c r="M28" s="155">
        <v>0</v>
      </c>
      <c r="N28" s="154">
        <v>0</v>
      </c>
      <c r="O28" s="154">
        <v>0</v>
      </c>
      <c r="P28" s="154">
        <v>0</v>
      </c>
      <c r="Q28" s="154">
        <v>0</v>
      </c>
      <c r="R28" s="156">
        <v>0</v>
      </c>
      <c r="S28" s="156">
        <v>0</v>
      </c>
      <c r="T28" s="156">
        <v>0</v>
      </c>
      <c r="U28" s="156">
        <f t="shared" si="1"/>
        <v>150</v>
      </c>
    </row>
    <row r="29" spans="1:21" ht="18" hidden="1" customHeight="1">
      <c r="A29" s="153">
        <f t="shared" si="0"/>
        <v>28</v>
      </c>
      <c r="B29" s="153" t="s">
        <v>83</v>
      </c>
      <c r="C29" s="153" t="str">
        <f>VLOOKUP(B29,MEMBERS!B:C,2, )</f>
        <v>DR.SANTOSH KUMAR</v>
      </c>
      <c r="D29" s="162">
        <v>45994</v>
      </c>
      <c r="E29" s="154">
        <v>0</v>
      </c>
      <c r="F29" s="154">
        <v>150</v>
      </c>
      <c r="G29" s="154">
        <v>0</v>
      </c>
      <c r="H29" s="154">
        <v>0</v>
      </c>
      <c r="I29" s="154">
        <v>0</v>
      </c>
      <c r="J29" s="154">
        <v>0</v>
      </c>
      <c r="K29" s="154">
        <v>0</v>
      </c>
      <c r="L29" s="154">
        <v>0</v>
      </c>
      <c r="M29" s="155">
        <v>0</v>
      </c>
      <c r="N29" s="154">
        <v>0</v>
      </c>
      <c r="O29" s="154">
        <v>0</v>
      </c>
      <c r="P29" s="154">
        <v>0</v>
      </c>
      <c r="Q29" s="154">
        <v>0</v>
      </c>
      <c r="R29" s="156">
        <v>0</v>
      </c>
      <c r="S29" s="156">
        <v>0</v>
      </c>
      <c r="T29" s="156">
        <v>0</v>
      </c>
      <c r="U29" s="156">
        <f t="shared" si="1"/>
        <v>150</v>
      </c>
    </row>
    <row r="30" spans="1:21" ht="18" hidden="1" customHeight="1">
      <c r="A30" s="153">
        <f t="shared" si="0"/>
        <v>29</v>
      </c>
      <c r="B30" s="153" t="s">
        <v>54</v>
      </c>
      <c r="C30" s="153" t="str">
        <f>VLOOKUP(B30,MEMBERS!B:C,2, )</f>
        <v>MR.ZEESHAN IQBAL</v>
      </c>
      <c r="D30" s="162">
        <v>45994</v>
      </c>
      <c r="E30" s="154">
        <v>0</v>
      </c>
      <c r="F30" s="154">
        <f>150*2+300</f>
        <v>600</v>
      </c>
      <c r="G30" s="154">
        <v>0</v>
      </c>
      <c r="H30" s="154">
        <v>0</v>
      </c>
      <c r="I30" s="154">
        <v>0</v>
      </c>
      <c r="J30" s="154">
        <v>0</v>
      </c>
      <c r="K30" s="154">
        <v>0</v>
      </c>
      <c r="L30" s="154">
        <v>0</v>
      </c>
      <c r="M30" s="155">
        <v>0</v>
      </c>
      <c r="N30" s="154">
        <v>0</v>
      </c>
      <c r="O30" s="154">
        <v>0</v>
      </c>
      <c r="P30" s="154">
        <v>0</v>
      </c>
      <c r="Q30" s="154">
        <v>0</v>
      </c>
      <c r="R30" s="156">
        <v>0</v>
      </c>
      <c r="S30" s="156">
        <v>0</v>
      </c>
      <c r="T30" s="156">
        <v>0</v>
      </c>
      <c r="U30" s="156">
        <f t="shared" si="1"/>
        <v>600</v>
      </c>
    </row>
    <row r="31" spans="1:21" ht="18" hidden="1" customHeight="1">
      <c r="A31" s="153">
        <f t="shared" si="0"/>
        <v>30</v>
      </c>
      <c r="B31" s="153" t="s">
        <v>650</v>
      </c>
      <c r="C31" s="153" t="str">
        <f>VLOOKUP(B31,MEMBERS!B:C,2, )</f>
        <v>SHAHBAZ AHMED</v>
      </c>
      <c r="D31" s="162">
        <v>45994</v>
      </c>
      <c r="E31" s="154">
        <v>0</v>
      </c>
      <c r="F31" s="154">
        <v>300</v>
      </c>
      <c r="G31" s="154">
        <v>0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5">
        <v>0</v>
      </c>
      <c r="N31" s="154">
        <v>0</v>
      </c>
      <c r="O31" s="154">
        <v>0</v>
      </c>
      <c r="P31" s="154">
        <v>0</v>
      </c>
      <c r="Q31" s="154">
        <v>0</v>
      </c>
      <c r="R31" s="156">
        <v>0</v>
      </c>
      <c r="S31" s="156">
        <v>0</v>
      </c>
      <c r="T31" s="156">
        <v>0</v>
      </c>
      <c r="U31" s="156">
        <f t="shared" si="1"/>
        <v>300</v>
      </c>
    </row>
    <row r="32" spans="1:21" ht="18" hidden="1" customHeight="1">
      <c r="A32" s="153">
        <f t="shared" si="0"/>
        <v>31</v>
      </c>
      <c r="B32" s="153" t="s">
        <v>373</v>
      </c>
      <c r="C32" s="153" t="str">
        <f>VLOOKUP(B32,MEMBERS!B:C,2, )</f>
        <v>ASIF ASHFAQ</v>
      </c>
      <c r="D32" s="162">
        <v>45994</v>
      </c>
      <c r="E32" s="154">
        <v>0</v>
      </c>
      <c r="F32" s="154">
        <f>150*2</f>
        <v>300</v>
      </c>
      <c r="G32" s="154">
        <v>0</v>
      </c>
      <c r="H32" s="154">
        <v>0</v>
      </c>
      <c r="I32" s="154">
        <v>0</v>
      </c>
      <c r="J32" s="154">
        <v>0</v>
      </c>
      <c r="K32" s="154">
        <v>0</v>
      </c>
      <c r="L32" s="154">
        <v>0</v>
      </c>
      <c r="M32" s="155">
        <v>0</v>
      </c>
      <c r="N32" s="154">
        <v>0</v>
      </c>
      <c r="O32" s="154">
        <v>0</v>
      </c>
      <c r="P32" s="154">
        <v>0</v>
      </c>
      <c r="Q32" s="154">
        <v>0</v>
      </c>
      <c r="R32" s="156">
        <v>0</v>
      </c>
      <c r="S32" s="156">
        <v>0</v>
      </c>
      <c r="T32" s="156">
        <v>0</v>
      </c>
      <c r="U32" s="156">
        <f t="shared" si="1"/>
        <v>300</v>
      </c>
    </row>
    <row r="33" spans="1:21" ht="18" hidden="1" customHeight="1">
      <c r="A33" s="153">
        <f t="shared" si="0"/>
        <v>32</v>
      </c>
      <c r="B33" s="153" t="s">
        <v>217</v>
      </c>
      <c r="C33" s="153" t="str">
        <f>VLOOKUP(B33,MEMBERS!B:C,2, )</f>
        <v>MR.ZAIN FAROOQ</v>
      </c>
      <c r="D33" s="162">
        <v>45994</v>
      </c>
      <c r="E33" s="154">
        <v>0</v>
      </c>
      <c r="F33" s="154">
        <f>150*2</f>
        <v>300</v>
      </c>
      <c r="G33" s="154">
        <v>0</v>
      </c>
      <c r="H33" s="154">
        <v>0</v>
      </c>
      <c r="I33" s="154">
        <v>0</v>
      </c>
      <c r="J33" s="154">
        <v>0</v>
      </c>
      <c r="K33" s="154">
        <v>0</v>
      </c>
      <c r="L33" s="154">
        <v>0</v>
      </c>
      <c r="M33" s="155">
        <v>0</v>
      </c>
      <c r="N33" s="154">
        <v>0</v>
      </c>
      <c r="O33" s="154">
        <v>0</v>
      </c>
      <c r="P33" s="154">
        <v>0</v>
      </c>
      <c r="Q33" s="154">
        <v>0</v>
      </c>
      <c r="R33" s="156">
        <v>0</v>
      </c>
      <c r="S33" s="156">
        <v>0</v>
      </c>
      <c r="T33" s="156">
        <v>0</v>
      </c>
      <c r="U33" s="156">
        <f t="shared" si="1"/>
        <v>300</v>
      </c>
    </row>
    <row r="34" spans="1:21" ht="18" hidden="1" customHeight="1">
      <c r="A34" s="153">
        <f t="shared" si="0"/>
        <v>33</v>
      </c>
      <c r="B34" s="153" t="s">
        <v>197</v>
      </c>
      <c r="C34" s="153" t="str">
        <f>VLOOKUP(B34,MEMBERS!B:C,2, )</f>
        <v>MR.MUHAMMAD ATIF USMANI</v>
      </c>
      <c r="D34" s="162">
        <v>45994</v>
      </c>
      <c r="E34" s="154">
        <v>0</v>
      </c>
      <c r="F34" s="154">
        <v>150</v>
      </c>
      <c r="G34" s="154">
        <v>0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5">
        <v>0</v>
      </c>
      <c r="N34" s="154">
        <v>0</v>
      </c>
      <c r="O34" s="154">
        <v>0</v>
      </c>
      <c r="P34" s="154">
        <v>0</v>
      </c>
      <c r="Q34" s="154">
        <v>0</v>
      </c>
      <c r="R34" s="156">
        <v>0</v>
      </c>
      <c r="S34" s="156">
        <v>0</v>
      </c>
      <c r="T34" s="156">
        <v>0</v>
      </c>
      <c r="U34" s="156">
        <f t="shared" si="1"/>
        <v>150</v>
      </c>
    </row>
    <row r="35" spans="1:21" ht="18" hidden="1" customHeight="1">
      <c r="A35" s="153">
        <f t="shared" si="0"/>
        <v>34</v>
      </c>
      <c r="B35" s="153" t="s">
        <v>1053</v>
      </c>
      <c r="C35" s="153" t="str">
        <f>VLOOKUP(B35,MEMBERS!B:C,2, )</f>
        <v>MR. ZAMIR ALI SHAH</v>
      </c>
      <c r="D35" s="162">
        <v>45995</v>
      </c>
      <c r="E35" s="154">
        <v>0</v>
      </c>
      <c r="F35" s="154">
        <v>0</v>
      </c>
      <c r="G35" s="154">
        <v>0</v>
      </c>
      <c r="H35" s="154">
        <v>0</v>
      </c>
      <c r="I35" s="154">
        <v>0</v>
      </c>
      <c r="J35" s="154">
        <v>0</v>
      </c>
      <c r="K35" s="154">
        <v>0</v>
      </c>
      <c r="L35" s="154">
        <v>0</v>
      </c>
      <c r="M35" s="155">
        <v>0</v>
      </c>
      <c r="N35" s="154">
        <v>0</v>
      </c>
      <c r="O35" s="154">
        <v>0</v>
      </c>
      <c r="P35" s="154">
        <v>16000</v>
      </c>
      <c r="Q35" s="154">
        <v>0</v>
      </c>
      <c r="R35" s="156">
        <v>0</v>
      </c>
      <c r="S35" s="156">
        <v>0</v>
      </c>
      <c r="T35" s="156">
        <v>0</v>
      </c>
      <c r="U35" s="156">
        <f t="shared" si="1"/>
        <v>16000</v>
      </c>
    </row>
    <row r="36" spans="1:21" ht="18" hidden="1" customHeight="1">
      <c r="A36" s="153">
        <f t="shared" si="0"/>
        <v>35</v>
      </c>
      <c r="B36" s="153" t="s">
        <v>69</v>
      </c>
      <c r="C36" s="153" t="str">
        <f>VLOOKUP(B36,MEMBERS!B:C,2, )</f>
        <v>MR.TARIQUE ZUBAIR</v>
      </c>
      <c r="D36" s="162">
        <v>45995</v>
      </c>
      <c r="E36" s="154">
        <v>0</v>
      </c>
      <c r="F36" s="154">
        <v>150</v>
      </c>
      <c r="G36" s="154">
        <v>0</v>
      </c>
      <c r="H36" s="154">
        <v>0</v>
      </c>
      <c r="I36" s="154">
        <v>0</v>
      </c>
      <c r="J36" s="154">
        <v>0</v>
      </c>
      <c r="K36" s="154">
        <v>0</v>
      </c>
      <c r="L36" s="154">
        <v>0</v>
      </c>
      <c r="M36" s="155">
        <v>0</v>
      </c>
      <c r="N36" s="154">
        <v>0</v>
      </c>
      <c r="O36" s="154">
        <v>0</v>
      </c>
      <c r="P36" s="154">
        <v>0</v>
      </c>
      <c r="Q36" s="154">
        <v>0</v>
      </c>
      <c r="R36" s="156">
        <v>0</v>
      </c>
      <c r="S36" s="156">
        <v>0</v>
      </c>
      <c r="T36" s="156">
        <v>0</v>
      </c>
      <c r="U36" s="156">
        <f t="shared" si="1"/>
        <v>150</v>
      </c>
    </row>
    <row r="37" spans="1:21" ht="18" hidden="1" customHeight="1">
      <c r="A37" s="153">
        <f t="shared" si="0"/>
        <v>36</v>
      </c>
      <c r="B37" s="153" t="s">
        <v>312</v>
      </c>
      <c r="C37" s="153" t="str">
        <f>VLOOKUP(B37,MEMBERS!B:C,2, )</f>
        <v>GM GHULAM DASTAGEER</v>
      </c>
      <c r="D37" s="162">
        <v>45995</v>
      </c>
      <c r="E37" s="154">
        <v>0</v>
      </c>
      <c r="F37" s="154">
        <v>150</v>
      </c>
      <c r="G37" s="154">
        <v>0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5">
        <v>0</v>
      </c>
      <c r="N37" s="154">
        <v>0</v>
      </c>
      <c r="O37" s="154">
        <v>0</v>
      </c>
      <c r="P37" s="154">
        <v>0</v>
      </c>
      <c r="Q37" s="154">
        <v>0</v>
      </c>
      <c r="R37" s="156">
        <v>0</v>
      </c>
      <c r="S37" s="156">
        <v>0</v>
      </c>
      <c r="T37" s="156">
        <v>0</v>
      </c>
      <c r="U37" s="156">
        <f t="shared" si="1"/>
        <v>150</v>
      </c>
    </row>
    <row r="38" spans="1:21" ht="18" hidden="1" customHeight="1">
      <c r="A38" s="153">
        <f t="shared" si="0"/>
        <v>37</v>
      </c>
      <c r="B38" s="153" t="s">
        <v>83</v>
      </c>
      <c r="C38" s="153" t="str">
        <f>VLOOKUP(B38,MEMBERS!B:C,2, )</f>
        <v>DR.SANTOSH KUMAR</v>
      </c>
      <c r="D38" s="162">
        <v>45995</v>
      </c>
      <c r="E38" s="154">
        <v>0</v>
      </c>
      <c r="F38" s="154">
        <v>150</v>
      </c>
      <c r="G38" s="154">
        <v>0</v>
      </c>
      <c r="H38" s="154">
        <v>0</v>
      </c>
      <c r="I38" s="154">
        <v>0</v>
      </c>
      <c r="J38" s="154">
        <v>0</v>
      </c>
      <c r="K38" s="154">
        <v>0</v>
      </c>
      <c r="L38" s="154">
        <v>0</v>
      </c>
      <c r="M38" s="155">
        <v>0</v>
      </c>
      <c r="N38" s="154">
        <v>0</v>
      </c>
      <c r="O38" s="154">
        <v>0</v>
      </c>
      <c r="P38" s="154">
        <v>0</v>
      </c>
      <c r="Q38" s="154">
        <v>0</v>
      </c>
      <c r="R38" s="156">
        <v>0</v>
      </c>
      <c r="S38" s="156">
        <v>0</v>
      </c>
      <c r="T38" s="156">
        <v>0</v>
      </c>
      <c r="U38" s="156">
        <f t="shared" si="1"/>
        <v>150</v>
      </c>
    </row>
    <row r="39" spans="1:21" ht="18" hidden="1" customHeight="1">
      <c r="A39" s="153">
        <f t="shared" si="0"/>
        <v>38</v>
      </c>
      <c r="B39" s="153" t="s">
        <v>650</v>
      </c>
      <c r="C39" s="153" t="str">
        <f>VLOOKUP(B39,MEMBERS!B:C,2, )</f>
        <v>SHAHBAZ AHMED</v>
      </c>
      <c r="D39" s="162">
        <v>45995</v>
      </c>
      <c r="E39" s="154">
        <v>0</v>
      </c>
      <c r="F39" s="154">
        <v>300</v>
      </c>
      <c r="G39" s="154">
        <v>0</v>
      </c>
      <c r="H39" s="154">
        <v>0</v>
      </c>
      <c r="I39" s="154">
        <v>0</v>
      </c>
      <c r="J39" s="154">
        <v>0</v>
      </c>
      <c r="K39" s="154">
        <v>0</v>
      </c>
      <c r="L39" s="154">
        <v>0</v>
      </c>
      <c r="M39" s="155">
        <v>0</v>
      </c>
      <c r="N39" s="154">
        <v>0</v>
      </c>
      <c r="O39" s="154">
        <v>0</v>
      </c>
      <c r="P39" s="154">
        <v>0</v>
      </c>
      <c r="Q39" s="154">
        <v>0</v>
      </c>
      <c r="R39" s="156">
        <v>0</v>
      </c>
      <c r="S39" s="156">
        <v>0</v>
      </c>
      <c r="T39" s="156">
        <v>0</v>
      </c>
      <c r="U39" s="156">
        <f t="shared" si="1"/>
        <v>300</v>
      </c>
    </row>
    <row r="40" spans="1:21" ht="18" hidden="1" customHeight="1">
      <c r="A40" s="153">
        <f t="shared" si="0"/>
        <v>39</v>
      </c>
      <c r="B40" s="153" t="s">
        <v>385</v>
      </c>
      <c r="C40" s="153" t="str">
        <f>VLOOKUP(B40,MEMBERS!B:C,2, )</f>
        <v>AYSM MIRZA</v>
      </c>
      <c r="D40" s="162">
        <v>45995</v>
      </c>
      <c r="E40" s="154">
        <v>0</v>
      </c>
      <c r="F40" s="154">
        <v>150</v>
      </c>
      <c r="G40" s="154">
        <v>0</v>
      </c>
      <c r="H40" s="154">
        <v>0</v>
      </c>
      <c r="I40" s="154">
        <v>0</v>
      </c>
      <c r="J40" s="154">
        <v>0</v>
      </c>
      <c r="K40" s="154">
        <v>0</v>
      </c>
      <c r="L40" s="154">
        <v>0</v>
      </c>
      <c r="M40" s="155">
        <v>0</v>
      </c>
      <c r="N40" s="154">
        <v>0</v>
      </c>
      <c r="O40" s="154">
        <v>0</v>
      </c>
      <c r="P40" s="154">
        <v>0</v>
      </c>
      <c r="Q40" s="154">
        <v>0</v>
      </c>
      <c r="R40" s="156">
        <v>0</v>
      </c>
      <c r="S40" s="156">
        <v>0</v>
      </c>
      <c r="T40" s="156">
        <v>0</v>
      </c>
      <c r="U40" s="156">
        <f t="shared" si="1"/>
        <v>150</v>
      </c>
    </row>
    <row r="41" spans="1:21" ht="18" hidden="1" customHeight="1">
      <c r="A41" s="153">
        <f t="shared" si="0"/>
        <v>40</v>
      </c>
      <c r="B41" s="153" t="s">
        <v>217</v>
      </c>
      <c r="C41" s="153" t="str">
        <f>VLOOKUP(B41,MEMBERS!B:C,2, )</f>
        <v>MR.ZAIN FAROOQ</v>
      </c>
      <c r="D41" s="162">
        <v>45995</v>
      </c>
      <c r="E41" s="154">
        <v>0</v>
      </c>
      <c r="F41" s="154">
        <v>150</v>
      </c>
      <c r="G41" s="154">
        <v>0</v>
      </c>
      <c r="H41" s="154">
        <v>0</v>
      </c>
      <c r="I41" s="154">
        <v>0</v>
      </c>
      <c r="J41" s="154">
        <v>0</v>
      </c>
      <c r="K41" s="154">
        <v>0</v>
      </c>
      <c r="L41" s="154">
        <v>0</v>
      </c>
      <c r="M41" s="155">
        <v>0</v>
      </c>
      <c r="N41" s="154">
        <v>0</v>
      </c>
      <c r="O41" s="154">
        <v>0</v>
      </c>
      <c r="P41" s="154">
        <v>0</v>
      </c>
      <c r="Q41" s="154">
        <v>0</v>
      </c>
      <c r="R41" s="156">
        <v>0</v>
      </c>
      <c r="S41" s="156">
        <v>0</v>
      </c>
      <c r="T41" s="156">
        <v>0</v>
      </c>
      <c r="U41" s="156">
        <f t="shared" si="1"/>
        <v>150</v>
      </c>
    </row>
    <row r="42" spans="1:21" ht="18" hidden="1" customHeight="1">
      <c r="A42" s="153">
        <f t="shared" si="0"/>
        <v>41</v>
      </c>
      <c r="B42" s="153" t="s">
        <v>426</v>
      </c>
      <c r="C42" s="153" t="str">
        <f>VLOOKUP(B42,MEMBERS!B:C,2, )</f>
        <v>NASIR ABBAS</v>
      </c>
      <c r="D42" s="162">
        <v>45995</v>
      </c>
      <c r="E42" s="154">
        <v>0</v>
      </c>
      <c r="F42" s="154">
        <v>150</v>
      </c>
      <c r="G42" s="154">
        <v>0</v>
      </c>
      <c r="H42" s="154">
        <v>0</v>
      </c>
      <c r="I42" s="154">
        <v>0</v>
      </c>
      <c r="J42" s="154">
        <v>0</v>
      </c>
      <c r="K42" s="154">
        <v>0</v>
      </c>
      <c r="L42" s="154">
        <v>0</v>
      </c>
      <c r="M42" s="155">
        <v>0</v>
      </c>
      <c r="N42" s="154">
        <v>0</v>
      </c>
      <c r="O42" s="154">
        <v>0</v>
      </c>
      <c r="P42" s="154">
        <v>0</v>
      </c>
      <c r="Q42" s="154">
        <v>0</v>
      </c>
      <c r="R42" s="156">
        <v>0</v>
      </c>
      <c r="S42" s="156">
        <v>0</v>
      </c>
      <c r="T42" s="156">
        <v>0</v>
      </c>
      <c r="U42" s="156">
        <f t="shared" si="1"/>
        <v>150</v>
      </c>
    </row>
    <row r="43" spans="1:21" ht="18" hidden="1" customHeight="1">
      <c r="A43" s="153">
        <f t="shared" si="0"/>
        <v>42</v>
      </c>
      <c r="B43" s="153" t="s">
        <v>197</v>
      </c>
      <c r="C43" s="153" t="str">
        <f>VLOOKUP(B43,MEMBERS!B:C,2, )</f>
        <v>MR.MUHAMMAD ATIF USMANI</v>
      </c>
      <c r="D43" s="162">
        <v>45995</v>
      </c>
      <c r="E43" s="154">
        <v>0</v>
      </c>
      <c r="F43" s="154">
        <v>150</v>
      </c>
      <c r="G43" s="154">
        <v>0</v>
      </c>
      <c r="H43" s="154">
        <v>0</v>
      </c>
      <c r="I43" s="154">
        <v>0</v>
      </c>
      <c r="J43" s="154">
        <v>0</v>
      </c>
      <c r="K43" s="154">
        <v>0</v>
      </c>
      <c r="L43" s="154">
        <v>0</v>
      </c>
      <c r="M43" s="155">
        <v>0</v>
      </c>
      <c r="N43" s="154">
        <v>0</v>
      </c>
      <c r="O43" s="154">
        <v>0</v>
      </c>
      <c r="P43" s="154">
        <v>0</v>
      </c>
      <c r="Q43" s="154">
        <v>0</v>
      </c>
      <c r="R43" s="156">
        <v>0</v>
      </c>
      <c r="S43" s="156">
        <v>0</v>
      </c>
      <c r="T43" s="156">
        <v>0</v>
      </c>
      <c r="U43" s="156">
        <f t="shared" si="1"/>
        <v>150</v>
      </c>
    </row>
    <row r="44" spans="1:21" ht="18" hidden="1" customHeight="1">
      <c r="A44" s="153">
        <f t="shared" si="0"/>
        <v>43</v>
      </c>
      <c r="B44" s="153" t="s">
        <v>155</v>
      </c>
      <c r="C44" s="153" t="str">
        <f>VLOOKUP(B44,MEMBERS!B:C,2, )</f>
        <v>MR.PIR MUJEEB JAN SARHANDI</v>
      </c>
      <c r="D44" s="162">
        <v>45995</v>
      </c>
      <c r="E44" s="154">
        <v>0</v>
      </c>
      <c r="F44" s="154">
        <v>150</v>
      </c>
      <c r="G44" s="154">
        <v>0</v>
      </c>
      <c r="H44" s="154">
        <v>0</v>
      </c>
      <c r="I44" s="154">
        <v>0</v>
      </c>
      <c r="J44" s="154">
        <v>0</v>
      </c>
      <c r="K44" s="154">
        <v>0</v>
      </c>
      <c r="L44" s="154">
        <v>0</v>
      </c>
      <c r="M44" s="155">
        <v>0</v>
      </c>
      <c r="N44" s="154">
        <v>0</v>
      </c>
      <c r="O44" s="154">
        <v>0</v>
      </c>
      <c r="P44" s="154">
        <v>0</v>
      </c>
      <c r="Q44" s="154">
        <v>0</v>
      </c>
      <c r="R44" s="156">
        <v>0</v>
      </c>
      <c r="S44" s="156">
        <v>0</v>
      </c>
      <c r="T44" s="156">
        <v>0</v>
      </c>
      <c r="U44" s="156">
        <f t="shared" si="1"/>
        <v>150</v>
      </c>
    </row>
    <row r="45" spans="1:21" ht="18" hidden="1" customHeight="1">
      <c r="A45" s="153">
        <f t="shared" si="0"/>
        <v>44</v>
      </c>
      <c r="B45" s="153" t="s">
        <v>54</v>
      </c>
      <c r="C45" s="153" t="str">
        <f>VLOOKUP(B45,MEMBERS!B:C,2, )</f>
        <v>MR.ZEESHAN IQBAL</v>
      </c>
      <c r="D45" s="162">
        <v>45995</v>
      </c>
      <c r="E45" s="154">
        <v>0</v>
      </c>
      <c r="F45" s="154">
        <v>150</v>
      </c>
      <c r="G45" s="154">
        <v>0</v>
      </c>
      <c r="H45" s="154">
        <v>0</v>
      </c>
      <c r="I45" s="154">
        <v>0</v>
      </c>
      <c r="J45" s="154">
        <v>0</v>
      </c>
      <c r="K45" s="154">
        <v>0</v>
      </c>
      <c r="L45" s="154">
        <v>0</v>
      </c>
      <c r="M45" s="155">
        <v>0</v>
      </c>
      <c r="N45" s="154">
        <v>0</v>
      </c>
      <c r="O45" s="154">
        <v>0</v>
      </c>
      <c r="P45" s="154">
        <v>0</v>
      </c>
      <c r="Q45" s="154">
        <v>0</v>
      </c>
      <c r="R45" s="156">
        <v>0</v>
      </c>
      <c r="S45" s="156">
        <v>0</v>
      </c>
      <c r="T45" s="156">
        <v>0</v>
      </c>
      <c r="U45" s="156">
        <f t="shared" si="1"/>
        <v>150</v>
      </c>
    </row>
    <row r="46" spans="1:21" ht="18" hidden="1" customHeight="1">
      <c r="A46" s="153">
        <f t="shared" si="0"/>
        <v>45</v>
      </c>
      <c r="B46" s="153" t="s">
        <v>39</v>
      </c>
      <c r="C46" s="153" t="str">
        <f>VLOOKUP(B46,MEMBERS!B:C,2, )</f>
        <v>MR.SYED ABDULLAH ALI</v>
      </c>
      <c r="D46" s="162">
        <v>45995</v>
      </c>
      <c r="E46" s="154">
        <v>0</v>
      </c>
      <c r="F46" s="154">
        <v>150</v>
      </c>
      <c r="G46" s="154">
        <v>0</v>
      </c>
      <c r="H46" s="154">
        <v>0</v>
      </c>
      <c r="I46" s="154">
        <v>0</v>
      </c>
      <c r="J46" s="154">
        <v>0</v>
      </c>
      <c r="K46" s="154">
        <v>0</v>
      </c>
      <c r="L46" s="154">
        <v>0</v>
      </c>
      <c r="M46" s="155">
        <v>0</v>
      </c>
      <c r="N46" s="154">
        <v>0</v>
      </c>
      <c r="O46" s="154">
        <v>0</v>
      </c>
      <c r="P46" s="154">
        <v>0</v>
      </c>
      <c r="Q46" s="154">
        <v>0</v>
      </c>
      <c r="R46" s="156">
        <v>0</v>
      </c>
      <c r="S46" s="156">
        <v>0</v>
      </c>
      <c r="T46" s="156">
        <v>0</v>
      </c>
      <c r="U46" s="156">
        <f t="shared" si="1"/>
        <v>150</v>
      </c>
    </row>
    <row r="47" spans="1:21" ht="18" hidden="1" customHeight="1">
      <c r="A47" s="153">
        <f t="shared" si="0"/>
        <v>46</v>
      </c>
      <c r="B47" s="153" t="s">
        <v>10</v>
      </c>
      <c r="C47" s="153" t="str">
        <f>VLOOKUP(B47,MEMBERS!B:C,2, )</f>
        <v>MR. JABIR SHAHZAD</v>
      </c>
      <c r="D47" s="162">
        <v>45995</v>
      </c>
      <c r="E47" s="154">
        <v>0</v>
      </c>
      <c r="F47" s="154">
        <v>150</v>
      </c>
      <c r="G47" s="154">
        <v>0</v>
      </c>
      <c r="H47" s="154">
        <v>0</v>
      </c>
      <c r="I47" s="154">
        <v>0</v>
      </c>
      <c r="J47" s="154">
        <v>0</v>
      </c>
      <c r="K47" s="154">
        <v>0</v>
      </c>
      <c r="L47" s="154">
        <v>0</v>
      </c>
      <c r="M47" s="155">
        <v>0</v>
      </c>
      <c r="N47" s="154">
        <v>0</v>
      </c>
      <c r="O47" s="154">
        <v>0</v>
      </c>
      <c r="P47" s="154">
        <v>0</v>
      </c>
      <c r="Q47" s="154">
        <v>0</v>
      </c>
      <c r="R47" s="156">
        <v>0</v>
      </c>
      <c r="S47" s="156">
        <v>0</v>
      </c>
      <c r="T47" s="156">
        <v>0</v>
      </c>
      <c r="U47" s="156">
        <f t="shared" si="1"/>
        <v>150</v>
      </c>
    </row>
    <row r="48" spans="1:21" ht="18" hidden="1" customHeight="1">
      <c r="A48" s="153">
        <f t="shared" si="0"/>
        <v>47</v>
      </c>
      <c r="B48" s="153" t="s">
        <v>192</v>
      </c>
      <c r="C48" s="153" t="str">
        <f>VLOOKUP(B48,MEMBERS!B:C,2, )</f>
        <v>MR.HANIF AHSAN ZUBEDI</v>
      </c>
      <c r="D48" s="162">
        <v>45995</v>
      </c>
      <c r="E48" s="154">
        <v>0</v>
      </c>
      <c r="F48" s="154">
        <v>0</v>
      </c>
      <c r="G48" s="154">
        <v>0</v>
      </c>
      <c r="H48" s="154">
        <v>0</v>
      </c>
      <c r="I48" s="154">
        <v>0</v>
      </c>
      <c r="J48" s="154">
        <f>300+500*3</f>
        <v>1800</v>
      </c>
      <c r="K48" s="154">
        <v>0</v>
      </c>
      <c r="L48" s="154">
        <v>0</v>
      </c>
      <c r="M48" s="155">
        <v>0</v>
      </c>
      <c r="N48" s="154">
        <v>0</v>
      </c>
      <c r="O48" s="154">
        <v>0</v>
      </c>
      <c r="P48" s="154">
        <v>0</v>
      </c>
      <c r="Q48" s="154">
        <v>0</v>
      </c>
      <c r="R48" s="156">
        <v>0</v>
      </c>
      <c r="S48" s="156">
        <v>0</v>
      </c>
      <c r="T48" s="156">
        <v>0</v>
      </c>
      <c r="U48" s="156">
        <f t="shared" si="1"/>
        <v>1800</v>
      </c>
    </row>
    <row r="49" spans="1:21" ht="18" hidden="1" customHeight="1">
      <c r="A49" s="153">
        <f t="shared" si="0"/>
        <v>48</v>
      </c>
      <c r="B49" s="153" t="s">
        <v>430</v>
      </c>
      <c r="C49" s="153" t="str">
        <f>VLOOKUP(B49,MEMBERS!B:C,2, )</f>
        <v>SYED JIBRAN MUSHTAQ</v>
      </c>
      <c r="D49" s="162">
        <v>45995</v>
      </c>
      <c r="E49" s="154">
        <v>0</v>
      </c>
      <c r="F49" s="154">
        <v>0</v>
      </c>
      <c r="G49" s="154">
        <v>0</v>
      </c>
      <c r="H49" s="154">
        <v>0</v>
      </c>
      <c r="I49" s="154">
        <v>0</v>
      </c>
      <c r="J49" s="154">
        <f>300+500*5</f>
        <v>2800</v>
      </c>
      <c r="K49" s="154">
        <v>0</v>
      </c>
      <c r="L49" s="154">
        <v>0</v>
      </c>
      <c r="M49" s="155">
        <v>0</v>
      </c>
      <c r="N49" s="154">
        <v>0</v>
      </c>
      <c r="O49" s="154">
        <v>0</v>
      </c>
      <c r="P49" s="154">
        <v>0</v>
      </c>
      <c r="Q49" s="154">
        <v>0</v>
      </c>
      <c r="R49" s="156">
        <v>0</v>
      </c>
      <c r="S49" s="156">
        <v>0</v>
      </c>
      <c r="T49" s="156">
        <v>0</v>
      </c>
      <c r="U49" s="156">
        <f t="shared" si="1"/>
        <v>2800</v>
      </c>
    </row>
    <row r="50" spans="1:21" ht="18" hidden="1" customHeight="1">
      <c r="A50" s="153">
        <f t="shared" si="0"/>
        <v>49</v>
      </c>
      <c r="B50" s="153" t="s">
        <v>376</v>
      </c>
      <c r="C50" s="153" t="str">
        <f>VLOOKUP(B50,MEMBERS!B:C,2, )</f>
        <v>KHURRAM FIRDOUS</v>
      </c>
      <c r="D50" s="162">
        <v>45996</v>
      </c>
      <c r="E50" s="154">
        <v>0</v>
      </c>
      <c r="F50" s="154">
        <v>0</v>
      </c>
      <c r="G50" s="154">
        <v>0</v>
      </c>
      <c r="H50" s="154">
        <v>0</v>
      </c>
      <c r="I50" s="154">
        <v>0</v>
      </c>
      <c r="J50" s="154">
        <v>0</v>
      </c>
      <c r="K50" s="154">
        <v>0</v>
      </c>
      <c r="L50" s="154">
        <v>0</v>
      </c>
      <c r="M50" s="155">
        <v>0</v>
      </c>
      <c r="N50" s="154">
        <v>0</v>
      </c>
      <c r="O50" s="154">
        <f>1000+1500*3</f>
        <v>5500</v>
      </c>
      <c r="P50" s="154">
        <v>0</v>
      </c>
      <c r="Q50" s="154">
        <v>0</v>
      </c>
      <c r="R50" s="156">
        <v>0</v>
      </c>
      <c r="S50" s="156">
        <v>0</v>
      </c>
      <c r="T50" s="156">
        <v>0</v>
      </c>
      <c r="U50" s="156">
        <f t="shared" si="1"/>
        <v>5500</v>
      </c>
    </row>
    <row r="51" spans="1:21" ht="18" hidden="1" customHeight="1">
      <c r="A51" s="153">
        <f t="shared" si="0"/>
        <v>50</v>
      </c>
      <c r="B51" s="153" t="s">
        <v>650</v>
      </c>
      <c r="C51" s="153" t="str">
        <f>VLOOKUP(B51,MEMBERS!B:C,2, )</f>
        <v>SHAHBAZ AHMED</v>
      </c>
      <c r="D51" s="162">
        <v>45996</v>
      </c>
      <c r="E51" s="154">
        <v>0</v>
      </c>
      <c r="F51" s="154">
        <v>300</v>
      </c>
      <c r="G51" s="154">
        <v>0</v>
      </c>
      <c r="H51" s="154">
        <v>0</v>
      </c>
      <c r="I51" s="154">
        <v>0</v>
      </c>
      <c r="J51" s="154">
        <v>0</v>
      </c>
      <c r="K51" s="154">
        <v>0</v>
      </c>
      <c r="L51" s="154">
        <v>0</v>
      </c>
      <c r="M51" s="155">
        <v>0</v>
      </c>
      <c r="N51" s="154">
        <v>0</v>
      </c>
      <c r="O51" s="292">
        <v>6000</v>
      </c>
      <c r="P51" s="154">
        <v>0</v>
      </c>
      <c r="Q51" s="154">
        <v>0</v>
      </c>
      <c r="R51" s="156">
        <v>0</v>
      </c>
      <c r="S51" s="156">
        <v>0</v>
      </c>
      <c r="T51" s="156">
        <v>0</v>
      </c>
      <c r="U51" s="156">
        <f t="shared" si="1"/>
        <v>6300</v>
      </c>
    </row>
    <row r="52" spans="1:21" ht="18" hidden="1" customHeight="1">
      <c r="A52" s="153">
        <f t="shared" si="0"/>
        <v>51</v>
      </c>
      <c r="B52" s="153" t="s">
        <v>69</v>
      </c>
      <c r="C52" s="153" t="str">
        <f>VLOOKUP(B52,MEMBERS!B:C,2, )</f>
        <v>MR.TARIQUE ZUBAIR</v>
      </c>
      <c r="D52" s="162">
        <v>45996</v>
      </c>
      <c r="E52" s="154">
        <v>0</v>
      </c>
      <c r="F52" s="154">
        <v>0</v>
      </c>
      <c r="G52" s="154">
        <v>0</v>
      </c>
      <c r="H52" s="154">
        <v>0</v>
      </c>
      <c r="I52" s="154">
        <v>0</v>
      </c>
      <c r="J52" s="154">
        <f>500*3</f>
        <v>1500</v>
      </c>
      <c r="K52" s="154">
        <v>0</v>
      </c>
      <c r="L52" s="154">
        <v>0</v>
      </c>
      <c r="M52" s="155">
        <v>0</v>
      </c>
      <c r="N52" s="154">
        <v>0</v>
      </c>
      <c r="O52" s="154">
        <v>0</v>
      </c>
      <c r="P52" s="154">
        <v>0</v>
      </c>
      <c r="Q52" s="154">
        <v>0</v>
      </c>
      <c r="R52" s="156">
        <v>0</v>
      </c>
      <c r="S52" s="156">
        <v>0</v>
      </c>
      <c r="T52" s="156">
        <v>0</v>
      </c>
      <c r="U52" s="156">
        <f t="shared" si="1"/>
        <v>1500</v>
      </c>
    </row>
    <row r="53" spans="1:21" ht="18" hidden="1" customHeight="1">
      <c r="A53" s="153">
        <f t="shared" si="0"/>
        <v>52</v>
      </c>
      <c r="B53" s="153" t="s">
        <v>374</v>
      </c>
      <c r="C53" s="153" t="str">
        <f>VLOOKUP(B53,MEMBERS!B:C,2, )</f>
        <v>AAMIR RASOOL</v>
      </c>
      <c r="D53" s="162">
        <v>45996</v>
      </c>
      <c r="E53" s="154">
        <f>300+600*4</f>
        <v>2700</v>
      </c>
      <c r="F53" s="154">
        <v>0</v>
      </c>
      <c r="G53" s="154">
        <v>0</v>
      </c>
      <c r="H53" s="154">
        <v>0</v>
      </c>
      <c r="I53" s="154">
        <v>0</v>
      </c>
      <c r="J53" s="154">
        <f>300*2+500*4</f>
        <v>2600</v>
      </c>
      <c r="K53" s="154">
        <v>0</v>
      </c>
      <c r="L53" s="154">
        <v>0</v>
      </c>
      <c r="M53" s="155">
        <v>0</v>
      </c>
      <c r="N53" s="154">
        <v>0</v>
      </c>
      <c r="O53" s="154">
        <v>0</v>
      </c>
      <c r="P53" s="154">
        <v>0</v>
      </c>
      <c r="Q53" s="154">
        <v>0</v>
      </c>
      <c r="R53" s="156">
        <v>0</v>
      </c>
      <c r="S53" s="156">
        <v>0</v>
      </c>
      <c r="T53" s="156">
        <v>0</v>
      </c>
      <c r="U53" s="156">
        <f t="shared" si="1"/>
        <v>5300</v>
      </c>
    </row>
    <row r="54" spans="1:21" ht="18" hidden="1" customHeight="1">
      <c r="A54" s="153">
        <f t="shared" si="0"/>
        <v>53</v>
      </c>
      <c r="B54" s="153" t="s">
        <v>385</v>
      </c>
      <c r="C54" s="153" t="str">
        <f>VLOOKUP(B54,MEMBERS!B:C,2, )</f>
        <v>AYSM MIRZA</v>
      </c>
      <c r="D54" s="162">
        <v>45996</v>
      </c>
      <c r="E54" s="154">
        <v>0</v>
      </c>
      <c r="F54" s="154">
        <v>150</v>
      </c>
      <c r="G54" s="154">
        <v>0</v>
      </c>
      <c r="H54" s="154">
        <v>0</v>
      </c>
      <c r="I54" s="154">
        <v>0</v>
      </c>
      <c r="J54" s="154">
        <f>300+500*2</f>
        <v>1300</v>
      </c>
      <c r="K54" s="154">
        <v>0</v>
      </c>
      <c r="L54" s="154">
        <v>0</v>
      </c>
      <c r="M54" s="155">
        <v>0</v>
      </c>
      <c r="N54" s="154">
        <v>0</v>
      </c>
      <c r="O54" s="154">
        <v>0</v>
      </c>
      <c r="P54" s="154">
        <v>0</v>
      </c>
      <c r="Q54" s="154">
        <v>0</v>
      </c>
      <c r="R54" s="156">
        <v>0</v>
      </c>
      <c r="S54" s="156">
        <v>0</v>
      </c>
      <c r="T54" s="156">
        <v>0</v>
      </c>
      <c r="U54" s="156">
        <f t="shared" si="1"/>
        <v>1450</v>
      </c>
    </row>
    <row r="55" spans="1:21" ht="18" hidden="1" customHeight="1">
      <c r="A55" s="153">
        <f t="shared" si="0"/>
        <v>54</v>
      </c>
      <c r="B55" s="153" t="s">
        <v>44</v>
      </c>
      <c r="C55" s="153" t="str">
        <f>VLOOKUP(B55,MEMBERS!B:C,2, )</f>
        <v>MR.MUHAMMAD RIZWAN</v>
      </c>
      <c r="D55" s="162">
        <v>45996</v>
      </c>
      <c r="E55" s="154">
        <f>300+600</f>
        <v>900</v>
      </c>
      <c r="F55" s="154">
        <v>0</v>
      </c>
      <c r="G55" s="154">
        <v>0</v>
      </c>
      <c r="H55" s="154">
        <v>0</v>
      </c>
      <c r="I55" s="154">
        <v>0</v>
      </c>
      <c r="J55" s="154">
        <v>0</v>
      </c>
      <c r="K55" s="154">
        <v>0</v>
      </c>
      <c r="L55" s="154">
        <v>0</v>
      </c>
      <c r="M55" s="155">
        <v>0</v>
      </c>
      <c r="N55" s="154">
        <v>0</v>
      </c>
      <c r="O55" s="154">
        <v>0</v>
      </c>
      <c r="P55" s="154">
        <v>0</v>
      </c>
      <c r="Q55" s="154">
        <v>0</v>
      </c>
      <c r="R55" s="156">
        <v>0</v>
      </c>
      <c r="S55" s="156">
        <v>0</v>
      </c>
      <c r="T55" s="156">
        <v>0</v>
      </c>
      <c r="U55" s="156">
        <f t="shared" si="1"/>
        <v>900</v>
      </c>
    </row>
    <row r="56" spans="1:21" ht="18" hidden="1" customHeight="1">
      <c r="A56" s="153">
        <f t="shared" si="0"/>
        <v>55</v>
      </c>
      <c r="B56" s="153" t="s">
        <v>373</v>
      </c>
      <c r="C56" s="153" t="str">
        <f>VLOOKUP(B56,MEMBERS!B:C,2, )</f>
        <v>ASIF ASHFAQ</v>
      </c>
      <c r="D56" s="162">
        <v>45996</v>
      </c>
      <c r="E56" s="154">
        <v>0</v>
      </c>
      <c r="F56" s="154">
        <f>150*2</f>
        <v>300</v>
      </c>
      <c r="G56" s="154">
        <v>0</v>
      </c>
      <c r="H56" s="154">
        <v>0</v>
      </c>
      <c r="I56" s="154">
        <v>0</v>
      </c>
      <c r="J56" s="154">
        <v>0</v>
      </c>
      <c r="K56" s="154">
        <v>0</v>
      </c>
      <c r="L56" s="154">
        <v>0</v>
      </c>
      <c r="M56" s="155">
        <v>0</v>
      </c>
      <c r="N56" s="154">
        <v>0</v>
      </c>
      <c r="O56" s="154">
        <v>0</v>
      </c>
      <c r="P56" s="154">
        <v>0</v>
      </c>
      <c r="Q56" s="154">
        <v>0</v>
      </c>
      <c r="R56" s="156">
        <v>0</v>
      </c>
      <c r="S56" s="156">
        <v>0</v>
      </c>
      <c r="T56" s="156">
        <v>0</v>
      </c>
      <c r="U56" s="156">
        <f t="shared" si="1"/>
        <v>300</v>
      </c>
    </row>
    <row r="57" spans="1:21" ht="18" hidden="1" customHeight="1">
      <c r="A57" s="153">
        <f t="shared" si="0"/>
        <v>56</v>
      </c>
      <c r="B57" s="153" t="s">
        <v>235</v>
      </c>
      <c r="C57" s="153" t="str">
        <f>VLOOKUP(B57,MEMBERS!B:C,2, )</f>
        <v>MR.IMRAN WAZEER</v>
      </c>
      <c r="D57" s="162">
        <v>45996</v>
      </c>
      <c r="E57" s="154">
        <v>0</v>
      </c>
      <c r="F57" s="154">
        <v>150</v>
      </c>
      <c r="G57" s="154">
        <v>0</v>
      </c>
      <c r="H57" s="154">
        <v>0</v>
      </c>
      <c r="I57" s="154">
        <v>0</v>
      </c>
      <c r="J57" s="154">
        <v>0</v>
      </c>
      <c r="K57" s="154">
        <v>0</v>
      </c>
      <c r="L57" s="154">
        <v>0</v>
      </c>
      <c r="M57" s="155">
        <v>0</v>
      </c>
      <c r="N57" s="154">
        <v>0</v>
      </c>
      <c r="O57" s="154">
        <v>0</v>
      </c>
      <c r="P57" s="154">
        <v>0</v>
      </c>
      <c r="Q57" s="154">
        <v>0</v>
      </c>
      <c r="R57" s="156">
        <v>0</v>
      </c>
      <c r="S57" s="156">
        <v>0</v>
      </c>
      <c r="T57" s="156">
        <v>0</v>
      </c>
      <c r="U57" s="156">
        <f t="shared" si="1"/>
        <v>150</v>
      </c>
    </row>
    <row r="58" spans="1:21" ht="18" hidden="1" customHeight="1">
      <c r="A58" s="153">
        <f t="shared" si="0"/>
        <v>57</v>
      </c>
      <c r="B58" s="153" t="s">
        <v>54</v>
      </c>
      <c r="C58" s="153" t="str">
        <f>VLOOKUP(B58,MEMBERS!B:C,2, )</f>
        <v>MR.ZEESHAN IQBAL</v>
      </c>
      <c r="D58" s="162">
        <v>45996</v>
      </c>
      <c r="E58" s="154">
        <v>0</v>
      </c>
      <c r="F58" s="154">
        <f>150*2</f>
        <v>300</v>
      </c>
      <c r="G58" s="154">
        <v>0</v>
      </c>
      <c r="H58" s="154">
        <v>0</v>
      </c>
      <c r="I58" s="154">
        <v>0</v>
      </c>
      <c r="J58" s="154">
        <v>0</v>
      </c>
      <c r="K58" s="154">
        <v>0</v>
      </c>
      <c r="L58" s="154">
        <v>0</v>
      </c>
      <c r="M58" s="155">
        <v>0</v>
      </c>
      <c r="N58" s="154">
        <v>0</v>
      </c>
      <c r="O58" s="154">
        <v>0</v>
      </c>
      <c r="P58" s="154">
        <v>0</v>
      </c>
      <c r="Q58" s="154">
        <v>0</v>
      </c>
      <c r="R58" s="156">
        <v>0</v>
      </c>
      <c r="S58" s="156">
        <v>0</v>
      </c>
      <c r="T58" s="156">
        <v>0</v>
      </c>
      <c r="U58" s="156">
        <f t="shared" si="1"/>
        <v>300</v>
      </c>
    </row>
    <row r="59" spans="1:21" ht="18" hidden="1" customHeight="1">
      <c r="A59" s="153">
        <f t="shared" si="0"/>
        <v>58</v>
      </c>
      <c r="B59" s="153" t="s">
        <v>83</v>
      </c>
      <c r="C59" s="153" t="str">
        <f>VLOOKUP(B59,MEMBERS!B:C,2, )</f>
        <v>DR.SANTOSH KUMAR</v>
      </c>
      <c r="D59" s="162">
        <v>45996</v>
      </c>
      <c r="E59" s="154">
        <v>0</v>
      </c>
      <c r="F59" s="154">
        <v>150</v>
      </c>
      <c r="G59" s="154">
        <v>0</v>
      </c>
      <c r="H59" s="154">
        <v>0</v>
      </c>
      <c r="I59" s="154">
        <v>0</v>
      </c>
      <c r="J59" s="154">
        <v>0</v>
      </c>
      <c r="K59" s="154">
        <v>0</v>
      </c>
      <c r="L59" s="154">
        <v>0</v>
      </c>
      <c r="M59" s="155">
        <v>0</v>
      </c>
      <c r="N59" s="154">
        <v>0</v>
      </c>
      <c r="O59" s="154">
        <v>0</v>
      </c>
      <c r="P59" s="154">
        <v>0</v>
      </c>
      <c r="Q59" s="154">
        <v>0</v>
      </c>
      <c r="R59" s="156">
        <v>0</v>
      </c>
      <c r="S59" s="156">
        <v>0</v>
      </c>
      <c r="T59" s="156">
        <v>0</v>
      </c>
      <c r="U59" s="156">
        <f t="shared" si="1"/>
        <v>150</v>
      </c>
    </row>
    <row r="60" spans="1:21" ht="18" hidden="1" customHeight="1">
      <c r="A60" s="153">
        <f t="shared" si="0"/>
        <v>59</v>
      </c>
      <c r="B60" s="153" t="s">
        <v>217</v>
      </c>
      <c r="C60" s="153" t="str">
        <f>VLOOKUP(B60,MEMBERS!B:C,2, )</f>
        <v>MR.ZAIN FAROOQ</v>
      </c>
      <c r="D60" s="162">
        <v>45996</v>
      </c>
      <c r="E60" s="154">
        <v>0</v>
      </c>
      <c r="F60" s="154">
        <v>150</v>
      </c>
      <c r="G60" s="154">
        <v>0</v>
      </c>
      <c r="H60" s="154">
        <v>0</v>
      </c>
      <c r="I60" s="154">
        <v>0</v>
      </c>
      <c r="J60" s="154">
        <v>0</v>
      </c>
      <c r="K60" s="154">
        <v>0</v>
      </c>
      <c r="L60" s="154">
        <v>0</v>
      </c>
      <c r="M60" s="155">
        <v>0</v>
      </c>
      <c r="N60" s="154">
        <v>0</v>
      </c>
      <c r="O60" s="154">
        <v>0</v>
      </c>
      <c r="P60" s="154">
        <v>0</v>
      </c>
      <c r="Q60" s="154">
        <v>0</v>
      </c>
      <c r="R60" s="156">
        <v>0</v>
      </c>
      <c r="S60" s="156">
        <v>0</v>
      </c>
      <c r="T60" s="156">
        <v>0</v>
      </c>
      <c r="U60" s="156">
        <f t="shared" si="1"/>
        <v>150</v>
      </c>
    </row>
    <row r="61" spans="1:21" ht="18" hidden="1" customHeight="1">
      <c r="A61" s="153">
        <f t="shared" si="0"/>
        <v>60</v>
      </c>
      <c r="B61" s="153" t="s">
        <v>426</v>
      </c>
      <c r="C61" s="153" t="str">
        <f>VLOOKUP(B61,MEMBERS!B:C,2, )</f>
        <v>NASIR ABBAS</v>
      </c>
      <c r="D61" s="162">
        <v>45996</v>
      </c>
      <c r="E61" s="154">
        <v>0</v>
      </c>
      <c r="F61" s="154">
        <f>150*2</f>
        <v>300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5">
        <v>0</v>
      </c>
      <c r="N61" s="154">
        <v>0</v>
      </c>
      <c r="O61" s="154">
        <v>0</v>
      </c>
      <c r="P61" s="154">
        <v>0</v>
      </c>
      <c r="Q61" s="154">
        <v>0</v>
      </c>
      <c r="R61" s="156">
        <v>0</v>
      </c>
      <c r="S61" s="156">
        <v>0</v>
      </c>
      <c r="T61" s="156">
        <v>0</v>
      </c>
      <c r="U61" s="156">
        <f t="shared" si="1"/>
        <v>300</v>
      </c>
    </row>
    <row r="62" spans="1:21" ht="18" hidden="1" customHeight="1">
      <c r="A62" s="153">
        <f t="shared" si="0"/>
        <v>61</v>
      </c>
      <c r="B62" s="153" t="s">
        <v>10</v>
      </c>
      <c r="C62" s="153" t="str">
        <f>VLOOKUP(B62,MEMBERS!B:C,2, )</f>
        <v>MR. JABIR SHAHZAD</v>
      </c>
      <c r="D62" s="162">
        <v>45996</v>
      </c>
      <c r="E62" s="154">
        <v>0</v>
      </c>
      <c r="F62" s="154">
        <v>150</v>
      </c>
      <c r="G62" s="154">
        <v>0</v>
      </c>
      <c r="H62" s="154">
        <v>0</v>
      </c>
      <c r="I62" s="154">
        <v>0</v>
      </c>
      <c r="J62" s="154">
        <v>0</v>
      </c>
      <c r="K62" s="154">
        <v>0</v>
      </c>
      <c r="L62" s="154">
        <v>0</v>
      </c>
      <c r="M62" s="155">
        <v>0</v>
      </c>
      <c r="N62" s="154">
        <v>0</v>
      </c>
      <c r="O62" s="154">
        <v>0</v>
      </c>
      <c r="P62" s="154">
        <v>0</v>
      </c>
      <c r="Q62" s="154">
        <v>0</v>
      </c>
      <c r="R62" s="156">
        <v>0</v>
      </c>
      <c r="S62" s="156">
        <v>0</v>
      </c>
      <c r="T62" s="156">
        <v>0</v>
      </c>
      <c r="U62" s="156">
        <f t="shared" si="1"/>
        <v>150</v>
      </c>
    </row>
    <row r="63" spans="1:21" ht="18" hidden="1" customHeight="1">
      <c r="A63" s="153">
        <f t="shared" si="0"/>
        <v>62</v>
      </c>
      <c r="B63" s="153" t="s">
        <v>756</v>
      </c>
      <c r="C63" s="153" t="s">
        <v>1173</v>
      </c>
      <c r="D63" s="162">
        <v>45997</v>
      </c>
      <c r="E63" s="154">
        <v>0</v>
      </c>
      <c r="F63" s="154">
        <v>0</v>
      </c>
      <c r="G63" s="154">
        <v>0</v>
      </c>
      <c r="H63" s="154">
        <v>0</v>
      </c>
      <c r="I63" s="154">
        <v>0</v>
      </c>
      <c r="J63" s="154">
        <v>0</v>
      </c>
      <c r="K63" s="154">
        <v>0</v>
      </c>
      <c r="L63" s="154">
        <v>0</v>
      </c>
      <c r="M63" s="155">
        <v>0</v>
      </c>
      <c r="N63" s="154">
        <v>0</v>
      </c>
      <c r="O63" s="292">
        <v>11200</v>
      </c>
      <c r="P63" s="154">
        <v>0</v>
      </c>
      <c r="Q63" s="154">
        <v>0</v>
      </c>
      <c r="R63" s="156">
        <v>0</v>
      </c>
      <c r="S63" s="156">
        <v>0</v>
      </c>
      <c r="T63" s="156">
        <v>0</v>
      </c>
      <c r="U63" s="156">
        <f t="shared" si="1"/>
        <v>11200</v>
      </c>
    </row>
    <row r="64" spans="1:21" ht="18" hidden="1" customHeight="1">
      <c r="A64" s="153">
        <f t="shared" si="0"/>
        <v>63</v>
      </c>
      <c r="B64" s="153" t="s">
        <v>235</v>
      </c>
      <c r="C64" s="153" t="str">
        <f>VLOOKUP(B64,MEMBERS!B:C,2, )</f>
        <v>MR.IMRAN WAZEER</v>
      </c>
      <c r="D64" s="162">
        <v>45997</v>
      </c>
      <c r="E64" s="154">
        <v>0</v>
      </c>
      <c r="F64" s="154">
        <v>150</v>
      </c>
      <c r="G64" s="154">
        <v>0</v>
      </c>
      <c r="H64" s="154">
        <v>0</v>
      </c>
      <c r="I64" s="154">
        <v>0</v>
      </c>
      <c r="J64" s="154">
        <f>300*3</f>
        <v>900</v>
      </c>
      <c r="K64" s="154">
        <v>0</v>
      </c>
      <c r="L64" s="154">
        <v>0</v>
      </c>
      <c r="M64" s="155">
        <v>0</v>
      </c>
      <c r="N64" s="154">
        <v>0</v>
      </c>
      <c r="O64" s="154">
        <v>2250</v>
      </c>
      <c r="P64" s="154">
        <v>0</v>
      </c>
      <c r="Q64" s="154">
        <v>0</v>
      </c>
      <c r="R64" s="156">
        <v>0</v>
      </c>
      <c r="S64" s="156">
        <v>0</v>
      </c>
      <c r="T64" s="156">
        <v>0</v>
      </c>
      <c r="U64" s="156">
        <f t="shared" si="1"/>
        <v>3300</v>
      </c>
    </row>
    <row r="65" spans="1:21" ht="18" hidden="1" customHeight="1">
      <c r="A65" s="153">
        <f t="shared" si="0"/>
        <v>64</v>
      </c>
      <c r="B65" s="153" t="s">
        <v>1053</v>
      </c>
      <c r="C65" s="153" t="str">
        <f>VLOOKUP(B65,MEMBERS!B:C,2, )</f>
        <v>MR. ZAMIR ALI SHAH</v>
      </c>
      <c r="D65" s="162">
        <v>45997</v>
      </c>
      <c r="E65" s="154">
        <v>0</v>
      </c>
      <c r="F65" s="154">
        <v>0</v>
      </c>
      <c r="G65" s="154">
        <v>0</v>
      </c>
      <c r="H65" s="154">
        <v>0</v>
      </c>
      <c r="I65" s="154">
        <v>0</v>
      </c>
      <c r="J65" s="154">
        <f>500*6</f>
        <v>3000</v>
      </c>
      <c r="K65" s="154">
        <v>0</v>
      </c>
      <c r="L65" s="154">
        <v>0</v>
      </c>
      <c r="M65" s="155">
        <v>0</v>
      </c>
      <c r="N65" s="154">
        <v>0</v>
      </c>
      <c r="O65" s="154">
        <v>4000</v>
      </c>
      <c r="P65" s="154">
        <v>0</v>
      </c>
      <c r="Q65" s="154">
        <v>0</v>
      </c>
      <c r="R65" s="156">
        <v>0</v>
      </c>
      <c r="S65" s="156">
        <v>0</v>
      </c>
      <c r="T65" s="156">
        <v>0</v>
      </c>
      <c r="U65" s="156">
        <f t="shared" si="1"/>
        <v>7000</v>
      </c>
    </row>
    <row r="66" spans="1:21" ht="18" hidden="1" customHeight="1">
      <c r="A66" s="153">
        <f t="shared" ref="A66:A129" si="2">IF(D66&lt;&gt;"", ROW()-1, "")</f>
        <v>65</v>
      </c>
      <c r="B66" s="153" t="s">
        <v>54</v>
      </c>
      <c r="C66" s="153" t="str">
        <f>VLOOKUP(B66,MEMBERS!B:C,2, )</f>
        <v>MR.ZEESHAN IQBAL</v>
      </c>
      <c r="D66" s="162">
        <v>45997</v>
      </c>
      <c r="E66" s="154">
        <v>0</v>
      </c>
      <c r="F66" s="154">
        <f>150*2</f>
        <v>300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5">
        <v>0</v>
      </c>
      <c r="N66" s="154">
        <v>0</v>
      </c>
      <c r="O66" s="154">
        <v>0</v>
      </c>
      <c r="P66" s="154">
        <v>0</v>
      </c>
      <c r="Q66" s="154">
        <v>0</v>
      </c>
      <c r="R66" s="156">
        <v>0</v>
      </c>
      <c r="S66" s="156">
        <v>0</v>
      </c>
      <c r="T66" s="156">
        <v>0</v>
      </c>
      <c r="U66" s="156">
        <f t="shared" si="1"/>
        <v>300</v>
      </c>
    </row>
    <row r="67" spans="1:21" ht="18" hidden="1" customHeight="1">
      <c r="A67" s="153">
        <f t="shared" si="2"/>
        <v>66</v>
      </c>
      <c r="B67" s="153" t="s">
        <v>39</v>
      </c>
      <c r="C67" s="153" t="str">
        <f>VLOOKUP(B67,MEMBERS!B:C,2, )</f>
        <v>MR.SYED ABDULLAH ALI</v>
      </c>
      <c r="D67" s="162">
        <v>45997</v>
      </c>
      <c r="E67" s="154">
        <v>0</v>
      </c>
      <c r="F67" s="154">
        <v>150</v>
      </c>
      <c r="G67" s="154">
        <v>0</v>
      </c>
      <c r="H67" s="154">
        <v>0</v>
      </c>
      <c r="I67" s="154">
        <v>0</v>
      </c>
      <c r="J67" s="154">
        <v>0</v>
      </c>
      <c r="K67" s="154">
        <v>0</v>
      </c>
      <c r="L67" s="154">
        <v>0</v>
      </c>
      <c r="M67" s="155">
        <v>0</v>
      </c>
      <c r="N67" s="154">
        <v>0</v>
      </c>
      <c r="O67" s="154">
        <v>0</v>
      </c>
      <c r="P67" s="154">
        <v>0</v>
      </c>
      <c r="Q67" s="154">
        <v>0</v>
      </c>
      <c r="R67" s="156">
        <v>0</v>
      </c>
      <c r="S67" s="156">
        <v>0</v>
      </c>
      <c r="T67" s="156">
        <v>0</v>
      </c>
      <c r="U67" s="156">
        <f t="shared" ref="U67:U129" si="3">SUM(E67:T67)</f>
        <v>150</v>
      </c>
    </row>
    <row r="68" spans="1:21" ht="18" hidden="1" customHeight="1">
      <c r="A68" s="153">
        <f t="shared" si="2"/>
        <v>67</v>
      </c>
      <c r="B68" s="153" t="s">
        <v>192</v>
      </c>
      <c r="C68" s="153" t="str">
        <f>VLOOKUP(B68,MEMBERS!B:C,2, )</f>
        <v>MR.HANIF AHSAN ZUBEDI</v>
      </c>
      <c r="D68" s="162">
        <v>45997</v>
      </c>
      <c r="E68" s="154">
        <v>0</v>
      </c>
      <c r="F68" s="154">
        <f>150*2+300</f>
        <v>600</v>
      </c>
      <c r="G68" s="154">
        <v>0</v>
      </c>
      <c r="H68" s="154">
        <v>0</v>
      </c>
      <c r="I68" s="154">
        <v>0</v>
      </c>
      <c r="J68" s="154">
        <f>300*2+500</f>
        <v>1100</v>
      </c>
      <c r="K68" s="154">
        <v>0</v>
      </c>
      <c r="L68" s="154">
        <v>0</v>
      </c>
      <c r="M68" s="155">
        <v>0</v>
      </c>
      <c r="N68" s="154">
        <v>0</v>
      </c>
      <c r="O68" s="154">
        <v>0</v>
      </c>
      <c r="P68" s="154">
        <v>0</v>
      </c>
      <c r="Q68" s="154">
        <v>0</v>
      </c>
      <c r="R68" s="156">
        <v>0</v>
      </c>
      <c r="S68" s="156">
        <v>0</v>
      </c>
      <c r="T68" s="156">
        <v>0</v>
      </c>
      <c r="U68" s="156">
        <f t="shared" si="3"/>
        <v>1700</v>
      </c>
    </row>
    <row r="69" spans="1:21" ht="18" hidden="1" customHeight="1">
      <c r="A69" s="153">
        <f t="shared" si="2"/>
        <v>68</v>
      </c>
      <c r="B69" s="153" t="s">
        <v>217</v>
      </c>
      <c r="C69" s="153" t="str">
        <f>VLOOKUP(B69,MEMBERS!B:C,2, )</f>
        <v>MR.ZAIN FAROOQ</v>
      </c>
      <c r="D69" s="162">
        <v>45997</v>
      </c>
      <c r="E69" s="154">
        <v>0</v>
      </c>
      <c r="F69" s="154">
        <v>150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5">
        <v>0</v>
      </c>
      <c r="N69" s="154">
        <v>0</v>
      </c>
      <c r="O69" s="154">
        <v>0</v>
      </c>
      <c r="P69" s="154">
        <v>0</v>
      </c>
      <c r="Q69" s="154">
        <v>0</v>
      </c>
      <c r="R69" s="156">
        <v>0</v>
      </c>
      <c r="S69" s="156">
        <v>0</v>
      </c>
      <c r="T69" s="156">
        <v>0</v>
      </c>
      <c r="U69" s="156">
        <f t="shared" si="3"/>
        <v>150</v>
      </c>
    </row>
    <row r="70" spans="1:21" ht="18" hidden="1" customHeight="1">
      <c r="A70" s="153">
        <f t="shared" si="2"/>
        <v>69</v>
      </c>
      <c r="B70" s="153" t="s">
        <v>426</v>
      </c>
      <c r="C70" s="153" t="str">
        <f>VLOOKUP(B70,MEMBERS!B:C,2, )</f>
        <v>NASIR ABBAS</v>
      </c>
      <c r="D70" s="162">
        <v>45997</v>
      </c>
      <c r="E70" s="154">
        <v>0</v>
      </c>
      <c r="F70" s="154">
        <v>150</v>
      </c>
      <c r="G70" s="154">
        <v>0</v>
      </c>
      <c r="H70" s="154">
        <v>0</v>
      </c>
      <c r="I70" s="154">
        <v>0</v>
      </c>
      <c r="J70" s="154">
        <v>0</v>
      </c>
      <c r="K70" s="154">
        <v>0</v>
      </c>
      <c r="L70" s="154">
        <v>0</v>
      </c>
      <c r="M70" s="155">
        <v>0</v>
      </c>
      <c r="N70" s="154">
        <v>0</v>
      </c>
      <c r="O70" s="154">
        <v>0</v>
      </c>
      <c r="P70" s="154">
        <v>0</v>
      </c>
      <c r="Q70" s="154">
        <v>0</v>
      </c>
      <c r="R70" s="156">
        <v>0</v>
      </c>
      <c r="S70" s="156">
        <v>0</v>
      </c>
      <c r="T70" s="156">
        <v>0</v>
      </c>
      <c r="U70" s="156">
        <f t="shared" si="3"/>
        <v>150</v>
      </c>
    </row>
    <row r="71" spans="1:21" ht="18" hidden="1" customHeight="1">
      <c r="A71" s="153">
        <f t="shared" si="2"/>
        <v>70</v>
      </c>
      <c r="B71" s="153" t="s">
        <v>25</v>
      </c>
      <c r="C71" s="153" t="str">
        <f>VLOOKUP(B71,MEMBERS!B:C,2, )</f>
        <v>MR.MUHAMMAD ARIF</v>
      </c>
      <c r="D71" s="162">
        <v>45997</v>
      </c>
      <c r="E71" s="154">
        <f>300*3+600*3</f>
        <v>2700</v>
      </c>
      <c r="F71" s="154">
        <v>0</v>
      </c>
      <c r="G71" s="154">
        <v>0</v>
      </c>
      <c r="H71" s="154">
        <v>0</v>
      </c>
      <c r="I71" s="154">
        <v>0</v>
      </c>
      <c r="J71" s="154">
        <f>300*2</f>
        <v>600</v>
      </c>
      <c r="K71" s="154">
        <v>0</v>
      </c>
      <c r="L71" s="154">
        <v>0</v>
      </c>
      <c r="M71" s="155">
        <v>0</v>
      </c>
      <c r="N71" s="154">
        <v>0</v>
      </c>
      <c r="O71" s="154">
        <v>0</v>
      </c>
      <c r="P71" s="154">
        <v>0</v>
      </c>
      <c r="Q71" s="154">
        <v>0</v>
      </c>
      <c r="R71" s="156">
        <v>0</v>
      </c>
      <c r="S71" s="156">
        <v>0</v>
      </c>
      <c r="T71" s="156">
        <v>0</v>
      </c>
      <c r="U71" s="156">
        <f t="shared" si="3"/>
        <v>3300</v>
      </c>
    </row>
    <row r="72" spans="1:21" ht="18" hidden="1" customHeight="1">
      <c r="A72" s="153">
        <f t="shared" si="2"/>
        <v>71</v>
      </c>
      <c r="B72" s="153" t="s">
        <v>1051</v>
      </c>
      <c r="C72" s="153" t="str">
        <f>VLOOKUP(B72,MEMBERS!B:C,2, )</f>
        <v>MR. ZAHIR REHMAN</v>
      </c>
      <c r="D72" s="162">
        <v>45997</v>
      </c>
      <c r="E72" s="154">
        <v>0</v>
      </c>
      <c r="F72" s="154">
        <v>0</v>
      </c>
      <c r="G72" s="154">
        <v>0</v>
      </c>
      <c r="H72" s="154">
        <v>0</v>
      </c>
      <c r="I72" s="154">
        <v>0</v>
      </c>
      <c r="J72" s="154">
        <f>300*5</f>
        <v>1500</v>
      </c>
      <c r="K72" s="154">
        <v>0</v>
      </c>
      <c r="L72" s="154">
        <v>0</v>
      </c>
      <c r="M72" s="155">
        <v>0</v>
      </c>
      <c r="N72" s="154">
        <v>0</v>
      </c>
      <c r="O72" s="154">
        <v>0</v>
      </c>
      <c r="P72" s="154">
        <v>0</v>
      </c>
      <c r="Q72" s="154">
        <v>0</v>
      </c>
      <c r="R72" s="156">
        <v>0</v>
      </c>
      <c r="S72" s="156">
        <v>0</v>
      </c>
      <c r="T72" s="156">
        <v>0</v>
      </c>
      <c r="U72" s="156">
        <f t="shared" si="3"/>
        <v>1500</v>
      </c>
    </row>
    <row r="73" spans="1:21" ht="18" hidden="1" customHeight="1">
      <c r="A73" s="153">
        <f t="shared" si="2"/>
        <v>72</v>
      </c>
      <c r="B73" s="153" t="s">
        <v>308</v>
      </c>
      <c r="C73" s="153" t="str">
        <f>VLOOKUP(B73,MEMBERS!B:C,2, )</f>
        <v>DGM AZFAR ALI</v>
      </c>
      <c r="D73" s="162">
        <v>45997</v>
      </c>
      <c r="E73" s="154">
        <v>0</v>
      </c>
      <c r="F73" s="154">
        <v>0</v>
      </c>
      <c r="G73" s="154">
        <v>0</v>
      </c>
      <c r="H73" s="154">
        <v>0</v>
      </c>
      <c r="I73" s="154">
        <v>0</v>
      </c>
      <c r="J73" s="154">
        <f>300*2</f>
        <v>600</v>
      </c>
      <c r="K73" s="154">
        <v>0</v>
      </c>
      <c r="L73" s="154">
        <v>0</v>
      </c>
      <c r="M73" s="155">
        <v>0</v>
      </c>
      <c r="N73" s="154">
        <v>0</v>
      </c>
      <c r="O73" s="154">
        <v>0</v>
      </c>
      <c r="P73" s="154">
        <v>0</v>
      </c>
      <c r="Q73" s="154">
        <v>0</v>
      </c>
      <c r="R73" s="156">
        <v>0</v>
      </c>
      <c r="S73" s="156">
        <v>0</v>
      </c>
      <c r="T73" s="156">
        <v>0</v>
      </c>
      <c r="U73" s="156">
        <f t="shared" si="3"/>
        <v>600</v>
      </c>
    </row>
    <row r="74" spans="1:21" ht="18" hidden="1" customHeight="1">
      <c r="A74" s="153">
        <f t="shared" si="2"/>
        <v>73</v>
      </c>
      <c r="B74" s="153" t="s">
        <v>73</v>
      </c>
      <c r="C74" s="153" t="str">
        <f>VLOOKUP(B74,MEMBERS!B:C,2, )</f>
        <v>MR.ATIF SHAFQAT</v>
      </c>
      <c r="D74" s="162">
        <v>45997</v>
      </c>
      <c r="E74" s="154">
        <v>0</v>
      </c>
      <c r="F74" s="154">
        <v>0</v>
      </c>
      <c r="G74" s="154">
        <v>0</v>
      </c>
      <c r="H74" s="154">
        <v>0</v>
      </c>
      <c r="I74" s="154">
        <v>0</v>
      </c>
      <c r="J74" s="154">
        <f>300*2</f>
        <v>600</v>
      </c>
      <c r="K74" s="154">
        <v>0</v>
      </c>
      <c r="L74" s="154">
        <v>0</v>
      </c>
      <c r="M74" s="155">
        <v>0</v>
      </c>
      <c r="N74" s="154">
        <v>0</v>
      </c>
      <c r="O74" s="154">
        <v>0</v>
      </c>
      <c r="P74" s="154">
        <v>0</v>
      </c>
      <c r="Q74" s="154">
        <v>0</v>
      </c>
      <c r="R74" s="156">
        <v>0</v>
      </c>
      <c r="S74" s="156">
        <v>0</v>
      </c>
      <c r="T74" s="156">
        <v>0</v>
      </c>
      <c r="U74" s="156">
        <f t="shared" si="3"/>
        <v>600</v>
      </c>
    </row>
    <row r="75" spans="1:21" ht="18" hidden="1" customHeight="1">
      <c r="A75" s="153">
        <f t="shared" si="2"/>
        <v>74</v>
      </c>
      <c r="B75" s="153" t="s">
        <v>418</v>
      </c>
      <c r="C75" s="153" t="str">
        <f>VLOOKUP(B75,MEMBERS!B:C,2, )</f>
        <v>ZAIB UR REHMAN</v>
      </c>
      <c r="D75" s="162">
        <v>45997</v>
      </c>
      <c r="E75" s="154">
        <v>0</v>
      </c>
      <c r="F75" s="154">
        <v>0</v>
      </c>
      <c r="G75" s="154">
        <v>0</v>
      </c>
      <c r="H75" s="154">
        <v>0</v>
      </c>
      <c r="I75" s="154">
        <v>0</v>
      </c>
      <c r="J75" s="154">
        <f>300*4+500*2</f>
        <v>2200</v>
      </c>
      <c r="K75" s="154">
        <v>0</v>
      </c>
      <c r="L75" s="154">
        <v>0</v>
      </c>
      <c r="M75" s="155">
        <v>0</v>
      </c>
      <c r="N75" s="154">
        <v>0</v>
      </c>
      <c r="O75" s="154">
        <v>0</v>
      </c>
      <c r="P75" s="154">
        <v>0</v>
      </c>
      <c r="Q75" s="154">
        <v>0</v>
      </c>
      <c r="R75" s="156">
        <v>0</v>
      </c>
      <c r="S75" s="156">
        <v>0</v>
      </c>
      <c r="T75" s="156">
        <v>0</v>
      </c>
      <c r="U75" s="156">
        <f t="shared" si="3"/>
        <v>2200</v>
      </c>
    </row>
    <row r="76" spans="1:21" ht="18" hidden="1" customHeight="1">
      <c r="A76" s="153">
        <f t="shared" si="2"/>
        <v>75</v>
      </c>
      <c r="B76" s="153" t="s">
        <v>756</v>
      </c>
      <c r="C76" s="153" t="s">
        <v>1173</v>
      </c>
      <c r="D76" s="162">
        <v>45997</v>
      </c>
      <c r="E76" s="154">
        <v>0</v>
      </c>
      <c r="F76" s="154">
        <v>0</v>
      </c>
      <c r="G76" s="154">
        <v>0</v>
      </c>
      <c r="H76" s="154">
        <v>0</v>
      </c>
      <c r="I76" s="154">
        <v>0</v>
      </c>
      <c r="J76" s="292">
        <v>500</v>
      </c>
      <c r="K76" s="154">
        <v>0</v>
      </c>
      <c r="L76" s="154">
        <v>0</v>
      </c>
      <c r="M76" s="155">
        <v>0</v>
      </c>
      <c r="N76" s="154">
        <v>0</v>
      </c>
      <c r="O76" s="154">
        <v>0</v>
      </c>
      <c r="P76" s="154">
        <v>0</v>
      </c>
      <c r="Q76" s="154">
        <v>0</v>
      </c>
      <c r="R76" s="156">
        <v>0</v>
      </c>
      <c r="S76" s="156">
        <v>0</v>
      </c>
      <c r="T76" s="156">
        <v>0</v>
      </c>
      <c r="U76" s="156">
        <f t="shared" si="3"/>
        <v>500</v>
      </c>
    </row>
    <row r="77" spans="1:21" ht="18" hidden="1" customHeight="1">
      <c r="A77" s="153">
        <f t="shared" si="2"/>
        <v>76</v>
      </c>
      <c r="B77" s="153" t="s">
        <v>34</v>
      </c>
      <c r="C77" s="153" t="str">
        <f>VLOOKUP(B77,MEMBERS!B:C,2, )</f>
        <v>MR.SHIRAZ AHMED</v>
      </c>
      <c r="D77" s="162">
        <v>45997</v>
      </c>
      <c r="E77" s="292">
        <f>600*4</f>
        <v>2400</v>
      </c>
      <c r="F77" s="154">
        <v>0</v>
      </c>
      <c r="G77" s="154">
        <v>0</v>
      </c>
      <c r="H77" s="154">
        <v>0</v>
      </c>
      <c r="I77" s="154">
        <v>0</v>
      </c>
      <c r="J77" s="154">
        <v>0</v>
      </c>
      <c r="K77" s="154">
        <v>0</v>
      </c>
      <c r="L77" s="154">
        <v>0</v>
      </c>
      <c r="M77" s="155">
        <v>0</v>
      </c>
      <c r="N77" s="154">
        <v>0</v>
      </c>
      <c r="O77" s="154">
        <v>0</v>
      </c>
      <c r="P77" s="154">
        <v>0</v>
      </c>
      <c r="Q77" s="154">
        <v>0</v>
      </c>
      <c r="R77" s="156">
        <v>0</v>
      </c>
      <c r="S77" s="156">
        <v>0</v>
      </c>
      <c r="T77" s="156">
        <v>0</v>
      </c>
      <c r="U77" s="156">
        <f t="shared" si="3"/>
        <v>2400</v>
      </c>
    </row>
    <row r="78" spans="1:21" ht="18" hidden="1" customHeight="1">
      <c r="A78" s="153">
        <f t="shared" si="2"/>
        <v>77</v>
      </c>
      <c r="B78" s="153" t="s">
        <v>948</v>
      </c>
      <c r="C78" s="153" t="str">
        <f>VLOOKUP(B78,MEMBERS!B:C,2, )</f>
        <v>MR. TEHSEEN FAIZ</v>
      </c>
      <c r="D78" s="162">
        <v>45997</v>
      </c>
      <c r="E78" s="154">
        <f>300*4+600*2</f>
        <v>2400</v>
      </c>
      <c r="F78" s="154">
        <v>0</v>
      </c>
      <c r="G78" s="154">
        <v>0</v>
      </c>
      <c r="H78" s="154">
        <v>0</v>
      </c>
      <c r="I78" s="154">
        <v>0</v>
      </c>
      <c r="J78" s="154">
        <v>0</v>
      </c>
      <c r="K78" s="154">
        <v>0</v>
      </c>
      <c r="L78" s="154">
        <v>0</v>
      </c>
      <c r="M78" s="155">
        <v>0</v>
      </c>
      <c r="N78" s="154">
        <v>0</v>
      </c>
      <c r="O78" s="154">
        <v>0</v>
      </c>
      <c r="P78" s="154">
        <v>0</v>
      </c>
      <c r="Q78" s="154">
        <v>0</v>
      </c>
      <c r="R78" s="156">
        <v>0</v>
      </c>
      <c r="S78" s="156">
        <v>0</v>
      </c>
      <c r="T78" s="156">
        <v>0</v>
      </c>
      <c r="U78" s="156">
        <f t="shared" si="3"/>
        <v>2400</v>
      </c>
    </row>
    <row r="79" spans="1:21" ht="18" hidden="1" customHeight="1">
      <c r="A79" s="153">
        <f t="shared" si="2"/>
        <v>78</v>
      </c>
      <c r="B79" s="153" t="s">
        <v>795</v>
      </c>
      <c r="C79" s="153" t="str">
        <f>VLOOKUP(B79,MEMBERS!B:C,2, )</f>
        <v>MR. HASAN KARIM</v>
      </c>
      <c r="D79" s="162">
        <v>45997</v>
      </c>
      <c r="E79" s="154">
        <v>0</v>
      </c>
      <c r="F79" s="154">
        <v>0</v>
      </c>
      <c r="G79" s="154">
        <v>0</v>
      </c>
      <c r="H79" s="154">
        <v>0</v>
      </c>
      <c r="I79" s="154">
        <v>0</v>
      </c>
      <c r="J79" s="154">
        <v>0</v>
      </c>
      <c r="K79" s="154">
        <v>300</v>
      </c>
      <c r="L79" s="154">
        <v>0</v>
      </c>
      <c r="M79" s="155">
        <v>0</v>
      </c>
      <c r="N79" s="154">
        <v>0</v>
      </c>
      <c r="O79" s="154">
        <f>1000+1500*3</f>
        <v>5500</v>
      </c>
      <c r="P79" s="154">
        <v>0</v>
      </c>
      <c r="Q79" s="154">
        <v>0</v>
      </c>
      <c r="R79" s="156">
        <v>0</v>
      </c>
      <c r="S79" s="156">
        <v>0</v>
      </c>
      <c r="T79" s="156">
        <v>0</v>
      </c>
      <c r="U79" s="156">
        <f t="shared" si="3"/>
        <v>5800</v>
      </c>
    </row>
    <row r="80" spans="1:21" ht="18" hidden="1" customHeight="1">
      <c r="A80" s="153">
        <f t="shared" si="2"/>
        <v>79</v>
      </c>
      <c r="B80" s="153" t="s">
        <v>756</v>
      </c>
      <c r="C80" s="153" t="s">
        <v>1173</v>
      </c>
      <c r="D80" s="162">
        <v>45998</v>
      </c>
      <c r="E80" s="154">
        <v>0</v>
      </c>
      <c r="F80" s="154">
        <v>0</v>
      </c>
      <c r="G80" s="154">
        <v>0</v>
      </c>
      <c r="H80" s="154">
        <v>0</v>
      </c>
      <c r="I80" s="154">
        <v>0</v>
      </c>
      <c r="J80" s="154">
        <v>0</v>
      </c>
      <c r="K80" s="154">
        <v>0</v>
      </c>
      <c r="L80" s="154">
        <v>0</v>
      </c>
      <c r="M80" s="155">
        <v>0</v>
      </c>
      <c r="N80" s="154">
        <v>0</v>
      </c>
      <c r="O80" s="154">
        <v>0</v>
      </c>
      <c r="P80" s="292">
        <v>20500</v>
      </c>
      <c r="Q80" s="154">
        <v>0</v>
      </c>
      <c r="R80" s="156">
        <v>0</v>
      </c>
      <c r="S80" s="156">
        <v>0</v>
      </c>
      <c r="T80" s="156">
        <v>0</v>
      </c>
      <c r="U80" s="156">
        <f t="shared" si="3"/>
        <v>20500</v>
      </c>
    </row>
    <row r="81" spans="1:21" ht="18" hidden="1" customHeight="1">
      <c r="A81" s="153">
        <f t="shared" si="2"/>
        <v>80</v>
      </c>
      <c r="B81" s="153" t="s">
        <v>756</v>
      </c>
      <c r="C81" s="153" t="e">
        <f>VLOOKUP(B81,MEMBERS!B:C,2, )</f>
        <v>#N/A</v>
      </c>
      <c r="D81" s="162">
        <v>45998</v>
      </c>
      <c r="E81" s="154">
        <v>0</v>
      </c>
      <c r="F81" s="154">
        <v>0</v>
      </c>
      <c r="G81" s="154">
        <v>0</v>
      </c>
      <c r="H81" s="154">
        <v>0</v>
      </c>
      <c r="I81" s="154">
        <v>0</v>
      </c>
      <c r="J81" s="154">
        <v>0</v>
      </c>
      <c r="K81" s="154">
        <v>0</v>
      </c>
      <c r="L81" s="154">
        <v>0</v>
      </c>
      <c r="M81" s="155">
        <v>0</v>
      </c>
      <c r="N81" s="154">
        <v>0</v>
      </c>
      <c r="O81" s="154">
        <v>0</v>
      </c>
      <c r="P81" s="154">
        <v>0</v>
      </c>
      <c r="Q81" s="154">
        <v>0</v>
      </c>
      <c r="R81" s="156">
        <v>0</v>
      </c>
      <c r="S81" s="156">
        <v>0</v>
      </c>
      <c r="T81" s="156">
        <v>0</v>
      </c>
      <c r="U81" s="156">
        <f t="shared" si="3"/>
        <v>0</v>
      </c>
    </row>
    <row r="82" spans="1:21" ht="18" hidden="1" customHeight="1">
      <c r="A82" s="153">
        <f t="shared" si="2"/>
        <v>81</v>
      </c>
      <c r="B82" s="153" t="s">
        <v>430</v>
      </c>
      <c r="C82" s="153" t="str">
        <f>VLOOKUP(B82,MEMBERS!B:C,2, )</f>
        <v>SYED JIBRAN MUSHTAQ</v>
      </c>
      <c r="D82" s="162">
        <v>45998</v>
      </c>
      <c r="E82" s="154">
        <f>600*2</f>
        <v>1200</v>
      </c>
      <c r="F82" s="154">
        <v>0</v>
      </c>
      <c r="G82" s="154">
        <v>0</v>
      </c>
      <c r="H82" s="154">
        <v>0</v>
      </c>
      <c r="I82" s="154">
        <v>0</v>
      </c>
      <c r="J82" s="154">
        <f>300+500*3</f>
        <v>1800</v>
      </c>
      <c r="K82" s="154">
        <v>0</v>
      </c>
      <c r="L82" s="154">
        <v>0</v>
      </c>
      <c r="M82" s="155">
        <v>0</v>
      </c>
      <c r="N82" s="154">
        <v>1500</v>
      </c>
      <c r="O82" s="154">
        <v>0</v>
      </c>
      <c r="P82" s="154">
        <v>0</v>
      </c>
      <c r="Q82" s="154">
        <v>0</v>
      </c>
      <c r="R82" s="156">
        <v>0</v>
      </c>
      <c r="S82" s="156">
        <v>0</v>
      </c>
      <c r="T82" s="156">
        <v>0</v>
      </c>
      <c r="U82" s="156">
        <f t="shared" si="3"/>
        <v>4500</v>
      </c>
    </row>
    <row r="83" spans="1:21" ht="18" hidden="1" customHeight="1">
      <c r="A83" s="153">
        <f t="shared" si="2"/>
        <v>82</v>
      </c>
      <c r="B83" s="153" t="s">
        <v>1052</v>
      </c>
      <c r="C83" s="153" t="str">
        <f>VLOOKUP(B83,MEMBERS!B:C,2, )</f>
        <v>MR. YASIR RASHEED</v>
      </c>
      <c r="D83" s="162">
        <v>45998</v>
      </c>
      <c r="E83" s="154">
        <v>0</v>
      </c>
      <c r="F83" s="154">
        <v>0</v>
      </c>
      <c r="G83" s="154">
        <v>0</v>
      </c>
      <c r="H83" s="154">
        <v>0</v>
      </c>
      <c r="I83" s="154">
        <v>0</v>
      </c>
      <c r="J83" s="154">
        <v>0</v>
      </c>
      <c r="K83" s="154">
        <v>0</v>
      </c>
      <c r="L83" s="154">
        <v>0</v>
      </c>
      <c r="M83" s="155">
        <v>0</v>
      </c>
      <c r="N83" s="154">
        <v>1500</v>
      </c>
      <c r="O83" s="154">
        <v>0</v>
      </c>
      <c r="P83" s="154">
        <v>0</v>
      </c>
      <c r="Q83" s="154">
        <v>0</v>
      </c>
      <c r="R83" s="156">
        <v>0</v>
      </c>
      <c r="S83" s="156">
        <v>0</v>
      </c>
      <c r="T83" s="156">
        <v>0</v>
      </c>
      <c r="U83" s="156">
        <f t="shared" si="3"/>
        <v>1500</v>
      </c>
    </row>
    <row r="84" spans="1:21" ht="18" hidden="1" customHeight="1">
      <c r="A84" s="153">
        <f t="shared" si="2"/>
        <v>83</v>
      </c>
      <c r="B84" s="153" t="s">
        <v>192</v>
      </c>
      <c r="C84" s="153" t="str">
        <f>VLOOKUP(B84,MEMBERS!B:C,2, )</f>
        <v>MR.HANIF AHSAN ZUBEDI</v>
      </c>
      <c r="D84" s="162">
        <v>45998</v>
      </c>
      <c r="E84" s="154">
        <f>600*4</f>
        <v>2400</v>
      </c>
      <c r="F84" s="154">
        <v>0</v>
      </c>
      <c r="G84" s="154">
        <v>0</v>
      </c>
      <c r="H84" s="154">
        <v>0</v>
      </c>
      <c r="I84" s="154">
        <v>0</v>
      </c>
      <c r="J84" s="154">
        <f>300*4+500*4+500*7</f>
        <v>6700</v>
      </c>
      <c r="K84" s="154">
        <v>0</v>
      </c>
      <c r="L84" s="154">
        <v>0</v>
      </c>
      <c r="M84" s="155">
        <v>0</v>
      </c>
      <c r="N84" s="154">
        <v>0</v>
      </c>
      <c r="O84" s="154">
        <v>0</v>
      </c>
      <c r="P84" s="154">
        <v>0</v>
      </c>
      <c r="Q84" s="154">
        <v>0</v>
      </c>
      <c r="R84" s="156">
        <v>0</v>
      </c>
      <c r="S84" s="156">
        <v>0</v>
      </c>
      <c r="T84" s="156">
        <v>0</v>
      </c>
      <c r="U84" s="156">
        <f t="shared" si="3"/>
        <v>9100</v>
      </c>
    </row>
    <row r="85" spans="1:21" ht="18" hidden="1" customHeight="1">
      <c r="A85" s="153">
        <f t="shared" si="2"/>
        <v>84</v>
      </c>
      <c r="B85" s="153" t="s">
        <v>376</v>
      </c>
      <c r="C85" s="153" t="str">
        <f>VLOOKUP(B85,MEMBERS!B:C,2, )</f>
        <v>KHURRAM FIRDOUS</v>
      </c>
      <c r="D85" s="162">
        <v>45998</v>
      </c>
      <c r="E85" s="154">
        <v>0</v>
      </c>
      <c r="F85" s="154">
        <v>0</v>
      </c>
      <c r="G85" s="154">
        <v>0</v>
      </c>
      <c r="H85" s="154">
        <v>0</v>
      </c>
      <c r="I85" s="154">
        <v>0</v>
      </c>
      <c r="J85" s="154">
        <f>300*3</f>
        <v>900</v>
      </c>
      <c r="K85" s="154">
        <v>0</v>
      </c>
      <c r="L85" s="154">
        <v>0</v>
      </c>
      <c r="M85" s="155">
        <v>0</v>
      </c>
      <c r="N85" s="154">
        <v>0</v>
      </c>
      <c r="O85" s="154">
        <v>0</v>
      </c>
      <c r="P85" s="154">
        <v>0</v>
      </c>
      <c r="Q85" s="154">
        <v>0</v>
      </c>
      <c r="R85" s="156">
        <v>0</v>
      </c>
      <c r="S85" s="156">
        <v>0</v>
      </c>
      <c r="T85" s="156">
        <v>0</v>
      </c>
      <c r="U85" s="156">
        <f t="shared" si="3"/>
        <v>900</v>
      </c>
    </row>
    <row r="86" spans="1:21" ht="18" hidden="1" customHeight="1">
      <c r="A86" s="153">
        <f t="shared" si="2"/>
        <v>85</v>
      </c>
      <c r="B86" s="153" t="s">
        <v>240</v>
      </c>
      <c r="C86" s="153" t="str">
        <f>VLOOKUP(B86,MEMBERS!B:C,2, )</f>
        <v>MR.SYED SALMAN RAZA</v>
      </c>
      <c r="D86" s="162">
        <v>45998</v>
      </c>
      <c r="E86" s="154">
        <v>0</v>
      </c>
      <c r="F86" s="154">
        <v>0</v>
      </c>
      <c r="G86" s="154">
        <v>0</v>
      </c>
      <c r="H86" s="154">
        <v>0</v>
      </c>
      <c r="I86" s="154">
        <v>0</v>
      </c>
      <c r="J86" s="154">
        <f>300*3</f>
        <v>900</v>
      </c>
      <c r="K86" s="154">
        <v>0</v>
      </c>
      <c r="L86" s="154">
        <v>0</v>
      </c>
      <c r="M86" s="155">
        <v>0</v>
      </c>
      <c r="N86" s="154">
        <v>0</v>
      </c>
      <c r="O86" s="154">
        <v>0</v>
      </c>
      <c r="P86" s="154">
        <v>0</v>
      </c>
      <c r="Q86" s="154">
        <v>0</v>
      </c>
      <c r="R86" s="156">
        <v>0</v>
      </c>
      <c r="S86" s="156">
        <v>0</v>
      </c>
      <c r="T86" s="156">
        <v>0</v>
      </c>
      <c r="U86" s="156">
        <f t="shared" si="3"/>
        <v>900</v>
      </c>
    </row>
    <row r="87" spans="1:21" ht="18" hidden="1" customHeight="1">
      <c r="A87" s="153">
        <f t="shared" si="2"/>
        <v>86</v>
      </c>
      <c r="B87" s="153" t="s">
        <v>756</v>
      </c>
      <c r="C87" s="153" t="s">
        <v>1173</v>
      </c>
      <c r="D87" s="162">
        <v>45998</v>
      </c>
      <c r="E87" s="154">
        <v>0</v>
      </c>
      <c r="F87" s="154">
        <v>0</v>
      </c>
      <c r="G87" s="154">
        <v>0</v>
      </c>
      <c r="H87" s="154">
        <v>0</v>
      </c>
      <c r="I87" s="154">
        <v>0</v>
      </c>
      <c r="J87" s="154">
        <f>500*6</f>
        <v>3000</v>
      </c>
      <c r="K87" s="154">
        <v>0</v>
      </c>
      <c r="L87" s="154">
        <v>0</v>
      </c>
      <c r="M87" s="155">
        <v>0</v>
      </c>
      <c r="N87" s="154">
        <v>0</v>
      </c>
      <c r="O87" s="154">
        <v>0</v>
      </c>
      <c r="P87" s="154">
        <v>0</v>
      </c>
      <c r="Q87" s="154">
        <v>0</v>
      </c>
      <c r="R87" s="156">
        <v>0</v>
      </c>
      <c r="S87" s="156">
        <v>0</v>
      </c>
      <c r="T87" s="156">
        <v>0</v>
      </c>
      <c r="U87" s="156">
        <f t="shared" si="3"/>
        <v>3000</v>
      </c>
    </row>
    <row r="88" spans="1:21" ht="18" hidden="1" customHeight="1">
      <c r="A88" s="153">
        <f t="shared" si="2"/>
        <v>87</v>
      </c>
      <c r="B88" s="153" t="s">
        <v>88</v>
      </c>
      <c r="C88" s="153" t="str">
        <f>VLOOKUP(B88,MEMBERS!B:C,2, )</f>
        <v>DR.NAZEER HUSSAIN KALHORO</v>
      </c>
      <c r="D88" s="162">
        <v>45998</v>
      </c>
      <c r="E88" s="154">
        <v>0</v>
      </c>
      <c r="F88" s="154">
        <v>0</v>
      </c>
      <c r="G88" s="154">
        <v>0</v>
      </c>
      <c r="H88" s="154">
        <v>0</v>
      </c>
      <c r="I88" s="154">
        <v>0</v>
      </c>
      <c r="J88" s="154">
        <f>300*2</f>
        <v>600</v>
      </c>
      <c r="K88" s="154">
        <v>0</v>
      </c>
      <c r="L88" s="154">
        <v>0</v>
      </c>
      <c r="M88" s="155">
        <v>0</v>
      </c>
      <c r="N88" s="154">
        <v>0</v>
      </c>
      <c r="O88" s="154">
        <v>0</v>
      </c>
      <c r="P88" s="154">
        <v>0</v>
      </c>
      <c r="Q88" s="154">
        <v>0</v>
      </c>
      <c r="R88" s="156">
        <v>0</v>
      </c>
      <c r="S88" s="156">
        <v>0</v>
      </c>
      <c r="T88" s="156">
        <v>0</v>
      </c>
      <c r="U88" s="156">
        <f t="shared" si="3"/>
        <v>600</v>
      </c>
    </row>
    <row r="89" spans="1:21" ht="18" hidden="1" customHeight="1">
      <c r="A89" s="153">
        <f t="shared" si="2"/>
        <v>88</v>
      </c>
      <c r="B89" s="153" t="s">
        <v>54</v>
      </c>
      <c r="C89" s="153" t="str">
        <f>VLOOKUP(B89,MEMBERS!B:C,2, )</f>
        <v>MR.ZEESHAN IQBAL</v>
      </c>
      <c r="D89" s="162">
        <v>45998</v>
      </c>
      <c r="E89" s="154">
        <v>0</v>
      </c>
      <c r="F89" s="154">
        <v>150</v>
      </c>
      <c r="G89" s="154">
        <v>0</v>
      </c>
      <c r="H89" s="154">
        <v>0</v>
      </c>
      <c r="I89" s="154">
        <v>0</v>
      </c>
      <c r="J89" s="154">
        <v>300</v>
      </c>
      <c r="K89" s="154">
        <v>0</v>
      </c>
      <c r="L89" s="154">
        <v>0</v>
      </c>
      <c r="M89" s="155">
        <v>0</v>
      </c>
      <c r="N89" s="154">
        <v>0</v>
      </c>
      <c r="O89" s="154">
        <v>0</v>
      </c>
      <c r="P89" s="154">
        <v>0</v>
      </c>
      <c r="Q89" s="154">
        <v>0</v>
      </c>
      <c r="R89" s="156">
        <v>0</v>
      </c>
      <c r="S89" s="156">
        <v>0</v>
      </c>
      <c r="T89" s="156">
        <v>0</v>
      </c>
      <c r="U89" s="156">
        <f t="shared" si="3"/>
        <v>450</v>
      </c>
    </row>
    <row r="90" spans="1:21" ht="18" hidden="1" customHeight="1">
      <c r="A90" s="153">
        <f t="shared" si="2"/>
        <v>89</v>
      </c>
      <c r="B90" s="153" t="s">
        <v>426</v>
      </c>
      <c r="C90" s="153" t="str">
        <f>VLOOKUP(B90,MEMBERS!B:C,2, )</f>
        <v>NASIR ABBAS</v>
      </c>
      <c r="D90" s="162">
        <v>45998</v>
      </c>
      <c r="E90" s="154">
        <v>0</v>
      </c>
      <c r="F90" s="154">
        <v>150</v>
      </c>
      <c r="G90" s="154">
        <v>0</v>
      </c>
      <c r="H90" s="154">
        <v>0</v>
      </c>
      <c r="I90" s="154">
        <v>0</v>
      </c>
      <c r="J90" s="154">
        <v>0</v>
      </c>
      <c r="K90" s="154">
        <v>0</v>
      </c>
      <c r="L90" s="154">
        <v>0</v>
      </c>
      <c r="M90" s="155">
        <v>0</v>
      </c>
      <c r="N90" s="154">
        <v>0</v>
      </c>
      <c r="O90" s="154">
        <v>0</v>
      </c>
      <c r="P90" s="154">
        <v>0</v>
      </c>
      <c r="Q90" s="154">
        <v>0</v>
      </c>
      <c r="R90" s="156">
        <v>0</v>
      </c>
      <c r="S90" s="156">
        <v>0</v>
      </c>
      <c r="T90" s="156">
        <v>0</v>
      </c>
      <c r="U90" s="156">
        <f t="shared" si="3"/>
        <v>150</v>
      </c>
    </row>
    <row r="91" spans="1:21" ht="18" hidden="1" customHeight="1">
      <c r="A91" s="153">
        <f t="shared" si="2"/>
        <v>90</v>
      </c>
      <c r="B91" s="153" t="s">
        <v>217</v>
      </c>
      <c r="C91" s="153" t="str">
        <f>VLOOKUP(B91,MEMBERS!B:C,2, )</f>
        <v>MR.ZAIN FAROOQ</v>
      </c>
      <c r="D91" s="162">
        <v>45998</v>
      </c>
      <c r="E91" s="154">
        <v>0</v>
      </c>
      <c r="F91" s="154">
        <f>150*2</f>
        <v>300</v>
      </c>
      <c r="G91" s="154">
        <v>0</v>
      </c>
      <c r="H91" s="154">
        <v>0</v>
      </c>
      <c r="I91" s="154">
        <v>0</v>
      </c>
      <c r="J91" s="154">
        <v>0</v>
      </c>
      <c r="K91" s="154">
        <v>0</v>
      </c>
      <c r="L91" s="154">
        <v>0</v>
      </c>
      <c r="M91" s="155">
        <v>0</v>
      </c>
      <c r="N91" s="154">
        <v>0</v>
      </c>
      <c r="O91" s="154">
        <v>0</v>
      </c>
      <c r="P91" s="154">
        <v>0</v>
      </c>
      <c r="Q91" s="154">
        <v>0</v>
      </c>
      <c r="R91" s="156">
        <v>0</v>
      </c>
      <c r="S91" s="156">
        <v>0</v>
      </c>
      <c r="T91" s="156">
        <v>0</v>
      </c>
      <c r="U91" s="156">
        <f t="shared" si="3"/>
        <v>300</v>
      </c>
    </row>
    <row r="92" spans="1:21" ht="18" hidden="1" customHeight="1">
      <c r="A92" s="153">
        <f t="shared" si="2"/>
        <v>91</v>
      </c>
      <c r="B92" s="153" t="s">
        <v>197</v>
      </c>
      <c r="C92" s="153" t="str">
        <f>VLOOKUP(B92,MEMBERS!B:C,2, )</f>
        <v>MR.MUHAMMAD ATIF USMANI</v>
      </c>
      <c r="D92" s="162">
        <v>45998</v>
      </c>
      <c r="E92" s="154">
        <v>0</v>
      </c>
      <c r="F92" s="154">
        <v>150</v>
      </c>
      <c r="G92" s="154">
        <v>0</v>
      </c>
      <c r="H92" s="154">
        <v>0</v>
      </c>
      <c r="I92" s="154">
        <v>0</v>
      </c>
      <c r="J92" s="154">
        <v>0</v>
      </c>
      <c r="K92" s="154">
        <v>0</v>
      </c>
      <c r="L92" s="154">
        <v>0</v>
      </c>
      <c r="M92" s="155">
        <v>0</v>
      </c>
      <c r="N92" s="154">
        <v>0</v>
      </c>
      <c r="O92" s="154">
        <v>0</v>
      </c>
      <c r="P92" s="154">
        <v>0</v>
      </c>
      <c r="Q92" s="154">
        <v>0</v>
      </c>
      <c r="R92" s="156">
        <v>0</v>
      </c>
      <c r="S92" s="156">
        <v>0</v>
      </c>
      <c r="T92" s="156">
        <v>0</v>
      </c>
      <c r="U92" s="156">
        <f t="shared" si="3"/>
        <v>150</v>
      </c>
    </row>
    <row r="93" spans="1:21" ht="18" hidden="1" customHeight="1">
      <c r="A93" s="153">
        <f t="shared" si="2"/>
        <v>92</v>
      </c>
      <c r="B93" s="153" t="s">
        <v>418</v>
      </c>
      <c r="C93" s="153" t="str">
        <f>VLOOKUP(B93,MEMBERS!B:C,2, )</f>
        <v>ZAIB UR REHMAN</v>
      </c>
      <c r="D93" s="162">
        <v>45998</v>
      </c>
      <c r="E93" s="154">
        <f>300+600*2</f>
        <v>1500</v>
      </c>
      <c r="F93" s="154">
        <v>0</v>
      </c>
      <c r="G93" s="154">
        <v>0</v>
      </c>
      <c r="H93" s="154">
        <v>0</v>
      </c>
      <c r="I93" s="154">
        <v>0</v>
      </c>
      <c r="J93" s="154">
        <v>0</v>
      </c>
      <c r="K93" s="154">
        <v>0</v>
      </c>
      <c r="L93" s="154">
        <v>0</v>
      </c>
      <c r="M93" s="155">
        <v>0</v>
      </c>
      <c r="N93" s="154">
        <v>0</v>
      </c>
      <c r="O93" s="154">
        <v>0</v>
      </c>
      <c r="P93" s="154">
        <v>0</v>
      </c>
      <c r="Q93" s="154">
        <v>0</v>
      </c>
      <c r="R93" s="156">
        <v>0</v>
      </c>
      <c r="S93" s="156">
        <v>0</v>
      </c>
      <c r="T93" s="156">
        <v>0</v>
      </c>
      <c r="U93" s="156">
        <f t="shared" si="3"/>
        <v>1500</v>
      </c>
    </row>
    <row r="94" spans="1:21" ht="18" hidden="1" customHeight="1">
      <c r="A94" s="153">
        <f t="shared" si="2"/>
        <v>93</v>
      </c>
      <c r="B94" s="153" t="s">
        <v>756</v>
      </c>
      <c r="C94" s="153" t="s">
        <v>1173</v>
      </c>
      <c r="D94" s="162">
        <v>45998</v>
      </c>
      <c r="E94" s="292">
        <v>6000</v>
      </c>
      <c r="F94" s="154">
        <v>0</v>
      </c>
      <c r="G94" s="154">
        <v>0</v>
      </c>
      <c r="H94" s="154">
        <v>0</v>
      </c>
      <c r="I94" s="154">
        <v>0</v>
      </c>
      <c r="J94" s="154">
        <v>0</v>
      </c>
      <c r="K94" s="154">
        <v>0</v>
      </c>
      <c r="L94" s="154">
        <v>0</v>
      </c>
      <c r="M94" s="155">
        <v>0</v>
      </c>
      <c r="N94" s="154">
        <v>0</v>
      </c>
      <c r="O94" s="154">
        <v>0</v>
      </c>
      <c r="P94" s="154">
        <v>0</v>
      </c>
      <c r="Q94" s="154">
        <v>0</v>
      </c>
      <c r="R94" s="156">
        <v>0</v>
      </c>
      <c r="S94" s="156">
        <v>0</v>
      </c>
      <c r="T94" s="156">
        <v>0</v>
      </c>
      <c r="U94" s="156">
        <f t="shared" si="3"/>
        <v>6000</v>
      </c>
    </row>
    <row r="95" spans="1:21" ht="18" hidden="1" customHeight="1">
      <c r="A95" s="153">
        <f t="shared" si="2"/>
        <v>94</v>
      </c>
      <c r="B95" s="153" t="s">
        <v>98</v>
      </c>
      <c r="C95" s="153" t="str">
        <f>VLOOKUP(B95,MEMBERS!B:C,2, )</f>
        <v>MR.HAFEEZ AHMED SIYAL</v>
      </c>
      <c r="D95" s="162">
        <v>45999</v>
      </c>
      <c r="E95" s="154">
        <v>0</v>
      </c>
      <c r="F95" s="154">
        <v>150</v>
      </c>
      <c r="G95" s="154">
        <v>0</v>
      </c>
      <c r="H95" s="154">
        <v>0</v>
      </c>
      <c r="I95" s="154">
        <v>0</v>
      </c>
      <c r="J95" s="154">
        <v>300</v>
      </c>
      <c r="K95" s="154">
        <v>0</v>
      </c>
      <c r="L95" s="154">
        <v>0</v>
      </c>
      <c r="M95" s="155">
        <v>0</v>
      </c>
      <c r="N95" s="154">
        <v>0</v>
      </c>
      <c r="O95" s="154">
        <v>0</v>
      </c>
      <c r="P95" s="154">
        <v>0</v>
      </c>
      <c r="Q95" s="154">
        <v>0</v>
      </c>
      <c r="R95" s="156">
        <v>0</v>
      </c>
      <c r="S95" s="156">
        <v>0</v>
      </c>
      <c r="T95" s="156">
        <v>0</v>
      </c>
      <c r="U95" s="156">
        <f t="shared" si="3"/>
        <v>450</v>
      </c>
    </row>
    <row r="96" spans="1:21" ht="18" hidden="1" customHeight="1">
      <c r="A96" s="153">
        <f t="shared" si="2"/>
        <v>95</v>
      </c>
      <c r="B96" s="153" t="s">
        <v>420</v>
      </c>
      <c r="C96" s="153" t="str">
        <f>VLOOKUP(B96,MEMBERS!B:C,2, )</f>
        <v>SADDAM HUSSAIN</v>
      </c>
      <c r="D96" s="162">
        <v>45999</v>
      </c>
      <c r="E96" s="154">
        <v>0</v>
      </c>
      <c r="F96" s="154">
        <v>0</v>
      </c>
      <c r="G96" s="154">
        <v>0</v>
      </c>
      <c r="H96" s="154">
        <v>0</v>
      </c>
      <c r="I96" s="154">
        <v>0</v>
      </c>
      <c r="J96" s="154">
        <v>300</v>
      </c>
      <c r="K96" s="154">
        <v>0</v>
      </c>
      <c r="L96" s="154">
        <v>0</v>
      </c>
      <c r="M96" s="155">
        <v>0</v>
      </c>
      <c r="N96" s="154">
        <v>0</v>
      </c>
      <c r="O96" s="154">
        <v>0</v>
      </c>
      <c r="P96" s="154">
        <v>0</v>
      </c>
      <c r="Q96" s="154">
        <v>0</v>
      </c>
      <c r="R96" s="156">
        <v>0</v>
      </c>
      <c r="S96" s="156">
        <v>0</v>
      </c>
      <c r="T96" s="156">
        <v>0</v>
      </c>
      <c r="U96" s="156">
        <f t="shared" si="3"/>
        <v>300</v>
      </c>
    </row>
    <row r="97" spans="1:21" ht="18" hidden="1" customHeight="1">
      <c r="A97" s="153">
        <f t="shared" si="2"/>
        <v>96</v>
      </c>
      <c r="B97" s="153" t="s">
        <v>69</v>
      </c>
      <c r="C97" s="153" t="str">
        <f>VLOOKUP(B97,MEMBERS!B:C,2, )</f>
        <v>MR.TARIQUE ZUBAIR</v>
      </c>
      <c r="D97" s="162">
        <v>45999</v>
      </c>
      <c r="E97" s="154">
        <v>0</v>
      </c>
      <c r="F97" s="154">
        <v>150</v>
      </c>
      <c r="G97" s="154">
        <v>0</v>
      </c>
      <c r="H97" s="154">
        <v>0</v>
      </c>
      <c r="I97" s="154">
        <v>0</v>
      </c>
      <c r="J97" s="154">
        <v>0</v>
      </c>
      <c r="K97" s="154">
        <v>0</v>
      </c>
      <c r="L97" s="154">
        <v>0</v>
      </c>
      <c r="M97" s="155">
        <v>0</v>
      </c>
      <c r="N97" s="154">
        <v>0</v>
      </c>
      <c r="O97" s="154">
        <v>0</v>
      </c>
      <c r="P97" s="154">
        <v>0</v>
      </c>
      <c r="Q97" s="154">
        <v>0</v>
      </c>
      <c r="R97" s="156">
        <v>0</v>
      </c>
      <c r="S97" s="156">
        <v>0</v>
      </c>
      <c r="T97" s="156">
        <v>0</v>
      </c>
      <c r="U97" s="156">
        <f t="shared" si="3"/>
        <v>150</v>
      </c>
    </row>
    <row r="98" spans="1:21" ht="18" hidden="1" customHeight="1">
      <c r="A98" s="153">
        <f t="shared" si="2"/>
        <v>97</v>
      </c>
      <c r="B98" s="153" t="s">
        <v>312</v>
      </c>
      <c r="C98" s="153" t="str">
        <f>VLOOKUP(B98,MEMBERS!B:C,2, )</f>
        <v>GM GHULAM DASTAGEER</v>
      </c>
      <c r="D98" s="162">
        <v>45999</v>
      </c>
      <c r="E98" s="154">
        <v>0</v>
      </c>
      <c r="F98" s="154">
        <v>150</v>
      </c>
      <c r="G98" s="154">
        <v>0</v>
      </c>
      <c r="H98" s="154">
        <v>0</v>
      </c>
      <c r="I98" s="154">
        <v>0</v>
      </c>
      <c r="J98" s="154">
        <v>0</v>
      </c>
      <c r="K98" s="154">
        <v>0</v>
      </c>
      <c r="L98" s="154">
        <v>0</v>
      </c>
      <c r="M98" s="155">
        <v>0</v>
      </c>
      <c r="N98" s="154">
        <v>0</v>
      </c>
      <c r="O98" s="154">
        <v>0</v>
      </c>
      <c r="P98" s="154">
        <v>0</v>
      </c>
      <c r="Q98" s="154">
        <v>0</v>
      </c>
      <c r="R98" s="156">
        <v>0</v>
      </c>
      <c r="S98" s="156">
        <v>0</v>
      </c>
      <c r="T98" s="156">
        <v>0</v>
      </c>
      <c r="U98" s="156">
        <f t="shared" si="3"/>
        <v>150</v>
      </c>
    </row>
    <row r="99" spans="1:21" ht="18" hidden="1" customHeight="1">
      <c r="A99" s="153">
        <f t="shared" si="2"/>
        <v>98</v>
      </c>
      <c r="B99" s="153" t="s">
        <v>54</v>
      </c>
      <c r="C99" s="153" t="str">
        <f>VLOOKUP(B99,MEMBERS!B:C,2, )</f>
        <v>MR.ZEESHAN IQBAL</v>
      </c>
      <c r="D99" s="162">
        <v>45999</v>
      </c>
      <c r="E99" s="154">
        <v>0</v>
      </c>
      <c r="F99" s="154">
        <v>150</v>
      </c>
      <c r="G99" s="154">
        <v>0</v>
      </c>
      <c r="H99" s="154">
        <v>0</v>
      </c>
      <c r="I99" s="154">
        <v>0</v>
      </c>
      <c r="J99" s="154">
        <v>0</v>
      </c>
      <c r="K99" s="154">
        <v>0</v>
      </c>
      <c r="L99" s="154">
        <v>0</v>
      </c>
      <c r="M99" s="155">
        <v>0</v>
      </c>
      <c r="N99" s="154">
        <v>0</v>
      </c>
      <c r="O99" s="154">
        <v>0</v>
      </c>
      <c r="P99" s="154">
        <v>0</v>
      </c>
      <c r="Q99" s="154">
        <v>0</v>
      </c>
      <c r="R99" s="156">
        <v>0</v>
      </c>
      <c r="S99" s="156">
        <v>0</v>
      </c>
      <c r="T99" s="156">
        <v>0</v>
      </c>
      <c r="U99" s="156">
        <f t="shared" si="3"/>
        <v>150</v>
      </c>
    </row>
    <row r="100" spans="1:21" ht="18" hidden="1" customHeight="1">
      <c r="A100" s="153">
        <f t="shared" si="2"/>
        <v>99</v>
      </c>
      <c r="B100" s="153" t="s">
        <v>373</v>
      </c>
      <c r="C100" s="153" t="str">
        <f>VLOOKUP(B100,MEMBERS!B:C,2, )</f>
        <v>ASIF ASHFAQ</v>
      </c>
      <c r="D100" s="162">
        <v>45999</v>
      </c>
      <c r="E100" s="154">
        <v>0</v>
      </c>
      <c r="F100" s="154">
        <f>150*2</f>
        <v>300</v>
      </c>
      <c r="G100" s="154">
        <v>0</v>
      </c>
      <c r="H100" s="154">
        <v>0</v>
      </c>
      <c r="I100" s="154">
        <v>0</v>
      </c>
      <c r="J100" s="154">
        <v>0</v>
      </c>
      <c r="K100" s="154">
        <v>0</v>
      </c>
      <c r="L100" s="154">
        <v>0</v>
      </c>
      <c r="M100" s="155">
        <v>0</v>
      </c>
      <c r="N100" s="154">
        <v>0</v>
      </c>
      <c r="O100" s="154">
        <v>0</v>
      </c>
      <c r="P100" s="154">
        <v>0</v>
      </c>
      <c r="Q100" s="154">
        <v>0</v>
      </c>
      <c r="R100" s="156">
        <v>0</v>
      </c>
      <c r="S100" s="156">
        <v>0</v>
      </c>
      <c r="T100" s="156">
        <v>0</v>
      </c>
      <c r="U100" s="156">
        <f t="shared" si="3"/>
        <v>300</v>
      </c>
    </row>
    <row r="101" spans="1:21" ht="18" hidden="1" customHeight="1">
      <c r="A101" s="153">
        <f t="shared" si="2"/>
        <v>100</v>
      </c>
      <c r="B101" s="153" t="s">
        <v>235</v>
      </c>
      <c r="C101" s="153" t="str">
        <f>VLOOKUP(B101,MEMBERS!B:C,2, )</f>
        <v>MR.IMRAN WAZEER</v>
      </c>
      <c r="D101" s="162">
        <v>45999</v>
      </c>
      <c r="E101" s="154">
        <v>0</v>
      </c>
      <c r="F101" s="154">
        <v>150</v>
      </c>
      <c r="G101" s="154">
        <v>0</v>
      </c>
      <c r="H101" s="154">
        <v>0</v>
      </c>
      <c r="I101" s="154">
        <v>0</v>
      </c>
      <c r="J101" s="154">
        <v>0</v>
      </c>
      <c r="K101" s="154">
        <v>0</v>
      </c>
      <c r="L101" s="154">
        <v>0</v>
      </c>
      <c r="M101" s="155">
        <v>0</v>
      </c>
      <c r="N101" s="154">
        <v>0</v>
      </c>
      <c r="O101" s="154">
        <v>0</v>
      </c>
      <c r="P101" s="154">
        <v>0</v>
      </c>
      <c r="Q101" s="154">
        <v>0</v>
      </c>
      <c r="R101" s="156">
        <v>0</v>
      </c>
      <c r="S101" s="156">
        <v>0</v>
      </c>
      <c r="T101" s="156">
        <v>0</v>
      </c>
      <c r="U101" s="156">
        <f t="shared" si="3"/>
        <v>150</v>
      </c>
    </row>
    <row r="102" spans="1:21" ht="18" hidden="1" customHeight="1">
      <c r="A102" s="153">
        <f t="shared" si="2"/>
        <v>101</v>
      </c>
      <c r="B102" s="153" t="s">
        <v>83</v>
      </c>
      <c r="C102" s="153" t="str">
        <f>VLOOKUP(B102,MEMBERS!B:C,2, )</f>
        <v>DR.SANTOSH KUMAR</v>
      </c>
      <c r="D102" s="162">
        <v>45999</v>
      </c>
      <c r="E102" s="154">
        <v>0</v>
      </c>
      <c r="F102" s="154">
        <v>150</v>
      </c>
      <c r="G102" s="154">
        <v>0</v>
      </c>
      <c r="H102" s="154">
        <v>0</v>
      </c>
      <c r="I102" s="154">
        <v>0</v>
      </c>
      <c r="J102" s="154">
        <v>0</v>
      </c>
      <c r="K102" s="154">
        <v>0</v>
      </c>
      <c r="L102" s="154">
        <v>0</v>
      </c>
      <c r="M102" s="155">
        <v>0</v>
      </c>
      <c r="N102" s="154">
        <v>0</v>
      </c>
      <c r="O102" s="154">
        <v>0</v>
      </c>
      <c r="P102" s="154">
        <v>0</v>
      </c>
      <c r="Q102" s="154">
        <v>0</v>
      </c>
      <c r="R102" s="156">
        <v>0</v>
      </c>
      <c r="S102" s="156">
        <v>0</v>
      </c>
      <c r="T102" s="156">
        <v>0</v>
      </c>
      <c r="U102" s="156">
        <f t="shared" si="3"/>
        <v>150</v>
      </c>
    </row>
    <row r="103" spans="1:21" ht="18" hidden="1" customHeight="1">
      <c r="A103" s="153">
        <f t="shared" si="2"/>
        <v>102</v>
      </c>
      <c r="B103" s="153" t="s">
        <v>217</v>
      </c>
      <c r="C103" s="153" t="str">
        <f>VLOOKUP(B103,MEMBERS!B:C,2, )</f>
        <v>MR.ZAIN FAROOQ</v>
      </c>
      <c r="D103" s="162">
        <v>45999</v>
      </c>
      <c r="E103" s="154">
        <v>0</v>
      </c>
      <c r="F103" s="154">
        <v>150</v>
      </c>
      <c r="G103" s="154">
        <v>0</v>
      </c>
      <c r="H103" s="154">
        <v>0</v>
      </c>
      <c r="I103" s="154">
        <v>0</v>
      </c>
      <c r="J103" s="154">
        <v>0</v>
      </c>
      <c r="K103" s="154">
        <v>0</v>
      </c>
      <c r="L103" s="154">
        <v>0</v>
      </c>
      <c r="M103" s="155">
        <v>0</v>
      </c>
      <c r="N103" s="154">
        <v>0</v>
      </c>
      <c r="O103" s="154">
        <v>0</v>
      </c>
      <c r="P103" s="154">
        <v>0</v>
      </c>
      <c r="Q103" s="154">
        <v>0</v>
      </c>
      <c r="R103" s="156">
        <v>0</v>
      </c>
      <c r="S103" s="156">
        <v>0</v>
      </c>
      <c r="T103" s="156">
        <v>0</v>
      </c>
      <c r="U103" s="156">
        <f t="shared" si="3"/>
        <v>150</v>
      </c>
    </row>
    <row r="104" spans="1:21" ht="18" hidden="1" customHeight="1">
      <c r="A104" s="153">
        <f t="shared" si="2"/>
        <v>103</v>
      </c>
      <c r="B104" s="153" t="s">
        <v>359</v>
      </c>
      <c r="C104" s="153" t="str">
        <f>VLOOKUP(B104,MEMBERS!B:C,2, )</f>
        <v>DR.NASEEM MUNSHI</v>
      </c>
      <c r="D104" s="162">
        <v>45999</v>
      </c>
      <c r="E104" s="154">
        <v>0</v>
      </c>
      <c r="F104" s="154">
        <v>150</v>
      </c>
      <c r="G104" s="154">
        <v>0</v>
      </c>
      <c r="H104" s="154">
        <v>0</v>
      </c>
      <c r="I104" s="154">
        <v>0</v>
      </c>
      <c r="J104" s="154">
        <v>0</v>
      </c>
      <c r="K104" s="154">
        <v>0</v>
      </c>
      <c r="L104" s="154">
        <v>0</v>
      </c>
      <c r="M104" s="155">
        <v>0</v>
      </c>
      <c r="N104" s="154">
        <v>0</v>
      </c>
      <c r="O104" s="154">
        <v>0</v>
      </c>
      <c r="P104" s="154">
        <v>0</v>
      </c>
      <c r="Q104" s="154">
        <v>0</v>
      </c>
      <c r="R104" s="156">
        <v>0</v>
      </c>
      <c r="S104" s="156">
        <v>0</v>
      </c>
      <c r="T104" s="156">
        <v>0</v>
      </c>
      <c r="U104" s="156">
        <f t="shared" si="3"/>
        <v>150</v>
      </c>
    </row>
    <row r="105" spans="1:21" ht="18" hidden="1" customHeight="1">
      <c r="A105" s="153">
        <f t="shared" si="2"/>
        <v>104</v>
      </c>
      <c r="B105" s="153" t="s">
        <v>756</v>
      </c>
      <c r="C105" s="153" t="e">
        <f>VLOOKUP(B105,MEMBERS!B:C,2, )</f>
        <v>#N/A</v>
      </c>
      <c r="D105" s="162">
        <v>46000</v>
      </c>
      <c r="E105" s="154">
        <v>0</v>
      </c>
      <c r="F105" s="154">
        <v>0</v>
      </c>
      <c r="G105" s="154">
        <v>0</v>
      </c>
      <c r="H105" s="154">
        <v>0</v>
      </c>
      <c r="I105" s="154">
        <v>0</v>
      </c>
      <c r="J105" s="154">
        <v>0</v>
      </c>
      <c r="K105" s="154">
        <v>0</v>
      </c>
      <c r="L105" s="154">
        <v>0</v>
      </c>
      <c r="M105" s="155">
        <v>0</v>
      </c>
      <c r="N105" s="154">
        <v>0</v>
      </c>
      <c r="O105" s="154">
        <v>0</v>
      </c>
      <c r="P105" s="292">
        <v>12000</v>
      </c>
      <c r="Q105" s="154">
        <v>0</v>
      </c>
      <c r="R105" s="156">
        <v>0</v>
      </c>
      <c r="S105" s="156">
        <v>0</v>
      </c>
      <c r="T105" s="156">
        <v>0</v>
      </c>
      <c r="U105" s="156">
        <f t="shared" si="3"/>
        <v>12000</v>
      </c>
    </row>
    <row r="106" spans="1:21" ht="18" hidden="1" customHeight="1">
      <c r="A106" s="153">
        <f t="shared" si="2"/>
        <v>105</v>
      </c>
      <c r="B106" s="153" t="s">
        <v>59</v>
      </c>
      <c r="C106" s="153" t="str">
        <f>VLOOKUP(B106,MEMBERS!B:C,2, )</f>
        <v>MR.SAJJAD ALI</v>
      </c>
      <c r="D106" s="162">
        <v>46000</v>
      </c>
      <c r="E106" s="154">
        <v>0</v>
      </c>
      <c r="F106" s="154">
        <v>0</v>
      </c>
      <c r="G106" s="154">
        <v>0</v>
      </c>
      <c r="H106" s="154">
        <v>0</v>
      </c>
      <c r="I106" s="154">
        <v>0</v>
      </c>
      <c r="J106" s="154">
        <v>0</v>
      </c>
      <c r="K106" s="154">
        <v>0</v>
      </c>
      <c r="L106" s="154">
        <v>0</v>
      </c>
      <c r="M106" s="155">
        <v>0</v>
      </c>
      <c r="N106" s="154">
        <v>0</v>
      </c>
      <c r="O106" s="154">
        <v>0</v>
      </c>
      <c r="P106" s="154">
        <v>2500</v>
      </c>
      <c r="Q106" s="154">
        <v>0</v>
      </c>
      <c r="R106" s="156">
        <v>0</v>
      </c>
      <c r="S106" s="156">
        <v>0</v>
      </c>
      <c r="T106" s="156">
        <v>0</v>
      </c>
      <c r="U106" s="156">
        <f t="shared" si="3"/>
        <v>2500</v>
      </c>
    </row>
    <row r="107" spans="1:21" ht="18" hidden="1" customHeight="1">
      <c r="A107" s="153">
        <f t="shared" si="2"/>
        <v>106</v>
      </c>
      <c r="B107" s="153" t="s">
        <v>390</v>
      </c>
      <c r="C107" s="153" t="str">
        <f>VLOOKUP(B107,MEMBERS!B:C,2, )</f>
        <v>RIAZ FAZAL</v>
      </c>
      <c r="D107" s="162">
        <v>46000</v>
      </c>
      <c r="E107" s="154">
        <v>0</v>
      </c>
      <c r="F107" s="154">
        <v>0</v>
      </c>
      <c r="G107" s="154">
        <v>0</v>
      </c>
      <c r="H107" s="154">
        <v>0</v>
      </c>
      <c r="I107" s="154">
        <v>0</v>
      </c>
      <c r="J107" s="154">
        <v>0</v>
      </c>
      <c r="K107" s="154">
        <v>0</v>
      </c>
      <c r="L107" s="154">
        <v>0</v>
      </c>
      <c r="M107" s="155">
        <v>0</v>
      </c>
      <c r="N107" s="154">
        <v>0</v>
      </c>
      <c r="O107" s="154">
        <v>0</v>
      </c>
      <c r="P107" s="154">
        <v>6000</v>
      </c>
      <c r="Q107" s="154">
        <v>0</v>
      </c>
      <c r="R107" s="156">
        <v>0</v>
      </c>
      <c r="S107" s="156">
        <v>0</v>
      </c>
      <c r="T107" s="156">
        <v>0</v>
      </c>
      <c r="U107" s="156">
        <f t="shared" si="3"/>
        <v>6000</v>
      </c>
    </row>
    <row r="108" spans="1:21" ht="18" hidden="1" customHeight="1">
      <c r="A108" s="153">
        <f t="shared" si="2"/>
        <v>107</v>
      </c>
      <c r="B108" s="153" t="s">
        <v>375</v>
      </c>
      <c r="C108" s="153" t="str">
        <f>VLOOKUP(B108,MEMBERS!B:C,2, )</f>
        <v>HUSSAIN WAJID</v>
      </c>
      <c r="D108" s="162">
        <v>46000</v>
      </c>
      <c r="E108" s="154">
        <f>300+600*2</f>
        <v>1500</v>
      </c>
      <c r="F108" s="154">
        <v>0</v>
      </c>
      <c r="G108" s="154">
        <v>0</v>
      </c>
      <c r="H108" s="154">
        <v>0</v>
      </c>
      <c r="I108" s="154">
        <v>0</v>
      </c>
      <c r="J108" s="154">
        <v>0</v>
      </c>
      <c r="K108" s="154">
        <v>0</v>
      </c>
      <c r="L108" s="154">
        <v>0</v>
      </c>
      <c r="M108" s="155">
        <v>0</v>
      </c>
      <c r="N108" s="154">
        <v>0</v>
      </c>
      <c r="O108" s="154">
        <v>0</v>
      </c>
      <c r="P108" s="154">
        <v>0</v>
      </c>
      <c r="Q108" s="154">
        <v>0</v>
      </c>
      <c r="R108" s="156">
        <v>0</v>
      </c>
      <c r="S108" s="156">
        <v>0</v>
      </c>
      <c r="T108" s="156">
        <v>0</v>
      </c>
      <c r="U108" s="156">
        <f t="shared" si="3"/>
        <v>1500</v>
      </c>
    </row>
    <row r="109" spans="1:21" ht="18" hidden="1" customHeight="1">
      <c r="A109" s="153">
        <f t="shared" si="2"/>
        <v>108</v>
      </c>
      <c r="B109" s="153" t="s">
        <v>69</v>
      </c>
      <c r="C109" s="153" t="str">
        <f>VLOOKUP(B109,MEMBERS!B:C,2, )</f>
        <v>MR.TARIQUE ZUBAIR</v>
      </c>
      <c r="D109" s="162">
        <v>46000</v>
      </c>
      <c r="E109" s="154">
        <v>0</v>
      </c>
      <c r="F109" s="154">
        <v>150</v>
      </c>
      <c r="G109" s="154">
        <v>0</v>
      </c>
      <c r="H109" s="154">
        <v>0</v>
      </c>
      <c r="I109" s="154">
        <v>0</v>
      </c>
      <c r="J109" s="154">
        <v>0</v>
      </c>
      <c r="K109" s="154">
        <v>0</v>
      </c>
      <c r="L109" s="154">
        <v>0</v>
      </c>
      <c r="M109" s="155">
        <v>0</v>
      </c>
      <c r="N109" s="154">
        <v>0</v>
      </c>
      <c r="O109" s="154">
        <v>0</v>
      </c>
      <c r="P109" s="154">
        <v>0</v>
      </c>
      <c r="Q109" s="154">
        <v>0</v>
      </c>
      <c r="R109" s="156">
        <v>0</v>
      </c>
      <c r="S109" s="156">
        <v>0</v>
      </c>
      <c r="T109" s="156">
        <v>0</v>
      </c>
      <c r="U109" s="156">
        <f t="shared" si="3"/>
        <v>150</v>
      </c>
    </row>
    <row r="110" spans="1:21" ht="18" hidden="1" customHeight="1">
      <c r="A110" s="153">
        <f t="shared" si="2"/>
        <v>109</v>
      </c>
      <c r="B110" s="153" t="s">
        <v>312</v>
      </c>
      <c r="C110" s="153" t="str">
        <f>VLOOKUP(B110,MEMBERS!B:C,2, )</f>
        <v>GM GHULAM DASTAGEER</v>
      </c>
      <c r="D110" s="162">
        <v>46000</v>
      </c>
      <c r="E110" s="154">
        <v>0</v>
      </c>
      <c r="F110" s="154">
        <v>150</v>
      </c>
      <c r="G110" s="154">
        <v>0</v>
      </c>
      <c r="H110" s="154">
        <v>0</v>
      </c>
      <c r="I110" s="154">
        <v>0</v>
      </c>
      <c r="J110" s="154">
        <v>0</v>
      </c>
      <c r="K110" s="154">
        <v>0</v>
      </c>
      <c r="L110" s="154">
        <v>0</v>
      </c>
      <c r="M110" s="155">
        <v>0</v>
      </c>
      <c r="N110" s="154">
        <v>0</v>
      </c>
      <c r="O110" s="154">
        <v>0</v>
      </c>
      <c r="P110" s="154">
        <v>0</v>
      </c>
      <c r="Q110" s="154">
        <v>0</v>
      </c>
      <c r="R110" s="156">
        <v>0</v>
      </c>
      <c r="S110" s="156">
        <v>0</v>
      </c>
      <c r="T110" s="156">
        <v>0</v>
      </c>
      <c r="U110" s="156">
        <f t="shared" si="3"/>
        <v>150</v>
      </c>
    </row>
    <row r="111" spans="1:21" ht="18" hidden="1" customHeight="1">
      <c r="A111" s="153">
        <f t="shared" si="2"/>
        <v>110</v>
      </c>
      <c r="B111" s="153" t="s">
        <v>54</v>
      </c>
      <c r="C111" s="153" t="str">
        <f>VLOOKUP(B111,MEMBERS!B:C,2, )</f>
        <v>MR.ZEESHAN IQBAL</v>
      </c>
      <c r="D111" s="162">
        <v>46000</v>
      </c>
      <c r="E111" s="154">
        <v>0</v>
      </c>
      <c r="F111" s="154">
        <f>150+300</f>
        <v>450</v>
      </c>
      <c r="G111" s="154">
        <v>0</v>
      </c>
      <c r="H111" s="154">
        <v>0</v>
      </c>
      <c r="I111" s="154">
        <v>0</v>
      </c>
      <c r="J111" s="154">
        <v>0</v>
      </c>
      <c r="K111" s="154">
        <v>0</v>
      </c>
      <c r="L111" s="154">
        <v>0</v>
      </c>
      <c r="M111" s="155">
        <v>0</v>
      </c>
      <c r="N111" s="154">
        <v>0</v>
      </c>
      <c r="O111" s="154">
        <v>0</v>
      </c>
      <c r="P111" s="154">
        <v>0</v>
      </c>
      <c r="Q111" s="154">
        <v>0</v>
      </c>
      <c r="R111" s="156">
        <v>0</v>
      </c>
      <c r="S111" s="156">
        <v>0</v>
      </c>
      <c r="T111" s="156">
        <v>0</v>
      </c>
      <c r="U111" s="156">
        <f t="shared" si="3"/>
        <v>450</v>
      </c>
    </row>
    <row r="112" spans="1:21" ht="18" hidden="1" customHeight="1">
      <c r="A112" s="153">
        <f t="shared" si="2"/>
        <v>111</v>
      </c>
      <c r="B112" s="153" t="s">
        <v>83</v>
      </c>
      <c r="C112" s="153" t="str">
        <f>VLOOKUP(B112,MEMBERS!B:C,2, )</f>
        <v>DR.SANTOSH KUMAR</v>
      </c>
      <c r="D112" s="162">
        <v>46000</v>
      </c>
      <c r="E112" s="154">
        <v>0</v>
      </c>
      <c r="F112" s="154">
        <v>150</v>
      </c>
      <c r="G112" s="154">
        <v>0</v>
      </c>
      <c r="H112" s="154">
        <v>0</v>
      </c>
      <c r="I112" s="154">
        <v>0</v>
      </c>
      <c r="J112" s="154">
        <v>0</v>
      </c>
      <c r="K112" s="154">
        <v>0</v>
      </c>
      <c r="L112" s="154">
        <v>0</v>
      </c>
      <c r="M112" s="155">
        <v>0</v>
      </c>
      <c r="N112" s="154">
        <v>0</v>
      </c>
      <c r="O112" s="154">
        <v>0</v>
      </c>
      <c r="P112" s="154">
        <v>0</v>
      </c>
      <c r="Q112" s="154">
        <v>0</v>
      </c>
      <c r="R112" s="156">
        <v>0</v>
      </c>
      <c r="S112" s="156">
        <v>0</v>
      </c>
      <c r="T112" s="156">
        <v>0</v>
      </c>
      <c r="U112" s="156">
        <f t="shared" si="3"/>
        <v>150</v>
      </c>
    </row>
    <row r="113" spans="1:21" ht="18" hidden="1" customHeight="1">
      <c r="A113" s="153">
        <f t="shared" si="2"/>
        <v>112</v>
      </c>
      <c r="B113" s="153" t="s">
        <v>235</v>
      </c>
      <c r="C113" s="153" t="str">
        <f>VLOOKUP(B113,MEMBERS!B:C,2, )</f>
        <v>MR.IMRAN WAZEER</v>
      </c>
      <c r="D113" s="162">
        <v>46000</v>
      </c>
      <c r="E113" s="154">
        <v>0</v>
      </c>
      <c r="F113" s="154">
        <v>150</v>
      </c>
      <c r="G113" s="154">
        <v>0</v>
      </c>
      <c r="H113" s="154">
        <v>0</v>
      </c>
      <c r="I113" s="154">
        <v>0</v>
      </c>
      <c r="J113" s="154">
        <v>0</v>
      </c>
      <c r="K113" s="154">
        <v>0</v>
      </c>
      <c r="L113" s="154">
        <v>0</v>
      </c>
      <c r="M113" s="155">
        <v>0</v>
      </c>
      <c r="N113" s="154">
        <v>0</v>
      </c>
      <c r="O113" s="154">
        <v>0</v>
      </c>
      <c r="P113" s="154">
        <v>0</v>
      </c>
      <c r="Q113" s="154">
        <v>0</v>
      </c>
      <c r="R113" s="156">
        <v>0</v>
      </c>
      <c r="S113" s="156">
        <v>0</v>
      </c>
      <c r="T113" s="156">
        <v>0</v>
      </c>
      <c r="U113" s="156">
        <f t="shared" si="3"/>
        <v>150</v>
      </c>
    </row>
    <row r="114" spans="1:21" ht="18" hidden="1" customHeight="1">
      <c r="A114" s="153">
        <f t="shared" si="2"/>
        <v>113</v>
      </c>
      <c r="B114" s="153" t="s">
        <v>373</v>
      </c>
      <c r="C114" s="153" t="str">
        <f>VLOOKUP(B114,MEMBERS!B:C,2, )</f>
        <v>ASIF ASHFAQ</v>
      </c>
      <c r="D114" s="162">
        <v>46000</v>
      </c>
      <c r="E114" s="154">
        <v>0</v>
      </c>
      <c r="F114" s="154">
        <v>150</v>
      </c>
      <c r="G114" s="154">
        <v>0</v>
      </c>
      <c r="H114" s="154">
        <v>0</v>
      </c>
      <c r="I114" s="154">
        <v>0</v>
      </c>
      <c r="J114" s="154">
        <v>0</v>
      </c>
      <c r="K114" s="154">
        <v>0</v>
      </c>
      <c r="L114" s="154">
        <v>0</v>
      </c>
      <c r="M114" s="155">
        <v>0</v>
      </c>
      <c r="N114" s="154">
        <v>0</v>
      </c>
      <c r="O114" s="154">
        <v>0</v>
      </c>
      <c r="P114" s="154">
        <v>0</v>
      </c>
      <c r="Q114" s="154">
        <v>0</v>
      </c>
      <c r="R114" s="156">
        <v>0</v>
      </c>
      <c r="S114" s="156">
        <v>0</v>
      </c>
      <c r="T114" s="156">
        <v>0</v>
      </c>
      <c r="U114" s="156">
        <f t="shared" si="3"/>
        <v>150</v>
      </c>
    </row>
    <row r="115" spans="1:21" ht="18" hidden="1" customHeight="1">
      <c r="A115" s="153">
        <f t="shared" si="2"/>
        <v>114</v>
      </c>
      <c r="B115" s="153" t="s">
        <v>217</v>
      </c>
      <c r="C115" s="153" t="str">
        <f>VLOOKUP(B115,MEMBERS!B:C,2, )</f>
        <v>MR.ZAIN FAROOQ</v>
      </c>
      <c r="D115" s="162">
        <v>46000</v>
      </c>
      <c r="E115" s="154">
        <v>0</v>
      </c>
      <c r="F115" s="154">
        <f>150*2</f>
        <v>300</v>
      </c>
      <c r="G115" s="154">
        <v>0</v>
      </c>
      <c r="H115" s="154">
        <v>0</v>
      </c>
      <c r="I115" s="154">
        <v>0</v>
      </c>
      <c r="J115" s="154">
        <v>0</v>
      </c>
      <c r="K115" s="154">
        <v>0</v>
      </c>
      <c r="L115" s="154">
        <v>0</v>
      </c>
      <c r="M115" s="155">
        <v>0</v>
      </c>
      <c r="N115" s="154">
        <v>0</v>
      </c>
      <c r="O115" s="154">
        <v>0</v>
      </c>
      <c r="P115" s="154">
        <v>0</v>
      </c>
      <c r="Q115" s="154">
        <v>0</v>
      </c>
      <c r="R115" s="156">
        <v>0</v>
      </c>
      <c r="S115" s="156">
        <v>0</v>
      </c>
      <c r="T115" s="156">
        <v>0</v>
      </c>
      <c r="U115" s="156">
        <f t="shared" si="3"/>
        <v>300</v>
      </c>
    </row>
    <row r="116" spans="1:21" ht="18" hidden="1" customHeight="1">
      <c r="A116" s="153">
        <f t="shared" si="2"/>
        <v>115</v>
      </c>
      <c r="B116" s="153" t="s">
        <v>426</v>
      </c>
      <c r="C116" s="153" t="str">
        <f>VLOOKUP(B116,MEMBERS!B:C,2, )</f>
        <v>NASIR ABBAS</v>
      </c>
      <c r="D116" s="162">
        <v>46000</v>
      </c>
      <c r="E116" s="154">
        <v>0</v>
      </c>
      <c r="F116" s="154">
        <v>150</v>
      </c>
      <c r="G116" s="154">
        <v>0</v>
      </c>
      <c r="H116" s="154">
        <v>0</v>
      </c>
      <c r="I116" s="154">
        <v>0</v>
      </c>
      <c r="J116" s="154">
        <v>0</v>
      </c>
      <c r="K116" s="154">
        <v>0</v>
      </c>
      <c r="L116" s="154">
        <v>0</v>
      </c>
      <c r="M116" s="155">
        <v>0</v>
      </c>
      <c r="N116" s="154">
        <v>0</v>
      </c>
      <c r="O116" s="154">
        <v>0</v>
      </c>
      <c r="P116" s="154">
        <v>0</v>
      </c>
      <c r="Q116" s="154">
        <v>0</v>
      </c>
      <c r="R116" s="156">
        <v>0</v>
      </c>
      <c r="S116" s="156">
        <v>0</v>
      </c>
      <c r="T116" s="156">
        <v>0</v>
      </c>
      <c r="U116" s="156">
        <f t="shared" si="3"/>
        <v>150</v>
      </c>
    </row>
    <row r="117" spans="1:21" ht="18" hidden="1" customHeight="1">
      <c r="A117" s="153">
        <f t="shared" si="2"/>
        <v>116</v>
      </c>
      <c r="B117" s="153" t="s">
        <v>273</v>
      </c>
      <c r="C117" s="153" t="str">
        <f>VLOOKUP(B117,MEMBERS!B:C,2, )</f>
        <v>MR.SYED MURTAZA ALI</v>
      </c>
      <c r="D117" s="162">
        <v>46000</v>
      </c>
      <c r="E117" s="154">
        <v>0</v>
      </c>
      <c r="F117" s="154">
        <v>150</v>
      </c>
      <c r="G117" s="154">
        <v>0</v>
      </c>
      <c r="H117" s="154">
        <v>0</v>
      </c>
      <c r="I117" s="154">
        <v>0</v>
      </c>
      <c r="J117" s="154">
        <v>0</v>
      </c>
      <c r="K117" s="154">
        <v>0</v>
      </c>
      <c r="L117" s="154">
        <v>0</v>
      </c>
      <c r="M117" s="155">
        <v>0</v>
      </c>
      <c r="N117" s="154">
        <v>0</v>
      </c>
      <c r="O117" s="154">
        <v>0</v>
      </c>
      <c r="P117" s="154">
        <v>0</v>
      </c>
      <c r="Q117" s="154">
        <v>0</v>
      </c>
      <c r="R117" s="156">
        <v>0</v>
      </c>
      <c r="S117" s="156">
        <v>0</v>
      </c>
      <c r="T117" s="156">
        <v>0</v>
      </c>
      <c r="U117" s="156">
        <f t="shared" si="3"/>
        <v>150</v>
      </c>
    </row>
    <row r="118" spans="1:21" ht="18" hidden="1" customHeight="1">
      <c r="A118" s="153">
        <f t="shared" si="2"/>
        <v>117</v>
      </c>
      <c r="B118" s="153" t="s">
        <v>44</v>
      </c>
      <c r="C118" s="153" t="str">
        <f>VLOOKUP(B118,MEMBERS!B:C,2, )</f>
        <v>MR.MUHAMMAD RIZWAN</v>
      </c>
      <c r="D118" s="162">
        <v>46000</v>
      </c>
      <c r="E118" s="154">
        <v>0</v>
      </c>
      <c r="F118" s="154">
        <v>150</v>
      </c>
      <c r="G118" s="154">
        <v>0</v>
      </c>
      <c r="H118" s="154">
        <v>0</v>
      </c>
      <c r="I118" s="154">
        <v>0</v>
      </c>
      <c r="J118" s="154">
        <v>0</v>
      </c>
      <c r="K118" s="154">
        <v>0</v>
      </c>
      <c r="L118" s="154">
        <v>0</v>
      </c>
      <c r="M118" s="155">
        <v>0</v>
      </c>
      <c r="N118" s="154">
        <v>0</v>
      </c>
      <c r="O118" s="154">
        <v>0</v>
      </c>
      <c r="P118" s="154">
        <v>0</v>
      </c>
      <c r="Q118" s="154">
        <v>0</v>
      </c>
      <c r="R118" s="156">
        <v>0</v>
      </c>
      <c r="S118" s="156">
        <v>0</v>
      </c>
      <c r="T118" s="156">
        <v>0</v>
      </c>
      <c r="U118" s="156">
        <f t="shared" si="3"/>
        <v>150</v>
      </c>
    </row>
    <row r="119" spans="1:21" ht="18" hidden="1" customHeight="1">
      <c r="A119" s="153">
        <f t="shared" si="2"/>
        <v>118</v>
      </c>
      <c r="B119" s="153" t="s">
        <v>359</v>
      </c>
      <c r="C119" s="153" t="str">
        <f>VLOOKUP(B119,MEMBERS!B:C,2, )</f>
        <v>DR.NASEEM MUNSHI</v>
      </c>
      <c r="D119" s="162">
        <v>46000</v>
      </c>
      <c r="E119" s="154">
        <v>0</v>
      </c>
      <c r="F119" s="154">
        <v>150</v>
      </c>
      <c r="G119" s="154">
        <v>0</v>
      </c>
      <c r="H119" s="154">
        <v>0</v>
      </c>
      <c r="I119" s="154">
        <v>0</v>
      </c>
      <c r="J119" s="154">
        <v>0</v>
      </c>
      <c r="K119" s="154">
        <v>0</v>
      </c>
      <c r="L119" s="154">
        <v>0</v>
      </c>
      <c r="M119" s="155">
        <v>0</v>
      </c>
      <c r="N119" s="154">
        <v>0</v>
      </c>
      <c r="O119" s="154">
        <v>0</v>
      </c>
      <c r="P119" s="154">
        <v>0</v>
      </c>
      <c r="Q119" s="154">
        <v>0</v>
      </c>
      <c r="R119" s="156">
        <v>0</v>
      </c>
      <c r="S119" s="156">
        <v>0</v>
      </c>
      <c r="T119" s="156">
        <v>0</v>
      </c>
      <c r="U119" s="156">
        <f t="shared" si="3"/>
        <v>150</v>
      </c>
    </row>
    <row r="120" spans="1:21" ht="18" hidden="1" customHeight="1">
      <c r="A120" s="153">
        <f t="shared" si="2"/>
        <v>119</v>
      </c>
      <c r="B120" s="153" t="s">
        <v>155</v>
      </c>
      <c r="C120" s="153" t="str">
        <f>VLOOKUP(B120,MEMBERS!B:C,2, )</f>
        <v>MR.PIR MUJEEB JAN SARHANDI</v>
      </c>
      <c r="D120" s="162">
        <v>46000</v>
      </c>
      <c r="E120" s="154">
        <v>0</v>
      </c>
      <c r="F120" s="154">
        <v>150</v>
      </c>
      <c r="G120" s="154">
        <v>0</v>
      </c>
      <c r="H120" s="154">
        <v>0</v>
      </c>
      <c r="I120" s="154">
        <v>0</v>
      </c>
      <c r="J120" s="154">
        <v>0</v>
      </c>
      <c r="K120" s="154">
        <v>0</v>
      </c>
      <c r="L120" s="154">
        <v>0</v>
      </c>
      <c r="M120" s="155">
        <v>0</v>
      </c>
      <c r="N120" s="154">
        <v>0</v>
      </c>
      <c r="O120" s="154">
        <v>0</v>
      </c>
      <c r="P120" s="154">
        <v>0</v>
      </c>
      <c r="Q120" s="154">
        <v>0</v>
      </c>
      <c r="R120" s="156">
        <v>0</v>
      </c>
      <c r="S120" s="156">
        <v>0</v>
      </c>
      <c r="T120" s="156">
        <v>0</v>
      </c>
      <c r="U120" s="156">
        <f t="shared" si="3"/>
        <v>150</v>
      </c>
    </row>
    <row r="121" spans="1:21" ht="18" hidden="1" customHeight="1">
      <c r="A121" s="153">
        <f t="shared" si="2"/>
        <v>120</v>
      </c>
      <c r="B121" s="153" t="s">
        <v>197</v>
      </c>
      <c r="C121" s="153" t="str">
        <f>VLOOKUP(B121,MEMBERS!B:C,2, )</f>
        <v>MR.MUHAMMAD ATIF USMANI</v>
      </c>
      <c r="D121" s="162">
        <v>46000</v>
      </c>
      <c r="E121" s="154">
        <v>0</v>
      </c>
      <c r="F121" s="154">
        <v>150</v>
      </c>
      <c r="G121" s="154">
        <v>0</v>
      </c>
      <c r="H121" s="154">
        <v>0</v>
      </c>
      <c r="I121" s="154">
        <v>0</v>
      </c>
      <c r="J121" s="154">
        <v>0</v>
      </c>
      <c r="K121" s="154">
        <v>0</v>
      </c>
      <c r="L121" s="154">
        <v>0</v>
      </c>
      <c r="M121" s="155">
        <v>0</v>
      </c>
      <c r="N121" s="154">
        <v>0</v>
      </c>
      <c r="O121" s="154">
        <v>0</v>
      </c>
      <c r="P121" s="154">
        <v>0</v>
      </c>
      <c r="Q121" s="154">
        <v>0</v>
      </c>
      <c r="R121" s="156">
        <v>0</v>
      </c>
      <c r="S121" s="156">
        <v>0</v>
      </c>
      <c r="T121" s="156">
        <v>0</v>
      </c>
      <c r="U121" s="156">
        <f t="shared" si="3"/>
        <v>150</v>
      </c>
    </row>
    <row r="122" spans="1:21" ht="18" hidden="1" customHeight="1">
      <c r="A122" s="153">
        <f t="shared" si="2"/>
        <v>121</v>
      </c>
      <c r="B122" s="153" t="s">
        <v>10</v>
      </c>
      <c r="C122" s="153" t="str">
        <f>VLOOKUP(B122,MEMBERS!B:C,2, )</f>
        <v>MR. JABIR SHAHZAD</v>
      </c>
      <c r="D122" s="162">
        <v>46000</v>
      </c>
      <c r="E122" s="154">
        <v>0</v>
      </c>
      <c r="F122" s="154">
        <v>150</v>
      </c>
      <c r="G122" s="154">
        <v>0</v>
      </c>
      <c r="H122" s="154">
        <v>0</v>
      </c>
      <c r="I122" s="154">
        <v>0</v>
      </c>
      <c r="J122" s="154">
        <v>0</v>
      </c>
      <c r="K122" s="154">
        <v>0</v>
      </c>
      <c r="L122" s="154">
        <v>0</v>
      </c>
      <c r="M122" s="155">
        <v>0</v>
      </c>
      <c r="N122" s="154">
        <v>0</v>
      </c>
      <c r="O122" s="154">
        <v>0</v>
      </c>
      <c r="P122" s="154">
        <v>0</v>
      </c>
      <c r="Q122" s="154">
        <v>0</v>
      </c>
      <c r="R122" s="156">
        <v>0</v>
      </c>
      <c r="S122" s="156">
        <v>0</v>
      </c>
      <c r="T122" s="156">
        <v>0</v>
      </c>
      <c r="U122" s="156">
        <f t="shared" si="3"/>
        <v>150</v>
      </c>
    </row>
    <row r="123" spans="1:21" ht="18" hidden="1" customHeight="1">
      <c r="A123" s="153">
        <f t="shared" si="2"/>
        <v>122</v>
      </c>
      <c r="B123" s="153" t="s">
        <v>1052</v>
      </c>
      <c r="C123" s="153" t="str">
        <f>VLOOKUP(B123,MEMBERS!B:C,2, )</f>
        <v>MR. YASIR RASHEED</v>
      </c>
      <c r="D123" s="162">
        <v>46001</v>
      </c>
      <c r="E123" s="154">
        <v>0</v>
      </c>
      <c r="F123" s="154">
        <v>0</v>
      </c>
      <c r="G123" s="154">
        <v>0</v>
      </c>
      <c r="H123" s="154">
        <v>0</v>
      </c>
      <c r="I123" s="154">
        <v>0</v>
      </c>
      <c r="J123" s="154">
        <v>0</v>
      </c>
      <c r="K123" s="154">
        <v>0</v>
      </c>
      <c r="L123" s="154">
        <v>0</v>
      </c>
      <c r="M123" s="155">
        <v>0</v>
      </c>
      <c r="N123" s="154">
        <v>0</v>
      </c>
      <c r="O123" s="154">
        <v>0</v>
      </c>
      <c r="P123" s="154">
        <v>450</v>
      </c>
      <c r="Q123" s="154">
        <v>0</v>
      </c>
      <c r="R123" s="156">
        <v>0</v>
      </c>
      <c r="S123" s="156">
        <v>0</v>
      </c>
      <c r="T123" s="156">
        <v>0</v>
      </c>
      <c r="U123" s="156">
        <f t="shared" si="3"/>
        <v>450</v>
      </c>
    </row>
    <row r="124" spans="1:21" ht="18" hidden="1" customHeight="1">
      <c r="A124" s="153">
        <f t="shared" si="2"/>
        <v>123</v>
      </c>
      <c r="B124" s="153" t="s">
        <v>650</v>
      </c>
      <c r="C124" s="153" t="str">
        <f>VLOOKUP(B124,MEMBERS!B:C,2, )</f>
        <v>SHAHBAZ AHMED</v>
      </c>
      <c r="D124" s="162">
        <v>46001</v>
      </c>
      <c r="E124" s="154">
        <v>0</v>
      </c>
      <c r="F124" s="154">
        <v>300</v>
      </c>
      <c r="G124" s="154">
        <v>0</v>
      </c>
      <c r="H124" s="154">
        <v>0</v>
      </c>
      <c r="I124" s="154">
        <v>0</v>
      </c>
      <c r="J124" s="154">
        <v>300</v>
      </c>
      <c r="K124" s="154">
        <v>0</v>
      </c>
      <c r="L124" s="154">
        <v>0</v>
      </c>
      <c r="M124" s="155">
        <v>0</v>
      </c>
      <c r="N124" s="154">
        <v>0</v>
      </c>
      <c r="O124" s="154">
        <v>0</v>
      </c>
      <c r="P124" s="154">
        <v>2500</v>
      </c>
      <c r="Q124" s="154">
        <v>0</v>
      </c>
      <c r="R124" s="156">
        <v>0</v>
      </c>
      <c r="S124" s="156">
        <v>0</v>
      </c>
      <c r="T124" s="156">
        <v>0</v>
      </c>
      <c r="U124" s="156">
        <f t="shared" si="3"/>
        <v>3100</v>
      </c>
    </row>
    <row r="125" spans="1:21" ht="18" hidden="1" customHeight="1">
      <c r="A125" s="153">
        <f t="shared" si="2"/>
        <v>124</v>
      </c>
      <c r="B125" s="153" t="s">
        <v>164</v>
      </c>
      <c r="C125" s="153" t="str">
        <f>VLOOKUP(B125,MEMBERS!B:C,2, )</f>
        <v>MR.ASHOK KUMAR</v>
      </c>
      <c r="D125" s="162">
        <v>46001</v>
      </c>
      <c r="E125" s="154">
        <v>0</v>
      </c>
      <c r="F125" s="154">
        <v>0</v>
      </c>
      <c r="G125" s="154">
        <v>0</v>
      </c>
      <c r="H125" s="154">
        <v>0</v>
      </c>
      <c r="I125" s="154">
        <v>0</v>
      </c>
      <c r="J125" s="154">
        <f>300*2</f>
        <v>600</v>
      </c>
      <c r="K125" s="154">
        <f>300*4+600</f>
        <v>1800</v>
      </c>
      <c r="L125" s="154">
        <v>0</v>
      </c>
      <c r="M125" s="155">
        <v>0</v>
      </c>
      <c r="N125" s="154">
        <v>0</v>
      </c>
      <c r="O125" s="154">
        <v>0</v>
      </c>
      <c r="P125" s="154">
        <v>0</v>
      </c>
      <c r="Q125" s="154">
        <v>0</v>
      </c>
      <c r="R125" s="156">
        <v>0</v>
      </c>
      <c r="S125" s="156">
        <v>0</v>
      </c>
      <c r="T125" s="156">
        <v>0</v>
      </c>
      <c r="U125" s="156">
        <f t="shared" si="3"/>
        <v>2400</v>
      </c>
    </row>
    <row r="126" spans="1:21" ht="18" hidden="1" customHeight="1">
      <c r="A126" s="153">
        <f t="shared" si="2"/>
        <v>125</v>
      </c>
      <c r="B126" s="153" t="s">
        <v>235</v>
      </c>
      <c r="C126" s="153" t="str">
        <f>VLOOKUP(B126,MEMBERS!B:C,2, )</f>
        <v>MR.IMRAN WAZEER</v>
      </c>
      <c r="D126" s="162">
        <v>46001</v>
      </c>
      <c r="E126" s="154">
        <v>0</v>
      </c>
      <c r="F126" s="154">
        <v>150</v>
      </c>
      <c r="G126" s="154">
        <v>0</v>
      </c>
      <c r="H126" s="154">
        <v>0</v>
      </c>
      <c r="I126" s="154">
        <v>0</v>
      </c>
      <c r="J126" s="154">
        <v>0</v>
      </c>
      <c r="K126" s="154">
        <f>300*4</f>
        <v>1200</v>
      </c>
      <c r="L126" s="154">
        <v>0</v>
      </c>
      <c r="M126" s="155">
        <v>0</v>
      </c>
      <c r="N126" s="154">
        <v>0</v>
      </c>
      <c r="O126" s="154">
        <v>0</v>
      </c>
      <c r="P126" s="154">
        <v>0</v>
      </c>
      <c r="Q126" s="154">
        <v>0</v>
      </c>
      <c r="R126" s="156">
        <v>0</v>
      </c>
      <c r="S126" s="156">
        <v>0</v>
      </c>
      <c r="T126" s="156">
        <v>0</v>
      </c>
      <c r="U126" s="156">
        <f t="shared" si="3"/>
        <v>1350</v>
      </c>
    </row>
    <row r="127" spans="1:21" ht="18" hidden="1" customHeight="1">
      <c r="A127" s="153">
        <f t="shared" si="2"/>
        <v>126</v>
      </c>
      <c r="B127" s="153" t="s">
        <v>378</v>
      </c>
      <c r="C127" s="153" t="str">
        <f>VLOOKUP(B127,MEMBERS!B:C,2, )</f>
        <v>SABA AHSAN</v>
      </c>
      <c r="D127" s="162">
        <v>46001</v>
      </c>
      <c r="E127" s="154">
        <v>0</v>
      </c>
      <c r="F127" s="154">
        <v>0</v>
      </c>
      <c r="G127" s="154">
        <v>0</v>
      </c>
      <c r="H127" s="154">
        <v>0</v>
      </c>
      <c r="I127" s="154">
        <v>0</v>
      </c>
      <c r="J127" s="154">
        <v>0</v>
      </c>
      <c r="K127" s="154">
        <f>300*2</f>
        <v>600</v>
      </c>
      <c r="L127" s="154">
        <v>0</v>
      </c>
      <c r="M127" s="155">
        <v>0</v>
      </c>
      <c r="N127" s="154">
        <v>0</v>
      </c>
      <c r="O127" s="154">
        <v>0</v>
      </c>
      <c r="P127" s="154">
        <v>0</v>
      </c>
      <c r="Q127" s="154">
        <v>0</v>
      </c>
      <c r="R127" s="156">
        <v>0</v>
      </c>
      <c r="S127" s="156">
        <v>0</v>
      </c>
      <c r="T127" s="156">
        <v>0</v>
      </c>
      <c r="U127" s="156">
        <f t="shared" si="3"/>
        <v>600</v>
      </c>
    </row>
    <row r="128" spans="1:21" ht="18" hidden="1" customHeight="1">
      <c r="A128" s="153">
        <f t="shared" si="2"/>
        <v>127</v>
      </c>
      <c r="B128" s="153" t="s">
        <v>454</v>
      </c>
      <c r="C128" s="153" t="str">
        <f>VLOOKUP(B128,MEMBERS!B:C,2, )</f>
        <v>Heritage club</v>
      </c>
      <c r="D128" s="162">
        <v>46001</v>
      </c>
      <c r="E128" s="154">
        <v>0</v>
      </c>
      <c r="F128" s="154">
        <v>0</v>
      </c>
      <c r="G128" s="154">
        <v>0</v>
      </c>
      <c r="H128" s="154">
        <v>0</v>
      </c>
      <c r="I128" s="154">
        <v>0</v>
      </c>
      <c r="J128" s="154">
        <v>0</v>
      </c>
      <c r="K128" s="154">
        <f>600*4</f>
        <v>2400</v>
      </c>
      <c r="L128" s="154">
        <v>0</v>
      </c>
      <c r="M128" s="155">
        <v>0</v>
      </c>
      <c r="N128" s="154">
        <v>0</v>
      </c>
      <c r="O128" s="154">
        <v>0</v>
      </c>
      <c r="P128" s="154">
        <v>0</v>
      </c>
      <c r="Q128" s="154">
        <v>0</v>
      </c>
      <c r="R128" s="156">
        <v>0</v>
      </c>
      <c r="S128" s="156">
        <v>0</v>
      </c>
      <c r="T128" s="156">
        <v>0</v>
      </c>
      <c r="U128" s="156">
        <f t="shared" si="3"/>
        <v>2400</v>
      </c>
    </row>
    <row r="129" spans="1:21" ht="18" hidden="1" customHeight="1">
      <c r="A129" s="153">
        <f t="shared" si="2"/>
        <v>128</v>
      </c>
      <c r="B129" s="153" t="s">
        <v>385</v>
      </c>
      <c r="C129" s="153" t="str">
        <f>VLOOKUP(B129,MEMBERS!B:C,2, )</f>
        <v>AYSM MIRZA</v>
      </c>
      <c r="D129" s="162">
        <v>46001</v>
      </c>
      <c r="E129" s="154">
        <v>0</v>
      </c>
      <c r="F129" s="154">
        <v>0</v>
      </c>
      <c r="G129" s="154">
        <v>0</v>
      </c>
      <c r="H129" s="154">
        <v>0</v>
      </c>
      <c r="I129" s="154">
        <v>0</v>
      </c>
      <c r="J129" s="154">
        <v>0</v>
      </c>
      <c r="K129" s="154">
        <f>300*3+600</f>
        <v>1500</v>
      </c>
      <c r="L129" s="154">
        <v>0</v>
      </c>
      <c r="M129" s="155">
        <v>0</v>
      </c>
      <c r="N129" s="154">
        <v>0</v>
      </c>
      <c r="O129" s="154">
        <v>0</v>
      </c>
      <c r="P129" s="154">
        <v>0</v>
      </c>
      <c r="Q129" s="154">
        <v>0</v>
      </c>
      <c r="R129" s="156">
        <v>0</v>
      </c>
      <c r="S129" s="156">
        <v>0</v>
      </c>
      <c r="T129" s="156">
        <v>0</v>
      </c>
      <c r="U129" s="156">
        <f t="shared" si="3"/>
        <v>1500</v>
      </c>
    </row>
    <row r="130" spans="1:21" ht="18" hidden="1" customHeight="1">
      <c r="A130" s="153">
        <f t="shared" ref="A130:A210" si="4">IF(D130&lt;&gt;"", ROW()-1, "")</f>
        <v>129</v>
      </c>
      <c r="B130" s="153" t="s">
        <v>54</v>
      </c>
      <c r="C130" s="153" t="str">
        <f>VLOOKUP(B130,MEMBERS!B:C,2, )</f>
        <v>MR.ZEESHAN IQBAL</v>
      </c>
      <c r="D130" s="162">
        <v>46001</v>
      </c>
      <c r="E130" s="154">
        <v>0</v>
      </c>
      <c r="F130" s="154">
        <f>150*2+300</f>
        <v>600</v>
      </c>
      <c r="G130" s="154">
        <v>0</v>
      </c>
      <c r="H130" s="154">
        <v>0</v>
      </c>
      <c r="I130" s="154">
        <v>0</v>
      </c>
      <c r="J130" s="154">
        <v>0</v>
      </c>
      <c r="K130" s="154">
        <v>0</v>
      </c>
      <c r="L130" s="154">
        <v>0</v>
      </c>
      <c r="M130" s="155">
        <v>0</v>
      </c>
      <c r="N130" s="154">
        <v>0</v>
      </c>
      <c r="O130" s="154">
        <v>0</v>
      </c>
      <c r="P130" s="154">
        <v>0</v>
      </c>
      <c r="Q130" s="154">
        <v>0</v>
      </c>
      <c r="R130" s="156">
        <v>0</v>
      </c>
      <c r="S130" s="156">
        <v>0</v>
      </c>
      <c r="T130" s="156">
        <v>0</v>
      </c>
      <c r="U130" s="156">
        <f t="shared" ref="U130:U161" si="5">SUM(E130:T130)</f>
        <v>600</v>
      </c>
    </row>
    <row r="131" spans="1:21" ht="18" hidden="1" customHeight="1">
      <c r="A131" s="153">
        <f t="shared" si="4"/>
        <v>130</v>
      </c>
      <c r="B131" s="153" t="s">
        <v>83</v>
      </c>
      <c r="C131" s="153" t="str">
        <f>VLOOKUP(B131,MEMBERS!B:C,2, )</f>
        <v>DR.SANTOSH KUMAR</v>
      </c>
      <c r="D131" s="162">
        <v>46001</v>
      </c>
      <c r="E131" s="154">
        <v>0</v>
      </c>
      <c r="F131" s="154">
        <v>150</v>
      </c>
      <c r="G131" s="154">
        <v>0</v>
      </c>
      <c r="H131" s="154">
        <v>0</v>
      </c>
      <c r="I131" s="154">
        <v>0</v>
      </c>
      <c r="J131" s="154">
        <v>0</v>
      </c>
      <c r="K131" s="154">
        <v>0</v>
      </c>
      <c r="L131" s="154">
        <v>0</v>
      </c>
      <c r="M131" s="155">
        <v>0</v>
      </c>
      <c r="N131" s="154">
        <v>0</v>
      </c>
      <c r="O131" s="154">
        <v>0</v>
      </c>
      <c r="P131" s="154">
        <v>0</v>
      </c>
      <c r="Q131" s="154">
        <v>0</v>
      </c>
      <c r="R131" s="156">
        <v>0</v>
      </c>
      <c r="S131" s="156">
        <v>0</v>
      </c>
      <c r="T131" s="156">
        <v>0</v>
      </c>
      <c r="U131" s="156">
        <f t="shared" si="5"/>
        <v>150</v>
      </c>
    </row>
    <row r="132" spans="1:21" ht="18" hidden="1" customHeight="1">
      <c r="A132" s="153">
        <f t="shared" si="4"/>
        <v>131</v>
      </c>
      <c r="B132" s="153" t="s">
        <v>373</v>
      </c>
      <c r="C132" s="153" t="str">
        <f>VLOOKUP(B132,MEMBERS!B:C,2, )</f>
        <v>ASIF ASHFAQ</v>
      </c>
      <c r="D132" s="162">
        <v>46001</v>
      </c>
      <c r="E132" s="154">
        <v>0</v>
      </c>
      <c r="F132" s="154">
        <f>150*2</f>
        <v>300</v>
      </c>
      <c r="G132" s="154">
        <v>0</v>
      </c>
      <c r="H132" s="154">
        <v>0</v>
      </c>
      <c r="I132" s="154">
        <v>0</v>
      </c>
      <c r="J132" s="154">
        <v>0</v>
      </c>
      <c r="K132" s="154">
        <v>0</v>
      </c>
      <c r="L132" s="154">
        <v>0</v>
      </c>
      <c r="M132" s="155">
        <v>0</v>
      </c>
      <c r="N132" s="154">
        <v>0</v>
      </c>
      <c r="O132" s="154">
        <v>0</v>
      </c>
      <c r="P132" s="154">
        <v>0</v>
      </c>
      <c r="Q132" s="154">
        <v>0</v>
      </c>
      <c r="R132" s="156">
        <v>0</v>
      </c>
      <c r="S132" s="156">
        <v>0</v>
      </c>
      <c r="T132" s="156">
        <v>0</v>
      </c>
      <c r="U132" s="156">
        <f t="shared" si="5"/>
        <v>300</v>
      </c>
    </row>
    <row r="133" spans="1:21" ht="18" hidden="1" customHeight="1">
      <c r="A133" s="153">
        <f t="shared" si="4"/>
        <v>132</v>
      </c>
      <c r="B133" s="153" t="s">
        <v>217</v>
      </c>
      <c r="C133" s="153" t="str">
        <f>VLOOKUP(B133,MEMBERS!B:C,2, )</f>
        <v>MR.ZAIN FAROOQ</v>
      </c>
      <c r="D133" s="162">
        <v>46001</v>
      </c>
      <c r="E133" s="154">
        <v>0</v>
      </c>
      <c r="F133" s="154">
        <f>150*2</f>
        <v>300</v>
      </c>
      <c r="G133" s="154">
        <v>0</v>
      </c>
      <c r="H133" s="154">
        <v>0</v>
      </c>
      <c r="I133" s="154">
        <v>0</v>
      </c>
      <c r="J133" s="154">
        <v>0</v>
      </c>
      <c r="K133" s="154">
        <v>0</v>
      </c>
      <c r="L133" s="154">
        <v>0</v>
      </c>
      <c r="M133" s="155">
        <v>0</v>
      </c>
      <c r="N133" s="154">
        <v>0</v>
      </c>
      <c r="O133" s="154">
        <v>0</v>
      </c>
      <c r="P133" s="154">
        <v>0</v>
      </c>
      <c r="Q133" s="154">
        <v>0</v>
      </c>
      <c r="R133" s="156">
        <v>0</v>
      </c>
      <c r="S133" s="156">
        <v>0</v>
      </c>
      <c r="T133" s="156">
        <v>0</v>
      </c>
      <c r="U133" s="156">
        <f t="shared" si="5"/>
        <v>300</v>
      </c>
    </row>
    <row r="134" spans="1:21" ht="18" hidden="1" customHeight="1">
      <c r="A134" s="153">
        <f t="shared" si="4"/>
        <v>133</v>
      </c>
      <c r="B134" s="153" t="s">
        <v>98</v>
      </c>
      <c r="C134" s="153" t="str">
        <f>VLOOKUP(B134,MEMBERS!B:C,2, )</f>
        <v>MR.HAFEEZ AHMED SIYAL</v>
      </c>
      <c r="D134" s="162">
        <v>46001</v>
      </c>
      <c r="E134" s="154">
        <v>0</v>
      </c>
      <c r="F134" s="154">
        <v>150</v>
      </c>
      <c r="G134" s="154">
        <v>0</v>
      </c>
      <c r="H134" s="154">
        <v>0</v>
      </c>
      <c r="I134" s="154">
        <v>0</v>
      </c>
      <c r="J134" s="154">
        <v>0</v>
      </c>
      <c r="K134" s="154">
        <v>0</v>
      </c>
      <c r="L134" s="154">
        <v>0</v>
      </c>
      <c r="M134" s="155">
        <v>0</v>
      </c>
      <c r="N134" s="154">
        <v>0</v>
      </c>
      <c r="O134" s="154">
        <v>0</v>
      </c>
      <c r="P134" s="154">
        <v>0</v>
      </c>
      <c r="Q134" s="154">
        <v>0</v>
      </c>
      <c r="R134" s="156">
        <v>0</v>
      </c>
      <c r="S134" s="156">
        <v>0</v>
      </c>
      <c r="T134" s="156">
        <v>0</v>
      </c>
      <c r="U134" s="156">
        <f t="shared" si="5"/>
        <v>150</v>
      </c>
    </row>
    <row r="135" spans="1:21" ht="18" hidden="1" customHeight="1">
      <c r="A135" s="153">
        <f t="shared" si="4"/>
        <v>134</v>
      </c>
      <c r="B135" s="153" t="s">
        <v>44</v>
      </c>
      <c r="C135" s="153" t="str">
        <f>VLOOKUP(B135,MEMBERS!B:C,2, )</f>
        <v>MR.MUHAMMAD RIZWAN</v>
      </c>
      <c r="D135" s="162">
        <v>46001</v>
      </c>
      <c r="E135" s="154">
        <v>0</v>
      </c>
      <c r="F135" s="154">
        <f>150*2</f>
        <v>300</v>
      </c>
      <c r="G135" s="154">
        <v>0</v>
      </c>
      <c r="H135" s="154">
        <v>0</v>
      </c>
      <c r="I135" s="154">
        <v>0</v>
      </c>
      <c r="J135" s="154">
        <v>0</v>
      </c>
      <c r="K135" s="154">
        <v>0</v>
      </c>
      <c r="L135" s="154">
        <v>0</v>
      </c>
      <c r="M135" s="155">
        <v>0</v>
      </c>
      <c r="N135" s="154">
        <v>0</v>
      </c>
      <c r="O135" s="154">
        <v>0</v>
      </c>
      <c r="P135" s="154">
        <v>0</v>
      </c>
      <c r="Q135" s="154">
        <v>0</v>
      </c>
      <c r="R135" s="156">
        <v>0</v>
      </c>
      <c r="S135" s="156">
        <v>0</v>
      </c>
      <c r="T135" s="156">
        <v>0</v>
      </c>
      <c r="U135" s="156">
        <f t="shared" si="5"/>
        <v>300</v>
      </c>
    </row>
    <row r="136" spans="1:21" ht="18" hidden="1" customHeight="1">
      <c r="A136" s="153">
        <f t="shared" si="4"/>
        <v>135</v>
      </c>
      <c r="B136" s="153" t="s">
        <v>197</v>
      </c>
      <c r="C136" s="153" t="str">
        <f>VLOOKUP(B136,MEMBERS!B:C,2, )</f>
        <v>MR.MUHAMMAD ATIF USMANI</v>
      </c>
      <c r="D136" s="162">
        <v>46001</v>
      </c>
      <c r="E136" s="154">
        <v>0</v>
      </c>
      <c r="F136" s="154">
        <v>150</v>
      </c>
      <c r="G136" s="154">
        <v>0</v>
      </c>
      <c r="H136" s="154">
        <v>0</v>
      </c>
      <c r="I136" s="154">
        <v>0</v>
      </c>
      <c r="J136" s="154">
        <v>0</v>
      </c>
      <c r="K136" s="154">
        <v>0</v>
      </c>
      <c r="L136" s="154">
        <v>0</v>
      </c>
      <c r="M136" s="155">
        <v>0</v>
      </c>
      <c r="N136" s="154">
        <v>0</v>
      </c>
      <c r="O136" s="154">
        <v>0</v>
      </c>
      <c r="P136" s="154">
        <v>0</v>
      </c>
      <c r="Q136" s="154">
        <v>0</v>
      </c>
      <c r="R136" s="156">
        <v>0</v>
      </c>
      <c r="S136" s="156">
        <v>0</v>
      </c>
      <c r="T136" s="156">
        <v>0</v>
      </c>
      <c r="U136" s="156">
        <f t="shared" si="5"/>
        <v>150</v>
      </c>
    </row>
    <row r="137" spans="1:21" ht="18" hidden="1" customHeight="1">
      <c r="A137" s="153">
        <f t="shared" si="4"/>
        <v>136</v>
      </c>
      <c r="B137" s="153" t="s">
        <v>39</v>
      </c>
      <c r="C137" s="153" t="str">
        <f>VLOOKUP(B137,MEMBERS!B:C,2, )</f>
        <v>MR.SYED ABDULLAH ALI</v>
      </c>
      <c r="D137" s="162">
        <v>46001</v>
      </c>
      <c r="E137" s="154">
        <v>0</v>
      </c>
      <c r="F137" s="154">
        <v>150</v>
      </c>
      <c r="G137" s="154">
        <v>0</v>
      </c>
      <c r="H137" s="154">
        <v>0</v>
      </c>
      <c r="I137" s="154">
        <v>0</v>
      </c>
      <c r="J137" s="154">
        <v>0</v>
      </c>
      <c r="K137" s="154">
        <v>0</v>
      </c>
      <c r="L137" s="154">
        <v>0</v>
      </c>
      <c r="M137" s="155">
        <v>0</v>
      </c>
      <c r="N137" s="154">
        <v>0</v>
      </c>
      <c r="O137" s="154">
        <v>0</v>
      </c>
      <c r="P137" s="154">
        <v>0</v>
      </c>
      <c r="Q137" s="154">
        <v>0</v>
      </c>
      <c r="R137" s="156">
        <v>0</v>
      </c>
      <c r="S137" s="156">
        <v>0</v>
      </c>
      <c r="T137" s="156">
        <v>0</v>
      </c>
      <c r="U137" s="156">
        <f t="shared" si="5"/>
        <v>150</v>
      </c>
    </row>
    <row r="138" spans="1:21" ht="18" hidden="1" customHeight="1">
      <c r="A138" s="153">
        <f t="shared" si="4"/>
        <v>137</v>
      </c>
      <c r="B138" s="153" t="s">
        <v>650</v>
      </c>
      <c r="C138" s="153" t="str">
        <f>VLOOKUP(B138,MEMBERS!B:C,2, )</f>
        <v>SHAHBAZ AHMED</v>
      </c>
      <c r="D138" s="162">
        <v>46002</v>
      </c>
      <c r="E138" s="154">
        <v>0</v>
      </c>
      <c r="F138" s="154">
        <v>300</v>
      </c>
      <c r="G138" s="154">
        <v>0</v>
      </c>
      <c r="H138" s="154">
        <v>0</v>
      </c>
      <c r="I138" s="154">
        <v>0</v>
      </c>
      <c r="J138" s="154">
        <v>0</v>
      </c>
      <c r="K138" s="154">
        <v>0</v>
      </c>
      <c r="L138" s="154">
        <v>0</v>
      </c>
      <c r="M138" s="155">
        <v>0</v>
      </c>
      <c r="N138" s="154">
        <v>0</v>
      </c>
      <c r="O138" s="154">
        <v>0</v>
      </c>
      <c r="P138" s="154">
        <v>0</v>
      </c>
      <c r="Q138" s="154">
        <v>0</v>
      </c>
      <c r="R138" s="156">
        <v>0</v>
      </c>
      <c r="S138" s="156">
        <v>0</v>
      </c>
      <c r="T138" s="156">
        <v>0</v>
      </c>
      <c r="U138" s="156">
        <f t="shared" si="5"/>
        <v>300</v>
      </c>
    </row>
    <row r="139" spans="1:21" ht="18" hidden="1" customHeight="1">
      <c r="A139" s="153">
        <f t="shared" si="4"/>
        <v>138</v>
      </c>
      <c r="B139" s="153" t="s">
        <v>235</v>
      </c>
      <c r="C139" s="153" t="str">
        <f>VLOOKUP(B139,MEMBERS!B:C,2, )</f>
        <v>MR.IMRAN WAZEER</v>
      </c>
      <c r="D139" s="162">
        <v>46002</v>
      </c>
      <c r="E139" s="154">
        <v>0</v>
      </c>
      <c r="F139" s="154">
        <v>150</v>
      </c>
      <c r="G139" s="154">
        <v>0</v>
      </c>
      <c r="H139" s="154">
        <v>0</v>
      </c>
      <c r="I139" s="154">
        <v>0</v>
      </c>
      <c r="J139" s="154">
        <v>0</v>
      </c>
      <c r="K139" s="154">
        <v>0</v>
      </c>
      <c r="L139" s="154">
        <v>0</v>
      </c>
      <c r="M139" s="155">
        <v>0</v>
      </c>
      <c r="N139" s="154">
        <v>0</v>
      </c>
      <c r="O139" s="154">
        <v>0</v>
      </c>
      <c r="P139" s="154">
        <v>0</v>
      </c>
      <c r="Q139" s="154">
        <v>0</v>
      </c>
      <c r="R139" s="156">
        <v>0</v>
      </c>
      <c r="S139" s="156">
        <v>0</v>
      </c>
      <c r="T139" s="156">
        <v>0</v>
      </c>
      <c r="U139" s="156">
        <f t="shared" si="5"/>
        <v>150</v>
      </c>
    </row>
    <row r="140" spans="1:21" ht="18" hidden="1" customHeight="1">
      <c r="A140" s="153">
        <f t="shared" si="4"/>
        <v>139</v>
      </c>
      <c r="B140" s="153" t="s">
        <v>373</v>
      </c>
      <c r="C140" s="153" t="str">
        <f>VLOOKUP(B140,MEMBERS!B:C,2, )</f>
        <v>ASIF ASHFAQ</v>
      </c>
      <c r="D140" s="162">
        <v>46002</v>
      </c>
      <c r="E140" s="154">
        <v>0</v>
      </c>
      <c r="F140" s="154">
        <v>150</v>
      </c>
      <c r="G140" s="154">
        <v>0</v>
      </c>
      <c r="H140" s="154">
        <v>0</v>
      </c>
      <c r="I140" s="154">
        <v>0</v>
      </c>
      <c r="J140" s="154">
        <v>0</v>
      </c>
      <c r="K140" s="154">
        <v>0</v>
      </c>
      <c r="L140" s="154">
        <v>0</v>
      </c>
      <c r="M140" s="155">
        <v>0</v>
      </c>
      <c r="N140" s="154">
        <v>0</v>
      </c>
      <c r="O140" s="154">
        <v>0</v>
      </c>
      <c r="P140" s="154">
        <v>0</v>
      </c>
      <c r="Q140" s="154">
        <v>0</v>
      </c>
      <c r="R140" s="156">
        <v>0</v>
      </c>
      <c r="S140" s="156">
        <v>0</v>
      </c>
      <c r="T140" s="156">
        <v>0</v>
      </c>
      <c r="U140" s="156">
        <f t="shared" si="5"/>
        <v>150</v>
      </c>
    </row>
    <row r="141" spans="1:21" ht="18" hidden="1" customHeight="1">
      <c r="A141" s="153">
        <f t="shared" si="4"/>
        <v>140</v>
      </c>
      <c r="B141" s="153" t="s">
        <v>385</v>
      </c>
      <c r="C141" s="153" t="str">
        <f>VLOOKUP(B141,MEMBERS!B:C,2, )</f>
        <v>AYSM MIRZA</v>
      </c>
      <c r="D141" s="162">
        <v>46002</v>
      </c>
      <c r="E141" s="154">
        <v>0</v>
      </c>
      <c r="F141" s="154">
        <v>150</v>
      </c>
      <c r="G141" s="154">
        <v>0</v>
      </c>
      <c r="H141" s="154">
        <v>0</v>
      </c>
      <c r="I141" s="154">
        <v>0</v>
      </c>
      <c r="J141" s="154">
        <v>0</v>
      </c>
      <c r="K141" s="154">
        <v>0</v>
      </c>
      <c r="L141" s="154">
        <v>0</v>
      </c>
      <c r="M141" s="155">
        <v>0</v>
      </c>
      <c r="N141" s="154">
        <v>0</v>
      </c>
      <c r="O141" s="154">
        <v>0</v>
      </c>
      <c r="P141" s="154">
        <v>0</v>
      </c>
      <c r="Q141" s="154">
        <v>0</v>
      </c>
      <c r="R141" s="156">
        <v>0</v>
      </c>
      <c r="S141" s="156">
        <v>0</v>
      </c>
      <c r="T141" s="156">
        <v>0</v>
      </c>
      <c r="U141" s="156">
        <f t="shared" si="5"/>
        <v>150</v>
      </c>
    </row>
    <row r="142" spans="1:21" ht="18" hidden="1" customHeight="1">
      <c r="A142" s="153">
        <f t="shared" si="4"/>
        <v>141</v>
      </c>
      <c r="B142" s="153" t="s">
        <v>312</v>
      </c>
      <c r="C142" s="153" t="str">
        <f>VLOOKUP(B142,MEMBERS!B:C,2, )</f>
        <v>GM GHULAM DASTAGEER</v>
      </c>
      <c r="D142" s="162">
        <v>46002</v>
      </c>
      <c r="E142" s="154">
        <v>0</v>
      </c>
      <c r="F142" s="154">
        <v>150</v>
      </c>
      <c r="G142" s="154">
        <v>0</v>
      </c>
      <c r="H142" s="154">
        <v>0</v>
      </c>
      <c r="I142" s="154">
        <v>0</v>
      </c>
      <c r="J142" s="154">
        <v>0</v>
      </c>
      <c r="K142" s="154">
        <v>0</v>
      </c>
      <c r="L142" s="154">
        <v>0</v>
      </c>
      <c r="M142" s="155">
        <v>0</v>
      </c>
      <c r="N142" s="154">
        <v>0</v>
      </c>
      <c r="O142" s="154">
        <v>0</v>
      </c>
      <c r="P142" s="154">
        <v>0</v>
      </c>
      <c r="Q142" s="154">
        <v>0</v>
      </c>
      <c r="R142" s="156">
        <v>0</v>
      </c>
      <c r="S142" s="156">
        <v>0</v>
      </c>
      <c r="T142" s="156">
        <v>0</v>
      </c>
      <c r="U142" s="156">
        <f t="shared" si="5"/>
        <v>150</v>
      </c>
    </row>
    <row r="143" spans="1:21" ht="18" hidden="1" customHeight="1">
      <c r="A143" s="153">
        <f t="shared" si="4"/>
        <v>142</v>
      </c>
      <c r="B143" s="153" t="s">
        <v>69</v>
      </c>
      <c r="C143" s="153" t="str">
        <f>VLOOKUP(B143,MEMBERS!B:C,2, )</f>
        <v>MR.TARIQUE ZUBAIR</v>
      </c>
      <c r="D143" s="162">
        <v>46002</v>
      </c>
      <c r="E143" s="154">
        <v>0</v>
      </c>
      <c r="F143" s="154">
        <v>150</v>
      </c>
      <c r="G143" s="154">
        <v>0</v>
      </c>
      <c r="H143" s="154">
        <v>0</v>
      </c>
      <c r="I143" s="154">
        <v>0</v>
      </c>
      <c r="J143" s="154">
        <v>0</v>
      </c>
      <c r="K143" s="154">
        <v>0</v>
      </c>
      <c r="L143" s="154">
        <v>0</v>
      </c>
      <c r="M143" s="155">
        <v>0</v>
      </c>
      <c r="N143" s="154">
        <v>0</v>
      </c>
      <c r="O143" s="154">
        <v>0</v>
      </c>
      <c r="P143" s="154">
        <v>0</v>
      </c>
      <c r="Q143" s="154">
        <v>0</v>
      </c>
      <c r="R143" s="156">
        <v>0</v>
      </c>
      <c r="S143" s="156">
        <v>0</v>
      </c>
      <c r="T143" s="156">
        <v>0</v>
      </c>
      <c r="U143" s="156">
        <f t="shared" si="5"/>
        <v>150</v>
      </c>
    </row>
    <row r="144" spans="1:21" ht="18" hidden="1" customHeight="1">
      <c r="A144" s="153">
        <f t="shared" si="4"/>
        <v>143</v>
      </c>
      <c r="B144" s="153" t="s">
        <v>217</v>
      </c>
      <c r="C144" s="153" t="str">
        <f>VLOOKUP(B144,MEMBERS!B:C,2, )</f>
        <v>MR.ZAIN FAROOQ</v>
      </c>
      <c r="D144" s="162">
        <v>46002</v>
      </c>
      <c r="E144" s="154">
        <v>0</v>
      </c>
      <c r="F144" s="154">
        <v>150</v>
      </c>
      <c r="G144" s="154">
        <v>0</v>
      </c>
      <c r="H144" s="154">
        <v>0</v>
      </c>
      <c r="I144" s="154">
        <v>0</v>
      </c>
      <c r="J144" s="154">
        <v>0</v>
      </c>
      <c r="K144" s="154">
        <v>0</v>
      </c>
      <c r="L144" s="154">
        <v>0</v>
      </c>
      <c r="M144" s="155">
        <v>0</v>
      </c>
      <c r="N144" s="154">
        <v>0</v>
      </c>
      <c r="O144" s="154">
        <v>0</v>
      </c>
      <c r="P144" s="154">
        <v>0</v>
      </c>
      <c r="Q144" s="154">
        <v>0</v>
      </c>
      <c r="R144" s="156">
        <v>0</v>
      </c>
      <c r="S144" s="156">
        <v>0</v>
      </c>
      <c r="T144" s="156">
        <v>0</v>
      </c>
      <c r="U144" s="156">
        <f t="shared" si="5"/>
        <v>150</v>
      </c>
    </row>
    <row r="145" spans="1:21" ht="18" hidden="1" customHeight="1">
      <c r="A145" s="153">
        <f t="shared" si="4"/>
        <v>144</v>
      </c>
      <c r="B145" s="153" t="s">
        <v>359</v>
      </c>
      <c r="C145" s="153" t="str">
        <f>VLOOKUP(B145,MEMBERS!B:C,2, )</f>
        <v>DR.NASEEM MUNSHI</v>
      </c>
      <c r="D145" s="162">
        <v>46002</v>
      </c>
      <c r="E145" s="154">
        <v>0</v>
      </c>
      <c r="F145" s="154">
        <v>150</v>
      </c>
      <c r="G145" s="154">
        <v>0</v>
      </c>
      <c r="H145" s="154">
        <v>0</v>
      </c>
      <c r="I145" s="154">
        <v>0</v>
      </c>
      <c r="J145" s="154">
        <v>0</v>
      </c>
      <c r="K145" s="154">
        <v>0</v>
      </c>
      <c r="L145" s="154">
        <v>0</v>
      </c>
      <c r="M145" s="155">
        <v>0</v>
      </c>
      <c r="N145" s="154">
        <v>0</v>
      </c>
      <c r="O145" s="154">
        <v>0</v>
      </c>
      <c r="P145" s="154">
        <v>0</v>
      </c>
      <c r="Q145" s="154">
        <v>0</v>
      </c>
      <c r="R145" s="156">
        <v>0</v>
      </c>
      <c r="S145" s="156">
        <v>0</v>
      </c>
      <c r="T145" s="156">
        <v>0</v>
      </c>
      <c r="U145" s="156">
        <f t="shared" si="5"/>
        <v>150</v>
      </c>
    </row>
    <row r="146" spans="1:21" ht="18" hidden="1" customHeight="1">
      <c r="A146" s="153">
        <f t="shared" si="4"/>
        <v>145</v>
      </c>
      <c r="B146" s="153" t="s">
        <v>155</v>
      </c>
      <c r="C146" s="153" t="str">
        <f>VLOOKUP(B146,MEMBERS!B:C,2, )</f>
        <v>MR.PIR MUJEEB JAN SARHANDI</v>
      </c>
      <c r="D146" s="162">
        <v>46002</v>
      </c>
      <c r="E146" s="154">
        <v>0</v>
      </c>
      <c r="F146" s="154">
        <v>150</v>
      </c>
      <c r="G146" s="154">
        <v>0</v>
      </c>
      <c r="H146" s="154">
        <v>0</v>
      </c>
      <c r="I146" s="154">
        <v>0</v>
      </c>
      <c r="J146" s="154">
        <v>0</v>
      </c>
      <c r="K146" s="154">
        <v>0</v>
      </c>
      <c r="L146" s="154">
        <v>0</v>
      </c>
      <c r="M146" s="155">
        <v>0</v>
      </c>
      <c r="N146" s="154">
        <v>0</v>
      </c>
      <c r="O146" s="154">
        <v>0</v>
      </c>
      <c r="P146" s="154">
        <v>0</v>
      </c>
      <c r="Q146" s="154">
        <v>0</v>
      </c>
      <c r="R146" s="156">
        <v>0</v>
      </c>
      <c r="S146" s="156">
        <v>0</v>
      </c>
      <c r="T146" s="156">
        <v>0</v>
      </c>
      <c r="U146" s="156">
        <f t="shared" si="5"/>
        <v>150</v>
      </c>
    </row>
    <row r="147" spans="1:21" ht="18" hidden="1" customHeight="1">
      <c r="A147" s="153">
        <f t="shared" si="4"/>
        <v>146</v>
      </c>
      <c r="B147" s="153" t="s">
        <v>948</v>
      </c>
      <c r="C147" s="153" t="str">
        <f>VLOOKUP(B147,MEMBERS!B:C,2, )</f>
        <v>MR. TEHSEEN FAIZ</v>
      </c>
      <c r="D147" s="162">
        <v>46002</v>
      </c>
      <c r="E147" s="154">
        <v>0</v>
      </c>
      <c r="F147" s="154">
        <v>150</v>
      </c>
      <c r="G147" s="154">
        <v>0</v>
      </c>
      <c r="H147" s="154">
        <v>0</v>
      </c>
      <c r="I147" s="154">
        <v>0</v>
      </c>
      <c r="J147" s="154">
        <v>0</v>
      </c>
      <c r="K147" s="154">
        <v>0</v>
      </c>
      <c r="L147" s="154">
        <v>0</v>
      </c>
      <c r="M147" s="155">
        <v>0</v>
      </c>
      <c r="N147" s="154">
        <v>0</v>
      </c>
      <c r="O147" s="154">
        <v>0</v>
      </c>
      <c r="P147" s="154">
        <v>0</v>
      </c>
      <c r="Q147" s="154">
        <v>0</v>
      </c>
      <c r="R147" s="156">
        <v>0</v>
      </c>
      <c r="S147" s="156">
        <v>0</v>
      </c>
      <c r="T147" s="156">
        <v>0</v>
      </c>
      <c r="U147" s="156">
        <f t="shared" si="5"/>
        <v>150</v>
      </c>
    </row>
    <row r="148" spans="1:21" ht="18" hidden="1" customHeight="1">
      <c r="A148" s="153">
        <f t="shared" si="4"/>
        <v>147</v>
      </c>
      <c r="B148" s="153" t="s">
        <v>197</v>
      </c>
      <c r="C148" s="153" t="str">
        <f>VLOOKUP(B148,MEMBERS!B:C,2, )</f>
        <v>MR.MUHAMMAD ATIF USMANI</v>
      </c>
      <c r="D148" s="162">
        <v>46002</v>
      </c>
      <c r="E148" s="154">
        <v>0</v>
      </c>
      <c r="F148" s="154">
        <v>150</v>
      </c>
      <c r="G148" s="154">
        <v>0</v>
      </c>
      <c r="H148" s="154">
        <v>0</v>
      </c>
      <c r="I148" s="154">
        <v>0</v>
      </c>
      <c r="J148" s="154">
        <v>0</v>
      </c>
      <c r="K148" s="154">
        <v>0</v>
      </c>
      <c r="L148" s="154">
        <v>0</v>
      </c>
      <c r="M148" s="155">
        <v>0</v>
      </c>
      <c r="N148" s="154">
        <v>0</v>
      </c>
      <c r="O148" s="154">
        <v>0</v>
      </c>
      <c r="P148" s="154">
        <v>0</v>
      </c>
      <c r="Q148" s="154">
        <v>0</v>
      </c>
      <c r="R148" s="156">
        <v>0</v>
      </c>
      <c r="S148" s="156">
        <v>0</v>
      </c>
      <c r="T148" s="156">
        <v>0</v>
      </c>
      <c r="U148" s="156">
        <f t="shared" si="5"/>
        <v>150</v>
      </c>
    </row>
    <row r="149" spans="1:21" ht="18" hidden="1" customHeight="1">
      <c r="A149" s="153">
        <f t="shared" si="4"/>
        <v>148</v>
      </c>
      <c r="B149" s="153" t="s">
        <v>263</v>
      </c>
      <c r="C149" s="153" t="str">
        <f>VLOOKUP(B149,MEMBERS!B:C,2, )</f>
        <v>MR.CAREL HEDRIK BURGER</v>
      </c>
      <c r="D149" s="162">
        <v>46002</v>
      </c>
      <c r="E149" s="154">
        <v>0</v>
      </c>
      <c r="F149" s="154">
        <v>0</v>
      </c>
      <c r="G149" s="154">
        <v>0</v>
      </c>
      <c r="H149" s="154">
        <v>0</v>
      </c>
      <c r="I149" s="154">
        <v>0</v>
      </c>
      <c r="J149" s="154">
        <v>0</v>
      </c>
      <c r="K149" s="154">
        <v>0</v>
      </c>
      <c r="L149" s="154">
        <v>0</v>
      </c>
      <c r="M149" s="155">
        <v>0</v>
      </c>
      <c r="N149" s="154">
        <v>0</v>
      </c>
      <c r="O149" s="154">
        <v>0</v>
      </c>
      <c r="P149" s="154">
        <v>12000</v>
      </c>
      <c r="Q149" s="154">
        <v>0</v>
      </c>
      <c r="R149" s="156">
        <v>0</v>
      </c>
      <c r="S149" s="156">
        <v>0</v>
      </c>
      <c r="T149" s="156">
        <v>0</v>
      </c>
      <c r="U149" s="156">
        <f t="shared" si="5"/>
        <v>12000</v>
      </c>
    </row>
    <row r="150" spans="1:21" ht="18" hidden="1" customHeight="1">
      <c r="A150" s="153">
        <f t="shared" si="4"/>
        <v>149</v>
      </c>
      <c r="B150" s="153" t="s">
        <v>15</v>
      </c>
      <c r="C150" s="153" t="str">
        <f>VLOOKUP(B150,MEMBERS!B:C,2, )</f>
        <v>MR.GHULAM NABI OTHI</v>
      </c>
      <c r="D150" s="162">
        <v>46002</v>
      </c>
      <c r="E150" s="154">
        <v>0</v>
      </c>
      <c r="F150" s="154">
        <v>0</v>
      </c>
      <c r="G150" s="154">
        <v>0</v>
      </c>
      <c r="H150" s="154">
        <v>0</v>
      </c>
      <c r="I150" s="154">
        <v>0</v>
      </c>
      <c r="J150" s="154">
        <v>0</v>
      </c>
      <c r="K150" s="154">
        <v>0</v>
      </c>
      <c r="L150" s="154">
        <v>0</v>
      </c>
      <c r="M150" s="155">
        <v>0</v>
      </c>
      <c r="N150" s="154">
        <v>0</v>
      </c>
      <c r="O150" s="154">
        <v>0</v>
      </c>
      <c r="P150" s="154">
        <v>0</v>
      </c>
      <c r="Q150" s="154">
        <v>0</v>
      </c>
      <c r="R150" s="156">
        <v>0</v>
      </c>
      <c r="S150" s="156">
        <v>5000</v>
      </c>
      <c r="T150" s="156">
        <v>0</v>
      </c>
      <c r="U150" s="156">
        <f t="shared" si="5"/>
        <v>5000</v>
      </c>
    </row>
    <row r="151" spans="1:21" ht="18" hidden="1" customHeight="1">
      <c r="A151" s="153">
        <f t="shared" si="4"/>
        <v>150</v>
      </c>
      <c r="B151" s="153" t="s">
        <v>762</v>
      </c>
      <c r="C151" s="153" t="str">
        <f>VLOOKUP(B151,MEMBERS!B:C,2, )</f>
        <v>MR. KASHIF SAEED</v>
      </c>
      <c r="D151" s="162">
        <v>46003</v>
      </c>
      <c r="E151" s="154">
        <v>0</v>
      </c>
      <c r="F151" s="154">
        <v>0</v>
      </c>
      <c r="G151" s="154">
        <v>0</v>
      </c>
      <c r="H151" s="154">
        <v>0</v>
      </c>
      <c r="I151" s="154">
        <v>0</v>
      </c>
      <c r="J151" s="154">
        <f>300+500*2</f>
        <v>1300</v>
      </c>
      <c r="K151" s="154">
        <v>0</v>
      </c>
      <c r="L151" s="154">
        <v>0</v>
      </c>
      <c r="M151" s="155">
        <v>0</v>
      </c>
      <c r="N151" s="154">
        <v>0</v>
      </c>
      <c r="O151" s="154">
        <v>0</v>
      </c>
      <c r="P151" s="154">
        <v>0</v>
      </c>
      <c r="Q151" s="154">
        <v>0</v>
      </c>
      <c r="R151" s="156">
        <v>0</v>
      </c>
      <c r="S151" s="156">
        <v>0</v>
      </c>
      <c r="T151" s="156">
        <v>0</v>
      </c>
      <c r="U151" s="156">
        <f t="shared" si="5"/>
        <v>1300</v>
      </c>
    </row>
    <row r="152" spans="1:21" ht="18" hidden="1" customHeight="1">
      <c r="A152" s="153">
        <f t="shared" si="4"/>
        <v>151</v>
      </c>
      <c r="B152" s="153" t="s">
        <v>113</v>
      </c>
      <c r="C152" s="153" t="str">
        <f>VLOOKUP(B152,MEMBERS!B:C,2, )</f>
        <v>MR.MANOJ KUMAR</v>
      </c>
      <c r="D152" s="162">
        <v>46003</v>
      </c>
      <c r="E152" s="154">
        <v>0</v>
      </c>
      <c r="F152" s="154">
        <v>0</v>
      </c>
      <c r="G152" s="154">
        <v>0</v>
      </c>
      <c r="H152" s="154">
        <v>0</v>
      </c>
      <c r="I152" s="154">
        <v>0</v>
      </c>
      <c r="J152" s="154">
        <f>300*2+500*4</f>
        <v>2600</v>
      </c>
      <c r="K152" s="154">
        <v>0</v>
      </c>
      <c r="L152" s="154">
        <v>0</v>
      </c>
      <c r="M152" s="155">
        <v>0</v>
      </c>
      <c r="N152" s="154">
        <v>0</v>
      </c>
      <c r="O152" s="154">
        <v>0</v>
      </c>
      <c r="P152" s="154">
        <v>0</v>
      </c>
      <c r="Q152" s="154">
        <v>0</v>
      </c>
      <c r="R152" s="156">
        <v>0</v>
      </c>
      <c r="S152" s="156">
        <v>0</v>
      </c>
      <c r="T152" s="156">
        <v>0</v>
      </c>
      <c r="U152" s="156">
        <f t="shared" si="5"/>
        <v>2600</v>
      </c>
    </row>
    <row r="153" spans="1:21" ht="18" hidden="1" customHeight="1">
      <c r="A153" s="153">
        <f t="shared" si="4"/>
        <v>152</v>
      </c>
      <c r="B153" s="153" t="s">
        <v>376</v>
      </c>
      <c r="C153" s="153" t="str">
        <f>VLOOKUP(B153,MEMBERS!B:C,2, )</f>
        <v>KHURRAM FIRDOUS</v>
      </c>
      <c r="D153" s="162">
        <v>46003</v>
      </c>
      <c r="E153" s="154">
        <v>0</v>
      </c>
      <c r="F153" s="154">
        <v>0</v>
      </c>
      <c r="G153" s="154">
        <v>0</v>
      </c>
      <c r="H153" s="154">
        <v>0</v>
      </c>
      <c r="I153" s="154">
        <v>0</v>
      </c>
      <c r="J153" s="154">
        <f>300*3+500*2</f>
        <v>1900</v>
      </c>
      <c r="K153" s="154">
        <v>0</v>
      </c>
      <c r="L153" s="154">
        <v>0</v>
      </c>
      <c r="M153" s="155">
        <v>0</v>
      </c>
      <c r="N153" s="154">
        <v>0</v>
      </c>
      <c r="O153" s="154">
        <v>0</v>
      </c>
      <c r="P153" s="154">
        <v>0</v>
      </c>
      <c r="Q153" s="154">
        <v>0</v>
      </c>
      <c r="R153" s="156">
        <v>0</v>
      </c>
      <c r="S153" s="156">
        <v>0</v>
      </c>
      <c r="T153" s="156">
        <v>0</v>
      </c>
      <c r="U153" s="156">
        <f t="shared" si="5"/>
        <v>1900</v>
      </c>
    </row>
    <row r="154" spans="1:21" ht="18" hidden="1" customHeight="1">
      <c r="A154" s="153">
        <f t="shared" si="4"/>
        <v>153</v>
      </c>
      <c r="B154" s="153" t="s">
        <v>273</v>
      </c>
      <c r="C154" s="153" t="str">
        <f>VLOOKUP(B154,MEMBERS!B:C,2, )</f>
        <v>MR.SYED MURTAZA ALI</v>
      </c>
      <c r="D154" s="162">
        <v>46003</v>
      </c>
      <c r="E154" s="154">
        <v>0</v>
      </c>
      <c r="F154" s="154">
        <v>0</v>
      </c>
      <c r="G154" s="154">
        <v>150</v>
      </c>
      <c r="H154" s="154">
        <v>0</v>
      </c>
      <c r="I154" s="154">
        <v>0</v>
      </c>
      <c r="J154" s="154">
        <v>0</v>
      </c>
      <c r="K154" s="154">
        <v>0</v>
      </c>
      <c r="L154" s="154">
        <v>0</v>
      </c>
      <c r="M154" s="155">
        <v>0</v>
      </c>
      <c r="N154" s="154">
        <v>0</v>
      </c>
      <c r="O154" s="154">
        <v>0</v>
      </c>
      <c r="P154" s="154">
        <v>0</v>
      </c>
      <c r="Q154" s="154">
        <v>0</v>
      </c>
      <c r="R154" s="156">
        <v>0</v>
      </c>
      <c r="S154" s="156">
        <v>0</v>
      </c>
      <c r="T154" s="156">
        <v>0</v>
      </c>
      <c r="U154" s="156">
        <f t="shared" si="5"/>
        <v>150</v>
      </c>
    </row>
    <row r="155" spans="1:21" ht="18" hidden="1" customHeight="1">
      <c r="A155" s="153">
        <f t="shared" si="4"/>
        <v>154</v>
      </c>
      <c r="B155" s="153" t="s">
        <v>1053</v>
      </c>
      <c r="C155" s="153" t="str">
        <f>VLOOKUP(B155,MEMBERS!B:C,2, )</f>
        <v>MR. ZAMIR ALI SHAH</v>
      </c>
      <c r="D155" s="162">
        <v>46003</v>
      </c>
      <c r="E155" s="154">
        <f>300+600*4</f>
        <v>2700</v>
      </c>
      <c r="F155" s="154">
        <v>0</v>
      </c>
      <c r="G155" s="154">
        <v>0</v>
      </c>
      <c r="H155" s="154">
        <v>0</v>
      </c>
      <c r="I155" s="154">
        <v>0</v>
      </c>
      <c r="J155" s="154">
        <v>0</v>
      </c>
      <c r="K155" s="154">
        <v>0</v>
      </c>
      <c r="L155" s="154">
        <v>0</v>
      </c>
      <c r="M155" s="155">
        <v>0</v>
      </c>
      <c r="N155" s="154">
        <v>0</v>
      </c>
      <c r="O155" s="154">
        <v>0</v>
      </c>
      <c r="P155" s="154">
        <v>0</v>
      </c>
      <c r="Q155" s="154">
        <v>0</v>
      </c>
      <c r="R155" s="156">
        <v>0</v>
      </c>
      <c r="S155" s="156">
        <v>0</v>
      </c>
      <c r="T155" s="156">
        <v>0</v>
      </c>
      <c r="U155" s="156">
        <f t="shared" si="5"/>
        <v>2700</v>
      </c>
    </row>
    <row r="156" spans="1:21" ht="18" hidden="1" customHeight="1">
      <c r="A156" s="153">
        <f t="shared" si="4"/>
        <v>155</v>
      </c>
      <c r="B156" s="153" t="s">
        <v>54</v>
      </c>
      <c r="C156" s="153" t="str">
        <f>VLOOKUP(B156,MEMBERS!B:C,2, )</f>
        <v>MR.ZEESHAN IQBAL</v>
      </c>
      <c r="D156" s="162">
        <v>46003</v>
      </c>
      <c r="E156" s="154">
        <v>0</v>
      </c>
      <c r="F156" s="154">
        <f>150*2</f>
        <v>300</v>
      </c>
      <c r="G156" s="154">
        <v>0</v>
      </c>
      <c r="H156" s="154">
        <v>0</v>
      </c>
      <c r="I156" s="154">
        <v>0</v>
      </c>
      <c r="J156" s="154">
        <v>0</v>
      </c>
      <c r="K156" s="154">
        <v>0</v>
      </c>
      <c r="L156" s="154">
        <v>0</v>
      </c>
      <c r="M156" s="155">
        <v>0</v>
      </c>
      <c r="N156" s="154">
        <v>0</v>
      </c>
      <c r="O156" s="154">
        <v>0</v>
      </c>
      <c r="P156" s="154">
        <v>0</v>
      </c>
      <c r="Q156" s="154">
        <v>0</v>
      </c>
      <c r="R156" s="156">
        <v>0</v>
      </c>
      <c r="S156" s="156">
        <v>0</v>
      </c>
      <c r="T156" s="156">
        <v>0</v>
      </c>
      <c r="U156" s="156">
        <f t="shared" si="5"/>
        <v>300</v>
      </c>
    </row>
    <row r="157" spans="1:21" ht="18" hidden="1" customHeight="1">
      <c r="A157" s="153">
        <f t="shared" si="4"/>
        <v>156</v>
      </c>
      <c r="B157" s="153" t="s">
        <v>650</v>
      </c>
      <c r="C157" s="153" t="str">
        <f>VLOOKUP(B157,MEMBERS!B:C,2, )</f>
        <v>SHAHBAZ AHMED</v>
      </c>
      <c r="D157" s="162">
        <v>46003</v>
      </c>
      <c r="E157" s="154">
        <v>0</v>
      </c>
      <c r="F157" s="154">
        <v>300</v>
      </c>
      <c r="G157" s="154">
        <v>0</v>
      </c>
      <c r="H157" s="154">
        <v>0</v>
      </c>
      <c r="I157" s="154">
        <v>0</v>
      </c>
      <c r="J157" s="154">
        <v>0</v>
      </c>
      <c r="K157" s="154">
        <v>0</v>
      </c>
      <c r="L157" s="154">
        <v>0</v>
      </c>
      <c r="M157" s="155">
        <v>0</v>
      </c>
      <c r="N157" s="154">
        <v>0</v>
      </c>
      <c r="O157" s="154">
        <v>0</v>
      </c>
      <c r="P157" s="154">
        <v>0</v>
      </c>
      <c r="Q157" s="154">
        <v>0</v>
      </c>
      <c r="R157" s="156">
        <v>0</v>
      </c>
      <c r="S157" s="156">
        <v>0</v>
      </c>
      <c r="T157" s="156">
        <v>0</v>
      </c>
      <c r="U157" s="156">
        <f t="shared" si="5"/>
        <v>300</v>
      </c>
    </row>
    <row r="158" spans="1:21" ht="18" hidden="1" customHeight="1">
      <c r="A158" s="153">
        <f t="shared" si="4"/>
        <v>157</v>
      </c>
      <c r="B158" s="153" t="s">
        <v>217</v>
      </c>
      <c r="C158" s="153" t="str">
        <f>VLOOKUP(B158,MEMBERS!B:C,2, )</f>
        <v>MR.ZAIN FAROOQ</v>
      </c>
      <c r="D158" s="162">
        <v>46003</v>
      </c>
      <c r="E158" s="154">
        <v>0</v>
      </c>
      <c r="F158" s="154">
        <v>150</v>
      </c>
      <c r="G158" s="154">
        <v>0</v>
      </c>
      <c r="H158" s="154">
        <v>0</v>
      </c>
      <c r="I158" s="154">
        <v>0</v>
      </c>
      <c r="J158" s="154">
        <v>0</v>
      </c>
      <c r="K158" s="154">
        <v>0</v>
      </c>
      <c r="L158" s="154">
        <v>0</v>
      </c>
      <c r="M158" s="155">
        <v>0</v>
      </c>
      <c r="N158" s="154">
        <v>0</v>
      </c>
      <c r="O158" s="154">
        <v>0</v>
      </c>
      <c r="P158" s="154">
        <v>0</v>
      </c>
      <c r="Q158" s="154">
        <v>0</v>
      </c>
      <c r="R158" s="156">
        <v>0</v>
      </c>
      <c r="S158" s="156">
        <v>0</v>
      </c>
      <c r="T158" s="156">
        <v>0</v>
      </c>
      <c r="U158" s="156">
        <f t="shared" si="5"/>
        <v>150</v>
      </c>
    </row>
    <row r="159" spans="1:21" ht="18" hidden="1" customHeight="1">
      <c r="A159" s="153">
        <f t="shared" si="4"/>
        <v>158</v>
      </c>
      <c r="B159" s="153" t="s">
        <v>756</v>
      </c>
      <c r="C159" s="153" t="e">
        <f>VLOOKUP(B159,MEMBERS!B:C,2, )</f>
        <v>#N/A</v>
      </c>
      <c r="D159" s="162">
        <v>46003</v>
      </c>
      <c r="E159" s="154">
        <v>0</v>
      </c>
      <c r="F159" s="154">
        <v>150</v>
      </c>
      <c r="G159" s="154">
        <v>0</v>
      </c>
      <c r="H159" s="154">
        <v>0</v>
      </c>
      <c r="I159" s="154">
        <v>0</v>
      </c>
      <c r="J159" s="154">
        <v>0</v>
      </c>
      <c r="K159" s="154">
        <v>0</v>
      </c>
      <c r="L159" s="154">
        <v>0</v>
      </c>
      <c r="M159" s="155">
        <v>0</v>
      </c>
      <c r="N159" s="154">
        <v>0</v>
      </c>
      <c r="O159" s="154">
        <v>0</v>
      </c>
      <c r="P159" s="154">
        <v>0</v>
      </c>
      <c r="Q159" s="154">
        <v>0</v>
      </c>
      <c r="R159" s="156">
        <v>0</v>
      </c>
      <c r="S159" s="156">
        <v>150000</v>
      </c>
      <c r="T159" s="156">
        <v>0</v>
      </c>
      <c r="U159" s="156">
        <f t="shared" ref="U159" si="6">SUM(E159:T159)</f>
        <v>150150</v>
      </c>
    </row>
    <row r="160" spans="1:21" ht="18" hidden="1" customHeight="1">
      <c r="A160" s="153">
        <f t="shared" si="4"/>
        <v>159</v>
      </c>
      <c r="B160" s="153" t="s">
        <v>10</v>
      </c>
      <c r="C160" s="153" t="str">
        <f>VLOOKUP(B160,MEMBERS!B:C,2, )</f>
        <v>MR. JABIR SHAHZAD</v>
      </c>
      <c r="D160" s="162">
        <v>46003</v>
      </c>
      <c r="E160" s="154">
        <v>0</v>
      </c>
      <c r="F160" s="154">
        <v>150</v>
      </c>
      <c r="G160" s="154">
        <v>0</v>
      </c>
      <c r="H160" s="154">
        <v>0</v>
      </c>
      <c r="I160" s="154">
        <v>0</v>
      </c>
      <c r="J160" s="154">
        <v>0</v>
      </c>
      <c r="K160" s="154">
        <v>0</v>
      </c>
      <c r="L160" s="154">
        <v>0</v>
      </c>
      <c r="M160" s="155">
        <v>0</v>
      </c>
      <c r="N160" s="154">
        <v>0</v>
      </c>
      <c r="O160" s="154">
        <v>0</v>
      </c>
      <c r="P160" s="154">
        <v>0</v>
      </c>
      <c r="Q160" s="154">
        <v>0</v>
      </c>
      <c r="R160" s="156">
        <v>0</v>
      </c>
      <c r="S160" s="156">
        <v>0</v>
      </c>
      <c r="T160" s="156">
        <v>0</v>
      </c>
      <c r="U160" s="156">
        <f t="shared" si="5"/>
        <v>150</v>
      </c>
    </row>
    <row r="161" spans="1:21" ht="18" hidden="1" customHeight="1">
      <c r="A161" s="153">
        <f t="shared" si="4"/>
        <v>160</v>
      </c>
      <c r="B161" s="153" t="s">
        <v>54</v>
      </c>
      <c r="C161" s="153" t="str">
        <f>VLOOKUP(B161,MEMBERS!B:C,2, )</f>
        <v>MR.ZEESHAN IQBAL</v>
      </c>
      <c r="D161" s="162">
        <v>46004</v>
      </c>
      <c r="E161" s="154">
        <v>0</v>
      </c>
      <c r="F161" s="154">
        <f>150*2</f>
        <v>300</v>
      </c>
      <c r="G161" s="154">
        <v>0</v>
      </c>
      <c r="H161" s="154">
        <v>0</v>
      </c>
      <c r="I161" s="154">
        <v>0</v>
      </c>
      <c r="J161" s="154">
        <v>0</v>
      </c>
      <c r="K161" s="154">
        <v>0</v>
      </c>
      <c r="L161" s="154">
        <v>0</v>
      </c>
      <c r="M161" s="155">
        <v>0</v>
      </c>
      <c r="N161" s="154">
        <v>0</v>
      </c>
      <c r="O161" s="154">
        <v>0</v>
      </c>
      <c r="P161" s="154">
        <v>0</v>
      </c>
      <c r="Q161" s="154">
        <v>0</v>
      </c>
      <c r="R161" s="156">
        <v>0</v>
      </c>
      <c r="S161" s="156">
        <v>0</v>
      </c>
      <c r="T161" s="156">
        <v>0</v>
      </c>
      <c r="U161" s="156">
        <f t="shared" si="5"/>
        <v>300</v>
      </c>
    </row>
    <row r="162" spans="1:21" ht="18" hidden="1" customHeight="1">
      <c r="A162" s="153">
        <f t="shared" si="4"/>
        <v>161</v>
      </c>
      <c r="B162" s="153" t="s">
        <v>98</v>
      </c>
      <c r="C162" s="153" t="str">
        <f>VLOOKUP(B162,MEMBERS!B:C,2, )</f>
        <v>MR.HAFEEZ AHMED SIYAL</v>
      </c>
      <c r="D162" s="162">
        <v>46004</v>
      </c>
      <c r="E162" s="154">
        <v>0</v>
      </c>
      <c r="F162" s="154">
        <v>150</v>
      </c>
      <c r="G162" s="154">
        <v>0</v>
      </c>
      <c r="H162" s="154">
        <v>0</v>
      </c>
      <c r="I162" s="154">
        <v>0</v>
      </c>
      <c r="J162" s="154">
        <v>0</v>
      </c>
      <c r="K162" s="154">
        <v>0</v>
      </c>
      <c r="L162" s="154">
        <v>0</v>
      </c>
      <c r="M162" s="155">
        <v>0</v>
      </c>
      <c r="N162" s="154">
        <v>0</v>
      </c>
      <c r="O162" s="154">
        <v>0</v>
      </c>
      <c r="P162" s="154">
        <v>0</v>
      </c>
      <c r="Q162" s="154">
        <v>0</v>
      </c>
      <c r="R162" s="156">
        <v>0</v>
      </c>
      <c r="S162" s="156">
        <v>0</v>
      </c>
      <c r="T162" s="156">
        <v>0</v>
      </c>
      <c r="U162" s="156">
        <f t="shared" ref="U162:U213" si="7">SUM(E162:T162)</f>
        <v>150</v>
      </c>
    </row>
    <row r="163" spans="1:21" ht="18" hidden="1" customHeight="1">
      <c r="A163" s="153">
        <f t="shared" si="4"/>
        <v>162</v>
      </c>
      <c r="B163" s="153" t="s">
        <v>426</v>
      </c>
      <c r="C163" s="153" t="str">
        <f>VLOOKUP(B163,MEMBERS!B:C,2, )</f>
        <v>NASIR ABBAS</v>
      </c>
      <c r="D163" s="162">
        <v>46004</v>
      </c>
      <c r="E163" s="154">
        <v>0</v>
      </c>
      <c r="F163" s="154">
        <v>150</v>
      </c>
      <c r="G163" s="154">
        <v>0</v>
      </c>
      <c r="H163" s="154">
        <v>0</v>
      </c>
      <c r="I163" s="154">
        <v>0</v>
      </c>
      <c r="J163" s="154">
        <v>0</v>
      </c>
      <c r="K163" s="154">
        <v>0</v>
      </c>
      <c r="L163" s="154">
        <v>0</v>
      </c>
      <c r="M163" s="155">
        <v>0</v>
      </c>
      <c r="N163" s="154">
        <v>0</v>
      </c>
      <c r="O163" s="154">
        <v>0</v>
      </c>
      <c r="P163" s="154">
        <v>0</v>
      </c>
      <c r="Q163" s="154">
        <v>0</v>
      </c>
      <c r="R163" s="156">
        <v>0</v>
      </c>
      <c r="S163" s="156">
        <v>0</v>
      </c>
      <c r="T163" s="156">
        <v>0</v>
      </c>
      <c r="U163" s="156">
        <f t="shared" si="7"/>
        <v>150</v>
      </c>
    </row>
    <row r="164" spans="1:21" ht="18" hidden="1" customHeight="1">
      <c r="A164" s="153">
        <f t="shared" si="4"/>
        <v>163</v>
      </c>
      <c r="B164" s="153" t="s">
        <v>155</v>
      </c>
      <c r="C164" s="153" t="str">
        <f>VLOOKUP(B164,MEMBERS!B:C,2, )</f>
        <v>MR.PIR MUJEEB JAN SARHANDI</v>
      </c>
      <c r="D164" s="162">
        <v>46004</v>
      </c>
      <c r="E164" s="154">
        <v>0</v>
      </c>
      <c r="F164" s="154">
        <v>150</v>
      </c>
      <c r="G164" s="154">
        <v>0</v>
      </c>
      <c r="H164" s="154">
        <v>0</v>
      </c>
      <c r="I164" s="154">
        <v>0</v>
      </c>
      <c r="J164" s="154">
        <v>0</v>
      </c>
      <c r="K164" s="154">
        <v>0</v>
      </c>
      <c r="L164" s="154">
        <v>0</v>
      </c>
      <c r="M164" s="155">
        <v>0</v>
      </c>
      <c r="N164" s="154">
        <v>0</v>
      </c>
      <c r="O164" s="154">
        <v>0</v>
      </c>
      <c r="P164" s="154">
        <v>0</v>
      </c>
      <c r="Q164" s="154">
        <v>0</v>
      </c>
      <c r="R164" s="156">
        <v>0</v>
      </c>
      <c r="S164" s="156">
        <v>0</v>
      </c>
      <c r="T164" s="156">
        <v>0</v>
      </c>
      <c r="U164" s="156">
        <f t="shared" si="7"/>
        <v>150</v>
      </c>
    </row>
    <row r="165" spans="1:21" ht="18" hidden="1" customHeight="1">
      <c r="A165" s="153">
        <f t="shared" si="4"/>
        <v>164</v>
      </c>
      <c r="B165" s="153" t="s">
        <v>761</v>
      </c>
      <c r="C165" s="153" t="str">
        <f>VLOOKUP(B165,MEMBERS!B:C,2, )</f>
        <v>MR. FAYAZ ALI SOOMRO</v>
      </c>
      <c r="D165" s="162">
        <v>46004</v>
      </c>
      <c r="E165" s="154">
        <v>0</v>
      </c>
      <c r="F165" s="154">
        <v>150</v>
      </c>
      <c r="G165" s="154">
        <v>0</v>
      </c>
      <c r="H165" s="154">
        <v>0</v>
      </c>
      <c r="I165" s="154">
        <v>0</v>
      </c>
      <c r="J165" s="154">
        <v>0</v>
      </c>
      <c r="K165" s="154">
        <v>0</v>
      </c>
      <c r="L165" s="154">
        <v>0</v>
      </c>
      <c r="M165" s="155">
        <v>0</v>
      </c>
      <c r="N165" s="154">
        <v>0</v>
      </c>
      <c r="O165" s="154">
        <v>0</v>
      </c>
      <c r="P165" s="154">
        <v>0</v>
      </c>
      <c r="Q165" s="154">
        <v>0</v>
      </c>
      <c r="R165" s="156">
        <v>0</v>
      </c>
      <c r="S165" s="156">
        <v>0</v>
      </c>
      <c r="T165" s="156">
        <v>0</v>
      </c>
      <c r="U165" s="156">
        <f t="shared" si="7"/>
        <v>150</v>
      </c>
    </row>
    <row r="166" spans="1:21" ht="18" hidden="1" customHeight="1">
      <c r="A166" s="153">
        <f t="shared" si="4"/>
        <v>165</v>
      </c>
      <c r="B166" s="153" t="s">
        <v>373</v>
      </c>
      <c r="C166" s="153" t="str">
        <f>VLOOKUP(B166,MEMBERS!B:C,2, )</f>
        <v>ASIF ASHFAQ</v>
      </c>
      <c r="D166" s="162">
        <v>46004</v>
      </c>
      <c r="E166" s="154">
        <v>0</v>
      </c>
      <c r="F166" s="154">
        <v>150</v>
      </c>
      <c r="G166" s="154">
        <v>0</v>
      </c>
      <c r="H166" s="154">
        <v>0</v>
      </c>
      <c r="I166" s="154">
        <v>0</v>
      </c>
      <c r="J166" s="154">
        <v>0</v>
      </c>
      <c r="K166" s="154">
        <v>0</v>
      </c>
      <c r="L166" s="154">
        <v>0</v>
      </c>
      <c r="M166" s="155">
        <v>0</v>
      </c>
      <c r="N166" s="154">
        <v>0</v>
      </c>
      <c r="O166" s="154">
        <v>0</v>
      </c>
      <c r="P166" s="154">
        <v>0</v>
      </c>
      <c r="Q166" s="154">
        <v>0</v>
      </c>
      <c r="R166" s="156">
        <v>0</v>
      </c>
      <c r="S166" s="156">
        <v>0</v>
      </c>
      <c r="T166" s="156">
        <v>0</v>
      </c>
      <c r="U166" s="156">
        <f t="shared" si="7"/>
        <v>150</v>
      </c>
    </row>
    <row r="167" spans="1:21" ht="18" hidden="1" customHeight="1">
      <c r="A167" s="153">
        <f t="shared" si="4"/>
        <v>166</v>
      </c>
      <c r="B167" s="153" t="s">
        <v>430</v>
      </c>
      <c r="C167" s="153" t="str">
        <f>VLOOKUP(B167,MEMBERS!B:C,2, )</f>
        <v>SYED JIBRAN MUSHTAQ</v>
      </c>
      <c r="D167" s="162">
        <v>46004</v>
      </c>
      <c r="E167" s="154">
        <v>0</v>
      </c>
      <c r="F167" s="154">
        <v>0</v>
      </c>
      <c r="G167" s="154">
        <v>0</v>
      </c>
      <c r="H167" s="154">
        <v>0</v>
      </c>
      <c r="I167" s="154">
        <v>0</v>
      </c>
      <c r="J167" s="154">
        <v>0</v>
      </c>
      <c r="K167" s="154">
        <v>0</v>
      </c>
      <c r="L167" s="154">
        <v>0</v>
      </c>
      <c r="M167" s="155">
        <v>0</v>
      </c>
      <c r="N167" s="154">
        <v>0</v>
      </c>
      <c r="O167" s="154">
        <v>0</v>
      </c>
      <c r="P167" s="154">
        <v>11500</v>
      </c>
      <c r="Q167" s="154">
        <v>0</v>
      </c>
      <c r="R167" s="156">
        <v>0</v>
      </c>
      <c r="S167" s="156">
        <v>0</v>
      </c>
      <c r="T167" s="156">
        <v>0</v>
      </c>
      <c r="U167" s="156">
        <f t="shared" si="7"/>
        <v>11500</v>
      </c>
    </row>
    <row r="168" spans="1:21" ht="18" hidden="1" customHeight="1">
      <c r="A168" s="153">
        <f t="shared" si="4"/>
        <v>167</v>
      </c>
      <c r="B168" s="153" t="s">
        <v>795</v>
      </c>
      <c r="C168" s="153" t="str">
        <f>VLOOKUP(B168,MEMBERS!B:C,2, )</f>
        <v>MR. HASAN KARIM</v>
      </c>
      <c r="D168" s="162">
        <v>46004</v>
      </c>
      <c r="E168" s="154">
        <v>0</v>
      </c>
      <c r="F168" s="154">
        <v>0</v>
      </c>
      <c r="G168" s="154">
        <v>0</v>
      </c>
      <c r="H168" s="154">
        <v>0</v>
      </c>
      <c r="I168" s="154">
        <v>0</v>
      </c>
      <c r="J168" s="154">
        <v>0</v>
      </c>
      <c r="K168" s="154">
        <v>300</v>
      </c>
      <c r="L168" s="154">
        <v>0</v>
      </c>
      <c r="M168" s="155">
        <v>0</v>
      </c>
      <c r="N168" s="154">
        <v>0</v>
      </c>
      <c r="O168" s="154">
        <v>0</v>
      </c>
      <c r="P168" s="154">
        <v>0</v>
      </c>
      <c r="Q168" s="154">
        <v>0</v>
      </c>
      <c r="R168" s="156">
        <v>0</v>
      </c>
      <c r="S168" s="156">
        <v>0</v>
      </c>
      <c r="T168" s="156">
        <v>0</v>
      </c>
      <c r="U168" s="156">
        <f t="shared" si="7"/>
        <v>300</v>
      </c>
    </row>
    <row r="169" spans="1:21" ht="18" hidden="1" customHeight="1">
      <c r="A169" s="153">
        <f t="shared" si="4"/>
        <v>168</v>
      </c>
      <c r="B169" s="153" t="s">
        <v>177</v>
      </c>
      <c r="C169" s="153" t="str">
        <f>VLOOKUP(B169,MEMBERS!B:C,2, )</f>
        <v>MR.QAMARUZZAMAN</v>
      </c>
      <c r="D169" s="162">
        <v>46004</v>
      </c>
      <c r="E169" s="154">
        <f>300*2</f>
        <v>600</v>
      </c>
      <c r="F169" s="154">
        <v>0</v>
      </c>
      <c r="G169" s="154">
        <v>0</v>
      </c>
      <c r="H169" s="154">
        <v>0</v>
      </c>
      <c r="I169" s="154">
        <v>0</v>
      </c>
      <c r="J169" s="154">
        <v>0</v>
      </c>
      <c r="K169" s="154">
        <v>0</v>
      </c>
      <c r="L169" s="154">
        <v>0</v>
      </c>
      <c r="M169" s="155">
        <v>0</v>
      </c>
      <c r="N169" s="154">
        <v>0</v>
      </c>
      <c r="O169" s="154">
        <v>0</v>
      </c>
      <c r="P169" s="154">
        <v>0</v>
      </c>
      <c r="Q169" s="154">
        <v>0</v>
      </c>
      <c r="R169" s="156">
        <v>0</v>
      </c>
      <c r="S169" s="156">
        <v>0</v>
      </c>
      <c r="T169" s="156">
        <v>0</v>
      </c>
      <c r="U169" s="156">
        <f t="shared" si="7"/>
        <v>600</v>
      </c>
    </row>
    <row r="170" spans="1:21" ht="18" hidden="1" customHeight="1">
      <c r="A170" s="153">
        <f t="shared" si="4"/>
        <v>169</v>
      </c>
      <c r="B170" s="153" t="s">
        <v>418</v>
      </c>
      <c r="C170" s="153" t="str">
        <f>VLOOKUP(B170,MEMBERS!B:C,2, )</f>
        <v>ZAIB UR REHMAN</v>
      </c>
      <c r="D170" s="162">
        <v>46004</v>
      </c>
      <c r="E170" s="154">
        <v>0</v>
      </c>
      <c r="F170" s="154">
        <v>0</v>
      </c>
      <c r="G170" s="154">
        <v>0</v>
      </c>
      <c r="H170" s="154">
        <v>0</v>
      </c>
      <c r="I170" s="154">
        <v>0</v>
      </c>
      <c r="J170" s="154">
        <f>300*3</f>
        <v>900</v>
      </c>
      <c r="K170" s="154">
        <v>0</v>
      </c>
      <c r="L170" s="154">
        <v>0</v>
      </c>
      <c r="M170" s="155">
        <v>0</v>
      </c>
      <c r="N170" s="154">
        <v>0</v>
      </c>
      <c r="O170" s="154">
        <v>0</v>
      </c>
      <c r="P170" s="154">
        <v>0</v>
      </c>
      <c r="Q170" s="154">
        <v>0</v>
      </c>
      <c r="R170" s="156">
        <v>0</v>
      </c>
      <c r="S170" s="156">
        <v>0</v>
      </c>
      <c r="T170" s="156">
        <v>0</v>
      </c>
      <c r="U170" s="156">
        <f t="shared" si="7"/>
        <v>900</v>
      </c>
    </row>
    <row r="171" spans="1:21" ht="18" hidden="1" customHeight="1">
      <c r="A171" s="153">
        <f t="shared" si="4"/>
        <v>170</v>
      </c>
      <c r="B171" s="153" t="s">
        <v>1052</v>
      </c>
      <c r="C171" s="153" t="str">
        <f>VLOOKUP(B171,MEMBERS!B:C,2, )</f>
        <v>MR. YASIR RASHEED</v>
      </c>
      <c r="D171" s="162">
        <v>46004</v>
      </c>
      <c r="E171" s="154">
        <v>0</v>
      </c>
      <c r="F171" s="154">
        <v>0</v>
      </c>
      <c r="G171" s="154">
        <v>0</v>
      </c>
      <c r="H171" s="154">
        <v>0</v>
      </c>
      <c r="I171" s="154">
        <v>0</v>
      </c>
      <c r="J171" s="154">
        <f>300*2</f>
        <v>600</v>
      </c>
      <c r="K171" s="154">
        <v>0</v>
      </c>
      <c r="L171" s="154">
        <v>0</v>
      </c>
      <c r="M171" s="155">
        <v>0</v>
      </c>
      <c r="N171" s="154">
        <v>0</v>
      </c>
      <c r="O171" s="154">
        <v>0</v>
      </c>
      <c r="P171" s="154">
        <v>0</v>
      </c>
      <c r="Q171" s="154">
        <v>0</v>
      </c>
      <c r="R171" s="156">
        <v>0</v>
      </c>
      <c r="S171" s="156">
        <v>0</v>
      </c>
      <c r="T171" s="156">
        <v>0</v>
      </c>
      <c r="U171" s="156">
        <f t="shared" si="7"/>
        <v>600</v>
      </c>
    </row>
    <row r="172" spans="1:21" ht="18" hidden="1" customHeight="1">
      <c r="A172" s="153">
        <f t="shared" si="4"/>
        <v>171</v>
      </c>
      <c r="B172" s="153" t="s">
        <v>192</v>
      </c>
      <c r="C172" s="153" t="str">
        <f>VLOOKUP(B172,MEMBERS!B:C,2, )</f>
        <v>MR.HANIF AHSAN ZUBEDI</v>
      </c>
      <c r="D172" s="162">
        <v>46004</v>
      </c>
      <c r="E172" s="154">
        <v>0</v>
      </c>
      <c r="F172" s="154">
        <v>0</v>
      </c>
      <c r="G172" s="154">
        <v>0</v>
      </c>
      <c r="H172" s="154">
        <v>0</v>
      </c>
      <c r="I172" s="154">
        <v>0</v>
      </c>
      <c r="J172" s="154">
        <f>300*2+500</f>
        <v>1100</v>
      </c>
      <c r="K172" s="154">
        <v>0</v>
      </c>
      <c r="L172" s="154">
        <v>0</v>
      </c>
      <c r="M172" s="155">
        <v>0</v>
      </c>
      <c r="N172" s="154">
        <v>0</v>
      </c>
      <c r="O172" s="154">
        <v>0</v>
      </c>
      <c r="P172" s="154">
        <v>0</v>
      </c>
      <c r="Q172" s="154">
        <v>0</v>
      </c>
      <c r="R172" s="156">
        <v>0</v>
      </c>
      <c r="S172" s="156">
        <v>0</v>
      </c>
      <c r="T172" s="156">
        <v>0</v>
      </c>
      <c r="U172" s="156">
        <f t="shared" si="7"/>
        <v>1100</v>
      </c>
    </row>
    <row r="173" spans="1:21" ht="18" hidden="1" customHeight="1">
      <c r="A173" s="153">
        <f t="shared" si="4"/>
        <v>172</v>
      </c>
      <c r="B173" s="153" t="s">
        <v>235</v>
      </c>
      <c r="C173" s="153" t="str">
        <f>VLOOKUP(B173,MEMBERS!B:C,2, )</f>
        <v>MR.IMRAN WAZEER</v>
      </c>
      <c r="D173" s="162">
        <v>46004</v>
      </c>
      <c r="E173" s="154">
        <v>0</v>
      </c>
      <c r="F173" s="154">
        <v>0</v>
      </c>
      <c r="G173" s="154">
        <v>0</v>
      </c>
      <c r="H173" s="154">
        <v>0</v>
      </c>
      <c r="I173" s="154">
        <v>0</v>
      </c>
      <c r="J173" s="154">
        <f>300*3</f>
        <v>900</v>
      </c>
      <c r="K173" s="154">
        <v>0</v>
      </c>
      <c r="L173" s="154">
        <v>0</v>
      </c>
      <c r="M173" s="155">
        <v>0</v>
      </c>
      <c r="N173" s="154">
        <v>0</v>
      </c>
      <c r="O173" s="154">
        <v>0</v>
      </c>
      <c r="P173" s="154">
        <v>0</v>
      </c>
      <c r="Q173" s="154">
        <v>0</v>
      </c>
      <c r="R173" s="156">
        <v>0</v>
      </c>
      <c r="S173" s="156">
        <v>0</v>
      </c>
      <c r="T173" s="156">
        <v>0</v>
      </c>
      <c r="U173" s="156">
        <f t="shared" si="7"/>
        <v>900</v>
      </c>
    </row>
    <row r="174" spans="1:21" ht="18" hidden="1" customHeight="1">
      <c r="A174" s="153">
        <f t="shared" si="4"/>
        <v>173</v>
      </c>
      <c r="B174" s="153" t="s">
        <v>177</v>
      </c>
      <c r="C174" s="153" t="str">
        <f>VLOOKUP(B174,MEMBERS!B:C,2, )</f>
        <v>MR.QAMARUZZAMAN</v>
      </c>
      <c r="D174" s="162">
        <v>46004</v>
      </c>
      <c r="E174" s="154">
        <f>600*2</f>
        <v>1200</v>
      </c>
      <c r="F174" s="154">
        <v>0</v>
      </c>
      <c r="G174" s="154">
        <v>0</v>
      </c>
      <c r="H174" s="154">
        <v>0</v>
      </c>
      <c r="I174" s="154">
        <v>0</v>
      </c>
      <c r="J174" s="154">
        <v>500</v>
      </c>
      <c r="K174" s="154">
        <v>0</v>
      </c>
      <c r="L174" s="154">
        <v>0</v>
      </c>
      <c r="M174" s="155">
        <v>0</v>
      </c>
      <c r="N174" s="154">
        <v>0</v>
      </c>
      <c r="O174" s="154">
        <v>0</v>
      </c>
      <c r="P174" s="154">
        <v>0</v>
      </c>
      <c r="Q174" s="154">
        <v>0</v>
      </c>
      <c r="R174" s="156">
        <v>0</v>
      </c>
      <c r="S174" s="156">
        <v>0</v>
      </c>
      <c r="T174" s="156">
        <v>0</v>
      </c>
      <c r="U174" s="156">
        <f t="shared" si="7"/>
        <v>1700</v>
      </c>
    </row>
    <row r="175" spans="1:21" ht="18" hidden="1" customHeight="1">
      <c r="A175" s="153">
        <f t="shared" si="4"/>
        <v>174</v>
      </c>
      <c r="B175" s="153" t="s">
        <v>1039</v>
      </c>
      <c r="C175" s="153" t="str">
        <f>VLOOKUP(B175,MEMBERS!B:C,2, )</f>
        <v>MR. AYAZ JAMRO</v>
      </c>
      <c r="D175" s="162">
        <v>46004</v>
      </c>
      <c r="E175" s="154">
        <v>0</v>
      </c>
      <c r="F175" s="154">
        <v>0</v>
      </c>
      <c r="G175" s="154">
        <v>0</v>
      </c>
      <c r="H175" s="154">
        <v>0</v>
      </c>
      <c r="I175" s="154">
        <v>0</v>
      </c>
      <c r="J175" s="154">
        <v>0</v>
      </c>
      <c r="K175" s="154">
        <v>0</v>
      </c>
      <c r="L175" s="154">
        <v>0</v>
      </c>
      <c r="M175" s="155">
        <v>0</v>
      </c>
      <c r="N175" s="154">
        <v>0</v>
      </c>
      <c r="O175" s="154">
        <v>0</v>
      </c>
      <c r="P175" s="154">
        <v>0</v>
      </c>
      <c r="Q175" s="154">
        <v>0</v>
      </c>
      <c r="R175" s="156">
        <v>0</v>
      </c>
      <c r="S175" s="156">
        <v>0</v>
      </c>
      <c r="T175" s="156">
        <v>0</v>
      </c>
      <c r="U175" s="156">
        <f t="shared" si="7"/>
        <v>0</v>
      </c>
    </row>
    <row r="176" spans="1:21" ht="18" hidden="1" customHeight="1">
      <c r="A176" s="153">
        <f t="shared" si="4"/>
        <v>175</v>
      </c>
      <c r="B176" s="153" t="s">
        <v>235</v>
      </c>
      <c r="C176" s="153" t="str">
        <f>VLOOKUP(B176,MEMBERS!B:C,2, )</f>
        <v>MR.IMRAN WAZEER</v>
      </c>
      <c r="D176" s="162">
        <v>46004</v>
      </c>
      <c r="E176" s="154">
        <v>0</v>
      </c>
      <c r="F176" s="154">
        <v>0</v>
      </c>
      <c r="G176" s="154">
        <v>0</v>
      </c>
      <c r="H176" s="154">
        <v>0</v>
      </c>
      <c r="I176" s="154">
        <v>0</v>
      </c>
      <c r="J176" s="154">
        <v>0</v>
      </c>
      <c r="K176" s="154">
        <v>0</v>
      </c>
      <c r="L176" s="154">
        <v>0</v>
      </c>
      <c r="M176" s="155">
        <v>0</v>
      </c>
      <c r="N176" s="154">
        <v>0</v>
      </c>
      <c r="O176" s="154">
        <v>0</v>
      </c>
      <c r="P176" s="154">
        <v>0</v>
      </c>
      <c r="Q176" s="154">
        <v>0</v>
      </c>
      <c r="R176" s="156">
        <v>0</v>
      </c>
      <c r="S176" s="156">
        <v>0</v>
      </c>
      <c r="T176" s="156">
        <v>0</v>
      </c>
      <c r="U176" s="156">
        <f t="shared" si="7"/>
        <v>0</v>
      </c>
    </row>
    <row r="177" spans="1:21" ht="18" hidden="1" customHeight="1">
      <c r="A177" s="153">
        <f t="shared" si="4"/>
        <v>176</v>
      </c>
      <c r="B177" s="153" t="s">
        <v>952</v>
      </c>
      <c r="C177" s="153" t="str">
        <f>VLOOKUP(B177,MEMBERS!B:C,2, )</f>
        <v>MRS. HASSAN RAFI</v>
      </c>
      <c r="D177" s="162">
        <v>46004</v>
      </c>
      <c r="E177" s="154">
        <v>0</v>
      </c>
      <c r="F177" s="154">
        <v>0</v>
      </c>
      <c r="G177" s="154">
        <v>0</v>
      </c>
      <c r="H177" s="154">
        <v>0</v>
      </c>
      <c r="I177" s="154">
        <v>0</v>
      </c>
      <c r="J177" s="154">
        <v>0</v>
      </c>
      <c r="K177" s="154">
        <v>0</v>
      </c>
      <c r="L177" s="154">
        <v>0</v>
      </c>
      <c r="M177" s="155">
        <v>0</v>
      </c>
      <c r="N177" s="154">
        <v>0</v>
      </c>
      <c r="O177" s="154">
        <v>0</v>
      </c>
      <c r="P177" s="154">
        <v>0</v>
      </c>
      <c r="Q177" s="154">
        <v>0</v>
      </c>
      <c r="R177" s="156">
        <v>0</v>
      </c>
      <c r="S177" s="156">
        <v>0</v>
      </c>
      <c r="T177" s="156">
        <v>0</v>
      </c>
      <c r="U177" s="156">
        <f t="shared" si="7"/>
        <v>0</v>
      </c>
    </row>
    <row r="178" spans="1:21" ht="18" hidden="1" customHeight="1">
      <c r="A178" s="153">
        <f t="shared" si="4"/>
        <v>177</v>
      </c>
      <c r="B178" s="153" t="s">
        <v>1052</v>
      </c>
      <c r="C178" s="153" t="str">
        <f>VLOOKUP(B178,MEMBERS!B:C,2, )</f>
        <v>MR. YASIR RASHEED</v>
      </c>
      <c r="D178" s="162">
        <v>46004</v>
      </c>
      <c r="E178" s="154">
        <v>0</v>
      </c>
      <c r="F178" s="154">
        <v>0</v>
      </c>
      <c r="G178" s="154">
        <v>0</v>
      </c>
      <c r="H178" s="154">
        <v>0</v>
      </c>
      <c r="I178" s="154">
        <v>0</v>
      </c>
      <c r="J178" s="154">
        <v>0</v>
      </c>
      <c r="K178" s="154">
        <v>0</v>
      </c>
      <c r="L178" s="154">
        <v>0</v>
      </c>
      <c r="M178" s="155">
        <v>0</v>
      </c>
      <c r="N178" s="154">
        <v>0</v>
      </c>
      <c r="O178" s="154">
        <v>0</v>
      </c>
      <c r="P178" s="154">
        <v>0</v>
      </c>
      <c r="Q178" s="154">
        <v>0</v>
      </c>
      <c r="R178" s="156">
        <v>0</v>
      </c>
      <c r="S178" s="156">
        <v>0</v>
      </c>
      <c r="T178" s="156">
        <v>0</v>
      </c>
      <c r="U178" s="156">
        <f t="shared" si="7"/>
        <v>0</v>
      </c>
    </row>
    <row r="179" spans="1:21" ht="18" hidden="1" customHeight="1">
      <c r="A179" s="153">
        <f t="shared" si="4"/>
        <v>178</v>
      </c>
      <c r="B179" s="153" t="s">
        <v>430</v>
      </c>
      <c r="C179" s="153" t="str">
        <f>VLOOKUP(B179,MEMBERS!B:C,2, )</f>
        <v>SYED JIBRAN MUSHTAQ</v>
      </c>
      <c r="D179" s="162">
        <v>46004</v>
      </c>
      <c r="E179" s="154">
        <v>0</v>
      </c>
      <c r="F179" s="154">
        <v>0</v>
      </c>
      <c r="G179" s="154">
        <v>0</v>
      </c>
      <c r="H179" s="154">
        <v>0</v>
      </c>
      <c r="I179" s="154">
        <v>0</v>
      </c>
      <c r="J179" s="154">
        <v>0</v>
      </c>
      <c r="K179" s="154">
        <v>0</v>
      </c>
      <c r="L179" s="154">
        <v>0</v>
      </c>
      <c r="M179" s="155">
        <v>0</v>
      </c>
      <c r="N179" s="154">
        <v>0</v>
      </c>
      <c r="O179" s="154">
        <v>0</v>
      </c>
      <c r="P179" s="154">
        <v>0</v>
      </c>
      <c r="Q179" s="154">
        <v>0</v>
      </c>
      <c r="R179" s="156">
        <v>0</v>
      </c>
      <c r="S179" s="156">
        <v>0</v>
      </c>
      <c r="T179" s="156">
        <v>0</v>
      </c>
      <c r="U179" s="156">
        <f t="shared" si="7"/>
        <v>0</v>
      </c>
    </row>
    <row r="180" spans="1:21" ht="18" hidden="1" customHeight="1">
      <c r="A180" s="153">
        <f t="shared" si="4"/>
        <v>179</v>
      </c>
      <c r="B180" s="153" t="s">
        <v>1073</v>
      </c>
      <c r="C180" s="153" t="str">
        <f>VLOOKUP(B180,MEMBERS!B:C,2, )</f>
        <v>MR. GHULAM MUSTAFA</v>
      </c>
      <c r="D180" s="162">
        <v>46004</v>
      </c>
      <c r="E180" s="154">
        <v>0</v>
      </c>
      <c r="F180" s="154">
        <v>0</v>
      </c>
      <c r="G180" s="154">
        <v>0</v>
      </c>
      <c r="H180" s="154">
        <v>0</v>
      </c>
      <c r="I180" s="154">
        <v>0</v>
      </c>
      <c r="J180" s="154">
        <v>0</v>
      </c>
      <c r="K180" s="154">
        <v>0</v>
      </c>
      <c r="L180" s="154">
        <v>0</v>
      </c>
      <c r="M180" s="155">
        <v>0</v>
      </c>
      <c r="N180" s="154">
        <v>0</v>
      </c>
      <c r="O180" s="154">
        <v>0</v>
      </c>
      <c r="P180" s="154">
        <v>0</v>
      </c>
      <c r="Q180" s="154">
        <v>0</v>
      </c>
      <c r="R180" s="156">
        <v>0</v>
      </c>
      <c r="S180" s="156">
        <v>0</v>
      </c>
      <c r="T180" s="156">
        <v>0</v>
      </c>
      <c r="U180" s="156">
        <f t="shared" si="7"/>
        <v>0</v>
      </c>
    </row>
    <row r="181" spans="1:21" ht="18" hidden="1" customHeight="1">
      <c r="A181" s="153">
        <f t="shared" si="4"/>
        <v>180</v>
      </c>
      <c r="B181" s="153" t="s">
        <v>164</v>
      </c>
      <c r="C181" s="153" t="str">
        <f>VLOOKUP(B181,MEMBERS!B:C,2, )</f>
        <v>MR.ASHOK KUMAR</v>
      </c>
      <c r="D181" s="162">
        <v>46004</v>
      </c>
      <c r="E181" s="154">
        <v>0</v>
      </c>
      <c r="F181" s="154">
        <v>0</v>
      </c>
      <c r="G181" s="154">
        <v>0</v>
      </c>
      <c r="H181" s="154">
        <v>0</v>
      </c>
      <c r="I181" s="154">
        <v>0</v>
      </c>
      <c r="J181" s="154">
        <v>0</v>
      </c>
      <c r="K181" s="154">
        <v>0</v>
      </c>
      <c r="L181" s="154">
        <v>0</v>
      </c>
      <c r="M181" s="155">
        <v>0</v>
      </c>
      <c r="N181" s="154">
        <v>0</v>
      </c>
      <c r="O181" s="154">
        <v>0</v>
      </c>
      <c r="P181" s="154">
        <v>0</v>
      </c>
      <c r="Q181" s="154">
        <v>0</v>
      </c>
      <c r="R181" s="156">
        <v>0</v>
      </c>
      <c r="S181" s="156">
        <v>0</v>
      </c>
      <c r="T181" s="156">
        <v>0</v>
      </c>
      <c r="U181" s="156">
        <f t="shared" si="7"/>
        <v>0</v>
      </c>
    </row>
    <row r="182" spans="1:21" ht="18" hidden="1" customHeight="1">
      <c r="A182" s="153">
        <f t="shared" si="4"/>
        <v>181</v>
      </c>
      <c r="B182" s="153" t="s">
        <v>1006</v>
      </c>
      <c r="C182" s="153" t="str">
        <f>VLOOKUP(B182,MEMBERS!B:C,2, )</f>
        <v>MR. RAJESH KUMAR CHAWLA</v>
      </c>
      <c r="D182" s="162">
        <v>46004</v>
      </c>
      <c r="E182" s="154">
        <v>0</v>
      </c>
      <c r="F182" s="154">
        <v>0</v>
      </c>
      <c r="G182" s="154">
        <v>0</v>
      </c>
      <c r="H182" s="154">
        <v>0</v>
      </c>
      <c r="I182" s="154">
        <v>0</v>
      </c>
      <c r="J182" s="154">
        <v>0</v>
      </c>
      <c r="K182" s="154">
        <v>0</v>
      </c>
      <c r="L182" s="154">
        <v>0</v>
      </c>
      <c r="M182" s="155">
        <v>0</v>
      </c>
      <c r="N182" s="154">
        <v>0</v>
      </c>
      <c r="O182" s="154">
        <v>0</v>
      </c>
      <c r="P182" s="154">
        <v>0</v>
      </c>
      <c r="Q182" s="154">
        <v>0</v>
      </c>
      <c r="R182" s="156">
        <v>0</v>
      </c>
      <c r="S182" s="156">
        <v>0</v>
      </c>
      <c r="T182" s="156">
        <v>0</v>
      </c>
      <c r="U182" s="156">
        <f t="shared" si="7"/>
        <v>0</v>
      </c>
    </row>
    <row r="183" spans="1:21" ht="18" hidden="1" customHeight="1">
      <c r="A183" s="153">
        <f t="shared" si="4"/>
        <v>182</v>
      </c>
      <c r="B183" s="153" t="s">
        <v>1051</v>
      </c>
      <c r="C183" s="153" t="str">
        <f>VLOOKUP(B183,MEMBERS!B:C,2, )</f>
        <v>MR. ZAHIR REHMAN</v>
      </c>
      <c r="D183" s="162">
        <v>46004</v>
      </c>
      <c r="E183" s="154">
        <v>0</v>
      </c>
      <c r="F183" s="154">
        <v>0</v>
      </c>
      <c r="G183" s="154">
        <v>0</v>
      </c>
      <c r="H183" s="154">
        <v>0</v>
      </c>
      <c r="I183" s="154">
        <v>0</v>
      </c>
      <c r="J183" s="154">
        <v>0</v>
      </c>
      <c r="K183" s="154">
        <v>0</v>
      </c>
      <c r="L183" s="154">
        <v>0</v>
      </c>
      <c r="M183" s="155">
        <v>0</v>
      </c>
      <c r="N183" s="154">
        <v>0</v>
      </c>
      <c r="O183" s="154">
        <v>0</v>
      </c>
      <c r="P183" s="154">
        <v>0</v>
      </c>
      <c r="Q183" s="154">
        <v>0</v>
      </c>
      <c r="R183" s="156">
        <v>0</v>
      </c>
      <c r="S183" s="156">
        <v>0</v>
      </c>
      <c r="T183" s="156">
        <v>0</v>
      </c>
      <c r="U183" s="156">
        <f t="shared" si="7"/>
        <v>0</v>
      </c>
    </row>
    <row r="184" spans="1:21" ht="18" hidden="1" customHeight="1">
      <c r="A184" s="153">
        <f t="shared" si="4"/>
        <v>183</v>
      </c>
      <c r="B184" s="153" t="s">
        <v>15</v>
      </c>
      <c r="C184" s="153" t="str">
        <f>VLOOKUP(B184,MEMBERS!B:C,2, )</f>
        <v>MR.GHULAM NABI OTHI</v>
      </c>
      <c r="D184" s="162">
        <v>46004</v>
      </c>
      <c r="E184" s="154">
        <v>0</v>
      </c>
      <c r="F184" s="154">
        <v>0</v>
      </c>
      <c r="G184" s="154">
        <v>0</v>
      </c>
      <c r="H184" s="154">
        <v>0</v>
      </c>
      <c r="I184" s="154">
        <v>0</v>
      </c>
      <c r="J184" s="154">
        <v>0</v>
      </c>
      <c r="K184" s="154">
        <v>0</v>
      </c>
      <c r="L184" s="154">
        <v>0</v>
      </c>
      <c r="M184" s="155">
        <v>0</v>
      </c>
      <c r="N184" s="154">
        <v>0</v>
      </c>
      <c r="O184" s="154">
        <v>0</v>
      </c>
      <c r="P184" s="154">
        <v>0</v>
      </c>
      <c r="Q184" s="154">
        <v>0</v>
      </c>
      <c r="R184" s="156">
        <v>0</v>
      </c>
      <c r="S184" s="156">
        <v>0</v>
      </c>
      <c r="T184" s="156">
        <v>0</v>
      </c>
      <c r="U184" s="156">
        <f t="shared" si="7"/>
        <v>0</v>
      </c>
    </row>
    <row r="185" spans="1:21" ht="18" hidden="1" customHeight="1">
      <c r="A185" s="153">
        <f t="shared" si="4"/>
        <v>184</v>
      </c>
      <c r="B185" s="153" t="s">
        <v>374</v>
      </c>
      <c r="C185" s="153" t="str">
        <f>VLOOKUP(B185,MEMBERS!B:C,2, )</f>
        <v>AAMIR RASOOL</v>
      </c>
      <c r="D185" s="162">
        <v>46004</v>
      </c>
      <c r="E185" s="154">
        <v>0</v>
      </c>
      <c r="F185" s="154">
        <v>0</v>
      </c>
      <c r="G185" s="154">
        <v>0</v>
      </c>
      <c r="H185" s="154">
        <v>0</v>
      </c>
      <c r="I185" s="154">
        <v>0</v>
      </c>
      <c r="J185" s="154">
        <v>0</v>
      </c>
      <c r="K185" s="154">
        <v>0</v>
      </c>
      <c r="L185" s="154">
        <v>0</v>
      </c>
      <c r="M185" s="155">
        <v>0</v>
      </c>
      <c r="N185" s="154">
        <v>0</v>
      </c>
      <c r="O185" s="154">
        <v>0</v>
      </c>
      <c r="P185" s="154">
        <v>0</v>
      </c>
      <c r="Q185" s="154">
        <v>0</v>
      </c>
      <c r="R185" s="156">
        <v>0</v>
      </c>
      <c r="S185" s="156">
        <v>0</v>
      </c>
      <c r="T185" s="156">
        <v>0</v>
      </c>
      <c r="U185" s="156">
        <f t="shared" si="7"/>
        <v>0</v>
      </c>
    </row>
    <row r="186" spans="1:21" ht="18" hidden="1" customHeight="1">
      <c r="A186" s="153">
        <f t="shared" si="4"/>
        <v>185</v>
      </c>
      <c r="B186" s="153" t="s">
        <v>155</v>
      </c>
      <c r="C186" s="153" t="str">
        <f>VLOOKUP(B186,MEMBERS!B:C,2, )</f>
        <v>MR.PIR MUJEEB JAN SARHANDI</v>
      </c>
      <c r="D186" s="162">
        <v>46004</v>
      </c>
      <c r="E186" s="154">
        <v>0</v>
      </c>
      <c r="F186" s="154">
        <v>0</v>
      </c>
      <c r="G186" s="154">
        <v>0</v>
      </c>
      <c r="H186" s="154">
        <v>0</v>
      </c>
      <c r="I186" s="154">
        <v>0</v>
      </c>
      <c r="J186" s="154">
        <v>0</v>
      </c>
      <c r="K186" s="154">
        <v>0</v>
      </c>
      <c r="L186" s="154">
        <v>0</v>
      </c>
      <c r="M186" s="155">
        <v>0</v>
      </c>
      <c r="N186" s="154">
        <v>0</v>
      </c>
      <c r="O186" s="154">
        <v>0</v>
      </c>
      <c r="P186" s="154">
        <v>0</v>
      </c>
      <c r="Q186" s="154">
        <v>0</v>
      </c>
      <c r="R186" s="156">
        <v>0</v>
      </c>
      <c r="S186" s="156">
        <v>0</v>
      </c>
      <c r="T186" s="156">
        <v>0</v>
      </c>
      <c r="U186" s="156">
        <f t="shared" si="7"/>
        <v>0</v>
      </c>
    </row>
    <row r="187" spans="1:21" ht="18" hidden="1" customHeight="1">
      <c r="A187" s="153">
        <f t="shared" si="4"/>
        <v>186</v>
      </c>
      <c r="B187" s="153" t="s">
        <v>88</v>
      </c>
      <c r="C187" s="153" t="str">
        <f>VLOOKUP(B187,MEMBERS!B:C,2, )</f>
        <v>DR.NAZEER HUSSAIN KALHORO</v>
      </c>
      <c r="D187" s="162">
        <v>46004</v>
      </c>
      <c r="E187" s="154">
        <v>0</v>
      </c>
      <c r="F187" s="154">
        <v>0</v>
      </c>
      <c r="G187" s="154">
        <v>0</v>
      </c>
      <c r="H187" s="154">
        <v>0</v>
      </c>
      <c r="I187" s="154">
        <v>0</v>
      </c>
      <c r="J187" s="154">
        <v>0</v>
      </c>
      <c r="K187" s="154">
        <v>0</v>
      </c>
      <c r="L187" s="154">
        <v>0</v>
      </c>
      <c r="M187" s="155">
        <v>0</v>
      </c>
      <c r="N187" s="154">
        <v>0</v>
      </c>
      <c r="O187" s="154">
        <v>0</v>
      </c>
      <c r="P187" s="154">
        <v>0</v>
      </c>
      <c r="Q187" s="154">
        <v>0</v>
      </c>
      <c r="R187" s="156">
        <v>0</v>
      </c>
      <c r="S187" s="156">
        <v>0</v>
      </c>
      <c r="T187" s="156">
        <v>0</v>
      </c>
      <c r="U187" s="156">
        <f t="shared" si="7"/>
        <v>0</v>
      </c>
    </row>
    <row r="188" spans="1:21" ht="18" hidden="1" customHeight="1">
      <c r="A188" s="153">
        <f t="shared" si="4"/>
        <v>187</v>
      </c>
      <c r="B188" s="153" t="s">
        <v>64</v>
      </c>
      <c r="C188" s="153" t="str">
        <f>VLOOKUP(B188,MEMBERS!B:C,2, )</f>
        <v>MR.DILEEP KUMAR</v>
      </c>
      <c r="D188" s="162">
        <v>46004</v>
      </c>
      <c r="E188" s="154">
        <v>0</v>
      </c>
      <c r="F188" s="154">
        <v>0</v>
      </c>
      <c r="G188" s="154">
        <v>0</v>
      </c>
      <c r="H188" s="154">
        <v>0</v>
      </c>
      <c r="I188" s="154">
        <v>0</v>
      </c>
      <c r="J188" s="154">
        <v>0</v>
      </c>
      <c r="K188" s="154">
        <v>0</v>
      </c>
      <c r="L188" s="154">
        <v>0</v>
      </c>
      <c r="M188" s="155">
        <v>0</v>
      </c>
      <c r="N188" s="154">
        <v>0</v>
      </c>
      <c r="O188" s="154">
        <v>0</v>
      </c>
      <c r="P188" s="154">
        <v>0</v>
      </c>
      <c r="Q188" s="154">
        <v>0</v>
      </c>
      <c r="R188" s="156">
        <v>0</v>
      </c>
      <c r="S188" s="156">
        <v>0</v>
      </c>
      <c r="T188" s="156">
        <v>0</v>
      </c>
      <c r="U188" s="156">
        <f t="shared" si="7"/>
        <v>0</v>
      </c>
    </row>
    <row r="189" spans="1:21" ht="18" hidden="1" customHeight="1">
      <c r="A189" s="153">
        <f t="shared" si="4"/>
        <v>188</v>
      </c>
      <c r="B189" s="153" t="s">
        <v>93</v>
      </c>
      <c r="C189" s="153" t="str">
        <f>VLOOKUP(B189,MEMBERS!B:C,2, )</f>
        <v>MR.NIZAM UDDIN NIZAMANI</v>
      </c>
      <c r="D189" s="162">
        <v>46004</v>
      </c>
      <c r="E189" s="154">
        <v>0</v>
      </c>
      <c r="F189" s="154">
        <v>0</v>
      </c>
      <c r="G189" s="154">
        <v>0</v>
      </c>
      <c r="H189" s="154">
        <v>0</v>
      </c>
      <c r="I189" s="154">
        <v>0</v>
      </c>
      <c r="J189" s="154">
        <v>0</v>
      </c>
      <c r="K189" s="154">
        <v>0</v>
      </c>
      <c r="L189" s="154">
        <v>0</v>
      </c>
      <c r="M189" s="155">
        <v>0</v>
      </c>
      <c r="N189" s="154">
        <v>0</v>
      </c>
      <c r="O189" s="154">
        <v>0</v>
      </c>
      <c r="P189" s="154">
        <v>0</v>
      </c>
      <c r="Q189" s="154">
        <v>0</v>
      </c>
      <c r="R189" s="156">
        <v>0</v>
      </c>
      <c r="S189" s="156">
        <v>0</v>
      </c>
      <c r="T189" s="156">
        <v>0</v>
      </c>
      <c r="U189" s="156">
        <f t="shared" si="7"/>
        <v>0</v>
      </c>
    </row>
    <row r="190" spans="1:21" ht="18" hidden="1" customHeight="1">
      <c r="A190" s="153">
        <f t="shared" si="4"/>
        <v>189</v>
      </c>
      <c r="B190" s="153" t="s">
        <v>756</v>
      </c>
      <c r="C190" s="153" t="s">
        <v>1090</v>
      </c>
      <c r="D190" s="162">
        <v>46004</v>
      </c>
      <c r="E190" s="154">
        <v>0</v>
      </c>
      <c r="F190" s="154">
        <v>0</v>
      </c>
      <c r="G190" s="154">
        <v>0</v>
      </c>
      <c r="H190" s="154">
        <v>0</v>
      </c>
      <c r="I190" s="154">
        <v>0</v>
      </c>
      <c r="J190" s="154">
        <v>0</v>
      </c>
      <c r="K190" s="154">
        <v>0</v>
      </c>
      <c r="L190" s="154">
        <v>0</v>
      </c>
      <c r="M190" s="155">
        <v>0</v>
      </c>
      <c r="N190" s="154">
        <v>0</v>
      </c>
      <c r="O190" s="154">
        <v>0</v>
      </c>
      <c r="P190" s="154">
        <v>0</v>
      </c>
      <c r="Q190" s="154">
        <v>0</v>
      </c>
      <c r="R190" s="156">
        <v>0</v>
      </c>
      <c r="S190" s="156">
        <v>0</v>
      </c>
      <c r="T190" s="156">
        <v>0</v>
      </c>
      <c r="U190" s="156">
        <f t="shared" si="7"/>
        <v>0</v>
      </c>
    </row>
    <row r="191" spans="1:21" ht="18" hidden="1" customHeight="1">
      <c r="A191" s="153">
        <f t="shared" si="4"/>
        <v>190</v>
      </c>
      <c r="B191" s="153" t="s">
        <v>756</v>
      </c>
      <c r="C191" s="153" t="s">
        <v>1173</v>
      </c>
      <c r="D191" s="162">
        <v>46004</v>
      </c>
      <c r="E191" s="154">
        <v>0</v>
      </c>
      <c r="F191" s="154">
        <v>0</v>
      </c>
      <c r="G191" s="154">
        <v>0</v>
      </c>
      <c r="H191" s="154">
        <v>0</v>
      </c>
      <c r="I191" s="154">
        <v>0</v>
      </c>
      <c r="J191" s="154">
        <v>0</v>
      </c>
      <c r="K191" s="154">
        <v>0</v>
      </c>
      <c r="L191" s="154">
        <v>0</v>
      </c>
      <c r="M191" s="155">
        <v>0</v>
      </c>
      <c r="N191" s="154">
        <v>0</v>
      </c>
      <c r="O191" s="154">
        <v>0</v>
      </c>
      <c r="P191" s="154">
        <v>0</v>
      </c>
      <c r="Q191" s="154">
        <v>0</v>
      </c>
      <c r="R191" s="156">
        <v>0</v>
      </c>
      <c r="S191" s="156">
        <v>0</v>
      </c>
      <c r="T191" s="156">
        <v>0</v>
      </c>
      <c r="U191" s="156">
        <f t="shared" si="7"/>
        <v>0</v>
      </c>
    </row>
    <row r="192" spans="1:21" ht="18" hidden="1" customHeight="1">
      <c r="A192" s="153">
        <f t="shared" si="4"/>
        <v>191</v>
      </c>
      <c r="B192" s="153" t="s">
        <v>217</v>
      </c>
      <c r="C192" s="153" t="str">
        <f>VLOOKUP(B192,MEMBERS!B:C,2, )</f>
        <v>MR.ZAIN FAROOQ</v>
      </c>
      <c r="D192" s="162">
        <v>46004</v>
      </c>
      <c r="E192" s="154">
        <v>0</v>
      </c>
      <c r="F192" s="154">
        <v>0</v>
      </c>
      <c r="G192" s="154">
        <v>0</v>
      </c>
      <c r="H192" s="154">
        <v>0</v>
      </c>
      <c r="I192" s="154">
        <v>0</v>
      </c>
      <c r="J192" s="154">
        <v>0</v>
      </c>
      <c r="K192" s="154">
        <v>0</v>
      </c>
      <c r="L192" s="154">
        <v>0</v>
      </c>
      <c r="M192" s="155">
        <v>0</v>
      </c>
      <c r="N192" s="154">
        <v>0</v>
      </c>
      <c r="O192" s="154">
        <v>0</v>
      </c>
      <c r="P192" s="154">
        <v>0</v>
      </c>
      <c r="Q192" s="154">
        <v>0</v>
      </c>
      <c r="R192" s="156">
        <v>0</v>
      </c>
      <c r="S192" s="156">
        <v>0</v>
      </c>
      <c r="T192" s="156">
        <f>2000*2</f>
        <v>4000</v>
      </c>
      <c r="U192" s="156">
        <f t="shared" ref="U192:U208" si="8">SUM(E192:T192)</f>
        <v>4000</v>
      </c>
    </row>
    <row r="193" spans="1:21" ht="18" hidden="1" customHeight="1">
      <c r="A193" s="153">
        <f t="shared" si="4"/>
        <v>192</v>
      </c>
      <c r="B193" s="153" t="s">
        <v>98</v>
      </c>
      <c r="C193" s="153" t="str">
        <f>VLOOKUP(B193,MEMBERS!B:C,2, )</f>
        <v>MR.HAFEEZ AHMED SIYAL</v>
      </c>
      <c r="D193" s="162">
        <v>46004</v>
      </c>
      <c r="E193" s="154">
        <v>0</v>
      </c>
      <c r="F193" s="154">
        <v>0</v>
      </c>
      <c r="G193" s="154">
        <v>0</v>
      </c>
      <c r="H193" s="154">
        <v>0</v>
      </c>
      <c r="I193" s="154">
        <v>0</v>
      </c>
      <c r="J193" s="154">
        <v>0</v>
      </c>
      <c r="K193" s="154">
        <v>0</v>
      </c>
      <c r="L193" s="154">
        <v>0</v>
      </c>
      <c r="M193" s="155">
        <v>0</v>
      </c>
      <c r="N193" s="154">
        <v>0</v>
      </c>
      <c r="O193" s="154">
        <v>0</v>
      </c>
      <c r="P193" s="154">
        <v>0</v>
      </c>
      <c r="Q193" s="154">
        <v>0</v>
      </c>
      <c r="R193" s="156">
        <v>0</v>
      </c>
      <c r="S193" s="156">
        <v>0</v>
      </c>
      <c r="T193" s="156">
        <f>2000*2</f>
        <v>4000</v>
      </c>
      <c r="U193" s="156">
        <f t="shared" si="8"/>
        <v>4000</v>
      </c>
    </row>
    <row r="194" spans="1:21" ht="18" hidden="1" customHeight="1">
      <c r="A194" s="153">
        <f t="shared" si="4"/>
        <v>193</v>
      </c>
      <c r="B194" s="153" t="s">
        <v>301</v>
      </c>
      <c r="C194" s="153" t="str">
        <f>VLOOKUP(B194,MEMBERS!B:C,2, )</f>
        <v>CAPT.HAMID UZ ZAFAR</v>
      </c>
      <c r="D194" s="162">
        <v>46004</v>
      </c>
      <c r="E194" s="154">
        <v>0</v>
      </c>
      <c r="F194" s="154">
        <v>0</v>
      </c>
      <c r="G194" s="154">
        <v>0</v>
      </c>
      <c r="H194" s="154">
        <v>0</v>
      </c>
      <c r="I194" s="154">
        <v>0</v>
      </c>
      <c r="J194" s="154">
        <v>0</v>
      </c>
      <c r="K194" s="154">
        <v>0</v>
      </c>
      <c r="L194" s="154">
        <v>0</v>
      </c>
      <c r="M194" s="155">
        <v>0</v>
      </c>
      <c r="N194" s="154">
        <v>0</v>
      </c>
      <c r="O194" s="154">
        <v>0</v>
      </c>
      <c r="P194" s="154">
        <v>0</v>
      </c>
      <c r="Q194" s="154">
        <v>0</v>
      </c>
      <c r="R194" s="156">
        <v>0</v>
      </c>
      <c r="S194" s="156">
        <v>0</v>
      </c>
      <c r="T194" s="156">
        <f>2000+2500*3</f>
        <v>9500</v>
      </c>
      <c r="U194" s="156">
        <f t="shared" si="8"/>
        <v>9500</v>
      </c>
    </row>
    <row r="195" spans="1:21" ht="18" hidden="1" customHeight="1">
      <c r="A195" s="153">
        <f t="shared" si="4"/>
        <v>194</v>
      </c>
      <c r="B195" s="153" t="s">
        <v>359</v>
      </c>
      <c r="C195" s="153" t="str">
        <f>VLOOKUP(B195,MEMBERS!B:C,2, )</f>
        <v>DR.NASEEM MUNSHI</v>
      </c>
      <c r="D195" s="162">
        <v>46004</v>
      </c>
      <c r="E195" s="154">
        <v>0</v>
      </c>
      <c r="F195" s="154">
        <v>0</v>
      </c>
      <c r="G195" s="154">
        <v>0</v>
      </c>
      <c r="H195" s="154">
        <v>0</v>
      </c>
      <c r="I195" s="154">
        <v>0</v>
      </c>
      <c r="J195" s="154">
        <v>0</v>
      </c>
      <c r="K195" s="154">
        <v>0</v>
      </c>
      <c r="L195" s="154">
        <v>0</v>
      </c>
      <c r="M195" s="155">
        <v>0</v>
      </c>
      <c r="N195" s="154">
        <v>0</v>
      </c>
      <c r="O195" s="154">
        <v>0</v>
      </c>
      <c r="P195" s="154">
        <v>0</v>
      </c>
      <c r="Q195" s="154">
        <v>0</v>
      </c>
      <c r="R195" s="156">
        <v>0</v>
      </c>
      <c r="S195" s="156">
        <v>0</v>
      </c>
      <c r="T195" s="156">
        <v>2000</v>
      </c>
      <c r="U195" s="156">
        <f t="shared" si="8"/>
        <v>2000</v>
      </c>
    </row>
    <row r="196" spans="1:21" ht="18" hidden="1" customHeight="1">
      <c r="A196" s="153">
        <f t="shared" si="4"/>
        <v>195</v>
      </c>
      <c r="B196" s="153" t="s">
        <v>155</v>
      </c>
      <c r="C196" s="153" t="str">
        <f>VLOOKUP(B196,MEMBERS!B:C,2, )</f>
        <v>MR.PIR MUJEEB JAN SARHANDI</v>
      </c>
      <c r="D196" s="162">
        <v>46004</v>
      </c>
      <c r="E196" s="154">
        <v>0</v>
      </c>
      <c r="F196" s="154">
        <v>0</v>
      </c>
      <c r="G196" s="154">
        <v>0</v>
      </c>
      <c r="H196" s="154">
        <v>0</v>
      </c>
      <c r="I196" s="154">
        <v>0</v>
      </c>
      <c r="J196" s="154">
        <v>0</v>
      </c>
      <c r="K196" s="154">
        <v>0</v>
      </c>
      <c r="L196" s="154">
        <v>0</v>
      </c>
      <c r="M196" s="155">
        <v>0</v>
      </c>
      <c r="N196" s="154">
        <v>0</v>
      </c>
      <c r="O196" s="154">
        <v>0</v>
      </c>
      <c r="P196" s="154">
        <v>0</v>
      </c>
      <c r="Q196" s="154">
        <v>0</v>
      </c>
      <c r="R196" s="156">
        <v>0</v>
      </c>
      <c r="S196" s="156">
        <v>0</v>
      </c>
      <c r="T196" s="156">
        <v>2000</v>
      </c>
      <c r="U196" s="156">
        <f t="shared" si="8"/>
        <v>2000</v>
      </c>
    </row>
    <row r="197" spans="1:21" ht="18" hidden="1" customHeight="1">
      <c r="A197" s="153">
        <f t="shared" si="4"/>
        <v>196</v>
      </c>
      <c r="B197" s="153" t="s">
        <v>315</v>
      </c>
      <c r="C197" s="153" t="str">
        <f>VLOOKUP(B197,MEMBERS!B:C,2, )</f>
        <v>DGM FATIMA ZAHID</v>
      </c>
      <c r="D197" s="162">
        <v>46004</v>
      </c>
      <c r="E197" s="154">
        <v>0</v>
      </c>
      <c r="F197" s="154">
        <v>0</v>
      </c>
      <c r="G197" s="154">
        <v>0</v>
      </c>
      <c r="H197" s="154">
        <v>0</v>
      </c>
      <c r="I197" s="154">
        <v>0</v>
      </c>
      <c r="J197" s="154">
        <v>0</v>
      </c>
      <c r="K197" s="154">
        <v>0</v>
      </c>
      <c r="L197" s="154">
        <v>0</v>
      </c>
      <c r="M197" s="155">
        <v>0</v>
      </c>
      <c r="N197" s="154">
        <v>0</v>
      </c>
      <c r="O197" s="154">
        <v>0</v>
      </c>
      <c r="P197" s="154">
        <v>0</v>
      </c>
      <c r="Q197" s="154">
        <v>0</v>
      </c>
      <c r="R197" s="156">
        <v>0</v>
      </c>
      <c r="S197" s="156">
        <v>0</v>
      </c>
      <c r="T197" s="156">
        <f>2000+2500*7</f>
        <v>19500</v>
      </c>
      <c r="U197" s="156">
        <f t="shared" si="8"/>
        <v>19500</v>
      </c>
    </row>
    <row r="198" spans="1:21" ht="18" hidden="1" customHeight="1">
      <c r="A198" s="153">
        <f t="shared" si="4"/>
        <v>197</v>
      </c>
      <c r="B198" s="153" t="s">
        <v>249</v>
      </c>
      <c r="C198" s="153" t="str">
        <f>VLOOKUP(B198,MEMBERS!B:C,2, )</f>
        <v>MUHAMMAD EBRAHIM TIWANA</v>
      </c>
      <c r="D198" s="162">
        <v>46004</v>
      </c>
      <c r="E198" s="154">
        <v>0</v>
      </c>
      <c r="F198" s="154">
        <v>0</v>
      </c>
      <c r="G198" s="154">
        <v>0</v>
      </c>
      <c r="H198" s="154">
        <v>0</v>
      </c>
      <c r="I198" s="154">
        <v>0</v>
      </c>
      <c r="J198" s="154">
        <v>0</v>
      </c>
      <c r="K198" s="154">
        <v>0</v>
      </c>
      <c r="L198" s="154">
        <v>0</v>
      </c>
      <c r="M198" s="155">
        <v>0</v>
      </c>
      <c r="N198" s="154">
        <v>0</v>
      </c>
      <c r="O198" s="154">
        <v>0</v>
      </c>
      <c r="P198" s="154">
        <v>0</v>
      </c>
      <c r="Q198" s="154">
        <v>0</v>
      </c>
      <c r="R198" s="156">
        <v>0</v>
      </c>
      <c r="S198" s="156">
        <v>0</v>
      </c>
      <c r="T198" s="156">
        <f>2000*2+2500*2</f>
        <v>9000</v>
      </c>
      <c r="U198" s="156">
        <f t="shared" si="8"/>
        <v>9000</v>
      </c>
    </row>
    <row r="199" spans="1:21" ht="18" hidden="1" customHeight="1">
      <c r="A199" s="153">
        <f t="shared" si="4"/>
        <v>198</v>
      </c>
      <c r="B199" s="153" t="s">
        <v>1039</v>
      </c>
      <c r="C199" s="153" t="str">
        <f>VLOOKUP(B199,MEMBERS!B:C,2, )</f>
        <v>MR. AYAZ JAMRO</v>
      </c>
      <c r="D199" s="162">
        <v>46004</v>
      </c>
      <c r="E199" s="154">
        <v>0</v>
      </c>
      <c r="F199" s="154">
        <v>0</v>
      </c>
      <c r="G199" s="154">
        <v>0</v>
      </c>
      <c r="H199" s="154">
        <v>0</v>
      </c>
      <c r="I199" s="154">
        <v>0</v>
      </c>
      <c r="J199" s="154">
        <v>0</v>
      </c>
      <c r="K199" s="154">
        <v>0</v>
      </c>
      <c r="L199" s="154">
        <v>0</v>
      </c>
      <c r="M199" s="155">
        <v>0</v>
      </c>
      <c r="N199" s="154">
        <v>0</v>
      </c>
      <c r="O199" s="154">
        <v>0</v>
      </c>
      <c r="P199" s="154">
        <v>0</v>
      </c>
      <c r="Q199" s="154">
        <v>0</v>
      </c>
      <c r="R199" s="156">
        <v>0</v>
      </c>
      <c r="S199" s="156">
        <v>0</v>
      </c>
      <c r="T199" s="156">
        <f>2000*1+2500*2</f>
        <v>7000</v>
      </c>
      <c r="U199" s="156">
        <f t="shared" si="8"/>
        <v>7000</v>
      </c>
    </row>
    <row r="200" spans="1:21" ht="18" hidden="1" customHeight="1">
      <c r="A200" s="153">
        <f t="shared" si="4"/>
        <v>199</v>
      </c>
      <c r="B200" s="153" t="s">
        <v>54</v>
      </c>
      <c r="C200" s="153" t="str">
        <f>VLOOKUP(B200,MEMBERS!B:C,2, )</f>
        <v>MR.ZEESHAN IQBAL</v>
      </c>
      <c r="D200" s="162">
        <v>46004</v>
      </c>
      <c r="E200" s="154">
        <v>0</v>
      </c>
      <c r="F200" s="154">
        <v>0</v>
      </c>
      <c r="G200" s="154">
        <v>0</v>
      </c>
      <c r="H200" s="154">
        <v>0</v>
      </c>
      <c r="I200" s="154">
        <v>0</v>
      </c>
      <c r="J200" s="154">
        <v>0</v>
      </c>
      <c r="K200" s="154">
        <v>0</v>
      </c>
      <c r="L200" s="154">
        <v>0</v>
      </c>
      <c r="M200" s="155">
        <v>0</v>
      </c>
      <c r="N200" s="154">
        <v>0</v>
      </c>
      <c r="O200" s="154">
        <v>0</v>
      </c>
      <c r="P200" s="154">
        <v>0</v>
      </c>
      <c r="Q200" s="154">
        <v>0</v>
      </c>
      <c r="R200" s="156">
        <v>0</v>
      </c>
      <c r="S200" s="156">
        <v>0</v>
      </c>
      <c r="T200" s="156">
        <f>2000*2</f>
        <v>4000</v>
      </c>
      <c r="U200" s="156">
        <f t="shared" si="8"/>
        <v>4000</v>
      </c>
    </row>
    <row r="201" spans="1:21" ht="18" hidden="1" customHeight="1">
      <c r="A201" s="153">
        <f t="shared" si="4"/>
        <v>200</v>
      </c>
      <c r="B201" s="153" t="s">
        <v>142</v>
      </c>
      <c r="C201" s="153" t="str">
        <f>VLOOKUP(B201,MEMBERS!B:C,2, )</f>
        <v>MR.MUHAMMAD HANIF</v>
      </c>
      <c r="D201" s="162">
        <v>46004</v>
      </c>
      <c r="E201" s="154">
        <v>0</v>
      </c>
      <c r="F201" s="154">
        <v>0</v>
      </c>
      <c r="G201" s="154">
        <v>0</v>
      </c>
      <c r="H201" s="154">
        <v>0</v>
      </c>
      <c r="I201" s="154">
        <v>0</v>
      </c>
      <c r="J201" s="154">
        <v>0</v>
      </c>
      <c r="K201" s="154">
        <v>0</v>
      </c>
      <c r="L201" s="154">
        <v>0</v>
      </c>
      <c r="M201" s="155">
        <v>0</v>
      </c>
      <c r="N201" s="154">
        <v>0</v>
      </c>
      <c r="O201" s="154">
        <v>0</v>
      </c>
      <c r="P201" s="154">
        <v>0</v>
      </c>
      <c r="Q201" s="154">
        <v>0</v>
      </c>
      <c r="R201" s="156">
        <v>0</v>
      </c>
      <c r="S201" s="156">
        <v>0</v>
      </c>
      <c r="T201" s="156">
        <f>2500*2</f>
        <v>5000</v>
      </c>
      <c r="U201" s="156">
        <f t="shared" si="8"/>
        <v>5000</v>
      </c>
    </row>
    <row r="202" spans="1:21" ht="18" hidden="1" customHeight="1">
      <c r="A202" s="153">
        <f t="shared" si="4"/>
        <v>201</v>
      </c>
      <c r="B202" s="153" t="s">
        <v>308</v>
      </c>
      <c r="C202" s="153" t="str">
        <f>VLOOKUP(B202,MEMBERS!B:C,2, )</f>
        <v>DGM AZFAR ALI</v>
      </c>
      <c r="D202" s="162">
        <v>46004</v>
      </c>
      <c r="E202" s="154">
        <v>0</v>
      </c>
      <c r="F202" s="154">
        <v>0</v>
      </c>
      <c r="G202" s="154">
        <v>0</v>
      </c>
      <c r="H202" s="154">
        <v>0</v>
      </c>
      <c r="I202" s="154">
        <v>0</v>
      </c>
      <c r="J202" s="154">
        <v>0</v>
      </c>
      <c r="K202" s="154">
        <v>0</v>
      </c>
      <c r="L202" s="154">
        <v>0</v>
      </c>
      <c r="M202" s="155">
        <v>0</v>
      </c>
      <c r="N202" s="154">
        <v>0</v>
      </c>
      <c r="O202" s="154">
        <v>0</v>
      </c>
      <c r="P202" s="154">
        <v>0</v>
      </c>
      <c r="Q202" s="154">
        <v>0</v>
      </c>
      <c r="R202" s="156">
        <v>0</v>
      </c>
      <c r="S202" s="156">
        <v>0</v>
      </c>
      <c r="T202" s="156">
        <f>2000*2</f>
        <v>4000</v>
      </c>
      <c r="U202" s="156">
        <f t="shared" si="8"/>
        <v>4000</v>
      </c>
    </row>
    <row r="203" spans="1:21" ht="18" hidden="1" customHeight="1">
      <c r="A203" s="153">
        <f t="shared" si="4"/>
        <v>202</v>
      </c>
      <c r="B203" s="153" t="s">
        <v>88</v>
      </c>
      <c r="C203" s="153" t="str">
        <f>VLOOKUP(B203,MEMBERS!B:C,2, )</f>
        <v>DR.NAZEER HUSSAIN KALHORO</v>
      </c>
      <c r="D203" s="162">
        <v>46004</v>
      </c>
      <c r="E203" s="154">
        <v>0</v>
      </c>
      <c r="F203" s="154">
        <v>0</v>
      </c>
      <c r="G203" s="154">
        <v>0</v>
      </c>
      <c r="H203" s="154">
        <v>0</v>
      </c>
      <c r="I203" s="154">
        <v>0</v>
      </c>
      <c r="J203" s="154">
        <v>0</v>
      </c>
      <c r="K203" s="154">
        <v>0</v>
      </c>
      <c r="L203" s="154">
        <v>0</v>
      </c>
      <c r="M203" s="155">
        <v>0</v>
      </c>
      <c r="N203" s="154">
        <v>0</v>
      </c>
      <c r="O203" s="154">
        <v>0</v>
      </c>
      <c r="P203" s="154">
        <v>0</v>
      </c>
      <c r="Q203" s="154">
        <v>0</v>
      </c>
      <c r="R203" s="156">
        <v>0</v>
      </c>
      <c r="S203" s="156">
        <v>0</v>
      </c>
      <c r="T203" s="156">
        <f>2000+2500</f>
        <v>4500</v>
      </c>
      <c r="U203" s="156">
        <f t="shared" si="8"/>
        <v>4500</v>
      </c>
    </row>
    <row r="204" spans="1:21" ht="18" hidden="1" customHeight="1">
      <c r="A204" s="153">
        <f t="shared" si="4"/>
        <v>203</v>
      </c>
      <c r="B204" s="153" t="s">
        <v>192</v>
      </c>
      <c r="C204" s="153" t="str">
        <f>VLOOKUP(B204,MEMBERS!B:C,2, )</f>
        <v>MR.HANIF AHSAN ZUBEDI</v>
      </c>
      <c r="D204" s="162">
        <v>46004</v>
      </c>
      <c r="E204" s="154">
        <v>0</v>
      </c>
      <c r="F204" s="154">
        <v>0</v>
      </c>
      <c r="G204" s="154">
        <v>0</v>
      </c>
      <c r="H204" s="154">
        <v>0</v>
      </c>
      <c r="I204" s="154">
        <v>0</v>
      </c>
      <c r="J204" s="154">
        <v>0</v>
      </c>
      <c r="K204" s="154">
        <v>0</v>
      </c>
      <c r="L204" s="154">
        <v>0</v>
      </c>
      <c r="M204" s="155">
        <v>0</v>
      </c>
      <c r="N204" s="154">
        <v>0</v>
      </c>
      <c r="O204" s="154">
        <v>0</v>
      </c>
      <c r="P204" s="154">
        <v>0</v>
      </c>
      <c r="Q204" s="154">
        <v>0</v>
      </c>
      <c r="R204" s="156">
        <v>0</v>
      </c>
      <c r="S204" s="156">
        <v>0</v>
      </c>
      <c r="T204" s="156">
        <f>2000+2500</f>
        <v>4500</v>
      </c>
      <c r="U204" s="156">
        <f t="shared" si="8"/>
        <v>4500</v>
      </c>
    </row>
    <row r="205" spans="1:21" ht="18" hidden="1" customHeight="1">
      <c r="A205" s="153">
        <f t="shared" si="4"/>
        <v>204</v>
      </c>
      <c r="B205" s="153" t="s">
        <v>123</v>
      </c>
      <c r="C205" s="153" t="str">
        <f>VLOOKUP(B205,MEMBERS!B:C,2, )</f>
        <v>MR.MUIED AHMED DURRANI</v>
      </c>
      <c r="D205" s="162">
        <v>46004</v>
      </c>
      <c r="E205" s="154">
        <v>0</v>
      </c>
      <c r="F205" s="154">
        <v>0</v>
      </c>
      <c r="G205" s="154">
        <v>0</v>
      </c>
      <c r="H205" s="154">
        <v>0</v>
      </c>
      <c r="I205" s="154">
        <v>0</v>
      </c>
      <c r="J205" s="154">
        <v>0</v>
      </c>
      <c r="K205" s="154">
        <v>0</v>
      </c>
      <c r="L205" s="154">
        <v>0</v>
      </c>
      <c r="M205" s="155">
        <v>0</v>
      </c>
      <c r="N205" s="154">
        <v>0</v>
      </c>
      <c r="O205" s="154">
        <v>0</v>
      </c>
      <c r="P205" s="154">
        <v>0</v>
      </c>
      <c r="Q205" s="154">
        <v>0</v>
      </c>
      <c r="R205" s="156">
        <v>0</v>
      </c>
      <c r="S205" s="156">
        <v>0</v>
      </c>
      <c r="T205" s="156">
        <f>2000+2500*2</f>
        <v>7000</v>
      </c>
      <c r="U205" s="156">
        <f t="shared" si="8"/>
        <v>7000</v>
      </c>
    </row>
    <row r="206" spans="1:21" ht="18" hidden="1" customHeight="1">
      <c r="A206" s="153">
        <f t="shared" si="4"/>
        <v>205</v>
      </c>
      <c r="B206" s="153" t="s">
        <v>235</v>
      </c>
      <c r="C206" s="153" t="str">
        <f>VLOOKUP(B206,MEMBERS!B:C,2, )</f>
        <v>MR.IMRAN WAZEER</v>
      </c>
      <c r="D206" s="162">
        <v>46004</v>
      </c>
      <c r="E206" s="154">
        <v>0</v>
      </c>
      <c r="F206" s="154">
        <v>0</v>
      </c>
      <c r="G206" s="154">
        <v>0</v>
      </c>
      <c r="H206" s="154">
        <v>0</v>
      </c>
      <c r="I206" s="154">
        <v>0</v>
      </c>
      <c r="J206" s="154">
        <v>0</v>
      </c>
      <c r="K206" s="154">
        <v>0</v>
      </c>
      <c r="L206" s="154">
        <v>0</v>
      </c>
      <c r="M206" s="155">
        <v>0</v>
      </c>
      <c r="N206" s="154">
        <v>0</v>
      </c>
      <c r="O206" s="154">
        <v>0</v>
      </c>
      <c r="P206" s="154">
        <v>0</v>
      </c>
      <c r="Q206" s="154">
        <v>0</v>
      </c>
      <c r="R206" s="156">
        <v>0</v>
      </c>
      <c r="S206" s="156">
        <v>0</v>
      </c>
      <c r="T206" s="156">
        <v>2000</v>
      </c>
      <c r="U206" s="156">
        <f t="shared" si="8"/>
        <v>2000</v>
      </c>
    </row>
    <row r="207" spans="1:21" ht="18" hidden="1" customHeight="1">
      <c r="A207" s="153">
        <f t="shared" si="4"/>
        <v>206</v>
      </c>
      <c r="B207" s="153" t="s">
        <v>1004</v>
      </c>
      <c r="C207" s="153" t="str">
        <f>VLOOKUP(B207,MEMBERS!B:C,2, )</f>
        <v>MRS RIFFAT ZULFIQAR</v>
      </c>
      <c r="D207" s="162">
        <v>46004</v>
      </c>
      <c r="E207" s="154">
        <v>0</v>
      </c>
      <c r="F207" s="154">
        <v>0</v>
      </c>
      <c r="G207" s="154">
        <v>0</v>
      </c>
      <c r="H207" s="154">
        <v>0</v>
      </c>
      <c r="I207" s="154">
        <v>0</v>
      </c>
      <c r="J207" s="154">
        <v>0</v>
      </c>
      <c r="K207" s="154">
        <v>0</v>
      </c>
      <c r="L207" s="154">
        <v>0</v>
      </c>
      <c r="M207" s="155">
        <v>0</v>
      </c>
      <c r="N207" s="154">
        <v>0</v>
      </c>
      <c r="O207" s="154">
        <v>0</v>
      </c>
      <c r="P207" s="154">
        <v>0</v>
      </c>
      <c r="Q207" s="154">
        <v>0</v>
      </c>
      <c r="R207" s="156">
        <v>0</v>
      </c>
      <c r="S207" s="156">
        <v>0</v>
      </c>
      <c r="T207" s="319">
        <f>2500*16</f>
        <v>40000</v>
      </c>
      <c r="U207" s="156">
        <f t="shared" si="8"/>
        <v>40000</v>
      </c>
    </row>
    <row r="208" spans="1:21" ht="18" hidden="1" customHeight="1">
      <c r="A208" s="153">
        <f t="shared" si="4"/>
        <v>207</v>
      </c>
      <c r="B208" s="153" t="s">
        <v>1073</v>
      </c>
      <c r="C208" s="153" t="str">
        <f>VLOOKUP(B208,MEMBERS!B:C,2, )</f>
        <v>MR. GHULAM MUSTAFA</v>
      </c>
      <c r="D208" s="162">
        <v>46004</v>
      </c>
      <c r="E208" s="154">
        <v>0</v>
      </c>
      <c r="F208" s="154">
        <v>0</v>
      </c>
      <c r="G208" s="154">
        <v>0</v>
      </c>
      <c r="H208" s="154">
        <v>0</v>
      </c>
      <c r="I208" s="154">
        <v>0</v>
      </c>
      <c r="J208" s="154">
        <v>0</v>
      </c>
      <c r="K208" s="154">
        <v>0</v>
      </c>
      <c r="L208" s="154">
        <v>0</v>
      </c>
      <c r="M208" s="155">
        <v>0</v>
      </c>
      <c r="N208" s="154">
        <v>0</v>
      </c>
      <c r="O208" s="154">
        <v>0</v>
      </c>
      <c r="P208" s="154">
        <v>0</v>
      </c>
      <c r="Q208" s="154">
        <v>0</v>
      </c>
      <c r="R208" s="156">
        <v>0</v>
      </c>
      <c r="S208" s="156">
        <v>0</v>
      </c>
      <c r="T208" s="156">
        <f>2500*6</f>
        <v>15000</v>
      </c>
      <c r="U208" s="156">
        <f t="shared" si="8"/>
        <v>15000</v>
      </c>
    </row>
    <row r="209" spans="1:21" ht="18" hidden="1" customHeight="1">
      <c r="A209" s="153">
        <f t="shared" si="4"/>
        <v>208</v>
      </c>
      <c r="B209" s="153" t="s">
        <v>390</v>
      </c>
      <c r="C209" s="153" t="str">
        <f>VLOOKUP(B209,MEMBERS!B:C,2, )</f>
        <v>RIAZ FAZAL</v>
      </c>
      <c r="D209" s="162">
        <v>46005</v>
      </c>
      <c r="E209" s="154">
        <v>0</v>
      </c>
      <c r="F209" s="154">
        <v>0</v>
      </c>
      <c r="G209" s="154">
        <v>0</v>
      </c>
      <c r="H209" s="154">
        <v>0</v>
      </c>
      <c r="I209" s="154">
        <v>0</v>
      </c>
      <c r="J209" s="154">
        <v>0</v>
      </c>
      <c r="K209" s="154">
        <v>0</v>
      </c>
      <c r="L209" s="154">
        <v>0</v>
      </c>
      <c r="M209" s="155">
        <v>0</v>
      </c>
      <c r="N209" s="154">
        <v>0</v>
      </c>
      <c r="O209" s="154">
        <f>1000+1500*3</f>
        <v>5500</v>
      </c>
      <c r="P209" s="154">
        <v>0</v>
      </c>
      <c r="Q209" s="154">
        <v>0</v>
      </c>
      <c r="R209" s="156">
        <v>0</v>
      </c>
      <c r="S209" s="156">
        <v>0</v>
      </c>
      <c r="T209" s="156">
        <v>0</v>
      </c>
      <c r="U209" s="156">
        <f t="shared" si="7"/>
        <v>5500</v>
      </c>
    </row>
    <row r="210" spans="1:21" ht="18" hidden="1" customHeight="1">
      <c r="A210" s="153">
        <f t="shared" si="4"/>
        <v>209</v>
      </c>
      <c r="B210" s="153" t="s">
        <v>374</v>
      </c>
      <c r="C210" s="153" t="str">
        <f>VLOOKUP(B210,MEMBERS!B:C,2, )</f>
        <v>AAMIR RASOOL</v>
      </c>
      <c r="D210" s="162">
        <v>46005</v>
      </c>
      <c r="E210" s="154">
        <v>0</v>
      </c>
      <c r="F210" s="154">
        <v>0</v>
      </c>
      <c r="G210" s="154">
        <v>0</v>
      </c>
      <c r="H210" s="154">
        <v>600</v>
      </c>
      <c r="I210" s="154">
        <v>0</v>
      </c>
      <c r="J210" s="154">
        <f>300*2</f>
        <v>600</v>
      </c>
      <c r="K210" s="154">
        <v>0</v>
      </c>
      <c r="L210" s="154">
        <v>0</v>
      </c>
      <c r="M210" s="155">
        <v>0</v>
      </c>
      <c r="N210" s="154">
        <v>0</v>
      </c>
      <c r="O210" s="154">
        <v>0</v>
      </c>
      <c r="P210" s="154">
        <v>0</v>
      </c>
      <c r="Q210" s="154">
        <v>0</v>
      </c>
      <c r="R210" s="156">
        <v>0</v>
      </c>
      <c r="S210" s="156">
        <v>0</v>
      </c>
      <c r="T210" s="156">
        <v>0</v>
      </c>
      <c r="U210" s="156">
        <f t="shared" si="7"/>
        <v>1200</v>
      </c>
    </row>
    <row r="211" spans="1:21" ht="18" hidden="1" customHeight="1">
      <c r="A211" s="153">
        <f t="shared" ref="A211:A230" si="9">IF(D211&lt;&gt;"", ROW()-1, "")</f>
        <v>210</v>
      </c>
      <c r="B211" s="153" t="s">
        <v>756</v>
      </c>
      <c r="C211" s="153" t="s">
        <v>1183</v>
      </c>
      <c r="D211" s="162">
        <v>46005</v>
      </c>
      <c r="E211" s="154">
        <v>0</v>
      </c>
      <c r="F211" s="154">
        <v>0</v>
      </c>
      <c r="G211" s="154">
        <v>0</v>
      </c>
      <c r="H211" s="154">
        <v>0</v>
      </c>
      <c r="I211" s="154">
        <v>0</v>
      </c>
      <c r="J211" s="154">
        <v>0</v>
      </c>
      <c r="K211" s="154">
        <v>0</v>
      </c>
      <c r="L211" s="154">
        <v>0</v>
      </c>
      <c r="M211" s="155">
        <v>0</v>
      </c>
      <c r="N211" s="154">
        <v>0</v>
      </c>
      <c r="O211" s="154">
        <v>0</v>
      </c>
      <c r="P211" s="312">
        <v>20000</v>
      </c>
      <c r="Q211" s="154">
        <v>0</v>
      </c>
      <c r="R211" s="156">
        <v>0</v>
      </c>
      <c r="S211" s="156">
        <v>0</v>
      </c>
      <c r="T211" s="156">
        <v>0</v>
      </c>
      <c r="U211" s="156">
        <f t="shared" si="7"/>
        <v>20000</v>
      </c>
    </row>
    <row r="212" spans="1:21" ht="18" hidden="1" customHeight="1">
      <c r="A212" s="153">
        <f t="shared" si="9"/>
        <v>211</v>
      </c>
      <c r="B212" s="153" t="s">
        <v>756</v>
      </c>
      <c r="C212" s="153" t="s">
        <v>1183</v>
      </c>
      <c r="D212" s="162">
        <v>46005</v>
      </c>
      <c r="E212" s="154">
        <v>0</v>
      </c>
      <c r="F212" s="154">
        <v>0</v>
      </c>
      <c r="G212" s="154">
        <v>0</v>
      </c>
      <c r="H212" s="154">
        <v>0</v>
      </c>
      <c r="I212" s="154">
        <v>0</v>
      </c>
      <c r="J212" s="312">
        <v>500</v>
      </c>
      <c r="K212" s="154">
        <v>0</v>
      </c>
      <c r="L212" s="154">
        <v>0</v>
      </c>
      <c r="M212" s="155">
        <v>0</v>
      </c>
      <c r="N212" s="154">
        <v>0</v>
      </c>
      <c r="O212" s="154">
        <v>0</v>
      </c>
      <c r="P212" s="154">
        <v>0</v>
      </c>
      <c r="Q212" s="154">
        <v>0</v>
      </c>
      <c r="R212" s="156">
        <v>0</v>
      </c>
      <c r="S212" s="156">
        <v>0</v>
      </c>
      <c r="T212" s="156">
        <v>0</v>
      </c>
      <c r="U212" s="156">
        <f t="shared" si="7"/>
        <v>500</v>
      </c>
    </row>
    <row r="213" spans="1:21" ht="18" hidden="1" customHeight="1">
      <c r="A213" s="153">
        <f t="shared" si="9"/>
        <v>212</v>
      </c>
      <c r="B213" s="153" t="s">
        <v>217</v>
      </c>
      <c r="C213" s="153" t="str">
        <f>VLOOKUP(B213,MEMBERS!B:C,2, )</f>
        <v>MR.ZAIN FAROOQ</v>
      </c>
      <c r="D213" s="162">
        <v>46005</v>
      </c>
      <c r="E213" s="154">
        <v>0</v>
      </c>
      <c r="F213" s="154">
        <v>150</v>
      </c>
      <c r="G213" s="154">
        <v>0</v>
      </c>
      <c r="H213" s="154">
        <v>0</v>
      </c>
      <c r="I213" s="154">
        <v>0</v>
      </c>
      <c r="J213" s="154">
        <v>0</v>
      </c>
      <c r="K213" s="154">
        <v>0</v>
      </c>
      <c r="L213" s="154">
        <v>0</v>
      </c>
      <c r="M213" s="155">
        <v>0</v>
      </c>
      <c r="N213" s="154">
        <v>0</v>
      </c>
      <c r="O213" s="154">
        <v>0</v>
      </c>
      <c r="P213" s="154">
        <v>0</v>
      </c>
      <c r="Q213" s="154">
        <v>0</v>
      </c>
      <c r="R213" s="156">
        <v>0</v>
      </c>
      <c r="S213" s="156">
        <v>0</v>
      </c>
      <c r="T213" s="156">
        <v>0</v>
      </c>
      <c r="U213" s="156">
        <f t="shared" si="7"/>
        <v>150</v>
      </c>
    </row>
    <row r="214" spans="1:21" ht="18" hidden="1" customHeight="1">
      <c r="A214" s="153">
        <f t="shared" si="9"/>
        <v>213</v>
      </c>
      <c r="B214" s="153" t="s">
        <v>98</v>
      </c>
      <c r="C214" s="153" t="str">
        <f>VLOOKUP(B214,MEMBERS!B:C,2, )</f>
        <v>MR.HAFEEZ AHMED SIYAL</v>
      </c>
      <c r="D214" s="162">
        <v>46005</v>
      </c>
      <c r="E214" s="154">
        <v>0</v>
      </c>
      <c r="F214" s="154">
        <v>150</v>
      </c>
      <c r="G214" s="154">
        <v>0</v>
      </c>
      <c r="H214" s="154">
        <v>0</v>
      </c>
      <c r="I214" s="154">
        <v>0</v>
      </c>
      <c r="J214" s="154">
        <v>300</v>
      </c>
      <c r="K214" s="154">
        <v>0</v>
      </c>
      <c r="L214" s="154">
        <v>0</v>
      </c>
      <c r="M214" s="155">
        <v>0</v>
      </c>
      <c r="N214" s="154">
        <v>0</v>
      </c>
      <c r="O214" s="154">
        <v>0</v>
      </c>
      <c r="P214" s="154">
        <v>0</v>
      </c>
      <c r="Q214" s="154">
        <v>0</v>
      </c>
      <c r="R214" s="156">
        <v>0</v>
      </c>
      <c r="S214" s="156">
        <v>0</v>
      </c>
      <c r="T214" s="156">
        <v>0</v>
      </c>
      <c r="U214" s="156">
        <f t="shared" ref="U214:U230" si="10">SUM(E214:T214)</f>
        <v>450</v>
      </c>
    </row>
    <row r="215" spans="1:21" ht="18" hidden="1" customHeight="1">
      <c r="A215" s="153">
        <f t="shared" si="9"/>
        <v>214</v>
      </c>
      <c r="B215" s="153" t="s">
        <v>301</v>
      </c>
      <c r="C215" s="153" t="str">
        <f>VLOOKUP(B215,MEMBERS!B:C,2, )</f>
        <v>CAPT.HAMID UZ ZAFAR</v>
      </c>
      <c r="D215" s="162">
        <v>46005</v>
      </c>
      <c r="E215" s="154">
        <v>0</v>
      </c>
      <c r="F215" s="154">
        <f>150*2</f>
        <v>300</v>
      </c>
      <c r="G215" s="154">
        <v>0</v>
      </c>
      <c r="H215" s="154">
        <v>0</v>
      </c>
      <c r="I215" s="154">
        <v>0</v>
      </c>
      <c r="J215" s="154">
        <v>0</v>
      </c>
      <c r="K215" s="154">
        <v>0</v>
      </c>
      <c r="L215" s="154">
        <v>0</v>
      </c>
      <c r="M215" s="155">
        <v>0</v>
      </c>
      <c r="N215" s="154">
        <v>0</v>
      </c>
      <c r="O215" s="154">
        <v>0</v>
      </c>
      <c r="P215" s="154">
        <v>0</v>
      </c>
      <c r="Q215" s="154">
        <v>0</v>
      </c>
      <c r="R215" s="156">
        <v>0</v>
      </c>
      <c r="S215" s="156">
        <v>0</v>
      </c>
      <c r="T215" s="156">
        <v>0</v>
      </c>
      <c r="U215" s="156">
        <f t="shared" si="10"/>
        <v>300</v>
      </c>
    </row>
    <row r="216" spans="1:21" ht="18" hidden="1" customHeight="1">
      <c r="A216" s="153">
        <f t="shared" si="9"/>
        <v>215</v>
      </c>
      <c r="B216" s="153" t="s">
        <v>359</v>
      </c>
      <c r="C216" s="153" t="str">
        <f>VLOOKUP(B216,MEMBERS!B:C,2, )</f>
        <v>DR.NASEEM MUNSHI</v>
      </c>
      <c r="D216" s="162">
        <v>46005</v>
      </c>
      <c r="E216" s="154">
        <v>0</v>
      </c>
      <c r="F216" s="154">
        <v>150</v>
      </c>
      <c r="G216" s="154">
        <v>0</v>
      </c>
      <c r="H216" s="154">
        <v>0</v>
      </c>
      <c r="I216" s="154">
        <v>0</v>
      </c>
      <c r="J216" s="154">
        <v>0</v>
      </c>
      <c r="K216" s="154">
        <v>0</v>
      </c>
      <c r="L216" s="154">
        <v>0</v>
      </c>
      <c r="M216" s="155">
        <v>0</v>
      </c>
      <c r="N216" s="154">
        <v>0</v>
      </c>
      <c r="O216" s="154">
        <v>0</v>
      </c>
      <c r="P216" s="154">
        <v>0</v>
      </c>
      <c r="Q216" s="154">
        <v>0</v>
      </c>
      <c r="R216" s="156">
        <v>0</v>
      </c>
      <c r="S216" s="156">
        <v>0</v>
      </c>
      <c r="T216" s="156">
        <v>0</v>
      </c>
      <c r="U216" s="156">
        <f t="shared" si="10"/>
        <v>150</v>
      </c>
    </row>
    <row r="217" spans="1:21" ht="18" hidden="1" customHeight="1">
      <c r="A217" s="153">
        <f t="shared" si="9"/>
        <v>216</v>
      </c>
      <c r="B217" s="153" t="s">
        <v>155</v>
      </c>
      <c r="C217" s="153" t="str">
        <f>VLOOKUP(B217,MEMBERS!B:C,2, )</f>
        <v>MR.PIR MUJEEB JAN SARHANDI</v>
      </c>
      <c r="D217" s="162">
        <v>46005</v>
      </c>
      <c r="E217" s="154">
        <v>0</v>
      </c>
      <c r="F217" s="154">
        <v>150</v>
      </c>
      <c r="G217" s="154">
        <v>0</v>
      </c>
      <c r="H217" s="154">
        <v>0</v>
      </c>
      <c r="I217" s="154">
        <v>0</v>
      </c>
      <c r="J217" s="154">
        <v>0</v>
      </c>
      <c r="K217" s="154">
        <v>0</v>
      </c>
      <c r="L217" s="154">
        <v>0</v>
      </c>
      <c r="M217" s="155">
        <v>0</v>
      </c>
      <c r="N217" s="154">
        <v>0</v>
      </c>
      <c r="O217" s="154">
        <v>0</v>
      </c>
      <c r="P217" s="154">
        <v>0</v>
      </c>
      <c r="Q217" s="154">
        <v>0</v>
      </c>
      <c r="R217" s="156">
        <v>0</v>
      </c>
      <c r="S217" s="156">
        <v>0</v>
      </c>
      <c r="T217" s="156">
        <v>0</v>
      </c>
      <c r="U217" s="156">
        <f t="shared" si="10"/>
        <v>150</v>
      </c>
    </row>
    <row r="218" spans="1:21" ht="18" hidden="1" customHeight="1">
      <c r="A218" s="153">
        <f t="shared" si="9"/>
        <v>217</v>
      </c>
      <c r="B218" s="153" t="s">
        <v>315</v>
      </c>
      <c r="C218" s="153" t="str">
        <f>VLOOKUP(B218,MEMBERS!B:C,2, )</f>
        <v>DGM FATIMA ZAHID</v>
      </c>
      <c r="D218" s="162">
        <v>46005</v>
      </c>
      <c r="E218" s="154">
        <f>600*4</f>
        <v>2400</v>
      </c>
      <c r="F218" s="154">
        <v>0</v>
      </c>
      <c r="G218" s="154">
        <v>0</v>
      </c>
      <c r="H218" s="154">
        <v>0</v>
      </c>
      <c r="I218" s="154">
        <v>0</v>
      </c>
      <c r="J218" s="154">
        <v>300</v>
      </c>
      <c r="K218" s="154">
        <v>0</v>
      </c>
      <c r="L218" s="154">
        <v>0</v>
      </c>
      <c r="M218" s="155">
        <v>0</v>
      </c>
      <c r="N218" s="154">
        <v>0</v>
      </c>
      <c r="O218" s="154">
        <v>0</v>
      </c>
      <c r="P218" s="154">
        <v>0</v>
      </c>
      <c r="Q218" s="154">
        <v>0</v>
      </c>
      <c r="R218" s="156">
        <v>0</v>
      </c>
      <c r="S218" s="156">
        <v>0</v>
      </c>
      <c r="T218" s="156">
        <v>0</v>
      </c>
      <c r="U218" s="156">
        <f t="shared" si="10"/>
        <v>2700</v>
      </c>
    </row>
    <row r="219" spans="1:21" ht="18" hidden="1" customHeight="1">
      <c r="A219" s="153">
        <f t="shared" si="9"/>
        <v>218</v>
      </c>
      <c r="B219" s="153" t="s">
        <v>249</v>
      </c>
      <c r="C219" s="153" t="str">
        <f>VLOOKUP(B219,MEMBERS!B:C,2, )</f>
        <v>MUHAMMAD EBRAHIM TIWANA</v>
      </c>
      <c r="D219" s="162">
        <v>46005</v>
      </c>
      <c r="E219" s="154">
        <v>0</v>
      </c>
      <c r="F219" s="154">
        <v>0</v>
      </c>
      <c r="G219" s="154">
        <v>0</v>
      </c>
      <c r="H219" s="154">
        <v>0</v>
      </c>
      <c r="I219" s="154">
        <v>0</v>
      </c>
      <c r="J219" s="154">
        <f>300*2</f>
        <v>600</v>
      </c>
      <c r="K219" s="154">
        <v>0</v>
      </c>
      <c r="L219" s="154">
        <v>0</v>
      </c>
      <c r="M219" s="155">
        <v>0</v>
      </c>
      <c r="N219" s="154">
        <v>0</v>
      </c>
      <c r="O219" s="154">
        <v>0</v>
      </c>
      <c r="P219" s="154">
        <v>0</v>
      </c>
      <c r="Q219" s="154">
        <v>0</v>
      </c>
      <c r="R219" s="156">
        <v>0</v>
      </c>
      <c r="S219" s="156">
        <v>0</v>
      </c>
      <c r="T219" s="156">
        <v>0</v>
      </c>
      <c r="U219" s="156">
        <f t="shared" si="10"/>
        <v>600</v>
      </c>
    </row>
    <row r="220" spans="1:21" ht="18" hidden="1" customHeight="1">
      <c r="A220" s="153">
        <f t="shared" si="9"/>
        <v>219</v>
      </c>
      <c r="B220" s="153" t="s">
        <v>1039</v>
      </c>
      <c r="C220" s="153" t="str">
        <f>VLOOKUP(B220,MEMBERS!B:C,2, )</f>
        <v>MR. AYAZ JAMRO</v>
      </c>
      <c r="D220" s="162">
        <v>46005</v>
      </c>
      <c r="E220" s="154">
        <v>0</v>
      </c>
      <c r="F220" s="154">
        <v>0</v>
      </c>
      <c r="G220" s="154">
        <v>0</v>
      </c>
      <c r="H220" s="154">
        <v>0</v>
      </c>
      <c r="I220" s="154">
        <v>0</v>
      </c>
      <c r="J220" s="154">
        <f>300*2</f>
        <v>600</v>
      </c>
      <c r="K220" s="154">
        <v>0</v>
      </c>
      <c r="L220" s="154">
        <v>0</v>
      </c>
      <c r="M220" s="155">
        <v>0</v>
      </c>
      <c r="N220" s="154">
        <v>0</v>
      </c>
      <c r="O220" s="154">
        <v>0</v>
      </c>
      <c r="P220" s="154">
        <v>0</v>
      </c>
      <c r="Q220" s="154">
        <v>0</v>
      </c>
      <c r="R220" s="156">
        <v>0</v>
      </c>
      <c r="S220" s="156">
        <v>0</v>
      </c>
      <c r="T220" s="156">
        <v>0</v>
      </c>
      <c r="U220" s="156">
        <f t="shared" si="10"/>
        <v>600</v>
      </c>
    </row>
    <row r="221" spans="1:21" ht="18" hidden="1" customHeight="1">
      <c r="A221" s="153">
        <f t="shared" si="9"/>
        <v>220</v>
      </c>
      <c r="B221" s="153" t="s">
        <v>54</v>
      </c>
      <c r="C221" s="153" t="str">
        <f>VLOOKUP(B221,MEMBERS!B:C,2, )</f>
        <v>MR.ZEESHAN IQBAL</v>
      </c>
      <c r="D221" s="162">
        <v>46005</v>
      </c>
      <c r="E221" s="154">
        <v>0</v>
      </c>
      <c r="F221" s="154">
        <v>150</v>
      </c>
      <c r="G221" s="154">
        <v>0</v>
      </c>
      <c r="H221" s="154">
        <v>0</v>
      </c>
      <c r="I221" s="154">
        <v>0</v>
      </c>
      <c r="J221" s="154">
        <f>500*4</f>
        <v>2000</v>
      </c>
      <c r="K221" s="154">
        <v>0</v>
      </c>
      <c r="L221" s="154">
        <v>0</v>
      </c>
      <c r="M221" s="155">
        <v>0</v>
      </c>
      <c r="N221" s="154">
        <v>0</v>
      </c>
      <c r="O221" s="154">
        <v>0</v>
      </c>
      <c r="P221" s="154">
        <v>0</v>
      </c>
      <c r="Q221" s="154">
        <v>0</v>
      </c>
      <c r="R221" s="156">
        <v>0</v>
      </c>
      <c r="S221" s="156">
        <v>0</v>
      </c>
      <c r="T221" s="156">
        <v>0</v>
      </c>
      <c r="U221" s="156">
        <f t="shared" si="10"/>
        <v>2150</v>
      </c>
    </row>
    <row r="222" spans="1:21" ht="18" hidden="1" customHeight="1">
      <c r="A222" s="153">
        <f t="shared" si="9"/>
        <v>221</v>
      </c>
      <c r="B222" s="153" t="s">
        <v>142</v>
      </c>
      <c r="C222" s="153" t="str">
        <f>VLOOKUP(B222,MEMBERS!B:C,2, )</f>
        <v>MR.MUHAMMAD HANIF</v>
      </c>
      <c r="D222" s="162">
        <v>46005</v>
      </c>
      <c r="E222" s="154">
        <v>0</v>
      </c>
      <c r="F222" s="154">
        <v>0</v>
      </c>
      <c r="G222" s="154">
        <v>0</v>
      </c>
      <c r="H222" s="154">
        <v>0</v>
      </c>
      <c r="I222" s="154">
        <v>0</v>
      </c>
      <c r="J222" s="154">
        <f>500*3</f>
        <v>1500</v>
      </c>
      <c r="K222" s="154">
        <v>0</v>
      </c>
      <c r="L222" s="154">
        <v>0</v>
      </c>
      <c r="M222" s="155">
        <v>0</v>
      </c>
      <c r="N222" s="154">
        <v>0</v>
      </c>
      <c r="O222" s="154">
        <v>0</v>
      </c>
      <c r="P222" s="154">
        <v>0</v>
      </c>
      <c r="Q222" s="154">
        <v>0</v>
      </c>
      <c r="R222" s="156">
        <v>0</v>
      </c>
      <c r="S222" s="156">
        <v>0</v>
      </c>
      <c r="T222" s="156">
        <v>0</v>
      </c>
      <c r="U222" s="156">
        <f t="shared" si="10"/>
        <v>1500</v>
      </c>
    </row>
    <row r="223" spans="1:21" ht="18" hidden="1" customHeight="1">
      <c r="A223" s="153">
        <f t="shared" si="9"/>
        <v>222</v>
      </c>
      <c r="B223" s="153" t="s">
        <v>308</v>
      </c>
      <c r="C223" s="153" t="str">
        <f>VLOOKUP(B223,MEMBERS!B:C,2, )</f>
        <v>DGM AZFAR ALI</v>
      </c>
      <c r="D223" s="162">
        <v>46005</v>
      </c>
      <c r="E223" s="154">
        <f>300*4</f>
        <v>1200</v>
      </c>
      <c r="F223" s="154">
        <v>0</v>
      </c>
      <c r="G223" s="154">
        <v>0</v>
      </c>
      <c r="H223" s="154">
        <v>0</v>
      </c>
      <c r="I223" s="154">
        <v>0</v>
      </c>
      <c r="J223" s="154">
        <f>300*2+500*3</f>
        <v>2100</v>
      </c>
      <c r="K223" s="154">
        <v>0</v>
      </c>
      <c r="L223" s="154">
        <v>0</v>
      </c>
      <c r="M223" s="155">
        <v>0</v>
      </c>
      <c r="N223" s="154">
        <v>0</v>
      </c>
      <c r="O223" s="154">
        <v>0</v>
      </c>
      <c r="P223" s="154">
        <v>0</v>
      </c>
      <c r="Q223" s="154">
        <v>0</v>
      </c>
      <c r="R223" s="156">
        <v>0</v>
      </c>
      <c r="S223" s="156">
        <v>0</v>
      </c>
      <c r="T223" s="156">
        <v>0</v>
      </c>
      <c r="U223" s="156">
        <f t="shared" si="10"/>
        <v>3300</v>
      </c>
    </row>
    <row r="224" spans="1:21" ht="18" hidden="1" customHeight="1">
      <c r="A224" s="153">
        <f t="shared" si="9"/>
        <v>223</v>
      </c>
      <c r="B224" s="153" t="s">
        <v>88</v>
      </c>
      <c r="C224" s="153" t="str">
        <f>VLOOKUP(B224,MEMBERS!B:C,2, )</f>
        <v>DR.NAZEER HUSSAIN KALHORO</v>
      </c>
      <c r="D224" s="162">
        <v>46005</v>
      </c>
      <c r="E224" s="154">
        <v>0</v>
      </c>
      <c r="F224" s="154">
        <v>0</v>
      </c>
      <c r="G224" s="154">
        <v>0</v>
      </c>
      <c r="H224" s="154">
        <v>0</v>
      </c>
      <c r="I224" s="154">
        <v>0</v>
      </c>
      <c r="J224" s="154">
        <f>300*3+500</f>
        <v>1400</v>
      </c>
      <c r="K224" s="154">
        <v>0</v>
      </c>
      <c r="L224" s="154">
        <v>0</v>
      </c>
      <c r="M224" s="155">
        <v>0</v>
      </c>
      <c r="N224" s="154">
        <v>0</v>
      </c>
      <c r="O224" s="154">
        <v>0</v>
      </c>
      <c r="P224" s="154">
        <v>0</v>
      </c>
      <c r="Q224" s="154">
        <v>0</v>
      </c>
      <c r="R224" s="156">
        <v>0</v>
      </c>
      <c r="S224" s="156">
        <v>0</v>
      </c>
      <c r="T224" s="156">
        <v>0</v>
      </c>
      <c r="U224" s="156">
        <f t="shared" si="10"/>
        <v>1400</v>
      </c>
    </row>
    <row r="225" spans="1:21" ht="18" hidden="1" customHeight="1">
      <c r="A225" s="153">
        <f t="shared" si="9"/>
        <v>224</v>
      </c>
      <c r="B225" s="153" t="s">
        <v>192</v>
      </c>
      <c r="C225" s="153" t="str">
        <f>VLOOKUP(B225,MEMBERS!B:C,2, )</f>
        <v>MR.HANIF AHSAN ZUBEDI</v>
      </c>
      <c r="D225" s="162">
        <v>46005</v>
      </c>
      <c r="E225" s="154">
        <v>300</v>
      </c>
      <c r="F225" s="154">
        <v>0</v>
      </c>
      <c r="G225" s="154">
        <v>0</v>
      </c>
      <c r="H225" s="154">
        <v>300</v>
      </c>
      <c r="I225" s="154">
        <v>0</v>
      </c>
      <c r="J225" s="154">
        <f>300*2+500*3</f>
        <v>2100</v>
      </c>
      <c r="K225" s="154">
        <v>0</v>
      </c>
      <c r="L225" s="154">
        <v>0</v>
      </c>
      <c r="M225" s="155">
        <v>0</v>
      </c>
      <c r="N225" s="154">
        <v>0</v>
      </c>
      <c r="O225" s="154">
        <v>0</v>
      </c>
      <c r="P225" s="154">
        <v>0</v>
      </c>
      <c r="Q225" s="154">
        <v>0</v>
      </c>
      <c r="R225" s="156">
        <v>0</v>
      </c>
      <c r="S225" s="156">
        <v>0</v>
      </c>
      <c r="T225" s="156">
        <v>0</v>
      </c>
      <c r="U225" s="156">
        <f t="shared" si="10"/>
        <v>2700</v>
      </c>
    </row>
    <row r="226" spans="1:21" ht="18" hidden="1" customHeight="1">
      <c r="A226" s="153">
        <f t="shared" si="9"/>
        <v>225</v>
      </c>
      <c r="B226" s="153" t="s">
        <v>123</v>
      </c>
      <c r="C226" s="153" t="str">
        <f>VLOOKUP(B226,MEMBERS!B:C,2, )</f>
        <v>MR.MUIED AHMED DURRANI</v>
      </c>
      <c r="D226" s="162">
        <v>46005</v>
      </c>
      <c r="E226" s="154">
        <v>0</v>
      </c>
      <c r="F226" s="154">
        <v>0</v>
      </c>
      <c r="G226" s="154">
        <v>0</v>
      </c>
      <c r="H226" s="154">
        <v>0</v>
      </c>
      <c r="I226" s="154">
        <v>0</v>
      </c>
      <c r="J226" s="154">
        <v>300</v>
      </c>
      <c r="K226" s="154">
        <v>0</v>
      </c>
      <c r="L226" s="154">
        <v>0</v>
      </c>
      <c r="M226" s="155">
        <v>0</v>
      </c>
      <c r="N226" s="154">
        <v>0</v>
      </c>
      <c r="O226" s="154">
        <v>0</v>
      </c>
      <c r="P226" s="154">
        <v>0</v>
      </c>
      <c r="Q226" s="154">
        <v>0</v>
      </c>
      <c r="R226" s="156">
        <v>0</v>
      </c>
      <c r="S226" s="156">
        <v>0</v>
      </c>
      <c r="T226" s="156">
        <v>0</v>
      </c>
      <c r="U226" s="156">
        <f t="shared" si="10"/>
        <v>300</v>
      </c>
    </row>
    <row r="227" spans="1:21" ht="18" hidden="1" customHeight="1">
      <c r="A227" s="153">
        <f t="shared" si="9"/>
        <v>226</v>
      </c>
      <c r="B227" s="153" t="s">
        <v>235</v>
      </c>
      <c r="C227" s="153" t="str">
        <f>VLOOKUP(B227,MEMBERS!B:C,2, )</f>
        <v>MR.IMRAN WAZEER</v>
      </c>
      <c r="D227" s="162">
        <v>46005</v>
      </c>
      <c r="E227" s="154">
        <f>300*2+600*3</f>
        <v>2400</v>
      </c>
      <c r="F227" s="154">
        <v>0</v>
      </c>
      <c r="G227" s="154">
        <v>0</v>
      </c>
      <c r="H227" s="154">
        <v>0</v>
      </c>
      <c r="I227" s="154">
        <v>0</v>
      </c>
      <c r="J227" s="154">
        <v>0</v>
      </c>
      <c r="K227" s="154">
        <v>0</v>
      </c>
      <c r="L227" s="154">
        <v>0</v>
      </c>
      <c r="M227" s="155">
        <v>0</v>
      </c>
      <c r="N227" s="154">
        <v>0</v>
      </c>
      <c r="O227" s="154">
        <v>0</v>
      </c>
      <c r="P227" s="154">
        <v>0</v>
      </c>
      <c r="Q227" s="154">
        <v>0</v>
      </c>
      <c r="R227" s="156">
        <v>0</v>
      </c>
      <c r="S227" s="156">
        <v>0</v>
      </c>
      <c r="T227" s="156">
        <v>0</v>
      </c>
      <c r="U227" s="156">
        <f t="shared" si="10"/>
        <v>2400</v>
      </c>
    </row>
    <row r="228" spans="1:21" ht="18" hidden="1" customHeight="1">
      <c r="A228" s="153">
        <f t="shared" si="9"/>
        <v>227</v>
      </c>
      <c r="B228" s="153" t="s">
        <v>1004</v>
      </c>
      <c r="C228" s="153" t="str">
        <f>VLOOKUP(B228,MEMBERS!B:C,2, )</f>
        <v>MRS RIFFAT ZULFIQAR</v>
      </c>
      <c r="D228" s="162">
        <v>46005</v>
      </c>
      <c r="E228" s="154">
        <f>600*7</f>
        <v>4200</v>
      </c>
      <c r="F228" s="154">
        <v>0</v>
      </c>
      <c r="G228" s="154">
        <v>0</v>
      </c>
      <c r="H228" s="154">
        <v>0</v>
      </c>
      <c r="I228" s="154">
        <v>0</v>
      </c>
      <c r="J228" s="154">
        <v>0</v>
      </c>
      <c r="K228" s="154">
        <v>0</v>
      </c>
      <c r="L228" s="154">
        <v>0</v>
      </c>
      <c r="M228" s="155">
        <v>0</v>
      </c>
      <c r="N228" s="154">
        <v>0</v>
      </c>
      <c r="O228" s="154">
        <v>0</v>
      </c>
      <c r="P228" s="154">
        <v>0</v>
      </c>
      <c r="Q228" s="154">
        <v>0</v>
      </c>
      <c r="R228" s="156">
        <v>0</v>
      </c>
      <c r="S228" s="156">
        <v>0</v>
      </c>
      <c r="T228" s="156">
        <v>0</v>
      </c>
      <c r="U228" s="156">
        <f t="shared" si="10"/>
        <v>4200</v>
      </c>
    </row>
    <row r="229" spans="1:21" ht="18" hidden="1" customHeight="1">
      <c r="A229" s="153">
        <f t="shared" si="9"/>
        <v>228</v>
      </c>
      <c r="B229" s="153" t="s">
        <v>1073</v>
      </c>
      <c r="C229" s="153" t="str">
        <f>VLOOKUP(B229,MEMBERS!B:C,2, )</f>
        <v>MR. GHULAM MUSTAFA</v>
      </c>
      <c r="D229" s="162">
        <v>46005</v>
      </c>
      <c r="E229" s="154">
        <f>600*3</f>
        <v>1800</v>
      </c>
      <c r="F229" s="154">
        <v>0</v>
      </c>
      <c r="G229" s="154">
        <v>0</v>
      </c>
      <c r="H229" s="154">
        <v>0</v>
      </c>
      <c r="I229" s="154">
        <v>0</v>
      </c>
      <c r="J229" s="154">
        <v>0</v>
      </c>
      <c r="K229" s="154">
        <v>0</v>
      </c>
      <c r="L229" s="154">
        <v>0</v>
      </c>
      <c r="M229" s="155">
        <v>0</v>
      </c>
      <c r="N229" s="154">
        <v>0</v>
      </c>
      <c r="O229" s="154">
        <v>0</v>
      </c>
      <c r="P229" s="154">
        <v>0</v>
      </c>
      <c r="Q229" s="154">
        <v>0</v>
      </c>
      <c r="R229" s="156">
        <v>0</v>
      </c>
      <c r="S229" s="156">
        <v>0</v>
      </c>
      <c r="T229" s="156">
        <v>0</v>
      </c>
      <c r="U229" s="156">
        <f t="shared" si="10"/>
        <v>1800</v>
      </c>
    </row>
    <row r="230" spans="1:21" ht="18" hidden="1" customHeight="1">
      <c r="A230" s="153">
        <f t="shared" si="9"/>
        <v>229</v>
      </c>
      <c r="B230" s="153" t="s">
        <v>948</v>
      </c>
      <c r="C230" s="153" t="str">
        <f>VLOOKUP(B230,MEMBERS!B:C,2, )</f>
        <v>MR. TEHSEEN FAIZ</v>
      </c>
      <c r="D230" s="162">
        <v>46006</v>
      </c>
      <c r="E230" s="154">
        <v>0</v>
      </c>
      <c r="F230" s="154">
        <v>0</v>
      </c>
      <c r="G230" s="154">
        <v>0</v>
      </c>
      <c r="H230" s="154">
        <v>0</v>
      </c>
      <c r="I230" s="154">
        <v>0</v>
      </c>
      <c r="J230" s="154">
        <v>0</v>
      </c>
      <c r="K230" s="154">
        <f>300*3</f>
        <v>900</v>
      </c>
      <c r="L230" s="154">
        <v>0</v>
      </c>
      <c r="M230" s="155">
        <v>0</v>
      </c>
      <c r="N230" s="154">
        <v>0</v>
      </c>
      <c r="O230" s="154">
        <v>0</v>
      </c>
      <c r="P230" s="154">
        <v>0</v>
      </c>
      <c r="Q230" s="154">
        <v>0</v>
      </c>
      <c r="R230" s="156">
        <v>0</v>
      </c>
      <c r="S230" s="156">
        <v>0</v>
      </c>
      <c r="T230" s="156">
        <v>0</v>
      </c>
      <c r="U230" s="156">
        <f t="shared" si="10"/>
        <v>900</v>
      </c>
    </row>
    <row r="231" spans="1:21" ht="18" hidden="1" customHeight="1">
      <c r="A231" s="153">
        <f t="shared" ref="A231:A256" si="11">IF(D231&lt;&gt;"", ROW()-1, "")</f>
        <v>230</v>
      </c>
      <c r="B231" s="153" t="s">
        <v>83</v>
      </c>
      <c r="C231" s="153" t="str">
        <f>VLOOKUP(B231,MEMBERS!B:C,2, )</f>
        <v>DR.SANTOSH KUMAR</v>
      </c>
      <c r="D231" s="162">
        <v>46006</v>
      </c>
      <c r="E231" s="154">
        <v>0</v>
      </c>
      <c r="F231" s="154">
        <v>150</v>
      </c>
      <c r="G231" s="154">
        <v>0</v>
      </c>
      <c r="H231" s="154">
        <v>0</v>
      </c>
      <c r="I231" s="154">
        <v>0</v>
      </c>
      <c r="J231" s="154">
        <v>0</v>
      </c>
      <c r="K231" s="154">
        <v>0</v>
      </c>
      <c r="L231" s="154">
        <v>0</v>
      </c>
      <c r="M231" s="155">
        <v>0</v>
      </c>
      <c r="N231" s="154">
        <v>0</v>
      </c>
      <c r="O231" s="154">
        <v>0</v>
      </c>
      <c r="P231" s="154">
        <v>0</v>
      </c>
      <c r="Q231" s="154">
        <v>0</v>
      </c>
      <c r="R231" s="156">
        <v>0</v>
      </c>
      <c r="S231" s="156">
        <v>0</v>
      </c>
      <c r="T231" s="156">
        <v>0</v>
      </c>
      <c r="U231" s="156">
        <f t="shared" ref="U231:U256" si="12">SUM(E231:T231)</f>
        <v>150</v>
      </c>
    </row>
    <row r="232" spans="1:21" ht="18" hidden="1" customHeight="1">
      <c r="A232" s="153">
        <f t="shared" si="11"/>
        <v>231</v>
      </c>
      <c r="B232" s="153" t="s">
        <v>312</v>
      </c>
      <c r="C232" s="153" t="str">
        <f>VLOOKUP(B232,MEMBERS!B:C,2, )</f>
        <v>GM GHULAM DASTAGEER</v>
      </c>
      <c r="D232" s="162">
        <v>46006</v>
      </c>
      <c r="E232" s="154">
        <v>0</v>
      </c>
      <c r="F232" s="154">
        <v>150</v>
      </c>
      <c r="G232" s="154">
        <v>0</v>
      </c>
      <c r="H232" s="154">
        <v>0</v>
      </c>
      <c r="I232" s="154">
        <v>0</v>
      </c>
      <c r="J232" s="154">
        <v>0</v>
      </c>
      <c r="K232" s="154">
        <v>0</v>
      </c>
      <c r="L232" s="154">
        <v>0</v>
      </c>
      <c r="M232" s="155">
        <v>0</v>
      </c>
      <c r="N232" s="154">
        <v>0</v>
      </c>
      <c r="O232" s="154">
        <v>0</v>
      </c>
      <c r="P232" s="154">
        <v>0</v>
      </c>
      <c r="Q232" s="154">
        <v>0</v>
      </c>
      <c r="R232" s="156">
        <v>0</v>
      </c>
      <c r="S232" s="156">
        <v>0</v>
      </c>
      <c r="T232" s="156">
        <v>0</v>
      </c>
      <c r="U232" s="156">
        <f t="shared" si="12"/>
        <v>150</v>
      </c>
    </row>
    <row r="233" spans="1:21" ht="18" hidden="1" customHeight="1">
      <c r="A233" s="153">
        <f t="shared" si="11"/>
        <v>232</v>
      </c>
      <c r="B233" s="153" t="s">
        <v>650</v>
      </c>
      <c r="C233" s="153" t="str">
        <f>VLOOKUP(B233,MEMBERS!B:C,2, )</f>
        <v>SHAHBAZ AHMED</v>
      </c>
      <c r="D233" s="162">
        <v>46006</v>
      </c>
      <c r="E233" s="154">
        <v>0</v>
      </c>
      <c r="F233" s="154">
        <v>300</v>
      </c>
      <c r="G233" s="154">
        <v>0</v>
      </c>
      <c r="H233" s="154">
        <v>0</v>
      </c>
      <c r="I233" s="154">
        <v>0</v>
      </c>
      <c r="J233" s="154">
        <v>0</v>
      </c>
      <c r="K233" s="154">
        <v>0</v>
      </c>
      <c r="L233" s="154">
        <v>0</v>
      </c>
      <c r="M233" s="155">
        <v>0</v>
      </c>
      <c r="N233" s="154">
        <v>0</v>
      </c>
      <c r="O233" s="154">
        <v>0</v>
      </c>
      <c r="P233" s="154">
        <v>0</v>
      </c>
      <c r="Q233" s="154">
        <v>0</v>
      </c>
      <c r="R233" s="156">
        <v>0</v>
      </c>
      <c r="S233" s="156">
        <v>0</v>
      </c>
      <c r="T233" s="156">
        <v>0</v>
      </c>
      <c r="U233" s="156">
        <f t="shared" si="12"/>
        <v>300</v>
      </c>
    </row>
    <row r="234" spans="1:21" ht="18" hidden="1" customHeight="1">
      <c r="A234" s="153">
        <f t="shared" si="11"/>
        <v>233</v>
      </c>
      <c r="B234" s="153" t="s">
        <v>235</v>
      </c>
      <c r="C234" s="153" t="str">
        <f>VLOOKUP(B234,MEMBERS!B:C,2, )</f>
        <v>MR.IMRAN WAZEER</v>
      </c>
      <c r="D234" s="162">
        <v>46006</v>
      </c>
      <c r="E234" s="154">
        <v>0</v>
      </c>
      <c r="F234" s="154">
        <v>150</v>
      </c>
      <c r="G234" s="154">
        <v>0</v>
      </c>
      <c r="H234" s="154">
        <v>0</v>
      </c>
      <c r="I234" s="154">
        <v>0</v>
      </c>
      <c r="J234" s="154">
        <v>0</v>
      </c>
      <c r="K234" s="154">
        <v>0</v>
      </c>
      <c r="L234" s="154">
        <v>0</v>
      </c>
      <c r="M234" s="155">
        <v>0</v>
      </c>
      <c r="N234" s="154">
        <v>0</v>
      </c>
      <c r="O234" s="154">
        <v>0</v>
      </c>
      <c r="P234" s="154">
        <v>0</v>
      </c>
      <c r="Q234" s="154">
        <v>0</v>
      </c>
      <c r="R234" s="156">
        <v>0</v>
      </c>
      <c r="S234" s="156">
        <v>0</v>
      </c>
      <c r="T234" s="156">
        <v>0</v>
      </c>
      <c r="U234" s="156">
        <f t="shared" si="12"/>
        <v>150</v>
      </c>
    </row>
    <row r="235" spans="1:21" ht="18" hidden="1" customHeight="1">
      <c r="A235" s="153">
        <f t="shared" si="11"/>
        <v>234</v>
      </c>
      <c r="B235" s="153" t="s">
        <v>385</v>
      </c>
      <c r="C235" s="153" t="str">
        <f>VLOOKUP(B235,MEMBERS!B:C,2, )</f>
        <v>AYSM MIRZA</v>
      </c>
      <c r="D235" s="162">
        <v>46006</v>
      </c>
      <c r="E235" s="154">
        <v>0</v>
      </c>
      <c r="F235" s="154">
        <v>150</v>
      </c>
      <c r="G235" s="154">
        <v>0</v>
      </c>
      <c r="H235" s="154">
        <v>0</v>
      </c>
      <c r="I235" s="154">
        <v>0</v>
      </c>
      <c r="J235" s="154">
        <v>0</v>
      </c>
      <c r="K235" s="154">
        <v>0</v>
      </c>
      <c r="L235" s="154">
        <v>0</v>
      </c>
      <c r="M235" s="155">
        <v>0</v>
      </c>
      <c r="N235" s="154">
        <v>0</v>
      </c>
      <c r="O235" s="154">
        <v>0</v>
      </c>
      <c r="P235" s="154">
        <v>0</v>
      </c>
      <c r="Q235" s="154">
        <v>0</v>
      </c>
      <c r="R235" s="156">
        <v>0</v>
      </c>
      <c r="S235" s="156">
        <v>0</v>
      </c>
      <c r="T235" s="156">
        <v>0</v>
      </c>
      <c r="U235" s="156">
        <f t="shared" si="12"/>
        <v>150</v>
      </c>
    </row>
    <row r="236" spans="1:21" ht="18" hidden="1" customHeight="1">
      <c r="A236" s="153">
        <f t="shared" si="11"/>
        <v>235</v>
      </c>
      <c r="B236" s="153" t="s">
        <v>155</v>
      </c>
      <c r="C236" s="153" t="str">
        <f>VLOOKUP(B236,MEMBERS!B:C,2, )</f>
        <v>MR.PIR MUJEEB JAN SARHANDI</v>
      </c>
      <c r="D236" s="162">
        <v>46006</v>
      </c>
      <c r="E236" s="154">
        <v>0</v>
      </c>
      <c r="F236" s="154">
        <v>150</v>
      </c>
      <c r="G236" s="154">
        <v>0</v>
      </c>
      <c r="H236" s="154">
        <v>0</v>
      </c>
      <c r="I236" s="154">
        <v>0</v>
      </c>
      <c r="J236" s="154">
        <v>0</v>
      </c>
      <c r="K236" s="154">
        <v>0</v>
      </c>
      <c r="L236" s="154">
        <v>0</v>
      </c>
      <c r="M236" s="155">
        <v>0</v>
      </c>
      <c r="N236" s="154">
        <v>0</v>
      </c>
      <c r="O236" s="154">
        <v>0</v>
      </c>
      <c r="P236" s="154">
        <v>0</v>
      </c>
      <c r="Q236" s="154">
        <v>0</v>
      </c>
      <c r="R236" s="156">
        <v>0</v>
      </c>
      <c r="S236" s="156">
        <v>0</v>
      </c>
      <c r="T236" s="156">
        <v>0</v>
      </c>
      <c r="U236" s="156">
        <f t="shared" si="12"/>
        <v>150</v>
      </c>
    </row>
    <row r="237" spans="1:21" ht="18" hidden="1" customHeight="1">
      <c r="A237" s="153">
        <f t="shared" si="11"/>
        <v>236</v>
      </c>
      <c r="B237" s="153" t="s">
        <v>359</v>
      </c>
      <c r="C237" s="153" t="str">
        <f>VLOOKUP(B237,MEMBERS!B:C,2, )</f>
        <v>DR.NASEEM MUNSHI</v>
      </c>
      <c r="D237" s="162">
        <v>46006</v>
      </c>
      <c r="E237" s="154">
        <v>0</v>
      </c>
      <c r="F237" s="154">
        <v>150</v>
      </c>
      <c r="G237" s="154">
        <v>0</v>
      </c>
      <c r="H237" s="154">
        <v>0</v>
      </c>
      <c r="I237" s="154">
        <v>0</v>
      </c>
      <c r="J237" s="154">
        <v>0</v>
      </c>
      <c r="K237" s="154">
        <v>0</v>
      </c>
      <c r="L237" s="154">
        <v>0</v>
      </c>
      <c r="M237" s="155">
        <v>0</v>
      </c>
      <c r="N237" s="154">
        <v>0</v>
      </c>
      <c r="O237" s="154">
        <v>0</v>
      </c>
      <c r="P237" s="154">
        <v>0</v>
      </c>
      <c r="Q237" s="154">
        <v>0</v>
      </c>
      <c r="R237" s="156">
        <v>0</v>
      </c>
      <c r="S237" s="156">
        <v>0</v>
      </c>
      <c r="T237" s="156">
        <v>0</v>
      </c>
      <c r="U237" s="156">
        <f t="shared" si="12"/>
        <v>150</v>
      </c>
    </row>
    <row r="238" spans="1:21" ht="18" hidden="1" customHeight="1">
      <c r="A238" s="153">
        <f t="shared" si="11"/>
        <v>237</v>
      </c>
      <c r="B238" s="153" t="s">
        <v>756</v>
      </c>
      <c r="C238" s="153" t="s">
        <v>1173</v>
      </c>
      <c r="D238" s="162">
        <v>46007</v>
      </c>
      <c r="E238" s="154">
        <v>0</v>
      </c>
      <c r="F238" s="154">
        <v>0</v>
      </c>
      <c r="G238" s="154">
        <v>0</v>
      </c>
      <c r="H238" s="154">
        <v>0</v>
      </c>
      <c r="I238" s="154">
        <v>0</v>
      </c>
      <c r="J238" s="154">
        <v>0</v>
      </c>
      <c r="K238" s="154">
        <v>0</v>
      </c>
      <c r="L238" s="154">
        <v>0</v>
      </c>
      <c r="M238" s="155">
        <v>0</v>
      </c>
      <c r="N238" s="154">
        <v>0</v>
      </c>
      <c r="O238" s="154">
        <v>0</v>
      </c>
      <c r="P238" s="154">
        <v>2000</v>
      </c>
      <c r="Q238" s="154">
        <v>0</v>
      </c>
      <c r="R238" s="156">
        <v>0</v>
      </c>
      <c r="S238" s="156">
        <v>0</v>
      </c>
      <c r="T238" s="156">
        <v>0</v>
      </c>
      <c r="U238" s="156">
        <f t="shared" si="12"/>
        <v>2000</v>
      </c>
    </row>
    <row r="239" spans="1:21" ht="18" hidden="1" customHeight="1">
      <c r="A239" s="153">
        <f t="shared" si="11"/>
        <v>238</v>
      </c>
      <c r="B239" s="153" t="s">
        <v>54</v>
      </c>
      <c r="C239" s="153" t="str">
        <f>VLOOKUP(B239,MEMBERS!B:C,2, )</f>
        <v>MR.ZEESHAN IQBAL</v>
      </c>
      <c r="D239" s="162">
        <v>46007</v>
      </c>
      <c r="E239" s="154">
        <v>0</v>
      </c>
      <c r="F239" s="154">
        <f>150+300</f>
        <v>450</v>
      </c>
      <c r="G239" s="154">
        <v>0</v>
      </c>
      <c r="H239" s="154">
        <v>0</v>
      </c>
      <c r="I239" s="154">
        <v>0</v>
      </c>
      <c r="J239" s="154">
        <v>0</v>
      </c>
      <c r="K239" s="154">
        <v>0</v>
      </c>
      <c r="L239" s="154">
        <v>0</v>
      </c>
      <c r="M239" s="155">
        <v>0</v>
      </c>
      <c r="N239" s="154">
        <v>0</v>
      </c>
      <c r="O239" s="154">
        <v>0</v>
      </c>
      <c r="P239" s="154">
        <v>0</v>
      </c>
      <c r="Q239" s="154">
        <v>0</v>
      </c>
      <c r="R239" s="156">
        <v>0</v>
      </c>
      <c r="S239" s="156">
        <v>0</v>
      </c>
      <c r="T239" s="156">
        <v>0</v>
      </c>
      <c r="U239" s="156">
        <f t="shared" si="12"/>
        <v>450</v>
      </c>
    </row>
    <row r="240" spans="1:21" ht="18" hidden="1" customHeight="1">
      <c r="A240" s="153">
        <f t="shared" si="11"/>
        <v>239</v>
      </c>
      <c r="B240" s="153" t="s">
        <v>650</v>
      </c>
      <c r="C240" s="153" t="str">
        <f>VLOOKUP(B240,MEMBERS!B:C,2, )</f>
        <v>SHAHBAZ AHMED</v>
      </c>
      <c r="D240" s="162">
        <v>46007</v>
      </c>
      <c r="E240" s="154">
        <v>0</v>
      </c>
      <c r="F240" s="154">
        <v>300</v>
      </c>
      <c r="G240" s="154">
        <v>0</v>
      </c>
      <c r="H240" s="154">
        <v>0</v>
      </c>
      <c r="I240" s="154">
        <v>0</v>
      </c>
      <c r="J240" s="154">
        <v>0</v>
      </c>
      <c r="K240" s="154">
        <v>0</v>
      </c>
      <c r="L240" s="154">
        <v>0</v>
      </c>
      <c r="M240" s="155">
        <v>0</v>
      </c>
      <c r="N240" s="154">
        <v>0</v>
      </c>
      <c r="O240" s="154">
        <v>0</v>
      </c>
      <c r="P240" s="154">
        <v>0</v>
      </c>
      <c r="Q240" s="154">
        <v>0</v>
      </c>
      <c r="R240" s="156">
        <v>0</v>
      </c>
      <c r="S240" s="156">
        <v>0</v>
      </c>
      <c r="T240" s="156">
        <v>0</v>
      </c>
      <c r="U240" s="156">
        <f t="shared" si="12"/>
        <v>300</v>
      </c>
    </row>
    <row r="241" spans="1:21" ht="18" hidden="1" customHeight="1">
      <c r="A241" s="153">
        <f t="shared" si="11"/>
        <v>240</v>
      </c>
      <c r="B241" s="153" t="s">
        <v>235</v>
      </c>
      <c r="C241" s="153" t="str">
        <f>VLOOKUP(B241,MEMBERS!B:C,2, )</f>
        <v>MR.IMRAN WAZEER</v>
      </c>
      <c r="D241" s="162">
        <v>46007</v>
      </c>
      <c r="E241" s="154">
        <v>0</v>
      </c>
      <c r="F241" s="154">
        <v>150</v>
      </c>
      <c r="G241" s="154">
        <v>0</v>
      </c>
      <c r="H241" s="154">
        <v>0</v>
      </c>
      <c r="I241" s="154">
        <v>0</v>
      </c>
      <c r="J241" s="154">
        <v>0</v>
      </c>
      <c r="K241" s="154">
        <v>0</v>
      </c>
      <c r="L241" s="154">
        <v>0</v>
      </c>
      <c r="M241" s="155">
        <v>0</v>
      </c>
      <c r="N241" s="154">
        <v>0</v>
      </c>
      <c r="O241" s="154">
        <v>0</v>
      </c>
      <c r="P241" s="154">
        <v>0</v>
      </c>
      <c r="Q241" s="154">
        <v>0</v>
      </c>
      <c r="R241" s="156">
        <v>0</v>
      </c>
      <c r="S241" s="156">
        <v>0</v>
      </c>
      <c r="T241" s="156">
        <v>0</v>
      </c>
      <c r="U241" s="156">
        <f t="shared" si="12"/>
        <v>150</v>
      </c>
    </row>
    <row r="242" spans="1:21" ht="18" hidden="1" customHeight="1">
      <c r="A242" s="153">
        <f t="shared" si="11"/>
        <v>241</v>
      </c>
      <c r="B242" s="153" t="s">
        <v>761</v>
      </c>
      <c r="C242" s="153" t="str">
        <f>VLOOKUP(B242,MEMBERS!B:C,2, )</f>
        <v>MR. FAYAZ ALI SOOMRO</v>
      </c>
      <c r="D242" s="162">
        <v>46007</v>
      </c>
      <c r="E242" s="154">
        <v>0</v>
      </c>
      <c r="F242" s="154">
        <v>150</v>
      </c>
      <c r="G242" s="154">
        <v>0</v>
      </c>
      <c r="H242" s="154">
        <v>0</v>
      </c>
      <c r="I242" s="154">
        <v>0</v>
      </c>
      <c r="J242" s="154">
        <v>0</v>
      </c>
      <c r="K242" s="154">
        <v>0</v>
      </c>
      <c r="L242" s="154">
        <v>0</v>
      </c>
      <c r="M242" s="155">
        <v>0</v>
      </c>
      <c r="N242" s="154">
        <v>0</v>
      </c>
      <c r="O242" s="154">
        <v>0</v>
      </c>
      <c r="P242" s="154">
        <v>0</v>
      </c>
      <c r="Q242" s="154">
        <v>0</v>
      </c>
      <c r="R242" s="156">
        <v>0</v>
      </c>
      <c r="S242" s="156">
        <v>0</v>
      </c>
      <c r="T242" s="156">
        <v>0</v>
      </c>
      <c r="U242" s="156">
        <f t="shared" si="12"/>
        <v>150</v>
      </c>
    </row>
    <row r="243" spans="1:21" ht="18" hidden="1" customHeight="1">
      <c r="A243" s="153">
        <f t="shared" si="11"/>
        <v>242</v>
      </c>
      <c r="B243" s="153" t="s">
        <v>217</v>
      </c>
      <c r="C243" s="153" t="str">
        <f>VLOOKUP(B243,MEMBERS!B:C,2, )</f>
        <v>MR.ZAIN FAROOQ</v>
      </c>
      <c r="D243" s="162">
        <v>46007</v>
      </c>
      <c r="E243" s="154">
        <v>0</v>
      </c>
      <c r="F243" s="154">
        <v>150</v>
      </c>
      <c r="G243" s="154">
        <v>0</v>
      </c>
      <c r="H243" s="154">
        <v>0</v>
      </c>
      <c r="I243" s="154">
        <v>0</v>
      </c>
      <c r="J243" s="154">
        <v>0</v>
      </c>
      <c r="K243" s="154">
        <v>0</v>
      </c>
      <c r="L243" s="154">
        <v>0</v>
      </c>
      <c r="M243" s="155">
        <v>0</v>
      </c>
      <c r="N243" s="154">
        <v>0</v>
      </c>
      <c r="O243" s="154">
        <v>0</v>
      </c>
      <c r="P243" s="154">
        <v>0</v>
      </c>
      <c r="Q243" s="154">
        <v>0</v>
      </c>
      <c r="R243" s="156">
        <v>0</v>
      </c>
      <c r="S243" s="156">
        <v>0</v>
      </c>
      <c r="T243" s="156">
        <v>0</v>
      </c>
      <c r="U243" s="156">
        <f t="shared" si="12"/>
        <v>150</v>
      </c>
    </row>
    <row r="244" spans="1:21" ht="18" hidden="1" customHeight="1">
      <c r="A244" s="153">
        <f t="shared" si="11"/>
        <v>243</v>
      </c>
      <c r="B244" s="153" t="s">
        <v>273</v>
      </c>
      <c r="C244" s="153" t="str">
        <f>VLOOKUP(B244,MEMBERS!B:C,2, )</f>
        <v>MR.SYED MURTAZA ALI</v>
      </c>
      <c r="D244" s="162">
        <v>46007</v>
      </c>
      <c r="E244" s="154">
        <v>0</v>
      </c>
      <c r="F244" s="154">
        <v>150</v>
      </c>
      <c r="G244" s="154">
        <v>0</v>
      </c>
      <c r="H244" s="154">
        <v>0</v>
      </c>
      <c r="I244" s="154">
        <v>0</v>
      </c>
      <c r="J244" s="154">
        <v>0</v>
      </c>
      <c r="K244" s="154">
        <v>0</v>
      </c>
      <c r="L244" s="154">
        <v>0</v>
      </c>
      <c r="M244" s="155">
        <v>0</v>
      </c>
      <c r="N244" s="154">
        <v>0</v>
      </c>
      <c r="O244" s="154">
        <v>0</v>
      </c>
      <c r="P244" s="154">
        <v>0</v>
      </c>
      <c r="Q244" s="154">
        <v>0</v>
      </c>
      <c r="R244" s="156">
        <v>0</v>
      </c>
      <c r="S244" s="156">
        <v>0</v>
      </c>
      <c r="T244" s="156">
        <v>0</v>
      </c>
      <c r="U244" s="156">
        <f t="shared" si="12"/>
        <v>150</v>
      </c>
    </row>
    <row r="245" spans="1:21" ht="18" hidden="1" customHeight="1">
      <c r="A245" s="153">
        <f t="shared" si="11"/>
        <v>244</v>
      </c>
      <c r="B245" s="153" t="s">
        <v>155</v>
      </c>
      <c r="C245" s="153" t="str">
        <f>VLOOKUP(B245,MEMBERS!B:C,2, )</f>
        <v>MR.PIR MUJEEB JAN SARHANDI</v>
      </c>
      <c r="D245" s="162">
        <v>46007</v>
      </c>
      <c r="E245" s="154">
        <v>0</v>
      </c>
      <c r="F245" s="154">
        <v>150</v>
      </c>
      <c r="G245" s="154">
        <v>0</v>
      </c>
      <c r="H245" s="154">
        <v>0</v>
      </c>
      <c r="I245" s="154">
        <v>0</v>
      </c>
      <c r="J245" s="154">
        <v>0</v>
      </c>
      <c r="K245" s="154">
        <v>0</v>
      </c>
      <c r="L245" s="154">
        <v>0</v>
      </c>
      <c r="M245" s="155">
        <v>0</v>
      </c>
      <c r="N245" s="154">
        <v>0</v>
      </c>
      <c r="O245" s="154">
        <v>0</v>
      </c>
      <c r="P245" s="154">
        <v>0</v>
      </c>
      <c r="Q245" s="154">
        <v>0</v>
      </c>
      <c r="R245" s="156">
        <v>0</v>
      </c>
      <c r="S245" s="156">
        <v>0</v>
      </c>
      <c r="T245" s="156">
        <v>0</v>
      </c>
      <c r="U245" s="156">
        <f t="shared" si="12"/>
        <v>150</v>
      </c>
    </row>
    <row r="246" spans="1:21" ht="18" hidden="1" customHeight="1">
      <c r="A246" s="153">
        <f t="shared" si="11"/>
        <v>245</v>
      </c>
      <c r="B246" s="153" t="s">
        <v>197</v>
      </c>
      <c r="C246" s="153" t="str">
        <f>VLOOKUP(B246,MEMBERS!B:C,2, )</f>
        <v>MR.MUHAMMAD ATIF USMANI</v>
      </c>
      <c r="D246" s="162">
        <v>46007</v>
      </c>
      <c r="E246" s="154">
        <v>0</v>
      </c>
      <c r="F246" s="154">
        <v>150</v>
      </c>
      <c r="G246" s="154">
        <v>0</v>
      </c>
      <c r="H246" s="154">
        <v>0</v>
      </c>
      <c r="I246" s="154">
        <v>0</v>
      </c>
      <c r="J246" s="154">
        <v>0</v>
      </c>
      <c r="K246" s="154">
        <v>0</v>
      </c>
      <c r="L246" s="154">
        <v>0</v>
      </c>
      <c r="M246" s="155">
        <v>0</v>
      </c>
      <c r="N246" s="154">
        <v>0</v>
      </c>
      <c r="O246" s="154">
        <v>0</v>
      </c>
      <c r="P246" s="154">
        <v>0</v>
      </c>
      <c r="Q246" s="154">
        <v>0</v>
      </c>
      <c r="R246" s="156">
        <v>0</v>
      </c>
      <c r="S246" s="156">
        <v>0</v>
      </c>
      <c r="T246" s="156">
        <v>0</v>
      </c>
      <c r="U246" s="156">
        <f t="shared" si="12"/>
        <v>150</v>
      </c>
    </row>
    <row r="247" spans="1:21" ht="18" hidden="1" customHeight="1">
      <c r="A247" s="153">
        <f t="shared" si="11"/>
        <v>246</v>
      </c>
      <c r="B247" s="153" t="s">
        <v>98</v>
      </c>
      <c r="C247" s="153" t="str">
        <f>VLOOKUP(B247,MEMBERS!B:C,2, )</f>
        <v>MR.HAFEEZ AHMED SIYAL</v>
      </c>
      <c r="D247" s="162">
        <v>46007</v>
      </c>
      <c r="E247" s="154">
        <v>0</v>
      </c>
      <c r="F247" s="154">
        <v>150</v>
      </c>
      <c r="G247" s="154">
        <v>0</v>
      </c>
      <c r="H247" s="154">
        <v>0</v>
      </c>
      <c r="I247" s="154">
        <v>0</v>
      </c>
      <c r="J247" s="154">
        <v>300</v>
      </c>
      <c r="K247" s="154">
        <v>0</v>
      </c>
      <c r="L247" s="154">
        <v>0</v>
      </c>
      <c r="M247" s="155">
        <v>0</v>
      </c>
      <c r="N247" s="154">
        <v>0</v>
      </c>
      <c r="O247" s="154">
        <v>0</v>
      </c>
      <c r="P247" s="154">
        <v>0</v>
      </c>
      <c r="Q247" s="154">
        <v>0</v>
      </c>
      <c r="R247" s="156">
        <v>0</v>
      </c>
      <c r="S247" s="156">
        <v>0</v>
      </c>
      <c r="T247" s="156">
        <v>0</v>
      </c>
      <c r="U247" s="156">
        <f t="shared" si="12"/>
        <v>450</v>
      </c>
    </row>
    <row r="248" spans="1:21" ht="18" hidden="1" customHeight="1">
      <c r="A248" s="153">
        <f t="shared" si="11"/>
        <v>247</v>
      </c>
      <c r="B248" s="153" t="s">
        <v>151</v>
      </c>
      <c r="C248" s="153" t="str">
        <f>VLOOKUP(B248,MEMBERS!B:C,2, )</f>
        <v>MR.ZULQARNAIN</v>
      </c>
      <c r="D248" s="162">
        <v>46007</v>
      </c>
      <c r="E248" s="154">
        <f>300+600*2</f>
        <v>1500</v>
      </c>
      <c r="F248" s="154">
        <v>0</v>
      </c>
      <c r="G248" s="154">
        <v>0</v>
      </c>
      <c r="H248" s="154">
        <v>0</v>
      </c>
      <c r="I248" s="154">
        <v>0</v>
      </c>
      <c r="J248" s="154">
        <v>0</v>
      </c>
      <c r="K248" s="154">
        <v>0</v>
      </c>
      <c r="L248" s="154">
        <v>0</v>
      </c>
      <c r="M248" s="155">
        <v>0</v>
      </c>
      <c r="N248" s="154">
        <v>0</v>
      </c>
      <c r="O248" s="154">
        <v>0</v>
      </c>
      <c r="P248" s="154">
        <v>0</v>
      </c>
      <c r="Q248" s="154">
        <v>0</v>
      </c>
      <c r="R248" s="156">
        <v>0</v>
      </c>
      <c r="S248" s="156">
        <v>0</v>
      </c>
      <c r="T248" s="156">
        <v>0</v>
      </c>
      <c r="U248" s="156">
        <f t="shared" si="12"/>
        <v>1500</v>
      </c>
    </row>
    <row r="249" spans="1:21" ht="18" hidden="1" customHeight="1">
      <c r="A249" s="153">
        <f t="shared" si="11"/>
        <v>248</v>
      </c>
      <c r="B249" s="153" t="s">
        <v>20</v>
      </c>
      <c r="C249" s="153" t="str">
        <f>VLOOKUP(B249,MEMBERS!B:C,2, )</f>
        <v>MR.BILAL AHMED</v>
      </c>
      <c r="D249" s="162">
        <v>46007</v>
      </c>
      <c r="E249" s="154">
        <v>0</v>
      </c>
      <c r="F249" s="154">
        <v>0</v>
      </c>
      <c r="G249" s="154">
        <v>0</v>
      </c>
      <c r="H249" s="154">
        <v>0</v>
      </c>
      <c r="I249" s="154">
        <v>0</v>
      </c>
      <c r="J249" s="154">
        <v>500</v>
      </c>
      <c r="K249" s="154">
        <v>0</v>
      </c>
      <c r="L249" s="154">
        <v>0</v>
      </c>
      <c r="M249" s="155">
        <v>0</v>
      </c>
      <c r="N249" s="154">
        <v>0</v>
      </c>
      <c r="O249" s="154">
        <v>0</v>
      </c>
      <c r="P249" s="154">
        <v>0</v>
      </c>
      <c r="Q249" s="154">
        <v>0</v>
      </c>
      <c r="R249" s="156">
        <v>0</v>
      </c>
      <c r="S249" s="156">
        <v>0</v>
      </c>
      <c r="T249" s="156">
        <v>0</v>
      </c>
      <c r="U249" s="156">
        <f t="shared" si="12"/>
        <v>500</v>
      </c>
    </row>
    <row r="250" spans="1:21" ht="18" hidden="1" customHeight="1">
      <c r="A250" s="153">
        <f t="shared" si="11"/>
        <v>249</v>
      </c>
      <c r="B250" s="153" t="s">
        <v>454</v>
      </c>
      <c r="C250" s="153" t="str">
        <f>VLOOKUP(B250,MEMBERS!B:C,2, )</f>
        <v>Heritage club</v>
      </c>
      <c r="D250" s="162">
        <v>46008</v>
      </c>
      <c r="E250" s="154">
        <v>0</v>
      </c>
      <c r="F250" s="154">
        <v>0</v>
      </c>
      <c r="G250" s="154">
        <v>0</v>
      </c>
      <c r="H250" s="154">
        <v>0</v>
      </c>
      <c r="I250" s="154">
        <v>0</v>
      </c>
      <c r="J250" s="154">
        <v>0</v>
      </c>
      <c r="K250" s="154">
        <v>0</v>
      </c>
      <c r="L250" s="154">
        <v>0</v>
      </c>
      <c r="M250" s="155">
        <v>0</v>
      </c>
      <c r="N250" s="154">
        <v>0</v>
      </c>
      <c r="O250" s="345">
        <f>1500*4</f>
        <v>6000</v>
      </c>
      <c r="P250" s="154">
        <v>0</v>
      </c>
      <c r="Q250" s="154">
        <v>0</v>
      </c>
      <c r="R250" s="156">
        <v>0</v>
      </c>
      <c r="S250" s="156">
        <v>0</v>
      </c>
      <c r="T250" s="156">
        <v>0</v>
      </c>
      <c r="U250" s="156">
        <f t="shared" si="12"/>
        <v>6000</v>
      </c>
    </row>
    <row r="251" spans="1:21" ht="18" hidden="1" customHeight="1">
      <c r="A251" s="153">
        <f t="shared" si="11"/>
        <v>250</v>
      </c>
      <c r="B251" s="153" t="s">
        <v>756</v>
      </c>
      <c r="C251" s="153" t="s">
        <v>1173</v>
      </c>
      <c r="D251" s="162">
        <v>46008</v>
      </c>
      <c r="E251" s="154">
        <v>0</v>
      </c>
      <c r="F251" s="154">
        <v>0</v>
      </c>
      <c r="G251" s="154">
        <v>0</v>
      </c>
      <c r="H251" s="154">
        <v>0</v>
      </c>
      <c r="I251" s="154">
        <v>0</v>
      </c>
      <c r="J251" s="154">
        <v>0</v>
      </c>
      <c r="K251" s="154">
        <f>650*4</f>
        <v>2600</v>
      </c>
      <c r="L251" s="154">
        <v>0</v>
      </c>
      <c r="M251" s="155">
        <v>0</v>
      </c>
      <c r="N251" s="154">
        <v>0</v>
      </c>
      <c r="O251" s="154">
        <v>0</v>
      </c>
      <c r="P251" s="154">
        <v>0</v>
      </c>
      <c r="Q251" s="154">
        <v>0</v>
      </c>
      <c r="R251" s="156">
        <v>0</v>
      </c>
      <c r="S251" s="156">
        <v>0</v>
      </c>
      <c r="T251" s="156">
        <v>0</v>
      </c>
      <c r="U251" s="156">
        <f t="shared" si="12"/>
        <v>2600</v>
      </c>
    </row>
    <row r="252" spans="1:21" ht="18" hidden="1" customHeight="1">
      <c r="A252" s="153">
        <f t="shared" si="11"/>
        <v>251</v>
      </c>
      <c r="B252" s="153" t="s">
        <v>187</v>
      </c>
      <c r="C252" s="153" t="str">
        <f>VLOOKUP(B252,MEMBERS!B:C,2, )</f>
        <v>MR.SHAN ELAHI SEHGAL</v>
      </c>
      <c r="D252" s="162">
        <v>46008</v>
      </c>
      <c r="E252" s="154">
        <v>0</v>
      </c>
      <c r="F252" s="154">
        <v>0</v>
      </c>
      <c r="G252" s="154">
        <v>0</v>
      </c>
      <c r="H252" s="154">
        <v>0</v>
      </c>
      <c r="I252" s="154">
        <v>0</v>
      </c>
      <c r="J252" s="154">
        <v>0</v>
      </c>
      <c r="K252" s="292">
        <f>300+600</f>
        <v>900</v>
      </c>
      <c r="L252" s="154">
        <v>0</v>
      </c>
      <c r="M252" s="155">
        <v>0</v>
      </c>
      <c r="N252" s="154">
        <v>0</v>
      </c>
      <c r="O252" s="154">
        <v>0</v>
      </c>
      <c r="P252" s="154">
        <v>0</v>
      </c>
      <c r="Q252" s="154">
        <v>0</v>
      </c>
      <c r="R252" s="156">
        <v>0</v>
      </c>
      <c r="S252" s="156">
        <v>0</v>
      </c>
      <c r="T252" s="156">
        <v>0</v>
      </c>
      <c r="U252" s="156">
        <f t="shared" si="12"/>
        <v>900</v>
      </c>
    </row>
    <row r="253" spans="1:21" ht="18" hidden="1" customHeight="1">
      <c r="A253" s="153">
        <f t="shared" si="11"/>
        <v>252</v>
      </c>
      <c r="B253" s="153" t="s">
        <v>235</v>
      </c>
      <c r="C253" s="153" t="str">
        <f>VLOOKUP(B253,MEMBERS!B:C,2, )</f>
        <v>MR.IMRAN WAZEER</v>
      </c>
      <c r="D253" s="162">
        <v>46008</v>
      </c>
      <c r="E253" s="154">
        <v>0</v>
      </c>
      <c r="F253" s="154">
        <v>0</v>
      </c>
      <c r="G253" s="154">
        <v>0</v>
      </c>
      <c r="H253" s="154">
        <v>0</v>
      </c>
      <c r="I253" s="154">
        <v>0</v>
      </c>
      <c r="J253" s="154">
        <v>0</v>
      </c>
      <c r="K253" s="154">
        <f>300*2</f>
        <v>600</v>
      </c>
      <c r="L253" s="154">
        <v>0</v>
      </c>
      <c r="M253" s="155">
        <v>0</v>
      </c>
      <c r="N253" s="154">
        <v>0</v>
      </c>
      <c r="O253" s="154">
        <v>0</v>
      </c>
      <c r="P253" s="154">
        <v>0</v>
      </c>
      <c r="Q253" s="154">
        <v>0</v>
      </c>
      <c r="R253" s="156">
        <v>0</v>
      </c>
      <c r="S253" s="156">
        <v>0</v>
      </c>
      <c r="T253" s="156">
        <v>0</v>
      </c>
      <c r="U253" s="156">
        <f t="shared" si="12"/>
        <v>600</v>
      </c>
    </row>
    <row r="254" spans="1:21" ht="18" hidden="1" customHeight="1">
      <c r="A254" s="153">
        <f t="shared" si="11"/>
        <v>253</v>
      </c>
      <c r="B254" s="153" t="s">
        <v>217</v>
      </c>
      <c r="C254" s="153" t="str">
        <f>VLOOKUP(B254,MEMBERS!B:C,2, )</f>
        <v>MR.ZAIN FAROOQ</v>
      </c>
      <c r="D254" s="162">
        <v>46008</v>
      </c>
      <c r="E254" s="154">
        <v>0</v>
      </c>
      <c r="F254" s="154">
        <f>150*2</f>
        <v>300</v>
      </c>
      <c r="G254" s="154">
        <v>0</v>
      </c>
      <c r="H254" s="154">
        <v>0</v>
      </c>
      <c r="I254" s="154">
        <v>0</v>
      </c>
      <c r="J254" s="154">
        <v>0</v>
      </c>
      <c r="K254" s="154">
        <f>300*2</f>
        <v>600</v>
      </c>
      <c r="L254" s="154">
        <v>0</v>
      </c>
      <c r="M254" s="155">
        <v>0</v>
      </c>
      <c r="N254" s="154">
        <v>0</v>
      </c>
      <c r="O254" s="154">
        <v>0</v>
      </c>
      <c r="P254" s="154">
        <v>0</v>
      </c>
      <c r="Q254" s="154">
        <v>0</v>
      </c>
      <c r="R254" s="156">
        <v>0</v>
      </c>
      <c r="S254" s="156">
        <v>0</v>
      </c>
      <c r="T254" s="156">
        <v>0</v>
      </c>
      <c r="U254" s="156">
        <f t="shared" si="12"/>
        <v>900</v>
      </c>
    </row>
    <row r="255" spans="1:21" ht="18" hidden="1" customHeight="1">
      <c r="A255" s="153">
        <f t="shared" si="11"/>
        <v>254</v>
      </c>
      <c r="B255" s="153" t="s">
        <v>263</v>
      </c>
      <c r="C255" s="153" t="str">
        <f>VLOOKUP(B255,MEMBERS!B:C,2, )</f>
        <v>MR.CAREL HEDRIK BURGER</v>
      </c>
      <c r="D255" s="162">
        <v>46008</v>
      </c>
      <c r="E255" s="154">
        <v>0</v>
      </c>
      <c r="F255" s="154">
        <v>0</v>
      </c>
      <c r="G255" s="154">
        <v>0</v>
      </c>
      <c r="H255" s="154">
        <v>0</v>
      </c>
      <c r="I255" s="154">
        <v>0</v>
      </c>
      <c r="J255" s="154">
        <v>0</v>
      </c>
      <c r="K255" s="154">
        <v>0</v>
      </c>
      <c r="L255" s="154">
        <v>0</v>
      </c>
      <c r="M255" s="155">
        <v>0</v>
      </c>
      <c r="N255" s="154">
        <v>0</v>
      </c>
      <c r="O255" s="154">
        <v>0</v>
      </c>
      <c r="P255" s="154">
        <v>6000</v>
      </c>
      <c r="Q255" s="154">
        <v>0</v>
      </c>
      <c r="R255" s="156">
        <v>0</v>
      </c>
      <c r="S255" s="156">
        <v>0</v>
      </c>
      <c r="T255" s="156">
        <v>0</v>
      </c>
      <c r="U255" s="156">
        <f t="shared" si="12"/>
        <v>6000</v>
      </c>
    </row>
    <row r="256" spans="1:21" ht="18" hidden="1" customHeight="1">
      <c r="A256" s="153">
        <f t="shared" si="11"/>
        <v>255</v>
      </c>
      <c r="B256" s="153" t="s">
        <v>373</v>
      </c>
      <c r="C256" s="153" t="str">
        <f>VLOOKUP(B256,MEMBERS!B:C,2, )</f>
        <v>ASIF ASHFAQ</v>
      </c>
      <c r="D256" s="162">
        <v>46008</v>
      </c>
      <c r="E256" s="154">
        <v>0</v>
      </c>
      <c r="F256" s="154">
        <v>150</v>
      </c>
      <c r="G256" s="154">
        <v>0</v>
      </c>
      <c r="H256" s="154">
        <v>0</v>
      </c>
      <c r="I256" s="154">
        <v>0</v>
      </c>
      <c r="J256" s="154">
        <v>0</v>
      </c>
      <c r="K256" s="154">
        <v>0</v>
      </c>
      <c r="L256" s="154">
        <v>0</v>
      </c>
      <c r="M256" s="155">
        <v>0</v>
      </c>
      <c r="N256" s="154">
        <v>0</v>
      </c>
      <c r="O256" s="154">
        <v>0</v>
      </c>
      <c r="P256" s="154">
        <v>0</v>
      </c>
      <c r="Q256" s="154">
        <v>0</v>
      </c>
      <c r="R256" s="156">
        <v>0</v>
      </c>
      <c r="S256" s="156">
        <v>0</v>
      </c>
      <c r="T256" s="156">
        <v>0</v>
      </c>
      <c r="U256" s="156">
        <f t="shared" si="12"/>
        <v>150</v>
      </c>
    </row>
    <row r="257" spans="1:21" ht="18" hidden="1" customHeight="1">
      <c r="A257" s="153">
        <f t="shared" ref="A257:A264" si="13">IF(D257&lt;&gt;"", ROW()-1, "")</f>
        <v>256</v>
      </c>
      <c r="B257" s="153" t="s">
        <v>83</v>
      </c>
      <c r="C257" s="153" t="str">
        <f>VLOOKUP(B257,MEMBERS!B:C,2, )</f>
        <v>DR.SANTOSH KUMAR</v>
      </c>
      <c r="D257" s="162">
        <v>46008</v>
      </c>
      <c r="E257" s="154">
        <v>0</v>
      </c>
      <c r="F257" s="154">
        <v>150</v>
      </c>
      <c r="G257" s="154">
        <v>0</v>
      </c>
      <c r="H257" s="154">
        <v>0</v>
      </c>
      <c r="I257" s="154">
        <v>0</v>
      </c>
      <c r="J257" s="154">
        <v>0</v>
      </c>
      <c r="K257" s="154">
        <v>0</v>
      </c>
      <c r="L257" s="154">
        <v>0</v>
      </c>
      <c r="M257" s="155">
        <v>0</v>
      </c>
      <c r="N257" s="154">
        <v>0</v>
      </c>
      <c r="O257" s="154">
        <v>0</v>
      </c>
      <c r="P257" s="154">
        <v>0</v>
      </c>
      <c r="Q257" s="154">
        <v>0</v>
      </c>
      <c r="R257" s="156">
        <v>0</v>
      </c>
      <c r="S257" s="156">
        <v>0</v>
      </c>
      <c r="T257" s="156">
        <v>0</v>
      </c>
      <c r="U257" s="156">
        <f t="shared" ref="U257:U264" si="14">SUM(E257:T257)</f>
        <v>150</v>
      </c>
    </row>
    <row r="258" spans="1:21" ht="18" hidden="1" customHeight="1">
      <c r="A258" s="153">
        <f t="shared" si="13"/>
        <v>257</v>
      </c>
      <c r="B258" s="153" t="s">
        <v>54</v>
      </c>
      <c r="C258" s="153" t="str">
        <f>VLOOKUP(B258,MEMBERS!B:C,2, )</f>
        <v>MR.ZEESHAN IQBAL</v>
      </c>
      <c r="D258" s="162">
        <v>46008</v>
      </c>
      <c r="E258" s="154">
        <v>0</v>
      </c>
      <c r="F258" s="154">
        <f>150+300</f>
        <v>450</v>
      </c>
      <c r="G258" s="154">
        <v>0</v>
      </c>
      <c r="H258" s="154">
        <v>0</v>
      </c>
      <c r="I258" s="154">
        <v>0</v>
      </c>
      <c r="J258" s="154">
        <v>0</v>
      </c>
      <c r="K258" s="154">
        <v>0</v>
      </c>
      <c r="L258" s="154">
        <v>0</v>
      </c>
      <c r="M258" s="155">
        <v>0</v>
      </c>
      <c r="N258" s="154">
        <v>0</v>
      </c>
      <c r="O258" s="154">
        <v>0</v>
      </c>
      <c r="P258" s="154">
        <v>0</v>
      </c>
      <c r="Q258" s="154">
        <v>0</v>
      </c>
      <c r="R258" s="156">
        <v>0</v>
      </c>
      <c r="S258" s="156">
        <v>0</v>
      </c>
      <c r="T258" s="156">
        <v>0</v>
      </c>
      <c r="U258" s="156">
        <f t="shared" si="14"/>
        <v>450</v>
      </c>
    </row>
    <row r="259" spans="1:21" ht="18" hidden="1" customHeight="1">
      <c r="A259" s="153">
        <f t="shared" si="13"/>
        <v>258</v>
      </c>
      <c r="B259" s="153" t="s">
        <v>650</v>
      </c>
      <c r="C259" s="153" t="str">
        <f>VLOOKUP(B259,MEMBERS!B:C,2, )</f>
        <v>SHAHBAZ AHMED</v>
      </c>
      <c r="D259" s="162">
        <v>46008</v>
      </c>
      <c r="E259" s="154">
        <v>0</v>
      </c>
      <c r="F259" s="154">
        <v>300</v>
      </c>
      <c r="G259" s="154">
        <v>0</v>
      </c>
      <c r="H259" s="154">
        <v>0</v>
      </c>
      <c r="I259" s="154">
        <v>0</v>
      </c>
      <c r="J259" s="154">
        <v>0</v>
      </c>
      <c r="K259" s="154">
        <v>0</v>
      </c>
      <c r="L259" s="154">
        <v>0</v>
      </c>
      <c r="M259" s="155">
        <v>0</v>
      </c>
      <c r="N259" s="154">
        <v>0</v>
      </c>
      <c r="O259" s="154">
        <v>0</v>
      </c>
      <c r="P259" s="154">
        <v>0</v>
      </c>
      <c r="Q259" s="154">
        <v>0</v>
      </c>
      <c r="R259" s="156">
        <v>0</v>
      </c>
      <c r="S259" s="156">
        <v>0</v>
      </c>
      <c r="T259" s="156">
        <v>0</v>
      </c>
      <c r="U259" s="156">
        <f t="shared" si="14"/>
        <v>300</v>
      </c>
    </row>
    <row r="260" spans="1:21" ht="18" hidden="1" customHeight="1">
      <c r="A260" s="153">
        <f t="shared" si="13"/>
        <v>259</v>
      </c>
      <c r="B260" s="153" t="s">
        <v>44</v>
      </c>
      <c r="C260" s="153" t="str">
        <f>VLOOKUP(B260,MEMBERS!B:C,2, )</f>
        <v>MR.MUHAMMAD RIZWAN</v>
      </c>
      <c r="D260" s="162">
        <v>46008</v>
      </c>
      <c r="E260" s="154">
        <v>0</v>
      </c>
      <c r="F260" s="154">
        <f>150*2</f>
        <v>300</v>
      </c>
      <c r="G260" s="154">
        <v>0</v>
      </c>
      <c r="H260" s="154">
        <v>0</v>
      </c>
      <c r="I260" s="154">
        <v>0</v>
      </c>
      <c r="J260" s="154">
        <v>0</v>
      </c>
      <c r="K260" s="154">
        <v>0</v>
      </c>
      <c r="L260" s="154">
        <v>0</v>
      </c>
      <c r="M260" s="155">
        <v>0</v>
      </c>
      <c r="N260" s="154">
        <v>0</v>
      </c>
      <c r="O260" s="154">
        <v>0</v>
      </c>
      <c r="P260" s="154">
        <v>0</v>
      </c>
      <c r="Q260" s="154">
        <v>0</v>
      </c>
      <c r="R260" s="156">
        <v>0</v>
      </c>
      <c r="S260" s="156">
        <v>0</v>
      </c>
      <c r="T260" s="156">
        <v>0</v>
      </c>
      <c r="U260" s="156">
        <f t="shared" si="14"/>
        <v>300</v>
      </c>
    </row>
    <row r="261" spans="1:21" ht="18" hidden="1" customHeight="1">
      <c r="A261" s="153">
        <f t="shared" si="13"/>
        <v>260</v>
      </c>
      <c r="B261" s="153" t="s">
        <v>1004</v>
      </c>
      <c r="C261" s="153" t="str">
        <f>VLOOKUP(B261,MEMBERS!B:C,2, )</f>
        <v>MRS RIFFAT ZULFIQAR</v>
      </c>
      <c r="D261" s="162">
        <v>46008</v>
      </c>
      <c r="E261" s="154">
        <v>0</v>
      </c>
      <c r="F261" s="154">
        <v>150</v>
      </c>
      <c r="G261" s="154">
        <v>0</v>
      </c>
      <c r="H261" s="154">
        <v>0</v>
      </c>
      <c r="I261" s="154">
        <v>0</v>
      </c>
      <c r="J261" s="154">
        <v>0</v>
      </c>
      <c r="K261" s="154">
        <v>0</v>
      </c>
      <c r="L261" s="154">
        <v>0</v>
      </c>
      <c r="M261" s="155">
        <v>0</v>
      </c>
      <c r="N261" s="154">
        <v>0</v>
      </c>
      <c r="O261" s="154">
        <v>0</v>
      </c>
      <c r="P261" s="154">
        <v>0</v>
      </c>
      <c r="Q261" s="154">
        <v>0</v>
      </c>
      <c r="R261" s="156">
        <v>0</v>
      </c>
      <c r="S261" s="156">
        <v>0</v>
      </c>
      <c r="T261" s="156">
        <v>0</v>
      </c>
      <c r="U261" s="156">
        <f t="shared" si="14"/>
        <v>150</v>
      </c>
    </row>
    <row r="262" spans="1:21" ht="18" hidden="1" customHeight="1">
      <c r="A262" s="153">
        <f t="shared" si="13"/>
        <v>261</v>
      </c>
      <c r="B262" s="153" t="s">
        <v>1021</v>
      </c>
      <c r="C262" s="153" t="str">
        <f>VLOOKUP(B262,MEMBERS!B:C,2, )</f>
        <v>MR. AIJAZ ALI BALOCH</v>
      </c>
      <c r="D262" s="162">
        <v>46008</v>
      </c>
      <c r="E262" s="154">
        <v>0</v>
      </c>
      <c r="F262" s="154">
        <v>0</v>
      </c>
      <c r="G262" s="154">
        <v>0</v>
      </c>
      <c r="H262" s="154">
        <v>0</v>
      </c>
      <c r="I262" s="154">
        <v>0</v>
      </c>
      <c r="J262" s="154">
        <f>500*4</f>
        <v>2000</v>
      </c>
      <c r="K262" s="154">
        <v>0</v>
      </c>
      <c r="L262" s="154">
        <v>0</v>
      </c>
      <c r="M262" s="155">
        <v>0</v>
      </c>
      <c r="N262" s="154">
        <v>0</v>
      </c>
      <c r="O262" s="154">
        <v>0</v>
      </c>
      <c r="P262" s="154">
        <v>0</v>
      </c>
      <c r="Q262" s="154">
        <v>0</v>
      </c>
      <c r="R262" s="156">
        <v>0</v>
      </c>
      <c r="S262" s="156">
        <v>0</v>
      </c>
      <c r="T262" s="156">
        <v>0</v>
      </c>
      <c r="U262" s="156">
        <f t="shared" si="14"/>
        <v>2000</v>
      </c>
    </row>
    <row r="263" spans="1:21" ht="18" hidden="1" customHeight="1">
      <c r="A263" s="153">
        <f t="shared" si="13"/>
        <v>262</v>
      </c>
      <c r="B263" s="153" t="s">
        <v>1073</v>
      </c>
      <c r="C263" s="153" t="str">
        <f>VLOOKUP(B263,MEMBERS!B:C,2, )</f>
        <v>MR. GHULAM MUSTAFA</v>
      </c>
      <c r="D263" s="162">
        <v>46008</v>
      </c>
      <c r="E263" s="154">
        <v>0</v>
      </c>
      <c r="F263" s="154">
        <v>0</v>
      </c>
      <c r="G263" s="154">
        <v>0</v>
      </c>
      <c r="H263" s="154">
        <v>0</v>
      </c>
      <c r="I263" s="154">
        <v>0</v>
      </c>
      <c r="J263" s="154">
        <f>300*5+500</f>
        <v>2000</v>
      </c>
      <c r="K263" s="154">
        <v>0</v>
      </c>
      <c r="L263" s="154">
        <v>0</v>
      </c>
      <c r="M263" s="155">
        <v>0</v>
      </c>
      <c r="N263" s="154">
        <v>0</v>
      </c>
      <c r="O263" s="154">
        <v>0</v>
      </c>
      <c r="P263" s="154">
        <v>0</v>
      </c>
      <c r="Q263" s="154">
        <v>0</v>
      </c>
      <c r="R263" s="156">
        <v>0</v>
      </c>
      <c r="S263" s="156">
        <v>0</v>
      </c>
      <c r="T263" s="156">
        <v>0</v>
      </c>
      <c r="U263" s="156">
        <f t="shared" si="14"/>
        <v>2000</v>
      </c>
    </row>
    <row r="264" spans="1:21" ht="18" hidden="1" customHeight="1">
      <c r="A264" s="153">
        <f t="shared" si="13"/>
        <v>263</v>
      </c>
      <c r="B264" s="153" t="s">
        <v>454</v>
      </c>
      <c r="C264" s="153" t="str">
        <f>VLOOKUP(B264,MEMBERS!B:C,2, )</f>
        <v>Heritage club</v>
      </c>
      <c r="D264" s="162">
        <v>46009</v>
      </c>
      <c r="E264" s="154">
        <v>0</v>
      </c>
      <c r="F264" s="154">
        <v>0</v>
      </c>
      <c r="G264" s="154">
        <v>0</v>
      </c>
      <c r="H264" s="154">
        <v>0</v>
      </c>
      <c r="I264" s="154">
        <v>0</v>
      </c>
      <c r="J264" s="154">
        <v>0</v>
      </c>
      <c r="K264" s="154">
        <v>0</v>
      </c>
      <c r="L264" s="154">
        <v>0</v>
      </c>
      <c r="M264" s="155">
        <v>0</v>
      </c>
      <c r="N264" s="154">
        <v>0</v>
      </c>
      <c r="O264" s="345">
        <v>6000</v>
      </c>
      <c r="P264" s="154">
        <v>0</v>
      </c>
      <c r="Q264" s="154">
        <v>0</v>
      </c>
      <c r="R264" s="156">
        <v>0</v>
      </c>
      <c r="S264" s="156">
        <v>0</v>
      </c>
      <c r="T264" s="156">
        <v>0</v>
      </c>
      <c r="U264" s="156">
        <f t="shared" si="14"/>
        <v>6000</v>
      </c>
    </row>
    <row r="265" spans="1:21" ht="18" hidden="1" customHeight="1">
      <c r="A265" s="153">
        <f t="shared" ref="A265:A267" si="15">IF(D265&lt;&gt;"", ROW()-1, "")</f>
        <v>264</v>
      </c>
      <c r="B265" s="153" t="s">
        <v>1024</v>
      </c>
      <c r="C265" s="153" t="str">
        <f>VLOOKUP(B265,MEMBERS!B:C,2, )</f>
        <v>MR. ANEEL ZAHOOR</v>
      </c>
      <c r="D265" s="162">
        <v>46009</v>
      </c>
      <c r="E265" s="154">
        <v>0</v>
      </c>
      <c r="F265" s="154">
        <v>0</v>
      </c>
      <c r="G265" s="154">
        <v>0</v>
      </c>
      <c r="H265" s="154">
        <v>0</v>
      </c>
      <c r="I265" s="154">
        <v>0</v>
      </c>
      <c r="J265" s="154">
        <f>300*2+500*2</f>
        <v>1600</v>
      </c>
      <c r="K265" s="154">
        <v>0</v>
      </c>
      <c r="L265" s="154">
        <v>0</v>
      </c>
      <c r="M265" s="155">
        <v>0</v>
      </c>
      <c r="N265" s="154">
        <v>0</v>
      </c>
      <c r="O265" s="154">
        <v>0</v>
      </c>
      <c r="P265" s="154">
        <v>30450</v>
      </c>
      <c r="Q265" s="154">
        <v>0</v>
      </c>
      <c r="R265" s="156">
        <v>0</v>
      </c>
      <c r="S265" s="156">
        <v>0</v>
      </c>
      <c r="T265" s="156">
        <v>0</v>
      </c>
      <c r="U265" s="156">
        <f t="shared" ref="U265:U267" si="16">SUM(E265:T265)</f>
        <v>32050</v>
      </c>
    </row>
    <row r="266" spans="1:21" ht="18" hidden="1" customHeight="1">
      <c r="A266" s="153">
        <f t="shared" si="15"/>
        <v>265</v>
      </c>
      <c r="B266" s="153" t="s">
        <v>1053</v>
      </c>
      <c r="C266" s="153" t="str">
        <f>VLOOKUP(B266,MEMBERS!B:C,2, )</f>
        <v>MR. ZAMIR ALI SHAH</v>
      </c>
      <c r="D266" s="162">
        <v>46009</v>
      </c>
      <c r="E266" s="154">
        <v>0</v>
      </c>
      <c r="F266" s="154">
        <v>0</v>
      </c>
      <c r="G266" s="154">
        <v>0</v>
      </c>
      <c r="H266" s="154">
        <v>0</v>
      </c>
      <c r="I266" s="154">
        <v>0</v>
      </c>
      <c r="J266" s="154">
        <f>500*5</f>
        <v>2500</v>
      </c>
      <c r="K266" s="154">
        <v>0</v>
      </c>
      <c r="L266" s="154">
        <v>0</v>
      </c>
      <c r="M266" s="155">
        <v>0</v>
      </c>
      <c r="N266" s="154">
        <v>0</v>
      </c>
      <c r="O266" s="154">
        <v>0</v>
      </c>
      <c r="P266" s="154">
        <v>8200</v>
      </c>
      <c r="Q266" s="154">
        <v>0</v>
      </c>
      <c r="R266" s="156">
        <v>0</v>
      </c>
      <c r="S266" s="156">
        <v>0</v>
      </c>
      <c r="T266" s="156">
        <v>0</v>
      </c>
      <c r="U266" s="156">
        <f t="shared" si="16"/>
        <v>10700</v>
      </c>
    </row>
    <row r="267" spans="1:21" ht="18" hidden="1" customHeight="1">
      <c r="A267" s="153">
        <f t="shared" si="15"/>
        <v>266</v>
      </c>
      <c r="B267" s="153" t="s">
        <v>263</v>
      </c>
      <c r="C267" s="153" t="str">
        <f>VLOOKUP(B267,MEMBERS!B:C,2, )</f>
        <v>MR.CAREL HEDRIK BURGER</v>
      </c>
      <c r="D267" s="162">
        <v>46010</v>
      </c>
      <c r="E267" s="154">
        <v>0</v>
      </c>
      <c r="F267" s="154">
        <v>0</v>
      </c>
      <c r="G267" s="154">
        <v>0</v>
      </c>
      <c r="H267" s="154">
        <v>0</v>
      </c>
      <c r="I267" s="154">
        <v>0</v>
      </c>
      <c r="J267" s="154">
        <v>0</v>
      </c>
      <c r="K267" s="154">
        <v>0</v>
      </c>
      <c r="L267" s="154">
        <v>0</v>
      </c>
      <c r="M267" s="155">
        <v>0</v>
      </c>
      <c r="N267" s="154">
        <v>0</v>
      </c>
      <c r="O267" s="154">
        <v>0</v>
      </c>
      <c r="P267" s="154">
        <v>10800</v>
      </c>
      <c r="Q267" s="154">
        <v>0</v>
      </c>
      <c r="R267" s="156">
        <v>0</v>
      </c>
      <c r="S267" s="156">
        <v>0</v>
      </c>
      <c r="T267" s="156">
        <v>0</v>
      </c>
      <c r="U267" s="156">
        <f t="shared" si="16"/>
        <v>10800</v>
      </c>
    </row>
    <row r="268" spans="1:21" ht="18" hidden="1" customHeight="1">
      <c r="A268" s="153">
        <f t="shared" ref="A268:A294" si="17">IF(D268&lt;&gt;"", ROW()-1, "")</f>
        <v>267</v>
      </c>
      <c r="B268" s="153" t="s">
        <v>378</v>
      </c>
      <c r="C268" s="153" t="str">
        <f>VLOOKUP(B268,MEMBERS!B:C,2, )</f>
        <v>SABA AHSAN</v>
      </c>
      <c r="D268" s="162">
        <v>46010</v>
      </c>
      <c r="E268" s="154">
        <v>0</v>
      </c>
      <c r="F268" s="154">
        <v>0</v>
      </c>
      <c r="G268" s="154">
        <v>0</v>
      </c>
      <c r="H268" s="154">
        <v>0</v>
      </c>
      <c r="I268" s="154">
        <v>0</v>
      </c>
      <c r="J268" s="154">
        <v>0</v>
      </c>
      <c r="K268" s="154">
        <v>0</v>
      </c>
      <c r="L268" s="154">
        <v>0</v>
      </c>
      <c r="M268" s="155">
        <v>0</v>
      </c>
      <c r="N268" s="154">
        <v>0</v>
      </c>
      <c r="O268" s="154">
        <v>0</v>
      </c>
      <c r="P268" s="154">
        <v>950</v>
      </c>
      <c r="Q268" s="154">
        <v>0</v>
      </c>
      <c r="R268" s="156">
        <v>0</v>
      </c>
      <c r="S268" s="156">
        <v>0</v>
      </c>
      <c r="T268" s="156">
        <v>0</v>
      </c>
      <c r="U268" s="156">
        <f t="shared" ref="U268:U294" si="18">SUM(E268:T268)</f>
        <v>950</v>
      </c>
    </row>
    <row r="269" spans="1:21" ht="18" hidden="1" customHeight="1">
      <c r="A269" s="153">
        <f t="shared" si="17"/>
        <v>268</v>
      </c>
      <c r="B269" s="153" t="s">
        <v>202</v>
      </c>
      <c r="C269" s="153" t="str">
        <f>VLOOKUP(B269,MEMBERS!B:C,2, )</f>
        <v>MR.MOHAMMAD ASHRAF SHAIKH</v>
      </c>
      <c r="D269" s="162">
        <v>46010</v>
      </c>
      <c r="E269" s="154">
        <f>300+600</f>
        <v>900</v>
      </c>
      <c r="F269" s="154">
        <v>0</v>
      </c>
      <c r="G269" s="154">
        <v>0</v>
      </c>
      <c r="H269" s="154">
        <v>0</v>
      </c>
      <c r="I269" s="154">
        <v>0</v>
      </c>
      <c r="J269" s="154">
        <v>0</v>
      </c>
      <c r="K269" s="154">
        <v>0</v>
      </c>
      <c r="L269" s="154">
        <v>0</v>
      </c>
      <c r="M269" s="155">
        <v>0</v>
      </c>
      <c r="N269" s="154">
        <v>0</v>
      </c>
      <c r="O269" s="154">
        <v>0</v>
      </c>
      <c r="P269" s="154">
        <v>0</v>
      </c>
      <c r="Q269" s="154">
        <v>0</v>
      </c>
      <c r="R269" s="156">
        <v>0</v>
      </c>
      <c r="S269" s="156">
        <v>0</v>
      </c>
      <c r="T269" s="156">
        <v>0</v>
      </c>
      <c r="U269" s="156">
        <f t="shared" si="18"/>
        <v>900</v>
      </c>
    </row>
    <row r="270" spans="1:21" ht="18" hidden="1" customHeight="1">
      <c r="A270" s="153">
        <f t="shared" si="17"/>
        <v>269</v>
      </c>
      <c r="B270" s="153" t="s">
        <v>282</v>
      </c>
      <c r="C270" s="153" t="str">
        <f>VLOOKUP(B270,MEMBERS!B:C,2, )</f>
        <v>ZULFIQAR AHMED MEMON</v>
      </c>
      <c r="D270" s="162">
        <v>46010</v>
      </c>
      <c r="E270" s="154">
        <f>300+600</f>
        <v>900</v>
      </c>
      <c r="F270" s="154">
        <v>0</v>
      </c>
      <c r="G270" s="154">
        <v>0</v>
      </c>
      <c r="H270" s="154">
        <v>0</v>
      </c>
      <c r="I270" s="154">
        <v>0</v>
      </c>
      <c r="J270" s="154">
        <v>0</v>
      </c>
      <c r="K270" s="154">
        <v>0</v>
      </c>
      <c r="L270" s="154">
        <v>0</v>
      </c>
      <c r="M270" s="155">
        <v>0</v>
      </c>
      <c r="N270" s="154">
        <v>0</v>
      </c>
      <c r="O270" s="154">
        <v>0</v>
      </c>
      <c r="P270" s="154">
        <v>0</v>
      </c>
      <c r="Q270" s="154">
        <v>0</v>
      </c>
      <c r="R270" s="156">
        <v>0</v>
      </c>
      <c r="S270" s="156">
        <v>0</v>
      </c>
      <c r="T270" s="156">
        <v>0</v>
      </c>
      <c r="U270" s="156">
        <f t="shared" si="18"/>
        <v>900</v>
      </c>
    </row>
    <row r="271" spans="1:21" ht="18" hidden="1" customHeight="1">
      <c r="A271" s="153">
        <f t="shared" si="17"/>
        <v>270</v>
      </c>
      <c r="B271" s="153" t="s">
        <v>54</v>
      </c>
      <c r="C271" s="153" t="str">
        <f>VLOOKUP(B271,MEMBERS!B:C,2, )</f>
        <v>MR.ZEESHAN IQBAL</v>
      </c>
      <c r="D271" s="162">
        <v>46010</v>
      </c>
      <c r="E271" s="154">
        <v>0</v>
      </c>
      <c r="F271" s="154">
        <f>150*2</f>
        <v>300</v>
      </c>
      <c r="G271" s="154">
        <v>0</v>
      </c>
      <c r="H271" s="154">
        <v>0</v>
      </c>
      <c r="I271" s="154">
        <v>0</v>
      </c>
      <c r="J271" s="154">
        <v>0</v>
      </c>
      <c r="K271" s="154">
        <v>0</v>
      </c>
      <c r="L271" s="154">
        <v>0</v>
      </c>
      <c r="M271" s="155">
        <v>0</v>
      </c>
      <c r="N271" s="154">
        <v>0</v>
      </c>
      <c r="O271" s="154">
        <v>0</v>
      </c>
      <c r="P271" s="154">
        <v>0</v>
      </c>
      <c r="Q271" s="154">
        <v>0</v>
      </c>
      <c r="R271" s="156">
        <v>0</v>
      </c>
      <c r="S271" s="156">
        <v>0</v>
      </c>
      <c r="T271" s="156">
        <v>0</v>
      </c>
      <c r="U271" s="156">
        <f t="shared" si="18"/>
        <v>300</v>
      </c>
    </row>
    <row r="272" spans="1:21" ht="18" hidden="1" customHeight="1">
      <c r="A272" s="153">
        <f t="shared" si="17"/>
        <v>271</v>
      </c>
      <c r="B272" s="153" t="s">
        <v>359</v>
      </c>
      <c r="C272" s="153" t="str">
        <f>VLOOKUP(B272,MEMBERS!B:C,2, )</f>
        <v>DR.NASEEM MUNSHI</v>
      </c>
      <c r="D272" s="162">
        <v>46010</v>
      </c>
      <c r="E272" s="154">
        <v>0</v>
      </c>
      <c r="F272" s="154">
        <v>150</v>
      </c>
      <c r="G272" s="154">
        <v>0</v>
      </c>
      <c r="H272" s="154">
        <v>0</v>
      </c>
      <c r="I272" s="154">
        <v>0</v>
      </c>
      <c r="J272" s="154">
        <v>0</v>
      </c>
      <c r="K272" s="154">
        <v>0</v>
      </c>
      <c r="L272" s="154">
        <v>0</v>
      </c>
      <c r="M272" s="155">
        <v>0</v>
      </c>
      <c r="N272" s="154">
        <v>0</v>
      </c>
      <c r="O272" s="154">
        <v>0</v>
      </c>
      <c r="P272" s="154">
        <v>0</v>
      </c>
      <c r="Q272" s="154">
        <v>0</v>
      </c>
      <c r="R272" s="156">
        <v>0</v>
      </c>
      <c r="S272" s="156">
        <v>0</v>
      </c>
      <c r="T272" s="156">
        <v>0</v>
      </c>
      <c r="U272" s="156">
        <f t="shared" si="18"/>
        <v>150</v>
      </c>
    </row>
    <row r="273" spans="1:21" ht="18" hidden="1" customHeight="1">
      <c r="A273" s="153">
        <f t="shared" si="17"/>
        <v>272</v>
      </c>
      <c r="B273" s="153" t="s">
        <v>650</v>
      </c>
      <c r="C273" s="153" t="str">
        <f>VLOOKUP(B273,MEMBERS!B:C,2, )</f>
        <v>SHAHBAZ AHMED</v>
      </c>
      <c r="D273" s="162">
        <v>46010</v>
      </c>
      <c r="E273" s="154">
        <v>0</v>
      </c>
      <c r="F273" s="154">
        <v>300</v>
      </c>
      <c r="G273" s="154">
        <v>0</v>
      </c>
      <c r="H273" s="154">
        <v>0</v>
      </c>
      <c r="I273" s="154">
        <v>0</v>
      </c>
      <c r="J273" s="154">
        <v>0</v>
      </c>
      <c r="K273" s="154">
        <v>0</v>
      </c>
      <c r="L273" s="154">
        <v>0</v>
      </c>
      <c r="M273" s="155">
        <v>0</v>
      </c>
      <c r="N273" s="154">
        <v>0</v>
      </c>
      <c r="O273" s="154">
        <v>0</v>
      </c>
      <c r="P273" s="154">
        <v>0</v>
      </c>
      <c r="Q273" s="154">
        <v>0</v>
      </c>
      <c r="R273" s="156">
        <v>0</v>
      </c>
      <c r="S273" s="156">
        <v>0</v>
      </c>
      <c r="T273" s="156">
        <v>0</v>
      </c>
      <c r="U273" s="156">
        <f t="shared" si="18"/>
        <v>300</v>
      </c>
    </row>
    <row r="274" spans="1:21" ht="18" hidden="1" customHeight="1">
      <c r="A274" s="153">
        <f t="shared" si="17"/>
        <v>273</v>
      </c>
      <c r="B274" s="153" t="s">
        <v>197</v>
      </c>
      <c r="C274" s="153" t="str">
        <f>VLOOKUP(B274,MEMBERS!B:C,2, )</f>
        <v>MR.MUHAMMAD ATIF USMANI</v>
      </c>
      <c r="D274" s="162">
        <v>46010</v>
      </c>
      <c r="E274" s="154">
        <v>0</v>
      </c>
      <c r="F274" s="154">
        <v>150</v>
      </c>
      <c r="G274" s="154">
        <v>0</v>
      </c>
      <c r="H274" s="154">
        <v>0</v>
      </c>
      <c r="I274" s="154">
        <v>0</v>
      </c>
      <c r="J274" s="154">
        <v>0</v>
      </c>
      <c r="K274" s="154">
        <v>0</v>
      </c>
      <c r="L274" s="154">
        <v>0</v>
      </c>
      <c r="M274" s="155">
        <v>0</v>
      </c>
      <c r="N274" s="154">
        <v>0</v>
      </c>
      <c r="O274" s="154">
        <v>0</v>
      </c>
      <c r="P274" s="154">
        <v>0</v>
      </c>
      <c r="Q274" s="154">
        <v>0</v>
      </c>
      <c r="R274" s="156">
        <v>0</v>
      </c>
      <c r="S274" s="156">
        <v>0</v>
      </c>
      <c r="T274" s="156">
        <v>0</v>
      </c>
      <c r="U274" s="156">
        <f t="shared" si="18"/>
        <v>150</v>
      </c>
    </row>
    <row r="275" spans="1:21" ht="18" hidden="1" customHeight="1">
      <c r="A275" s="153">
        <f t="shared" si="17"/>
        <v>274</v>
      </c>
      <c r="B275" s="153" t="s">
        <v>301</v>
      </c>
      <c r="C275" s="153" t="str">
        <f>VLOOKUP(B275,MEMBERS!B:C,2, )</f>
        <v>CAPT.HAMID UZ ZAFAR</v>
      </c>
      <c r="D275" s="162">
        <v>46010</v>
      </c>
      <c r="E275" s="154">
        <v>0</v>
      </c>
      <c r="F275" s="154">
        <f>150*2</f>
        <v>300</v>
      </c>
      <c r="G275" s="154">
        <v>0</v>
      </c>
      <c r="H275" s="154">
        <v>0</v>
      </c>
      <c r="I275" s="154">
        <v>0</v>
      </c>
      <c r="J275" s="154">
        <v>0</v>
      </c>
      <c r="K275" s="154">
        <v>0</v>
      </c>
      <c r="L275" s="154">
        <v>0</v>
      </c>
      <c r="M275" s="155">
        <v>0</v>
      </c>
      <c r="N275" s="154">
        <v>0</v>
      </c>
      <c r="O275" s="154">
        <v>0</v>
      </c>
      <c r="P275" s="154">
        <v>0</v>
      </c>
      <c r="Q275" s="154">
        <v>0</v>
      </c>
      <c r="R275" s="156">
        <v>0</v>
      </c>
      <c r="S275" s="156">
        <v>0</v>
      </c>
      <c r="T275" s="156">
        <v>0</v>
      </c>
      <c r="U275" s="156">
        <f t="shared" si="18"/>
        <v>300</v>
      </c>
    </row>
    <row r="276" spans="1:21" ht="18" hidden="1" customHeight="1">
      <c r="A276" s="153">
        <f t="shared" si="17"/>
        <v>275</v>
      </c>
      <c r="B276" s="153" t="s">
        <v>98</v>
      </c>
      <c r="C276" s="153" t="str">
        <f>VLOOKUP(B276,MEMBERS!B:C,2, )</f>
        <v>MR.HAFEEZ AHMED SIYAL</v>
      </c>
      <c r="D276" s="162">
        <v>46010</v>
      </c>
      <c r="E276" s="154">
        <v>0</v>
      </c>
      <c r="F276" s="154">
        <v>0</v>
      </c>
      <c r="G276" s="154">
        <v>0</v>
      </c>
      <c r="H276" s="154">
        <v>0</v>
      </c>
      <c r="I276" s="154">
        <v>0</v>
      </c>
      <c r="J276" s="154">
        <f>300+500</f>
        <v>800</v>
      </c>
      <c r="K276" s="154">
        <v>0</v>
      </c>
      <c r="L276" s="154">
        <v>0</v>
      </c>
      <c r="M276" s="155">
        <v>0</v>
      </c>
      <c r="N276" s="154">
        <v>0</v>
      </c>
      <c r="O276" s="154">
        <v>0</v>
      </c>
      <c r="P276" s="154">
        <v>0</v>
      </c>
      <c r="Q276" s="154">
        <v>0</v>
      </c>
      <c r="R276" s="156">
        <v>0</v>
      </c>
      <c r="S276" s="156">
        <v>0</v>
      </c>
      <c r="T276" s="156">
        <v>0</v>
      </c>
      <c r="U276" s="156">
        <f t="shared" si="18"/>
        <v>800</v>
      </c>
    </row>
    <row r="277" spans="1:21" ht="18" hidden="1" customHeight="1">
      <c r="A277" s="153">
        <f t="shared" si="17"/>
        <v>276</v>
      </c>
      <c r="B277" s="153" t="s">
        <v>1039</v>
      </c>
      <c r="C277" s="153" t="str">
        <f>VLOOKUP(B277,MEMBERS!B:C,2, )</f>
        <v>MR. AYAZ JAMRO</v>
      </c>
      <c r="D277" s="162">
        <v>46010</v>
      </c>
      <c r="E277" s="154">
        <v>0</v>
      </c>
      <c r="F277" s="154">
        <v>0</v>
      </c>
      <c r="G277" s="154">
        <v>0</v>
      </c>
      <c r="H277" s="154">
        <v>0</v>
      </c>
      <c r="I277" s="154">
        <v>0</v>
      </c>
      <c r="J277" s="154">
        <f>300*3</f>
        <v>900</v>
      </c>
      <c r="K277" s="154">
        <v>0</v>
      </c>
      <c r="L277" s="154">
        <v>0</v>
      </c>
      <c r="M277" s="155">
        <v>0</v>
      </c>
      <c r="N277" s="154">
        <v>0</v>
      </c>
      <c r="O277" s="154">
        <v>0</v>
      </c>
      <c r="P277" s="154">
        <v>0</v>
      </c>
      <c r="Q277" s="154">
        <v>0</v>
      </c>
      <c r="R277" s="156">
        <v>0</v>
      </c>
      <c r="S277" s="156">
        <v>0</v>
      </c>
      <c r="T277" s="156">
        <v>0</v>
      </c>
      <c r="U277" s="156">
        <f t="shared" si="18"/>
        <v>900</v>
      </c>
    </row>
    <row r="278" spans="1:21" ht="18" hidden="1" customHeight="1">
      <c r="A278" s="153">
        <f t="shared" si="17"/>
        <v>277</v>
      </c>
      <c r="B278" s="153" t="s">
        <v>948</v>
      </c>
      <c r="C278" s="153" t="str">
        <f>VLOOKUP(B278,MEMBERS!B:C,2, )</f>
        <v>MR. TEHSEEN FAIZ</v>
      </c>
      <c r="D278" s="162">
        <v>46010</v>
      </c>
      <c r="E278" s="154">
        <v>0</v>
      </c>
      <c r="F278" s="154">
        <v>0</v>
      </c>
      <c r="G278" s="154">
        <v>0</v>
      </c>
      <c r="H278" s="154">
        <v>0</v>
      </c>
      <c r="I278" s="154">
        <v>0</v>
      </c>
      <c r="J278" s="154">
        <f>500*3</f>
        <v>1500</v>
      </c>
      <c r="K278" s="154">
        <v>0</v>
      </c>
      <c r="L278" s="154">
        <v>0</v>
      </c>
      <c r="M278" s="155">
        <v>0</v>
      </c>
      <c r="N278" s="154">
        <v>0</v>
      </c>
      <c r="O278" s="154">
        <v>0</v>
      </c>
      <c r="P278" s="154">
        <v>0</v>
      </c>
      <c r="Q278" s="154">
        <v>0</v>
      </c>
      <c r="R278" s="156">
        <v>0</v>
      </c>
      <c r="S278" s="156">
        <v>0</v>
      </c>
      <c r="T278" s="156">
        <v>0</v>
      </c>
      <c r="U278" s="156">
        <f t="shared" si="18"/>
        <v>1500</v>
      </c>
    </row>
    <row r="279" spans="1:21" ht="18" hidden="1" customHeight="1">
      <c r="A279" s="153">
        <f t="shared" si="17"/>
        <v>278</v>
      </c>
      <c r="B279" s="153" t="s">
        <v>756</v>
      </c>
      <c r="C279" s="153" t="s">
        <v>1173</v>
      </c>
      <c r="D279" s="162">
        <v>46011</v>
      </c>
      <c r="E279" s="154">
        <v>0</v>
      </c>
      <c r="F279" s="154">
        <v>0</v>
      </c>
      <c r="G279" s="154">
        <v>0</v>
      </c>
      <c r="H279" s="154">
        <v>0</v>
      </c>
      <c r="I279" s="154">
        <v>0</v>
      </c>
      <c r="J279" s="154">
        <v>0</v>
      </c>
      <c r="K279" s="154">
        <v>0</v>
      </c>
      <c r="L279" s="154">
        <v>0</v>
      </c>
      <c r="M279" s="155">
        <v>0</v>
      </c>
      <c r="N279" s="154">
        <v>0</v>
      </c>
      <c r="O279" s="154">
        <v>0</v>
      </c>
      <c r="P279" s="292">
        <v>4000</v>
      </c>
      <c r="Q279" s="154">
        <v>0</v>
      </c>
      <c r="R279" s="156">
        <v>0</v>
      </c>
      <c r="S279" s="156">
        <v>0</v>
      </c>
      <c r="T279" s="156">
        <v>0</v>
      </c>
      <c r="U279" s="156">
        <f t="shared" si="18"/>
        <v>4000</v>
      </c>
    </row>
    <row r="280" spans="1:21" ht="18" hidden="1" customHeight="1">
      <c r="A280" s="153">
        <f t="shared" si="17"/>
        <v>279</v>
      </c>
      <c r="B280" s="153" t="s">
        <v>263</v>
      </c>
      <c r="C280" s="153" t="str">
        <f>VLOOKUP(B280,MEMBERS!B:C,2, )</f>
        <v>MR.CAREL HEDRIK BURGER</v>
      </c>
      <c r="D280" s="162">
        <v>46011</v>
      </c>
      <c r="E280" s="154">
        <v>0</v>
      </c>
      <c r="F280" s="154">
        <v>0</v>
      </c>
      <c r="G280" s="154">
        <v>0</v>
      </c>
      <c r="H280" s="154">
        <v>0</v>
      </c>
      <c r="I280" s="154">
        <v>0</v>
      </c>
      <c r="J280" s="154">
        <v>0</v>
      </c>
      <c r="K280" s="154">
        <v>0</v>
      </c>
      <c r="L280" s="154">
        <v>0</v>
      </c>
      <c r="M280" s="155">
        <v>0</v>
      </c>
      <c r="N280" s="154">
        <v>0</v>
      </c>
      <c r="O280" s="154">
        <v>0</v>
      </c>
      <c r="P280" s="154">
        <v>8500</v>
      </c>
      <c r="Q280" s="154">
        <v>0</v>
      </c>
      <c r="R280" s="156">
        <v>0</v>
      </c>
      <c r="S280" s="156">
        <v>0</v>
      </c>
      <c r="T280" s="156">
        <v>0</v>
      </c>
      <c r="U280" s="156">
        <f t="shared" si="18"/>
        <v>8500</v>
      </c>
    </row>
    <row r="281" spans="1:21" ht="18" hidden="1" customHeight="1">
      <c r="A281" s="153">
        <f t="shared" si="17"/>
        <v>280</v>
      </c>
      <c r="B281" s="153" t="s">
        <v>1024</v>
      </c>
      <c r="C281" s="153" t="str">
        <f>VLOOKUP(B281,MEMBERS!B:C,2, )</f>
        <v>MR. ANEEL ZAHOOR</v>
      </c>
      <c r="D281" s="162">
        <v>46011</v>
      </c>
      <c r="E281" s="154">
        <v>0</v>
      </c>
      <c r="F281" s="154">
        <v>0</v>
      </c>
      <c r="G281" s="154">
        <v>0</v>
      </c>
      <c r="H281" s="154">
        <v>0</v>
      </c>
      <c r="I281" s="154">
        <v>0</v>
      </c>
      <c r="J281" s="154">
        <v>0</v>
      </c>
      <c r="K281" s="154">
        <v>0</v>
      </c>
      <c r="L281" s="154">
        <v>0</v>
      </c>
      <c r="M281" s="155">
        <v>0</v>
      </c>
      <c r="N281" s="154">
        <v>0</v>
      </c>
      <c r="O281" s="154">
        <v>0</v>
      </c>
      <c r="P281" s="154">
        <v>27500</v>
      </c>
      <c r="Q281" s="154">
        <v>0</v>
      </c>
      <c r="R281" s="156">
        <v>0</v>
      </c>
      <c r="S281" s="156">
        <v>0</v>
      </c>
      <c r="T281" s="156">
        <v>0</v>
      </c>
      <c r="U281" s="156">
        <f t="shared" si="18"/>
        <v>27500</v>
      </c>
    </row>
    <row r="282" spans="1:21" ht="18" hidden="1" customHeight="1">
      <c r="A282" s="153">
        <f t="shared" si="17"/>
        <v>281</v>
      </c>
      <c r="B282" s="153" t="s">
        <v>207</v>
      </c>
      <c r="C282" s="153" t="str">
        <f>VLOOKUP(B282,MEMBERS!B:C,2, )</f>
        <v>MR.ATHER TARIQ</v>
      </c>
      <c r="D282" s="162">
        <v>46011</v>
      </c>
      <c r="E282" s="154">
        <v>0</v>
      </c>
      <c r="F282" s="154">
        <v>0</v>
      </c>
      <c r="G282" s="154">
        <v>0</v>
      </c>
      <c r="H282" s="154">
        <v>0</v>
      </c>
      <c r="I282" s="154">
        <v>0</v>
      </c>
      <c r="J282" s="154">
        <v>0</v>
      </c>
      <c r="K282" s="154">
        <v>0</v>
      </c>
      <c r="L282" s="154">
        <v>0</v>
      </c>
      <c r="M282" s="155">
        <v>0</v>
      </c>
      <c r="N282" s="154">
        <v>0</v>
      </c>
      <c r="O282" s="154">
        <v>0</v>
      </c>
      <c r="P282" s="154">
        <v>300</v>
      </c>
      <c r="Q282" s="154">
        <v>0</v>
      </c>
      <c r="R282" s="156">
        <v>0</v>
      </c>
      <c r="S282" s="156">
        <v>0</v>
      </c>
      <c r="T282" s="156">
        <v>0</v>
      </c>
      <c r="U282" s="156">
        <f t="shared" si="18"/>
        <v>300</v>
      </c>
    </row>
    <row r="283" spans="1:21" ht="18" hidden="1" customHeight="1">
      <c r="A283" s="153">
        <f t="shared" si="17"/>
        <v>282</v>
      </c>
      <c r="B283" s="153" t="s">
        <v>650</v>
      </c>
      <c r="C283" s="153" t="str">
        <f>VLOOKUP(B283,MEMBERS!B:C,2, )</f>
        <v>SHAHBAZ AHMED</v>
      </c>
      <c r="D283" s="162">
        <v>46011</v>
      </c>
      <c r="E283" s="154">
        <v>0</v>
      </c>
      <c r="F283" s="154">
        <v>300</v>
      </c>
      <c r="G283" s="154">
        <v>0</v>
      </c>
      <c r="H283" s="154">
        <v>0</v>
      </c>
      <c r="I283" s="154">
        <v>0</v>
      </c>
      <c r="J283" s="154">
        <v>0</v>
      </c>
      <c r="K283" s="154">
        <v>0</v>
      </c>
      <c r="L283" s="154">
        <v>0</v>
      </c>
      <c r="M283" s="155">
        <v>0</v>
      </c>
      <c r="N283" s="154">
        <v>0</v>
      </c>
      <c r="O283" s="154">
        <v>0</v>
      </c>
      <c r="P283" s="154">
        <v>0</v>
      </c>
      <c r="Q283" s="154">
        <v>0</v>
      </c>
      <c r="R283" s="156">
        <v>0</v>
      </c>
      <c r="S283" s="156">
        <v>0</v>
      </c>
      <c r="T283" s="156">
        <v>0</v>
      </c>
      <c r="U283" s="156">
        <f t="shared" si="18"/>
        <v>300</v>
      </c>
    </row>
    <row r="284" spans="1:21" ht="18" hidden="1" customHeight="1">
      <c r="A284" s="153">
        <f t="shared" si="17"/>
        <v>283</v>
      </c>
      <c r="B284" s="153" t="s">
        <v>98</v>
      </c>
      <c r="C284" s="153" t="str">
        <f>VLOOKUP(B284,MEMBERS!B:C,2, )</f>
        <v>MR.HAFEEZ AHMED SIYAL</v>
      </c>
      <c r="D284" s="162">
        <v>46011</v>
      </c>
      <c r="E284" s="154">
        <v>0</v>
      </c>
      <c r="F284" s="154">
        <v>150</v>
      </c>
      <c r="G284" s="154">
        <v>0</v>
      </c>
      <c r="H284" s="154">
        <v>0</v>
      </c>
      <c r="I284" s="154">
        <v>0</v>
      </c>
      <c r="J284" s="154">
        <f>300+500</f>
        <v>800</v>
      </c>
      <c r="K284" s="154">
        <v>0</v>
      </c>
      <c r="L284" s="154">
        <v>0</v>
      </c>
      <c r="M284" s="155">
        <v>0</v>
      </c>
      <c r="N284" s="154">
        <v>0</v>
      </c>
      <c r="O284" s="154">
        <v>0</v>
      </c>
      <c r="P284" s="154">
        <v>0</v>
      </c>
      <c r="Q284" s="154">
        <v>0</v>
      </c>
      <c r="R284" s="156">
        <v>0</v>
      </c>
      <c r="S284" s="156">
        <v>0</v>
      </c>
      <c r="T284" s="156">
        <v>0</v>
      </c>
      <c r="U284" s="156">
        <f t="shared" si="18"/>
        <v>950</v>
      </c>
    </row>
    <row r="285" spans="1:21" ht="18" hidden="1" customHeight="1">
      <c r="A285" s="153">
        <f t="shared" si="17"/>
        <v>284</v>
      </c>
      <c r="B285" s="153" t="s">
        <v>359</v>
      </c>
      <c r="C285" s="153" t="str">
        <f>VLOOKUP(B285,MEMBERS!B:C,2, )</f>
        <v>DR.NASEEM MUNSHI</v>
      </c>
      <c r="D285" s="162">
        <v>46011</v>
      </c>
      <c r="E285" s="154">
        <v>0</v>
      </c>
      <c r="F285" s="154">
        <v>150</v>
      </c>
      <c r="G285" s="154">
        <v>0</v>
      </c>
      <c r="H285" s="154">
        <v>0</v>
      </c>
      <c r="I285" s="154">
        <v>0</v>
      </c>
      <c r="J285" s="154">
        <v>0</v>
      </c>
      <c r="K285" s="154">
        <v>0</v>
      </c>
      <c r="L285" s="154">
        <v>0</v>
      </c>
      <c r="M285" s="155">
        <v>0</v>
      </c>
      <c r="N285" s="154">
        <v>0</v>
      </c>
      <c r="O285" s="154">
        <v>0</v>
      </c>
      <c r="P285" s="154">
        <v>0</v>
      </c>
      <c r="Q285" s="154">
        <v>0</v>
      </c>
      <c r="R285" s="156">
        <v>0</v>
      </c>
      <c r="S285" s="156">
        <v>0</v>
      </c>
      <c r="T285" s="156">
        <v>0</v>
      </c>
      <c r="U285" s="156">
        <f t="shared" si="18"/>
        <v>150</v>
      </c>
    </row>
    <row r="286" spans="1:21" ht="18" hidden="1" customHeight="1">
      <c r="A286" s="153">
        <f t="shared" si="17"/>
        <v>285</v>
      </c>
      <c r="B286" s="153" t="s">
        <v>54</v>
      </c>
      <c r="C286" s="153" t="str">
        <f>VLOOKUP(B286,MEMBERS!B:C,2, )</f>
        <v>MR.ZEESHAN IQBAL</v>
      </c>
      <c r="D286" s="162">
        <v>46011</v>
      </c>
      <c r="E286" s="154">
        <v>0</v>
      </c>
      <c r="F286" s="154">
        <v>150</v>
      </c>
      <c r="G286" s="154">
        <v>0</v>
      </c>
      <c r="H286" s="154">
        <v>0</v>
      </c>
      <c r="I286" s="154">
        <v>0</v>
      </c>
      <c r="J286" s="154">
        <v>0</v>
      </c>
      <c r="K286" s="154">
        <v>0</v>
      </c>
      <c r="L286" s="154">
        <v>0</v>
      </c>
      <c r="M286" s="155">
        <v>0</v>
      </c>
      <c r="N286" s="154">
        <v>0</v>
      </c>
      <c r="O286" s="154">
        <v>0</v>
      </c>
      <c r="P286" s="154">
        <v>0</v>
      </c>
      <c r="Q286" s="154">
        <v>0</v>
      </c>
      <c r="R286" s="156">
        <v>0</v>
      </c>
      <c r="S286" s="156">
        <v>0</v>
      </c>
      <c r="T286" s="156">
        <v>0</v>
      </c>
      <c r="U286" s="156">
        <f t="shared" si="18"/>
        <v>150</v>
      </c>
    </row>
    <row r="287" spans="1:21" ht="18" hidden="1" customHeight="1">
      <c r="A287" s="153">
        <f t="shared" si="17"/>
        <v>286</v>
      </c>
      <c r="B287" s="153" t="s">
        <v>315</v>
      </c>
      <c r="C287" s="153" t="str">
        <f>VLOOKUP(B287,MEMBERS!B:C,2, )</f>
        <v>DGM FATIMA ZAHID</v>
      </c>
      <c r="D287" s="162">
        <v>46011</v>
      </c>
      <c r="E287" s="154">
        <v>0</v>
      </c>
      <c r="F287" s="154">
        <v>0</v>
      </c>
      <c r="G287" s="154">
        <v>0</v>
      </c>
      <c r="H287" s="154">
        <v>0</v>
      </c>
      <c r="I287" s="154">
        <v>0</v>
      </c>
      <c r="J287" s="154">
        <v>300</v>
      </c>
      <c r="K287" s="154">
        <v>0</v>
      </c>
      <c r="L287" s="154">
        <v>0</v>
      </c>
      <c r="M287" s="155">
        <v>0</v>
      </c>
      <c r="N287" s="154">
        <v>0</v>
      </c>
      <c r="O287" s="154">
        <v>0</v>
      </c>
      <c r="P287" s="154">
        <v>0</v>
      </c>
      <c r="Q287" s="154">
        <v>0</v>
      </c>
      <c r="R287" s="156">
        <v>0</v>
      </c>
      <c r="S287" s="156">
        <v>0</v>
      </c>
      <c r="T287" s="156">
        <v>0</v>
      </c>
      <c r="U287" s="156">
        <f t="shared" si="18"/>
        <v>300</v>
      </c>
    </row>
    <row r="288" spans="1:21" ht="18" hidden="1" customHeight="1">
      <c r="A288" s="153">
        <f t="shared" si="17"/>
        <v>287</v>
      </c>
      <c r="B288" s="153" t="s">
        <v>430</v>
      </c>
      <c r="C288" s="153" t="str">
        <f>VLOOKUP(B288,MEMBERS!B:C,2, )</f>
        <v>SYED JIBRAN MUSHTAQ</v>
      </c>
      <c r="D288" s="162">
        <v>46011</v>
      </c>
      <c r="E288" s="154">
        <v>0</v>
      </c>
      <c r="F288" s="154">
        <v>0</v>
      </c>
      <c r="G288" s="154">
        <v>0</v>
      </c>
      <c r="H288" s="154">
        <v>0</v>
      </c>
      <c r="I288" s="154">
        <v>0</v>
      </c>
      <c r="J288" s="154">
        <f>300+500</f>
        <v>800</v>
      </c>
      <c r="K288" s="154">
        <v>0</v>
      </c>
      <c r="L288" s="154">
        <v>0</v>
      </c>
      <c r="M288" s="155">
        <v>0</v>
      </c>
      <c r="N288" s="154">
        <v>0</v>
      </c>
      <c r="O288" s="154">
        <v>0</v>
      </c>
      <c r="P288" s="154">
        <v>0</v>
      </c>
      <c r="Q288" s="154">
        <v>0</v>
      </c>
      <c r="R288" s="156">
        <v>0</v>
      </c>
      <c r="S288" s="156">
        <v>0</v>
      </c>
      <c r="T288" s="156">
        <v>0</v>
      </c>
      <c r="U288" s="156">
        <f t="shared" si="18"/>
        <v>800</v>
      </c>
    </row>
    <row r="289" spans="1:21" ht="18" hidden="1" customHeight="1">
      <c r="A289" s="153">
        <f t="shared" si="17"/>
        <v>288</v>
      </c>
      <c r="B289" s="153" t="s">
        <v>1021</v>
      </c>
      <c r="C289" s="153" t="str">
        <f>VLOOKUP(B289,MEMBERS!B:C,2, )</f>
        <v>MR. AIJAZ ALI BALOCH</v>
      </c>
      <c r="D289" s="162">
        <v>46011</v>
      </c>
      <c r="E289" s="154">
        <v>0</v>
      </c>
      <c r="F289" s="154">
        <v>0</v>
      </c>
      <c r="G289" s="154">
        <v>0</v>
      </c>
      <c r="H289" s="154">
        <v>0</v>
      </c>
      <c r="I289" s="154">
        <v>0</v>
      </c>
      <c r="J289" s="154">
        <f>300*3+500*7</f>
        <v>4400</v>
      </c>
      <c r="K289" s="154">
        <v>0</v>
      </c>
      <c r="L289" s="154">
        <v>0</v>
      </c>
      <c r="M289" s="155">
        <v>0</v>
      </c>
      <c r="N289" s="154">
        <v>0</v>
      </c>
      <c r="O289" s="154">
        <v>0</v>
      </c>
      <c r="P289" s="154">
        <v>0</v>
      </c>
      <c r="Q289" s="154">
        <v>0</v>
      </c>
      <c r="R289" s="156">
        <v>0</v>
      </c>
      <c r="S289" s="156">
        <v>0</v>
      </c>
      <c r="T289" s="156">
        <v>0</v>
      </c>
      <c r="U289" s="156">
        <f t="shared" si="18"/>
        <v>4400</v>
      </c>
    </row>
    <row r="290" spans="1:21" ht="18" hidden="1" customHeight="1">
      <c r="A290" s="153">
        <f t="shared" si="17"/>
        <v>289</v>
      </c>
      <c r="B290" s="153" t="s">
        <v>221</v>
      </c>
      <c r="C290" s="153" t="str">
        <f>VLOOKUP(B290,MEMBERS!B:C,2, )</f>
        <v>MR.WAQAR UDDIN</v>
      </c>
      <c r="D290" s="162">
        <v>46011</v>
      </c>
      <c r="E290" s="154">
        <f>300+600*4</f>
        <v>2700</v>
      </c>
      <c r="F290" s="154">
        <v>0</v>
      </c>
      <c r="G290" s="154">
        <v>0</v>
      </c>
      <c r="H290" s="154">
        <v>0</v>
      </c>
      <c r="I290" s="154">
        <v>0</v>
      </c>
      <c r="J290" s="154">
        <v>0</v>
      </c>
      <c r="K290" s="154">
        <v>0</v>
      </c>
      <c r="L290" s="154">
        <v>0</v>
      </c>
      <c r="M290" s="155">
        <v>0</v>
      </c>
      <c r="N290" s="154">
        <v>0</v>
      </c>
      <c r="O290" s="154">
        <v>0</v>
      </c>
      <c r="P290" s="154">
        <v>0</v>
      </c>
      <c r="Q290" s="154">
        <v>0</v>
      </c>
      <c r="R290" s="156">
        <v>0</v>
      </c>
      <c r="S290" s="156">
        <v>0</v>
      </c>
      <c r="T290" s="156">
        <v>0</v>
      </c>
      <c r="U290" s="156">
        <f t="shared" si="18"/>
        <v>2700</v>
      </c>
    </row>
    <row r="291" spans="1:21" ht="18" hidden="1" customHeight="1">
      <c r="A291" s="153">
        <f t="shared" si="17"/>
        <v>290</v>
      </c>
      <c r="B291" s="153" t="s">
        <v>123</v>
      </c>
      <c r="C291" s="153" t="str">
        <f>VLOOKUP(B291,MEMBERS!B:C,2, )</f>
        <v>MR.MUIED AHMED DURRANI</v>
      </c>
      <c r="D291" s="162">
        <v>46011</v>
      </c>
      <c r="E291" s="154">
        <f>600*3</f>
        <v>1800</v>
      </c>
      <c r="F291" s="154">
        <v>0</v>
      </c>
      <c r="G291" s="154">
        <v>0</v>
      </c>
      <c r="H291" s="154">
        <v>0</v>
      </c>
      <c r="I291" s="154">
        <v>0</v>
      </c>
      <c r="J291" s="154">
        <v>0</v>
      </c>
      <c r="K291" s="154">
        <v>0</v>
      </c>
      <c r="L291" s="154">
        <v>0</v>
      </c>
      <c r="M291" s="155">
        <v>0</v>
      </c>
      <c r="N291" s="154">
        <v>0</v>
      </c>
      <c r="O291" s="154">
        <v>0</v>
      </c>
      <c r="P291" s="154">
        <v>0</v>
      </c>
      <c r="Q291" s="154">
        <v>0</v>
      </c>
      <c r="R291" s="156">
        <v>0</v>
      </c>
      <c r="S291" s="156">
        <v>0</v>
      </c>
      <c r="T291" s="156">
        <v>0</v>
      </c>
      <c r="U291" s="156">
        <f t="shared" si="18"/>
        <v>1800</v>
      </c>
    </row>
    <row r="292" spans="1:21" ht="18" hidden="1" customHeight="1">
      <c r="A292" s="153">
        <f t="shared" si="17"/>
        <v>291</v>
      </c>
      <c r="B292" s="153" t="s">
        <v>187</v>
      </c>
      <c r="C292" s="153" t="str">
        <f>VLOOKUP(B292,MEMBERS!B:C,2, )</f>
        <v>MR.SHAN ELAHI SEHGAL</v>
      </c>
      <c r="D292" s="162">
        <v>46011</v>
      </c>
      <c r="E292" s="154">
        <f>300*2+600</f>
        <v>1200</v>
      </c>
      <c r="F292" s="154">
        <v>0</v>
      </c>
      <c r="G292" s="154">
        <v>0</v>
      </c>
      <c r="H292" s="154">
        <v>0</v>
      </c>
      <c r="I292" s="154">
        <v>0</v>
      </c>
      <c r="J292" s="154">
        <v>0</v>
      </c>
      <c r="K292" s="154">
        <v>0</v>
      </c>
      <c r="L292" s="154">
        <v>0</v>
      </c>
      <c r="M292" s="155">
        <v>0</v>
      </c>
      <c r="N292" s="154">
        <v>0</v>
      </c>
      <c r="O292" s="154">
        <v>0</v>
      </c>
      <c r="P292" s="154">
        <v>0</v>
      </c>
      <c r="Q292" s="154">
        <v>0</v>
      </c>
      <c r="R292" s="156">
        <v>0</v>
      </c>
      <c r="S292" s="156">
        <v>0</v>
      </c>
      <c r="T292" s="156">
        <v>0</v>
      </c>
      <c r="U292" s="156">
        <f t="shared" si="18"/>
        <v>1200</v>
      </c>
    </row>
    <row r="293" spans="1:21" ht="18" hidden="1" customHeight="1">
      <c r="A293" s="153">
        <f t="shared" si="17"/>
        <v>292</v>
      </c>
      <c r="B293" s="153" t="s">
        <v>113</v>
      </c>
      <c r="C293" s="153" t="str">
        <f>VLOOKUP(B293,MEMBERS!B:C,2, )</f>
        <v>MR.MANOJ KUMAR</v>
      </c>
      <c r="D293" s="162">
        <v>46011</v>
      </c>
      <c r="E293" s="154">
        <f>300+600</f>
        <v>900</v>
      </c>
      <c r="F293" s="154">
        <v>0</v>
      </c>
      <c r="G293" s="154">
        <v>0</v>
      </c>
      <c r="H293" s="154">
        <v>0</v>
      </c>
      <c r="I293" s="154">
        <v>0</v>
      </c>
      <c r="J293" s="154">
        <v>0</v>
      </c>
      <c r="K293" s="154">
        <v>0</v>
      </c>
      <c r="L293" s="154">
        <v>0</v>
      </c>
      <c r="M293" s="155">
        <v>0</v>
      </c>
      <c r="N293" s="154">
        <v>0</v>
      </c>
      <c r="O293" s="154">
        <v>0</v>
      </c>
      <c r="P293" s="154">
        <v>0</v>
      </c>
      <c r="Q293" s="154">
        <v>0</v>
      </c>
      <c r="R293" s="156">
        <v>0</v>
      </c>
      <c r="S293" s="156">
        <v>0</v>
      </c>
      <c r="T293" s="156">
        <v>0</v>
      </c>
      <c r="U293" s="156">
        <f t="shared" si="18"/>
        <v>900</v>
      </c>
    </row>
    <row r="294" spans="1:21" ht="18" customHeight="1">
      <c r="A294" s="153">
        <f t="shared" si="17"/>
        <v>293</v>
      </c>
      <c r="B294" s="153" t="s">
        <v>756</v>
      </c>
      <c r="C294" s="153" t="s">
        <v>1173</v>
      </c>
      <c r="D294" s="162">
        <v>46012</v>
      </c>
      <c r="E294" s="154">
        <v>0</v>
      </c>
      <c r="F294" s="154">
        <v>0</v>
      </c>
      <c r="G294" s="154">
        <v>0</v>
      </c>
      <c r="H294" s="154">
        <v>0</v>
      </c>
      <c r="I294" s="154">
        <v>0</v>
      </c>
      <c r="J294" s="154">
        <v>0</v>
      </c>
      <c r="K294" s="154">
        <v>0</v>
      </c>
      <c r="L294" s="154">
        <v>0</v>
      </c>
      <c r="M294" s="155">
        <v>0</v>
      </c>
      <c r="N294" s="154">
        <v>0</v>
      </c>
      <c r="O294" s="154">
        <v>0</v>
      </c>
      <c r="P294" s="292">
        <v>7500</v>
      </c>
      <c r="Q294" s="154">
        <v>0</v>
      </c>
      <c r="R294" s="156">
        <v>0</v>
      </c>
      <c r="S294" s="156">
        <v>0</v>
      </c>
      <c r="T294" s="156">
        <v>0</v>
      </c>
      <c r="U294" s="156">
        <f t="shared" si="18"/>
        <v>7500</v>
      </c>
    </row>
    <row r="295" spans="1:21" ht="18" customHeight="1">
      <c r="A295" s="153">
        <f t="shared" ref="A295:A303" si="19">IF(D295&lt;&gt;"", ROW()-1, "")</f>
        <v>294</v>
      </c>
      <c r="B295" s="153" t="s">
        <v>373</v>
      </c>
      <c r="C295" s="153" t="str">
        <f>VLOOKUP(B295,MEMBERS!B:C,2, )</f>
        <v>ASIF ASHFAQ</v>
      </c>
      <c r="D295" s="162">
        <v>46012</v>
      </c>
      <c r="E295" s="154">
        <v>0</v>
      </c>
      <c r="F295" s="154">
        <v>0</v>
      </c>
      <c r="G295" s="154">
        <v>0</v>
      </c>
      <c r="H295" s="154">
        <v>0</v>
      </c>
      <c r="I295" s="154">
        <v>0</v>
      </c>
      <c r="J295" s="154">
        <f>300*1+500*6</f>
        <v>3300</v>
      </c>
      <c r="K295" s="154">
        <v>0</v>
      </c>
      <c r="L295" s="154">
        <v>0</v>
      </c>
      <c r="M295" s="155">
        <v>0</v>
      </c>
      <c r="N295" s="154">
        <v>0</v>
      </c>
      <c r="O295" s="154">
        <f>1000+1500*3</f>
        <v>5500</v>
      </c>
      <c r="P295" s="154">
        <v>0</v>
      </c>
      <c r="Q295" s="154">
        <v>0</v>
      </c>
      <c r="R295" s="156">
        <v>0</v>
      </c>
      <c r="S295" s="156">
        <v>0</v>
      </c>
      <c r="T295" s="156">
        <v>0</v>
      </c>
      <c r="U295" s="156">
        <f t="shared" ref="U295:U303" si="20">SUM(E295:T295)</f>
        <v>8800</v>
      </c>
    </row>
    <row r="296" spans="1:21" ht="18" customHeight="1">
      <c r="A296" s="153">
        <f t="shared" si="19"/>
        <v>295</v>
      </c>
      <c r="B296" s="153" t="s">
        <v>947</v>
      </c>
      <c r="C296" s="153" t="str">
        <f>VLOOKUP(B296,MEMBERS!B:C,2, )</f>
        <v>MR . SYED RAHAT HUSSAIN ZAIDI</v>
      </c>
      <c r="D296" s="162">
        <v>46012</v>
      </c>
      <c r="E296" s="154">
        <f>600*12</f>
        <v>7200</v>
      </c>
      <c r="F296" s="154">
        <v>0</v>
      </c>
      <c r="G296" s="154">
        <f>300*3+150*2</f>
        <v>1200</v>
      </c>
      <c r="H296" s="154">
        <f>600*6</f>
        <v>3600</v>
      </c>
      <c r="I296" s="154">
        <v>0</v>
      </c>
      <c r="J296" s="154">
        <f>300*2+500*5</f>
        <v>3100</v>
      </c>
      <c r="K296" s="154">
        <v>0</v>
      </c>
      <c r="L296" s="154">
        <v>0</v>
      </c>
      <c r="M296" s="155">
        <v>200</v>
      </c>
      <c r="N296" s="154">
        <v>0</v>
      </c>
      <c r="O296" s="154">
        <f>1000*2+1500*6</f>
        <v>11000</v>
      </c>
      <c r="P296" s="154">
        <v>0</v>
      </c>
      <c r="Q296" s="154">
        <v>0</v>
      </c>
      <c r="R296" s="156">
        <v>0</v>
      </c>
      <c r="S296" s="156">
        <v>0</v>
      </c>
      <c r="T296" s="156">
        <v>0</v>
      </c>
      <c r="U296" s="156">
        <f t="shared" si="20"/>
        <v>26300</v>
      </c>
    </row>
    <row r="297" spans="1:21" ht="18" customHeight="1">
      <c r="A297" s="153">
        <f t="shared" si="19"/>
        <v>296</v>
      </c>
      <c r="B297" s="153" t="s">
        <v>44</v>
      </c>
      <c r="C297" s="153" t="str">
        <f>VLOOKUP(B297,MEMBERS!B:C,2, )</f>
        <v>MR.MUHAMMAD RIZWAN</v>
      </c>
      <c r="D297" s="162">
        <v>46012</v>
      </c>
      <c r="E297" s="154">
        <f>300+600</f>
        <v>900</v>
      </c>
      <c r="F297" s="154">
        <v>0</v>
      </c>
      <c r="G297" s="154">
        <v>0</v>
      </c>
      <c r="H297" s="154">
        <v>0</v>
      </c>
      <c r="I297" s="154">
        <v>0</v>
      </c>
      <c r="J297" s="154">
        <v>0</v>
      </c>
      <c r="K297" s="154">
        <v>0</v>
      </c>
      <c r="L297" s="154">
        <v>0</v>
      </c>
      <c r="M297" s="155">
        <v>0</v>
      </c>
      <c r="N297" s="154">
        <v>0</v>
      </c>
      <c r="O297" s="154">
        <v>0</v>
      </c>
      <c r="P297" s="154">
        <v>0</v>
      </c>
      <c r="Q297" s="154">
        <v>0</v>
      </c>
      <c r="R297" s="156">
        <v>0</v>
      </c>
      <c r="S297" s="156">
        <v>0</v>
      </c>
      <c r="T297" s="156">
        <v>0</v>
      </c>
      <c r="U297" s="156">
        <f t="shared" si="20"/>
        <v>900</v>
      </c>
    </row>
    <row r="298" spans="1:21" ht="18" customHeight="1">
      <c r="A298" s="153">
        <f t="shared" si="19"/>
        <v>297</v>
      </c>
      <c r="B298" s="153" t="s">
        <v>182</v>
      </c>
      <c r="C298" s="153" t="str">
        <f>VLOOKUP(B298,MEMBERS!B:C,2, )</f>
        <v>MR.MUHAMMAD SALIQ SIDDIQUI</v>
      </c>
      <c r="D298" s="162">
        <v>46012</v>
      </c>
      <c r="E298" s="154">
        <f>600*4</f>
        <v>2400</v>
      </c>
      <c r="F298" s="154">
        <v>0</v>
      </c>
      <c r="G298" s="154">
        <v>0</v>
      </c>
      <c r="H298" s="154">
        <v>0</v>
      </c>
      <c r="I298" s="154">
        <v>0</v>
      </c>
      <c r="J298" s="154">
        <f>500*2</f>
        <v>1000</v>
      </c>
      <c r="K298" s="154">
        <v>0</v>
      </c>
      <c r="L298" s="154">
        <v>0</v>
      </c>
      <c r="M298" s="155">
        <v>0</v>
      </c>
      <c r="N298" s="154">
        <v>0</v>
      </c>
      <c r="O298" s="154">
        <v>0</v>
      </c>
      <c r="P298" s="154">
        <v>0</v>
      </c>
      <c r="Q298" s="154">
        <v>0</v>
      </c>
      <c r="R298" s="156">
        <v>0</v>
      </c>
      <c r="S298" s="156">
        <v>0</v>
      </c>
      <c r="T298" s="156">
        <v>0</v>
      </c>
      <c r="U298" s="156">
        <f t="shared" si="20"/>
        <v>3400</v>
      </c>
    </row>
    <row r="299" spans="1:21" ht="18" customHeight="1">
      <c r="A299" s="153">
        <f t="shared" si="19"/>
        <v>298</v>
      </c>
      <c r="B299" s="153" t="s">
        <v>268</v>
      </c>
      <c r="C299" s="153" t="str">
        <f>VLOOKUP(B299,MEMBERS!B:C,2, )</f>
        <v>DGM AMJAD ALI SHAIKH</v>
      </c>
      <c r="D299" s="162">
        <v>46012</v>
      </c>
      <c r="E299" s="154">
        <v>0</v>
      </c>
      <c r="F299" s="154">
        <v>0</v>
      </c>
      <c r="G299" s="154">
        <v>0</v>
      </c>
      <c r="H299" s="154">
        <v>0</v>
      </c>
      <c r="I299" s="154">
        <v>0</v>
      </c>
      <c r="J299" s="154">
        <v>300</v>
      </c>
      <c r="K299" s="154">
        <v>0</v>
      </c>
      <c r="L299" s="154">
        <v>0</v>
      </c>
      <c r="M299" s="155">
        <v>0</v>
      </c>
      <c r="N299" s="154">
        <v>0</v>
      </c>
      <c r="O299" s="154">
        <v>0</v>
      </c>
      <c r="P299" s="154">
        <v>0</v>
      </c>
      <c r="Q299" s="154">
        <v>0</v>
      </c>
      <c r="R299" s="156">
        <v>0</v>
      </c>
      <c r="S299" s="156">
        <v>0</v>
      </c>
      <c r="T299" s="156">
        <v>0</v>
      </c>
      <c r="U299" s="156">
        <f t="shared" si="20"/>
        <v>300</v>
      </c>
    </row>
    <row r="300" spans="1:21" ht="18" customHeight="1">
      <c r="A300" s="153">
        <f t="shared" si="19"/>
        <v>299</v>
      </c>
      <c r="B300" s="153" t="s">
        <v>795</v>
      </c>
      <c r="C300" s="153" t="str">
        <f>VLOOKUP(B300,MEMBERS!B:C,2, )</f>
        <v>MR. HASAN KARIM</v>
      </c>
      <c r="D300" s="162">
        <v>46012</v>
      </c>
      <c r="E300" s="154">
        <v>0</v>
      </c>
      <c r="F300" s="154">
        <v>0</v>
      </c>
      <c r="G300" s="154">
        <v>0</v>
      </c>
      <c r="H300" s="154">
        <v>0</v>
      </c>
      <c r="I300" s="154">
        <v>0</v>
      </c>
      <c r="J300" s="154">
        <v>0</v>
      </c>
      <c r="K300" s="154">
        <v>300</v>
      </c>
      <c r="L300" s="154">
        <v>0</v>
      </c>
      <c r="M300" s="155">
        <v>0</v>
      </c>
      <c r="N300" s="154">
        <v>0</v>
      </c>
      <c r="O300" s="154">
        <v>0</v>
      </c>
      <c r="P300" s="154">
        <v>0</v>
      </c>
      <c r="Q300" s="154">
        <v>0</v>
      </c>
      <c r="R300" s="156">
        <v>0</v>
      </c>
      <c r="S300" s="156">
        <v>0</v>
      </c>
      <c r="T300" s="156">
        <v>0</v>
      </c>
      <c r="U300" s="156">
        <f t="shared" si="20"/>
        <v>300</v>
      </c>
    </row>
    <row r="301" spans="1:21" ht="18" customHeight="1">
      <c r="A301" s="153">
        <f t="shared" si="19"/>
        <v>300</v>
      </c>
      <c r="B301" s="153" t="s">
        <v>328</v>
      </c>
      <c r="C301" s="153" t="str">
        <f>VLOOKUP(B301,MEMBERS!B:C,2, )</f>
        <v>GM HAROON RASHEED</v>
      </c>
      <c r="D301" s="162">
        <v>46012</v>
      </c>
      <c r="E301" s="154">
        <v>0</v>
      </c>
      <c r="F301" s="154">
        <v>150</v>
      </c>
      <c r="G301" s="154">
        <v>0</v>
      </c>
      <c r="H301" s="154">
        <v>0</v>
      </c>
      <c r="I301" s="154">
        <v>0</v>
      </c>
      <c r="J301" s="154">
        <v>0</v>
      </c>
      <c r="K301" s="154">
        <v>0</v>
      </c>
      <c r="L301" s="154">
        <v>0</v>
      </c>
      <c r="M301" s="155">
        <v>0</v>
      </c>
      <c r="N301" s="154">
        <v>0</v>
      </c>
      <c r="O301" s="154">
        <v>0</v>
      </c>
      <c r="P301" s="154">
        <v>0</v>
      </c>
      <c r="Q301" s="154">
        <v>0</v>
      </c>
      <c r="R301" s="156">
        <v>0</v>
      </c>
      <c r="S301" s="156">
        <v>0</v>
      </c>
      <c r="T301" s="156">
        <v>0</v>
      </c>
      <c r="U301" s="156">
        <f t="shared" si="20"/>
        <v>150</v>
      </c>
    </row>
    <row r="302" spans="1:21" ht="18" customHeight="1">
      <c r="A302" s="153">
        <f t="shared" si="19"/>
        <v>301</v>
      </c>
      <c r="B302" s="153" t="s">
        <v>155</v>
      </c>
      <c r="C302" s="153" t="str">
        <f>VLOOKUP(B302,MEMBERS!B:C,2, )</f>
        <v>MR.PIR MUJEEB JAN SARHANDI</v>
      </c>
      <c r="D302" s="162">
        <v>46012</v>
      </c>
      <c r="E302" s="154">
        <v>0</v>
      </c>
      <c r="F302" s="154">
        <v>150</v>
      </c>
      <c r="G302" s="154">
        <v>0</v>
      </c>
      <c r="H302" s="154">
        <v>0</v>
      </c>
      <c r="I302" s="154">
        <v>0</v>
      </c>
      <c r="J302" s="154">
        <v>0</v>
      </c>
      <c r="K302" s="154">
        <v>0</v>
      </c>
      <c r="L302" s="154">
        <v>0</v>
      </c>
      <c r="M302" s="155">
        <v>0</v>
      </c>
      <c r="N302" s="154">
        <v>0</v>
      </c>
      <c r="O302" s="154">
        <v>0</v>
      </c>
      <c r="P302" s="154">
        <v>0</v>
      </c>
      <c r="Q302" s="154">
        <v>0</v>
      </c>
      <c r="R302" s="156">
        <v>0</v>
      </c>
      <c r="S302" s="156">
        <v>0</v>
      </c>
      <c r="T302" s="156">
        <v>0</v>
      </c>
      <c r="U302" s="156">
        <f t="shared" si="20"/>
        <v>150</v>
      </c>
    </row>
    <row r="303" spans="1:21" ht="18" customHeight="1">
      <c r="A303" s="153">
        <f t="shared" si="19"/>
        <v>302</v>
      </c>
      <c r="B303" s="153" t="s">
        <v>428</v>
      </c>
      <c r="C303" s="153" t="str">
        <f>VLOOKUP(B303,MEMBERS!B:C,2, )</f>
        <v>ALI LEGHARI</v>
      </c>
      <c r="D303" s="162">
        <v>46012</v>
      </c>
      <c r="E303" s="154">
        <v>0</v>
      </c>
      <c r="F303" s="154">
        <v>0</v>
      </c>
      <c r="G303" s="154">
        <v>0</v>
      </c>
      <c r="H303" s="154">
        <v>0</v>
      </c>
      <c r="I303" s="154">
        <v>0</v>
      </c>
      <c r="J303" s="154">
        <v>0</v>
      </c>
      <c r="K303" s="154">
        <v>0</v>
      </c>
      <c r="L303" s="154">
        <v>0</v>
      </c>
      <c r="M303" s="155">
        <v>0</v>
      </c>
      <c r="N303" s="154">
        <v>0</v>
      </c>
      <c r="O303" s="154">
        <v>0</v>
      </c>
      <c r="P303" s="154">
        <v>0</v>
      </c>
      <c r="Q303" s="154">
        <v>0</v>
      </c>
      <c r="R303" s="156">
        <v>0</v>
      </c>
      <c r="S303" s="156">
        <v>0</v>
      </c>
      <c r="T303" s="156">
        <v>365000</v>
      </c>
      <c r="U303" s="156">
        <f t="shared" si="20"/>
        <v>365000</v>
      </c>
    </row>
    <row r="304" spans="1:21" ht="18" hidden="1" customHeight="1">
      <c r="A304" s="153">
        <f t="shared" ref="A304" si="21">IF(D304&lt;&gt;"", ROW()-1, "")</f>
        <v>303</v>
      </c>
      <c r="B304" s="153" t="s">
        <v>34</v>
      </c>
      <c r="C304" s="153" t="str">
        <f>VLOOKUP(B304,MEMBERS!B:C,2, )</f>
        <v>MR.SHIRAZ AHMED</v>
      </c>
      <c r="D304" s="162">
        <v>46013</v>
      </c>
      <c r="E304" s="154">
        <v>0</v>
      </c>
      <c r="F304" s="154">
        <v>0</v>
      </c>
      <c r="G304" s="154">
        <v>0</v>
      </c>
      <c r="H304" s="154">
        <v>0</v>
      </c>
      <c r="I304" s="154">
        <v>0</v>
      </c>
      <c r="J304" s="154">
        <f>300*2+500</f>
        <v>1100</v>
      </c>
      <c r="K304" s="154">
        <v>0</v>
      </c>
      <c r="L304" s="154">
        <v>0</v>
      </c>
      <c r="M304" s="155">
        <v>0</v>
      </c>
      <c r="N304" s="154">
        <v>0</v>
      </c>
      <c r="O304" s="154">
        <v>0</v>
      </c>
      <c r="P304" s="154">
        <v>0</v>
      </c>
      <c r="Q304" s="154">
        <v>0</v>
      </c>
      <c r="R304" s="156">
        <v>0</v>
      </c>
      <c r="S304" s="156">
        <v>0</v>
      </c>
      <c r="T304" s="156">
        <v>0</v>
      </c>
      <c r="U304" s="156">
        <f t="shared" ref="U304" si="22">SUM(E304:T304)</f>
        <v>1100</v>
      </c>
    </row>
    <row r="305" spans="1:21" ht="18" hidden="1" customHeight="1">
      <c r="A305" s="153">
        <f t="shared" ref="A305:A348" si="23">IF(D305&lt;&gt;"", ROW()-1, "")</f>
        <v>304</v>
      </c>
      <c r="B305" s="153" t="s">
        <v>98</v>
      </c>
      <c r="C305" s="153" t="str">
        <f>VLOOKUP(B305,MEMBERS!B:C,2, )</f>
        <v>MR.HAFEEZ AHMED SIYAL</v>
      </c>
      <c r="D305" s="162">
        <v>46013</v>
      </c>
      <c r="E305" s="154">
        <v>0</v>
      </c>
      <c r="F305" s="154">
        <v>0</v>
      </c>
      <c r="G305" s="154">
        <v>0</v>
      </c>
      <c r="H305" s="154">
        <v>0</v>
      </c>
      <c r="I305" s="154">
        <v>0</v>
      </c>
      <c r="J305" s="154">
        <v>300</v>
      </c>
      <c r="K305" s="154">
        <v>0</v>
      </c>
      <c r="L305" s="154">
        <v>0</v>
      </c>
      <c r="M305" s="155">
        <v>0</v>
      </c>
      <c r="N305" s="154">
        <v>0</v>
      </c>
      <c r="O305" s="154">
        <v>0</v>
      </c>
      <c r="P305" s="154">
        <v>0</v>
      </c>
      <c r="Q305" s="154">
        <v>0</v>
      </c>
      <c r="R305" s="156">
        <v>0</v>
      </c>
      <c r="S305" s="156">
        <v>0</v>
      </c>
      <c r="T305" s="156">
        <v>0</v>
      </c>
      <c r="U305" s="156">
        <f t="shared" ref="U305:U348" si="24">SUM(E305:T305)</f>
        <v>300</v>
      </c>
    </row>
    <row r="306" spans="1:21" ht="18" hidden="1" customHeight="1">
      <c r="A306" s="153">
        <f t="shared" si="23"/>
        <v>305</v>
      </c>
      <c r="B306" s="153" t="s">
        <v>1053</v>
      </c>
      <c r="C306" s="153" t="str">
        <f>VLOOKUP(B306,MEMBERS!B:C,2, )</f>
        <v>MR. ZAMIR ALI SHAH</v>
      </c>
      <c r="D306" s="162">
        <v>46013</v>
      </c>
      <c r="E306" s="154">
        <v>0</v>
      </c>
      <c r="F306" s="154">
        <v>0</v>
      </c>
      <c r="G306" s="154">
        <v>0</v>
      </c>
      <c r="H306" s="154">
        <v>0</v>
      </c>
      <c r="I306" s="154">
        <v>0</v>
      </c>
      <c r="J306" s="154">
        <f>500*13</f>
        <v>6500</v>
      </c>
      <c r="K306" s="154">
        <v>0</v>
      </c>
      <c r="L306" s="154">
        <v>0</v>
      </c>
      <c r="M306" s="155">
        <v>0</v>
      </c>
      <c r="N306" s="154">
        <v>0</v>
      </c>
      <c r="O306" s="154">
        <v>0</v>
      </c>
      <c r="P306" s="154">
        <v>0</v>
      </c>
      <c r="Q306" s="154">
        <v>0</v>
      </c>
      <c r="R306" s="156">
        <v>0</v>
      </c>
      <c r="S306" s="156">
        <v>0</v>
      </c>
      <c r="T306" s="156">
        <v>0</v>
      </c>
      <c r="U306" s="156">
        <f t="shared" si="24"/>
        <v>6500</v>
      </c>
    </row>
    <row r="307" spans="1:21" ht="18" hidden="1" customHeight="1">
      <c r="A307" s="153">
        <f t="shared" si="23"/>
        <v>306</v>
      </c>
      <c r="B307" s="153" t="s">
        <v>385</v>
      </c>
      <c r="C307" s="153" t="str">
        <f>VLOOKUP(B307,MEMBERS!B:C,2, )</f>
        <v>AYSM MIRZA</v>
      </c>
      <c r="D307" s="162">
        <v>46013</v>
      </c>
      <c r="E307" s="154">
        <v>0</v>
      </c>
      <c r="F307" s="154">
        <v>0</v>
      </c>
      <c r="G307" s="154">
        <v>0</v>
      </c>
      <c r="H307" s="154">
        <v>0</v>
      </c>
      <c r="I307" s="154">
        <v>0</v>
      </c>
      <c r="J307" s="154">
        <v>300</v>
      </c>
      <c r="K307" s="154">
        <v>0</v>
      </c>
      <c r="L307" s="154">
        <v>0</v>
      </c>
      <c r="M307" s="155">
        <v>0</v>
      </c>
      <c r="N307" s="154">
        <v>0</v>
      </c>
      <c r="O307" s="154">
        <v>0</v>
      </c>
      <c r="P307" s="154">
        <v>0</v>
      </c>
      <c r="Q307" s="154">
        <v>0</v>
      </c>
      <c r="R307" s="156">
        <v>0</v>
      </c>
      <c r="S307" s="156">
        <v>0</v>
      </c>
      <c r="T307" s="156">
        <v>0</v>
      </c>
      <c r="U307" s="156">
        <f t="shared" si="24"/>
        <v>300</v>
      </c>
    </row>
    <row r="308" spans="1:21" ht="18" hidden="1" customHeight="1">
      <c r="A308" s="153">
        <f t="shared" si="23"/>
        <v>307</v>
      </c>
      <c r="B308" s="153" t="s">
        <v>373</v>
      </c>
      <c r="C308" s="153" t="str">
        <f>VLOOKUP(B308,MEMBERS!B:C,2, )</f>
        <v>ASIF ASHFAQ</v>
      </c>
      <c r="D308" s="162">
        <v>46013</v>
      </c>
      <c r="E308" s="154">
        <v>0</v>
      </c>
      <c r="F308" s="154">
        <v>150</v>
      </c>
      <c r="G308" s="154">
        <v>0</v>
      </c>
      <c r="H308" s="154">
        <v>0</v>
      </c>
      <c r="I308" s="154">
        <v>0</v>
      </c>
      <c r="J308" s="154">
        <v>0</v>
      </c>
      <c r="K308" s="154">
        <v>0</v>
      </c>
      <c r="L308" s="154">
        <v>0</v>
      </c>
      <c r="M308" s="155">
        <v>0</v>
      </c>
      <c r="N308" s="154">
        <v>0</v>
      </c>
      <c r="O308" s="154">
        <v>0</v>
      </c>
      <c r="P308" s="154">
        <v>0</v>
      </c>
      <c r="Q308" s="154">
        <v>0</v>
      </c>
      <c r="R308" s="156">
        <v>0</v>
      </c>
      <c r="S308" s="156">
        <v>0</v>
      </c>
      <c r="T308" s="156">
        <v>0</v>
      </c>
      <c r="U308" s="156">
        <f t="shared" si="24"/>
        <v>150</v>
      </c>
    </row>
    <row r="309" spans="1:21" ht="18" hidden="1" customHeight="1">
      <c r="A309" s="153">
        <f t="shared" si="23"/>
        <v>308</v>
      </c>
      <c r="B309" s="153" t="s">
        <v>98</v>
      </c>
      <c r="C309" s="153" t="str">
        <f>VLOOKUP(B309,MEMBERS!B:C,2, )</f>
        <v>MR.HAFEEZ AHMED SIYAL</v>
      </c>
      <c r="D309" s="162">
        <v>46013</v>
      </c>
      <c r="E309" s="154">
        <v>0</v>
      </c>
      <c r="F309" s="154">
        <f>150*2</f>
        <v>300</v>
      </c>
      <c r="G309" s="154">
        <v>0</v>
      </c>
      <c r="H309" s="154">
        <v>0</v>
      </c>
      <c r="I309" s="154">
        <v>0</v>
      </c>
      <c r="J309" s="154">
        <v>0</v>
      </c>
      <c r="K309" s="154">
        <v>0</v>
      </c>
      <c r="L309" s="154">
        <v>0</v>
      </c>
      <c r="M309" s="155">
        <v>0</v>
      </c>
      <c r="N309" s="154">
        <v>0</v>
      </c>
      <c r="O309" s="154">
        <v>0</v>
      </c>
      <c r="P309" s="154">
        <v>0</v>
      </c>
      <c r="Q309" s="154">
        <v>0</v>
      </c>
      <c r="R309" s="156">
        <v>0</v>
      </c>
      <c r="S309" s="156">
        <v>0</v>
      </c>
      <c r="T309" s="156">
        <v>0</v>
      </c>
      <c r="U309" s="156">
        <f t="shared" si="24"/>
        <v>300</v>
      </c>
    </row>
    <row r="310" spans="1:21" ht="18" hidden="1" customHeight="1">
      <c r="A310" s="153">
        <f t="shared" si="23"/>
        <v>309</v>
      </c>
      <c r="B310" s="153" t="s">
        <v>650</v>
      </c>
      <c r="C310" s="153" t="str">
        <f>VLOOKUP(B310,MEMBERS!B:C,2, )</f>
        <v>SHAHBAZ AHMED</v>
      </c>
      <c r="D310" s="162">
        <v>46013</v>
      </c>
      <c r="E310" s="154">
        <v>0</v>
      </c>
      <c r="F310" s="154">
        <v>300</v>
      </c>
      <c r="G310" s="154">
        <v>0</v>
      </c>
      <c r="H310" s="154">
        <v>0</v>
      </c>
      <c r="I310" s="154">
        <v>0</v>
      </c>
      <c r="J310" s="154">
        <v>0</v>
      </c>
      <c r="K310" s="154">
        <v>0</v>
      </c>
      <c r="L310" s="154">
        <v>0</v>
      </c>
      <c r="M310" s="155">
        <v>0</v>
      </c>
      <c r="N310" s="154">
        <v>0</v>
      </c>
      <c r="O310" s="154">
        <v>0</v>
      </c>
      <c r="P310" s="154">
        <v>0</v>
      </c>
      <c r="Q310" s="154">
        <v>0</v>
      </c>
      <c r="R310" s="156">
        <v>0</v>
      </c>
      <c r="S310" s="156">
        <v>0</v>
      </c>
      <c r="T310" s="156">
        <v>0</v>
      </c>
      <c r="U310" s="156">
        <f t="shared" si="24"/>
        <v>300</v>
      </c>
    </row>
    <row r="311" spans="1:21" ht="18" hidden="1" customHeight="1">
      <c r="A311" s="153">
        <f t="shared" si="23"/>
        <v>310</v>
      </c>
      <c r="B311" s="153" t="s">
        <v>1053</v>
      </c>
      <c r="C311" s="153" t="str">
        <f>VLOOKUP(B311,MEMBERS!B:C,2, )</f>
        <v>MR. ZAMIR ALI SHAH</v>
      </c>
      <c r="D311" s="162">
        <v>46013</v>
      </c>
      <c r="E311" s="154">
        <f>17*600</f>
        <v>10200</v>
      </c>
      <c r="F311" s="154">
        <v>0</v>
      </c>
      <c r="G311" s="154">
        <v>0</v>
      </c>
      <c r="H311" s="154">
        <v>0</v>
      </c>
      <c r="I311" s="154">
        <v>0</v>
      </c>
      <c r="J311" s="154">
        <v>0</v>
      </c>
      <c r="K311" s="154">
        <v>0</v>
      </c>
      <c r="L311" s="154">
        <v>0</v>
      </c>
      <c r="M311" s="155">
        <v>0</v>
      </c>
      <c r="N311" s="154">
        <v>0</v>
      </c>
      <c r="O311" s="154">
        <v>0</v>
      </c>
      <c r="P311" s="154">
        <v>0</v>
      </c>
      <c r="Q311" s="154">
        <v>0</v>
      </c>
      <c r="R311" s="156">
        <v>0</v>
      </c>
      <c r="S311" s="156">
        <v>0</v>
      </c>
      <c r="T311" s="156">
        <v>0</v>
      </c>
      <c r="U311" s="156">
        <f t="shared" si="24"/>
        <v>10200</v>
      </c>
    </row>
    <row r="312" spans="1:21" ht="18" hidden="1" customHeight="1">
      <c r="A312" s="153">
        <f t="shared" si="23"/>
        <v>311</v>
      </c>
      <c r="B312" s="153" t="s">
        <v>10</v>
      </c>
      <c r="C312" s="153" t="str">
        <f>VLOOKUP(B312,MEMBERS!B:C,2, )</f>
        <v>MR. JABIR SHAHZAD</v>
      </c>
      <c r="D312" s="162">
        <v>46014</v>
      </c>
      <c r="E312" s="154">
        <v>0</v>
      </c>
      <c r="F312" s="154">
        <v>0</v>
      </c>
      <c r="G312" s="154">
        <v>0</v>
      </c>
      <c r="H312" s="154">
        <v>0</v>
      </c>
      <c r="I312" s="154">
        <v>0</v>
      </c>
      <c r="J312" s="292">
        <v>500</v>
      </c>
      <c r="K312" s="154">
        <v>0</v>
      </c>
      <c r="L312" s="154">
        <v>0</v>
      </c>
      <c r="M312" s="155">
        <v>0</v>
      </c>
      <c r="N312" s="154">
        <v>0</v>
      </c>
      <c r="O312" s="154">
        <v>0</v>
      </c>
      <c r="P312" s="154">
        <v>0</v>
      </c>
      <c r="Q312" s="154">
        <v>0</v>
      </c>
      <c r="R312" s="156">
        <v>0</v>
      </c>
      <c r="S312" s="156">
        <v>0</v>
      </c>
      <c r="T312" s="156">
        <v>0</v>
      </c>
      <c r="U312" s="156">
        <f t="shared" si="24"/>
        <v>500</v>
      </c>
    </row>
    <row r="313" spans="1:21" ht="18" hidden="1" customHeight="1">
      <c r="A313" s="153">
        <f t="shared" ref="A313:A328" si="25">IF(D313&lt;&gt;"", ROW()-1, "")</f>
        <v>312</v>
      </c>
      <c r="B313" s="153" t="s">
        <v>59</v>
      </c>
      <c r="C313" s="153" t="str">
        <f>VLOOKUP(B313,MEMBERS!B:C,2, )</f>
        <v>MR.SAJJAD ALI</v>
      </c>
      <c r="D313" s="162">
        <v>46014</v>
      </c>
      <c r="E313" s="154">
        <v>0</v>
      </c>
      <c r="F313" s="154">
        <v>0</v>
      </c>
      <c r="G313" s="154">
        <v>0</v>
      </c>
      <c r="H313" s="154">
        <v>0</v>
      </c>
      <c r="I313" s="154">
        <v>0</v>
      </c>
      <c r="J313" s="154">
        <v>0</v>
      </c>
      <c r="K313" s="154">
        <v>0</v>
      </c>
      <c r="L313" s="154">
        <v>0</v>
      </c>
      <c r="M313" s="155">
        <v>0</v>
      </c>
      <c r="N313" s="154">
        <v>0</v>
      </c>
      <c r="O313" s="154">
        <v>0</v>
      </c>
      <c r="P313" s="154">
        <v>9500</v>
      </c>
      <c r="Q313" s="154">
        <v>0</v>
      </c>
      <c r="R313" s="156">
        <v>0</v>
      </c>
      <c r="S313" s="156">
        <v>0</v>
      </c>
      <c r="T313" s="156">
        <v>0</v>
      </c>
      <c r="U313" s="156">
        <f t="shared" ref="U313:U328" si="26">SUM(E313:T313)</f>
        <v>9500</v>
      </c>
    </row>
    <row r="314" spans="1:21" ht="18" hidden="1" customHeight="1">
      <c r="A314" s="153">
        <f t="shared" si="25"/>
        <v>313</v>
      </c>
      <c r="B314" s="153" t="s">
        <v>756</v>
      </c>
      <c r="C314" s="153" t="e">
        <f>VLOOKUP(B314,MEMBERS!B:C,2, )</f>
        <v>#N/A</v>
      </c>
      <c r="D314" s="162">
        <v>46014</v>
      </c>
      <c r="E314" s="154">
        <v>0</v>
      </c>
      <c r="F314" s="154">
        <v>0</v>
      </c>
      <c r="G314" s="154">
        <v>0</v>
      </c>
      <c r="H314" s="154">
        <v>0</v>
      </c>
      <c r="I314" s="154">
        <v>0</v>
      </c>
      <c r="J314" s="154">
        <v>0</v>
      </c>
      <c r="K314" s="154">
        <v>0</v>
      </c>
      <c r="L314" s="154">
        <v>0</v>
      </c>
      <c r="M314" s="155">
        <v>0</v>
      </c>
      <c r="N314" s="154">
        <v>0</v>
      </c>
      <c r="O314" s="154">
        <v>0</v>
      </c>
      <c r="P314" s="292">
        <v>19250</v>
      </c>
      <c r="Q314" s="154">
        <v>0</v>
      </c>
      <c r="R314" s="156">
        <v>0</v>
      </c>
      <c r="S314" s="156">
        <v>0</v>
      </c>
      <c r="T314" s="156">
        <v>0</v>
      </c>
      <c r="U314" s="156">
        <f t="shared" si="26"/>
        <v>19250</v>
      </c>
    </row>
    <row r="315" spans="1:21" ht="18" hidden="1" customHeight="1">
      <c r="A315" s="153">
        <f t="shared" si="25"/>
        <v>314</v>
      </c>
      <c r="B315" s="153" t="s">
        <v>454</v>
      </c>
      <c r="C315" s="346" t="str">
        <f>VLOOKUP(B315,MEMBERS!B:C,2, )</f>
        <v>Heritage club</v>
      </c>
      <c r="D315" s="162">
        <v>46014</v>
      </c>
      <c r="E315" s="154">
        <v>0</v>
      </c>
      <c r="F315" s="154">
        <v>0</v>
      </c>
      <c r="G315" s="154">
        <v>0</v>
      </c>
      <c r="H315" s="154">
        <v>0</v>
      </c>
      <c r="I315" s="154">
        <v>0</v>
      </c>
      <c r="J315" s="345">
        <f>500*4</f>
        <v>2000</v>
      </c>
      <c r="K315" s="154">
        <v>0</v>
      </c>
      <c r="L315" s="154">
        <v>0</v>
      </c>
      <c r="M315" s="155">
        <v>0</v>
      </c>
      <c r="N315" s="154">
        <v>0</v>
      </c>
      <c r="O315" s="154">
        <v>0</v>
      </c>
      <c r="P315" s="154">
        <v>0</v>
      </c>
      <c r="Q315" s="154">
        <v>0</v>
      </c>
      <c r="R315" s="156">
        <v>0</v>
      </c>
      <c r="S315" s="156">
        <v>0</v>
      </c>
      <c r="T315" s="156">
        <v>0</v>
      </c>
      <c r="U315" s="156">
        <f t="shared" si="26"/>
        <v>2000</v>
      </c>
    </row>
    <row r="316" spans="1:21" ht="18" hidden="1" customHeight="1">
      <c r="A316" s="153">
        <f t="shared" si="25"/>
        <v>315</v>
      </c>
      <c r="B316" s="153" t="s">
        <v>88</v>
      </c>
      <c r="C316" s="153" t="str">
        <f>VLOOKUP(B316,MEMBERS!B:C,2, )</f>
        <v>DR.NAZEER HUSSAIN KALHORO</v>
      </c>
      <c r="D316" s="162">
        <v>46014</v>
      </c>
      <c r="E316" s="154">
        <v>0</v>
      </c>
      <c r="F316" s="154">
        <v>0</v>
      </c>
      <c r="G316" s="154">
        <v>0</v>
      </c>
      <c r="H316" s="154">
        <v>0</v>
      </c>
      <c r="I316" s="154">
        <v>0</v>
      </c>
      <c r="J316" s="154">
        <f>500*4</f>
        <v>2000</v>
      </c>
      <c r="K316" s="154">
        <v>0</v>
      </c>
      <c r="L316" s="154">
        <v>0</v>
      </c>
      <c r="M316" s="155">
        <v>0</v>
      </c>
      <c r="N316" s="154">
        <v>0</v>
      </c>
      <c r="O316" s="154">
        <v>0</v>
      </c>
      <c r="P316" s="154">
        <v>0</v>
      </c>
      <c r="Q316" s="154">
        <v>0</v>
      </c>
      <c r="R316" s="156">
        <v>0</v>
      </c>
      <c r="S316" s="156">
        <v>0</v>
      </c>
      <c r="T316" s="156">
        <v>0</v>
      </c>
      <c r="U316" s="156">
        <f t="shared" si="26"/>
        <v>2000</v>
      </c>
    </row>
    <row r="317" spans="1:21" ht="18" hidden="1" customHeight="1">
      <c r="A317" s="153">
        <f t="shared" si="25"/>
        <v>316</v>
      </c>
      <c r="B317" s="153" t="s">
        <v>103</v>
      </c>
      <c r="C317" s="153" t="str">
        <f>VLOOKUP(B317,MEMBERS!B:C,2, )</f>
        <v>MR.IQBAL AHMED MALLAH</v>
      </c>
      <c r="D317" s="162">
        <v>46014</v>
      </c>
      <c r="E317" s="154">
        <v>0</v>
      </c>
      <c r="F317" s="154">
        <v>0</v>
      </c>
      <c r="G317" s="154">
        <v>0</v>
      </c>
      <c r="H317" s="154">
        <v>0</v>
      </c>
      <c r="I317" s="154">
        <v>0</v>
      </c>
      <c r="J317" s="154">
        <f>500*4+300*4</f>
        <v>3200</v>
      </c>
      <c r="K317" s="154">
        <v>0</v>
      </c>
      <c r="L317" s="154">
        <v>0</v>
      </c>
      <c r="M317" s="155">
        <v>0</v>
      </c>
      <c r="N317" s="154">
        <v>0</v>
      </c>
      <c r="O317" s="154">
        <v>0</v>
      </c>
      <c r="P317" s="154">
        <v>0</v>
      </c>
      <c r="Q317" s="154">
        <v>0</v>
      </c>
      <c r="R317" s="156">
        <v>0</v>
      </c>
      <c r="S317" s="156">
        <v>0</v>
      </c>
      <c r="T317" s="156">
        <v>0</v>
      </c>
      <c r="U317" s="156">
        <f t="shared" si="26"/>
        <v>3200</v>
      </c>
    </row>
    <row r="318" spans="1:21" ht="18" hidden="1" customHeight="1">
      <c r="A318" s="153">
        <f t="shared" si="25"/>
        <v>317</v>
      </c>
      <c r="B318" s="153" t="s">
        <v>54</v>
      </c>
      <c r="C318" s="153" t="str">
        <f>VLOOKUP(B318,MEMBERS!B:C,2, )</f>
        <v>MR.ZEESHAN IQBAL</v>
      </c>
      <c r="D318" s="162">
        <v>46014</v>
      </c>
      <c r="E318" s="154">
        <v>0</v>
      </c>
      <c r="F318" s="154">
        <f>150*2</f>
        <v>300</v>
      </c>
      <c r="G318" s="154">
        <v>0</v>
      </c>
      <c r="H318" s="154">
        <v>0</v>
      </c>
      <c r="I318" s="154">
        <v>0</v>
      </c>
      <c r="J318" s="154">
        <v>0</v>
      </c>
      <c r="K318" s="154">
        <v>0</v>
      </c>
      <c r="L318" s="154">
        <v>0</v>
      </c>
      <c r="M318" s="155">
        <v>0</v>
      </c>
      <c r="N318" s="154">
        <v>0</v>
      </c>
      <c r="O318" s="154">
        <v>0</v>
      </c>
      <c r="P318" s="154">
        <v>0</v>
      </c>
      <c r="Q318" s="154">
        <v>0</v>
      </c>
      <c r="R318" s="156">
        <v>0</v>
      </c>
      <c r="S318" s="156">
        <v>0</v>
      </c>
      <c r="T318" s="156">
        <v>0</v>
      </c>
      <c r="U318" s="156">
        <f t="shared" si="26"/>
        <v>300</v>
      </c>
    </row>
    <row r="319" spans="1:21" ht="18" hidden="1" customHeight="1">
      <c r="A319" s="153">
        <f t="shared" si="25"/>
        <v>318</v>
      </c>
      <c r="B319" s="153" t="s">
        <v>373</v>
      </c>
      <c r="C319" s="153" t="str">
        <f>VLOOKUP(B319,MEMBERS!B:C,2, )</f>
        <v>ASIF ASHFAQ</v>
      </c>
      <c r="D319" s="162">
        <v>46014</v>
      </c>
      <c r="E319" s="154">
        <v>0</v>
      </c>
      <c r="F319" s="154">
        <v>150</v>
      </c>
      <c r="G319" s="154">
        <v>0</v>
      </c>
      <c r="H319" s="154">
        <v>0</v>
      </c>
      <c r="I319" s="154">
        <v>0</v>
      </c>
      <c r="J319" s="154">
        <v>0</v>
      </c>
      <c r="K319" s="154">
        <v>0</v>
      </c>
      <c r="L319" s="154">
        <v>0</v>
      </c>
      <c r="M319" s="155">
        <v>0</v>
      </c>
      <c r="N319" s="154">
        <v>0</v>
      </c>
      <c r="O319" s="154">
        <v>0</v>
      </c>
      <c r="P319" s="154">
        <v>0</v>
      </c>
      <c r="Q319" s="154">
        <v>0</v>
      </c>
      <c r="R319" s="156">
        <v>0</v>
      </c>
      <c r="S319" s="156">
        <v>0</v>
      </c>
      <c r="T319" s="156">
        <v>0</v>
      </c>
      <c r="U319" s="156">
        <f t="shared" si="26"/>
        <v>150</v>
      </c>
    </row>
    <row r="320" spans="1:21" ht="18" hidden="1" customHeight="1">
      <c r="A320" s="153">
        <f t="shared" si="25"/>
        <v>319</v>
      </c>
      <c r="B320" s="153" t="s">
        <v>1020</v>
      </c>
      <c r="C320" s="153" t="str">
        <f>VLOOKUP(B320,MEMBERS!B:C,2, )</f>
        <v>MR. MUNAWAR HUSSAIN</v>
      </c>
      <c r="D320" s="162">
        <v>46014</v>
      </c>
      <c r="E320" s="154">
        <v>0</v>
      </c>
      <c r="F320" s="154">
        <f>150*2</f>
        <v>300</v>
      </c>
      <c r="G320" s="154">
        <v>0</v>
      </c>
      <c r="H320" s="154">
        <v>0</v>
      </c>
      <c r="I320" s="154">
        <v>0</v>
      </c>
      <c r="J320" s="154">
        <v>0</v>
      </c>
      <c r="K320" s="154">
        <v>0</v>
      </c>
      <c r="L320" s="154">
        <v>0</v>
      </c>
      <c r="M320" s="155">
        <v>0</v>
      </c>
      <c r="N320" s="154">
        <v>0</v>
      </c>
      <c r="O320" s="154">
        <v>0</v>
      </c>
      <c r="P320" s="154">
        <v>0</v>
      </c>
      <c r="Q320" s="154">
        <v>0</v>
      </c>
      <c r="R320" s="156">
        <v>0</v>
      </c>
      <c r="S320" s="156">
        <v>0</v>
      </c>
      <c r="T320" s="156">
        <v>0</v>
      </c>
      <c r="U320" s="156">
        <f t="shared" si="26"/>
        <v>300</v>
      </c>
    </row>
    <row r="321" spans="1:21" ht="18" hidden="1" customHeight="1">
      <c r="A321" s="153">
        <f t="shared" si="25"/>
        <v>320</v>
      </c>
      <c r="B321" s="153" t="s">
        <v>359</v>
      </c>
      <c r="C321" s="153" t="str">
        <f>VLOOKUP(B321,MEMBERS!B:C,2, )</f>
        <v>DR.NASEEM MUNSHI</v>
      </c>
      <c r="D321" s="162">
        <v>46014</v>
      </c>
      <c r="E321" s="154">
        <v>0</v>
      </c>
      <c r="F321" s="154">
        <v>150</v>
      </c>
      <c r="G321" s="154">
        <v>0</v>
      </c>
      <c r="H321" s="154">
        <v>0</v>
      </c>
      <c r="I321" s="154">
        <v>0</v>
      </c>
      <c r="J321" s="154">
        <v>0</v>
      </c>
      <c r="K321" s="154">
        <v>0</v>
      </c>
      <c r="L321" s="154">
        <v>0</v>
      </c>
      <c r="M321" s="155">
        <v>0</v>
      </c>
      <c r="N321" s="154">
        <v>0</v>
      </c>
      <c r="O321" s="154">
        <v>0</v>
      </c>
      <c r="P321" s="154">
        <v>0</v>
      </c>
      <c r="Q321" s="154">
        <v>0</v>
      </c>
      <c r="R321" s="156">
        <v>0</v>
      </c>
      <c r="S321" s="156">
        <v>0</v>
      </c>
      <c r="T321" s="156">
        <v>0</v>
      </c>
      <c r="U321" s="156">
        <f t="shared" si="26"/>
        <v>150</v>
      </c>
    </row>
    <row r="322" spans="1:21" ht="18" hidden="1" customHeight="1">
      <c r="A322" s="153">
        <f t="shared" si="25"/>
        <v>321</v>
      </c>
      <c r="B322" s="153" t="s">
        <v>155</v>
      </c>
      <c r="C322" s="153" t="str">
        <f>VLOOKUP(B322,MEMBERS!B:C,2, )</f>
        <v>MR.PIR MUJEEB JAN SARHANDI</v>
      </c>
      <c r="D322" s="162">
        <v>46014</v>
      </c>
      <c r="E322" s="154">
        <v>0</v>
      </c>
      <c r="F322" s="154">
        <v>150</v>
      </c>
      <c r="G322" s="154">
        <v>0</v>
      </c>
      <c r="H322" s="154">
        <v>0</v>
      </c>
      <c r="I322" s="154">
        <v>0</v>
      </c>
      <c r="J322" s="154">
        <v>0</v>
      </c>
      <c r="K322" s="154">
        <v>0</v>
      </c>
      <c r="L322" s="154">
        <v>0</v>
      </c>
      <c r="M322" s="155">
        <v>0</v>
      </c>
      <c r="N322" s="154">
        <v>0</v>
      </c>
      <c r="O322" s="154">
        <v>0</v>
      </c>
      <c r="P322" s="154">
        <v>0</v>
      </c>
      <c r="Q322" s="154">
        <v>0</v>
      </c>
      <c r="R322" s="156">
        <v>0</v>
      </c>
      <c r="S322" s="156">
        <v>0</v>
      </c>
      <c r="T322" s="156">
        <v>0</v>
      </c>
      <c r="U322" s="156">
        <f t="shared" si="26"/>
        <v>150</v>
      </c>
    </row>
    <row r="323" spans="1:21" ht="18" hidden="1" customHeight="1">
      <c r="A323" s="153">
        <f t="shared" si="25"/>
        <v>322</v>
      </c>
      <c r="B323" s="153" t="s">
        <v>1021</v>
      </c>
      <c r="C323" s="153" t="str">
        <f>VLOOKUP(B323,MEMBERS!B:C,2, )</f>
        <v>MR. AIJAZ ALI BALOCH</v>
      </c>
      <c r="D323" s="162">
        <v>46014</v>
      </c>
      <c r="E323" s="154">
        <v>0</v>
      </c>
      <c r="F323" s="154">
        <v>150</v>
      </c>
      <c r="G323" s="154">
        <v>0</v>
      </c>
      <c r="H323" s="154">
        <v>0</v>
      </c>
      <c r="I323" s="154">
        <v>0</v>
      </c>
      <c r="J323" s="154">
        <v>0</v>
      </c>
      <c r="K323" s="154">
        <v>0</v>
      </c>
      <c r="L323" s="154">
        <v>0</v>
      </c>
      <c r="M323" s="155">
        <v>0</v>
      </c>
      <c r="N323" s="154">
        <v>0</v>
      </c>
      <c r="O323" s="154">
        <v>0</v>
      </c>
      <c r="P323" s="154">
        <v>0</v>
      </c>
      <c r="Q323" s="154">
        <v>0</v>
      </c>
      <c r="R323" s="156">
        <v>0</v>
      </c>
      <c r="S323" s="156">
        <v>0</v>
      </c>
      <c r="T323" s="156">
        <v>0</v>
      </c>
      <c r="U323" s="156">
        <f t="shared" si="26"/>
        <v>150</v>
      </c>
    </row>
    <row r="324" spans="1:21" ht="18" hidden="1" customHeight="1">
      <c r="A324" s="153">
        <f t="shared" si="25"/>
        <v>323</v>
      </c>
      <c r="B324" s="153" t="s">
        <v>113</v>
      </c>
      <c r="C324" s="153" t="str">
        <f>VLOOKUP(B324,MEMBERS!B:C,2, )</f>
        <v>MR.MANOJ KUMAR</v>
      </c>
      <c r="D324" s="162">
        <v>46014</v>
      </c>
      <c r="E324" s="154">
        <f>300+600*3</f>
        <v>2100</v>
      </c>
      <c r="F324" s="154">
        <v>0</v>
      </c>
      <c r="G324" s="154">
        <v>0</v>
      </c>
      <c r="H324" s="154">
        <v>0</v>
      </c>
      <c r="I324" s="154">
        <v>0</v>
      </c>
      <c r="J324" s="154">
        <v>0</v>
      </c>
      <c r="K324" s="154">
        <v>0</v>
      </c>
      <c r="L324" s="154">
        <v>0</v>
      </c>
      <c r="M324" s="155">
        <v>0</v>
      </c>
      <c r="N324" s="154">
        <v>0</v>
      </c>
      <c r="O324" s="154">
        <v>0</v>
      </c>
      <c r="P324" s="154">
        <v>0</v>
      </c>
      <c r="Q324" s="154">
        <v>0</v>
      </c>
      <c r="R324" s="156">
        <v>0</v>
      </c>
      <c r="S324" s="156">
        <v>0</v>
      </c>
      <c r="T324" s="156">
        <v>0</v>
      </c>
      <c r="U324" s="156">
        <f t="shared" si="26"/>
        <v>2100</v>
      </c>
    </row>
    <row r="325" spans="1:21" ht="18" hidden="1" customHeight="1">
      <c r="A325" s="153">
        <f t="shared" si="25"/>
        <v>324</v>
      </c>
      <c r="B325" s="153" t="s">
        <v>192</v>
      </c>
      <c r="C325" s="153" t="str">
        <f>VLOOKUP(B325,MEMBERS!B:C,2, )</f>
        <v>MR.HANIF AHSAN ZUBEDI</v>
      </c>
      <c r="D325" s="162">
        <v>46014</v>
      </c>
      <c r="E325" s="154">
        <f>600*2+300</f>
        <v>1500</v>
      </c>
      <c r="F325" s="154">
        <v>0</v>
      </c>
      <c r="G325" s="154">
        <v>0</v>
      </c>
      <c r="H325" s="154">
        <v>0</v>
      </c>
      <c r="I325" s="154">
        <v>0</v>
      </c>
      <c r="J325" s="154">
        <v>0</v>
      </c>
      <c r="K325" s="154">
        <v>0</v>
      </c>
      <c r="L325" s="154">
        <v>0</v>
      </c>
      <c r="M325" s="155">
        <v>0</v>
      </c>
      <c r="N325" s="154">
        <v>0</v>
      </c>
      <c r="O325" s="154">
        <v>0</v>
      </c>
      <c r="P325" s="154">
        <v>0</v>
      </c>
      <c r="Q325" s="154">
        <v>0</v>
      </c>
      <c r="R325" s="156">
        <v>0</v>
      </c>
      <c r="S325" s="156">
        <v>0</v>
      </c>
      <c r="T325" s="156">
        <v>0</v>
      </c>
      <c r="U325" s="156">
        <f t="shared" si="26"/>
        <v>1500</v>
      </c>
    </row>
    <row r="326" spans="1:21" ht="18" hidden="1" customHeight="1">
      <c r="A326" s="153">
        <f t="shared" si="25"/>
        <v>325</v>
      </c>
      <c r="B326" s="153" t="s">
        <v>454</v>
      </c>
      <c r="C326" s="346" t="str">
        <f>VLOOKUP(B326,MEMBERS!B:C,2, )</f>
        <v>Heritage club</v>
      </c>
      <c r="D326" s="162">
        <v>46014</v>
      </c>
      <c r="E326" s="345">
        <f>600*3</f>
        <v>1800</v>
      </c>
      <c r="F326" s="154">
        <v>0</v>
      </c>
      <c r="G326" s="154">
        <v>0</v>
      </c>
      <c r="H326" s="154">
        <v>0</v>
      </c>
      <c r="I326" s="154">
        <v>0</v>
      </c>
      <c r="J326" s="154">
        <v>0</v>
      </c>
      <c r="K326" s="154">
        <v>0</v>
      </c>
      <c r="L326" s="154">
        <v>0</v>
      </c>
      <c r="M326" s="155">
        <v>0</v>
      </c>
      <c r="N326" s="154">
        <v>0</v>
      </c>
      <c r="O326" s="154">
        <v>0</v>
      </c>
      <c r="P326" s="154">
        <v>0</v>
      </c>
      <c r="Q326" s="154">
        <v>0</v>
      </c>
      <c r="R326" s="156">
        <v>0</v>
      </c>
      <c r="S326" s="156">
        <v>0</v>
      </c>
      <c r="T326" s="156">
        <v>0</v>
      </c>
      <c r="U326" s="156">
        <f t="shared" si="26"/>
        <v>1800</v>
      </c>
    </row>
    <row r="327" spans="1:21" ht="18" hidden="1" customHeight="1">
      <c r="A327" s="153">
        <f t="shared" si="25"/>
        <v>326</v>
      </c>
      <c r="B327" s="153" t="s">
        <v>454</v>
      </c>
      <c r="C327" s="153" t="str">
        <f>VLOOKUP(B327,MEMBERS!B:C,2, )</f>
        <v>Heritage club</v>
      </c>
      <c r="D327" s="162">
        <v>46015</v>
      </c>
      <c r="E327" s="154">
        <v>0</v>
      </c>
      <c r="F327" s="154">
        <v>0</v>
      </c>
      <c r="G327" s="154">
        <v>0</v>
      </c>
      <c r="H327" s="154">
        <v>0</v>
      </c>
      <c r="I327" s="154">
        <v>0</v>
      </c>
      <c r="J327" s="154">
        <v>0</v>
      </c>
      <c r="K327" s="154">
        <v>0</v>
      </c>
      <c r="L327" s="154">
        <v>0</v>
      </c>
      <c r="M327" s="155">
        <v>0</v>
      </c>
      <c r="N327" s="154">
        <v>0</v>
      </c>
      <c r="O327" s="154">
        <v>0</v>
      </c>
      <c r="P327" s="154">
        <v>0</v>
      </c>
      <c r="Q327" s="154">
        <v>0</v>
      </c>
      <c r="R327" s="156">
        <v>0</v>
      </c>
      <c r="S327" s="348">
        <v>480000</v>
      </c>
      <c r="T327" s="156">
        <v>0</v>
      </c>
      <c r="U327" s="156">
        <f t="shared" si="26"/>
        <v>480000</v>
      </c>
    </row>
    <row r="328" spans="1:21" ht="18" hidden="1" customHeight="1">
      <c r="A328" s="153">
        <f t="shared" si="25"/>
        <v>327</v>
      </c>
      <c r="B328" s="153" t="s">
        <v>756</v>
      </c>
      <c r="C328" s="153" t="s">
        <v>1173</v>
      </c>
      <c r="D328" s="162">
        <v>46015</v>
      </c>
      <c r="E328" s="154">
        <v>0</v>
      </c>
      <c r="F328" s="154">
        <v>0</v>
      </c>
      <c r="G328" s="154">
        <v>0</v>
      </c>
      <c r="H328" s="154">
        <v>0</v>
      </c>
      <c r="I328" s="154">
        <v>0</v>
      </c>
      <c r="J328" s="154">
        <v>0</v>
      </c>
      <c r="K328" s="154">
        <v>0</v>
      </c>
      <c r="L328" s="154">
        <v>0</v>
      </c>
      <c r="M328" s="155">
        <v>0</v>
      </c>
      <c r="N328" s="154">
        <v>0</v>
      </c>
      <c r="O328" s="154">
        <v>0</v>
      </c>
      <c r="P328" s="349">
        <v>11500</v>
      </c>
      <c r="Q328" s="154">
        <v>0</v>
      </c>
      <c r="R328" s="156">
        <v>0</v>
      </c>
      <c r="S328" s="156">
        <v>0</v>
      </c>
      <c r="T328" s="156">
        <v>0</v>
      </c>
      <c r="U328" s="156">
        <f t="shared" si="26"/>
        <v>11500</v>
      </c>
    </row>
    <row r="329" spans="1:21" ht="18" hidden="1" customHeight="1">
      <c r="A329" s="153">
        <f t="shared" ref="A329:A346" si="27">IF(D329&lt;&gt;"", ROW()-1, "")</f>
        <v>328</v>
      </c>
      <c r="B329" s="153" t="s">
        <v>373</v>
      </c>
      <c r="C329" s="153" t="str">
        <f>VLOOKUP(B329,MEMBERS!B:C,2, )</f>
        <v>ASIF ASHFAQ</v>
      </c>
      <c r="D329" s="162">
        <v>46015</v>
      </c>
      <c r="E329" s="154">
        <v>0</v>
      </c>
      <c r="F329" s="154">
        <v>0</v>
      </c>
      <c r="G329" s="154">
        <v>0</v>
      </c>
      <c r="H329" s="154">
        <f>300*2+600*4</f>
        <v>3000</v>
      </c>
      <c r="I329" s="154">
        <v>0</v>
      </c>
      <c r="J329" s="154">
        <v>0</v>
      </c>
      <c r="K329" s="154">
        <v>0</v>
      </c>
      <c r="L329" s="154">
        <v>0</v>
      </c>
      <c r="M329" s="155">
        <v>0</v>
      </c>
      <c r="N329" s="154">
        <v>0</v>
      </c>
      <c r="O329" s="154">
        <v>0</v>
      </c>
      <c r="P329" s="154">
        <v>0</v>
      </c>
      <c r="Q329" s="154">
        <v>0</v>
      </c>
      <c r="R329" s="156">
        <v>0</v>
      </c>
      <c r="S329" s="156">
        <v>0</v>
      </c>
      <c r="T329" s="156">
        <v>0</v>
      </c>
      <c r="U329" s="156">
        <f t="shared" ref="U329:U346" si="28">SUM(E329:T329)</f>
        <v>3000</v>
      </c>
    </row>
    <row r="330" spans="1:21" ht="18" hidden="1" customHeight="1">
      <c r="A330" s="153">
        <f t="shared" si="27"/>
        <v>329</v>
      </c>
      <c r="B330" s="153" t="s">
        <v>192</v>
      </c>
      <c r="C330" s="153" t="str">
        <f>VLOOKUP(B330,MEMBERS!B:C,2, )</f>
        <v>MR.HANIF AHSAN ZUBEDI</v>
      </c>
      <c r="D330" s="162">
        <v>46015</v>
      </c>
      <c r="E330" s="154">
        <v>0</v>
      </c>
      <c r="F330" s="154">
        <v>0</v>
      </c>
      <c r="G330" s="154">
        <v>0</v>
      </c>
      <c r="H330" s="154">
        <v>0</v>
      </c>
      <c r="I330" s="154">
        <v>300</v>
      </c>
      <c r="J330" s="154">
        <v>300</v>
      </c>
      <c r="K330" s="154">
        <f>300*3+600*3</f>
        <v>2700</v>
      </c>
      <c r="L330" s="154">
        <v>0</v>
      </c>
      <c r="M330" s="155">
        <v>0</v>
      </c>
      <c r="N330" s="154">
        <v>0</v>
      </c>
      <c r="O330" s="154">
        <v>0</v>
      </c>
      <c r="P330" s="154">
        <v>0</v>
      </c>
      <c r="Q330" s="154">
        <v>0</v>
      </c>
      <c r="R330" s="156">
        <v>0</v>
      </c>
      <c r="S330" s="156">
        <v>0</v>
      </c>
      <c r="T330" s="156">
        <v>0</v>
      </c>
      <c r="U330" s="156">
        <f t="shared" si="28"/>
        <v>3300</v>
      </c>
    </row>
    <row r="331" spans="1:21" ht="18" hidden="1" customHeight="1">
      <c r="A331" s="153">
        <f t="shared" si="27"/>
        <v>330</v>
      </c>
      <c r="B331" s="153" t="s">
        <v>10</v>
      </c>
      <c r="C331" s="153" t="str">
        <f>VLOOKUP(B331,MEMBERS!B:C,2, )</f>
        <v>MR. JABIR SHAHZAD</v>
      </c>
      <c r="D331" s="162">
        <v>46015</v>
      </c>
      <c r="E331" s="154">
        <v>0</v>
      </c>
      <c r="F331" s="154">
        <v>0</v>
      </c>
      <c r="G331" s="154">
        <v>0</v>
      </c>
      <c r="H331" s="154">
        <v>0</v>
      </c>
      <c r="I331" s="154">
        <v>0</v>
      </c>
      <c r="J331" s="154">
        <f>300*2</f>
        <v>600</v>
      </c>
      <c r="K331" s="154">
        <v>0</v>
      </c>
      <c r="L331" s="154">
        <v>0</v>
      </c>
      <c r="M331" s="155">
        <v>0</v>
      </c>
      <c r="N331" s="154">
        <v>0</v>
      </c>
      <c r="O331" s="154">
        <v>0</v>
      </c>
      <c r="P331" s="154">
        <v>0</v>
      </c>
      <c r="Q331" s="154">
        <v>0</v>
      </c>
      <c r="R331" s="156">
        <v>0</v>
      </c>
      <c r="S331" s="156">
        <v>0</v>
      </c>
      <c r="T331" s="156">
        <v>0</v>
      </c>
      <c r="U331" s="156">
        <f t="shared" si="28"/>
        <v>600</v>
      </c>
    </row>
    <row r="332" spans="1:21" ht="18" hidden="1" customHeight="1">
      <c r="A332" s="153">
        <f t="shared" si="27"/>
        <v>331</v>
      </c>
      <c r="B332" s="153" t="s">
        <v>54</v>
      </c>
      <c r="C332" s="153" t="str">
        <f>VLOOKUP(B332,MEMBERS!B:C,2, )</f>
        <v>MR.ZEESHAN IQBAL</v>
      </c>
      <c r="D332" s="162">
        <v>46015</v>
      </c>
      <c r="E332" s="154">
        <v>0</v>
      </c>
      <c r="F332" s="154">
        <v>0</v>
      </c>
      <c r="G332" s="154">
        <v>0</v>
      </c>
      <c r="H332" s="154">
        <v>0</v>
      </c>
      <c r="I332" s="154">
        <v>0</v>
      </c>
      <c r="J332" s="154">
        <f>300+500</f>
        <v>800</v>
      </c>
      <c r="K332" s="154">
        <v>0</v>
      </c>
      <c r="L332" s="154">
        <v>0</v>
      </c>
      <c r="M332" s="155">
        <v>0</v>
      </c>
      <c r="N332" s="154">
        <v>0</v>
      </c>
      <c r="O332" s="154">
        <v>0</v>
      </c>
      <c r="P332" s="154">
        <v>0</v>
      </c>
      <c r="Q332" s="154">
        <v>0</v>
      </c>
      <c r="R332" s="156">
        <v>0</v>
      </c>
      <c r="S332" s="156">
        <v>0</v>
      </c>
      <c r="T332" s="156">
        <v>0</v>
      </c>
      <c r="U332" s="156">
        <f t="shared" si="28"/>
        <v>800</v>
      </c>
    </row>
    <row r="333" spans="1:21" ht="18" hidden="1" customHeight="1">
      <c r="A333" s="153">
        <f t="shared" si="27"/>
        <v>332</v>
      </c>
      <c r="B333" s="153" t="s">
        <v>650</v>
      </c>
      <c r="C333" s="153" t="str">
        <f>VLOOKUP(B333,MEMBERS!B:C,2, )</f>
        <v>SHAHBAZ AHMED</v>
      </c>
      <c r="D333" s="162">
        <v>46015</v>
      </c>
      <c r="E333" s="154">
        <v>0</v>
      </c>
      <c r="F333" s="154">
        <v>300</v>
      </c>
      <c r="G333" s="154">
        <v>0</v>
      </c>
      <c r="H333" s="154">
        <v>0</v>
      </c>
      <c r="I333" s="154">
        <v>0</v>
      </c>
      <c r="J333" s="154">
        <v>0</v>
      </c>
      <c r="K333" s="154">
        <v>0</v>
      </c>
      <c r="L333" s="154">
        <v>0</v>
      </c>
      <c r="M333" s="155">
        <v>0</v>
      </c>
      <c r="N333" s="154">
        <v>0</v>
      </c>
      <c r="O333" s="154">
        <v>0</v>
      </c>
      <c r="P333" s="154">
        <v>0</v>
      </c>
      <c r="Q333" s="154">
        <v>0</v>
      </c>
      <c r="R333" s="156">
        <v>0</v>
      </c>
      <c r="S333" s="156">
        <v>0</v>
      </c>
      <c r="T333" s="156">
        <v>0</v>
      </c>
      <c r="U333" s="156">
        <f t="shared" si="28"/>
        <v>300</v>
      </c>
    </row>
    <row r="334" spans="1:21" ht="18" hidden="1" customHeight="1">
      <c r="A334" s="153">
        <f t="shared" si="27"/>
        <v>333</v>
      </c>
      <c r="B334" s="153" t="s">
        <v>1004</v>
      </c>
      <c r="C334" s="153" t="str">
        <f>VLOOKUP(B334,MEMBERS!B:C,2, )</f>
        <v>MRS RIFFAT ZULFIQAR</v>
      </c>
      <c r="D334" s="162">
        <v>46015</v>
      </c>
      <c r="E334" s="154">
        <v>0</v>
      </c>
      <c r="F334" s="154">
        <f>150*2</f>
        <v>300</v>
      </c>
      <c r="G334" s="154">
        <v>0</v>
      </c>
      <c r="H334" s="154">
        <v>0</v>
      </c>
      <c r="I334" s="154">
        <v>0</v>
      </c>
      <c r="J334" s="154">
        <v>0</v>
      </c>
      <c r="K334" s="154">
        <v>0</v>
      </c>
      <c r="L334" s="154">
        <v>0</v>
      </c>
      <c r="M334" s="155">
        <v>0</v>
      </c>
      <c r="N334" s="154">
        <v>0</v>
      </c>
      <c r="O334" s="154">
        <v>0</v>
      </c>
      <c r="P334" s="154">
        <v>0</v>
      </c>
      <c r="Q334" s="154">
        <v>0</v>
      </c>
      <c r="R334" s="156">
        <v>0</v>
      </c>
      <c r="S334" s="156">
        <v>0</v>
      </c>
      <c r="T334" s="156">
        <v>0</v>
      </c>
      <c r="U334" s="156">
        <f t="shared" si="28"/>
        <v>300</v>
      </c>
    </row>
    <row r="335" spans="1:21" ht="18" hidden="1" customHeight="1">
      <c r="A335" s="153">
        <f t="shared" si="27"/>
        <v>334</v>
      </c>
      <c r="B335" s="153" t="s">
        <v>756</v>
      </c>
      <c r="C335" s="153" t="e">
        <f>VLOOKUP(B335,MEMBERS!B:C,2, )</f>
        <v>#N/A</v>
      </c>
      <c r="D335" s="162">
        <v>46015</v>
      </c>
      <c r="E335" s="154">
        <f>300+600*2</f>
        <v>1500</v>
      </c>
      <c r="F335" s="154">
        <v>0</v>
      </c>
      <c r="G335" s="154">
        <v>0</v>
      </c>
      <c r="H335" s="154">
        <v>0</v>
      </c>
      <c r="I335" s="154">
        <v>0</v>
      </c>
      <c r="J335" s="154">
        <v>0</v>
      </c>
      <c r="K335" s="154">
        <v>0</v>
      </c>
      <c r="L335" s="154">
        <v>0</v>
      </c>
      <c r="M335" s="155">
        <v>0</v>
      </c>
      <c r="N335" s="154">
        <v>0</v>
      </c>
      <c r="O335" s="154">
        <v>0</v>
      </c>
      <c r="P335" s="154">
        <v>0</v>
      </c>
      <c r="Q335" s="154">
        <v>0</v>
      </c>
      <c r="R335" s="156">
        <v>0</v>
      </c>
      <c r="S335" s="156">
        <v>0</v>
      </c>
      <c r="T335" s="156">
        <v>0</v>
      </c>
      <c r="U335" s="156">
        <f t="shared" si="28"/>
        <v>1500</v>
      </c>
    </row>
    <row r="336" spans="1:21" ht="18" hidden="1" customHeight="1">
      <c r="A336" s="153">
        <f t="shared" si="27"/>
        <v>335</v>
      </c>
      <c r="B336" s="153" t="s">
        <v>756</v>
      </c>
      <c r="C336" s="153" t="s">
        <v>1173</v>
      </c>
      <c r="D336" s="162">
        <v>46016</v>
      </c>
      <c r="E336" s="154">
        <v>0</v>
      </c>
      <c r="F336" s="154">
        <v>0</v>
      </c>
      <c r="G336" s="154">
        <v>0</v>
      </c>
      <c r="H336" s="154">
        <v>0</v>
      </c>
      <c r="I336" s="154">
        <v>0</v>
      </c>
      <c r="J336" s="154">
        <v>0</v>
      </c>
      <c r="K336" s="154">
        <v>0</v>
      </c>
      <c r="L336" s="154">
        <v>0</v>
      </c>
      <c r="M336" s="155">
        <v>0</v>
      </c>
      <c r="N336" s="154">
        <v>0</v>
      </c>
      <c r="O336" s="154">
        <v>0</v>
      </c>
      <c r="P336" s="349">
        <v>4500</v>
      </c>
      <c r="Q336" s="154">
        <v>0</v>
      </c>
      <c r="R336" s="156">
        <v>0</v>
      </c>
      <c r="S336" s="156">
        <v>0</v>
      </c>
      <c r="T336" s="156">
        <v>0</v>
      </c>
      <c r="U336" s="156">
        <f t="shared" si="28"/>
        <v>4500</v>
      </c>
    </row>
    <row r="337" spans="1:21" ht="18" hidden="1" customHeight="1">
      <c r="A337" s="153">
        <f t="shared" si="27"/>
        <v>336</v>
      </c>
      <c r="B337" s="153" t="s">
        <v>378</v>
      </c>
      <c r="C337" s="153" t="str">
        <f>VLOOKUP(B337,MEMBERS!B:C,2, )</f>
        <v>SABA AHSAN</v>
      </c>
      <c r="D337" s="162">
        <v>46016</v>
      </c>
      <c r="E337" s="154">
        <v>0</v>
      </c>
      <c r="F337" s="154">
        <v>0</v>
      </c>
      <c r="G337" s="154">
        <v>0</v>
      </c>
      <c r="H337" s="154">
        <v>0</v>
      </c>
      <c r="I337" s="154">
        <v>0</v>
      </c>
      <c r="J337" s="154">
        <v>0</v>
      </c>
      <c r="K337" s="154">
        <v>0</v>
      </c>
      <c r="L337" s="154">
        <v>0</v>
      </c>
      <c r="M337" s="155">
        <v>0</v>
      </c>
      <c r="N337" s="154">
        <v>0</v>
      </c>
      <c r="O337" s="154">
        <v>0</v>
      </c>
      <c r="P337" s="154">
        <v>2000</v>
      </c>
      <c r="Q337" s="154">
        <v>0</v>
      </c>
      <c r="R337" s="156">
        <v>0</v>
      </c>
      <c r="S337" s="156">
        <v>0</v>
      </c>
      <c r="T337" s="156">
        <v>0</v>
      </c>
      <c r="U337" s="156">
        <f t="shared" si="28"/>
        <v>2000</v>
      </c>
    </row>
    <row r="338" spans="1:21" ht="18" hidden="1" customHeight="1">
      <c r="A338" s="153">
        <f t="shared" si="27"/>
        <v>337</v>
      </c>
      <c r="B338" s="153" t="s">
        <v>138</v>
      </c>
      <c r="C338" s="153" t="str">
        <f>VLOOKUP(B338,MEMBERS!B:C,2, )</f>
        <v>DR.UMER QAZI</v>
      </c>
      <c r="D338" s="162">
        <v>46016</v>
      </c>
      <c r="E338" s="154">
        <v>0</v>
      </c>
      <c r="F338" s="154">
        <v>0</v>
      </c>
      <c r="G338" s="154">
        <v>0</v>
      </c>
      <c r="H338" s="154">
        <v>0</v>
      </c>
      <c r="I338" s="154">
        <v>0</v>
      </c>
      <c r="J338" s="154">
        <v>0</v>
      </c>
      <c r="K338" s="154">
        <v>0</v>
      </c>
      <c r="L338" s="154">
        <v>0</v>
      </c>
      <c r="M338" s="155">
        <v>0</v>
      </c>
      <c r="N338" s="154">
        <v>0</v>
      </c>
      <c r="O338" s="154">
        <f>1000*4+1500*4</f>
        <v>10000</v>
      </c>
      <c r="P338" s="154">
        <v>0</v>
      </c>
      <c r="Q338" s="154">
        <v>0</v>
      </c>
      <c r="R338" s="156">
        <v>0</v>
      </c>
      <c r="S338" s="156">
        <v>0</v>
      </c>
      <c r="T338" s="156">
        <v>0</v>
      </c>
      <c r="U338" s="156">
        <f t="shared" si="28"/>
        <v>10000</v>
      </c>
    </row>
    <row r="339" spans="1:21" ht="18" hidden="1" customHeight="1">
      <c r="A339" s="153">
        <f t="shared" si="27"/>
        <v>338</v>
      </c>
      <c r="B339" s="153" t="s">
        <v>217</v>
      </c>
      <c r="C339" s="153" t="str">
        <f>VLOOKUP(B339,MEMBERS!B:C,2, )</f>
        <v>MR.ZAIN FAROOQ</v>
      </c>
      <c r="D339" s="162">
        <v>46016</v>
      </c>
      <c r="E339" s="154">
        <v>0</v>
      </c>
      <c r="F339" s="154">
        <v>0</v>
      </c>
      <c r="G339" s="154">
        <v>0</v>
      </c>
      <c r="H339" s="154">
        <v>0</v>
      </c>
      <c r="I339" s="154">
        <v>0</v>
      </c>
      <c r="J339" s="154">
        <f>300*2</f>
        <v>600</v>
      </c>
      <c r="K339" s="154">
        <v>0</v>
      </c>
      <c r="L339" s="154">
        <v>0</v>
      </c>
      <c r="M339" s="155">
        <v>0</v>
      </c>
      <c r="N339" s="154">
        <v>0</v>
      </c>
      <c r="O339" s="154">
        <v>0</v>
      </c>
      <c r="P339" s="154">
        <v>0</v>
      </c>
      <c r="Q339" s="154">
        <v>0</v>
      </c>
      <c r="R339" s="156">
        <v>0</v>
      </c>
      <c r="S339" s="156">
        <v>0</v>
      </c>
      <c r="T339" s="156">
        <v>0</v>
      </c>
      <c r="U339" s="156">
        <f t="shared" si="28"/>
        <v>600</v>
      </c>
    </row>
    <row r="340" spans="1:21" ht="18" hidden="1" customHeight="1">
      <c r="A340" s="153">
        <f t="shared" si="27"/>
        <v>339</v>
      </c>
      <c r="B340" s="153" t="s">
        <v>226</v>
      </c>
      <c r="C340" s="153" t="str">
        <f>VLOOKUP(B340,MEMBERS!B:C,2, )</f>
        <v>MR.ASIF ALI</v>
      </c>
      <c r="D340" s="162">
        <v>46016</v>
      </c>
      <c r="E340" s="154">
        <v>0</v>
      </c>
      <c r="F340" s="154">
        <v>150</v>
      </c>
      <c r="G340" s="154">
        <v>0</v>
      </c>
      <c r="H340" s="154">
        <v>0</v>
      </c>
      <c r="I340" s="154">
        <v>0</v>
      </c>
      <c r="J340" s="154">
        <f>300*2+500*3</f>
        <v>2100</v>
      </c>
      <c r="K340" s="154">
        <v>0</v>
      </c>
      <c r="L340" s="154">
        <v>0</v>
      </c>
      <c r="M340" s="155">
        <v>0</v>
      </c>
      <c r="N340" s="154">
        <v>0</v>
      </c>
      <c r="O340" s="154">
        <v>0</v>
      </c>
      <c r="P340" s="154">
        <v>0</v>
      </c>
      <c r="Q340" s="154">
        <v>0</v>
      </c>
      <c r="R340" s="156">
        <v>0</v>
      </c>
      <c r="S340" s="156">
        <v>0</v>
      </c>
      <c r="T340" s="156">
        <v>0</v>
      </c>
      <c r="U340" s="156">
        <f t="shared" si="28"/>
        <v>2250</v>
      </c>
    </row>
    <row r="341" spans="1:21" ht="18" hidden="1" customHeight="1">
      <c r="A341" s="153">
        <f t="shared" si="27"/>
        <v>340</v>
      </c>
      <c r="B341" s="153" t="s">
        <v>454</v>
      </c>
      <c r="C341" s="153" t="str">
        <f>VLOOKUP(B341,MEMBERS!B:C,2, )</f>
        <v>Heritage club</v>
      </c>
      <c r="D341" s="162">
        <v>46016</v>
      </c>
      <c r="E341" s="154">
        <v>0</v>
      </c>
      <c r="F341" s="154">
        <v>0</v>
      </c>
      <c r="G341" s="154">
        <v>0</v>
      </c>
      <c r="H341" s="154">
        <v>0</v>
      </c>
      <c r="I341" s="154">
        <v>0</v>
      </c>
      <c r="J341" s="154">
        <f>500*4</f>
        <v>2000</v>
      </c>
      <c r="K341" s="154">
        <v>0</v>
      </c>
      <c r="L341" s="154">
        <v>0</v>
      </c>
      <c r="M341" s="155">
        <v>0</v>
      </c>
      <c r="N341" s="154">
        <v>0</v>
      </c>
      <c r="O341" s="154">
        <v>0</v>
      </c>
      <c r="P341" s="154">
        <v>0</v>
      </c>
      <c r="Q341" s="154">
        <v>0</v>
      </c>
      <c r="R341" s="156">
        <v>0</v>
      </c>
      <c r="S341" s="156">
        <v>0</v>
      </c>
      <c r="T341" s="156">
        <v>0</v>
      </c>
      <c r="U341" s="156">
        <f t="shared" si="28"/>
        <v>2000</v>
      </c>
    </row>
    <row r="342" spans="1:21" ht="18" hidden="1" customHeight="1">
      <c r="A342" s="153">
        <f t="shared" si="27"/>
        <v>341</v>
      </c>
      <c r="B342" s="153" t="s">
        <v>795</v>
      </c>
      <c r="C342" s="153" t="str">
        <f>VLOOKUP(B342,MEMBERS!B:C,2, )</f>
        <v>MR. HASAN KARIM</v>
      </c>
      <c r="D342" s="162">
        <v>46016</v>
      </c>
      <c r="E342" s="154">
        <f>300+600*9</f>
        <v>5700</v>
      </c>
      <c r="F342" s="154">
        <v>0</v>
      </c>
      <c r="G342" s="154">
        <v>0</v>
      </c>
      <c r="H342" s="154">
        <v>0</v>
      </c>
      <c r="I342" s="154">
        <v>0</v>
      </c>
      <c r="J342" s="154">
        <f>500*2</f>
        <v>1000</v>
      </c>
      <c r="K342" s="154">
        <v>300</v>
      </c>
      <c r="L342" s="154">
        <v>0</v>
      </c>
      <c r="M342" s="155">
        <v>0</v>
      </c>
      <c r="N342" s="154">
        <v>0</v>
      </c>
      <c r="O342" s="154">
        <v>0</v>
      </c>
      <c r="P342" s="154">
        <v>0</v>
      </c>
      <c r="Q342" s="154">
        <v>0</v>
      </c>
      <c r="R342" s="156">
        <v>0</v>
      </c>
      <c r="S342" s="156">
        <v>0</v>
      </c>
      <c r="T342" s="156">
        <v>0</v>
      </c>
      <c r="U342" s="156">
        <f t="shared" si="28"/>
        <v>7000</v>
      </c>
    </row>
    <row r="343" spans="1:21" ht="18" hidden="1" customHeight="1">
      <c r="A343" s="153">
        <f t="shared" si="27"/>
        <v>342</v>
      </c>
      <c r="B343" s="153" t="s">
        <v>1020</v>
      </c>
      <c r="C343" s="153" t="str">
        <f>VLOOKUP(B343,MEMBERS!B:C,2, )</f>
        <v>MR. MUNAWAR HUSSAIN</v>
      </c>
      <c r="D343" s="162">
        <v>46016</v>
      </c>
      <c r="E343" s="154">
        <f>300*6</f>
        <v>1800</v>
      </c>
      <c r="F343" s="154">
        <f>150*2</f>
        <v>300</v>
      </c>
      <c r="G343" s="154">
        <v>0</v>
      </c>
      <c r="H343" s="154">
        <v>0</v>
      </c>
      <c r="I343" s="154">
        <v>0</v>
      </c>
      <c r="J343" s="154">
        <v>0</v>
      </c>
      <c r="K343" s="154">
        <v>0</v>
      </c>
      <c r="L343" s="154">
        <v>0</v>
      </c>
      <c r="M343" s="155">
        <v>0</v>
      </c>
      <c r="N343" s="154">
        <v>0</v>
      </c>
      <c r="O343" s="154">
        <v>0</v>
      </c>
      <c r="P343" s="154">
        <v>0</v>
      </c>
      <c r="Q343" s="154">
        <v>0</v>
      </c>
      <c r="R343" s="156">
        <v>0</v>
      </c>
      <c r="S343" s="156">
        <v>0</v>
      </c>
      <c r="T343" s="156">
        <v>0</v>
      </c>
      <c r="U343" s="156">
        <f t="shared" si="28"/>
        <v>2100</v>
      </c>
    </row>
    <row r="344" spans="1:21" ht="18" hidden="1" customHeight="1">
      <c r="A344" s="153">
        <f t="shared" si="27"/>
        <v>343</v>
      </c>
      <c r="B344" s="153" t="s">
        <v>173</v>
      </c>
      <c r="C344" s="153" t="str">
        <f>VLOOKUP(B344,MEMBERS!B:C,2, )</f>
        <v>MR.MUHAMMAD ZAIN</v>
      </c>
      <c r="D344" s="162">
        <v>46016</v>
      </c>
      <c r="E344" s="154">
        <f>300*2</f>
        <v>600</v>
      </c>
      <c r="F344" s="154">
        <v>0</v>
      </c>
      <c r="G344" s="154">
        <v>0</v>
      </c>
      <c r="H344" s="154">
        <v>0</v>
      </c>
      <c r="I344" s="154">
        <v>0</v>
      </c>
      <c r="J344" s="154">
        <v>0</v>
      </c>
      <c r="K344" s="154">
        <v>0</v>
      </c>
      <c r="L344" s="154">
        <v>0</v>
      </c>
      <c r="M344" s="155">
        <v>0</v>
      </c>
      <c r="N344" s="154">
        <v>0</v>
      </c>
      <c r="O344" s="154">
        <v>0</v>
      </c>
      <c r="P344" s="154">
        <v>0</v>
      </c>
      <c r="Q344" s="154">
        <v>0</v>
      </c>
      <c r="R344" s="156">
        <v>0</v>
      </c>
      <c r="S344" s="156">
        <v>0</v>
      </c>
      <c r="T344" s="156">
        <v>0</v>
      </c>
      <c r="U344" s="156">
        <f t="shared" si="28"/>
        <v>600</v>
      </c>
    </row>
    <row r="345" spans="1:21" ht="18" hidden="1" customHeight="1">
      <c r="A345" s="153">
        <f t="shared" si="27"/>
        <v>344</v>
      </c>
      <c r="B345" s="153" t="s">
        <v>155</v>
      </c>
      <c r="C345" s="153" t="str">
        <f>VLOOKUP(B345,MEMBERS!B:C,2, )</f>
        <v>MR.PIR MUJEEB JAN SARHANDI</v>
      </c>
      <c r="D345" s="162">
        <v>46016</v>
      </c>
      <c r="E345" s="154">
        <v>0</v>
      </c>
      <c r="F345" s="154">
        <v>150</v>
      </c>
      <c r="G345" s="154">
        <v>0</v>
      </c>
      <c r="H345" s="154">
        <v>0</v>
      </c>
      <c r="I345" s="154">
        <v>0</v>
      </c>
      <c r="J345" s="154">
        <v>0</v>
      </c>
      <c r="K345" s="154">
        <v>0</v>
      </c>
      <c r="L345" s="154">
        <v>0</v>
      </c>
      <c r="M345" s="155">
        <v>0</v>
      </c>
      <c r="N345" s="154">
        <v>0</v>
      </c>
      <c r="O345" s="154">
        <v>0</v>
      </c>
      <c r="P345" s="154">
        <v>0</v>
      </c>
      <c r="Q345" s="154">
        <v>0</v>
      </c>
      <c r="R345" s="156">
        <v>0</v>
      </c>
      <c r="S345" s="156">
        <v>0</v>
      </c>
      <c r="T345" s="156">
        <v>0</v>
      </c>
      <c r="U345" s="156">
        <f t="shared" si="28"/>
        <v>150</v>
      </c>
    </row>
    <row r="346" spans="1:21" ht="18" hidden="1" customHeight="1">
      <c r="A346" s="153" t="str">
        <f t="shared" si="27"/>
        <v/>
      </c>
      <c r="B346" s="153" t="s">
        <v>428</v>
      </c>
      <c r="C346" s="153" t="str">
        <f>VLOOKUP(B346,MEMBERS!B:C,2, )</f>
        <v>ALI LEGHARI</v>
      </c>
      <c r="D346" s="162"/>
      <c r="E346" s="154">
        <v>0</v>
      </c>
      <c r="F346" s="154">
        <v>0</v>
      </c>
      <c r="G346" s="154">
        <v>0</v>
      </c>
      <c r="H346" s="154">
        <v>0</v>
      </c>
      <c r="I346" s="154">
        <v>0</v>
      </c>
      <c r="J346" s="154">
        <v>0</v>
      </c>
      <c r="K346" s="154">
        <v>0</v>
      </c>
      <c r="L346" s="154">
        <v>0</v>
      </c>
      <c r="M346" s="155">
        <v>0</v>
      </c>
      <c r="N346" s="154">
        <v>0</v>
      </c>
      <c r="O346" s="154">
        <v>0</v>
      </c>
      <c r="P346" s="154">
        <v>0</v>
      </c>
      <c r="Q346" s="154">
        <v>0</v>
      </c>
      <c r="R346" s="156">
        <v>0</v>
      </c>
      <c r="S346" s="471">
        <v>100000</v>
      </c>
      <c r="T346" s="156">
        <v>0</v>
      </c>
      <c r="U346" s="156">
        <f t="shared" si="28"/>
        <v>100000</v>
      </c>
    </row>
    <row r="347" spans="1:21" ht="18" hidden="1" customHeight="1">
      <c r="A347" s="153" t="str">
        <f t="shared" si="23"/>
        <v/>
      </c>
      <c r="B347" s="153" t="s">
        <v>756</v>
      </c>
      <c r="C347" s="153" t="e">
        <f>VLOOKUP(B347,MEMBERS!B:C,2, )</f>
        <v>#N/A</v>
      </c>
      <c r="D347" s="162"/>
      <c r="E347" s="154">
        <v>0</v>
      </c>
      <c r="F347" s="154">
        <v>0</v>
      </c>
      <c r="G347" s="154">
        <v>0</v>
      </c>
      <c r="H347" s="154">
        <v>0</v>
      </c>
      <c r="I347" s="154">
        <v>0</v>
      </c>
      <c r="J347" s="154">
        <v>0</v>
      </c>
      <c r="K347" s="154">
        <v>0</v>
      </c>
      <c r="L347" s="154">
        <v>0</v>
      </c>
      <c r="M347" s="155">
        <v>0</v>
      </c>
      <c r="N347" s="154">
        <v>0</v>
      </c>
      <c r="O347" s="154">
        <v>0</v>
      </c>
      <c r="P347" s="154">
        <v>0</v>
      </c>
      <c r="Q347" s="154">
        <v>0</v>
      </c>
      <c r="R347" s="156">
        <v>0</v>
      </c>
      <c r="S347" s="156">
        <v>0</v>
      </c>
      <c r="T347" s="156">
        <v>0</v>
      </c>
      <c r="U347" s="156">
        <f t="shared" si="24"/>
        <v>0</v>
      </c>
    </row>
    <row r="348" spans="1:21" ht="18" hidden="1" customHeight="1">
      <c r="A348" s="153" t="str">
        <f t="shared" si="23"/>
        <v/>
      </c>
      <c r="B348" s="153" t="s">
        <v>756</v>
      </c>
      <c r="C348" s="153" t="e">
        <f>VLOOKUP(B348,MEMBERS!B:C,2, )</f>
        <v>#N/A</v>
      </c>
      <c r="D348" s="162"/>
      <c r="E348" s="154">
        <v>0</v>
      </c>
      <c r="F348" s="154">
        <v>0</v>
      </c>
      <c r="G348" s="154">
        <v>0</v>
      </c>
      <c r="H348" s="154">
        <v>0</v>
      </c>
      <c r="I348" s="154">
        <v>0</v>
      </c>
      <c r="J348" s="154">
        <v>0</v>
      </c>
      <c r="K348" s="154">
        <v>0</v>
      </c>
      <c r="L348" s="154">
        <v>0</v>
      </c>
      <c r="M348" s="155">
        <v>0</v>
      </c>
      <c r="N348" s="154">
        <v>0</v>
      </c>
      <c r="O348" s="154">
        <v>0</v>
      </c>
      <c r="P348" s="154">
        <v>0</v>
      </c>
      <c r="Q348" s="154">
        <v>0</v>
      </c>
      <c r="R348" s="156">
        <v>0</v>
      </c>
      <c r="S348" s="156">
        <v>0</v>
      </c>
      <c r="T348" s="156">
        <v>0</v>
      </c>
      <c r="U348" s="156">
        <f t="shared" si="24"/>
        <v>0</v>
      </c>
    </row>
    <row r="349" spans="1:21" ht="15.75" hidden="1" customHeight="1">
      <c r="C349" s="158" t="s">
        <v>1091</v>
      </c>
      <c r="E349" s="159">
        <f t="shared" ref="E349:U349" si="29">SUM(E2:E348)</f>
        <v>89100</v>
      </c>
      <c r="F349" s="159">
        <f t="shared" si="29"/>
        <v>34050</v>
      </c>
      <c r="G349" s="159">
        <f t="shared" si="29"/>
        <v>1500</v>
      </c>
      <c r="H349" s="159">
        <f t="shared" si="29"/>
        <v>7500</v>
      </c>
      <c r="I349" s="159">
        <f t="shared" si="29"/>
        <v>300</v>
      </c>
      <c r="J349" s="159">
        <f t="shared" si="29"/>
        <v>109100</v>
      </c>
      <c r="K349" s="159">
        <f t="shared" si="29"/>
        <v>17000</v>
      </c>
      <c r="L349" s="159">
        <f t="shared" si="29"/>
        <v>0</v>
      </c>
      <c r="M349" s="159">
        <f t="shared" si="29"/>
        <v>200</v>
      </c>
      <c r="N349" s="159">
        <f t="shared" si="29"/>
        <v>3000</v>
      </c>
      <c r="O349" s="159">
        <f t="shared" si="29"/>
        <v>78450</v>
      </c>
      <c r="P349" s="159">
        <f t="shared" si="29"/>
        <v>261400</v>
      </c>
      <c r="Q349" s="159">
        <f t="shared" si="29"/>
        <v>0</v>
      </c>
      <c r="R349" s="159">
        <f t="shared" si="29"/>
        <v>0</v>
      </c>
      <c r="S349" s="159">
        <f t="shared" si="29"/>
        <v>735000</v>
      </c>
      <c r="T349" s="159">
        <f t="shared" si="29"/>
        <v>508000</v>
      </c>
      <c r="U349" s="159">
        <f t="shared" si="29"/>
        <v>1844600</v>
      </c>
    </row>
    <row r="350" spans="1:21" ht="15" customHeight="1">
      <c r="E350" s="158"/>
      <c r="F350" s="158"/>
      <c r="G350" s="158"/>
    </row>
    <row r="351" spans="1:21" ht="15" customHeight="1">
      <c r="E351" s="158"/>
    </row>
    <row r="352" spans="1:21" ht="15" customHeight="1">
      <c r="E352" s="158"/>
      <c r="F352" s="158"/>
      <c r="G352" s="158"/>
    </row>
    <row r="353" spans="5:5" ht="15" customHeight="1">
      <c r="E353" s="158"/>
    </row>
    <row r="354" spans="5:5" ht="15" customHeight="1">
      <c r="E354" s="158"/>
    </row>
    <row r="355" spans="5:5" ht="15" customHeight="1">
      <c r="E355" s="158"/>
    </row>
    <row r="356" spans="5:5" ht="15" customHeight="1">
      <c r="E356" s="158"/>
    </row>
    <row r="357" spans="5:5" ht="15" customHeight="1">
      <c r="E357" s="158"/>
    </row>
    <row r="358" spans="5:5" ht="15" customHeight="1">
      <c r="E358" s="158"/>
    </row>
    <row r="359" spans="5:5" ht="15" customHeight="1">
      <c r="E359" s="158"/>
    </row>
    <row r="360" spans="5:5" ht="15" customHeight="1">
      <c r="E360" s="158"/>
    </row>
    <row r="361" spans="5:5" ht="15" customHeight="1">
      <c r="E361" s="158"/>
    </row>
    <row r="362" spans="5:5" ht="15" customHeight="1">
      <c r="E362" s="158"/>
    </row>
    <row r="363" spans="5:5" ht="15" customHeight="1">
      <c r="E363" s="158"/>
    </row>
    <row r="364" spans="5:5" ht="15" customHeight="1">
      <c r="E364" s="158"/>
    </row>
    <row r="365" spans="5:5" ht="15" customHeight="1">
      <c r="E365" s="158"/>
    </row>
    <row r="366" spans="5:5" ht="15" customHeight="1">
      <c r="E366" s="158"/>
    </row>
    <row r="367" spans="5:5" ht="15" customHeight="1">
      <c r="E367" s="158"/>
    </row>
    <row r="368" spans="5:5" ht="15" customHeight="1">
      <c r="E368" s="158"/>
    </row>
    <row r="369" spans="5:5" ht="15" customHeight="1">
      <c r="E369" s="158"/>
    </row>
    <row r="370" spans="5:5" ht="15" customHeight="1">
      <c r="E370" s="158"/>
    </row>
    <row r="371" spans="5:5" ht="15" customHeight="1">
      <c r="E371" s="158"/>
    </row>
    <row r="372" spans="5:5" ht="15" customHeight="1">
      <c r="E372" s="158"/>
    </row>
    <row r="373" spans="5:5" ht="15" customHeight="1">
      <c r="E373" s="158"/>
    </row>
    <row r="374" spans="5:5" ht="15" customHeight="1">
      <c r="E374" s="158"/>
    </row>
    <row r="375" spans="5:5" ht="15" customHeight="1">
      <c r="E375" s="158"/>
    </row>
    <row r="376" spans="5:5" ht="15" customHeight="1">
      <c r="E376" s="158"/>
    </row>
    <row r="377" spans="5:5" ht="15" customHeight="1">
      <c r="E377" s="158"/>
    </row>
    <row r="378" spans="5:5" ht="15" customHeight="1">
      <c r="E378" s="158"/>
    </row>
    <row r="379" spans="5:5" ht="15" customHeight="1">
      <c r="E379" s="158"/>
    </row>
    <row r="380" spans="5:5" ht="15" customHeight="1">
      <c r="E380" s="158"/>
    </row>
    <row r="381" spans="5:5" ht="15" customHeight="1">
      <c r="E381" s="158"/>
    </row>
    <row r="382" spans="5:5" ht="15" customHeight="1">
      <c r="E382" s="158"/>
    </row>
    <row r="383" spans="5:5" ht="15" customHeight="1">
      <c r="E383" s="158"/>
    </row>
    <row r="384" spans="5:5" ht="15" customHeight="1">
      <c r="E384" s="158"/>
    </row>
    <row r="385" spans="5:5" ht="15" customHeight="1">
      <c r="E385" s="158"/>
    </row>
    <row r="386" spans="5:5" ht="15" customHeight="1">
      <c r="E386" s="158"/>
    </row>
    <row r="387" spans="5:5" ht="15" customHeight="1">
      <c r="E387" s="158"/>
    </row>
    <row r="388" spans="5:5" ht="15" customHeight="1">
      <c r="E388" s="158"/>
    </row>
    <row r="389" spans="5:5" ht="15" customHeight="1">
      <c r="E389" s="158"/>
    </row>
    <row r="390" spans="5:5" ht="15" customHeight="1">
      <c r="E390" s="158"/>
    </row>
    <row r="391" spans="5:5" ht="15" customHeight="1">
      <c r="E391" s="158"/>
    </row>
    <row r="392" spans="5:5" ht="15" customHeight="1">
      <c r="E392" s="158"/>
    </row>
    <row r="393" spans="5:5" ht="15" customHeight="1">
      <c r="E393" s="158"/>
    </row>
    <row r="394" spans="5:5" ht="15" customHeight="1">
      <c r="E394" s="158"/>
    </row>
    <row r="395" spans="5:5" ht="15" customHeight="1">
      <c r="E395" s="158"/>
    </row>
    <row r="396" spans="5:5" ht="15" customHeight="1">
      <c r="E396" s="158"/>
    </row>
    <row r="397" spans="5:5" ht="15" customHeight="1">
      <c r="E397" s="158"/>
    </row>
    <row r="398" spans="5:5" ht="15" customHeight="1">
      <c r="E398" s="158"/>
    </row>
    <row r="399" spans="5:5" ht="15" customHeight="1">
      <c r="E399" s="158"/>
    </row>
    <row r="400" spans="5:5" ht="15" customHeight="1">
      <c r="E400" s="158"/>
    </row>
    <row r="401" spans="5:5" ht="15" customHeight="1">
      <c r="E401" s="158"/>
    </row>
    <row r="402" spans="5:5" ht="15" customHeight="1">
      <c r="E402" s="158"/>
    </row>
    <row r="403" spans="5:5" ht="15" customHeight="1">
      <c r="E403" s="158"/>
    </row>
    <row r="404" spans="5:5" ht="15" customHeight="1">
      <c r="E404" s="158"/>
    </row>
    <row r="405" spans="5:5" ht="15" customHeight="1">
      <c r="E405" s="158"/>
    </row>
    <row r="406" spans="5:5" ht="15" customHeight="1">
      <c r="E406" s="158"/>
    </row>
    <row r="407" spans="5:5" ht="15" customHeight="1">
      <c r="E407" s="158"/>
    </row>
    <row r="408" spans="5:5" ht="15" customHeight="1">
      <c r="E408" s="158"/>
    </row>
    <row r="409" spans="5:5" ht="15" customHeight="1">
      <c r="E409" s="158"/>
    </row>
    <row r="410" spans="5:5" ht="15" customHeight="1">
      <c r="E410" s="158"/>
    </row>
    <row r="411" spans="5:5" ht="15" customHeight="1">
      <c r="E411" s="158"/>
    </row>
    <row r="412" spans="5:5" ht="15" customHeight="1">
      <c r="E412" s="158"/>
    </row>
    <row r="413" spans="5:5" ht="15" customHeight="1">
      <c r="E413" s="158"/>
    </row>
    <row r="414" spans="5:5" ht="15" customHeight="1">
      <c r="E414" s="158"/>
    </row>
    <row r="415" spans="5:5" ht="15" customHeight="1">
      <c r="E415" s="158"/>
    </row>
    <row r="416" spans="5:5" ht="15" customHeight="1">
      <c r="E416" s="158"/>
    </row>
    <row r="417" spans="5:5" ht="15" customHeight="1">
      <c r="E417" s="158"/>
    </row>
    <row r="418" spans="5:5" ht="15" customHeight="1">
      <c r="E418" s="158"/>
    </row>
    <row r="419" spans="5:5" ht="15" customHeight="1">
      <c r="E419" s="158"/>
    </row>
    <row r="420" spans="5:5" ht="15" customHeight="1">
      <c r="E420" s="158"/>
    </row>
    <row r="421" spans="5:5" ht="15" customHeight="1">
      <c r="E421" s="158"/>
    </row>
    <row r="422" spans="5:5" ht="15" customHeight="1">
      <c r="E422" s="158"/>
    </row>
    <row r="423" spans="5:5" ht="15" customHeight="1">
      <c r="E423" s="158"/>
    </row>
    <row r="424" spans="5:5" ht="15" customHeight="1">
      <c r="E424" s="158"/>
    </row>
    <row r="425" spans="5:5" ht="15" customHeight="1">
      <c r="E425" s="158"/>
    </row>
    <row r="426" spans="5:5" ht="15" customHeight="1">
      <c r="E426" s="158"/>
    </row>
    <row r="427" spans="5:5" ht="15" customHeight="1">
      <c r="E427" s="158"/>
    </row>
    <row r="428" spans="5:5" ht="15" customHeight="1">
      <c r="E428" s="158"/>
    </row>
    <row r="429" spans="5:5" ht="15" customHeight="1">
      <c r="E429" s="158"/>
    </row>
    <row r="430" spans="5:5" ht="15" customHeight="1">
      <c r="E430" s="158"/>
    </row>
    <row r="431" spans="5:5" ht="15" customHeight="1">
      <c r="E431" s="158"/>
    </row>
    <row r="432" spans="5:5" ht="15" customHeight="1">
      <c r="E432" s="158"/>
    </row>
    <row r="433" spans="5:5" ht="15" customHeight="1">
      <c r="E433" s="158"/>
    </row>
    <row r="434" spans="5:5" ht="15" customHeight="1">
      <c r="E434" s="158"/>
    </row>
    <row r="435" spans="5:5" ht="15" customHeight="1">
      <c r="E435" s="158"/>
    </row>
    <row r="436" spans="5:5" ht="15" customHeight="1">
      <c r="E436" s="158"/>
    </row>
    <row r="437" spans="5:5" ht="15" customHeight="1">
      <c r="E437" s="158"/>
    </row>
    <row r="438" spans="5:5" ht="15" customHeight="1">
      <c r="E438" s="158"/>
    </row>
    <row r="439" spans="5:5" ht="15" customHeight="1">
      <c r="E439" s="158"/>
    </row>
    <row r="440" spans="5:5" ht="15" customHeight="1">
      <c r="E440" s="158"/>
    </row>
    <row r="441" spans="5:5" ht="15" customHeight="1">
      <c r="E441" s="158"/>
    </row>
    <row r="442" spans="5:5" ht="15" customHeight="1">
      <c r="E442" s="158"/>
    </row>
    <row r="443" spans="5:5" ht="15" customHeight="1">
      <c r="E443" s="158"/>
    </row>
    <row r="444" spans="5:5" ht="15" customHeight="1">
      <c r="E444" s="158"/>
    </row>
    <row r="445" spans="5:5" ht="15" customHeight="1">
      <c r="E445" s="158"/>
    </row>
    <row r="446" spans="5:5" ht="15" customHeight="1">
      <c r="E446" s="158"/>
    </row>
    <row r="447" spans="5:5" ht="15" customHeight="1">
      <c r="E447" s="158"/>
    </row>
    <row r="448" spans="5:5" ht="15" customHeight="1">
      <c r="E448" s="158"/>
    </row>
    <row r="449" spans="5:5" ht="15" customHeight="1">
      <c r="E449" s="158"/>
    </row>
    <row r="450" spans="5:5" ht="15" customHeight="1">
      <c r="E450" s="158"/>
    </row>
    <row r="451" spans="5:5" ht="15" customHeight="1">
      <c r="E451" s="158"/>
    </row>
    <row r="452" spans="5:5" ht="15" customHeight="1">
      <c r="E452" s="158"/>
    </row>
    <row r="453" spans="5:5" ht="15" customHeight="1">
      <c r="E453" s="158"/>
    </row>
    <row r="454" spans="5:5" ht="15" customHeight="1">
      <c r="E454" s="158"/>
    </row>
    <row r="455" spans="5:5" ht="15" customHeight="1">
      <c r="E455" s="158"/>
    </row>
    <row r="456" spans="5:5" ht="15" customHeight="1">
      <c r="E456" s="158"/>
    </row>
    <row r="457" spans="5:5" ht="15" customHeight="1">
      <c r="E457" s="158"/>
    </row>
    <row r="458" spans="5:5" ht="15" customHeight="1">
      <c r="E458" s="158"/>
    </row>
    <row r="459" spans="5:5" ht="15" customHeight="1">
      <c r="E459" s="158"/>
    </row>
    <row r="460" spans="5:5" ht="15" customHeight="1">
      <c r="E460" s="158"/>
    </row>
    <row r="461" spans="5:5" ht="15" customHeight="1">
      <c r="E461" s="158"/>
    </row>
    <row r="462" spans="5:5" ht="15" customHeight="1">
      <c r="E462" s="158"/>
    </row>
    <row r="463" spans="5:5" ht="15" customHeight="1">
      <c r="E463" s="158"/>
    </row>
    <row r="464" spans="5:5" ht="15" customHeight="1">
      <c r="E464" s="158"/>
    </row>
    <row r="465" spans="5:5" ht="15" customHeight="1">
      <c r="E465" s="158"/>
    </row>
    <row r="466" spans="5:5" ht="15" customHeight="1">
      <c r="E466" s="158"/>
    </row>
    <row r="467" spans="5:5" ht="15" customHeight="1">
      <c r="E467" s="158"/>
    </row>
    <row r="468" spans="5:5" ht="15" customHeight="1">
      <c r="E468" s="158"/>
    </row>
    <row r="469" spans="5:5" ht="15" customHeight="1">
      <c r="E469" s="158"/>
    </row>
    <row r="470" spans="5:5" ht="15" customHeight="1">
      <c r="E470" s="158"/>
    </row>
    <row r="471" spans="5:5" ht="15" customHeight="1">
      <c r="E471" s="158"/>
    </row>
    <row r="472" spans="5:5" ht="15" customHeight="1">
      <c r="E472" s="158"/>
    </row>
    <row r="473" spans="5:5" ht="15" customHeight="1">
      <c r="E473" s="158"/>
    </row>
    <row r="474" spans="5:5" ht="15" customHeight="1">
      <c r="E474" s="158"/>
    </row>
    <row r="475" spans="5:5" ht="15" customHeight="1">
      <c r="E475" s="158"/>
    </row>
    <row r="476" spans="5:5" ht="15" customHeight="1">
      <c r="E476" s="158"/>
    </row>
    <row r="477" spans="5:5" ht="15" customHeight="1">
      <c r="E477" s="158"/>
    </row>
    <row r="478" spans="5:5" ht="15" customHeight="1">
      <c r="E478" s="158"/>
    </row>
    <row r="479" spans="5:5" ht="15" customHeight="1">
      <c r="E479" s="158"/>
    </row>
    <row r="480" spans="5:5" ht="15" customHeight="1">
      <c r="E480" s="158"/>
    </row>
    <row r="481" spans="5:5" ht="15" customHeight="1">
      <c r="E481" s="158"/>
    </row>
    <row r="482" spans="5:5" ht="15" customHeight="1">
      <c r="E482" s="158"/>
    </row>
    <row r="483" spans="5:5" ht="15" customHeight="1">
      <c r="E483" s="158"/>
    </row>
    <row r="484" spans="5:5" ht="15" customHeight="1">
      <c r="E484" s="158"/>
    </row>
    <row r="485" spans="5:5" ht="15" customHeight="1">
      <c r="E485" s="158"/>
    </row>
    <row r="486" spans="5:5" ht="15" customHeight="1">
      <c r="E486" s="158"/>
    </row>
    <row r="487" spans="5:5" ht="15" customHeight="1">
      <c r="E487" s="158"/>
    </row>
    <row r="488" spans="5:5" ht="15" customHeight="1">
      <c r="E488" s="158"/>
    </row>
    <row r="489" spans="5:5" ht="15" customHeight="1">
      <c r="E489" s="158"/>
    </row>
    <row r="490" spans="5:5" ht="15" customHeight="1">
      <c r="E490" s="158"/>
    </row>
    <row r="491" spans="5:5" ht="15" customHeight="1">
      <c r="E491" s="158"/>
    </row>
    <row r="492" spans="5:5" ht="15" customHeight="1">
      <c r="E492" s="158"/>
    </row>
    <row r="493" spans="5:5" ht="15" customHeight="1">
      <c r="E493" s="158"/>
    </row>
    <row r="494" spans="5:5" ht="15" customHeight="1">
      <c r="E494" s="158"/>
    </row>
    <row r="495" spans="5:5" ht="15" customHeight="1">
      <c r="E495" s="158"/>
    </row>
    <row r="496" spans="5:5" ht="15" customHeight="1">
      <c r="E496" s="158"/>
    </row>
    <row r="497" spans="5:5" ht="15" customHeight="1">
      <c r="E497" s="158"/>
    </row>
    <row r="498" spans="5:5" ht="15" customHeight="1">
      <c r="E498" s="158"/>
    </row>
    <row r="499" spans="5:5" ht="15" customHeight="1">
      <c r="E499" s="158"/>
    </row>
    <row r="500" spans="5:5" ht="15" customHeight="1">
      <c r="E500" s="158"/>
    </row>
    <row r="501" spans="5:5" ht="15" customHeight="1">
      <c r="E501" s="158"/>
    </row>
    <row r="502" spans="5:5" ht="15" customHeight="1">
      <c r="E502" s="158"/>
    </row>
    <row r="503" spans="5:5" ht="15" customHeight="1">
      <c r="E503" s="158"/>
    </row>
    <row r="504" spans="5:5" ht="15" customHeight="1">
      <c r="E504" s="158"/>
    </row>
    <row r="505" spans="5:5" ht="15" customHeight="1">
      <c r="E505" s="158"/>
    </row>
    <row r="506" spans="5:5" ht="15" customHeight="1">
      <c r="E506" s="158"/>
    </row>
    <row r="507" spans="5:5" ht="15" customHeight="1">
      <c r="E507" s="158"/>
    </row>
    <row r="508" spans="5:5" ht="15" customHeight="1">
      <c r="E508" s="158"/>
    </row>
    <row r="509" spans="5:5" ht="15" customHeight="1">
      <c r="E509" s="158"/>
    </row>
    <row r="510" spans="5:5" ht="15" customHeight="1">
      <c r="E510" s="158"/>
    </row>
    <row r="511" spans="5:5" ht="15" customHeight="1">
      <c r="E511" s="158"/>
    </row>
    <row r="512" spans="5:5" ht="15" customHeight="1">
      <c r="E512" s="158"/>
    </row>
    <row r="513" spans="5:5" ht="15" customHeight="1">
      <c r="E513" s="158"/>
    </row>
    <row r="514" spans="5:5" ht="15" customHeight="1">
      <c r="E514" s="158"/>
    </row>
    <row r="515" spans="5:5" ht="15" customHeight="1">
      <c r="E515" s="158"/>
    </row>
    <row r="516" spans="5:5" ht="15" customHeight="1">
      <c r="E516" s="158"/>
    </row>
    <row r="517" spans="5:5" ht="15" customHeight="1">
      <c r="E517" s="158"/>
    </row>
    <row r="518" spans="5:5" ht="15" customHeight="1">
      <c r="E518" s="158"/>
    </row>
    <row r="519" spans="5:5" ht="15" customHeight="1">
      <c r="E519" s="158"/>
    </row>
    <row r="520" spans="5:5" ht="15" customHeight="1">
      <c r="E520" s="158"/>
    </row>
    <row r="521" spans="5:5" ht="15" customHeight="1">
      <c r="E521" s="158"/>
    </row>
    <row r="522" spans="5:5" ht="15" customHeight="1">
      <c r="E522" s="158"/>
    </row>
    <row r="523" spans="5:5" ht="15" customHeight="1">
      <c r="E523" s="158"/>
    </row>
    <row r="524" spans="5:5" ht="15" customHeight="1">
      <c r="E524" s="158"/>
    </row>
    <row r="525" spans="5:5" ht="15" customHeight="1">
      <c r="E525" s="158"/>
    </row>
    <row r="526" spans="5:5" ht="15" customHeight="1">
      <c r="E526" s="158"/>
    </row>
    <row r="527" spans="5:5" ht="15" customHeight="1">
      <c r="E527" s="158"/>
    </row>
    <row r="528" spans="5:5" ht="15" customHeight="1">
      <c r="E528" s="158"/>
    </row>
    <row r="529" spans="5:5" ht="15" customHeight="1">
      <c r="E529" s="158"/>
    </row>
    <row r="530" spans="5:5" ht="15" customHeight="1">
      <c r="E530" s="158"/>
    </row>
    <row r="531" spans="5:5" ht="15" customHeight="1">
      <c r="E531" s="158"/>
    </row>
    <row r="532" spans="5:5" ht="15" customHeight="1">
      <c r="E532" s="158"/>
    </row>
    <row r="533" spans="5:5" ht="15" customHeight="1">
      <c r="E533" s="158"/>
    </row>
    <row r="534" spans="5:5" ht="15" customHeight="1">
      <c r="E534" s="158"/>
    </row>
    <row r="535" spans="5:5" ht="15" customHeight="1">
      <c r="E535" s="158"/>
    </row>
    <row r="536" spans="5:5" ht="15" customHeight="1">
      <c r="E536" s="158"/>
    </row>
    <row r="537" spans="5:5" ht="15" customHeight="1">
      <c r="E537" s="158"/>
    </row>
    <row r="538" spans="5:5" ht="15" customHeight="1">
      <c r="E538" s="158"/>
    </row>
    <row r="539" spans="5:5" ht="15" customHeight="1">
      <c r="E539" s="158"/>
    </row>
    <row r="540" spans="5:5" ht="15" customHeight="1">
      <c r="E540" s="158"/>
    </row>
    <row r="541" spans="5:5" ht="15" customHeight="1">
      <c r="E541" s="158"/>
    </row>
    <row r="542" spans="5:5" ht="15" customHeight="1">
      <c r="E542" s="158"/>
    </row>
    <row r="543" spans="5:5" ht="15" customHeight="1">
      <c r="E543" s="158"/>
    </row>
    <row r="544" spans="5:5" ht="15" customHeight="1">
      <c r="E544" s="158"/>
    </row>
    <row r="545" spans="5:5" ht="15" customHeight="1">
      <c r="E545" s="158"/>
    </row>
    <row r="546" spans="5:5" ht="15" customHeight="1">
      <c r="E546" s="158"/>
    </row>
    <row r="547" spans="5:5" ht="15" customHeight="1">
      <c r="E547" s="158"/>
    </row>
    <row r="548" spans="5:5" ht="15" customHeight="1">
      <c r="E548" s="158"/>
    </row>
    <row r="549" spans="5:5" ht="15" customHeight="1">
      <c r="E549" s="158"/>
    </row>
    <row r="550" spans="5:5" ht="15" customHeight="1">
      <c r="E550" s="158"/>
    </row>
    <row r="551" spans="5:5" ht="15" customHeight="1">
      <c r="E551" s="158"/>
    </row>
    <row r="552" spans="5:5" ht="15" customHeight="1">
      <c r="E552" s="158"/>
    </row>
    <row r="553" spans="5:5" ht="15" customHeight="1">
      <c r="E553" s="158"/>
    </row>
    <row r="554" spans="5:5" ht="15" customHeight="1">
      <c r="E554" s="158"/>
    </row>
    <row r="555" spans="5:5" ht="15" customHeight="1">
      <c r="E555" s="158"/>
    </row>
    <row r="556" spans="5:5" ht="15" customHeight="1">
      <c r="E556" s="158"/>
    </row>
    <row r="557" spans="5:5" ht="15" customHeight="1">
      <c r="E557" s="158"/>
    </row>
    <row r="558" spans="5:5" ht="15" customHeight="1">
      <c r="E558" s="158"/>
    </row>
    <row r="559" spans="5:5" ht="15" customHeight="1">
      <c r="E559" s="158"/>
    </row>
    <row r="560" spans="5:5" ht="15" customHeight="1">
      <c r="E560" s="158"/>
    </row>
    <row r="561" spans="5:5" ht="15" customHeight="1">
      <c r="E561" s="158"/>
    </row>
    <row r="562" spans="5:5" ht="15" customHeight="1">
      <c r="E562" s="158"/>
    </row>
    <row r="563" spans="5:5" ht="15" customHeight="1">
      <c r="E563" s="158"/>
    </row>
    <row r="564" spans="5:5" ht="15" customHeight="1">
      <c r="E564" s="158"/>
    </row>
    <row r="565" spans="5:5" ht="15" customHeight="1">
      <c r="E565" s="158"/>
    </row>
    <row r="566" spans="5:5" ht="15" customHeight="1">
      <c r="E566" s="158"/>
    </row>
    <row r="567" spans="5:5" ht="15" customHeight="1">
      <c r="E567" s="158"/>
    </row>
    <row r="568" spans="5:5" ht="15" customHeight="1">
      <c r="E568" s="158"/>
    </row>
    <row r="569" spans="5:5" ht="15" customHeight="1">
      <c r="E569" s="158"/>
    </row>
    <row r="570" spans="5:5" ht="15" customHeight="1">
      <c r="E570" s="158"/>
    </row>
    <row r="571" spans="5:5" ht="15" customHeight="1">
      <c r="E571" s="158"/>
    </row>
    <row r="572" spans="5:5" ht="15" customHeight="1">
      <c r="E572" s="158"/>
    </row>
    <row r="573" spans="5:5" ht="15" customHeight="1">
      <c r="E573" s="158"/>
    </row>
    <row r="574" spans="5:5" ht="15" customHeight="1">
      <c r="E574" s="158"/>
    </row>
    <row r="575" spans="5:5" ht="15" customHeight="1">
      <c r="E575" s="158"/>
    </row>
    <row r="576" spans="5:5" ht="15" customHeight="1">
      <c r="E576" s="158"/>
    </row>
    <row r="577" spans="5:5" ht="15" customHeight="1">
      <c r="E577" s="158"/>
    </row>
    <row r="578" spans="5:5" ht="15" customHeight="1">
      <c r="E578" s="158"/>
    </row>
    <row r="579" spans="5:5" ht="15" customHeight="1">
      <c r="E579" s="158"/>
    </row>
    <row r="580" spans="5:5" ht="15" customHeight="1">
      <c r="E580" s="158"/>
    </row>
    <row r="581" spans="5:5" ht="15" customHeight="1">
      <c r="E581" s="158"/>
    </row>
    <row r="582" spans="5:5" ht="15" customHeight="1">
      <c r="E582" s="158"/>
    </row>
    <row r="583" spans="5:5" ht="15" customHeight="1">
      <c r="E583" s="158"/>
    </row>
    <row r="584" spans="5:5" ht="15" customHeight="1">
      <c r="E584" s="158"/>
    </row>
    <row r="585" spans="5:5" ht="15" customHeight="1">
      <c r="E585" s="158"/>
    </row>
    <row r="586" spans="5:5" ht="15" customHeight="1">
      <c r="E586" s="158"/>
    </row>
    <row r="587" spans="5:5" ht="15" customHeight="1">
      <c r="E587" s="158"/>
    </row>
    <row r="588" spans="5:5" ht="15" customHeight="1">
      <c r="E588" s="158"/>
    </row>
    <row r="589" spans="5:5" ht="15" customHeight="1">
      <c r="E589" s="158"/>
    </row>
    <row r="590" spans="5:5" ht="15" customHeight="1">
      <c r="E590" s="158"/>
    </row>
    <row r="591" spans="5:5" ht="15" customHeight="1">
      <c r="E591" s="158"/>
    </row>
    <row r="592" spans="5:5" ht="15" customHeight="1">
      <c r="E592" s="158"/>
    </row>
    <row r="593" spans="5:5" ht="15" customHeight="1">
      <c r="E593" s="158"/>
    </row>
    <row r="594" spans="5:5" ht="15" customHeight="1">
      <c r="E594" s="158"/>
    </row>
    <row r="595" spans="5:5" ht="15" customHeight="1">
      <c r="E595" s="158"/>
    </row>
    <row r="596" spans="5:5" ht="15" customHeight="1">
      <c r="E596" s="158"/>
    </row>
    <row r="597" spans="5:5" ht="15" customHeight="1">
      <c r="E597" s="158"/>
    </row>
    <row r="598" spans="5:5" ht="15" customHeight="1">
      <c r="E598" s="158"/>
    </row>
    <row r="599" spans="5:5" ht="15" customHeight="1">
      <c r="E599" s="158"/>
    </row>
    <row r="600" spans="5:5" ht="15" customHeight="1">
      <c r="E600" s="158"/>
    </row>
    <row r="601" spans="5:5" ht="15" customHeight="1">
      <c r="E601" s="158"/>
    </row>
    <row r="602" spans="5:5" ht="15" customHeight="1">
      <c r="E602" s="158"/>
    </row>
    <row r="603" spans="5:5" ht="15" customHeight="1">
      <c r="E603" s="158"/>
    </row>
    <row r="604" spans="5:5" ht="15" customHeight="1">
      <c r="E604" s="158"/>
    </row>
    <row r="605" spans="5:5" ht="15" customHeight="1">
      <c r="E605" s="158"/>
    </row>
    <row r="606" spans="5:5" ht="15" customHeight="1">
      <c r="E606" s="158"/>
    </row>
    <row r="607" spans="5:5" ht="15" customHeight="1">
      <c r="E607" s="158"/>
    </row>
    <row r="608" spans="5:5" ht="15" customHeight="1">
      <c r="E608" s="158"/>
    </row>
    <row r="609" spans="5:5" ht="15" customHeight="1">
      <c r="E609" s="158"/>
    </row>
    <row r="610" spans="5:5" ht="15" customHeight="1">
      <c r="E610" s="158"/>
    </row>
    <row r="611" spans="5:5" ht="15" customHeight="1">
      <c r="E611" s="158"/>
    </row>
    <row r="612" spans="5:5" ht="15" customHeight="1">
      <c r="E612" s="158"/>
    </row>
    <row r="613" spans="5:5" ht="15" customHeight="1">
      <c r="E613" s="158"/>
    </row>
    <row r="614" spans="5:5" ht="15" customHeight="1">
      <c r="E614" s="158"/>
    </row>
    <row r="615" spans="5:5" ht="15" customHeight="1">
      <c r="E615" s="158"/>
    </row>
    <row r="616" spans="5:5" ht="15" customHeight="1">
      <c r="E616" s="158"/>
    </row>
    <row r="617" spans="5:5" ht="15" customHeight="1">
      <c r="E617" s="158"/>
    </row>
    <row r="618" spans="5:5" ht="15" customHeight="1">
      <c r="E618" s="158"/>
    </row>
    <row r="619" spans="5:5" ht="15" customHeight="1">
      <c r="E619" s="158"/>
    </row>
    <row r="620" spans="5:5" ht="15" customHeight="1">
      <c r="E620" s="158"/>
    </row>
    <row r="621" spans="5:5" ht="15" customHeight="1">
      <c r="E621" s="158"/>
    </row>
    <row r="622" spans="5:5" ht="15" customHeight="1">
      <c r="E622" s="158"/>
    </row>
    <row r="623" spans="5:5" ht="15" customHeight="1">
      <c r="E623" s="158"/>
    </row>
    <row r="624" spans="5:5" ht="15" customHeight="1">
      <c r="E624" s="158"/>
    </row>
    <row r="625" spans="5:5" ht="15" customHeight="1">
      <c r="E625" s="158"/>
    </row>
    <row r="626" spans="5:5" ht="15" customHeight="1">
      <c r="E626" s="158"/>
    </row>
    <row r="627" spans="5:5" ht="15" customHeight="1">
      <c r="E627" s="158"/>
    </row>
    <row r="628" spans="5:5" ht="15" customHeight="1">
      <c r="E628" s="158"/>
    </row>
    <row r="629" spans="5:5" ht="15" customHeight="1">
      <c r="E629" s="158"/>
    </row>
    <row r="630" spans="5:5" ht="15" customHeight="1">
      <c r="E630" s="158"/>
    </row>
    <row r="631" spans="5:5" ht="15" customHeight="1">
      <c r="E631" s="158"/>
    </row>
    <row r="632" spans="5:5" ht="15" customHeight="1">
      <c r="E632" s="158"/>
    </row>
    <row r="633" spans="5:5" ht="15" customHeight="1">
      <c r="E633" s="158"/>
    </row>
    <row r="634" spans="5:5" ht="15" customHeight="1">
      <c r="E634" s="158"/>
    </row>
    <row r="635" spans="5:5" ht="15" customHeight="1">
      <c r="E635" s="158"/>
    </row>
    <row r="636" spans="5:5" ht="15" customHeight="1">
      <c r="E636" s="158"/>
    </row>
    <row r="637" spans="5:5" ht="15" customHeight="1">
      <c r="E637" s="158"/>
    </row>
    <row r="638" spans="5:5" ht="15" customHeight="1">
      <c r="E638" s="158"/>
    </row>
    <row r="639" spans="5:5" ht="15" customHeight="1">
      <c r="E639" s="158"/>
    </row>
    <row r="640" spans="5:5" ht="15" customHeight="1">
      <c r="E640" s="158"/>
    </row>
    <row r="641" spans="5:5" ht="15" customHeight="1">
      <c r="E641" s="158"/>
    </row>
    <row r="642" spans="5:5" ht="15" customHeight="1">
      <c r="E642" s="158"/>
    </row>
    <row r="643" spans="5:5" ht="15" customHeight="1">
      <c r="E643" s="158"/>
    </row>
    <row r="644" spans="5:5" ht="15" customHeight="1">
      <c r="E644" s="158"/>
    </row>
    <row r="645" spans="5:5" ht="15" customHeight="1">
      <c r="E645" s="158"/>
    </row>
    <row r="646" spans="5:5" ht="15" customHeight="1">
      <c r="E646" s="158"/>
    </row>
    <row r="647" spans="5:5" ht="15" customHeight="1">
      <c r="E647" s="158"/>
    </row>
    <row r="648" spans="5:5" ht="15" customHeight="1">
      <c r="E648" s="158"/>
    </row>
    <row r="649" spans="5:5" ht="15" customHeight="1">
      <c r="E649" s="158"/>
    </row>
    <row r="650" spans="5:5" ht="15" customHeight="1">
      <c r="E650" s="158"/>
    </row>
    <row r="651" spans="5:5" ht="15" customHeight="1">
      <c r="E651" s="158"/>
    </row>
    <row r="652" spans="5:5" ht="15" customHeight="1">
      <c r="E652" s="158"/>
    </row>
    <row r="653" spans="5:5" ht="15" customHeight="1">
      <c r="E653" s="158"/>
    </row>
    <row r="654" spans="5:5" ht="15" customHeight="1">
      <c r="E654" s="158"/>
    </row>
    <row r="655" spans="5:5" ht="15" customHeight="1">
      <c r="E655" s="158"/>
    </row>
    <row r="656" spans="5:5" ht="15" customHeight="1">
      <c r="E656" s="158"/>
    </row>
    <row r="657" spans="5:5" ht="15" customHeight="1">
      <c r="E657" s="158"/>
    </row>
    <row r="658" spans="5:5" ht="15" customHeight="1">
      <c r="E658" s="158"/>
    </row>
    <row r="659" spans="5:5" ht="15" customHeight="1">
      <c r="E659" s="158"/>
    </row>
    <row r="660" spans="5:5" ht="15" customHeight="1">
      <c r="E660" s="158"/>
    </row>
    <row r="661" spans="5:5" ht="15" customHeight="1">
      <c r="E661" s="158"/>
    </row>
    <row r="662" spans="5:5" ht="15" customHeight="1">
      <c r="E662" s="158"/>
    </row>
    <row r="663" spans="5:5" ht="15" customHeight="1">
      <c r="E663" s="158"/>
    </row>
    <row r="664" spans="5:5" ht="15" customHeight="1">
      <c r="E664" s="158"/>
    </row>
    <row r="665" spans="5:5" ht="15" customHeight="1">
      <c r="E665" s="158"/>
    </row>
    <row r="666" spans="5:5" ht="15" customHeight="1">
      <c r="E666" s="158"/>
    </row>
    <row r="667" spans="5:5" ht="15" customHeight="1">
      <c r="E667" s="158"/>
    </row>
    <row r="668" spans="5:5" ht="15" customHeight="1">
      <c r="E668" s="158"/>
    </row>
    <row r="669" spans="5:5" ht="15" customHeight="1">
      <c r="E669" s="158"/>
    </row>
    <row r="670" spans="5:5" ht="15" customHeight="1">
      <c r="E670" s="158"/>
    </row>
    <row r="671" spans="5:5" ht="15" customHeight="1">
      <c r="E671" s="158"/>
    </row>
    <row r="672" spans="5:5" ht="15" customHeight="1">
      <c r="E672" s="158"/>
    </row>
    <row r="673" spans="5:5" ht="15" customHeight="1">
      <c r="E673" s="158"/>
    </row>
    <row r="674" spans="5:5" ht="15" customHeight="1">
      <c r="E674" s="158"/>
    </row>
    <row r="675" spans="5:5" ht="15" customHeight="1">
      <c r="E675" s="158"/>
    </row>
    <row r="676" spans="5:5" ht="15" customHeight="1">
      <c r="E676" s="158"/>
    </row>
    <row r="677" spans="5:5" ht="15" customHeight="1">
      <c r="E677" s="158"/>
    </row>
    <row r="678" spans="5:5" ht="15" customHeight="1">
      <c r="E678" s="158"/>
    </row>
    <row r="679" spans="5:5" ht="15" customHeight="1">
      <c r="E679" s="158"/>
    </row>
    <row r="680" spans="5:5" ht="15" customHeight="1">
      <c r="E680" s="158"/>
    </row>
    <row r="681" spans="5:5" ht="15" customHeight="1">
      <c r="E681" s="158"/>
    </row>
    <row r="682" spans="5:5" ht="15" customHeight="1">
      <c r="E682" s="158"/>
    </row>
    <row r="683" spans="5:5" ht="15" customHeight="1">
      <c r="E683" s="158"/>
    </row>
    <row r="684" spans="5:5" ht="15" customHeight="1">
      <c r="E684" s="158"/>
    </row>
    <row r="685" spans="5:5" ht="15" customHeight="1">
      <c r="E685" s="158"/>
    </row>
    <row r="686" spans="5:5" ht="15" customHeight="1">
      <c r="E686" s="158"/>
    </row>
    <row r="687" spans="5:5" ht="15" customHeight="1">
      <c r="E687" s="158"/>
    </row>
    <row r="688" spans="5:5" ht="15" customHeight="1">
      <c r="E688" s="158"/>
    </row>
    <row r="689" spans="5:5" ht="15" customHeight="1">
      <c r="E689" s="158"/>
    </row>
    <row r="690" spans="5:5" ht="15" customHeight="1">
      <c r="E690" s="158"/>
    </row>
    <row r="691" spans="5:5" ht="15" customHeight="1">
      <c r="E691" s="158"/>
    </row>
    <row r="692" spans="5:5" ht="15" customHeight="1">
      <c r="E692" s="158"/>
    </row>
    <row r="693" spans="5:5" ht="15" customHeight="1">
      <c r="E693" s="158"/>
    </row>
    <row r="694" spans="5:5" ht="15" customHeight="1">
      <c r="E694" s="158"/>
    </row>
    <row r="695" spans="5:5" ht="15" customHeight="1">
      <c r="E695" s="158"/>
    </row>
    <row r="696" spans="5:5" ht="15" customHeight="1">
      <c r="E696" s="158"/>
    </row>
    <row r="697" spans="5:5" ht="15" customHeight="1">
      <c r="E697" s="158"/>
    </row>
    <row r="698" spans="5:5" ht="15" customHeight="1">
      <c r="E698" s="158"/>
    </row>
    <row r="699" spans="5:5" ht="15" customHeight="1">
      <c r="E699" s="158"/>
    </row>
    <row r="700" spans="5:5" ht="15" customHeight="1">
      <c r="E700" s="158"/>
    </row>
    <row r="701" spans="5:5" ht="15" customHeight="1">
      <c r="E701" s="158"/>
    </row>
    <row r="702" spans="5:5" ht="15" customHeight="1">
      <c r="E702" s="158"/>
    </row>
    <row r="703" spans="5:5" ht="15" customHeight="1">
      <c r="E703" s="158"/>
    </row>
    <row r="704" spans="5:5" ht="15" customHeight="1">
      <c r="E704" s="158"/>
    </row>
    <row r="705" spans="5:5" ht="15" customHeight="1">
      <c r="E705" s="158"/>
    </row>
    <row r="706" spans="5:5" ht="15" customHeight="1">
      <c r="E706" s="158"/>
    </row>
    <row r="707" spans="5:5" ht="15" customHeight="1">
      <c r="E707" s="158"/>
    </row>
    <row r="708" spans="5:5" ht="15" customHeight="1">
      <c r="E708" s="158"/>
    </row>
    <row r="709" spans="5:5" ht="15" customHeight="1">
      <c r="E709" s="158"/>
    </row>
    <row r="710" spans="5:5" ht="15" customHeight="1">
      <c r="E710" s="158"/>
    </row>
    <row r="711" spans="5:5" ht="15" customHeight="1">
      <c r="E711" s="158"/>
    </row>
    <row r="712" spans="5:5" ht="15" customHeight="1">
      <c r="E712" s="158"/>
    </row>
    <row r="713" spans="5:5" ht="15" customHeight="1">
      <c r="E713" s="158"/>
    </row>
    <row r="714" spans="5:5" ht="15" customHeight="1">
      <c r="E714" s="158"/>
    </row>
    <row r="715" spans="5:5" ht="15" customHeight="1">
      <c r="E715" s="158"/>
    </row>
    <row r="716" spans="5:5" ht="15" customHeight="1">
      <c r="E716" s="158"/>
    </row>
    <row r="717" spans="5:5" ht="15" customHeight="1">
      <c r="E717" s="158"/>
    </row>
    <row r="718" spans="5:5" ht="15" customHeight="1">
      <c r="E718" s="158"/>
    </row>
    <row r="719" spans="5:5" ht="15" customHeight="1">
      <c r="E719" s="158"/>
    </row>
    <row r="720" spans="5:5" ht="15" customHeight="1">
      <c r="E720" s="158"/>
    </row>
    <row r="721" spans="5:5" ht="15" customHeight="1">
      <c r="E721" s="158"/>
    </row>
    <row r="722" spans="5:5" ht="15" customHeight="1">
      <c r="E722" s="158"/>
    </row>
    <row r="723" spans="5:5" ht="15" customHeight="1">
      <c r="E723" s="158"/>
    </row>
    <row r="724" spans="5:5" ht="15" customHeight="1">
      <c r="E724" s="158"/>
    </row>
    <row r="725" spans="5:5" ht="15" customHeight="1">
      <c r="E725" s="158"/>
    </row>
    <row r="726" spans="5:5" ht="15" customHeight="1">
      <c r="E726" s="158"/>
    </row>
    <row r="727" spans="5:5" ht="15" customHeight="1">
      <c r="E727" s="158"/>
    </row>
    <row r="728" spans="5:5" ht="15" customHeight="1">
      <c r="E728" s="158"/>
    </row>
    <row r="729" spans="5:5" ht="15" customHeight="1">
      <c r="E729" s="158"/>
    </row>
    <row r="730" spans="5:5" ht="15" customHeight="1">
      <c r="E730" s="158"/>
    </row>
    <row r="731" spans="5:5" ht="15" customHeight="1">
      <c r="E731" s="158"/>
    </row>
    <row r="732" spans="5:5" ht="15" customHeight="1">
      <c r="E732" s="158"/>
    </row>
    <row r="733" spans="5:5" ht="15" customHeight="1">
      <c r="E733" s="158"/>
    </row>
    <row r="734" spans="5:5" ht="15" customHeight="1">
      <c r="E734" s="158"/>
    </row>
    <row r="735" spans="5:5" ht="15" customHeight="1">
      <c r="E735" s="158"/>
    </row>
    <row r="736" spans="5:5" ht="15" customHeight="1">
      <c r="E736" s="158"/>
    </row>
    <row r="737" spans="5:5" ht="15" customHeight="1">
      <c r="E737" s="158"/>
    </row>
    <row r="738" spans="5:5" ht="15" customHeight="1">
      <c r="E738" s="158"/>
    </row>
    <row r="739" spans="5:5" ht="15" customHeight="1">
      <c r="E739" s="158"/>
    </row>
    <row r="740" spans="5:5" ht="15" customHeight="1">
      <c r="E740" s="158"/>
    </row>
    <row r="741" spans="5:5" ht="15" customHeight="1">
      <c r="E741" s="158"/>
    </row>
    <row r="742" spans="5:5" ht="15" customHeight="1">
      <c r="E742" s="158"/>
    </row>
    <row r="743" spans="5:5" ht="15" customHeight="1">
      <c r="E743" s="158"/>
    </row>
    <row r="744" spans="5:5" ht="15" customHeight="1">
      <c r="E744" s="158"/>
    </row>
    <row r="745" spans="5:5" ht="15" customHeight="1">
      <c r="E745" s="158"/>
    </row>
    <row r="746" spans="5:5" ht="15" customHeight="1">
      <c r="E746" s="158"/>
    </row>
    <row r="747" spans="5:5" ht="15" customHeight="1">
      <c r="E747" s="158"/>
    </row>
    <row r="748" spans="5:5" ht="15" customHeight="1">
      <c r="E748" s="158"/>
    </row>
    <row r="749" spans="5:5" ht="15" customHeight="1">
      <c r="E749" s="158"/>
    </row>
    <row r="750" spans="5:5" ht="15" customHeight="1">
      <c r="E750" s="158"/>
    </row>
    <row r="751" spans="5:5" ht="15" customHeight="1">
      <c r="E751" s="158"/>
    </row>
    <row r="752" spans="5:5" ht="15" customHeight="1">
      <c r="E752" s="158"/>
    </row>
    <row r="753" spans="5:5" ht="15" customHeight="1">
      <c r="E753" s="158"/>
    </row>
    <row r="754" spans="5:5" ht="15" customHeight="1">
      <c r="E754" s="158"/>
    </row>
    <row r="755" spans="5:5" ht="15" customHeight="1">
      <c r="E755" s="158"/>
    </row>
    <row r="756" spans="5:5" ht="15" customHeight="1">
      <c r="E756" s="158"/>
    </row>
    <row r="757" spans="5:5" ht="15" customHeight="1">
      <c r="E757" s="158"/>
    </row>
    <row r="758" spans="5:5" ht="15" customHeight="1">
      <c r="E758" s="158"/>
    </row>
    <row r="759" spans="5:5" ht="15" customHeight="1">
      <c r="E759" s="158"/>
    </row>
    <row r="760" spans="5:5" ht="15" customHeight="1">
      <c r="E760" s="158"/>
    </row>
    <row r="761" spans="5:5" ht="15" customHeight="1">
      <c r="E761" s="158"/>
    </row>
    <row r="762" spans="5:5" ht="15" customHeight="1">
      <c r="E762" s="158"/>
    </row>
    <row r="763" spans="5:5" ht="15" customHeight="1">
      <c r="E763" s="158"/>
    </row>
    <row r="764" spans="5:5" ht="15" customHeight="1">
      <c r="E764" s="158"/>
    </row>
    <row r="765" spans="5:5" ht="15" customHeight="1">
      <c r="E765" s="158"/>
    </row>
    <row r="766" spans="5:5" ht="15" customHeight="1">
      <c r="E766" s="158"/>
    </row>
    <row r="767" spans="5:5" ht="15" customHeight="1">
      <c r="E767" s="158"/>
    </row>
    <row r="768" spans="5:5" ht="15" customHeight="1">
      <c r="E768" s="158"/>
    </row>
    <row r="769" spans="5:5" ht="15" customHeight="1">
      <c r="E769" s="158"/>
    </row>
    <row r="770" spans="5:5" ht="15" customHeight="1">
      <c r="E770" s="158"/>
    </row>
    <row r="771" spans="5:5" ht="15" customHeight="1">
      <c r="E771" s="158"/>
    </row>
    <row r="772" spans="5:5" ht="15" customHeight="1">
      <c r="E772" s="158"/>
    </row>
    <row r="773" spans="5:5" ht="15" customHeight="1">
      <c r="E773" s="158"/>
    </row>
    <row r="774" spans="5:5" ht="15" customHeight="1">
      <c r="E774" s="158"/>
    </row>
    <row r="775" spans="5:5" ht="15" customHeight="1">
      <c r="E775" s="158"/>
    </row>
    <row r="776" spans="5:5" ht="15" customHeight="1">
      <c r="E776" s="158"/>
    </row>
    <row r="777" spans="5:5" ht="15" customHeight="1">
      <c r="E777" s="158"/>
    </row>
    <row r="778" spans="5:5" ht="15" customHeight="1">
      <c r="E778" s="158"/>
    </row>
    <row r="779" spans="5:5" ht="15" customHeight="1">
      <c r="E779" s="158"/>
    </row>
    <row r="780" spans="5:5" ht="15" customHeight="1">
      <c r="E780" s="158"/>
    </row>
    <row r="781" spans="5:5" ht="15" customHeight="1">
      <c r="E781" s="158"/>
    </row>
    <row r="782" spans="5:5" ht="15" customHeight="1">
      <c r="E782" s="158"/>
    </row>
    <row r="783" spans="5:5" ht="15" customHeight="1">
      <c r="E783" s="158"/>
    </row>
    <row r="784" spans="5:5" ht="15" customHeight="1">
      <c r="E784" s="158"/>
    </row>
    <row r="785" spans="5:5" ht="15" customHeight="1">
      <c r="E785" s="158"/>
    </row>
    <row r="786" spans="5:5" ht="15" customHeight="1">
      <c r="E786" s="158"/>
    </row>
    <row r="787" spans="5:5" ht="15" customHeight="1">
      <c r="E787" s="158"/>
    </row>
    <row r="788" spans="5:5" ht="15" customHeight="1">
      <c r="E788" s="158"/>
    </row>
    <row r="789" spans="5:5" ht="15" customHeight="1">
      <c r="E789" s="158"/>
    </row>
    <row r="790" spans="5:5" ht="15" customHeight="1">
      <c r="E790" s="158"/>
    </row>
    <row r="791" spans="5:5" ht="15" customHeight="1">
      <c r="E791" s="158"/>
    </row>
    <row r="792" spans="5:5" ht="15" customHeight="1">
      <c r="E792" s="158"/>
    </row>
    <row r="793" spans="5:5" ht="15" customHeight="1">
      <c r="E793" s="158"/>
    </row>
    <row r="794" spans="5:5" ht="15" customHeight="1">
      <c r="E794" s="158"/>
    </row>
    <row r="795" spans="5:5" ht="15" customHeight="1">
      <c r="E795" s="158"/>
    </row>
    <row r="796" spans="5:5" ht="15" customHeight="1">
      <c r="E796" s="158"/>
    </row>
    <row r="797" spans="5:5" ht="15" customHeight="1">
      <c r="E797" s="158"/>
    </row>
    <row r="798" spans="5:5" ht="15" customHeight="1">
      <c r="E798" s="158"/>
    </row>
    <row r="799" spans="5:5" ht="15" customHeight="1">
      <c r="E799" s="158"/>
    </row>
    <row r="800" spans="5:5" ht="15" customHeight="1">
      <c r="E800" s="158"/>
    </row>
    <row r="801" spans="5:5" ht="15" customHeight="1">
      <c r="E801" s="158"/>
    </row>
    <row r="802" spans="5:5" ht="15" customHeight="1">
      <c r="E802" s="158"/>
    </row>
    <row r="803" spans="5:5" ht="15" customHeight="1">
      <c r="E803" s="158"/>
    </row>
    <row r="804" spans="5:5" ht="15" customHeight="1">
      <c r="E804" s="158"/>
    </row>
    <row r="805" spans="5:5" ht="15" customHeight="1">
      <c r="E805" s="158"/>
    </row>
    <row r="806" spans="5:5" ht="15" customHeight="1">
      <c r="E806" s="158"/>
    </row>
    <row r="807" spans="5:5" ht="15" customHeight="1">
      <c r="E807" s="158"/>
    </row>
    <row r="808" spans="5:5" ht="15" customHeight="1">
      <c r="E808" s="158"/>
    </row>
    <row r="809" spans="5:5" ht="15" customHeight="1">
      <c r="E809" s="158"/>
    </row>
    <row r="810" spans="5:5" ht="15" customHeight="1">
      <c r="E810" s="158"/>
    </row>
    <row r="811" spans="5:5" ht="15" customHeight="1">
      <c r="E811" s="158"/>
    </row>
    <row r="812" spans="5:5" ht="15" customHeight="1">
      <c r="E812" s="158"/>
    </row>
    <row r="813" spans="5:5" ht="15" customHeight="1">
      <c r="E813" s="158"/>
    </row>
    <row r="814" spans="5:5" ht="15" customHeight="1">
      <c r="E814" s="158"/>
    </row>
    <row r="815" spans="5:5" ht="15" customHeight="1">
      <c r="E815" s="158"/>
    </row>
    <row r="816" spans="5:5" ht="15" customHeight="1">
      <c r="E816" s="158"/>
    </row>
    <row r="817" spans="5:5" ht="15" customHeight="1">
      <c r="E817" s="158"/>
    </row>
    <row r="818" spans="5:5" ht="15" customHeight="1">
      <c r="E818" s="158"/>
    </row>
    <row r="819" spans="5:5" ht="15" customHeight="1">
      <c r="E819" s="158"/>
    </row>
    <row r="820" spans="5:5" ht="15" customHeight="1">
      <c r="E820" s="158"/>
    </row>
    <row r="821" spans="5:5" ht="15" customHeight="1">
      <c r="E821" s="158"/>
    </row>
    <row r="822" spans="5:5" ht="15" customHeight="1">
      <c r="E822" s="158"/>
    </row>
    <row r="823" spans="5:5" ht="15" customHeight="1">
      <c r="E823" s="158"/>
    </row>
    <row r="824" spans="5:5" ht="15" customHeight="1">
      <c r="E824" s="158"/>
    </row>
    <row r="825" spans="5:5" ht="15" customHeight="1">
      <c r="E825" s="158"/>
    </row>
    <row r="826" spans="5:5" ht="15" customHeight="1">
      <c r="E826" s="158"/>
    </row>
    <row r="827" spans="5:5" ht="15" customHeight="1">
      <c r="E827" s="158"/>
    </row>
    <row r="828" spans="5:5" ht="15" customHeight="1">
      <c r="E828" s="158"/>
    </row>
    <row r="829" spans="5:5" ht="15" customHeight="1">
      <c r="E829" s="158"/>
    </row>
    <row r="830" spans="5:5" ht="15" customHeight="1">
      <c r="E830" s="158"/>
    </row>
    <row r="831" spans="5:5" ht="15" customHeight="1">
      <c r="E831" s="158"/>
    </row>
    <row r="832" spans="5:5" ht="15" customHeight="1">
      <c r="E832" s="158"/>
    </row>
    <row r="833" spans="5:5" ht="15" customHeight="1">
      <c r="E833" s="158"/>
    </row>
    <row r="834" spans="5:5" ht="15" customHeight="1">
      <c r="E834" s="158"/>
    </row>
    <row r="835" spans="5:5" ht="15" customHeight="1">
      <c r="E835" s="158"/>
    </row>
    <row r="836" spans="5:5" ht="15" customHeight="1">
      <c r="E836" s="158"/>
    </row>
    <row r="837" spans="5:5" ht="15" customHeight="1">
      <c r="E837" s="158"/>
    </row>
    <row r="838" spans="5:5" ht="15" customHeight="1">
      <c r="E838" s="158"/>
    </row>
    <row r="839" spans="5:5" ht="15" customHeight="1">
      <c r="E839" s="158"/>
    </row>
    <row r="840" spans="5:5" ht="15" customHeight="1">
      <c r="E840" s="158"/>
    </row>
    <row r="841" spans="5:5" ht="15" customHeight="1">
      <c r="E841" s="158"/>
    </row>
    <row r="842" spans="5:5" ht="15" customHeight="1">
      <c r="E842" s="158"/>
    </row>
    <row r="843" spans="5:5" ht="15" customHeight="1">
      <c r="E843" s="158"/>
    </row>
    <row r="844" spans="5:5" ht="15" customHeight="1">
      <c r="E844" s="158"/>
    </row>
    <row r="845" spans="5:5" ht="15" customHeight="1">
      <c r="E845" s="158"/>
    </row>
    <row r="846" spans="5:5" ht="15" customHeight="1">
      <c r="E846" s="158"/>
    </row>
    <row r="847" spans="5:5" ht="15" customHeight="1">
      <c r="E847" s="158"/>
    </row>
    <row r="848" spans="5:5" ht="15" customHeight="1">
      <c r="E848" s="158"/>
    </row>
    <row r="849" spans="5:5" ht="15" customHeight="1">
      <c r="E849" s="158"/>
    </row>
    <row r="850" spans="5:5" ht="15" customHeight="1">
      <c r="E850" s="158"/>
    </row>
    <row r="851" spans="5:5" ht="15" customHeight="1">
      <c r="E851" s="158"/>
    </row>
    <row r="852" spans="5:5" ht="15" customHeight="1">
      <c r="E852" s="158"/>
    </row>
    <row r="853" spans="5:5" ht="15" customHeight="1">
      <c r="E853" s="158"/>
    </row>
    <row r="854" spans="5:5" ht="15" customHeight="1">
      <c r="E854" s="158"/>
    </row>
    <row r="855" spans="5:5" ht="15" customHeight="1">
      <c r="E855" s="158"/>
    </row>
    <row r="856" spans="5:5" ht="15" customHeight="1">
      <c r="E856" s="158"/>
    </row>
    <row r="857" spans="5:5" ht="15" customHeight="1">
      <c r="E857" s="158"/>
    </row>
    <row r="858" spans="5:5" ht="15" customHeight="1">
      <c r="E858" s="158"/>
    </row>
    <row r="859" spans="5:5" ht="15" customHeight="1">
      <c r="E859" s="158"/>
    </row>
    <row r="860" spans="5:5" ht="15" customHeight="1">
      <c r="E860" s="158"/>
    </row>
    <row r="861" spans="5:5" ht="15" customHeight="1">
      <c r="E861" s="158"/>
    </row>
    <row r="862" spans="5:5" ht="15" customHeight="1">
      <c r="E862" s="158"/>
    </row>
    <row r="863" spans="5:5" ht="15" customHeight="1">
      <c r="E863" s="158"/>
    </row>
    <row r="864" spans="5:5" ht="15" customHeight="1">
      <c r="E864" s="158"/>
    </row>
    <row r="865" spans="5:5" ht="15" customHeight="1">
      <c r="E865" s="158"/>
    </row>
    <row r="866" spans="5:5" ht="15" customHeight="1">
      <c r="E866" s="158"/>
    </row>
    <row r="867" spans="5:5" ht="15" customHeight="1">
      <c r="E867" s="158"/>
    </row>
    <row r="868" spans="5:5" ht="15" customHeight="1">
      <c r="E868" s="158"/>
    </row>
    <row r="869" spans="5:5" ht="15" customHeight="1">
      <c r="E869" s="158"/>
    </row>
    <row r="870" spans="5:5" ht="15" customHeight="1">
      <c r="E870" s="158"/>
    </row>
    <row r="871" spans="5:5" ht="15" customHeight="1">
      <c r="E871" s="158"/>
    </row>
    <row r="872" spans="5:5" ht="15" customHeight="1">
      <c r="E872" s="158"/>
    </row>
    <row r="873" spans="5:5" ht="15" customHeight="1">
      <c r="E873" s="158"/>
    </row>
    <row r="874" spans="5:5" ht="15" customHeight="1">
      <c r="E874" s="158"/>
    </row>
    <row r="875" spans="5:5" ht="15" customHeight="1">
      <c r="E875" s="158"/>
    </row>
    <row r="876" spans="5:5" ht="15" customHeight="1">
      <c r="E876" s="158"/>
    </row>
    <row r="877" spans="5:5" ht="15" customHeight="1">
      <c r="E877" s="158"/>
    </row>
    <row r="878" spans="5:5" ht="15" customHeight="1">
      <c r="E878" s="158"/>
    </row>
    <row r="879" spans="5:5" ht="15" customHeight="1">
      <c r="E879" s="158"/>
    </row>
    <row r="880" spans="5:5" ht="15" customHeight="1">
      <c r="E880" s="158"/>
    </row>
    <row r="881" spans="5:5" ht="15" customHeight="1">
      <c r="E881" s="158"/>
    </row>
    <row r="882" spans="5:5" ht="15" customHeight="1">
      <c r="E882" s="158"/>
    </row>
    <row r="883" spans="5:5" ht="15" customHeight="1">
      <c r="E883" s="158"/>
    </row>
    <row r="884" spans="5:5" ht="15" customHeight="1">
      <c r="E884" s="158"/>
    </row>
    <row r="885" spans="5:5" ht="15" customHeight="1">
      <c r="E885" s="158"/>
    </row>
    <row r="886" spans="5:5" ht="15" customHeight="1">
      <c r="E886" s="158"/>
    </row>
    <row r="887" spans="5:5" ht="15" customHeight="1">
      <c r="E887" s="158"/>
    </row>
    <row r="888" spans="5:5" ht="15" customHeight="1">
      <c r="E888" s="158"/>
    </row>
    <row r="889" spans="5:5" ht="15" customHeight="1">
      <c r="E889" s="158"/>
    </row>
    <row r="890" spans="5:5" ht="15" customHeight="1">
      <c r="E890" s="158"/>
    </row>
    <row r="891" spans="5:5" ht="15" customHeight="1">
      <c r="E891" s="158"/>
    </row>
    <row r="892" spans="5:5" ht="15" customHeight="1">
      <c r="E892" s="158"/>
    </row>
    <row r="893" spans="5:5" ht="15" customHeight="1">
      <c r="E893" s="158"/>
    </row>
    <row r="894" spans="5:5" ht="15" customHeight="1">
      <c r="E894" s="158"/>
    </row>
    <row r="895" spans="5:5" ht="15" customHeight="1">
      <c r="E895" s="158"/>
    </row>
    <row r="896" spans="5:5" ht="15" customHeight="1">
      <c r="E896" s="158"/>
    </row>
    <row r="897" spans="5:5" ht="15" customHeight="1">
      <c r="E897" s="158"/>
    </row>
    <row r="898" spans="5:5" ht="15" customHeight="1">
      <c r="E898" s="158"/>
    </row>
    <row r="899" spans="5:5" ht="15" customHeight="1">
      <c r="E899" s="158"/>
    </row>
    <row r="900" spans="5:5" ht="15" customHeight="1">
      <c r="E900" s="158"/>
    </row>
    <row r="901" spans="5:5" ht="15" customHeight="1">
      <c r="E901" s="158"/>
    </row>
    <row r="902" spans="5:5" ht="15" customHeight="1">
      <c r="E902" s="158"/>
    </row>
    <row r="903" spans="5:5" ht="15" customHeight="1">
      <c r="E903" s="158"/>
    </row>
    <row r="904" spans="5:5" ht="15" customHeight="1">
      <c r="E904" s="158"/>
    </row>
    <row r="905" spans="5:5" ht="15" customHeight="1">
      <c r="E905" s="158"/>
    </row>
    <row r="906" spans="5:5" ht="15" customHeight="1">
      <c r="E906" s="158"/>
    </row>
    <row r="907" spans="5:5" ht="15" customHeight="1">
      <c r="E907" s="158"/>
    </row>
    <row r="908" spans="5:5" ht="15" customHeight="1">
      <c r="E908" s="158"/>
    </row>
    <row r="909" spans="5:5" ht="15" customHeight="1">
      <c r="E909" s="158"/>
    </row>
    <row r="910" spans="5:5" ht="15" customHeight="1">
      <c r="E910" s="158"/>
    </row>
    <row r="911" spans="5:5" ht="15" customHeight="1">
      <c r="E911" s="158"/>
    </row>
    <row r="912" spans="5:5" ht="15" customHeight="1">
      <c r="E912" s="158"/>
    </row>
    <row r="913" spans="5:5" ht="15" customHeight="1">
      <c r="E913" s="158"/>
    </row>
    <row r="914" spans="5:5" ht="15" customHeight="1">
      <c r="E914" s="158"/>
    </row>
    <row r="915" spans="5:5" ht="15" customHeight="1">
      <c r="E915" s="158"/>
    </row>
    <row r="916" spans="5:5" ht="15" customHeight="1">
      <c r="E916" s="158"/>
    </row>
    <row r="917" spans="5:5" ht="15" customHeight="1">
      <c r="E917" s="158"/>
    </row>
    <row r="918" spans="5:5" ht="15" customHeight="1">
      <c r="E918" s="158"/>
    </row>
    <row r="919" spans="5:5" ht="15" customHeight="1">
      <c r="E919" s="158"/>
    </row>
    <row r="920" spans="5:5" ht="15" customHeight="1">
      <c r="E920" s="158"/>
    </row>
    <row r="921" spans="5:5" ht="15" customHeight="1">
      <c r="E921" s="158"/>
    </row>
    <row r="922" spans="5:5" ht="15" customHeight="1">
      <c r="E922" s="158"/>
    </row>
    <row r="923" spans="5:5" ht="15" customHeight="1">
      <c r="E923" s="158"/>
    </row>
    <row r="924" spans="5:5" ht="15" customHeight="1">
      <c r="E924" s="158"/>
    </row>
    <row r="925" spans="5:5" ht="15" customHeight="1">
      <c r="E925" s="158"/>
    </row>
    <row r="926" spans="5:5" ht="15" customHeight="1">
      <c r="E926" s="158"/>
    </row>
    <row r="927" spans="5:5" ht="15" customHeight="1">
      <c r="E927" s="158"/>
    </row>
    <row r="928" spans="5:5" ht="15" customHeight="1">
      <c r="E928" s="158"/>
    </row>
    <row r="929" spans="5:5" ht="15" customHeight="1">
      <c r="E929" s="158"/>
    </row>
    <row r="930" spans="5:5" ht="15" customHeight="1">
      <c r="E930" s="158"/>
    </row>
    <row r="931" spans="5:5" ht="15" customHeight="1">
      <c r="E931" s="158"/>
    </row>
    <row r="932" spans="5:5" ht="15" customHeight="1">
      <c r="E932" s="158"/>
    </row>
    <row r="933" spans="5:5" ht="15" customHeight="1">
      <c r="E933" s="158"/>
    </row>
    <row r="934" spans="5:5" ht="15" customHeight="1">
      <c r="E934" s="158"/>
    </row>
    <row r="935" spans="5:5" ht="15" customHeight="1">
      <c r="E935" s="158"/>
    </row>
    <row r="936" spans="5:5" ht="15" customHeight="1">
      <c r="E936" s="158"/>
    </row>
    <row r="937" spans="5:5" ht="15" customHeight="1">
      <c r="E937" s="158"/>
    </row>
    <row r="938" spans="5:5" ht="15" customHeight="1">
      <c r="E938" s="158"/>
    </row>
    <row r="939" spans="5:5" ht="15" customHeight="1">
      <c r="E939" s="158"/>
    </row>
    <row r="940" spans="5:5" ht="15" customHeight="1">
      <c r="E940" s="158"/>
    </row>
    <row r="941" spans="5:5" ht="15" customHeight="1">
      <c r="E941" s="158"/>
    </row>
    <row r="942" spans="5:5" ht="15" customHeight="1">
      <c r="E942" s="158"/>
    </row>
    <row r="943" spans="5:5" ht="15" customHeight="1">
      <c r="E943" s="158"/>
    </row>
    <row r="944" spans="5:5" ht="15" customHeight="1">
      <c r="E944" s="158"/>
    </row>
    <row r="945" spans="5:5" ht="15" customHeight="1">
      <c r="E945" s="158"/>
    </row>
    <row r="946" spans="5:5" ht="15" customHeight="1">
      <c r="E946" s="158"/>
    </row>
    <row r="947" spans="5:5" ht="15" customHeight="1">
      <c r="E947" s="158"/>
    </row>
    <row r="948" spans="5:5" ht="15" customHeight="1">
      <c r="E948" s="158"/>
    </row>
    <row r="949" spans="5:5" ht="15" customHeight="1">
      <c r="E949" s="158"/>
    </row>
    <row r="950" spans="5:5" ht="15" customHeight="1">
      <c r="E950" s="158"/>
    </row>
    <row r="951" spans="5:5" ht="15" customHeight="1">
      <c r="E951" s="158"/>
    </row>
    <row r="952" spans="5:5" ht="15" customHeight="1">
      <c r="E952" s="158"/>
    </row>
    <row r="953" spans="5:5" ht="15" customHeight="1">
      <c r="E953" s="158"/>
    </row>
    <row r="954" spans="5:5" ht="15" customHeight="1">
      <c r="E954" s="158"/>
    </row>
    <row r="955" spans="5:5" ht="15" customHeight="1">
      <c r="E955" s="158"/>
    </row>
    <row r="956" spans="5:5" ht="15" customHeight="1">
      <c r="E956" s="158"/>
    </row>
    <row r="957" spans="5:5" ht="15" customHeight="1">
      <c r="E957" s="158"/>
    </row>
    <row r="958" spans="5:5" ht="15" customHeight="1">
      <c r="E958" s="158"/>
    </row>
    <row r="959" spans="5:5" ht="15" customHeight="1">
      <c r="E959" s="158"/>
    </row>
    <row r="960" spans="5:5" ht="15" customHeight="1">
      <c r="E960" s="158"/>
    </row>
    <row r="961" spans="5:5" ht="15" customHeight="1">
      <c r="E961" s="158"/>
    </row>
    <row r="962" spans="5:5" ht="15" customHeight="1">
      <c r="E962" s="158"/>
    </row>
    <row r="963" spans="5:5" ht="15" customHeight="1">
      <c r="E963" s="158"/>
    </row>
    <row r="964" spans="5:5" ht="15" customHeight="1">
      <c r="E964" s="158"/>
    </row>
    <row r="965" spans="5:5" ht="15" customHeight="1">
      <c r="E965" s="158"/>
    </row>
    <row r="966" spans="5:5" ht="15" customHeight="1">
      <c r="E966" s="158"/>
    </row>
    <row r="967" spans="5:5" ht="15" customHeight="1">
      <c r="E967" s="158"/>
    </row>
    <row r="968" spans="5:5" ht="15" customHeight="1">
      <c r="E968" s="158"/>
    </row>
    <row r="969" spans="5:5" ht="15" customHeight="1">
      <c r="E969" s="158"/>
    </row>
    <row r="970" spans="5:5" ht="15" customHeight="1">
      <c r="E970" s="158"/>
    </row>
    <row r="971" spans="5:5" ht="15" customHeight="1">
      <c r="E971" s="158"/>
    </row>
    <row r="972" spans="5:5" ht="15" customHeight="1">
      <c r="E972" s="158"/>
    </row>
    <row r="973" spans="5:5" ht="15" customHeight="1">
      <c r="E973" s="158"/>
    </row>
    <row r="974" spans="5:5" ht="15" customHeight="1">
      <c r="E974" s="158"/>
    </row>
    <row r="975" spans="5:5" ht="15" customHeight="1">
      <c r="E975" s="158"/>
    </row>
    <row r="976" spans="5:5" ht="15" customHeight="1">
      <c r="E976" s="158"/>
    </row>
    <row r="977" spans="5:5" ht="15" customHeight="1">
      <c r="E977" s="158"/>
    </row>
    <row r="978" spans="5:5" ht="15" customHeight="1">
      <c r="E978" s="158"/>
    </row>
    <row r="979" spans="5:5" ht="15" customHeight="1">
      <c r="E979" s="158"/>
    </row>
    <row r="980" spans="5:5" ht="15" customHeight="1">
      <c r="E980" s="158"/>
    </row>
    <row r="981" spans="5:5" ht="15" customHeight="1">
      <c r="E981" s="158"/>
    </row>
    <row r="982" spans="5:5" ht="15" customHeight="1">
      <c r="E982" s="158"/>
    </row>
    <row r="983" spans="5:5" ht="15" customHeight="1">
      <c r="E983" s="158"/>
    </row>
    <row r="984" spans="5:5" ht="15" customHeight="1">
      <c r="E984" s="158"/>
    </row>
    <row r="985" spans="5:5" ht="15" customHeight="1">
      <c r="E985" s="158"/>
    </row>
    <row r="986" spans="5:5" ht="15" customHeight="1">
      <c r="E986" s="158"/>
    </row>
    <row r="987" spans="5:5" ht="15" customHeight="1">
      <c r="E987" s="158"/>
    </row>
    <row r="988" spans="5:5" ht="15" customHeight="1">
      <c r="E988" s="158"/>
    </row>
    <row r="989" spans="5:5" ht="15" customHeight="1">
      <c r="E989" s="158"/>
    </row>
    <row r="990" spans="5:5" ht="15" customHeight="1">
      <c r="E990" s="158"/>
    </row>
    <row r="991" spans="5:5" ht="15" customHeight="1">
      <c r="E991" s="158"/>
    </row>
    <row r="992" spans="5:5" ht="15" customHeight="1">
      <c r="E992" s="158"/>
    </row>
    <row r="993" spans="5:5" ht="15" customHeight="1">
      <c r="E993" s="158"/>
    </row>
    <row r="994" spans="5:5" ht="15" customHeight="1">
      <c r="E994" s="158"/>
    </row>
    <row r="995" spans="5:5" ht="15" customHeight="1">
      <c r="E995" s="158"/>
    </row>
    <row r="996" spans="5:5" ht="15" customHeight="1">
      <c r="E996" s="158"/>
    </row>
    <row r="997" spans="5:5" ht="15" customHeight="1">
      <c r="E997" s="158"/>
    </row>
    <row r="998" spans="5:5" ht="15" customHeight="1">
      <c r="E998" s="158"/>
    </row>
    <row r="999" spans="5:5" ht="15" customHeight="1">
      <c r="E999" s="158"/>
    </row>
    <row r="1000" spans="5:5" ht="15" customHeight="1">
      <c r="E1000" s="158"/>
    </row>
    <row r="1001" spans="5:5" ht="15" customHeight="1">
      <c r="E1001" s="158"/>
    </row>
    <row r="1002" spans="5:5" ht="15" customHeight="1">
      <c r="E1002" s="158"/>
    </row>
    <row r="1003" spans="5:5" ht="15" customHeight="1">
      <c r="E1003" s="158"/>
    </row>
    <row r="1004" spans="5:5" ht="15" customHeight="1">
      <c r="E1004" s="158"/>
    </row>
    <row r="1005" spans="5:5" ht="15" customHeight="1">
      <c r="E1005" s="158"/>
    </row>
    <row r="1006" spans="5:5" ht="15" customHeight="1">
      <c r="E1006" s="158"/>
    </row>
    <row r="1007" spans="5:5" ht="15" customHeight="1">
      <c r="E1007" s="158"/>
    </row>
    <row r="1008" spans="5:5" ht="15" customHeight="1">
      <c r="E1008" s="158"/>
    </row>
    <row r="1009" spans="5:5" ht="15" customHeight="1">
      <c r="E1009" s="158"/>
    </row>
    <row r="1010" spans="5:5" ht="15" customHeight="1">
      <c r="E1010" s="158"/>
    </row>
    <row r="1011" spans="5:5" ht="15" customHeight="1">
      <c r="E1011" s="158"/>
    </row>
    <row r="1012" spans="5:5" ht="15" customHeight="1">
      <c r="E1012" s="158"/>
    </row>
    <row r="1013" spans="5:5" ht="15" customHeight="1">
      <c r="E1013" s="158"/>
    </row>
    <row r="1014" spans="5:5" ht="15" customHeight="1">
      <c r="E1014" s="158"/>
    </row>
    <row r="1015" spans="5:5" ht="15" customHeight="1">
      <c r="E1015" s="158"/>
    </row>
    <row r="1016" spans="5:5" ht="15" customHeight="1">
      <c r="E1016" s="158"/>
    </row>
    <row r="1017" spans="5:5" ht="15" customHeight="1">
      <c r="E1017" s="158"/>
    </row>
    <row r="1018" spans="5:5" ht="15" customHeight="1">
      <c r="E1018" s="158"/>
    </row>
    <row r="1019" spans="5:5" ht="15" customHeight="1">
      <c r="E1019" s="158"/>
    </row>
    <row r="1020" spans="5:5" ht="15" customHeight="1">
      <c r="E1020" s="158"/>
    </row>
    <row r="1021" spans="5:5" ht="15" customHeight="1">
      <c r="E1021" s="158"/>
    </row>
    <row r="1022" spans="5:5" ht="15" customHeight="1">
      <c r="E1022" s="158"/>
    </row>
    <row r="1023" spans="5:5" ht="15" customHeight="1">
      <c r="E1023" s="158"/>
    </row>
    <row r="1024" spans="5:5" ht="15" customHeight="1">
      <c r="E1024" s="158"/>
    </row>
    <row r="1025" spans="5:5" ht="15" customHeight="1">
      <c r="E1025" s="158"/>
    </row>
    <row r="1026" spans="5:5" ht="15" customHeight="1">
      <c r="E1026" s="158"/>
    </row>
    <row r="1027" spans="5:5" ht="15" customHeight="1">
      <c r="E1027" s="158"/>
    </row>
    <row r="1028" spans="5:5" ht="15" customHeight="1">
      <c r="E1028" s="158"/>
    </row>
    <row r="1029" spans="5:5" ht="15" customHeight="1">
      <c r="E1029" s="158"/>
    </row>
    <row r="1030" spans="5:5" ht="15" customHeight="1">
      <c r="E1030" s="158"/>
    </row>
    <row r="1031" spans="5:5" ht="15" customHeight="1">
      <c r="E1031" s="158"/>
    </row>
    <row r="1032" spans="5:5" ht="15" customHeight="1">
      <c r="E1032" s="158"/>
    </row>
    <row r="1033" spans="5:5" ht="15" customHeight="1">
      <c r="E1033" s="158"/>
    </row>
    <row r="1034" spans="5:5" ht="15" customHeight="1">
      <c r="E1034" s="158"/>
    </row>
    <row r="1035" spans="5:5" ht="15" customHeight="1">
      <c r="E1035" s="158"/>
    </row>
    <row r="1036" spans="5:5" ht="15" customHeight="1">
      <c r="E1036" s="158"/>
    </row>
    <row r="1037" spans="5:5" ht="15" customHeight="1">
      <c r="E1037" s="158"/>
    </row>
    <row r="1038" spans="5:5" ht="15" customHeight="1">
      <c r="E1038" s="158"/>
    </row>
    <row r="1039" spans="5:5" ht="15" customHeight="1">
      <c r="E1039" s="158"/>
    </row>
    <row r="1040" spans="5:5" ht="15" customHeight="1">
      <c r="E1040" s="158"/>
    </row>
    <row r="1041" spans="5:5" ht="15" customHeight="1">
      <c r="E1041" s="158"/>
    </row>
    <row r="1042" spans="5:5" ht="15" customHeight="1">
      <c r="E1042" s="158"/>
    </row>
    <row r="1043" spans="5:5" ht="15" customHeight="1">
      <c r="E1043" s="158"/>
    </row>
    <row r="1044" spans="5:5" ht="15" customHeight="1">
      <c r="E1044" s="158"/>
    </row>
    <row r="1045" spans="5:5" ht="15" customHeight="1">
      <c r="E1045" s="158"/>
    </row>
    <row r="1046" spans="5:5" ht="15" customHeight="1">
      <c r="E1046" s="158"/>
    </row>
    <row r="1047" spans="5:5" ht="15" customHeight="1">
      <c r="E1047" s="158"/>
    </row>
    <row r="1048" spans="5:5" ht="15" customHeight="1">
      <c r="E1048" s="158"/>
    </row>
    <row r="1049" spans="5:5" ht="15" customHeight="1">
      <c r="E1049" s="158"/>
    </row>
    <row r="1050" spans="5:5" ht="15" customHeight="1">
      <c r="E1050" s="158"/>
    </row>
    <row r="1051" spans="5:5" ht="15" customHeight="1">
      <c r="E1051" s="158"/>
    </row>
    <row r="1052" spans="5:5" ht="15" customHeight="1">
      <c r="E1052" s="158"/>
    </row>
    <row r="1053" spans="5:5" ht="15" customHeight="1">
      <c r="E1053" s="158"/>
    </row>
    <row r="1054" spans="5:5" ht="15" customHeight="1">
      <c r="E1054" s="158"/>
    </row>
    <row r="1055" spans="5:5" ht="15" customHeight="1">
      <c r="E1055" s="158"/>
    </row>
    <row r="1056" spans="5:5" ht="15" customHeight="1">
      <c r="E1056" s="158"/>
    </row>
    <row r="1057" spans="5:5" ht="15" customHeight="1">
      <c r="E1057" s="158"/>
    </row>
    <row r="1058" spans="5:5" ht="15" customHeight="1">
      <c r="E1058" s="158"/>
    </row>
    <row r="1059" spans="5:5" ht="15" customHeight="1">
      <c r="E1059" s="158"/>
    </row>
    <row r="1060" spans="5:5" ht="15" customHeight="1">
      <c r="E1060" s="158"/>
    </row>
    <row r="1061" spans="5:5" ht="15" customHeight="1">
      <c r="E1061" s="158"/>
    </row>
    <row r="1062" spans="5:5" ht="15" customHeight="1">
      <c r="E1062" s="158"/>
    </row>
    <row r="1063" spans="5:5" ht="15" customHeight="1">
      <c r="E1063" s="158"/>
    </row>
    <row r="1064" spans="5:5" ht="15" customHeight="1">
      <c r="E1064" s="158"/>
    </row>
    <row r="1065" spans="5:5" ht="15" customHeight="1">
      <c r="E1065" s="158"/>
    </row>
    <row r="1066" spans="5:5" ht="15" customHeight="1">
      <c r="E1066" s="158"/>
    </row>
    <row r="1067" spans="5:5" ht="15" customHeight="1">
      <c r="E1067" s="158"/>
    </row>
    <row r="1068" spans="5:5" ht="15" customHeight="1">
      <c r="E1068" s="158"/>
    </row>
    <row r="1069" spans="5:5" ht="15" customHeight="1">
      <c r="E1069" s="158"/>
    </row>
    <row r="1070" spans="5:5" ht="15" customHeight="1">
      <c r="E1070" s="158"/>
    </row>
    <row r="1071" spans="5:5" ht="15" customHeight="1">
      <c r="E1071" s="158"/>
    </row>
    <row r="1072" spans="5:5" ht="15" customHeight="1">
      <c r="E1072" s="158"/>
    </row>
    <row r="1073" spans="5:5" ht="15" customHeight="1">
      <c r="E1073" s="158"/>
    </row>
    <row r="1074" spans="5:5" ht="15" customHeight="1">
      <c r="E1074" s="158"/>
    </row>
    <row r="1075" spans="5:5" ht="15" customHeight="1">
      <c r="E1075" s="158"/>
    </row>
    <row r="1076" spans="5:5" ht="15" customHeight="1">
      <c r="E1076" s="158"/>
    </row>
    <row r="1077" spans="5:5" ht="15" customHeight="1">
      <c r="E1077" s="158"/>
    </row>
    <row r="1078" spans="5:5" ht="15" customHeight="1">
      <c r="E1078" s="158"/>
    </row>
    <row r="1079" spans="5:5" ht="15" customHeight="1">
      <c r="E1079" s="158"/>
    </row>
    <row r="1080" spans="5:5" ht="15" customHeight="1">
      <c r="E1080" s="158"/>
    </row>
    <row r="1081" spans="5:5" ht="15" customHeight="1">
      <c r="E1081" s="158"/>
    </row>
    <row r="1082" spans="5:5" ht="15" customHeight="1">
      <c r="E1082" s="158"/>
    </row>
    <row r="1083" spans="5:5" ht="15" customHeight="1">
      <c r="E1083" s="158"/>
    </row>
    <row r="1084" spans="5:5" ht="15" customHeight="1">
      <c r="E1084" s="158"/>
    </row>
    <row r="1085" spans="5:5" ht="15" customHeight="1">
      <c r="E1085" s="158"/>
    </row>
    <row r="1086" spans="5:5" ht="15" customHeight="1">
      <c r="E1086" s="158"/>
    </row>
    <row r="1087" spans="5:5" ht="15" customHeight="1">
      <c r="E1087" s="158"/>
    </row>
    <row r="1088" spans="5:5" ht="15" customHeight="1">
      <c r="E1088" s="158"/>
    </row>
    <row r="1089" spans="5:5" ht="15" customHeight="1">
      <c r="E1089" s="158"/>
    </row>
    <row r="1090" spans="5:5" ht="15" customHeight="1">
      <c r="E1090" s="158"/>
    </row>
    <row r="1091" spans="5:5" ht="15" customHeight="1">
      <c r="E1091" s="158"/>
    </row>
    <row r="1092" spans="5:5" ht="15" customHeight="1">
      <c r="E1092" s="158"/>
    </row>
    <row r="1093" spans="5:5" ht="15" customHeight="1">
      <c r="E1093" s="158"/>
    </row>
    <row r="1094" spans="5:5" ht="15" customHeight="1">
      <c r="E1094" s="158"/>
    </row>
    <row r="1095" spans="5:5" ht="15" customHeight="1">
      <c r="E1095" s="158"/>
    </row>
    <row r="1096" spans="5:5" ht="15" customHeight="1">
      <c r="E1096" s="158"/>
    </row>
    <row r="1097" spans="5:5" ht="15" customHeight="1">
      <c r="E1097" s="158"/>
    </row>
    <row r="1098" spans="5:5" ht="15" customHeight="1">
      <c r="E1098" s="158"/>
    </row>
    <row r="1099" spans="5:5" ht="15" customHeight="1">
      <c r="E1099" s="158"/>
    </row>
    <row r="1100" spans="5:5" ht="15" customHeight="1">
      <c r="E1100" s="158"/>
    </row>
    <row r="1101" spans="5:5" ht="15" customHeight="1">
      <c r="E1101" s="158"/>
    </row>
    <row r="1102" spans="5:5" ht="15" customHeight="1">
      <c r="E1102" s="158"/>
    </row>
    <row r="1103" spans="5:5" ht="15" customHeight="1">
      <c r="E1103" s="158"/>
    </row>
    <row r="1104" spans="5:5" ht="15" customHeight="1">
      <c r="E1104" s="158"/>
    </row>
    <row r="1105" spans="5:5" ht="15" customHeight="1">
      <c r="E1105" s="158"/>
    </row>
    <row r="1106" spans="5:5" ht="15" customHeight="1">
      <c r="E1106" s="158"/>
    </row>
    <row r="1107" spans="5:5" ht="15" customHeight="1">
      <c r="E1107" s="158"/>
    </row>
    <row r="1108" spans="5:5" ht="15" customHeight="1">
      <c r="E1108" s="158"/>
    </row>
    <row r="1109" spans="5:5" ht="15" customHeight="1">
      <c r="E1109" s="158"/>
    </row>
    <row r="1110" spans="5:5" ht="15" customHeight="1">
      <c r="E1110" s="158"/>
    </row>
    <row r="1111" spans="5:5" ht="15" customHeight="1">
      <c r="E1111" s="158"/>
    </row>
    <row r="1112" spans="5:5" ht="15" customHeight="1">
      <c r="E1112" s="158"/>
    </row>
    <row r="1113" spans="5:5" ht="15" customHeight="1">
      <c r="E1113" s="158"/>
    </row>
    <row r="1114" spans="5:5" ht="15" customHeight="1">
      <c r="E1114" s="158"/>
    </row>
    <row r="1115" spans="5:5" ht="15" customHeight="1">
      <c r="E1115" s="158"/>
    </row>
    <row r="1116" spans="5:5" ht="15" customHeight="1">
      <c r="E1116" s="158"/>
    </row>
    <row r="1117" spans="5:5" ht="15" customHeight="1">
      <c r="E1117" s="158"/>
    </row>
    <row r="1118" spans="5:5" ht="15" customHeight="1">
      <c r="E1118" s="158"/>
    </row>
    <row r="1119" spans="5:5" ht="15" customHeight="1">
      <c r="E1119" s="158"/>
    </row>
    <row r="1120" spans="5:5" ht="15" customHeight="1">
      <c r="E1120" s="158"/>
    </row>
    <row r="1121" spans="5:5" ht="15" customHeight="1">
      <c r="E1121" s="158"/>
    </row>
    <row r="1122" spans="5:5" ht="15" customHeight="1">
      <c r="E1122" s="158"/>
    </row>
    <row r="1123" spans="5:5" ht="15" customHeight="1">
      <c r="E1123" s="158"/>
    </row>
    <row r="1124" spans="5:5" ht="15" customHeight="1">
      <c r="E1124" s="158"/>
    </row>
    <row r="1125" spans="5:5" ht="15" customHeight="1">
      <c r="E1125" s="158"/>
    </row>
    <row r="1126" spans="5:5" ht="15" customHeight="1">
      <c r="E1126" s="158"/>
    </row>
    <row r="1127" spans="5:5" ht="15" customHeight="1">
      <c r="E1127" s="158"/>
    </row>
    <row r="1128" spans="5:5" ht="15" customHeight="1">
      <c r="E1128" s="158"/>
    </row>
    <row r="1129" spans="5:5" ht="15" customHeight="1">
      <c r="E1129" s="158"/>
    </row>
    <row r="1130" spans="5:5" ht="15" customHeight="1">
      <c r="E1130" s="158"/>
    </row>
    <row r="1131" spans="5:5" ht="15" customHeight="1">
      <c r="E1131" s="158"/>
    </row>
    <row r="1132" spans="5:5" ht="15" customHeight="1">
      <c r="E1132" s="158"/>
    </row>
    <row r="1133" spans="5:5" ht="15" customHeight="1">
      <c r="E1133" s="158"/>
    </row>
    <row r="1134" spans="5:5" ht="15" customHeight="1">
      <c r="E1134" s="158"/>
    </row>
    <row r="1135" spans="5:5" ht="15" customHeight="1">
      <c r="E1135" s="158"/>
    </row>
    <row r="1136" spans="5:5" ht="15" customHeight="1">
      <c r="E1136" s="158"/>
    </row>
    <row r="1137" spans="5:5" ht="15" customHeight="1">
      <c r="E1137" s="158"/>
    </row>
    <row r="1138" spans="5:5" ht="15" customHeight="1">
      <c r="E1138" s="158"/>
    </row>
    <row r="1139" spans="5:5" ht="15" customHeight="1">
      <c r="E1139" s="158"/>
    </row>
    <row r="1140" spans="5:5" ht="15" customHeight="1">
      <c r="E1140" s="158"/>
    </row>
    <row r="1141" spans="5:5" ht="15" customHeight="1">
      <c r="E1141" s="158"/>
    </row>
    <row r="1142" spans="5:5" ht="15" customHeight="1">
      <c r="E1142" s="158"/>
    </row>
    <row r="1143" spans="5:5" ht="15" customHeight="1">
      <c r="E1143" s="158"/>
    </row>
    <row r="1144" spans="5:5" ht="15" customHeight="1">
      <c r="E1144" s="158"/>
    </row>
    <row r="1145" spans="5:5" ht="15" customHeight="1">
      <c r="E1145" s="158"/>
    </row>
    <row r="1146" spans="5:5" ht="15" customHeight="1">
      <c r="E1146" s="158"/>
    </row>
    <row r="1147" spans="5:5" ht="15" customHeight="1">
      <c r="E1147" s="158"/>
    </row>
    <row r="1148" spans="5:5" ht="15" customHeight="1">
      <c r="E1148" s="158"/>
    </row>
    <row r="1149" spans="5:5" ht="15" customHeight="1">
      <c r="E1149" s="158"/>
    </row>
    <row r="1150" spans="5:5" ht="15" customHeight="1">
      <c r="E1150" s="158"/>
    </row>
    <row r="1151" spans="5:5" ht="15" customHeight="1">
      <c r="E1151" s="158"/>
    </row>
    <row r="1152" spans="5:5" ht="15" customHeight="1">
      <c r="E1152" s="158"/>
    </row>
    <row r="1153" spans="5:5" ht="15" customHeight="1">
      <c r="E1153" s="158"/>
    </row>
    <row r="1154" spans="5:5" ht="15" customHeight="1">
      <c r="E1154" s="158"/>
    </row>
    <row r="1155" spans="5:5" ht="15" customHeight="1">
      <c r="E1155" s="158"/>
    </row>
    <row r="1156" spans="5:5" ht="15" customHeight="1">
      <c r="E1156" s="158"/>
    </row>
    <row r="1157" spans="5:5" ht="15" customHeight="1">
      <c r="E1157" s="158"/>
    </row>
    <row r="1158" spans="5:5" ht="15" customHeight="1">
      <c r="E1158" s="158"/>
    </row>
    <row r="1159" spans="5:5" ht="15" customHeight="1">
      <c r="E1159" s="158"/>
    </row>
    <row r="1160" spans="5:5" ht="15" customHeight="1">
      <c r="E1160" s="158"/>
    </row>
    <row r="1161" spans="5:5" ht="15" customHeight="1">
      <c r="E1161" s="158"/>
    </row>
    <row r="1162" spans="5:5" ht="15" customHeight="1">
      <c r="E1162" s="158"/>
    </row>
    <row r="1163" spans="5:5" ht="15" customHeight="1">
      <c r="E1163" s="158"/>
    </row>
    <row r="1164" spans="5:5" ht="15" customHeight="1">
      <c r="E1164" s="158"/>
    </row>
    <row r="1165" spans="5:5" ht="15" customHeight="1">
      <c r="E1165" s="158"/>
    </row>
    <row r="1166" spans="5:5" ht="15" customHeight="1">
      <c r="E1166" s="158"/>
    </row>
    <row r="1167" spans="5:5" ht="15" customHeight="1">
      <c r="E1167" s="158"/>
    </row>
    <row r="1168" spans="5:5" ht="15" customHeight="1">
      <c r="E1168" s="158"/>
    </row>
    <row r="1169" spans="5:5" ht="15" customHeight="1">
      <c r="E1169" s="158"/>
    </row>
    <row r="1170" spans="5:5" ht="15" customHeight="1">
      <c r="E1170" s="158"/>
    </row>
    <row r="1171" spans="5:5" ht="15" customHeight="1">
      <c r="E1171" s="158"/>
    </row>
    <row r="1172" spans="5:5" ht="15" customHeight="1">
      <c r="E1172" s="158"/>
    </row>
    <row r="1173" spans="5:5" ht="15" customHeight="1">
      <c r="E1173" s="158"/>
    </row>
    <row r="1174" spans="5:5" ht="15" customHeight="1">
      <c r="E1174" s="158"/>
    </row>
    <row r="1175" spans="5:5" ht="15" customHeight="1">
      <c r="E1175" s="158"/>
    </row>
    <row r="1176" spans="5:5" ht="15" customHeight="1">
      <c r="E1176" s="158"/>
    </row>
    <row r="1177" spans="5:5" ht="15" customHeight="1">
      <c r="E1177" s="158"/>
    </row>
    <row r="1178" spans="5:5" ht="15" customHeight="1">
      <c r="E1178" s="158"/>
    </row>
    <row r="1179" spans="5:5" ht="15" customHeight="1">
      <c r="E1179" s="158"/>
    </row>
    <row r="1180" spans="5:5" ht="15" customHeight="1">
      <c r="E1180" s="158"/>
    </row>
    <row r="1181" spans="5:5" ht="15" customHeight="1">
      <c r="E1181" s="158"/>
    </row>
    <row r="1182" spans="5:5" ht="15" customHeight="1">
      <c r="E1182" s="158"/>
    </row>
    <row r="1183" spans="5:5" ht="15" customHeight="1">
      <c r="E1183" s="158"/>
    </row>
    <row r="1184" spans="5:5" ht="15" customHeight="1">
      <c r="E1184" s="158"/>
    </row>
    <row r="1185" spans="5:5" ht="15" customHeight="1">
      <c r="E1185" s="158"/>
    </row>
    <row r="1186" spans="5:5" ht="15" customHeight="1">
      <c r="E1186" s="158"/>
    </row>
    <row r="1187" spans="5:5" ht="15" customHeight="1">
      <c r="E1187" s="158"/>
    </row>
    <row r="1188" spans="5:5" ht="15" customHeight="1">
      <c r="E1188" s="158"/>
    </row>
    <row r="1189" spans="5:5" ht="15" customHeight="1">
      <c r="E1189" s="158"/>
    </row>
    <row r="1190" spans="5:5" ht="15" customHeight="1">
      <c r="E1190" s="158"/>
    </row>
    <row r="1191" spans="5:5" ht="15" customHeight="1">
      <c r="E1191" s="158"/>
    </row>
    <row r="1192" spans="5:5" ht="15" customHeight="1">
      <c r="E1192" s="158"/>
    </row>
    <row r="1193" spans="5:5" ht="15" customHeight="1">
      <c r="E1193" s="158"/>
    </row>
    <row r="1194" spans="5:5" ht="15" customHeight="1">
      <c r="E1194" s="158"/>
    </row>
    <row r="1195" spans="5:5" ht="15" customHeight="1">
      <c r="E1195" s="158"/>
    </row>
    <row r="1196" spans="5:5" ht="15" customHeight="1">
      <c r="E1196" s="158"/>
    </row>
    <row r="1197" spans="5:5" ht="15" customHeight="1">
      <c r="E1197" s="158"/>
    </row>
    <row r="1198" spans="5:5" ht="15" customHeight="1">
      <c r="E1198" s="158"/>
    </row>
    <row r="1199" spans="5:5" ht="15" customHeight="1">
      <c r="E1199" s="158"/>
    </row>
    <row r="1200" spans="5:5" ht="15" customHeight="1">
      <c r="E1200" s="158"/>
    </row>
    <row r="1201" spans="5:5" ht="15" customHeight="1">
      <c r="E1201" s="158"/>
    </row>
    <row r="1202" spans="5:5" ht="15" customHeight="1">
      <c r="E1202" s="158"/>
    </row>
    <row r="1203" spans="5:5" ht="15" customHeight="1">
      <c r="E1203" s="158"/>
    </row>
    <row r="1204" spans="5:5" ht="15" customHeight="1">
      <c r="E1204" s="158"/>
    </row>
    <row r="1205" spans="5:5" ht="15" customHeight="1">
      <c r="E1205" s="158"/>
    </row>
    <row r="1206" spans="5:5" ht="15" customHeight="1">
      <c r="E1206" s="158"/>
    </row>
    <row r="1207" spans="5:5" ht="15" customHeight="1">
      <c r="E1207" s="158"/>
    </row>
    <row r="1208" spans="5:5" ht="15" customHeight="1">
      <c r="E1208" s="158"/>
    </row>
    <row r="1209" spans="5:5" ht="15" customHeight="1">
      <c r="E1209" s="158"/>
    </row>
    <row r="1210" spans="5:5" ht="15" customHeight="1">
      <c r="E1210" s="158"/>
    </row>
    <row r="1211" spans="5:5" ht="15" customHeight="1">
      <c r="E1211" s="158"/>
    </row>
    <row r="1212" spans="5:5" ht="15" customHeight="1">
      <c r="E1212" s="158"/>
    </row>
    <row r="1213" spans="5:5" ht="15" customHeight="1">
      <c r="E1213" s="158"/>
    </row>
    <row r="1214" spans="5:5" ht="15" customHeight="1">
      <c r="E1214" s="158"/>
    </row>
    <row r="1215" spans="5:5" ht="15" customHeight="1">
      <c r="E1215" s="158"/>
    </row>
    <row r="1216" spans="5:5" ht="15" customHeight="1">
      <c r="E1216" s="158"/>
    </row>
    <row r="1217" spans="5:5" ht="15" customHeight="1">
      <c r="E1217" s="158"/>
    </row>
    <row r="1218" spans="5:5" ht="15" customHeight="1">
      <c r="E1218" s="158"/>
    </row>
    <row r="1219" spans="5:5" ht="15" customHeight="1">
      <c r="E1219" s="158"/>
    </row>
    <row r="1220" spans="5:5" ht="15" customHeight="1">
      <c r="E1220" s="158"/>
    </row>
    <row r="1221" spans="5:5" ht="15" customHeight="1">
      <c r="E1221" s="158"/>
    </row>
    <row r="1222" spans="5:5" ht="15" customHeight="1">
      <c r="E1222" s="158"/>
    </row>
    <row r="1223" spans="5:5" ht="15" customHeight="1">
      <c r="E1223" s="158"/>
    </row>
    <row r="1224" spans="5:5" ht="15" customHeight="1">
      <c r="E1224" s="158"/>
    </row>
    <row r="1225" spans="5:5" ht="15" customHeight="1">
      <c r="E1225" s="158"/>
    </row>
    <row r="1226" spans="5:5" ht="15" customHeight="1">
      <c r="E1226" s="158"/>
    </row>
    <row r="1227" spans="5:5" ht="15" customHeight="1">
      <c r="E1227" s="158"/>
    </row>
    <row r="1228" spans="5:5" ht="15" customHeight="1">
      <c r="E1228" s="158"/>
    </row>
    <row r="1229" spans="5:5" ht="15" customHeight="1">
      <c r="E1229" s="158"/>
    </row>
    <row r="1230" spans="5:5" ht="15" customHeight="1">
      <c r="E1230" s="158"/>
    </row>
    <row r="1231" spans="5:5" ht="15" customHeight="1">
      <c r="E1231" s="158"/>
    </row>
    <row r="1232" spans="5:5" ht="15" customHeight="1">
      <c r="E1232" s="158"/>
    </row>
    <row r="1233" spans="5:5" ht="15" customHeight="1">
      <c r="E1233" s="158"/>
    </row>
    <row r="1234" spans="5:5" ht="15" customHeight="1">
      <c r="E1234" s="158"/>
    </row>
    <row r="1235" spans="5:5" ht="15" customHeight="1">
      <c r="E1235" s="158"/>
    </row>
    <row r="1236" spans="5:5" ht="15" customHeight="1">
      <c r="E1236" s="158"/>
    </row>
    <row r="1237" spans="5:5" ht="15" customHeight="1">
      <c r="E1237" s="158"/>
    </row>
    <row r="1238" spans="5:5" ht="15" customHeight="1">
      <c r="E1238" s="158"/>
    </row>
    <row r="1239" spans="5:5" ht="15" customHeight="1">
      <c r="E1239" s="158"/>
    </row>
    <row r="1240" spans="5:5" ht="15" customHeight="1">
      <c r="E1240" s="158"/>
    </row>
    <row r="1241" spans="5:5" ht="15" customHeight="1">
      <c r="E1241" s="158"/>
    </row>
    <row r="1242" spans="5:5" ht="15" customHeight="1">
      <c r="E1242" s="158"/>
    </row>
    <row r="1243" spans="5:5" ht="15" customHeight="1">
      <c r="E1243" s="158"/>
    </row>
    <row r="1244" spans="5:5" ht="15" customHeight="1">
      <c r="E1244" s="158"/>
    </row>
    <row r="1245" spans="5:5" ht="15" customHeight="1">
      <c r="E1245" s="158"/>
    </row>
    <row r="1246" spans="5:5" ht="15" customHeight="1">
      <c r="E1246" s="158"/>
    </row>
    <row r="1247" spans="5:5" ht="15" customHeight="1">
      <c r="E1247" s="158"/>
    </row>
    <row r="1248" spans="5:5" ht="15" customHeight="1">
      <c r="E1248" s="158"/>
    </row>
    <row r="1249" spans="5:5" ht="15" customHeight="1">
      <c r="E1249" s="158"/>
    </row>
    <row r="1250" spans="5:5" ht="15" customHeight="1">
      <c r="E1250" s="158"/>
    </row>
    <row r="1251" spans="5:5" ht="15" customHeight="1">
      <c r="E1251" s="158"/>
    </row>
    <row r="1252" spans="5:5" ht="15" customHeight="1">
      <c r="E1252" s="158"/>
    </row>
    <row r="1253" spans="5:5" ht="15" customHeight="1">
      <c r="E1253" s="158"/>
    </row>
    <row r="1254" spans="5:5" ht="15" customHeight="1">
      <c r="E1254" s="158"/>
    </row>
    <row r="1255" spans="5:5" ht="15" customHeight="1">
      <c r="E1255" s="158"/>
    </row>
    <row r="1256" spans="5:5" ht="15" customHeight="1">
      <c r="E1256" s="158"/>
    </row>
    <row r="1257" spans="5:5" ht="15" customHeight="1">
      <c r="E1257" s="158"/>
    </row>
    <row r="1258" spans="5:5" ht="15" customHeight="1">
      <c r="E1258" s="158"/>
    </row>
    <row r="1259" spans="5:5" ht="15" customHeight="1">
      <c r="E1259" s="158"/>
    </row>
    <row r="1260" spans="5:5" ht="15" customHeight="1">
      <c r="E1260" s="158"/>
    </row>
    <row r="1261" spans="5:5" ht="15" customHeight="1">
      <c r="E1261" s="158"/>
    </row>
    <row r="1262" spans="5:5" ht="15" customHeight="1">
      <c r="E1262" s="158"/>
    </row>
    <row r="1263" spans="5:5" ht="15" customHeight="1">
      <c r="E1263" s="158"/>
    </row>
    <row r="1264" spans="5:5" ht="15" customHeight="1">
      <c r="E1264" s="158"/>
    </row>
    <row r="1265" spans="5:5" ht="15" customHeight="1">
      <c r="E1265" s="158"/>
    </row>
    <row r="1266" spans="5:5" ht="15" customHeight="1">
      <c r="E1266" s="158"/>
    </row>
    <row r="1267" spans="5:5" ht="15" customHeight="1">
      <c r="E1267" s="158"/>
    </row>
    <row r="1268" spans="5:5" ht="15" customHeight="1">
      <c r="E1268" s="158"/>
    </row>
    <row r="1269" spans="5:5" ht="15" customHeight="1">
      <c r="E1269" s="158"/>
    </row>
    <row r="1270" spans="5:5" ht="15" customHeight="1">
      <c r="E1270" s="158"/>
    </row>
    <row r="1271" spans="5:5" ht="15" customHeight="1">
      <c r="E1271" s="158"/>
    </row>
    <row r="1272" spans="5:5" ht="15" customHeight="1">
      <c r="E1272" s="158"/>
    </row>
    <row r="1273" spans="5:5" ht="15" customHeight="1">
      <c r="E1273" s="158"/>
    </row>
    <row r="1274" spans="5:5" ht="15" customHeight="1">
      <c r="E1274" s="158"/>
    </row>
    <row r="1275" spans="5:5" ht="15" customHeight="1">
      <c r="E1275" s="158"/>
    </row>
    <row r="1276" spans="5:5" ht="15" customHeight="1">
      <c r="E1276" s="158"/>
    </row>
    <row r="1277" spans="5:5" ht="15" customHeight="1">
      <c r="E1277" s="158"/>
    </row>
    <row r="1278" spans="5:5" ht="15" customHeight="1">
      <c r="E1278" s="158"/>
    </row>
    <row r="1279" spans="5:5" ht="15" customHeight="1">
      <c r="E1279" s="158"/>
    </row>
    <row r="1280" spans="5:5" ht="15" customHeight="1">
      <c r="E1280" s="158"/>
    </row>
    <row r="1281" spans="5:5" ht="15" customHeight="1">
      <c r="E1281" s="158"/>
    </row>
    <row r="1282" spans="5:5" ht="15" customHeight="1">
      <c r="E1282" s="158"/>
    </row>
    <row r="1283" spans="5:5" ht="15" customHeight="1">
      <c r="E1283" s="158"/>
    </row>
    <row r="1284" spans="5:5" ht="15" customHeight="1">
      <c r="E1284" s="158"/>
    </row>
    <row r="1285" spans="5:5" ht="15" customHeight="1">
      <c r="E1285" s="158"/>
    </row>
    <row r="1286" spans="5:5" ht="15" customHeight="1">
      <c r="E1286" s="158"/>
    </row>
    <row r="1287" spans="5:5" ht="15" customHeight="1">
      <c r="E1287" s="158"/>
    </row>
    <row r="1288" spans="5:5" ht="15" customHeight="1">
      <c r="E1288" s="158"/>
    </row>
    <row r="1289" spans="5:5" ht="15" customHeight="1">
      <c r="E1289" s="158"/>
    </row>
    <row r="1290" spans="5:5" ht="15" customHeight="1">
      <c r="E1290" s="158"/>
    </row>
    <row r="1291" spans="5:5" ht="15" customHeight="1">
      <c r="E1291" s="158"/>
    </row>
    <row r="1292" spans="5:5" ht="15" customHeight="1">
      <c r="E1292" s="158"/>
    </row>
    <row r="1293" spans="5:5" ht="15" customHeight="1">
      <c r="E1293" s="158"/>
    </row>
    <row r="1294" spans="5:5" ht="15" customHeight="1">
      <c r="E1294" s="158"/>
    </row>
    <row r="1295" spans="5:5" ht="15" customHeight="1">
      <c r="E1295" s="158"/>
    </row>
    <row r="1296" spans="5:5" ht="15" customHeight="1">
      <c r="E1296" s="158"/>
    </row>
    <row r="1297" spans="5:5" ht="15" customHeight="1">
      <c r="E1297" s="158"/>
    </row>
    <row r="1298" spans="5:5" ht="15" customHeight="1">
      <c r="E1298" s="158"/>
    </row>
    <row r="1299" spans="5:5" ht="15" customHeight="1">
      <c r="E1299" s="158"/>
    </row>
    <row r="1300" spans="5:5" ht="15" customHeight="1">
      <c r="E1300" s="158"/>
    </row>
    <row r="1301" spans="5:5" ht="15" customHeight="1">
      <c r="E1301" s="158"/>
    </row>
    <row r="1302" spans="5:5" ht="15" customHeight="1">
      <c r="E1302" s="158"/>
    </row>
    <row r="1303" spans="5:5" ht="15" customHeight="1">
      <c r="E1303" s="158"/>
    </row>
    <row r="1304" spans="5:5" ht="15" customHeight="1">
      <c r="E1304" s="158"/>
    </row>
    <row r="1305" spans="5:5" ht="15" customHeight="1">
      <c r="E1305" s="158"/>
    </row>
    <row r="1306" spans="5:5" ht="15" customHeight="1">
      <c r="E1306" s="158"/>
    </row>
    <row r="1307" spans="5:5" ht="15" customHeight="1">
      <c r="E1307" s="158"/>
    </row>
    <row r="1308" spans="5:5" ht="15" customHeight="1">
      <c r="E1308" s="158"/>
    </row>
    <row r="1309" spans="5:5" ht="15" customHeight="1">
      <c r="E1309" s="158"/>
    </row>
    <row r="1310" spans="5:5" ht="15" customHeight="1">
      <c r="E1310" s="158"/>
    </row>
    <row r="1311" spans="5:5" ht="15" customHeight="1">
      <c r="E1311" s="158"/>
    </row>
    <row r="1312" spans="5:5" ht="15" customHeight="1">
      <c r="E1312" s="158"/>
    </row>
    <row r="1313" spans="5:5" ht="15" customHeight="1">
      <c r="E1313" s="158"/>
    </row>
    <row r="1314" spans="5:5" ht="15" customHeight="1">
      <c r="E1314" s="158"/>
    </row>
    <row r="1315" spans="5:5" ht="15" customHeight="1">
      <c r="E1315" s="158"/>
    </row>
    <row r="1316" spans="5:5" ht="15" customHeight="1">
      <c r="E1316" s="158"/>
    </row>
    <row r="1317" spans="5:5" ht="15" customHeight="1">
      <c r="E1317" s="158"/>
    </row>
    <row r="1318" spans="5:5" ht="15" customHeight="1">
      <c r="E1318" s="158"/>
    </row>
    <row r="1319" spans="5:5" ht="15" customHeight="1">
      <c r="E1319" s="158"/>
    </row>
    <row r="1320" spans="5:5" ht="15" customHeight="1">
      <c r="E1320" s="158"/>
    </row>
    <row r="1321" spans="5:5" ht="15" customHeight="1">
      <c r="E1321" s="158"/>
    </row>
    <row r="1322" spans="5:5" ht="15" customHeight="1">
      <c r="E1322" s="158"/>
    </row>
    <row r="1323" spans="5:5" ht="15" customHeight="1">
      <c r="E1323" s="158"/>
    </row>
    <row r="1324" spans="5:5" ht="15" customHeight="1">
      <c r="E1324" s="158"/>
    </row>
    <row r="1325" spans="5:5" ht="15" customHeight="1">
      <c r="E1325" s="158"/>
    </row>
    <row r="1326" spans="5:5" ht="15" customHeight="1">
      <c r="E1326" s="158"/>
    </row>
    <row r="1327" spans="5:5" ht="15" customHeight="1">
      <c r="E1327" s="158"/>
    </row>
    <row r="1328" spans="5:5" ht="15" customHeight="1">
      <c r="E1328" s="158"/>
    </row>
    <row r="1329" spans="5:5" ht="15" customHeight="1">
      <c r="E1329" s="158"/>
    </row>
    <row r="1330" spans="5:5" ht="15" customHeight="1">
      <c r="E1330" s="158"/>
    </row>
    <row r="1331" spans="5:5" ht="15" customHeight="1">
      <c r="E1331" s="158"/>
    </row>
    <row r="1332" spans="5:5" ht="15" customHeight="1">
      <c r="E1332" s="158"/>
    </row>
    <row r="1333" spans="5:5" ht="15" customHeight="1">
      <c r="E1333" s="158"/>
    </row>
    <row r="1334" spans="5:5" ht="15" customHeight="1">
      <c r="E1334" s="158"/>
    </row>
    <row r="1335" spans="5:5" ht="15" customHeight="1">
      <c r="E1335" s="158"/>
    </row>
    <row r="1336" spans="5:5" ht="15" customHeight="1">
      <c r="E1336" s="158"/>
    </row>
    <row r="1337" spans="5:5" ht="15" customHeight="1">
      <c r="E1337" s="158"/>
    </row>
    <row r="1338" spans="5:5" ht="15" customHeight="1">
      <c r="E1338" s="158"/>
    </row>
    <row r="1339" spans="5:5" ht="15" customHeight="1">
      <c r="E1339" s="158"/>
    </row>
    <row r="1340" spans="5:5" ht="15" customHeight="1">
      <c r="E1340" s="158"/>
    </row>
    <row r="1341" spans="5:5" ht="15" customHeight="1">
      <c r="E1341" s="158"/>
    </row>
    <row r="1342" spans="5:5" ht="15" customHeight="1">
      <c r="E1342" s="158"/>
    </row>
    <row r="1343" spans="5:5" ht="15" customHeight="1">
      <c r="E1343" s="158"/>
    </row>
    <row r="1344" spans="5:5" ht="15" customHeight="1">
      <c r="E1344" s="158"/>
    </row>
    <row r="1345" spans="5:5" ht="15" customHeight="1">
      <c r="E1345" s="158"/>
    </row>
    <row r="1346" spans="5:5" ht="15" customHeight="1">
      <c r="E1346" s="158"/>
    </row>
    <row r="1347" spans="5:5" ht="15" customHeight="1">
      <c r="E1347" s="158"/>
    </row>
    <row r="1348" spans="5:5" ht="15" customHeight="1">
      <c r="E1348" s="158"/>
    </row>
    <row r="1349" spans="5:5" ht="15" customHeight="1">
      <c r="E1349" s="158"/>
    </row>
    <row r="1350" spans="5:5" ht="15" customHeight="1">
      <c r="E1350" s="158"/>
    </row>
    <row r="1351" spans="5:5" ht="15" customHeight="1">
      <c r="E1351" s="158"/>
    </row>
    <row r="1352" spans="5:5" ht="15" customHeight="1">
      <c r="E1352" s="158"/>
    </row>
    <row r="1353" spans="5:5" ht="15" customHeight="1">
      <c r="E1353" s="158"/>
    </row>
    <row r="1354" spans="5:5" ht="15" customHeight="1">
      <c r="E1354" s="158"/>
    </row>
    <row r="1355" spans="5:5" ht="15" customHeight="1">
      <c r="E1355" s="158"/>
    </row>
    <row r="1356" spans="5:5" ht="15" customHeight="1">
      <c r="E1356" s="158"/>
    </row>
    <row r="1357" spans="5:5" ht="15" customHeight="1">
      <c r="E1357" s="158"/>
    </row>
    <row r="1358" spans="5:5" ht="15" customHeight="1">
      <c r="E1358" s="158"/>
    </row>
    <row r="1359" spans="5:5" ht="15" customHeight="1">
      <c r="E1359" s="158"/>
    </row>
    <row r="1360" spans="5:5" ht="15" customHeight="1">
      <c r="E1360" s="158"/>
    </row>
    <row r="1361" spans="5:5" ht="15" customHeight="1">
      <c r="E1361" s="158"/>
    </row>
    <row r="1362" spans="5:5" ht="15" customHeight="1">
      <c r="E1362" s="158"/>
    </row>
    <row r="1363" spans="5:5" ht="15" customHeight="1">
      <c r="E1363" s="158"/>
    </row>
    <row r="1364" spans="5:5" ht="15" customHeight="1">
      <c r="E1364" s="158"/>
    </row>
    <row r="1365" spans="5:5" ht="15" customHeight="1">
      <c r="E1365" s="158"/>
    </row>
    <row r="1366" spans="5:5" ht="15" customHeight="1">
      <c r="E1366" s="158"/>
    </row>
    <row r="1367" spans="5:5" ht="15" customHeight="1">
      <c r="E1367" s="158"/>
    </row>
    <row r="1368" spans="5:5" ht="15" customHeight="1">
      <c r="E1368" s="158"/>
    </row>
    <row r="1369" spans="5:5" ht="15" customHeight="1">
      <c r="E1369" s="158"/>
    </row>
    <row r="1370" spans="5:5" ht="15" customHeight="1">
      <c r="E1370" s="158"/>
    </row>
    <row r="1371" spans="5:5" ht="15" customHeight="1">
      <c r="E1371" s="158"/>
    </row>
    <row r="1372" spans="5:5" ht="15" customHeight="1">
      <c r="E1372" s="158"/>
    </row>
    <row r="1373" spans="5:5" ht="15" customHeight="1">
      <c r="E1373" s="158"/>
    </row>
    <row r="1374" spans="5:5" ht="15" customHeight="1">
      <c r="E1374" s="158"/>
    </row>
    <row r="1375" spans="5:5" ht="15" customHeight="1">
      <c r="E1375" s="158"/>
    </row>
    <row r="1376" spans="5:5" ht="15" customHeight="1">
      <c r="E1376" s="158"/>
    </row>
    <row r="1377" spans="5:5" ht="15" customHeight="1">
      <c r="E1377" s="158"/>
    </row>
    <row r="1378" spans="5:5" ht="15" customHeight="1">
      <c r="E1378" s="158"/>
    </row>
    <row r="1379" spans="5:5" ht="15" customHeight="1">
      <c r="E1379" s="158"/>
    </row>
    <row r="1380" spans="5:5" ht="15" customHeight="1">
      <c r="E1380" s="158"/>
    </row>
    <row r="1381" spans="5:5" ht="15" customHeight="1">
      <c r="E1381" s="158"/>
    </row>
    <row r="1382" spans="5:5" ht="15" customHeight="1">
      <c r="E1382" s="158"/>
    </row>
    <row r="1383" spans="5:5" ht="15" customHeight="1">
      <c r="E1383" s="158"/>
    </row>
    <row r="1384" spans="5:5" ht="15" customHeight="1">
      <c r="E1384" s="158"/>
    </row>
    <row r="1385" spans="5:5" ht="15" customHeight="1">
      <c r="E1385" s="158"/>
    </row>
    <row r="1386" spans="5:5" ht="15" customHeight="1">
      <c r="E1386" s="158"/>
    </row>
    <row r="1387" spans="5:5" ht="15" customHeight="1">
      <c r="E1387" s="158"/>
    </row>
    <row r="1388" spans="5:5" ht="15" customHeight="1">
      <c r="E1388" s="158"/>
    </row>
    <row r="1389" spans="5:5" ht="15" customHeight="1">
      <c r="E1389" s="158"/>
    </row>
    <row r="1390" spans="5:5" ht="15" customHeight="1">
      <c r="E1390" s="158"/>
    </row>
    <row r="1391" spans="5:5" ht="15" customHeight="1">
      <c r="E1391" s="158"/>
    </row>
    <row r="1392" spans="5:5" ht="15" customHeight="1">
      <c r="E1392" s="158"/>
    </row>
    <row r="1393" spans="5:5" ht="15" customHeight="1">
      <c r="E1393" s="158"/>
    </row>
    <row r="1394" spans="5:5" ht="15" customHeight="1">
      <c r="E1394" s="158"/>
    </row>
    <row r="1395" spans="5:5" ht="15" customHeight="1">
      <c r="E1395" s="158"/>
    </row>
    <row r="1396" spans="5:5" ht="15" customHeight="1">
      <c r="E1396" s="158"/>
    </row>
    <row r="1397" spans="5:5" ht="15" customHeight="1">
      <c r="E1397" s="158"/>
    </row>
    <row r="1398" spans="5:5" ht="15" customHeight="1">
      <c r="E1398" s="158"/>
    </row>
    <row r="1399" spans="5:5" ht="15" customHeight="1">
      <c r="E1399" s="158"/>
    </row>
    <row r="1400" spans="5:5" ht="15" customHeight="1">
      <c r="E1400" s="158"/>
    </row>
    <row r="1401" spans="5:5" ht="15" customHeight="1">
      <c r="E1401" s="158"/>
    </row>
    <row r="1402" spans="5:5" ht="15" customHeight="1">
      <c r="E1402" s="158"/>
    </row>
    <row r="1403" spans="5:5" ht="15" customHeight="1">
      <c r="E1403" s="158"/>
    </row>
    <row r="1404" spans="5:5" ht="15" customHeight="1">
      <c r="E1404" s="158"/>
    </row>
    <row r="1405" spans="5:5" ht="15" customHeight="1">
      <c r="E1405" s="158"/>
    </row>
    <row r="1406" spans="5:5" ht="15" customHeight="1">
      <c r="E1406" s="158"/>
    </row>
    <row r="1407" spans="5:5" ht="15" customHeight="1">
      <c r="E1407" s="158"/>
    </row>
    <row r="1408" spans="5:5" ht="15" customHeight="1">
      <c r="E1408" s="158"/>
    </row>
    <row r="1409" spans="5:5" ht="15" customHeight="1">
      <c r="E1409" s="158"/>
    </row>
    <row r="1410" spans="5:5" ht="15" customHeight="1">
      <c r="E1410" s="158"/>
    </row>
    <row r="1411" spans="5:5" ht="15" customHeight="1">
      <c r="E1411" s="158"/>
    </row>
    <row r="1412" spans="5:5" ht="15" customHeight="1">
      <c r="E1412" s="158"/>
    </row>
    <row r="1413" spans="5:5" ht="15" customHeight="1">
      <c r="E1413" s="158"/>
    </row>
    <row r="1414" spans="5:5" ht="15" customHeight="1">
      <c r="E1414" s="158"/>
    </row>
    <row r="1415" spans="5:5" ht="15" customHeight="1">
      <c r="E1415" s="158"/>
    </row>
    <row r="1416" spans="5:5" ht="15" customHeight="1">
      <c r="E1416" s="158"/>
    </row>
    <row r="1417" spans="5:5" ht="15" customHeight="1">
      <c r="E1417" s="158"/>
    </row>
    <row r="1418" spans="5:5" ht="15" customHeight="1">
      <c r="E1418" s="158"/>
    </row>
    <row r="1419" spans="5:5" ht="15" customHeight="1">
      <c r="E1419" s="158"/>
    </row>
    <row r="1420" spans="5:5" ht="15" customHeight="1">
      <c r="E1420" s="158"/>
    </row>
    <row r="1421" spans="5:5" ht="15" customHeight="1">
      <c r="E1421" s="158"/>
    </row>
    <row r="1422" spans="5:5" ht="15" customHeight="1">
      <c r="E1422" s="158"/>
    </row>
    <row r="1423" spans="5:5" ht="15" customHeight="1">
      <c r="E1423" s="158"/>
    </row>
    <row r="1424" spans="5:5" ht="15" customHeight="1">
      <c r="E1424" s="158"/>
    </row>
    <row r="1425" spans="5:5" ht="15" customHeight="1">
      <c r="E1425" s="158"/>
    </row>
    <row r="1426" spans="5:5" ht="15" customHeight="1">
      <c r="E1426" s="158"/>
    </row>
    <row r="1427" spans="5:5" ht="15" customHeight="1">
      <c r="E1427" s="158"/>
    </row>
    <row r="1428" spans="5:5" ht="15" customHeight="1">
      <c r="E1428" s="158"/>
    </row>
    <row r="1429" spans="5:5" ht="15" customHeight="1">
      <c r="E1429" s="158"/>
    </row>
    <row r="1430" spans="5:5" ht="15" customHeight="1">
      <c r="E1430" s="158"/>
    </row>
    <row r="1431" spans="5:5" ht="15" customHeight="1">
      <c r="E1431" s="158"/>
    </row>
    <row r="1432" spans="5:5" ht="15" customHeight="1">
      <c r="E1432" s="158"/>
    </row>
    <row r="1433" spans="5:5" ht="15" customHeight="1">
      <c r="E1433" s="158"/>
    </row>
    <row r="1434" spans="5:5" ht="15" customHeight="1">
      <c r="E1434" s="158"/>
    </row>
    <row r="1435" spans="5:5" ht="15" customHeight="1">
      <c r="E1435" s="158"/>
    </row>
    <row r="1436" spans="5:5" ht="15" customHeight="1">
      <c r="E1436" s="158"/>
    </row>
    <row r="1437" spans="5:5" ht="15" customHeight="1">
      <c r="E1437" s="158"/>
    </row>
    <row r="1438" spans="5:5" ht="15" customHeight="1">
      <c r="E1438" s="158"/>
    </row>
    <row r="1439" spans="5:5" ht="15" customHeight="1">
      <c r="E1439" s="158"/>
    </row>
    <row r="1440" spans="5:5" ht="15" customHeight="1">
      <c r="E1440" s="158"/>
    </row>
    <row r="1441" spans="5:5" ht="15" customHeight="1">
      <c r="E1441" s="158"/>
    </row>
    <row r="1442" spans="5:5" ht="15" customHeight="1">
      <c r="E1442" s="158"/>
    </row>
    <row r="1443" spans="5:5" ht="15" customHeight="1">
      <c r="E1443" s="158"/>
    </row>
    <row r="1444" spans="5:5" ht="15" customHeight="1">
      <c r="E1444" s="158"/>
    </row>
    <row r="1445" spans="5:5" ht="15" customHeight="1">
      <c r="E1445" s="158"/>
    </row>
    <row r="1446" spans="5:5" ht="15" customHeight="1">
      <c r="E1446" s="158"/>
    </row>
    <row r="1447" spans="5:5" ht="15" customHeight="1">
      <c r="E1447" s="158"/>
    </row>
    <row r="1448" spans="5:5" ht="15" customHeight="1">
      <c r="E1448" s="158"/>
    </row>
    <row r="1449" spans="5:5" ht="15" customHeight="1">
      <c r="E1449" s="158"/>
    </row>
    <row r="1450" spans="5:5" ht="15" customHeight="1">
      <c r="E1450" s="158"/>
    </row>
    <row r="1451" spans="5:5" ht="15" customHeight="1">
      <c r="E1451" s="158"/>
    </row>
    <row r="1452" spans="5:5" ht="15" customHeight="1">
      <c r="E1452" s="158"/>
    </row>
    <row r="1453" spans="5:5" ht="15" customHeight="1">
      <c r="E1453" s="158"/>
    </row>
    <row r="1454" spans="5:5" ht="15" customHeight="1">
      <c r="E1454" s="158"/>
    </row>
    <row r="1455" spans="5:5" ht="15" customHeight="1">
      <c r="E1455" s="158"/>
    </row>
    <row r="1456" spans="5:5" ht="15" customHeight="1">
      <c r="E1456" s="158"/>
    </row>
    <row r="1457" spans="5:5" ht="15" customHeight="1">
      <c r="E1457" s="158"/>
    </row>
    <row r="1458" spans="5:5" ht="15" customHeight="1">
      <c r="E1458" s="158"/>
    </row>
    <row r="1459" spans="5:5" ht="15" customHeight="1">
      <c r="E1459" s="158"/>
    </row>
    <row r="1460" spans="5:5" ht="15" customHeight="1">
      <c r="E1460" s="158"/>
    </row>
    <row r="1461" spans="5:5" ht="15" customHeight="1">
      <c r="E1461" s="158"/>
    </row>
    <row r="1462" spans="5:5" ht="15" customHeight="1">
      <c r="E1462" s="158"/>
    </row>
    <row r="1463" spans="5:5" ht="15" customHeight="1">
      <c r="E1463" s="158"/>
    </row>
    <row r="1464" spans="5:5" ht="15" customHeight="1">
      <c r="E1464" s="158"/>
    </row>
    <row r="1465" spans="5:5" ht="15" customHeight="1">
      <c r="E1465" s="158"/>
    </row>
    <row r="1466" spans="5:5" ht="15" customHeight="1">
      <c r="E1466" s="158"/>
    </row>
    <row r="1467" spans="5:5" ht="15" customHeight="1">
      <c r="E1467" s="158"/>
    </row>
    <row r="1468" spans="5:5" ht="15" customHeight="1">
      <c r="E1468" s="158"/>
    </row>
    <row r="1469" spans="5:5" ht="15" customHeight="1">
      <c r="E1469" s="158"/>
    </row>
    <row r="1470" spans="5:5" ht="15" customHeight="1">
      <c r="E1470" s="158"/>
    </row>
    <row r="1471" spans="5:5" ht="15" customHeight="1">
      <c r="E1471" s="158"/>
    </row>
    <row r="1472" spans="5:5" ht="15" customHeight="1">
      <c r="E1472" s="158"/>
    </row>
    <row r="1473" spans="5:5" ht="15" customHeight="1">
      <c r="E1473" s="158"/>
    </row>
    <row r="1474" spans="5:5" ht="15" customHeight="1">
      <c r="E1474" s="158"/>
    </row>
    <row r="1475" spans="5:5" ht="15" customHeight="1">
      <c r="E1475" s="158"/>
    </row>
    <row r="1476" spans="5:5" ht="15" customHeight="1">
      <c r="E1476" s="158"/>
    </row>
    <row r="1477" spans="5:5" ht="15" customHeight="1">
      <c r="E1477" s="158"/>
    </row>
    <row r="1478" spans="5:5" ht="15" customHeight="1">
      <c r="E1478" s="158"/>
    </row>
    <row r="1479" spans="5:5" ht="15" customHeight="1">
      <c r="E1479" s="158"/>
    </row>
    <row r="1480" spans="5:5" ht="15" customHeight="1">
      <c r="E1480" s="158"/>
    </row>
    <row r="1481" spans="5:5" ht="15" customHeight="1">
      <c r="E1481" s="158"/>
    </row>
    <row r="1482" spans="5:5" ht="15" customHeight="1">
      <c r="E1482" s="158"/>
    </row>
    <row r="1483" spans="5:5" ht="15" customHeight="1">
      <c r="E1483" s="158"/>
    </row>
    <row r="1484" spans="5:5" ht="15" customHeight="1">
      <c r="E1484" s="158"/>
    </row>
    <row r="1485" spans="5:5" ht="15" customHeight="1">
      <c r="E1485" s="158"/>
    </row>
    <row r="1486" spans="5:5" ht="15" customHeight="1">
      <c r="E1486" s="158"/>
    </row>
    <row r="1487" spans="5:5" ht="15" customHeight="1">
      <c r="E1487" s="158"/>
    </row>
    <row r="1488" spans="5:5" ht="15" customHeight="1">
      <c r="E1488" s="158"/>
    </row>
    <row r="1489" spans="5:5" ht="15" customHeight="1">
      <c r="E1489" s="158"/>
    </row>
    <row r="1490" spans="5:5" ht="15" customHeight="1">
      <c r="E1490" s="158"/>
    </row>
    <row r="1491" spans="5:5" ht="15" customHeight="1">
      <c r="E1491" s="158"/>
    </row>
    <row r="1492" spans="5:5" ht="15" customHeight="1">
      <c r="E1492" s="158"/>
    </row>
    <row r="1493" spans="5:5" ht="15" customHeight="1">
      <c r="E1493" s="158"/>
    </row>
    <row r="1494" spans="5:5" ht="15" customHeight="1">
      <c r="E1494" s="158"/>
    </row>
    <row r="1495" spans="5:5" ht="15" customHeight="1">
      <c r="E1495" s="158"/>
    </row>
    <row r="1496" spans="5:5" ht="15" customHeight="1">
      <c r="E1496" s="158"/>
    </row>
    <row r="1497" spans="5:5" ht="15" customHeight="1">
      <c r="E1497" s="158"/>
    </row>
    <row r="1498" spans="5:5" ht="15" customHeight="1">
      <c r="E1498" s="158"/>
    </row>
    <row r="1499" spans="5:5" ht="15" customHeight="1">
      <c r="E1499" s="158"/>
    </row>
    <row r="1500" spans="5:5" ht="15" customHeight="1">
      <c r="E1500" s="158"/>
    </row>
    <row r="1501" spans="5:5" ht="15" customHeight="1">
      <c r="E1501" s="158"/>
    </row>
    <row r="1502" spans="5:5" ht="15" customHeight="1">
      <c r="E1502" s="158"/>
    </row>
    <row r="1503" spans="5:5" ht="15" customHeight="1">
      <c r="E1503" s="158"/>
    </row>
    <row r="1504" spans="5:5" ht="15" customHeight="1">
      <c r="E1504" s="158"/>
    </row>
    <row r="1505" spans="5:5" ht="15" customHeight="1">
      <c r="E1505" s="158"/>
    </row>
    <row r="1506" spans="5:5" ht="15" customHeight="1">
      <c r="E1506" s="158"/>
    </row>
    <row r="1507" spans="5:5" ht="15" customHeight="1">
      <c r="E1507" s="158"/>
    </row>
    <row r="1508" spans="5:5" ht="15" customHeight="1">
      <c r="E1508" s="158"/>
    </row>
    <row r="1509" spans="5:5" ht="15" customHeight="1">
      <c r="E1509" s="158"/>
    </row>
    <row r="1510" spans="5:5" ht="15" customHeight="1">
      <c r="E1510" s="158"/>
    </row>
    <row r="1511" spans="5:5" ht="15" customHeight="1">
      <c r="E1511" s="158"/>
    </row>
    <row r="1512" spans="5:5" ht="15" customHeight="1">
      <c r="E1512" s="158"/>
    </row>
    <row r="1513" spans="5:5" ht="15" customHeight="1">
      <c r="E1513" s="158"/>
    </row>
    <row r="1514" spans="5:5" ht="15" customHeight="1">
      <c r="E1514" s="158"/>
    </row>
    <row r="1515" spans="5:5" ht="15" customHeight="1">
      <c r="E1515" s="158"/>
    </row>
    <row r="1516" spans="5:5" ht="15" customHeight="1">
      <c r="E1516" s="158"/>
    </row>
    <row r="1517" spans="5:5" ht="15" customHeight="1">
      <c r="E1517" s="158"/>
    </row>
    <row r="1518" spans="5:5" ht="15" customHeight="1">
      <c r="E1518" s="158"/>
    </row>
    <row r="1519" spans="5:5" ht="15" customHeight="1">
      <c r="E1519" s="158"/>
    </row>
    <row r="1520" spans="5:5" ht="15" customHeight="1">
      <c r="E1520" s="158"/>
    </row>
    <row r="1521" spans="5:5" ht="15" customHeight="1">
      <c r="E1521" s="158"/>
    </row>
    <row r="1522" spans="5:5" ht="15" customHeight="1">
      <c r="E1522" s="158"/>
    </row>
    <row r="1523" spans="5:5" ht="15" customHeight="1">
      <c r="E1523" s="158"/>
    </row>
    <row r="1524" spans="5:5" ht="15" customHeight="1">
      <c r="E1524" s="158"/>
    </row>
    <row r="1525" spans="5:5" ht="15" customHeight="1">
      <c r="E1525" s="158"/>
    </row>
    <row r="1526" spans="5:5" ht="15" customHeight="1">
      <c r="E1526" s="158"/>
    </row>
    <row r="1527" spans="5:5" ht="15" customHeight="1">
      <c r="E1527" s="158"/>
    </row>
    <row r="1528" spans="5:5" ht="15" customHeight="1">
      <c r="E1528" s="158"/>
    </row>
    <row r="1529" spans="5:5" ht="15" customHeight="1">
      <c r="E1529" s="158"/>
    </row>
    <row r="1530" spans="5:5" ht="15" customHeight="1">
      <c r="E1530" s="158"/>
    </row>
    <row r="1531" spans="5:5" ht="15" customHeight="1">
      <c r="E1531" s="158"/>
    </row>
    <row r="1532" spans="5:5" ht="15" customHeight="1">
      <c r="E1532" s="158"/>
    </row>
    <row r="1533" spans="5:5" ht="15" customHeight="1">
      <c r="E1533" s="158"/>
    </row>
    <row r="1534" spans="5:5" ht="15" customHeight="1">
      <c r="E1534" s="158"/>
    </row>
    <row r="1535" spans="5:5" ht="15" customHeight="1">
      <c r="E1535" s="158"/>
    </row>
    <row r="1536" spans="5:5" ht="15" customHeight="1">
      <c r="E1536" s="158"/>
    </row>
    <row r="1537" spans="5:5" ht="15" customHeight="1">
      <c r="E1537" s="158"/>
    </row>
    <row r="1538" spans="5:5" ht="15" customHeight="1">
      <c r="E1538" s="158"/>
    </row>
    <row r="1539" spans="5:5" ht="15" customHeight="1">
      <c r="E1539" s="158"/>
    </row>
    <row r="1540" spans="5:5" ht="15" customHeight="1">
      <c r="E1540" s="158"/>
    </row>
    <row r="1541" spans="5:5" ht="15" customHeight="1">
      <c r="E1541" s="158"/>
    </row>
    <row r="1542" spans="5:5" ht="15" customHeight="1">
      <c r="E1542" s="158"/>
    </row>
    <row r="1543" spans="5:5" ht="15" customHeight="1">
      <c r="E1543" s="158"/>
    </row>
    <row r="1544" spans="5:5" ht="15" customHeight="1">
      <c r="E1544" s="158"/>
    </row>
    <row r="1545" spans="5:5" ht="15" customHeight="1">
      <c r="E1545" s="158"/>
    </row>
    <row r="1546" spans="5:5" ht="15" customHeight="1">
      <c r="E1546" s="158"/>
    </row>
    <row r="1547" spans="5:5" ht="15" customHeight="1">
      <c r="E1547" s="158"/>
    </row>
    <row r="1548" spans="5:5" ht="15" customHeight="1">
      <c r="E1548" s="158"/>
    </row>
    <row r="1549" spans="5:5" ht="15" customHeight="1">
      <c r="E1549" s="158"/>
    </row>
    <row r="1550" spans="5:5" ht="15" customHeight="1">
      <c r="E1550" s="158"/>
    </row>
    <row r="1551" spans="5:5" ht="15" customHeight="1">
      <c r="E1551" s="158"/>
    </row>
    <row r="1552" spans="5:5" ht="15" customHeight="1">
      <c r="E1552" s="158"/>
    </row>
    <row r="1553" spans="5:5" ht="15" customHeight="1">
      <c r="E1553" s="158"/>
    </row>
    <row r="1554" spans="5:5" ht="15" customHeight="1">
      <c r="E1554" s="158"/>
    </row>
    <row r="1555" spans="5:5" ht="15" customHeight="1">
      <c r="E1555" s="158"/>
    </row>
    <row r="1556" spans="5:5" ht="15" customHeight="1">
      <c r="E1556" s="158"/>
    </row>
    <row r="1557" spans="5:5" ht="15" customHeight="1">
      <c r="E1557" s="158"/>
    </row>
    <row r="1558" spans="5:5" ht="15" customHeight="1">
      <c r="E1558" s="158"/>
    </row>
    <row r="1559" spans="5:5" ht="15" customHeight="1">
      <c r="E1559" s="158"/>
    </row>
    <row r="1560" spans="5:5" ht="15" customHeight="1">
      <c r="E1560" s="158"/>
    </row>
    <row r="1561" spans="5:5" ht="15" customHeight="1">
      <c r="E1561" s="158"/>
    </row>
    <row r="1562" spans="5:5" ht="15" customHeight="1">
      <c r="E1562" s="158"/>
    </row>
    <row r="1563" spans="5:5" ht="15" customHeight="1">
      <c r="E1563" s="158"/>
    </row>
    <row r="1564" spans="5:5" ht="15" customHeight="1">
      <c r="E1564" s="158"/>
    </row>
    <row r="1565" spans="5:5" ht="15" customHeight="1">
      <c r="E1565" s="158"/>
    </row>
    <row r="1566" spans="5:5" ht="15" customHeight="1">
      <c r="E1566" s="158"/>
    </row>
    <row r="1567" spans="5:5" ht="15" customHeight="1">
      <c r="E1567" s="158"/>
    </row>
    <row r="1568" spans="5:5" ht="15" customHeight="1">
      <c r="E1568" s="158"/>
    </row>
    <row r="1569" spans="5:5" ht="15" customHeight="1">
      <c r="E1569" s="158"/>
    </row>
    <row r="1570" spans="5:5" ht="15" customHeight="1">
      <c r="E1570" s="158"/>
    </row>
    <row r="1571" spans="5:5" ht="15" customHeight="1">
      <c r="E1571" s="158"/>
    </row>
    <row r="1572" spans="5:5" ht="15" customHeight="1">
      <c r="E1572" s="158"/>
    </row>
    <row r="1573" spans="5:5" ht="15" customHeight="1">
      <c r="E1573" s="158"/>
    </row>
    <row r="1574" spans="5:5" ht="15" customHeight="1">
      <c r="E1574" s="158"/>
    </row>
    <row r="1575" spans="5:5" ht="15" customHeight="1">
      <c r="E1575" s="158"/>
    </row>
    <row r="1576" spans="5:5" ht="15" customHeight="1">
      <c r="E1576" s="158"/>
    </row>
    <row r="1577" spans="5:5" ht="15" customHeight="1">
      <c r="E1577" s="158"/>
    </row>
    <row r="1578" spans="5:5" ht="15" customHeight="1">
      <c r="E1578" s="158"/>
    </row>
    <row r="1579" spans="5:5" ht="15" customHeight="1">
      <c r="E1579" s="158"/>
    </row>
    <row r="1580" spans="5:5" ht="15" customHeight="1">
      <c r="E1580" s="158"/>
    </row>
    <row r="1581" spans="5:5" ht="15" customHeight="1">
      <c r="E1581" s="158"/>
    </row>
    <row r="1582" spans="5:5" ht="15" customHeight="1">
      <c r="E1582" s="158"/>
    </row>
    <row r="1583" spans="5:5" ht="15" customHeight="1">
      <c r="E1583" s="158"/>
    </row>
    <row r="1584" spans="5:5" ht="15" customHeight="1">
      <c r="E1584" s="158"/>
    </row>
    <row r="1585" spans="5:5" ht="15" customHeight="1">
      <c r="E1585" s="158"/>
    </row>
    <row r="1586" spans="5:5" ht="15" customHeight="1">
      <c r="E1586" s="158"/>
    </row>
    <row r="1587" spans="5:5" ht="15" customHeight="1">
      <c r="E1587" s="158"/>
    </row>
    <row r="1588" spans="5:5" ht="15" customHeight="1">
      <c r="E1588" s="158"/>
    </row>
    <row r="1589" spans="5:5" ht="15" customHeight="1">
      <c r="E1589" s="158"/>
    </row>
    <row r="1590" spans="5:5" ht="15" customHeight="1">
      <c r="E1590" s="158"/>
    </row>
    <row r="1591" spans="5:5" ht="15" customHeight="1">
      <c r="E1591" s="158"/>
    </row>
    <row r="1592" spans="5:5" ht="15" customHeight="1">
      <c r="E1592" s="158"/>
    </row>
    <row r="1593" spans="5:5" ht="15" customHeight="1">
      <c r="E1593" s="158"/>
    </row>
    <row r="1594" spans="5:5" ht="15" customHeight="1">
      <c r="E1594" s="158"/>
    </row>
    <row r="1595" spans="5:5" ht="15" customHeight="1">
      <c r="E1595" s="158"/>
    </row>
    <row r="1596" spans="5:5" ht="15" customHeight="1">
      <c r="E1596" s="158"/>
    </row>
    <row r="1597" spans="5:5" ht="15" customHeight="1">
      <c r="E1597" s="158"/>
    </row>
    <row r="1598" spans="5:5" ht="15" customHeight="1">
      <c r="E1598" s="158"/>
    </row>
    <row r="1599" spans="5:5" ht="15" customHeight="1">
      <c r="E1599" s="158"/>
    </row>
    <row r="1600" spans="5:5" ht="15" customHeight="1">
      <c r="E1600" s="158"/>
    </row>
    <row r="1601" spans="5:5" ht="15" customHeight="1">
      <c r="E1601" s="158"/>
    </row>
    <row r="1602" spans="5:5" ht="15" customHeight="1">
      <c r="E1602" s="158"/>
    </row>
    <row r="1603" spans="5:5" ht="15" customHeight="1">
      <c r="E1603" s="158"/>
    </row>
    <row r="1604" spans="5:5" ht="15" customHeight="1">
      <c r="E1604" s="158"/>
    </row>
    <row r="1605" spans="5:5" ht="15" customHeight="1">
      <c r="E1605" s="158"/>
    </row>
    <row r="1606" spans="5:5" ht="15" customHeight="1">
      <c r="E1606" s="158"/>
    </row>
    <row r="1607" spans="5:5" ht="15" customHeight="1">
      <c r="E1607" s="158"/>
    </row>
    <row r="1608" spans="5:5" ht="15" customHeight="1">
      <c r="E1608" s="158"/>
    </row>
    <row r="1609" spans="5:5" ht="15" customHeight="1">
      <c r="E1609" s="158"/>
    </row>
    <row r="1610" spans="5:5" ht="15" customHeight="1">
      <c r="E1610" s="158"/>
    </row>
    <row r="1611" spans="5:5" ht="15" customHeight="1">
      <c r="E1611" s="158"/>
    </row>
    <row r="1612" spans="5:5" ht="15" customHeight="1">
      <c r="E1612" s="158"/>
    </row>
    <row r="1613" spans="5:5" ht="15" customHeight="1">
      <c r="E1613" s="158"/>
    </row>
    <row r="1614" spans="5:5" ht="15" customHeight="1">
      <c r="E1614" s="158"/>
    </row>
    <row r="1615" spans="5:5" ht="15" customHeight="1">
      <c r="E1615" s="158"/>
    </row>
    <row r="1616" spans="5:5" ht="15" customHeight="1">
      <c r="E1616" s="158"/>
    </row>
    <row r="1617" spans="5:5" ht="15" customHeight="1">
      <c r="E1617" s="158"/>
    </row>
    <row r="1618" spans="5:5" ht="15" customHeight="1">
      <c r="E1618" s="158"/>
    </row>
  </sheetData>
  <autoFilter ref="A1:U349" xr:uid="{00000000-0001-0000-0100-000000000000}">
    <filterColumn colId="3">
      <filters>
        <dateGroupItem year="2025" month="12" day="21" dateTimeGrouping="day"/>
      </filters>
    </filterColumn>
  </autoFilter>
  <phoneticPr fontId="8" type="noConversion"/>
  <conditionalFormatting sqref="B2:B8">
    <cfRule type="duplicateValues" dxfId="31" priority="23"/>
  </conditionalFormatting>
  <conditionalFormatting sqref="B9:B24">
    <cfRule type="duplicateValues" dxfId="30" priority="22"/>
  </conditionalFormatting>
  <conditionalFormatting sqref="B25:B34">
    <cfRule type="duplicateValues" dxfId="29" priority="21"/>
  </conditionalFormatting>
  <conditionalFormatting sqref="B35:B49">
    <cfRule type="duplicateValues" dxfId="28" priority="20"/>
  </conditionalFormatting>
  <conditionalFormatting sqref="B50:B62">
    <cfRule type="duplicateValues" dxfId="27" priority="16"/>
    <cfRule type="duplicateValues" dxfId="26" priority="25"/>
  </conditionalFormatting>
  <conditionalFormatting sqref="B63:B79">
    <cfRule type="duplicateValues" dxfId="25" priority="33"/>
  </conditionalFormatting>
  <conditionalFormatting sqref="B80:B94">
    <cfRule type="duplicateValues" dxfId="24" priority="34"/>
  </conditionalFormatting>
  <conditionalFormatting sqref="B106:B122">
    <cfRule type="duplicateValues" dxfId="23" priority="10"/>
  </conditionalFormatting>
  <conditionalFormatting sqref="B123:B137">
    <cfRule type="duplicateValues" dxfId="22" priority="42"/>
  </conditionalFormatting>
  <conditionalFormatting sqref="B138:B150">
    <cfRule type="duplicateValues" dxfId="21" priority="12"/>
  </conditionalFormatting>
  <conditionalFormatting sqref="B151:B160">
    <cfRule type="duplicateValues" dxfId="20" priority="13"/>
  </conditionalFormatting>
  <conditionalFormatting sqref="B161:B174">
    <cfRule type="duplicateValues" dxfId="19" priority="14"/>
  </conditionalFormatting>
  <conditionalFormatting sqref="B175:B191 B209:B212">
    <cfRule type="duplicateValues" dxfId="18" priority="45"/>
  </conditionalFormatting>
  <conditionalFormatting sqref="B239:B250">
    <cfRule type="duplicateValues" dxfId="17" priority="9"/>
  </conditionalFormatting>
  <conditionalFormatting sqref="B250:B263">
    <cfRule type="duplicateValues" dxfId="16" priority="51"/>
  </conditionalFormatting>
  <conditionalFormatting sqref="B265:B266">
    <cfRule type="duplicateValues" dxfId="15" priority="50"/>
  </conditionalFormatting>
  <conditionalFormatting sqref="B267:B278">
    <cfRule type="duplicateValues" dxfId="14" priority="6"/>
  </conditionalFormatting>
  <conditionalFormatting sqref="B279:B293">
    <cfRule type="duplicateValues" dxfId="13" priority="48"/>
  </conditionalFormatting>
  <conditionalFormatting sqref="B294:B302">
    <cfRule type="duplicateValues" dxfId="12" priority="47"/>
  </conditionalFormatting>
  <conditionalFormatting sqref="B313:B325">
    <cfRule type="duplicateValues" dxfId="11" priority="57"/>
  </conditionalFormatting>
  <conditionalFormatting sqref="B327:B334">
    <cfRule type="duplicateValues" dxfId="10" priority="56"/>
  </conditionalFormatting>
  <conditionalFormatting sqref="B337:B345">
    <cfRule type="duplicateValues" dxfId="9" priority="55"/>
  </conditionalFormatting>
  <pageMargins left="0.7" right="0.7" top="0.75" bottom="0.75" header="0" footer="0"/>
  <pageSetup scale="25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L1446"/>
  <sheetViews>
    <sheetView tabSelected="1" topLeftCell="A148" zoomScaleNormal="100" workbookViewId="0">
      <selection activeCell="K159" sqref="K159"/>
    </sheetView>
  </sheetViews>
  <sheetFormatPr defaultColWidth="10" defaultRowHeight="14.4"/>
  <cols>
    <col min="1" max="1" width="5.44140625" style="169" bestFit="1" customWidth="1"/>
    <col min="2" max="2" width="13.33203125" style="176" customWidth="1"/>
    <col min="3" max="3" width="41.6640625" style="176" bestFit="1" customWidth="1"/>
    <col min="4" max="4" width="10.109375" style="175" bestFit="1" customWidth="1"/>
    <col min="5" max="5" width="5.88671875" style="179" bestFit="1" customWidth="1"/>
    <col min="6" max="6" width="50.44140625" style="176" bestFit="1" customWidth="1"/>
    <col min="7" max="8" width="11.5546875" style="172" customWidth="1"/>
    <col min="9" max="9" width="11.5546875" customWidth="1"/>
    <col min="10" max="10" width="16.109375" style="169" bestFit="1" customWidth="1"/>
    <col min="11" max="11" width="16.33203125" style="169" bestFit="1" customWidth="1"/>
    <col min="12" max="12" width="5.88671875" style="169" bestFit="1" customWidth="1"/>
    <col min="13" max="17" width="9.109375" style="169" bestFit="1" customWidth="1"/>
    <col min="18" max="18" width="10.109375" style="169" bestFit="1" customWidth="1"/>
    <col min="19" max="19" width="7.33203125" style="169" bestFit="1" customWidth="1"/>
    <col min="20" max="20" width="11.33203125" style="169" bestFit="1" customWidth="1"/>
    <col min="21" max="23" width="3.33203125" style="169" bestFit="1" customWidth="1"/>
    <col min="24" max="24" width="5.109375" style="169" bestFit="1" customWidth="1"/>
    <col min="25" max="25" width="7.33203125" style="169" bestFit="1" customWidth="1"/>
    <col min="26" max="26" width="11.33203125" style="169" bestFit="1" customWidth="1"/>
    <col min="27" max="33" width="4.33203125" style="169" bestFit="1" customWidth="1"/>
    <col min="34" max="39" width="5.33203125" style="169" bestFit="1" customWidth="1"/>
    <col min="40" max="40" width="7" style="169" bestFit="1" customWidth="1"/>
    <col min="41" max="48" width="4.33203125" style="169" bestFit="1" customWidth="1"/>
    <col min="49" max="63" width="5.33203125" style="169" bestFit="1" customWidth="1"/>
    <col min="64" max="64" width="7" style="169" bestFit="1" customWidth="1"/>
    <col min="65" max="71" width="4.33203125" style="169" bestFit="1" customWidth="1"/>
    <col min="72" max="73" width="5.33203125" style="169" bestFit="1" customWidth="1"/>
    <col min="74" max="74" width="7" style="169" bestFit="1" customWidth="1"/>
    <col min="75" max="80" width="4.33203125" style="169" bestFit="1" customWidth="1"/>
    <col min="81" max="86" width="5.33203125" style="169" bestFit="1" customWidth="1"/>
    <col min="87" max="87" width="7" style="169" bestFit="1" customWidth="1"/>
    <col min="88" max="90" width="4.33203125" style="169" bestFit="1" customWidth="1"/>
    <col min="91" max="92" width="5.33203125" style="169" bestFit="1" customWidth="1"/>
    <col min="93" max="93" width="7" style="169" bestFit="1" customWidth="1"/>
    <col min="94" max="94" width="4.33203125" style="169" bestFit="1" customWidth="1"/>
    <col min="95" max="96" width="5.33203125" style="169" bestFit="1" customWidth="1"/>
    <col min="97" max="97" width="7" style="169" bestFit="1" customWidth="1"/>
    <col min="98" max="98" width="4.33203125" style="169" bestFit="1" customWidth="1"/>
    <col min="99" max="99" width="5.33203125" style="169" bestFit="1" customWidth="1"/>
    <col min="100" max="100" width="6.33203125" style="169" bestFit="1" customWidth="1"/>
    <col min="101" max="101" width="7" style="169" bestFit="1" customWidth="1"/>
    <col min="102" max="103" width="5.33203125" style="169" bestFit="1" customWidth="1"/>
    <col min="104" max="104" width="8" style="169" bestFit="1" customWidth="1"/>
    <col min="105" max="105" width="5.33203125" style="169" bestFit="1" customWidth="1"/>
    <col min="106" max="106" width="8" style="169" bestFit="1" customWidth="1"/>
    <col min="107" max="107" width="5.33203125" style="169" bestFit="1" customWidth="1"/>
    <col min="108" max="108" width="8" style="169" bestFit="1" customWidth="1"/>
    <col min="109" max="109" width="5.33203125" style="169" bestFit="1" customWidth="1"/>
    <col min="110" max="110" width="8" style="169" bestFit="1" customWidth="1"/>
    <col min="111" max="111" width="6.33203125" style="169" bestFit="1" customWidth="1"/>
    <col min="112" max="112" width="8" style="169" bestFit="1" customWidth="1"/>
    <col min="113" max="113" width="5.33203125" style="169" bestFit="1" customWidth="1"/>
    <col min="114" max="114" width="8" style="169" bestFit="1" customWidth="1"/>
    <col min="115" max="115" width="9.44140625" style="169" bestFit="1" customWidth="1"/>
    <col min="116" max="116" width="10" style="169"/>
    <col min="117" max="117" width="9.109375" style="169" bestFit="1" customWidth="1"/>
    <col min="118" max="118" width="7.33203125" style="169" bestFit="1" customWidth="1"/>
    <col min="119" max="119" width="12.109375" style="169" bestFit="1" customWidth="1"/>
    <col min="120" max="120" width="11.33203125" style="169" bestFit="1" customWidth="1"/>
    <col min="121" max="16384" width="10" style="169"/>
  </cols>
  <sheetData>
    <row r="1" spans="1:9" s="167" customFormat="1" ht="26.4">
      <c r="A1" s="187" t="s">
        <v>696</v>
      </c>
      <c r="B1" s="187" t="s">
        <v>435</v>
      </c>
      <c r="C1" s="173" t="s">
        <v>372</v>
      </c>
      <c r="D1" s="173" t="s">
        <v>436</v>
      </c>
      <c r="E1" s="177" t="s">
        <v>437</v>
      </c>
      <c r="F1" s="173" t="s">
        <v>438</v>
      </c>
      <c r="G1" s="174" t="s">
        <v>414</v>
      </c>
      <c r="H1" s="336" t="s">
        <v>1233</v>
      </c>
      <c r="I1" s="341" t="s">
        <v>1089</v>
      </c>
    </row>
    <row r="2" spans="1:9" ht="13.2">
      <c r="A2" s="170">
        <f>IF(D2&lt;&gt;"", ROW()-1, "")</f>
        <v>1</v>
      </c>
      <c r="B2" s="171" t="s">
        <v>1053</v>
      </c>
      <c r="C2" s="171" t="str">
        <f>VLOOKUP(B2,MEMBERS!B:C,2, )</f>
        <v>MR. ZAMIR ALI SHAH</v>
      </c>
      <c r="D2" s="191">
        <v>45992</v>
      </c>
      <c r="E2" s="178">
        <v>8</v>
      </c>
      <c r="F2" s="171" t="s">
        <v>899</v>
      </c>
      <c r="G2" s="168">
        <f>IFERROR(VLOOKUP(F2,'menu list'!B:C,2,FALSE)*E2,"0")</f>
        <v>1600</v>
      </c>
      <c r="H2" s="337">
        <f>G2*15/100</f>
        <v>240</v>
      </c>
      <c r="I2" s="168">
        <f>G2+H2</f>
        <v>1840</v>
      </c>
    </row>
    <row r="3" spans="1:9" ht="13.2">
      <c r="A3" s="170">
        <f t="shared" ref="A3:A27" si="0">IF(D3&lt;&gt;"", ROW()-1, "")</f>
        <v>2</v>
      </c>
      <c r="B3" s="171" t="s">
        <v>1053</v>
      </c>
      <c r="C3" s="171" t="str">
        <f>VLOOKUP(B3,MEMBERS!B:C,2, )</f>
        <v>MR. ZAMIR ALI SHAH</v>
      </c>
      <c r="D3" s="191">
        <v>45992</v>
      </c>
      <c r="E3" s="178">
        <v>4</v>
      </c>
      <c r="F3" s="171" t="s">
        <v>1012</v>
      </c>
      <c r="G3" s="168">
        <f>IFERROR(VLOOKUP(F3,'menu list'!B:C,2,FALSE)*E3,"0")</f>
        <v>4000</v>
      </c>
      <c r="H3" s="337">
        <f t="shared" ref="H3:H66" si="1">G3*15/100</f>
        <v>600</v>
      </c>
      <c r="I3" s="168">
        <f t="shared" ref="I3:I66" si="2">G3+H3</f>
        <v>4600</v>
      </c>
    </row>
    <row r="4" spans="1:9" ht="13.2">
      <c r="A4" s="170">
        <f t="shared" si="0"/>
        <v>3</v>
      </c>
      <c r="B4" s="171" t="s">
        <v>1053</v>
      </c>
      <c r="C4" s="171" t="str">
        <f>VLOOKUP(B4,MEMBERS!B:C,2, )</f>
        <v>MR. ZAMIR ALI SHAH</v>
      </c>
      <c r="D4" s="191">
        <v>45992</v>
      </c>
      <c r="E4" s="178">
        <v>1</v>
      </c>
      <c r="F4" s="171" t="s">
        <v>997</v>
      </c>
      <c r="G4" s="168">
        <f>IFERROR(VLOOKUP(F4,'menu list'!B:C,2,FALSE)*E4,"0")</f>
        <v>2000</v>
      </c>
      <c r="H4" s="337">
        <f t="shared" si="1"/>
        <v>300</v>
      </c>
      <c r="I4" s="168">
        <f t="shared" si="2"/>
        <v>2300</v>
      </c>
    </row>
    <row r="5" spans="1:9" ht="13.2">
      <c r="A5" s="170">
        <f t="shared" si="0"/>
        <v>4</v>
      </c>
      <c r="B5" s="171" t="s">
        <v>1053</v>
      </c>
      <c r="C5" s="171" t="str">
        <f>VLOOKUP(B5,MEMBERS!B:C,2, )</f>
        <v>MR. ZAMIR ALI SHAH</v>
      </c>
      <c r="D5" s="191">
        <v>45992</v>
      </c>
      <c r="E5" s="178">
        <v>1</v>
      </c>
      <c r="F5" s="171" t="s">
        <v>828</v>
      </c>
      <c r="G5" s="168">
        <f>IFERROR(VLOOKUP(F5,'menu list'!B:C,2,FALSE)*E5,"0")</f>
        <v>850</v>
      </c>
      <c r="H5" s="337">
        <f t="shared" si="1"/>
        <v>127.5</v>
      </c>
      <c r="I5" s="168">
        <f t="shared" si="2"/>
        <v>977.5</v>
      </c>
    </row>
    <row r="6" spans="1:9" ht="13.2">
      <c r="A6" s="170">
        <f t="shared" si="0"/>
        <v>5</v>
      </c>
      <c r="B6" s="171" t="s">
        <v>1053</v>
      </c>
      <c r="C6" s="171" t="str">
        <f>VLOOKUP(B6,MEMBERS!B:C,2, )</f>
        <v>MR. ZAMIR ALI SHAH</v>
      </c>
      <c r="D6" s="191">
        <v>45992</v>
      </c>
      <c r="E6" s="178">
        <v>1</v>
      </c>
      <c r="F6" s="171" t="s">
        <v>740</v>
      </c>
      <c r="G6" s="168">
        <f>IFERROR(VLOOKUP(F6,'menu list'!B:C,2,FALSE)*E6,"0")</f>
        <v>1800</v>
      </c>
      <c r="H6" s="337">
        <f t="shared" si="1"/>
        <v>270</v>
      </c>
      <c r="I6" s="168">
        <f t="shared" si="2"/>
        <v>2070</v>
      </c>
    </row>
    <row r="7" spans="1:9" ht="13.2">
      <c r="A7" s="170">
        <f t="shared" si="0"/>
        <v>6</v>
      </c>
      <c r="B7" s="171" t="s">
        <v>1053</v>
      </c>
      <c r="C7" s="171" t="str">
        <f>VLOOKUP(B7,MEMBERS!B:C,2, )</f>
        <v>MR. ZAMIR ALI SHAH</v>
      </c>
      <c r="D7" s="191">
        <v>45992</v>
      </c>
      <c r="E7" s="178">
        <v>1</v>
      </c>
      <c r="F7" s="171" t="s">
        <v>559</v>
      </c>
      <c r="G7" s="168">
        <f>IFERROR(VLOOKUP(F7,'menu list'!B:C,2,FALSE)*E7,"0")</f>
        <v>999</v>
      </c>
      <c r="H7" s="337">
        <f t="shared" si="1"/>
        <v>149.85</v>
      </c>
      <c r="I7" s="168">
        <f t="shared" si="2"/>
        <v>1148.8499999999999</v>
      </c>
    </row>
    <row r="8" spans="1:9" ht="13.2">
      <c r="A8" s="170">
        <f t="shared" si="0"/>
        <v>7</v>
      </c>
      <c r="B8" s="171" t="s">
        <v>1053</v>
      </c>
      <c r="C8" s="171" t="str">
        <f>VLOOKUP(B8,MEMBERS!B:C,2, )</f>
        <v>MR. ZAMIR ALI SHAH</v>
      </c>
      <c r="D8" s="191">
        <v>45992</v>
      </c>
      <c r="E8" s="178">
        <v>1</v>
      </c>
      <c r="F8" s="171" t="s">
        <v>441</v>
      </c>
      <c r="G8" s="168">
        <f>IFERROR(VLOOKUP(F8,'menu list'!B:C,2,FALSE)*E8,"0")</f>
        <v>200</v>
      </c>
      <c r="H8" s="337">
        <f t="shared" si="1"/>
        <v>30</v>
      </c>
      <c r="I8" s="168">
        <f t="shared" si="2"/>
        <v>230</v>
      </c>
    </row>
    <row r="9" spans="1:9" ht="13.2">
      <c r="A9" s="170">
        <f t="shared" si="0"/>
        <v>8</v>
      </c>
      <c r="B9" s="171" t="s">
        <v>1053</v>
      </c>
      <c r="C9" s="171" t="str">
        <f>VLOOKUP(B9,MEMBERS!B:C,2, )</f>
        <v>MR. ZAMIR ALI SHAH</v>
      </c>
      <c r="D9" s="191">
        <v>45992</v>
      </c>
      <c r="E9" s="178">
        <v>1</v>
      </c>
      <c r="F9" s="171" t="s">
        <v>793</v>
      </c>
      <c r="G9" s="168">
        <f>IFERROR(VLOOKUP(F9,'menu list'!B:C,2,FALSE)*E9,"0")</f>
        <v>800</v>
      </c>
      <c r="H9" s="337">
        <f t="shared" si="1"/>
        <v>120</v>
      </c>
      <c r="I9" s="168">
        <f t="shared" si="2"/>
        <v>920</v>
      </c>
    </row>
    <row r="10" spans="1:9" ht="13.2">
      <c r="A10" s="170">
        <f t="shared" si="0"/>
        <v>9</v>
      </c>
      <c r="B10" s="171" t="s">
        <v>1053</v>
      </c>
      <c r="C10" s="171" t="str">
        <f>VLOOKUP(B10,MEMBERS!B:C,2, )</f>
        <v>MR. ZAMIR ALI SHAH</v>
      </c>
      <c r="D10" s="191">
        <v>45992</v>
      </c>
      <c r="E10" s="178">
        <v>1</v>
      </c>
      <c r="F10" s="171" t="s">
        <v>440</v>
      </c>
      <c r="G10" s="168">
        <f>IFERROR(VLOOKUP(F10,'menu list'!B:C,2,FALSE)*E10,"0")</f>
        <v>150</v>
      </c>
      <c r="H10" s="337">
        <f t="shared" si="1"/>
        <v>22.5</v>
      </c>
      <c r="I10" s="168">
        <f t="shared" si="2"/>
        <v>172.5</v>
      </c>
    </row>
    <row r="11" spans="1:9" ht="13.2">
      <c r="A11" s="170">
        <f t="shared" si="0"/>
        <v>10</v>
      </c>
      <c r="B11" s="171" t="s">
        <v>15</v>
      </c>
      <c r="C11" s="171" t="str">
        <f>VLOOKUP(B11,MEMBERS!B:C,2, )</f>
        <v>MR.GHULAM NABI OTHI</v>
      </c>
      <c r="D11" s="191">
        <v>45992</v>
      </c>
      <c r="E11" s="178">
        <v>1</v>
      </c>
      <c r="F11" s="171" t="s">
        <v>902</v>
      </c>
      <c r="G11" s="168">
        <f>IFERROR(VLOOKUP(F11,'menu list'!B:C,2,FALSE)*E11,"0")</f>
        <v>500</v>
      </c>
      <c r="H11" s="337">
        <f t="shared" si="1"/>
        <v>75</v>
      </c>
      <c r="I11" s="168">
        <f t="shared" si="2"/>
        <v>575</v>
      </c>
    </row>
    <row r="12" spans="1:9" ht="13.2">
      <c r="A12" s="170">
        <f t="shared" ref="A12:A14" si="3">IF(D12&lt;&gt;"", ROW()-1, "")</f>
        <v>11</v>
      </c>
      <c r="B12" s="171" t="s">
        <v>15</v>
      </c>
      <c r="C12" s="171" t="str">
        <f>VLOOKUP(B12,MEMBERS!B:C,2, )</f>
        <v>MR.GHULAM NABI OTHI</v>
      </c>
      <c r="D12" s="191">
        <v>45992</v>
      </c>
      <c r="E12" s="178">
        <v>1</v>
      </c>
      <c r="F12" s="171" t="s">
        <v>664</v>
      </c>
      <c r="G12" s="168">
        <f>IFERROR(VLOOKUP(F12,'menu list'!B:C,2,FALSE)*E12,"0")</f>
        <v>400</v>
      </c>
      <c r="H12" s="337">
        <f t="shared" si="1"/>
        <v>60</v>
      </c>
      <c r="I12" s="168">
        <f t="shared" si="2"/>
        <v>460</v>
      </c>
    </row>
    <row r="13" spans="1:9" ht="13.2">
      <c r="A13" s="170">
        <f t="shared" si="3"/>
        <v>12</v>
      </c>
      <c r="B13" s="171" t="s">
        <v>15</v>
      </c>
      <c r="C13" s="171" t="str">
        <f>VLOOKUP(B13,MEMBERS!B:C,2, )</f>
        <v>MR.GHULAM NABI OTHI</v>
      </c>
      <c r="D13" s="191">
        <v>45992</v>
      </c>
      <c r="E13" s="178">
        <v>1</v>
      </c>
      <c r="F13" s="171" t="s">
        <v>441</v>
      </c>
      <c r="G13" s="168">
        <f>IFERROR(VLOOKUP(F13,'menu list'!B:C,2,FALSE)*E13,"0")</f>
        <v>200</v>
      </c>
      <c r="H13" s="337">
        <f t="shared" si="1"/>
        <v>30</v>
      </c>
      <c r="I13" s="168">
        <f t="shared" si="2"/>
        <v>230</v>
      </c>
    </row>
    <row r="14" spans="1:9" ht="13.2">
      <c r="A14" s="170">
        <f t="shared" si="3"/>
        <v>13</v>
      </c>
      <c r="B14" s="171" t="s">
        <v>15</v>
      </c>
      <c r="C14" s="171" t="str">
        <f>VLOOKUP(B14,MEMBERS!B:C,2, )</f>
        <v>MR.GHULAM NABI OTHI</v>
      </c>
      <c r="D14" s="191">
        <v>45992</v>
      </c>
      <c r="E14" s="178">
        <v>1</v>
      </c>
      <c r="F14" s="171" t="s">
        <v>440</v>
      </c>
      <c r="G14" s="168">
        <f>IFERROR(VLOOKUP(F14,'menu list'!B:C,2,FALSE)*E14,"0")</f>
        <v>150</v>
      </c>
      <c r="H14" s="337">
        <f t="shared" si="1"/>
        <v>22.5</v>
      </c>
      <c r="I14" s="168">
        <f t="shared" si="2"/>
        <v>172.5</v>
      </c>
    </row>
    <row r="15" spans="1:9" ht="13.2">
      <c r="A15" s="170">
        <f t="shared" si="0"/>
        <v>14</v>
      </c>
      <c r="B15" s="171" t="s">
        <v>155</v>
      </c>
      <c r="C15" s="171" t="str">
        <f>VLOOKUP(B15,MEMBERS!B:C,2, )</f>
        <v>MR.PIR MUJEEB JAN SARHANDI</v>
      </c>
      <c r="D15" s="191">
        <v>45992</v>
      </c>
      <c r="E15" s="178">
        <v>2</v>
      </c>
      <c r="F15" s="171" t="s">
        <v>498</v>
      </c>
      <c r="G15" s="168">
        <f>IFERROR(VLOOKUP(F15,'menu list'!B:C,2,FALSE)*E15,"0")</f>
        <v>400</v>
      </c>
      <c r="H15" s="337">
        <f t="shared" si="1"/>
        <v>60</v>
      </c>
      <c r="I15" s="168">
        <f t="shared" si="2"/>
        <v>460</v>
      </c>
    </row>
    <row r="16" spans="1:9" ht="13.2">
      <c r="A16" s="170">
        <f t="shared" si="0"/>
        <v>15</v>
      </c>
      <c r="B16" s="171" t="s">
        <v>118</v>
      </c>
      <c r="C16" s="171" t="str">
        <f>VLOOKUP(B16,MEMBERS!B:C,2, )</f>
        <v>DR.SAJJAD AHMED SOLANGI</v>
      </c>
      <c r="D16" s="191">
        <v>45992</v>
      </c>
      <c r="E16" s="178">
        <v>4</v>
      </c>
      <c r="F16" s="171" t="s">
        <v>653</v>
      </c>
      <c r="G16" s="168">
        <f>IFERROR(VLOOKUP(F16,'menu list'!B:C,2,FALSE)*E16,"0")</f>
        <v>1400</v>
      </c>
      <c r="H16" s="337">
        <f t="shared" si="1"/>
        <v>210</v>
      </c>
      <c r="I16" s="168">
        <f t="shared" si="2"/>
        <v>1610</v>
      </c>
    </row>
    <row r="17" spans="1:9" ht="13.2">
      <c r="A17" s="170">
        <f t="shared" si="0"/>
        <v>16</v>
      </c>
      <c r="B17" s="171" t="s">
        <v>118</v>
      </c>
      <c r="C17" s="171" t="str">
        <f>VLOOKUP(B17,MEMBERS!B:C,2, )</f>
        <v>DR.SAJJAD AHMED SOLANGI</v>
      </c>
      <c r="D17" s="191">
        <v>45992</v>
      </c>
      <c r="E17" s="178">
        <v>1</v>
      </c>
      <c r="F17" s="171" t="s">
        <v>832</v>
      </c>
      <c r="G17" s="168">
        <f>IFERROR(VLOOKUP(F17,'menu list'!B:C,2,FALSE)*E17,"0")</f>
        <v>250</v>
      </c>
      <c r="H17" s="337">
        <f t="shared" si="1"/>
        <v>37.5</v>
      </c>
      <c r="I17" s="168">
        <f t="shared" si="2"/>
        <v>287.5</v>
      </c>
    </row>
    <row r="18" spans="1:9" ht="13.2">
      <c r="A18" s="170">
        <f t="shared" si="0"/>
        <v>17</v>
      </c>
      <c r="B18" s="171" t="s">
        <v>118</v>
      </c>
      <c r="C18" s="171" t="str">
        <f>VLOOKUP(B18,MEMBERS!B:C,2, )</f>
        <v>DR.SAJJAD AHMED SOLANGI</v>
      </c>
      <c r="D18" s="191">
        <v>45992</v>
      </c>
      <c r="E18" s="178">
        <v>1</v>
      </c>
      <c r="F18" s="171" t="s">
        <v>740</v>
      </c>
      <c r="G18" s="168">
        <f>IFERROR(VLOOKUP(F18,'menu list'!B:C,2,FALSE)*E18,"0")</f>
        <v>1800</v>
      </c>
      <c r="H18" s="337">
        <f t="shared" si="1"/>
        <v>270</v>
      </c>
      <c r="I18" s="168">
        <f t="shared" si="2"/>
        <v>2070</v>
      </c>
    </row>
    <row r="19" spans="1:9" ht="13.2">
      <c r="A19" s="170">
        <f t="shared" si="0"/>
        <v>18</v>
      </c>
      <c r="B19" s="171" t="s">
        <v>118</v>
      </c>
      <c r="C19" s="171" t="str">
        <f>VLOOKUP(B19,MEMBERS!B:C,2, )</f>
        <v>DR.SAJJAD AHMED SOLANGI</v>
      </c>
      <c r="D19" s="191">
        <v>45992</v>
      </c>
      <c r="E19" s="178">
        <v>1</v>
      </c>
      <c r="F19" s="171" t="s">
        <v>441</v>
      </c>
      <c r="G19" s="168">
        <f>IFERROR(VLOOKUP(F19,'menu list'!B:C,2,FALSE)*E19,"0")</f>
        <v>200</v>
      </c>
      <c r="H19" s="337">
        <f t="shared" si="1"/>
        <v>30</v>
      </c>
      <c r="I19" s="168">
        <f t="shared" si="2"/>
        <v>230</v>
      </c>
    </row>
    <row r="20" spans="1:9" ht="13.2">
      <c r="A20" s="170">
        <f t="shared" si="0"/>
        <v>19</v>
      </c>
      <c r="B20" s="171" t="s">
        <v>118</v>
      </c>
      <c r="C20" s="171" t="str">
        <f>VLOOKUP(B20,MEMBERS!B:C,2, )</f>
        <v>DR.SAJJAD AHMED SOLANGI</v>
      </c>
      <c r="D20" s="191">
        <v>45992</v>
      </c>
      <c r="E20" s="178">
        <v>1</v>
      </c>
      <c r="F20" s="171" t="s">
        <v>793</v>
      </c>
      <c r="G20" s="168">
        <f>IFERROR(VLOOKUP(F20,'menu list'!B:C,2,FALSE)*E20,"0")</f>
        <v>800</v>
      </c>
      <c r="H20" s="337">
        <f t="shared" si="1"/>
        <v>120</v>
      </c>
      <c r="I20" s="168">
        <f t="shared" si="2"/>
        <v>920</v>
      </c>
    </row>
    <row r="21" spans="1:9" ht="13.2">
      <c r="A21" s="170">
        <f t="shared" si="0"/>
        <v>20</v>
      </c>
      <c r="B21" s="171" t="s">
        <v>118</v>
      </c>
      <c r="C21" s="171" t="str">
        <f>VLOOKUP(B21,MEMBERS!B:C,2, )</f>
        <v>DR.SAJJAD AHMED SOLANGI</v>
      </c>
      <c r="D21" s="191">
        <v>45992</v>
      </c>
      <c r="E21" s="178">
        <v>6</v>
      </c>
      <c r="F21" s="171" t="s">
        <v>439</v>
      </c>
      <c r="G21" s="168">
        <f>IFERROR(VLOOKUP(F21,'menu list'!B:C,2,FALSE)*E21,"0")</f>
        <v>420</v>
      </c>
      <c r="H21" s="337">
        <f t="shared" si="1"/>
        <v>63</v>
      </c>
      <c r="I21" s="168">
        <f t="shared" si="2"/>
        <v>483</v>
      </c>
    </row>
    <row r="22" spans="1:9" ht="13.2">
      <c r="A22" s="170">
        <f t="shared" si="0"/>
        <v>21</v>
      </c>
      <c r="B22" s="171" t="s">
        <v>118</v>
      </c>
      <c r="C22" s="171" t="str">
        <f>VLOOKUP(B22,MEMBERS!B:C,2, )</f>
        <v>DR.SAJJAD AHMED SOLANGI</v>
      </c>
      <c r="D22" s="191">
        <v>45992</v>
      </c>
      <c r="E22" s="178">
        <v>1</v>
      </c>
      <c r="F22" s="171" t="s">
        <v>440</v>
      </c>
      <c r="G22" s="168">
        <f>IFERROR(VLOOKUP(F22,'menu list'!B:C,2,FALSE)*E22,"0")</f>
        <v>150</v>
      </c>
      <c r="H22" s="337">
        <f t="shared" si="1"/>
        <v>22.5</v>
      </c>
      <c r="I22" s="168">
        <f t="shared" si="2"/>
        <v>172.5</v>
      </c>
    </row>
    <row r="23" spans="1:9" ht="13.2">
      <c r="A23" s="170">
        <f t="shared" si="0"/>
        <v>22</v>
      </c>
      <c r="B23" s="171" t="s">
        <v>118</v>
      </c>
      <c r="C23" s="171" t="str">
        <f>VLOOKUP(B23,MEMBERS!B:C,2, )</f>
        <v>DR.SAJJAD AHMED SOLANGI</v>
      </c>
      <c r="D23" s="191">
        <v>45992</v>
      </c>
      <c r="E23" s="178">
        <v>1</v>
      </c>
      <c r="F23" s="171" t="s">
        <v>498</v>
      </c>
      <c r="G23" s="168">
        <f>IFERROR(VLOOKUP(F23,'menu list'!B:C,2,FALSE)*E23,"0")</f>
        <v>200</v>
      </c>
      <c r="H23" s="337">
        <f t="shared" si="1"/>
        <v>30</v>
      </c>
      <c r="I23" s="168">
        <f t="shared" si="2"/>
        <v>230</v>
      </c>
    </row>
    <row r="24" spans="1:9" ht="13.2">
      <c r="A24" s="170">
        <f t="shared" si="0"/>
        <v>23</v>
      </c>
      <c r="B24" s="171" t="s">
        <v>118</v>
      </c>
      <c r="C24" s="171" t="str">
        <f>VLOOKUP(B24,MEMBERS!B:C,2, )</f>
        <v>DR.SAJJAD AHMED SOLANGI</v>
      </c>
      <c r="D24" s="191">
        <v>45992</v>
      </c>
      <c r="E24" s="178">
        <v>1</v>
      </c>
      <c r="F24" s="171" t="s">
        <v>442</v>
      </c>
      <c r="G24" s="168">
        <f>IFERROR(VLOOKUP(F24,'menu list'!B:C,2,FALSE)*E24,"0")</f>
        <v>150</v>
      </c>
      <c r="H24" s="337">
        <f t="shared" si="1"/>
        <v>22.5</v>
      </c>
      <c r="I24" s="168">
        <f t="shared" si="2"/>
        <v>172.5</v>
      </c>
    </row>
    <row r="25" spans="1:9" ht="13.2">
      <c r="A25" s="170">
        <f t="shared" si="0"/>
        <v>24</v>
      </c>
      <c r="B25" s="171" t="s">
        <v>118</v>
      </c>
      <c r="C25" s="171" t="str">
        <f>VLOOKUP(B25,MEMBERS!B:C,2, )</f>
        <v>DR.SAJJAD AHMED SOLANGI</v>
      </c>
      <c r="D25" s="191">
        <v>45992</v>
      </c>
      <c r="E25" s="178">
        <v>1</v>
      </c>
      <c r="F25" s="171" t="s">
        <v>781</v>
      </c>
      <c r="G25" s="168">
        <f>IFERROR(VLOOKUP(F25,'menu list'!B:C,2,FALSE)*E25,"0")</f>
        <v>800</v>
      </c>
      <c r="H25" s="337">
        <f t="shared" si="1"/>
        <v>120</v>
      </c>
      <c r="I25" s="168">
        <f t="shared" si="2"/>
        <v>920</v>
      </c>
    </row>
    <row r="26" spans="1:9" ht="13.2">
      <c r="A26" s="170">
        <f t="shared" si="0"/>
        <v>25</v>
      </c>
      <c r="B26" s="171" t="s">
        <v>103</v>
      </c>
      <c r="C26" s="171" t="str">
        <f>VLOOKUP(B26,MEMBERS!B:C,2, )</f>
        <v>MR.IQBAL AHMED MALLAH</v>
      </c>
      <c r="D26" s="191">
        <v>45993</v>
      </c>
      <c r="E26" s="178">
        <v>4</v>
      </c>
      <c r="F26" s="171" t="s">
        <v>1115</v>
      </c>
      <c r="G26" s="168">
        <f>IFERROR(VLOOKUP(F26,'menu list'!B:C,2,FALSE)*E26,"0")</f>
        <v>4000</v>
      </c>
      <c r="H26" s="337">
        <f t="shared" si="1"/>
        <v>600</v>
      </c>
      <c r="I26" s="168">
        <f t="shared" si="2"/>
        <v>4600</v>
      </c>
    </row>
    <row r="27" spans="1:9" ht="13.2">
      <c r="A27" s="170">
        <f t="shared" si="0"/>
        <v>26</v>
      </c>
      <c r="B27" s="171" t="s">
        <v>103</v>
      </c>
      <c r="C27" s="171" t="str">
        <f>VLOOKUP(B27,MEMBERS!B:C,2, )</f>
        <v>MR.IQBAL AHMED MALLAH</v>
      </c>
      <c r="D27" s="191">
        <v>45993</v>
      </c>
      <c r="E27" s="178">
        <v>1</v>
      </c>
      <c r="F27" s="171" t="s">
        <v>846</v>
      </c>
      <c r="G27" s="168">
        <f>IFERROR(VLOOKUP(F27,'menu list'!B:C,2,FALSE)*E27,"0")</f>
        <v>1250</v>
      </c>
      <c r="H27" s="337">
        <f t="shared" si="1"/>
        <v>187.5</v>
      </c>
      <c r="I27" s="168">
        <f t="shared" si="2"/>
        <v>1437.5</v>
      </c>
    </row>
    <row r="28" spans="1:9" ht="13.2">
      <c r="A28" s="170">
        <f t="shared" ref="A28:A46" si="4">IF(D28&lt;&gt;"", ROW()-1, "")</f>
        <v>27</v>
      </c>
      <c r="B28" s="171" t="s">
        <v>103</v>
      </c>
      <c r="C28" s="171" t="str">
        <f>VLOOKUP(B28,MEMBERS!B:C,2, )</f>
        <v>MR.IQBAL AHMED MALLAH</v>
      </c>
      <c r="D28" s="191">
        <v>45993</v>
      </c>
      <c r="E28" s="178">
        <v>1</v>
      </c>
      <c r="F28" s="171" t="s">
        <v>939</v>
      </c>
      <c r="G28" s="168">
        <f>IFERROR(VLOOKUP(F28,'menu list'!B:C,2,FALSE)*E28,"0")</f>
        <v>1200</v>
      </c>
      <c r="H28" s="337">
        <f t="shared" si="1"/>
        <v>180</v>
      </c>
      <c r="I28" s="168">
        <f t="shared" si="2"/>
        <v>1380</v>
      </c>
    </row>
    <row r="29" spans="1:9" ht="13.2">
      <c r="A29" s="170">
        <f t="shared" si="4"/>
        <v>28</v>
      </c>
      <c r="B29" s="171" t="s">
        <v>103</v>
      </c>
      <c r="C29" s="171" t="str">
        <f>VLOOKUP(B29,MEMBERS!B:C,2, )</f>
        <v>MR.IQBAL AHMED MALLAH</v>
      </c>
      <c r="D29" s="191">
        <v>45993</v>
      </c>
      <c r="E29" s="178">
        <v>1</v>
      </c>
      <c r="F29" s="171" t="s">
        <v>915</v>
      </c>
      <c r="G29" s="168">
        <f>IFERROR(VLOOKUP(F29,'menu list'!B:C,2,FALSE)*E29,"0")</f>
        <v>999</v>
      </c>
      <c r="H29" s="337">
        <f t="shared" si="1"/>
        <v>149.85</v>
      </c>
      <c r="I29" s="168">
        <f t="shared" si="2"/>
        <v>1148.8499999999999</v>
      </c>
    </row>
    <row r="30" spans="1:9" ht="13.2">
      <c r="A30" s="170">
        <f t="shared" si="4"/>
        <v>29</v>
      </c>
      <c r="B30" s="171" t="s">
        <v>103</v>
      </c>
      <c r="C30" s="171" t="str">
        <f>VLOOKUP(B30,MEMBERS!B:C,2, )</f>
        <v>MR.IQBAL AHMED MALLAH</v>
      </c>
      <c r="D30" s="191">
        <v>45993</v>
      </c>
      <c r="E30" s="178">
        <v>1</v>
      </c>
      <c r="F30" s="171" t="s">
        <v>440</v>
      </c>
      <c r="G30" s="168">
        <f>IFERROR(VLOOKUP(F30,'menu list'!B:C,2,FALSE)*E30,"0")</f>
        <v>150</v>
      </c>
      <c r="H30" s="337">
        <f t="shared" si="1"/>
        <v>22.5</v>
      </c>
      <c r="I30" s="168">
        <f t="shared" si="2"/>
        <v>172.5</v>
      </c>
    </row>
    <row r="31" spans="1:9" ht="13.2">
      <c r="A31" s="170">
        <f t="shared" si="4"/>
        <v>30</v>
      </c>
      <c r="B31" s="171" t="s">
        <v>103</v>
      </c>
      <c r="C31" s="171" t="str">
        <f>VLOOKUP(B31,MEMBERS!B:C,2, )</f>
        <v>MR.IQBAL AHMED MALLAH</v>
      </c>
      <c r="D31" s="191">
        <v>45993</v>
      </c>
      <c r="E31" s="178">
        <v>1</v>
      </c>
      <c r="F31" s="171" t="s">
        <v>498</v>
      </c>
      <c r="G31" s="168">
        <f>IFERROR(VLOOKUP(F31,'menu list'!B:C,2,FALSE)*E31,"0")</f>
        <v>200</v>
      </c>
      <c r="H31" s="337">
        <f t="shared" si="1"/>
        <v>30</v>
      </c>
      <c r="I31" s="168">
        <f t="shared" si="2"/>
        <v>230</v>
      </c>
    </row>
    <row r="32" spans="1:9" ht="13.2">
      <c r="A32" s="170">
        <f t="shared" si="4"/>
        <v>31</v>
      </c>
      <c r="B32" s="171" t="s">
        <v>103</v>
      </c>
      <c r="C32" s="171" t="str">
        <f>VLOOKUP(B32,MEMBERS!B:C,2, )</f>
        <v>MR.IQBAL AHMED MALLAH</v>
      </c>
      <c r="D32" s="191">
        <v>45993</v>
      </c>
      <c r="E32" s="178">
        <v>1</v>
      </c>
      <c r="F32" s="171" t="s">
        <v>442</v>
      </c>
      <c r="G32" s="168">
        <f>IFERROR(VLOOKUP(F32,'menu list'!B:C,2,FALSE)*E32,"0")</f>
        <v>150</v>
      </c>
      <c r="H32" s="337">
        <f t="shared" si="1"/>
        <v>22.5</v>
      </c>
      <c r="I32" s="168">
        <f t="shared" si="2"/>
        <v>172.5</v>
      </c>
    </row>
    <row r="33" spans="1:9" ht="13.2">
      <c r="A33" s="170">
        <f t="shared" si="4"/>
        <v>32</v>
      </c>
      <c r="B33" s="171" t="s">
        <v>103</v>
      </c>
      <c r="C33" s="171" t="str">
        <f>VLOOKUP(B33,MEMBERS!B:C,2, )</f>
        <v>MR.IQBAL AHMED MALLAH</v>
      </c>
      <c r="D33" s="191">
        <v>45993</v>
      </c>
      <c r="E33" s="178">
        <v>3</v>
      </c>
      <c r="F33" s="171" t="s">
        <v>439</v>
      </c>
      <c r="G33" s="168">
        <f>IFERROR(VLOOKUP(F33,'menu list'!B:C,2,FALSE)*E33,"0")</f>
        <v>210</v>
      </c>
      <c r="H33" s="337">
        <f t="shared" si="1"/>
        <v>31.5</v>
      </c>
      <c r="I33" s="168">
        <f t="shared" si="2"/>
        <v>241.5</v>
      </c>
    </row>
    <row r="34" spans="1:9" ht="13.2">
      <c r="A34" s="170">
        <f t="shared" si="4"/>
        <v>33</v>
      </c>
      <c r="B34" s="171" t="s">
        <v>108</v>
      </c>
      <c r="C34" s="171" t="str">
        <f>VLOOKUP(B34,MEMBERS!B:C,2, )</f>
        <v>MR.KANYO LAL</v>
      </c>
      <c r="D34" s="191">
        <v>45993</v>
      </c>
      <c r="E34" s="178">
        <v>2</v>
      </c>
      <c r="F34" s="171" t="s">
        <v>440</v>
      </c>
      <c r="G34" s="168">
        <f>IFERROR(VLOOKUP(F34,'menu list'!B:C,2,FALSE)*E34,"0")</f>
        <v>300</v>
      </c>
      <c r="H34" s="337">
        <f t="shared" si="1"/>
        <v>45</v>
      </c>
      <c r="I34" s="168">
        <f t="shared" si="2"/>
        <v>345</v>
      </c>
    </row>
    <row r="35" spans="1:9" ht="13.2">
      <c r="A35" s="170">
        <f t="shared" si="4"/>
        <v>34</v>
      </c>
      <c r="B35" s="171" t="s">
        <v>108</v>
      </c>
      <c r="C35" s="171" t="str">
        <f>VLOOKUP(B35,MEMBERS!B:C,2, )</f>
        <v>MR.KANYO LAL</v>
      </c>
      <c r="D35" s="191">
        <v>45993</v>
      </c>
      <c r="E35" s="178">
        <v>1</v>
      </c>
      <c r="F35" s="171" t="s">
        <v>726</v>
      </c>
      <c r="G35" s="168">
        <f>IFERROR(VLOOKUP(F35,'menu list'!B:C,2,FALSE)*E35,"0")</f>
        <v>1300</v>
      </c>
      <c r="H35" s="337">
        <f t="shared" si="1"/>
        <v>195</v>
      </c>
      <c r="I35" s="168">
        <f t="shared" si="2"/>
        <v>1495</v>
      </c>
    </row>
    <row r="36" spans="1:9" ht="13.2">
      <c r="A36" s="170">
        <f t="shared" si="4"/>
        <v>35</v>
      </c>
      <c r="B36" s="171" t="s">
        <v>108</v>
      </c>
      <c r="C36" s="171" t="str">
        <f>VLOOKUP(B36,MEMBERS!B:C,2, )</f>
        <v>MR.KANYO LAL</v>
      </c>
      <c r="D36" s="191">
        <v>45993</v>
      </c>
      <c r="E36" s="178">
        <v>1</v>
      </c>
      <c r="F36" s="171" t="s">
        <v>826</v>
      </c>
      <c r="G36" s="168">
        <f>IFERROR(VLOOKUP(F36,'menu list'!B:C,2,FALSE)*E36,"0")</f>
        <v>900</v>
      </c>
      <c r="H36" s="337">
        <f t="shared" si="1"/>
        <v>135</v>
      </c>
      <c r="I36" s="168">
        <f t="shared" si="2"/>
        <v>1035</v>
      </c>
    </row>
    <row r="37" spans="1:9" ht="13.2">
      <c r="A37" s="170">
        <f t="shared" si="4"/>
        <v>36</v>
      </c>
      <c r="B37" s="171" t="s">
        <v>108</v>
      </c>
      <c r="C37" s="171" t="str">
        <f>VLOOKUP(B37,MEMBERS!B:C,2, )</f>
        <v>MR.KANYO LAL</v>
      </c>
      <c r="D37" s="191">
        <v>45993</v>
      </c>
      <c r="E37" s="178">
        <v>2</v>
      </c>
      <c r="F37" s="171" t="s">
        <v>923</v>
      </c>
      <c r="G37" s="168">
        <f>IFERROR(VLOOKUP(F37,'menu list'!B:C,2,FALSE)*E37,"0")</f>
        <v>800</v>
      </c>
      <c r="H37" s="337">
        <f t="shared" si="1"/>
        <v>120</v>
      </c>
      <c r="I37" s="168">
        <f t="shared" si="2"/>
        <v>920</v>
      </c>
    </row>
    <row r="38" spans="1:9" ht="13.2">
      <c r="A38" s="170">
        <f t="shared" si="4"/>
        <v>37</v>
      </c>
      <c r="B38" s="171" t="s">
        <v>108</v>
      </c>
      <c r="C38" s="171" t="str">
        <f>VLOOKUP(B38,MEMBERS!B:C,2, )</f>
        <v>MR.KANYO LAL</v>
      </c>
      <c r="D38" s="191">
        <v>45993</v>
      </c>
      <c r="E38" s="178">
        <v>2</v>
      </c>
      <c r="F38" s="171" t="s">
        <v>793</v>
      </c>
      <c r="G38" s="168">
        <f>IFERROR(VLOOKUP(F38,'menu list'!B:C,2,FALSE)*E38,"0")</f>
        <v>1600</v>
      </c>
      <c r="H38" s="337">
        <f t="shared" si="1"/>
        <v>240</v>
      </c>
      <c r="I38" s="168">
        <f t="shared" si="2"/>
        <v>1840</v>
      </c>
    </row>
    <row r="39" spans="1:9" ht="13.2">
      <c r="A39" s="170">
        <f t="shared" si="4"/>
        <v>38</v>
      </c>
      <c r="B39" s="171" t="s">
        <v>108</v>
      </c>
      <c r="C39" s="171" t="str">
        <f>VLOOKUP(B39,MEMBERS!B:C,2, )</f>
        <v>MR.KANYO LAL</v>
      </c>
      <c r="D39" s="191">
        <v>45993</v>
      </c>
      <c r="E39" s="178">
        <v>2</v>
      </c>
      <c r="F39" s="171" t="s">
        <v>504</v>
      </c>
      <c r="G39" s="168">
        <f>IFERROR(VLOOKUP(F39,'menu list'!B:C,2,FALSE)*E39,"0")</f>
        <v>260</v>
      </c>
      <c r="H39" s="337">
        <f t="shared" si="1"/>
        <v>39</v>
      </c>
      <c r="I39" s="168">
        <f t="shared" si="2"/>
        <v>299</v>
      </c>
    </row>
    <row r="40" spans="1:9" ht="13.2">
      <c r="A40" s="170">
        <f t="shared" si="4"/>
        <v>39</v>
      </c>
      <c r="B40" s="171" t="s">
        <v>108</v>
      </c>
      <c r="C40" s="171" t="str">
        <f>VLOOKUP(B40,MEMBERS!B:C,2, )</f>
        <v>MR.KANYO LAL</v>
      </c>
      <c r="D40" s="191">
        <v>45993</v>
      </c>
      <c r="E40" s="178">
        <v>2</v>
      </c>
      <c r="F40" s="171" t="s">
        <v>443</v>
      </c>
      <c r="G40" s="168">
        <f>IFERROR(VLOOKUP(F40,'menu list'!B:C,2,FALSE)*E40,"0")</f>
        <v>300</v>
      </c>
      <c r="H40" s="337">
        <f t="shared" si="1"/>
        <v>45</v>
      </c>
      <c r="I40" s="168">
        <f t="shared" si="2"/>
        <v>345</v>
      </c>
    </row>
    <row r="41" spans="1:9" ht="13.2">
      <c r="A41" s="170">
        <f t="shared" si="4"/>
        <v>40</v>
      </c>
      <c r="B41" s="171" t="s">
        <v>108</v>
      </c>
      <c r="C41" s="171" t="str">
        <f>VLOOKUP(B41,MEMBERS!B:C,2, )</f>
        <v>MR.KANYO LAL</v>
      </c>
      <c r="D41" s="191">
        <v>45993</v>
      </c>
      <c r="E41" s="178">
        <v>2</v>
      </c>
      <c r="F41" s="171" t="s">
        <v>439</v>
      </c>
      <c r="G41" s="168">
        <f>IFERROR(VLOOKUP(F41,'menu list'!B:C,2,FALSE)*E41,"0")</f>
        <v>140</v>
      </c>
      <c r="H41" s="337">
        <f t="shared" si="1"/>
        <v>21</v>
      </c>
      <c r="I41" s="168">
        <f t="shared" si="2"/>
        <v>161</v>
      </c>
    </row>
    <row r="42" spans="1:9" ht="13.2">
      <c r="A42" s="170">
        <f t="shared" si="4"/>
        <v>41</v>
      </c>
      <c r="B42" s="171" t="s">
        <v>108</v>
      </c>
      <c r="C42" s="171" t="str">
        <f>VLOOKUP(B42,MEMBERS!B:C,2, )</f>
        <v>MR.KANYO LAL</v>
      </c>
      <c r="D42" s="191">
        <v>45993</v>
      </c>
      <c r="E42" s="178">
        <v>2</v>
      </c>
      <c r="F42" s="171" t="s">
        <v>442</v>
      </c>
      <c r="G42" s="168">
        <f>IFERROR(VLOOKUP(F42,'menu list'!B:C,2,FALSE)*E42,"0")</f>
        <v>300</v>
      </c>
      <c r="H42" s="337">
        <f t="shared" si="1"/>
        <v>45</v>
      </c>
      <c r="I42" s="168">
        <f t="shared" si="2"/>
        <v>345</v>
      </c>
    </row>
    <row r="43" spans="1:9" ht="13.2">
      <c r="A43" s="170">
        <f t="shared" si="4"/>
        <v>42</v>
      </c>
      <c r="B43" s="171" t="s">
        <v>108</v>
      </c>
      <c r="C43" s="171" t="str">
        <f>VLOOKUP(B43,MEMBERS!B:C,2, )</f>
        <v>MR.KANYO LAL</v>
      </c>
      <c r="D43" s="191">
        <v>45993</v>
      </c>
      <c r="E43" s="178">
        <v>1</v>
      </c>
      <c r="F43" s="171" t="s">
        <v>570</v>
      </c>
      <c r="G43" s="168">
        <f>IFERROR(VLOOKUP(F43,'menu list'!B:C,2,FALSE)*E43,"0")</f>
        <v>150</v>
      </c>
      <c r="H43" s="337">
        <f t="shared" si="1"/>
        <v>22.5</v>
      </c>
      <c r="I43" s="168">
        <f t="shared" si="2"/>
        <v>172.5</v>
      </c>
    </row>
    <row r="44" spans="1:9" ht="13.2">
      <c r="A44" s="170">
        <f t="shared" si="4"/>
        <v>43</v>
      </c>
      <c r="B44" s="171" t="s">
        <v>108</v>
      </c>
      <c r="C44" s="171" t="str">
        <f>VLOOKUP(B44,MEMBERS!B:C,2, )</f>
        <v>MR.KANYO LAL</v>
      </c>
      <c r="D44" s="191">
        <v>45993</v>
      </c>
      <c r="E44" s="178">
        <v>1</v>
      </c>
      <c r="F44" s="171" t="s">
        <v>666</v>
      </c>
      <c r="G44" s="168">
        <f>IFERROR(VLOOKUP(F44,'menu list'!B:C,2,FALSE)*E44,"0")</f>
        <v>350</v>
      </c>
      <c r="H44" s="337">
        <f t="shared" si="1"/>
        <v>52.5</v>
      </c>
      <c r="I44" s="168">
        <f t="shared" si="2"/>
        <v>402.5</v>
      </c>
    </row>
    <row r="45" spans="1:9" ht="13.2">
      <c r="A45" s="170">
        <f t="shared" si="4"/>
        <v>44</v>
      </c>
      <c r="B45" s="171" t="s">
        <v>108</v>
      </c>
      <c r="C45" s="171" t="str">
        <f>VLOOKUP(B45,MEMBERS!B:C,2, )</f>
        <v>MR.KANYO LAL</v>
      </c>
      <c r="D45" s="191">
        <v>45993</v>
      </c>
      <c r="E45" s="178">
        <v>1</v>
      </c>
      <c r="F45" s="171" t="s">
        <v>441</v>
      </c>
      <c r="G45" s="168">
        <f>IFERROR(VLOOKUP(F45,'menu list'!B:C,2,FALSE)*E45,"0")</f>
        <v>200</v>
      </c>
      <c r="H45" s="337">
        <f t="shared" si="1"/>
        <v>30</v>
      </c>
      <c r="I45" s="168">
        <f t="shared" si="2"/>
        <v>230</v>
      </c>
    </row>
    <row r="46" spans="1:9" ht="13.2">
      <c r="A46" s="170">
        <f t="shared" si="4"/>
        <v>45</v>
      </c>
      <c r="B46" s="171" t="s">
        <v>1053</v>
      </c>
      <c r="C46" s="171" t="str">
        <f>VLOOKUP(B46,MEMBERS!B:C,2, )</f>
        <v>MR. ZAMIR ALI SHAH</v>
      </c>
      <c r="D46" s="191">
        <v>45993</v>
      </c>
      <c r="E46" s="178">
        <v>1</v>
      </c>
      <c r="F46" s="171" t="s">
        <v>833</v>
      </c>
      <c r="G46" s="168">
        <f>IFERROR(VLOOKUP(F46,'menu list'!B:C,2,FALSE)*E46,"0")</f>
        <v>350</v>
      </c>
      <c r="H46" s="337">
        <f t="shared" si="1"/>
        <v>52.5</v>
      </c>
      <c r="I46" s="168">
        <f t="shared" si="2"/>
        <v>402.5</v>
      </c>
    </row>
    <row r="47" spans="1:9" ht="13.2">
      <c r="A47" s="170">
        <f t="shared" ref="A47" si="5">IF(D47&lt;&gt;"", ROW()-1, "")</f>
        <v>46</v>
      </c>
      <c r="B47" s="171" t="s">
        <v>1053</v>
      </c>
      <c r="C47" s="171" t="str">
        <f>VLOOKUP(B47,MEMBERS!B:C,2, )</f>
        <v>MR. ZAMIR ALI SHAH</v>
      </c>
      <c r="D47" s="191">
        <v>45993</v>
      </c>
      <c r="E47" s="178">
        <v>1</v>
      </c>
      <c r="F47" s="171" t="s">
        <v>499</v>
      </c>
      <c r="G47" s="168">
        <f>IFERROR(VLOOKUP(F47,'menu list'!B:C,2,FALSE)*E47,"0")</f>
        <v>100</v>
      </c>
      <c r="H47" s="337">
        <f t="shared" si="1"/>
        <v>15</v>
      </c>
      <c r="I47" s="168">
        <f t="shared" si="2"/>
        <v>115</v>
      </c>
    </row>
    <row r="48" spans="1:9" ht="13.2">
      <c r="A48" s="170">
        <f t="shared" ref="A48:A60" si="6">IF(D48&lt;&gt;"", ROW()-1, "")</f>
        <v>47</v>
      </c>
      <c r="B48" s="171" t="s">
        <v>1005</v>
      </c>
      <c r="C48" s="171" t="str">
        <f>VLOOKUP(B48,MEMBERS!B:C,2, )</f>
        <v>MR. AKSHAY RAJ</v>
      </c>
      <c r="D48" s="191">
        <v>45993</v>
      </c>
      <c r="E48" s="178">
        <v>10</v>
      </c>
      <c r="F48" s="171" t="s">
        <v>499</v>
      </c>
      <c r="G48" s="168">
        <f>IFERROR(VLOOKUP(F48,'menu list'!B:C,2,FALSE)*E48,"0")</f>
        <v>1000</v>
      </c>
      <c r="H48" s="337">
        <f t="shared" si="1"/>
        <v>150</v>
      </c>
      <c r="I48" s="168">
        <f t="shared" si="2"/>
        <v>1150</v>
      </c>
    </row>
    <row r="49" spans="1:9" ht="13.2">
      <c r="A49" s="170">
        <f t="shared" si="6"/>
        <v>48</v>
      </c>
      <c r="B49" s="171" t="s">
        <v>1005</v>
      </c>
      <c r="C49" s="171" t="str">
        <f>VLOOKUP(B49,MEMBERS!B:C,2, )</f>
        <v>MR. AKSHAY RAJ</v>
      </c>
      <c r="D49" s="191">
        <v>45993</v>
      </c>
      <c r="E49" s="178">
        <v>6</v>
      </c>
      <c r="F49" s="171" t="s">
        <v>836</v>
      </c>
      <c r="G49" s="168">
        <f>IFERROR(VLOOKUP(F49,'menu list'!B:C,2,FALSE)*E49,"0")</f>
        <v>2100</v>
      </c>
      <c r="H49" s="337">
        <f t="shared" si="1"/>
        <v>315</v>
      </c>
      <c r="I49" s="168">
        <f t="shared" si="2"/>
        <v>2415</v>
      </c>
    </row>
    <row r="50" spans="1:9" ht="13.2">
      <c r="A50" s="170">
        <f t="shared" si="6"/>
        <v>49</v>
      </c>
      <c r="B50" s="171" t="s">
        <v>1005</v>
      </c>
      <c r="C50" s="171" t="str">
        <f>VLOOKUP(B50,MEMBERS!B:C,2, )</f>
        <v>MR. AKSHAY RAJ</v>
      </c>
      <c r="D50" s="191">
        <v>45993</v>
      </c>
      <c r="E50" s="178">
        <v>3</v>
      </c>
      <c r="F50" s="171" t="s">
        <v>570</v>
      </c>
      <c r="G50" s="168">
        <f>IFERROR(VLOOKUP(F50,'menu list'!B:C,2,FALSE)*E50,"0")</f>
        <v>450</v>
      </c>
      <c r="H50" s="337">
        <f t="shared" si="1"/>
        <v>67.5</v>
      </c>
      <c r="I50" s="168">
        <f t="shared" si="2"/>
        <v>517.5</v>
      </c>
    </row>
    <row r="51" spans="1:9" ht="13.2">
      <c r="A51" s="170">
        <f t="shared" si="6"/>
        <v>50</v>
      </c>
      <c r="B51" s="171" t="s">
        <v>1005</v>
      </c>
      <c r="C51" s="171" t="str">
        <f>VLOOKUP(B51,MEMBERS!B:C,2, )</f>
        <v>MR. AKSHAY RAJ</v>
      </c>
      <c r="D51" s="191">
        <v>45993</v>
      </c>
      <c r="E51" s="178">
        <v>1</v>
      </c>
      <c r="F51" s="171" t="s">
        <v>498</v>
      </c>
      <c r="G51" s="168">
        <f>IFERROR(VLOOKUP(F51,'menu list'!B:C,2,FALSE)*E51,"0")</f>
        <v>200</v>
      </c>
      <c r="H51" s="337">
        <f t="shared" si="1"/>
        <v>30</v>
      </c>
      <c r="I51" s="168">
        <f t="shared" si="2"/>
        <v>230</v>
      </c>
    </row>
    <row r="52" spans="1:9" ht="13.2">
      <c r="A52" s="170">
        <f t="shared" si="6"/>
        <v>51</v>
      </c>
      <c r="B52" s="171" t="s">
        <v>1005</v>
      </c>
      <c r="C52" s="171" t="str">
        <f>VLOOKUP(B52,MEMBERS!B:C,2, )</f>
        <v>MR. AKSHAY RAJ</v>
      </c>
      <c r="D52" s="191">
        <v>45993</v>
      </c>
      <c r="E52" s="178">
        <v>2</v>
      </c>
      <c r="F52" s="171" t="s">
        <v>515</v>
      </c>
      <c r="G52" s="168">
        <f>IFERROR(VLOOKUP(F52,'menu list'!B:C,2,FALSE)*E52,"0")</f>
        <v>800</v>
      </c>
      <c r="H52" s="337">
        <f t="shared" si="1"/>
        <v>120</v>
      </c>
      <c r="I52" s="168">
        <f t="shared" si="2"/>
        <v>920</v>
      </c>
    </row>
    <row r="53" spans="1:9" ht="13.2">
      <c r="A53" s="170">
        <f t="shared" si="6"/>
        <v>52</v>
      </c>
      <c r="B53" s="171" t="s">
        <v>1024</v>
      </c>
      <c r="C53" s="171" t="str">
        <f>VLOOKUP(B53,MEMBERS!B:C,2, )</f>
        <v>MR. ANEEL ZAHOOR</v>
      </c>
      <c r="D53" s="191">
        <v>45993</v>
      </c>
      <c r="E53" s="178">
        <v>2</v>
      </c>
      <c r="F53" s="171" t="s">
        <v>633</v>
      </c>
      <c r="G53" s="168">
        <f>IFERROR(VLOOKUP(F53,'menu list'!B:C,2,FALSE)*E53,"0")</f>
        <v>1400</v>
      </c>
      <c r="H53" s="337">
        <f t="shared" si="1"/>
        <v>210</v>
      </c>
      <c r="I53" s="168">
        <f t="shared" si="2"/>
        <v>1610</v>
      </c>
    </row>
    <row r="54" spans="1:9" ht="13.2">
      <c r="A54" s="170">
        <f t="shared" si="6"/>
        <v>53</v>
      </c>
      <c r="B54" s="171" t="s">
        <v>308</v>
      </c>
      <c r="C54" s="171" t="str">
        <f>VLOOKUP(B54,MEMBERS!B:C,2, )</f>
        <v>DGM AZFAR ALI</v>
      </c>
      <c r="D54" s="191">
        <v>45993</v>
      </c>
      <c r="E54" s="178">
        <v>1</v>
      </c>
      <c r="F54" s="171" t="s">
        <v>832</v>
      </c>
      <c r="G54" s="168">
        <f>IFERROR(VLOOKUP(F54,'menu list'!B:C,2,FALSE)*E54,"0")</f>
        <v>250</v>
      </c>
      <c r="H54" s="337">
        <f t="shared" si="1"/>
        <v>37.5</v>
      </c>
      <c r="I54" s="168">
        <f t="shared" si="2"/>
        <v>287.5</v>
      </c>
    </row>
    <row r="55" spans="1:9" ht="13.2">
      <c r="A55" s="170">
        <f t="shared" si="6"/>
        <v>54</v>
      </c>
      <c r="B55" s="171" t="s">
        <v>308</v>
      </c>
      <c r="C55" s="171" t="str">
        <f>VLOOKUP(B55,MEMBERS!B:C,2, )</f>
        <v>DGM AZFAR ALI</v>
      </c>
      <c r="D55" s="191">
        <v>45993</v>
      </c>
      <c r="E55" s="178">
        <v>1</v>
      </c>
      <c r="F55" s="171" t="s">
        <v>500</v>
      </c>
      <c r="G55" s="168">
        <f>IFERROR(VLOOKUP(F55,'menu list'!B:C,2,FALSE)*E55,"0")</f>
        <v>1250</v>
      </c>
      <c r="H55" s="337">
        <f t="shared" si="1"/>
        <v>187.5</v>
      </c>
      <c r="I55" s="168">
        <f t="shared" si="2"/>
        <v>1437.5</v>
      </c>
    </row>
    <row r="56" spans="1:9" ht="13.2">
      <c r="A56" s="170">
        <f t="shared" si="6"/>
        <v>55</v>
      </c>
      <c r="B56" s="171" t="s">
        <v>308</v>
      </c>
      <c r="C56" s="171" t="str">
        <f>VLOOKUP(B56,MEMBERS!B:C,2, )</f>
        <v>DGM AZFAR ALI</v>
      </c>
      <c r="D56" s="191">
        <v>45993</v>
      </c>
      <c r="E56" s="178">
        <v>1</v>
      </c>
      <c r="F56" s="171" t="s">
        <v>497</v>
      </c>
      <c r="G56" s="168">
        <f>IFERROR(VLOOKUP(F56,'menu list'!B:C,2,FALSE)*E56,"0")</f>
        <v>250</v>
      </c>
      <c r="H56" s="337">
        <f t="shared" si="1"/>
        <v>37.5</v>
      </c>
      <c r="I56" s="168">
        <f t="shared" si="2"/>
        <v>287.5</v>
      </c>
    </row>
    <row r="57" spans="1:9" ht="13.2">
      <c r="A57" s="170">
        <f t="shared" si="6"/>
        <v>56</v>
      </c>
      <c r="B57" s="171" t="s">
        <v>308</v>
      </c>
      <c r="C57" s="171" t="str">
        <f>VLOOKUP(B57,MEMBERS!B:C,2, )</f>
        <v>DGM AZFAR ALI</v>
      </c>
      <c r="D57" s="191">
        <v>45993</v>
      </c>
      <c r="E57" s="178">
        <v>2</v>
      </c>
      <c r="F57" s="171" t="s">
        <v>498</v>
      </c>
      <c r="G57" s="168">
        <f>IFERROR(VLOOKUP(F57,'menu list'!B:C,2,FALSE)*E57,"0")</f>
        <v>400</v>
      </c>
      <c r="H57" s="337">
        <f t="shared" si="1"/>
        <v>60</v>
      </c>
      <c r="I57" s="168">
        <f t="shared" si="2"/>
        <v>460</v>
      </c>
    </row>
    <row r="58" spans="1:9" ht="13.2">
      <c r="A58" s="170">
        <f t="shared" si="6"/>
        <v>57</v>
      </c>
      <c r="B58" s="171" t="s">
        <v>308</v>
      </c>
      <c r="C58" s="171" t="str">
        <f>VLOOKUP(B58,MEMBERS!B:C,2, )</f>
        <v>DGM AZFAR ALI</v>
      </c>
      <c r="D58" s="191">
        <v>45993</v>
      </c>
      <c r="E58" s="178">
        <v>3</v>
      </c>
      <c r="F58" s="171" t="s">
        <v>775</v>
      </c>
      <c r="G58" s="168">
        <f>IFERROR(VLOOKUP(F58,'menu list'!B:C,2,FALSE)*E58,"0")</f>
        <v>300</v>
      </c>
      <c r="H58" s="337">
        <f t="shared" si="1"/>
        <v>45</v>
      </c>
      <c r="I58" s="168">
        <f t="shared" si="2"/>
        <v>345</v>
      </c>
    </row>
    <row r="59" spans="1:9" ht="13.2">
      <c r="A59" s="170">
        <f t="shared" si="6"/>
        <v>58</v>
      </c>
      <c r="B59" s="171" t="s">
        <v>308</v>
      </c>
      <c r="C59" s="171" t="str">
        <f>VLOOKUP(B59,MEMBERS!B:C,2, )</f>
        <v>DGM AZFAR ALI</v>
      </c>
      <c r="D59" s="191">
        <v>45993</v>
      </c>
      <c r="E59" s="178">
        <v>1</v>
      </c>
      <c r="F59" s="171" t="s">
        <v>440</v>
      </c>
      <c r="G59" s="168">
        <f>IFERROR(VLOOKUP(F59,'menu list'!B:C,2,FALSE)*E59,"0")</f>
        <v>150</v>
      </c>
      <c r="H59" s="337">
        <f t="shared" si="1"/>
        <v>22.5</v>
      </c>
      <c r="I59" s="168">
        <f t="shared" si="2"/>
        <v>172.5</v>
      </c>
    </row>
    <row r="60" spans="1:9" ht="13.2">
      <c r="A60" s="170">
        <f t="shared" si="6"/>
        <v>59</v>
      </c>
      <c r="B60" s="171" t="s">
        <v>395</v>
      </c>
      <c r="C60" s="171" t="str">
        <f>VLOOKUP(B60,MEMBERS!B:C,2, )</f>
        <v>BAHRIA INTERNATIONAL HOSPITAL</v>
      </c>
      <c r="D60" s="191">
        <v>45993</v>
      </c>
      <c r="E60" s="178">
        <v>8</v>
      </c>
      <c r="F60" s="171" t="s">
        <v>515</v>
      </c>
      <c r="G60" s="168">
        <f>IFERROR(VLOOKUP(F60,'menu list'!B:C,2,FALSE)*E60,"0")</f>
        <v>3200</v>
      </c>
      <c r="H60" s="337"/>
      <c r="I60" s="168">
        <f t="shared" si="2"/>
        <v>3200</v>
      </c>
    </row>
    <row r="61" spans="1:9" ht="13.2">
      <c r="A61" s="170">
        <f t="shared" ref="A61:A74" si="7">IF(D61&lt;&gt;"", ROW()-1, "")</f>
        <v>60</v>
      </c>
      <c r="B61" s="171" t="s">
        <v>762</v>
      </c>
      <c r="C61" s="171" t="str">
        <f>VLOOKUP(B61,MEMBERS!B:C,2, )</f>
        <v>MR. KASHIF SAEED</v>
      </c>
      <c r="D61" s="191">
        <v>45993</v>
      </c>
      <c r="E61" s="178">
        <v>1</v>
      </c>
      <c r="F61" s="171" t="s">
        <v>500</v>
      </c>
      <c r="G61" s="168">
        <f>IFERROR(VLOOKUP(F61,'menu list'!B:C,2,FALSE)*E61,"0")</f>
        <v>1250</v>
      </c>
      <c r="H61" s="337">
        <f t="shared" si="1"/>
        <v>187.5</v>
      </c>
      <c r="I61" s="168">
        <f t="shared" si="2"/>
        <v>1437.5</v>
      </c>
    </row>
    <row r="62" spans="1:9" ht="13.2">
      <c r="A62" s="170">
        <f t="shared" si="7"/>
        <v>61</v>
      </c>
      <c r="B62" s="171" t="s">
        <v>395</v>
      </c>
      <c r="C62" s="171" t="str">
        <f>VLOOKUP(B62,MEMBERS!B:C,2, )</f>
        <v>BAHRIA INTERNATIONAL HOSPITAL</v>
      </c>
      <c r="D62" s="191">
        <v>45993</v>
      </c>
      <c r="E62" s="178">
        <v>25</v>
      </c>
      <c r="F62" s="171" t="s">
        <v>775</v>
      </c>
      <c r="G62" s="168">
        <f>IFERROR(VLOOKUP(F62,'menu list'!B:C,2,FALSE)*E62,"0")</f>
        <v>2500</v>
      </c>
      <c r="H62" s="337"/>
      <c r="I62" s="168">
        <f t="shared" si="2"/>
        <v>2500</v>
      </c>
    </row>
    <row r="63" spans="1:9" ht="13.2">
      <c r="A63" s="170">
        <f t="shared" si="7"/>
        <v>62</v>
      </c>
      <c r="B63" s="171" t="s">
        <v>395</v>
      </c>
      <c r="C63" s="171" t="str">
        <f>VLOOKUP(B63,MEMBERS!B:C,2, )</f>
        <v>BAHRIA INTERNATIONAL HOSPITAL</v>
      </c>
      <c r="D63" s="191">
        <v>45993</v>
      </c>
      <c r="E63" s="178">
        <v>10</v>
      </c>
      <c r="F63" s="171" t="s">
        <v>558</v>
      </c>
      <c r="G63" s="168">
        <f>IFERROR(VLOOKUP(F63,'menu list'!B:C,2,FALSE)*E63,"0")</f>
        <v>1500</v>
      </c>
      <c r="H63" s="337"/>
      <c r="I63" s="168">
        <f t="shared" si="2"/>
        <v>1500</v>
      </c>
    </row>
    <row r="64" spans="1:9" ht="13.2">
      <c r="A64" s="170">
        <f t="shared" si="7"/>
        <v>63</v>
      </c>
      <c r="B64" s="171" t="s">
        <v>395</v>
      </c>
      <c r="C64" s="171" t="str">
        <f>VLOOKUP(B64,MEMBERS!B:C,2, )</f>
        <v>BAHRIA INTERNATIONAL HOSPITAL</v>
      </c>
      <c r="D64" s="191">
        <v>45993</v>
      </c>
      <c r="E64" s="178">
        <v>9</v>
      </c>
      <c r="F64" s="171" t="s">
        <v>516</v>
      </c>
      <c r="G64" s="168">
        <f>IFERROR(VLOOKUP(F64,'menu list'!B:C,2,FALSE)*E64,"0")</f>
        <v>2250</v>
      </c>
      <c r="H64" s="337"/>
      <c r="I64" s="168">
        <f t="shared" si="2"/>
        <v>2250</v>
      </c>
    </row>
    <row r="65" spans="1:9" ht="13.2">
      <c r="A65" s="170">
        <f t="shared" si="7"/>
        <v>64</v>
      </c>
      <c r="B65" s="171" t="s">
        <v>69</v>
      </c>
      <c r="C65" s="171" t="str">
        <f>VLOOKUP(B65,MEMBERS!B:C,2, )</f>
        <v>MR.TARIQUE ZUBAIR</v>
      </c>
      <c r="D65" s="191">
        <v>45993</v>
      </c>
      <c r="E65" s="178">
        <v>1</v>
      </c>
      <c r="F65" s="171" t="s">
        <v>853</v>
      </c>
      <c r="G65" s="168">
        <v>0</v>
      </c>
      <c r="H65" s="337">
        <f t="shared" si="1"/>
        <v>0</v>
      </c>
      <c r="I65" s="168">
        <f t="shared" si="2"/>
        <v>0</v>
      </c>
    </row>
    <row r="66" spans="1:9" ht="13.2">
      <c r="A66" s="170">
        <f t="shared" si="7"/>
        <v>65</v>
      </c>
      <c r="B66" s="171" t="s">
        <v>69</v>
      </c>
      <c r="C66" s="171" t="str">
        <f>VLOOKUP(B66,MEMBERS!B:C,2, )</f>
        <v>MR.TARIQUE ZUBAIR</v>
      </c>
      <c r="D66" s="191">
        <v>45993</v>
      </c>
      <c r="E66" s="178">
        <v>4</v>
      </c>
      <c r="F66" s="171" t="s">
        <v>439</v>
      </c>
      <c r="G66" s="168">
        <v>0</v>
      </c>
      <c r="H66" s="337">
        <f t="shared" si="1"/>
        <v>0</v>
      </c>
      <c r="I66" s="168">
        <f t="shared" si="2"/>
        <v>0</v>
      </c>
    </row>
    <row r="67" spans="1:9" ht="13.2">
      <c r="A67" s="170">
        <f t="shared" si="7"/>
        <v>66</v>
      </c>
      <c r="B67" s="171" t="s">
        <v>374</v>
      </c>
      <c r="C67" s="171" t="str">
        <f>VLOOKUP(B67,MEMBERS!B:C,2, )</f>
        <v>AAMIR RASOOL</v>
      </c>
      <c r="D67" s="191">
        <v>45995</v>
      </c>
      <c r="E67" s="178">
        <v>1</v>
      </c>
      <c r="F67" s="171" t="s">
        <v>440</v>
      </c>
      <c r="G67" s="168">
        <f>IFERROR(VLOOKUP(F67,'menu list'!B:C,2,FALSE)*E67,"0")</f>
        <v>150</v>
      </c>
      <c r="H67" s="337">
        <f t="shared" ref="H67:H130" si="8">G67*15/100</f>
        <v>22.5</v>
      </c>
      <c r="I67" s="168">
        <f t="shared" ref="I67:I130" si="9">G67+H67</f>
        <v>172.5</v>
      </c>
    </row>
    <row r="68" spans="1:9" ht="13.2">
      <c r="A68" s="170">
        <f t="shared" si="7"/>
        <v>67</v>
      </c>
      <c r="B68" s="171" t="s">
        <v>374</v>
      </c>
      <c r="C68" s="171" t="str">
        <f>VLOOKUP(B68,MEMBERS!B:C,2, )</f>
        <v>AAMIR RASOOL</v>
      </c>
      <c r="D68" s="191">
        <v>45995</v>
      </c>
      <c r="E68" s="178">
        <v>1</v>
      </c>
      <c r="F68" s="171" t="s">
        <v>604</v>
      </c>
      <c r="G68" s="168">
        <f>IFERROR(VLOOKUP(F68,'menu list'!B:C,2,FALSE)*E68,"0")</f>
        <v>450</v>
      </c>
      <c r="H68" s="337">
        <f t="shared" si="8"/>
        <v>67.5</v>
      </c>
      <c r="I68" s="168">
        <f t="shared" si="9"/>
        <v>517.5</v>
      </c>
    </row>
    <row r="69" spans="1:9" ht="13.2">
      <c r="A69" s="170">
        <f t="shared" si="7"/>
        <v>68</v>
      </c>
      <c r="B69" s="171" t="s">
        <v>254</v>
      </c>
      <c r="C69" s="171" t="str">
        <f>VLOOKUP(B69,MEMBERS!B:C,2, )</f>
        <v>MR.SYED HAMID SHAH</v>
      </c>
      <c r="D69" s="191">
        <v>45995</v>
      </c>
      <c r="E69" s="178">
        <v>1</v>
      </c>
      <c r="F69" s="171" t="s">
        <v>828</v>
      </c>
      <c r="G69" s="168">
        <f>IFERROR(VLOOKUP(F69,'menu list'!B:C,2,FALSE)*E69,"0")</f>
        <v>850</v>
      </c>
      <c r="H69" s="337">
        <f t="shared" si="8"/>
        <v>127.5</v>
      </c>
      <c r="I69" s="168">
        <f t="shared" si="9"/>
        <v>977.5</v>
      </c>
    </row>
    <row r="70" spans="1:9" ht="13.2">
      <c r="A70" s="170">
        <f t="shared" si="7"/>
        <v>69</v>
      </c>
      <c r="B70" s="171" t="s">
        <v>254</v>
      </c>
      <c r="C70" s="171" t="str">
        <f>VLOOKUP(B70,MEMBERS!B:C,2, )</f>
        <v>MR.SYED HAMID SHAH</v>
      </c>
      <c r="D70" s="191">
        <v>45995</v>
      </c>
      <c r="E70" s="178">
        <v>1</v>
      </c>
      <c r="F70" s="171" t="s">
        <v>440</v>
      </c>
      <c r="G70" s="168">
        <f>IFERROR(VLOOKUP(F70,'menu list'!B:C,2,FALSE)*E70,"0")</f>
        <v>150</v>
      </c>
      <c r="H70" s="337">
        <f t="shared" si="8"/>
        <v>22.5</v>
      </c>
      <c r="I70" s="168">
        <f t="shared" si="9"/>
        <v>172.5</v>
      </c>
    </row>
    <row r="71" spans="1:9" ht="13.2">
      <c r="A71" s="170">
        <f t="shared" si="7"/>
        <v>70</v>
      </c>
      <c r="B71" s="171" t="s">
        <v>254</v>
      </c>
      <c r="C71" s="171" t="str">
        <f>VLOOKUP(B71,MEMBERS!B:C,2, )</f>
        <v>MR.SYED HAMID SHAH</v>
      </c>
      <c r="D71" s="191">
        <v>45995</v>
      </c>
      <c r="E71" s="178">
        <v>1</v>
      </c>
      <c r="F71" s="171" t="s">
        <v>1057</v>
      </c>
      <c r="G71" s="168">
        <f>IFERROR(VLOOKUP(F71,'menu list'!B:C,2,FALSE)*E71,"0")</f>
        <v>850</v>
      </c>
      <c r="H71" s="337">
        <f t="shared" si="8"/>
        <v>127.5</v>
      </c>
      <c r="I71" s="168">
        <f t="shared" si="9"/>
        <v>977.5</v>
      </c>
    </row>
    <row r="72" spans="1:9" ht="13.2">
      <c r="A72" s="170">
        <f t="shared" si="7"/>
        <v>71</v>
      </c>
      <c r="B72" s="171" t="s">
        <v>254</v>
      </c>
      <c r="C72" s="171" t="str">
        <f>VLOOKUP(B72,MEMBERS!B:C,2, )</f>
        <v>MR.SYED HAMID SHAH</v>
      </c>
      <c r="D72" s="191">
        <v>45995</v>
      </c>
      <c r="E72" s="178">
        <v>1</v>
      </c>
      <c r="F72" s="171" t="s">
        <v>500</v>
      </c>
      <c r="G72" s="168">
        <f>IFERROR(VLOOKUP(F72,'menu list'!B:C,2,FALSE)*E72,"0")</f>
        <v>1250</v>
      </c>
      <c r="H72" s="337">
        <f t="shared" si="8"/>
        <v>187.5</v>
      </c>
      <c r="I72" s="168">
        <f t="shared" si="9"/>
        <v>1437.5</v>
      </c>
    </row>
    <row r="73" spans="1:9" ht="13.2">
      <c r="A73" s="170">
        <f t="shared" si="7"/>
        <v>72</v>
      </c>
      <c r="B73" s="171" t="s">
        <v>254</v>
      </c>
      <c r="C73" s="171" t="str">
        <f>VLOOKUP(B73,MEMBERS!B:C,2, )</f>
        <v>MR.SYED HAMID SHAH</v>
      </c>
      <c r="D73" s="191">
        <v>45995</v>
      </c>
      <c r="E73" s="178">
        <v>4</v>
      </c>
      <c r="F73" s="171" t="s">
        <v>502</v>
      </c>
      <c r="G73" s="168">
        <f>IFERROR(VLOOKUP(F73,'menu list'!B:C,2,FALSE)*E73,"0")</f>
        <v>1400</v>
      </c>
      <c r="H73" s="337">
        <f t="shared" si="8"/>
        <v>210</v>
      </c>
      <c r="I73" s="168">
        <f t="shared" si="9"/>
        <v>1610</v>
      </c>
    </row>
    <row r="74" spans="1:9" ht="13.2">
      <c r="A74" s="170">
        <f t="shared" si="7"/>
        <v>73</v>
      </c>
      <c r="B74" s="171" t="s">
        <v>418</v>
      </c>
      <c r="C74" s="171" t="str">
        <f>VLOOKUP(B74,MEMBERS!B:C,2, )</f>
        <v>ZAIB UR REHMAN</v>
      </c>
      <c r="D74" s="191">
        <v>45995</v>
      </c>
      <c r="E74" s="178">
        <v>1</v>
      </c>
      <c r="F74" s="171" t="s">
        <v>772</v>
      </c>
      <c r="G74" s="168">
        <f>IFERROR(VLOOKUP(F74,'menu list'!B:C,2,FALSE)*E74,"0")</f>
        <v>900</v>
      </c>
      <c r="H74" s="337">
        <f t="shared" si="8"/>
        <v>135</v>
      </c>
      <c r="I74" s="168">
        <f t="shared" si="9"/>
        <v>1035</v>
      </c>
    </row>
    <row r="75" spans="1:9" ht="13.2">
      <c r="A75" s="170">
        <f t="shared" ref="A75:A111" si="10">IF(D75&lt;&gt;"", ROW()-1, "")</f>
        <v>74</v>
      </c>
      <c r="B75" s="171" t="s">
        <v>418</v>
      </c>
      <c r="C75" s="171" t="str">
        <f>VLOOKUP(B75,MEMBERS!B:C,2, )</f>
        <v>ZAIB UR REHMAN</v>
      </c>
      <c r="D75" s="191">
        <v>45995</v>
      </c>
      <c r="E75" s="178">
        <v>6</v>
      </c>
      <c r="F75" s="171" t="s">
        <v>439</v>
      </c>
      <c r="G75" s="168">
        <f>IFERROR(VLOOKUP(F75,'menu list'!B:C,2,FALSE)*E75,"0")</f>
        <v>420</v>
      </c>
      <c r="H75" s="337">
        <f t="shared" si="8"/>
        <v>63</v>
      </c>
      <c r="I75" s="168">
        <f t="shared" si="9"/>
        <v>483</v>
      </c>
    </row>
    <row r="76" spans="1:9" ht="13.2">
      <c r="A76" s="170">
        <f t="shared" si="10"/>
        <v>75</v>
      </c>
      <c r="B76" s="171" t="s">
        <v>418</v>
      </c>
      <c r="C76" s="171" t="str">
        <f>VLOOKUP(B76,MEMBERS!B:C,2, )</f>
        <v>ZAIB UR REHMAN</v>
      </c>
      <c r="D76" s="191">
        <v>45995</v>
      </c>
      <c r="E76" s="178">
        <v>3</v>
      </c>
      <c r="F76" s="171" t="s">
        <v>870</v>
      </c>
      <c r="G76" s="168">
        <f>IFERROR(VLOOKUP(F76,'menu list'!B:C,2,FALSE)*E76,"0")</f>
        <v>3300</v>
      </c>
      <c r="H76" s="337">
        <f t="shared" si="8"/>
        <v>495</v>
      </c>
      <c r="I76" s="168">
        <f t="shared" si="9"/>
        <v>3795</v>
      </c>
    </row>
    <row r="77" spans="1:9" ht="13.2">
      <c r="A77" s="170">
        <f t="shared" si="10"/>
        <v>76</v>
      </c>
      <c r="B77" s="171" t="s">
        <v>187</v>
      </c>
      <c r="C77" s="171" t="str">
        <f>VLOOKUP(B77,MEMBERS!B:C,2, )</f>
        <v>MR.SHAN ELAHI SEHGAL</v>
      </c>
      <c r="D77" s="191">
        <v>45995</v>
      </c>
      <c r="E77" s="178">
        <v>1</v>
      </c>
      <c r="F77" s="171" t="s">
        <v>894</v>
      </c>
      <c r="G77" s="168">
        <f>IFERROR(VLOOKUP(F77,'menu list'!B:C,2,FALSE)*E77,"0")</f>
        <v>300</v>
      </c>
      <c r="H77" s="337">
        <f t="shared" si="8"/>
        <v>45</v>
      </c>
      <c r="I77" s="168">
        <f t="shared" si="9"/>
        <v>345</v>
      </c>
    </row>
    <row r="78" spans="1:9" ht="13.2">
      <c r="A78" s="170">
        <f t="shared" ref="A78:A79" si="11">IF(D78&lt;&gt;"", ROW()-1, "")</f>
        <v>77</v>
      </c>
      <c r="B78" s="171" t="s">
        <v>187</v>
      </c>
      <c r="C78" s="171" t="str">
        <f>VLOOKUP(B78,MEMBERS!B:C,2, )</f>
        <v>MR.SHAN ELAHI SEHGAL</v>
      </c>
      <c r="D78" s="191">
        <v>45995</v>
      </c>
      <c r="E78" s="178">
        <v>1</v>
      </c>
      <c r="F78" s="171" t="s">
        <v>775</v>
      </c>
      <c r="G78" s="168">
        <f>IFERROR(VLOOKUP(F78,'menu list'!B:C,2,FALSE)*E78,"0")</f>
        <v>100</v>
      </c>
      <c r="H78" s="337">
        <f t="shared" si="8"/>
        <v>15</v>
      </c>
      <c r="I78" s="168">
        <f t="shared" si="9"/>
        <v>115</v>
      </c>
    </row>
    <row r="79" spans="1:9" ht="13.2">
      <c r="A79" s="170">
        <f t="shared" si="11"/>
        <v>78</v>
      </c>
      <c r="B79" s="171" t="s">
        <v>187</v>
      </c>
      <c r="C79" s="171" t="str">
        <f>VLOOKUP(B79,MEMBERS!B:C,2, )</f>
        <v>MR.SHAN ELAHI SEHGAL</v>
      </c>
      <c r="D79" s="191">
        <v>45995</v>
      </c>
      <c r="E79" s="178">
        <v>1</v>
      </c>
      <c r="F79" s="171" t="s">
        <v>499</v>
      </c>
      <c r="G79" s="168">
        <f>IFERROR(VLOOKUP(F79,'menu list'!B:C,2,FALSE)*E79,"0")</f>
        <v>100</v>
      </c>
      <c r="H79" s="337">
        <f t="shared" si="8"/>
        <v>15</v>
      </c>
      <c r="I79" s="168">
        <f t="shared" si="9"/>
        <v>115</v>
      </c>
    </row>
    <row r="80" spans="1:9" ht="13.2">
      <c r="A80" s="170">
        <f t="shared" si="10"/>
        <v>79</v>
      </c>
      <c r="B80" s="171" t="s">
        <v>430</v>
      </c>
      <c r="C80" s="171" t="str">
        <f>VLOOKUP(B80,MEMBERS!B:C,2, )</f>
        <v>SYED JIBRAN MUSHTAQ</v>
      </c>
      <c r="D80" s="191">
        <v>45995</v>
      </c>
      <c r="E80" s="178">
        <v>1</v>
      </c>
      <c r="F80" s="171" t="s">
        <v>653</v>
      </c>
      <c r="G80" s="168">
        <f>IFERROR(VLOOKUP(F80,'menu list'!B:C,2,FALSE)*E80,"0")</f>
        <v>350</v>
      </c>
      <c r="H80" s="337">
        <f t="shared" si="8"/>
        <v>52.5</v>
      </c>
      <c r="I80" s="168">
        <f t="shared" si="9"/>
        <v>402.5</v>
      </c>
    </row>
    <row r="81" spans="1:9" ht="13.2">
      <c r="A81" s="170">
        <f t="shared" si="10"/>
        <v>80</v>
      </c>
      <c r="B81" s="171" t="s">
        <v>430</v>
      </c>
      <c r="C81" s="171" t="str">
        <f>VLOOKUP(B81,MEMBERS!B:C,2, )</f>
        <v>SYED JIBRAN MUSHTAQ</v>
      </c>
      <c r="D81" s="191">
        <v>45995</v>
      </c>
      <c r="E81" s="178">
        <v>3</v>
      </c>
      <c r="F81" s="171" t="s">
        <v>713</v>
      </c>
      <c r="G81" s="168">
        <f>IFERROR(VLOOKUP(F81,'menu list'!B:C,2,FALSE)*E81,"0")</f>
        <v>1350</v>
      </c>
      <c r="H81" s="337">
        <f t="shared" si="8"/>
        <v>202.5</v>
      </c>
      <c r="I81" s="168">
        <f t="shared" si="9"/>
        <v>1552.5</v>
      </c>
    </row>
    <row r="82" spans="1:9" ht="13.2">
      <c r="A82" s="170">
        <f t="shared" si="10"/>
        <v>81</v>
      </c>
      <c r="B82" s="171" t="s">
        <v>430</v>
      </c>
      <c r="C82" s="171" t="str">
        <f>VLOOKUP(B82,MEMBERS!B:C,2, )</f>
        <v>SYED JIBRAN MUSHTAQ</v>
      </c>
      <c r="D82" s="191">
        <v>45995</v>
      </c>
      <c r="E82" s="178">
        <v>1</v>
      </c>
      <c r="F82" s="171" t="s">
        <v>500</v>
      </c>
      <c r="G82" s="168">
        <f>IFERROR(VLOOKUP(F82,'menu list'!B:C,2,FALSE)*E82,"0")</f>
        <v>1250</v>
      </c>
      <c r="H82" s="337">
        <f t="shared" si="8"/>
        <v>187.5</v>
      </c>
      <c r="I82" s="168">
        <f t="shared" si="9"/>
        <v>1437.5</v>
      </c>
    </row>
    <row r="83" spans="1:9" ht="13.2">
      <c r="A83" s="170">
        <f t="shared" si="10"/>
        <v>82</v>
      </c>
      <c r="B83" s="171" t="s">
        <v>430</v>
      </c>
      <c r="C83" s="171" t="str">
        <f>VLOOKUP(B83,MEMBERS!B:C,2, )</f>
        <v>SYED JIBRAN MUSHTAQ</v>
      </c>
      <c r="D83" s="191">
        <v>45995</v>
      </c>
      <c r="E83" s="178">
        <v>2</v>
      </c>
      <c r="F83" s="171" t="s">
        <v>502</v>
      </c>
      <c r="G83" s="168">
        <f>IFERROR(VLOOKUP(F83,'menu list'!B:C,2,FALSE)*E83,"0")</f>
        <v>700</v>
      </c>
      <c r="H83" s="337">
        <f t="shared" si="8"/>
        <v>105</v>
      </c>
      <c r="I83" s="168">
        <f t="shared" si="9"/>
        <v>805</v>
      </c>
    </row>
    <row r="84" spans="1:9" ht="13.2">
      <c r="A84" s="170">
        <f t="shared" si="10"/>
        <v>83</v>
      </c>
      <c r="B84" s="171" t="s">
        <v>430</v>
      </c>
      <c r="C84" s="171" t="str">
        <f>VLOOKUP(B84,MEMBERS!B:C,2, )</f>
        <v>SYED JIBRAN MUSHTAQ</v>
      </c>
      <c r="D84" s="191">
        <v>45995</v>
      </c>
      <c r="E84" s="178">
        <v>1</v>
      </c>
      <c r="F84" s="171" t="s">
        <v>879</v>
      </c>
      <c r="G84" s="168">
        <f>IFERROR(VLOOKUP(F84,'menu list'!B:C,2,FALSE)*E84,"0")</f>
        <v>1000</v>
      </c>
      <c r="H84" s="337">
        <f t="shared" si="8"/>
        <v>150</v>
      </c>
      <c r="I84" s="168">
        <f t="shared" si="9"/>
        <v>1150</v>
      </c>
    </row>
    <row r="85" spans="1:9" ht="13.2">
      <c r="A85" s="170">
        <f t="shared" si="10"/>
        <v>84</v>
      </c>
      <c r="B85" s="171" t="s">
        <v>430</v>
      </c>
      <c r="C85" s="171" t="str">
        <f>VLOOKUP(B85,MEMBERS!B:C,2, )</f>
        <v>SYED JIBRAN MUSHTAQ</v>
      </c>
      <c r="D85" s="191">
        <v>45995</v>
      </c>
      <c r="E85" s="178">
        <v>3</v>
      </c>
      <c r="F85" s="171" t="s">
        <v>439</v>
      </c>
      <c r="G85" s="168">
        <f>IFERROR(VLOOKUP(F85,'menu list'!B:C,2,FALSE)*E85,"0")</f>
        <v>210</v>
      </c>
      <c r="H85" s="337">
        <f t="shared" si="8"/>
        <v>31.5</v>
      </c>
      <c r="I85" s="168">
        <f t="shared" si="9"/>
        <v>241.5</v>
      </c>
    </row>
    <row r="86" spans="1:9" ht="13.2">
      <c r="A86" s="170">
        <f t="shared" si="10"/>
        <v>85</v>
      </c>
      <c r="B86" s="171" t="s">
        <v>430</v>
      </c>
      <c r="C86" s="171" t="str">
        <f>VLOOKUP(B86,MEMBERS!B:C,2, )</f>
        <v>SYED JIBRAN MUSHTAQ</v>
      </c>
      <c r="D86" s="191">
        <v>45995</v>
      </c>
      <c r="E86" s="178">
        <v>1</v>
      </c>
      <c r="F86" s="171" t="s">
        <v>908</v>
      </c>
      <c r="G86" s="168">
        <f>IFERROR(VLOOKUP(F86,'menu list'!B:C,2,FALSE)*E86,"0")</f>
        <v>1200</v>
      </c>
      <c r="H86" s="337">
        <f t="shared" si="8"/>
        <v>180</v>
      </c>
      <c r="I86" s="168">
        <f t="shared" si="9"/>
        <v>1380</v>
      </c>
    </row>
    <row r="87" spans="1:9" ht="13.2">
      <c r="A87" s="170">
        <f t="shared" si="10"/>
        <v>86</v>
      </c>
      <c r="B87" s="171" t="s">
        <v>430</v>
      </c>
      <c r="C87" s="171" t="str">
        <f>VLOOKUP(B87,MEMBERS!B:C,2, )</f>
        <v>SYED JIBRAN MUSHTAQ</v>
      </c>
      <c r="D87" s="191">
        <v>45995</v>
      </c>
      <c r="E87" s="178">
        <v>2</v>
      </c>
      <c r="F87" s="171" t="s">
        <v>440</v>
      </c>
      <c r="G87" s="168">
        <f>IFERROR(VLOOKUP(F87,'menu list'!B:C,2,FALSE)*E87,"0")</f>
        <v>300</v>
      </c>
      <c r="H87" s="337">
        <f t="shared" si="8"/>
        <v>45</v>
      </c>
      <c r="I87" s="168">
        <f t="shared" si="9"/>
        <v>345</v>
      </c>
    </row>
    <row r="88" spans="1:9" ht="13.2">
      <c r="A88" s="170">
        <f t="shared" si="10"/>
        <v>87</v>
      </c>
      <c r="B88" s="171" t="s">
        <v>430</v>
      </c>
      <c r="C88" s="171" t="str">
        <f>VLOOKUP(B88,MEMBERS!B:C,2, )</f>
        <v>SYED JIBRAN MUSHTAQ</v>
      </c>
      <c r="D88" s="191">
        <v>45995</v>
      </c>
      <c r="E88" s="178">
        <v>1</v>
      </c>
      <c r="F88" s="171" t="s">
        <v>497</v>
      </c>
      <c r="G88" s="168">
        <f>IFERROR(VLOOKUP(F88,'menu list'!B:C,2,FALSE)*E88,"0")</f>
        <v>250</v>
      </c>
      <c r="H88" s="337">
        <f t="shared" si="8"/>
        <v>37.5</v>
      </c>
      <c r="I88" s="168">
        <f t="shared" si="9"/>
        <v>287.5</v>
      </c>
    </row>
    <row r="89" spans="1:9" ht="13.2">
      <c r="A89" s="170">
        <f t="shared" si="10"/>
        <v>88</v>
      </c>
      <c r="B89" s="171" t="s">
        <v>430</v>
      </c>
      <c r="C89" s="171" t="str">
        <f>VLOOKUP(B89,MEMBERS!B:C,2, )</f>
        <v>SYED JIBRAN MUSHTAQ</v>
      </c>
      <c r="D89" s="191">
        <v>45995</v>
      </c>
      <c r="E89" s="178">
        <v>1</v>
      </c>
      <c r="F89" s="171" t="s">
        <v>910</v>
      </c>
      <c r="G89" s="168">
        <f>IFERROR(VLOOKUP(F89,'menu list'!B:C,2,FALSE)*E89,"0")</f>
        <v>300</v>
      </c>
      <c r="H89" s="337">
        <f t="shared" si="8"/>
        <v>45</v>
      </c>
      <c r="I89" s="168">
        <f t="shared" si="9"/>
        <v>345</v>
      </c>
    </row>
    <row r="90" spans="1:9" ht="13.2">
      <c r="A90" s="170">
        <f t="shared" si="10"/>
        <v>89</v>
      </c>
      <c r="B90" s="171" t="s">
        <v>430</v>
      </c>
      <c r="C90" s="171" t="str">
        <f>VLOOKUP(B90,MEMBERS!B:C,2, )</f>
        <v>SYED JIBRAN MUSHTAQ</v>
      </c>
      <c r="D90" s="191">
        <v>45995</v>
      </c>
      <c r="E90" s="178">
        <v>4</v>
      </c>
      <c r="F90" s="171" t="s">
        <v>499</v>
      </c>
      <c r="G90" s="168">
        <f>IFERROR(VLOOKUP(F90,'menu list'!B:C,2,FALSE)*E90,"0")</f>
        <v>400</v>
      </c>
      <c r="H90" s="337">
        <f t="shared" si="8"/>
        <v>60</v>
      </c>
      <c r="I90" s="168">
        <f t="shared" si="9"/>
        <v>460</v>
      </c>
    </row>
    <row r="91" spans="1:9" ht="13.2">
      <c r="A91" s="170">
        <f t="shared" si="10"/>
        <v>90</v>
      </c>
      <c r="B91" s="171" t="s">
        <v>197</v>
      </c>
      <c r="C91" s="171" t="str">
        <f>VLOOKUP(B91,MEMBERS!B:C,2, )</f>
        <v>MR.MUHAMMAD ATIF USMANI</v>
      </c>
      <c r="D91" s="191">
        <v>45994</v>
      </c>
      <c r="E91" s="178">
        <v>2</v>
      </c>
      <c r="F91" s="171" t="s">
        <v>653</v>
      </c>
      <c r="G91" s="168">
        <f>IFERROR(VLOOKUP(F91,'menu list'!B:C,2,FALSE)*E91,"0")</f>
        <v>700</v>
      </c>
      <c r="H91" s="337">
        <f t="shared" si="8"/>
        <v>105</v>
      </c>
      <c r="I91" s="168">
        <f t="shared" si="9"/>
        <v>805</v>
      </c>
    </row>
    <row r="92" spans="1:9" ht="13.2">
      <c r="A92" s="170">
        <f t="shared" si="10"/>
        <v>91</v>
      </c>
      <c r="B92" s="171" t="s">
        <v>454</v>
      </c>
      <c r="C92" s="171" t="str">
        <f>VLOOKUP(B92,MEMBERS!B:C,2, )</f>
        <v>Heritage club</v>
      </c>
      <c r="D92" s="191">
        <v>45994</v>
      </c>
      <c r="E92" s="178">
        <v>4</v>
      </c>
      <c r="F92" s="171" t="s">
        <v>836</v>
      </c>
      <c r="G92" s="168">
        <f>IFERROR(VLOOKUP(F92,'menu list'!B:C,2,FALSE)*E92,"0")</f>
        <v>1400</v>
      </c>
      <c r="H92" s="337">
        <f t="shared" si="8"/>
        <v>210</v>
      </c>
      <c r="I92" s="168">
        <f t="shared" si="9"/>
        <v>1610</v>
      </c>
    </row>
    <row r="93" spans="1:9" ht="13.2">
      <c r="A93" s="170">
        <f t="shared" si="10"/>
        <v>92</v>
      </c>
      <c r="B93" s="171" t="s">
        <v>454</v>
      </c>
      <c r="C93" s="171" t="str">
        <f>VLOOKUP(B93,MEMBERS!B:C,2, )</f>
        <v>Heritage club</v>
      </c>
      <c r="D93" s="191">
        <v>45994</v>
      </c>
      <c r="E93" s="178">
        <v>2</v>
      </c>
      <c r="F93" s="171" t="s">
        <v>500</v>
      </c>
      <c r="G93" s="168">
        <f>IFERROR(VLOOKUP(F93,'menu list'!B:C,2,FALSE)*E93,"0")</f>
        <v>2500</v>
      </c>
      <c r="H93" s="337">
        <f t="shared" si="8"/>
        <v>375</v>
      </c>
      <c r="I93" s="168">
        <f t="shared" si="9"/>
        <v>2875</v>
      </c>
    </row>
    <row r="94" spans="1:9" ht="13.2">
      <c r="A94" s="170">
        <f t="shared" si="10"/>
        <v>93</v>
      </c>
      <c r="B94" s="171" t="s">
        <v>454</v>
      </c>
      <c r="C94" s="171" t="str">
        <f>VLOOKUP(B94,MEMBERS!B:C,2, )</f>
        <v>Heritage club</v>
      </c>
      <c r="D94" s="191">
        <v>45994</v>
      </c>
      <c r="E94" s="178">
        <v>1</v>
      </c>
      <c r="F94" s="171" t="s">
        <v>498</v>
      </c>
      <c r="G94" s="168">
        <f>IFERROR(VLOOKUP(F94,'menu list'!B:C,2,FALSE)*E94,"0")</f>
        <v>200</v>
      </c>
      <c r="H94" s="337">
        <f t="shared" si="8"/>
        <v>30</v>
      </c>
      <c r="I94" s="168">
        <f t="shared" si="9"/>
        <v>230</v>
      </c>
    </row>
    <row r="95" spans="1:9" ht="13.2">
      <c r="A95" s="170">
        <f t="shared" si="10"/>
        <v>94</v>
      </c>
      <c r="B95" s="171" t="s">
        <v>378</v>
      </c>
      <c r="C95" s="171" t="str">
        <f>VLOOKUP(B95,MEMBERS!B:C,2, )</f>
        <v>SABA AHSAN</v>
      </c>
      <c r="D95" s="191">
        <v>45994</v>
      </c>
      <c r="E95" s="178">
        <v>1</v>
      </c>
      <c r="F95" s="171" t="s">
        <v>500</v>
      </c>
      <c r="G95" s="168">
        <f>IFERROR(VLOOKUP(F95,'menu list'!B:C,2,FALSE)*E95,"0")</f>
        <v>1250</v>
      </c>
      <c r="H95" s="337">
        <f t="shared" si="8"/>
        <v>187.5</v>
      </c>
      <c r="I95" s="168">
        <f t="shared" si="9"/>
        <v>1437.5</v>
      </c>
    </row>
    <row r="96" spans="1:9" ht="13.2">
      <c r="A96" s="170">
        <f t="shared" si="10"/>
        <v>95</v>
      </c>
      <c r="B96" s="171" t="s">
        <v>378</v>
      </c>
      <c r="C96" s="171" t="str">
        <f>VLOOKUP(B96,MEMBERS!B:C,2, )</f>
        <v>SABA AHSAN</v>
      </c>
      <c r="D96" s="191">
        <v>45994</v>
      </c>
      <c r="E96" s="178">
        <v>1</v>
      </c>
      <c r="F96" s="171" t="s">
        <v>499</v>
      </c>
      <c r="G96" s="168">
        <f>IFERROR(VLOOKUP(F96,'menu list'!B:C,2,FALSE)*E96,"0")</f>
        <v>100</v>
      </c>
      <c r="H96" s="337">
        <f t="shared" si="8"/>
        <v>15</v>
      </c>
      <c r="I96" s="168">
        <f t="shared" si="9"/>
        <v>115</v>
      </c>
    </row>
    <row r="97" spans="1:9" ht="13.2">
      <c r="A97" s="170">
        <f t="shared" si="10"/>
        <v>96</v>
      </c>
      <c r="B97" s="171" t="s">
        <v>1020</v>
      </c>
      <c r="C97" s="171" t="str">
        <f>VLOOKUP(B97,MEMBERS!B:C,2, )</f>
        <v>MR. MUNAWAR HUSSAIN</v>
      </c>
      <c r="D97" s="191">
        <v>45994</v>
      </c>
      <c r="E97" s="178">
        <v>1</v>
      </c>
      <c r="F97" s="171" t="s">
        <v>836</v>
      </c>
      <c r="G97" s="168">
        <f>IFERROR(VLOOKUP(F97,'menu list'!B:C,2,FALSE)*E97,"0")</f>
        <v>350</v>
      </c>
      <c r="H97" s="337">
        <f t="shared" si="8"/>
        <v>52.5</v>
      </c>
      <c r="I97" s="168">
        <f t="shared" si="9"/>
        <v>402.5</v>
      </c>
    </row>
    <row r="98" spans="1:9" ht="13.2">
      <c r="A98" s="170">
        <f t="shared" si="10"/>
        <v>97</v>
      </c>
      <c r="B98" s="171" t="s">
        <v>1020</v>
      </c>
      <c r="C98" s="171" t="str">
        <f>VLOOKUP(B98,MEMBERS!B:C,2, )</f>
        <v>MR. MUNAWAR HUSSAIN</v>
      </c>
      <c r="D98" s="191">
        <v>45994</v>
      </c>
      <c r="E98" s="178">
        <v>1</v>
      </c>
      <c r="F98" s="171" t="s">
        <v>541</v>
      </c>
      <c r="G98" s="168">
        <f>IFERROR(VLOOKUP(F98,'menu list'!B:C,2,FALSE)*E98,"0")</f>
        <v>200</v>
      </c>
      <c r="H98" s="337">
        <f t="shared" si="8"/>
        <v>30</v>
      </c>
      <c r="I98" s="168">
        <f t="shared" si="9"/>
        <v>230</v>
      </c>
    </row>
    <row r="99" spans="1:9" ht="13.2">
      <c r="A99" s="170">
        <f t="shared" si="10"/>
        <v>98</v>
      </c>
      <c r="B99" s="171" t="s">
        <v>390</v>
      </c>
      <c r="C99" s="171" t="str">
        <f>VLOOKUP(B99,MEMBERS!B:C,2, )</f>
        <v>RIAZ FAZAL</v>
      </c>
      <c r="D99" s="191">
        <v>45994</v>
      </c>
      <c r="E99" s="178">
        <v>1</v>
      </c>
      <c r="F99" s="171" t="s">
        <v>500</v>
      </c>
      <c r="G99" s="168">
        <f>IFERROR(VLOOKUP(F99,'menu list'!B:C,2,FALSE)*E99,"0")</f>
        <v>1250</v>
      </c>
      <c r="H99" s="337">
        <f t="shared" si="8"/>
        <v>187.5</v>
      </c>
      <c r="I99" s="168">
        <f t="shared" si="9"/>
        <v>1437.5</v>
      </c>
    </row>
    <row r="100" spans="1:9" ht="13.2">
      <c r="A100" s="170">
        <f t="shared" si="10"/>
        <v>99</v>
      </c>
      <c r="B100" s="171" t="s">
        <v>258</v>
      </c>
      <c r="C100" s="171" t="str">
        <f>VLOOKUP(B100,MEMBERS!B:C,2, )</f>
        <v>BRIG DR. GHULAM MEHDI (Retd)</v>
      </c>
      <c r="D100" s="191">
        <v>45994</v>
      </c>
      <c r="E100" s="178">
        <v>1</v>
      </c>
      <c r="F100" s="171" t="s">
        <v>515</v>
      </c>
      <c r="G100" s="168">
        <f>IFERROR(VLOOKUP(F100,'menu list'!B:C,2,FALSE)*E100,"0")</f>
        <v>400</v>
      </c>
      <c r="H100" s="337">
        <f t="shared" si="8"/>
        <v>60</v>
      </c>
      <c r="I100" s="168">
        <f t="shared" si="9"/>
        <v>460</v>
      </c>
    </row>
    <row r="101" spans="1:9" ht="13.2">
      <c r="A101" s="170">
        <f t="shared" si="10"/>
        <v>100</v>
      </c>
      <c r="B101" s="171" t="s">
        <v>395</v>
      </c>
      <c r="C101" s="171" t="str">
        <f>VLOOKUP(B101,MEMBERS!B:C,2, )</f>
        <v>BAHRIA INTERNATIONAL HOSPITAL</v>
      </c>
      <c r="D101" s="191">
        <v>45994</v>
      </c>
      <c r="E101" s="178">
        <v>30</v>
      </c>
      <c r="F101" s="171" t="s">
        <v>775</v>
      </c>
      <c r="G101" s="168">
        <f>IFERROR(VLOOKUP(F101,'menu list'!B:C,2,FALSE)*E101,"0")</f>
        <v>3000</v>
      </c>
      <c r="H101" s="337"/>
      <c r="I101" s="168">
        <f t="shared" si="9"/>
        <v>3000</v>
      </c>
    </row>
    <row r="102" spans="1:9" ht="13.2">
      <c r="A102" s="170">
        <f t="shared" si="10"/>
        <v>101</v>
      </c>
      <c r="B102" s="171" t="s">
        <v>395</v>
      </c>
      <c r="C102" s="171" t="str">
        <f>VLOOKUP(B102,MEMBERS!B:C,2, )</f>
        <v>BAHRIA INTERNATIONAL HOSPITAL</v>
      </c>
      <c r="D102" s="191">
        <v>45994</v>
      </c>
      <c r="E102" s="178">
        <v>16</v>
      </c>
      <c r="F102" s="171" t="s">
        <v>516</v>
      </c>
      <c r="G102" s="168">
        <f>IFERROR(VLOOKUP(F102,'menu list'!B:C,2,FALSE)*E102,"0")</f>
        <v>4000</v>
      </c>
      <c r="H102" s="337"/>
      <c r="I102" s="168">
        <f t="shared" si="9"/>
        <v>4000</v>
      </c>
    </row>
    <row r="103" spans="1:9" ht="13.2">
      <c r="A103" s="170">
        <f t="shared" si="10"/>
        <v>102</v>
      </c>
      <c r="B103" s="171" t="s">
        <v>395</v>
      </c>
      <c r="C103" s="171" t="str">
        <f>VLOOKUP(B103,MEMBERS!B:C,2, )</f>
        <v>BAHRIA INTERNATIONAL HOSPITAL</v>
      </c>
      <c r="D103" s="191">
        <v>45994</v>
      </c>
      <c r="E103" s="178">
        <v>10</v>
      </c>
      <c r="F103" s="171" t="s">
        <v>558</v>
      </c>
      <c r="G103" s="168">
        <f>IFERROR(VLOOKUP(F103,'menu list'!B:C,2,FALSE)*E103,"0")</f>
        <v>1500</v>
      </c>
      <c r="H103" s="337"/>
      <c r="I103" s="168">
        <f t="shared" si="9"/>
        <v>1500</v>
      </c>
    </row>
    <row r="104" spans="1:9" ht="13.2">
      <c r="A104" s="170">
        <f t="shared" si="10"/>
        <v>103</v>
      </c>
      <c r="B104" s="171" t="s">
        <v>374</v>
      </c>
      <c r="C104" s="171" t="str">
        <f>VLOOKUP(B104,MEMBERS!B:C,2, )</f>
        <v>AAMIR RASOOL</v>
      </c>
      <c r="D104" s="191">
        <v>45994</v>
      </c>
      <c r="E104" s="178">
        <v>5</v>
      </c>
      <c r="F104" s="171" t="s">
        <v>653</v>
      </c>
      <c r="G104" s="168">
        <f>IFERROR(VLOOKUP(F104,'menu list'!B:C,2,FALSE)*E104,"0")</f>
        <v>1750</v>
      </c>
      <c r="H104" s="337">
        <f t="shared" si="8"/>
        <v>262.5</v>
      </c>
      <c r="I104" s="168">
        <f t="shared" si="9"/>
        <v>2012.5</v>
      </c>
    </row>
    <row r="105" spans="1:9" ht="13.2">
      <c r="A105" s="170">
        <f t="shared" si="10"/>
        <v>104</v>
      </c>
      <c r="B105" s="171" t="s">
        <v>374</v>
      </c>
      <c r="C105" s="171" t="str">
        <f>VLOOKUP(B105,MEMBERS!B:C,2, )</f>
        <v>AAMIR RASOOL</v>
      </c>
      <c r="D105" s="191">
        <v>45994</v>
      </c>
      <c r="E105" s="178">
        <v>2</v>
      </c>
      <c r="F105" s="171" t="s">
        <v>440</v>
      </c>
      <c r="G105" s="168">
        <f>IFERROR(VLOOKUP(F105,'menu list'!B:C,2,FALSE)*E105,"0")</f>
        <v>300</v>
      </c>
      <c r="H105" s="337">
        <f t="shared" si="8"/>
        <v>45</v>
      </c>
      <c r="I105" s="168">
        <f t="shared" si="9"/>
        <v>345</v>
      </c>
    </row>
    <row r="106" spans="1:9" ht="13.2">
      <c r="A106" s="170">
        <f t="shared" si="10"/>
        <v>105</v>
      </c>
      <c r="B106" s="171" t="s">
        <v>448</v>
      </c>
      <c r="C106" s="171" t="str">
        <f>VLOOKUP(B106,MEMBERS!B:C,2, )</f>
        <v xml:space="preserve">ARSLAN KHAN ABRO </v>
      </c>
      <c r="D106" s="191">
        <v>45994</v>
      </c>
      <c r="E106" s="178">
        <v>1</v>
      </c>
      <c r="F106" s="171" t="s">
        <v>500</v>
      </c>
      <c r="G106" s="168">
        <f>IFERROR(VLOOKUP(F106,'menu list'!B:C,2,FALSE)*E106,"0")</f>
        <v>1250</v>
      </c>
      <c r="H106" s="337">
        <f t="shared" si="8"/>
        <v>187.5</v>
      </c>
      <c r="I106" s="168">
        <f t="shared" si="9"/>
        <v>1437.5</v>
      </c>
    </row>
    <row r="107" spans="1:9" ht="13.2">
      <c r="A107" s="170">
        <f t="shared" si="10"/>
        <v>106</v>
      </c>
      <c r="B107" s="171" t="s">
        <v>448</v>
      </c>
      <c r="C107" s="171" t="str">
        <f>VLOOKUP(B107,MEMBERS!B:C,2, )</f>
        <v xml:space="preserve">ARSLAN KHAN ABRO </v>
      </c>
      <c r="D107" s="191">
        <v>45994</v>
      </c>
      <c r="E107" s="178">
        <v>4</v>
      </c>
      <c r="F107" s="171" t="s">
        <v>498</v>
      </c>
      <c r="G107" s="168">
        <f>IFERROR(VLOOKUP(F107,'menu list'!B:C,2,FALSE)*E107,"0")</f>
        <v>800</v>
      </c>
      <c r="H107" s="337">
        <f t="shared" si="8"/>
        <v>120</v>
      </c>
      <c r="I107" s="168">
        <f t="shared" si="9"/>
        <v>920</v>
      </c>
    </row>
    <row r="108" spans="1:9" ht="13.2">
      <c r="A108" s="170">
        <f t="shared" si="10"/>
        <v>107</v>
      </c>
      <c r="B108" s="171" t="s">
        <v>448</v>
      </c>
      <c r="C108" s="171" t="str">
        <f>VLOOKUP(B108,MEMBERS!B:C,2, )</f>
        <v xml:space="preserve">ARSLAN KHAN ABRO </v>
      </c>
      <c r="D108" s="191">
        <v>45994</v>
      </c>
      <c r="E108" s="178">
        <v>2</v>
      </c>
      <c r="F108" s="171" t="s">
        <v>440</v>
      </c>
      <c r="G108" s="168">
        <f>IFERROR(VLOOKUP(F108,'menu list'!B:C,2,FALSE)*E108,"0")</f>
        <v>300</v>
      </c>
      <c r="H108" s="337">
        <f t="shared" si="8"/>
        <v>45</v>
      </c>
      <c r="I108" s="168">
        <f t="shared" si="9"/>
        <v>345</v>
      </c>
    </row>
    <row r="109" spans="1:9" ht="13.2">
      <c r="A109" s="170">
        <f t="shared" si="10"/>
        <v>108</v>
      </c>
      <c r="B109" s="171" t="s">
        <v>448</v>
      </c>
      <c r="C109" s="171" t="str">
        <f>VLOOKUP(B109,MEMBERS!B:C,2, )</f>
        <v xml:space="preserve">ARSLAN KHAN ABRO </v>
      </c>
      <c r="D109" s="191">
        <v>45994</v>
      </c>
      <c r="E109" s="178">
        <v>1</v>
      </c>
      <c r="F109" s="171" t="s">
        <v>858</v>
      </c>
      <c r="G109" s="168">
        <f>IFERROR(VLOOKUP(F109,'menu list'!B:C,2,FALSE)*E109,"0")</f>
        <v>500</v>
      </c>
      <c r="H109" s="337">
        <f t="shared" si="8"/>
        <v>75</v>
      </c>
      <c r="I109" s="168">
        <f t="shared" si="9"/>
        <v>575</v>
      </c>
    </row>
    <row r="110" spans="1:9" ht="13.2">
      <c r="A110" s="170">
        <f t="shared" si="10"/>
        <v>109</v>
      </c>
      <c r="B110" s="171" t="s">
        <v>448</v>
      </c>
      <c r="C110" s="171" t="str">
        <f>VLOOKUP(B110,MEMBERS!B:C,2, )</f>
        <v xml:space="preserve">ARSLAN KHAN ABRO </v>
      </c>
      <c r="D110" s="191">
        <v>45994</v>
      </c>
      <c r="E110" s="178">
        <v>2</v>
      </c>
      <c r="F110" s="171" t="s">
        <v>611</v>
      </c>
      <c r="G110" s="168">
        <f>IFERROR(VLOOKUP(F110,'menu list'!B:C,2,FALSE)*E110,"0")</f>
        <v>800</v>
      </c>
      <c r="H110" s="337">
        <f t="shared" si="8"/>
        <v>120</v>
      </c>
      <c r="I110" s="168">
        <f t="shared" si="9"/>
        <v>920</v>
      </c>
    </row>
    <row r="111" spans="1:9" ht="13.2">
      <c r="A111" s="170">
        <f t="shared" si="10"/>
        <v>110</v>
      </c>
      <c r="B111" s="171" t="s">
        <v>376</v>
      </c>
      <c r="C111" s="171" t="str">
        <f>VLOOKUP(B111,MEMBERS!B:C,2, )</f>
        <v>KHURRAM FIRDOUS</v>
      </c>
      <c r="D111" s="191">
        <v>45996</v>
      </c>
      <c r="E111" s="178">
        <v>4</v>
      </c>
      <c r="F111" s="171" t="s">
        <v>499</v>
      </c>
      <c r="G111" s="168">
        <f>IFERROR(VLOOKUP(F111,'menu list'!B:C,2,FALSE)*E111,"0")</f>
        <v>400</v>
      </c>
      <c r="H111" s="337">
        <f t="shared" si="8"/>
        <v>60</v>
      </c>
      <c r="I111" s="168">
        <f t="shared" si="9"/>
        <v>460</v>
      </c>
    </row>
    <row r="112" spans="1:9" ht="13.2">
      <c r="A112" s="170">
        <f t="shared" ref="A112:A154" si="12">IF(D112&lt;&gt;"", ROW()-1, "")</f>
        <v>111</v>
      </c>
      <c r="B112" s="171" t="s">
        <v>376</v>
      </c>
      <c r="C112" s="171" t="str">
        <f>VLOOKUP(B112,MEMBERS!B:C,2, )</f>
        <v>KHURRAM FIRDOUS</v>
      </c>
      <c r="D112" s="191">
        <v>45996</v>
      </c>
      <c r="E112" s="178">
        <v>1</v>
      </c>
      <c r="F112" s="171" t="s">
        <v>440</v>
      </c>
      <c r="G112" s="168">
        <f>IFERROR(VLOOKUP(F112,'menu list'!B:C,2,FALSE)*E112,"0")</f>
        <v>150</v>
      </c>
      <c r="H112" s="337">
        <f t="shared" si="8"/>
        <v>22.5</v>
      </c>
      <c r="I112" s="168">
        <f t="shared" si="9"/>
        <v>172.5</v>
      </c>
    </row>
    <row r="113" spans="1:9" ht="13.2">
      <c r="A113" s="170">
        <f t="shared" si="12"/>
        <v>112</v>
      </c>
      <c r="B113" s="171" t="s">
        <v>376</v>
      </c>
      <c r="C113" s="171" t="str">
        <f>VLOOKUP(B113,MEMBERS!B:C,2, )</f>
        <v>KHURRAM FIRDOUS</v>
      </c>
      <c r="D113" s="191">
        <v>45996</v>
      </c>
      <c r="E113" s="178">
        <v>3</v>
      </c>
      <c r="F113" s="171" t="s">
        <v>653</v>
      </c>
      <c r="G113" s="168">
        <f>IFERROR(VLOOKUP(F113,'menu list'!B:C,2,FALSE)*E113,"0")</f>
        <v>1050</v>
      </c>
      <c r="H113" s="337">
        <f t="shared" si="8"/>
        <v>157.5</v>
      </c>
      <c r="I113" s="168">
        <f t="shared" si="9"/>
        <v>1207.5</v>
      </c>
    </row>
    <row r="114" spans="1:9" ht="13.2">
      <c r="A114" s="170">
        <f t="shared" si="12"/>
        <v>113</v>
      </c>
      <c r="B114" s="171" t="s">
        <v>376</v>
      </c>
      <c r="C114" s="171" t="str">
        <f>VLOOKUP(B114,MEMBERS!B:C,2, )</f>
        <v>KHURRAM FIRDOUS</v>
      </c>
      <c r="D114" s="191">
        <v>45996</v>
      </c>
      <c r="E114" s="178">
        <v>1</v>
      </c>
      <c r="F114" s="171" t="s">
        <v>787</v>
      </c>
      <c r="G114" s="168">
        <f>IFERROR(VLOOKUP(F114,'menu list'!B:C,2,FALSE)*E114,"0")</f>
        <v>900</v>
      </c>
      <c r="H114" s="337">
        <f t="shared" si="8"/>
        <v>135</v>
      </c>
      <c r="I114" s="168">
        <f t="shared" si="9"/>
        <v>1035</v>
      </c>
    </row>
    <row r="115" spans="1:9" ht="13.2">
      <c r="A115" s="170">
        <f t="shared" si="12"/>
        <v>114</v>
      </c>
      <c r="B115" s="171" t="s">
        <v>376</v>
      </c>
      <c r="C115" s="171" t="str">
        <f>VLOOKUP(B115,MEMBERS!B:C,2, )</f>
        <v>KHURRAM FIRDOUS</v>
      </c>
      <c r="D115" s="191">
        <v>45996</v>
      </c>
      <c r="E115" s="178">
        <v>2</v>
      </c>
      <c r="F115" s="171" t="s">
        <v>939</v>
      </c>
      <c r="G115" s="168">
        <f>IFERROR(VLOOKUP(F115,'menu list'!B:C,2,FALSE)*E115,"0")</f>
        <v>2400</v>
      </c>
      <c r="H115" s="337">
        <f t="shared" si="8"/>
        <v>360</v>
      </c>
      <c r="I115" s="168">
        <f t="shared" si="9"/>
        <v>2760</v>
      </c>
    </row>
    <row r="116" spans="1:9" ht="13.2">
      <c r="A116" s="170">
        <f t="shared" si="12"/>
        <v>115</v>
      </c>
      <c r="B116" s="171" t="s">
        <v>376</v>
      </c>
      <c r="C116" s="171" t="str">
        <f>VLOOKUP(B116,MEMBERS!B:C,2, )</f>
        <v>KHURRAM FIRDOUS</v>
      </c>
      <c r="D116" s="191">
        <v>45996</v>
      </c>
      <c r="E116" s="178">
        <v>3</v>
      </c>
      <c r="F116" s="171" t="s">
        <v>504</v>
      </c>
      <c r="G116" s="168">
        <f>IFERROR(VLOOKUP(F116,'menu list'!B:C,2,FALSE)*E116,"0")</f>
        <v>390</v>
      </c>
      <c r="H116" s="337">
        <f t="shared" si="8"/>
        <v>58.5</v>
      </c>
      <c r="I116" s="168">
        <f t="shared" si="9"/>
        <v>448.5</v>
      </c>
    </row>
    <row r="117" spans="1:9" ht="13.2">
      <c r="A117" s="170">
        <f t="shared" si="12"/>
        <v>116</v>
      </c>
      <c r="B117" s="171" t="s">
        <v>376</v>
      </c>
      <c r="C117" s="171" t="str">
        <f>VLOOKUP(B117,MEMBERS!B:C,2, )</f>
        <v>KHURRAM FIRDOUS</v>
      </c>
      <c r="D117" s="191">
        <v>45996</v>
      </c>
      <c r="E117" s="178">
        <v>3</v>
      </c>
      <c r="F117" s="171" t="s">
        <v>439</v>
      </c>
      <c r="G117" s="168">
        <f>IFERROR(VLOOKUP(F117,'menu list'!B:C,2,FALSE)*E117,"0")</f>
        <v>210</v>
      </c>
      <c r="H117" s="337">
        <f t="shared" si="8"/>
        <v>31.5</v>
      </c>
      <c r="I117" s="168">
        <f t="shared" si="9"/>
        <v>241.5</v>
      </c>
    </row>
    <row r="118" spans="1:9" ht="13.2">
      <c r="A118" s="170">
        <f t="shared" si="12"/>
        <v>117</v>
      </c>
      <c r="B118" s="171" t="s">
        <v>376</v>
      </c>
      <c r="C118" s="171" t="str">
        <f>VLOOKUP(B118,MEMBERS!B:C,2, )</f>
        <v>KHURRAM FIRDOUS</v>
      </c>
      <c r="D118" s="191">
        <v>45996</v>
      </c>
      <c r="E118" s="178">
        <v>1</v>
      </c>
      <c r="F118" s="171" t="s">
        <v>785</v>
      </c>
      <c r="G118" s="168">
        <f>IFERROR(VLOOKUP(F118,'menu list'!B:C,2,FALSE)*E118,"0")</f>
        <v>950</v>
      </c>
      <c r="H118" s="337">
        <f t="shared" si="8"/>
        <v>142.5</v>
      </c>
      <c r="I118" s="168">
        <f t="shared" si="9"/>
        <v>1092.5</v>
      </c>
    </row>
    <row r="119" spans="1:9" ht="13.2">
      <c r="A119" s="170">
        <f t="shared" si="12"/>
        <v>118</v>
      </c>
      <c r="B119" s="171" t="s">
        <v>388</v>
      </c>
      <c r="C119" s="171" t="str">
        <f>VLOOKUP(B119,MEMBERS!B:C,2, )</f>
        <v>IFTIKHAR SHAH</v>
      </c>
      <c r="D119" s="191">
        <v>45996</v>
      </c>
      <c r="E119" s="178">
        <v>2</v>
      </c>
      <c r="F119" s="171" t="s">
        <v>740</v>
      </c>
      <c r="G119" s="168">
        <f>IFERROR(VLOOKUP(F119,'menu list'!B:C,2,FALSE)*E119,"0")</f>
        <v>3600</v>
      </c>
      <c r="H119" s="337">
        <f t="shared" si="8"/>
        <v>540</v>
      </c>
      <c r="I119" s="168">
        <f t="shared" si="9"/>
        <v>4140</v>
      </c>
    </row>
    <row r="120" spans="1:9" ht="13.2">
      <c r="A120" s="170">
        <f t="shared" si="12"/>
        <v>119</v>
      </c>
      <c r="B120" s="171" t="s">
        <v>388</v>
      </c>
      <c r="C120" s="171" t="str">
        <f>VLOOKUP(B120,MEMBERS!B:C,2, )</f>
        <v>IFTIKHAR SHAH</v>
      </c>
      <c r="D120" s="191">
        <v>45996</v>
      </c>
      <c r="E120" s="178">
        <v>1</v>
      </c>
      <c r="F120" s="171" t="s">
        <v>739</v>
      </c>
      <c r="G120" s="168">
        <f>IFERROR(VLOOKUP(F120,'menu list'!B:C,2,FALSE)*E120,"0")</f>
        <v>400</v>
      </c>
      <c r="H120" s="337">
        <f t="shared" si="8"/>
        <v>60</v>
      </c>
      <c r="I120" s="168">
        <f t="shared" si="9"/>
        <v>460</v>
      </c>
    </row>
    <row r="121" spans="1:9" ht="13.2">
      <c r="A121" s="170">
        <f t="shared" si="12"/>
        <v>120</v>
      </c>
      <c r="B121" s="171" t="s">
        <v>388</v>
      </c>
      <c r="C121" s="171" t="str">
        <f>VLOOKUP(B121,MEMBERS!B:C,2, )</f>
        <v>IFTIKHAR SHAH</v>
      </c>
      <c r="D121" s="191">
        <v>45996</v>
      </c>
      <c r="E121" s="178">
        <v>1</v>
      </c>
      <c r="F121" s="171" t="s">
        <v>441</v>
      </c>
      <c r="G121" s="168">
        <f>IFERROR(VLOOKUP(F121,'menu list'!B:C,2,FALSE)*E121,"0")</f>
        <v>200</v>
      </c>
      <c r="H121" s="337">
        <f t="shared" si="8"/>
        <v>30</v>
      </c>
      <c r="I121" s="168">
        <f t="shared" si="9"/>
        <v>230</v>
      </c>
    </row>
    <row r="122" spans="1:9" ht="13.2">
      <c r="A122" s="170">
        <f t="shared" si="12"/>
        <v>121</v>
      </c>
      <c r="B122" s="171" t="s">
        <v>388</v>
      </c>
      <c r="C122" s="171" t="str">
        <f>VLOOKUP(B122,MEMBERS!B:C,2, )</f>
        <v>IFTIKHAR SHAH</v>
      </c>
      <c r="D122" s="191">
        <v>45996</v>
      </c>
      <c r="E122" s="178">
        <v>1</v>
      </c>
      <c r="F122" s="171" t="s">
        <v>866</v>
      </c>
      <c r="G122" s="168">
        <f>IFERROR(VLOOKUP(F122,'menu list'!B:C,2,FALSE)*E122,"0")</f>
        <v>500</v>
      </c>
      <c r="H122" s="337">
        <f t="shared" si="8"/>
        <v>75</v>
      </c>
      <c r="I122" s="168">
        <f t="shared" si="9"/>
        <v>575</v>
      </c>
    </row>
    <row r="123" spans="1:9" ht="13.2">
      <c r="A123" s="170">
        <f t="shared" si="12"/>
        <v>122</v>
      </c>
      <c r="B123" s="171" t="s">
        <v>388</v>
      </c>
      <c r="C123" s="171" t="str">
        <f>VLOOKUP(B123,MEMBERS!B:C,2, )</f>
        <v>IFTIKHAR SHAH</v>
      </c>
      <c r="D123" s="191">
        <v>45996</v>
      </c>
      <c r="E123" s="178">
        <v>1</v>
      </c>
      <c r="F123" s="171" t="s">
        <v>440</v>
      </c>
      <c r="G123" s="168">
        <f>IFERROR(VLOOKUP(F123,'menu list'!B:C,2,FALSE)*E123,"0")</f>
        <v>150</v>
      </c>
      <c r="H123" s="337">
        <f t="shared" si="8"/>
        <v>22.5</v>
      </c>
      <c r="I123" s="168">
        <f t="shared" si="9"/>
        <v>172.5</v>
      </c>
    </row>
    <row r="124" spans="1:9" ht="13.2">
      <c r="A124" s="170">
        <f t="shared" si="12"/>
        <v>123</v>
      </c>
      <c r="B124" s="171" t="s">
        <v>388</v>
      </c>
      <c r="C124" s="171" t="str">
        <f>VLOOKUP(B124,MEMBERS!B:C,2, )</f>
        <v>IFTIKHAR SHAH</v>
      </c>
      <c r="D124" s="191">
        <v>45996</v>
      </c>
      <c r="E124" s="178">
        <v>2</v>
      </c>
      <c r="F124" s="171" t="s">
        <v>439</v>
      </c>
      <c r="G124" s="168">
        <f>IFERROR(VLOOKUP(F124,'menu list'!B:C,2,FALSE)*E124,"0")</f>
        <v>140</v>
      </c>
      <c r="H124" s="337">
        <f t="shared" si="8"/>
        <v>21</v>
      </c>
      <c r="I124" s="168">
        <f t="shared" si="9"/>
        <v>161</v>
      </c>
    </row>
    <row r="125" spans="1:9" ht="13.2">
      <c r="A125" s="170">
        <f t="shared" si="12"/>
        <v>124</v>
      </c>
      <c r="B125" s="171" t="s">
        <v>388</v>
      </c>
      <c r="C125" s="171" t="str">
        <f>VLOOKUP(B125,MEMBERS!B:C,2, )</f>
        <v>IFTIKHAR SHAH</v>
      </c>
      <c r="D125" s="191">
        <v>45996</v>
      </c>
      <c r="E125" s="178">
        <v>2</v>
      </c>
      <c r="F125" s="171" t="s">
        <v>443</v>
      </c>
      <c r="G125" s="168">
        <f>IFERROR(VLOOKUP(F125,'menu list'!B:C,2,FALSE)*E125,"0")</f>
        <v>300</v>
      </c>
      <c r="H125" s="337">
        <f t="shared" si="8"/>
        <v>45</v>
      </c>
      <c r="I125" s="168">
        <f t="shared" si="9"/>
        <v>345</v>
      </c>
    </row>
    <row r="126" spans="1:9" ht="13.2">
      <c r="A126" s="170">
        <f t="shared" si="12"/>
        <v>125</v>
      </c>
      <c r="B126" s="171" t="s">
        <v>388</v>
      </c>
      <c r="C126" s="171" t="str">
        <f>VLOOKUP(B126,MEMBERS!B:C,2, )</f>
        <v>IFTIKHAR SHAH</v>
      </c>
      <c r="D126" s="191">
        <v>45996</v>
      </c>
      <c r="E126" s="178">
        <v>2</v>
      </c>
      <c r="F126" s="171" t="s">
        <v>504</v>
      </c>
      <c r="G126" s="168">
        <f>IFERROR(VLOOKUP(F126,'menu list'!B:C,2,FALSE)*E126,"0")</f>
        <v>260</v>
      </c>
      <c r="H126" s="337">
        <f t="shared" si="8"/>
        <v>39</v>
      </c>
      <c r="I126" s="168">
        <f t="shared" si="9"/>
        <v>299</v>
      </c>
    </row>
    <row r="127" spans="1:9" ht="13.2">
      <c r="A127" s="170">
        <f t="shared" si="12"/>
        <v>126</v>
      </c>
      <c r="B127" s="171" t="s">
        <v>388</v>
      </c>
      <c r="C127" s="171" t="str">
        <f>VLOOKUP(B127,MEMBERS!B:C,2, )</f>
        <v>IFTIKHAR SHAH</v>
      </c>
      <c r="D127" s="191">
        <v>45996</v>
      </c>
      <c r="E127" s="178">
        <v>3</v>
      </c>
      <c r="F127" s="171" t="s">
        <v>848</v>
      </c>
      <c r="G127" s="168">
        <f>IFERROR(VLOOKUP(F127,'menu list'!B:C,2,FALSE)*E127,"0")</f>
        <v>600</v>
      </c>
      <c r="H127" s="337">
        <f t="shared" si="8"/>
        <v>90</v>
      </c>
      <c r="I127" s="168">
        <f t="shared" si="9"/>
        <v>690</v>
      </c>
    </row>
    <row r="128" spans="1:9" ht="13.2">
      <c r="A128" s="170">
        <f t="shared" si="12"/>
        <v>127</v>
      </c>
      <c r="B128" s="171" t="s">
        <v>388</v>
      </c>
      <c r="C128" s="171" t="str">
        <f>VLOOKUP(B128,MEMBERS!B:C,2, )</f>
        <v>IFTIKHAR SHAH</v>
      </c>
      <c r="D128" s="191">
        <v>45996</v>
      </c>
      <c r="E128" s="178">
        <v>3</v>
      </c>
      <c r="F128" s="171" t="s">
        <v>498</v>
      </c>
      <c r="G128" s="168">
        <f>IFERROR(VLOOKUP(F128,'menu list'!B:C,2,FALSE)*E128,"0")</f>
        <v>600</v>
      </c>
      <c r="H128" s="337">
        <f t="shared" si="8"/>
        <v>90</v>
      </c>
      <c r="I128" s="168">
        <f t="shared" si="9"/>
        <v>690</v>
      </c>
    </row>
    <row r="129" spans="1:9" ht="13.2">
      <c r="A129" s="170">
        <f t="shared" si="12"/>
        <v>128</v>
      </c>
      <c r="B129" s="171" t="s">
        <v>187</v>
      </c>
      <c r="C129" s="171" t="str">
        <f>VLOOKUP(B129,MEMBERS!B:C,2, )</f>
        <v>MR.SHAN ELAHI SEHGAL</v>
      </c>
      <c r="D129" s="191">
        <v>45996</v>
      </c>
      <c r="E129" s="178">
        <v>1</v>
      </c>
      <c r="F129" s="171" t="s">
        <v>499</v>
      </c>
      <c r="G129" s="168">
        <f>IFERROR(VLOOKUP(F129,'menu list'!B:C,2,FALSE)*E129,"0")</f>
        <v>100</v>
      </c>
      <c r="H129" s="337">
        <f t="shared" si="8"/>
        <v>15</v>
      </c>
      <c r="I129" s="168">
        <f t="shared" si="9"/>
        <v>115</v>
      </c>
    </row>
    <row r="130" spans="1:9" ht="13.2">
      <c r="A130" s="170">
        <f t="shared" si="12"/>
        <v>129</v>
      </c>
      <c r="B130" s="171" t="s">
        <v>187</v>
      </c>
      <c r="C130" s="171" t="str">
        <f>VLOOKUP(B130,MEMBERS!B:C,2, )</f>
        <v>MR.SHAN ELAHI SEHGAL</v>
      </c>
      <c r="D130" s="191">
        <v>45996</v>
      </c>
      <c r="E130" s="178">
        <v>1</v>
      </c>
      <c r="F130" s="171" t="s">
        <v>739</v>
      </c>
      <c r="G130" s="168">
        <f>IFERROR(VLOOKUP(F130,'menu list'!B:C,2,FALSE)*E130,"0")</f>
        <v>400</v>
      </c>
      <c r="H130" s="337">
        <f t="shared" si="8"/>
        <v>60</v>
      </c>
      <c r="I130" s="168">
        <f t="shared" si="9"/>
        <v>460</v>
      </c>
    </row>
    <row r="131" spans="1:9" ht="13.2">
      <c r="A131" s="170">
        <f t="shared" si="12"/>
        <v>130</v>
      </c>
      <c r="B131" s="171" t="s">
        <v>187</v>
      </c>
      <c r="C131" s="171" t="str">
        <f>VLOOKUP(B131,MEMBERS!B:C,2, )</f>
        <v>MR.SHAN ELAHI SEHGAL</v>
      </c>
      <c r="D131" s="191">
        <v>45996</v>
      </c>
      <c r="E131" s="178">
        <v>2</v>
      </c>
      <c r="F131" s="171" t="s">
        <v>439</v>
      </c>
      <c r="G131" s="168">
        <f>IFERROR(VLOOKUP(F131,'menu list'!B:C,2,FALSE)*E131,"0")</f>
        <v>140</v>
      </c>
      <c r="H131" s="337">
        <f t="shared" ref="H131:H194" si="13">G131*15/100</f>
        <v>21</v>
      </c>
      <c r="I131" s="168">
        <f t="shared" ref="I131:I194" si="14">G131+H131</f>
        <v>161</v>
      </c>
    </row>
    <row r="132" spans="1:9" ht="13.2">
      <c r="A132" s="170">
        <f t="shared" si="12"/>
        <v>131</v>
      </c>
      <c r="B132" s="171" t="s">
        <v>187</v>
      </c>
      <c r="C132" s="171" t="str">
        <f>VLOOKUP(B132,MEMBERS!B:C,2, )</f>
        <v>MR.SHAN ELAHI SEHGAL</v>
      </c>
      <c r="D132" s="191">
        <v>45996</v>
      </c>
      <c r="E132" s="178">
        <v>1</v>
      </c>
      <c r="F132" s="171" t="s">
        <v>498</v>
      </c>
      <c r="G132" s="168">
        <f>IFERROR(VLOOKUP(F132,'menu list'!B:C,2,FALSE)*E132,"0")</f>
        <v>200</v>
      </c>
      <c r="H132" s="337">
        <f t="shared" si="13"/>
        <v>30</v>
      </c>
      <c r="I132" s="168">
        <f t="shared" si="14"/>
        <v>230</v>
      </c>
    </row>
    <row r="133" spans="1:9" ht="13.2">
      <c r="A133" s="170">
        <f t="shared" si="12"/>
        <v>132</v>
      </c>
      <c r="B133" s="171" t="s">
        <v>1024</v>
      </c>
      <c r="C133" s="171" t="str">
        <f>VLOOKUP(B133,MEMBERS!B:C,2, )</f>
        <v>MR. ANEEL ZAHOOR</v>
      </c>
      <c r="D133" s="191">
        <v>45996</v>
      </c>
      <c r="E133" s="178">
        <v>1</v>
      </c>
      <c r="F133" s="171" t="s">
        <v>611</v>
      </c>
      <c r="G133" s="168">
        <f>IFERROR(VLOOKUP(F133,'menu list'!B:C,2,FALSE)*E133,"0")</f>
        <v>400</v>
      </c>
      <c r="H133" s="337">
        <f t="shared" si="13"/>
        <v>60</v>
      </c>
      <c r="I133" s="168">
        <f t="shared" si="14"/>
        <v>460</v>
      </c>
    </row>
    <row r="134" spans="1:9" ht="13.2">
      <c r="A134" s="170">
        <f t="shared" si="12"/>
        <v>133</v>
      </c>
      <c r="B134" s="171" t="s">
        <v>1024</v>
      </c>
      <c r="C134" s="171" t="str">
        <f>VLOOKUP(B134,MEMBERS!B:C,2, )</f>
        <v>MR. ANEEL ZAHOOR</v>
      </c>
      <c r="D134" s="191">
        <v>45996</v>
      </c>
      <c r="E134" s="178">
        <v>2</v>
      </c>
      <c r="F134" s="171" t="s">
        <v>499</v>
      </c>
      <c r="G134" s="168">
        <f>IFERROR(VLOOKUP(F134,'menu list'!B:C,2,FALSE)*E134,"0")</f>
        <v>200</v>
      </c>
      <c r="H134" s="337">
        <f t="shared" si="13"/>
        <v>30</v>
      </c>
      <c r="I134" s="168">
        <f t="shared" si="14"/>
        <v>230</v>
      </c>
    </row>
    <row r="135" spans="1:9" ht="13.2">
      <c r="A135" s="170">
        <f t="shared" ref="A135:A153" si="15">IF(D135&lt;&gt;"", ROW()-1, "")</f>
        <v>134</v>
      </c>
      <c r="B135" s="171" t="s">
        <v>1024</v>
      </c>
      <c r="C135" s="171" t="str">
        <f>VLOOKUP(B135,MEMBERS!B:C,2, )</f>
        <v>MR. ANEEL ZAHOOR</v>
      </c>
      <c r="D135" s="191">
        <v>45996</v>
      </c>
      <c r="E135" s="178">
        <v>2</v>
      </c>
      <c r="F135" s="171" t="s">
        <v>633</v>
      </c>
      <c r="G135" s="168">
        <f>IFERROR(VLOOKUP(F135,'menu list'!B:C,2,FALSE)*E135,"0")</f>
        <v>1400</v>
      </c>
      <c r="H135" s="337">
        <f t="shared" si="13"/>
        <v>210</v>
      </c>
      <c r="I135" s="168">
        <f t="shared" si="14"/>
        <v>1610</v>
      </c>
    </row>
    <row r="136" spans="1:9" ht="13.2">
      <c r="A136" s="170">
        <f t="shared" si="15"/>
        <v>135</v>
      </c>
      <c r="B136" s="171" t="s">
        <v>1024</v>
      </c>
      <c r="C136" s="171" t="str">
        <f>VLOOKUP(B136,MEMBERS!B:C,2, )</f>
        <v>MR. ANEEL ZAHOOR</v>
      </c>
      <c r="D136" s="191">
        <v>45996</v>
      </c>
      <c r="E136" s="178">
        <v>2</v>
      </c>
      <c r="F136" s="171" t="s">
        <v>498</v>
      </c>
      <c r="G136" s="168">
        <f>IFERROR(VLOOKUP(F136,'menu list'!B:C,2,FALSE)*E136,"0")</f>
        <v>400</v>
      </c>
      <c r="H136" s="337">
        <f t="shared" si="13"/>
        <v>60</v>
      </c>
      <c r="I136" s="168">
        <f t="shared" si="14"/>
        <v>460</v>
      </c>
    </row>
    <row r="137" spans="1:9" ht="13.2">
      <c r="A137" s="170">
        <f t="shared" si="15"/>
        <v>136</v>
      </c>
      <c r="B137" s="171" t="s">
        <v>385</v>
      </c>
      <c r="C137" s="171" t="str">
        <f>VLOOKUP(B137,MEMBERS!B:C,2, )</f>
        <v>AYSM MIRZA</v>
      </c>
      <c r="D137" s="191">
        <v>45996</v>
      </c>
      <c r="E137" s="178">
        <v>3</v>
      </c>
      <c r="F137" s="171" t="s">
        <v>442</v>
      </c>
      <c r="G137" s="168">
        <f>IFERROR(VLOOKUP(F137,'menu list'!B:C,2,FALSE)*E137,"0")</f>
        <v>450</v>
      </c>
      <c r="H137" s="337">
        <f t="shared" si="13"/>
        <v>67.5</v>
      </c>
      <c r="I137" s="168">
        <f t="shared" si="14"/>
        <v>517.5</v>
      </c>
    </row>
    <row r="138" spans="1:9" ht="13.2">
      <c r="A138" s="170">
        <f t="shared" si="15"/>
        <v>137</v>
      </c>
      <c r="B138" s="171" t="s">
        <v>385</v>
      </c>
      <c r="C138" s="171" t="str">
        <f>VLOOKUP(B138,MEMBERS!B:C,2, )</f>
        <v>AYSM MIRZA</v>
      </c>
      <c r="D138" s="191">
        <v>45996</v>
      </c>
      <c r="E138" s="178">
        <v>2</v>
      </c>
      <c r="F138" s="171" t="s">
        <v>633</v>
      </c>
      <c r="G138" s="168">
        <f>IFERROR(VLOOKUP(F138,'menu list'!B:C,2,FALSE)*E138,"0")</f>
        <v>1400</v>
      </c>
      <c r="H138" s="337">
        <f t="shared" si="13"/>
        <v>210</v>
      </c>
      <c r="I138" s="168">
        <f t="shared" si="14"/>
        <v>1610</v>
      </c>
    </row>
    <row r="139" spans="1:9" ht="13.2">
      <c r="A139" s="170">
        <f t="shared" si="15"/>
        <v>138</v>
      </c>
      <c r="B139" s="171" t="s">
        <v>385</v>
      </c>
      <c r="C139" s="171" t="str">
        <f>VLOOKUP(B139,MEMBERS!B:C,2, )</f>
        <v>AYSM MIRZA</v>
      </c>
      <c r="D139" s="191">
        <v>45996</v>
      </c>
      <c r="E139" s="178">
        <v>1</v>
      </c>
      <c r="F139" s="171" t="s">
        <v>784</v>
      </c>
      <c r="G139" s="168">
        <f>IFERROR(VLOOKUP(F139,'menu list'!B:C,2,FALSE)*E139,"0")</f>
        <v>750</v>
      </c>
      <c r="H139" s="337">
        <f t="shared" si="13"/>
        <v>112.5</v>
      </c>
      <c r="I139" s="168">
        <f t="shared" si="14"/>
        <v>862.5</v>
      </c>
    </row>
    <row r="140" spans="1:9" ht="13.2">
      <c r="A140" s="170">
        <f t="shared" si="15"/>
        <v>139</v>
      </c>
      <c r="B140" s="171" t="s">
        <v>273</v>
      </c>
      <c r="C140" s="171" t="str">
        <f>VLOOKUP(B140,MEMBERS!B:C,2, )</f>
        <v>MR.SYED MURTAZA ALI</v>
      </c>
      <c r="D140" s="191">
        <v>45996</v>
      </c>
      <c r="E140" s="178">
        <v>1</v>
      </c>
      <c r="F140" s="171" t="s">
        <v>601</v>
      </c>
      <c r="G140" s="168">
        <f>IFERROR(VLOOKUP(F140,'menu list'!B:C,2,FALSE)*E140,"0")</f>
        <v>1200</v>
      </c>
      <c r="H140" s="337">
        <f t="shared" si="13"/>
        <v>180</v>
      </c>
      <c r="I140" s="168">
        <f t="shared" si="14"/>
        <v>1380</v>
      </c>
    </row>
    <row r="141" spans="1:9" ht="13.2">
      <c r="A141" s="170">
        <f t="shared" si="15"/>
        <v>140</v>
      </c>
      <c r="B141" s="171" t="s">
        <v>273</v>
      </c>
      <c r="C141" s="171" t="str">
        <f>VLOOKUP(B141,MEMBERS!B:C,2, )</f>
        <v>MR.SYED MURTAZA ALI</v>
      </c>
      <c r="D141" s="191">
        <v>45996</v>
      </c>
      <c r="E141" s="178">
        <v>1</v>
      </c>
      <c r="F141" s="171" t="s">
        <v>442</v>
      </c>
      <c r="G141" s="168">
        <f>IFERROR(VLOOKUP(F141,'menu list'!B:C,2,FALSE)*E141,"0")</f>
        <v>150</v>
      </c>
      <c r="H141" s="337">
        <f t="shared" si="13"/>
        <v>22.5</v>
      </c>
      <c r="I141" s="168">
        <f t="shared" si="14"/>
        <v>172.5</v>
      </c>
    </row>
    <row r="142" spans="1:9" ht="13.2">
      <c r="A142" s="170">
        <f t="shared" si="15"/>
        <v>141</v>
      </c>
      <c r="B142" s="171" t="s">
        <v>374</v>
      </c>
      <c r="C142" s="171" t="str">
        <f>VLOOKUP(B142,MEMBERS!B:C,2, )</f>
        <v>AAMIR RASOOL</v>
      </c>
      <c r="D142" s="191">
        <v>45996</v>
      </c>
      <c r="E142" s="178">
        <v>3</v>
      </c>
      <c r="F142" s="171" t="s">
        <v>766</v>
      </c>
      <c r="G142" s="168">
        <f>IFERROR(VLOOKUP(F142,'menu list'!B:C,2,FALSE)*E142,"0")</f>
        <v>1650</v>
      </c>
      <c r="H142" s="337">
        <f t="shared" si="13"/>
        <v>247.5</v>
      </c>
      <c r="I142" s="168">
        <f t="shared" si="14"/>
        <v>1897.5</v>
      </c>
    </row>
    <row r="143" spans="1:9" ht="13.2">
      <c r="A143" s="170">
        <f t="shared" si="15"/>
        <v>142</v>
      </c>
      <c r="B143" s="171" t="s">
        <v>374</v>
      </c>
      <c r="C143" s="171" t="str">
        <f>VLOOKUP(B143,MEMBERS!B:C,2, )</f>
        <v>AAMIR RASOOL</v>
      </c>
      <c r="D143" s="191">
        <v>45996</v>
      </c>
      <c r="E143" s="178">
        <v>2</v>
      </c>
      <c r="F143" s="171" t="s">
        <v>858</v>
      </c>
      <c r="G143" s="168">
        <f>IFERROR(VLOOKUP(F143,'menu list'!B:C,2,FALSE)*E143,"0")</f>
        <v>1000</v>
      </c>
      <c r="H143" s="337">
        <f t="shared" si="13"/>
        <v>150</v>
      </c>
      <c r="I143" s="168">
        <f t="shared" si="14"/>
        <v>1150</v>
      </c>
    </row>
    <row r="144" spans="1:9" ht="13.2">
      <c r="A144" s="170">
        <f t="shared" si="15"/>
        <v>143</v>
      </c>
      <c r="B144" s="171" t="s">
        <v>374</v>
      </c>
      <c r="C144" s="171" t="str">
        <f>VLOOKUP(B144,MEMBERS!B:C,2, )</f>
        <v>AAMIR RASOOL</v>
      </c>
      <c r="D144" s="191">
        <v>45996</v>
      </c>
      <c r="E144" s="178">
        <v>1</v>
      </c>
      <c r="F144" s="171" t="s">
        <v>844</v>
      </c>
      <c r="G144" s="168">
        <f>IFERROR(VLOOKUP(F144,'menu list'!B:C,2,FALSE)*E144,"0")</f>
        <v>900</v>
      </c>
      <c r="H144" s="337">
        <f t="shared" si="13"/>
        <v>135</v>
      </c>
      <c r="I144" s="168">
        <f t="shared" si="14"/>
        <v>1035</v>
      </c>
    </row>
    <row r="145" spans="1:9" ht="13.2">
      <c r="A145" s="170">
        <f t="shared" si="15"/>
        <v>144</v>
      </c>
      <c r="B145" s="171" t="s">
        <v>374</v>
      </c>
      <c r="C145" s="171" t="str">
        <f>VLOOKUP(B145,MEMBERS!B:C,2, )</f>
        <v>AAMIR RASOOL</v>
      </c>
      <c r="D145" s="191">
        <v>45996</v>
      </c>
      <c r="E145" s="178">
        <v>2</v>
      </c>
      <c r="F145" s="171" t="s">
        <v>499</v>
      </c>
      <c r="G145" s="168">
        <f>IFERROR(VLOOKUP(F145,'menu list'!B:C,2,FALSE)*E145,"0")</f>
        <v>200</v>
      </c>
      <c r="H145" s="337">
        <f t="shared" si="13"/>
        <v>30</v>
      </c>
      <c r="I145" s="168">
        <f t="shared" si="14"/>
        <v>230</v>
      </c>
    </row>
    <row r="146" spans="1:9" ht="13.2">
      <c r="A146" s="170">
        <f t="shared" si="15"/>
        <v>145</v>
      </c>
      <c r="B146" s="171" t="s">
        <v>374</v>
      </c>
      <c r="C146" s="171" t="str">
        <f>VLOOKUP(B146,MEMBERS!B:C,2, )</f>
        <v>AAMIR RASOOL</v>
      </c>
      <c r="D146" s="191">
        <v>45996</v>
      </c>
      <c r="E146" s="178">
        <v>1</v>
      </c>
      <c r="F146" s="171" t="s">
        <v>440</v>
      </c>
      <c r="G146" s="168">
        <f>IFERROR(VLOOKUP(F146,'menu list'!B:C,2,FALSE)*E146,"0")</f>
        <v>150</v>
      </c>
      <c r="H146" s="337">
        <f t="shared" si="13"/>
        <v>22.5</v>
      </c>
      <c r="I146" s="168">
        <f t="shared" si="14"/>
        <v>172.5</v>
      </c>
    </row>
    <row r="147" spans="1:9" ht="13.2">
      <c r="A147" s="170">
        <f t="shared" si="15"/>
        <v>146</v>
      </c>
      <c r="B147" s="171" t="s">
        <v>374</v>
      </c>
      <c r="C147" s="171" t="str">
        <f>VLOOKUP(B147,MEMBERS!B:C,2, )</f>
        <v>AAMIR RASOOL</v>
      </c>
      <c r="D147" s="191">
        <v>45996</v>
      </c>
      <c r="E147" s="178">
        <v>4</v>
      </c>
      <c r="F147" s="171" t="s">
        <v>442</v>
      </c>
      <c r="G147" s="168">
        <f>IFERROR(VLOOKUP(F147,'menu list'!B:C,2,FALSE)*E147,"0")</f>
        <v>600</v>
      </c>
      <c r="H147" s="337">
        <f t="shared" si="13"/>
        <v>90</v>
      </c>
      <c r="I147" s="168">
        <f t="shared" si="14"/>
        <v>690</v>
      </c>
    </row>
    <row r="148" spans="1:9" ht="13.2">
      <c r="A148" s="170">
        <f t="shared" si="15"/>
        <v>147</v>
      </c>
      <c r="B148" s="171" t="s">
        <v>44</v>
      </c>
      <c r="C148" s="171" t="str">
        <f>VLOOKUP(B148,MEMBERS!B:C,2, )</f>
        <v>MR.MUHAMMAD RIZWAN</v>
      </c>
      <c r="D148" s="191">
        <v>45996</v>
      </c>
      <c r="E148" s="178">
        <v>2</v>
      </c>
      <c r="F148" s="171" t="s">
        <v>498</v>
      </c>
      <c r="G148" s="168">
        <f>IFERROR(VLOOKUP(F148,'menu list'!B:C,2,FALSE)*E148,"0")</f>
        <v>400</v>
      </c>
      <c r="H148" s="337">
        <f t="shared" si="13"/>
        <v>60</v>
      </c>
      <c r="I148" s="168">
        <f t="shared" si="14"/>
        <v>460</v>
      </c>
    </row>
    <row r="149" spans="1:9" ht="13.2">
      <c r="A149" s="170">
        <f t="shared" si="15"/>
        <v>148</v>
      </c>
      <c r="B149" s="171" t="s">
        <v>44</v>
      </c>
      <c r="C149" s="171" t="str">
        <f>VLOOKUP(B149,MEMBERS!B:C,2, )</f>
        <v>MR.MUHAMMAD RIZWAN</v>
      </c>
      <c r="D149" s="191">
        <v>45996</v>
      </c>
      <c r="E149" s="178">
        <v>1</v>
      </c>
      <c r="F149" s="171" t="s">
        <v>499</v>
      </c>
      <c r="G149" s="168">
        <f>IFERROR(VLOOKUP(F149,'menu list'!B:C,2,FALSE)*E149,"0")</f>
        <v>100</v>
      </c>
      <c r="H149" s="337">
        <f t="shared" si="13"/>
        <v>15</v>
      </c>
      <c r="I149" s="168">
        <f t="shared" si="14"/>
        <v>115</v>
      </c>
    </row>
    <row r="150" spans="1:9" ht="13.2">
      <c r="A150" s="170">
        <f t="shared" si="15"/>
        <v>149</v>
      </c>
      <c r="B150" s="171" t="s">
        <v>395</v>
      </c>
      <c r="C150" s="171" t="str">
        <f>VLOOKUP(B150,MEMBERS!B:C,2, )</f>
        <v>BAHRIA INTERNATIONAL HOSPITAL</v>
      </c>
      <c r="D150" s="191">
        <v>45996</v>
      </c>
      <c r="E150" s="178">
        <v>8</v>
      </c>
      <c r="F150" s="171" t="s">
        <v>611</v>
      </c>
      <c r="G150" s="168">
        <f>IFERROR(VLOOKUP(F150,'menu list'!B:C,2,FALSE)*E150,"0")</f>
        <v>3200</v>
      </c>
      <c r="H150" s="337"/>
      <c r="I150" s="168">
        <f t="shared" si="14"/>
        <v>3200</v>
      </c>
    </row>
    <row r="151" spans="1:9" ht="13.2">
      <c r="A151" s="170">
        <f t="shared" si="15"/>
        <v>150</v>
      </c>
      <c r="B151" s="171" t="s">
        <v>395</v>
      </c>
      <c r="C151" s="171" t="str">
        <f>VLOOKUP(B151,MEMBERS!B:C,2, )</f>
        <v>BAHRIA INTERNATIONAL HOSPITAL</v>
      </c>
      <c r="D151" s="191">
        <v>45996</v>
      </c>
      <c r="E151" s="178">
        <v>30</v>
      </c>
      <c r="F151" s="171" t="s">
        <v>775</v>
      </c>
      <c r="G151" s="168">
        <f>IFERROR(VLOOKUP(F151,'menu list'!B:C,2,FALSE)*E151,"0")</f>
        <v>3000</v>
      </c>
      <c r="H151" s="337"/>
      <c r="I151" s="168">
        <f t="shared" si="14"/>
        <v>3000</v>
      </c>
    </row>
    <row r="152" spans="1:9" ht="13.2">
      <c r="A152" s="170">
        <f t="shared" si="15"/>
        <v>151</v>
      </c>
      <c r="B152" s="171" t="s">
        <v>395</v>
      </c>
      <c r="C152" s="171" t="str">
        <f>VLOOKUP(B152,MEMBERS!B:C,2, )</f>
        <v>BAHRIA INTERNATIONAL HOSPITAL</v>
      </c>
      <c r="D152" s="191">
        <v>45996</v>
      </c>
      <c r="E152" s="178">
        <v>15</v>
      </c>
      <c r="F152" s="171" t="s">
        <v>516</v>
      </c>
      <c r="G152" s="168">
        <f>IFERROR(VLOOKUP(F152,'menu list'!B:C,2,FALSE)*E152,"0")</f>
        <v>3750</v>
      </c>
      <c r="H152" s="337"/>
      <c r="I152" s="168">
        <f t="shared" si="14"/>
        <v>3750</v>
      </c>
    </row>
    <row r="153" spans="1:9" ht="13.2">
      <c r="A153" s="170">
        <f t="shared" si="15"/>
        <v>152</v>
      </c>
      <c r="B153" s="171" t="s">
        <v>395</v>
      </c>
      <c r="C153" s="171" t="str">
        <f>VLOOKUP(B153,MEMBERS!B:C,2, )</f>
        <v>BAHRIA INTERNATIONAL HOSPITAL</v>
      </c>
      <c r="D153" s="191">
        <v>45996</v>
      </c>
      <c r="E153" s="178">
        <v>6</v>
      </c>
      <c r="F153" s="171" t="s">
        <v>558</v>
      </c>
      <c r="G153" s="168">
        <f>IFERROR(VLOOKUP(F153,'menu list'!B:C,2,FALSE)*E153,"0")</f>
        <v>900</v>
      </c>
      <c r="H153" s="337"/>
      <c r="I153" s="168">
        <f t="shared" si="14"/>
        <v>900</v>
      </c>
    </row>
    <row r="154" spans="1:9" ht="13.2">
      <c r="A154" s="170">
        <f t="shared" si="12"/>
        <v>153</v>
      </c>
      <c r="B154" s="171" t="s">
        <v>258</v>
      </c>
      <c r="C154" s="171" t="str">
        <f>VLOOKUP(B154,MEMBERS!B:C,2, )</f>
        <v>BRIG DR. GHULAM MEHDI (Retd)</v>
      </c>
      <c r="D154" s="191">
        <v>45997</v>
      </c>
      <c r="E154" s="178">
        <v>2</v>
      </c>
      <c r="F154" s="171" t="s">
        <v>1163</v>
      </c>
      <c r="G154" s="168">
        <f>IFERROR(VLOOKUP(F154,'menu list'!B:C,2,FALSE)*E154,"0")</f>
        <v>2000</v>
      </c>
      <c r="H154" s="337">
        <f t="shared" si="13"/>
        <v>300</v>
      </c>
      <c r="I154" s="168">
        <f t="shared" si="14"/>
        <v>2300</v>
      </c>
    </row>
    <row r="155" spans="1:9" ht="13.2">
      <c r="A155" s="170">
        <f t="shared" ref="A155:A218" si="16">IF(D155&lt;&gt;"", ROW()-1, "")</f>
        <v>154</v>
      </c>
      <c r="B155" s="171" t="s">
        <v>258</v>
      </c>
      <c r="C155" s="171" t="str">
        <f>VLOOKUP(B155,MEMBERS!B:C,2, )</f>
        <v>BRIG DR. GHULAM MEHDI (Retd)</v>
      </c>
      <c r="D155" s="191">
        <v>45997</v>
      </c>
      <c r="E155" s="178">
        <v>2</v>
      </c>
      <c r="F155" s="171" t="s">
        <v>1164</v>
      </c>
      <c r="G155" s="168">
        <f>IFERROR(VLOOKUP(F155,'menu list'!B:C,2,FALSE)*E155,"0")</f>
        <v>3600</v>
      </c>
      <c r="H155" s="337">
        <f t="shared" si="13"/>
        <v>540</v>
      </c>
      <c r="I155" s="168">
        <f t="shared" si="14"/>
        <v>4140</v>
      </c>
    </row>
    <row r="156" spans="1:9" ht="13.2">
      <c r="A156" s="170">
        <f t="shared" si="16"/>
        <v>155</v>
      </c>
      <c r="B156" s="171" t="s">
        <v>258</v>
      </c>
      <c r="C156" s="171" t="str">
        <f>VLOOKUP(B156,MEMBERS!B:C,2, )</f>
        <v>BRIG DR. GHULAM MEHDI (Retd)</v>
      </c>
      <c r="D156" s="191">
        <v>45997</v>
      </c>
      <c r="E156" s="178">
        <v>1</v>
      </c>
      <c r="F156" s="171" t="s">
        <v>1167</v>
      </c>
      <c r="G156" s="168">
        <f>IFERROR(VLOOKUP(F156,'menu list'!B:C,2,FALSE)*E156,"0")</f>
        <v>1800</v>
      </c>
      <c r="H156" s="337">
        <f t="shared" si="13"/>
        <v>270</v>
      </c>
      <c r="I156" s="168">
        <f t="shared" si="14"/>
        <v>2070</v>
      </c>
    </row>
    <row r="157" spans="1:9" ht="13.2">
      <c r="A157" s="170">
        <f t="shared" si="16"/>
        <v>156</v>
      </c>
      <c r="B157" s="171" t="s">
        <v>258</v>
      </c>
      <c r="C157" s="171" t="str">
        <f>VLOOKUP(B157,MEMBERS!B:C,2, )</f>
        <v>BRIG DR. GHULAM MEHDI (Retd)</v>
      </c>
      <c r="D157" s="191">
        <v>45997</v>
      </c>
      <c r="E157" s="178">
        <v>1</v>
      </c>
      <c r="F157" s="171" t="s">
        <v>733</v>
      </c>
      <c r="G157" s="168">
        <f>IFERROR(VLOOKUP(F157,'menu list'!B:C,2,FALSE)*E157,"0")</f>
        <v>300</v>
      </c>
      <c r="H157" s="337">
        <f t="shared" si="13"/>
        <v>45</v>
      </c>
      <c r="I157" s="168">
        <f t="shared" si="14"/>
        <v>345</v>
      </c>
    </row>
    <row r="158" spans="1:9" ht="13.2">
      <c r="A158" s="170">
        <f t="shared" si="16"/>
        <v>157</v>
      </c>
      <c r="B158" s="171" t="s">
        <v>258</v>
      </c>
      <c r="C158" s="171" t="str">
        <f>VLOOKUP(B158,MEMBERS!B:C,2, )</f>
        <v>BRIG DR. GHULAM MEHDI (Retd)</v>
      </c>
      <c r="D158" s="191">
        <v>45997</v>
      </c>
      <c r="E158" s="178">
        <v>2</v>
      </c>
      <c r="F158" s="171" t="s">
        <v>499</v>
      </c>
      <c r="G158" s="168">
        <f>IFERROR(VLOOKUP(F158,'menu list'!B:C,2,FALSE)*E158,"0")</f>
        <v>200</v>
      </c>
      <c r="H158" s="337">
        <f t="shared" si="13"/>
        <v>30</v>
      </c>
      <c r="I158" s="168">
        <f t="shared" si="14"/>
        <v>230</v>
      </c>
    </row>
    <row r="159" spans="1:9" ht="13.2">
      <c r="A159" s="170">
        <f t="shared" si="16"/>
        <v>158</v>
      </c>
      <c r="B159" s="171" t="s">
        <v>426</v>
      </c>
      <c r="C159" s="171" t="str">
        <f>VLOOKUP(B159,MEMBERS!B:C,2, )</f>
        <v>NASIR ABBAS</v>
      </c>
      <c r="D159" s="191">
        <v>45997</v>
      </c>
      <c r="E159" s="178">
        <v>3</v>
      </c>
      <c r="F159" s="171" t="s">
        <v>1165</v>
      </c>
      <c r="G159" s="168">
        <f>IFERROR(VLOOKUP(F159,'menu list'!B:C,2,FALSE)*E159,"0")</f>
        <v>3300</v>
      </c>
      <c r="H159" s="337">
        <f t="shared" si="13"/>
        <v>495</v>
      </c>
      <c r="I159" s="168">
        <f t="shared" si="14"/>
        <v>3795</v>
      </c>
    </row>
    <row r="160" spans="1:9" ht="13.2">
      <c r="A160" s="170">
        <f t="shared" si="16"/>
        <v>159</v>
      </c>
      <c r="B160" s="171" t="s">
        <v>426</v>
      </c>
      <c r="C160" s="171" t="str">
        <f>VLOOKUP(B160,MEMBERS!B:C,2, )</f>
        <v>NASIR ABBAS</v>
      </c>
      <c r="D160" s="191">
        <v>45997</v>
      </c>
      <c r="E160" s="178">
        <v>3</v>
      </c>
      <c r="F160" s="171" t="s">
        <v>1166</v>
      </c>
      <c r="G160" s="168">
        <f>IFERROR(VLOOKUP(F160,'menu list'!B:C,2,FALSE)*E160,"0")</f>
        <v>4200</v>
      </c>
      <c r="H160" s="337">
        <f t="shared" si="13"/>
        <v>630</v>
      </c>
      <c r="I160" s="168">
        <f t="shared" si="14"/>
        <v>4830</v>
      </c>
    </row>
    <row r="161" spans="1:9" ht="13.2">
      <c r="A161" s="170">
        <f t="shared" si="16"/>
        <v>160</v>
      </c>
      <c r="B161" s="171" t="s">
        <v>426</v>
      </c>
      <c r="C161" s="171" t="str">
        <f>VLOOKUP(B161,MEMBERS!B:C,2, )</f>
        <v>NASIR ABBAS</v>
      </c>
      <c r="D161" s="191">
        <v>45997</v>
      </c>
      <c r="E161" s="178">
        <v>3</v>
      </c>
      <c r="F161" s="171" t="s">
        <v>1164</v>
      </c>
      <c r="G161" s="168">
        <f>IFERROR(VLOOKUP(F161,'menu list'!B:C,2,FALSE)*E161,"0")</f>
        <v>5400</v>
      </c>
      <c r="H161" s="337">
        <f t="shared" si="13"/>
        <v>810</v>
      </c>
      <c r="I161" s="168">
        <f t="shared" si="14"/>
        <v>6210</v>
      </c>
    </row>
    <row r="162" spans="1:9" ht="13.2">
      <c r="A162" s="170">
        <f t="shared" si="16"/>
        <v>161</v>
      </c>
      <c r="B162" s="171" t="s">
        <v>426</v>
      </c>
      <c r="C162" s="171" t="str">
        <f>VLOOKUP(B162,MEMBERS!B:C,2, )</f>
        <v>NASIR ABBAS</v>
      </c>
      <c r="D162" s="191">
        <v>45997</v>
      </c>
      <c r="E162" s="178">
        <v>2</v>
      </c>
      <c r="F162" s="171" t="s">
        <v>1163</v>
      </c>
      <c r="G162" s="168">
        <f>IFERROR(VLOOKUP(F162,'menu list'!B:C,2,FALSE)*E162,"0")</f>
        <v>2000</v>
      </c>
      <c r="H162" s="337">
        <f t="shared" si="13"/>
        <v>300</v>
      </c>
      <c r="I162" s="168">
        <f t="shared" si="14"/>
        <v>2300</v>
      </c>
    </row>
    <row r="163" spans="1:9" ht="13.2">
      <c r="A163" s="170">
        <f t="shared" si="16"/>
        <v>162</v>
      </c>
      <c r="B163" s="171" t="s">
        <v>426</v>
      </c>
      <c r="C163" s="171" t="str">
        <f>VLOOKUP(B163,MEMBERS!B:C,2, )</f>
        <v>NASIR ABBAS</v>
      </c>
      <c r="D163" s="191">
        <v>45997</v>
      </c>
      <c r="E163" s="178">
        <v>3</v>
      </c>
      <c r="F163" s="171" t="s">
        <v>1167</v>
      </c>
      <c r="G163" s="168">
        <f>IFERROR(VLOOKUP(F163,'menu list'!B:C,2,FALSE)*E163,"0")</f>
        <v>5400</v>
      </c>
      <c r="H163" s="337">
        <f t="shared" si="13"/>
        <v>810</v>
      </c>
      <c r="I163" s="168">
        <f t="shared" si="14"/>
        <v>6210</v>
      </c>
    </row>
    <row r="164" spans="1:9" ht="13.2">
      <c r="A164" s="170">
        <f t="shared" si="16"/>
        <v>163</v>
      </c>
      <c r="B164" s="171" t="s">
        <v>426</v>
      </c>
      <c r="C164" s="171" t="str">
        <f>VLOOKUP(B164,MEMBERS!B:C,2, )</f>
        <v>NASIR ABBAS</v>
      </c>
      <c r="D164" s="191">
        <v>45997</v>
      </c>
      <c r="E164" s="178">
        <v>1</v>
      </c>
      <c r="F164" s="171" t="s">
        <v>440</v>
      </c>
      <c r="G164" s="168">
        <f>IFERROR(VLOOKUP(F164,'menu list'!B:C,2,FALSE)*E164,"0")</f>
        <v>150</v>
      </c>
      <c r="H164" s="337">
        <f t="shared" si="13"/>
        <v>22.5</v>
      </c>
      <c r="I164" s="168">
        <f t="shared" si="14"/>
        <v>172.5</v>
      </c>
    </row>
    <row r="165" spans="1:9" ht="13.2">
      <c r="A165" s="170">
        <f t="shared" si="16"/>
        <v>164</v>
      </c>
      <c r="B165" s="171" t="s">
        <v>426</v>
      </c>
      <c r="C165" s="171" t="str">
        <f>VLOOKUP(B165,MEMBERS!B:C,2, )</f>
        <v>NASIR ABBAS</v>
      </c>
      <c r="D165" s="191">
        <v>45997</v>
      </c>
      <c r="E165" s="178">
        <v>3</v>
      </c>
      <c r="F165" s="171" t="s">
        <v>1168</v>
      </c>
      <c r="G165" s="168">
        <f>IFERROR(VLOOKUP(F165,'menu list'!B:C,2,FALSE)*E165,"0")</f>
        <v>1350</v>
      </c>
      <c r="H165" s="337">
        <f t="shared" si="13"/>
        <v>202.5</v>
      </c>
      <c r="I165" s="168">
        <f t="shared" si="14"/>
        <v>1552.5</v>
      </c>
    </row>
    <row r="166" spans="1:9" ht="13.2">
      <c r="A166" s="170">
        <f t="shared" si="16"/>
        <v>165</v>
      </c>
      <c r="B166" s="171" t="s">
        <v>430</v>
      </c>
      <c r="C166" s="171" t="str">
        <f>VLOOKUP(B166,MEMBERS!B:C,2, )</f>
        <v>SYED JIBRAN MUSHTAQ</v>
      </c>
      <c r="D166" s="191">
        <v>45997</v>
      </c>
      <c r="E166" s="178">
        <v>2</v>
      </c>
      <c r="F166" s="171" t="s">
        <v>499</v>
      </c>
      <c r="G166" s="168">
        <f>IFERROR(VLOOKUP(F166,'menu list'!B:C,2,FALSE)*E166,"0")</f>
        <v>200</v>
      </c>
      <c r="H166" s="337">
        <f t="shared" si="13"/>
        <v>30</v>
      </c>
      <c r="I166" s="168">
        <f t="shared" si="14"/>
        <v>230</v>
      </c>
    </row>
    <row r="167" spans="1:9" ht="13.2">
      <c r="A167" s="170">
        <f t="shared" si="16"/>
        <v>166</v>
      </c>
      <c r="B167" s="171" t="s">
        <v>430</v>
      </c>
      <c r="C167" s="171" t="str">
        <f>VLOOKUP(B167,MEMBERS!B:C,2, )</f>
        <v>SYED JIBRAN MUSHTAQ</v>
      </c>
      <c r="D167" s="191">
        <v>45997</v>
      </c>
      <c r="E167" s="178">
        <v>2</v>
      </c>
      <c r="F167" s="171" t="s">
        <v>1167</v>
      </c>
      <c r="G167" s="168">
        <f>IFERROR(VLOOKUP(F167,'menu list'!B:C,2,FALSE)*E167,"0")</f>
        <v>3600</v>
      </c>
      <c r="H167" s="337">
        <f t="shared" si="13"/>
        <v>540</v>
      </c>
      <c r="I167" s="168">
        <f t="shared" si="14"/>
        <v>4140</v>
      </c>
    </row>
    <row r="168" spans="1:9" ht="13.2">
      <c r="A168" s="170">
        <f t="shared" si="16"/>
        <v>167</v>
      </c>
      <c r="B168" s="171" t="s">
        <v>430</v>
      </c>
      <c r="C168" s="171" t="str">
        <f>VLOOKUP(B168,MEMBERS!B:C,2, )</f>
        <v>SYED JIBRAN MUSHTAQ</v>
      </c>
      <c r="D168" s="191">
        <v>45997</v>
      </c>
      <c r="E168" s="178">
        <v>2</v>
      </c>
      <c r="F168" s="171" t="s">
        <v>1165</v>
      </c>
      <c r="G168" s="168">
        <f>IFERROR(VLOOKUP(F168,'menu list'!B:C,2,FALSE)*E168,"0")</f>
        <v>2200</v>
      </c>
      <c r="H168" s="337">
        <f t="shared" si="13"/>
        <v>330</v>
      </c>
      <c r="I168" s="168">
        <f t="shared" si="14"/>
        <v>2530</v>
      </c>
    </row>
    <row r="169" spans="1:9" ht="13.2">
      <c r="A169" s="170">
        <f t="shared" si="16"/>
        <v>168</v>
      </c>
      <c r="B169" s="171" t="s">
        <v>430</v>
      </c>
      <c r="C169" s="171" t="str">
        <f>VLOOKUP(B169,MEMBERS!B:C,2, )</f>
        <v>SYED JIBRAN MUSHTAQ</v>
      </c>
      <c r="D169" s="191">
        <v>45997</v>
      </c>
      <c r="E169" s="178">
        <v>1</v>
      </c>
      <c r="F169" s="171" t="s">
        <v>497</v>
      </c>
      <c r="G169" s="168">
        <f>IFERROR(VLOOKUP(F169,'menu list'!B:C,2,FALSE)*E169,"0")</f>
        <v>250</v>
      </c>
      <c r="H169" s="337">
        <f t="shared" si="13"/>
        <v>37.5</v>
      </c>
      <c r="I169" s="168">
        <f t="shared" si="14"/>
        <v>287.5</v>
      </c>
    </row>
    <row r="170" spans="1:9" ht="13.2">
      <c r="A170" s="170">
        <f t="shared" si="16"/>
        <v>169</v>
      </c>
      <c r="B170" s="171" t="s">
        <v>430</v>
      </c>
      <c r="C170" s="171" t="str">
        <f>VLOOKUP(B170,MEMBERS!B:C,2, )</f>
        <v>SYED JIBRAN MUSHTAQ</v>
      </c>
      <c r="D170" s="191">
        <v>45997</v>
      </c>
      <c r="E170" s="178">
        <v>2</v>
      </c>
      <c r="F170" s="171" t="s">
        <v>1168</v>
      </c>
      <c r="G170" s="168">
        <f>IFERROR(VLOOKUP(F170,'menu list'!B:C,2,FALSE)*E170,"0")</f>
        <v>900</v>
      </c>
      <c r="H170" s="337">
        <f t="shared" si="13"/>
        <v>135</v>
      </c>
      <c r="I170" s="168">
        <f t="shared" si="14"/>
        <v>1035</v>
      </c>
    </row>
    <row r="171" spans="1:9" ht="13.2">
      <c r="A171" s="170">
        <f t="shared" si="16"/>
        <v>170</v>
      </c>
      <c r="B171" s="171" t="s">
        <v>197</v>
      </c>
      <c r="C171" s="171" t="str">
        <f>VLOOKUP(B171,MEMBERS!B:C,2, )</f>
        <v>MR.MUHAMMAD ATIF USMANI</v>
      </c>
      <c r="D171" s="191">
        <v>45997</v>
      </c>
      <c r="E171" s="178">
        <v>1</v>
      </c>
      <c r="F171" s="171" t="s">
        <v>1167</v>
      </c>
      <c r="G171" s="168">
        <f>IFERROR(VLOOKUP(F171,'menu list'!B:C,2,FALSE)*E171,"0")</f>
        <v>1800</v>
      </c>
      <c r="H171" s="337">
        <f t="shared" si="13"/>
        <v>270</v>
      </c>
      <c r="I171" s="168">
        <f t="shared" si="14"/>
        <v>2070</v>
      </c>
    </row>
    <row r="172" spans="1:9" ht="13.2">
      <c r="A172" s="170">
        <f t="shared" si="16"/>
        <v>171</v>
      </c>
      <c r="B172" s="171" t="s">
        <v>197</v>
      </c>
      <c r="C172" s="171" t="str">
        <f>VLOOKUP(B172,MEMBERS!B:C,2, )</f>
        <v>MR.MUHAMMAD ATIF USMANI</v>
      </c>
      <c r="D172" s="191">
        <v>45997</v>
      </c>
      <c r="E172" s="178">
        <v>1</v>
      </c>
      <c r="F172" s="171" t="s">
        <v>1165</v>
      </c>
      <c r="G172" s="168">
        <f>IFERROR(VLOOKUP(F172,'menu list'!B:C,2,FALSE)*E172,"0")</f>
        <v>1100</v>
      </c>
      <c r="H172" s="337">
        <f t="shared" si="13"/>
        <v>165</v>
      </c>
      <c r="I172" s="168">
        <f t="shared" si="14"/>
        <v>1265</v>
      </c>
    </row>
    <row r="173" spans="1:9" ht="13.2">
      <c r="A173" s="170">
        <f t="shared" si="16"/>
        <v>172</v>
      </c>
      <c r="B173" s="171" t="s">
        <v>230</v>
      </c>
      <c r="C173" s="171" t="str">
        <f>VLOOKUP(B173,MEMBERS!B:C,2, )</f>
        <v>MR.FAISAL MERCHANT</v>
      </c>
      <c r="D173" s="191">
        <v>45997</v>
      </c>
      <c r="E173" s="178">
        <v>4</v>
      </c>
      <c r="F173" s="171" t="s">
        <v>1167</v>
      </c>
      <c r="G173" s="168">
        <f>IFERROR(VLOOKUP(F173,'menu list'!B:C,2,FALSE)*E173,"0")</f>
        <v>7200</v>
      </c>
      <c r="H173" s="337">
        <f t="shared" si="13"/>
        <v>1080</v>
      </c>
      <c r="I173" s="168">
        <f t="shared" si="14"/>
        <v>8280</v>
      </c>
    </row>
    <row r="174" spans="1:9" ht="13.2">
      <c r="A174" s="170">
        <f t="shared" si="16"/>
        <v>173</v>
      </c>
      <c r="B174" s="171" t="s">
        <v>230</v>
      </c>
      <c r="C174" s="171" t="str">
        <f>VLOOKUP(B174,MEMBERS!B:C,2, )</f>
        <v>MR.FAISAL MERCHANT</v>
      </c>
      <c r="D174" s="191">
        <v>45997</v>
      </c>
      <c r="E174" s="178">
        <v>2</v>
      </c>
      <c r="F174" s="171" t="s">
        <v>1163</v>
      </c>
      <c r="G174" s="168">
        <f>IFERROR(VLOOKUP(F174,'menu list'!B:C,2,FALSE)*E174,"0")</f>
        <v>2000</v>
      </c>
      <c r="H174" s="337">
        <f t="shared" si="13"/>
        <v>300</v>
      </c>
      <c r="I174" s="168">
        <f t="shared" si="14"/>
        <v>2300</v>
      </c>
    </row>
    <row r="175" spans="1:9" ht="13.2">
      <c r="A175" s="170">
        <f t="shared" si="16"/>
        <v>174</v>
      </c>
      <c r="B175" s="171" t="s">
        <v>230</v>
      </c>
      <c r="C175" s="171" t="str">
        <f>VLOOKUP(B175,MEMBERS!B:C,2, )</f>
        <v>MR.FAISAL MERCHANT</v>
      </c>
      <c r="D175" s="191">
        <v>45997</v>
      </c>
      <c r="E175" s="178">
        <v>2</v>
      </c>
      <c r="F175" s="171" t="s">
        <v>1164</v>
      </c>
      <c r="G175" s="168">
        <f>IFERROR(VLOOKUP(F175,'menu list'!B:C,2,FALSE)*E175,"0")</f>
        <v>3600</v>
      </c>
      <c r="H175" s="337">
        <f t="shared" si="13"/>
        <v>540</v>
      </c>
      <c r="I175" s="168">
        <f t="shared" si="14"/>
        <v>4140</v>
      </c>
    </row>
    <row r="176" spans="1:9" ht="13.2">
      <c r="A176" s="170">
        <f t="shared" si="16"/>
        <v>175</v>
      </c>
      <c r="B176" s="171" t="s">
        <v>230</v>
      </c>
      <c r="C176" s="171" t="str">
        <f>VLOOKUP(B176,MEMBERS!B:C,2, )</f>
        <v>MR.FAISAL MERCHANT</v>
      </c>
      <c r="D176" s="191">
        <v>45997</v>
      </c>
      <c r="E176" s="178">
        <v>1</v>
      </c>
      <c r="F176" s="171" t="s">
        <v>1169</v>
      </c>
      <c r="G176" s="168">
        <f>IFERROR(VLOOKUP(F176,'menu list'!B:C,2,FALSE)*E176,"0")</f>
        <v>2000</v>
      </c>
      <c r="H176" s="337">
        <f t="shared" si="13"/>
        <v>300</v>
      </c>
      <c r="I176" s="168">
        <f t="shared" si="14"/>
        <v>2300</v>
      </c>
    </row>
    <row r="177" spans="1:9" ht="13.2">
      <c r="A177" s="170">
        <f t="shared" si="16"/>
        <v>176</v>
      </c>
      <c r="B177" s="171" t="s">
        <v>230</v>
      </c>
      <c r="C177" s="171" t="str">
        <f>VLOOKUP(B177,MEMBERS!B:C,2, )</f>
        <v>MR.FAISAL MERCHANT</v>
      </c>
      <c r="D177" s="191">
        <v>45997</v>
      </c>
      <c r="E177" s="178">
        <v>4</v>
      </c>
      <c r="F177" s="171" t="s">
        <v>1165</v>
      </c>
      <c r="G177" s="168">
        <f>IFERROR(VLOOKUP(F177,'menu list'!B:C,2,FALSE)*E177,"0")</f>
        <v>4400</v>
      </c>
      <c r="H177" s="337">
        <f t="shared" si="13"/>
        <v>660</v>
      </c>
      <c r="I177" s="168">
        <f t="shared" si="14"/>
        <v>5060</v>
      </c>
    </row>
    <row r="178" spans="1:9" ht="13.2">
      <c r="A178" s="170">
        <f t="shared" si="16"/>
        <v>177</v>
      </c>
      <c r="B178" s="171" t="s">
        <v>230</v>
      </c>
      <c r="C178" s="171" t="str">
        <f>VLOOKUP(B178,MEMBERS!B:C,2, )</f>
        <v>MR.FAISAL MERCHANT</v>
      </c>
      <c r="D178" s="191">
        <v>45997</v>
      </c>
      <c r="E178" s="178">
        <v>5</v>
      </c>
      <c r="F178" s="171" t="s">
        <v>499</v>
      </c>
      <c r="G178" s="168">
        <f>IFERROR(VLOOKUP(F178,'menu list'!B:C,2,FALSE)*E178,"0")</f>
        <v>500</v>
      </c>
      <c r="H178" s="337">
        <f t="shared" si="13"/>
        <v>75</v>
      </c>
      <c r="I178" s="168">
        <f t="shared" si="14"/>
        <v>575</v>
      </c>
    </row>
    <row r="179" spans="1:9" ht="13.2">
      <c r="A179" s="170">
        <f t="shared" si="16"/>
        <v>178</v>
      </c>
      <c r="B179" s="171" t="s">
        <v>230</v>
      </c>
      <c r="C179" s="171" t="str">
        <f>VLOOKUP(B179,MEMBERS!B:C,2, )</f>
        <v>MR.FAISAL MERCHANT</v>
      </c>
      <c r="D179" s="191">
        <v>45997</v>
      </c>
      <c r="E179" s="178">
        <v>3</v>
      </c>
      <c r="F179" s="171" t="s">
        <v>1168</v>
      </c>
      <c r="G179" s="168">
        <f>IFERROR(VLOOKUP(F179,'menu list'!B:C,2,FALSE)*E179,"0")</f>
        <v>1350</v>
      </c>
      <c r="H179" s="337">
        <f t="shared" si="13"/>
        <v>202.5</v>
      </c>
      <c r="I179" s="168">
        <f t="shared" si="14"/>
        <v>1552.5</v>
      </c>
    </row>
    <row r="180" spans="1:9" ht="13.2">
      <c r="A180" s="170">
        <f t="shared" si="16"/>
        <v>179</v>
      </c>
      <c r="B180" s="171" t="s">
        <v>15</v>
      </c>
      <c r="C180" s="171" t="str">
        <f>VLOOKUP(B180,MEMBERS!B:C,2, )</f>
        <v>MR.GHULAM NABI OTHI</v>
      </c>
      <c r="D180" s="191">
        <v>45997</v>
      </c>
      <c r="E180" s="178">
        <v>1</v>
      </c>
      <c r="F180" s="171" t="s">
        <v>440</v>
      </c>
      <c r="G180" s="168">
        <f>IFERROR(VLOOKUP(F180,'menu list'!B:C,2,FALSE)*E180,"0")</f>
        <v>150</v>
      </c>
      <c r="H180" s="337">
        <f t="shared" si="13"/>
        <v>22.5</v>
      </c>
      <c r="I180" s="168">
        <f t="shared" si="14"/>
        <v>172.5</v>
      </c>
    </row>
    <row r="181" spans="1:9" ht="13.2">
      <c r="A181" s="170">
        <f t="shared" si="16"/>
        <v>180</v>
      </c>
      <c r="B181" s="171" t="s">
        <v>15</v>
      </c>
      <c r="C181" s="171" t="str">
        <f>VLOOKUP(B181,MEMBERS!B:C,2, )</f>
        <v>MR.GHULAM NABI OTHI</v>
      </c>
      <c r="D181" s="191">
        <v>45997</v>
      </c>
      <c r="E181" s="178">
        <v>1</v>
      </c>
      <c r="F181" s="171" t="s">
        <v>501</v>
      </c>
      <c r="G181" s="168">
        <f>IFERROR(VLOOKUP(F181,'menu list'!B:C,2,FALSE)*E181,"0")</f>
        <v>1200</v>
      </c>
      <c r="H181" s="337">
        <f t="shared" si="13"/>
        <v>180</v>
      </c>
      <c r="I181" s="168">
        <f t="shared" si="14"/>
        <v>1380</v>
      </c>
    </row>
    <row r="182" spans="1:9" ht="13.2">
      <c r="A182" s="170">
        <f t="shared" si="16"/>
        <v>181</v>
      </c>
      <c r="B182" s="171" t="s">
        <v>15</v>
      </c>
      <c r="C182" s="171" t="str">
        <f>VLOOKUP(B182,MEMBERS!B:C,2, )</f>
        <v>MR.GHULAM NABI OTHI</v>
      </c>
      <c r="D182" s="191">
        <v>45997</v>
      </c>
      <c r="E182" s="178">
        <v>1</v>
      </c>
      <c r="F182" s="171" t="s">
        <v>439</v>
      </c>
      <c r="G182" s="168">
        <f>IFERROR(VLOOKUP(F182,'menu list'!B:C,2,FALSE)*E182,"0")</f>
        <v>70</v>
      </c>
      <c r="H182" s="337">
        <f t="shared" si="13"/>
        <v>10.5</v>
      </c>
      <c r="I182" s="168">
        <f t="shared" si="14"/>
        <v>80.5</v>
      </c>
    </row>
    <row r="183" spans="1:9" ht="13.2">
      <c r="A183" s="170">
        <f t="shared" si="16"/>
        <v>182</v>
      </c>
      <c r="B183" s="171" t="s">
        <v>69</v>
      </c>
      <c r="C183" s="171" t="str">
        <f>VLOOKUP(B183,MEMBERS!B:C,2, )</f>
        <v>MR.TARIQUE ZUBAIR</v>
      </c>
      <c r="D183" s="191">
        <v>45997</v>
      </c>
      <c r="E183" s="178">
        <v>1</v>
      </c>
      <c r="F183" s="171" t="s">
        <v>1169</v>
      </c>
      <c r="G183" s="168">
        <f>IFERROR(VLOOKUP(F183,'menu list'!B:C,2,FALSE)*E183,"0")</f>
        <v>2000</v>
      </c>
      <c r="H183" s="337">
        <f t="shared" si="13"/>
        <v>300</v>
      </c>
      <c r="I183" s="168">
        <f t="shared" si="14"/>
        <v>2300</v>
      </c>
    </row>
    <row r="184" spans="1:9" ht="13.2">
      <c r="A184" s="170">
        <f t="shared" si="16"/>
        <v>183</v>
      </c>
      <c r="B184" s="171" t="s">
        <v>69</v>
      </c>
      <c r="C184" s="171" t="str">
        <f>VLOOKUP(B184,MEMBERS!B:C,2, )</f>
        <v>MR.TARIQUE ZUBAIR</v>
      </c>
      <c r="D184" s="191">
        <v>45997</v>
      </c>
      <c r="E184" s="178">
        <v>2</v>
      </c>
      <c r="F184" s="171" t="s">
        <v>1166</v>
      </c>
      <c r="G184" s="168">
        <f>IFERROR(VLOOKUP(F184,'menu list'!B:C,2,FALSE)*E184,"0")</f>
        <v>2800</v>
      </c>
      <c r="H184" s="337">
        <f t="shared" si="13"/>
        <v>420</v>
      </c>
      <c r="I184" s="168">
        <f t="shared" si="14"/>
        <v>3220</v>
      </c>
    </row>
    <row r="185" spans="1:9" ht="13.2">
      <c r="A185" s="170">
        <f t="shared" si="16"/>
        <v>184</v>
      </c>
      <c r="B185" s="171" t="s">
        <v>69</v>
      </c>
      <c r="C185" s="171" t="str">
        <f>VLOOKUP(B185,MEMBERS!B:C,2, )</f>
        <v>MR.TARIQUE ZUBAIR</v>
      </c>
      <c r="D185" s="191">
        <v>45997</v>
      </c>
      <c r="E185" s="178">
        <v>2</v>
      </c>
      <c r="F185" s="171" t="s">
        <v>1170</v>
      </c>
      <c r="G185" s="168">
        <f>IFERROR(VLOOKUP(F185,'menu list'!B:C,2,FALSE)*E185,"0")</f>
        <v>1600</v>
      </c>
      <c r="H185" s="337">
        <f t="shared" si="13"/>
        <v>240</v>
      </c>
      <c r="I185" s="168">
        <f t="shared" si="14"/>
        <v>1840</v>
      </c>
    </row>
    <row r="186" spans="1:9" ht="13.2">
      <c r="A186" s="170">
        <f t="shared" si="16"/>
        <v>185</v>
      </c>
      <c r="B186" s="171" t="s">
        <v>69</v>
      </c>
      <c r="C186" s="171" t="str">
        <f>VLOOKUP(B186,MEMBERS!B:C,2, )</f>
        <v>MR.TARIQUE ZUBAIR</v>
      </c>
      <c r="D186" s="191">
        <v>45997</v>
      </c>
      <c r="E186" s="178">
        <v>2</v>
      </c>
      <c r="F186" s="171" t="s">
        <v>1163</v>
      </c>
      <c r="G186" s="168">
        <f>IFERROR(VLOOKUP(F186,'menu list'!B:C,2,FALSE)*E186,"0")</f>
        <v>2000</v>
      </c>
      <c r="H186" s="337">
        <f t="shared" si="13"/>
        <v>300</v>
      </c>
      <c r="I186" s="168">
        <f t="shared" si="14"/>
        <v>2300</v>
      </c>
    </row>
    <row r="187" spans="1:9" ht="13.2">
      <c r="A187" s="170">
        <f t="shared" si="16"/>
        <v>186</v>
      </c>
      <c r="B187" s="171" t="s">
        <v>69</v>
      </c>
      <c r="C187" s="171" t="str">
        <f>VLOOKUP(B187,MEMBERS!B:C,2, )</f>
        <v>MR.TARIQUE ZUBAIR</v>
      </c>
      <c r="D187" s="191">
        <v>45997</v>
      </c>
      <c r="E187" s="178">
        <v>2</v>
      </c>
      <c r="F187" s="171" t="s">
        <v>1167</v>
      </c>
      <c r="G187" s="168">
        <f>IFERROR(VLOOKUP(F187,'menu list'!B:C,2,FALSE)*E187,"0")</f>
        <v>3600</v>
      </c>
      <c r="H187" s="337">
        <f t="shared" si="13"/>
        <v>540</v>
      </c>
      <c r="I187" s="168">
        <f t="shared" si="14"/>
        <v>4140</v>
      </c>
    </row>
    <row r="188" spans="1:9" ht="13.2">
      <c r="A188" s="170">
        <f t="shared" si="16"/>
        <v>187</v>
      </c>
      <c r="B188" s="171" t="s">
        <v>69</v>
      </c>
      <c r="C188" s="171" t="str">
        <f>VLOOKUP(B188,MEMBERS!B:C,2, )</f>
        <v>MR.TARIQUE ZUBAIR</v>
      </c>
      <c r="D188" s="191">
        <v>45997</v>
      </c>
      <c r="E188" s="178">
        <v>4</v>
      </c>
      <c r="F188" s="171" t="s">
        <v>439</v>
      </c>
      <c r="G188" s="168">
        <f>IFERROR(VLOOKUP(F188,'menu list'!B:C,2,FALSE)*E188,"0")</f>
        <v>280</v>
      </c>
      <c r="H188" s="337">
        <f t="shared" si="13"/>
        <v>42</v>
      </c>
      <c r="I188" s="168">
        <f t="shared" si="14"/>
        <v>322</v>
      </c>
    </row>
    <row r="189" spans="1:9" ht="13.2">
      <c r="A189" s="170">
        <f t="shared" si="16"/>
        <v>188</v>
      </c>
      <c r="B189" s="171" t="s">
        <v>69</v>
      </c>
      <c r="C189" s="171" t="str">
        <f>VLOOKUP(B189,MEMBERS!B:C,2, )</f>
        <v>MR.TARIQUE ZUBAIR</v>
      </c>
      <c r="D189" s="191">
        <v>45997</v>
      </c>
      <c r="E189" s="178">
        <v>6</v>
      </c>
      <c r="F189" s="171" t="s">
        <v>442</v>
      </c>
      <c r="G189" s="168">
        <f>IFERROR(VLOOKUP(F189,'menu list'!B:C,2,FALSE)*E189,"0")</f>
        <v>900</v>
      </c>
      <c r="H189" s="337">
        <f t="shared" si="13"/>
        <v>135</v>
      </c>
      <c r="I189" s="168">
        <f t="shared" si="14"/>
        <v>1035</v>
      </c>
    </row>
    <row r="190" spans="1:9" ht="13.2">
      <c r="A190" s="170">
        <f t="shared" si="16"/>
        <v>189</v>
      </c>
      <c r="B190" s="171" t="s">
        <v>69</v>
      </c>
      <c r="C190" s="171" t="str">
        <f>VLOOKUP(B190,MEMBERS!B:C,2, )</f>
        <v>MR.TARIQUE ZUBAIR</v>
      </c>
      <c r="D190" s="191">
        <v>45997</v>
      </c>
      <c r="E190" s="178">
        <v>3</v>
      </c>
      <c r="F190" s="171" t="s">
        <v>1171</v>
      </c>
      <c r="G190" s="168">
        <f>IFERROR(VLOOKUP(F190,'menu list'!B:C,2,FALSE)*E190,"0")</f>
        <v>1650</v>
      </c>
      <c r="H190" s="337">
        <f t="shared" si="13"/>
        <v>247.5</v>
      </c>
      <c r="I190" s="168">
        <f t="shared" si="14"/>
        <v>1897.5</v>
      </c>
    </row>
    <row r="191" spans="1:9" ht="13.2">
      <c r="A191" s="170">
        <f t="shared" si="16"/>
        <v>190</v>
      </c>
      <c r="B191" s="171" t="s">
        <v>192</v>
      </c>
      <c r="C191" s="171" t="str">
        <f>VLOOKUP(B191,MEMBERS!B:C,2, )</f>
        <v>MR.HANIF AHSAN ZUBEDI</v>
      </c>
      <c r="D191" s="191">
        <v>45997</v>
      </c>
      <c r="E191" s="178">
        <v>1</v>
      </c>
      <c r="F191" s="171" t="s">
        <v>786</v>
      </c>
      <c r="G191" s="168">
        <f>IFERROR(VLOOKUP(F191,'menu list'!B:C,2,FALSE)*E191,"0")</f>
        <v>1150</v>
      </c>
      <c r="H191" s="337">
        <f t="shared" si="13"/>
        <v>172.5</v>
      </c>
      <c r="I191" s="168">
        <f t="shared" si="14"/>
        <v>1322.5</v>
      </c>
    </row>
    <row r="192" spans="1:9" ht="13.2">
      <c r="A192" s="170">
        <f t="shared" si="16"/>
        <v>191</v>
      </c>
      <c r="B192" s="171" t="s">
        <v>192</v>
      </c>
      <c r="C192" s="171" t="str">
        <f>VLOOKUP(B192,MEMBERS!B:C,2, )</f>
        <v>MR.HANIF AHSAN ZUBEDI</v>
      </c>
      <c r="D192" s="191">
        <v>45997</v>
      </c>
      <c r="E192" s="178">
        <v>1</v>
      </c>
      <c r="F192" s="171" t="s">
        <v>501</v>
      </c>
      <c r="G192" s="168">
        <v>900</v>
      </c>
      <c r="H192" s="337">
        <f t="shared" si="13"/>
        <v>135</v>
      </c>
      <c r="I192" s="168">
        <f t="shared" si="14"/>
        <v>1035</v>
      </c>
    </row>
    <row r="193" spans="1:9" ht="13.2">
      <c r="A193" s="170">
        <f t="shared" si="16"/>
        <v>192</v>
      </c>
      <c r="B193" s="171" t="s">
        <v>192</v>
      </c>
      <c r="C193" s="171" t="str">
        <f>VLOOKUP(B193,MEMBERS!B:C,2, )</f>
        <v>MR.HANIF AHSAN ZUBEDI</v>
      </c>
      <c r="D193" s="191">
        <v>45997</v>
      </c>
      <c r="E193" s="178">
        <v>1</v>
      </c>
      <c r="F193" s="171" t="s">
        <v>522</v>
      </c>
      <c r="G193" s="168">
        <f>IFERROR(VLOOKUP(F193,'menu list'!B:C,2,FALSE)*E193,"0")</f>
        <v>1200</v>
      </c>
      <c r="H193" s="337">
        <f t="shared" si="13"/>
        <v>180</v>
      </c>
      <c r="I193" s="168">
        <f t="shared" si="14"/>
        <v>1380</v>
      </c>
    </row>
    <row r="194" spans="1:9" ht="13.2">
      <c r="A194" s="170">
        <f t="shared" si="16"/>
        <v>193</v>
      </c>
      <c r="B194" s="171" t="s">
        <v>192</v>
      </c>
      <c r="C194" s="171" t="str">
        <f>VLOOKUP(B194,MEMBERS!B:C,2, )</f>
        <v>MR.HANIF AHSAN ZUBEDI</v>
      </c>
      <c r="D194" s="191">
        <v>45997</v>
      </c>
      <c r="E194" s="178">
        <v>2</v>
      </c>
      <c r="F194" s="171" t="s">
        <v>499</v>
      </c>
      <c r="G194" s="168">
        <f>IFERROR(VLOOKUP(F194,'menu list'!B:C,2,FALSE)*E194,"0")</f>
        <v>200</v>
      </c>
      <c r="H194" s="337">
        <f t="shared" si="13"/>
        <v>30</v>
      </c>
      <c r="I194" s="168">
        <f t="shared" si="14"/>
        <v>230</v>
      </c>
    </row>
    <row r="195" spans="1:9" ht="13.2">
      <c r="A195" s="170">
        <f t="shared" si="16"/>
        <v>194</v>
      </c>
      <c r="B195" s="171" t="s">
        <v>192</v>
      </c>
      <c r="C195" s="171" t="str">
        <f>VLOOKUP(B195,MEMBERS!B:C,2, )</f>
        <v>MR.HANIF AHSAN ZUBEDI</v>
      </c>
      <c r="D195" s="191">
        <v>45997</v>
      </c>
      <c r="E195" s="178">
        <v>2</v>
      </c>
      <c r="F195" s="171" t="s">
        <v>442</v>
      </c>
      <c r="G195" s="168">
        <f>IFERROR(VLOOKUP(F195,'menu list'!B:C,2,FALSE)*E195,"0")</f>
        <v>300</v>
      </c>
      <c r="H195" s="337">
        <f t="shared" ref="H195:H258" si="17">G195*15/100</f>
        <v>45</v>
      </c>
      <c r="I195" s="168">
        <f t="shared" ref="I195:I258" si="18">G195+H195</f>
        <v>345</v>
      </c>
    </row>
    <row r="196" spans="1:9" ht="13.2">
      <c r="A196" s="170">
        <f t="shared" si="16"/>
        <v>195</v>
      </c>
      <c r="B196" s="171" t="s">
        <v>103</v>
      </c>
      <c r="C196" s="171" t="str">
        <f>VLOOKUP(B196,MEMBERS!B:C,2, )</f>
        <v>MR.IQBAL AHMED MALLAH</v>
      </c>
      <c r="D196" s="191">
        <v>45997</v>
      </c>
      <c r="E196" s="178">
        <v>1</v>
      </c>
      <c r="F196" s="171" t="s">
        <v>522</v>
      </c>
      <c r="G196" s="168">
        <f>IFERROR(VLOOKUP(F196,'menu list'!B:C,2,FALSE)*E196,"0")</f>
        <v>1200</v>
      </c>
      <c r="H196" s="337">
        <f t="shared" si="17"/>
        <v>180</v>
      </c>
      <c r="I196" s="168">
        <f t="shared" si="18"/>
        <v>1380</v>
      </c>
    </row>
    <row r="197" spans="1:9" ht="13.2">
      <c r="A197" s="170">
        <f t="shared" ref="A197:A199" si="19">IF(D197&lt;&gt;"", ROW()-1, "")</f>
        <v>196</v>
      </c>
      <c r="B197" s="171" t="s">
        <v>103</v>
      </c>
      <c r="C197" s="171" t="str">
        <f>VLOOKUP(B197,MEMBERS!B:C,2, )</f>
        <v>MR.IQBAL AHMED MALLAH</v>
      </c>
      <c r="D197" s="191">
        <v>45997</v>
      </c>
      <c r="E197" s="178">
        <v>2</v>
      </c>
      <c r="F197" s="171" t="s">
        <v>1163</v>
      </c>
      <c r="G197" s="168">
        <f>IFERROR(VLOOKUP(F197,'menu list'!B:C,2,FALSE)*E197,"0")</f>
        <v>2000</v>
      </c>
      <c r="H197" s="337">
        <f t="shared" si="17"/>
        <v>300</v>
      </c>
      <c r="I197" s="168">
        <f t="shared" si="18"/>
        <v>2300</v>
      </c>
    </row>
    <row r="198" spans="1:9" ht="13.2">
      <c r="A198" s="170">
        <f t="shared" si="19"/>
        <v>197</v>
      </c>
      <c r="B198" s="171" t="s">
        <v>103</v>
      </c>
      <c r="C198" s="171" t="str">
        <f>VLOOKUP(B198,MEMBERS!B:C,2, )</f>
        <v>MR.IQBAL AHMED MALLAH</v>
      </c>
      <c r="D198" s="191">
        <v>45997</v>
      </c>
      <c r="E198" s="178">
        <v>2</v>
      </c>
      <c r="F198" s="171" t="s">
        <v>440</v>
      </c>
      <c r="G198" s="168">
        <f>IFERROR(VLOOKUP(F198,'menu list'!B:C,2,FALSE)*E198,"0")</f>
        <v>300</v>
      </c>
      <c r="H198" s="337">
        <f t="shared" si="17"/>
        <v>45</v>
      </c>
      <c r="I198" s="168">
        <f t="shared" si="18"/>
        <v>345</v>
      </c>
    </row>
    <row r="199" spans="1:9" ht="13.2">
      <c r="A199" s="170">
        <f t="shared" si="19"/>
        <v>198</v>
      </c>
      <c r="B199" s="171" t="s">
        <v>103</v>
      </c>
      <c r="C199" s="171" t="str">
        <f>VLOOKUP(B199,MEMBERS!B:C,2, )</f>
        <v>MR.IQBAL AHMED MALLAH</v>
      </c>
      <c r="D199" s="191">
        <v>45997</v>
      </c>
      <c r="E199" s="178">
        <v>2</v>
      </c>
      <c r="F199" s="171" t="s">
        <v>439</v>
      </c>
      <c r="G199" s="168">
        <f>IFERROR(VLOOKUP(F199,'menu list'!B:C,2,FALSE)*E199,"0")</f>
        <v>140</v>
      </c>
      <c r="H199" s="337">
        <f t="shared" si="17"/>
        <v>21</v>
      </c>
      <c r="I199" s="168">
        <f t="shared" si="18"/>
        <v>161</v>
      </c>
    </row>
    <row r="200" spans="1:9" ht="13.2">
      <c r="A200" s="170">
        <f t="shared" si="16"/>
        <v>199</v>
      </c>
      <c r="B200" s="171" t="s">
        <v>762</v>
      </c>
      <c r="C200" s="171" t="str">
        <f>VLOOKUP(B200,MEMBERS!B:C,2, )</f>
        <v>MR. KASHIF SAEED</v>
      </c>
      <c r="D200" s="191">
        <v>45997</v>
      </c>
      <c r="E200" s="178">
        <v>1</v>
      </c>
      <c r="F200" s="171" t="s">
        <v>500</v>
      </c>
      <c r="G200" s="168">
        <f>IFERROR(VLOOKUP(F200,'menu list'!B:C,2,FALSE)*E200,"0")</f>
        <v>1250</v>
      </c>
      <c r="H200" s="337">
        <f t="shared" si="17"/>
        <v>187.5</v>
      </c>
      <c r="I200" s="168">
        <f t="shared" si="18"/>
        <v>1437.5</v>
      </c>
    </row>
    <row r="201" spans="1:9" ht="13.2">
      <c r="A201" s="170">
        <f t="shared" si="16"/>
        <v>200</v>
      </c>
      <c r="B201" s="171" t="s">
        <v>315</v>
      </c>
      <c r="C201" s="171" t="str">
        <f>VLOOKUP(B201,MEMBERS!B:C,2, )</f>
        <v>DGM FATIMA ZAHID</v>
      </c>
      <c r="D201" s="191">
        <v>45997</v>
      </c>
      <c r="E201" s="178">
        <v>2</v>
      </c>
      <c r="F201" s="171" t="s">
        <v>583</v>
      </c>
      <c r="G201" s="168">
        <f>IFERROR(VLOOKUP(F201,'menu list'!B:C,2,FALSE)*E201,"0")</f>
        <v>700</v>
      </c>
      <c r="H201" s="337">
        <f t="shared" si="17"/>
        <v>105</v>
      </c>
      <c r="I201" s="168">
        <f t="shared" si="18"/>
        <v>805</v>
      </c>
    </row>
    <row r="202" spans="1:9" ht="13.2">
      <c r="A202" s="170">
        <f t="shared" si="16"/>
        <v>201</v>
      </c>
      <c r="B202" s="171" t="s">
        <v>315</v>
      </c>
      <c r="C202" s="171" t="str">
        <f>VLOOKUP(B202,MEMBERS!B:C,2, )</f>
        <v>DGM FATIMA ZAHID</v>
      </c>
      <c r="D202" s="191">
        <v>45997</v>
      </c>
      <c r="E202" s="178">
        <v>1</v>
      </c>
      <c r="F202" s="171" t="s">
        <v>498</v>
      </c>
      <c r="G202" s="168">
        <f>IFERROR(VLOOKUP(F202,'menu list'!B:C,2,FALSE)*E202,"0")</f>
        <v>200</v>
      </c>
      <c r="H202" s="337">
        <f t="shared" si="17"/>
        <v>30</v>
      </c>
      <c r="I202" s="168">
        <f t="shared" si="18"/>
        <v>230</v>
      </c>
    </row>
    <row r="203" spans="1:9" ht="13.2">
      <c r="A203" s="170">
        <f t="shared" si="16"/>
        <v>202</v>
      </c>
      <c r="B203" s="171" t="s">
        <v>315</v>
      </c>
      <c r="C203" s="171" t="str">
        <f>VLOOKUP(B203,MEMBERS!B:C,2, )</f>
        <v>DGM FATIMA ZAHID</v>
      </c>
      <c r="D203" s="191">
        <v>45997</v>
      </c>
      <c r="E203" s="178">
        <v>2</v>
      </c>
      <c r="F203" s="171" t="s">
        <v>713</v>
      </c>
      <c r="G203" s="168">
        <f>IFERROR(VLOOKUP(F203,'menu list'!B:C,2,FALSE)*E203,"0")</f>
        <v>900</v>
      </c>
      <c r="H203" s="337">
        <f t="shared" si="17"/>
        <v>135</v>
      </c>
      <c r="I203" s="168">
        <f t="shared" si="18"/>
        <v>1035</v>
      </c>
    </row>
    <row r="204" spans="1:9" ht="13.2">
      <c r="A204" s="170">
        <f t="shared" si="16"/>
        <v>203</v>
      </c>
      <c r="B204" s="171" t="s">
        <v>315</v>
      </c>
      <c r="C204" s="171" t="str">
        <f>VLOOKUP(B204,MEMBERS!B:C,2, )</f>
        <v>DGM FATIMA ZAHID</v>
      </c>
      <c r="D204" s="191">
        <v>45997</v>
      </c>
      <c r="E204" s="178">
        <v>2</v>
      </c>
      <c r="F204" s="171" t="s">
        <v>499</v>
      </c>
      <c r="G204" s="168">
        <f>IFERROR(VLOOKUP(F204,'menu list'!B:C,2,FALSE)*E204,"0")</f>
        <v>200</v>
      </c>
      <c r="H204" s="337">
        <f t="shared" si="17"/>
        <v>30</v>
      </c>
      <c r="I204" s="168">
        <f t="shared" si="18"/>
        <v>230</v>
      </c>
    </row>
    <row r="205" spans="1:9" ht="13.2">
      <c r="A205" s="170">
        <f t="shared" si="16"/>
        <v>204</v>
      </c>
      <c r="B205" s="171" t="s">
        <v>312</v>
      </c>
      <c r="C205" s="171" t="str">
        <f>VLOOKUP(B205,MEMBERS!B:C,2, )</f>
        <v>GM GHULAM DASTAGEER</v>
      </c>
      <c r="D205" s="191">
        <v>45997</v>
      </c>
      <c r="E205" s="178">
        <v>1</v>
      </c>
      <c r="F205" s="171" t="s">
        <v>707</v>
      </c>
      <c r="G205" s="168">
        <f>IFERROR(VLOOKUP(F205,'menu list'!B:C,2,FALSE)*E205,"0")</f>
        <v>450</v>
      </c>
      <c r="H205" s="337">
        <f t="shared" si="17"/>
        <v>67.5</v>
      </c>
      <c r="I205" s="168">
        <f t="shared" si="18"/>
        <v>517.5</v>
      </c>
    </row>
    <row r="206" spans="1:9" ht="13.2">
      <c r="A206" s="170">
        <f t="shared" si="16"/>
        <v>205</v>
      </c>
      <c r="B206" s="171" t="s">
        <v>312</v>
      </c>
      <c r="C206" s="171" t="str">
        <f>VLOOKUP(B206,MEMBERS!B:C,2, )</f>
        <v>GM GHULAM DASTAGEER</v>
      </c>
      <c r="D206" s="191">
        <v>45997</v>
      </c>
      <c r="E206" s="178">
        <v>1</v>
      </c>
      <c r="F206" s="171" t="s">
        <v>623</v>
      </c>
      <c r="G206" s="168">
        <f>IFERROR(VLOOKUP(F206,'menu list'!B:C,2,FALSE)*E206,"0")</f>
        <v>150</v>
      </c>
      <c r="H206" s="337">
        <f t="shared" si="17"/>
        <v>22.5</v>
      </c>
      <c r="I206" s="168">
        <f t="shared" si="18"/>
        <v>172.5</v>
      </c>
    </row>
    <row r="207" spans="1:9" ht="13.2">
      <c r="A207" s="170">
        <f t="shared" si="16"/>
        <v>206</v>
      </c>
      <c r="B207" s="171" t="s">
        <v>312</v>
      </c>
      <c r="C207" s="171" t="str">
        <f>VLOOKUP(B207,MEMBERS!B:C,2, )</f>
        <v>GM GHULAM DASTAGEER</v>
      </c>
      <c r="D207" s="191">
        <v>45997</v>
      </c>
      <c r="E207" s="178">
        <v>1</v>
      </c>
      <c r="F207" s="171" t="s">
        <v>499</v>
      </c>
      <c r="G207" s="168">
        <f>IFERROR(VLOOKUP(F207,'menu list'!B:C,2,FALSE)*E207,"0")</f>
        <v>100</v>
      </c>
      <c r="H207" s="337">
        <f t="shared" si="17"/>
        <v>15</v>
      </c>
      <c r="I207" s="168">
        <f t="shared" si="18"/>
        <v>115</v>
      </c>
    </row>
    <row r="208" spans="1:9" ht="13.2">
      <c r="A208" s="170">
        <f t="shared" si="16"/>
        <v>207</v>
      </c>
      <c r="B208" s="171" t="s">
        <v>312</v>
      </c>
      <c r="C208" s="171" t="str">
        <f>VLOOKUP(B208,MEMBERS!B:C,2, )</f>
        <v>GM GHULAM DASTAGEER</v>
      </c>
      <c r="D208" s="191">
        <v>45997</v>
      </c>
      <c r="E208" s="178">
        <v>1</v>
      </c>
      <c r="F208" s="171" t="s">
        <v>498</v>
      </c>
      <c r="G208" s="168">
        <f>IFERROR(VLOOKUP(F208,'menu list'!B:C,2,FALSE)*E208,"0")</f>
        <v>200</v>
      </c>
      <c r="H208" s="337">
        <f t="shared" si="17"/>
        <v>30</v>
      </c>
      <c r="I208" s="168">
        <f t="shared" si="18"/>
        <v>230</v>
      </c>
    </row>
    <row r="209" spans="1:9" ht="13.2">
      <c r="A209" s="170">
        <f t="shared" si="16"/>
        <v>208</v>
      </c>
      <c r="B209" s="171" t="s">
        <v>103</v>
      </c>
      <c r="C209" s="171" t="str">
        <f>VLOOKUP(B209,MEMBERS!B:C,2, )</f>
        <v>MR.IQBAL AHMED MALLAH</v>
      </c>
      <c r="D209" s="191">
        <v>45997</v>
      </c>
      <c r="E209" s="178">
        <v>3</v>
      </c>
      <c r="F209" s="171" t="s">
        <v>1012</v>
      </c>
      <c r="G209" s="168">
        <f>IFERROR(VLOOKUP(F209,'menu list'!B:C,2,FALSE)*E209,"0")</f>
        <v>3000</v>
      </c>
      <c r="H209" s="337">
        <f t="shared" si="17"/>
        <v>450</v>
      </c>
      <c r="I209" s="168">
        <f t="shared" si="18"/>
        <v>3450</v>
      </c>
    </row>
    <row r="210" spans="1:9" ht="13.2">
      <c r="A210" s="170">
        <f t="shared" si="16"/>
        <v>209</v>
      </c>
      <c r="B210" s="171" t="s">
        <v>1073</v>
      </c>
      <c r="C210" s="171" t="str">
        <f>VLOOKUP(B210,MEMBERS!B:C,2, )</f>
        <v>MR. GHULAM MUSTAFA</v>
      </c>
      <c r="D210" s="191">
        <v>45997</v>
      </c>
      <c r="E210" s="178">
        <v>2</v>
      </c>
      <c r="F210" s="171" t="s">
        <v>1012</v>
      </c>
      <c r="G210" s="168">
        <f>IFERROR(VLOOKUP(F210,'menu list'!B:C,2,FALSE)*E210,"0")</f>
        <v>2000</v>
      </c>
      <c r="H210" s="337">
        <f t="shared" si="17"/>
        <v>300</v>
      </c>
      <c r="I210" s="168">
        <f t="shared" si="18"/>
        <v>2300</v>
      </c>
    </row>
    <row r="211" spans="1:9" ht="13.2">
      <c r="A211" s="170">
        <f t="shared" si="16"/>
        <v>210</v>
      </c>
      <c r="B211" s="171" t="s">
        <v>15</v>
      </c>
      <c r="C211" s="171" t="str">
        <f>VLOOKUP(B211,MEMBERS!B:C,2, )</f>
        <v>MR.GHULAM NABI OTHI</v>
      </c>
      <c r="D211" s="191">
        <v>45997</v>
      </c>
      <c r="E211" s="178">
        <v>7</v>
      </c>
      <c r="F211" s="171" t="s">
        <v>628</v>
      </c>
      <c r="G211" s="168">
        <f>IFERROR(VLOOKUP(F211,'menu list'!B:C,2,FALSE)*E211,"0")</f>
        <v>3850</v>
      </c>
      <c r="H211" s="337">
        <f t="shared" si="17"/>
        <v>577.5</v>
      </c>
      <c r="I211" s="168">
        <f t="shared" si="18"/>
        <v>4427.5</v>
      </c>
    </row>
    <row r="212" spans="1:9" ht="13.2">
      <c r="A212" s="170">
        <f t="shared" si="16"/>
        <v>211</v>
      </c>
      <c r="B212" s="171" t="s">
        <v>15</v>
      </c>
      <c r="C212" s="171" t="str">
        <f>VLOOKUP(B212,MEMBERS!B:C,2, )</f>
        <v>MR.GHULAM NABI OTHI</v>
      </c>
      <c r="D212" s="191">
        <v>45997</v>
      </c>
      <c r="E212" s="178">
        <v>3</v>
      </c>
      <c r="F212" s="171" t="s">
        <v>646</v>
      </c>
      <c r="G212" s="168">
        <f>IFERROR(VLOOKUP(F212,'menu list'!B:C,2,FALSE)*E212,"0")</f>
        <v>3000</v>
      </c>
      <c r="H212" s="337">
        <f t="shared" si="17"/>
        <v>450</v>
      </c>
      <c r="I212" s="168">
        <f t="shared" si="18"/>
        <v>3450</v>
      </c>
    </row>
    <row r="213" spans="1:9" ht="13.2">
      <c r="A213" s="170">
        <f t="shared" si="16"/>
        <v>212</v>
      </c>
      <c r="B213" s="171" t="s">
        <v>374</v>
      </c>
      <c r="C213" s="171" t="str">
        <f>VLOOKUP(B213,MEMBERS!B:C,2, )</f>
        <v>AAMIR RASOOL</v>
      </c>
      <c r="D213" s="191">
        <v>45997</v>
      </c>
      <c r="E213" s="178">
        <v>4</v>
      </c>
      <c r="F213" s="171" t="s">
        <v>645</v>
      </c>
      <c r="G213" s="168">
        <f>IFERROR(VLOOKUP(F213,'menu list'!B:C,2,FALSE)*E213,"0")</f>
        <v>3200</v>
      </c>
      <c r="H213" s="337">
        <f t="shared" si="17"/>
        <v>480</v>
      </c>
      <c r="I213" s="168">
        <f t="shared" si="18"/>
        <v>3680</v>
      </c>
    </row>
    <row r="214" spans="1:9" ht="13.2">
      <c r="A214" s="170">
        <f t="shared" si="16"/>
        <v>213</v>
      </c>
      <c r="B214" s="171" t="s">
        <v>374</v>
      </c>
      <c r="C214" s="171" t="str">
        <f>VLOOKUP(B214,MEMBERS!B:C,2, )</f>
        <v>AAMIR RASOOL</v>
      </c>
      <c r="D214" s="191">
        <v>45997</v>
      </c>
      <c r="E214" s="178">
        <v>2</v>
      </c>
      <c r="F214" s="171" t="s">
        <v>733</v>
      </c>
      <c r="G214" s="168">
        <f>IFERROR(VLOOKUP(F214,'menu list'!B:C,2,FALSE)*E214,"0")</f>
        <v>600</v>
      </c>
      <c r="H214" s="337">
        <f t="shared" si="17"/>
        <v>90</v>
      </c>
      <c r="I214" s="168">
        <f t="shared" si="18"/>
        <v>690</v>
      </c>
    </row>
    <row r="215" spans="1:9" ht="13.2">
      <c r="A215" s="170">
        <f t="shared" si="16"/>
        <v>214</v>
      </c>
      <c r="B215" s="171" t="s">
        <v>650</v>
      </c>
      <c r="C215" s="171" t="str">
        <f>VLOOKUP(B215,MEMBERS!B:C,2, )</f>
        <v>SHAHBAZ AHMED</v>
      </c>
      <c r="D215" s="191">
        <v>45997</v>
      </c>
      <c r="E215" s="178">
        <v>1</v>
      </c>
      <c r="F215" s="171" t="s">
        <v>440</v>
      </c>
      <c r="G215" s="168">
        <f>IFERROR(VLOOKUP(F215,'menu list'!B:C,2,FALSE)*E215,"0")</f>
        <v>150</v>
      </c>
      <c r="H215" s="337">
        <f t="shared" si="17"/>
        <v>22.5</v>
      </c>
      <c r="I215" s="168">
        <f t="shared" si="18"/>
        <v>172.5</v>
      </c>
    </row>
    <row r="216" spans="1:9" ht="13.2">
      <c r="A216" s="170">
        <f t="shared" si="16"/>
        <v>215</v>
      </c>
      <c r="B216" s="171" t="s">
        <v>650</v>
      </c>
      <c r="C216" s="171" t="str">
        <f>VLOOKUP(B216,MEMBERS!B:C,2, )</f>
        <v>SHAHBAZ AHMED</v>
      </c>
      <c r="D216" s="191">
        <v>45997</v>
      </c>
      <c r="E216" s="178">
        <v>2</v>
      </c>
      <c r="F216" s="171" t="s">
        <v>828</v>
      </c>
      <c r="G216" s="168">
        <f>IFERROR(VLOOKUP(F216,'menu list'!B:C,2,FALSE)*E216,"0")</f>
        <v>1700</v>
      </c>
      <c r="H216" s="337">
        <f t="shared" si="17"/>
        <v>255</v>
      </c>
      <c r="I216" s="168">
        <f t="shared" si="18"/>
        <v>1955</v>
      </c>
    </row>
    <row r="217" spans="1:9" ht="13.2">
      <c r="A217" s="170">
        <f t="shared" si="16"/>
        <v>216</v>
      </c>
      <c r="B217" s="171" t="s">
        <v>650</v>
      </c>
      <c r="C217" s="171" t="str">
        <f>VLOOKUP(B217,MEMBERS!B:C,2, )</f>
        <v>SHAHBAZ AHMED</v>
      </c>
      <c r="D217" s="191">
        <v>45997</v>
      </c>
      <c r="E217" s="178">
        <v>2</v>
      </c>
      <c r="F217" s="171" t="s">
        <v>634</v>
      </c>
      <c r="G217" s="168">
        <f>IFERROR(VLOOKUP(F217,'menu list'!B:C,2,FALSE)*E217,"0")</f>
        <v>1000</v>
      </c>
      <c r="H217" s="337">
        <f t="shared" si="17"/>
        <v>150</v>
      </c>
      <c r="I217" s="168">
        <f t="shared" si="18"/>
        <v>1150</v>
      </c>
    </row>
    <row r="218" spans="1:9" ht="13.2">
      <c r="A218" s="170">
        <f t="shared" si="16"/>
        <v>217</v>
      </c>
      <c r="B218" s="171" t="s">
        <v>650</v>
      </c>
      <c r="C218" s="171" t="str">
        <f>VLOOKUP(B218,MEMBERS!B:C,2, )</f>
        <v>SHAHBAZ AHMED</v>
      </c>
      <c r="D218" s="191">
        <v>45997</v>
      </c>
      <c r="E218" s="178">
        <v>2</v>
      </c>
      <c r="F218" s="171" t="s">
        <v>853</v>
      </c>
      <c r="G218" s="168">
        <f>IFERROR(VLOOKUP(F218,'menu list'!B:C,2,FALSE)*E218,"0")</f>
        <v>1150</v>
      </c>
      <c r="H218" s="337">
        <f t="shared" si="17"/>
        <v>172.5</v>
      </c>
      <c r="I218" s="168">
        <f t="shared" si="18"/>
        <v>1322.5</v>
      </c>
    </row>
    <row r="219" spans="1:9" ht="13.2">
      <c r="A219" s="170">
        <f t="shared" ref="A219:A274" si="20">IF(D219&lt;&gt;"", ROW()-1, "")</f>
        <v>218</v>
      </c>
      <c r="B219" s="171" t="s">
        <v>650</v>
      </c>
      <c r="C219" s="171" t="str">
        <f>VLOOKUP(B219,MEMBERS!B:C,2, )</f>
        <v>SHAHBAZ AHMED</v>
      </c>
      <c r="D219" s="191">
        <v>45997</v>
      </c>
      <c r="E219" s="178">
        <v>2</v>
      </c>
      <c r="F219" s="171" t="s">
        <v>836</v>
      </c>
      <c r="G219" s="168">
        <f>IFERROR(VLOOKUP(F219,'menu list'!B:C,2,FALSE)*E219,"0")</f>
        <v>700</v>
      </c>
      <c r="H219" s="337">
        <f t="shared" si="17"/>
        <v>105</v>
      </c>
      <c r="I219" s="168">
        <f t="shared" si="18"/>
        <v>805</v>
      </c>
    </row>
    <row r="220" spans="1:9" ht="13.2">
      <c r="A220" s="170">
        <f t="shared" si="20"/>
        <v>219</v>
      </c>
      <c r="B220" s="171" t="s">
        <v>650</v>
      </c>
      <c r="C220" s="171" t="str">
        <f>VLOOKUP(B220,MEMBERS!B:C,2, )</f>
        <v>SHAHBAZ AHMED</v>
      </c>
      <c r="D220" s="191">
        <v>45997</v>
      </c>
      <c r="E220" s="178">
        <v>4</v>
      </c>
      <c r="F220" s="171" t="s">
        <v>498</v>
      </c>
      <c r="G220" s="168">
        <f>IFERROR(VLOOKUP(F220,'menu list'!B:C,2,FALSE)*E220,"0")</f>
        <v>800</v>
      </c>
      <c r="H220" s="337">
        <f t="shared" si="17"/>
        <v>120</v>
      </c>
      <c r="I220" s="168">
        <f t="shared" si="18"/>
        <v>920</v>
      </c>
    </row>
    <row r="221" spans="1:9" ht="13.2">
      <c r="A221" s="170">
        <f t="shared" si="20"/>
        <v>220</v>
      </c>
      <c r="B221" s="171" t="s">
        <v>378</v>
      </c>
      <c r="C221" s="171" t="str">
        <f>VLOOKUP(B221,MEMBERS!B:C,2, )</f>
        <v>SABA AHSAN</v>
      </c>
      <c r="D221" s="191">
        <v>45997</v>
      </c>
      <c r="E221" s="178">
        <v>2</v>
      </c>
      <c r="F221" s="171" t="s">
        <v>500</v>
      </c>
      <c r="G221" s="168">
        <f>IFERROR(VLOOKUP(F221,'menu list'!B:C,2,FALSE)*E221,"0")</f>
        <v>2500</v>
      </c>
      <c r="H221" s="337">
        <f t="shared" si="17"/>
        <v>375</v>
      </c>
      <c r="I221" s="168">
        <f t="shared" si="18"/>
        <v>2875</v>
      </c>
    </row>
    <row r="222" spans="1:9" ht="13.2">
      <c r="A222" s="170">
        <f t="shared" si="20"/>
        <v>221</v>
      </c>
      <c r="B222" s="171" t="s">
        <v>378</v>
      </c>
      <c r="C222" s="171" t="str">
        <f>VLOOKUP(B222,MEMBERS!B:C,2, )</f>
        <v>SABA AHSAN</v>
      </c>
      <c r="D222" s="191">
        <v>45997</v>
      </c>
      <c r="E222" s="178">
        <v>2</v>
      </c>
      <c r="F222" s="171" t="s">
        <v>498</v>
      </c>
      <c r="G222" s="168">
        <f>IFERROR(VLOOKUP(F222,'menu list'!B:C,2,FALSE)*E222,"0")</f>
        <v>400</v>
      </c>
      <c r="H222" s="337">
        <f t="shared" si="17"/>
        <v>60</v>
      </c>
      <c r="I222" s="168">
        <f t="shared" si="18"/>
        <v>460</v>
      </c>
    </row>
    <row r="223" spans="1:9" ht="13.2">
      <c r="A223" s="170">
        <f t="shared" si="20"/>
        <v>222</v>
      </c>
      <c r="B223" s="171" t="s">
        <v>418</v>
      </c>
      <c r="C223" s="171" t="str">
        <f>VLOOKUP(B223,MEMBERS!B:C,2, )</f>
        <v>ZAIB UR REHMAN</v>
      </c>
      <c r="D223" s="191">
        <v>45997</v>
      </c>
      <c r="E223" s="178">
        <v>1</v>
      </c>
      <c r="F223" s="171" t="s">
        <v>499</v>
      </c>
      <c r="G223" s="168">
        <f>IFERROR(VLOOKUP(F223,'menu list'!B:C,2,FALSE)*E223,"0")</f>
        <v>100</v>
      </c>
      <c r="H223" s="337">
        <f t="shared" si="17"/>
        <v>15</v>
      </c>
      <c r="I223" s="168">
        <f t="shared" si="18"/>
        <v>115</v>
      </c>
    </row>
    <row r="224" spans="1:9" ht="13.2">
      <c r="A224" s="170">
        <f t="shared" si="20"/>
        <v>223</v>
      </c>
      <c r="B224" s="171" t="s">
        <v>795</v>
      </c>
      <c r="C224" s="171" t="str">
        <f>VLOOKUP(B224,MEMBERS!B:C,2, )</f>
        <v>MR. HASAN KARIM</v>
      </c>
      <c r="D224" s="191">
        <v>45997</v>
      </c>
      <c r="E224" s="178">
        <v>1</v>
      </c>
      <c r="F224" s="171" t="s">
        <v>499</v>
      </c>
      <c r="G224" s="168">
        <f>IFERROR(VLOOKUP(F224,'menu list'!B:C,2,FALSE)*E224,"0")</f>
        <v>100</v>
      </c>
      <c r="H224" s="337">
        <f t="shared" si="17"/>
        <v>15</v>
      </c>
      <c r="I224" s="168">
        <f t="shared" si="18"/>
        <v>115</v>
      </c>
    </row>
    <row r="225" spans="1:9" ht="13.2">
      <c r="A225" s="170">
        <f t="shared" si="20"/>
        <v>224</v>
      </c>
      <c r="B225" s="171" t="s">
        <v>795</v>
      </c>
      <c r="C225" s="171" t="str">
        <f>VLOOKUP(B225,MEMBERS!B:C,2, )</f>
        <v>MR. HASAN KARIM</v>
      </c>
      <c r="D225" s="191">
        <v>45997</v>
      </c>
      <c r="E225" s="178">
        <v>1</v>
      </c>
      <c r="F225" s="171" t="s">
        <v>653</v>
      </c>
      <c r="G225" s="168">
        <f>IFERROR(VLOOKUP(F225,'menu list'!B:C,2,FALSE)*E225,"0")</f>
        <v>350</v>
      </c>
      <c r="H225" s="337">
        <f t="shared" si="17"/>
        <v>52.5</v>
      </c>
      <c r="I225" s="168">
        <f t="shared" si="18"/>
        <v>402.5</v>
      </c>
    </row>
    <row r="226" spans="1:9" ht="13.2">
      <c r="A226" s="170">
        <f t="shared" si="20"/>
        <v>225</v>
      </c>
      <c r="B226" s="171" t="s">
        <v>235</v>
      </c>
      <c r="C226" s="171" t="str">
        <f>VLOOKUP(B226,MEMBERS!B:C,2, )</f>
        <v>MR.IMRAN WAZEER</v>
      </c>
      <c r="D226" s="191">
        <v>45997</v>
      </c>
      <c r="E226" s="178">
        <v>1</v>
      </c>
      <c r="F226" s="171" t="s">
        <v>499</v>
      </c>
      <c r="G226" s="168">
        <f>IFERROR(VLOOKUP(F226,'menu list'!B:C,2,FALSE)*E226,"0")</f>
        <v>100</v>
      </c>
      <c r="H226" s="337">
        <f t="shared" si="17"/>
        <v>15</v>
      </c>
      <c r="I226" s="168">
        <f t="shared" si="18"/>
        <v>115</v>
      </c>
    </row>
    <row r="227" spans="1:9" ht="13.2">
      <c r="A227" s="170">
        <f t="shared" si="20"/>
        <v>226</v>
      </c>
      <c r="B227" s="171" t="s">
        <v>235</v>
      </c>
      <c r="C227" s="171" t="str">
        <f>VLOOKUP(B227,MEMBERS!B:C,2, )</f>
        <v>MR.IMRAN WAZEER</v>
      </c>
      <c r="D227" s="191">
        <v>45997</v>
      </c>
      <c r="E227" s="178">
        <v>2</v>
      </c>
      <c r="F227" s="171" t="s">
        <v>497</v>
      </c>
      <c r="G227" s="168">
        <f>IFERROR(VLOOKUP(F227,'menu list'!B:C,2,FALSE)*E227,"0")</f>
        <v>500</v>
      </c>
      <c r="H227" s="337">
        <f t="shared" si="17"/>
        <v>75</v>
      </c>
      <c r="I227" s="168">
        <f t="shared" si="18"/>
        <v>575</v>
      </c>
    </row>
    <row r="228" spans="1:9" ht="13.2">
      <c r="A228" s="170">
        <f t="shared" si="20"/>
        <v>227</v>
      </c>
      <c r="B228" s="171" t="s">
        <v>308</v>
      </c>
      <c r="C228" s="171" t="str">
        <f>VLOOKUP(B228,MEMBERS!B:C,2, )</f>
        <v>DGM AZFAR ALI</v>
      </c>
      <c r="D228" s="191">
        <v>45997</v>
      </c>
      <c r="E228" s="178">
        <v>1</v>
      </c>
      <c r="F228" s="171" t="s">
        <v>499</v>
      </c>
      <c r="G228" s="168">
        <f>IFERROR(VLOOKUP(F228,'menu list'!B:C,2,FALSE)*E228,"0")</f>
        <v>100</v>
      </c>
      <c r="H228" s="337">
        <f t="shared" si="17"/>
        <v>15</v>
      </c>
      <c r="I228" s="168">
        <f t="shared" si="18"/>
        <v>115</v>
      </c>
    </row>
    <row r="229" spans="1:9" ht="13.2">
      <c r="A229" s="170">
        <f t="shared" si="20"/>
        <v>228</v>
      </c>
      <c r="B229" s="171" t="s">
        <v>418</v>
      </c>
      <c r="C229" s="171" t="str">
        <f>VLOOKUP(B229,MEMBERS!B:C,2, )</f>
        <v>ZAIB UR REHMAN</v>
      </c>
      <c r="D229" s="191">
        <v>45997</v>
      </c>
      <c r="E229" s="178">
        <v>1</v>
      </c>
      <c r="F229" s="171" t="s">
        <v>440</v>
      </c>
      <c r="G229" s="168">
        <f>IFERROR(VLOOKUP(F229,'menu list'!B:C,2,FALSE)*E229,"0")</f>
        <v>150</v>
      </c>
      <c r="H229" s="337">
        <f t="shared" si="17"/>
        <v>22.5</v>
      </c>
      <c r="I229" s="168">
        <f t="shared" si="18"/>
        <v>172.5</v>
      </c>
    </row>
    <row r="230" spans="1:9" ht="13.2">
      <c r="A230" s="170">
        <f t="shared" si="20"/>
        <v>229</v>
      </c>
      <c r="B230" s="171" t="s">
        <v>73</v>
      </c>
      <c r="C230" s="171" t="str">
        <f>VLOOKUP(B230,MEMBERS!B:C,2, )</f>
        <v>MR.ATIF SHAFQAT</v>
      </c>
      <c r="D230" s="191">
        <v>45997</v>
      </c>
      <c r="E230" s="178">
        <v>2</v>
      </c>
      <c r="F230" s="171" t="s">
        <v>442</v>
      </c>
      <c r="G230" s="168">
        <f>IFERROR(VLOOKUP(F230,'menu list'!B:C,2,FALSE)*E230,"0")</f>
        <v>300</v>
      </c>
      <c r="H230" s="337">
        <f t="shared" si="17"/>
        <v>45</v>
      </c>
      <c r="I230" s="168">
        <f t="shared" si="18"/>
        <v>345</v>
      </c>
    </row>
    <row r="231" spans="1:9" ht="13.2">
      <c r="A231" s="170">
        <f t="shared" si="20"/>
        <v>230</v>
      </c>
      <c r="B231" s="171" t="s">
        <v>73</v>
      </c>
      <c r="C231" s="171" t="str">
        <f>VLOOKUP(B231,MEMBERS!B:C,2, )</f>
        <v>MR.ATIF SHAFQAT</v>
      </c>
      <c r="D231" s="191">
        <v>45997</v>
      </c>
      <c r="E231" s="178">
        <v>1</v>
      </c>
      <c r="F231" s="171" t="s">
        <v>826</v>
      </c>
      <c r="G231" s="168">
        <f>IFERROR(VLOOKUP(F231,'menu list'!B:C,2,FALSE)*E231,"0")</f>
        <v>900</v>
      </c>
      <c r="H231" s="337">
        <f t="shared" si="17"/>
        <v>135</v>
      </c>
      <c r="I231" s="168">
        <f t="shared" si="18"/>
        <v>1035</v>
      </c>
    </row>
    <row r="232" spans="1:9" ht="13.2">
      <c r="A232" s="170">
        <f t="shared" si="20"/>
        <v>231</v>
      </c>
      <c r="B232" s="171" t="s">
        <v>73</v>
      </c>
      <c r="C232" s="171" t="str">
        <f>VLOOKUP(B232,MEMBERS!B:C,2, )</f>
        <v>MR.ATIF SHAFQAT</v>
      </c>
      <c r="D232" s="191">
        <v>45997</v>
      </c>
      <c r="E232" s="178">
        <v>2</v>
      </c>
      <c r="F232" s="171" t="s">
        <v>853</v>
      </c>
      <c r="G232" s="168">
        <f>IFERROR(VLOOKUP(F232,'menu list'!B:C,2,FALSE)*E232,"0")</f>
        <v>1150</v>
      </c>
      <c r="H232" s="337">
        <f t="shared" si="17"/>
        <v>172.5</v>
      </c>
      <c r="I232" s="168">
        <f t="shared" si="18"/>
        <v>1322.5</v>
      </c>
    </row>
    <row r="233" spans="1:9" ht="13.2">
      <c r="A233" s="170">
        <f t="shared" si="20"/>
        <v>232</v>
      </c>
      <c r="B233" s="171" t="s">
        <v>73</v>
      </c>
      <c r="C233" s="171" t="str">
        <f>VLOOKUP(B233,MEMBERS!B:C,2, )</f>
        <v>MR.ATIF SHAFQAT</v>
      </c>
      <c r="D233" s="191">
        <v>45997</v>
      </c>
      <c r="E233" s="178">
        <v>1</v>
      </c>
      <c r="F233" s="171" t="s">
        <v>500</v>
      </c>
      <c r="G233" s="168">
        <f>IFERROR(VLOOKUP(F233,'menu list'!B:C,2,FALSE)*E233,"0")</f>
        <v>1250</v>
      </c>
      <c r="H233" s="337">
        <f t="shared" si="17"/>
        <v>187.5</v>
      </c>
      <c r="I233" s="168">
        <f t="shared" si="18"/>
        <v>1437.5</v>
      </c>
    </row>
    <row r="234" spans="1:9" ht="13.2">
      <c r="A234" s="170">
        <f t="shared" si="20"/>
        <v>233</v>
      </c>
      <c r="B234" s="171" t="s">
        <v>73</v>
      </c>
      <c r="C234" s="171" t="str">
        <f>VLOOKUP(B234,MEMBERS!B:C,2, )</f>
        <v>MR.ATIF SHAFQAT</v>
      </c>
      <c r="D234" s="191">
        <v>45997</v>
      </c>
      <c r="E234" s="178">
        <v>1</v>
      </c>
      <c r="F234" s="171" t="s">
        <v>439</v>
      </c>
      <c r="G234" s="168">
        <f>IFERROR(VLOOKUP(F234,'menu list'!B:C,2,FALSE)*E234,"0")</f>
        <v>70</v>
      </c>
      <c r="H234" s="337">
        <f t="shared" si="17"/>
        <v>10.5</v>
      </c>
      <c r="I234" s="168">
        <f t="shared" si="18"/>
        <v>80.5</v>
      </c>
    </row>
    <row r="235" spans="1:9" ht="13.2">
      <c r="A235" s="170">
        <f t="shared" si="20"/>
        <v>234</v>
      </c>
      <c r="B235" s="171" t="s">
        <v>73</v>
      </c>
      <c r="C235" s="171" t="str">
        <f>VLOOKUP(B235,MEMBERS!B:C,2, )</f>
        <v>MR.ATIF SHAFQAT</v>
      </c>
      <c r="D235" s="191">
        <v>45997</v>
      </c>
      <c r="E235" s="178">
        <v>2</v>
      </c>
      <c r="F235" s="171" t="s">
        <v>443</v>
      </c>
      <c r="G235" s="168">
        <f>IFERROR(VLOOKUP(F235,'menu list'!B:C,2,FALSE)*E235,"0")</f>
        <v>300</v>
      </c>
      <c r="H235" s="337">
        <f t="shared" si="17"/>
        <v>45</v>
      </c>
      <c r="I235" s="168">
        <f t="shared" si="18"/>
        <v>345</v>
      </c>
    </row>
    <row r="236" spans="1:9" ht="13.2">
      <c r="A236" s="170">
        <f t="shared" si="20"/>
        <v>235</v>
      </c>
      <c r="B236" s="171" t="s">
        <v>1053</v>
      </c>
      <c r="C236" s="171" t="str">
        <f>VLOOKUP(B236,MEMBERS!B:C,2, )</f>
        <v>MR. ZAMIR ALI SHAH</v>
      </c>
      <c r="D236" s="191">
        <v>45997</v>
      </c>
      <c r="E236" s="178">
        <v>1</v>
      </c>
      <c r="F236" s="171" t="s">
        <v>440</v>
      </c>
      <c r="G236" s="168">
        <f>IFERROR(VLOOKUP(F236,'menu list'!B:C,2,FALSE)*E236,"0")</f>
        <v>150</v>
      </c>
      <c r="H236" s="337">
        <f t="shared" si="17"/>
        <v>22.5</v>
      </c>
      <c r="I236" s="168">
        <f t="shared" si="18"/>
        <v>172.5</v>
      </c>
    </row>
    <row r="237" spans="1:9" ht="13.2">
      <c r="A237" s="170">
        <f t="shared" si="20"/>
        <v>236</v>
      </c>
      <c r="B237" s="171" t="s">
        <v>187</v>
      </c>
      <c r="C237" s="171" t="str">
        <f>VLOOKUP(B237,MEMBERS!B:C,2, )</f>
        <v>MR.SHAN ELAHI SEHGAL</v>
      </c>
      <c r="D237" s="191">
        <v>45997</v>
      </c>
      <c r="E237" s="178">
        <v>1</v>
      </c>
      <c r="F237" s="171" t="s">
        <v>497</v>
      </c>
      <c r="G237" s="168">
        <f>IFERROR(VLOOKUP(F237,'menu list'!B:C,2,FALSE)*E237,"0")</f>
        <v>250</v>
      </c>
      <c r="H237" s="337">
        <f t="shared" si="17"/>
        <v>37.5</v>
      </c>
      <c r="I237" s="168">
        <f t="shared" si="18"/>
        <v>287.5</v>
      </c>
    </row>
    <row r="238" spans="1:9" ht="13.2">
      <c r="A238" s="170">
        <f t="shared" si="20"/>
        <v>237</v>
      </c>
      <c r="B238" s="171" t="s">
        <v>235</v>
      </c>
      <c r="C238" s="171" t="str">
        <f>VLOOKUP(B238,MEMBERS!B:C,2, )</f>
        <v>MR.IMRAN WAZEER</v>
      </c>
      <c r="D238" s="191">
        <v>45997</v>
      </c>
      <c r="E238" s="178">
        <v>1</v>
      </c>
      <c r="F238" s="171" t="s">
        <v>497</v>
      </c>
      <c r="G238" s="168">
        <f>IFERROR(VLOOKUP(F238,'menu list'!B:C,2,FALSE)*E238,"0")</f>
        <v>250</v>
      </c>
      <c r="H238" s="337">
        <f t="shared" si="17"/>
        <v>37.5</v>
      </c>
      <c r="I238" s="168">
        <f t="shared" si="18"/>
        <v>287.5</v>
      </c>
    </row>
    <row r="239" spans="1:9" ht="13.2">
      <c r="A239" s="170">
        <f t="shared" si="20"/>
        <v>238</v>
      </c>
      <c r="B239" s="171" t="s">
        <v>235</v>
      </c>
      <c r="C239" s="171" t="str">
        <f>VLOOKUP(B239,MEMBERS!B:C,2, )</f>
        <v>MR.IMRAN WAZEER</v>
      </c>
      <c r="D239" s="191">
        <v>45997</v>
      </c>
      <c r="E239" s="178">
        <v>1</v>
      </c>
      <c r="F239" s="171" t="s">
        <v>442</v>
      </c>
      <c r="G239" s="168">
        <f>IFERROR(VLOOKUP(F239,'menu list'!B:C,2,FALSE)*E239,"0")</f>
        <v>150</v>
      </c>
      <c r="H239" s="337">
        <f t="shared" si="17"/>
        <v>22.5</v>
      </c>
      <c r="I239" s="168">
        <f t="shared" si="18"/>
        <v>172.5</v>
      </c>
    </row>
    <row r="240" spans="1:9" ht="13.2">
      <c r="A240" s="170">
        <f t="shared" si="20"/>
        <v>239</v>
      </c>
      <c r="B240" s="171" t="s">
        <v>948</v>
      </c>
      <c r="C240" s="171" t="str">
        <f>VLOOKUP(B240,MEMBERS!B:C,2, )</f>
        <v>MR. TEHSEEN FAIZ</v>
      </c>
      <c r="D240" s="191">
        <v>45997</v>
      </c>
      <c r="E240" s="178">
        <v>1</v>
      </c>
      <c r="F240" s="171" t="s">
        <v>633</v>
      </c>
      <c r="G240" s="168">
        <f>IFERROR(VLOOKUP(F240,'menu list'!B:C,2,FALSE)*E240,"0")</f>
        <v>700</v>
      </c>
      <c r="H240" s="337">
        <f t="shared" si="17"/>
        <v>105</v>
      </c>
      <c r="I240" s="168">
        <f t="shared" si="18"/>
        <v>805</v>
      </c>
    </row>
    <row r="241" spans="1:9" ht="13.2">
      <c r="A241" s="170">
        <f t="shared" si="20"/>
        <v>240</v>
      </c>
      <c r="B241" s="171" t="s">
        <v>948</v>
      </c>
      <c r="C241" s="171" t="str">
        <f>VLOOKUP(B241,MEMBERS!B:C,2, )</f>
        <v>MR. TEHSEEN FAIZ</v>
      </c>
      <c r="D241" s="191">
        <v>45997</v>
      </c>
      <c r="E241" s="178">
        <v>1</v>
      </c>
      <c r="F241" s="171" t="s">
        <v>601</v>
      </c>
      <c r="G241" s="168">
        <f>IFERROR(VLOOKUP(F241,'menu list'!B:C,2,FALSE)*E241,"0")</f>
        <v>1200</v>
      </c>
      <c r="H241" s="337">
        <f t="shared" si="17"/>
        <v>180</v>
      </c>
      <c r="I241" s="168">
        <f t="shared" si="18"/>
        <v>1380</v>
      </c>
    </row>
    <row r="242" spans="1:9" ht="13.2">
      <c r="A242" s="170">
        <f t="shared" si="20"/>
        <v>241</v>
      </c>
      <c r="B242" s="171" t="s">
        <v>948</v>
      </c>
      <c r="C242" s="171" t="str">
        <f>VLOOKUP(B242,MEMBERS!B:C,2, )</f>
        <v>MR. TEHSEEN FAIZ</v>
      </c>
      <c r="D242" s="191">
        <v>45997</v>
      </c>
      <c r="E242" s="178">
        <v>1</v>
      </c>
      <c r="F242" s="171" t="s">
        <v>500</v>
      </c>
      <c r="G242" s="168">
        <f>IFERROR(VLOOKUP(F242,'menu list'!B:C,2,FALSE)*E242,"0")</f>
        <v>1250</v>
      </c>
      <c r="H242" s="337">
        <f t="shared" si="17"/>
        <v>187.5</v>
      </c>
      <c r="I242" s="168">
        <f t="shared" si="18"/>
        <v>1437.5</v>
      </c>
    </row>
    <row r="243" spans="1:9" ht="13.2">
      <c r="A243" s="170">
        <f t="shared" si="20"/>
        <v>242</v>
      </c>
      <c r="B243" s="171" t="s">
        <v>948</v>
      </c>
      <c r="C243" s="171" t="str">
        <f>VLOOKUP(B243,MEMBERS!B:C,2, )</f>
        <v>MR. TEHSEEN FAIZ</v>
      </c>
      <c r="D243" s="191">
        <v>45997</v>
      </c>
      <c r="E243" s="178">
        <v>1</v>
      </c>
      <c r="F243" s="171" t="s">
        <v>440</v>
      </c>
      <c r="G243" s="168">
        <f>IFERROR(VLOOKUP(F243,'menu list'!B:C,2,FALSE)*E243,"0")</f>
        <v>150</v>
      </c>
      <c r="H243" s="337">
        <f t="shared" si="17"/>
        <v>22.5</v>
      </c>
      <c r="I243" s="168">
        <f t="shared" si="18"/>
        <v>172.5</v>
      </c>
    </row>
    <row r="244" spans="1:9" ht="13.2">
      <c r="A244" s="170">
        <f t="shared" si="20"/>
        <v>243</v>
      </c>
      <c r="B244" s="171" t="s">
        <v>948</v>
      </c>
      <c r="C244" s="171" t="str">
        <f>VLOOKUP(B244,MEMBERS!B:C,2, )</f>
        <v>MR. TEHSEEN FAIZ</v>
      </c>
      <c r="D244" s="191">
        <v>45997</v>
      </c>
      <c r="E244" s="178">
        <v>3</v>
      </c>
      <c r="F244" s="171" t="s">
        <v>442</v>
      </c>
      <c r="G244" s="168">
        <f>IFERROR(VLOOKUP(F244,'menu list'!B:C,2,FALSE)*E244,"0")</f>
        <v>450</v>
      </c>
      <c r="H244" s="337">
        <f t="shared" si="17"/>
        <v>67.5</v>
      </c>
      <c r="I244" s="168">
        <f t="shared" si="18"/>
        <v>517.5</v>
      </c>
    </row>
    <row r="245" spans="1:9" ht="13.2">
      <c r="A245" s="170">
        <f t="shared" si="20"/>
        <v>244</v>
      </c>
      <c r="B245" s="171" t="s">
        <v>1051</v>
      </c>
      <c r="C245" s="171" t="str">
        <f>VLOOKUP(B245,MEMBERS!B:C,2, )</f>
        <v>MR. ZAHIR REHMAN</v>
      </c>
      <c r="D245" s="191">
        <v>45997</v>
      </c>
      <c r="E245" s="178">
        <v>5</v>
      </c>
      <c r="F245" s="171" t="s">
        <v>499</v>
      </c>
      <c r="G245" s="168">
        <f>IFERROR(VLOOKUP(F245,'menu list'!B:C,2,FALSE)*E245,"0")</f>
        <v>500</v>
      </c>
      <c r="H245" s="337">
        <f t="shared" si="17"/>
        <v>75</v>
      </c>
      <c r="I245" s="168">
        <f t="shared" si="18"/>
        <v>575</v>
      </c>
    </row>
    <row r="246" spans="1:9" ht="13.2">
      <c r="A246" s="170">
        <f t="shared" si="20"/>
        <v>245</v>
      </c>
      <c r="B246" s="171" t="s">
        <v>1051</v>
      </c>
      <c r="C246" s="171" t="str">
        <f>VLOOKUP(B246,MEMBERS!B:C,2, )</f>
        <v>MR. ZAHIR REHMAN</v>
      </c>
      <c r="D246" s="191">
        <v>45997</v>
      </c>
      <c r="E246" s="178">
        <v>2</v>
      </c>
      <c r="F246" s="171" t="s">
        <v>802</v>
      </c>
      <c r="G246" s="168">
        <f>IFERROR(VLOOKUP(F246,'menu list'!B:C,2,FALSE)*E246,"0")</f>
        <v>1000</v>
      </c>
      <c r="H246" s="337">
        <f t="shared" si="17"/>
        <v>150</v>
      </c>
      <c r="I246" s="168">
        <f t="shared" si="18"/>
        <v>1150</v>
      </c>
    </row>
    <row r="247" spans="1:9" ht="13.2">
      <c r="A247" s="170">
        <f t="shared" si="20"/>
        <v>246</v>
      </c>
      <c r="B247" s="171" t="s">
        <v>1051</v>
      </c>
      <c r="C247" s="171" t="str">
        <f>VLOOKUP(B247,MEMBERS!B:C,2, )</f>
        <v>MR. ZAHIR REHMAN</v>
      </c>
      <c r="D247" s="191">
        <v>45997</v>
      </c>
      <c r="E247" s="178">
        <v>3</v>
      </c>
      <c r="F247" s="171" t="s">
        <v>769</v>
      </c>
      <c r="G247" s="168">
        <f>IFERROR(VLOOKUP(F247,'menu list'!B:C,2,FALSE)*E247,"0")</f>
        <v>1650</v>
      </c>
      <c r="H247" s="337">
        <f t="shared" si="17"/>
        <v>247.5</v>
      </c>
      <c r="I247" s="168">
        <f t="shared" si="18"/>
        <v>1897.5</v>
      </c>
    </row>
    <row r="248" spans="1:9" ht="13.2">
      <c r="A248" s="170">
        <f t="shared" si="20"/>
        <v>247</v>
      </c>
      <c r="B248" s="171" t="s">
        <v>1051</v>
      </c>
      <c r="C248" s="171" t="str">
        <f>VLOOKUP(B248,MEMBERS!B:C,2, )</f>
        <v>MR. ZAHIR REHMAN</v>
      </c>
      <c r="D248" s="191">
        <v>45997</v>
      </c>
      <c r="E248" s="178">
        <v>1</v>
      </c>
      <c r="F248" s="171" t="s">
        <v>898</v>
      </c>
      <c r="G248" s="168">
        <f>IFERROR(VLOOKUP(F248,'menu list'!B:C,2,FALSE)*E248,"0")</f>
        <v>1000</v>
      </c>
      <c r="H248" s="337">
        <f t="shared" si="17"/>
        <v>150</v>
      </c>
      <c r="I248" s="168">
        <f t="shared" si="18"/>
        <v>1150</v>
      </c>
    </row>
    <row r="249" spans="1:9" ht="13.2">
      <c r="A249" s="170">
        <f t="shared" si="20"/>
        <v>248</v>
      </c>
      <c r="B249" s="171" t="s">
        <v>1051</v>
      </c>
      <c r="C249" s="171" t="str">
        <f>VLOOKUP(B249,MEMBERS!B:C,2, )</f>
        <v>MR. ZAHIR REHMAN</v>
      </c>
      <c r="D249" s="191">
        <v>45997</v>
      </c>
      <c r="E249" s="178">
        <v>3</v>
      </c>
      <c r="F249" s="171" t="s">
        <v>766</v>
      </c>
      <c r="G249" s="168">
        <f>IFERROR(VLOOKUP(F249,'menu list'!B:C,2,FALSE)*E249,"0")</f>
        <v>1650</v>
      </c>
      <c r="H249" s="337">
        <f t="shared" si="17"/>
        <v>247.5</v>
      </c>
      <c r="I249" s="168">
        <f t="shared" si="18"/>
        <v>1897.5</v>
      </c>
    </row>
    <row r="250" spans="1:9" ht="13.2">
      <c r="A250" s="170">
        <f t="shared" si="20"/>
        <v>249</v>
      </c>
      <c r="B250" s="171" t="s">
        <v>1051</v>
      </c>
      <c r="C250" s="171" t="str">
        <f>VLOOKUP(B250,MEMBERS!B:C,2, )</f>
        <v>MR. ZAHIR REHMAN</v>
      </c>
      <c r="D250" s="191">
        <v>45997</v>
      </c>
      <c r="E250" s="178">
        <v>4</v>
      </c>
      <c r="F250" s="171" t="s">
        <v>1165</v>
      </c>
      <c r="G250" s="168">
        <f>IFERROR(VLOOKUP(F250,'menu list'!B:C,2,FALSE)*E250,"0")</f>
        <v>4400</v>
      </c>
      <c r="H250" s="337">
        <f t="shared" si="17"/>
        <v>660</v>
      </c>
      <c r="I250" s="168">
        <f t="shared" si="18"/>
        <v>5060</v>
      </c>
    </row>
    <row r="251" spans="1:9" ht="13.2">
      <c r="A251" s="170">
        <f t="shared" si="20"/>
        <v>250</v>
      </c>
      <c r="B251" s="171" t="s">
        <v>1051</v>
      </c>
      <c r="C251" s="171" t="str">
        <f>VLOOKUP(B251,MEMBERS!B:C,2, )</f>
        <v>MR. ZAHIR REHMAN</v>
      </c>
      <c r="D251" s="191">
        <v>45997</v>
      </c>
      <c r="E251" s="178">
        <v>1</v>
      </c>
      <c r="F251" s="171" t="s">
        <v>1169</v>
      </c>
      <c r="G251" s="168">
        <f>IFERROR(VLOOKUP(F251,'menu list'!B:C,2,FALSE)*E251,"0")</f>
        <v>2000</v>
      </c>
      <c r="H251" s="337">
        <f t="shared" si="17"/>
        <v>300</v>
      </c>
      <c r="I251" s="168">
        <f t="shared" si="18"/>
        <v>2300</v>
      </c>
    </row>
    <row r="252" spans="1:9" ht="13.2">
      <c r="A252" s="170">
        <f t="shared" si="20"/>
        <v>251</v>
      </c>
      <c r="B252" s="171" t="s">
        <v>1051</v>
      </c>
      <c r="C252" s="171" t="str">
        <f>VLOOKUP(B252,MEMBERS!B:C,2, )</f>
        <v>MR. ZAHIR REHMAN</v>
      </c>
      <c r="D252" s="191">
        <v>45997</v>
      </c>
      <c r="E252" s="178">
        <v>4</v>
      </c>
      <c r="F252" s="171" t="s">
        <v>1164</v>
      </c>
      <c r="G252" s="168">
        <f>IFERROR(VLOOKUP(F252,'menu list'!B:C,2,FALSE)*E252,"0")</f>
        <v>7200</v>
      </c>
      <c r="H252" s="337">
        <f t="shared" si="17"/>
        <v>1080</v>
      </c>
      <c r="I252" s="168">
        <f t="shared" si="18"/>
        <v>8280</v>
      </c>
    </row>
    <row r="253" spans="1:9" ht="13.2">
      <c r="A253" s="170">
        <f t="shared" si="20"/>
        <v>252</v>
      </c>
      <c r="B253" s="171" t="s">
        <v>1051</v>
      </c>
      <c r="C253" s="171" t="str">
        <f>VLOOKUP(B253,MEMBERS!B:C,2, )</f>
        <v>MR. ZAHIR REHMAN</v>
      </c>
      <c r="D253" s="191">
        <v>45997</v>
      </c>
      <c r="E253" s="178">
        <v>1</v>
      </c>
      <c r="F253" s="171" t="s">
        <v>1163</v>
      </c>
      <c r="G253" s="168">
        <f>IFERROR(VLOOKUP(F253,'menu list'!B:C,2,FALSE)*E253,"0")</f>
        <v>1000</v>
      </c>
      <c r="H253" s="337">
        <f t="shared" si="17"/>
        <v>150</v>
      </c>
      <c r="I253" s="168">
        <f t="shared" si="18"/>
        <v>1150</v>
      </c>
    </row>
    <row r="254" spans="1:9" ht="13.2">
      <c r="A254" s="170">
        <f t="shared" si="20"/>
        <v>253</v>
      </c>
      <c r="B254" s="171" t="s">
        <v>762</v>
      </c>
      <c r="C254" s="171" t="str">
        <f>VLOOKUP(B254,MEMBERS!B:C,2, )</f>
        <v>MR. KASHIF SAEED</v>
      </c>
      <c r="D254" s="191">
        <v>45997</v>
      </c>
      <c r="E254" s="178">
        <v>3</v>
      </c>
      <c r="F254" s="171" t="s">
        <v>499</v>
      </c>
      <c r="G254" s="168">
        <f>IFERROR(VLOOKUP(F254,'menu list'!B:C,2,FALSE)*E254,"0")</f>
        <v>300</v>
      </c>
      <c r="H254" s="337">
        <f t="shared" si="17"/>
        <v>45</v>
      </c>
      <c r="I254" s="168">
        <f t="shared" si="18"/>
        <v>345</v>
      </c>
    </row>
    <row r="255" spans="1:9" ht="13.2">
      <c r="A255" s="170">
        <f t="shared" si="20"/>
        <v>254</v>
      </c>
      <c r="B255" s="171" t="s">
        <v>762</v>
      </c>
      <c r="C255" s="171" t="str">
        <f>VLOOKUP(B255,MEMBERS!B:C,2, )</f>
        <v>MR. KASHIF SAEED</v>
      </c>
      <c r="D255" s="191">
        <v>45997</v>
      </c>
      <c r="E255" s="178">
        <v>1</v>
      </c>
      <c r="F255" s="171" t="s">
        <v>1170</v>
      </c>
      <c r="G255" s="168">
        <f>IFERROR(VLOOKUP(F255,'menu list'!B:C,2,FALSE)*E255,"0")</f>
        <v>800</v>
      </c>
      <c r="H255" s="337">
        <f t="shared" si="17"/>
        <v>120</v>
      </c>
      <c r="I255" s="168">
        <f t="shared" si="18"/>
        <v>920</v>
      </c>
    </row>
    <row r="256" spans="1:9" ht="13.2">
      <c r="A256" s="170">
        <f t="shared" si="20"/>
        <v>255</v>
      </c>
      <c r="B256" s="171" t="s">
        <v>762</v>
      </c>
      <c r="C256" s="171" t="str">
        <f>VLOOKUP(B256,MEMBERS!B:C,2, )</f>
        <v>MR. KASHIF SAEED</v>
      </c>
      <c r="D256" s="191">
        <v>45997</v>
      </c>
      <c r="E256" s="178">
        <v>2</v>
      </c>
      <c r="F256" s="171" t="s">
        <v>1164</v>
      </c>
      <c r="G256" s="168">
        <f>IFERROR(VLOOKUP(F256,'menu list'!B:C,2,FALSE)*E256,"0")</f>
        <v>3600</v>
      </c>
      <c r="H256" s="337">
        <f t="shared" si="17"/>
        <v>540</v>
      </c>
      <c r="I256" s="168">
        <f t="shared" si="18"/>
        <v>4140</v>
      </c>
    </row>
    <row r="257" spans="1:9" ht="13.2">
      <c r="A257" s="170">
        <f t="shared" si="20"/>
        <v>256</v>
      </c>
      <c r="B257" s="171" t="s">
        <v>762</v>
      </c>
      <c r="C257" s="171" t="str">
        <f>VLOOKUP(B257,MEMBERS!B:C,2, )</f>
        <v>MR. KASHIF SAEED</v>
      </c>
      <c r="D257" s="191">
        <v>45997</v>
      </c>
      <c r="E257" s="178">
        <v>1</v>
      </c>
      <c r="F257" s="171" t="s">
        <v>1163</v>
      </c>
      <c r="G257" s="168">
        <f>IFERROR(VLOOKUP(F257,'menu list'!B:C,2,FALSE)*E257,"0")</f>
        <v>1000</v>
      </c>
      <c r="H257" s="337">
        <f t="shared" si="17"/>
        <v>150</v>
      </c>
      <c r="I257" s="168">
        <f t="shared" si="18"/>
        <v>1150</v>
      </c>
    </row>
    <row r="258" spans="1:9" ht="13.2">
      <c r="A258" s="170">
        <f t="shared" si="20"/>
        <v>257</v>
      </c>
      <c r="B258" s="171" t="s">
        <v>88</v>
      </c>
      <c r="C258" s="171" t="str">
        <f>VLOOKUP(B258,MEMBERS!B:C,2, )</f>
        <v>DR.NAZEER HUSSAIN KALHORO</v>
      </c>
      <c r="D258" s="191">
        <v>45997</v>
      </c>
      <c r="E258" s="178">
        <v>2</v>
      </c>
      <c r="F258" s="171" t="s">
        <v>1163</v>
      </c>
      <c r="G258" s="168">
        <f>IFERROR(VLOOKUP(F258,'menu list'!B:C,2,FALSE)*E258,"0")</f>
        <v>2000</v>
      </c>
      <c r="H258" s="337">
        <f t="shared" si="17"/>
        <v>300</v>
      </c>
      <c r="I258" s="168">
        <f t="shared" si="18"/>
        <v>2300</v>
      </c>
    </row>
    <row r="259" spans="1:9" ht="13.2">
      <c r="A259" s="170">
        <f t="shared" si="20"/>
        <v>258</v>
      </c>
      <c r="B259" s="171" t="s">
        <v>88</v>
      </c>
      <c r="C259" s="171" t="str">
        <f>VLOOKUP(B259,MEMBERS!B:C,2, )</f>
        <v>DR.NAZEER HUSSAIN KALHORO</v>
      </c>
      <c r="D259" s="191">
        <v>45997</v>
      </c>
      <c r="E259" s="178">
        <v>1</v>
      </c>
      <c r="F259" s="171" t="s">
        <v>440</v>
      </c>
      <c r="G259" s="168">
        <f>IFERROR(VLOOKUP(F259,'menu list'!B:C,2,FALSE)*E259,"0")</f>
        <v>150</v>
      </c>
      <c r="H259" s="337">
        <f t="shared" ref="H259:H322" si="21">G259*15/100</f>
        <v>22.5</v>
      </c>
      <c r="I259" s="168">
        <f t="shared" ref="I259:I322" si="22">G259+H259</f>
        <v>172.5</v>
      </c>
    </row>
    <row r="260" spans="1:9" ht="13.2">
      <c r="A260" s="170">
        <f t="shared" si="20"/>
        <v>259</v>
      </c>
      <c r="B260" s="171" t="s">
        <v>88</v>
      </c>
      <c r="C260" s="171" t="str">
        <f>VLOOKUP(B260,MEMBERS!B:C,2, )</f>
        <v>DR.NAZEER HUSSAIN KALHORO</v>
      </c>
      <c r="D260" s="191">
        <v>45997</v>
      </c>
      <c r="E260" s="178">
        <v>2</v>
      </c>
      <c r="F260" s="171" t="s">
        <v>1166</v>
      </c>
      <c r="G260" s="168">
        <f>IFERROR(VLOOKUP(F260,'menu list'!B:C,2,FALSE)*E260,"0")</f>
        <v>2800</v>
      </c>
      <c r="H260" s="337">
        <f t="shared" si="21"/>
        <v>420</v>
      </c>
      <c r="I260" s="168">
        <f t="shared" si="22"/>
        <v>3220</v>
      </c>
    </row>
    <row r="261" spans="1:9" ht="13.2">
      <c r="A261" s="170">
        <f t="shared" si="20"/>
        <v>260</v>
      </c>
      <c r="B261" s="171" t="s">
        <v>88</v>
      </c>
      <c r="C261" s="171" t="str">
        <f>VLOOKUP(B261,MEMBERS!B:C,2, )</f>
        <v>DR.NAZEER HUSSAIN KALHORO</v>
      </c>
      <c r="D261" s="191">
        <v>45997</v>
      </c>
      <c r="E261" s="178">
        <v>1</v>
      </c>
      <c r="F261" s="171" t="s">
        <v>786</v>
      </c>
      <c r="G261" s="168">
        <f>IFERROR(VLOOKUP(F261,'menu list'!B:C,2,FALSE)*E261,"0")</f>
        <v>1150</v>
      </c>
      <c r="H261" s="337">
        <f t="shared" si="21"/>
        <v>172.5</v>
      </c>
      <c r="I261" s="168">
        <f t="shared" si="22"/>
        <v>1322.5</v>
      </c>
    </row>
    <row r="262" spans="1:9" ht="13.2">
      <c r="A262" s="170">
        <f t="shared" si="20"/>
        <v>261</v>
      </c>
      <c r="B262" s="171" t="s">
        <v>88</v>
      </c>
      <c r="C262" s="171" t="str">
        <f>VLOOKUP(B262,MEMBERS!B:C,2, )</f>
        <v>DR.NAZEER HUSSAIN KALHORO</v>
      </c>
      <c r="D262" s="191">
        <v>45997</v>
      </c>
      <c r="E262" s="178">
        <v>1</v>
      </c>
      <c r="F262" s="171" t="s">
        <v>1164</v>
      </c>
      <c r="G262" s="168">
        <f>IFERROR(VLOOKUP(F262,'menu list'!B:C,2,FALSE)*E262,"0")</f>
        <v>1800</v>
      </c>
      <c r="H262" s="337">
        <f t="shared" si="21"/>
        <v>270</v>
      </c>
      <c r="I262" s="168">
        <f t="shared" si="22"/>
        <v>2070</v>
      </c>
    </row>
    <row r="263" spans="1:9" ht="13.2">
      <c r="A263" s="170">
        <f t="shared" si="20"/>
        <v>262</v>
      </c>
      <c r="B263" s="171" t="s">
        <v>88</v>
      </c>
      <c r="C263" s="171" t="str">
        <f>VLOOKUP(B263,MEMBERS!B:C,2, )</f>
        <v>DR.NAZEER HUSSAIN KALHORO</v>
      </c>
      <c r="D263" s="191">
        <v>45997</v>
      </c>
      <c r="E263" s="178">
        <v>2</v>
      </c>
      <c r="F263" s="171" t="s">
        <v>1165</v>
      </c>
      <c r="G263" s="168">
        <f>IFERROR(VLOOKUP(F263,'menu list'!B:C,2,FALSE)*E263,"0")</f>
        <v>2200</v>
      </c>
      <c r="H263" s="337">
        <f t="shared" si="21"/>
        <v>330</v>
      </c>
      <c r="I263" s="168">
        <f t="shared" si="22"/>
        <v>2530</v>
      </c>
    </row>
    <row r="264" spans="1:9" ht="13.2">
      <c r="A264" s="170">
        <f t="shared" si="20"/>
        <v>263</v>
      </c>
      <c r="B264" s="171" t="s">
        <v>374</v>
      </c>
      <c r="C264" s="171" t="str">
        <f>VLOOKUP(B264,MEMBERS!B:C,2, )</f>
        <v>AAMIR RASOOL</v>
      </c>
      <c r="D264" s="191">
        <v>45997</v>
      </c>
      <c r="E264" s="178">
        <v>4</v>
      </c>
      <c r="F264" s="171" t="s">
        <v>1163</v>
      </c>
      <c r="G264" s="168">
        <f>IFERROR(VLOOKUP(F264,'menu list'!B:C,2,FALSE)*E264,"0")</f>
        <v>4000</v>
      </c>
      <c r="H264" s="337">
        <f t="shared" si="21"/>
        <v>600</v>
      </c>
      <c r="I264" s="168">
        <f t="shared" si="22"/>
        <v>4600</v>
      </c>
    </row>
    <row r="265" spans="1:9" ht="13.2">
      <c r="A265" s="170">
        <f t="shared" si="20"/>
        <v>264</v>
      </c>
      <c r="B265" s="171" t="s">
        <v>374</v>
      </c>
      <c r="C265" s="171" t="str">
        <f>VLOOKUP(B265,MEMBERS!B:C,2, )</f>
        <v>AAMIR RASOOL</v>
      </c>
      <c r="D265" s="191">
        <v>45997</v>
      </c>
      <c r="E265" s="178">
        <v>2</v>
      </c>
      <c r="F265" s="171" t="s">
        <v>440</v>
      </c>
      <c r="G265" s="168">
        <f>IFERROR(VLOOKUP(F265,'menu list'!B:C,2,FALSE)*E265,"0")</f>
        <v>300</v>
      </c>
      <c r="H265" s="337">
        <f t="shared" si="21"/>
        <v>45</v>
      </c>
      <c r="I265" s="168">
        <f t="shared" si="22"/>
        <v>345</v>
      </c>
    </row>
    <row r="266" spans="1:9" ht="13.2">
      <c r="A266" s="170">
        <f t="shared" si="20"/>
        <v>265</v>
      </c>
      <c r="B266" s="171" t="s">
        <v>374</v>
      </c>
      <c r="C266" s="171" t="str">
        <f>VLOOKUP(B266,MEMBERS!B:C,2, )</f>
        <v>AAMIR RASOOL</v>
      </c>
      <c r="D266" s="191">
        <v>45997</v>
      </c>
      <c r="E266" s="178">
        <v>3</v>
      </c>
      <c r="F266" s="171" t="s">
        <v>1166</v>
      </c>
      <c r="G266" s="168">
        <f>IFERROR(VLOOKUP(F266,'menu list'!B:C,2,FALSE)*E266,"0")</f>
        <v>4200</v>
      </c>
      <c r="H266" s="337">
        <f t="shared" si="21"/>
        <v>630</v>
      </c>
      <c r="I266" s="168">
        <f t="shared" si="22"/>
        <v>4830</v>
      </c>
    </row>
    <row r="267" spans="1:9" ht="13.2">
      <c r="A267" s="170">
        <f t="shared" si="20"/>
        <v>266</v>
      </c>
      <c r="B267" s="171" t="s">
        <v>374</v>
      </c>
      <c r="C267" s="171" t="str">
        <f>VLOOKUP(B267,MEMBERS!B:C,2, )</f>
        <v>AAMIR RASOOL</v>
      </c>
      <c r="D267" s="191">
        <v>45997</v>
      </c>
      <c r="E267" s="178">
        <v>4</v>
      </c>
      <c r="F267" s="171" t="s">
        <v>1165</v>
      </c>
      <c r="G267" s="168">
        <f>IFERROR(VLOOKUP(F267,'menu list'!B:C,2,FALSE)*E267,"0")</f>
        <v>4400</v>
      </c>
      <c r="H267" s="337">
        <f t="shared" si="21"/>
        <v>660</v>
      </c>
      <c r="I267" s="168">
        <f t="shared" si="22"/>
        <v>5060</v>
      </c>
    </row>
    <row r="268" spans="1:9" ht="13.2">
      <c r="A268" s="170">
        <f t="shared" si="20"/>
        <v>267</v>
      </c>
      <c r="B268" s="171" t="s">
        <v>374</v>
      </c>
      <c r="C268" s="171" t="str">
        <f>VLOOKUP(B268,MEMBERS!B:C,2, )</f>
        <v>AAMIR RASOOL</v>
      </c>
      <c r="D268" s="191">
        <v>45997</v>
      </c>
      <c r="E268" s="178">
        <v>2</v>
      </c>
      <c r="F268" s="171" t="s">
        <v>442</v>
      </c>
      <c r="G268" s="168">
        <f>IFERROR(VLOOKUP(F268,'menu list'!B:C,2,FALSE)*E268,"0")</f>
        <v>300</v>
      </c>
      <c r="H268" s="337">
        <f t="shared" si="21"/>
        <v>45</v>
      </c>
      <c r="I268" s="168">
        <f t="shared" si="22"/>
        <v>345</v>
      </c>
    </row>
    <row r="269" spans="1:9" ht="13.2">
      <c r="A269" s="170">
        <f t="shared" si="20"/>
        <v>268</v>
      </c>
      <c r="B269" s="171" t="s">
        <v>374</v>
      </c>
      <c r="C269" s="171" t="str">
        <f>VLOOKUP(B269,MEMBERS!B:C,2, )</f>
        <v>AAMIR RASOOL</v>
      </c>
      <c r="D269" s="191">
        <v>45997</v>
      </c>
      <c r="E269" s="178">
        <v>2</v>
      </c>
      <c r="F269" s="171" t="s">
        <v>1167</v>
      </c>
      <c r="G269" s="168">
        <f>IFERROR(VLOOKUP(F269,'menu list'!B:C,2,FALSE)*E269,"0")</f>
        <v>3600</v>
      </c>
      <c r="H269" s="337">
        <f t="shared" si="21"/>
        <v>540</v>
      </c>
      <c r="I269" s="168">
        <f t="shared" si="22"/>
        <v>4140</v>
      </c>
    </row>
    <row r="270" spans="1:9" ht="13.2">
      <c r="A270" s="170">
        <f t="shared" si="20"/>
        <v>269</v>
      </c>
      <c r="B270" s="171" t="s">
        <v>151</v>
      </c>
      <c r="C270" s="171" t="str">
        <f>VLOOKUP(B270,MEMBERS!B:C,2, )</f>
        <v>MR.ZULQARNAIN</v>
      </c>
      <c r="D270" s="191">
        <v>45997</v>
      </c>
      <c r="E270" s="178">
        <v>4</v>
      </c>
      <c r="F270" s="171" t="s">
        <v>501</v>
      </c>
      <c r="G270" s="168">
        <f>IFERROR(VLOOKUP(F270,'menu list'!B:C,2,FALSE)*E270,"0")</f>
        <v>4800</v>
      </c>
      <c r="H270" s="337">
        <f t="shared" si="21"/>
        <v>720</v>
      </c>
      <c r="I270" s="168">
        <f t="shared" si="22"/>
        <v>5520</v>
      </c>
    </row>
    <row r="271" spans="1:9" ht="13.2">
      <c r="A271" s="170">
        <f t="shared" si="20"/>
        <v>270</v>
      </c>
      <c r="B271" s="171" t="s">
        <v>151</v>
      </c>
      <c r="C271" s="171" t="str">
        <f>VLOOKUP(B271,MEMBERS!B:C,2, )</f>
        <v>MR.ZULQARNAIN</v>
      </c>
      <c r="D271" s="191">
        <v>45997</v>
      </c>
      <c r="E271" s="178">
        <v>4</v>
      </c>
      <c r="F271" s="171" t="s">
        <v>1170</v>
      </c>
      <c r="G271" s="168">
        <f>IFERROR(VLOOKUP(F271,'menu list'!B:C,2,FALSE)*E271,"0")</f>
        <v>3200</v>
      </c>
      <c r="H271" s="337">
        <f t="shared" si="21"/>
        <v>480</v>
      </c>
      <c r="I271" s="168">
        <f t="shared" si="22"/>
        <v>3680</v>
      </c>
    </row>
    <row r="272" spans="1:9" ht="13.2">
      <c r="A272" s="170">
        <f t="shared" si="20"/>
        <v>271</v>
      </c>
      <c r="B272" s="171" t="s">
        <v>151</v>
      </c>
      <c r="C272" s="171" t="str">
        <f>VLOOKUP(B272,MEMBERS!B:C,2, )</f>
        <v>MR.ZULQARNAIN</v>
      </c>
      <c r="D272" s="191">
        <v>45997</v>
      </c>
      <c r="E272" s="178">
        <v>3</v>
      </c>
      <c r="F272" s="171" t="s">
        <v>1164</v>
      </c>
      <c r="G272" s="168">
        <f>IFERROR(VLOOKUP(F272,'menu list'!B:C,2,FALSE)*E272,"0")</f>
        <v>5400</v>
      </c>
      <c r="H272" s="337">
        <f t="shared" si="21"/>
        <v>810</v>
      </c>
      <c r="I272" s="168">
        <f t="shared" si="22"/>
        <v>6210</v>
      </c>
    </row>
    <row r="273" spans="1:9" ht="13.2">
      <c r="A273" s="170">
        <f t="shared" si="20"/>
        <v>272</v>
      </c>
      <c r="B273" s="171" t="s">
        <v>151</v>
      </c>
      <c r="C273" s="171" t="str">
        <f>VLOOKUP(B273,MEMBERS!B:C,2, )</f>
        <v>MR.ZULQARNAIN</v>
      </c>
      <c r="D273" s="191">
        <v>45997</v>
      </c>
      <c r="E273" s="178">
        <v>6</v>
      </c>
      <c r="F273" s="171" t="s">
        <v>499</v>
      </c>
      <c r="G273" s="168">
        <f>IFERROR(VLOOKUP(F273,'menu list'!B:C,2,FALSE)*E273,"0")</f>
        <v>600</v>
      </c>
      <c r="H273" s="337">
        <f t="shared" si="21"/>
        <v>90</v>
      </c>
      <c r="I273" s="168">
        <f t="shared" si="22"/>
        <v>690</v>
      </c>
    </row>
    <row r="274" spans="1:9" ht="13.2">
      <c r="A274" s="170">
        <f t="shared" si="20"/>
        <v>273</v>
      </c>
      <c r="B274" s="171" t="s">
        <v>151</v>
      </c>
      <c r="C274" s="171" t="str">
        <f>VLOOKUP(B274,MEMBERS!B:C,2, )</f>
        <v>MR.ZULQARNAIN</v>
      </c>
      <c r="D274" s="191">
        <v>45997</v>
      </c>
      <c r="E274" s="178">
        <v>1</v>
      </c>
      <c r="F274" s="171" t="s">
        <v>1167</v>
      </c>
      <c r="G274" s="168">
        <f>IFERROR(VLOOKUP(F274,'menu list'!B:C,2,FALSE)*E274,"0")</f>
        <v>1800</v>
      </c>
      <c r="H274" s="337">
        <f t="shared" si="21"/>
        <v>270</v>
      </c>
      <c r="I274" s="168">
        <f t="shared" si="22"/>
        <v>2070</v>
      </c>
    </row>
    <row r="275" spans="1:9" ht="13.2">
      <c r="A275" s="170">
        <f t="shared" ref="A275:A328" si="23">IF(D275&lt;&gt;"", ROW()-1, "")</f>
        <v>274</v>
      </c>
      <c r="B275" s="171" t="s">
        <v>650</v>
      </c>
      <c r="C275" s="171" t="str">
        <f>VLOOKUP(B275,MEMBERS!B:C,2, )</f>
        <v>SHAHBAZ AHMED</v>
      </c>
      <c r="D275" s="191">
        <v>45997</v>
      </c>
      <c r="E275" s="178">
        <v>2</v>
      </c>
      <c r="F275" s="171" t="s">
        <v>1164</v>
      </c>
      <c r="G275" s="168">
        <f>IFERROR(VLOOKUP(F275,'menu list'!B:C,2,FALSE)*E275,"0")</f>
        <v>3600</v>
      </c>
      <c r="H275" s="337">
        <f t="shared" si="21"/>
        <v>540</v>
      </c>
      <c r="I275" s="168">
        <f t="shared" si="22"/>
        <v>4140</v>
      </c>
    </row>
    <row r="276" spans="1:9" ht="13.2">
      <c r="A276" s="170">
        <f t="shared" si="23"/>
        <v>275</v>
      </c>
      <c r="B276" s="171" t="s">
        <v>650</v>
      </c>
      <c r="C276" s="171" t="str">
        <f>VLOOKUP(B276,MEMBERS!B:C,2, )</f>
        <v>SHAHBAZ AHMED</v>
      </c>
      <c r="D276" s="191">
        <v>45997</v>
      </c>
      <c r="E276" s="178">
        <v>1</v>
      </c>
      <c r="F276" s="171" t="s">
        <v>1170</v>
      </c>
      <c r="G276" s="168">
        <f>IFERROR(VLOOKUP(F276,'menu list'!B:C,2,FALSE)*E276,"0")</f>
        <v>800</v>
      </c>
      <c r="H276" s="337">
        <f t="shared" si="21"/>
        <v>120</v>
      </c>
      <c r="I276" s="168">
        <f t="shared" si="22"/>
        <v>920</v>
      </c>
    </row>
    <row r="277" spans="1:9" ht="13.2">
      <c r="A277" s="170">
        <f t="shared" si="23"/>
        <v>276</v>
      </c>
      <c r="B277" s="171" t="s">
        <v>650</v>
      </c>
      <c r="C277" s="171" t="str">
        <f>VLOOKUP(B277,MEMBERS!B:C,2, )</f>
        <v>SHAHBAZ AHMED</v>
      </c>
      <c r="D277" s="191">
        <v>45997</v>
      </c>
      <c r="E277" s="178">
        <v>1</v>
      </c>
      <c r="F277" s="171" t="s">
        <v>1163</v>
      </c>
      <c r="G277" s="168">
        <f>IFERROR(VLOOKUP(F277,'menu list'!B:C,2,FALSE)*E277,"0")</f>
        <v>1000</v>
      </c>
      <c r="H277" s="337">
        <f t="shared" si="21"/>
        <v>150</v>
      </c>
      <c r="I277" s="168">
        <f t="shared" si="22"/>
        <v>1150</v>
      </c>
    </row>
    <row r="278" spans="1:9" ht="13.2">
      <c r="A278" s="170">
        <f t="shared" si="23"/>
        <v>277</v>
      </c>
      <c r="B278" s="171" t="s">
        <v>650</v>
      </c>
      <c r="C278" s="171" t="str">
        <f>VLOOKUP(B278,MEMBERS!B:C,2, )</f>
        <v>SHAHBAZ AHMED</v>
      </c>
      <c r="D278" s="191">
        <v>45997</v>
      </c>
      <c r="E278" s="178">
        <v>1</v>
      </c>
      <c r="F278" s="171" t="s">
        <v>501</v>
      </c>
      <c r="G278" s="168">
        <f>IFERROR(VLOOKUP(F278,'menu list'!B:C,2,FALSE)*E278,"0")</f>
        <v>1200</v>
      </c>
      <c r="H278" s="337">
        <f t="shared" si="21"/>
        <v>180</v>
      </c>
      <c r="I278" s="168">
        <f t="shared" si="22"/>
        <v>1380</v>
      </c>
    </row>
    <row r="279" spans="1:9" ht="13.2">
      <c r="A279" s="170">
        <f t="shared" si="23"/>
        <v>278</v>
      </c>
      <c r="B279" s="171" t="s">
        <v>650</v>
      </c>
      <c r="C279" s="171" t="str">
        <f>VLOOKUP(B279,MEMBERS!B:C,2, )</f>
        <v>SHAHBAZ AHMED</v>
      </c>
      <c r="D279" s="191">
        <v>45997</v>
      </c>
      <c r="E279" s="178">
        <v>1</v>
      </c>
      <c r="F279" s="171" t="s">
        <v>1165</v>
      </c>
      <c r="G279" s="168">
        <f>IFERROR(VLOOKUP(F279,'menu list'!B:C,2,FALSE)*E279,"0")</f>
        <v>1100</v>
      </c>
      <c r="H279" s="337">
        <f t="shared" si="21"/>
        <v>165</v>
      </c>
      <c r="I279" s="168">
        <f t="shared" si="22"/>
        <v>1265</v>
      </c>
    </row>
    <row r="280" spans="1:9" ht="13.2">
      <c r="A280" s="170">
        <f t="shared" si="23"/>
        <v>279</v>
      </c>
      <c r="B280" s="171" t="s">
        <v>650</v>
      </c>
      <c r="C280" s="171" t="str">
        <f>VLOOKUP(B280,MEMBERS!B:C,2, )</f>
        <v>SHAHBAZ AHMED</v>
      </c>
      <c r="D280" s="191">
        <v>45997</v>
      </c>
      <c r="E280" s="178">
        <v>4</v>
      </c>
      <c r="F280" s="171" t="s">
        <v>442</v>
      </c>
      <c r="G280" s="168">
        <f>IFERROR(VLOOKUP(F280,'menu list'!B:C,2,FALSE)*E280,"0")</f>
        <v>600</v>
      </c>
      <c r="H280" s="337">
        <f t="shared" si="21"/>
        <v>90</v>
      </c>
      <c r="I280" s="168">
        <f t="shared" si="22"/>
        <v>690</v>
      </c>
    </row>
    <row r="281" spans="1:9" ht="13.2">
      <c r="A281" s="170">
        <f t="shared" si="23"/>
        <v>280</v>
      </c>
      <c r="B281" s="171" t="s">
        <v>287</v>
      </c>
      <c r="C281" s="171" t="str">
        <f>VLOOKUP(B281,MEMBERS!B:C,2, )</f>
        <v>DGM.REHAN TARIQ</v>
      </c>
      <c r="D281" s="191">
        <v>45997</v>
      </c>
      <c r="E281" s="178">
        <v>1</v>
      </c>
      <c r="F281" s="171" t="s">
        <v>1164</v>
      </c>
      <c r="G281" s="168">
        <f>IFERROR(VLOOKUP(F281,'menu list'!B:C,2,FALSE)*E281,"0")</f>
        <v>1800</v>
      </c>
      <c r="H281" s="337">
        <f t="shared" si="21"/>
        <v>270</v>
      </c>
      <c r="I281" s="168">
        <f t="shared" si="22"/>
        <v>2070</v>
      </c>
    </row>
    <row r="282" spans="1:9" ht="13.2">
      <c r="A282" s="170">
        <f t="shared" si="23"/>
        <v>281</v>
      </c>
      <c r="B282" s="171" t="s">
        <v>287</v>
      </c>
      <c r="C282" s="171" t="str">
        <f>VLOOKUP(B282,MEMBERS!B:C,2, )</f>
        <v>DGM.REHAN TARIQ</v>
      </c>
      <c r="D282" s="191">
        <v>45997</v>
      </c>
      <c r="E282" s="178">
        <v>1</v>
      </c>
      <c r="F282" s="171" t="s">
        <v>1170</v>
      </c>
      <c r="G282" s="168">
        <f>IFERROR(VLOOKUP(F282,'menu list'!B:C,2,FALSE)*E282,"0")</f>
        <v>800</v>
      </c>
      <c r="H282" s="337">
        <f t="shared" si="21"/>
        <v>120</v>
      </c>
      <c r="I282" s="168">
        <f t="shared" si="22"/>
        <v>920</v>
      </c>
    </row>
    <row r="283" spans="1:9" ht="13.2">
      <c r="A283" s="170">
        <f t="shared" si="23"/>
        <v>282</v>
      </c>
      <c r="B283" s="171" t="s">
        <v>287</v>
      </c>
      <c r="C283" s="171" t="str">
        <f>VLOOKUP(B283,MEMBERS!B:C,2, )</f>
        <v>DGM.REHAN TARIQ</v>
      </c>
      <c r="D283" s="191">
        <v>45997</v>
      </c>
      <c r="E283" s="178">
        <v>1</v>
      </c>
      <c r="F283" s="171" t="s">
        <v>1163</v>
      </c>
      <c r="G283" s="168">
        <f>IFERROR(VLOOKUP(F283,'menu list'!B:C,2,FALSE)*E283,"0")</f>
        <v>1000</v>
      </c>
      <c r="H283" s="337">
        <f t="shared" si="21"/>
        <v>150</v>
      </c>
      <c r="I283" s="168">
        <f t="shared" si="22"/>
        <v>1150</v>
      </c>
    </row>
    <row r="284" spans="1:9" ht="13.2">
      <c r="A284" s="170">
        <f t="shared" si="23"/>
        <v>283</v>
      </c>
      <c r="B284" s="171" t="s">
        <v>287</v>
      </c>
      <c r="C284" s="171" t="str">
        <f>VLOOKUP(B284,MEMBERS!B:C,2, )</f>
        <v>DGM.REHAN TARIQ</v>
      </c>
      <c r="D284" s="191">
        <v>45997</v>
      </c>
      <c r="E284" s="178">
        <v>2</v>
      </c>
      <c r="F284" s="171" t="s">
        <v>623</v>
      </c>
      <c r="G284" s="168">
        <f>IFERROR(VLOOKUP(F284,'menu list'!B:C,2,FALSE)*E284,"0")</f>
        <v>300</v>
      </c>
      <c r="H284" s="337">
        <f t="shared" si="21"/>
        <v>45</v>
      </c>
      <c r="I284" s="168">
        <f t="shared" si="22"/>
        <v>345</v>
      </c>
    </row>
    <row r="285" spans="1:9" ht="13.2">
      <c r="A285" s="170">
        <f t="shared" si="23"/>
        <v>284</v>
      </c>
      <c r="B285" s="171" t="s">
        <v>287</v>
      </c>
      <c r="C285" s="171" t="str">
        <f>VLOOKUP(B285,MEMBERS!B:C,2, )</f>
        <v>DGM.REHAN TARIQ</v>
      </c>
      <c r="D285" s="191">
        <v>45997</v>
      </c>
      <c r="E285" s="178">
        <v>1</v>
      </c>
      <c r="F285" s="171" t="s">
        <v>442</v>
      </c>
      <c r="G285" s="168">
        <f>IFERROR(VLOOKUP(F285,'menu list'!B:C,2,FALSE)*E285,"0")</f>
        <v>150</v>
      </c>
      <c r="H285" s="337">
        <f t="shared" si="21"/>
        <v>22.5</v>
      </c>
      <c r="I285" s="168">
        <f t="shared" si="22"/>
        <v>172.5</v>
      </c>
    </row>
    <row r="286" spans="1:9" ht="13.2">
      <c r="A286" s="170">
        <f t="shared" si="23"/>
        <v>285</v>
      </c>
      <c r="B286" s="171" t="s">
        <v>187</v>
      </c>
      <c r="C286" s="171" t="str">
        <f>VLOOKUP(B286,MEMBERS!B:C,2, )</f>
        <v>MR.SHAN ELAHI SEHGAL</v>
      </c>
      <c r="D286" s="191">
        <v>45997</v>
      </c>
      <c r="E286" s="178">
        <v>2</v>
      </c>
      <c r="F286" s="171" t="s">
        <v>1164</v>
      </c>
      <c r="G286" s="168">
        <f>IFERROR(VLOOKUP(F286,'menu list'!B:C,2,FALSE)*E286,"0")</f>
        <v>3600</v>
      </c>
      <c r="H286" s="337">
        <f t="shared" si="21"/>
        <v>540</v>
      </c>
      <c r="I286" s="168">
        <f t="shared" si="22"/>
        <v>4140</v>
      </c>
    </row>
    <row r="287" spans="1:9" ht="13.2">
      <c r="A287" s="170">
        <f t="shared" si="23"/>
        <v>286</v>
      </c>
      <c r="B287" s="171" t="s">
        <v>187</v>
      </c>
      <c r="C287" s="171" t="str">
        <f>VLOOKUP(B287,MEMBERS!B:C,2, )</f>
        <v>MR.SHAN ELAHI SEHGAL</v>
      </c>
      <c r="D287" s="191">
        <v>45997</v>
      </c>
      <c r="E287" s="178">
        <v>4</v>
      </c>
      <c r="F287" s="171" t="s">
        <v>1170</v>
      </c>
      <c r="G287" s="168">
        <f>IFERROR(VLOOKUP(F287,'menu list'!B:C,2,FALSE)*E287,"0")</f>
        <v>3200</v>
      </c>
      <c r="H287" s="337">
        <f t="shared" si="21"/>
        <v>480</v>
      </c>
      <c r="I287" s="168">
        <f t="shared" si="22"/>
        <v>3680</v>
      </c>
    </row>
    <row r="288" spans="1:9" ht="13.2">
      <c r="A288" s="170">
        <f t="shared" si="23"/>
        <v>287</v>
      </c>
      <c r="B288" s="171" t="s">
        <v>187</v>
      </c>
      <c r="C288" s="171" t="str">
        <f>VLOOKUP(B288,MEMBERS!B:C,2, )</f>
        <v>MR.SHAN ELAHI SEHGAL</v>
      </c>
      <c r="D288" s="191">
        <v>45997</v>
      </c>
      <c r="E288" s="178">
        <v>1</v>
      </c>
      <c r="F288" s="171" t="s">
        <v>1163</v>
      </c>
      <c r="G288" s="168">
        <f>IFERROR(VLOOKUP(F288,'menu list'!B:C,2,FALSE)*E288,"0")</f>
        <v>1000</v>
      </c>
      <c r="H288" s="337">
        <f t="shared" si="21"/>
        <v>150</v>
      </c>
      <c r="I288" s="168">
        <f t="shared" si="22"/>
        <v>1150</v>
      </c>
    </row>
    <row r="289" spans="1:9" ht="13.2">
      <c r="A289" s="170">
        <f t="shared" si="23"/>
        <v>288</v>
      </c>
      <c r="B289" s="171" t="s">
        <v>187</v>
      </c>
      <c r="C289" s="171" t="str">
        <f>VLOOKUP(B289,MEMBERS!B:C,2, )</f>
        <v>MR.SHAN ELAHI SEHGAL</v>
      </c>
      <c r="D289" s="191">
        <v>45997</v>
      </c>
      <c r="E289" s="178">
        <v>1</v>
      </c>
      <c r="F289" s="171" t="s">
        <v>501</v>
      </c>
      <c r="G289" s="168">
        <f>IFERROR(VLOOKUP(F289,'menu list'!B:C,2,FALSE)*E289,"0")</f>
        <v>1200</v>
      </c>
      <c r="H289" s="337">
        <f t="shared" si="21"/>
        <v>180</v>
      </c>
      <c r="I289" s="168">
        <f t="shared" si="22"/>
        <v>1380</v>
      </c>
    </row>
    <row r="290" spans="1:9" ht="13.2">
      <c r="A290" s="170">
        <f t="shared" si="23"/>
        <v>289</v>
      </c>
      <c r="B290" s="171" t="s">
        <v>187</v>
      </c>
      <c r="C290" s="171" t="str">
        <f>VLOOKUP(B290,MEMBERS!B:C,2, )</f>
        <v>MR.SHAN ELAHI SEHGAL</v>
      </c>
      <c r="D290" s="191">
        <v>45997</v>
      </c>
      <c r="E290" s="178">
        <v>3</v>
      </c>
      <c r="F290" s="171" t="s">
        <v>439</v>
      </c>
      <c r="G290" s="168">
        <f>IFERROR(VLOOKUP(F290,'menu list'!B:C,2,FALSE)*E290,"0")</f>
        <v>210</v>
      </c>
      <c r="H290" s="337">
        <f t="shared" si="21"/>
        <v>31.5</v>
      </c>
      <c r="I290" s="168">
        <f t="shared" si="22"/>
        <v>241.5</v>
      </c>
    </row>
    <row r="291" spans="1:9" ht="13.2">
      <c r="A291" s="170">
        <f t="shared" si="23"/>
        <v>290</v>
      </c>
      <c r="B291" s="171" t="s">
        <v>187</v>
      </c>
      <c r="C291" s="171" t="str">
        <f>VLOOKUP(B291,MEMBERS!B:C,2, )</f>
        <v>MR.SHAN ELAHI SEHGAL</v>
      </c>
      <c r="D291" s="191">
        <v>45997</v>
      </c>
      <c r="E291" s="178">
        <v>3</v>
      </c>
      <c r="F291" s="171" t="s">
        <v>499</v>
      </c>
      <c r="G291" s="168">
        <f>IFERROR(VLOOKUP(F291,'menu list'!B:C,2,FALSE)*E291,"0")</f>
        <v>300</v>
      </c>
      <c r="H291" s="337">
        <f t="shared" si="21"/>
        <v>45</v>
      </c>
      <c r="I291" s="168">
        <f t="shared" si="22"/>
        <v>345</v>
      </c>
    </row>
    <row r="292" spans="1:9" ht="13.2">
      <c r="A292" s="170">
        <f t="shared" si="23"/>
        <v>291</v>
      </c>
      <c r="B292" s="171" t="s">
        <v>187</v>
      </c>
      <c r="C292" s="171" t="str">
        <f>VLOOKUP(B292,MEMBERS!B:C,2, )</f>
        <v>MR.SHAN ELAHI SEHGAL</v>
      </c>
      <c r="D292" s="191">
        <v>45997</v>
      </c>
      <c r="E292" s="178">
        <v>2</v>
      </c>
      <c r="F292" s="171" t="s">
        <v>1168</v>
      </c>
      <c r="G292" s="168">
        <f>IFERROR(VLOOKUP(F292,'menu list'!B:C,2,FALSE)*E292,"0")</f>
        <v>900</v>
      </c>
      <c r="H292" s="337">
        <f t="shared" si="21"/>
        <v>135</v>
      </c>
      <c r="I292" s="168">
        <f t="shared" si="22"/>
        <v>1035</v>
      </c>
    </row>
    <row r="293" spans="1:9" ht="13.2">
      <c r="A293" s="170">
        <f t="shared" si="23"/>
        <v>292</v>
      </c>
      <c r="B293" s="171" t="s">
        <v>1073</v>
      </c>
      <c r="C293" s="171" t="str">
        <f>VLOOKUP(B293,MEMBERS!B:C,2, )</f>
        <v>MR. GHULAM MUSTAFA</v>
      </c>
      <c r="D293" s="191">
        <v>45997</v>
      </c>
      <c r="E293" s="178">
        <v>1</v>
      </c>
      <c r="F293" s="171" t="s">
        <v>440</v>
      </c>
      <c r="G293" s="168">
        <f>IFERROR(VLOOKUP(F293,'menu list'!B:C,2,FALSE)*E293,"0")</f>
        <v>150</v>
      </c>
      <c r="H293" s="337">
        <f t="shared" si="21"/>
        <v>22.5</v>
      </c>
      <c r="I293" s="168">
        <f t="shared" si="22"/>
        <v>172.5</v>
      </c>
    </row>
    <row r="294" spans="1:9" ht="13.2">
      <c r="A294" s="170">
        <f t="shared" si="23"/>
        <v>293</v>
      </c>
      <c r="B294" s="171" t="s">
        <v>1073</v>
      </c>
      <c r="C294" s="171" t="str">
        <f>VLOOKUP(B294,MEMBERS!B:C,2, )</f>
        <v>MR. GHULAM MUSTAFA</v>
      </c>
      <c r="D294" s="191">
        <v>45997</v>
      </c>
      <c r="E294" s="178">
        <v>2</v>
      </c>
      <c r="F294" s="171" t="s">
        <v>1167</v>
      </c>
      <c r="G294" s="168">
        <f>IFERROR(VLOOKUP(F294,'menu list'!B:C,2,FALSE)*E294,"0")</f>
        <v>3600</v>
      </c>
      <c r="H294" s="337">
        <f t="shared" si="21"/>
        <v>540</v>
      </c>
      <c r="I294" s="168">
        <f t="shared" si="22"/>
        <v>4140</v>
      </c>
    </row>
    <row r="295" spans="1:9" ht="13.2">
      <c r="A295" s="170">
        <f t="shared" si="23"/>
        <v>294</v>
      </c>
      <c r="B295" s="171" t="s">
        <v>1073</v>
      </c>
      <c r="C295" s="171" t="str">
        <f>VLOOKUP(B295,MEMBERS!B:C,2, )</f>
        <v>MR. GHULAM MUSTAFA</v>
      </c>
      <c r="D295" s="191">
        <v>45997</v>
      </c>
      <c r="E295" s="178">
        <v>4</v>
      </c>
      <c r="F295" s="171" t="s">
        <v>1165</v>
      </c>
      <c r="G295" s="168">
        <f>IFERROR(VLOOKUP(F295,'menu list'!B:C,2,FALSE)*E295,"0")</f>
        <v>4400</v>
      </c>
      <c r="H295" s="337">
        <f t="shared" si="21"/>
        <v>660</v>
      </c>
      <c r="I295" s="168">
        <f t="shared" si="22"/>
        <v>5060</v>
      </c>
    </row>
    <row r="296" spans="1:9" ht="13.2">
      <c r="A296" s="170">
        <f t="shared" si="23"/>
        <v>295</v>
      </c>
      <c r="B296" s="171" t="s">
        <v>1073</v>
      </c>
      <c r="C296" s="171" t="str">
        <f>VLOOKUP(B296,MEMBERS!B:C,2, )</f>
        <v>MR. GHULAM MUSTAFA</v>
      </c>
      <c r="D296" s="191">
        <v>45997</v>
      </c>
      <c r="E296" s="178">
        <v>4</v>
      </c>
      <c r="F296" s="171" t="s">
        <v>501</v>
      </c>
      <c r="G296" s="168">
        <f>IFERROR(VLOOKUP(F296,'menu list'!B:C,2,FALSE)*E296,"0")</f>
        <v>4800</v>
      </c>
      <c r="H296" s="337">
        <f t="shared" si="21"/>
        <v>720</v>
      </c>
      <c r="I296" s="168">
        <f t="shared" si="22"/>
        <v>5520</v>
      </c>
    </row>
    <row r="297" spans="1:9" ht="13.2">
      <c r="A297" s="170">
        <f t="shared" si="23"/>
        <v>296</v>
      </c>
      <c r="B297" s="171" t="s">
        <v>1073</v>
      </c>
      <c r="C297" s="171" t="str">
        <f>VLOOKUP(B297,MEMBERS!B:C,2, )</f>
        <v>MR. GHULAM MUSTAFA</v>
      </c>
      <c r="D297" s="191">
        <v>45997</v>
      </c>
      <c r="E297" s="178">
        <v>4</v>
      </c>
      <c r="F297" s="171" t="s">
        <v>439</v>
      </c>
      <c r="G297" s="168">
        <f>IFERROR(VLOOKUP(F297,'menu list'!B:C,2,FALSE)*E297,"0")</f>
        <v>280</v>
      </c>
      <c r="H297" s="337">
        <f t="shared" si="21"/>
        <v>42</v>
      </c>
      <c r="I297" s="168">
        <f t="shared" si="22"/>
        <v>322</v>
      </c>
    </row>
    <row r="298" spans="1:9" ht="13.2">
      <c r="A298" s="170">
        <f t="shared" si="23"/>
        <v>297</v>
      </c>
      <c r="B298" s="171" t="s">
        <v>1073</v>
      </c>
      <c r="C298" s="171" t="str">
        <f>VLOOKUP(B298,MEMBERS!B:C,2, )</f>
        <v>MR. GHULAM MUSTAFA</v>
      </c>
      <c r="D298" s="191">
        <v>45997</v>
      </c>
      <c r="E298" s="178">
        <v>1</v>
      </c>
      <c r="F298" s="171" t="s">
        <v>1168</v>
      </c>
      <c r="G298" s="168">
        <f>IFERROR(VLOOKUP(F298,'menu list'!B:C,2,FALSE)*E298,"0")</f>
        <v>450</v>
      </c>
      <c r="H298" s="337">
        <f t="shared" si="21"/>
        <v>67.5</v>
      </c>
      <c r="I298" s="168">
        <f t="shared" si="22"/>
        <v>517.5</v>
      </c>
    </row>
    <row r="299" spans="1:9" ht="13.2">
      <c r="A299" s="170">
        <f t="shared" si="23"/>
        <v>298</v>
      </c>
      <c r="B299" s="171" t="s">
        <v>1073</v>
      </c>
      <c r="C299" s="171" t="str">
        <f>VLOOKUP(B299,MEMBERS!B:C,2, )</f>
        <v>MR. GHULAM MUSTAFA</v>
      </c>
      <c r="D299" s="191">
        <v>45997</v>
      </c>
      <c r="E299" s="178">
        <v>1</v>
      </c>
      <c r="F299" s="171" t="s">
        <v>1163</v>
      </c>
      <c r="G299" s="168">
        <f>IFERROR(VLOOKUP(F299,'menu list'!B:C,2,FALSE)*E299,"0")</f>
        <v>1000</v>
      </c>
      <c r="H299" s="337">
        <f t="shared" si="21"/>
        <v>150</v>
      </c>
      <c r="I299" s="168">
        <f t="shared" si="22"/>
        <v>1150</v>
      </c>
    </row>
    <row r="300" spans="1:9" ht="13.2">
      <c r="A300" s="170">
        <f t="shared" si="23"/>
        <v>299</v>
      </c>
      <c r="B300" s="171" t="s">
        <v>1073</v>
      </c>
      <c r="C300" s="171" t="str">
        <f>VLOOKUP(B300,MEMBERS!B:C,2, )</f>
        <v>MR. GHULAM MUSTAFA</v>
      </c>
      <c r="D300" s="191">
        <v>45997</v>
      </c>
      <c r="E300" s="178">
        <v>1</v>
      </c>
      <c r="F300" s="171" t="s">
        <v>1167</v>
      </c>
      <c r="G300" s="168">
        <f>IFERROR(VLOOKUP(F300,'menu list'!B:C,2,FALSE)*E300,"0")</f>
        <v>1800</v>
      </c>
      <c r="H300" s="337">
        <f t="shared" si="21"/>
        <v>270</v>
      </c>
      <c r="I300" s="168">
        <f t="shared" si="22"/>
        <v>2070</v>
      </c>
    </row>
    <row r="301" spans="1:9" ht="13.2">
      <c r="A301" s="170">
        <f t="shared" si="23"/>
        <v>300</v>
      </c>
      <c r="B301" s="171" t="s">
        <v>1073</v>
      </c>
      <c r="C301" s="171" t="str">
        <f>VLOOKUP(B301,MEMBERS!B:C,2, )</f>
        <v>MR. GHULAM MUSTAFA</v>
      </c>
      <c r="D301" s="191">
        <v>45997</v>
      </c>
      <c r="E301" s="178">
        <v>1</v>
      </c>
      <c r="F301" s="171" t="s">
        <v>1170</v>
      </c>
      <c r="G301" s="168">
        <f>IFERROR(VLOOKUP(F301,'menu list'!B:C,2,FALSE)*E301,"0")</f>
        <v>800</v>
      </c>
      <c r="H301" s="337">
        <f t="shared" si="21"/>
        <v>120</v>
      </c>
      <c r="I301" s="168">
        <f t="shared" si="22"/>
        <v>920</v>
      </c>
    </row>
    <row r="302" spans="1:9" ht="13.2">
      <c r="A302" s="170">
        <f t="shared" si="23"/>
        <v>301</v>
      </c>
      <c r="B302" s="171" t="s">
        <v>1073</v>
      </c>
      <c r="C302" s="171" t="str">
        <f>VLOOKUP(B302,MEMBERS!B:C,2, )</f>
        <v>MR. GHULAM MUSTAFA</v>
      </c>
      <c r="D302" s="191">
        <v>45997</v>
      </c>
      <c r="E302" s="178">
        <v>1</v>
      </c>
      <c r="F302" s="171" t="s">
        <v>1164</v>
      </c>
      <c r="G302" s="168">
        <f>IFERROR(VLOOKUP(F302,'menu list'!B:C,2,FALSE)*E302,"0")</f>
        <v>1800</v>
      </c>
      <c r="H302" s="337">
        <f t="shared" si="21"/>
        <v>270</v>
      </c>
      <c r="I302" s="168">
        <f t="shared" si="22"/>
        <v>2070</v>
      </c>
    </row>
    <row r="303" spans="1:9" ht="13.2">
      <c r="A303" s="170">
        <f t="shared" si="23"/>
        <v>302</v>
      </c>
      <c r="B303" s="171" t="s">
        <v>1073</v>
      </c>
      <c r="C303" s="171" t="str">
        <f>VLOOKUP(B303,MEMBERS!B:C,2, )</f>
        <v>MR. GHULAM MUSTAFA</v>
      </c>
      <c r="D303" s="191">
        <v>45997</v>
      </c>
      <c r="E303" s="178">
        <v>2</v>
      </c>
      <c r="F303" s="171" t="s">
        <v>499</v>
      </c>
      <c r="G303" s="168">
        <f>IFERROR(VLOOKUP(F303,'menu list'!B:C,2,FALSE)*E303,"0")</f>
        <v>200</v>
      </c>
      <c r="H303" s="337">
        <f t="shared" si="21"/>
        <v>30</v>
      </c>
      <c r="I303" s="168">
        <f t="shared" si="22"/>
        <v>230</v>
      </c>
    </row>
    <row r="304" spans="1:9" ht="13.2">
      <c r="A304" s="170">
        <f t="shared" si="23"/>
        <v>303</v>
      </c>
      <c r="B304" s="171" t="s">
        <v>1053</v>
      </c>
      <c r="C304" s="171" t="str">
        <f>VLOOKUP(B304,MEMBERS!B:C,2, )</f>
        <v>MR. ZAMIR ALI SHAH</v>
      </c>
      <c r="D304" s="191">
        <v>45998</v>
      </c>
      <c r="E304" s="178">
        <v>3</v>
      </c>
      <c r="F304" s="171" t="s">
        <v>1012</v>
      </c>
      <c r="G304" s="168">
        <f>IFERROR(VLOOKUP(F304,'menu list'!B:C,2,FALSE)*E304,"0")</f>
        <v>3000</v>
      </c>
      <c r="H304" s="337">
        <f t="shared" si="21"/>
        <v>450</v>
      </c>
      <c r="I304" s="168">
        <f t="shared" si="22"/>
        <v>3450</v>
      </c>
    </row>
    <row r="305" spans="1:9" ht="13.2">
      <c r="A305" s="170">
        <f t="shared" si="23"/>
        <v>304</v>
      </c>
      <c r="B305" s="171" t="s">
        <v>244</v>
      </c>
      <c r="C305" s="171" t="str">
        <f>VLOOKUP(B305,MEMBERS!B:C,2, )</f>
        <v>MR.KHADIM HUSSAIN</v>
      </c>
      <c r="D305" s="191">
        <v>45998</v>
      </c>
      <c r="E305" s="178">
        <v>2</v>
      </c>
      <c r="F305" s="171" t="s">
        <v>440</v>
      </c>
      <c r="G305" s="168">
        <f>IFERROR(VLOOKUP(F305,'menu list'!B:C,2,FALSE)*E305,"0")</f>
        <v>300</v>
      </c>
      <c r="H305" s="337">
        <f t="shared" si="21"/>
        <v>45</v>
      </c>
      <c r="I305" s="168">
        <f t="shared" si="22"/>
        <v>345</v>
      </c>
    </row>
    <row r="306" spans="1:9" ht="13.2">
      <c r="A306" s="170">
        <f t="shared" si="23"/>
        <v>305</v>
      </c>
      <c r="B306" s="171" t="s">
        <v>244</v>
      </c>
      <c r="C306" s="171" t="str">
        <f>VLOOKUP(B306,MEMBERS!B:C,2, )</f>
        <v>MR.KHADIM HUSSAIN</v>
      </c>
      <c r="D306" s="191">
        <v>45998</v>
      </c>
      <c r="E306" s="178">
        <v>4</v>
      </c>
      <c r="F306" s="171" t="s">
        <v>653</v>
      </c>
      <c r="G306" s="168">
        <f>IFERROR(VLOOKUP(F306,'menu list'!B:C,2,FALSE)*E306,"0")</f>
        <v>1400</v>
      </c>
      <c r="H306" s="337">
        <f t="shared" si="21"/>
        <v>210</v>
      </c>
      <c r="I306" s="168">
        <f t="shared" si="22"/>
        <v>1610</v>
      </c>
    </row>
    <row r="307" spans="1:9" ht="13.2">
      <c r="A307" s="170">
        <f t="shared" si="23"/>
        <v>306</v>
      </c>
      <c r="B307" s="171" t="s">
        <v>244</v>
      </c>
      <c r="C307" s="171" t="str">
        <f>VLOOKUP(B307,MEMBERS!B:C,2, )</f>
        <v>MR.KHADIM HUSSAIN</v>
      </c>
      <c r="D307" s="191">
        <v>45998</v>
      </c>
      <c r="E307" s="178">
        <v>4</v>
      </c>
      <c r="F307" s="171" t="s">
        <v>833</v>
      </c>
      <c r="G307" s="168">
        <f>IFERROR(VLOOKUP(F307,'menu list'!B:C,2,FALSE)*E307,"0")</f>
        <v>1400</v>
      </c>
      <c r="H307" s="337">
        <f t="shared" si="21"/>
        <v>210</v>
      </c>
      <c r="I307" s="168">
        <f t="shared" si="22"/>
        <v>1610</v>
      </c>
    </row>
    <row r="308" spans="1:9" ht="13.2">
      <c r="A308" s="170">
        <f t="shared" si="23"/>
        <v>307</v>
      </c>
      <c r="B308" s="171" t="s">
        <v>244</v>
      </c>
      <c r="C308" s="171" t="str">
        <f>VLOOKUP(B308,MEMBERS!B:C,2, )</f>
        <v>MR.KHADIM HUSSAIN</v>
      </c>
      <c r="D308" s="191">
        <v>45998</v>
      </c>
      <c r="E308" s="178">
        <v>1</v>
      </c>
      <c r="F308" s="171" t="s">
        <v>910</v>
      </c>
      <c r="G308" s="168">
        <f>IFERROR(VLOOKUP(F308,'menu list'!B:C,2,FALSE)*E308,"0")</f>
        <v>300</v>
      </c>
      <c r="H308" s="337">
        <f t="shared" si="21"/>
        <v>45</v>
      </c>
      <c r="I308" s="168">
        <f t="shared" si="22"/>
        <v>345</v>
      </c>
    </row>
    <row r="309" spans="1:9" ht="13.2">
      <c r="A309" s="170">
        <f t="shared" si="23"/>
        <v>308</v>
      </c>
      <c r="B309" s="171" t="s">
        <v>244</v>
      </c>
      <c r="C309" s="171" t="str">
        <f>VLOOKUP(B309,MEMBERS!B:C,2, )</f>
        <v>MR.KHADIM HUSSAIN</v>
      </c>
      <c r="D309" s="191">
        <v>45998</v>
      </c>
      <c r="E309" s="178">
        <v>1</v>
      </c>
      <c r="F309" s="171" t="s">
        <v>601</v>
      </c>
      <c r="G309" s="168">
        <f>IFERROR(VLOOKUP(F309,'menu list'!B:C,2,FALSE)*E309,"0")</f>
        <v>1200</v>
      </c>
      <c r="H309" s="337">
        <f t="shared" si="21"/>
        <v>180</v>
      </c>
      <c r="I309" s="168">
        <f t="shared" si="22"/>
        <v>1380</v>
      </c>
    </row>
    <row r="310" spans="1:9" ht="13.2">
      <c r="A310" s="170">
        <f t="shared" si="23"/>
        <v>309</v>
      </c>
      <c r="B310" s="171" t="s">
        <v>244</v>
      </c>
      <c r="C310" s="171" t="str">
        <f>VLOOKUP(B310,MEMBERS!B:C,2, )</f>
        <v>MR.KHADIM HUSSAIN</v>
      </c>
      <c r="D310" s="191">
        <v>45998</v>
      </c>
      <c r="E310" s="178">
        <v>1</v>
      </c>
      <c r="F310" s="171" t="s">
        <v>830</v>
      </c>
      <c r="G310" s="168">
        <f>IFERROR(VLOOKUP(F310,'menu list'!B:C,2,FALSE)*E310,"0")</f>
        <v>600</v>
      </c>
      <c r="H310" s="337">
        <f t="shared" si="21"/>
        <v>90</v>
      </c>
      <c r="I310" s="168">
        <f t="shared" si="22"/>
        <v>690</v>
      </c>
    </row>
    <row r="311" spans="1:9" ht="13.2">
      <c r="A311" s="170">
        <f t="shared" si="23"/>
        <v>310</v>
      </c>
      <c r="B311" s="171" t="s">
        <v>244</v>
      </c>
      <c r="C311" s="171" t="str">
        <f>VLOOKUP(B311,MEMBERS!B:C,2, )</f>
        <v>MR.KHADIM HUSSAIN</v>
      </c>
      <c r="D311" s="191">
        <v>45998</v>
      </c>
      <c r="E311" s="178">
        <v>1</v>
      </c>
      <c r="F311" s="171" t="s">
        <v>786</v>
      </c>
      <c r="G311" s="168">
        <f>IFERROR(VLOOKUP(F311,'menu list'!B:C,2,FALSE)*E311,"0")</f>
        <v>1150</v>
      </c>
      <c r="H311" s="337">
        <f t="shared" si="21"/>
        <v>172.5</v>
      </c>
      <c r="I311" s="168">
        <f t="shared" si="22"/>
        <v>1322.5</v>
      </c>
    </row>
    <row r="312" spans="1:9" ht="13.2">
      <c r="A312" s="170">
        <f t="shared" si="23"/>
        <v>311</v>
      </c>
      <c r="B312" s="171" t="s">
        <v>244</v>
      </c>
      <c r="C312" s="171" t="str">
        <f>VLOOKUP(B312,MEMBERS!B:C,2, )</f>
        <v>MR.KHADIM HUSSAIN</v>
      </c>
      <c r="D312" s="191">
        <v>45998</v>
      </c>
      <c r="E312" s="178">
        <v>1</v>
      </c>
      <c r="F312" s="171" t="s">
        <v>522</v>
      </c>
      <c r="G312" s="168">
        <f>IFERROR(VLOOKUP(F312,'menu list'!B:C,2,FALSE)*E312,"0")</f>
        <v>1200</v>
      </c>
      <c r="H312" s="337">
        <f t="shared" si="21"/>
        <v>180</v>
      </c>
      <c r="I312" s="168">
        <f t="shared" si="22"/>
        <v>1380</v>
      </c>
    </row>
    <row r="313" spans="1:9" ht="13.2">
      <c r="A313" s="170">
        <f t="shared" si="23"/>
        <v>312</v>
      </c>
      <c r="B313" s="171" t="s">
        <v>244</v>
      </c>
      <c r="C313" s="171" t="str">
        <f>VLOOKUP(B313,MEMBERS!B:C,2, )</f>
        <v>MR.KHADIM HUSSAIN</v>
      </c>
      <c r="D313" s="191">
        <v>45998</v>
      </c>
      <c r="E313" s="178">
        <v>1</v>
      </c>
      <c r="F313" s="171" t="s">
        <v>939</v>
      </c>
      <c r="G313" s="168">
        <f>IFERROR(VLOOKUP(F313,'menu list'!B:C,2,FALSE)*E313,"0")</f>
        <v>1200</v>
      </c>
      <c r="H313" s="337">
        <f t="shared" si="21"/>
        <v>180</v>
      </c>
      <c r="I313" s="168">
        <f t="shared" si="22"/>
        <v>1380</v>
      </c>
    </row>
    <row r="314" spans="1:9" ht="13.2">
      <c r="A314" s="170">
        <f t="shared" si="23"/>
        <v>313</v>
      </c>
      <c r="B314" s="171" t="s">
        <v>244</v>
      </c>
      <c r="C314" s="171" t="str">
        <f>VLOOKUP(B314,MEMBERS!B:C,2, )</f>
        <v>MR.KHADIM HUSSAIN</v>
      </c>
      <c r="D314" s="191">
        <v>45998</v>
      </c>
      <c r="E314" s="178">
        <v>6</v>
      </c>
      <c r="F314" s="171" t="s">
        <v>886</v>
      </c>
      <c r="G314" s="168">
        <f>IFERROR(VLOOKUP(F314,'menu list'!B:C,2,FALSE)*E314,"0")</f>
        <v>900</v>
      </c>
      <c r="H314" s="337">
        <f t="shared" si="21"/>
        <v>135</v>
      </c>
      <c r="I314" s="168">
        <f t="shared" si="22"/>
        <v>1035</v>
      </c>
    </row>
    <row r="315" spans="1:9" ht="13.2">
      <c r="A315" s="170">
        <f t="shared" si="23"/>
        <v>314</v>
      </c>
      <c r="B315" s="171" t="s">
        <v>244</v>
      </c>
      <c r="C315" s="171" t="str">
        <f>VLOOKUP(B315,MEMBERS!B:C,2, )</f>
        <v>MR.KHADIM HUSSAIN</v>
      </c>
      <c r="D315" s="191">
        <v>45998</v>
      </c>
      <c r="E315" s="178">
        <v>7</v>
      </c>
      <c r="F315" s="171" t="s">
        <v>442</v>
      </c>
      <c r="G315" s="168">
        <f>IFERROR(VLOOKUP(F315,'menu list'!B:C,2,FALSE)*E315,"0")</f>
        <v>1050</v>
      </c>
      <c r="H315" s="337">
        <f t="shared" si="21"/>
        <v>157.5</v>
      </c>
      <c r="I315" s="168">
        <f t="shared" si="22"/>
        <v>1207.5</v>
      </c>
    </row>
    <row r="316" spans="1:9" ht="13.2">
      <c r="A316" s="170">
        <f t="shared" si="23"/>
        <v>315</v>
      </c>
      <c r="B316" s="171" t="s">
        <v>54</v>
      </c>
      <c r="C316" s="171" t="str">
        <f>VLOOKUP(B316,MEMBERS!B:C,2, )</f>
        <v>MR.ZEESHAN IQBAL</v>
      </c>
      <c r="D316" s="191">
        <v>45998</v>
      </c>
      <c r="E316" s="178">
        <v>1</v>
      </c>
      <c r="F316" s="171" t="s">
        <v>786</v>
      </c>
      <c r="G316" s="168">
        <f>IFERROR(VLOOKUP(F316,'menu list'!B:C,2,FALSE)*E316,"0")</f>
        <v>1150</v>
      </c>
      <c r="H316" s="337">
        <f t="shared" si="21"/>
        <v>172.5</v>
      </c>
      <c r="I316" s="168">
        <f t="shared" si="22"/>
        <v>1322.5</v>
      </c>
    </row>
    <row r="317" spans="1:9" ht="13.2">
      <c r="A317" s="170">
        <f t="shared" si="23"/>
        <v>316</v>
      </c>
      <c r="B317" s="171" t="s">
        <v>54</v>
      </c>
      <c r="C317" s="171" t="str">
        <f>VLOOKUP(B317,MEMBERS!B:C,2, )</f>
        <v>MR.ZEESHAN IQBAL</v>
      </c>
      <c r="D317" s="191">
        <v>45998</v>
      </c>
      <c r="E317" s="178">
        <v>1</v>
      </c>
      <c r="F317" s="171" t="s">
        <v>802</v>
      </c>
      <c r="G317" s="168">
        <f>IFERROR(VLOOKUP(F317,'menu list'!B:C,2,FALSE)*E317,"0")</f>
        <v>500</v>
      </c>
      <c r="H317" s="337">
        <f t="shared" si="21"/>
        <v>75</v>
      </c>
      <c r="I317" s="168">
        <f t="shared" si="22"/>
        <v>575</v>
      </c>
    </row>
    <row r="318" spans="1:9" ht="13.2">
      <c r="A318" s="170">
        <f t="shared" si="23"/>
        <v>317</v>
      </c>
      <c r="B318" s="171" t="s">
        <v>54</v>
      </c>
      <c r="C318" s="171" t="str">
        <f>VLOOKUP(B318,MEMBERS!B:C,2, )</f>
        <v>MR.ZEESHAN IQBAL</v>
      </c>
      <c r="D318" s="191">
        <v>45998</v>
      </c>
      <c r="E318" s="178">
        <v>1</v>
      </c>
      <c r="F318" s="171" t="s">
        <v>500</v>
      </c>
      <c r="G318" s="168">
        <f>IFERROR(VLOOKUP(F318,'menu list'!B:C,2,FALSE)*E318,"0")</f>
        <v>1250</v>
      </c>
      <c r="H318" s="337">
        <f t="shared" si="21"/>
        <v>187.5</v>
      </c>
      <c r="I318" s="168">
        <f t="shared" si="22"/>
        <v>1437.5</v>
      </c>
    </row>
    <row r="319" spans="1:9" ht="13.2">
      <c r="A319" s="170">
        <f t="shared" si="23"/>
        <v>318</v>
      </c>
      <c r="B319" s="171" t="s">
        <v>54</v>
      </c>
      <c r="C319" s="171" t="str">
        <f>VLOOKUP(B319,MEMBERS!B:C,2, )</f>
        <v>MR.ZEESHAN IQBAL</v>
      </c>
      <c r="D319" s="191">
        <v>45998</v>
      </c>
      <c r="E319" s="178">
        <v>1</v>
      </c>
      <c r="F319" s="171" t="s">
        <v>906</v>
      </c>
      <c r="G319" s="168">
        <f>IFERROR(VLOOKUP(F319,'menu list'!B:C,2,FALSE)*E319,"0")</f>
        <v>1400</v>
      </c>
      <c r="H319" s="337">
        <f t="shared" si="21"/>
        <v>210</v>
      </c>
      <c r="I319" s="168">
        <f t="shared" si="22"/>
        <v>1610</v>
      </c>
    </row>
    <row r="320" spans="1:9" ht="13.2">
      <c r="A320" s="170">
        <f t="shared" si="23"/>
        <v>319</v>
      </c>
      <c r="B320" s="171" t="s">
        <v>54</v>
      </c>
      <c r="C320" s="171" t="str">
        <f>VLOOKUP(B320,MEMBERS!B:C,2, )</f>
        <v>MR.ZEESHAN IQBAL</v>
      </c>
      <c r="D320" s="191">
        <v>45998</v>
      </c>
      <c r="E320" s="178">
        <v>1</v>
      </c>
      <c r="F320" s="171" t="s">
        <v>601</v>
      </c>
      <c r="G320" s="168">
        <f>IFERROR(VLOOKUP(F320,'menu list'!B:C,2,FALSE)*E320,"0")</f>
        <v>1200</v>
      </c>
      <c r="H320" s="337">
        <f t="shared" si="21"/>
        <v>180</v>
      </c>
      <c r="I320" s="168">
        <f t="shared" si="22"/>
        <v>1380</v>
      </c>
    </row>
    <row r="321" spans="1:9" ht="13.2">
      <c r="A321" s="170">
        <f t="shared" si="23"/>
        <v>320</v>
      </c>
      <c r="B321" s="171" t="s">
        <v>1053</v>
      </c>
      <c r="C321" s="171" t="str">
        <f>VLOOKUP(B321,MEMBERS!B:C,2, )</f>
        <v>MR. ZAMIR ALI SHAH</v>
      </c>
      <c r="D321" s="191">
        <v>45998</v>
      </c>
      <c r="E321" s="178">
        <v>3</v>
      </c>
      <c r="F321" s="171" t="s">
        <v>833</v>
      </c>
      <c r="G321" s="168">
        <f>IFERROR(VLOOKUP(F321,'menu list'!B:C,2,FALSE)*E321,"0")</f>
        <v>1050</v>
      </c>
      <c r="H321" s="337">
        <f t="shared" si="21"/>
        <v>157.5</v>
      </c>
      <c r="I321" s="168">
        <f t="shared" si="22"/>
        <v>1207.5</v>
      </c>
    </row>
    <row r="322" spans="1:9" ht="13.2">
      <c r="A322" s="170">
        <f t="shared" si="23"/>
        <v>321</v>
      </c>
      <c r="B322" s="171" t="s">
        <v>1053</v>
      </c>
      <c r="C322" s="171" t="str">
        <f>VLOOKUP(B322,MEMBERS!B:C,2, )</f>
        <v>MR. ZAMIR ALI SHAH</v>
      </c>
      <c r="D322" s="191">
        <v>45998</v>
      </c>
      <c r="E322" s="178">
        <v>3</v>
      </c>
      <c r="F322" s="171" t="s">
        <v>1057</v>
      </c>
      <c r="G322" s="168">
        <f>IFERROR(VLOOKUP(F322,'menu list'!B:C,2,FALSE)*E322,"0")</f>
        <v>2550</v>
      </c>
      <c r="H322" s="337">
        <f t="shared" si="21"/>
        <v>382.5</v>
      </c>
      <c r="I322" s="168">
        <f t="shared" si="22"/>
        <v>2932.5</v>
      </c>
    </row>
    <row r="323" spans="1:9" ht="13.2">
      <c r="A323" s="170">
        <f t="shared" si="23"/>
        <v>322</v>
      </c>
      <c r="B323" s="171" t="s">
        <v>1053</v>
      </c>
      <c r="C323" s="171" t="str">
        <f>VLOOKUP(B323,MEMBERS!B:C,2, )</f>
        <v>MR. ZAMIR ALI SHAH</v>
      </c>
      <c r="D323" s="191">
        <v>45998</v>
      </c>
      <c r="E323" s="178">
        <v>2</v>
      </c>
      <c r="F323" s="171" t="s">
        <v>440</v>
      </c>
      <c r="G323" s="168">
        <f>IFERROR(VLOOKUP(F323,'menu list'!B:C,2,FALSE)*E323,"0")</f>
        <v>300</v>
      </c>
      <c r="H323" s="337">
        <f t="shared" ref="H323:H386" si="24">G323*15/100</f>
        <v>45</v>
      </c>
      <c r="I323" s="168">
        <f t="shared" ref="I323:I386" si="25">G323+H323</f>
        <v>345</v>
      </c>
    </row>
    <row r="324" spans="1:9" ht="13.2">
      <c r="A324" s="170">
        <f t="shared" si="23"/>
        <v>323</v>
      </c>
      <c r="B324" s="171" t="s">
        <v>1053</v>
      </c>
      <c r="C324" s="171" t="str">
        <f>VLOOKUP(B324,MEMBERS!B:C,2, )</f>
        <v>MR. ZAMIR ALI SHAH</v>
      </c>
      <c r="D324" s="191">
        <v>45998</v>
      </c>
      <c r="E324" s="178">
        <v>1</v>
      </c>
      <c r="F324" s="171" t="s">
        <v>772</v>
      </c>
      <c r="G324" s="168">
        <f>IFERROR(VLOOKUP(F324,'menu list'!B:C,2,FALSE)*E324,"0")</f>
        <v>900</v>
      </c>
      <c r="H324" s="337">
        <f t="shared" si="24"/>
        <v>135</v>
      </c>
      <c r="I324" s="168">
        <f t="shared" si="25"/>
        <v>1035</v>
      </c>
    </row>
    <row r="325" spans="1:9" ht="13.2">
      <c r="A325" s="170">
        <f t="shared" si="23"/>
        <v>324</v>
      </c>
      <c r="B325" s="171" t="s">
        <v>1053</v>
      </c>
      <c r="C325" s="171" t="str">
        <f>VLOOKUP(B325,MEMBERS!B:C,2, )</f>
        <v>MR. ZAMIR ALI SHAH</v>
      </c>
      <c r="D325" s="191">
        <v>45998</v>
      </c>
      <c r="E325" s="178">
        <v>4</v>
      </c>
      <c r="F325" s="171" t="s">
        <v>633</v>
      </c>
      <c r="G325" s="168">
        <f>IFERROR(VLOOKUP(F325,'menu list'!B:C,2,FALSE)*E325,"0")</f>
        <v>2800</v>
      </c>
      <c r="H325" s="337">
        <f t="shared" si="24"/>
        <v>420</v>
      </c>
      <c r="I325" s="168">
        <f t="shared" si="25"/>
        <v>3220</v>
      </c>
    </row>
    <row r="326" spans="1:9" ht="13.2">
      <c r="A326" s="170">
        <f t="shared" si="23"/>
        <v>325</v>
      </c>
      <c r="B326" s="171" t="s">
        <v>1053</v>
      </c>
      <c r="C326" s="171" t="str">
        <f>VLOOKUP(B326,MEMBERS!B:C,2, )</f>
        <v>MR. ZAMIR ALI SHAH</v>
      </c>
      <c r="D326" s="191">
        <v>45998</v>
      </c>
      <c r="E326" s="178">
        <v>3</v>
      </c>
      <c r="F326" s="171" t="s">
        <v>504</v>
      </c>
      <c r="G326" s="168">
        <f>IFERROR(VLOOKUP(F326,'menu list'!B:C,2,FALSE)*E326,"0")</f>
        <v>390</v>
      </c>
      <c r="H326" s="337">
        <f t="shared" si="24"/>
        <v>58.5</v>
      </c>
      <c r="I326" s="168">
        <f t="shared" si="25"/>
        <v>448.5</v>
      </c>
    </row>
    <row r="327" spans="1:9" ht="13.2">
      <c r="A327" s="170">
        <f t="shared" si="23"/>
        <v>326</v>
      </c>
      <c r="B327" s="171" t="s">
        <v>1053</v>
      </c>
      <c r="C327" s="171" t="str">
        <f>VLOOKUP(B327,MEMBERS!B:C,2, )</f>
        <v>MR. ZAMIR ALI SHAH</v>
      </c>
      <c r="D327" s="191">
        <v>45998</v>
      </c>
      <c r="E327" s="178">
        <v>1</v>
      </c>
      <c r="F327" s="171" t="s">
        <v>1168</v>
      </c>
      <c r="G327" s="168">
        <f>IFERROR(VLOOKUP(F327,'menu list'!B:C,2,FALSE)*E327,"0")</f>
        <v>450</v>
      </c>
      <c r="H327" s="337">
        <f t="shared" si="24"/>
        <v>67.5</v>
      </c>
      <c r="I327" s="168">
        <f t="shared" si="25"/>
        <v>517.5</v>
      </c>
    </row>
    <row r="328" spans="1:9" ht="13.2">
      <c r="A328" s="170">
        <f t="shared" si="23"/>
        <v>327</v>
      </c>
      <c r="B328" s="171" t="s">
        <v>1053</v>
      </c>
      <c r="C328" s="171" t="str">
        <f>VLOOKUP(B328,MEMBERS!B:C,2, )</f>
        <v>MR. ZAMIR ALI SHAH</v>
      </c>
      <c r="D328" s="191">
        <v>45998</v>
      </c>
      <c r="E328" s="178">
        <v>1</v>
      </c>
      <c r="F328" s="171" t="s">
        <v>442</v>
      </c>
      <c r="G328" s="168">
        <f>IFERROR(VLOOKUP(F328,'menu list'!B:C,2,FALSE)*E328,"0")</f>
        <v>150</v>
      </c>
      <c r="H328" s="337">
        <f t="shared" si="24"/>
        <v>22.5</v>
      </c>
      <c r="I328" s="168">
        <f t="shared" si="25"/>
        <v>172.5</v>
      </c>
    </row>
    <row r="329" spans="1:9" ht="13.2">
      <c r="A329" s="170">
        <f t="shared" ref="A329" si="26">IF(D329&lt;&gt;"", ROW()-1, "")</f>
        <v>328</v>
      </c>
      <c r="B329" s="171" t="s">
        <v>240</v>
      </c>
      <c r="C329" s="171" t="str">
        <f>VLOOKUP(B329,MEMBERS!B:C,2, )</f>
        <v>MR.SYED SALMAN RAZA</v>
      </c>
      <c r="D329" s="191">
        <v>45998</v>
      </c>
      <c r="E329" s="178">
        <v>1</v>
      </c>
      <c r="F329" s="171" t="s">
        <v>922</v>
      </c>
      <c r="G329" s="168">
        <f>IFERROR(VLOOKUP(F329,'menu list'!B:C,2,FALSE)*E329,"0")</f>
        <v>750</v>
      </c>
      <c r="H329" s="337">
        <f t="shared" si="24"/>
        <v>112.5</v>
      </c>
      <c r="I329" s="168">
        <f t="shared" si="25"/>
        <v>862.5</v>
      </c>
    </row>
    <row r="330" spans="1:9" ht="13.2">
      <c r="A330" s="170">
        <f t="shared" ref="A330:A342" si="27">IF(D330&lt;&gt;"", ROW()-1, "")</f>
        <v>329</v>
      </c>
      <c r="B330" s="171" t="s">
        <v>240</v>
      </c>
      <c r="C330" s="171" t="str">
        <f>VLOOKUP(B330,MEMBERS!B:C,2, )</f>
        <v>MR.SYED SALMAN RAZA</v>
      </c>
      <c r="D330" s="191">
        <v>45998</v>
      </c>
      <c r="E330" s="178">
        <v>1</v>
      </c>
      <c r="F330" s="171" t="s">
        <v>785</v>
      </c>
      <c r="G330" s="168">
        <f>IFERROR(VLOOKUP(F330,'menu list'!B:C,2,FALSE)*E330,"0")</f>
        <v>950</v>
      </c>
      <c r="H330" s="337">
        <f t="shared" si="24"/>
        <v>142.5</v>
      </c>
      <c r="I330" s="168">
        <f t="shared" si="25"/>
        <v>1092.5</v>
      </c>
    </row>
    <row r="331" spans="1:9" ht="13.2">
      <c r="A331" s="170">
        <f t="shared" si="27"/>
        <v>330</v>
      </c>
      <c r="B331" s="171" t="s">
        <v>240</v>
      </c>
      <c r="C331" s="171" t="str">
        <f>VLOOKUP(B331,MEMBERS!B:C,2, )</f>
        <v>MR.SYED SALMAN RAZA</v>
      </c>
      <c r="D331" s="191">
        <v>45998</v>
      </c>
      <c r="E331" s="178">
        <v>1</v>
      </c>
      <c r="F331" s="171" t="s">
        <v>770</v>
      </c>
      <c r="G331" s="168">
        <f>IFERROR(VLOOKUP(F331,'menu list'!B:C,2,FALSE)*E331,"0")</f>
        <v>1000</v>
      </c>
      <c r="H331" s="337">
        <f t="shared" si="24"/>
        <v>150</v>
      </c>
      <c r="I331" s="168">
        <f t="shared" si="25"/>
        <v>1150</v>
      </c>
    </row>
    <row r="332" spans="1:9" ht="13.2">
      <c r="A332" s="170">
        <f t="shared" si="27"/>
        <v>331</v>
      </c>
      <c r="B332" s="171" t="s">
        <v>795</v>
      </c>
      <c r="C332" s="171" t="str">
        <f>VLOOKUP(B332,MEMBERS!B:C,2, )</f>
        <v>MR. HASAN KARIM</v>
      </c>
      <c r="D332" s="191">
        <v>45998</v>
      </c>
      <c r="E332" s="178">
        <v>1</v>
      </c>
      <c r="F332" s="171" t="s">
        <v>836</v>
      </c>
      <c r="G332" s="168">
        <f>IFERROR(VLOOKUP(F332,'menu list'!B:C,2,FALSE)*E332,"0")</f>
        <v>350</v>
      </c>
      <c r="H332" s="337">
        <f t="shared" si="24"/>
        <v>52.5</v>
      </c>
      <c r="I332" s="168">
        <f t="shared" si="25"/>
        <v>402.5</v>
      </c>
    </row>
    <row r="333" spans="1:9" ht="13.2">
      <c r="A333" s="170">
        <f t="shared" si="27"/>
        <v>332</v>
      </c>
      <c r="B333" s="171" t="s">
        <v>795</v>
      </c>
      <c r="C333" s="171" t="str">
        <f>VLOOKUP(B333,MEMBERS!B:C,2, )</f>
        <v>MR. HASAN KARIM</v>
      </c>
      <c r="D333" s="191">
        <v>45998</v>
      </c>
      <c r="E333" s="178">
        <v>1</v>
      </c>
      <c r="F333" s="171" t="s">
        <v>775</v>
      </c>
      <c r="G333" s="168">
        <f>IFERROR(VLOOKUP(F333,'menu list'!B:C,2,FALSE)*E333,"0")</f>
        <v>100</v>
      </c>
      <c r="H333" s="337">
        <f t="shared" si="24"/>
        <v>15</v>
      </c>
      <c r="I333" s="168">
        <f t="shared" si="25"/>
        <v>115</v>
      </c>
    </row>
    <row r="334" spans="1:9" ht="13.2">
      <c r="A334" s="170">
        <f t="shared" si="27"/>
        <v>333</v>
      </c>
      <c r="B334" s="171" t="s">
        <v>263</v>
      </c>
      <c r="C334" s="171" t="str">
        <f>VLOOKUP(B334,MEMBERS!B:C,2, )</f>
        <v>MR.CAREL HEDRIK BURGER</v>
      </c>
      <c r="D334" s="191">
        <v>45998</v>
      </c>
      <c r="E334" s="178">
        <v>2</v>
      </c>
      <c r="F334" s="171" t="s">
        <v>802</v>
      </c>
      <c r="G334" s="168">
        <f>IFERROR(VLOOKUP(F334,'menu list'!B:C,2,FALSE)*E334,"0")</f>
        <v>1000</v>
      </c>
      <c r="H334" s="337">
        <f t="shared" si="24"/>
        <v>150</v>
      </c>
      <c r="I334" s="168">
        <f t="shared" si="25"/>
        <v>1150</v>
      </c>
    </row>
    <row r="335" spans="1:9" ht="13.2">
      <c r="A335" s="170">
        <f t="shared" si="27"/>
        <v>334</v>
      </c>
      <c r="B335" s="171" t="s">
        <v>263</v>
      </c>
      <c r="C335" s="171" t="str">
        <f>VLOOKUP(B335,MEMBERS!B:C,2, )</f>
        <v>MR.CAREL HEDRIK BURGER</v>
      </c>
      <c r="D335" s="191">
        <v>45998</v>
      </c>
      <c r="E335" s="178">
        <v>1</v>
      </c>
      <c r="F335" s="171" t="s">
        <v>633</v>
      </c>
      <c r="G335" s="168">
        <f>IFERROR(VLOOKUP(F335,'menu list'!B:C,2,FALSE)*E335,"0")</f>
        <v>700</v>
      </c>
      <c r="H335" s="337">
        <f t="shared" si="24"/>
        <v>105</v>
      </c>
      <c r="I335" s="168">
        <f t="shared" si="25"/>
        <v>805</v>
      </c>
    </row>
    <row r="336" spans="1:9" ht="13.2">
      <c r="A336" s="170">
        <f t="shared" si="27"/>
        <v>335</v>
      </c>
      <c r="B336" s="171" t="s">
        <v>263</v>
      </c>
      <c r="C336" s="171" t="str">
        <f>VLOOKUP(B336,MEMBERS!B:C,2, )</f>
        <v>MR.CAREL HEDRIK BURGER</v>
      </c>
      <c r="D336" s="191">
        <v>45998</v>
      </c>
      <c r="E336" s="178">
        <v>2</v>
      </c>
      <c r="F336" s="171" t="s">
        <v>442</v>
      </c>
      <c r="G336" s="168">
        <f>IFERROR(VLOOKUP(F336,'menu list'!B:C,2,FALSE)*E336,"0")</f>
        <v>300</v>
      </c>
      <c r="H336" s="337">
        <f t="shared" si="24"/>
        <v>45</v>
      </c>
      <c r="I336" s="168">
        <f t="shared" si="25"/>
        <v>345</v>
      </c>
    </row>
    <row r="337" spans="1:9" ht="13.2">
      <c r="A337" s="170">
        <f t="shared" si="27"/>
        <v>336</v>
      </c>
      <c r="B337" s="171" t="s">
        <v>192</v>
      </c>
      <c r="C337" s="171" t="str">
        <f>VLOOKUP(B337,MEMBERS!B:C,2, )</f>
        <v>MR.HANIF AHSAN ZUBEDI</v>
      </c>
      <c r="D337" s="191">
        <v>45998</v>
      </c>
      <c r="E337" s="178">
        <v>3</v>
      </c>
      <c r="F337" s="171" t="s">
        <v>499</v>
      </c>
      <c r="G337" s="168">
        <f>IFERROR(VLOOKUP(F337,'menu list'!B:C,2,FALSE)*E337,"0")</f>
        <v>300</v>
      </c>
      <c r="H337" s="337">
        <f t="shared" si="24"/>
        <v>45</v>
      </c>
      <c r="I337" s="168">
        <f t="shared" si="25"/>
        <v>345</v>
      </c>
    </row>
    <row r="338" spans="1:9" ht="13.2">
      <c r="A338" s="170">
        <f t="shared" si="27"/>
        <v>337</v>
      </c>
      <c r="B338" s="171" t="s">
        <v>192</v>
      </c>
      <c r="C338" s="171" t="str">
        <f>VLOOKUP(B338,MEMBERS!B:C,2, )</f>
        <v>MR.HANIF AHSAN ZUBEDI</v>
      </c>
      <c r="D338" s="191">
        <v>45998</v>
      </c>
      <c r="E338" s="178">
        <v>1</v>
      </c>
      <c r="F338" s="171" t="s">
        <v>498</v>
      </c>
      <c r="G338" s="168">
        <f>IFERROR(VLOOKUP(F338,'menu list'!B:C,2,FALSE)*E338,"0")</f>
        <v>200</v>
      </c>
      <c r="H338" s="337">
        <f t="shared" si="24"/>
        <v>30</v>
      </c>
      <c r="I338" s="168">
        <f t="shared" si="25"/>
        <v>230</v>
      </c>
    </row>
    <row r="339" spans="1:9" ht="13.2">
      <c r="A339" s="170">
        <f t="shared" si="27"/>
        <v>338</v>
      </c>
      <c r="B339" s="171" t="s">
        <v>192</v>
      </c>
      <c r="C339" s="171" t="str">
        <f>VLOOKUP(B339,MEMBERS!B:C,2, )</f>
        <v>MR.HANIF AHSAN ZUBEDI</v>
      </c>
      <c r="D339" s="191">
        <v>45998</v>
      </c>
      <c r="E339" s="178">
        <v>2</v>
      </c>
      <c r="F339" s="171" t="s">
        <v>499</v>
      </c>
      <c r="G339" s="168">
        <f>IFERROR(VLOOKUP(F339,'menu list'!B:C,2,FALSE)*E339,"0")</f>
        <v>200</v>
      </c>
      <c r="H339" s="337">
        <f t="shared" si="24"/>
        <v>30</v>
      </c>
      <c r="I339" s="168">
        <f t="shared" si="25"/>
        <v>230</v>
      </c>
    </row>
    <row r="340" spans="1:9" ht="13.2">
      <c r="A340" s="170">
        <f t="shared" si="27"/>
        <v>339</v>
      </c>
      <c r="B340" s="171" t="s">
        <v>20</v>
      </c>
      <c r="C340" s="171" t="str">
        <f>VLOOKUP(B340,MEMBERS!B:C,2, )</f>
        <v>MR.BILAL AHMED</v>
      </c>
      <c r="D340" s="191">
        <v>45998</v>
      </c>
      <c r="E340" s="178">
        <v>1</v>
      </c>
      <c r="F340" s="171" t="s">
        <v>802</v>
      </c>
      <c r="G340" s="168">
        <f>IFERROR(VLOOKUP(F340,'menu list'!B:C,2,FALSE)*E340,"0")</f>
        <v>500</v>
      </c>
      <c r="H340" s="337">
        <f t="shared" si="24"/>
        <v>75</v>
      </c>
      <c r="I340" s="168">
        <f t="shared" si="25"/>
        <v>575</v>
      </c>
    </row>
    <row r="341" spans="1:9" ht="13.2">
      <c r="A341" s="170">
        <f t="shared" si="27"/>
        <v>340</v>
      </c>
      <c r="B341" s="171" t="s">
        <v>342</v>
      </c>
      <c r="C341" s="171" t="str">
        <f>VLOOKUP(B341,MEMBERS!B:C,2, )</f>
        <v xml:space="preserve">JAM FEROZ </v>
      </c>
      <c r="D341" s="191">
        <v>45998</v>
      </c>
      <c r="E341" s="178">
        <v>1</v>
      </c>
      <c r="F341" s="171" t="s">
        <v>653</v>
      </c>
      <c r="G341" s="168">
        <f>IFERROR(VLOOKUP(F341,'menu list'!B:C,2,FALSE)*E341,"0")</f>
        <v>350</v>
      </c>
      <c r="H341" s="337">
        <f t="shared" si="24"/>
        <v>52.5</v>
      </c>
      <c r="I341" s="168">
        <f t="shared" si="25"/>
        <v>402.5</v>
      </c>
    </row>
    <row r="342" spans="1:9" ht="13.2">
      <c r="A342" s="170">
        <f t="shared" si="27"/>
        <v>341</v>
      </c>
      <c r="B342" s="171" t="s">
        <v>342</v>
      </c>
      <c r="C342" s="171" t="str">
        <f>VLOOKUP(B342,MEMBERS!B:C,2, )</f>
        <v xml:space="preserve">JAM FEROZ </v>
      </c>
      <c r="D342" s="191">
        <v>45998</v>
      </c>
      <c r="E342" s="178">
        <v>1</v>
      </c>
      <c r="F342" s="171" t="s">
        <v>939</v>
      </c>
      <c r="G342" s="168">
        <f>IFERROR(VLOOKUP(F342,'menu list'!B:C,2,FALSE)*E342,"0")</f>
        <v>1200</v>
      </c>
      <c r="H342" s="337">
        <f t="shared" si="24"/>
        <v>180</v>
      </c>
      <c r="I342" s="168">
        <f t="shared" si="25"/>
        <v>1380</v>
      </c>
    </row>
    <row r="343" spans="1:9" ht="13.2">
      <c r="A343" s="170">
        <f t="shared" ref="A343:A359" si="28">IF(D343&lt;&gt;"", ROW()-1, "")</f>
        <v>342</v>
      </c>
      <c r="B343" s="171" t="s">
        <v>342</v>
      </c>
      <c r="C343" s="171" t="str">
        <f>VLOOKUP(B343,MEMBERS!B:C,2, )</f>
        <v xml:space="preserve">JAM FEROZ </v>
      </c>
      <c r="D343" s="191">
        <v>45998</v>
      </c>
      <c r="E343" s="178">
        <v>1</v>
      </c>
      <c r="F343" s="171" t="s">
        <v>858</v>
      </c>
      <c r="G343" s="168">
        <f>IFERROR(VLOOKUP(F343,'menu list'!B:C,2,FALSE)*E343,"0")</f>
        <v>500</v>
      </c>
      <c r="H343" s="337">
        <f t="shared" si="24"/>
        <v>75</v>
      </c>
      <c r="I343" s="168">
        <f t="shared" si="25"/>
        <v>575</v>
      </c>
    </row>
    <row r="344" spans="1:9" ht="13.2">
      <c r="A344" s="170">
        <f t="shared" si="28"/>
        <v>343</v>
      </c>
      <c r="B344" s="171" t="s">
        <v>342</v>
      </c>
      <c r="C344" s="171" t="str">
        <f>VLOOKUP(B344,MEMBERS!B:C,2, )</f>
        <v xml:space="preserve">JAM FEROZ </v>
      </c>
      <c r="D344" s="191">
        <v>45998</v>
      </c>
      <c r="E344" s="178">
        <v>1</v>
      </c>
      <c r="F344" s="171" t="s">
        <v>740</v>
      </c>
      <c r="G344" s="168">
        <f>IFERROR(VLOOKUP(F344,'menu list'!B:C,2,FALSE)*E344,"0")</f>
        <v>1800</v>
      </c>
      <c r="H344" s="337">
        <f t="shared" si="24"/>
        <v>270</v>
      </c>
      <c r="I344" s="168">
        <f t="shared" si="25"/>
        <v>2070</v>
      </c>
    </row>
    <row r="345" spans="1:9" ht="13.2">
      <c r="A345" s="170">
        <f t="shared" si="28"/>
        <v>344</v>
      </c>
      <c r="B345" s="171" t="s">
        <v>342</v>
      </c>
      <c r="C345" s="171" t="str">
        <f>VLOOKUP(B345,MEMBERS!B:C,2, )</f>
        <v xml:space="preserve">JAM FEROZ </v>
      </c>
      <c r="D345" s="191">
        <v>45998</v>
      </c>
      <c r="E345" s="178">
        <v>1</v>
      </c>
      <c r="F345" s="171" t="s">
        <v>781</v>
      </c>
      <c r="G345" s="168">
        <f>IFERROR(VLOOKUP(F345,'menu list'!B:C,2,FALSE)*E345,"0")</f>
        <v>800</v>
      </c>
      <c r="H345" s="337">
        <f t="shared" si="24"/>
        <v>120</v>
      </c>
      <c r="I345" s="168">
        <f t="shared" si="25"/>
        <v>920</v>
      </c>
    </row>
    <row r="346" spans="1:9" ht="13.2">
      <c r="A346" s="170">
        <f t="shared" si="28"/>
        <v>345</v>
      </c>
      <c r="B346" s="171" t="s">
        <v>342</v>
      </c>
      <c r="C346" s="171" t="str">
        <f>VLOOKUP(B346,MEMBERS!B:C,2, )</f>
        <v xml:space="preserve">JAM FEROZ </v>
      </c>
      <c r="D346" s="191">
        <v>45998</v>
      </c>
      <c r="E346" s="178">
        <v>1</v>
      </c>
      <c r="F346" s="171" t="s">
        <v>440</v>
      </c>
      <c r="G346" s="168">
        <f>IFERROR(VLOOKUP(F346,'menu list'!B:C,2,FALSE)*E346,"0")</f>
        <v>150</v>
      </c>
      <c r="H346" s="337">
        <f t="shared" si="24"/>
        <v>22.5</v>
      </c>
      <c r="I346" s="168">
        <f t="shared" si="25"/>
        <v>172.5</v>
      </c>
    </row>
    <row r="347" spans="1:9" ht="13.2">
      <c r="A347" s="170">
        <f t="shared" si="28"/>
        <v>346</v>
      </c>
      <c r="B347" s="171" t="s">
        <v>342</v>
      </c>
      <c r="C347" s="171" t="str">
        <f>VLOOKUP(B347,MEMBERS!B:C,2, )</f>
        <v xml:space="preserve">JAM FEROZ </v>
      </c>
      <c r="D347" s="191">
        <v>45998</v>
      </c>
      <c r="E347" s="178">
        <v>3</v>
      </c>
      <c r="F347" s="171" t="s">
        <v>439</v>
      </c>
      <c r="G347" s="168">
        <f>IFERROR(VLOOKUP(F347,'menu list'!B:C,2,FALSE)*E347,"0")</f>
        <v>210</v>
      </c>
      <c r="H347" s="337">
        <f t="shared" si="24"/>
        <v>31.5</v>
      </c>
      <c r="I347" s="168">
        <f t="shared" si="25"/>
        <v>241.5</v>
      </c>
    </row>
    <row r="348" spans="1:9" ht="13.2">
      <c r="A348" s="170">
        <f t="shared" si="28"/>
        <v>347</v>
      </c>
      <c r="B348" s="171" t="s">
        <v>342</v>
      </c>
      <c r="C348" s="171" t="str">
        <f>VLOOKUP(B348,MEMBERS!B:C,2, )</f>
        <v xml:space="preserve">JAM FEROZ </v>
      </c>
      <c r="D348" s="191">
        <v>45998</v>
      </c>
      <c r="E348" s="178">
        <v>1</v>
      </c>
      <c r="F348" s="171" t="s">
        <v>443</v>
      </c>
      <c r="G348" s="168">
        <f>IFERROR(VLOOKUP(F348,'menu list'!B:C,2,FALSE)*E348,"0")</f>
        <v>150</v>
      </c>
      <c r="H348" s="337">
        <f t="shared" si="24"/>
        <v>22.5</v>
      </c>
      <c r="I348" s="168">
        <f t="shared" si="25"/>
        <v>172.5</v>
      </c>
    </row>
    <row r="349" spans="1:9" ht="13.2">
      <c r="A349" s="170">
        <f t="shared" si="28"/>
        <v>348</v>
      </c>
      <c r="B349" s="171" t="s">
        <v>342</v>
      </c>
      <c r="C349" s="171" t="str">
        <f>VLOOKUP(B349,MEMBERS!B:C,2, )</f>
        <v xml:space="preserve">JAM FEROZ </v>
      </c>
      <c r="D349" s="191">
        <v>45998</v>
      </c>
      <c r="E349" s="178">
        <v>1</v>
      </c>
      <c r="F349" s="171" t="s">
        <v>441</v>
      </c>
      <c r="G349" s="168">
        <f>IFERROR(VLOOKUP(F349,'menu list'!B:C,2,FALSE)*E349,"0")</f>
        <v>200</v>
      </c>
      <c r="H349" s="337">
        <f t="shared" si="24"/>
        <v>30</v>
      </c>
      <c r="I349" s="168">
        <f t="shared" si="25"/>
        <v>230</v>
      </c>
    </row>
    <row r="350" spans="1:9" ht="13.2">
      <c r="A350" s="170">
        <f t="shared" si="28"/>
        <v>349</v>
      </c>
      <c r="B350" s="171" t="s">
        <v>1052</v>
      </c>
      <c r="C350" s="171" t="str">
        <f>VLOOKUP(B350,MEMBERS!B:C,2, )</f>
        <v>MR. YASIR RASHEED</v>
      </c>
      <c r="D350" s="191">
        <v>45998</v>
      </c>
      <c r="E350" s="178">
        <v>1</v>
      </c>
      <c r="F350" s="171" t="s">
        <v>922</v>
      </c>
      <c r="G350" s="168">
        <f>IFERROR(VLOOKUP(F350,'menu list'!B:C,2,FALSE)*E350,"0")</f>
        <v>750</v>
      </c>
      <c r="H350" s="337">
        <f t="shared" si="24"/>
        <v>112.5</v>
      </c>
      <c r="I350" s="168">
        <f t="shared" si="25"/>
        <v>862.5</v>
      </c>
    </row>
    <row r="351" spans="1:9" ht="13.2">
      <c r="A351" s="170">
        <f t="shared" si="28"/>
        <v>350</v>
      </c>
      <c r="B351" s="171" t="s">
        <v>1052</v>
      </c>
      <c r="C351" s="171" t="str">
        <f>VLOOKUP(B351,MEMBERS!B:C,2, )</f>
        <v>MR. YASIR RASHEED</v>
      </c>
      <c r="D351" s="191">
        <v>45998</v>
      </c>
      <c r="E351" s="178">
        <v>1</v>
      </c>
      <c r="F351" s="171" t="s">
        <v>633</v>
      </c>
      <c r="G351" s="168">
        <f>IFERROR(VLOOKUP(F351,'menu list'!B:C,2,FALSE)*E351,"0")</f>
        <v>700</v>
      </c>
      <c r="H351" s="337">
        <f t="shared" si="24"/>
        <v>105</v>
      </c>
      <c r="I351" s="168">
        <f t="shared" si="25"/>
        <v>805</v>
      </c>
    </row>
    <row r="352" spans="1:9" ht="13.2">
      <c r="A352" s="170">
        <f t="shared" si="28"/>
        <v>351</v>
      </c>
      <c r="B352" s="171" t="s">
        <v>1052</v>
      </c>
      <c r="C352" s="171" t="str">
        <f>VLOOKUP(B352,MEMBERS!B:C,2, )</f>
        <v>MR. YASIR RASHEED</v>
      </c>
      <c r="D352" s="191">
        <v>45998</v>
      </c>
      <c r="E352" s="178">
        <v>2</v>
      </c>
      <c r="F352" s="171" t="s">
        <v>497</v>
      </c>
      <c r="G352" s="168">
        <f>IFERROR(VLOOKUP(F352,'menu list'!B:C,2,FALSE)*E352,"0")</f>
        <v>500</v>
      </c>
      <c r="H352" s="337">
        <f t="shared" si="24"/>
        <v>75</v>
      </c>
      <c r="I352" s="168">
        <f t="shared" si="25"/>
        <v>575</v>
      </c>
    </row>
    <row r="353" spans="1:9" ht="13.2">
      <c r="A353" s="170">
        <f t="shared" si="28"/>
        <v>352</v>
      </c>
      <c r="B353" s="171" t="s">
        <v>1052</v>
      </c>
      <c r="C353" s="171" t="str">
        <f>VLOOKUP(B353,MEMBERS!B:C,2, )</f>
        <v>MR. YASIR RASHEED</v>
      </c>
      <c r="D353" s="191">
        <v>45998</v>
      </c>
      <c r="E353" s="178">
        <v>2</v>
      </c>
      <c r="F353" s="171" t="s">
        <v>570</v>
      </c>
      <c r="G353" s="168">
        <f>IFERROR(VLOOKUP(F353,'menu list'!B:C,2,FALSE)*E353,"0")</f>
        <v>300</v>
      </c>
      <c r="H353" s="337">
        <f t="shared" si="24"/>
        <v>45</v>
      </c>
      <c r="I353" s="168">
        <f t="shared" si="25"/>
        <v>345</v>
      </c>
    </row>
    <row r="354" spans="1:9" ht="13.2">
      <c r="A354" s="170">
        <f t="shared" si="28"/>
        <v>353</v>
      </c>
      <c r="B354" s="171" t="s">
        <v>1052</v>
      </c>
      <c r="C354" s="171" t="str">
        <f>VLOOKUP(B354,MEMBERS!B:C,2, )</f>
        <v>MR. YASIR RASHEED</v>
      </c>
      <c r="D354" s="191">
        <v>45998</v>
      </c>
      <c r="E354" s="178">
        <v>2</v>
      </c>
      <c r="F354" s="171" t="s">
        <v>499</v>
      </c>
      <c r="G354" s="168">
        <f>IFERROR(VLOOKUP(F354,'menu list'!B:C,2,FALSE)*E354,"0")</f>
        <v>200</v>
      </c>
      <c r="H354" s="337">
        <f t="shared" si="24"/>
        <v>30</v>
      </c>
      <c r="I354" s="168">
        <f t="shared" si="25"/>
        <v>230</v>
      </c>
    </row>
    <row r="355" spans="1:9" ht="13.2">
      <c r="A355" s="170">
        <f t="shared" si="28"/>
        <v>354</v>
      </c>
      <c r="B355" s="171" t="s">
        <v>1053</v>
      </c>
      <c r="C355" s="171" t="str">
        <f>VLOOKUP(B355,MEMBERS!B:C,2, )</f>
        <v>MR. ZAMIR ALI SHAH</v>
      </c>
      <c r="D355" s="191">
        <v>45998</v>
      </c>
      <c r="E355" s="178">
        <v>2</v>
      </c>
      <c r="F355" s="171" t="s">
        <v>440</v>
      </c>
      <c r="G355" s="168">
        <f>IFERROR(VLOOKUP(F355,'menu list'!B:C,2,FALSE)*E355,"0")</f>
        <v>300</v>
      </c>
      <c r="H355" s="337">
        <f t="shared" si="24"/>
        <v>45</v>
      </c>
      <c r="I355" s="168">
        <f t="shared" si="25"/>
        <v>345</v>
      </c>
    </row>
    <row r="356" spans="1:9" ht="13.2">
      <c r="A356" s="170">
        <f t="shared" si="28"/>
        <v>355</v>
      </c>
      <c r="B356" s="171" t="s">
        <v>1053</v>
      </c>
      <c r="C356" s="171" t="str">
        <f>VLOOKUP(B356,MEMBERS!B:C,2, )</f>
        <v>MR. ZAMIR ALI SHAH</v>
      </c>
      <c r="D356" s="191">
        <v>45998</v>
      </c>
      <c r="E356" s="178">
        <v>2</v>
      </c>
      <c r="F356" s="171" t="s">
        <v>902</v>
      </c>
      <c r="G356" s="168">
        <f>IFERROR(VLOOKUP(F356,'menu list'!B:C,2,FALSE)*E356,"0")</f>
        <v>1000</v>
      </c>
      <c r="H356" s="337">
        <f t="shared" si="24"/>
        <v>150</v>
      </c>
      <c r="I356" s="168">
        <f t="shared" si="25"/>
        <v>1150</v>
      </c>
    </row>
    <row r="357" spans="1:9" ht="13.2">
      <c r="A357" s="170">
        <f t="shared" si="28"/>
        <v>356</v>
      </c>
      <c r="B357" s="171" t="s">
        <v>1053</v>
      </c>
      <c r="C357" s="171" t="str">
        <f>VLOOKUP(B357,MEMBERS!B:C,2, )</f>
        <v>MR. ZAMIR ALI SHAH</v>
      </c>
      <c r="D357" s="191">
        <v>45998</v>
      </c>
      <c r="E357" s="178">
        <v>2</v>
      </c>
      <c r="F357" s="171" t="s">
        <v>500</v>
      </c>
      <c r="G357" s="168">
        <f>IFERROR(VLOOKUP(F357,'menu list'!B:C,2,FALSE)*E357,"0")</f>
        <v>2500</v>
      </c>
      <c r="H357" s="337">
        <f t="shared" si="24"/>
        <v>375</v>
      </c>
      <c r="I357" s="168">
        <f t="shared" si="25"/>
        <v>2875</v>
      </c>
    </row>
    <row r="358" spans="1:9" ht="13.2">
      <c r="A358" s="170">
        <f t="shared" si="28"/>
        <v>357</v>
      </c>
      <c r="B358" s="171" t="s">
        <v>1053</v>
      </c>
      <c r="C358" s="171" t="str">
        <f>VLOOKUP(B358,MEMBERS!B:C,2, )</f>
        <v>MR. ZAMIR ALI SHAH</v>
      </c>
      <c r="D358" s="191">
        <v>45998</v>
      </c>
      <c r="E358" s="178">
        <v>2</v>
      </c>
      <c r="F358" s="171" t="s">
        <v>1057</v>
      </c>
      <c r="G358" s="168">
        <f>IFERROR(VLOOKUP(F358,'menu list'!B:C,2,FALSE)*E358,"0")</f>
        <v>1700</v>
      </c>
      <c r="H358" s="337">
        <f t="shared" si="24"/>
        <v>255</v>
      </c>
      <c r="I358" s="168">
        <f t="shared" si="25"/>
        <v>1955</v>
      </c>
    </row>
    <row r="359" spans="1:9" ht="13.2">
      <c r="A359" s="170">
        <f t="shared" si="28"/>
        <v>358</v>
      </c>
      <c r="B359" s="171" t="s">
        <v>430</v>
      </c>
      <c r="C359" s="171" t="str">
        <f>VLOOKUP(B359,MEMBERS!B:C,2, )</f>
        <v>SYED JIBRAN MUSHTAQ</v>
      </c>
      <c r="D359" s="191">
        <v>45998</v>
      </c>
      <c r="E359" s="178">
        <v>3</v>
      </c>
      <c r="F359" s="171" t="s">
        <v>499</v>
      </c>
      <c r="G359" s="168">
        <f>IFERROR(VLOOKUP(F359,'menu list'!B:C,2,FALSE)*E359,"0")</f>
        <v>300</v>
      </c>
      <c r="H359" s="337">
        <f t="shared" si="24"/>
        <v>45</v>
      </c>
      <c r="I359" s="168">
        <f t="shared" si="25"/>
        <v>345</v>
      </c>
    </row>
    <row r="360" spans="1:9" ht="13.2">
      <c r="A360" s="170">
        <f t="shared" ref="A360:A400" si="29">IF(D360&lt;&gt;"", ROW()-1, "")</f>
        <v>359</v>
      </c>
      <c r="B360" s="171" t="s">
        <v>430</v>
      </c>
      <c r="C360" s="171" t="str">
        <f>VLOOKUP(B360,MEMBERS!B:C,2, )</f>
        <v>SYED JIBRAN MUSHTAQ</v>
      </c>
      <c r="D360" s="191">
        <v>45998</v>
      </c>
      <c r="E360" s="178">
        <v>1</v>
      </c>
      <c r="F360" s="171" t="s">
        <v>440</v>
      </c>
      <c r="G360" s="168">
        <f>IFERROR(VLOOKUP(F360,'menu list'!B:C,2,FALSE)*E360,"0")</f>
        <v>150</v>
      </c>
      <c r="H360" s="337">
        <f t="shared" si="24"/>
        <v>22.5</v>
      </c>
      <c r="I360" s="168">
        <f t="shared" si="25"/>
        <v>172.5</v>
      </c>
    </row>
    <row r="361" spans="1:9" ht="13.2">
      <c r="A361" s="170">
        <f t="shared" si="29"/>
        <v>360</v>
      </c>
      <c r="B361" s="171" t="s">
        <v>430</v>
      </c>
      <c r="C361" s="171" t="str">
        <f>VLOOKUP(B361,MEMBERS!B:C,2, )</f>
        <v>SYED JIBRAN MUSHTAQ</v>
      </c>
      <c r="D361" s="191">
        <v>45998</v>
      </c>
      <c r="E361" s="178">
        <v>1</v>
      </c>
      <c r="F361" s="171" t="s">
        <v>497</v>
      </c>
      <c r="G361" s="168">
        <f>IFERROR(VLOOKUP(F361,'menu list'!B:C,2,FALSE)*E361,"0")</f>
        <v>250</v>
      </c>
      <c r="H361" s="337">
        <f t="shared" si="24"/>
        <v>37.5</v>
      </c>
      <c r="I361" s="168">
        <f t="shared" si="25"/>
        <v>287.5</v>
      </c>
    </row>
    <row r="362" spans="1:9" ht="12.75" customHeight="1">
      <c r="A362" s="170">
        <f t="shared" si="29"/>
        <v>361</v>
      </c>
      <c r="B362" s="171" t="s">
        <v>430</v>
      </c>
      <c r="C362" s="171" t="str">
        <f>VLOOKUP(B362,MEMBERS!B:C,2, )</f>
        <v>SYED JIBRAN MUSHTAQ</v>
      </c>
      <c r="D362" s="191">
        <v>45998</v>
      </c>
      <c r="E362" s="178">
        <v>6</v>
      </c>
      <c r="F362" s="171" t="s">
        <v>558</v>
      </c>
      <c r="G362" s="168" t="s">
        <v>1172</v>
      </c>
      <c r="H362" s="337"/>
      <c r="I362" s="168"/>
    </row>
    <row r="363" spans="1:9" ht="13.2">
      <c r="A363" s="170">
        <f t="shared" si="29"/>
        <v>362</v>
      </c>
      <c r="B363" s="171" t="s">
        <v>430</v>
      </c>
      <c r="C363" s="171" t="str">
        <f>VLOOKUP(B363,MEMBERS!B:C,2, )</f>
        <v>SYED JIBRAN MUSHTAQ</v>
      </c>
      <c r="D363" s="191">
        <v>45998</v>
      </c>
      <c r="E363" s="178">
        <v>4</v>
      </c>
      <c r="F363" s="171" t="s">
        <v>641</v>
      </c>
      <c r="G363" s="168" t="s">
        <v>1172</v>
      </c>
      <c r="H363" s="337"/>
      <c r="I363" s="168"/>
    </row>
    <row r="364" spans="1:9" ht="13.2">
      <c r="A364" s="170">
        <f t="shared" si="29"/>
        <v>363</v>
      </c>
      <c r="B364" s="171" t="s">
        <v>273</v>
      </c>
      <c r="C364" s="171" t="str">
        <f>VLOOKUP(B364,MEMBERS!B:C,2, )</f>
        <v>MR.SYED MURTAZA ALI</v>
      </c>
      <c r="D364" s="191">
        <v>45998</v>
      </c>
      <c r="E364" s="178">
        <v>2</v>
      </c>
      <c r="F364" s="171" t="s">
        <v>641</v>
      </c>
      <c r="G364" s="168" t="s">
        <v>1172</v>
      </c>
      <c r="H364" s="337"/>
      <c r="I364" s="168"/>
    </row>
    <row r="365" spans="1:9" ht="13.2">
      <c r="A365" s="170">
        <f t="shared" si="29"/>
        <v>364</v>
      </c>
      <c r="B365" s="171" t="s">
        <v>263</v>
      </c>
      <c r="C365" s="171" t="str">
        <f>VLOOKUP(B365,MEMBERS!B:C,2, )</f>
        <v>MR.CAREL HEDRIK BURGER</v>
      </c>
      <c r="D365" s="191">
        <v>45998</v>
      </c>
      <c r="E365" s="178">
        <v>8</v>
      </c>
      <c r="F365" s="171" t="s">
        <v>1017</v>
      </c>
      <c r="G365" s="168">
        <f>IFERROR(VLOOKUP(F365,'menu list'!B:C,2,FALSE)*E365,"0")</f>
        <v>14800</v>
      </c>
      <c r="H365" s="337">
        <f t="shared" si="24"/>
        <v>2220</v>
      </c>
      <c r="I365" s="168">
        <f t="shared" si="25"/>
        <v>17020</v>
      </c>
    </row>
    <row r="366" spans="1:9" ht="13.2">
      <c r="A366" s="170">
        <f t="shared" si="29"/>
        <v>365</v>
      </c>
      <c r="B366" s="171" t="s">
        <v>263</v>
      </c>
      <c r="C366" s="171" t="str">
        <f>VLOOKUP(B366,MEMBERS!B:C,2, )</f>
        <v>MR.CAREL HEDRIK BURGER</v>
      </c>
      <c r="D366" s="191">
        <v>45998</v>
      </c>
      <c r="E366" s="178">
        <v>2</v>
      </c>
      <c r="F366" s="171" t="s">
        <v>440</v>
      </c>
      <c r="G366" s="168">
        <f>IFERROR(VLOOKUP(F366,'menu list'!B:C,2,FALSE)*E366,"0")</f>
        <v>300</v>
      </c>
      <c r="H366" s="337">
        <f t="shared" si="24"/>
        <v>45</v>
      </c>
      <c r="I366" s="168">
        <f t="shared" si="25"/>
        <v>345</v>
      </c>
    </row>
    <row r="367" spans="1:9" ht="13.2">
      <c r="A367" s="170">
        <f t="shared" si="29"/>
        <v>366</v>
      </c>
      <c r="B367" s="171" t="s">
        <v>263</v>
      </c>
      <c r="C367" s="171" t="str">
        <f>VLOOKUP(B367,MEMBERS!B:C,2, )</f>
        <v>MR.CAREL HEDRIK BURGER</v>
      </c>
      <c r="D367" s="191">
        <v>45998</v>
      </c>
      <c r="E367" s="178">
        <v>4</v>
      </c>
      <c r="F367" s="171" t="s">
        <v>582</v>
      </c>
      <c r="G367" s="168">
        <f>IFERROR(VLOOKUP(F367,'menu list'!B:C,2,FALSE)*E367,"0")</f>
        <v>1200</v>
      </c>
      <c r="H367" s="337">
        <f t="shared" si="24"/>
        <v>180</v>
      </c>
      <c r="I367" s="168">
        <f t="shared" si="25"/>
        <v>1380</v>
      </c>
    </row>
    <row r="368" spans="1:9" ht="13.2">
      <c r="A368" s="170">
        <f t="shared" si="29"/>
        <v>367</v>
      </c>
      <c r="B368" s="171" t="s">
        <v>263</v>
      </c>
      <c r="C368" s="171" t="str">
        <f>VLOOKUP(B368,MEMBERS!B:C,2, )</f>
        <v>MR.CAREL HEDRIK BURGER</v>
      </c>
      <c r="D368" s="191">
        <v>45998</v>
      </c>
      <c r="E368" s="178">
        <v>2</v>
      </c>
      <c r="F368" s="171" t="s">
        <v>836</v>
      </c>
      <c r="G368" s="168">
        <f>IFERROR(VLOOKUP(F368,'menu list'!B:C,2,FALSE)*E368,"0")</f>
        <v>700</v>
      </c>
      <c r="H368" s="337">
        <f t="shared" si="24"/>
        <v>105</v>
      </c>
      <c r="I368" s="168">
        <f t="shared" si="25"/>
        <v>805</v>
      </c>
    </row>
    <row r="369" spans="1:9" ht="13.2">
      <c r="A369" s="170">
        <f t="shared" si="29"/>
        <v>368</v>
      </c>
      <c r="B369" s="171" t="s">
        <v>282</v>
      </c>
      <c r="C369" s="171" t="str">
        <f>VLOOKUP(B369,MEMBERS!B:C,2, )</f>
        <v>ZULFIQAR AHMED MEMON</v>
      </c>
      <c r="D369" s="191">
        <v>45998</v>
      </c>
      <c r="E369" s="178">
        <v>8</v>
      </c>
      <c r="F369" s="171" t="s">
        <v>1017</v>
      </c>
      <c r="G369" s="168">
        <f>IFERROR(VLOOKUP(F369,'menu list'!B:C,2,FALSE)*E369,"0")</f>
        <v>14800</v>
      </c>
      <c r="H369" s="337">
        <f t="shared" si="24"/>
        <v>2220</v>
      </c>
      <c r="I369" s="168">
        <f t="shared" si="25"/>
        <v>17020</v>
      </c>
    </row>
    <row r="370" spans="1:9" ht="13.2">
      <c r="A370" s="170">
        <f t="shared" si="29"/>
        <v>369</v>
      </c>
      <c r="B370" s="171" t="s">
        <v>282</v>
      </c>
      <c r="C370" s="171" t="str">
        <f>VLOOKUP(B370,MEMBERS!B:C,2, )</f>
        <v>ZULFIQAR AHMED MEMON</v>
      </c>
      <c r="D370" s="191">
        <v>45998</v>
      </c>
      <c r="E370" s="178">
        <v>2</v>
      </c>
      <c r="F370" s="171" t="s">
        <v>440</v>
      </c>
      <c r="G370" s="168">
        <f>IFERROR(VLOOKUP(F370,'menu list'!B:C,2,FALSE)*E370,"0")</f>
        <v>300</v>
      </c>
      <c r="H370" s="337">
        <f t="shared" si="24"/>
        <v>45</v>
      </c>
      <c r="I370" s="168">
        <f t="shared" si="25"/>
        <v>345</v>
      </c>
    </row>
    <row r="371" spans="1:9" ht="13.2">
      <c r="A371" s="170">
        <f t="shared" si="29"/>
        <v>370</v>
      </c>
      <c r="B371" s="171" t="s">
        <v>282</v>
      </c>
      <c r="C371" s="171" t="str">
        <f>VLOOKUP(B371,MEMBERS!B:C,2, )</f>
        <v>ZULFIQAR AHMED MEMON</v>
      </c>
      <c r="D371" s="191">
        <v>45998</v>
      </c>
      <c r="E371" s="178">
        <v>4</v>
      </c>
      <c r="F371" s="171" t="s">
        <v>582</v>
      </c>
      <c r="G371" s="168">
        <f>IFERROR(VLOOKUP(F371,'menu list'!B:C,2,FALSE)*E371,"0")</f>
        <v>1200</v>
      </c>
      <c r="H371" s="337">
        <f t="shared" si="24"/>
        <v>180</v>
      </c>
      <c r="I371" s="168">
        <f t="shared" si="25"/>
        <v>1380</v>
      </c>
    </row>
    <row r="372" spans="1:9" ht="13.2">
      <c r="A372" s="170">
        <f t="shared" si="29"/>
        <v>371</v>
      </c>
      <c r="B372" s="171" t="s">
        <v>273</v>
      </c>
      <c r="C372" s="171" t="str">
        <f>VLOOKUP(B372,MEMBERS!B:C,2, )</f>
        <v>MR.SYED MURTAZA ALI</v>
      </c>
      <c r="D372" s="191">
        <v>45998</v>
      </c>
      <c r="E372" s="178">
        <v>1</v>
      </c>
      <c r="F372" s="171" t="s">
        <v>641</v>
      </c>
      <c r="G372" s="168">
        <f>IFERROR(VLOOKUP(F372,'menu list'!B:C,2,FALSE)*E372,"0")</f>
        <v>1550</v>
      </c>
      <c r="H372" s="337">
        <f t="shared" si="24"/>
        <v>232.5</v>
      </c>
      <c r="I372" s="168">
        <f t="shared" si="25"/>
        <v>1782.5</v>
      </c>
    </row>
    <row r="373" spans="1:9" ht="13.2">
      <c r="A373" s="170">
        <f t="shared" si="29"/>
        <v>372</v>
      </c>
      <c r="B373" s="171" t="s">
        <v>273</v>
      </c>
      <c r="C373" s="171" t="str">
        <f>VLOOKUP(B373,MEMBERS!B:C,2, )</f>
        <v>MR.SYED MURTAZA ALI</v>
      </c>
      <c r="D373" s="191">
        <v>45998</v>
      </c>
      <c r="E373" s="178">
        <v>1</v>
      </c>
      <c r="F373" s="171" t="s">
        <v>440</v>
      </c>
      <c r="G373" s="168">
        <f>IFERROR(VLOOKUP(F373,'menu list'!B:C,2,FALSE)*E373,"0")</f>
        <v>150</v>
      </c>
      <c r="H373" s="337">
        <f t="shared" si="24"/>
        <v>22.5</v>
      </c>
      <c r="I373" s="168">
        <f t="shared" si="25"/>
        <v>172.5</v>
      </c>
    </row>
    <row r="374" spans="1:9" ht="13.2">
      <c r="A374" s="170">
        <f t="shared" si="29"/>
        <v>373</v>
      </c>
      <c r="B374" s="171" t="s">
        <v>273</v>
      </c>
      <c r="C374" s="171" t="str">
        <f>VLOOKUP(B374,MEMBERS!B:C,2, )</f>
        <v>MR.SYED MURTAZA ALI</v>
      </c>
      <c r="D374" s="191">
        <v>45998</v>
      </c>
      <c r="E374" s="178">
        <v>2</v>
      </c>
      <c r="F374" s="171" t="s">
        <v>582</v>
      </c>
      <c r="G374" s="168">
        <f>IFERROR(VLOOKUP(F374,'menu list'!B:C,2,FALSE)*E374,"0")</f>
        <v>600</v>
      </c>
      <c r="H374" s="337">
        <f t="shared" si="24"/>
        <v>90</v>
      </c>
      <c r="I374" s="168">
        <f t="shared" si="25"/>
        <v>690</v>
      </c>
    </row>
    <row r="375" spans="1:9" ht="13.2">
      <c r="A375" s="170">
        <f t="shared" si="29"/>
        <v>374</v>
      </c>
      <c r="B375" s="171" t="s">
        <v>273</v>
      </c>
      <c r="C375" s="171" t="str">
        <f>VLOOKUP(B375,MEMBERS!B:C,2, )</f>
        <v>MR.SYED MURTAZA ALI</v>
      </c>
      <c r="D375" s="191">
        <v>45998</v>
      </c>
      <c r="E375" s="178">
        <v>1</v>
      </c>
      <c r="F375" s="171" t="s">
        <v>643</v>
      </c>
      <c r="G375" s="168">
        <f>IFERROR(VLOOKUP(F375,'menu list'!B:C,2,FALSE)*E375,"0")</f>
        <v>300</v>
      </c>
      <c r="H375" s="337">
        <f t="shared" si="24"/>
        <v>45</v>
      </c>
      <c r="I375" s="168">
        <f t="shared" si="25"/>
        <v>345</v>
      </c>
    </row>
    <row r="376" spans="1:9" ht="13.2">
      <c r="A376" s="170">
        <f t="shared" si="29"/>
        <v>375</v>
      </c>
      <c r="B376" s="171" t="s">
        <v>426</v>
      </c>
      <c r="C376" s="171" t="str">
        <f>VLOOKUP(B376,MEMBERS!B:C,2, )</f>
        <v>NASIR ABBAS</v>
      </c>
      <c r="D376" s="191">
        <v>45998</v>
      </c>
      <c r="E376" s="178">
        <v>7</v>
      </c>
      <c r="F376" s="171" t="s">
        <v>641</v>
      </c>
      <c r="G376" s="168">
        <f>IFERROR(VLOOKUP(F376,'menu list'!B:C,2,FALSE)*E376,"0")</f>
        <v>10850</v>
      </c>
      <c r="H376" s="337">
        <f t="shared" si="24"/>
        <v>1627.5</v>
      </c>
      <c r="I376" s="168">
        <f t="shared" si="25"/>
        <v>12477.5</v>
      </c>
    </row>
    <row r="377" spans="1:9" ht="13.2">
      <c r="A377" s="170">
        <f t="shared" si="29"/>
        <v>376</v>
      </c>
      <c r="B377" s="171" t="s">
        <v>426</v>
      </c>
      <c r="C377" s="171" t="str">
        <f>VLOOKUP(B377,MEMBERS!B:C,2, )</f>
        <v>NASIR ABBAS</v>
      </c>
      <c r="D377" s="191">
        <v>45998</v>
      </c>
      <c r="E377" s="178">
        <v>1</v>
      </c>
      <c r="F377" s="171" t="s">
        <v>440</v>
      </c>
      <c r="G377" s="168">
        <f>IFERROR(VLOOKUP(F377,'menu list'!B:C,2,FALSE)*E377,"0")</f>
        <v>150</v>
      </c>
      <c r="H377" s="337">
        <f t="shared" si="24"/>
        <v>22.5</v>
      </c>
      <c r="I377" s="168">
        <f t="shared" si="25"/>
        <v>172.5</v>
      </c>
    </row>
    <row r="378" spans="1:9" ht="13.2">
      <c r="A378" s="170">
        <f t="shared" si="29"/>
        <v>377</v>
      </c>
      <c r="B378" s="171" t="s">
        <v>426</v>
      </c>
      <c r="C378" s="171" t="str">
        <f>VLOOKUP(B378,MEMBERS!B:C,2, )</f>
        <v>NASIR ABBAS</v>
      </c>
      <c r="D378" s="191">
        <v>45998</v>
      </c>
      <c r="E378" s="178">
        <v>5</v>
      </c>
      <c r="F378" s="171" t="s">
        <v>582</v>
      </c>
      <c r="G378" s="168">
        <f>IFERROR(VLOOKUP(F378,'menu list'!B:C,2,FALSE)*E378,"0")</f>
        <v>1500</v>
      </c>
      <c r="H378" s="337">
        <f t="shared" si="24"/>
        <v>225</v>
      </c>
      <c r="I378" s="168">
        <f t="shared" si="25"/>
        <v>1725</v>
      </c>
    </row>
    <row r="379" spans="1:9" ht="13.2">
      <c r="A379" s="170">
        <f t="shared" si="29"/>
        <v>378</v>
      </c>
      <c r="B379" s="171" t="s">
        <v>426</v>
      </c>
      <c r="C379" s="171" t="str">
        <f>VLOOKUP(B379,MEMBERS!B:C,2, )</f>
        <v>NASIR ABBAS</v>
      </c>
      <c r="D379" s="191">
        <v>45998</v>
      </c>
      <c r="E379" s="178">
        <v>2</v>
      </c>
      <c r="F379" s="171" t="s">
        <v>442</v>
      </c>
      <c r="G379" s="168">
        <f>IFERROR(VLOOKUP(F379,'menu list'!B:C,2,FALSE)*E379,"0")</f>
        <v>300</v>
      </c>
      <c r="H379" s="337">
        <f t="shared" si="24"/>
        <v>45</v>
      </c>
      <c r="I379" s="168">
        <f t="shared" si="25"/>
        <v>345</v>
      </c>
    </row>
    <row r="380" spans="1:9" ht="13.2">
      <c r="A380" s="170">
        <f t="shared" si="29"/>
        <v>379</v>
      </c>
      <c r="B380" s="171" t="s">
        <v>146</v>
      </c>
      <c r="C380" s="171" t="str">
        <f>VLOOKUP(B380,MEMBERS!B:C,2, )</f>
        <v>MR.KHALID JAVED</v>
      </c>
      <c r="D380" s="191">
        <v>45998</v>
      </c>
      <c r="E380" s="178">
        <v>4</v>
      </c>
      <c r="F380" s="171" t="s">
        <v>641</v>
      </c>
      <c r="G380" s="168">
        <f>IFERROR(VLOOKUP(F380,'menu list'!B:C,2,FALSE)*E380,"0")</f>
        <v>6200</v>
      </c>
      <c r="H380" s="337">
        <f t="shared" si="24"/>
        <v>930</v>
      </c>
      <c r="I380" s="168">
        <f t="shared" si="25"/>
        <v>7130</v>
      </c>
    </row>
    <row r="381" spans="1:9" ht="13.2">
      <c r="A381" s="170">
        <f t="shared" si="29"/>
        <v>380</v>
      </c>
      <c r="B381" s="171" t="s">
        <v>146</v>
      </c>
      <c r="C381" s="171" t="str">
        <f>VLOOKUP(B381,MEMBERS!B:C,2, )</f>
        <v>MR.KHALID JAVED</v>
      </c>
      <c r="D381" s="191">
        <v>45998</v>
      </c>
      <c r="E381" s="178">
        <v>1</v>
      </c>
      <c r="F381" s="171" t="s">
        <v>440</v>
      </c>
      <c r="G381" s="168">
        <f>IFERROR(VLOOKUP(F381,'menu list'!B:C,2,FALSE)*E381,"0")</f>
        <v>150</v>
      </c>
      <c r="H381" s="337">
        <f t="shared" si="24"/>
        <v>22.5</v>
      </c>
      <c r="I381" s="168">
        <f t="shared" si="25"/>
        <v>172.5</v>
      </c>
    </row>
    <row r="382" spans="1:9" ht="13.2">
      <c r="A382" s="170">
        <f t="shared" si="29"/>
        <v>381</v>
      </c>
      <c r="B382" s="171" t="s">
        <v>192</v>
      </c>
      <c r="C382" s="171" t="str">
        <f>VLOOKUP(B382,MEMBERS!B:C,2, )</f>
        <v>MR.HANIF AHSAN ZUBEDI</v>
      </c>
      <c r="D382" s="191">
        <v>45998</v>
      </c>
      <c r="E382" s="178">
        <f>12+2</f>
        <v>14</v>
      </c>
      <c r="F382" s="171" t="s">
        <v>641</v>
      </c>
      <c r="G382" s="168">
        <f>IFERROR(VLOOKUP(F382,'menu list'!B:C,2,FALSE)*E382,"0")</f>
        <v>21700</v>
      </c>
      <c r="H382" s="337">
        <f t="shared" si="24"/>
        <v>3255</v>
      </c>
      <c r="I382" s="168">
        <f t="shared" si="25"/>
        <v>24955</v>
      </c>
    </row>
    <row r="383" spans="1:9" ht="13.2">
      <c r="A383" s="170">
        <f t="shared" si="29"/>
        <v>382</v>
      </c>
      <c r="B383" s="171" t="s">
        <v>192</v>
      </c>
      <c r="C383" s="171" t="str">
        <f>VLOOKUP(B383,MEMBERS!B:C,2, )</f>
        <v>MR.HANIF AHSAN ZUBEDI</v>
      </c>
      <c r="D383" s="191">
        <v>45998</v>
      </c>
      <c r="E383" s="178">
        <f>3+1</f>
        <v>4</v>
      </c>
      <c r="F383" s="171" t="s">
        <v>440</v>
      </c>
      <c r="G383" s="168">
        <f>IFERROR(VLOOKUP(F383,'menu list'!B:C,2,FALSE)*E383,"0")</f>
        <v>600</v>
      </c>
      <c r="H383" s="337">
        <f t="shared" si="24"/>
        <v>90</v>
      </c>
      <c r="I383" s="168">
        <f t="shared" si="25"/>
        <v>690</v>
      </c>
    </row>
    <row r="384" spans="1:9" ht="13.2">
      <c r="A384" s="170">
        <f t="shared" si="29"/>
        <v>383</v>
      </c>
      <c r="B384" s="171" t="s">
        <v>192</v>
      </c>
      <c r="C384" s="171" t="str">
        <f>VLOOKUP(B384,MEMBERS!B:C,2, )</f>
        <v>MR.HANIF AHSAN ZUBEDI</v>
      </c>
      <c r="D384" s="191">
        <v>45998</v>
      </c>
      <c r="E384" s="178">
        <v>5</v>
      </c>
      <c r="F384" s="171" t="s">
        <v>659</v>
      </c>
      <c r="G384" s="168">
        <f>IFERROR(VLOOKUP(F384,'menu list'!B:C,2,FALSE)*E384,"0")</f>
        <v>3875</v>
      </c>
      <c r="H384" s="337">
        <f t="shared" si="24"/>
        <v>581.25</v>
      </c>
      <c r="I384" s="168">
        <f t="shared" si="25"/>
        <v>4456.25</v>
      </c>
    </row>
    <row r="385" spans="1:9" ht="13.2">
      <c r="A385" s="170">
        <f t="shared" si="29"/>
        <v>384</v>
      </c>
      <c r="B385" s="171" t="s">
        <v>88</v>
      </c>
      <c r="C385" s="171" t="str">
        <f>VLOOKUP(B385,MEMBERS!B:C,2, )</f>
        <v>DR.NAZEER HUSSAIN KALHORO</v>
      </c>
      <c r="D385" s="191">
        <v>45998</v>
      </c>
      <c r="E385" s="178">
        <v>5</v>
      </c>
      <c r="F385" s="171" t="s">
        <v>1017</v>
      </c>
      <c r="G385" s="168">
        <f>IFERROR(VLOOKUP(F385,'menu list'!B:C,2,FALSE)*E385,"0")</f>
        <v>9250</v>
      </c>
      <c r="H385" s="337">
        <f t="shared" si="24"/>
        <v>1387.5</v>
      </c>
      <c r="I385" s="168">
        <f t="shared" si="25"/>
        <v>10637.5</v>
      </c>
    </row>
    <row r="386" spans="1:9" ht="13.2">
      <c r="A386" s="170">
        <f t="shared" si="29"/>
        <v>385</v>
      </c>
      <c r="B386" s="171" t="s">
        <v>88</v>
      </c>
      <c r="C386" s="171" t="str">
        <f>VLOOKUP(B386,MEMBERS!B:C,2, )</f>
        <v>DR.NAZEER HUSSAIN KALHORO</v>
      </c>
      <c r="D386" s="191">
        <v>45998</v>
      </c>
      <c r="E386" s="178">
        <v>1</v>
      </c>
      <c r="F386" s="171" t="s">
        <v>440</v>
      </c>
      <c r="G386" s="168">
        <f>IFERROR(VLOOKUP(F386,'menu list'!B:C,2,FALSE)*E386,"0")</f>
        <v>150</v>
      </c>
      <c r="H386" s="337">
        <f t="shared" si="24"/>
        <v>22.5</v>
      </c>
      <c r="I386" s="168">
        <f t="shared" si="25"/>
        <v>172.5</v>
      </c>
    </row>
    <row r="387" spans="1:9" ht="13.2">
      <c r="A387" s="170">
        <f t="shared" si="29"/>
        <v>386</v>
      </c>
      <c r="B387" s="171" t="s">
        <v>88</v>
      </c>
      <c r="C387" s="171" t="str">
        <f>VLOOKUP(B387,MEMBERS!B:C,2, )</f>
        <v>DR.NAZEER HUSSAIN KALHORO</v>
      </c>
      <c r="D387" s="191">
        <v>45998</v>
      </c>
      <c r="E387" s="178">
        <v>1</v>
      </c>
      <c r="F387" s="171" t="s">
        <v>499</v>
      </c>
      <c r="G387" s="168">
        <f>IFERROR(VLOOKUP(F387,'menu list'!B:C,2,FALSE)*E387,"0")</f>
        <v>100</v>
      </c>
      <c r="H387" s="337">
        <f t="shared" ref="H387:H450" si="30">G387*15/100</f>
        <v>15</v>
      </c>
      <c r="I387" s="168">
        <f t="shared" ref="I387:I450" si="31">G387+H387</f>
        <v>115</v>
      </c>
    </row>
    <row r="388" spans="1:9" ht="13.2">
      <c r="A388" s="170">
        <f t="shared" si="29"/>
        <v>387</v>
      </c>
      <c r="B388" s="171" t="s">
        <v>88</v>
      </c>
      <c r="C388" s="171" t="str">
        <f>VLOOKUP(B388,MEMBERS!B:C,2, )</f>
        <v>DR.NAZEER HUSSAIN KALHORO</v>
      </c>
      <c r="D388" s="191">
        <v>45998</v>
      </c>
      <c r="E388" s="178">
        <v>2</v>
      </c>
      <c r="F388" s="171" t="s">
        <v>442</v>
      </c>
      <c r="G388" s="168">
        <f>IFERROR(VLOOKUP(F388,'menu list'!B:C,2,FALSE)*E388,"0")</f>
        <v>300</v>
      </c>
      <c r="H388" s="337">
        <f t="shared" si="30"/>
        <v>45</v>
      </c>
      <c r="I388" s="168">
        <f t="shared" si="31"/>
        <v>345</v>
      </c>
    </row>
    <row r="389" spans="1:9" ht="13.2">
      <c r="A389" s="170">
        <f t="shared" si="29"/>
        <v>388</v>
      </c>
      <c r="B389" s="171" t="s">
        <v>88</v>
      </c>
      <c r="C389" s="171" t="str">
        <f>VLOOKUP(B389,MEMBERS!B:C,2, )</f>
        <v>DR.NAZEER HUSSAIN KALHORO</v>
      </c>
      <c r="D389" s="191">
        <v>45998</v>
      </c>
      <c r="E389" s="178">
        <v>1</v>
      </c>
      <c r="F389" s="171" t="s">
        <v>1018</v>
      </c>
      <c r="G389" s="168">
        <f>IFERROR(VLOOKUP(F389,'menu list'!B:C,2,FALSE)*E389,"0")</f>
        <v>925</v>
      </c>
      <c r="H389" s="337">
        <f t="shared" si="30"/>
        <v>138.75</v>
      </c>
      <c r="I389" s="168">
        <f t="shared" si="31"/>
        <v>1063.75</v>
      </c>
    </row>
    <row r="390" spans="1:9" ht="13.2">
      <c r="A390" s="170">
        <f t="shared" si="29"/>
        <v>389</v>
      </c>
      <c r="B390" s="171" t="s">
        <v>795</v>
      </c>
      <c r="C390" s="171" t="str">
        <f>VLOOKUP(B390,MEMBERS!B:C,2, )</f>
        <v>MR. HASAN KARIM</v>
      </c>
      <c r="D390" s="191">
        <v>45998</v>
      </c>
      <c r="E390" s="178">
        <v>2</v>
      </c>
      <c r="F390" s="171" t="s">
        <v>1017</v>
      </c>
      <c r="G390" s="168">
        <f>IFERROR(VLOOKUP(F390,'menu list'!B:C,2,FALSE)*E390,"0")</f>
        <v>3700</v>
      </c>
      <c r="H390" s="337">
        <f t="shared" si="30"/>
        <v>555</v>
      </c>
      <c r="I390" s="168">
        <f t="shared" si="31"/>
        <v>4255</v>
      </c>
    </row>
    <row r="391" spans="1:9" ht="13.2">
      <c r="A391" s="170">
        <f t="shared" si="29"/>
        <v>390</v>
      </c>
      <c r="B391" s="171" t="s">
        <v>795</v>
      </c>
      <c r="C391" s="171" t="str">
        <f>VLOOKUP(B391,MEMBERS!B:C,2, )</f>
        <v>MR. HASAN KARIM</v>
      </c>
      <c r="D391" s="191">
        <v>45998</v>
      </c>
      <c r="E391" s="178">
        <v>1</v>
      </c>
      <c r="F391" s="171" t="s">
        <v>582</v>
      </c>
      <c r="G391" s="168">
        <f>IFERROR(VLOOKUP(F391,'menu list'!B:C,2,FALSE)*E391,"0")</f>
        <v>300</v>
      </c>
      <c r="H391" s="337">
        <f t="shared" si="30"/>
        <v>45</v>
      </c>
      <c r="I391" s="168">
        <f t="shared" si="31"/>
        <v>345</v>
      </c>
    </row>
    <row r="392" spans="1:9" ht="13.2">
      <c r="A392" s="170">
        <f t="shared" si="29"/>
        <v>391</v>
      </c>
      <c r="B392" s="171" t="s">
        <v>287</v>
      </c>
      <c r="C392" s="171" t="str">
        <f>VLOOKUP(B392,MEMBERS!B:C,2, )</f>
        <v>DGM.REHAN TARIQ</v>
      </c>
      <c r="D392" s="191">
        <v>45998</v>
      </c>
      <c r="E392" s="178">
        <v>2</v>
      </c>
      <c r="F392" s="171" t="s">
        <v>1017</v>
      </c>
      <c r="G392" s="168">
        <f>IFERROR(VLOOKUP(F392,'menu list'!B:C,2,FALSE)*E392,"0")</f>
        <v>3700</v>
      </c>
      <c r="H392" s="337">
        <f t="shared" si="30"/>
        <v>555</v>
      </c>
      <c r="I392" s="168">
        <f t="shared" si="31"/>
        <v>4255</v>
      </c>
    </row>
    <row r="393" spans="1:9" ht="13.2">
      <c r="A393" s="170">
        <f t="shared" si="29"/>
        <v>392</v>
      </c>
      <c r="B393" s="171" t="s">
        <v>287</v>
      </c>
      <c r="C393" s="171" t="str">
        <f>VLOOKUP(B393,MEMBERS!B:C,2, )</f>
        <v>DGM.REHAN TARIQ</v>
      </c>
      <c r="D393" s="191">
        <v>45998</v>
      </c>
      <c r="E393" s="178">
        <v>2</v>
      </c>
      <c r="F393" s="171" t="s">
        <v>499</v>
      </c>
      <c r="G393" s="168">
        <f>IFERROR(VLOOKUP(F393,'menu list'!B:C,2,FALSE)*E393,"0")</f>
        <v>200</v>
      </c>
      <c r="H393" s="337">
        <f t="shared" si="30"/>
        <v>30</v>
      </c>
      <c r="I393" s="168">
        <f t="shared" si="31"/>
        <v>230</v>
      </c>
    </row>
    <row r="394" spans="1:9" ht="13.2">
      <c r="A394" s="170">
        <f t="shared" si="29"/>
        <v>393</v>
      </c>
      <c r="B394" s="171" t="s">
        <v>430</v>
      </c>
      <c r="C394" s="171" t="str">
        <f>VLOOKUP(B394,MEMBERS!B:C,2, )</f>
        <v>SYED JIBRAN MUSHTAQ</v>
      </c>
      <c r="D394" s="191">
        <v>45998</v>
      </c>
      <c r="E394" s="178">
        <v>2</v>
      </c>
      <c r="F394" s="171" t="s">
        <v>1017</v>
      </c>
      <c r="G394" s="168">
        <f>IFERROR(VLOOKUP(F394,'menu list'!B:C,2,FALSE)*E394,"0")</f>
        <v>3700</v>
      </c>
      <c r="H394" s="337">
        <f t="shared" si="30"/>
        <v>555</v>
      </c>
      <c r="I394" s="168">
        <f t="shared" si="31"/>
        <v>4255</v>
      </c>
    </row>
    <row r="395" spans="1:9" ht="13.2">
      <c r="A395" s="170">
        <f t="shared" si="29"/>
        <v>394</v>
      </c>
      <c r="B395" s="171" t="s">
        <v>430</v>
      </c>
      <c r="C395" s="171" t="str">
        <f>VLOOKUP(B395,MEMBERS!B:C,2, )</f>
        <v>SYED JIBRAN MUSHTAQ</v>
      </c>
      <c r="D395" s="191">
        <v>45998</v>
      </c>
      <c r="E395" s="178">
        <v>3</v>
      </c>
      <c r="F395" s="171" t="s">
        <v>836</v>
      </c>
      <c r="G395" s="168">
        <f>IFERROR(VLOOKUP(F395,'menu list'!B:C,2,FALSE)*E395,"0")</f>
        <v>1050</v>
      </c>
      <c r="H395" s="337">
        <f t="shared" si="30"/>
        <v>157.5</v>
      </c>
      <c r="I395" s="168">
        <f t="shared" si="31"/>
        <v>1207.5</v>
      </c>
    </row>
    <row r="396" spans="1:9" ht="13.2">
      <c r="A396" s="170">
        <f t="shared" si="29"/>
        <v>395</v>
      </c>
      <c r="B396" s="171" t="s">
        <v>430</v>
      </c>
      <c r="C396" s="171" t="str">
        <f>VLOOKUP(B396,MEMBERS!B:C,2, )</f>
        <v>SYED JIBRAN MUSHTAQ</v>
      </c>
      <c r="D396" s="191">
        <v>45998</v>
      </c>
      <c r="E396" s="178">
        <v>2</v>
      </c>
      <c r="F396" s="171" t="s">
        <v>499</v>
      </c>
      <c r="G396" s="168">
        <f>IFERROR(VLOOKUP(F396,'menu list'!B:C,2,FALSE)*E396,"0")</f>
        <v>200</v>
      </c>
      <c r="H396" s="337">
        <f t="shared" si="30"/>
        <v>30</v>
      </c>
      <c r="I396" s="168">
        <f t="shared" si="31"/>
        <v>230</v>
      </c>
    </row>
    <row r="397" spans="1:9" ht="13.2">
      <c r="A397" s="170">
        <f t="shared" si="29"/>
        <v>396</v>
      </c>
      <c r="B397" s="171" t="s">
        <v>258</v>
      </c>
      <c r="C397" s="171" t="str">
        <f>VLOOKUP(B397,MEMBERS!B:C,2, )</f>
        <v>BRIG DR. GHULAM MEHDI (Retd)</v>
      </c>
      <c r="D397" s="191">
        <v>45998</v>
      </c>
      <c r="E397" s="178">
        <v>2</v>
      </c>
      <c r="F397" s="171" t="s">
        <v>1017</v>
      </c>
      <c r="G397" s="168">
        <f>IFERROR(VLOOKUP(F397,'menu list'!B:C,2,FALSE)*E397,"0")</f>
        <v>3700</v>
      </c>
      <c r="H397" s="337">
        <f t="shared" si="30"/>
        <v>555</v>
      </c>
      <c r="I397" s="168">
        <f t="shared" si="31"/>
        <v>4255</v>
      </c>
    </row>
    <row r="398" spans="1:9" ht="13.2">
      <c r="A398" s="170">
        <f t="shared" si="29"/>
        <v>397</v>
      </c>
      <c r="B398" s="171" t="s">
        <v>258</v>
      </c>
      <c r="C398" s="171" t="str">
        <f>VLOOKUP(B398,MEMBERS!B:C,2, )</f>
        <v>BRIG DR. GHULAM MEHDI (Retd)</v>
      </c>
      <c r="D398" s="191">
        <v>45998</v>
      </c>
      <c r="E398" s="178">
        <v>2</v>
      </c>
      <c r="F398" s="171" t="s">
        <v>582</v>
      </c>
      <c r="G398" s="168">
        <f>IFERROR(VLOOKUP(F398,'menu list'!B:C,2,FALSE)*E398,"0")</f>
        <v>600</v>
      </c>
      <c r="H398" s="337">
        <f t="shared" si="30"/>
        <v>90</v>
      </c>
      <c r="I398" s="168">
        <f t="shared" si="31"/>
        <v>690</v>
      </c>
    </row>
    <row r="399" spans="1:9" ht="13.2">
      <c r="A399" s="170">
        <f t="shared" si="29"/>
        <v>398</v>
      </c>
      <c r="B399" s="171" t="s">
        <v>258</v>
      </c>
      <c r="C399" s="171" t="str">
        <f>VLOOKUP(B399,MEMBERS!B:C,2, )</f>
        <v>BRIG DR. GHULAM MEHDI (Retd)</v>
      </c>
      <c r="D399" s="191">
        <v>45998</v>
      </c>
      <c r="E399" s="178">
        <v>1</v>
      </c>
      <c r="F399" s="171" t="s">
        <v>499</v>
      </c>
      <c r="G399" s="168">
        <f>IFERROR(VLOOKUP(F399,'menu list'!B:C,2,FALSE)*E399,"0")</f>
        <v>100</v>
      </c>
      <c r="H399" s="337">
        <f t="shared" si="30"/>
        <v>15</v>
      </c>
      <c r="I399" s="168">
        <f t="shared" si="31"/>
        <v>115</v>
      </c>
    </row>
    <row r="400" spans="1:9" ht="13.2">
      <c r="A400" s="170">
        <f t="shared" si="29"/>
        <v>399</v>
      </c>
      <c r="B400" s="171" t="s">
        <v>420</v>
      </c>
      <c r="C400" s="171" t="str">
        <f>VLOOKUP(B400,MEMBERS!B:C,2, )</f>
        <v>SADDAM HUSSAIN</v>
      </c>
      <c r="D400" s="191">
        <v>45999</v>
      </c>
      <c r="E400" s="178">
        <v>1</v>
      </c>
      <c r="F400" s="171" t="s">
        <v>653</v>
      </c>
      <c r="G400" s="168">
        <f>IFERROR(VLOOKUP(F400,'menu list'!B:C,2,FALSE)*E400,"0")</f>
        <v>350</v>
      </c>
      <c r="H400" s="337">
        <f t="shared" si="30"/>
        <v>52.5</v>
      </c>
      <c r="I400" s="168">
        <f t="shared" si="31"/>
        <v>402.5</v>
      </c>
    </row>
    <row r="401" spans="1:9" ht="13.2">
      <c r="A401" s="170">
        <f t="shared" ref="A401" si="32">IF(D401&lt;&gt;"", ROW()-1, "")</f>
        <v>400</v>
      </c>
      <c r="B401" s="171" t="s">
        <v>420</v>
      </c>
      <c r="C401" s="171" t="str">
        <f>VLOOKUP(B401,MEMBERS!B:C,2, )</f>
        <v>SADDAM HUSSAIN</v>
      </c>
      <c r="D401" s="191">
        <v>45999</v>
      </c>
      <c r="E401" s="178">
        <v>3</v>
      </c>
      <c r="F401" s="171" t="s">
        <v>902</v>
      </c>
      <c r="G401" s="168">
        <f>IFERROR(VLOOKUP(F401,'menu list'!B:C,2,FALSE)*E401,"0")</f>
        <v>1500</v>
      </c>
      <c r="H401" s="337">
        <f t="shared" si="30"/>
        <v>225</v>
      </c>
      <c r="I401" s="168">
        <f t="shared" si="31"/>
        <v>1725</v>
      </c>
    </row>
    <row r="402" spans="1:9" ht="13.2">
      <c r="A402" s="170">
        <f t="shared" ref="A402:A433" si="33">IF(D402&lt;&gt;"", ROW()-1, "")</f>
        <v>401</v>
      </c>
      <c r="B402" s="171" t="s">
        <v>420</v>
      </c>
      <c r="C402" s="171" t="str">
        <f>VLOOKUP(B402,MEMBERS!B:C,2, )</f>
        <v>SADDAM HUSSAIN</v>
      </c>
      <c r="D402" s="191">
        <v>45999</v>
      </c>
      <c r="E402" s="178">
        <v>1</v>
      </c>
      <c r="F402" s="171" t="s">
        <v>500</v>
      </c>
      <c r="G402" s="168">
        <f>IFERROR(VLOOKUP(F402,'menu list'!B:C,2,FALSE)*E402,"0")</f>
        <v>1250</v>
      </c>
      <c r="H402" s="337">
        <f t="shared" si="30"/>
        <v>187.5</v>
      </c>
      <c r="I402" s="168">
        <f t="shared" si="31"/>
        <v>1437.5</v>
      </c>
    </row>
    <row r="403" spans="1:9" ht="13.2">
      <c r="A403" s="170">
        <f t="shared" si="33"/>
        <v>402</v>
      </c>
      <c r="B403" s="171" t="s">
        <v>420</v>
      </c>
      <c r="C403" s="171" t="str">
        <f>VLOOKUP(B403,MEMBERS!B:C,2, )</f>
        <v>SADDAM HUSSAIN</v>
      </c>
      <c r="D403" s="191">
        <v>45999</v>
      </c>
      <c r="E403" s="178">
        <v>2</v>
      </c>
      <c r="F403" s="171" t="s">
        <v>497</v>
      </c>
      <c r="G403" s="168">
        <f>IFERROR(VLOOKUP(F403,'menu list'!B:C,2,FALSE)*E403,"0")</f>
        <v>500</v>
      </c>
      <c r="H403" s="337">
        <f t="shared" si="30"/>
        <v>75</v>
      </c>
      <c r="I403" s="168">
        <f t="shared" si="31"/>
        <v>575</v>
      </c>
    </row>
    <row r="404" spans="1:9" ht="13.2">
      <c r="A404" s="170">
        <f t="shared" si="33"/>
        <v>403</v>
      </c>
      <c r="B404" s="171" t="s">
        <v>420</v>
      </c>
      <c r="C404" s="171" t="str">
        <f>VLOOKUP(B404,MEMBERS!B:C,2, )</f>
        <v>SADDAM HUSSAIN</v>
      </c>
      <c r="D404" s="191">
        <v>45999</v>
      </c>
      <c r="E404" s="178">
        <v>1</v>
      </c>
      <c r="F404" s="171" t="s">
        <v>444</v>
      </c>
      <c r="G404" s="168">
        <f>IFERROR(VLOOKUP(F404,'menu list'!B:C,2,FALSE)*E404,"0")</f>
        <v>200</v>
      </c>
      <c r="H404" s="337">
        <f t="shared" si="30"/>
        <v>30</v>
      </c>
      <c r="I404" s="168">
        <f t="shared" si="31"/>
        <v>230</v>
      </c>
    </row>
    <row r="405" spans="1:9" ht="13.2">
      <c r="A405" s="170">
        <f t="shared" si="33"/>
        <v>404</v>
      </c>
      <c r="B405" s="171" t="s">
        <v>420</v>
      </c>
      <c r="C405" s="171" t="str">
        <f>VLOOKUP(B405,MEMBERS!B:C,2, )</f>
        <v>SADDAM HUSSAIN</v>
      </c>
      <c r="D405" s="191">
        <v>45999</v>
      </c>
      <c r="E405" s="178">
        <v>2</v>
      </c>
      <c r="F405" s="171" t="s">
        <v>440</v>
      </c>
      <c r="G405" s="168">
        <f>IFERROR(VLOOKUP(F405,'menu list'!B:C,2,FALSE)*E405,"0")</f>
        <v>300</v>
      </c>
      <c r="H405" s="337">
        <f t="shared" si="30"/>
        <v>45</v>
      </c>
      <c r="I405" s="168">
        <f t="shared" si="31"/>
        <v>345</v>
      </c>
    </row>
    <row r="406" spans="1:9" ht="13.2">
      <c r="A406" s="170">
        <f t="shared" si="33"/>
        <v>405</v>
      </c>
      <c r="B406" s="171" t="s">
        <v>15</v>
      </c>
      <c r="C406" s="171" t="str">
        <f>VLOOKUP(B406,MEMBERS!B:C,2, )</f>
        <v>MR.GHULAM NABI OTHI</v>
      </c>
      <c r="D406" s="191">
        <v>45999</v>
      </c>
      <c r="E406" s="178">
        <v>1</v>
      </c>
      <c r="F406" s="171" t="s">
        <v>440</v>
      </c>
      <c r="G406" s="168">
        <f>IFERROR(VLOOKUP(F406,'menu list'!B:C,2,FALSE)*E406,"0")</f>
        <v>150</v>
      </c>
      <c r="H406" s="337">
        <f t="shared" si="30"/>
        <v>22.5</v>
      </c>
      <c r="I406" s="168">
        <f t="shared" si="31"/>
        <v>172.5</v>
      </c>
    </row>
    <row r="407" spans="1:9" ht="13.2">
      <c r="A407" s="170">
        <f t="shared" si="33"/>
        <v>406</v>
      </c>
      <c r="B407" s="171" t="s">
        <v>15</v>
      </c>
      <c r="C407" s="171" t="str">
        <f>VLOOKUP(B407,MEMBERS!B:C,2, )</f>
        <v>MR.GHULAM NABI OTHI</v>
      </c>
      <c r="D407" s="191">
        <v>45999</v>
      </c>
      <c r="E407" s="178">
        <v>2</v>
      </c>
      <c r="F407" s="171" t="s">
        <v>499</v>
      </c>
      <c r="G407" s="168">
        <f>IFERROR(VLOOKUP(F407,'menu list'!B:C,2,FALSE)*E407,"0")</f>
        <v>200</v>
      </c>
      <c r="H407" s="337">
        <f t="shared" si="30"/>
        <v>30</v>
      </c>
      <c r="I407" s="168">
        <f t="shared" si="31"/>
        <v>230</v>
      </c>
    </row>
    <row r="408" spans="1:9" ht="13.2">
      <c r="A408" s="170">
        <f t="shared" si="33"/>
        <v>407</v>
      </c>
      <c r="B408" s="171" t="s">
        <v>15</v>
      </c>
      <c r="C408" s="171" t="str">
        <f>VLOOKUP(B408,MEMBERS!B:C,2, )</f>
        <v>MR.GHULAM NABI OTHI</v>
      </c>
      <c r="D408" s="191">
        <v>45999</v>
      </c>
      <c r="E408" s="178">
        <v>2</v>
      </c>
      <c r="F408" s="171" t="s">
        <v>733</v>
      </c>
      <c r="G408" s="168">
        <f>IFERROR(VLOOKUP(F408,'menu list'!B:C,2,FALSE)*E408,"0")</f>
        <v>600</v>
      </c>
      <c r="H408" s="337">
        <f t="shared" si="30"/>
        <v>90</v>
      </c>
      <c r="I408" s="168">
        <f t="shared" si="31"/>
        <v>690</v>
      </c>
    </row>
    <row r="409" spans="1:9" ht="13.2">
      <c r="A409" s="170">
        <f t="shared" si="33"/>
        <v>408</v>
      </c>
      <c r="B409" s="171" t="s">
        <v>342</v>
      </c>
      <c r="C409" s="171" t="str">
        <f>VLOOKUP(B409,MEMBERS!B:C,2, )</f>
        <v xml:space="preserve">JAM FEROZ </v>
      </c>
      <c r="D409" s="191">
        <v>45999</v>
      </c>
      <c r="E409" s="178">
        <v>2</v>
      </c>
      <c r="F409" s="171" t="s">
        <v>1011</v>
      </c>
      <c r="G409" s="168">
        <f>IFERROR(VLOOKUP(F409,'menu list'!B:C,2,FALSE)*E409,"0")</f>
        <v>3600</v>
      </c>
      <c r="H409" s="337">
        <f t="shared" si="30"/>
        <v>540</v>
      </c>
      <c r="I409" s="168">
        <f t="shared" si="31"/>
        <v>4140</v>
      </c>
    </row>
    <row r="410" spans="1:9" ht="13.2">
      <c r="A410" s="170">
        <f t="shared" si="33"/>
        <v>409</v>
      </c>
      <c r="B410" s="171" t="s">
        <v>342</v>
      </c>
      <c r="C410" s="171" t="str">
        <f>VLOOKUP(B410,MEMBERS!B:C,2, )</f>
        <v xml:space="preserve">JAM FEROZ </v>
      </c>
      <c r="D410" s="191">
        <v>45999</v>
      </c>
      <c r="E410" s="178">
        <v>2</v>
      </c>
      <c r="F410" s="171" t="s">
        <v>770</v>
      </c>
      <c r="G410" s="168">
        <f>IFERROR(VLOOKUP(F410,'menu list'!B:C,2,FALSE)*E410,"0")</f>
        <v>2000</v>
      </c>
      <c r="H410" s="337">
        <f t="shared" si="30"/>
        <v>300</v>
      </c>
      <c r="I410" s="168">
        <f t="shared" si="31"/>
        <v>2300</v>
      </c>
    </row>
    <row r="411" spans="1:9" ht="13.2">
      <c r="A411" s="170">
        <f t="shared" si="33"/>
        <v>410</v>
      </c>
      <c r="B411" s="171" t="s">
        <v>342</v>
      </c>
      <c r="C411" s="171" t="str">
        <f>VLOOKUP(B411,MEMBERS!B:C,2, )</f>
        <v xml:space="preserve">JAM FEROZ </v>
      </c>
      <c r="D411" s="191">
        <v>45999</v>
      </c>
      <c r="E411" s="178">
        <v>5</v>
      </c>
      <c r="F411" s="171" t="s">
        <v>439</v>
      </c>
      <c r="G411" s="168">
        <f>IFERROR(VLOOKUP(F411,'menu list'!B:C,2,FALSE)*E411,"0")</f>
        <v>350</v>
      </c>
      <c r="H411" s="337">
        <f t="shared" si="30"/>
        <v>52.5</v>
      </c>
      <c r="I411" s="168">
        <f t="shared" si="31"/>
        <v>402.5</v>
      </c>
    </row>
    <row r="412" spans="1:9" ht="13.2">
      <c r="A412" s="170">
        <f t="shared" si="33"/>
        <v>411</v>
      </c>
      <c r="B412" s="171" t="s">
        <v>342</v>
      </c>
      <c r="C412" s="171" t="str">
        <f>VLOOKUP(B412,MEMBERS!B:C,2, )</f>
        <v xml:space="preserve">JAM FEROZ </v>
      </c>
      <c r="D412" s="191">
        <v>45999</v>
      </c>
      <c r="E412" s="178">
        <v>1</v>
      </c>
      <c r="F412" s="171" t="s">
        <v>793</v>
      </c>
      <c r="G412" s="168">
        <f>IFERROR(VLOOKUP(F412,'menu list'!B:C,2,FALSE)*E412,"0")</f>
        <v>800</v>
      </c>
      <c r="H412" s="337">
        <f t="shared" si="30"/>
        <v>120</v>
      </c>
      <c r="I412" s="168">
        <f t="shared" si="31"/>
        <v>920</v>
      </c>
    </row>
    <row r="413" spans="1:9" ht="13.2">
      <c r="A413" s="170">
        <f t="shared" si="33"/>
        <v>412</v>
      </c>
      <c r="B413" s="171" t="s">
        <v>342</v>
      </c>
      <c r="C413" s="171" t="str">
        <f>VLOOKUP(B413,MEMBERS!B:C,2, )</f>
        <v xml:space="preserve">JAM FEROZ </v>
      </c>
      <c r="D413" s="191">
        <v>45999</v>
      </c>
      <c r="E413" s="178">
        <v>1</v>
      </c>
      <c r="F413" s="171" t="s">
        <v>441</v>
      </c>
      <c r="G413" s="168">
        <f>IFERROR(VLOOKUP(F413,'menu list'!B:C,2,FALSE)*E413,"0")</f>
        <v>200</v>
      </c>
      <c r="H413" s="337">
        <f t="shared" si="30"/>
        <v>30</v>
      </c>
      <c r="I413" s="168">
        <f t="shared" si="31"/>
        <v>230</v>
      </c>
    </row>
    <row r="414" spans="1:9" ht="13.2">
      <c r="A414" s="170">
        <f t="shared" si="33"/>
        <v>413</v>
      </c>
      <c r="B414" s="171" t="s">
        <v>342</v>
      </c>
      <c r="C414" s="171" t="str">
        <f>VLOOKUP(B414,MEMBERS!B:C,2, )</f>
        <v xml:space="preserve">JAM FEROZ </v>
      </c>
      <c r="D414" s="191">
        <v>45999</v>
      </c>
      <c r="E414" s="178">
        <v>2</v>
      </c>
      <c r="F414" s="171" t="s">
        <v>500</v>
      </c>
      <c r="G414" s="168">
        <f>IFERROR(VLOOKUP(F414,'menu list'!B:C,2,FALSE)*E414,"0")</f>
        <v>2500</v>
      </c>
      <c r="H414" s="337">
        <f t="shared" si="30"/>
        <v>375</v>
      </c>
      <c r="I414" s="168">
        <f t="shared" si="31"/>
        <v>2875</v>
      </c>
    </row>
    <row r="415" spans="1:9" ht="13.2">
      <c r="A415" s="170">
        <f t="shared" si="33"/>
        <v>414</v>
      </c>
      <c r="B415" s="171" t="s">
        <v>342</v>
      </c>
      <c r="C415" s="171" t="str">
        <f>VLOOKUP(B415,MEMBERS!B:C,2, )</f>
        <v xml:space="preserve">JAM FEROZ </v>
      </c>
      <c r="D415" s="191">
        <v>45999</v>
      </c>
      <c r="E415" s="178">
        <v>3</v>
      </c>
      <c r="F415" s="171" t="s">
        <v>836</v>
      </c>
      <c r="G415" s="168">
        <f>IFERROR(VLOOKUP(F415,'menu list'!B:C,2,FALSE)*E415,"0")</f>
        <v>1050</v>
      </c>
      <c r="H415" s="337">
        <f t="shared" si="30"/>
        <v>157.5</v>
      </c>
      <c r="I415" s="168">
        <f t="shared" si="31"/>
        <v>1207.5</v>
      </c>
    </row>
    <row r="416" spans="1:9" ht="13.2">
      <c r="A416" s="170">
        <f t="shared" si="33"/>
        <v>415</v>
      </c>
      <c r="B416" s="171" t="s">
        <v>342</v>
      </c>
      <c r="C416" s="171" t="str">
        <f>VLOOKUP(B416,MEMBERS!B:C,2, )</f>
        <v xml:space="preserve">JAM FEROZ </v>
      </c>
      <c r="D416" s="191">
        <v>45999</v>
      </c>
      <c r="E416" s="178">
        <v>1</v>
      </c>
      <c r="F416" s="171" t="s">
        <v>440</v>
      </c>
      <c r="G416" s="168">
        <f>IFERROR(VLOOKUP(F416,'menu list'!B:C,2,FALSE)*E416,"0")</f>
        <v>150</v>
      </c>
      <c r="H416" s="337">
        <f t="shared" si="30"/>
        <v>22.5</v>
      </c>
      <c r="I416" s="168">
        <f t="shared" si="31"/>
        <v>172.5</v>
      </c>
    </row>
    <row r="417" spans="1:9" ht="13.2">
      <c r="A417" s="170">
        <f t="shared" si="33"/>
        <v>416</v>
      </c>
      <c r="B417" s="171" t="s">
        <v>69</v>
      </c>
      <c r="C417" s="171" t="str">
        <f>VLOOKUP(B417,MEMBERS!B:C,2, )</f>
        <v>MR.TARIQUE ZUBAIR</v>
      </c>
      <c r="D417" s="191">
        <v>45999</v>
      </c>
      <c r="E417" s="178">
        <v>1</v>
      </c>
      <c r="F417" s="171" t="s">
        <v>785</v>
      </c>
      <c r="G417" s="168">
        <f>IFERROR(VLOOKUP(F417,'menu list'!B:C,2,FALSE)*E417,"0")</f>
        <v>950</v>
      </c>
      <c r="H417" s="337">
        <f t="shared" si="30"/>
        <v>142.5</v>
      </c>
      <c r="I417" s="168">
        <f t="shared" si="31"/>
        <v>1092.5</v>
      </c>
    </row>
    <row r="418" spans="1:9" ht="13.2">
      <c r="A418" s="170">
        <f t="shared" si="33"/>
        <v>417</v>
      </c>
      <c r="B418" s="171" t="s">
        <v>1039</v>
      </c>
      <c r="C418" s="171" t="str">
        <f>VLOOKUP(B418,MEMBERS!B:C,2, )</f>
        <v>MR. AYAZ JAMRO</v>
      </c>
      <c r="D418" s="191">
        <v>45999</v>
      </c>
      <c r="E418" s="178">
        <v>1</v>
      </c>
      <c r="F418" s="171" t="s">
        <v>707</v>
      </c>
      <c r="G418" s="168">
        <f>IFERROR(VLOOKUP(F418,'menu list'!B:C,2,FALSE)*E418,"0")</f>
        <v>450</v>
      </c>
      <c r="H418" s="337">
        <f t="shared" si="30"/>
        <v>67.5</v>
      </c>
      <c r="I418" s="168">
        <f t="shared" si="31"/>
        <v>517.5</v>
      </c>
    </row>
    <row r="419" spans="1:9" ht="13.2">
      <c r="A419" s="170">
        <f t="shared" si="33"/>
        <v>418</v>
      </c>
      <c r="B419" s="171" t="s">
        <v>1039</v>
      </c>
      <c r="C419" s="171" t="str">
        <f>VLOOKUP(B419,MEMBERS!B:C,2, )</f>
        <v>MR. AYAZ JAMRO</v>
      </c>
      <c r="D419" s="191">
        <v>45999</v>
      </c>
      <c r="E419" s="178">
        <v>1</v>
      </c>
      <c r="F419" s="171" t="s">
        <v>853</v>
      </c>
      <c r="G419" s="168">
        <f>IFERROR(VLOOKUP(F419,'menu list'!B:C,2,FALSE)*E419,"0")</f>
        <v>575</v>
      </c>
      <c r="H419" s="337">
        <f t="shared" si="30"/>
        <v>86.25</v>
      </c>
      <c r="I419" s="168">
        <f t="shared" si="31"/>
        <v>661.25</v>
      </c>
    </row>
    <row r="420" spans="1:9" ht="13.2">
      <c r="A420" s="170">
        <f t="shared" si="33"/>
        <v>419</v>
      </c>
      <c r="B420" s="171" t="s">
        <v>1039</v>
      </c>
      <c r="C420" s="171" t="str">
        <f>VLOOKUP(B420,MEMBERS!B:C,2, )</f>
        <v>MR. AYAZ JAMRO</v>
      </c>
      <c r="D420" s="191">
        <v>45999</v>
      </c>
      <c r="E420" s="178">
        <v>1</v>
      </c>
      <c r="F420" s="171" t="s">
        <v>623</v>
      </c>
      <c r="G420" s="168">
        <f>IFERROR(VLOOKUP(F420,'menu list'!B:C,2,FALSE)*E420,"0")</f>
        <v>150</v>
      </c>
      <c r="H420" s="337">
        <f t="shared" si="30"/>
        <v>22.5</v>
      </c>
      <c r="I420" s="168">
        <f t="shared" si="31"/>
        <v>172.5</v>
      </c>
    </row>
    <row r="421" spans="1:9" ht="13.2">
      <c r="A421" s="170">
        <f t="shared" si="33"/>
        <v>420</v>
      </c>
      <c r="B421" s="171" t="s">
        <v>1039</v>
      </c>
      <c r="C421" s="171" t="str">
        <f>VLOOKUP(B421,MEMBERS!B:C,2, )</f>
        <v>MR. AYAZ JAMRO</v>
      </c>
      <c r="D421" s="191">
        <v>45999</v>
      </c>
      <c r="E421" s="178">
        <v>1</v>
      </c>
      <c r="F421" s="171" t="s">
        <v>499</v>
      </c>
      <c r="G421" s="168">
        <f>IFERROR(VLOOKUP(F421,'menu list'!B:C,2,FALSE)*E421,"0")</f>
        <v>100</v>
      </c>
      <c r="H421" s="337">
        <f t="shared" si="30"/>
        <v>15</v>
      </c>
      <c r="I421" s="168">
        <f t="shared" si="31"/>
        <v>115</v>
      </c>
    </row>
    <row r="422" spans="1:9" ht="13.2">
      <c r="A422" s="170">
        <f t="shared" si="33"/>
        <v>421</v>
      </c>
      <c r="B422" s="171" t="s">
        <v>1039</v>
      </c>
      <c r="C422" s="171" t="str">
        <f>VLOOKUP(B422,MEMBERS!B:C,2, )</f>
        <v>MR. AYAZ JAMRO</v>
      </c>
      <c r="D422" s="191">
        <v>45999</v>
      </c>
      <c r="E422" s="178">
        <v>1</v>
      </c>
      <c r="F422" s="171" t="s">
        <v>583</v>
      </c>
      <c r="G422" s="168">
        <f>IFERROR(VLOOKUP(F422,'menu list'!B:C,2,FALSE)*E422,"0")</f>
        <v>350</v>
      </c>
      <c r="H422" s="337">
        <f t="shared" si="30"/>
        <v>52.5</v>
      </c>
      <c r="I422" s="168">
        <f t="shared" si="31"/>
        <v>402.5</v>
      </c>
    </row>
    <row r="423" spans="1:9" ht="13.2">
      <c r="A423" s="170">
        <f t="shared" si="33"/>
        <v>422</v>
      </c>
      <c r="B423" s="171" t="s">
        <v>98</v>
      </c>
      <c r="C423" s="171" t="str">
        <f>VLOOKUP(B423,MEMBERS!B:C,2, )</f>
        <v>MR.HAFEEZ AHMED SIYAL</v>
      </c>
      <c r="D423" s="191">
        <v>45999</v>
      </c>
      <c r="E423" s="178">
        <v>1</v>
      </c>
      <c r="F423" s="171" t="s">
        <v>499</v>
      </c>
      <c r="G423" s="168">
        <f>IFERROR(VLOOKUP(F423,'menu list'!B:C,2,FALSE)*E423,"0")</f>
        <v>100</v>
      </c>
      <c r="H423" s="337">
        <f t="shared" si="30"/>
        <v>15</v>
      </c>
      <c r="I423" s="168">
        <f t="shared" si="31"/>
        <v>115</v>
      </c>
    </row>
    <row r="424" spans="1:9" ht="13.2">
      <c r="A424" s="170">
        <f t="shared" si="33"/>
        <v>423</v>
      </c>
      <c r="B424" s="171" t="s">
        <v>323</v>
      </c>
      <c r="C424" s="171" t="str">
        <f>VLOOKUP(B424,MEMBERS!B:C,2, )</f>
        <v>DR.FAKHRUNISSA WAHEED</v>
      </c>
      <c r="D424" s="191">
        <v>45999</v>
      </c>
      <c r="E424" s="178">
        <v>2</v>
      </c>
      <c r="F424" s="171" t="s">
        <v>664</v>
      </c>
      <c r="G424" s="168">
        <f>IFERROR(VLOOKUP(F424,'menu list'!B:C,2,FALSE)*E424,"0")</f>
        <v>800</v>
      </c>
      <c r="H424" s="337">
        <f t="shared" si="30"/>
        <v>120</v>
      </c>
      <c r="I424" s="168">
        <f t="shared" si="31"/>
        <v>920</v>
      </c>
    </row>
    <row r="425" spans="1:9" ht="13.2">
      <c r="A425" s="170">
        <f t="shared" si="33"/>
        <v>424</v>
      </c>
      <c r="B425" s="171" t="s">
        <v>323</v>
      </c>
      <c r="C425" s="171" t="str">
        <f>VLOOKUP(B425,MEMBERS!B:C,2, )</f>
        <v>DR.FAKHRUNISSA WAHEED</v>
      </c>
      <c r="D425" s="191">
        <v>45999</v>
      </c>
      <c r="E425" s="178">
        <v>1</v>
      </c>
      <c r="F425" s="171" t="s">
        <v>730</v>
      </c>
      <c r="G425" s="168">
        <f>IFERROR(VLOOKUP(F425,'menu list'!B:C,2,FALSE)*E425,"0")</f>
        <v>1000</v>
      </c>
      <c r="H425" s="337">
        <f t="shared" si="30"/>
        <v>150</v>
      </c>
      <c r="I425" s="168">
        <f t="shared" si="31"/>
        <v>1150</v>
      </c>
    </row>
    <row r="426" spans="1:9" ht="13.2">
      <c r="A426" s="170">
        <f t="shared" si="33"/>
        <v>425</v>
      </c>
      <c r="B426" s="171" t="s">
        <v>323</v>
      </c>
      <c r="C426" s="171" t="str">
        <f>VLOOKUP(B426,MEMBERS!B:C,2, )</f>
        <v>DR.FAKHRUNISSA WAHEED</v>
      </c>
      <c r="D426" s="191">
        <v>45999</v>
      </c>
      <c r="E426" s="178">
        <v>1</v>
      </c>
      <c r="F426" s="171" t="s">
        <v>898</v>
      </c>
      <c r="G426" s="168">
        <f>IFERROR(VLOOKUP(F426,'menu list'!B:C,2,FALSE)*E426,"0")</f>
        <v>1000</v>
      </c>
      <c r="H426" s="337">
        <f t="shared" si="30"/>
        <v>150</v>
      </c>
      <c r="I426" s="168">
        <f t="shared" si="31"/>
        <v>1150</v>
      </c>
    </row>
    <row r="427" spans="1:9" ht="13.2">
      <c r="A427" s="170">
        <f t="shared" si="33"/>
        <v>426</v>
      </c>
      <c r="B427" s="171" t="s">
        <v>323</v>
      </c>
      <c r="C427" s="171" t="str">
        <f>VLOOKUP(B427,MEMBERS!B:C,2, )</f>
        <v>DR.FAKHRUNISSA WAHEED</v>
      </c>
      <c r="D427" s="191">
        <v>45999</v>
      </c>
      <c r="E427" s="178">
        <v>1</v>
      </c>
      <c r="F427" s="171" t="s">
        <v>802</v>
      </c>
      <c r="G427" s="168">
        <f>IFERROR(VLOOKUP(F427,'menu list'!B:C,2,FALSE)*E427,"0")</f>
        <v>500</v>
      </c>
      <c r="H427" s="337">
        <f t="shared" si="30"/>
        <v>75</v>
      </c>
      <c r="I427" s="168">
        <f t="shared" si="31"/>
        <v>575</v>
      </c>
    </row>
    <row r="428" spans="1:9" ht="13.2">
      <c r="A428" s="170">
        <f t="shared" si="33"/>
        <v>427</v>
      </c>
      <c r="B428" s="171" t="s">
        <v>323</v>
      </c>
      <c r="C428" s="171" t="str">
        <f>VLOOKUP(B428,MEMBERS!B:C,2, )</f>
        <v>DR.FAKHRUNISSA WAHEED</v>
      </c>
      <c r="D428" s="191">
        <v>45999</v>
      </c>
      <c r="E428" s="178">
        <v>3</v>
      </c>
      <c r="F428" s="171" t="s">
        <v>623</v>
      </c>
      <c r="G428" s="168">
        <f>IFERROR(VLOOKUP(F428,'menu list'!B:C,2,FALSE)*E428,"0")</f>
        <v>450</v>
      </c>
      <c r="H428" s="337">
        <f t="shared" si="30"/>
        <v>67.5</v>
      </c>
      <c r="I428" s="168">
        <f t="shared" si="31"/>
        <v>517.5</v>
      </c>
    </row>
    <row r="429" spans="1:9" ht="13.2">
      <c r="A429" s="170">
        <f t="shared" si="33"/>
        <v>428</v>
      </c>
      <c r="B429" s="171" t="s">
        <v>323</v>
      </c>
      <c r="C429" s="171" t="str">
        <f>VLOOKUP(B429,MEMBERS!B:C,2, )</f>
        <v>DR.FAKHRUNISSA WAHEED</v>
      </c>
      <c r="D429" s="191">
        <v>45999</v>
      </c>
      <c r="E429" s="178">
        <v>2</v>
      </c>
      <c r="F429" s="171" t="s">
        <v>439</v>
      </c>
      <c r="G429" s="168">
        <f>IFERROR(VLOOKUP(F429,'menu list'!B:C,2,FALSE)*E429,"0")</f>
        <v>140</v>
      </c>
      <c r="H429" s="337">
        <f t="shared" si="30"/>
        <v>21</v>
      </c>
      <c r="I429" s="168">
        <f t="shared" si="31"/>
        <v>161</v>
      </c>
    </row>
    <row r="430" spans="1:9" ht="13.2">
      <c r="A430" s="170">
        <f t="shared" si="33"/>
        <v>429</v>
      </c>
      <c r="B430" s="171" t="s">
        <v>323</v>
      </c>
      <c r="C430" s="171" t="str">
        <f>VLOOKUP(B430,MEMBERS!B:C,2, )</f>
        <v>DR.FAKHRUNISSA WAHEED</v>
      </c>
      <c r="D430" s="191">
        <v>45999</v>
      </c>
      <c r="E430" s="178">
        <v>1</v>
      </c>
      <c r="F430" s="171" t="s">
        <v>440</v>
      </c>
      <c r="G430" s="168">
        <f>IFERROR(VLOOKUP(F430,'menu list'!B:C,2,FALSE)*E430,"0")</f>
        <v>150</v>
      </c>
      <c r="H430" s="337">
        <f t="shared" si="30"/>
        <v>22.5</v>
      </c>
      <c r="I430" s="168">
        <f t="shared" si="31"/>
        <v>172.5</v>
      </c>
    </row>
    <row r="431" spans="1:9" ht="13.2">
      <c r="A431" s="170">
        <f t="shared" si="33"/>
        <v>430</v>
      </c>
      <c r="B431" s="171" t="s">
        <v>323</v>
      </c>
      <c r="C431" s="171" t="str">
        <f>VLOOKUP(B431,MEMBERS!B:C,2, )</f>
        <v>DR.FAKHRUNISSA WAHEED</v>
      </c>
      <c r="D431" s="191">
        <v>45999</v>
      </c>
      <c r="E431" s="178">
        <v>1</v>
      </c>
      <c r="F431" s="171" t="s">
        <v>497</v>
      </c>
      <c r="G431" s="168">
        <f>IFERROR(VLOOKUP(F431,'menu list'!B:C,2,FALSE)*E431,"0")</f>
        <v>250</v>
      </c>
      <c r="H431" s="337">
        <f t="shared" si="30"/>
        <v>37.5</v>
      </c>
      <c r="I431" s="168">
        <f t="shared" si="31"/>
        <v>287.5</v>
      </c>
    </row>
    <row r="432" spans="1:9" ht="13.2">
      <c r="A432" s="170">
        <f t="shared" si="33"/>
        <v>431</v>
      </c>
      <c r="B432" s="171" t="s">
        <v>323</v>
      </c>
      <c r="C432" s="171" t="str">
        <f>VLOOKUP(B432,MEMBERS!B:C,2, )</f>
        <v>DR.FAKHRUNISSA WAHEED</v>
      </c>
      <c r="D432" s="191">
        <v>45999</v>
      </c>
      <c r="E432" s="178">
        <v>4</v>
      </c>
      <c r="F432" s="171" t="s">
        <v>442</v>
      </c>
      <c r="G432" s="168">
        <f>IFERROR(VLOOKUP(F432,'menu list'!B:C,2,FALSE)*E432,"0")</f>
        <v>600</v>
      </c>
      <c r="H432" s="337">
        <f t="shared" si="30"/>
        <v>90</v>
      </c>
      <c r="I432" s="168">
        <f t="shared" si="31"/>
        <v>690</v>
      </c>
    </row>
    <row r="433" spans="1:9" ht="13.2">
      <c r="A433" s="170">
        <f t="shared" si="33"/>
        <v>432</v>
      </c>
      <c r="B433" s="171" t="s">
        <v>29</v>
      </c>
      <c r="C433" s="171" t="str">
        <f>VLOOKUP(B433,MEMBERS!B:C,2, )</f>
        <v>MR.SYED TAHIR ABBAS</v>
      </c>
      <c r="D433" s="191">
        <v>46000</v>
      </c>
      <c r="E433" s="178">
        <v>2</v>
      </c>
      <c r="F433" s="171" t="s">
        <v>707</v>
      </c>
      <c r="G433" s="168">
        <f>IFERROR(VLOOKUP(F433,'menu list'!B:C,2,FALSE)*E433,"0")</f>
        <v>900</v>
      </c>
      <c r="H433" s="337">
        <f t="shared" si="30"/>
        <v>135</v>
      </c>
      <c r="I433" s="168">
        <f t="shared" si="31"/>
        <v>1035</v>
      </c>
    </row>
    <row r="434" spans="1:9" ht="13.2">
      <c r="A434" s="170">
        <f t="shared" ref="A434:A473" si="34">IF(D434&lt;&gt;"", ROW()-1, "")</f>
        <v>433</v>
      </c>
      <c r="B434" s="171" t="s">
        <v>29</v>
      </c>
      <c r="C434" s="171" t="str">
        <f>VLOOKUP(B434,MEMBERS!B:C,2, )</f>
        <v>MR.SYED TAHIR ABBAS</v>
      </c>
      <c r="D434" s="191">
        <v>46000</v>
      </c>
      <c r="E434" s="178">
        <v>2</v>
      </c>
      <c r="F434" s="171" t="s">
        <v>921</v>
      </c>
      <c r="G434" s="168">
        <f>IFERROR(VLOOKUP(F434,'menu list'!B:C,2,FALSE)*E434,"0")</f>
        <v>600</v>
      </c>
      <c r="H434" s="337">
        <f t="shared" si="30"/>
        <v>90</v>
      </c>
      <c r="I434" s="168">
        <f t="shared" si="31"/>
        <v>690</v>
      </c>
    </row>
    <row r="435" spans="1:9" ht="13.2">
      <c r="A435" s="170">
        <f t="shared" si="34"/>
        <v>434</v>
      </c>
      <c r="B435" s="171" t="s">
        <v>29</v>
      </c>
      <c r="C435" s="171" t="str">
        <f>VLOOKUP(B435,MEMBERS!B:C,2, )</f>
        <v>MR.SYED TAHIR ABBAS</v>
      </c>
      <c r="D435" s="191">
        <v>46000</v>
      </c>
      <c r="E435" s="178">
        <v>3</v>
      </c>
      <c r="F435" s="171" t="s">
        <v>623</v>
      </c>
      <c r="G435" s="168">
        <f>IFERROR(VLOOKUP(F435,'menu list'!B:C,2,FALSE)*E435,"0")</f>
        <v>450</v>
      </c>
      <c r="H435" s="337">
        <f t="shared" si="30"/>
        <v>67.5</v>
      </c>
      <c r="I435" s="168">
        <f t="shared" si="31"/>
        <v>517.5</v>
      </c>
    </row>
    <row r="436" spans="1:9" ht="13.2">
      <c r="A436" s="170">
        <f t="shared" si="34"/>
        <v>435</v>
      </c>
      <c r="B436" s="171" t="s">
        <v>29</v>
      </c>
      <c r="C436" s="171" t="str">
        <f>VLOOKUP(B436,MEMBERS!B:C,2, )</f>
        <v>MR.SYED TAHIR ABBAS</v>
      </c>
      <c r="D436" s="191">
        <v>46000</v>
      </c>
      <c r="E436" s="178">
        <v>5</v>
      </c>
      <c r="F436" s="171" t="s">
        <v>532</v>
      </c>
      <c r="G436" s="168">
        <f>IFERROR(VLOOKUP(F436,'menu list'!B:C,2,FALSE)*E436,"0")</f>
        <v>300</v>
      </c>
      <c r="H436" s="337">
        <f t="shared" si="30"/>
        <v>45</v>
      </c>
      <c r="I436" s="168">
        <f t="shared" si="31"/>
        <v>345</v>
      </c>
    </row>
    <row r="437" spans="1:9" ht="13.2">
      <c r="A437" s="170">
        <f t="shared" si="34"/>
        <v>436</v>
      </c>
      <c r="B437" s="171" t="s">
        <v>29</v>
      </c>
      <c r="C437" s="171" t="str">
        <f>VLOOKUP(B437,MEMBERS!B:C,2, )</f>
        <v>MR.SYED TAHIR ABBAS</v>
      </c>
      <c r="D437" s="191">
        <v>46000</v>
      </c>
      <c r="E437" s="178">
        <v>4</v>
      </c>
      <c r="F437" s="171" t="s">
        <v>498</v>
      </c>
      <c r="G437" s="168">
        <f>IFERROR(VLOOKUP(F437,'menu list'!B:C,2,FALSE)*E437,"0")</f>
        <v>800</v>
      </c>
      <c r="H437" s="337">
        <f t="shared" si="30"/>
        <v>120</v>
      </c>
      <c r="I437" s="168">
        <f t="shared" si="31"/>
        <v>920</v>
      </c>
    </row>
    <row r="438" spans="1:9" ht="13.2">
      <c r="A438" s="170">
        <f t="shared" si="34"/>
        <v>437</v>
      </c>
      <c r="B438" s="171" t="s">
        <v>29</v>
      </c>
      <c r="C438" s="171" t="str">
        <f>VLOOKUP(B438,MEMBERS!B:C,2, )</f>
        <v>MR.SYED TAHIR ABBAS</v>
      </c>
      <c r="D438" s="191">
        <v>46000</v>
      </c>
      <c r="E438" s="178">
        <v>1</v>
      </c>
      <c r="F438" s="171" t="s">
        <v>440</v>
      </c>
      <c r="G438" s="168">
        <f>IFERROR(VLOOKUP(F438,'menu list'!B:C,2,FALSE)*E438,"0")</f>
        <v>150</v>
      </c>
      <c r="H438" s="337">
        <f t="shared" si="30"/>
        <v>22.5</v>
      </c>
      <c r="I438" s="168">
        <f t="shared" si="31"/>
        <v>172.5</v>
      </c>
    </row>
    <row r="439" spans="1:9" ht="13.2">
      <c r="A439" s="170">
        <f t="shared" si="34"/>
        <v>438</v>
      </c>
      <c r="B439" s="171" t="s">
        <v>650</v>
      </c>
      <c r="C439" s="171" t="str">
        <f>VLOOKUP(B439,MEMBERS!B:C,2, )</f>
        <v>SHAHBAZ AHMED</v>
      </c>
      <c r="D439" s="191">
        <v>46000</v>
      </c>
      <c r="E439" s="178">
        <v>2</v>
      </c>
      <c r="F439" s="171" t="s">
        <v>826</v>
      </c>
      <c r="G439" s="168">
        <f>IFERROR(VLOOKUP(F439,'menu list'!B:C,2,FALSE)*E439,"0")</f>
        <v>1800</v>
      </c>
      <c r="H439" s="337">
        <f t="shared" si="30"/>
        <v>270</v>
      </c>
      <c r="I439" s="168">
        <f t="shared" si="31"/>
        <v>2070</v>
      </c>
    </row>
    <row r="440" spans="1:9" ht="13.2">
      <c r="A440" s="170">
        <f t="shared" si="34"/>
        <v>439</v>
      </c>
      <c r="B440" s="171" t="s">
        <v>650</v>
      </c>
      <c r="C440" s="171" t="str">
        <f>VLOOKUP(B440,MEMBERS!B:C,2, )</f>
        <v>SHAHBAZ AHMED</v>
      </c>
      <c r="D440" s="191">
        <v>46000</v>
      </c>
      <c r="E440" s="178">
        <v>2</v>
      </c>
      <c r="F440" s="171" t="s">
        <v>730</v>
      </c>
      <c r="G440" s="168">
        <f>IFERROR(VLOOKUP(F440,'menu list'!B:C,2,FALSE)*E440,"0")</f>
        <v>2000</v>
      </c>
      <c r="H440" s="337">
        <f t="shared" si="30"/>
        <v>300</v>
      </c>
      <c r="I440" s="168">
        <f t="shared" si="31"/>
        <v>2300</v>
      </c>
    </row>
    <row r="441" spans="1:9" ht="13.2">
      <c r="A441" s="170">
        <f t="shared" si="34"/>
        <v>440</v>
      </c>
      <c r="B441" s="171" t="s">
        <v>650</v>
      </c>
      <c r="C441" s="171" t="str">
        <f>VLOOKUP(B441,MEMBERS!B:C,2, )</f>
        <v>SHAHBAZ AHMED</v>
      </c>
      <c r="D441" s="191">
        <v>46000</v>
      </c>
      <c r="E441" s="178">
        <v>1</v>
      </c>
      <c r="F441" s="171" t="s">
        <v>910</v>
      </c>
      <c r="G441" s="168">
        <f>IFERROR(VLOOKUP(F441,'menu list'!B:C,2,FALSE)*E441,"0")</f>
        <v>300</v>
      </c>
      <c r="H441" s="337">
        <f t="shared" si="30"/>
        <v>45</v>
      </c>
      <c r="I441" s="168">
        <f t="shared" si="31"/>
        <v>345</v>
      </c>
    </row>
    <row r="442" spans="1:9" ht="13.2">
      <c r="A442" s="170">
        <f t="shared" si="34"/>
        <v>441</v>
      </c>
      <c r="B442" s="171" t="s">
        <v>650</v>
      </c>
      <c r="C442" s="171" t="str">
        <f>VLOOKUP(B442,MEMBERS!B:C,2, )</f>
        <v>SHAHBAZ AHMED</v>
      </c>
      <c r="D442" s="191">
        <v>46000</v>
      </c>
      <c r="E442" s="178">
        <v>1</v>
      </c>
      <c r="F442" s="171" t="s">
        <v>898</v>
      </c>
      <c r="G442" s="168">
        <f>IFERROR(VLOOKUP(F442,'menu list'!B:C,2,FALSE)*E442,"0")</f>
        <v>1000</v>
      </c>
      <c r="H442" s="337">
        <f t="shared" si="30"/>
        <v>150</v>
      </c>
      <c r="I442" s="168">
        <f t="shared" si="31"/>
        <v>1150</v>
      </c>
    </row>
    <row r="443" spans="1:9" ht="13.2">
      <c r="A443" s="170">
        <f t="shared" si="34"/>
        <v>442</v>
      </c>
      <c r="B443" s="171" t="s">
        <v>650</v>
      </c>
      <c r="C443" s="171" t="str">
        <f>VLOOKUP(B443,MEMBERS!B:C,2, )</f>
        <v>SHAHBAZ AHMED</v>
      </c>
      <c r="D443" s="191">
        <v>46000</v>
      </c>
      <c r="E443" s="178">
        <v>1</v>
      </c>
      <c r="F443" s="171" t="s">
        <v>773</v>
      </c>
      <c r="G443" s="168">
        <f>IFERROR(VLOOKUP(F443,'menu list'!B:C,2,FALSE)*E443,"0")</f>
        <v>800</v>
      </c>
      <c r="H443" s="337">
        <f t="shared" si="30"/>
        <v>120</v>
      </c>
      <c r="I443" s="168">
        <f t="shared" si="31"/>
        <v>920</v>
      </c>
    </row>
    <row r="444" spans="1:9" ht="13.2">
      <c r="A444" s="170">
        <f t="shared" si="34"/>
        <v>443</v>
      </c>
      <c r="B444" s="171" t="s">
        <v>650</v>
      </c>
      <c r="C444" s="171" t="str">
        <f>VLOOKUP(B444,MEMBERS!B:C,2, )</f>
        <v>SHAHBAZ AHMED</v>
      </c>
      <c r="D444" s="191">
        <v>46000</v>
      </c>
      <c r="E444" s="178">
        <v>1</v>
      </c>
      <c r="F444" s="171" t="s">
        <v>915</v>
      </c>
      <c r="G444" s="168">
        <f>IFERROR(VLOOKUP(F444,'menu list'!B:C,2,FALSE)*E444,"0")</f>
        <v>999</v>
      </c>
      <c r="H444" s="337">
        <f t="shared" si="30"/>
        <v>149.85</v>
      </c>
      <c r="I444" s="168">
        <f t="shared" si="31"/>
        <v>1148.8499999999999</v>
      </c>
    </row>
    <row r="445" spans="1:9" ht="13.2">
      <c r="A445" s="170">
        <f t="shared" si="34"/>
        <v>444</v>
      </c>
      <c r="B445" s="171" t="s">
        <v>650</v>
      </c>
      <c r="C445" s="171" t="str">
        <f>VLOOKUP(B445,MEMBERS!B:C,2, )</f>
        <v>SHAHBAZ AHMED</v>
      </c>
      <c r="D445" s="191">
        <v>46000</v>
      </c>
      <c r="E445" s="178">
        <v>1</v>
      </c>
      <c r="F445" s="171" t="s">
        <v>939</v>
      </c>
      <c r="G445" s="168">
        <f>IFERROR(VLOOKUP(F445,'menu list'!B:C,2,FALSE)*E445,"0")</f>
        <v>1200</v>
      </c>
      <c r="H445" s="337">
        <f t="shared" si="30"/>
        <v>180</v>
      </c>
      <c r="I445" s="168">
        <f t="shared" si="31"/>
        <v>1380</v>
      </c>
    </row>
    <row r="446" spans="1:9" ht="13.2">
      <c r="A446" s="170">
        <f t="shared" si="34"/>
        <v>445</v>
      </c>
      <c r="B446" s="171" t="s">
        <v>650</v>
      </c>
      <c r="C446" s="171" t="str">
        <f>VLOOKUP(B446,MEMBERS!B:C,2, )</f>
        <v>SHAHBAZ AHMED</v>
      </c>
      <c r="D446" s="191">
        <v>46000</v>
      </c>
      <c r="E446" s="178">
        <v>1</v>
      </c>
      <c r="F446" s="171" t="s">
        <v>786</v>
      </c>
      <c r="G446" s="168">
        <f>IFERROR(VLOOKUP(F446,'menu list'!B:C,2,FALSE)*E446,"0")</f>
        <v>1150</v>
      </c>
      <c r="H446" s="337">
        <f t="shared" si="30"/>
        <v>172.5</v>
      </c>
      <c r="I446" s="168">
        <f t="shared" si="31"/>
        <v>1322.5</v>
      </c>
    </row>
    <row r="447" spans="1:9" ht="13.2">
      <c r="A447" s="170">
        <f t="shared" si="34"/>
        <v>446</v>
      </c>
      <c r="B447" s="171" t="s">
        <v>650</v>
      </c>
      <c r="C447" s="171" t="str">
        <f>VLOOKUP(B447,MEMBERS!B:C,2, )</f>
        <v>SHAHBAZ AHMED</v>
      </c>
      <c r="D447" s="191">
        <v>46000</v>
      </c>
      <c r="E447" s="178">
        <v>1</v>
      </c>
      <c r="F447" s="171" t="s">
        <v>830</v>
      </c>
      <c r="G447" s="168">
        <f>IFERROR(VLOOKUP(F447,'menu list'!B:C,2,FALSE)*E447,"0")</f>
        <v>600</v>
      </c>
      <c r="H447" s="337">
        <f t="shared" si="30"/>
        <v>90</v>
      </c>
      <c r="I447" s="168">
        <f t="shared" si="31"/>
        <v>690</v>
      </c>
    </row>
    <row r="448" spans="1:9" ht="13.2">
      <c r="A448" s="170">
        <f t="shared" si="34"/>
        <v>447</v>
      </c>
      <c r="B448" s="171" t="s">
        <v>650</v>
      </c>
      <c r="C448" s="171" t="str">
        <f>VLOOKUP(B448,MEMBERS!B:C,2, )</f>
        <v>SHAHBAZ AHMED</v>
      </c>
      <c r="D448" s="191">
        <v>46000</v>
      </c>
      <c r="E448" s="178">
        <v>1</v>
      </c>
      <c r="F448" s="171" t="s">
        <v>441</v>
      </c>
      <c r="G448" s="168">
        <f>IFERROR(VLOOKUP(F448,'menu list'!B:C,2,FALSE)*E448,"0")</f>
        <v>200</v>
      </c>
      <c r="H448" s="337">
        <f t="shared" si="30"/>
        <v>30</v>
      </c>
      <c r="I448" s="168">
        <f t="shared" si="31"/>
        <v>230</v>
      </c>
    </row>
    <row r="449" spans="1:9" ht="13.2">
      <c r="A449" s="170">
        <f t="shared" si="34"/>
        <v>448</v>
      </c>
      <c r="B449" s="171" t="s">
        <v>650</v>
      </c>
      <c r="C449" s="171" t="str">
        <f>VLOOKUP(B449,MEMBERS!B:C,2, )</f>
        <v>SHAHBAZ AHMED</v>
      </c>
      <c r="D449" s="191">
        <v>46000</v>
      </c>
      <c r="E449" s="178">
        <v>3</v>
      </c>
      <c r="F449" s="171" t="s">
        <v>440</v>
      </c>
      <c r="G449" s="168">
        <f>IFERROR(VLOOKUP(F449,'menu list'!B:C,2,FALSE)*E449,"0")</f>
        <v>450</v>
      </c>
      <c r="H449" s="337">
        <f t="shared" si="30"/>
        <v>67.5</v>
      </c>
      <c r="I449" s="168">
        <f t="shared" si="31"/>
        <v>517.5</v>
      </c>
    </row>
    <row r="450" spans="1:9" ht="13.2">
      <c r="A450" s="170">
        <f t="shared" si="34"/>
        <v>449</v>
      </c>
      <c r="B450" s="171" t="s">
        <v>650</v>
      </c>
      <c r="C450" s="171" t="str">
        <f>VLOOKUP(B450,MEMBERS!B:C,2, )</f>
        <v>SHAHBAZ AHMED</v>
      </c>
      <c r="D450" s="191">
        <v>46000</v>
      </c>
      <c r="E450" s="178">
        <v>7</v>
      </c>
      <c r="F450" s="171" t="s">
        <v>439</v>
      </c>
      <c r="G450" s="168">
        <f>IFERROR(VLOOKUP(F450,'menu list'!B:C,2,FALSE)*E450,"0")</f>
        <v>490</v>
      </c>
      <c r="H450" s="337">
        <f t="shared" si="30"/>
        <v>73.5</v>
      </c>
      <c r="I450" s="168">
        <f t="shared" si="31"/>
        <v>563.5</v>
      </c>
    </row>
    <row r="451" spans="1:9" ht="13.2">
      <c r="A451" s="170">
        <f t="shared" si="34"/>
        <v>450</v>
      </c>
      <c r="B451" s="171" t="s">
        <v>650</v>
      </c>
      <c r="C451" s="171" t="str">
        <f>VLOOKUP(B451,MEMBERS!B:C,2, )</f>
        <v>SHAHBAZ AHMED</v>
      </c>
      <c r="D451" s="191">
        <v>46000</v>
      </c>
      <c r="E451" s="178">
        <v>7</v>
      </c>
      <c r="F451" s="171" t="s">
        <v>443</v>
      </c>
      <c r="G451" s="168">
        <f>IFERROR(VLOOKUP(F451,'menu list'!B:C,2,FALSE)*E451,"0")</f>
        <v>1050</v>
      </c>
      <c r="H451" s="337">
        <f t="shared" ref="H451:H514" si="35">G451*15/100</f>
        <v>157.5</v>
      </c>
      <c r="I451" s="168">
        <f t="shared" ref="I451:I514" si="36">G451+H451</f>
        <v>1207.5</v>
      </c>
    </row>
    <row r="452" spans="1:9" ht="13.2">
      <c r="A452" s="170">
        <f t="shared" si="34"/>
        <v>451</v>
      </c>
      <c r="B452" s="171" t="s">
        <v>650</v>
      </c>
      <c r="C452" s="171" t="str">
        <f>VLOOKUP(B452,MEMBERS!B:C,2, )</f>
        <v>SHAHBAZ AHMED</v>
      </c>
      <c r="D452" s="191">
        <v>46000</v>
      </c>
      <c r="E452" s="178">
        <v>2</v>
      </c>
      <c r="F452" s="171" t="s">
        <v>616</v>
      </c>
      <c r="G452" s="168">
        <f>IFERROR(VLOOKUP(F452,'menu list'!B:C,2,FALSE)*E452,"0")</f>
        <v>800</v>
      </c>
      <c r="H452" s="337">
        <f t="shared" si="35"/>
        <v>120</v>
      </c>
      <c r="I452" s="168">
        <f t="shared" si="36"/>
        <v>920</v>
      </c>
    </row>
    <row r="453" spans="1:9" ht="13.2">
      <c r="A453" s="170">
        <f t="shared" si="34"/>
        <v>452</v>
      </c>
      <c r="B453" s="171" t="s">
        <v>375</v>
      </c>
      <c r="C453" s="171" t="str">
        <f>VLOOKUP(B453,MEMBERS!B:C,2, )</f>
        <v>HUSSAIN WAJID</v>
      </c>
      <c r="D453" s="191">
        <v>46000</v>
      </c>
      <c r="E453" s="178">
        <v>3</v>
      </c>
      <c r="F453" s="171" t="s">
        <v>853</v>
      </c>
      <c r="G453" s="168">
        <f>IFERROR(VLOOKUP(F453,'menu list'!B:C,2,FALSE)*E453,"0")</f>
        <v>1725</v>
      </c>
      <c r="H453" s="337">
        <f t="shared" si="35"/>
        <v>258.75</v>
      </c>
      <c r="I453" s="168">
        <f t="shared" si="36"/>
        <v>1983.75</v>
      </c>
    </row>
    <row r="454" spans="1:9" ht="13.2">
      <c r="A454" s="170">
        <f t="shared" si="34"/>
        <v>453</v>
      </c>
      <c r="B454" s="171" t="s">
        <v>375</v>
      </c>
      <c r="C454" s="171" t="str">
        <f>VLOOKUP(B454,MEMBERS!B:C,2, )</f>
        <v>HUSSAIN WAJID</v>
      </c>
      <c r="D454" s="191">
        <v>46000</v>
      </c>
      <c r="E454" s="178">
        <v>4</v>
      </c>
      <c r="F454" s="171" t="s">
        <v>442</v>
      </c>
      <c r="G454" s="168">
        <f>IFERROR(VLOOKUP(F454,'menu list'!B:C,2,FALSE)*E454,"0")</f>
        <v>600</v>
      </c>
      <c r="H454" s="337">
        <f t="shared" si="35"/>
        <v>90</v>
      </c>
      <c r="I454" s="168">
        <f t="shared" si="36"/>
        <v>690</v>
      </c>
    </row>
    <row r="455" spans="1:9" ht="13.2">
      <c r="A455" s="170">
        <f t="shared" si="34"/>
        <v>454</v>
      </c>
      <c r="B455" s="171" t="s">
        <v>395</v>
      </c>
      <c r="C455" s="171" t="str">
        <f>VLOOKUP(B455,MEMBERS!B:C,2, )</f>
        <v>BAHRIA INTERNATIONAL HOSPITAL</v>
      </c>
      <c r="D455" s="191">
        <v>46000</v>
      </c>
      <c r="E455" s="178">
        <v>40</v>
      </c>
      <c r="F455" s="171" t="s">
        <v>775</v>
      </c>
      <c r="G455" s="168">
        <f>IFERROR(VLOOKUP(F455,'menu list'!B:C,2,FALSE)*E455,"0")</f>
        <v>4000</v>
      </c>
      <c r="H455" s="337"/>
      <c r="I455" s="168">
        <f t="shared" si="36"/>
        <v>4000</v>
      </c>
    </row>
    <row r="456" spans="1:9" ht="13.2">
      <c r="A456" s="170">
        <f t="shared" si="34"/>
        <v>455</v>
      </c>
      <c r="B456" s="171" t="s">
        <v>395</v>
      </c>
      <c r="C456" s="171" t="str">
        <f>VLOOKUP(B456,MEMBERS!B:C,2, )</f>
        <v>BAHRIA INTERNATIONAL HOSPITAL</v>
      </c>
      <c r="D456" s="191">
        <v>46000</v>
      </c>
      <c r="E456" s="178">
        <v>12</v>
      </c>
      <c r="F456" s="171" t="s">
        <v>516</v>
      </c>
      <c r="G456" s="168">
        <f>IFERROR(VLOOKUP(F456,'menu list'!B:C,2,FALSE)*E456,"0")</f>
        <v>3000</v>
      </c>
      <c r="H456" s="337"/>
      <c r="I456" s="168">
        <f t="shared" si="36"/>
        <v>3000</v>
      </c>
    </row>
    <row r="457" spans="1:9" ht="13.2">
      <c r="A457" s="170">
        <f t="shared" si="34"/>
        <v>456</v>
      </c>
      <c r="B457" s="171" t="s">
        <v>395</v>
      </c>
      <c r="C457" s="171" t="str">
        <f>VLOOKUP(B457,MEMBERS!B:C,2, )</f>
        <v>BAHRIA INTERNATIONAL HOSPITAL</v>
      </c>
      <c r="D457" s="191">
        <v>46000</v>
      </c>
      <c r="E457" s="178">
        <v>9</v>
      </c>
      <c r="F457" s="171" t="s">
        <v>558</v>
      </c>
      <c r="G457" s="168">
        <f>IFERROR(VLOOKUP(F457,'menu list'!B:C,2,FALSE)*E457,"0")</f>
        <v>1350</v>
      </c>
      <c r="H457" s="337"/>
      <c r="I457" s="168">
        <f t="shared" si="36"/>
        <v>1350</v>
      </c>
    </row>
    <row r="458" spans="1:9" ht="13.2">
      <c r="A458" s="170">
        <f t="shared" si="34"/>
        <v>457</v>
      </c>
      <c r="B458" s="171" t="s">
        <v>390</v>
      </c>
      <c r="C458" s="171" t="str">
        <f>VLOOKUP(B458,MEMBERS!B:C,2, )</f>
        <v>RIAZ FAZAL</v>
      </c>
      <c r="D458" s="191">
        <v>46000</v>
      </c>
      <c r="E458" s="178">
        <v>2</v>
      </c>
      <c r="F458" s="171" t="s">
        <v>440</v>
      </c>
      <c r="G458" s="168">
        <f>IFERROR(VLOOKUP(F458,'menu list'!B:C,2,FALSE)*E458,"0")</f>
        <v>300</v>
      </c>
      <c r="H458" s="337">
        <f t="shared" si="35"/>
        <v>45</v>
      </c>
      <c r="I458" s="168">
        <f t="shared" si="36"/>
        <v>345</v>
      </c>
    </row>
    <row r="459" spans="1:9" ht="13.2">
      <c r="A459" s="170">
        <f t="shared" si="34"/>
        <v>458</v>
      </c>
      <c r="B459" s="171" t="s">
        <v>454</v>
      </c>
      <c r="C459" s="171" t="str">
        <f>VLOOKUP(B459,MEMBERS!B:C,2, )</f>
        <v>Heritage club</v>
      </c>
      <c r="D459" s="191">
        <v>46000</v>
      </c>
      <c r="E459" s="178">
        <v>1</v>
      </c>
      <c r="F459" s="171" t="s">
        <v>498</v>
      </c>
      <c r="G459" s="168">
        <f>IFERROR(VLOOKUP(F459,'menu list'!B:C,2,FALSE)*E459,"0")</f>
        <v>200</v>
      </c>
      <c r="H459" s="337">
        <f t="shared" si="35"/>
        <v>30</v>
      </c>
      <c r="I459" s="168">
        <f t="shared" si="36"/>
        <v>230</v>
      </c>
    </row>
    <row r="460" spans="1:9" ht="13.2">
      <c r="A460" s="170">
        <f t="shared" si="34"/>
        <v>459</v>
      </c>
      <c r="B460" s="171" t="s">
        <v>454</v>
      </c>
      <c r="C460" s="171" t="str">
        <f>VLOOKUP(B460,MEMBERS!B:C,2, )</f>
        <v>Heritage club</v>
      </c>
      <c r="D460" s="191">
        <v>46000</v>
      </c>
      <c r="E460" s="178">
        <v>1</v>
      </c>
      <c r="F460" s="171" t="s">
        <v>499</v>
      </c>
      <c r="G460" s="168">
        <f>IFERROR(VLOOKUP(F460,'menu list'!B:C,2,FALSE)*E460,"0")</f>
        <v>100</v>
      </c>
      <c r="H460" s="337">
        <f t="shared" si="35"/>
        <v>15</v>
      </c>
      <c r="I460" s="168">
        <f t="shared" si="36"/>
        <v>115</v>
      </c>
    </row>
    <row r="461" spans="1:9" ht="13.2">
      <c r="A461" s="170">
        <f t="shared" si="34"/>
        <v>460</v>
      </c>
      <c r="B461" s="171" t="s">
        <v>390</v>
      </c>
      <c r="C461" s="171" t="str">
        <f>VLOOKUP(B461,MEMBERS!B:C,2, )</f>
        <v>RIAZ FAZAL</v>
      </c>
      <c r="D461" s="191">
        <v>46000</v>
      </c>
      <c r="E461" s="178">
        <v>1</v>
      </c>
      <c r="F461" s="171" t="s">
        <v>500</v>
      </c>
      <c r="G461" s="168">
        <f>IFERROR(VLOOKUP(F461,'menu list'!B:C,2,FALSE)*E461,"0")</f>
        <v>1250</v>
      </c>
      <c r="H461" s="337">
        <f t="shared" si="35"/>
        <v>187.5</v>
      </c>
      <c r="I461" s="168">
        <f t="shared" si="36"/>
        <v>1437.5</v>
      </c>
    </row>
    <row r="462" spans="1:9" ht="13.2">
      <c r="A462" s="170">
        <f t="shared" si="34"/>
        <v>461</v>
      </c>
      <c r="B462" s="171" t="s">
        <v>374</v>
      </c>
      <c r="C462" s="171" t="str">
        <f>VLOOKUP(B462,MEMBERS!B:C,2, )</f>
        <v>AAMIR RASOOL</v>
      </c>
      <c r="D462" s="191">
        <v>46000</v>
      </c>
      <c r="E462" s="178">
        <v>2</v>
      </c>
      <c r="F462" s="171" t="s">
        <v>500</v>
      </c>
      <c r="G462" s="168">
        <f>IFERROR(VLOOKUP(F462,'menu list'!B:C,2,FALSE)*E462,"0")</f>
        <v>2500</v>
      </c>
      <c r="H462" s="337">
        <f t="shared" si="35"/>
        <v>375</v>
      </c>
      <c r="I462" s="168">
        <f t="shared" si="36"/>
        <v>2875</v>
      </c>
    </row>
    <row r="463" spans="1:9" ht="13.2">
      <c r="A463" s="170">
        <f t="shared" si="34"/>
        <v>462</v>
      </c>
      <c r="B463" s="171" t="s">
        <v>374</v>
      </c>
      <c r="C463" s="171" t="str">
        <f>VLOOKUP(B463,MEMBERS!B:C,2, )</f>
        <v>AAMIR RASOOL</v>
      </c>
      <c r="D463" s="191">
        <v>46000</v>
      </c>
      <c r="E463" s="178">
        <v>1</v>
      </c>
      <c r="F463" s="171" t="s">
        <v>440</v>
      </c>
      <c r="G463" s="168">
        <f>IFERROR(VLOOKUP(F463,'menu list'!B:C,2,FALSE)*E463,"0")</f>
        <v>150</v>
      </c>
      <c r="H463" s="337">
        <f t="shared" si="35"/>
        <v>22.5</v>
      </c>
      <c r="I463" s="168">
        <f t="shared" si="36"/>
        <v>172.5</v>
      </c>
    </row>
    <row r="464" spans="1:9" ht="13.2">
      <c r="A464" s="170">
        <f t="shared" ref="A464:A472" si="37">IF(D464&lt;&gt;"", ROW()-1, "")</f>
        <v>463</v>
      </c>
      <c r="B464" s="171" t="s">
        <v>374</v>
      </c>
      <c r="C464" s="171" t="str">
        <f>VLOOKUP(B464,MEMBERS!B:C,2, )</f>
        <v>AAMIR RASOOL</v>
      </c>
      <c r="D464" s="191">
        <v>46000</v>
      </c>
      <c r="E464" s="178">
        <v>6</v>
      </c>
      <c r="F464" s="171" t="s">
        <v>498</v>
      </c>
      <c r="G464" s="168">
        <f>IFERROR(VLOOKUP(F464,'menu list'!B:C,2,FALSE)*E464,"0")</f>
        <v>1200</v>
      </c>
      <c r="H464" s="337">
        <f t="shared" si="35"/>
        <v>180</v>
      </c>
      <c r="I464" s="168">
        <f t="shared" si="36"/>
        <v>1380</v>
      </c>
    </row>
    <row r="465" spans="1:11" ht="13.2">
      <c r="A465" s="170">
        <f t="shared" si="37"/>
        <v>464</v>
      </c>
      <c r="B465" s="171" t="s">
        <v>374</v>
      </c>
      <c r="C465" s="171" t="str">
        <f>VLOOKUP(B465,MEMBERS!B:C,2, )</f>
        <v>AAMIR RASOOL</v>
      </c>
      <c r="D465" s="191">
        <v>46000</v>
      </c>
      <c r="E465" s="178">
        <v>2</v>
      </c>
      <c r="F465" s="171" t="s">
        <v>1057</v>
      </c>
      <c r="G465" s="168">
        <f>IFERROR(VLOOKUP(F465,'menu list'!B:C,2,FALSE)*E465,"0")</f>
        <v>1700</v>
      </c>
      <c r="H465" s="337">
        <f t="shared" si="35"/>
        <v>255</v>
      </c>
      <c r="I465" s="168">
        <f t="shared" si="36"/>
        <v>1955</v>
      </c>
    </row>
    <row r="466" spans="1:11" ht="13.2">
      <c r="A466" s="170">
        <f t="shared" si="37"/>
        <v>465</v>
      </c>
      <c r="B466" s="171" t="s">
        <v>374</v>
      </c>
      <c r="C466" s="171" t="str">
        <f>VLOOKUP(B466,MEMBERS!B:C,2, )</f>
        <v>AAMIR RASOOL</v>
      </c>
      <c r="D466" s="191">
        <v>46000</v>
      </c>
      <c r="E466" s="178">
        <v>2</v>
      </c>
      <c r="F466" s="171" t="s">
        <v>858</v>
      </c>
      <c r="G466" s="168">
        <f>IFERROR(VLOOKUP(F466,'menu list'!B:C,2,FALSE)*E466,"0")</f>
        <v>1000</v>
      </c>
      <c r="H466" s="337">
        <f t="shared" si="35"/>
        <v>150</v>
      </c>
      <c r="I466" s="168">
        <f t="shared" si="36"/>
        <v>1150</v>
      </c>
    </row>
    <row r="467" spans="1:11" ht="13.2">
      <c r="A467" s="170">
        <f t="shared" si="37"/>
        <v>466</v>
      </c>
      <c r="B467" s="171" t="s">
        <v>448</v>
      </c>
      <c r="C467" s="171" t="str">
        <f>VLOOKUP(B467,MEMBERS!B:C,2, )</f>
        <v xml:space="preserve">ARSLAN KHAN ABRO </v>
      </c>
      <c r="D467" s="191">
        <v>46000</v>
      </c>
      <c r="E467" s="178">
        <v>2</v>
      </c>
      <c r="F467" s="171" t="s">
        <v>440</v>
      </c>
      <c r="G467" s="168">
        <f>IFERROR(VLOOKUP(F467,'menu list'!B:C,2,FALSE)*E467,"0")</f>
        <v>300</v>
      </c>
      <c r="H467" s="337">
        <f t="shared" si="35"/>
        <v>45</v>
      </c>
      <c r="I467" s="168">
        <f t="shared" si="36"/>
        <v>345</v>
      </c>
    </row>
    <row r="468" spans="1:11" ht="13.2">
      <c r="A468" s="170">
        <f t="shared" si="37"/>
        <v>467</v>
      </c>
      <c r="B468" s="171" t="s">
        <v>448</v>
      </c>
      <c r="C468" s="171" t="str">
        <f>VLOOKUP(B468,MEMBERS!B:C,2, )</f>
        <v xml:space="preserve">ARSLAN KHAN ABRO </v>
      </c>
      <c r="D468" s="191">
        <v>46000</v>
      </c>
      <c r="E468" s="178">
        <v>1</v>
      </c>
      <c r="F468" s="171" t="s">
        <v>801</v>
      </c>
      <c r="G468" s="168">
        <f>IFERROR(VLOOKUP(F468,'menu list'!B:C,2,FALSE)*E468,"0")</f>
        <v>700</v>
      </c>
      <c r="H468" s="337">
        <f t="shared" si="35"/>
        <v>105</v>
      </c>
      <c r="I468" s="168">
        <f t="shared" si="36"/>
        <v>805</v>
      </c>
    </row>
    <row r="469" spans="1:11" ht="13.2">
      <c r="A469" s="170">
        <f t="shared" si="37"/>
        <v>468</v>
      </c>
      <c r="B469" s="171" t="s">
        <v>448</v>
      </c>
      <c r="C469" s="171" t="str">
        <f>VLOOKUP(B469,MEMBERS!B:C,2, )</f>
        <v xml:space="preserve">ARSLAN KHAN ABRO </v>
      </c>
      <c r="D469" s="191">
        <v>46000</v>
      </c>
      <c r="E469" s="178">
        <v>1</v>
      </c>
      <c r="F469" s="171" t="s">
        <v>498</v>
      </c>
      <c r="G469" s="168">
        <f>IFERROR(VLOOKUP(F469,'menu list'!B:C,2,FALSE)*E469,"0")</f>
        <v>200</v>
      </c>
      <c r="H469" s="337">
        <f t="shared" si="35"/>
        <v>30</v>
      </c>
      <c r="I469" s="168">
        <f t="shared" si="36"/>
        <v>230</v>
      </c>
    </row>
    <row r="470" spans="1:11" ht="13.2">
      <c r="A470" s="170">
        <f t="shared" si="37"/>
        <v>469</v>
      </c>
      <c r="B470" s="171" t="s">
        <v>448</v>
      </c>
      <c r="C470" s="171" t="str">
        <f>VLOOKUP(B470,MEMBERS!B:C,2, )</f>
        <v xml:space="preserve">ARSLAN KHAN ABRO </v>
      </c>
      <c r="D470" s="191">
        <v>46000</v>
      </c>
      <c r="E470" s="178">
        <v>1</v>
      </c>
      <c r="F470" s="171" t="s">
        <v>853</v>
      </c>
      <c r="G470" s="168">
        <f>IFERROR(VLOOKUP(F470,'menu list'!B:C,2,FALSE)*E470,"0")</f>
        <v>575</v>
      </c>
      <c r="H470" s="337">
        <f t="shared" si="35"/>
        <v>86.25</v>
      </c>
      <c r="I470" s="168">
        <f t="shared" si="36"/>
        <v>661.25</v>
      </c>
    </row>
    <row r="471" spans="1:11" ht="13.2">
      <c r="A471" s="170">
        <f t="shared" si="37"/>
        <v>470</v>
      </c>
      <c r="B471" s="171" t="s">
        <v>454</v>
      </c>
      <c r="C471" s="171" t="str">
        <f>VLOOKUP(B471,MEMBERS!B:C,2, )</f>
        <v>Heritage club</v>
      </c>
      <c r="D471" s="191">
        <v>46000</v>
      </c>
      <c r="E471" s="178">
        <v>1</v>
      </c>
      <c r="F471" s="171" t="s">
        <v>583</v>
      </c>
      <c r="G471" s="168">
        <f>IFERROR(VLOOKUP(F471,'menu list'!B:C,2,FALSE)*E471,"0")</f>
        <v>350</v>
      </c>
      <c r="H471" s="337">
        <f t="shared" si="35"/>
        <v>52.5</v>
      </c>
      <c r="I471" s="168">
        <f t="shared" si="36"/>
        <v>402.5</v>
      </c>
      <c r="J471" s="169" t="s">
        <v>1174</v>
      </c>
      <c r="K471" s="169" t="s">
        <v>1175</v>
      </c>
    </row>
    <row r="472" spans="1:11" ht="13.2">
      <c r="A472" s="170">
        <f t="shared" si="37"/>
        <v>471</v>
      </c>
      <c r="B472" s="171" t="s">
        <v>454</v>
      </c>
      <c r="C472" s="171" t="str">
        <f>VLOOKUP(B472,MEMBERS!B:C,2, )</f>
        <v>Heritage club</v>
      </c>
      <c r="D472" s="191">
        <v>46000</v>
      </c>
      <c r="E472" s="178">
        <v>1</v>
      </c>
      <c r="F472" s="171" t="s">
        <v>502</v>
      </c>
      <c r="G472" s="168">
        <f>IFERROR(VLOOKUP(F472,'menu list'!B:C,2,FALSE)*E472,"0")</f>
        <v>350</v>
      </c>
      <c r="H472" s="337">
        <f t="shared" si="35"/>
        <v>52.5</v>
      </c>
      <c r="I472" s="168">
        <f t="shared" si="36"/>
        <v>402.5</v>
      </c>
      <c r="J472" s="169">
        <v>805</v>
      </c>
      <c r="K472" s="169" t="s">
        <v>1176</v>
      </c>
    </row>
    <row r="473" spans="1:11" ht="13.2">
      <c r="A473" s="170">
        <f t="shared" si="34"/>
        <v>472</v>
      </c>
      <c r="B473" s="171" t="s">
        <v>454</v>
      </c>
      <c r="C473" s="171" t="str">
        <f>VLOOKUP(B473,MEMBERS!B:C,2, )</f>
        <v>Heritage club</v>
      </c>
      <c r="D473" s="191">
        <v>46001</v>
      </c>
      <c r="E473" s="178">
        <v>1</v>
      </c>
      <c r="F473" s="171" t="s">
        <v>1177</v>
      </c>
      <c r="G473" s="168">
        <v>0</v>
      </c>
      <c r="H473" s="337">
        <f t="shared" si="35"/>
        <v>0</v>
      </c>
      <c r="I473" s="168">
        <f t="shared" si="36"/>
        <v>0</v>
      </c>
    </row>
    <row r="474" spans="1:11" ht="13.2">
      <c r="A474" s="170">
        <f t="shared" ref="A474:A517" si="38">IF(D474&lt;&gt;"", ROW()-1, "")</f>
        <v>473</v>
      </c>
      <c r="B474" s="171" t="s">
        <v>385</v>
      </c>
      <c r="C474" s="171" t="str">
        <f>VLOOKUP(B474,MEMBERS!B:C,2, )</f>
        <v>AYSM MIRZA</v>
      </c>
      <c r="D474" s="191">
        <v>46001</v>
      </c>
      <c r="E474" s="178">
        <v>1</v>
      </c>
      <c r="F474" s="171" t="s">
        <v>499</v>
      </c>
      <c r="G474" s="168">
        <f>IFERROR(VLOOKUP(F474,'menu list'!B:C,2,FALSE)*E474,"0")</f>
        <v>100</v>
      </c>
      <c r="H474" s="337">
        <f t="shared" si="35"/>
        <v>15</v>
      </c>
      <c r="I474" s="168">
        <f t="shared" si="36"/>
        <v>115</v>
      </c>
    </row>
    <row r="475" spans="1:11" ht="13.2">
      <c r="A475" s="170">
        <f t="shared" si="38"/>
        <v>474</v>
      </c>
      <c r="B475" s="171" t="s">
        <v>385</v>
      </c>
      <c r="C475" s="171" t="str">
        <f>VLOOKUP(B475,MEMBERS!B:C,2, )</f>
        <v>AYSM MIRZA</v>
      </c>
      <c r="D475" s="191">
        <v>46001</v>
      </c>
      <c r="E475" s="178">
        <v>2</v>
      </c>
      <c r="F475" s="171" t="s">
        <v>498</v>
      </c>
      <c r="G475" s="168">
        <f>IFERROR(VLOOKUP(F475,'menu list'!B:C,2,FALSE)*E475,"0")</f>
        <v>400</v>
      </c>
      <c r="H475" s="337">
        <f t="shared" si="35"/>
        <v>60</v>
      </c>
      <c r="I475" s="168">
        <f t="shared" si="36"/>
        <v>460</v>
      </c>
    </row>
    <row r="476" spans="1:11" ht="13.2">
      <c r="A476" s="170">
        <f t="shared" si="38"/>
        <v>475</v>
      </c>
      <c r="B476" s="171" t="s">
        <v>385</v>
      </c>
      <c r="C476" s="171" t="str">
        <f>VLOOKUP(B476,MEMBERS!B:C,2, )</f>
        <v>AYSM MIRZA</v>
      </c>
      <c r="D476" s="191">
        <v>46001</v>
      </c>
      <c r="E476" s="178">
        <v>2</v>
      </c>
      <c r="F476" s="171" t="s">
        <v>634</v>
      </c>
      <c r="G476" s="168">
        <f>IFERROR(VLOOKUP(F476,'menu list'!B:C,2,FALSE)*E476,"0")</f>
        <v>1000</v>
      </c>
      <c r="H476" s="337">
        <f t="shared" si="35"/>
        <v>150</v>
      </c>
      <c r="I476" s="168">
        <f t="shared" si="36"/>
        <v>1150</v>
      </c>
    </row>
    <row r="477" spans="1:11" ht="13.2">
      <c r="A477" s="170">
        <f t="shared" ref="A477:A502" si="39">IF(D477&lt;&gt;"", ROW()-1, "")</f>
        <v>476</v>
      </c>
      <c r="B477" s="171" t="s">
        <v>385</v>
      </c>
      <c r="C477" s="171" t="str">
        <f>VLOOKUP(B477,MEMBERS!B:C,2, )</f>
        <v>AYSM MIRZA</v>
      </c>
      <c r="D477" s="191">
        <v>46001</v>
      </c>
      <c r="E477" s="178">
        <v>4</v>
      </c>
      <c r="F477" s="171" t="s">
        <v>633</v>
      </c>
      <c r="G477" s="168">
        <f>IFERROR(VLOOKUP(F477,'menu list'!B:C,2,FALSE)*E477,"0")</f>
        <v>2800</v>
      </c>
      <c r="H477" s="337">
        <f t="shared" si="35"/>
        <v>420</v>
      </c>
      <c r="I477" s="168">
        <f t="shared" si="36"/>
        <v>3220</v>
      </c>
    </row>
    <row r="478" spans="1:11" ht="13.2">
      <c r="A478" s="170">
        <f t="shared" si="39"/>
        <v>477</v>
      </c>
      <c r="B478" s="171" t="s">
        <v>385</v>
      </c>
      <c r="C478" s="171" t="str">
        <f>VLOOKUP(B478,MEMBERS!B:C,2, )</f>
        <v>AYSM MIRZA</v>
      </c>
      <c r="D478" s="191">
        <v>46001</v>
      </c>
      <c r="E478" s="178">
        <v>1</v>
      </c>
      <c r="F478" s="171" t="s">
        <v>601</v>
      </c>
      <c r="G478" s="168">
        <f>IFERROR(VLOOKUP(F478,'menu list'!B:C,2,FALSE)*E478,"0")</f>
        <v>1200</v>
      </c>
      <c r="H478" s="337">
        <f t="shared" si="35"/>
        <v>180</v>
      </c>
      <c r="I478" s="168">
        <f t="shared" si="36"/>
        <v>1380</v>
      </c>
    </row>
    <row r="479" spans="1:11" ht="13.2">
      <c r="A479" s="170">
        <f t="shared" si="39"/>
        <v>478</v>
      </c>
      <c r="B479" s="171" t="s">
        <v>20</v>
      </c>
      <c r="C479" s="171" t="str">
        <f>VLOOKUP(B479,MEMBERS!B:C,2, )</f>
        <v>MR.BILAL AHMED</v>
      </c>
      <c r="D479" s="191">
        <v>46001</v>
      </c>
      <c r="E479" s="178">
        <v>3</v>
      </c>
      <c r="F479" s="171" t="s">
        <v>836</v>
      </c>
      <c r="G479" s="168">
        <f>IFERROR(VLOOKUP(F479,'menu list'!B:C,2,FALSE)*E479,"0")</f>
        <v>1050</v>
      </c>
      <c r="H479" s="337">
        <f t="shared" si="35"/>
        <v>157.5</v>
      </c>
      <c r="I479" s="168">
        <f t="shared" si="36"/>
        <v>1207.5</v>
      </c>
    </row>
    <row r="480" spans="1:11" ht="13.2">
      <c r="A480" s="170">
        <f t="shared" si="39"/>
        <v>479</v>
      </c>
      <c r="B480" s="171" t="s">
        <v>20</v>
      </c>
      <c r="C480" s="171" t="str">
        <f>VLOOKUP(B480,MEMBERS!B:C,2, )</f>
        <v>MR.BILAL AHMED</v>
      </c>
      <c r="D480" s="191">
        <v>46001</v>
      </c>
      <c r="E480" s="178">
        <v>1</v>
      </c>
      <c r="F480" s="171" t="s">
        <v>440</v>
      </c>
      <c r="G480" s="168">
        <f>IFERROR(VLOOKUP(F480,'menu list'!B:C,2,FALSE)*E480,"0")</f>
        <v>150</v>
      </c>
      <c r="H480" s="337">
        <f t="shared" si="35"/>
        <v>22.5</v>
      </c>
      <c r="I480" s="168">
        <f t="shared" si="36"/>
        <v>172.5</v>
      </c>
    </row>
    <row r="481" spans="1:12" ht="13.2">
      <c r="A481" s="170">
        <f t="shared" si="39"/>
        <v>480</v>
      </c>
      <c r="B481" s="171" t="s">
        <v>98</v>
      </c>
      <c r="C481" s="171" t="str">
        <f>VLOOKUP(B481,MEMBERS!B:C,2, )</f>
        <v>MR.HAFEEZ AHMED SIYAL</v>
      </c>
      <c r="D481" s="191">
        <v>46001</v>
      </c>
      <c r="E481" s="178">
        <v>1</v>
      </c>
      <c r="F481" s="171" t="s">
        <v>833</v>
      </c>
      <c r="G481" s="168">
        <f>IFERROR(VLOOKUP(F481,'menu list'!B:C,2,FALSE)*E481,"0")</f>
        <v>350</v>
      </c>
      <c r="H481" s="337">
        <f t="shared" si="35"/>
        <v>52.5</v>
      </c>
      <c r="I481" s="168">
        <f t="shared" si="36"/>
        <v>402.5</v>
      </c>
    </row>
    <row r="482" spans="1:12" ht="13.2">
      <c r="A482" s="170">
        <f t="shared" si="39"/>
        <v>481</v>
      </c>
      <c r="B482" s="171" t="s">
        <v>454</v>
      </c>
      <c r="C482" s="171" t="str">
        <f>VLOOKUP(B482,MEMBERS!B:C,2, )</f>
        <v>Heritage club</v>
      </c>
      <c r="D482" s="191">
        <v>46001</v>
      </c>
      <c r="E482" s="178">
        <v>2</v>
      </c>
      <c r="F482" s="171" t="s">
        <v>497</v>
      </c>
      <c r="G482" s="168">
        <f>IFERROR(VLOOKUP(F482,'menu list'!B:C,2,FALSE)*E482,"0")</f>
        <v>500</v>
      </c>
      <c r="H482" s="337">
        <f t="shared" si="35"/>
        <v>75</v>
      </c>
      <c r="I482" s="168">
        <f t="shared" si="36"/>
        <v>575</v>
      </c>
      <c r="J482" s="169" t="s">
        <v>1173</v>
      </c>
      <c r="K482" s="169" t="s">
        <v>1178</v>
      </c>
      <c r="L482" s="169">
        <v>172</v>
      </c>
    </row>
    <row r="483" spans="1:12" ht="13.2">
      <c r="A483" s="170">
        <f t="shared" si="39"/>
        <v>482</v>
      </c>
      <c r="B483" s="171" t="s">
        <v>454</v>
      </c>
      <c r="C483" s="171" t="str">
        <f>VLOOKUP(B483,MEMBERS!B:C,2, )</f>
        <v>Heritage club</v>
      </c>
      <c r="D483" s="191">
        <v>46001</v>
      </c>
      <c r="E483" s="178">
        <v>1</v>
      </c>
      <c r="F483" s="171" t="s">
        <v>634</v>
      </c>
      <c r="G483" s="168">
        <f>IFERROR(VLOOKUP(F483,'menu list'!B:C,2,FALSE)*E483,"0")</f>
        <v>500</v>
      </c>
      <c r="H483" s="337">
        <f t="shared" si="35"/>
        <v>75</v>
      </c>
      <c r="I483" s="168">
        <f t="shared" si="36"/>
        <v>575</v>
      </c>
      <c r="J483" s="169">
        <v>1150</v>
      </c>
      <c r="K483" s="169" t="s">
        <v>1179</v>
      </c>
      <c r="L483" s="169">
        <v>19</v>
      </c>
    </row>
    <row r="484" spans="1:12" ht="13.2">
      <c r="A484" s="170">
        <f t="shared" si="39"/>
        <v>483</v>
      </c>
      <c r="B484" s="171" t="s">
        <v>376</v>
      </c>
      <c r="C484" s="171" t="str">
        <f>VLOOKUP(B484,MEMBERS!B:C,2, )</f>
        <v>KHURRAM FIRDOUS</v>
      </c>
      <c r="D484" s="191">
        <v>46001</v>
      </c>
      <c r="E484" s="178">
        <v>1</v>
      </c>
      <c r="F484" s="171" t="s">
        <v>500</v>
      </c>
      <c r="G484" s="168">
        <f>IFERROR(VLOOKUP(F484,'menu list'!B:C,2,FALSE)*E484,"0")</f>
        <v>1250</v>
      </c>
      <c r="H484" s="337">
        <f t="shared" si="35"/>
        <v>187.5</v>
      </c>
      <c r="I484" s="168">
        <f t="shared" si="36"/>
        <v>1437.5</v>
      </c>
    </row>
    <row r="485" spans="1:12" ht="13.2">
      <c r="A485" s="170">
        <f t="shared" si="39"/>
        <v>484</v>
      </c>
      <c r="B485" s="171" t="s">
        <v>376</v>
      </c>
      <c r="C485" s="171" t="str">
        <f>VLOOKUP(B485,MEMBERS!B:C,2, )</f>
        <v>KHURRAM FIRDOUS</v>
      </c>
      <c r="D485" s="191">
        <v>46001</v>
      </c>
      <c r="E485" s="178">
        <v>1</v>
      </c>
      <c r="F485" s="171" t="s">
        <v>634</v>
      </c>
      <c r="G485" s="168">
        <f>IFERROR(VLOOKUP(F485,'menu list'!B:C,2,FALSE)*E485,"0")</f>
        <v>500</v>
      </c>
      <c r="H485" s="337">
        <f t="shared" si="35"/>
        <v>75</v>
      </c>
      <c r="I485" s="168">
        <f t="shared" si="36"/>
        <v>575</v>
      </c>
    </row>
    <row r="486" spans="1:12" ht="13.2">
      <c r="A486" s="170">
        <f t="shared" si="39"/>
        <v>485</v>
      </c>
      <c r="B486" s="171" t="s">
        <v>376</v>
      </c>
      <c r="C486" s="171" t="str">
        <f>VLOOKUP(B486,MEMBERS!B:C,2, )</f>
        <v>KHURRAM FIRDOUS</v>
      </c>
      <c r="D486" s="191">
        <v>46001</v>
      </c>
      <c r="E486" s="178">
        <v>1</v>
      </c>
      <c r="F486" s="171" t="s">
        <v>497</v>
      </c>
      <c r="G486" s="168">
        <f>IFERROR(VLOOKUP(F486,'menu list'!B:C,2,FALSE)*E486,"0")</f>
        <v>250</v>
      </c>
      <c r="H486" s="337">
        <f t="shared" si="35"/>
        <v>37.5</v>
      </c>
      <c r="I486" s="168">
        <f t="shared" si="36"/>
        <v>287.5</v>
      </c>
    </row>
    <row r="487" spans="1:12" ht="13.2">
      <c r="A487" s="170">
        <f t="shared" si="39"/>
        <v>486</v>
      </c>
      <c r="B487" s="171" t="s">
        <v>376</v>
      </c>
      <c r="C487" s="171" t="str">
        <f>VLOOKUP(B487,MEMBERS!B:C,2, )</f>
        <v>KHURRAM FIRDOUS</v>
      </c>
      <c r="D487" s="191">
        <v>46001</v>
      </c>
      <c r="E487" s="178">
        <v>1</v>
      </c>
      <c r="F487" s="171" t="s">
        <v>440</v>
      </c>
      <c r="G487" s="168">
        <f>IFERROR(VLOOKUP(F487,'menu list'!B:C,2,FALSE)*E487,"0")</f>
        <v>150</v>
      </c>
      <c r="H487" s="337">
        <f t="shared" si="35"/>
        <v>22.5</v>
      </c>
      <c r="I487" s="168">
        <f t="shared" si="36"/>
        <v>172.5</v>
      </c>
    </row>
    <row r="488" spans="1:12" ht="13.2">
      <c r="A488" s="170">
        <f t="shared" si="39"/>
        <v>487</v>
      </c>
      <c r="B488" s="171" t="s">
        <v>1020</v>
      </c>
      <c r="C488" s="171" t="str">
        <f>VLOOKUP(B488,MEMBERS!B:C,2, )</f>
        <v>MR. MUNAWAR HUSSAIN</v>
      </c>
      <c r="D488" s="191">
        <v>46001</v>
      </c>
      <c r="E488" s="178">
        <v>1</v>
      </c>
      <c r="F488" s="171" t="s">
        <v>499</v>
      </c>
      <c r="G488" s="168">
        <f>IFERROR(VLOOKUP(F488,'menu list'!B:C,2,FALSE)*E488,"0")</f>
        <v>100</v>
      </c>
      <c r="H488" s="337">
        <f t="shared" si="35"/>
        <v>15</v>
      </c>
      <c r="I488" s="168">
        <f t="shared" si="36"/>
        <v>115</v>
      </c>
    </row>
    <row r="489" spans="1:12" ht="13.2">
      <c r="A489" s="170">
        <f t="shared" si="39"/>
        <v>488</v>
      </c>
      <c r="B489" s="171" t="s">
        <v>1020</v>
      </c>
      <c r="C489" s="171" t="str">
        <f>VLOOKUP(B489,MEMBERS!B:C,2, )</f>
        <v>MR. MUNAWAR HUSSAIN</v>
      </c>
      <c r="D489" s="191">
        <v>46001</v>
      </c>
      <c r="E489" s="178">
        <v>1</v>
      </c>
      <c r="F489" s="171" t="s">
        <v>653</v>
      </c>
      <c r="G489" s="168">
        <f>IFERROR(VLOOKUP(F489,'menu list'!B:C,2,FALSE)*E489,"0")</f>
        <v>350</v>
      </c>
      <c r="H489" s="337">
        <f t="shared" si="35"/>
        <v>52.5</v>
      </c>
      <c r="I489" s="168">
        <f t="shared" si="36"/>
        <v>402.5</v>
      </c>
    </row>
    <row r="490" spans="1:12" ht="13.2">
      <c r="A490" s="170">
        <f t="shared" si="39"/>
        <v>489</v>
      </c>
      <c r="B490" s="171" t="s">
        <v>1020</v>
      </c>
      <c r="C490" s="171" t="str">
        <f>VLOOKUP(B490,MEMBERS!B:C,2, )</f>
        <v>MR. MUNAWAR HUSSAIN</v>
      </c>
      <c r="D490" s="191">
        <v>46001</v>
      </c>
      <c r="E490" s="178">
        <v>1</v>
      </c>
      <c r="F490" s="171" t="s">
        <v>859</v>
      </c>
      <c r="G490" s="168">
        <f>IFERROR(VLOOKUP(F490,'menu list'!B:C,2,FALSE)*E490,"0")</f>
        <v>500</v>
      </c>
      <c r="H490" s="337">
        <f t="shared" si="35"/>
        <v>75</v>
      </c>
      <c r="I490" s="168">
        <f t="shared" si="36"/>
        <v>575</v>
      </c>
    </row>
    <row r="491" spans="1:12" ht="13.2">
      <c r="A491" s="170">
        <f t="shared" si="39"/>
        <v>490</v>
      </c>
      <c r="B491" s="171" t="s">
        <v>1020</v>
      </c>
      <c r="C491" s="171" t="str">
        <f>VLOOKUP(B491,MEMBERS!B:C,2, )</f>
        <v>MR. MUNAWAR HUSSAIN</v>
      </c>
      <c r="D491" s="191">
        <v>46001</v>
      </c>
      <c r="E491" s="178">
        <v>1</v>
      </c>
      <c r="F491" s="171" t="s">
        <v>504</v>
      </c>
      <c r="G491" s="168">
        <f>IFERROR(VLOOKUP(F491,'menu list'!B:C,2,FALSE)*E491,"0")</f>
        <v>130</v>
      </c>
      <c r="H491" s="337">
        <f t="shared" si="35"/>
        <v>19.5</v>
      </c>
      <c r="I491" s="168">
        <f t="shared" si="36"/>
        <v>149.5</v>
      </c>
    </row>
    <row r="492" spans="1:12" ht="13.2">
      <c r="A492" s="170">
        <f t="shared" si="39"/>
        <v>491</v>
      </c>
      <c r="B492" s="171" t="s">
        <v>1020</v>
      </c>
      <c r="C492" s="171" t="str">
        <f>VLOOKUP(B492,MEMBERS!B:C,2, )</f>
        <v>MR. MUNAWAR HUSSAIN</v>
      </c>
      <c r="D492" s="191">
        <v>46001</v>
      </c>
      <c r="E492" s="178">
        <v>1</v>
      </c>
      <c r="F492" s="171" t="s">
        <v>442</v>
      </c>
      <c r="G492" s="168">
        <f>IFERROR(VLOOKUP(F492,'menu list'!B:C,2,FALSE)*E492,"0")</f>
        <v>150</v>
      </c>
      <c r="H492" s="337">
        <f t="shared" si="35"/>
        <v>22.5</v>
      </c>
      <c r="I492" s="168">
        <f t="shared" si="36"/>
        <v>172.5</v>
      </c>
    </row>
    <row r="493" spans="1:12" ht="13.2">
      <c r="A493" s="170">
        <f t="shared" si="39"/>
        <v>492</v>
      </c>
      <c r="B493" s="171" t="s">
        <v>1020</v>
      </c>
      <c r="C493" s="171" t="str">
        <f>VLOOKUP(B493,MEMBERS!B:C,2, )</f>
        <v>MR. MUNAWAR HUSSAIN</v>
      </c>
      <c r="D493" s="191">
        <v>46001</v>
      </c>
      <c r="E493" s="178">
        <v>1</v>
      </c>
      <c r="F493" s="171" t="s">
        <v>441</v>
      </c>
      <c r="G493" s="168">
        <f>IFERROR(VLOOKUP(F493,'menu list'!B:C,2,FALSE)*E493,"0")</f>
        <v>200</v>
      </c>
      <c r="H493" s="337">
        <f t="shared" si="35"/>
        <v>30</v>
      </c>
      <c r="I493" s="168">
        <f t="shared" si="36"/>
        <v>230</v>
      </c>
    </row>
    <row r="494" spans="1:12" ht="13.2">
      <c r="A494" s="170">
        <f t="shared" si="39"/>
        <v>493</v>
      </c>
      <c r="B494" s="171" t="s">
        <v>1020</v>
      </c>
      <c r="C494" s="171" t="str">
        <f>VLOOKUP(B494,MEMBERS!B:C,2, )</f>
        <v>MR. MUNAWAR HUSSAIN</v>
      </c>
      <c r="D494" s="191">
        <v>46001</v>
      </c>
      <c r="E494" s="178">
        <v>1</v>
      </c>
      <c r="F494" s="171" t="s">
        <v>439</v>
      </c>
      <c r="G494" s="168">
        <f>IFERROR(VLOOKUP(F494,'menu list'!B:C,2,FALSE)*E494,"0")</f>
        <v>70</v>
      </c>
      <c r="H494" s="337">
        <f t="shared" si="35"/>
        <v>10.5</v>
      </c>
      <c r="I494" s="168">
        <f t="shared" si="36"/>
        <v>80.5</v>
      </c>
    </row>
    <row r="495" spans="1:12" ht="13.2">
      <c r="A495" s="170">
        <f t="shared" si="39"/>
        <v>494</v>
      </c>
      <c r="B495" s="171" t="s">
        <v>1024</v>
      </c>
      <c r="C495" s="171" t="str">
        <f>VLOOKUP(B495,MEMBERS!B:C,2, )</f>
        <v>MR. ANEEL ZAHOOR</v>
      </c>
      <c r="D495" s="191">
        <v>46001</v>
      </c>
      <c r="E495" s="178">
        <v>1</v>
      </c>
      <c r="F495" s="171" t="s">
        <v>499</v>
      </c>
      <c r="G495" s="168">
        <f>IFERROR(VLOOKUP(F495,'menu list'!B:C,2,FALSE)*E495,"0")</f>
        <v>100</v>
      </c>
      <c r="H495" s="337">
        <f t="shared" si="35"/>
        <v>15</v>
      </c>
      <c r="I495" s="168">
        <f t="shared" si="36"/>
        <v>115</v>
      </c>
    </row>
    <row r="496" spans="1:12" ht="13.2">
      <c r="A496" s="170">
        <f t="shared" si="39"/>
        <v>495</v>
      </c>
      <c r="B496" s="171" t="s">
        <v>1024</v>
      </c>
      <c r="C496" s="171" t="str">
        <f>VLOOKUP(B496,MEMBERS!B:C,2, )</f>
        <v>MR. ANEEL ZAHOOR</v>
      </c>
      <c r="D496" s="191">
        <v>46001</v>
      </c>
      <c r="E496" s="178">
        <v>1</v>
      </c>
      <c r="F496" s="171" t="s">
        <v>633</v>
      </c>
      <c r="G496" s="168">
        <f>IFERROR(VLOOKUP(F496,'menu list'!B:C,2,FALSE)*E496,"0")</f>
        <v>700</v>
      </c>
      <c r="H496" s="337">
        <f t="shared" si="35"/>
        <v>105</v>
      </c>
      <c r="I496" s="168">
        <f t="shared" si="36"/>
        <v>805</v>
      </c>
    </row>
    <row r="497" spans="1:9" ht="13.2">
      <c r="A497" s="170">
        <f t="shared" si="39"/>
        <v>496</v>
      </c>
      <c r="B497" s="171" t="s">
        <v>98</v>
      </c>
      <c r="C497" s="171" t="str">
        <f>VLOOKUP(B497,MEMBERS!B:C,2, )</f>
        <v>MR.HAFEEZ AHMED SIYAL</v>
      </c>
      <c r="D497" s="191">
        <v>46001</v>
      </c>
      <c r="E497" s="178">
        <v>1</v>
      </c>
      <c r="F497" s="171" t="s">
        <v>499</v>
      </c>
      <c r="G497" s="168">
        <f>IFERROR(VLOOKUP(F497,'menu list'!B:C,2,FALSE)*E497,"0")</f>
        <v>100</v>
      </c>
      <c r="H497" s="337">
        <f t="shared" si="35"/>
        <v>15</v>
      </c>
      <c r="I497" s="168">
        <f t="shared" si="36"/>
        <v>115</v>
      </c>
    </row>
    <row r="498" spans="1:9" ht="13.2">
      <c r="A498" s="170">
        <f t="shared" si="39"/>
        <v>497</v>
      </c>
      <c r="B498" s="171" t="s">
        <v>385</v>
      </c>
      <c r="C498" s="171" t="str">
        <f>VLOOKUP(B498,MEMBERS!B:C,2, )</f>
        <v>AYSM MIRZA</v>
      </c>
      <c r="D498" s="191">
        <v>46001</v>
      </c>
      <c r="E498" s="178">
        <v>1</v>
      </c>
      <c r="F498" s="171" t="s">
        <v>499</v>
      </c>
      <c r="G498" s="168">
        <f>IFERROR(VLOOKUP(F498,'menu list'!B:C,2,FALSE)*E498,"0")</f>
        <v>100</v>
      </c>
      <c r="H498" s="337">
        <f t="shared" si="35"/>
        <v>15</v>
      </c>
      <c r="I498" s="168">
        <f t="shared" si="36"/>
        <v>115</v>
      </c>
    </row>
    <row r="499" spans="1:9" ht="13.2">
      <c r="A499" s="170">
        <f t="shared" si="39"/>
        <v>498</v>
      </c>
      <c r="B499" s="171" t="s">
        <v>385</v>
      </c>
      <c r="C499" s="171" t="str">
        <f>VLOOKUP(B499,MEMBERS!B:C,2, )</f>
        <v>AYSM MIRZA</v>
      </c>
      <c r="D499" s="191">
        <v>46001</v>
      </c>
      <c r="E499" s="178">
        <v>1</v>
      </c>
      <c r="F499" s="171" t="s">
        <v>442</v>
      </c>
      <c r="G499" s="168">
        <f>IFERROR(VLOOKUP(F499,'menu list'!B:C,2,FALSE)*E499,"0")</f>
        <v>150</v>
      </c>
      <c r="H499" s="337">
        <f t="shared" si="35"/>
        <v>22.5</v>
      </c>
      <c r="I499" s="168">
        <f t="shared" si="36"/>
        <v>172.5</v>
      </c>
    </row>
    <row r="500" spans="1:9" ht="13.2">
      <c r="A500" s="170">
        <f t="shared" si="39"/>
        <v>499</v>
      </c>
      <c r="B500" s="171" t="s">
        <v>69</v>
      </c>
      <c r="C500" s="171" t="str">
        <f>VLOOKUP(B500,MEMBERS!B:C,2, )</f>
        <v>MR.TARIQUE ZUBAIR</v>
      </c>
      <c r="D500" s="191">
        <v>46001</v>
      </c>
      <c r="E500" s="178">
        <v>1</v>
      </c>
      <c r="F500" s="171" t="s">
        <v>500</v>
      </c>
      <c r="G500" s="168">
        <f>IFERROR(VLOOKUP(F500,'menu list'!B:C,2,FALSE)*E500,"0")</f>
        <v>1250</v>
      </c>
      <c r="H500" s="337">
        <f t="shared" si="35"/>
        <v>187.5</v>
      </c>
      <c r="I500" s="168">
        <f t="shared" si="36"/>
        <v>1437.5</v>
      </c>
    </row>
    <row r="501" spans="1:9" ht="13.2">
      <c r="A501" s="170">
        <f t="shared" si="39"/>
        <v>500</v>
      </c>
      <c r="B501" s="171" t="s">
        <v>69</v>
      </c>
      <c r="C501" s="171" t="str">
        <f>VLOOKUP(B501,MEMBERS!B:C,2, )</f>
        <v>MR.TARIQUE ZUBAIR</v>
      </c>
      <c r="D501" s="191">
        <v>46001</v>
      </c>
      <c r="E501" s="178">
        <v>2</v>
      </c>
      <c r="F501" s="171" t="s">
        <v>442</v>
      </c>
      <c r="G501" s="168">
        <f>IFERROR(VLOOKUP(F501,'menu list'!B:C,2,FALSE)*E501,"0")</f>
        <v>300</v>
      </c>
      <c r="H501" s="337">
        <f t="shared" si="35"/>
        <v>45</v>
      </c>
      <c r="I501" s="168">
        <f t="shared" si="36"/>
        <v>345</v>
      </c>
    </row>
    <row r="502" spans="1:9" ht="13.2">
      <c r="A502" s="170">
        <f t="shared" si="39"/>
        <v>501</v>
      </c>
      <c r="B502" s="171" t="s">
        <v>650</v>
      </c>
      <c r="C502" s="171" t="str">
        <f>VLOOKUP(B502,MEMBERS!B:C,2, )</f>
        <v>SHAHBAZ AHMED</v>
      </c>
      <c r="D502" s="191">
        <v>46001</v>
      </c>
      <c r="E502" s="178">
        <v>1</v>
      </c>
      <c r="F502" s="171" t="s">
        <v>499</v>
      </c>
      <c r="G502" s="168">
        <f>IFERROR(VLOOKUP(F502,'menu list'!B:C,2,FALSE)*E502,"0")</f>
        <v>100</v>
      </c>
      <c r="H502" s="337">
        <f t="shared" si="35"/>
        <v>15</v>
      </c>
      <c r="I502" s="168">
        <f t="shared" si="36"/>
        <v>115</v>
      </c>
    </row>
    <row r="503" spans="1:9" ht="13.2">
      <c r="A503" s="170">
        <f t="shared" si="38"/>
        <v>502</v>
      </c>
      <c r="B503" s="171" t="s">
        <v>378</v>
      </c>
      <c r="C503" s="171" t="str">
        <f>VLOOKUP(B503,MEMBERS!B:C,2, )</f>
        <v>SABA AHSAN</v>
      </c>
      <c r="D503" s="191">
        <v>46001</v>
      </c>
      <c r="E503" s="178">
        <v>1</v>
      </c>
      <c r="F503" s="171" t="s">
        <v>499</v>
      </c>
      <c r="G503" s="168">
        <f>IFERROR(VLOOKUP(F503,'menu list'!B:C,2,FALSE)*E503,"0")</f>
        <v>100</v>
      </c>
      <c r="H503" s="337">
        <f t="shared" si="35"/>
        <v>15</v>
      </c>
      <c r="I503" s="168">
        <f t="shared" si="36"/>
        <v>115</v>
      </c>
    </row>
    <row r="504" spans="1:9" ht="13.2">
      <c r="A504" s="170">
        <f t="shared" si="38"/>
        <v>503</v>
      </c>
      <c r="B504" s="171" t="s">
        <v>378</v>
      </c>
      <c r="C504" s="171" t="str">
        <f>VLOOKUP(B504,MEMBERS!B:C,2, )</f>
        <v>SABA AHSAN</v>
      </c>
      <c r="D504" s="191">
        <v>46001</v>
      </c>
      <c r="E504" s="178">
        <v>1</v>
      </c>
      <c r="F504" s="171" t="s">
        <v>500</v>
      </c>
      <c r="G504" s="168">
        <f>IFERROR(VLOOKUP(F504,'menu list'!B:C,2,FALSE)*E504,"0")</f>
        <v>1250</v>
      </c>
      <c r="H504" s="337">
        <f t="shared" si="35"/>
        <v>187.5</v>
      </c>
      <c r="I504" s="168">
        <f t="shared" si="36"/>
        <v>1437.5</v>
      </c>
    </row>
    <row r="505" spans="1:9" ht="13.2">
      <c r="A505" s="170">
        <f t="shared" si="38"/>
        <v>504</v>
      </c>
      <c r="B505" s="171" t="s">
        <v>378</v>
      </c>
      <c r="C505" s="171" t="str">
        <f>VLOOKUP(B505,MEMBERS!B:C,2, )</f>
        <v>SABA AHSAN</v>
      </c>
      <c r="D505" s="191">
        <v>46001</v>
      </c>
      <c r="E505" s="178">
        <v>1</v>
      </c>
      <c r="F505" s="171" t="s">
        <v>836</v>
      </c>
      <c r="G505" s="168">
        <f>IFERROR(VLOOKUP(F505,'menu list'!B:C,2,FALSE)*E505,"0")</f>
        <v>350</v>
      </c>
      <c r="H505" s="337">
        <f t="shared" si="35"/>
        <v>52.5</v>
      </c>
      <c r="I505" s="168">
        <f t="shared" si="36"/>
        <v>402.5</v>
      </c>
    </row>
    <row r="506" spans="1:9" ht="13.2">
      <c r="A506" s="170">
        <f t="shared" si="38"/>
        <v>505</v>
      </c>
      <c r="B506" s="171" t="s">
        <v>164</v>
      </c>
      <c r="C506" s="171" t="str">
        <f>VLOOKUP(B506,MEMBERS!B:C,2, )</f>
        <v>MR.ASHOK KUMAR</v>
      </c>
      <c r="D506" s="191">
        <v>46001</v>
      </c>
      <c r="E506" s="178">
        <v>3</v>
      </c>
      <c r="F506" s="171" t="s">
        <v>633</v>
      </c>
      <c r="G506" s="168">
        <f>IFERROR(VLOOKUP(F506,'menu list'!B:C,2,FALSE)*E506,"0")</f>
        <v>2100</v>
      </c>
      <c r="H506" s="337">
        <f t="shared" si="35"/>
        <v>315</v>
      </c>
      <c r="I506" s="168">
        <f t="shared" si="36"/>
        <v>2415</v>
      </c>
    </row>
    <row r="507" spans="1:9" ht="13.2">
      <c r="A507" s="170">
        <f t="shared" si="38"/>
        <v>506</v>
      </c>
      <c r="B507" s="171" t="s">
        <v>164</v>
      </c>
      <c r="C507" s="171" t="str">
        <f>VLOOKUP(B507,MEMBERS!B:C,2, )</f>
        <v>MR.ASHOK KUMAR</v>
      </c>
      <c r="D507" s="191">
        <v>46001</v>
      </c>
      <c r="E507" s="178">
        <v>1</v>
      </c>
      <c r="F507" s="171" t="s">
        <v>500</v>
      </c>
      <c r="G507" s="168">
        <f>IFERROR(VLOOKUP(F507,'menu list'!B:C,2,FALSE)*E507,"0")</f>
        <v>1250</v>
      </c>
      <c r="H507" s="337">
        <f t="shared" si="35"/>
        <v>187.5</v>
      </c>
      <c r="I507" s="168">
        <f t="shared" si="36"/>
        <v>1437.5</v>
      </c>
    </row>
    <row r="508" spans="1:9" ht="13.2">
      <c r="A508" s="170">
        <f t="shared" si="38"/>
        <v>507</v>
      </c>
      <c r="B508" s="171" t="s">
        <v>164</v>
      </c>
      <c r="C508" s="171" t="str">
        <f>VLOOKUP(B508,MEMBERS!B:C,2, )</f>
        <v>MR.ASHOK KUMAR</v>
      </c>
      <c r="D508" s="191">
        <v>46001</v>
      </c>
      <c r="E508" s="178">
        <v>4</v>
      </c>
      <c r="F508" s="171" t="s">
        <v>499</v>
      </c>
      <c r="G508" s="168">
        <f>IFERROR(VLOOKUP(F508,'menu list'!B:C,2,FALSE)*E508,"0")</f>
        <v>400</v>
      </c>
      <c r="H508" s="337">
        <f t="shared" si="35"/>
        <v>60</v>
      </c>
      <c r="I508" s="168">
        <f t="shared" si="36"/>
        <v>460</v>
      </c>
    </row>
    <row r="509" spans="1:9" ht="13.2">
      <c r="A509" s="170">
        <f t="shared" si="38"/>
        <v>508</v>
      </c>
      <c r="B509" s="171" t="s">
        <v>39</v>
      </c>
      <c r="C509" s="171" t="str">
        <f>VLOOKUP(B509,MEMBERS!B:C,2, )</f>
        <v>MR.SYED ABDULLAH ALI</v>
      </c>
      <c r="D509" s="191">
        <v>46001</v>
      </c>
      <c r="E509" s="178">
        <v>1</v>
      </c>
      <c r="F509" s="171" t="s">
        <v>499</v>
      </c>
      <c r="G509" s="168">
        <f>IFERROR(VLOOKUP(F509,'menu list'!B:C,2,FALSE)*E509,"0")</f>
        <v>100</v>
      </c>
      <c r="H509" s="337">
        <f t="shared" si="35"/>
        <v>15</v>
      </c>
      <c r="I509" s="168">
        <f t="shared" si="36"/>
        <v>115</v>
      </c>
    </row>
    <row r="510" spans="1:9" ht="13.2">
      <c r="A510" s="170">
        <f t="shared" si="38"/>
        <v>509</v>
      </c>
      <c r="B510" s="171" t="s">
        <v>39</v>
      </c>
      <c r="C510" s="171" t="str">
        <f>VLOOKUP(B510,MEMBERS!B:C,2, )</f>
        <v>MR.SYED ABDULLAH ALI</v>
      </c>
      <c r="D510" s="191">
        <v>46001</v>
      </c>
      <c r="E510" s="178">
        <v>1</v>
      </c>
      <c r="F510" s="171" t="s">
        <v>497</v>
      </c>
      <c r="G510" s="168">
        <f>IFERROR(VLOOKUP(F510,'menu list'!B:C,2,FALSE)*E510,"0")</f>
        <v>250</v>
      </c>
      <c r="H510" s="337">
        <f t="shared" si="35"/>
        <v>37.5</v>
      </c>
      <c r="I510" s="168">
        <f t="shared" si="36"/>
        <v>287.5</v>
      </c>
    </row>
    <row r="511" spans="1:9" ht="13.2">
      <c r="A511" s="170">
        <f t="shared" si="38"/>
        <v>510</v>
      </c>
      <c r="B511" s="171" t="s">
        <v>1024</v>
      </c>
      <c r="C511" s="171" t="str">
        <f>VLOOKUP(B511,MEMBERS!B:C,2, )</f>
        <v>MR. ANEEL ZAHOOR</v>
      </c>
      <c r="D511" s="191">
        <v>46001</v>
      </c>
      <c r="E511" s="178">
        <v>1</v>
      </c>
      <c r="F511" s="171" t="s">
        <v>770</v>
      </c>
      <c r="G511" s="168">
        <f>IFERROR(VLOOKUP(F511,'menu list'!B:C,2,FALSE)*E511,"0")</f>
        <v>1000</v>
      </c>
      <c r="H511" s="337">
        <f t="shared" si="35"/>
        <v>150</v>
      </c>
      <c r="I511" s="168">
        <f t="shared" si="36"/>
        <v>1150</v>
      </c>
    </row>
    <row r="512" spans="1:9" ht="13.2">
      <c r="A512" s="170">
        <f t="shared" si="38"/>
        <v>511</v>
      </c>
      <c r="B512" s="171" t="s">
        <v>1024</v>
      </c>
      <c r="C512" s="171" t="str">
        <f>VLOOKUP(B512,MEMBERS!B:C,2, )</f>
        <v>MR. ANEEL ZAHOOR</v>
      </c>
      <c r="D512" s="191">
        <v>46001</v>
      </c>
      <c r="E512" s="178">
        <v>1</v>
      </c>
      <c r="F512" s="171" t="s">
        <v>870</v>
      </c>
      <c r="G512" s="168">
        <f>IFERROR(VLOOKUP(F512,'menu list'!B:C,2,FALSE)*E512,"0")</f>
        <v>1100</v>
      </c>
      <c r="H512" s="337">
        <f t="shared" si="35"/>
        <v>165</v>
      </c>
      <c r="I512" s="168">
        <f t="shared" si="36"/>
        <v>1265</v>
      </c>
    </row>
    <row r="513" spans="1:9" ht="13.2">
      <c r="A513" s="170">
        <f t="shared" si="38"/>
        <v>512</v>
      </c>
      <c r="B513" s="171" t="s">
        <v>1024</v>
      </c>
      <c r="C513" s="171" t="str">
        <f>VLOOKUP(B513,MEMBERS!B:C,2, )</f>
        <v>MR. ANEEL ZAHOOR</v>
      </c>
      <c r="D513" s="191">
        <v>46001</v>
      </c>
      <c r="E513" s="178">
        <v>2</v>
      </c>
      <c r="F513" s="171" t="s">
        <v>504</v>
      </c>
      <c r="G513" s="168">
        <f>IFERROR(VLOOKUP(F513,'menu list'!B:C,2,FALSE)*E513,"0")</f>
        <v>260</v>
      </c>
      <c r="H513" s="337">
        <f t="shared" si="35"/>
        <v>39</v>
      </c>
      <c r="I513" s="168">
        <f t="shared" si="36"/>
        <v>299</v>
      </c>
    </row>
    <row r="514" spans="1:9" ht="13.2">
      <c r="A514" s="170">
        <f t="shared" si="38"/>
        <v>513</v>
      </c>
      <c r="B514" s="171" t="s">
        <v>1024</v>
      </c>
      <c r="C514" s="171" t="str">
        <f>VLOOKUP(B514,MEMBERS!B:C,2, )</f>
        <v>MR. ANEEL ZAHOOR</v>
      </c>
      <c r="D514" s="191">
        <v>46001</v>
      </c>
      <c r="E514" s="178">
        <v>2</v>
      </c>
      <c r="F514" s="171" t="s">
        <v>443</v>
      </c>
      <c r="G514" s="168">
        <f>IFERROR(VLOOKUP(F514,'menu list'!B:C,2,FALSE)*E514,"0")</f>
        <v>300</v>
      </c>
      <c r="H514" s="337">
        <f t="shared" si="35"/>
        <v>45</v>
      </c>
      <c r="I514" s="168">
        <f t="shared" si="36"/>
        <v>345</v>
      </c>
    </row>
    <row r="515" spans="1:9" ht="13.2">
      <c r="A515" s="170">
        <f t="shared" si="38"/>
        <v>514</v>
      </c>
      <c r="B515" s="171" t="s">
        <v>1024</v>
      </c>
      <c r="C515" s="171" t="str">
        <f>VLOOKUP(B515,MEMBERS!B:C,2, )</f>
        <v>MR. ANEEL ZAHOOR</v>
      </c>
      <c r="D515" s="191">
        <v>46001</v>
      </c>
      <c r="E515" s="178">
        <v>1</v>
      </c>
      <c r="F515" s="171" t="s">
        <v>786</v>
      </c>
      <c r="G515" s="168">
        <f>IFERROR(VLOOKUP(F515,'menu list'!B:C,2,FALSE)*E515,"0")</f>
        <v>1150</v>
      </c>
      <c r="H515" s="337">
        <f t="shared" ref="H515:H578" si="40">G515*15/100</f>
        <v>172.5</v>
      </c>
      <c r="I515" s="168">
        <f t="shared" ref="I515:I578" si="41">G515+H515</f>
        <v>1322.5</v>
      </c>
    </row>
    <row r="516" spans="1:9" ht="13.2">
      <c r="A516" s="170">
        <f t="shared" si="38"/>
        <v>515</v>
      </c>
      <c r="B516" s="171" t="s">
        <v>1024</v>
      </c>
      <c r="C516" s="171" t="str">
        <f>VLOOKUP(B516,MEMBERS!B:C,2, )</f>
        <v>MR. ANEEL ZAHOOR</v>
      </c>
      <c r="D516" s="191">
        <v>46001</v>
      </c>
      <c r="E516" s="178">
        <v>1</v>
      </c>
      <c r="F516" s="171" t="s">
        <v>915</v>
      </c>
      <c r="G516" s="168">
        <f>IFERROR(VLOOKUP(F516,'menu list'!B:C,2,FALSE)*E516,"0")</f>
        <v>999</v>
      </c>
      <c r="H516" s="337">
        <f t="shared" si="40"/>
        <v>149.85</v>
      </c>
      <c r="I516" s="168">
        <f t="shared" si="41"/>
        <v>1148.8499999999999</v>
      </c>
    </row>
    <row r="517" spans="1:9" ht="13.2">
      <c r="A517" s="170">
        <f t="shared" si="38"/>
        <v>516</v>
      </c>
      <c r="B517" s="171" t="s">
        <v>235</v>
      </c>
      <c r="C517" s="171" t="str">
        <f>VLOOKUP(B517,MEMBERS!B:C,2, )</f>
        <v>MR.IMRAN WAZEER</v>
      </c>
      <c r="D517" s="191">
        <v>46001</v>
      </c>
      <c r="E517" s="178">
        <v>1</v>
      </c>
      <c r="F517" s="171" t="s">
        <v>440</v>
      </c>
      <c r="G517" s="168">
        <f>IFERROR(VLOOKUP(F517,'menu list'!B:C,2,FALSE)*E517,"0")</f>
        <v>150</v>
      </c>
      <c r="H517" s="337">
        <f t="shared" si="40"/>
        <v>22.5</v>
      </c>
      <c r="I517" s="168">
        <f t="shared" si="41"/>
        <v>172.5</v>
      </c>
    </row>
    <row r="518" spans="1:9" ht="13.2">
      <c r="A518" s="170">
        <f t="shared" ref="A518:A522" si="42">IF(D518&lt;&gt;"", ROW()-1, "")</f>
        <v>517</v>
      </c>
      <c r="B518" s="171" t="s">
        <v>235</v>
      </c>
      <c r="C518" s="171" t="str">
        <f>VLOOKUP(B518,MEMBERS!B:C,2, )</f>
        <v>MR.IMRAN WAZEER</v>
      </c>
      <c r="D518" s="191">
        <v>46001</v>
      </c>
      <c r="E518" s="178">
        <v>1</v>
      </c>
      <c r="F518" s="171" t="s">
        <v>801</v>
      </c>
      <c r="G518" s="168">
        <f>IFERROR(VLOOKUP(F518,'menu list'!B:C,2,FALSE)*E518,"0")</f>
        <v>700</v>
      </c>
      <c r="H518" s="337">
        <f t="shared" si="40"/>
        <v>105</v>
      </c>
      <c r="I518" s="168">
        <f t="shared" si="41"/>
        <v>805</v>
      </c>
    </row>
    <row r="519" spans="1:9" ht="13.2">
      <c r="A519" s="170">
        <f t="shared" si="42"/>
        <v>518</v>
      </c>
      <c r="B519" s="171" t="s">
        <v>235</v>
      </c>
      <c r="C519" s="171" t="str">
        <f>VLOOKUP(B519,MEMBERS!B:C,2, )</f>
        <v>MR.IMRAN WAZEER</v>
      </c>
      <c r="D519" s="191">
        <v>46001</v>
      </c>
      <c r="E519" s="178">
        <v>2</v>
      </c>
      <c r="F519" s="171" t="s">
        <v>803</v>
      </c>
      <c r="G519" s="168">
        <f>IFERROR(VLOOKUP(F519,'menu list'!B:C,2,FALSE)*E519,"0")</f>
        <v>500</v>
      </c>
      <c r="H519" s="337">
        <f t="shared" si="40"/>
        <v>75</v>
      </c>
      <c r="I519" s="168">
        <f t="shared" si="41"/>
        <v>575</v>
      </c>
    </row>
    <row r="520" spans="1:9" ht="13.2">
      <c r="A520" s="170">
        <f t="shared" si="42"/>
        <v>519</v>
      </c>
      <c r="B520" s="171" t="s">
        <v>235</v>
      </c>
      <c r="C520" s="171" t="str">
        <f>VLOOKUP(B520,MEMBERS!B:C,2, )</f>
        <v>MR.IMRAN WAZEER</v>
      </c>
      <c r="D520" s="191">
        <v>46001</v>
      </c>
      <c r="E520" s="178">
        <v>1</v>
      </c>
      <c r="F520" s="171" t="s">
        <v>497</v>
      </c>
      <c r="G520" s="168">
        <f>IFERROR(VLOOKUP(F520,'menu list'!B:C,2,FALSE)*E520,"0")</f>
        <v>250</v>
      </c>
      <c r="H520" s="337">
        <f t="shared" si="40"/>
        <v>37.5</v>
      </c>
      <c r="I520" s="168">
        <f t="shared" si="41"/>
        <v>287.5</v>
      </c>
    </row>
    <row r="521" spans="1:9" ht="13.2">
      <c r="A521" s="170">
        <f t="shared" si="42"/>
        <v>520</v>
      </c>
      <c r="B521" s="171" t="s">
        <v>235</v>
      </c>
      <c r="C521" s="171" t="str">
        <f>VLOOKUP(B521,MEMBERS!B:C,2, )</f>
        <v>MR.IMRAN WAZEER</v>
      </c>
      <c r="D521" s="191">
        <v>46001</v>
      </c>
      <c r="E521" s="178">
        <v>1</v>
      </c>
      <c r="F521" s="171" t="s">
        <v>634</v>
      </c>
      <c r="G521" s="168">
        <f>IFERROR(VLOOKUP(F521,'menu list'!B:C,2,FALSE)*E521,"0")</f>
        <v>500</v>
      </c>
      <c r="H521" s="337">
        <f t="shared" si="40"/>
        <v>75</v>
      </c>
      <c r="I521" s="168">
        <f t="shared" si="41"/>
        <v>575</v>
      </c>
    </row>
    <row r="522" spans="1:9" ht="13.2">
      <c r="A522" s="170">
        <f t="shared" si="42"/>
        <v>521</v>
      </c>
      <c r="B522" s="171" t="s">
        <v>15</v>
      </c>
      <c r="C522" s="171" t="str">
        <f>VLOOKUP(B522,MEMBERS!B:C,2, )</f>
        <v>MR.GHULAM NABI OTHI</v>
      </c>
      <c r="D522" s="191">
        <v>46002</v>
      </c>
      <c r="E522" s="178">
        <v>1</v>
      </c>
      <c r="F522" s="171" t="s">
        <v>503</v>
      </c>
      <c r="G522" s="168">
        <f>IFERROR(VLOOKUP(F522,'menu list'!B:C,2,FALSE)*E522,"0")</f>
        <v>1200</v>
      </c>
      <c r="H522" s="337">
        <f t="shared" si="40"/>
        <v>180</v>
      </c>
      <c r="I522" s="168">
        <f t="shared" si="41"/>
        <v>1380</v>
      </c>
    </row>
    <row r="523" spans="1:9" ht="13.2">
      <c r="A523" s="170">
        <f t="shared" ref="A523:A556" si="43">IF(D523&lt;&gt;"", ROW()-1, "")</f>
        <v>522</v>
      </c>
      <c r="B523" s="171" t="s">
        <v>15</v>
      </c>
      <c r="C523" s="171" t="str">
        <f>VLOOKUP(B523,MEMBERS!B:C,2, )</f>
        <v>MR.GHULAM NABI OTHI</v>
      </c>
      <c r="D523" s="191">
        <v>46002</v>
      </c>
      <c r="E523" s="178">
        <v>2</v>
      </c>
      <c r="F523" s="171" t="s">
        <v>440</v>
      </c>
      <c r="G523" s="168">
        <f>IFERROR(VLOOKUP(F523,'menu list'!B:C,2,FALSE)*E523,"0")</f>
        <v>300</v>
      </c>
      <c r="H523" s="337">
        <f t="shared" si="40"/>
        <v>45</v>
      </c>
      <c r="I523" s="168">
        <f t="shared" si="41"/>
        <v>345</v>
      </c>
    </row>
    <row r="524" spans="1:9" ht="13.2">
      <c r="A524" s="170">
        <f t="shared" si="43"/>
        <v>523</v>
      </c>
      <c r="B524" s="171" t="s">
        <v>15</v>
      </c>
      <c r="C524" s="171" t="str">
        <f>VLOOKUP(B524,MEMBERS!B:C,2, )</f>
        <v>MR.GHULAM NABI OTHI</v>
      </c>
      <c r="D524" s="191">
        <v>46002</v>
      </c>
      <c r="E524" s="178">
        <v>2</v>
      </c>
      <c r="F524" s="171" t="s">
        <v>915</v>
      </c>
      <c r="G524" s="168">
        <f>IFERROR(VLOOKUP(F524,'menu list'!B:C,2,FALSE)*E524,"0")</f>
        <v>1998</v>
      </c>
      <c r="H524" s="337">
        <f t="shared" si="40"/>
        <v>299.7</v>
      </c>
      <c r="I524" s="168">
        <f t="shared" si="41"/>
        <v>2297.6999999999998</v>
      </c>
    </row>
    <row r="525" spans="1:9" ht="13.2">
      <c r="A525" s="170">
        <f t="shared" si="43"/>
        <v>524</v>
      </c>
      <c r="B525" s="171" t="s">
        <v>15</v>
      </c>
      <c r="C525" s="171" t="str">
        <f>VLOOKUP(B525,MEMBERS!B:C,2, )</f>
        <v>MR.GHULAM NABI OTHI</v>
      </c>
      <c r="D525" s="191">
        <v>46002</v>
      </c>
      <c r="E525" s="178">
        <v>1</v>
      </c>
      <c r="F525" s="171" t="s">
        <v>786</v>
      </c>
      <c r="G525" s="168">
        <f>IFERROR(VLOOKUP(F525,'menu list'!B:C,2,FALSE)*E525,"0")</f>
        <v>1150</v>
      </c>
      <c r="H525" s="337">
        <f t="shared" si="40"/>
        <v>172.5</v>
      </c>
      <c r="I525" s="168">
        <f t="shared" si="41"/>
        <v>1322.5</v>
      </c>
    </row>
    <row r="526" spans="1:9" ht="13.2">
      <c r="A526" s="170">
        <f t="shared" si="43"/>
        <v>525</v>
      </c>
      <c r="B526" s="171" t="s">
        <v>15</v>
      </c>
      <c r="C526" s="171" t="str">
        <f>VLOOKUP(B526,MEMBERS!B:C,2, )</f>
        <v>MR.GHULAM NABI OTHI</v>
      </c>
      <c r="D526" s="191">
        <v>46002</v>
      </c>
      <c r="E526" s="178">
        <v>1</v>
      </c>
      <c r="F526" s="171" t="s">
        <v>770</v>
      </c>
      <c r="G526" s="168">
        <f>IFERROR(VLOOKUP(F526,'menu list'!B:C,2,FALSE)*E526,"0")</f>
        <v>1000</v>
      </c>
      <c r="H526" s="337">
        <f t="shared" si="40"/>
        <v>150</v>
      </c>
      <c r="I526" s="168">
        <f t="shared" si="41"/>
        <v>1150</v>
      </c>
    </row>
    <row r="527" spans="1:9" ht="13.2">
      <c r="A527" s="170">
        <f t="shared" si="43"/>
        <v>526</v>
      </c>
      <c r="B527" s="171" t="s">
        <v>15</v>
      </c>
      <c r="C527" s="171" t="str">
        <f>VLOOKUP(B527,MEMBERS!B:C,2, )</f>
        <v>MR.GHULAM NABI OTHI</v>
      </c>
      <c r="D527" s="191">
        <v>46002</v>
      </c>
      <c r="E527" s="178">
        <v>2</v>
      </c>
      <c r="F527" s="171" t="s">
        <v>939</v>
      </c>
      <c r="G527" s="168">
        <f>IFERROR(VLOOKUP(F527,'menu list'!B:C,2,FALSE)*E527,"0")</f>
        <v>2400</v>
      </c>
      <c r="H527" s="337">
        <f t="shared" si="40"/>
        <v>360</v>
      </c>
      <c r="I527" s="168">
        <f t="shared" si="41"/>
        <v>2760</v>
      </c>
    </row>
    <row r="528" spans="1:9" ht="13.2">
      <c r="A528" s="170">
        <f t="shared" si="43"/>
        <v>527</v>
      </c>
      <c r="B528" s="171" t="s">
        <v>15</v>
      </c>
      <c r="C528" s="171" t="str">
        <f>VLOOKUP(B528,MEMBERS!B:C,2, )</f>
        <v>MR.GHULAM NABI OTHI</v>
      </c>
      <c r="D528" s="191">
        <v>46002</v>
      </c>
      <c r="E528" s="178">
        <v>4</v>
      </c>
      <c r="F528" s="171" t="s">
        <v>504</v>
      </c>
      <c r="G528" s="168">
        <f>IFERROR(VLOOKUP(F528,'menu list'!B:C,2,FALSE)*E528,"0")</f>
        <v>520</v>
      </c>
      <c r="H528" s="337">
        <f t="shared" si="40"/>
        <v>78</v>
      </c>
      <c r="I528" s="168">
        <f t="shared" si="41"/>
        <v>598</v>
      </c>
    </row>
    <row r="529" spans="1:9" ht="13.2">
      <c r="A529" s="170">
        <f t="shared" si="43"/>
        <v>528</v>
      </c>
      <c r="B529" s="171" t="s">
        <v>15</v>
      </c>
      <c r="C529" s="171" t="str">
        <f>VLOOKUP(B529,MEMBERS!B:C,2, )</f>
        <v>MR.GHULAM NABI OTHI</v>
      </c>
      <c r="D529" s="191">
        <v>46002</v>
      </c>
      <c r="E529" s="178">
        <v>1</v>
      </c>
      <c r="F529" s="171" t="s">
        <v>441</v>
      </c>
      <c r="G529" s="168">
        <f>IFERROR(VLOOKUP(F529,'menu list'!B:C,2,FALSE)*E529,"0")</f>
        <v>200</v>
      </c>
      <c r="H529" s="337">
        <f t="shared" si="40"/>
        <v>30</v>
      </c>
      <c r="I529" s="168">
        <f t="shared" si="41"/>
        <v>230</v>
      </c>
    </row>
    <row r="530" spans="1:9" ht="13.2">
      <c r="A530" s="170">
        <f t="shared" si="43"/>
        <v>529</v>
      </c>
      <c r="B530" s="171" t="s">
        <v>15</v>
      </c>
      <c r="C530" s="171" t="str">
        <f>VLOOKUP(B530,MEMBERS!B:C,2, )</f>
        <v>MR.GHULAM NABI OTHI</v>
      </c>
      <c r="D530" s="191">
        <v>46002</v>
      </c>
      <c r="E530" s="178">
        <v>2</v>
      </c>
      <c r="F530" s="171" t="s">
        <v>439</v>
      </c>
      <c r="G530" s="168">
        <f>IFERROR(VLOOKUP(F530,'menu list'!B:C,2,FALSE)*E530,"0")</f>
        <v>140</v>
      </c>
      <c r="H530" s="337">
        <f t="shared" si="40"/>
        <v>21</v>
      </c>
      <c r="I530" s="168">
        <f t="shared" si="41"/>
        <v>161</v>
      </c>
    </row>
    <row r="531" spans="1:9" ht="13.2">
      <c r="A531" s="170">
        <f t="shared" si="43"/>
        <v>530</v>
      </c>
      <c r="B531" s="171" t="s">
        <v>15</v>
      </c>
      <c r="C531" s="171" t="str">
        <f>VLOOKUP(B531,MEMBERS!B:C,2, )</f>
        <v>MR.GHULAM NABI OTHI</v>
      </c>
      <c r="D531" s="191">
        <v>46002</v>
      </c>
      <c r="E531" s="178">
        <v>3</v>
      </c>
      <c r="F531" s="171" t="s">
        <v>593</v>
      </c>
      <c r="G531" s="168">
        <f>IFERROR(VLOOKUP(F531,'menu list'!B:C,2,FALSE)*E531,"0")</f>
        <v>900</v>
      </c>
      <c r="H531" s="337">
        <f t="shared" si="40"/>
        <v>135</v>
      </c>
      <c r="I531" s="168">
        <f t="shared" si="41"/>
        <v>1035</v>
      </c>
    </row>
    <row r="532" spans="1:9" ht="13.2">
      <c r="A532" s="170">
        <f t="shared" si="43"/>
        <v>531</v>
      </c>
      <c r="B532" s="171" t="s">
        <v>273</v>
      </c>
      <c r="C532" s="171" t="str">
        <f>VLOOKUP(B532,MEMBERS!B:C,2, )</f>
        <v>MR.SYED MURTAZA ALI</v>
      </c>
      <c r="D532" s="191">
        <v>46002</v>
      </c>
      <c r="E532" s="178">
        <v>1</v>
      </c>
      <c r="F532" s="171" t="s">
        <v>844</v>
      </c>
      <c r="G532" s="168">
        <f>IFERROR(VLOOKUP(F532,'menu list'!B:C,2,FALSE)*E532,"0")</f>
        <v>900</v>
      </c>
      <c r="H532" s="337">
        <f t="shared" si="40"/>
        <v>135</v>
      </c>
      <c r="I532" s="168">
        <f t="shared" si="41"/>
        <v>1035</v>
      </c>
    </row>
    <row r="533" spans="1:9" ht="13.2">
      <c r="A533" s="170">
        <f t="shared" si="43"/>
        <v>532</v>
      </c>
      <c r="B533" s="171" t="s">
        <v>273</v>
      </c>
      <c r="C533" s="171" t="str">
        <f>VLOOKUP(B533,MEMBERS!B:C,2, )</f>
        <v>MR.SYED MURTAZA ALI</v>
      </c>
      <c r="D533" s="191">
        <v>46002</v>
      </c>
      <c r="E533" s="178">
        <v>1</v>
      </c>
      <c r="F533" s="171" t="s">
        <v>803</v>
      </c>
      <c r="G533" s="168">
        <f>IFERROR(VLOOKUP(F533,'menu list'!B:C,2,FALSE)*E533,"0")</f>
        <v>250</v>
      </c>
      <c r="H533" s="337">
        <f t="shared" si="40"/>
        <v>37.5</v>
      </c>
      <c r="I533" s="168">
        <f t="shared" si="41"/>
        <v>287.5</v>
      </c>
    </row>
    <row r="534" spans="1:9" ht="13.2">
      <c r="A534" s="170">
        <f t="shared" si="43"/>
        <v>533</v>
      </c>
      <c r="B534" s="171" t="s">
        <v>273</v>
      </c>
      <c r="C534" s="171" t="str">
        <f>VLOOKUP(B534,MEMBERS!B:C,2, )</f>
        <v>MR.SYED MURTAZA ALI</v>
      </c>
      <c r="D534" s="191">
        <v>46002</v>
      </c>
      <c r="E534" s="178">
        <v>1</v>
      </c>
      <c r="F534" s="171" t="s">
        <v>442</v>
      </c>
      <c r="G534" s="168">
        <f>IFERROR(VLOOKUP(F534,'menu list'!B:C,2,FALSE)*E534,"0")</f>
        <v>150</v>
      </c>
      <c r="H534" s="337">
        <f t="shared" si="40"/>
        <v>22.5</v>
      </c>
      <c r="I534" s="168">
        <f t="shared" si="41"/>
        <v>172.5</v>
      </c>
    </row>
    <row r="535" spans="1:9" ht="13.2">
      <c r="A535" s="170">
        <f t="shared" si="43"/>
        <v>534</v>
      </c>
      <c r="B535" s="171" t="s">
        <v>263</v>
      </c>
      <c r="C535" s="171" t="str">
        <f>VLOOKUP(B535,MEMBERS!B:C,2, )</f>
        <v>MR.CAREL HEDRIK BURGER</v>
      </c>
      <c r="D535" s="191">
        <v>46002</v>
      </c>
      <c r="E535" s="178">
        <v>2</v>
      </c>
      <c r="F535" s="171" t="s">
        <v>640</v>
      </c>
      <c r="G535" s="168">
        <f>IFERROR(VLOOKUP(F535,'menu list'!B:C,2,FALSE)*E535,"0")</f>
        <v>400</v>
      </c>
      <c r="H535" s="337">
        <f t="shared" si="40"/>
        <v>60</v>
      </c>
      <c r="I535" s="168">
        <f t="shared" si="41"/>
        <v>460</v>
      </c>
    </row>
    <row r="536" spans="1:9" ht="13.2">
      <c r="A536" s="170">
        <f t="shared" si="43"/>
        <v>535</v>
      </c>
      <c r="B536" s="171" t="s">
        <v>263</v>
      </c>
      <c r="C536" s="171" t="str">
        <f>VLOOKUP(B536,MEMBERS!B:C,2, )</f>
        <v>MR.CAREL HEDRIK BURGER</v>
      </c>
      <c r="D536" s="191">
        <v>46002</v>
      </c>
      <c r="E536" s="178">
        <v>1</v>
      </c>
      <c r="F536" s="171" t="s">
        <v>500</v>
      </c>
      <c r="G536" s="168">
        <f>IFERROR(VLOOKUP(F536,'menu list'!B:C,2,FALSE)*E536,"0")</f>
        <v>1250</v>
      </c>
      <c r="H536" s="337">
        <f t="shared" si="40"/>
        <v>187.5</v>
      </c>
      <c r="I536" s="168">
        <f t="shared" si="41"/>
        <v>1437.5</v>
      </c>
    </row>
    <row r="537" spans="1:9" ht="13.2">
      <c r="A537" s="170">
        <f t="shared" si="43"/>
        <v>536</v>
      </c>
      <c r="B537" s="171" t="s">
        <v>69</v>
      </c>
      <c r="C537" s="171" t="str">
        <f>VLOOKUP(B537,MEMBERS!B:C,2, )</f>
        <v>MR.TARIQUE ZUBAIR</v>
      </c>
      <c r="D537" s="191">
        <v>46002</v>
      </c>
      <c r="E537" s="178">
        <v>4</v>
      </c>
      <c r="F537" s="171" t="s">
        <v>439</v>
      </c>
      <c r="G537" s="168">
        <f>IFERROR(VLOOKUP(F537,'menu list'!B:C,2,FALSE)*E537,"0")</f>
        <v>280</v>
      </c>
      <c r="H537" s="337">
        <f t="shared" si="40"/>
        <v>42</v>
      </c>
      <c r="I537" s="168">
        <f t="shared" si="41"/>
        <v>322</v>
      </c>
    </row>
    <row r="538" spans="1:9" ht="13.2">
      <c r="A538" s="170">
        <f t="shared" si="43"/>
        <v>537</v>
      </c>
      <c r="B538" s="171" t="s">
        <v>69</v>
      </c>
      <c r="C538" s="171" t="str">
        <f>VLOOKUP(B538,MEMBERS!B:C,2, )</f>
        <v>MR.TARIQUE ZUBAIR</v>
      </c>
      <c r="D538" s="191">
        <v>46002</v>
      </c>
      <c r="E538" s="178">
        <v>1</v>
      </c>
      <c r="F538" s="171" t="s">
        <v>939</v>
      </c>
      <c r="G538" s="168">
        <f>IFERROR(VLOOKUP(F538,'menu list'!B:C,2,FALSE)*E538,"0")</f>
        <v>1200</v>
      </c>
      <c r="H538" s="337">
        <f t="shared" si="40"/>
        <v>180</v>
      </c>
      <c r="I538" s="168">
        <f t="shared" si="41"/>
        <v>1380</v>
      </c>
    </row>
    <row r="539" spans="1:9" ht="13.2">
      <c r="A539" s="170">
        <f t="shared" si="43"/>
        <v>538</v>
      </c>
      <c r="B539" s="171" t="s">
        <v>376</v>
      </c>
      <c r="C539" s="171" t="str">
        <f>VLOOKUP(B539,MEMBERS!B:C,2, )</f>
        <v>KHURRAM FIRDOUS</v>
      </c>
      <c r="D539" s="191">
        <v>46003</v>
      </c>
      <c r="E539" s="178">
        <v>2</v>
      </c>
      <c r="F539" s="171" t="s">
        <v>442</v>
      </c>
      <c r="G539" s="168">
        <f>IFERROR(VLOOKUP(F539,'menu list'!B:C,2,FALSE)*E539,"0")</f>
        <v>300</v>
      </c>
      <c r="H539" s="337">
        <f t="shared" si="40"/>
        <v>45</v>
      </c>
      <c r="I539" s="168">
        <f t="shared" si="41"/>
        <v>345</v>
      </c>
    </row>
    <row r="540" spans="1:9" ht="13.2">
      <c r="A540" s="170">
        <f t="shared" si="43"/>
        <v>539</v>
      </c>
      <c r="B540" s="171" t="s">
        <v>395</v>
      </c>
      <c r="C540" s="171" t="str">
        <f>VLOOKUP(B540,MEMBERS!B:C,2, )</f>
        <v>BAHRIA INTERNATIONAL HOSPITAL</v>
      </c>
      <c r="D540" s="191">
        <v>46003</v>
      </c>
      <c r="E540" s="178">
        <v>30</v>
      </c>
      <c r="F540" s="171" t="s">
        <v>775</v>
      </c>
      <c r="G540" s="168">
        <f>IFERROR(VLOOKUP(F540,'menu list'!B:C,2,FALSE)*E540,"0")</f>
        <v>3000</v>
      </c>
      <c r="H540" s="337"/>
      <c r="I540" s="168">
        <f t="shared" si="41"/>
        <v>3000</v>
      </c>
    </row>
    <row r="541" spans="1:9" ht="13.2">
      <c r="A541" s="170">
        <f t="shared" si="43"/>
        <v>540</v>
      </c>
      <c r="B541" s="171" t="s">
        <v>395</v>
      </c>
      <c r="C541" s="171" t="str">
        <f>VLOOKUP(B541,MEMBERS!B:C,2, )</f>
        <v>BAHRIA INTERNATIONAL HOSPITAL</v>
      </c>
      <c r="D541" s="191">
        <v>46003</v>
      </c>
      <c r="E541" s="178">
        <v>11</v>
      </c>
      <c r="F541" s="171" t="s">
        <v>516</v>
      </c>
      <c r="G541" s="168">
        <f>IFERROR(VLOOKUP(F541,'menu list'!B:C,2,FALSE)*E541,"0")</f>
        <v>2750</v>
      </c>
      <c r="H541" s="337"/>
      <c r="I541" s="168">
        <f t="shared" si="41"/>
        <v>2750</v>
      </c>
    </row>
    <row r="542" spans="1:9" ht="13.2">
      <c r="A542" s="170">
        <f t="shared" si="43"/>
        <v>541</v>
      </c>
      <c r="B542" s="171" t="s">
        <v>395</v>
      </c>
      <c r="C542" s="171" t="str">
        <f>VLOOKUP(B542,MEMBERS!B:C,2, )</f>
        <v>BAHRIA INTERNATIONAL HOSPITAL</v>
      </c>
      <c r="D542" s="191">
        <v>46003</v>
      </c>
      <c r="E542" s="178">
        <v>8</v>
      </c>
      <c r="F542" s="171" t="s">
        <v>515</v>
      </c>
      <c r="G542" s="168">
        <f>IFERROR(VLOOKUP(F542,'menu list'!B:C,2,FALSE)*E542,"0")</f>
        <v>3200</v>
      </c>
      <c r="H542" s="337"/>
      <c r="I542" s="168">
        <f t="shared" si="41"/>
        <v>3200</v>
      </c>
    </row>
    <row r="543" spans="1:9" ht="13.2">
      <c r="A543" s="170">
        <f t="shared" si="43"/>
        <v>542</v>
      </c>
      <c r="B543" s="171" t="s">
        <v>15</v>
      </c>
      <c r="C543" s="171" t="str">
        <f>VLOOKUP(B543,MEMBERS!B:C,2, )</f>
        <v>MR.GHULAM NABI OTHI</v>
      </c>
      <c r="D543" s="191">
        <v>46003</v>
      </c>
      <c r="E543" s="178">
        <v>1</v>
      </c>
      <c r="F543" s="171" t="s">
        <v>733</v>
      </c>
      <c r="G543" s="168">
        <f>IFERROR(VLOOKUP(F543,'menu list'!B:C,2,FALSE)*E543,"0")</f>
        <v>300</v>
      </c>
      <c r="H543" s="337">
        <f t="shared" si="40"/>
        <v>45</v>
      </c>
      <c r="I543" s="168">
        <f t="shared" si="41"/>
        <v>345</v>
      </c>
    </row>
    <row r="544" spans="1:9" ht="13.2">
      <c r="A544" s="170">
        <f t="shared" si="43"/>
        <v>543</v>
      </c>
      <c r="B544" s="171" t="s">
        <v>15</v>
      </c>
      <c r="C544" s="171" t="str">
        <f>VLOOKUP(B544,MEMBERS!B:C,2, )</f>
        <v>MR.GHULAM NABI OTHI</v>
      </c>
      <c r="D544" s="191">
        <v>46003</v>
      </c>
      <c r="E544" s="178">
        <v>16</v>
      </c>
      <c r="F544" s="171" t="s">
        <v>628</v>
      </c>
      <c r="G544" s="168">
        <f>IFERROR(VLOOKUP(F544,'menu list'!B:C,2,FALSE)*E544,"0")</f>
        <v>8800</v>
      </c>
      <c r="H544" s="337">
        <f t="shared" si="40"/>
        <v>1320</v>
      </c>
      <c r="I544" s="168">
        <f t="shared" si="41"/>
        <v>10120</v>
      </c>
    </row>
    <row r="545" spans="1:9" ht="13.2">
      <c r="A545" s="170">
        <f t="shared" si="43"/>
        <v>544</v>
      </c>
      <c r="B545" s="171" t="s">
        <v>273</v>
      </c>
      <c r="C545" s="171" t="str">
        <f>VLOOKUP(B545,MEMBERS!B:C,2, )</f>
        <v>MR.SYED MURTAZA ALI</v>
      </c>
      <c r="D545" s="191">
        <v>46003</v>
      </c>
      <c r="E545" s="178">
        <v>2</v>
      </c>
      <c r="F545" s="171" t="s">
        <v>833</v>
      </c>
      <c r="G545" s="168">
        <f>IFERROR(VLOOKUP(F545,'menu list'!B:C,2,FALSE)*E545,"0")</f>
        <v>700</v>
      </c>
      <c r="H545" s="337">
        <f t="shared" si="40"/>
        <v>105</v>
      </c>
      <c r="I545" s="168">
        <f t="shared" si="41"/>
        <v>805</v>
      </c>
    </row>
    <row r="546" spans="1:9" ht="13.2">
      <c r="A546" s="170">
        <f t="shared" si="43"/>
        <v>545</v>
      </c>
      <c r="B546" s="171" t="s">
        <v>376</v>
      </c>
      <c r="C546" s="171" t="str">
        <f>VLOOKUP(B546,MEMBERS!B:C,2, )</f>
        <v>KHURRAM FIRDOUS</v>
      </c>
      <c r="D546" s="191">
        <v>46003</v>
      </c>
      <c r="E546" s="178">
        <v>1</v>
      </c>
      <c r="F546" s="171" t="s">
        <v>440</v>
      </c>
      <c r="G546" s="168">
        <f>IFERROR(VLOOKUP(F546,'menu list'!B:C,2,FALSE)*E546,"0")</f>
        <v>150</v>
      </c>
      <c r="H546" s="337">
        <f t="shared" si="40"/>
        <v>22.5</v>
      </c>
      <c r="I546" s="168">
        <f t="shared" si="41"/>
        <v>172.5</v>
      </c>
    </row>
    <row r="547" spans="1:9" ht="13.2">
      <c r="A547" s="170">
        <f t="shared" si="43"/>
        <v>546</v>
      </c>
      <c r="B547" s="171" t="s">
        <v>376</v>
      </c>
      <c r="C547" s="171" t="str">
        <f>VLOOKUP(B547,MEMBERS!B:C,2, )</f>
        <v>KHURRAM FIRDOUS</v>
      </c>
      <c r="D547" s="191">
        <v>46003</v>
      </c>
      <c r="E547" s="178">
        <v>1</v>
      </c>
      <c r="F547" s="171" t="s">
        <v>775</v>
      </c>
      <c r="G547" s="168">
        <f>IFERROR(VLOOKUP(F547,'menu list'!B:C,2,FALSE)*E547,"0")</f>
        <v>100</v>
      </c>
      <c r="H547" s="337">
        <f t="shared" si="40"/>
        <v>15</v>
      </c>
      <c r="I547" s="168">
        <f t="shared" si="41"/>
        <v>115</v>
      </c>
    </row>
    <row r="548" spans="1:9" ht="13.2">
      <c r="A548" s="170">
        <f t="shared" si="43"/>
        <v>547</v>
      </c>
      <c r="B548" s="171" t="s">
        <v>376</v>
      </c>
      <c r="C548" s="171" t="str">
        <f>VLOOKUP(B548,MEMBERS!B:C,2, )</f>
        <v>KHURRAM FIRDOUS</v>
      </c>
      <c r="D548" s="191">
        <v>46003</v>
      </c>
      <c r="E548" s="178">
        <v>1</v>
      </c>
      <c r="F548" s="171" t="s">
        <v>498</v>
      </c>
      <c r="G548" s="168">
        <f>IFERROR(VLOOKUP(F548,'menu list'!B:C,2,FALSE)*E548,"0")</f>
        <v>200</v>
      </c>
      <c r="H548" s="337">
        <f t="shared" si="40"/>
        <v>30</v>
      </c>
      <c r="I548" s="168">
        <f t="shared" si="41"/>
        <v>230</v>
      </c>
    </row>
    <row r="549" spans="1:9" ht="13.2">
      <c r="A549" s="170">
        <f t="shared" si="43"/>
        <v>548</v>
      </c>
      <c r="B549" s="171" t="s">
        <v>376</v>
      </c>
      <c r="C549" s="171" t="str">
        <f>VLOOKUP(B549,MEMBERS!B:C,2, )</f>
        <v>KHURRAM FIRDOUS</v>
      </c>
      <c r="D549" s="191">
        <v>46003</v>
      </c>
      <c r="E549" s="178">
        <v>1</v>
      </c>
      <c r="F549" s="171" t="s">
        <v>787</v>
      </c>
      <c r="G549" s="168">
        <f>IFERROR(VLOOKUP(F549,'menu list'!B:C,2,FALSE)*E549,"0")</f>
        <v>900</v>
      </c>
      <c r="H549" s="337">
        <f t="shared" si="40"/>
        <v>135</v>
      </c>
      <c r="I549" s="168">
        <f t="shared" si="41"/>
        <v>1035</v>
      </c>
    </row>
    <row r="550" spans="1:9" ht="13.2">
      <c r="A550" s="170">
        <f t="shared" si="43"/>
        <v>549</v>
      </c>
      <c r="B550" s="171" t="s">
        <v>376</v>
      </c>
      <c r="C550" s="171" t="str">
        <f>VLOOKUP(B550,MEMBERS!B:C,2, )</f>
        <v>KHURRAM FIRDOUS</v>
      </c>
      <c r="D550" s="191">
        <v>46003</v>
      </c>
      <c r="E550" s="178">
        <v>2</v>
      </c>
      <c r="F550" s="171" t="s">
        <v>500</v>
      </c>
      <c r="G550" s="168">
        <f>IFERROR(VLOOKUP(F550,'menu list'!B:C,2,FALSE)*E550,"0")</f>
        <v>2500</v>
      </c>
      <c r="H550" s="337">
        <f t="shared" si="40"/>
        <v>375</v>
      </c>
      <c r="I550" s="168">
        <f t="shared" si="41"/>
        <v>2875</v>
      </c>
    </row>
    <row r="551" spans="1:9" ht="13.2">
      <c r="A551" s="170">
        <f t="shared" si="43"/>
        <v>550</v>
      </c>
      <c r="B551" s="171" t="s">
        <v>376</v>
      </c>
      <c r="C551" s="171" t="str">
        <f>VLOOKUP(B551,MEMBERS!B:C,2, )</f>
        <v>KHURRAM FIRDOUS</v>
      </c>
      <c r="D551" s="191">
        <v>46003</v>
      </c>
      <c r="E551" s="178">
        <v>1</v>
      </c>
      <c r="F551" s="171" t="s">
        <v>901</v>
      </c>
      <c r="G551" s="168">
        <f>IFERROR(VLOOKUP(F551,'menu list'!B:C,2,FALSE)*E551,"0")</f>
        <v>800</v>
      </c>
      <c r="H551" s="337">
        <f t="shared" si="40"/>
        <v>120</v>
      </c>
      <c r="I551" s="168">
        <f t="shared" si="41"/>
        <v>920</v>
      </c>
    </row>
    <row r="552" spans="1:9" ht="13.2">
      <c r="A552" s="170">
        <f t="shared" si="43"/>
        <v>551</v>
      </c>
      <c r="B552" s="171" t="s">
        <v>376</v>
      </c>
      <c r="C552" s="171" t="str">
        <f>VLOOKUP(B552,MEMBERS!B:C,2, )</f>
        <v>KHURRAM FIRDOUS</v>
      </c>
      <c r="D552" s="191">
        <v>46003</v>
      </c>
      <c r="E552" s="178">
        <v>1</v>
      </c>
      <c r="F552" s="171" t="s">
        <v>497</v>
      </c>
      <c r="G552" s="168">
        <f>IFERROR(VLOOKUP(F552,'menu list'!B:C,2,FALSE)*E552,"0")</f>
        <v>250</v>
      </c>
      <c r="H552" s="337">
        <f t="shared" si="40"/>
        <v>37.5</v>
      </c>
      <c r="I552" s="168">
        <f t="shared" si="41"/>
        <v>287.5</v>
      </c>
    </row>
    <row r="553" spans="1:9" ht="13.2">
      <c r="A553" s="170">
        <f t="shared" si="43"/>
        <v>552</v>
      </c>
      <c r="B553" s="171" t="s">
        <v>376</v>
      </c>
      <c r="C553" s="171" t="str">
        <f>VLOOKUP(B553,MEMBERS!B:C,2, )</f>
        <v>KHURRAM FIRDOUS</v>
      </c>
      <c r="D553" s="191">
        <v>46003</v>
      </c>
      <c r="E553" s="178">
        <v>2</v>
      </c>
      <c r="F553" s="171" t="s">
        <v>623</v>
      </c>
      <c r="G553" s="168">
        <f>IFERROR(VLOOKUP(F553,'menu list'!B:C,2,FALSE)*E553,"0")</f>
        <v>300</v>
      </c>
      <c r="H553" s="337">
        <f t="shared" si="40"/>
        <v>45</v>
      </c>
      <c r="I553" s="168">
        <f t="shared" si="41"/>
        <v>345</v>
      </c>
    </row>
    <row r="554" spans="1:9" ht="13.2">
      <c r="A554" s="170">
        <f t="shared" si="43"/>
        <v>553</v>
      </c>
      <c r="B554" s="171" t="s">
        <v>376</v>
      </c>
      <c r="C554" s="171" t="str">
        <f>VLOOKUP(B554,MEMBERS!B:C,2, )</f>
        <v>KHURRAM FIRDOUS</v>
      </c>
      <c r="D554" s="191">
        <v>46003</v>
      </c>
      <c r="E554" s="178">
        <v>1</v>
      </c>
      <c r="F554" s="171" t="s">
        <v>440</v>
      </c>
      <c r="G554" s="168">
        <f>IFERROR(VLOOKUP(F554,'menu list'!B:C,2,FALSE)*E554,"0")</f>
        <v>150</v>
      </c>
      <c r="H554" s="337">
        <f t="shared" si="40"/>
        <v>22.5</v>
      </c>
      <c r="I554" s="168">
        <f t="shared" si="41"/>
        <v>172.5</v>
      </c>
    </row>
    <row r="555" spans="1:9" ht="13.2">
      <c r="A555" s="170">
        <f t="shared" si="43"/>
        <v>554</v>
      </c>
      <c r="B555" s="171" t="s">
        <v>376</v>
      </c>
      <c r="C555" s="171" t="str">
        <f>VLOOKUP(B555,MEMBERS!B:C,2, )</f>
        <v>KHURRAM FIRDOUS</v>
      </c>
      <c r="D555" s="191">
        <v>46003</v>
      </c>
      <c r="E555" s="178">
        <v>1</v>
      </c>
      <c r="F555" s="171" t="s">
        <v>653</v>
      </c>
      <c r="G555" s="168">
        <f>IFERROR(VLOOKUP(F555,'menu list'!B:C,2,FALSE)*E555,"0")</f>
        <v>350</v>
      </c>
      <c r="H555" s="337">
        <f t="shared" si="40"/>
        <v>52.5</v>
      </c>
      <c r="I555" s="168">
        <f t="shared" si="41"/>
        <v>402.5</v>
      </c>
    </row>
    <row r="556" spans="1:9" ht="13.2">
      <c r="A556" s="170">
        <f t="shared" si="43"/>
        <v>555</v>
      </c>
      <c r="B556" s="171" t="s">
        <v>113</v>
      </c>
      <c r="C556" s="171" t="str">
        <f>VLOOKUP(B556,MEMBERS!B:C,2, )</f>
        <v>MR.MANOJ KUMAR</v>
      </c>
      <c r="D556" s="191">
        <v>46003</v>
      </c>
      <c r="E556" s="178">
        <v>2</v>
      </c>
      <c r="F556" s="171" t="s">
        <v>653</v>
      </c>
      <c r="G556" s="168">
        <f>IFERROR(VLOOKUP(F556,'menu list'!B:C,2,FALSE)*E556,"0")</f>
        <v>700</v>
      </c>
      <c r="H556" s="337">
        <f t="shared" si="40"/>
        <v>105</v>
      </c>
      <c r="I556" s="168">
        <f t="shared" si="41"/>
        <v>805</v>
      </c>
    </row>
    <row r="557" spans="1:9" ht="13.2">
      <c r="A557" s="170">
        <f t="shared" ref="A557:A600" si="44">IF(D557&lt;&gt;"", ROW()-1, "")</f>
        <v>556</v>
      </c>
      <c r="B557" s="171" t="s">
        <v>113</v>
      </c>
      <c r="C557" s="171" t="str">
        <f>VLOOKUP(B557,MEMBERS!B:C,2, )</f>
        <v>MR.MANOJ KUMAR</v>
      </c>
      <c r="D557" s="191">
        <v>46003</v>
      </c>
      <c r="E557" s="178">
        <v>2</v>
      </c>
      <c r="F557" s="171" t="s">
        <v>500</v>
      </c>
      <c r="G557" s="168">
        <f>IFERROR(VLOOKUP(F557,'menu list'!B:C,2,FALSE)*E557,"0")</f>
        <v>2500</v>
      </c>
      <c r="H557" s="337">
        <f t="shared" si="40"/>
        <v>375</v>
      </c>
      <c r="I557" s="168">
        <f t="shared" si="41"/>
        <v>2875</v>
      </c>
    </row>
    <row r="558" spans="1:9" ht="13.2">
      <c r="A558" s="170">
        <f t="shared" si="44"/>
        <v>557</v>
      </c>
      <c r="B558" s="171" t="s">
        <v>113</v>
      </c>
      <c r="C558" s="171" t="str">
        <f>VLOOKUP(B558,MEMBERS!B:C,2, )</f>
        <v>MR.MANOJ KUMAR</v>
      </c>
      <c r="D558" s="191">
        <v>46003</v>
      </c>
      <c r="E558" s="178">
        <v>1</v>
      </c>
      <c r="F558" s="171" t="s">
        <v>785</v>
      </c>
      <c r="G558" s="168">
        <f>IFERROR(VLOOKUP(F558,'menu list'!B:C,2,FALSE)*E558,"0")</f>
        <v>950</v>
      </c>
      <c r="H558" s="337">
        <f t="shared" si="40"/>
        <v>142.5</v>
      </c>
      <c r="I558" s="168">
        <f t="shared" si="41"/>
        <v>1092.5</v>
      </c>
    </row>
    <row r="559" spans="1:9" ht="13.2">
      <c r="A559" s="170">
        <f t="shared" si="44"/>
        <v>558</v>
      </c>
      <c r="B559" s="171" t="s">
        <v>113</v>
      </c>
      <c r="C559" s="171" t="str">
        <f>VLOOKUP(B559,MEMBERS!B:C,2, )</f>
        <v>MR.MANOJ KUMAR</v>
      </c>
      <c r="D559" s="191">
        <v>46003</v>
      </c>
      <c r="E559" s="178">
        <v>1</v>
      </c>
      <c r="F559" s="171" t="s">
        <v>786</v>
      </c>
      <c r="G559" s="168">
        <f>IFERROR(VLOOKUP(F559,'menu list'!B:C,2,FALSE)*E559,"0")</f>
        <v>1150</v>
      </c>
      <c r="H559" s="337">
        <f t="shared" si="40"/>
        <v>172.5</v>
      </c>
      <c r="I559" s="168">
        <f t="shared" si="41"/>
        <v>1322.5</v>
      </c>
    </row>
    <row r="560" spans="1:9" ht="13.2">
      <c r="A560" s="170">
        <f t="shared" si="44"/>
        <v>559</v>
      </c>
      <c r="B560" s="171" t="s">
        <v>113</v>
      </c>
      <c r="C560" s="171" t="str">
        <f>VLOOKUP(B560,MEMBERS!B:C,2, )</f>
        <v>MR.MANOJ KUMAR</v>
      </c>
      <c r="D560" s="191">
        <v>46003</v>
      </c>
      <c r="E560" s="178">
        <v>2</v>
      </c>
      <c r="F560" s="171" t="s">
        <v>861</v>
      </c>
      <c r="G560" s="168">
        <f>IFERROR(VLOOKUP(F560,'menu list'!B:C,2,FALSE)*E560,"0")</f>
        <v>1600</v>
      </c>
      <c r="H560" s="337">
        <f t="shared" si="40"/>
        <v>240</v>
      </c>
      <c r="I560" s="168">
        <f t="shared" si="41"/>
        <v>1840</v>
      </c>
    </row>
    <row r="561" spans="1:9" ht="13.2">
      <c r="A561" s="170">
        <f t="shared" si="44"/>
        <v>560</v>
      </c>
      <c r="B561" s="171" t="s">
        <v>113</v>
      </c>
      <c r="C561" s="171" t="str">
        <f>VLOOKUP(B561,MEMBERS!B:C,2, )</f>
        <v>MR.MANOJ KUMAR</v>
      </c>
      <c r="D561" s="191">
        <v>46003</v>
      </c>
      <c r="E561" s="178">
        <v>2</v>
      </c>
      <c r="F561" s="171" t="s">
        <v>504</v>
      </c>
      <c r="G561" s="168">
        <f>IFERROR(VLOOKUP(F561,'menu list'!B:C,2,FALSE)*E561,"0")</f>
        <v>260</v>
      </c>
      <c r="H561" s="337">
        <f t="shared" si="40"/>
        <v>39</v>
      </c>
      <c r="I561" s="168">
        <f t="shared" si="41"/>
        <v>299</v>
      </c>
    </row>
    <row r="562" spans="1:9" ht="13.2">
      <c r="A562" s="170">
        <f t="shared" si="44"/>
        <v>561</v>
      </c>
      <c r="B562" s="171" t="s">
        <v>113</v>
      </c>
      <c r="C562" s="171" t="str">
        <f>VLOOKUP(B562,MEMBERS!B:C,2, )</f>
        <v>MR.MANOJ KUMAR</v>
      </c>
      <c r="D562" s="191">
        <v>46003</v>
      </c>
      <c r="E562" s="178">
        <v>2</v>
      </c>
      <c r="F562" s="171" t="s">
        <v>439</v>
      </c>
      <c r="G562" s="168">
        <f>IFERROR(VLOOKUP(F562,'menu list'!B:C,2,FALSE)*E562,"0")</f>
        <v>140</v>
      </c>
      <c r="H562" s="337">
        <f t="shared" si="40"/>
        <v>21</v>
      </c>
      <c r="I562" s="168">
        <f t="shared" si="41"/>
        <v>161</v>
      </c>
    </row>
    <row r="563" spans="1:9" ht="13.2">
      <c r="A563" s="170">
        <f t="shared" si="44"/>
        <v>562</v>
      </c>
      <c r="B563" s="171" t="s">
        <v>113</v>
      </c>
      <c r="C563" s="171" t="str">
        <f>VLOOKUP(B563,MEMBERS!B:C,2, )</f>
        <v>MR.MANOJ KUMAR</v>
      </c>
      <c r="D563" s="191">
        <v>46003</v>
      </c>
      <c r="E563" s="178">
        <v>1</v>
      </c>
      <c r="F563" s="171" t="s">
        <v>440</v>
      </c>
      <c r="G563" s="168">
        <f>IFERROR(VLOOKUP(F563,'menu list'!B:C,2,FALSE)*E563,"0")</f>
        <v>150</v>
      </c>
      <c r="H563" s="337">
        <f t="shared" si="40"/>
        <v>22.5</v>
      </c>
      <c r="I563" s="168">
        <f t="shared" si="41"/>
        <v>172.5</v>
      </c>
    </row>
    <row r="564" spans="1:9" ht="13.2">
      <c r="A564" s="170">
        <f t="shared" si="44"/>
        <v>563</v>
      </c>
      <c r="B564" s="171" t="s">
        <v>113</v>
      </c>
      <c r="C564" s="171" t="str">
        <f>VLOOKUP(B564,MEMBERS!B:C,2, )</f>
        <v>MR.MANOJ KUMAR</v>
      </c>
      <c r="D564" s="191">
        <v>46003</v>
      </c>
      <c r="E564" s="178">
        <v>10</v>
      </c>
      <c r="F564" s="171" t="s">
        <v>442</v>
      </c>
      <c r="G564" s="168">
        <f>IFERROR(VLOOKUP(F564,'menu list'!B:C,2,FALSE)*E564,"0")</f>
        <v>1500</v>
      </c>
      <c r="H564" s="337">
        <f t="shared" si="40"/>
        <v>225</v>
      </c>
      <c r="I564" s="168">
        <f t="shared" si="41"/>
        <v>1725</v>
      </c>
    </row>
    <row r="565" spans="1:9" ht="13.2">
      <c r="A565" s="170">
        <f t="shared" si="44"/>
        <v>564</v>
      </c>
      <c r="B565" s="171" t="s">
        <v>113</v>
      </c>
      <c r="C565" s="171" t="str">
        <f>VLOOKUP(B565,MEMBERS!B:C,2, )</f>
        <v>MR.MANOJ KUMAR</v>
      </c>
      <c r="D565" s="191">
        <v>46003</v>
      </c>
      <c r="E565" s="178">
        <v>1</v>
      </c>
      <c r="F565" s="171" t="s">
        <v>497</v>
      </c>
      <c r="G565" s="168">
        <f>IFERROR(VLOOKUP(F565,'menu list'!B:C,2,FALSE)*E565,"0")</f>
        <v>250</v>
      </c>
      <c r="H565" s="337">
        <f t="shared" si="40"/>
        <v>37.5</v>
      </c>
      <c r="I565" s="168">
        <f t="shared" si="41"/>
        <v>287.5</v>
      </c>
    </row>
    <row r="566" spans="1:9" ht="13.2">
      <c r="A566" s="170">
        <f t="shared" si="44"/>
        <v>565</v>
      </c>
      <c r="B566" s="171" t="s">
        <v>1053</v>
      </c>
      <c r="C566" s="171" t="str">
        <f>VLOOKUP(B566,MEMBERS!B:C,2, )</f>
        <v>MR. ZAMIR ALI SHAH</v>
      </c>
      <c r="D566" s="191">
        <v>46003</v>
      </c>
      <c r="E566" s="178">
        <v>2</v>
      </c>
      <c r="F566" s="171" t="s">
        <v>853</v>
      </c>
      <c r="G566" s="168">
        <f>IFERROR(VLOOKUP(F566,'menu list'!B:C,2,FALSE)*E566,"0")</f>
        <v>1150</v>
      </c>
      <c r="H566" s="337">
        <f t="shared" si="40"/>
        <v>172.5</v>
      </c>
      <c r="I566" s="168">
        <f t="shared" si="41"/>
        <v>1322.5</v>
      </c>
    </row>
    <row r="567" spans="1:9" ht="13.2">
      <c r="A567" s="170">
        <f t="shared" si="44"/>
        <v>566</v>
      </c>
      <c r="B567" s="171" t="s">
        <v>1053</v>
      </c>
      <c r="C567" s="171" t="str">
        <f>VLOOKUP(B567,MEMBERS!B:C,2, )</f>
        <v>MR. ZAMIR ALI SHAH</v>
      </c>
      <c r="D567" s="191">
        <v>46003</v>
      </c>
      <c r="E567" s="178">
        <v>2</v>
      </c>
      <c r="F567" s="171" t="s">
        <v>846</v>
      </c>
      <c r="G567" s="168">
        <f>IFERROR(VLOOKUP(F567,'menu list'!B:C,2,FALSE)*E567,"0")</f>
        <v>2500</v>
      </c>
      <c r="H567" s="337">
        <f t="shared" si="40"/>
        <v>375</v>
      </c>
      <c r="I567" s="168">
        <f t="shared" si="41"/>
        <v>2875</v>
      </c>
    </row>
    <row r="568" spans="1:9" ht="13.2">
      <c r="A568" s="170">
        <f t="shared" si="44"/>
        <v>567</v>
      </c>
      <c r="B568" s="171" t="s">
        <v>1053</v>
      </c>
      <c r="C568" s="171" t="str">
        <f>VLOOKUP(B568,MEMBERS!B:C,2, )</f>
        <v>MR. ZAMIR ALI SHAH</v>
      </c>
      <c r="D568" s="191">
        <v>46003</v>
      </c>
      <c r="E568" s="178">
        <v>2</v>
      </c>
      <c r="F568" s="171" t="s">
        <v>498</v>
      </c>
      <c r="G568" s="168">
        <f>IFERROR(VLOOKUP(F568,'menu list'!B:C,2,FALSE)*E568,"0")</f>
        <v>400</v>
      </c>
      <c r="H568" s="337">
        <f t="shared" si="40"/>
        <v>60</v>
      </c>
      <c r="I568" s="168">
        <f t="shared" si="41"/>
        <v>460</v>
      </c>
    </row>
    <row r="569" spans="1:9" ht="13.2">
      <c r="A569" s="170">
        <f t="shared" si="44"/>
        <v>568</v>
      </c>
      <c r="B569" s="171" t="s">
        <v>1053</v>
      </c>
      <c r="C569" s="171" t="str">
        <f>VLOOKUP(B569,MEMBERS!B:C,2, )</f>
        <v>MR. ZAMIR ALI SHAH</v>
      </c>
      <c r="D569" s="191">
        <v>46003</v>
      </c>
      <c r="E569" s="178">
        <v>1</v>
      </c>
      <c r="F569" s="171" t="s">
        <v>440</v>
      </c>
      <c r="G569" s="168">
        <f>IFERROR(VLOOKUP(F569,'menu list'!B:C,2,FALSE)*E569,"0")</f>
        <v>150</v>
      </c>
      <c r="H569" s="337">
        <f t="shared" si="40"/>
        <v>22.5</v>
      </c>
      <c r="I569" s="168">
        <f t="shared" si="41"/>
        <v>172.5</v>
      </c>
    </row>
    <row r="570" spans="1:9" ht="13.2">
      <c r="A570" s="170">
        <f t="shared" si="44"/>
        <v>569</v>
      </c>
      <c r="B570" s="171" t="s">
        <v>1053</v>
      </c>
      <c r="C570" s="171" t="str">
        <f>VLOOKUP(B570,MEMBERS!B:C,2, )</f>
        <v>MR. ZAMIR ALI SHAH</v>
      </c>
      <c r="D570" s="191">
        <v>46003</v>
      </c>
      <c r="E570" s="178">
        <v>2</v>
      </c>
      <c r="F570" s="171" t="s">
        <v>826</v>
      </c>
      <c r="G570" s="168">
        <f>IFERROR(VLOOKUP(F570,'menu list'!B:C,2,FALSE)*E570,"0")</f>
        <v>1800</v>
      </c>
      <c r="H570" s="337">
        <f t="shared" si="40"/>
        <v>270</v>
      </c>
      <c r="I570" s="168">
        <f t="shared" si="41"/>
        <v>2070</v>
      </c>
    </row>
    <row r="571" spans="1:9" ht="13.2">
      <c r="A571" s="170">
        <f t="shared" ref="A571:A599" si="45">IF(D571&lt;&gt;"", ROW()-1, "")</f>
        <v>570</v>
      </c>
      <c r="B571" s="171" t="s">
        <v>1053</v>
      </c>
      <c r="C571" s="171" t="str">
        <f>VLOOKUP(B571,MEMBERS!B:C,2, )</f>
        <v>MR. ZAMIR ALI SHAH</v>
      </c>
      <c r="D571" s="191">
        <v>46003</v>
      </c>
      <c r="E571" s="178">
        <v>2</v>
      </c>
      <c r="F571" s="171" t="s">
        <v>915</v>
      </c>
      <c r="G571" s="168">
        <f>IFERROR(VLOOKUP(F571,'menu list'!B:C,2,FALSE)*E571,"0")</f>
        <v>1998</v>
      </c>
      <c r="H571" s="337">
        <f t="shared" si="40"/>
        <v>299.7</v>
      </c>
      <c r="I571" s="168">
        <f t="shared" si="41"/>
        <v>2297.6999999999998</v>
      </c>
    </row>
    <row r="572" spans="1:9" ht="13.2">
      <c r="A572" s="170">
        <f t="shared" si="45"/>
        <v>571</v>
      </c>
      <c r="B572" s="171" t="s">
        <v>1053</v>
      </c>
      <c r="C572" s="171" t="str">
        <f>VLOOKUP(B572,MEMBERS!B:C,2, )</f>
        <v>MR. ZAMIR ALI SHAH</v>
      </c>
      <c r="D572" s="191">
        <v>46003</v>
      </c>
      <c r="E572" s="178">
        <v>1</v>
      </c>
      <c r="F572" s="171" t="s">
        <v>786</v>
      </c>
      <c r="G572" s="168">
        <f>IFERROR(VLOOKUP(F572,'menu list'!B:C,2,FALSE)*E572,"0")</f>
        <v>1150</v>
      </c>
      <c r="H572" s="337">
        <f t="shared" si="40"/>
        <v>172.5</v>
      </c>
      <c r="I572" s="168">
        <f t="shared" si="41"/>
        <v>1322.5</v>
      </c>
    </row>
    <row r="573" spans="1:9" ht="13.2">
      <c r="A573" s="170">
        <f t="shared" si="45"/>
        <v>572</v>
      </c>
      <c r="B573" s="171" t="s">
        <v>1053</v>
      </c>
      <c r="C573" s="171" t="str">
        <f>VLOOKUP(B573,MEMBERS!B:C,2, )</f>
        <v>MR. ZAMIR ALI SHAH</v>
      </c>
      <c r="D573" s="191">
        <v>46003</v>
      </c>
      <c r="E573" s="178">
        <v>1</v>
      </c>
      <c r="F573" s="171" t="s">
        <v>939</v>
      </c>
      <c r="G573" s="168">
        <f>IFERROR(VLOOKUP(F573,'menu list'!B:C,2,FALSE)*E573,"0")</f>
        <v>1200</v>
      </c>
      <c r="H573" s="337">
        <f t="shared" si="40"/>
        <v>180</v>
      </c>
      <c r="I573" s="168">
        <f t="shared" si="41"/>
        <v>1380</v>
      </c>
    </row>
    <row r="574" spans="1:9" ht="13.2">
      <c r="A574" s="170">
        <f t="shared" si="45"/>
        <v>573</v>
      </c>
      <c r="B574" s="171" t="s">
        <v>1053</v>
      </c>
      <c r="C574" s="171" t="str">
        <f>VLOOKUP(B574,MEMBERS!B:C,2, )</f>
        <v>MR. ZAMIR ALI SHAH</v>
      </c>
      <c r="D574" s="191">
        <v>46003</v>
      </c>
      <c r="E574" s="178">
        <v>1</v>
      </c>
      <c r="F574" s="171" t="s">
        <v>861</v>
      </c>
      <c r="G574" s="168">
        <f>IFERROR(VLOOKUP(F574,'menu list'!B:C,2,FALSE)*E574,"0")</f>
        <v>800</v>
      </c>
      <c r="H574" s="337">
        <f t="shared" si="40"/>
        <v>120</v>
      </c>
      <c r="I574" s="168">
        <f t="shared" si="41"/>
        <v>920</v>
      </c>
    </row>
    <row r="575" spans="1:9" ht="13.2">
      <c r="A575" s="170">
        <f t="shared" si="45"/>
        <v>574</v>
      </c>
      <c r="B575" s="171" t="s">
        <v>1053</v>
      </c>
      <c r="C575" s="171" t="str">
        <f>VLOOKUP(B575,MEMBERS!B:C,2, )</f>
        <v>MR. ZAMIR ALI SHAH</v>
      </c>
      <c r="D575" s="191">
        <v>46003</v>
      </c>
      <c r="E575" s="178">
        <v>1</v>
      </c>
      <c r="F575" s="171" t="s">
        <v>898</v>
      </c>
      <c r="G575" s="168">
        <f>IFERROR(VLOOKUP(F575,'menu list'!B:C,2,FALSE)*E575,"0")</f>
        <v>1000</v>
      </c>
      <c r="H575" s="337">
        <f t="shared" si="40"/>
        <v>150</v>
      </c>
      <c r="I575" s="168">
        <f t="shared" si="41"/>
        <v>1150</v>
      </c>
    </row>
    <row r="576" spans="1:9" ht="13.2">
      <c r="A576" s="170">
        <f t="shared" si="45"/>
        <v>575</v>
      </c>
      <c r="B576" s="171" t="s">
        <v>1053</v>
      </c>
      <c r="C576" s="171" t="str">
        <f>VLOOKUP(B576,MEMBERS!B:C,2, )</f>
        <v>MR. ZAMIR ALI SHAH</v>
      </c>
      <c r="D576" s="191">
        <v>46003</v>
      </c>
      <c r="E576" s="178">
        <v>6</v>
      </c>
      <c r="F576" s="171" t="s">
        <v>504</v>
      </c>
      <c r="G576" s="168">
        <f>IFERROR(VLOOKUP(F576,'menu list'!B:C,2,FALSE)*E576,"0")</f>
        <v>780</v>
      </c>
      <c r="H576" s="337">
        <f t="shared" si="40"/>
        <v>117</v>
      </c>
      <c r="I576" s="168">
        <f t="shared" si="41"/>
        <v>897</v>
      </c>
    </row>
    <row r="577" spans="1:9" ht="13.2">
      <c r="A577" s="170">
        <f t="shared" si="45"/>
        <v>576</v>
      </c>
      <c r="B577" s="171" t="s">
        <v>1053</v>
      </c>
      <c r="C577" s="171" t="str">
        <f>VLOOKUP(B577,MEMBERS!B:C,2, )</f>
        <v>MR. ZAMIR ALI SHAH</v>
      </c>
      <c r="D577" s="191">
        <v>46003</v>
      </c>
      <c r="E577" s="178">
        <v>3</v>
      </c>
      <c r="F577" s="171" t="s">
        <v>443</v>
      </c>
      <c r="G577" s="168">
        <f>IFERROR(VLOOKUP(F577,'menu list'!B:C,2,FALSE)*E577,"0")</f>
        <v>450</v>
      </c>
      <c r="H577" s="337">
        <f t="shared" si="40"/>
        <v>67.5</v>
      </c>
      <c r="I577" s="168">
        <f t="shared" si="41"/>
        <v>517.5</v>
      </c>
    </row>
    <row r="578" spans="1:9" ht="13.2">
      <c r="A578" s="170">
        <f t="shared" si="45"/>
        <v>577</v>
      </c>
      <c r="B578" s="171" t="s">
        <v>1053</v>
      </c>
      <c r="C578" s="171" t="str">
        <f>VLOOKUP(B578,MEMBERS!B:C,2, )</f>
        <v>MR. ZAMIR ALI SHAH</v>
      </c>
      <c r="D578" s="191">
        <v>46003</v>
      </c>
      <c r="E578" s="178">
        <v>5</v>
      </c>
      <c r="F578" s="171" t="s">
        <v>439</v>
      </c>
      <c r="G578" s="168">
        <f>IFERROR(VLOOKUP(F578,'menu list'!B:C,2,FALSE)*E578,"0")</f>
        <v>350</v>
      </c>
      <c r="H578" s="337">
        <f t="shared" si="40"/>
        <v>52.5</v>
      </c>
      <c r="I578" s="168">
        <f t="shared" si="41"/>
        <v>402.5</v>
      </c>
    </row>
    <row r="579" spans="1:9" ht="13.2">
      <c r="A579" s="170">
        <f t="shared" si="45"/>
        <v>578</v>
      </c>
      <c r="B579" s="171" t="s">
        <v>1053</v>
      </c>
      <c r="C579" s="171" t="str">
        <f>VLOOKUP(B579,MEMBERS!B:C,2, )</f>
        <v>MR. ZAMIR ALI SHAH</v>
      </c>
      <c r="D579" s="191">
        <v>46003</v>
      </c>
      <c r="E579" s="178">
        <v>3</v>
      </c>
      <c r="F579" s="171" t="s">
        <v>441</v>
      </c>
      <c r="G579" s="168">
        <f>IFERROR(VLOOKUP(F579,'menu list'!B:C,2,FALSE)*E579,"0")</f>
        <v>600</v>
      </c>
      <c r="H579" s="337">
        <f t="shared" ref="H579:H642" si="46">G579*15/100</f>
        <v>90</v>
      </c>
      <c r="I579" s="168">
        <f t="shared" ref="I579:I642" si="47">G579+H579</f>
        <v>690</v>
      </c>
    </row>
    <row r="580" spans="1:9" ht="13.2">
      <c r="A580" s="170">
        <f t="shared" si="45"/>
        <v>579</v>
      </c>
      <c r="B580" s="171" t="s">
        <v>1053</v>
      </c>
      <c r="C580" s="171" t="str">
        <f>VLOOKUP(B580,MEMBERS!B:C,2, )</f>
        <v>MR. ZAMIR ALI SHAH</v>
      </c>
      <c r="D580" s="191">
        <v>46003</v>
      </c>
      <c r="E580" s="178">
        <v>2</v>
      </c>
      <c r="F580" s="171" t="s">
        <v>793</v>
      </c>
      <c r="G580" s="168">
        <f>IFERROR(VLOOKUP(F580,'menu list'!B:C,2,FALSE)*E580,"0")</f>
        <v>1600</v>
      </c>
      <c r="H580" s="337">
        <f t="shared" si="46"/>
        <v>240</v>
      </c>
      <c r="I580" s="168">
        <f t="shared" si="47"/>
        <v>1840</v>
      </c>
    </row>
    <row r="581" spans="1:9" ht="13.2">
      <c r="A581" s="170">
        <f t="shared" si="45"/>
        <v>580</v>
      </c>
      <c r="B581" s="171" t="s">
        <v>1053</v>
      </c>
      <c r="C581" s="171" t="str">
        <f>VLOOKUP(B581,MEMBERS!B:C,2, )</f>
        <v>MR. ZAMIR ALI SHAH</v>
      </c>
      <c r="D581" s="191">
        <v>46003</v>
      </c>
      <c r="E581" s="178">
        <v>2</v>
      </c>
      <c r="F581" s="171" t="s">
        <v>442</v>
      </c>
      <c r="G581" s="168">
        <f>IFERROR(VLOOKUP(F581,'menu list'!B:C,2,FALSE)*E581,"0")</f>
        <v>300</v>
      </c>
      <c r="H581" s="337">
        <f t="shared" si="46"/>
        <v>45</v>
      </c>
      <c r="I581" s="168">
        <f t="shared" si="47"/>
        <v>345</v>
      </c>
    </row>
    <row r="582" spans="1:9" ht="13.2">
      <c r="A582" s="170">
        <f t="shared" si="45"/>
        <v>581</v>
      </c>
      <c r="B582" s="171" t="s">
        <v>1053</v>
      </c>
      <c r="C582" s="171" t="str">
        <f>VLOOKUP(B582,MEMBERS!B:C,2, )</f>
        <v>MR. ZAMIR ALI SHAH</v>
      </c>
      <c r="D582" s="191">
        <v>46003</v>
      </c>
      <c r="E582" s="178">
        <v>2</v>
      </c>
      <c r="F582" s="171" t="s">
        <v>440</v>
      </c>
      <c r="G582" s="168">
        <f>IFERROR(VLOOKUP(F582,'menu list'!B:C,2,FALSE)*E582,"0")</f>
        <v>300</v>
      </c>
      <c r="H582" s="337">
        <f t="shared" si="46"/>
        <v>45</v>
      </c>
      <c r="I582" s="168">
        <f t="shared" si="47"/>
        <v>345</v>
      </c>
    </row>
    <row r="583" spans="1:9" ht="13.2">
      <c r="A583" s="170">
        <f t="shared" si="45"/>
        <v>582</v>
      </c>
      <c r="B583" s="171" t="s">
        <v>1053</v>
      </c>
      <c r="C583" s="171" t="str">
        <f>VLOOKUP(B583,MEMBERS!B:C,2, )</f>
        <v>MR. ZAMIR ALI SHAH</v>
      </c>
      <c r="D583" s="191">
        <v>46003</v>
      </c>
      <c r="E583" s="178">
        <v>1</v>
      </c>
      <c r="F583" s="171" t="s">
        <v>497</v>
      </c>
      <c r="G583" s="168">
        <f>IFERROR(VLOOKUP(F583,'menu list'!B:C,2,FALSE)*E583,"0")</f>
        <v>250</v>
      </c>
      <c r="H583" s="337">
        <f t="shared" si="46"/>
        <v>37.5</v>
      </c>
      <c r="I583" s="168">
        <f t="shared" si="47"/>
        <v>287.5</v>
      </c>
    </row>
    <row r="584" spans="1:9" ht="13.2">
      <c r="A584" s="170">
        <f t="shared" si="45"/>
        <v>583</v>
      </c>
      <c r="B584" s="171" t="s">
        <v>123</v>
      </c>
      <c r="C584" s="171" t="str">
        <f>VLOOKUP(B584,MEMBERS!B:C,2, )</f>
        <v>MR.MUIED AHMED DURRANI</v>
      </c>
      <c r="D584" s="191">
        <v>46003</v>
      </c>
      <c r="E584" s="178">
        <v>1</v>
      </c>
      <c r="F584" s="171" t="s">
        <v>853</v>
      </c>
      <c r="G584" s="168">
        <f>IFERROR(VLOOKUP(F584,'menu list'!B:C,2,FALSE)*E584,"0")</f>
        <v>575</v>
      </c>
      <c r="H584" s="337">
        <f t="shared" si="46"/>
        <v>86.25</v>
      </c>
      <c r="I584" s="168">
        <f t="shared" si="47"/>
        <v>661.25</v>
      </c>
    </row>
    <row r="585" spans="1:9" ht="13.2">
      <c r="A585" s="170">
        <f t="shared" si="45"/>
        <v>584</v>
      </c>
      <c r="B585" s="171" t="s">
        <v>123</v>
      </c>
      <c r="C585" s="171" t="str">
        <f>VLOOKUP(B585,MEMBERS!B:C,2, )</f>
        <v>MR.MUIED AHMED DURRANI</v>
      </c>
      <c r="D585" s="191">
        <v>46003</v>
      </c>
      <c r="E585" s="178">
        <v>1</v>
      </c>
      <c r="F585" s="171" t="s">
        <v>793</v>
      </c>
      <c r="G585" s="168">
        <f>IFERROR(VLOOKUP(F585,'menu list'!B:C,2,FALSE)*E585,"0")</f>
        <v>800</v>
      </c>
      <c r="H585" s="337">
        <f t="shared" si="46"/>
        <v>120</v>
      </c>
      <c r="I585" s="168">
        <f t="shared" si="47"/>
        <v>920</v>
      </c>
    </row>
    <row r="586" spans="1:9" ht="13.2">
      <c r="A586" s="170">
        <f t="shared" si="45"/>
        <v>585</v>
      </c>
      <c r="B586" s="171" t="s">
        <v>123</v>
      </c>
      <c r="C586" s="171" t="str">
        <f>VLOOKUP(B586,MEMBERS!B:C,2, )</f>
        <v>MR.MUIED AHMED DURRANI</v>
      </c>
      <c r="D586" s="191">
        <v>46003</v>
      </c>
      <c r="E586" s="178">
        <v>2</v>
      </c>
      <c r="F586" s="171" t="s">
        <v>653</v>
      </c>
      <c r="G586" s="168">
        <f>IFERROR(VLOOKUP(F586,'menu list'!B:C,2,FALSE)*E586,"0")</f>
        <v>700</v>
      </c>
      <c r="H586" s="337">
        <f t="shared" si="46"/>
        <v>105</v>
      </c>
      <c r="I586" s="168">
        <f t="shared" si="47"/>
        <v>805</v>
      </c>
    </row>
    <row r="587" spans="1:9" ht="13.2">
      <c r="A587" s="170">
        <f t="shared" si="45"/>
        <v>586</v>
      </c>
      <c r="B587" s="171" t="s">
        <v>123</v>
      </c>
      <c r="C587" s="171" t="str">
        <f>VLOOKUP(B587,MEMBERS!B:C,2, )</f>
        <v>MR.MUIED AHMED DURRANI</v>
      </c>
      <c r="D587" s="191">
        <v>46003</v>
      </c>
      <c r="E587" s="178">
        <v>1</v>
      </c>
      <c r="F587" s="171" t="s">
        <v>836</v>
      </c>
      <c r="G587" s="168">
        <f>IFERROR(VLOOKUP(F587,'menu list'!B:C,2,FALSE)*E587,"0")</f>
        <v>350</v>
      </c>
      <c r="H587" s="337">
        <f t="shared" si="46"/>
        <v>52.5</v>
      </c>
      <c r="I587" s="168">
        <f t="shared" si="47"/>
        <v>402.5</v>
      </c>
    </row>
    <row r="588" spans="1:9" ht="13.2">
      <c r="A588" s="170">
        <f t="shared" si="45"/>
        <v>587</v>
      </c>
      <c r="B588" s="171" t="s">
        <v>123</v>
      </c>
      <c r="C588" s="171" t="str">
        <f>VLOOKUP(B588,MEMBERS!B:C,2, )</f>
        <v>MR.MUIED AHMED DURRANI</v>
      </c>
      <c r="D588" s="191">
        <v>46003</v>
      </c>
      <c r="E588" s="178">
        <v>2</v>
      </c>
      <c r="F588" s="171" t="s">
        <v>498</v>
      </c>
      <c r="G588" s="168">
        <f>IFERROR(VLOOKUP(F588,'menu list'!B:C,2,FALSE)*E588,"0")</f>
        <v>400</v>
      </c>
      <c r="H588" s="337">
        <f t="shared" si="46"/>
        <v>60</v>
      </c>
      <c r="I588" s="168">
        <f t="shared" si="47"/>
        <v>460</v>
      </c>
    </row>
    <row r="589" spans="1:9" ht="13.2">
      <c r="A589" s="170">
        <f t="shared" si="45"/>
        <v>588</v>
      </c>
      <c r="B589" s="171" t="s">
        <v>123</v>
      </c>
      <c r="C589" s="171" t="str">
        <f>VLOOKUP(B589,MEMBERS!B:C,2, )</f>
        <v>MR.MUIED AHMED DURRANI</v>
      </c>
      <c r="D589" s="191">
        <v>46003</v>
      </c>
      <c r="E589" s="178">
        <v>1</v>
      </c>
      <c r="F589" s="171" t="s">
        <v>440</v>
      </c>
      <c r="G589" s="168">
        <f>IFERROR(VLOOKUP(F589,'menu list'!B:C,2,FALSE)*E589,"0")</f>
        <v>150</v>
      </c>
      <c r="H589" s="337">
        <f t="shared" si="46"/>
        <v>22.5</v>
      </c>
      <c r="I589" s="168">
        <f t="shared" si="47"/>
        <v>172.5</v>
      </c>
    </row>
    <row r="590" spans="1:9" ht="13.2">
      <c r="A590" s="170">
        <f t="shared" si="45"/>
        <v>589</v>
      </c>
      <c r="B590" s="171" t="s">
        <v>59</v>
      </c>
      <c r="C590" s="171" t="str">
        <f>VLOOKUP(B590,MEMBERS!B:C,2, )</f>
        <v>MR.SAJJAD ALI</v>
      </c>
      <c r="D590" s="191">
        <v>46003</v>
      </c>
      <c r="E590" s="178">
        <v>1</v>
      </c>
      <c r="F590" s="171" t="s">
        <v>772</v>
      </c>
      <c r="G590" s="168">
        <f>IFERROR(VLOOKUP(F590,'menu list'!B:C,2,FALSE)*E590,"0")</f>
        <v>900</v>
      </c>
      <c r="H590" s="337">
        <f t="shared" si="46"/>
        <v>135</v>
      </c>
      <c r="I590" s="168">
        <f t="shared" si="47"/>
        <v>1035</v>
      </c>
    </row>
    <row r="591" spans="1:9" ht="13.2">
      <c r="A591" s="170">
        <f t="shared" si="45"/>
        <v>590</v>
      </c>
      <c r="B591" s="171" t="s">
        <v>59</v>
      </c>
      <c r="C591" s="171" t="str">
        <f>VLOOKUP(B591,MEMBERS!B:C,2, )</f>
        <v>MR.SAJJAD ALI</v>
      </c>
      <c r="D591" s="191">
        <v>46003</v>
      </c>
      <c r="E591" s="178">
        <v>1</v>
      </c>
      <c r="F591" s="171" t="s">
        <v>846</v>
      </c>
      <c r="G591" s="168">
        <f>IFERROR(VLOOKUP(F591,'menu list'!B:C,2,FALSE)*E591,"0")</f>
        <v>1250</v>
      </c>
      <c r="H591" s="337">
        <f t="shared" si="46"/>
        <v>187.5</v>
      </c>
      <c r="I591" s="168">
        <f t="shared" si="47"/>
        <v>1437.5</v>
      </c>
    </row>
    <row r="592" spans="1:9" ht="13.2">
      <c r="A592" s="170">
        <f t="shared" si="45"/>
        <v>591</v>
      </c>
      <c r="B592" s="171" t="s">
        <v>59</v>
      </c>
      <c r="C592" s="171" t="str">
        <f>VLOOKUP(B592,MEMBERS!B:C,2, )</f>
        <v>MR.SAJJAD ALI</v>
      </c>
      <c r="D592" s="191">
        <v>46003</v>
      </c>
      <c r="E592" s="178">
        <v>1</v>
      </c>
      <c r="F592" s="171" t="s">
        <v>915</v>
      </c>
      <c r="G592" s="168">
        <f>IFERROR(VLOOKUP(F592,'menu list'!B:C,2,FALSE)*E592,"0")</f>
        <v>999</v>
      </c>
      <c r="H592" s="337">
        <f t="shared" si="46"/>
        <v>149.85</v>
      </c>
      <c r="I592" s="168">
        <f t="shared" si="47"/>
        <v>1148.8499999999999</v>
      </c>
    </row>
    <row r="593" spans="1:9" ht="13.2">
      <c r="A593" s="170">
        <f t="shared" si="45"/>
        <v>592</v>
      </c>
      <c r="B593" s="171" t="s">
        <v>59</v>
      </c>
      <c r="C593" s="171" t="str">
        <f>VLOOKUP(B593,MEMBERS!B:C,2, )</f>
        <v>MR.SAJJAD ALI</v>
      </c>
      <c r="D593" s="191">
        <v>46003</v>
      </c>
      <c r="E593" s="178">
        <v>4</v>
      </c>
      <c r="F593" s="171" t="s">
        <v>861</v>
      </c>
      <c r="G593" s="168">
        <f>IFERROR(VLOOKUP(F593,'menu list'!B:C,2,FALSE)*E593,"0")</f>
        <v>3200</v>
      </c>
      <c r="H593" s="337">
        <f t="shared" si="46"/>
        <v>480</v>
      </c>
      <c r="I593" s="168">
        <f t="shared" si="47"/>
        <v>3680</v>
      </c>
    </row>
    <row r="594" spans="1:9" ht="13.2">
      <c r="A594" s="170">
        <f t="shared" si="45"/>
        <v>593</v>
      </c>
      <c r="B594" s="171" t="s">
        <v>59</v>
      </c>
      <c r="C594" s="171" t="str">
        <f>VLOOKUP(B594,MEMBERS!B:C,2, )</f>
        <v>MR.SAJJAD ALI</v>
      </c>
      <c r="D594" s="191">
        <v>46003</v>
      </c>
      <c r="E594" s="178">
        <v>2</v>
      </c>
      <c r="F594" s="171" t="s">
        <v>992</v>
      </c>
      <c r="G594" s="168">
        <f>IFERROR(VLOOKUP(F594,'menu list'!B:C,2,FALSE)*E594,"0")</f>
        <v>1200</v>
      </c>
      <c r="H594" s="337">
        <f t="shared" si="46"/>
        <v>180</v>
      </c>
      <c r="I594" s="168">
        <f t="shared" si="47"/>
        <v>1380</v>
      </c>
    </row>
    <row r="595" spans="1:9" ht="13.2">
      <c r="A595" s="170">
        <f t="shared" si="45"/>
        <v>594</v>
      </c>
      <c r="B595" s="171" t="s">
        <v>59</v>
      </c>
      <c r="C595" s="171" t="str">
        <f>VLOOKUP(B595,MEMBERS!B:C,2, )</f>
        <v>MR.SAJJAD ALI</v>
      </c>
      <c r="D595" s="191">
        <v>46003</v>
      </c>
      <c r="E595" s="178">
        <v>8</v>
      </c>
      <c r="F595" s="171" t="s">
        <v>443</v>
      </c>
      <c r="G595" s="168">
        <f>IFERROR(VLOOKUP(F595,'menu list'!B:C,2,FALSE)*E595,"0")</f>
        <v>1200</v>
      </c>
      <c r="H595" s="337">
        <f t="shared" si="46"/>
        <v>180</v>
      </c>
      <c r="I595" s="168">
        <f t="shared" si="47"/>
        <v>1380</v>
      </c>
    </row>
    <row r="596" spans="1:9" ht="13.2">
      <c r="A596" s="170">
        <f t="shared" si="45"/>
        <v>595</v>
      </c>
      <c r="B596" s="171" t="s">
        <v>59</v>
      </c>
      <c r="C596" s="171" t="str">
        <f>VLOOKUP(B596,MEMBERS!B:C,2, )</f>
        <v>MR.SAJJAD ALI</v>
      </c>
      <c r="D596" s="191">
        <v>46003</v>
      </c>
      <c r="E596" s="178">
        <v>1</v>
      </c>
      <c r="F596" s="171" t="s">
        <v>499</v>
      </c>
      <c r="G596" s="168">
        <f>IFERROR(VLOOKUP(F596,'menu list'!B:C,2,FALSE)*E596,"0")</f>
        <v>100</v>
      </c>
      <c r="H596" s="337">
        <f t="shared" si="46"/>
        <v>15</v>
      </c>
      <c r="I596" s="168">
        <f t="shared" si="47"/>
        <v>115</v>
      </c>
    </row>
    <row r="597" spans="1:9" ht="13.2">
      <c r="A597" s="170">
        <f t="shared" si="45"/>
        <v>596</v>
      </c>
      <c r="B597" s="171" t="s">
        <v>59</v>
      </c>
      <c r="C597" s="171" t="str">
        <f>VLOOKUP(B597,MEMBERS!B:C,2, )</f>
        <v>MR.SAJJAD ALI</v>
      </c>
      <c r="D597" s="191">
        <v>46003</v>
      </c>
      <c r="E597" s="178">
        <v>3</v>
      </c>
      <c r="F597" s="171" t="s">
        <v>442</v>
      </c>
      <c r="G597" s="168">
        <f>IFERROR(VLOOKUP(F597,'menu list'!B:C,2,FALSE)*E597,"0")</f>
        <v>450</v>
      </c>
      <c r="H597" s="337">
        <f t="shared" si="46"/>
        <v>67.5</v>
      </c>
      <c r="I597" s="168">
        <f t="shared" si="47"/>
        <v>517.5</v>
      </c>
    </row>
    <row r="598" spans="1:9" ht="13.2">
      <c r="A598" s="170">
        <f t="shared" si="45"/>
        <v>597</v>
      </c>
      <c r="B598" s="171" t="s">
        <v>59</v>
      </c>
      <c r="C598" s="171" t="str">
        <f>VLOOKUP(B598,MEMBERS!B:C,2, )</f>
        <v>MR.SAJJAD ALI</v>
      </c>
      <c r="D598" s="191">
        <v>46003</v>
      </c>
      <c r="E598" s="178">
        <v>1</v>
      </c>
      <c r="F598" s="171" t="s">
        <v>441</v>
      </c>
      <c r="G598" s="168">
        <f>IFERROR(VLOOKUP(F598,'menu list'!B:C,2,FALSE)*E598,"0")</f>
        <v>200</v>
      </c>
      <c r="H598" s="337">
        <f t="shared" si="46"/>
        <v>30</v>
      </c>
      <c r="I598" s="168">
        <f t="shared" si="47"/>
        <v>230</v>
      </c>
    </row>
    <row r="599" spans="1:9" ht="13.2">
      <c r="A599" s="170">
        <f t="shared" si="45"/>
        <v>598</v>
      </c>
      <c r="B599" s="171" t="s">
        <v>59</v>
      </c>
      <c r="C599" s="171" t="str">
        <f>VLOOKUP(B599,MEMBERS!B:C,2, )</f>
        <v>MR.SAJJAD ALI</v>
      </c>
      <c r="D599" s="191">
        <v>46003</v>
      </c>
      <c r="E599" s="178">
        <v>1</v>
      </c>
      <c r="F599" s="171" t="s">
        <v>793</v>
      </c>
      <c r="G599" s="168">
        <f>IFERROR(VLOOKUP(F599,'menu list'!B:C,2,FALSE)*E599,"0")</f>
        <v>800</v>
      </c>
      <c r="H599" s="337">
        <f t="shared" si="46"/>
        <v>120</v>
      </c>
      <c r="I599" s="168">
        <f t="shared" si="47"/>
        <v>920</v>
      </c>
    </row>
    <row r="600" spans="1:9" ht="13.2">
      <c r="A600" s="170">
        <f t="shared" si="44"/>
        <v>599</v>
      </c>
      <c r="B600" s="171" t="s">
        <v>762</v>
      </c>
      <c r="C600" s="171" t="str">
        <f>VLOOKUP(B600,MEMBERS!B:C,2, )</f>
        <v>MR. KASHIF SAEED</v>
      </c>
      <c r="D600" s="191">
        <v>46003</v>
      </c>
      <c r="E600" s="178">
        <v>3</v>
      </c>
      <c r="F600" s="171" t="s">
        <v>442</v>
      </c>
      <c r="G600" s="168">
        <f>IFERROR(VLOOKUP(F600,'menu list'!B:C,2,FALSE)*E600,"0")</f>
        <v>450</v>
      </c>
      <c r="H600" s="337">
        <f t="shared" si="46"/>
        <v>67.5</v>
      </c>
      <c r="I600" s="168">
        <f t="shared" si="47"/>
        <v>517.5</v>
      </c>
    </row>
    <row r="601" spans="1:9" ht="13.2">
      <c r="A601" s="170">
        <f t="shared" ref="A601:A613" si="48">IF(D601&lt;&gt;"", ROW()-1, "")</f>
        <v>600</v>
      </c>
      <c r="B601" s="171" t="s">
        <v>762</v>
      </c>
      <c r="C601" s="171" t="str">
        <f>VLOOKUP(B601,MEMBERS!B:C,2, )</f>
        <v>MR. KASHIF SAEED</v>
      </c>
      <c r="D601" s="191">
        <v>46003</v>
      </c>
      <c r="E601" s="178">
        <v>1</v>
      </c>
      <c r="F601" s="171" t="s">
        <v>906</v>
      </c>
      <c r="G601" s="168">
        <f>IFERROR(VLOOKUP(F601,'menu list'!B:C,2,FALSE)*E601,"0")</f>
        <v>1400</v>
      </c>
      <c r="H601" s="337">
        <f t="shared" si="46"/>
        <v>210</v>
      </c>
      <c r="I601" s="168">
        <f t="shared" si="47"/>
        <v>1610</v>
      </c>
    </row>
    <row r="602" spans="1:9" ht="13.2">
      <c r="A602" s="170">
        <f t="shared" si="48"/>
        <v>601</v>
      </c>
      <c r="B602" s="171" t="s">
        <v>762</v>
      </c>
      <c r="C602" s="171" t="str">
        <f>VLOOKUP(B602,MEMBERS!B:C,2, )</f>
        <v>MR. KASHIF SAEED</v>
      </c>
      <c r="D602" s="191">
        <v>46003</v>
      </c>
      <c r="E602" s="178">
        <v>2</v>
      </c>
      <c r="F602" s="171" t="s">
        <v>828</v>
      </c>
      <c r="G602" s="168">
        <f>IFERROR(VLOOKUP(F602,'menu list'!B:C,2,FALSE)*E602,"0")</f>
        <v>1700</v>
      </c>
      <c r="H602" s="337">
        <f t="shared" si="46"/>
        <v>255</v>
      </c>
      <c r="I602" s="168">
        <f t="shared" si="47"/>
        <v>1955</v>
      </c>
    </row>
    <row r="603" spans="1:9" ht="13.2">
      <c r="A603" s="170">
        <f t="shared" si="48"/>
        <v>602</v>
      </c>
      <c r="B603" s="171" t="s">
        <v>762</v>
      </c>
      <c r="C603" s="171" t="str">
        <f>VLOOKUP(B603,MEMBERS!B:C,2, )</f>
        <v>MR. KASHIF SAEED</v>
      </c>
      <c r="D603" s="191">
        <v>46003</v>
      </c>
      <c r="E603" s="178">
        <v>2</v>
      </c>
      <c r="F603" s="171" t="s">
        <v>1057</v>
      </c>
      <c r="G603" s="168">
        <f>IFERROR(VLOOKUP(F603,'menu list'!B:C,2,FALSE)*E603,"0")</f>
        <v>1700</v>
      </c>
      <c r="H603" s="337">
        <f t="shared" si="46"/>
        <v>255</v>
      </c>
      <c r="I603" s="168">
        <f t="shared" si="47"/>
        <v>1955</v>
      </c>
    </row>
    <row r="604" spans="1:9" ht="13.2">
      <c r="A604" s="170">
        <f t="shared" si="48"/>
        <v>603</v>
      </c>
      <c r="B604" s="171" t="s">
        <v>762</v>
      </c>
      <c r="C604" s="171" t="str">
        <f>VLOOKUP(B604,MEMBERS!B:C,2, )</f>
        <v>MR. KASHIF SAEED</v>
      </c>
      <c r="D604" s="191">
        <v>46003</v>
      </c>
      <c r="E604" s="178">
        <v>4</v>
      </c>
      <c r="F604" s="171" t="s">
        <v>653</v>
      </c>
      <c r="G604" s="168">
        <f>IFERROR(VLOOKUP(F604,'menu list'!B:C,2,FALSE)*E604,"0")</f>
        <v>1400</v>
      </c>
      <c r="H604" s="337">
        <f t="shared" si="46"/>
        <v>210</v>
      </c>
      <c r="I604" s="168">
        <f t="shared" si="47"/>
        <v>1610</v>
      </c>
    </row>
    <row r="605" spans="1:9" ht="13.2">
      <c r="A605" s="170">
        <f t="shared" si="48"/>
        <v>604</v>
      </c>
      <c r="B605" s="171" t="s">
        <v>762</v>
      </c>
      <c r="C605" s="171" t="str">
        <f>VLOOKUP(B605,MEMBERS!B:C,2, )</f>
        <v>MR. KASHIF SAEED</v>
      </c>
      <c r="D605" s="191">
        <v>46003</v>
      </c>
      <c r="E605" s="178">
        <v>1</v>
      </c>
      <c r="F605" s="171" t="s">
        <v>522</v>
      </c>
      <c r="G605" s="168">
        <f>IFERROR(VLOOKUP(F605,'menu list'!B:C,2,FALSE)*E605,"0")</f>
        <v>1200</v>
      </c>
      <c r="H605" s="337">
        <f t="shared" si="46"/>
        <v>180</v>
      </c>
      <c r="I605" s="168">
        <f t="shared" si="47"/>
        <v>1380</v>
      </c>
    </row>
    <row r="606" spans="1:9" ht="13.2">
      <c r="A606" s="170">
        <f t="shared" si="48"/>
        <v>605</v>
      </c>
      <c r="B606" s="171" t="s">
        <v>762</v>
      </c>
      <c r="C606" s="171" t="str">
        <f>VLOOKUP(B606,MEMBERS!B:C,2, )</f>
        <v>MR. KASHIF SAEED</v>
      </c>
      <c r="D606" s="191">
        <v>46003</v>
      </c>
      <c r="E606" s="178">
        <v>1</v>
      </c>
      <c r="F606" s="171" t="s">
        <v>822</v>
      </c>
      <c r="G606" s="168">
        <f>IFERROR(VLOOKUP(F606,'menu list'!B:C,2,FALSE)*E606,"0")</f>
        <v>1500</v>
      </c>
      <c r="H606" s="337">
        <f t="shared" si="46"/>
        <v>225</v>
      </c>
      <c r="I606" s="168">
        <f t="shared" si="47"/>
        <v>1725</v>
      </c>
    </row>
    <row r="607" spans="1:9" ht="13.2">
      <c r="A607" s="170">
        <f t="shared" si="48"/>
        <v>606</v>
      </c>
      <c r="B607" s="171" t="s">
        <v>762</v>
      </c>
      <c r="C607" s="171" t="str">
        <f>VLOOKUP(B607,MEMBERS!B:C,2, )</f>
        <v>MR. KASHIF SAEED</v>
      </c>
      <c r="D607" s="191">
        <v>46003</v>
      </c>
      <c r="E607" s="178">
        <v>1</v>
      </c>
      <c r="F607" s="171" t="s">
        <v>786</v>
      </c>
      <c r="G607" s="168">
        <f>IFERROR(VLOOKUP(F607,'menu list'!B:C,2,FALSE)*E607,"0")</f>
        <v>1150</v>
      </c>
      <c r="H607" s="337">
        <f t="shared" si="46"/>
        <v>172.5</v>
      </c>
      <c r="I607" s="168">
        <f t="shared" si="47"/>
        <v>1322.5</v>
      </c>
    </row>
    <row r="608" spans="1:9" ht="13.2">
      <c r="A608" s="170">
        <f t="shared" si="48"/>
        <v>607</v>
      </c>
      <c r="B608" s="171" t="s">
        <v>762</v>
      </c>
      <c r="C608" s="171" t="str">
        <f>VLOOKUP(B608,MEMBERS!B:C,2, )</f>
        <v>MR. KASHIF SAEED</v>
      </c>
      <c r="D608" s="191">
        <v>46003</v>
      </c>
      <c r="E608" s="178">
        <v>2</v>
      </c>
      <c r="F608" s="171" t="s">
        <v>806</v>
      </c>
      <c r="G608" s="168">
        <f>IFERROR(VLOOKUP(F608,'menu list'!B:C,2,FALSE)*E608,"0")</f>
        <v>1200</v>
      </c>
      <c r="H608" s="337">
        <f t="shared" si="46"/>
        <v>180</v>
      </c>
      <c r="I608" s="168">
        <f t="shared" si="47"/>
        <v>1380</v>
      </c>
    </row>
    <row r="609" spans="1:9" ht="13.2">
      <c r="A609" s="170">
        <f t="shared" si="48"/>
        <v>608</v>
      </c>
      <c r="B609" s="171" t="s">
        <v>762</v>
      </c>
      <c r="C609" s="171" t="str">
        <f>VLOOKUP(B609,MEMBERS!B:C,2, )</f>
        <v>MR. KASHIF SAEED</v>
      </c>
      <c r="D609" s="191">
        <v>46003</v>
      </c>
      <c r="E609" s="178">
        <v>5</v>
      </c>
      <c r="F609" s="171" t="s">
        <v>504</v>
      </c>
      <c r="G609" s="168">
        <f>IFERROR(VLOOKUP(F609,'menu list'!B:C,2,FALSE)*E609,"0")</f>
        <v>650</v>
      </c>
      <c r="H609" s="337">
        <f t="shared" si="46"/>
        <v>97.5</v>
      </c>
      <c r="I609" s="168">
        <f t="shared" si="47"/>
        <v>747.5</v>
      </c>
    </row>
    <row r="610" spans="1:9" ht="13.2">
      <c r="A610" s="170">
        <f t="shared" si="48"/>
        <v>609</v>
      </c>
      <c r="B610" s="171" t="s">
        <v>762</v>
      </c>
      <c r="C610" s="171" t="str">
        <f>VLOOKUP(B610,MEMBERS!B:C,2, )</f>
        <v>MR. KASHIF SAEED</v>
      </c>
      <c r="D610" s="191">
        <v>46003</v>
      </c>
      <c r="E610" s="178">
        <v>1</v>
      </c>
      <c r="F610" s="171" t="s">
        <v>440</v>
      </c>
      <c r="G610" s="168">
        <f>IFERROR(VLOOKUP(F610,'menu list'!B:C,2,FALSE)*E610,"0")</f>
        <v>150</v>
      </c>
      <c r="H610" s="337">
        <f t="shared" si="46"/>
        <v>22.5</v>
      </c>
      <c r="I610" s="168">
        <f t="shared" si="47"/>
        <v>172.5</v>
      </c>
    </row>
    <row r="611" spans="1:9" ht="13.2">
      <c r="A611" s="170">
        <f t="shared" si="48"/>
        <v>610</v>
      </c>
      <c r="B611" s="171" t="s">
        <v>762</v>
      </c>
      <c r="C611" s="171" t="str">
        <f>VLOOKUP(B611,MEMBERS!B:C,2, )</f>
        <v>MR. KASHIF SAEED</v>
      </c>
      <c r="D611" s="191">
        <v>46003</v>
      </c>
      <c r="E611" s="178">
        <v>1</v>
      </c>
      <c r="F611" s="171" t="s">
        <v>515</v>
      </c>
      <c r="G611" s="168">
        <f>IFERROR(VLOOKUP(F611,'menu list'!B:C,2,FALSE)*E611,"0")</f>
        <v>400</v>
      </c>
      <c r="H611" s="337">
        <f t="shared" si="46"/>
        <v>60</v>
      </c>
      <c r="I611" s="168">
        <f t="shared" si="47"/>
        <v>460</v>
      </c>
    </row>
    <row r="612" spans="1:9" ht="13.2">
      <c r="A612" s="170">
        <f t="shared" si="48"/>
        <v>611</v>
      </c>
      <c r="B612" s="171" t="s">
        <v>762</v>
      </c>
      <c r="C612" s="171" t="str">
        <f>VLOOKUP(B612,MEMBERS!B:C,2, )</f>
        <v>MR. KASHIF SAEED</v>
      </c>
      <c r="D612" s="191">
        <v>46003</v>
      </c>
      <c r="E612" s="178">
        <v>2</v>
      </c>
      <c r="F612" s="171" t="s">
        <v>498</v>
      </c>
      <c r="G612" s="168">
        <f>IFERROR(VLOOKUP(F612,'menu list'!B:C,2,FALSE)*E612,"0")</f>
        <v>400</v>
      </c>
      <c r="H612" s="337">
        <f t="shared" si="46"/>
        <v>60</v>
      </c>
      <c r="I612" s="168">
        <f t="shared" si="47"/>
        <v>460</v>
      </c>
    </row>
    <row r="613" spans="1:9" ht="13.2">
      <c r="A613" s="170">
        <f t="shared" si="48"/>
        <v>612</v>
      </c>
      <c r="B613" s="171" t="s">
        <v>54</v>
      </c>
      <c r="C613" s="171" t="str">
        <f>VLOOKUP(B613,MEMBERS!B:C,2, )</f>
        <v>MR.ZEESHAN IQBAL</v>
      </c>
      <c r="D613" s="191">
        <v>46003</v>
      </c>
      <c r="E613" s="178">
        <v>1</v>
      </c>
      <c r="F613" s="171" t="s">
        <v>803</v>
      </c>
      <c r="G613" s="168">
        <f>IFERROR(VLOOKUP(F613,'menu list'!B:C,2,FALSE)*E613,"0")</f>
        <v>250</v>
      </c>
      <c r="H613" s="337">
        <f t="shared" si="46"/>
        <v>37.5</v>
      </c>
      <c r="I613" s="168">
        <f t="shared" si="47"/>
        <v>287.5</v>
      </c>
    </row>
    <row r="614" spans="1:9" ht="13.2">
      <c r="A614" s="170">
        <f t="shared" ref="A614:A620" si="49">IF(D614&lt;&gt;"", ROW()-1, "")</f>
        <v>613</v>
      </c>
      <c r="B614" s="171" t="s">
        <v>948</v>
      </c>
      <c r="C614" s="171" t="str">
        <f>VLOOKUP(B614,MEMBERS!B:C,2, )</f>
        <v>MR. TEHSEEN FAIZ</v>
      </c>
      <c r="D614" s="191">
        <v>46003</v>
      </c>
      <c r="E614" s="178">
        <v>1</v>
      </c>
      <c r="F614" s="171" t="s">
        <v>860</v>
      </c>
      <c r="G614" s="168">
        <f>IFERROR(VLOOKUP(F614,'menu list'!B:C,2,FALSE)*E614,"0")</f>
        <v>300</v>
      </c>
      <c r="H614" s="337">
        <f t="shared" si="46"/>
        <v>45</v>
      </c>
      <c r="I614" s="168">
        <f t="shared" si="47"/>
        <v>345</v>
      </c>
    </row>
    <row r="615" spans="1:9" ht="13.2">
      <c r="A615" s="170">
        <f t="shared" si="49"/>
        <v>614</v>
      </c>
      <c r="B615" s="171" t="s">
        <v>948</v>
      </c>
      <c r="C615" s="171" t="str">
        <f>VLOOKUP(B615,MEMBERS!B:C,2, )</f>
        <v>MR. TEHSEEN FAIZ</v>
      </c>
      <c r="D615" s="191">
        <v>46003</v>
      </c>
      <c r="E615" s="178">
        <v>1</v>
      </c>
      <c r="F615" s="171" t="s">
        <v>915</v>
      </c>
      <c r="G615" s="168">
        <f>IFERROR(VLOOKUP(F615,'menu list'!B:C,2,FALSE)*E615,"0")</f>
        <v>999</v>
      </c>
      <c r="H615" s="337">
        <f t="shared" si="46"/>
        <v>149.85</v>
      </c>
      <c r="I615" s="168">
        <f t="shared" si="47"/>
        <v>1148.8499999999999</v>
      </c>
    </row>
    <row r="616" spans="1:9" ht="13.2">
      <c r="A616" s="170">
        <f t="shared" si="49"/>
        <v>615</v>
      </c>
      <c r="B616" s="171" t="s">
        <v>948</v>
      </c>
      <c r="C616" s="171" t="str">
        <f>VLOOKUP(B616,MEMBERS!B:C,2, )</f>
        <v>MR. TEHSEEN FAIZ</v>
      </c>
      <c r="D616" s="191">
        <v>46003</v>
      </c>
      <c r="E616" s="178">
        <v>1</v>
      </c>
      <c r="F616" s="171" t="s">
        <v>503</v>
      </c>
      <c r="G616" s="168">
        <f>IFERROR(VLOOKUP(F616,'menu list'!B:C,2,FALSE)*E616,"0")</f>
        <v>1200</v>
      </c>
      <c r="H616" s="337">
        <f t="shared" si="46"/>
        <v>180</v>
      </c>
      <c r="I616" s="168">
        <f t="shared" si="47"/>
        <v>1380</v>
      </c>
    </row>
    <row r="617" spans="1:9" ht="13.2">
      <c r="A617" s="170">
        <f t="shared" si="49"/>
        <v>616</v>
      </c>
      <c r="B617" s="171" t="s">
        <v>948</v>
      </c>
      <c r="C617" s="171" t="str">
        <f>VLOOKUP(B617,MEMBERS!B:C,2, )</f>
        <v>MR. TEHSEEN FAIZ</v>
      </c>
      <c r="D617" s="191">
        <v>46003</v>
      </c>
      <c r="E617" s="178">
        <v>1</v>
      </c>
      <c r="F617" s="171" t="s">
        <v>939</v>
      </c>
      <c r="G617" s="168">
        <f>IFERROR(VLOOKUP(F617,'menu list'!B:C,2,FALSE)*E617,"0")</f>
        <v>1200</v>
      </c>
      <c r="H617" s="337">
        <f t="shared" si="46"/>
        <v>180</v>
      </c>
      <c r="I617" s="168">
        <f t="shared" si="47"/>
        <v>1380</v>
      </c>
    </row>
    <row r="618" spans="1:9" ht="13.2">
      <c r="A618" s="170">
        <f t="shared" si="49"/>
        <v>617</v>
      </c>
      <c r="B618" s="171" t="s">
        <v>948</v>
      </c>
      <c r="C618" s="171" t="str">
        <f>VLOOKUP(B618,MEMBERS!B:C,2, )</f>
        <v>MR. TEHSEEN FAIZ</v>
      </c>
      <c r="D618" s="191">
        <v>46003</v>
      </c>
      <c r="E618" s="178">
        <v>1</v>
      </c>
      <c r="F618" s="171" t="s">
        <v>780</v>
      </c>
      <c r="G618" s="168">
        <f>IFERROR(VLOOKUP(F618,'menu list'!B:C,2,FALSE)*E618,"0")</f>
        <v>800</v>
      </c>
      <c r="H618" s="337">
        <f t="shared" si="46"/>
        <v>120</v>
      </c>
      <c r="I618" s="168">
        <f t="shared" si="47"/>
        <v>920</v>
      </c>
    </row>
    <row r="619" spans="1:9" ht="13.2">
      <c r="A619" s="170">
        <f t="shared" si="49"/>
        <v>618</v>
      </c>
      <c r="B619" s="171" t="s">
        <v>948</v>
      </c>
      <c r="C619" s="171" t="str">
        <f>VLOOKUP(B619,MEMBERS!B:C,2, )</f>
        <v>MR. TEHSEEN FAIZ</v>
      </c>
      <c r="D619" s="191">
        <v>46003</v>
      </c>
      <c r="E619" s="178">
        <v>1</v>
      </c>
      <c r="F619" s="171" t="s">
        <v>786</v>
      </c>
      <c r="G619" s="168">
        <f>IFERROR(VLOOKUP(F619,'menu list'!B:C,2,FALSE)*E619,"0")</f>
        <v>1150</v>
      </c>
      <c r="H619" s="337">
        <f t="shared" si="46"/>
        <v>172.5</v>
      </c>
      <c r="I619" s="168">
        <f t="shared" si="47"/>
        <v>1322.5</v>
      </c>
    </row>
    <row r="620" spans="1:9" ht="13.2">
      <c r="A620" s="170">
        <f t="shared" si="49"/>
        <v>619</v>
      </c>
      <c r="B620" s="171" t="s">
        <v>1073</v>
      </c>
      <c r="C620" s="171" t="str">
        <f>VLOOKUP(B620,MEMBERS!B:C,2, )</f>
        <v>MR. GHULAM MUSTAFA</v>
      </c>
      <c r="D620" s="191">
        <v>46004</v>
      </c>
      <c r="E620" s="178">
        <v>2</v>
      </c>
      <c r="F620" s="171" t="s">
        <v>440</v>
      </c>
      <c r="G620" s="168">
        <f>IFERROR(VLOOKUP(F620,'menu list'!B:C,2,FALSE)*E620,"0")</f>
        <v>300</v>
      </c>
      <c r="H620" s="337">
        <f t="shared" si="46"/>
        <v>45</v>
      </c>
      <c r="I620" s="168">
        <f t="shared" si="47"/>
        <v>345</v>
      </c>
    </row>
    <row r="621" spans="1:9" ht="13.2">
      <c r="A621" s="170">
        <f t="shared" ref="A621:A684" si="50">IF(D621&lt;&gt;"", ROW()-1, "")</f>
        <v>620</v>
      </c>
      <c r="B621" s="171" t="s">
        <v>1073</v>
      </c>
      <c r="C621" s="171" t="str">
        <f>VLOOKUP(B621,MEMBERS!B:C,2, )</f>
        <v>MR. GHULAM MUSTAFA</v>
      </c>
      <c r="D621" s="191">
        <v>46004</v>
      </c>
      <c r="E621" s="178">
        <v>3</v>
      </c>
      <c r="F621" s="171" t="s">
        <v>442</v>
      </c>
      <c r="G621" s="168">
        <f>IFERROR(VLOOKUP(F621,'menu list'!B:C,2,FALSE)*E621,"0")</f>
        <v>450</v>
      </c>
      <c r="H621" s="337">
        <f t="shared" si="46"/>
        <v>67.5</v>
      </c>
      <c r="I621" s="168">
        <f t="shared" si="47"/>
        <v>517.5</v>
      </c>
    </row>
    <row r="622" spans="1:9" ht="13.2">
      <c r="A622" s="170">
        <f t="shared" si="50"/>
        <v>621</v>
      </c>
      <c r="B622" s="171" t="s">
        <v>1073</v>
      </c>
      <c r="C622" s="171" t="str">
        <f>VLOOKUP(B622,MEMBERS!B:C,2, )</f>
        <v>MR. GHULAM MUSTAFA</v>
      </c>
      <c r="D622" s="191">
        <v>46004</v>
      </c>
      <c r="E622" s="178">
        <v>4</v>
      </c>
      <c r="F622" s="171" t="s">
        <v>1184</v>
      </c>
      <c r="G622" s="168">
        <f>IFERROR(VLOOKUP(F622,'menu list'!B:C,2,FALSE)*E622,"0")</f>
        <v>3200</v>
      </c>
      <c r="H622" s="337">
        <f t="shared" si="46"/>
        <v>480</v>
      </c>
      <c r="I622" s="168">
        <f t="shared" si="47"/>
        <v>3680</v>
      </c>
    </row>
    <row r="623" spans="1:9" ht="13.2">
      <c r="A623" s="170">
        <f t="shared" si="50"/>
        <v>622</v>
      </c>
      <c r="B623" s="171" t="s">
        <v>1073</v>
      </c>
      <c r="C623" s="171" t="str">
        <f>VLOOKUP(B623,MEMBERS!B:C,2, )</f>
        <v>MR. GHULAM MUSTAFA</v>
      </c>
      <c r="D623" s="191">
        <v>46004</v>
      </c>
      <c r="E623" s="178">
        <v>4</v>
      </c>
      <c r="F623" s="171" t="s">
        <v>733</v>
      </c>
      <c r="G623" s="168">
        <f>IFERROR(VLOOKUP(F623,'menu list'!B:C,2,FALSE)*E623,"0")</f>
        <v>1200</v>
      </c>
      <c r="H623" s="337">
        <f t="shared" si="46"/>
        <v>180</v>
      </c>
      <c r="I623" s="168">
        <f t="shared" si="47"/>
        <v>1380</v>
      </c>
    </row>
    <row r="624" spans="1:9" ht="13.2">
      <c r="A624" s="170">
        <f t="shared" si="50"/>
        <v>623</v>
      </c>
      <c r="B624" s="171" t="s">
        <v>1006</v>
      </c>
      <c r="C624" s="171" t="str">
        <f>VLOOKUP(B624,MEMBERS!B:C,2, )</f>
        <v>MR. RAJESH KUMAR CHAWLA</v>
      </c>
      <c r="D624" s="191">
        <v>46004</v>
      </c>
      <c r="E624" s="178">
        <v>2</v>
      </c>
      <c r="F624" s="171" t="s">
        <v>440</v>
      </c>
      <c r="G624" s="168">
        <f>IFERROR(VLOOKUP(F624,'menu list'!B:C,2,FALSE)*E624,"0")</f>
        <v>300</v>
      </c>
      <c r="H624" s="337">
        <f t="shared" si="46"/>
        <v>45</v>
      </c>
      <c r="I624" s="168">
        <f t="shared" si="47"/>
        <v>345</v>
      </c>
    </row>
    <row r="625" spans="1:9" ht="13.2">
      <c r="A625" s="170">
        <f t="shared" si="50"/>
        <v>624</v>
      </c>
      <c r="B625" s="171" t="s">
        <v>1006</v>
      </c>
      <c r="C625" s="171" t="str">
        <f>VLOOKUP(B625,MEMBERS!B:C,2, )</f>
        <v>MR. RAJESH KUMAR CHAWLA</v>
      </c>
      <c r="D625" s="191">
        <v>46004</v>
      </c>
      <c r="E625" s="178">
        <v>2</v>
      </c>
      <c r="F625" s="171" t="s">
        <v>442</v>
      </c>
      <c r="G625" s="168">
        <f>IFERROR(VLOOKUP(F625,'menu list'!B:C,2,FALSE)*E625,"0")</f>
        <v>300</v>
      </c>
      <c r="H625" s="337">
        <f t="shared" si="46"/>
        <v>45</v>
      </c>
      <c r="I625" s="168">
        <f t="shared" si="47"/>
        <v>345</v>
      </c>
    </row>
    <row r="626" spans="1:9" ht="13.2">
      <c r="A626" s="170">
        <f t="shared" si="50"/>
        <v>625</v>
      </c>
      <c r="B626" s="171" t="s">
        <v>1006</v>
      </c>
      <c r="C626" s="171" t="str">
        <f>VLOOKUP(B626,MEMBERS!B:C,2, )</f>
        <v>MR. RAJESH KUMAR CHAWLA</v>
      </c>
      <c r="D626" s="191">
        <v>46004</v>
      </c>
      <c r="E626" s="178">
        <v>2</v>
      </c>
      <c r="F626" s="171" t="s">
        <v>733</v>
      </c>
      <c r="G626" s="168">
        <f>IFERROR(VLOOKUP(F626,'menu list'!B:C,2,FALSE)*E626,"0")</f>
        <v>600</v>
      </c>
      <c r="H626" s="337">
        <f t="shared" si="46"/>
        <v>90</v>
      </c>
      <c r="I626" s="168">
        <f t="shared" si="47"/>
        <v>690</v>
      </c>
    </row>
    <row r="627" spans="1:9" ht="13.2">
      <c r="A627" s="170">
        <f t="shared" si="50"/>
        <v>626</v>
      </c>
      <c r="B627" s="171" t="s">
        <v>1052</v>
      </c>
      <c r="C627" s="171" t="str">
        <f>VLOOKUP(B627,MEMBERS!B:C,2, )</f>
        <v>MR. YASIR RASHEED</v>
      </c>
      <c r="D627" s="191">
        <v>46004</v>
      </c>
      <c r="E627" s="178">
        <v>2</v>
      </c>
      <c r="F627" s="171" t="s">
        <v>1184</v>
      </c>
      <c r="G627" s="168">
        <f>IFERROR(VLOOKUP(F627,'menu list'!B:C,2,FALSE)*E627,"0")</f>
        <v>1600</v>
      </c>
      <c r="H627" s="337">
        <f t="shared" si="46"/>
        <v>240</v>
      </c>
      <c r="I627" s="168">
        <f t="shared" si="47"/>
        <v>1840</v>
      </c>
    </row>
    <row r="628" spans="1:9" ht="13.2">
      <c r="A628" s="170">
        <f t="shared" si="50"/>
        <v>627</v>
      </c>
      <c r="B628" s="171" t="s">
        <v>1052</v>
      </c>
      <c r="C628" s="171" t="str">
        <f>VLOOKUP(B628,MEMBERS!B:C,2, )</f>
        <v>MR. YASIR RASHEED</v>
      </c>
      <c r="D628" s="191">
        <v>46004</v>
      </c>
      <c r="E628" s="178">
        <v>3</v>
      </c>
      <c r="F628" s="171" t="s">
        <v>499</v>
      </c>
      <c r="G628" s="168">
        <f>IFERROR(VLOOKUP(F628,'menu list'!B:C,2,FALSE)*E628,"0")</f>
        <v>300</v>
      </c>
      <c r="H628" s="337">
        <f t="shared" si="46"/>
        <v>45</v>
      </c>
      <c r="I628" s="168">
        <f t="shared" si="47"/>
        <v>345</v>
      </c>
    </row>
    <row r="629" spans="1:9" ht="13.2">
      <c r="A629" s="170">
        <f t="shared" si="50"/>
        <v>628</v>
      </c>
      <c r="B629" s="171" t="s">
        <v>1052</v>
      </c>
      <c r="C629" s="171" t="str">
        <f>VLOOKUP(B629,MEMBERS!B:C,2, )</f>
        <v>MR. YASIR RASHEED</v>
      </c>
      <c r="D629" s="191">
        <v>46004</v>
      </c>
      <c r="E629" s="178">
        <v>2</v>
      </c>
      <c r="F629" s="171" t="s">
        <v>442</v>
      </c>
      <c r="G629" s="168">
        <f>IFERROR(VLOOKUP(F629,'menu list'!B:C,2,FALSE)*E629,"0")</f>
        <v>300</v>
      </c>
      <c r="H629" s="337">
        <f t="shared" si="46"/>
        <v>45</v>
      </c>
      <c r="I629" s="168">
        <f t="shared" si="47"/>
        <v>345</v>
      </c>
    </row>
    <row r="630" spans="1:9" ht="13.2">
      <c r="A630" s="170">
        <f t="shared" si="50"/>
        <v>629</v>
      </c>
      <c r="B630" s="171" t="s">
        <v>454</v>
      </c>
      <c r="C630" s="171" t="str">
        <f>VLOOKUP(B630,MEMBERS!B:C,2, )</f>
        <v>Heritage club</v>
      </c>
      <c r="D630" s="191">
        <v>46004</v>
      </c>
      <c r="E630" s="178">
        <v>5</v>
      </c>
      <c r="F630" s="171" t="s">
        <v>440</v>
      </c>
      <c r="G630" s="168">
        <f>IFERROR(VLOOKUP(F630,'menu list'!B:C,2,FALSE)*E630,"0")</f>
        <v>750</v>
      </c>
      <c r="H630" s="337">
        <f t="shared" si="46"/>
        <v>112.5</v>
      </c>
      <c r="I630" s="168">
        <f t="shared" si="47"/>
        <v>862.5</v>
      </c>
    </row>
    <row r="631" spans="1:9" ht="13.2">
      <c r="A631" s="170">
        <f t="shared" si="50"/>
        <v>630</v>
      </c>
      <c r="B631" s="171" t="s">
        <v>454</v>
      </c>
      <c r="C631" s="171" t="str">
        <f>VLOOKUP(B631,MEMBERS!B:C,2, )</f>
        <v>Heritage club</v>
      </c>
      <c r="D631" s="191">
        <v>46004</v>
      </c>
      <c r="E631" s="178">
        <v>4</v>
      </c>
      <c r="F631" s="171" t="s">
        <v>442</v>
      </c>
      <c r="G631" s="168">
        <f>IFERROR(VLOOKUP(F631,'menu list'!B:C,2,FALSE)*E631,"0")</f>
        <v>600</v>
      </c>
      <c r="H631" s="337">
        <f t="shared" si="46"/>
        <v>90</v>
      </c>
      <c r="I631" s="168">
        <f t="shared" si="47"/>
        <v>690</v>
      </c>
    </row>
    <row r="632" spans="1:9" ht="13.2">
      <c r="A632" s="170">
        <f t="shared" si="50"/>
        <v>631</v>
      </c>
      <c r="B632" s="171" t="s">
        <v>430</v>
      </c>
      <c r="C632" s="171" t="str">
        <f>VLOOKUP(B632,MEMBERS!B:C,2, )</f>
        <v>SYED JIBRAN MUSHTAQ</v>
      </c>
      <c r="D632" s="191">
        <v>46004</v>
      </c>
      <c r="E632" s="178">
        <v>2</v>
      </c>
      <c r="F632" s="171" t="s">
        <v>1184</v>
      </c>
      <c r="G632" s="168">
        <f>IFERROR(VLOOKUP(F632,'menu list'!B:C,2,FALSE)*E632,"0")</f>
        <v>1600</v>
      </c>
      <c r="H632" s="337">
        <f t="shared" si="46"/>
        <v>240</v>
      </c>
      <c r="I632" s="168">
        <f t="shared" si="47"/>
        <v>1840</v>
      </c>
    </row>
    <row r="633" spans="1:9" ht="13.2">
      <c r="A633" s="170">
        <f t="shared" si="50"/>
        <v>632</v>
      </c>
      <c r="B633" s="171" t="s">
        <v>430</v>
      </c>
      <c r="C633" s="171" t="str">
        <f>VLOOKUP(B633,MEMBERS!B:C,2, )</f>
        <v>SYED JIBRAN MUSHTAQ</v>
      </c>
      <c r="D633" s="191">
        <v>46004</v>
      </c>
      <c r="E633" s="178">
        <v>2</v>
      </c>
      <c r="F633" s="171" t="s">
        <v>440</v>
      </c>
      <c r="G633" s="168">
        <f>IFERROR(VLOOKUP(F633,'menu list'!B:C,2,FALSE)*E633,"0")</f>
        <v>300</v>
      </c>
      <c r="H633" s="337">
        <f t="shared" si="46"/>
        <v>45</v>
      </c>
      <c r="I633" s="168">
        <f t="shared" si="47"/>
        <v>345</v>
      </c>
    </row>
    <row r="634" spans="1:9" ht="13.2">
      <c r="A634" s="170">
        <f t="shared" si="50"/>
        <v>633</v>
      </c>
      <c r="B634" s="171" t="s">
        <v>430</v>
      </c>
      <c r="C634" s="171" t="str">
        <f>VLOOKUP(B634,MEMBERS!B:C,2, )</f>
        <v>SYED JIBRAN MUSHTAQ</v>
      </c>
      <c r="D634" s="191">
        <v>46004</v>
      </c>
      <c r="E634" s="178">
        <v>3</v>
      </c>
      <c r="F634" s="171" t="s">
        <v>499</v>
      </c>
      <c r="G634" s="168">
        <f>IFERROR(VLOOKUP(F634,'menu list'!B:C,2,FALSE)*E634,"0")</f>
        <v>300</v>
      </c>
      <c r="H634" s="337">
        <f t="shared" si="46"/>
        <v>45</v>
      </c>
      <c r="I634" s="168">
        <f t="shared" si="47"/>
        <v>345</v>
      </c>
    </row>
    <row r="635" spans="1:9" ht="13.2">
      <c r="A635" s="170">
        <f t="shared" si="50"/>
        <v>634</v>
      </c>
      <c r="B635" s="171" t="s">
        <v>430</v>
      </c>
      <c r="C635" s="171" t="str">
        <f>VLOOKUP(B635,MEMBERS!B:C,2, )</f>
        <v>SYED JIBRAN MUSHTAQ</v>
      </c>
      <c r="D635" s="191">
        <v>46004</v>
      </c>
      <c r="E635" s="178">
        <v>2</v>
      </c>
      <c r="F635" s="171" t="s">
        <v>442</v>
      </c>
      <c r="G635" s="168">
        <f>IFERROR(VLOOKUP(F635,'menu list'!B:C,2,FALSE)*E635,"0")</f>
        <v>300</v>
      </c>
      <c r="H635" s="337">
        <f t="shared" si="46"/>
        <v>45</v>
      </c>
      <c r="I635" s="168">
        <f t="shared" si="47"/>
        <v>345</v>
      </c>
    </row>
    <row r="636" spans="1:9" ht="13.2">
      <c r="A636" s="170">
        <f t="shared" si="50"/>
        <v>635</v>
      </c>
      <c r="B636" s="171" t="s">
        <v>430</v>
      </c>
      <c r="C636" s="171" t="str">
        <f>VLOOKUP(B636,MEMBERS!B:C,2, )</f>
        <v>SYED JIBRAN MUSHTAQ</v>
      </c>
      <c r="D636" s="191">
        <v>46004</v>
      </c>
      <c r="E636" s="178">
        <v>2</v>
      </c>
      <c r="F636" s="171" t="s">
        <v>733</v>
      </c>
      <c r="G636" s="168">
        <f>IFERROR(VLOOKUP(F636,'menu list'!B:C,2,FALSE)*E636,"0")</f>
        <v>600</v>
      </c>
      <c r="H636" s="337">
        <f t="shared" si="46"/>
        <v>90</v>
      </c>
      <c r="I636" s="168">
        <f t="shared" si="47"/>
        <v>690</v>
      </c>
    </row>
    <row r="637" spans="1:9" ht="13.2">
      <c r="A637" s="170">
        <f t="shared" si="50"/>
        <v>636</v>
      </c>
      <c r="B637" s="171" t="s">
        <v>88</v>
      </c>
      <c r="C637" s="171" t="str">
        <f>VLOOKUP(B637,MEMBERS!B:C,2, )</f>
        <v>DR.NAZEER HUSSAIN KALHORO</v>
      </c>
      <c r="D637" s="191">
        <v>46004</v>
      </c>
      <c r="E637" s="178">
        <v>2</v>
      </c>
      <c r="F637" s="171" t="s">
        <v>645</v>
      </c>
      <c r="G637" s="168">
        <f>IFERROR(VLOOKUP(F637,'menu list'!B:C,2,FALSE)*E637,"0")</f>
        <v>1600</v>
      </c>
      <c r="H637" s="337">
        <f t="shared" si="46"/>
        <v>240</v>
      </c>
      <c r="I637" s="168">
        <f t="shared" si="47"/>
        <v>1840</v>
      </c>
    </row>
    <row r="638" spans="1:9" ht="13.2">
      <c r="A638" s="170">
        <f t="shared" si="50"/>
        <v>637</v>
      </c>
      <c r="B638" s="171" t="s">
        <v>88</v>
      </c>
      <c r="C638" s="171" t="str">
        <f>VLOOKUP(B638,MEMBERS!B:C,2, )</f>
        <v>DR.NAZEER HUSSAIN KALHORO</v>
      </c>
      <c r="D638" s="191">
        <v>46004</v>
      </c>
      <c r="E638" s="178">
        <v>1</v>
      </c>
      <c r="F638" s="171" t="s">
        <v>440</v>
      </c>
      <c r="G638" s="168">
        <f>IFERROR(VLOOKUP(F638,'menu list'!B:C,2,FALSE)*E638,"0")</f>
        <v>150</v>
      </c>
      <c r="H638" s="337">
        <f t="shared" si="46"/>
        <v>22.5</v>
      </c>
      <c r="I638" s="168">
        <f t="shared" si="47"/>
        <v>172.5</v>
      </c>
    </row>
    <row r="639" spans="1:9" ht="13.2">
      <c r="A639" s="170">
        <f t="shared" si="50"/>
        <v>638</v>
      </c>
      <c r="B639" s="171" t="s">
        <v>88</v>
      </c>
      <c r="C639" s="171" t="str">
        <f>VLOOKUP(B639,MEMBERS!B:C,2, )</f>
        <v>DR.NAZEER HUSSAIN KALHORO</v>
      </c>
      <c r="D639" s="191">
        <v>46004</v>
      </c>
      <c r="E639" s="178">
        <v>1</v>
      </c>
      <c r="F639" s="171" t="s">
        <v>733</v>
      </c>
      <c r="G639" s="168">
        <f>IFERROR(VLOOKUP(F639,'menu list'!B:C,2,FALSE)*E639,"0")</f>
        <v>300</v>
      </c>
      <c r="H639" s="337">
        <f t="shared" si="46"/>
        <v>45</v>
      </c>
      <c r="I639" s="168">
        <f t="shared" si="47"/>
        <v>345</v>
      </c>
    </row>
    <row r="640" spans="1:9" ht="13.2">
      <c r="A640" s="170">
        <f t="shared" si="50"/>
        <v>639</v>
      </c>
      <c r="B640" s="171" t="s">
        <v>64</v>
      </c>
      <c r="C640" s="171" t="str">
        <f>VLOOKUP(B640,MEMBERS!B:C,2, )</f>
        <v>MR.DILEEP KUMAR</v>
      </c>
      <c r="D640" s="191">
        <v>46004</v>
      </c>
      <c r="E640" s="178">
        <v>33</v>
      </c>
      <c r="F640" s="171" t="s">
        <v>1185</v>
      </c>
      <c r="G640" s="168">
        <f>IFERROR(VLOOKUP(F640,'menu list'!B:C,2,FALSE)*E640,"0")</f>
        <v>33000</v>
      </c>
      <c r="H640" s="337">
        <f t="shared" si="46"/>
        <v>4950</v>
      </c>
      <c r="I640" s="168">
        <f t="shared" si="47"/>
        <v>37950</v>
      </c>
    </row>
    <row r="641" spans="1:9" ht="13.2">
      <c r="A641" s="170">
        <f t="shared" si="50"/>
        <v>640</v>
      </c>
      <c r="B641" s="171" t="s">
        <v>64</v>
      </c>
      <c r="C641" s="171" t="str">
        <f>VLOOKUP(B641,MEMBERS!B:C,2, )</f>
        <v>MR.DILEEP KUMAR</v>
      </c>
      <c r="D641" s="191">
        <v>46004</v>
      </c>
      <c r="E641" s="178">
        <v>2</v>
      </c>
      <c r="F641" s="171" t="s">
        <v>440</v>
      </c>
      <c r="G641" s="168">
        <f>IFERROR(VLOOKUP(F641,'menu list'!B:C,2,FALSE)*E641,"0")</f>
        <v>300</v>
      </c>
      <c r="H641" s="337">
        <f t="shared" si="46"/>
        <v>45</v>
      </c>
      <c r="I641" s="168">
        <f t="shared" si="47"/>
        <v>345</v>
      </c>
    </row>
    <row r="642" spans="1:9" ht="13.2">
      <c r="A642" s="170">
        <f t="shared" si="50"/>
        <v>641</v>
      </c>
      <c r="B642" s="171" t="s">
        <v>64</v>
      </c>
      <c r="C642" s="171" t="str">
        <f>VLOOKUP(B642,MEMBERS!B:C,2, )</f>
        <v>MR.DILEEP KUMAR</v>
      </c>
      <c r="D642" s="191">
        <v>46004</v>
      </c>
      <c r="E642" s="178">
        <v>2</v>
      </c>
      <c r="F642" s="171" t="s">
        <v>733</v>
      </c>
      <c r="G642" s="168">
        <f>IFERROR(VLOOKUP(F642,'menu list'!B:C,2,FALSE)*E642,"0")</f>
        <v>600</v>
      </c>
      <c r="H642" s="337">
        <f t="shared" si="46"/>
        <v>90</v>
      </c>
      <c r="I642" s="168">
        <f t="shared" si="47"/>
        <v>690</v>
      </c>
    </row>
    <row r="643" spans="1:9" ht="13.2">
      <c r="A643" s="170">
        <f t="shared" si="50"/>
        <v>642</v>
      </c>
      <c r="B643" s="171" t="s">
        <v>64</v>
      </c>
      <c r="C643" s="171" t="str">
        <f>VLOOKUP(B643,MEMBERS!B:C,2, )</f>
        <v>MR.DILEEP KUMAR</v>
      </c>
      <c r="D643" s="191">
        <v>46004</v>
      </c>
      <c r="E643" s="178">
        <v>1</v>
      </c>
      <c r="F643" s="171" t="s">
        <v>646</v>
      </c>
      <c r="G643" s="168">
        <f>IFERROR(VLOOKUP(F643,'menu list'!B:C,2,FALSE)*E643,"0")</f>
        <v>1000</v>
      </c>
      <c r="H643" s="337">
        <f t="shared" ref="H643:H706" si="51">G643*15/100</f>
        <v>150</v>
      </c>
      <c r="I643" s="168">
        <f t="shared" ref="I643:I706" si="52">G643+H643</f>
        <v>1150</v>
      </c>
    </row>
    <row r="644" spans="1:9" ht="13.2">
      <c r="A644" s="170">
        <f t="shared" si="50"/>
        <v>643</v>
      </c>
      <c r="B644" s="171" t="s">
        <v>64</v>
      </c>
      <c r="C644" s="171" t="str">
        <f>VLOOKUP(B644,MEMBERS!B:C,2, )</f>
        <v>MR.DILEEP KUMAR</v>
      </c>
      <c r="D644" s="191">
        <v>46004</v>
      </c>
      <c r="E644" s="178">
        <v>2</v>
      </c>
      <c r="F644" s="171" t="s">
        <v>499</v>
      </c>
      <c r="G644" s="168">
        <f>IFERROR(VLOOKUP(F644,'menu list'!B:C,2,FALSE)*E644,"0")</f>
        <v>200</v>
      </c>
      <c r="H644" s="337">
        <f t="shared" si="51"/>
        <v>30</v>
      </c>
      <c r="I644" s="168">
        <f t="shared" si="52"/>
        <v>230</v>
      </c>
    </row>
    <row r="645" spans="1:9" ht="13.2">
      <c r="A645" s="170">
        <f t="shared" si="50"/>
        <v>644</v>
      </c>
      <c r="B645" s="171" t="s">
        <v>64</v>
      </c>
      <c r="C645" s="171" t="str">
        <f>VLOOKUP(B645,MEMBERS!B:C,2, )</f>
        <v>MR.DILEEP KUMAR</v>
      </c>
      <c r="D645" s="191">
        <v>46004</v>
      </c>
      <c r="E645" s="178">
        <v>2</v>
      </c>
      <c r="F645" s="171" t="s">
        <v>440</v>
      </c>
      <c r="G645" s="168">
        <f>IFERROR(VLOOKUP(F645,'menu list'!B:C,2,FALSE)*E645,"0")</f>
        <v>300</v>
      </c>
      <c r="H645" s="337">
        <f t="shared" si="51"/>
        <v>45</v>
      </c>
      <c r="I645" s="168">
        <f t="shared" si="52"/>
        <v>345</v>
      </c>
    </row>
    <row r="646" spans="1:9" ht="13.2">
      <c r="A646" s="170">
        <f t="shared" si="50"/>
        <v>645</v>
      </c>
      <c r="B646" s="171" t="s">
        <v>69</v>
      </c>
      <c r="C646" s="171" t="str">
        <f>VLOOKUP(B646,MEMBERS!B:C,2, )</f>
        <v>MR.TARIQUE ZUBAIR</v>
      </c>
      <c r="D646" s="191">
        <v>46004</v>
      </c>
      <c r="E646" s="178">
        <v>2</v>
      </c>
      <c r="F646" s="171" t="s">
        <v>656</v>
      </c>
      <c r="G646" s="168">
        <f>IFERROR(VLOOKUP(F646,'menu list'!B:C,2,FALSE)*E646,"0")</f>
        <v>1500</v>
      </c>
      <c r="H646" s="337">
        <f t="shared" si="51"/>
        <v>225</v>
      </c>
      <c r="I646" s="168">
        <f t="shared" si="52"/>
        <v>1725</v>
      </c>
    </row>
    <row r="647" spans="1:9" ht="13.2">
      <c r="A647" s="170">
        <f t="shared" si="50"/>
        <v>646</v>
      </c>
      <c r="B647" s="171" t="s">
        <v>69</v>
      </c>
      <c r="C647" s="171" t="str">
        <f>VLOOKUP(B647,MEMBERS!B:C,2, )</f>
        <v>MR.TARIQUE ZUBAIR</v>
      </c>
      <c r="D647" s="191">
        <v>46004</v>
      </c>
      <c r="E647" s="178">
        <v>4</v>
      </c>
      <c r="F647" s="171" t="s">
        <v>645</v>
      </c>
      <c r="G647" s="168">
        <f>IFERROR(VLOOKUP(F647,'menu list'!B:C,2,FALSE)*E647,"0")</f>
        <v>3200</v>
      </c>
      <c r="H647" s="337">
        <f t="shared" si="51"/>
        <v>480</v>
      </c>
      <c r="I647" s="168">
        <f t="shared" si="52"/>
        <v>3680</v>
      </c>
    </row>
    <row r="648" spans="1:9" ht="13.2">
      <c r="A648" s="170">
        <f t="shared" si="50"/>
        <v>647</v>
      </c>
      <c r="B648" s="171" t="s">
        <v>69</v>
      </c>
      <c r="C648" s="171" t="str">
        <f>VLOOKUP(B648,MEMBERS!B:C,2, )</f>
        <v>MR.TARIQUE ZUBAIR</v>
      </c>
      <c r="D648" s="191">
        <v>46004</v>
      </c>
      <c r="E648" s="178">
        <v>3</v>
      </c>
      <c r="F648" s="171" t="s">
        <v>442</v>
      </c>
      <c r="G648" s="168">
        <f>IFERROR(VLOOKUP(F648,'menu list'!B:C,2,FALSE)*E648,"0")</f>
        <v>450</v>
      </c>
      <c r="H648" s="337">
        <f t="shared" si="51"/>
        <v>67.5</v>
      </c>
      <c r="I648" s="168">
        <f t="shared" si="52"/>
        <v>517.5</v>
      </c>
    </row>
    <row r="649" spans="1:9" ht="13.2">
      <c r="A649" s="170">
        <f t="shared" si="50"/>
        <v>648</v>
      </c>
      <c r="B649" s="171" t="s">
        <v>164</v>
      </c>
      <c r="C649" s="171" t="str">
        <f>VLOOKUP(B649,MEMBERS!B:C,2, )</f>
        <v>MR.ASHOK KUMAR</v>
      </c>
      <c r="D649" s="191">
        <v>46004</v>
      </c>
      <c r="E649" s="178">
        <v>1</v>
      </c>
      <c r="F649" s="171" t="s">
        <v>497</v>
      </c>
      <c r="G649" s="168">
        <f>IFERROR(VLOOKUP(F649,'menu list'!B:C,2,FALSE)*E649,"0")</f>
        <v>250</v>
      </c>
      <c r="H649" s="337">
        <f t="shared" si="51"/>
        <v>37.5</v>
      </c>
      <c r="I649" s="168">
        <f t="shared" si="52"/>
        <v>287.5</v>
      </c>
    </row>
    <row r="650" spans="1:9" ht="13.2">
      <c r="A650" s="170">
        <f t="shared" si="50"/>
        <v>649</v>
      </c>
      <c r="B650" s="171" t="s">
        <v>164</v>
      </c>
      <c r="C650" s="171" t="str">
        <f>VLOOKUP(B650,MEMBERS!B:C,2, )</f>
        <v>MR.ASHOK KUMAR</v>
      </c>
      <c r="D650" s="191">
        <v>46004</v>
      </c>
      <c r="E650" s="178">
        <v>5</v>
      </c>
      <c r="F650" s="171" t="s">
        <v>499</v>
      </c>
      <c r="G650" s="168">
        <f>IFERROR(VLOOKUP(F650,'menu list'!B:C,2,FALSE)*E650,"0")</f>
        <v>500</v>
      </c>
      <c r="H650" s="337">
        <f t="shared" si="51"/>
        <v>75</v>
      </c>
      <c r="I650" s="168">
        <f t="shared" si="52"/>
        <v>575</v>
      </c>
    </row>
    <row r="651" spans="1:9" ht="13.2">
      <c r="A651" s="170">
        <f t="shared" si="50"/>
        <v>650</v>
      </c>
      <c r="B651" s="171" t="s">
        <v>164</v>
      </c>
      <c r="C651" s="171" t="str">
        <f>VLOOKUP(B651,MEMBERS!B:C,2, )</f>
        <v>MR.ASHOK KUMAR</v>
      </c>
      <c r="D651" s="191">
        <v>46004</v>
      </c>
      <c r="E651" s="178">
        <v>1</v>
      </c>
      <c r="F651" s="171" t="s">
        <v>733</v>
      </c>
      <c r="G651" s="168">
        <f>IFERROR(VLOOKUP(F651,'menu list'!B:C,2,FALSE)*E651,"0")</f>
        <v>300</v>
      </c>
      <c r="H651" s="337">
        <f t="shared" si="51"/>
        <v>45</v>
      </c>
      <c r="I651" s="168">
        <f t="shared" si="52"/>
        <v>345</v>
      </c>
    </row>
    <row r="652" spans="1:9" ht="13.2">
      <c r="A652" s="170">
        <f t="shared" si="50"/>
        <v>651</v>
      </c>
      <c r="B652" s="171" t="s">
        <v>378</v>
      </c>
      <c r="C652" s="171" t="str">
        <f>VLOOKUP(B652,MEMBERS!B:C,2, )</f>
        <v>SABA AHSAN</v>
      </c>
      <c r="D652" s="191">
        <v>46004</v>
      </c>
      <c r="E652" s="178">
        <v>1</v>
      </c>
      <c r="F652" s="171" t="s">
        <v>707</v>
      </c>
      <c r="G652" s="168">
        <f>IFERROR(VLOOKUP(F652,'menu list'!B:C,2,FALSE)*E652,"0")</f>
        <v>450</v>
      </c>
      <c r="H652" s="337">
        <f t="shared" si="51"/>
        <v>67.5</v>
      </c>
      <c r="I652" s="168">
        <f t="shared" si="52"/>
        <v>517.5</v>
      </c>
    </row>
    <row r="653" spans="1:9" ht="13.2">
      <c r="A653" s="170">
        <f t="shared" si="50"/>
        <v>652</v>
      </c>
      <c r="B653" s="171" t="s">
        <v>378</v>
      </c>
      <c r="C653" s="171" t="str">
        <f>VLOOKUP(B653,MEMBERS!B:C,2, )</f>
        <v>SABA AHSAN</v>
      </c>
      <c r="D653" s="191">
        <v>46004</v>
      </c>
      <c r="E653" s="178">
        <v>1</v>
      </c>
      <c r="F653" s="171" t="s">
        <v>919</v>
      </c>
      <c r="G653" s="168">
        <f>IFERROR(VLOOKUP(F653,'menu list'!B:C,2,FALSE)*E653,"0")</f>
        <v>390</v>
      </c>
      <c r="H653" s="337">
        <f t="shared" si="51"/>
        <v>58.5</v>
      </c>
      <c r="I653" s="168">
        <f t="shared" si="52"/>
        <v>448.5</v>
      </c>
    </row>
    <row r="654" spans="1:9" ht="13.2">
      <c r="A654" s="170">
        <f t="shared" si="50"/>
        <v>653</v>
      </c>
      <c r="B654" s="171" t="s">
        <v>378</v>
      </c>
      <c r="C654" s="171" t="str">
        <f>VLOOKUP(B654,MEMBERS!B:C,2, )</f>
        <v>SABA AHSAN</v>
      </c>
      <c r="D654" s="191">
        <v>46004</v>
      </c>
      <c r="E654" s="178">
        <v>1</v>
      </c>
      <c r="F654" s="171" t="s">
        <v>498</v>
      </c>
      <c r="G654" s="168">
        <f>IFERROR(VLOOKUP(F654,'menu list'!B:C,2,FALSE)*E654,"0")</f>
        <v>200</v>
      </c>
      <c r="H654" s="337">
        <f t="shared" si="51"/>
        <v>30</v>
      </c>
      <c r="I654" s="168">
        <f t="shared" si="52"/>
        <v>230</v>
      </c>
    </row>
    <row r="655" spans="1:9" ht="13.2">
      <c r="A655" s="170">
        <f t="shared" si="50"/>
        <v>654</v>
      </c>
      <c r="B655" s="171" t="s">
        <v>378</v>
      </c>
      <c r="C655" s="171" t="str">
        <f>VLOOKUP(B655,MEMBERS!B:C,2, )</f>
        <v>SABA AHSAN</v>
      </c>
      <c r="D655" s="191">
        <v>46004</v>
      </c>
      <c r="E655" s="178">
        <v>3</v>
      </c>
      <c r="F655" s="171" t="s">
        <v>623</v>
      </c>
      <c r="G655" s="168">
        <f>IFERROR(VLOOKUP(F655,'menu list'!B:C,2,FALSE)*E655,"0")</f>
        <v>450</v>
      </c>
      <c r="H655" s="337">
        <f t="shared" si="51"/>
        <v>67.5</v>
      </c>
      <c r="I655" s="168">
        <f t="shared" si="52"/>
        <v>517.5</v>
      </c>
    </row>
    <row r="656" spans="1:9" ht="13.2">
      <c r="A656" s="170">
        <f t="shared" si="50"/>
        <v>655</v>
      </c>
      <c r="B656" s="171" t="s">
        <v>263</v>
      </c>
      <c r="C656" s="171" t="str">
        <f>VLOOKUP(B656,MEMBERS!B:C,2, )</f>
        <v>MR.CAREL HEDRIK BURGER</v>
      </c>
      <c r="D656" s="191">
        <v>46004</v>
      </c>
      <c r="E656" s="178">
        <v>2</v>
      </c>
      <c r="F656" s="171" t="s">
        <v>707</v>
      </c>
      <c r="G656" s="168">
        <f>IFERROR(VLOOKUP(F656,'menu list'!B:C,2,FALSE)*E656,"0")</f>
        <v>900</v>
      </c>
      <c r="H656" s="337">
        <f t="shared" si="51"/>
        <v>135</v>
      </c>
      <c r="I656" s="168">
        <f t="shared" si="52"/>
        <v>1035</v>
      </c>
    </row>
    <row r="657" spans="1:9" ht="13.2">
      <c r="A657" s="170">
        <f t="shared" si="50"/>
        <v>656</v>
      </c>
      <c r="B657" s="171" t="s">
        <v>263</v>
      </c>
      <c r="C657" s="171" t="str">
        <f>VLOOKUP(B657,MEMBERS!B:C,2, )</f>
        <v>MR.CAREL HEDRIK BURGER</v>
      </c>
      <c r="D657" s="191">
        <v>46004</v>
      </c>
      <c r="E657" s="178">
        <v>4</v>
      </c>
      <c r="F657" s="171" t="s">
        <v>552</v>
      </c>
      <c r="G657" s="168">
        <f>IFERROR(VLOOKUP(F657,'menu list'!B:C,2,FALSE)*E657,"0")</f>
        <v>600</v>
      </c>
      <c r="H657" s="337">
        <f t="shared" si="51"/>
        <v>90</v>
      </c>
      <c r="I657" s="168">
        <f t="shared" si="52"/>
        <v>690</v>
      </c>
    </row>
    <row r="658" spans="1:9" ht="13.2">
      <c r="A658" s="170">
        <f t="shared" si="50"/>
        <v>657</v>
      </c>
      <c r="B658" s="171" t="s">
        <v>263</v>
      </c>
      <c r="C658" s="171" t="str">
        <f>VLOOKUP(B658,MEMBERS!B:C,2, )</f>
        <v>MR.CAREL HEDRIK BURGER</v>
      </c>
      <c r="D658" s="191">
        <v>46004</v>
      </c>
      <c r="E658" s="178">
        <v>2</v>
      </c>
      <c r="F658" s="171" t="s">
        <v>836</v>
      </c>
      <c r="G658" s="168">
        <f>IFERROR(VLOOKUP(F658,'menu list'!B:C,2,FALSE)*E658,"0")</f>
        <v>700</v>
      </c>
      <c r="H658" s="337">
        <f t="shared" si="51"/>
        <v>105</v>
      </c>
      <c r="I658" s="168">
        <f t="shared" si="52"/>
        <v>805</v>
      </c>
    </row>
    <row r="659" spans="1:9" ht="13.2">
      <c r="A659" s="170">
        <f t="shared" si="50"/>
        <v>658</v>
      </c>
      <c r="B659" s="171" t="s">
        <v>263</v>
      </c>
      <c r="C659" s="171" t="str">
        <f>VLOOKUP(B659,MEMBERS!B:C,2, )</f>
        <v>MR.CAREL HEDRIK BURGER</v>
      </c>
      <c r="D659" s="191">
        <v>46004</v>
      </c>
      <c r="E659" s="178">
        <v>1</v>
      </c>
      <c r="F659" s="171" t="s">
        <v>499</v>
      </c>
      <c r="G659" s="168">
        <f>IFERROR(VLOOKUP(F659,'menu list'!B:C,2,FALSE)*E659,"0")</f>
        <v>100</v>
      </c>
      <c r="H659" s="337">
        <f t="shared" si="51"/>
        <v>15</v>
      </c>
      <c r="I659" s="168">
        <f t="shared" si="52"/>
        <v>115</v>
      </c>
    </row>
    <row r="660" spans="1:9" ht="13.2">
      <c r="A660" s="170">
        <f t="shared" si="50"/>
        <v>659</v>
      </c>
      <c r="B660" s="171" t="s">
        <v>15</v>
      </c>
      <c r="C660" s="171" t="str">
        <f>VLOOKUP(B660,MEMBERS!B:C,2, )</f>
        <v>MR.GHULAM NABI OTHI</v>
      </c>
      <c r="D660" s="191">
        <v>46004</v>
      </c>
      <c r="E660" s="178">
        <v>8</v>
      </c>
      <c r="F660" s="171" t="s">
        <v>645</v>
      </c>
      <c r="G660" s="168">
        <v>8000</v>
      </c>
      <c r="H660" s="337">
        <f t="shared" si="51"/>
        <v>1200</v>
      </c>
      <c r="I660" s="168">
        <f t="shared" si="52"/>
        <v>9200</v>
      </c>
    </row>
    <row r="661" spans="1:9" ht="13.2">
      <c r="A661" s="170">
        <f t="shared" si="50"/>
        <v>660</v>
      </c>
      <c r="B661" s="171" t="s">
        <v>15</v>
      </c>
      <c r="C661" s="171" t="str">
        <f>VLOOKUP(B661,MEMBERS!B:C,2, )</f>
        <v>MR.GHULAM NABI OTHI</v>
      </c>
      <c r="D661" s="191">
        <v>46004</v>
      </c>
      <c r="E661" s="178">
        <v>2</v>
      </c>
      <c r="F661" s="171" t="s">
        <v>1186</v>
      </c>
      <c r="G661" s="168">
        <v>2000</v>
      </c>
      <c r="H661" s="337">
        <f t="shared" si="51"/>
        <v>300</v>
      </c>
      <c r="I661" s="168">
        <f t="shared" si="52"/>
        <v>2300</v>
      </c>
    </row>
    <row r="662" spans="1:9" ht="13.2">
      <c r="A662" s="170">
        <f t="shared" si="50"/>
        <v>661</v>
      </c>
      <c r="B662" s="171" t="s">
        <v>15</v>
      </c>
      <c r="C662" s="171" t="str">
        <f>VLOOKUP(B662,MEMBERS!B:C,2, )</f>
        <v>MR.GHULAM NABI OTHI</v>
      </c>
      <c r="D662" s="191">
        <v>46004</v>
      </c>
      <c r="E662" s="178">
        <v>1</v>
      </c>
      <c r="F662" s="171" t="s">
        <v>440</v>
      </c>
      <c r="G662" s="168">
        <f>IFERROR(VLOOKUP(F662,'menu list'!B:C,2,FALSE)*E662,"0")</f>
        <v>150</v>
      </c>
      <c r="H662" s="337">
        <f t="shared" si="51"/>
        <v>22.5</v>
      </c>
      <c r="I662" s="168">
        <f t="shared" si="52"/>
        <v>172.5</v>
      </c>
    </row>
    <row r="663" spans="1:9" ht="13.2">
      <c r="A663" s="170">
        <f t="shared" si="50"/>
        <v>662</v>
      </c>
      <c r="B663" s="171" t="s">
        <v>15</v>
      </c>
      <c r="C663" s="171" t="str">
        <f>VLOOKUP(B663,MEMBERS!B:C,2, )</f>
        <v>MR.GHULAM NABI OTHI</v>
      </c>
      <c r="D663" s="191">
        <v>46004</v>
      </c>
      <c r="E663" s="178">
        <v>1</v>
      </c>
      <c r="F663" s="171" t="s">
        <v>499</v>
      </c>
      <c r="G663" s="168">
        <f>IFERROR(VLOOKUP(F663,'menu list'!B:C,2,FALSE)*E663,"0")</f>
        <v>100</v>
      </c>
      <c r="H663" s="337">
        <f t="shared" si="51"/>
        <v>15</v>
      </c>
      <c r="I663" s="168">
        <f t="shared" si="52"/>
        <v>115</v>
      </c>
    </row>
    <row r="664" spans="1:9" ht="13.2">
      <c r="A664" s="170">
        <f t="shared" si="50"/>
        <v>663</v>
      </c>
      <c r="B664" s="171" t="s">
        <v>948</v>
      </c>
      <c r="C664" s="171" t="str">
        <f>VLOOKUP(B664,MEMBERS!B:C,2, )</f>
        <v>MR. TEHSEEN FAIZ</v>
      </c>
      <c r="D664" s="191">
        <v>46004</v>
      </c>
      <c r="E664" s="178">
        <v>1</v>
      </c>
      <c r="F664" s="171" t="s">
        <v>785</v>
      </c>
      <c r="G664" s="168">
        <f>IFERROR(VLOOKUP(F664,'menu list'!B:C,2,FALSE)*E664,"0")</f>
        <v>950</v>
      </c>
      <c r="H664" s="337">
        <f t="shared" si="51"/>
        <v>142.5</v>
      </c>
      <c r="I664" s="168">
        <f t="shared" si="52"/>
        <v>1092.5</v>
      </c>
    </row>
    <row r="665" spans="1:9" ht="13.2">
      <c r="A665" s="170">
        <f t="shared" si="50"/>
        <v>664</v>
      </c>
      <c r="B665" s="171" t="s">
        <v>948</v>
      </c>
      <c r="C665" s="171" t="str">
        <f>VLOOKUP(B665,MEMBERS!B:C,2, )</f>
        <v>MR. TEHSEEN FAIZ</v>
      </c>
      <c r="D665" s="191">
        <v>46004</v>
      </c>
      <c r="E665" s="178">
        <v>1</v>
      </c>
      <c r="F665" s="171" t="s">
        <v>500</v>
      </c>
      <c r="G665" s="168">
        <f>IFERROR(VLOOKUP(F665,'menu list'!B:C,2,FALSE)*E665,"0")</f>
        <v>1250</v>
      </c>
      <c r="H665" s="337">
        <f t="shared" si="51"/>
        <v>187.5</v>
      </c>
      <c r="I665" s="168">
        <f t="shared" si="52"/>
        <v>1437.5</v>
      </c>
    </row>
    <row r="666" spans="1:9" ht="13.2">
      <c r="A666" s="170">
        <f t="shared" si="50"/>
        <v>665</v>
      </c>
      <c r="B666" s="171" t="s">
        <v>948</v>
      </c>
      <c r="C666" s="171" t="str">
        <f>VLOOKUP(B666,MEMBERS!B:C,2, )</f>
        <v>MR. TEHSEEN FAIZ</v>
      </c>
      <c r="D666" s="191">
        <v>46004</v>
      </c>
      <c r="E666" s="178">
        <v>2</v>
      </c>
      <c r="F666" s="171" t="s">
        <v>803</v>
      </c>
      <c r="G666" s="168">
        <f>IFERROR(VLOOKUP(F666,'menu list'!B:C,2,FALSE)*E666,"0")</f>
        <v>500</v>
      </c>
      <c r="H666" s="337">
        <f t="shared" si="51"/>
        <v>75</v>
      </c>
      <c r="I666" s="168">
        <f t="shared" si="52"/>
        <v>575</v>
      </c>
    </row>
    <row r="667" spans="1:9" ht="13.2">
      <c r="A667" s="170">
        <f t="shared" si="50"/>
        <v>666</v>
      </c>
      <c r="B667" s="171" t="s">
        <v>15</v>
      </c>
      <c r="C667" s="171" t="str">
        <f>VLOOKUP(B667,MEMBERS!B:C,2, )</f>
        <v>MR.GHULAM NABI OTHI</v>
      </c>
      <c r="D667" s="191">
        <v>46004</v>
      </c>
      <c r="E667" s="178">
        <v>2</v>
      </c>
      <c r="F667" s="171" t="s">
        <v>440</v>
      </c>
      <c r="G667" s="168">
        <f>IFERROR(VLOOKUP(F667,'menu list'!B:C,2,FALSE)*E667,"0")</f>
        <v>300</v>
      </c>
      <c r="H667" s="337">
        <f t="shared" si="51"/>
        <v>45</v>
      </c>
      <c r="I667" s="168">
        <f t="shared" si="52"/>
        <v>345</v>
      </c>
    </row>
    <row r="668" spans="1:9" ht="13.2">
      <c r="A668" s="170">
        <f t="shared" si="50"/>
        <v>667</v>
      </c>
      <c r="B668" s="171" t="s">
        <v>15</v>
      </c>
      <c r="C668" s="171" t="str">
        <f>VLOOKUP(B668,MEMBERS!B:C,2, )</f>
        <v>MR.GHULAM NABI OTHI</v>
      </c>
      <c r="D668" s="191">
        <v>46004</v>
      </c>
      <c r="E668" s="178">
        <v>1</v>
      </c>
      <c r="F668" s="171" t="s">
        <v>786</v>
      </c>
      <c r="G668" s="168">
        <f>IFERROR(VLOOKUP(F668,'menu list'!B:C,2,FALSE)*E668,"0")</f>
        <v>1150</v>
      </c>
      <c r="H668" s="337">
        <f t="shared" si="51"/>
        <v>172.5</v>
      </c>
      <c r="I668" s="168">
        <f t="shared" si="52"/>
        <v>1322.5</v>
      </c>
    </row>
    <row r="669" spans="1:9" ht="13.2">
      <c r="A669" s="170">
        <f t="shared" si="50"/>
        <v>668</v>
      </c>
      <c r="B669" s="171" t="s">
        <v>15</v>
      </c>
      <c r="C669" s="171" t="str">
        <f>VLOOKUP(B669,MEMBERS!B:C,2, )</f>
        <v>MR.GHULAM NABI OTHI</v>
      </c>
      <c r="D669" s="191">
        <v>46004</v>
      </c>
      <c r="E669" s="178">
        <v>1</v>
      </c>
      <c r="F669" s="171" t="s">
        <v>733</v>
      </c>
      <c r="G669" s="168">
        <f>IFERROR(VLOOKUP(F669,'menu list'!B:C,2,FALSE)*E669,"0")</f>
        <v>300</v>
      </c>
      <c r="H669" s="337">
        <f t="shared" si="51"/>
        <v>45</v>
      </c>
      <c r="I669" s="168">
        <f t="shared" si="52"/>
        <v>345</v>
      </c>
    </row>
    <row r="670" spans="1:9" ht="13.2">
      <c r="A670" s="170">
        <f t="shared" si="50"/>
        <v>669</v>
      </c>
      <c r="B670" s="171" t="s">
        <v>93</v>
      </c>
      <c r="C670" s="171" t="str">
        <f>VLOOKUP(B670,MEMBERS!B:C,2, )</f>
        <v>MR.NIZAM UDDIN NIZAMANI</v>
      </c>
      <c r="D670" s="191">
        <v>46004</v>
      </c>
      <c r="E670" s="178">
        <v>1</v>
      </c>
      <c r="F670" s="171" t="s">
        <v>833</v>
      </c>
      <c r="G670" s="168">
        <f>IFERROR(VLOOKUP(F670,'menu list'!B:C,2,FALSE)*E670,"0")</f>
        <v>350</v>
      </c>
      <c r="H670" s="337">
        <f t="shared" si="51"/>
        <v>52.5</v>
      </c>
      <c r="I670" s="168">
        <f t="shared" si="52"/>
        <v>402.5</v>
      </c>
    </row>
    <row r="671" spans="1:9" ht="13.2">
      <c r="A671" s="170">
        <f t="shared" si="50"/>
        <v>670</v>
      </c>
      <c r="B671" s="171" t="s">
        <v>93</v>
      </c>
      <c r="C671" s="171" t="str">
        <f>VLOOKUP(B671,MEMBERS!B:C,2, )</f>
        <v>MR.NIZAM UDDIN NIZAMANI</v>
      </c>
      <c r="D671" s="191">
        <v>46004</v>
      </c>
      <c r="E671" s="178">
        <v>1</v>
      </c>
      <c r="F671" s="171" t="s">
        <v>499</v>
      </c>
      <c r="G671" s="168">
        <f>IFERROR(VLOOKUP(F671,'menu list'!B:C,2,FALSE)*E671,"0")</f>
        <v>100</v>
      </c>
      <c r="H671" s="337">
        <f t="shared" si="51"/>
        <v>15</v>
      </c>
      <c r="I671" s="168">
        <f t="shared" si="52"/>
        <v>115</v>
      </c>
    </row>
    <row r="672" spans="1:9" ht="13.2">
      <c r="A672" s="170">
        <f t="shared" si="50"/>
        <v>671</v>
      </c>
      <c r="B672" s="171" t="s">
        <v>93</v>
      </c>
      <c r="C672" s="171" t="str">
        <f>VLOOKUP(B672,MEMBERS!B:C,2, )</f>
        <v>MR.NIZAM UDDIN NIZAMANI</v>
      </c>
      <c r="D672" s="191">
        <v>46004</v>
      </c>
      <c r="E672" s="178">
        <v>1</v>
      </c>
      <c r="F672" s="171" t="s">
        <v>633</v>
      </c>
      <c r="G672" s="168">
        <f>IFERROR(VLOOKUP(F672,'menu list'!B:C,2,FALSE)*E672,"0")</f>
        <v>700</v>
      </c>
      <c r="H672" s="337">
        <f t="shared" si="51"/>
        <v>105</v>
      </c>
      <c r="I672" s="168">
        <f t="shared" si="52"/>
        <v>805</v>
      </c>
    </row>
    <row r="673" spans="1:9" ht="13.2">
      <c r="A673" s="170">
        <f t="shared" si="50"/>
        <v>672</v>
      </c>
      <c r="B673" s="171" t="s">
        <v>177</v>
      </c>
      <c r="C673" s="171" t="str">
        <f>VLOOKUP(B673,MEMBERS!B:C,2, )</f>
        <v>MR.QAMARUZZAMAN</v>
      </c>
      <c r="D673" s="191">
        <v>46004</v>
      </c>
      <c r="E673" s="178">
        <v>3</v>
      </c>
      <c r="F673" s="171" t="s">
        <v>500</v>
      </c>
      <c r="G673" s="168">
        <f>IFERROR(VLOOKUP(F673,'menu list'!B:C,2,FALSE)*E673,"0")</f>
        <v>3750</v>
      </c>
      <c r="H673" s="337">
        <f t="shared" si="51"/>
        <v>562.5</v>
      </c>
      <c r="I673" s="168">
        <f t="shared" si="52"/>
        <v>4312.5</v>
      </c>
    </row>
    <row r="674" spans="1:9" ht="13.2">
      <c r="A674" s="170">
        <f t="shared" si="50"/>
        <v>673</v>
      </c>
      <c r="B674" s="171" t="s">
        <v>177</v>
      </c>
      <c r="C674" s="171" t="str">
        <f>VLOOKUP(B674,MEMBERS!B:C,2, )</f>
        <v>MR.QAMARUZZAMAN</v>
      </c>
      <c r="D674" s="191">
        <v>46004</v>
      </c>
      <c r="E674" s="178">
        <v>1</v>
      </c>
      <c r="F674" s="171" t="s">
        <v>801</v>
      </c>
      <c r="G674" s="168">
        <f>IFERROR(VLOOKUP(F674,'menu list'!B:C,2,FALSE)*E674,"0")</f>
        <v>700</v>
      </c>
      <c r="H674" s="337">
        <f t="shared" si="51"/>
        <v>105</v>
      </c>
      <c r="I674" s="168">
        <f t="shared" si="52"/>
        <v>805</v>
      </c>
    </row>
    <row r="675" spans="1:9" ht="13.2">
      <c r="A675" s="170">
        <f t="shared" si="50"/>
        <v>674</v>
      </c>
      <c r="B675" s="171" t="s">
        <v>177</v>
      </c>
      <c r="C675" s="171" t="str">
        <f>VLOOKUP(B675,MEMBERS!B:C,2, )</f>
        <v>MR.QAMARUZZAMAN</v>
      </c>
      <c r="D675" s="191">
        <v>46004</v>
      </c>
      <c r="E675" s="178">
        <v>4</v>
      </c>
      <c r="F675" s="171" t="s">
        <v>633</v>
      </c>
      <c r="G675" s="168">
        <f>IFERROR(VLOOKUP(F675,'menu list'!B:C,2,FALSE)*E675,"0")</f>
        <v>2800</v>
      </c>
      <c r="H675" s="337">
        <f t="shared" si="51"/>
        <v>420</v>
      </c>
      <c r="I675" s="168">
        <f t="shared" si="52"/>
        <v>3220</v>
      </c>
    </row>
    <row r="676" spans="1:9" ht="13.2">
      <c r="A676" s="170">
        <f t="shared" si="50"/>
        <v>675</v>
      </c>
      <c r="B676" s="171" t="s">
        <v>177</v>
      </c>
      <c r="C676" s="171" t="str">
        <f>VLOOKUP(B676,MEMBERS!B:C,2, )</f>
        <v>MR.QAMARUZZAMAN</v>
      </c>
      <c r="D676" s="191">
        <v>46004</v>
      </c>
      <c r="E676" s="178">
        <v>3</v>
      </c>
      <c r="F676" s="171" t="s">
        <v>442</v>
      </c>
      <c r="G676" s="168">
        <f>IFERROR(VLOOKUP(F676,'menu list'!B:C,2,FALSE)*E676,"0")</f>
        <v>450</v>
      </c>
      <c r="H676" s="337">
        <f t="shared" si="51"/>
        <v>67.5</v>
      </c>
      <c r="I676" s="168">
        <f t="shared" si="52"/>
        <v>517.5</v>
      </c>
    </row>
    <row r="677" spans="1:9" ht="13.2">
      <c r="A677" s="170">
        <f t="shared" si="50"/>
        <v>676</v>
      </c>
      <c r="B677" s="171" t="s">
        <v>177</v>
      </c>
      <c r="C677" s="171" t="str">
        <f>VLOOKUP(B677,MEMBERS!B:C,2, )</f>
        <v>MR.QAMARUZZAMAN</v>
      </c>
      <c r="D677" s="191">
        <v>46004</v>
      </c>
      <c r="E677" s="178">
        <v>1</v>
      </c>
      <c r="F677" s="171" t="s">
        <v>440</v>
      </c>
      <c r="G677" s="168">
        <f>IFERROR(VLOOKUP(F677,'menu list'!B:C,2,FALSE)*E677,"0")</f>
        <v>150</v>
      </c>
      <c r="H677" s="337">
        <f t="shared" si="51"/>
        <v>22.5</v>
      </c>
      <c r="I677" s="168">
        <f t="shared" si="52"/>
        <v>172.5</v>
      </c>
    </row>
    <row r="678" spans="1:9" ht="13.2">
      <c r="A678" s="170">
        <f t="shared" si="50"/>
        <v>677</v>
      </c>
      <c r="B678" s="171" t="s">
        <v>795</v>
      </c>
      <c r="C678" s="171" t="str">
        <f>VLOOKUP(B678,MEMBERS!B:C,2, )</f>
        <v>MR. HASAN KARIM</v>
      </c>
      <c r="D678" s="191">
        <v>46004</v>
      </c>
      <c r="E678" s="178">
        <v>1</v>
      </c>
      <c r="F678" s="171" t="s">
        <v>499</v>
      </c>
      <c r="G678" s="168">
        <f>IFERROR(VLOOKUP(F678,'menu list'!B:C,2,FALSE)*E678,"0")</f>
        <v>100</v>
      </c>
      <c r="H678" s="337">
        <f t="shared" si="51"/>
        <v>15</v>
      </c>
      <c r="I678" s="168">
        <f t="shared" si="52"/>
        <v>115</v>
      </c>
    </row>
    <row r="679" spans="1:9" ht="13.2">
      <c r="A679" s="170">
        <f t="shared" si="50"/>
        <v>678</v>
      </c>
      <c r="B679" s="171" t="s">
        <v>795</v>
      </c>
      <c r="C679" s="171" t="str">
        <f>VLOOKUP(B679,MEMBERS!B:C,2, )</f>
        <v>MR. HASAN KARIM</v>
      </c>
      <c r="D679" s="191">
        <v>46004</v>
      </c>
      <c r="E679" s="178">
        <v>1</v>
      </c>
      <c r="F679" s="171" t="s">
        <v>653</v>
      </c>
      <c r="G679" s="168">
        <f>IFERROR(VLOOKUP(F679,'menu list'!B:C,2,FALSE)*E679,"0")</f>
        <v>350</v>
      </c>
      <c r="H679" s="337">
        <f t="shared" si="51"/>
        <v>52.5</v>
      </c>
      <c r="I679" s="168">
        <f t="shared" si="52"/>
        <v>402.5</v>
      </c>
    </row>
    <row r="680" spans="1:9" ht="13.2">
      <c r="A680" s="170">
        <f t="shared" si="50"/>
        <v>679</v>
      </c>
      <c r="B680" s="171" t="s">
        <v>373</v>
      </c>
      <c r="C680" s="171" t="str">
        <f>VLOOKUP(B680,MEMBERS!B:C,2, )</f>
        <v>ASIF ASHFAQ</v>
      </c>
      <c r="D680" s="191">
        <v>46004</v>
      </c>
      <c r="E680" s="178">
        <v>4</v>
      </c>
      <c r="F680" s="171" t="s">
        <v>896</v>
      </c>
      <c r="G680" s="168">
        <f>IFERROR(VLOOKUP(F680,'menu list'!B:C,2,FALSE)*E680,"0")</f>
        <v>6000</v>
      </c>
      <c r="H680" s="337">
        <f t="shared" si="51"/>
        <v>900</v>
      </c>
      <c r="I680" s="168">
        <f t="shared" si="52"/>
        <v>6900</v>
      </c>
    </row>
    <row r="681" spans="1:9" ht="13.2">
      <c r="A681" s="170">
        <f t="shared" si="50"/>
        <v>680</v>
      </c>
      <c r="B681" s="171" t="s">
        <v>373</v>
      </c>
      <c r="C681" s="171" t="str">
        <f>VLOOKUP(B681,MEMBERS!B:C,2, )</f>
        <v>ASIF ASHFAQ</v>
      </c>
      <c r="D681" s="191">
        <v>46004</v>
      </c>
      <c r="E681" s="178">
        <v>4</v>
      </c>
      <c r="F681" s="171" t="s">
        <v>740</v>
      </c>
      <c r="G681" s="168">
        <f>IFERROR(VLOOKUP(F681,'menu list'!B:C,2,FALSE)*E681,"0")</f>
        <v>7200</v>
      </c>
      <c r="H681" s="337">
        <f t="shared" si="51"/>
        <v>1080</v>
      </c>
      <c r="I681" s="168">
        <f t="shared" si="52"/>
        <v>8280</v>
      </c>
    </row>
    <row r="682" spans="1:9" ht="13.2">
      <c r="A682" s="170">
        <f t="shared" si="50"/>
        <v>681</v>
      </c>
      <c r="B682" s="171" t="s">
        <v>373</v>
      </c>
      <c r="C682" s="171" t="str">
        <f>VLOOKUP(B682,MEMBERS!B:C,2, )</f>
        <v>ASIF ASHFAQ</v>
      </c>
      <c r="D682" s="191">
        <v>46004</v>
      </c>
      <c r="E682" s="178">
        <v>4</v>
      </c>
      <c r="F682" s="171" t="s">
        <v>1187</v>
      </c>
      <c r="G682" s="168">
        <f>IFERROR(VLOOKUP(F682,'menu list'!B:C,2,FALSE)*E682,"0")</f>
        <v>8000</v>
      </c>
      <c r="H682" s="337">
        <f t="shared" si="51"/>
        <v>1200</v>
      </c>
      <c r="I682" s="168">
        <f t="shared" si="52"/>
        <v>9200</v>
      </c>
    </row>
    <row r="683" spans="1:9" ht="13.2">
      <c r="A683" s="170">
        <f t="shared" si="50"/>
        <v>682</v>
      </c>
      <c r="B683" s="171" t="s">
        <v>373</v>
      </c>
      <c r="C683" s="171" t="str">
        <f>VLOOKUP(B683,MEMBERS!B:C,2, )</f>
        <v>ASIF ASHFAQ</v>
      </c>
      <c r="D683" s="191">
        <v>46004</v>
      </c>
      <c r="E683" s="178">
        <v>2</v>
      </c>
      <c r="F683" s="171" t="s">
        <v>786</v>
      </c>
      <c r="G683" s="168">
        <f>IFERROR(VLOOKUP(F683,'menu list'!B:C,2,FALSE)*E683,"0")</f>
        <v>2300</v>
      </c>
      <c r="H683" s="337">
        <f t="shared" si="51"/>
        <v>345</v>
      </c>
      <c r="I683" s="168">
        <f t="shared" si="52"/>
        <v>2645</v>
      </c>
    </row>
    <row r="684" spans="1:9" ht="13.2">
      <c r="A684" s="170">
        <f t="shared" si="50"/>
        <v>683</v>
      </c>
      <c r="B684" s="171" t="s">
        <v>373</v>
      </c>
      <c r="C684" s="171" t="str">
        <f>VLOOKUP(B684,MEMBERS!B:C,2, )</f>
        <v>ASIF ASHFAQ</v>
      </c>
      <c r="D684" s="191">
        <v>46004</v>
      </c>
      <c r="E684" s="178">
        <v>2</v>
      </c>
      <c r="F684" s="171" t="s">
        <v>792</v>
      </c>
      <c r="G684" s="168">
        <f>IFERROR(VLOOKUP(F684,'menu list'!B:C,2,FALSE)*E684,"0")</f>
        <v>2400</v>
      </c>
      <c r="H684" s="337">
        <f t="shared" si="51"/>
        <v>360</v>
      </c>
      <c r="I684" s="168">
        <f t="shared" si="52"/>
        <v>2760</v>
      </c>
    </row>
    <row r="685" spans="1:9" ht="13.2">
      <c r="A685" s="170">
        <f t="shared" ref="A685:A749" si="53">IF(D685&lt;&gt;"", ROW()-1, "")</f>
        <v>684</v>
      </c>
      <c r="B685" s="171" t="s">
        <v>373</v>
      </c>
      <c r="C685" s="171" t="str">
        <f>VLOOKUP(B685,MEMBERS!B:C,2, )</f>
        <v>ASIF ASHFAQ</v>
      </c>
      <c r="D685" s="191">
        <v>46004</v>
      </c>
      <c r="E685" s="178">
        <v>2</v>
      </c>
      <c r="F685" s="171" t="s">
        <v>822</v>
      </c>
      <c r="G685" s="168">
        <f>IFERROR(VLOOKUP(F685,'menu list'!B:C,2,FALSE)*E685,"0")</f>
        <v>3000</v>
      </c>
      <c r="H685" s="337">
        <f t="shared" si="51"/>
        <v>450</v>
      </c>
      <c r="I685" s="168">
        <f t="shared" si="52"/>
        <v>3450</v>
      </c>
    </row>
    <row r="686" spans="1:9" ht="13.2">
      <c r="A686" s="170">
        <f t="shared" si="53"/>
        <v>685</v>
      </c>
      <c r="B686" s="171" t="s">
        <v>373</v>
      </c>
      <c r="C686" s="171" t="str">
        <f>VLOOKUP(B686,MEMBERS!B:C,2, )</f>
        <v>ASIF ASHFAQ</v>
      </c>
      <c r="D686" s="191">
        <v>46004</v>
      </c>
      <c r="E686" s="178">
        <v>4</v>
      </c>
      <c r="F686" s="171" t="s">
        <v>441</v>
      </c>
      <c r="G686" s="168">
        <f>IFERROR(VLOOKUP(F686,'menu list'!B:C,2,FALSE)*E686,"0")</f>
        <v>800</v>
      </c>
      <c r="H686" s="337">
        <f t="shared" si="51"/>
        <v>120</v>
      </c>
      <c r="I686" s="168">
        <f t="shared" si="52"/>
        <v>920</v>
      </c>
    </row>
    <row r="687" spans="1:9" ht="13.2">
      <c r="A687" s="170">
        <f t="shared" si="53"/>
        <v>686</v>
      </c>
      <c r="B687" s="171" t="s">
        <v>373</v>
      </c>
      <c r="C687" s="171" t="str">
        <f>VLOOKUP(B687,MEMBERS!B:C,2, )</f>
        <v>ASIF ASHFAQ</v>
      </c>
      <c r="D687" s="191">
        <v>46004</v>
      </c>
      <c r="E687" s="178">
        <v>2</v>
      </c>
      <c r="F687" s="171" t="s">
        <v>793</v>
      </c>
      <c r="G687" s="168">
        <f>IFERROR(VLOOKUP(F687,'menu list'!B:C,2,FALSE)*E687,"0")</f>
        <v>1600</v>
      </c>
      <c r="H687" s="337">
        <f t="shared" si="51"/>
        <v>240</v>
      </c>
      <c r="I687" s="168">
        <f t="shared" si="52"/>
        <v>1840</v>
      </c>
    </row>
    <row r="688" spans="1:9" ht="13.2">
      <c r="A688" s="170">
        <f t="shared" si="53"/>
        <v>687</v>
      </c>
      <c r="B688" s="171" t="s">
        <v>373</v>
      </c>
      <c r="C688" s="171" t="str">
        <f>VLOOKUP(B688,MEMBERS!B:C,2, )</f>
        <v>ASIF ASHFAQ</v>
      </c>
      <c r="D688" s="191">
        <v>46004</v>
      </c>
      <c r="E688" s="178">
        <v>4</v>
      </c>
      <c r="F688" s="171" t="s">
        <v>440</v>
      </c>
      <c r="G688" s="168">
        <f>IFERROR(VLOOKUP(F688,'menu list'!B:C,2,FALSE)*E688,"0")</f>
        <v>600</v>
      </c>
      <c r="H688" s="337">
        <f t="shared" si="51"/>
        <v>90</v>
      </c>
      <c r="I688" s="168">
        <f t="shared" si="52"/>
        <v>690</v>
      </c>
    </row>
    <row r="689" spans="1:9" ht="13.2">
      <c r="A689" s="170">
        <f t="shared" si="53"/>
        <v>688</v>
      </c>
      <c r="B689" s="171" t="s">
        <v>373</v>
      </c>
      <c r="C689" s="171" t="str">
        <f>VLOOKUP(B689,MEMBERS!B:C,2, )</f>
        <v>ASIF ASHFAQ</v>
      </c>
      <c r="D689" s="191">
        <v>46004</v>
      </c>
      <c r="E689" s="178">
        <v>10</v>
      </c>
      <c r="F689" s="171" t="s">
        <v>442</v>
      </c>
      <c r="G689" s="168">
        <f>IFERROR(VLOOKUP(F689,'menu list'!B:C,2,FALSE)*E689,"0")</f>
        <v>1500</v>
      </c>
      <c r="H689" s="337">
        <f t="shared" si="51"/>
        <v>225</v>
      </c>
      <c r="I689" s="168">
        <f t="shared" si="52"/>
        <v>1725</v>
      </c>
    </row>
    <row r="690" spans="1:9" ht="13.2">
      <c r="A690" s="170">
        <f t="shared" si="53"/>
        <v>689</v>
      </c>
      <c r="B690" s="171" t="s">
        <v>373</v>
      </c>
      <c r="C690" s="171" t="str">
        <f>VLOOKUP(B690,MEMBERS!B:C,2, )</f>
        <v>ASIF ASHFAQ</v>
      </c>
      <c r="D690" s="191">
        <v>46004</v>
      </c>
      <c r="E690" s="178">
        <v>15</v>
      </c>
      <c r="F690" s="171" t="s">
        <v>1168</v>
      </c>
      <c r="G690" s="168">
        <f>IFERROR(VLOOKUP(F690,'menu list'!B:C,2,FALSE)*E690,"0")</f>
        <v>6750</v>
      </c>
      <c r="H690" s="337">
        <f t="shared" si="51"/>
        <v>1012.5</v>
      </c>
      <c r="I690" s="168">
        <f t="shared" si="52"/>
        <v>7762.5</v>
      </c>
    </row>
    <row r="691" spans="1:9" ht="13.2">
      <c r="A691" s="170">
        <f t="shared" si="53"/>
        <v>690</v>
      </c>
      <c r="B691" s="171" t="s">
        <v>388</v>
      </c>
      <c r="C691" s="171" t="str">
        <f>VLOOKUP(B691,MEMBERS!B:C,2, )</f>
        <v>IFTIKHAR SHAH</v>
      </c>
      <c r="D691" s="191">
        <v>46004</v>
      </c>
      <c r="E691" s="178">
        <v>13</v>
      </c>
      <c r="F691" s="171" t="s">
        <v>724</v>
      </c>
      <c r="G691" s="168">
        <f>IFERROR(VLOOKUP(F691,'menu list'!B:C,2,FALSE)*E691,"0")</f>
        <v>5200</v>
      </c>
      <c r="H691" s="337">
        <f t="shared" si="51"/>
        <v>780</v>
      </c>
      <c r="I691" s="168">
        <f t="shared" si="52"/>
        <v>5980</v>
      </c>
    </row>
    <row r="692" spans="1:9" ht="13.2">
      <c r="A692" s="170">
        <f t="shared" si="53"/>
        <v>691</v>
      </c>
      <c r="B692" s="171" t="s">
        <v>388</v>
      </c>
      <c r="C692" s="171" t="str">
        <f>VLOOKUP(B692,MEMBERS!B:C,2, )</f>
        <v>IFTIKHAR SHAH</v>
      </c>
      <c r="D692" s="191">
        <v>46004</v>
      </c>
      <c r="E692" s="178">
        <v>50</v>
      </c>
      <c r="F692" s="171" t="s">
        <v>443</v>
      </c>
      <c r="G692" s="168">
        <f>IFERROR(VLOOKUP(F692,'menu list'!B:C,2,FALSE)*E692,"0")</f>
        <v>7500</v>
      </c>
      <c r="H692" s="337">
        <f t="shared" si="51"/>
        <v>1125</v>
      </c>
      <c r="I692" s="168">
        <f t="shared" si="52"/>
        <v>8625</v>
      </c>
    </row>
    <row r="693" spans="1:9" ht="13.2">
      <c r="A693" s="170">
        <f t="shared" si="53"/>
        <v>692</v>
      </c>
      <c r="B693" s="171" t="s">
        <v>388</v>
      </c>
      <c r="C693" s="171" t="str">
        <f>VLOOKUP(B693,MEMBERS!B:C,2, )</f>
        <v>IFTIKHAR SHAH</v>
      </c>
      <c r="D693" s="191">
        <v>46004</v>
      </c>
      <c r="E693" s="178">
        <v>20</v>
      </c>
      <c r="F693" s="171" t="s">
        <v>739</v>
      </c>
      <c r="G693" s="168">
        <f>IFERROR(VLOOKUP(F693,'menu list'!B:C,2,FALSE)*E693,"0")</f>
        <v>8000</v>
      </c>
      <c r="H693" s="337">
        <f t="shared" si="51"/>
        <v>1200</v>
      </c>
      <c r="I693" s="168">
        <f t="shared" si="52"/>
        <v>9200</v>
      </c>
    </row>
    <row r="694" spans="1:9" ht="13.2">
      <c r="A694" s="170">
        <f t="shared" si="53"/>
        <v>693</v>
      </c>
      <c r="B694" s="171" t="s">
        <v>388</v>
      </c>
      <c r="C694" s="171" t="str">
        <f>VLOOKUP(B694,MEMBERS!B:C,2, )</f>
        <v>IFTIKHAR SHAH</v>
      </c>
      <c r="D694" s="191">
        <v>46004</v>
      </c>
      <c r="E694" s="178">
        <v>27</v>
      </c>
      <c r="F694" s="171" t="s">
        <v>1168</v>
      </c>
      <c r="G694" s="168">
        <f>IFERROR(VLOOKUP(F694,'menu list'!B:C,2,FALSE)*E694,"0")</f>
        <v>12150</v>
      </c>
      <c r="H694" s="337">
        <f t="shared" si="51"/>
        <v>1822.5</v>
      </c>
      <c r="I694" s="168">
        <f t="shared" si="52"/>
        <v>13972.5</v>
      </c>
    </row>
    <row r="695" spans="1:9" ht="13.2">
      <c r="A695" s="170">
        <f t="shared" si="53"/>
        <v>694</v>
      </c>
      <c r="B695" s="171" t="s">
        <v>388</v>
      </c>
      <c r="C695" s="171" t="str">
        <f>VLOOKUP(B695,MEMBERS!B:C,2, )</f>
        <v>IFTIKHAR SHAH</v>
      </c>
      <c r="D695" s="191">
        <v>46004</v>
      </c>
      <c r="E695" s="178">
        <v>10</v>
      </c>
      <c r="F695" s="171" t="s">
        <v>579</v>
      </c>
      <c r="G695" s="168">
        <f>IFERROR(VLOOKUP(F695,'menu list'!B:C,2,FALSE)*E695,"0")</f>
        <v>15000</v>
      </c>
      <c r="H695" s="337">
        <f t="shared" si="51"/>
        <v>2250</v>
      </c>
      <c r="I695" s="168">
        <f t="shared" si="52"/>
        <v>17250</v>
      </c>
    </row>
    <row r="696" spans="1:9" ht="13.2">
      <c r="A696" s="170">
        <f t="shared" si="53"/>
        <v>695</v>
      </c>
      <c r="B696" s="171" t="s">
        <v>388</v>
      </c>
      <c r="C696" s="171" t="str">
        <f>VLOOKUP(B696,MEMBERS!B:C,2, )</f>
        <v>IFTIKHAR SHAH</v>
      </c>
      <c r="D696" s="191">
        <v>46004</v>
      </c>
      <c r="E696" s="178">
        <v>12</v>
      </c>
      <c r="F696" s="171" t="s">
        <v>1011</v>
      </c>
      <c r="G696" s="168">
        <f>IFERROR(VLOOKUP(F696,'menu list'!B:C,2,FALSE)*E696,"0")</f>
        <v>21600</v>
      </c>
      <c r="H696" s="337">
        <f t="shared" si="51"/>
        <v>3240</v>
      </c>
      <c r="I696" s="168">
        <f t="shared" si="52"/>
        <v>24840</v>
      </c>
    </row>
    <row r="697" spans="1:9" ht="13.2">
      <c r="A697" s="170">
        <f t="shared" si="53"/>
        <v>696</v>
      </c>
      <c r="B697" s="171" t="s">
        <v>64</v>
      </c>
      <c r="C697" s="171" t="str">
        <f>VLOOKUP(B697,MEMBERS!B:C,2, )</f>
        <v>MR.DILEEP KUMAR</v>
      </c>
      <c r="D697" s="191">
        <v>46004</v>
      </c>
      <c r="E697" s="178">
        <v>1</v>
      </c>
      <c r="F697" s="171" t="s">
        <v>939</v>
      </c>
      <c r="G697" s="168">
        <f>IFERROR(VLOOKUP(F697,'menu list'!B:C,2,FALSE)*E697,"0")</f>
        <v>1200</v>
      </c>
      <c r="H697" s="337">
        <f t="shared" si="51"/>
        <v>180</v>
      </c>
      <c r="I697" s="168">
        <f t="shared" si="52"/>
        <v>1380</v>
      </c>
    </row>
    <row r="698" spans="1:9" ht="13.2">
      <c r="A698" s="170">
        <f t="shared" si="53"/>
        <v>697</v>
      </c>
      <c r="B698" s="171" t="s">
        <v>64</v>
      </c>
      <c r="C698" s="171" t="str">
        <f>VLOOKUP(B698,MEMBERS!B:C,2, )</f>
        <v>MR.DILEEP KUMAR</v>
      </c>
      <c r="D698" s="191">
        <v>46004</v>
      </c>
      <c r="E698" s="178">
        <v>2</v>
      </c>
      <c r="F698" s="171" t="s">
        <v>440</v>
      </c>
      <c r="G698" s="168">
        <f>IFERROR(VLOOKUP(F698,'menu list'!B:C,2,FALSE)*E698,"0")</f>
        <v>300</v>
      </c>
      <c r="H698" s="337">
        <f t="shared" si="51"/>
        <v>45</v>
      </c>
      <c r="I698" s="168">
        <f t="shared" si="52"/>
        <v>345</v>
      </c>
    </row>
    <row r="699" spans="1:9" ht="13.2">
      <c r="A699" s="170">
        <f t="shared" si="53"/>
        <v>698</v>
      </c>
      <c r="B699" s="171" t="s">
        <v>64</v>
      </c>
      <c r="C699" s="171" t="str">
        <f>VLOOKUP(B699,MEMBERS!B:C,2, )</f>
        <v>MR.DILEEP KUMAR</v>
      </c>
      <c r="D699" s="191">
        <v>46004</v>
      </c>
      <c r="E699" s="178">
        <v>1</v>
      </c>
      <c r="F699" s="171" t="s">
        <v>786</v>
      </c>
      <c r="G699" s="168">
        <f>IFERROR(VLOOKUP(F699,'menu list'!B:C,2,FALSE)*E699,"0")</f>
        <v>1150</v>
      </c>
      <c r="H699" s="337">
        <f t="shared" si="51"/>
        <v>172.5</v>
      </c>
      <c r="I699" s="168">
        <f t="shared" si="52"/>
        <v>1322.5</v>
      </c>
    </row>
    <row r="700" spans="1:9" ht="13.2">
      <c r="A700" s="170">
        <f t="shared" si="53"/>
        <v>699</v>
      </c>
      <c r="B700" s="171" t="s">
        <v>64</v>
      </c>
      <c r="C700" s="171" t="str">
        <f>VLOOKUP(B700,MEMBERS!B:C,2, )</f>
        <v>MR.DILEEP KUMAR</v>
      </c>
      <c r="D700" s="191">
        <v>46004</v>
      </c>
      <c r="E700" s="178">
        <v>2</v>
      </c>
      <c r="F700" s="171" t="s">
        <v>634</v>
      </c>
      <c r="G700" s="168">
        <f>IFERROR(VLOOKUP(F700,'menu list'!B:C,2,FALSE)*E700,"0")</f>
        <v>1000</v>
      </c>
      <c r="H700" s="337">
        <f t="shared" si="51"/>
        <v>150</v>
      </c>
      <c r="I700" s="168">
        <f t="shared" si="52"/>
        <v>1150</v>
      </c>
    </row>
    <row r="701" spans="1:9" ht="13.2">
      <c r="A701" s="170">
        <f t="shared" si="53"/>
        <v>700</v>
      </c>
      <c r="B701" s="171" t="s">
        <v>418</v>
      </c>
      <c r="C701" s="171" t="str">
        <f>VLOOKUP(B701,MEMBERS!B:C,2, )</f>
        <v>ZAIB UR REHMAN</v>
      </c>
      <c r="D701" s="191">
        <v>46004</v>
      </c>
      <c r="E701" s="178">
        <v>1</v>
      </c>
      <c r="F701" s="171" t="s">
        <v>440</v>
      </c>
      <c r="G701" s="168">
        <f>IFERROR(VLOOKUP(F701,'menu list'!B:C,2,FALSE)*E701,"0")</f>
        <v>150</v>
      </c>
      <c r="H701" s="337">
        <f t="shared" si="51"/>
        <v>22.5</v>
      </c>
      <c r="I701" s="168">
        <f t="shared" si="52"/>
        <v>172.5</v>
      </c>
    </row>
    <row r="702" spans="1:9" ht="13.2">
      <c r="A702" s="170">
        <f t="shared" si="53"/>
        <v>701</v>
      </c>
      <c r="B702" s="171" t="s">
        <v>15</v>
      </c>
      <c r="C702" s="171" t="str">
        <f>VLOOKUP(B702,MEMBERS!B:C,2, )</f>
        <v>MR.GHULAM NABI OTHI</v>
      </c>
      <c r="D702" s="191">
        <v>46004</v>
      </c>
      <c r="E702" s="178">
        <v>1</v>
      </c>
      <c r="F702" s="171" t="s">
        <v>939</v>
      </c>
      <c r="G702" s="168">
        <f>IFERROR(VLOOKUP(F702,'menu list'!B:C,2,FALSE)*E702,"0")</f>
        <v>1200</v>
      </c>
      <c r="H702" s="337">
        <f t="shared" si="51"/>
        <v>180</v>
      </c>
      <c r="I702" s="168">
        <f t="shared" si="52"/>
        <v>1380</v>
      </c>
    </row>
    <row r="703" spans="1:9" ht="13.2">
      <c r="A703" s="170">
        <f t="shared" si="53"/>
        <v>702</v>
      </c>
      <c r="B703" s="171" t="s">
        <v>15</v>
      </c>
      <c r="C703" s="171" t="str">
        <f>VLOOKUP(B703,MEMBERS!B:C,2, )</f>
        <v>MR.GHULAM NABI OTHI</v>
      </c>
      <c r="D703" s="191">
        <v>46004</v>
      </c>
      <c r="E703" s="178">
        <v>1</v>
      </c>
      <c r="F703" s="171" t="s">
        <v>1012</v>
      </c>
      <c r="G703" s="168">
        <f>IFERROR(VLOOKUP(F703,'menu list'!B:C,2,FALSE)*E703,"0")</f>
        <v>1000</v>
      </c>
      <c r="H703" s="337">
        <f t="shared" si="51"/>
        <v>150</v>
      </c>
      <c r="I703" s="168">
        <f t="shared" si="52"/>
        <v>1150</v>
      </c>
    </row>
    <row r="704" spans="1:9" ht="13.2">
      <c r="A704" s="170">
        <f t="shared" si="53"/>
        <v>703</v>
      </c>
      <c r="B704" s="171" t="s">
        <v>20</v>
      </c>
      <c r="C704" s="171" t="str">
        <f>VLOOKUP(B704,MEMBERS!B:C,2, )</f>
        <v>MR.BILAL AHMED</v>
      </c>
      <c r="D704" s="191">
        <v>46004</v>
      </c>
      <c r="E704" s="178">
        <v>1</v>
      </c>
      <c r="F704" s="171" t="s">
        <v>803</v>
      </c>
      <c r="G704" s="168">
        <f>IFERROR(VLOOKUP(F704,'menu list'!B:C,2,FALSE)*E704,"0")</f>
        <v>250</v>
      </c>
      <c r="H704" s="337">
        <f t="shared" si="51"/>
        <v>37.5</v>
      </c>
      <c r="I704" s="168">
        <f t="shared" si="52"/>
        <v>287.5</v>
      </c>
    </row>
    <row r="705" spans="1:9" ht="13.2">
      <c r="A705" s="170">
        <f t="shared" si="53"/>
        <v>704</v>
      </c>
      <c r="B705" s="171" t="s">
        <v>192</v>
      </c>
      <c r="C705" s="171" t="str">
        <f>VLOOKUP(B705,MEMBERS!B:C,2, )</f>
        <v>MR.HANIF AHSAN ZUBEDI</v>
      </c>
      <c r="D705" s="191">
        <v>46004</v>
      </c>
      <c r="E705" s="178">
        <v>2</v>
      </c>
      <c r="F705" s="171" t="s">
        <v>499</v>
      </c>
      <c r="G705" s="168">
        <f>IFERROR(VLOOKUP(F705,'menu list'!B:C,2,FALSE)*E705,"0")</f>
        <v>200</v>
      </c>
      <c r="H705" s="337">
        <f t="shared" si="51"/>
        <v>30</v>
      </c>
      <c r="I705" s="168">
        <f t="shared" si="52"/>
        <v>230</v>
      </c>
    </row>
    <row r="706" spans="1:9" ht="13.2">
      <c r="A706" s="170">
        <f t="shared" si="53"/>
        <v>705</v>
      </c>
      <c r="B706" s="171" t="s">
        <v>306</v>
      </c>
      <c r="C706" s="171" t="str">
        <f>VLOOKUP(B706,MEMBERS!B:C,2, )</f>
        <v>BRIG.KHALID MEHMOOD</v>
      </c>
      <c r="D706" s="191">
        <v>46004</v>
      </c>
      <c r="E706" s="178">
        <v>6</v>
      </c>
      <c r="F706" s="171" t="s">
        <v>915</v>
      </c>
      <c r="G706" s="168">
        <f>IFERROR(VLOOKUP(F706,'menu list'!B:C,2,FALSE)*E706,"0")</f>
        <v>5994</v>
      </c>
      <c r="H706" s="337">
        <f t="shared" si="51"/>
        <v>899.1</v>
      </c>
      <c r="I706" s="168">
        <f t="shared" si="52"/>
        <v>6893.1</v>
      </c>
    </row>
    <row r="707" spans="1:9" ht="13.2">
      <c r="A707" s="170">
        <f t="shared" si="53"/>
        <v>706</v>
      </c>
      <c r="B707" s="171" t="s">
        <v>98</v>
      </c>
      <c r="C707" s="171" t="str">
        <f>VLOOKUP(B707,MEMBERS!B:C,2, )</f>
        <v>MR.HAFEEZ AHMED SIYAL</v>
      </c>
      <c r="D707" s="191">
        <v>46004</v>
      </c>
      <c r="E707" s="178">
        <v>2</v>
      </c>
      <c r="F707" s="171" t="s">
        <v>499</v>
      </c>
      <c r="G707" s="168">
        <f>IFERROR(VLOOKUP(F707,'menu list'!B:C,2,FALSE)*E707,"0")</f>
        <v>200</v>
      </c>
      <c r="H707" s="337">
        <f t="shared" ref="H707:H770" si="54">G707*15/100</f>
        <v>30</v>
      </c>
      <c r="I707" s="168">
        <f t="shared" ref="I707:I771" si="55">G707+H707</f>
        <v>230</v>
      </c>
    </row>
    <row r="708" spans="1:9" ht="13.2">
      <c r="A708" s="170">
        <f t="shared" si="53"/>
        <v>707</v>
      </c>
      <c r="B708" s="171" t="s">
        <v>98</v>
      </c>
      <c r="C708" s="171" t="str">
        <f>VLOOKUP(B708,MEMBERS!B:C,2, )</f>
        <v>MR.HAFEEZ AHMED SIYAL</v>
      </c>
      <c r="D708" s="191">
        <v>46004</v>
      </c>
      <c r="E708" s="178">
        <v>1</v>
      </c>
      <c r="F708" s="171" t="s">
        <v>833</v>
      </c>
      <c r="G708" s="168">
        <f>IFERROR(VLOOKUP(F708,'menu list'!B:C,2,FALSE)*E708,"0")</f>
        <v>350</v>
      </c>
      <c r="H708" s="337">
        <f t="shared" si="54"/>
        <v>52.5</v>
      </c>
      <c r="I708" s="168">
        <f t="shared" si="55"/>
        <v>402.5</v>
      </c>
    </row>
    <row r="709" spans="1:9" ht="13.2">
      <c r="A709" s="170">
        <f t="shared" si="53"/>
        <v>708</v>
      </c>
      <c r="B709" s="171" t="s">
        <v>430</v>
      </c>
      <c r="C709" s="171" t="str">
        <f>VLOOKUP(B709,MEMBERS!B:C,2, )</f>
        <v>SYED JIBRAN MUSHTAQ</v>
      </c>
      <c r="D709" s="191">
        <v>46004</v>
      </c>
      <c r="E709" s="178">
        <v>1</v>
      </c>
      <c r="F709" s="171" t="s">
        <v>500</v>
      </c>
      <c r="G709" s="168">
        <f>IFERROR(VLOOKUP(F709,'menu list'!B:C,2,FALSE)*E709,"0")</f>
        <v>1250</v>
      </c>
      <c r="H709" s="337">
        <f t="shared" si="54"/>
        <v>187.5</v>
      </c>
      <c r="I709" s="168">
        <f t="shared" si="55"/>
        <v>1437.5</v>
      </c>
    </row>
    <row r="710" spans="1:9" ht="13.2">
      <c r="A710" s="170">
        <f t="shared" si="53"/>
        <v>709</v>
      </c>
      <c r="B710" s="171" t="s">
        <v>430</v>
      </c>
      <c r="C710" s="171" t="str">
        <f>VLOOKUP(B710,MEMBERS!B:C,2, )</f>
        <v>SYED JIBRAN MUSHTAQ</v>
      </c>
      <c r="D710" s="191">
        <v>46004</v>
      </c>
      <c r="E710" s="178">
        <v>1</v>
      </c>
      <c r="F710" s="171" t="s">
        <v>499</v>
      </c>
      <c r="G710" s="168">
        <f>IFERROR(VLOOKUP(F710,'menu list'!B:C,2,FALSE)*E710,"0")</f>
        <v>100</v>
      </c>
      <c r="H710" s="337">
        <f t="shared" si="54"/>
        <v>15</v>
      </c>
      <c r="I710" s="168">
        <f t="shared" si="55"/>
        <v>115</v>
      </c>
    </row>
    <row r="711" spans="1:9" ht="13.2">
      <c r="A711" s="170">
        <f t="shared" si="53"/>
        <v>710</v>
      </c>
      <c r="B711" s="171" t="s">
        <v>187</v>
      </c>
      <c r="C711" s="171" t="str">
        <f>VLOOKUP(B711,MEMBERS!B:C,2, )</f>
        <v>MR.SHAN ELAHI SEHGAL</v>
      </c>
      <c r="D711" s="191">
        <v>46004</v>
      </c>
      <c r="E711" s="178">
        <v>1</v>
      </c>
      <c r="F711" s="171" t="s">
        <v>739</v>
      </c>
      <c r="G711" s="168">
        <f>IFERROR(VLOOKUP(F711,'menu list'!B:C,2,FALSE)*E711,"0")</f>
        <v>400</v>
      </c>
      <c r="H711" s="337">
        <f t="shared" si="54"/>
        <v>60</v>
      </c>
      <c r="I711" s="168">
        <f t="shared" si="55"/>
        <v>460</v>
      </c>
    </row>
    <row r="712" spans="1:9" ht="13.2">
      <c r="A712" s="170">
        <f t="shared" si="53"/>
        <v>711</v>
      </c>
      <c r="B712" s="171" t="s">
        <v>187</v>
      </c>
      <c r="C712" s="171" t="str">
        <f>VLOOKUP(B712,MEMBERS!B:C,2, )</f>
        <v>MR.SHAN ELAHI SEHGAL</v>
      </c>
      <c r="D712" s="191">
        <v>46004</v>
      </c>
      <c r="E712" s="178">
        <v>1</v>
      </c>
      <c r="F712" s="171" t="s">
        <v>499</v>
      </c>
      <c r="G712" s="168">
        <f>IFERROR(VLOOKUP(F712,'menu list'!B:C,2,FALSE)*E712,"0")</f>
        <v>100</v>
      </c>
      <c r="H712" s="337">
        <f t="shared" si="54"/>
        <v>15</v>
      </c>
      <c r="I712" s="168">
        <f t="shared" si="55"/>
        <v>115</v>
      </c>
    </row>
    <row r="713" spans="1:9" ht="13.2">
      <c r="A713" s="170">
        <f t="shared" si="53"/>
        <v>712</v>
      </c>
      <c r="B713" s="171" t="s">
        <v>187</v>
      </c>
      <c r="C713" s="171" t="str">
        <f>VLOOKUP(B713,MEMBERS!B:C,2, )</f>
        <v>MR.SHAN ELAHI SEHGAL</v>
      </c>
      <c r="D713" s="191">
        <v>46004</v>
      </c>
      <c r="E713" s="178">
        <v>2</v>
      </c>
      <c r="F713" s="171" t="s">
        <v>439</v>
      </c>
      <c r="G713" s="168">
        <f>IFERROR(VLOOKUP(F713,'menu list'!B:C,2,FALSE)*E713,"0")</f>
        <v>140</v>
      </c>
      <c r="H713" s="337">
        <f t="shared" si="54"/>
        <v>21</v>
      </c>
      <c r="I713" s="168">
        <f t="shared" si="55"/>
        <v>161</v>
      </c>
    </row>
    <row r="714" spans="1:9" ht="13.2">
      <c r="A714" s="170">
        <f t="shared" si="53"/>
        <v>713</v>
      </c>
      <c r="B714" s="171" t="s">
        <v>187</v>
      </c>
      <c r="C714" s="171" t="str">
        <f>VLOOKUP(B714,MEMBERS!B:C,2, )</f>
        <v>MR.SHAN ELAHI SEHGAL</v>
      </c>
      <c r="D714" s="191">
        <v>46004</v>
      </c>
      <c r="E714" s="178">
        <v>1</v>
      </c>
      <c r="F714" s="171" t="s">
        <v>498</v>
      </c>
      <c r="G714" s="168">
        <f>IFERROR(VLOOKUP(F714,'menu list'!B:C,2,FALSE)*E714,"0")</f>
        <v>200</v>
      </c>
      <c r="H714" s="337">
        <f t="shared" si="54"/>
        <v>30</v>
      </c>
      <c r="I714" s="168">
        <f t="shared" si="55"/>
        <v>230</v>
      </c>
    </row>
    <row r="715" spans="1:9" ht="13.2">
      <c r="A715" s="170">
        <f t="shared" si="53"/>
        <v>714</v>
      </c>
      <c r="B715" s="171" t="s">
        <v>454</v>
      </c>
      <c r="C715" s="171" t="str">
        <f>VLOOKUP(B715,MEMBERS!B:C,2, )</f>
        <v>Heritage club</v>
      </c>
      <c r="D715" s="191">
        <v>46004</v>
      </c>
      <c r="E715" s="178">
        <v>1</v>
      </c>
      <c r="F715" s="171" t="s">
        <v>628</v>
      </c>
      <c r="G715" s="168">
        <v>1000</v>
      </c>
      <c r="H715" s="337">
        <f t="shared" si="54"/>
        <v>150</v>
      </c>
      <c r="I715" s="168">
        <f t="shared" si="55"/>
        <v>1150</v>
      </c>
    </row>
    <row r="716" spans="1:9" ht="13.2">
      <c r="A716" s="170">
        <f t="shared" si="53"/>
        <v>715</v>
      </c>
      <c r="B716" s="171" t="s">
        <v>454</v>
      </c>
      <c r="C716" s="171" t="str">
        <f>VLOOKUP(B716,MEMBERS!B:C,2, )</f>
        <v>Heritage club</v>
      </c>
      <c r="D716" s="191">
        <v>46004</v>
      </c>
      <c r="E716" s="178">
        <v>5</v>
      </c>
      <c r="F716" s="171" t="s">
        <v>645</v>
      </c>
      <c r="G716" s="168">
        <f>IFERROR(VLOOKUP(F716,'menu list'!B:C,2,FALSE)*E716,"0")</f>
        <v>4000</v>
      </c>
      <c r="H716" s="337">
        <f t="shared" si="54"/>
        <v>600</v>
      </c>
      <c r="I716" s="168">
        <f t="shared" si="55"/>
        <v>4600</v>
      </c>
    </row>
    <row r="717" spans="1:9" ht="13.2">
      <c r="A717" s="170">
        <f t="shared" si="53"/>
        <v>716</v>
      </c>
      <c r="B717" s="171" t="s">
        <v>454</v>
      </c>
      <c r="C717" s="171" t="str">
        <f>VLOOKUP(B717,MEMBERS!B:C,2, )</f>
        <v>Heritage club</v>
      </c>
      <c r="D717" s="191">
        <v>46004</v>
      </c>
      <c r="E717" s="178">
        <v>7</v>
      </c>
      <c r="F717" s="171" t="s">
        <v>646</v>
      </c>
      <c r="G717" s="168">
        <f>IFERROR(VLOOKUP(F717,'menu list'!B:C,2,FALSE)*E717,"0")</f>
        <v>7000</v>
      </c>
      <c r="H717" s="337">
        <f t="shared" si="54"/>
        <v>1050</v>
      </c>
      <c r="I717" s="168">
        <f t="shared" si="55"/>
        <v>8050</v>
      </c>
    </row>
    <row r="718" spans="1:9" ht="13.2">
      <c r="A718" s="170">
        <f t="shared" si="53"/>
        <v>717</v>
      </c>
      <c r="B718" s="171" t="s">
        <v>454</v>
      </c>
      <c r="C718" s="171" t="str">
        <f>VLOOKUP(B718,MEMBERS!B:C,2, )</f>
        <v>Heritage club</v>
      </c>
      <c r="D718" s="191">
        <v>46004</v>
      </c>
      <c r="E718" s="178">
        <v>10</v>
      </c>
      <c r="F718" s="171" t="s">
        <v>440</v>
      </c>
      <c r="G718" s="168">
        <f>IFERROR(VLOOKUP(F718,'menu list'!B:C,2,FALSE)*E718,"0")</f>
        <v>1500</v>
      </c>
      <c r="H718" s="337">
        <f t="shared" si="54"/>
        <v>225</v>
      </c>
      <c r="I718" s="168">
        <f t="shared" si="55"/>
        <v>1725</v>
      </c>
    </row>
    <row r="719" spans="1:9" ht="13.2">
      <c r="A719" s="170">
        <f t="shared" si="53"/>
        <v>718</v>
      </c>
      <c r="B719" s="171" t="s">
        <v>454</v>
      </c>
      <c r="C719" s="171" t="str">
        <f>VLOOKUP(B719,MEMBERS!B:C,2, )</f>
        <v>Heritage club</v>
      </c>
      <c r="D719" s="191">
        <v>46004</v>
      </c>
      <c r="E719" s="178">
        <v>5</v>
      </c>
      <c r="F719" s="171" t="s">
        <v>499</v>
      </c>
      <c r="G719" s="168">
        <f>IFERROR(VLOOKUP(F719,'menu list'!B:C,2,FALSE)*E719,"0")</f>
        <v>500</v>
      </c>
      <c r="H719" s="337">
        <f t="shared" si="54"/>
        <v>75</v>
      </c>
      <c r="I719" s="168">
        <f t="shared" si="55"/>
        <v>575</v>
      </c>
    </row>
    <row r="720" spans="1:9" ht="13.2">
      <c r="A720" s="170">
        <f t="shared" si="53"/>
        <v>719</v>
      </c>
      <c r="B720" s="171" t="s">
        <v>98</v>
      </c>
      <c r="C720" s="171" t="str">
        <f>VLOOKUP(B720,MEMBERS!B:C,2, )</f>
        <v>MR.HAFEEZ AHMED SIYAL</v>
      </c>
      <c r="D720" s="191">
        <v>46005</v>
      </c>
      <c r="E720" s="178">
        <v>3</v>
      </c>
      <c r="F720" s="171" t="s">
        <v>664</v>
      </c>
      <c r="G720" s="168">
        <f>IFERROR(VLOOKUP(F720,'menu list'!B:C,2,FALSE)*E720,"0")</f>
        <v>1200</v>
      </c>
      <c r="H720" s="337">
        <f t="shared" si="54"/>
        <v>180</v>
      </c>
      <c r="I720" s="168">
        <f t="shared" si="55"/>
        <v>1380</v>
      </c>
    </row>
    <row r="721" spans="1:9" ht="13.2">
      <c r="A721" s="170">
        <f t="shared" si="53"/>
        <v>720</v>
      </c>
      <c r="B721" s="171" t="s">
        <v>98</v>
      </c>
      <c r="C721" s="171" t="str">
        <f>VLOOKUP(B721,MEMBERS!B:C,2, )</f>
        <v>MR.HAFEEZ AHMED SIYAL</v>
      </c>
      <c r="D721" s="191">
        <v>46005</v>
      </c>
      <c r="E721" s="178">
        <v>2</v>
      </c>
      <c r="F721" s="171" t="s">
        <v>442</v>
      </c>
      <c r="G721" s="168">
        <f>IFERROR(VLOOKUP(F721,'menu list'!B:C,2,FALSE)*E721,"0")</f>
        <v>300</v>
      </c>
      <c r="H721" s="337">
        <f t="shared" si="54"/>
        <v>45</v>
      </c>
      <c r="I721" s="168">
        <f t="shared" si="55"/>
        <v>345</v>
      </c>
    </row>
    <row r="722" spans="1:9" ht="13.2">
      <c r="A722" s="170">
        <f t="shared" si="53"/>
        <v>721</v>
      </c>
      <c r="B722" s="171" t="s">
        <v>98</v>
      </c>
      <c r="C722" s="171" t="str">
        <f>VLOOKUP(B722,MEMBERS!B:C,2, )</f>
        <v>MR.HAFEEZ AHMED SIYAL</v>
      </c>
      <c r="D722" s="191">
        <v>46005</v>
      </c>
      <c r="E722" s="178">
        <v>3</v>
      </c>
      <c r="F722" s="171" t="s">
        <v>439</v>
      </c>
      <c r="G722" s="168">
        <f>IFERROR(VLOOKUP(F722,'menu list'!B:C,2,FALSE)*E722,"0")</f>
        <v>210</v>
      </c>
      <c r="H722" s="337">
        <f t="shared" si="54"/>
        <v>31.5</v>
      </c>
      <c r="I722" s="168">
        <f t="shared" si="55"/>
        <v>241.5</v>
      </c>
    </row>
    <row r="723" spans="1:9" ht="13.2">
      <c r="A723" s="170">
        <f t="shared" si="53"/>
        <v>722</v>
      </c>
      <c r="B723" s="171" t="s">
        <v>98</v>
      </c>
      <c r="C723" s="171" t="str">
        <f>VLOOKUP(B723,MEMBERS!B:C,2, )</f>
        <v>MR.HAFEEZ AHMED SIYAL</v>
      </c>
      <c r="D723" s="191">
        <v>46005</v>
      </c>
      <c r="E723" s="178">
        <v>1</v>
      </c>
      <c r="F723" s="171" t="s">
        <v>848</v>
      </c>
      <c r="G723" s="168">
        <f>IFERROR(VLOOKUP(F723,'menu list'!B:C,2,FALSE)*E723,"0")</f>
        <v>200</v>
      </c>
      <c r="H723" s="337">
        <f t="shared" si="54"/>
        <v>30</v>
      </c>
      <c r="I723" s="168">
        <f t="shared" si="55"/>
        <v>230</v>
      </c>
    </row>
    <row r="724" spans="1:9" ht="13.2">
      <c r="A724" s="170">
        <f t="shared" si="53"/>
        <v>723</v>
      </c>
      <c r="B724" s="171" t="s">
        <v>98</v>
      </c>
      <c r="C724" s="171" t="str">
        <f>VLOOKUP(B724,MEMBERS!B:C,2, )</f>
        <v>MR.HAFEEZ AHMED SIYAL</v>
      </c>
      <c r="D724" s="191">
        <v>46005</v>
      </c>
      <c r="E724" s="178">
        <v>1</v>
      </c>
      <c r="F724" s="171" t="s">
        <v>868</v>
      </c>
      <c r="G724" s="168">
        <f>IFERROR(VLOOKUP(F724,'menu list'!B:C,2,FALSE)*E724,"0")</f>
        <v>1000</v>
      </c>
      <c r="H724" s="337">
        <f t="shared" si="54"/>
        <v>150</v>
      </c>
      <c r="I724" s="168">
        <f t="shared" si="55"/>
        <v>1150</v>
      </c>
    </row>
    <row r="725" spans="1:9" ht="13.2">
      <c r="A725" s="170">
        <f t="shared" ref="A725" si="56">IF(D725&lt;&gt;"", ROW()-1, "")</f>
        <v>724</v>
      </c>
      <c r="B725" s="171" t="s">
        <v>98</v>
      </c>
      <c r="C725" s="171" t="str">
        <f>VLOOKUP(B725,MEMBERS!B:C,2, )</f>
        <v>MR.HAFEEZ AHMED SIYAL</v>
      </c>
      <c r="D725" s="191">
        <v>46005</v>
      </c>
      <c r="E725" s="178">
        <v>1</v>
      </c>
      <c r="F725" s="171" t="s">
        <v>499</v>
      </c>
      <c r="G725" s="168">
        <f>IFERROR(VLOOKUP(F725,'menu list'!B:C,2,FALSE)*E725,"0")</f>
        <v>100</v>
      </c>
      <c r="H725" s="337">
        <f t="shared" si="54"/>
        <v>15</v>
      </c>
      <c r="I725" s="168">
        <f t="shared" si="55"/>
        <v>115</v>
      </c>
    </row>
    <row r="726" spans="1:9" ht="13.2">
      <c r="A726" s="170">
        <f t="shared" si="53"/>
        <v>725</v>
      </c>
      <c r="B726" s="171" t="s">
        <v>142</v>
      </c>
      <c r="C726" s="171" t="str">
        <f>VLOOKUP(B726,MEMBERS!B:C,2, )</f>
        <v>MR.MUHAMMAD HANIF</v>
      </c>
      <c r="D726" s="191">
        <v>46005</v>
      </c>
      <c r="E726" s="178">
        <v>2</v>
      </c>
      <c r="F726" s="171" t="s">
        <v>830</v>
      </c>
      <c r="G726" s="168">
        <f>IFERROR(VLOOKUP(F726,'menu list'!B:C,2,FALSE)*E726,"0")</f>
        <v>1200</v>
      </c>
      <c r="H726" s="337">
        <f t="shared" si="54"/>
        <v>180</v>
      </c>
      <c r="I726" s="168">
        <f t="shared" si="55"/>
        <v>1380</v>
      </c>
    </row>
    <row r="727" spans="1:9" ht="13.2">
      <c r="A727" s="170">
        <f t="shared" si="53"/>
        <v>726</v>
      </c>
      <c r="B727" s="171" t="s">
        <v>142</v>
      </c>
      <c r="C727" s="171" t="str">
        <f>VLOOKUP(B727,MEMBERS!B:C,2, )</f>
        <v>MR.MUHAMMAD HANIF</v>
      </c>
      <c r="D727" s="191">
        <v>46005</v>
      </c>
      <c r="E727" s="178">
        <v>2</v>
      </c>
      <c r="F727" s="171" t="s">
        <v>939</v>
      </c>
      <c r="G727" s="168">
        <f>IFERROR(VLOOKUP(F727,'menu list'!B:C,2,FALSE)*E727,"0")</f>
        <v>2400</v>
      </c>
      <c r="H727" s="337">
        <f t="shared" si="54"/>
        <v>360</v>
      </c>
      <c r="I727" s="168">
        <f t="shared" si="55"/>
        <v>2760</v>
      </c>
    </row>
    <row r="728" spans="1:9" ht="13.2">
      <c r="A728" s="170">
        <f t="shared" si="53"/>
        <v>727</v>
      </c>
      <c r="B728" s="171" t="s">
        <v>142</v>
      </c>
      <c r="C728" s="171" t="str">
        <f>VLOOKUP(B728,MEMBERS!B:C,2, )</f>
        <v>MR.MUHAMMAD HANIF</v>
      </c>
      <c r="D728" s="191">
        <v>46005</v>
      </c>
      <c r="E728" s="178">
        <v>3</v>
      </c>
      <c r="F728" s="171" t="s">
        <v>786</v>
      </c>
      <c r="G728" s="168">
        <f>IFERROR(VLOOKUP(F728,'menu list'!B:C,2,FALSE)*E728,"0")</f>
        <v>3450</v>
      </c>
      <c r="H728" s="337">
        <f t="shared" si="54"/>
        <v>517.5</v>
      </c>
      <c r="I728" s="168">
        <f t="shared" si="55"/>
        <v>3967.5</v>
      </c>
    </row>
    <row r="729" spans="1:9" ht="13.2">
      <c r="A729" s="170">
        <f t="shared" si="53"/>
        <v>728</v>
      </c>
      <c r="B729" s="171" t="s">
        <v>142</v>
      </c>
      <c r="C729" s="171" t="str">
        <f>VLOOKUP(B729,MEMBERS!B:C,2, )</f>
        <v>MR.MUHAMMAD HANIF</v>
      </c>
      <c r="D729" s="191">
        <v>46005</v>
      </c>
      <c r="E729" s="178">
        <v>3</v>
      </c>
      <c r="F729" s="171" t="s">
        <v>522</v>
      </c>
      <c r="G729" s="168">
        <f>IFERROR(VLOOKUP(F729,'menu list'!B:C,2,FALSE)*E729,"0")</f>
        <v>3600</v>
      </c>
      <c r="H729" s="337">
        <f t="shared" si="54"/>
        <v>540</v>
      </c>
      <c r="I729" s="168">
        <f t="shared" si="55"/>
        <v>4140</v>
      </c>
    </row>
    <row r="730" spans="1:9" ht="13.2">
      <c r="A730" s="170">
        <f t="shared" si="53"/>
        <v>729</v>
      </c>
      <c r="B730" s="171" t="s">
        <v>142</v>
      </c>
      <c r="C730" s="171" t="str">
        <f>VLOOKUP(B730,MEMBERS!B:C,2, )</f>
        <v>MR.MUHAMMAD HANIF</v>
      </c>
      <c r="D730" s="191">
        <v>46005</v>
      </c>
      <c r="E730" s="178">
        <v>4</v>
      </c>
      <c r="F730" s="171" t="s">
        <v>441</v>
      </c>
      <c r="G730" s="168">
        <f>IFERROR(VLOOKUP(F730,'menu list'!B:C,2,FALSE)*E730,"0")</f>
        <v>800</v>
      </c>
      <c r="H730" s="337">
        <f t="shared" si="54"/>
        <v>120</v>
      </c>
      <c r="I730" s="168">
        <f t="shared" si="55"/>
        <v>920</v>
      </c>
    </row>
    <row r="731" spans="1:9" ht="13.2">
      <c r="A731" s="170">
        <f t="shared" si="53"/>
        <v>730</v>
      </c>
      <c r="B731" s="171" t="s">
        <v>142</v>
      </c>
      <c r="C731" s="171" t="str">
        <f>VLOOKUP(B731,MEMBERS!B:C,2, )</f>
        <v>MR.MUHAMMAD HANIF</v>
      </c>
      <c r="D731" s="191">
        <v>46005</v>
      </c>
      <c r="E731" s="178">
        <v>2</v>
      </c>
      <c r="F731" s="171" t="s">
        <v>793</v>
      </c>
      <c r="G731" s="168">
        <f>IFERROR(VLOOKUP(F731,'menu list'!B:C,2,FALSE)*E731,"0")</f>
        <v>1600</v>
      </c>
      <c r="H731" s="337">
        <f t="shared" si="54"/>
        <v>240</v>
      </c>
      <c r="I731" s="168">
        <f t="shared" si="55"/>
        <v>1840</v>
      </c>
    </row>
    <row r="732" spans="1:9" ht="13.2">
      <c r="A732" s="170">
        <f t="shared" si="53"/>
        <v>731</v>
      </c>
      <c r="B732" s="171" t="s">
        <v>142</v>
      </c>
      <c r="C732" s="171" t="str">
        <f>VLOOKUP(B732,MEMBERS!B:C,2, )</f>
        <v>MR.MUHAMMAD HANIF</v>
      </c>
      <c r="D732" s="191">
        <v>46005</v>
      </c>
      <c r="E732" s="178">
        <v>2</v>
      </c>
      <c r="F732" s="171" t="s">
        <v>806</v>
      </c>
      <c r="G732" s="168">
        <f>IFERROR(VLOOKUP(F732,'menu list'!B:C,2,FALSE)*E732,"0")</f>
        <v>1200</v>
      </c>
      <c r="H732" s="337">
        <f t="shared" si="54"/>
        <v>180</v>
      </c>
      <c r="I732" s="168">
        <f t="shared" si="55"/>
        <v>1380</v>
      </c>
    </row>
    <row r="733" spans="1:9" ht="13.2">
      <c r="A733" s="170">
        <f t="shared" si="53"/>
        <v>732</v>
      </c>
      <c r="B733" s="171" t="s">
        <v>142</v>
      </c>
      <c r="C733" s="171" t="str">
        <f>VLOOKUP(B733,MEMBERS!B:C,2, )</f>
        <v>MR.MUHAMMAD HANIF</v>
      </c>
      <c r="D733" s="191">
        <v>46005</v>
      </c>
      <c r="E733" s="178">
        <v>8</v>
      </c>
      <c r="F733" s="171" t="s">
        <v>623</v>
      </c>
      <c r="G733" s="168">
        <f>IFERROR(VLOOKUP(F733,'menu list'!B:C,2,FALSE)*E733,"0")</f>
        <v>1200</v>
      </c>
      <c r="H733" s="337">
        <f t="shared" si="54"/>
        <v>180</v>
      </c>
      <c r="I733" s="168">
        <f t="shared" si="55"/>
        <v>1380</v>
      </c>
    </row>
    <row r="734" spans="1:9" ht="13.2">
      <c r="A734" s="170">
        <f t="shared" si="53"/>
        <v>733</v>
      </c>
      <c r="B734" s="171" t="s">
        <v>142</v>
      </c>
      <c r="C734" s="171" t="str">
        <f>VLOOKUP(B734,MEMBERS!B:C,2, )</f>
        <v>MR.MUHAMMAD HANIF</v>
      </c>
      <c r="D734" s="191">
        <v>46005</v>
      </c>
      <c r="E734" s="178">
        <v>3</v>
      </c>
      <c r="F734" s="171" t="s">
        <v>504</v>
      </c>
      <c r="G734" s="168">
        <f>IFERROR(VLOOKUP(F734,'menu list'!B:C,2,FALSE)*E734,"0")</f>
        <v>390</v>
      </c>
      <c r="H734" s="337">
        <f t="shared" si="54"/>
        <v>58.5</v>
      </c>
      <c r="I734" s="168">
        <f t="shared" si="55"/>
        <v>448.5</v>
      </c>
    </row>
    <row r="735" spans="1:9" ht="13.2">
      <c r="A735" s="170">
        <f t="shared" si="53"/>
        <v>734</v>
      </c>
      <c r="B735" s="171" t="s">
        <v>142</v>
      </c>
      <c r="C735" s="171" t="str">
        <f>VLOOKUP(B735,MEMBERS!B:C,2, )</f>
        <v>MR.MUHAMMAD HANIF</v>
      </c>
      <c r="D735" s="191">
        <v>46005</v>
      </c>
      <c r="E735" s="178">
        <v>3</v>
      </c>
      <c r="F735" s="171" t="s">
        <v>443</v>
      </c>
      <c r="G735" s="168">
        <f>IFERROR(VLOOKUP(F735,'menu list'!B:C,2,FALSE)*E735,"0")</f>
        <v>450</v>
      </c>
      <c r="H735" s="337">
        <f t="shared" si="54"/>
        <v>67.5</v>
      </c>
      <c r="I735" s="168">
        <f t="shared" si="55"/>
        <v>517.5</v>
      </c>
    </row>
    <row r="736" spans="1:9" ht="13.2">
      <c r="A736" s="170">
        <f t="shared" si="53"/>
        <v>735</v>
      </c>
      <c r="B736" s="171" t="s">
        <v>142</v>
      </c>
      <c r="C736" s="171" t="str">
        <f>VLOOKUP(B736,MEMBERS!B:C,2, )</f>
        <v>MR.MUHAMMAD HANIF</v>
      </c>
      <c r="D736" s="191">
        <v>46005</v>
      </c>
      <c r="E736" s="178">
        <v>3</v>
      </c>
      <c r="F736" s="171" t="s">
        <v>439</v>
      </c>
      <c r="G736" s="168">
        <f>IFERROR(VLOOKUP(F736,'menu list'!B:C,2,FALSE)*E736,"0")</f>
        <v>210</v>
      </c>
      <c r="H736" s="337">
        <f t="shared" si="54"/>
        <v>31.5</v>
      </c>
      <c r="I736" s="168">
        <f t="shared" si="55"/>
        <v>241.5</v>
      </c>
    </row>
    <row r="737" spans="1:9" ht="13.2">
      <c r="A737" s="170">
        <f t="shared" si="53"/>
        <v>736</v>
      </c>
      <c r="B737" s="171" t="s">
        <v>308</v>
      </c>
      <c r="C737" s="171" t="str">
        <f>VLOOKUP(B737,MEMBERS!B:C,2, )</f>
        <v>DGM AZFAR ALI</v>
      </c>
      <c r="D737" s="191">
        <v>46005</v>
      </c>
      <c r="E737" s="178">
        <v>1</v>
      </c>
      <c r="F737" s="171" t="s">
        <v>499</v>
      </c>
      <c r="G737" s="168">
        <f>IFERROR(VLOOKUP(F737,'menu list'!B:C,2,FALSE)*E737,"0")</f>
        <v>100</v>
      </c>
      <c r="H737" s="337">
        <f t="shared" si="54"/>
        <v>15</v>
      </c>
      <c r="I737" s="168">
        <f t="shared" si="55"/>
        <v>115</v>
      </c>
    </row>
    <row r="738" spans="1:9" ht="13.2">
      <c r="A738" s="170">
        <f t="shared" si="53"/>
        <v>737</v>
      </c>
      <c r="B738" s="171" t="s">
        <v>54</v>
      </c>
      <c r="C738" s="171" t="str">
        <f>VLOOKUP(B738,MEMBERS!B:C,2, )</f>
        <v>MR.ZEESHAN IQBAL</v>
      </c>
      <c r="D738" s="191">
        <v>46005</v>
      </c>
      <c r="E738" s="178">
        <v>1</v>
      </c>
      <c r="F738" s="171" t="s">
        <v>440</v>
      </c>
      <c r="G738" s="168">
        <f>IFERROR(VLOOKUP(F738,'menu list'!B:C,2,FALSE)*E738,"0")</f>
        <v>150</v>
      </c>
      <c r="H738" s="337">
        <f t="shared" si="54"/>
        <v>22.5</v>
      </c>
      <c r="I738" s="168">
        <f t="shared" si="55"/>
        <v>172.5</v>
      </c>
    </row>
    <row r="739" spans="1:9" ht="13.2">
      <c r="A739" s="170">
        <f t="shared" si="53"/>
        <v>738</v>
      </c>
      <c r="B739" s="171" t="s">
        <v>54</v>
      </c>
      <c r="C739" s="171" t="str">
        <f>VLOOKUP(B739,MEMBERS!B:C,2, )</f>
        <v>MR.ZEESHAN IQBAL</v>
      </c>
      <c r="D739" s="191">
        <v>46005</v>
      </c>
      <c r="E739" s="178">
        <v>1</v>
      </c>
      <c r="F739" s="171" t="s">
        <v>497</v>
      </c>
      <c r="G739" s="168">
        <f>IFERROR(VLOOKUP(F739,'menu list'!B:C,2,FALSE)*E739,"0")</f>
        <v>250</v>
      </c>
      <c r="H739" s="337">
        <f t="shared" si="54"/>
        <v>37.5</v>
      </c>
      <c r="I739" s="168">
        <f t="shared" si="55"/>
        <v>287.5</v>
      </c>
    </row>
    <row r="740" spans="1:9" ht="13.2">
      <c r="A740" s="170">
        <f t="shared" si="53"/>
        <v>739</v>
      </c>
      <c r="B740" s="171" t="s">
        <v>249</v>
      </c>
      <c r="C740" s="171" t="str">
        <f>VLOOKUP(B740,MEMBERS!B:C,2, )</f>
        <v>MUHAMMAD EBRAHIM TIWANA</v>
      </c>
      <c r="D740" s="191">
        <v>46005</v>
      </c>
      <c r="E740" s="178">
        <v>1</v>
      </c>
      <c r="F740" s="171" t="s">
        <v>516</v>
      </c>
      <c r="G740" s="168">
        <f>IFERROR(VLOOKUP(F740,'menu list'!B:C,2,FALSE)*E740,"0")</f>
        <v>250</v>
      </c>
      <c r="H740" s="337">
        <f t="shared" si="54"/>
        <v>37.5</v>
      </c>
      <c r="I740" s="168">
        <f t="shared" si="55"/>
        <v>287.5</v>
      </c>
    </row>
    <row r="741" spans="1:9" ht="13.2">
      <c r="A741" s="170">
        <f t="shared" si="53"/>
        <v>740</v>
      </c>
      <c r="B741" s="171" t="s">
        <v>249</v>
      </c>
      <c r="C741" s="171" t="str">
        <f>VLOOKUP(B741,MEMBERS!B:C,2, )</f>
        <v>MUHAMMAD EBRAHIM TIWANA</v>
      </c>
      <c r="D741" s="191">
        <v>46005</v>
      </c>
      <c r="E741" s="178">
        <v>1</v>
      </c>
      <c r="F741" s="171" t="s">
        <v>515</v>
      </c>
      <c r="G741" s="168">
        <f>IFERROR(VLOOKUP(F741,'menu list'!B:C,2,FALSE)*E741,"0")</f>
        <v>400</v>
      </c>
      <c r="H741" s="337">
        <f t="shared" si="54"/>
        <v>60</v>
      </c>
      <c r="I741" s="168">
        <f t="shared" si="55"/>
        <v>460</v>
      </c>
    </row>
    <row r="742" spans="1:9" ht="13.2">
      <c r="A742" s="170">
        <f t="shared" si="53"/>
        <v>741</v>
      </c>
      <c r="B742" s="171" t="s">
        <v>249</v>
      </c>
      <c r="C742" s="171" t="str">
        <f>VLOOKUP(B742,MEMBERS!B:C,2, )</f>
        <v>MUHAMMAD EBRAHIM TIWANA</v>
      </c>
      <c r="D742" s="191">
        <v>46005</v>
      </c>
      <c r="E742" s="178">
        <v>2</v>
      </c>
      <c r="F742" s="171" t="s">
        <v>558</v>
      </c>
      <c r="G742" s="168">
        <f>IFERROR(VLOOKUP(F742,'menu list'!B:C,2,FALSE)*E742,"0")</f>
        <v>300</v>
      </c>
      <c r="H742" s="337">
        <f t="shared" si="54"/>
        <v>45</v>
      </c>
      <c r="I742" s="168">
        <f t="shared" si="55"/>
        <v>345</v>
      </c>
    </row>
    <row r="743" spans="1:9" ht="13.2">
      <c r="A743" s="170">
        <f t="shared" si="53"/>
        <v>742</v>
      </c>
      <c r="B743" s="171" t="s">
        <v>1073</v>
      </c>
      <c r="C743" s="171" t="str">
        <f>VLOOKUP(B743,MEMBERS!B:C,2, )</f>
        <v>MR. GHULAM MUSTAFA</v>
      </c>
      <c r="D743" s="191">
        <v>46005</v>
      </c>
      <c r="E743" s="178">
        <v>1</v>
      </c>
      <c r="F743" s="171" t="s">
        <v>440</v>
      </c>
      <c r="G743" s="168">
        <f>IFERROR(VLOOKUP(F743,'menu list'!B:C,2,FALSE)*E743,"0")</f>
        <v>150</v>
      </c>
      <c r="H743" s="337">
        <f t="shared" si="54"/>
        <v>22.5</v>
      </c>
      <c r="I743" s="168">
        <f t="shared" si="55"/>
        <v>172.5</v>
      </c>
    </row>
    <row r="744" spans="1:9" ht="13.2">
      <c r="A744" s="170">
        <f t="shared" si="53"/>
        <v>743</v>
      </c>
      <c r="B744" s="171" t="s">
        <v>1073</v>
      </c>
      <c r="C744" s="171" t="str">
        <f>VLOOKUP(B744,MEMBERS!B:C,2, )</f>
        <v>MR. GHULAM MUSTAFA</v>
      </c>
      <c r="D744" s="191">
        <v>46005</v>
      </c>
      <c r="E744" s="178">
        <v>1</v>
      </c>
      <c r="F744" s="171" t="s">
        <v>832</v>
      </c>
      <c r="G744" s="168">
        <f>IFERROR(VLOOKUP(F744,'menu list'!B:C,2,FALSE)*E744,"0")</f>
        <v>250</v>
      </c>
      <c r="H744" s="337">
        <f t="shared" si="54"/>
        <v>37.5</v>
      </c>
      <c r="I744" s="168">
        <f t="shared" si="55"/>
        <v>287.5</v>
      </c>
    </row>
    <row r="745" spans="1:9" ht="13.2">
      <c r="A745" s="170">
        <f t="shared" si="53"/>
        <v>744</v>
      </c>
      <c r="B745" s="171" t="s">
        <v>1073</v>
      </c>
      <c r="C745" s="171" t="str">
        <f>VLOOKUP(B745,MEMBERS!B:C,2, )</f>
        <v>MR. GHULAM MUSTAFA</v>
      </c>
      <c r="D745" s="191">
        <v>46005</v>
      </c>
      <c r="E745" s="178">
        <v>2</v>
      </c>
      <c r="F745" s="171" t="s">
        <v>833</v>
      </c>
      <c r="G745" s="168">
        <f>IFERROR(VLOOKUP(F745,'menu list'!B:C,2,FALSE)*E745,"0")</f>
        <v>700</v>
      </c>
      <c r="H745" s="337">
        <f t="shared" si="54"/>
        <v>105</v>
      </c>
      <c r="I745" s="168">
        <f t="shared" si="55"/>
        <v>805</v>
      </c>
    </row>
    <row r="746" spans="1:9" ht="13.2">
      <c r="A746" s="170">
        <f t="shared" si="53"/>
        <v>745</v>
      </c>
      <c r="B746" s="171" t="s">
        <v>1073</v>
      </c>
      <c r="C746" s="171" t="str">
        <f>VLOOKUP(B746,MEMBERS!B:C,2, )</f>
        <v>MR. GHULAM MUSTAFA</v>
      </c>
      <c r="D746" s="191">
        <v>46005</v>
      </c>
      <c r="E746" s="178">
        <v>1</v>
      </c>
      <c r="F746" s="171" t="s">
        <v>939</v>
      </c>
      <c r="G746" s="168">
        <f>IFERROR(VLOOKUP(F746,'menu list'!B:C,2,FALSE)*E746,"0")</f>
        <v>1200</v>
      </c>
      <c r="H746" s="337">
        <f t="shared" si="54"/>
        <v>180</v>
      </c>
      <c r="I746" s="168">
        <f t="shared" si="55"/>
        <v>1380</v>
      </c>
    </row>
    <row r="747" spans="1:9" ht="13.2">
      <c r="A747" s="170">
        <f t="shared" si="53"/>
        <v>746</v>
      </c>
      <c r="B747" s="171" t="s">
        <v>1073</v>
      </c>
      <c r="C747" s="171" t="str">
        <f>VLOOKUP(B747,MEMBERS!B:C,2, )</f>
        <v>MR. GHULAM MUSTAFA</v>
      </c>
      <c r="D747" s="191">
        <v>46005</v>
      </c>
      <c r="E747" s="178">
        <v>1</v>
      </c>
      <c r="F747" s="171" t="s">
        <v>785</v>
      </c>
      <c r="G747" s="168">
        <f>IFERROR(VLOOKUP(F747,'menu list'!B:C,2,FALSE)*E747,"0")</f>
        <v>950</v>
      </c>
      <c r="H747" s="337">
        <f t="shared" si="54"/>
        <v>142.5</v>
      </c>
      <c r="I747" s="168">
        <f t="shared" si="55"/>
        <v>1092.5</v>
      </c>
    </row>
    <row r="748" spans="1:9" ht="13.2">
      <c r="A748" s="170">
        <f t="shared" si="53"/>
        <v>747</v>
      </c>
      <c r="B748" s="171" t="s">
        <v>1024</v>
      </c>
      <c r="C748" s="171" t="str">
        <f>VLOOKUP(B748,MEMBERS!B:C,2, )</f>
        <v>MR. ANEEL ZAHOOR</v>
      </c>
      <c r="D748" s="191">
        <v>46005</v>
      </c>
      <c r="E748" s="178">
        <v>1</v>
      </c>
      <c r="F748" s="171" t="s">
        <v>499</v>
      </c>
      <c r="G748" s="168">
        <f>IFERROR(VLOOKUP(F748,'menu list'!B:C,2,FALSE)*E748,"0")</f>
        <v>100</v>
      </c>
      <c r="H748" s="337">
        <f t="shared" si="54"/>
        <v>15</v>
      </c>
      <c r="I748" s="168">
        <f t="shared" si="55"/>
        <v>115</v>
      </c>
    </row>
    <row r="749" spans="1:9" ht="13.2">
      <c r="A749" s="170">
        <f t="shared" si="53"/>
        <v>748</v>
      </c>
      <c r="B749" s="171" t="s">
        <v>249</v>
      </c>
      <c r="C749" s="171" t="str">
        <f>VLOOKUP(B749,MEMBERS!B:C,2, )</f>
        <v>MUHAMMAD EBRAHIM TIWANA</v>
      </c>
      <c r="D749" s="191">
        <v>46005</v>
      </c>
      <c r="E749" s="178">
        <v>4</v>
      </c>
      <c r="F749" s="171" t="s">
        <v>500</v>
      </c>
      <c r="G749" s="168">
        <f>IFERROR(VLOOKUP(F749,'menu list'!B:C,2,FALSE)*E749,"0")</f>
        <v>5000</v>
      </c>
      <c r="H749" s="337">
        <f t="shared" si="54"/>
        <v>750</v>
      </c>
      <c r="I749" s="168">
        <f t="shared" si="55"/>
        <v>5750</v>
      </c>
    </row>
    <row r="750" spans="1:9" ht="13.2">
      <c r="A750" s="170">
        <f t="shared" ref="A750:A813" si="57">IF(D750&lt;&gt;"", ROW()-1, "")</f>
        <v>749</v>
      </c>
      <c r="B750" s="171" t="s">
        <v>249</v>
      </c>
      <c r="C750" s="171" t="str">
        <f>VLOOKUP(B750,MEMBERS!B:C,2, )</f>
        <v>MUHAMMAD EBRAHIM TIWANA</v>
      </c>
      <c r="D750" s="191">
        <v>46005</v>
      </c>
      <c r="E750" s="178">
        <v>2</v>
      </c>
      <c r="F750" s="171" t="s">
        <v>786</v>
      </c>
      <c r="G750" s="168">
        <f>IFERROR(VLOOKUP(F750,'menu list'!B:C,2,FALSE)*E750,"0")</f>
        <v>2300</v>
      </c>
      <c r="H750" s="337">
        <f t="shared" si="54"/>
        <v>345</v>
      </c>
      <c r="I750" s="168">
        <f t="shared" si="55"/>
        <v>2645</v>
      </c>
    </row>
    <row r="751" spans="1:9" ht="13.2">
      <c r="A751" s="170">
        <f t="shared" si="57"/>
        <v>750</v>
      </c>
      <c r="B751" s="171" t="s">
        <v>249</v>
      </c>
      <c r="C751" s="171" t="str">
        <f>VLOOKUP(B751,MEMBERS!B:C,2, )</f>
        <v>MUHAMMAD EBRAHIM TIWANA</v>
      </c>
      <c r="D751" s="191">
        <v>46005</v>
      </c>
      <c r="E751" s="178">
        <v>1</v>
      </c>
      <c r="F751" s="171" t="s">
        <v>939</v>
      </c>
      <c r="G751" s="168">
        <f>IFERROR(VLOOKUP(F751,'menu list'!B:C,2,FALSE)*E751,"0")</f>
        <v>1200</v>
      </c>
      <c r="H751" s="337">
        <f t="shared" si="54"/>
        <v>180</v>
      </c>
      <c r="I751" s="168">
        <f t="shared" si="55"/>
        <v>1380</v>
      </c>
    </row>
    <row r="752" spans="1:9" ht="13.2">
      <c r="A752" s="170">
        <f t="shared" si="57"/>
        <v>751</v>
      </c>
      <c r="B752" s="171" t="s">
        <v>249</v>
      </c>
      <c r="C752" s="171" t="str">
        <f>VLOOKUP(B752,MEMBERS!B:C,2, )</f>
        <v>MUHAMMAD EBRAHIM TIWANA</v>
      </c>
      <c r="D752" s="191">
        <v>46005</v>
      </c>
      <c r="E752" s="178">
        <v>1</v>
      </c>
      <c r="F752" s="171" t="s">
        <v>772</v>
      </c>
      <c r="G752" s="168">
        <f>IFERROR(VLOOKUP(F752,'menu list'!B:C,2,FALSE)*E752,"0")</f>
        <v>900</v>
      </c>
      <c r="H752" s="337">
        <f t="shared" si="54"/>
        <v>135</v>
      </c>
      <c r="I752" s="168">
        <f t="shared" si="55"/>
        <v>1035</v>
      </c>
    </row>
    <row r="753" spans="1:9" ht="13.2">
      <c r="A753" s="170">
        <f t="shared" si="57"/>
        <v>752</v>
      </c>
      <c r="B753" s="171" t="s">
        <v>249</v>
      </c>
      <c r="C753" s="171" t="str">
        <f>VLOOKUP(B753,MEMBERS!B:C,2, )</f>
        <v>MUHAMMAD EBRAHIM TIWANA</v>
      </c>
      <c r="D753" s="191">
        <v>46005</v>
      </c>
      <c r="E753" s="178">
        <v>1</v>
      </c>
      <c r="F753" s="171" t="s">
        <v>852</v>
      </c>
      <c r="G753" s="168">
        <f>IFERROR(VLOOKUP(F753,'menu list'!B:C,2,FALSE)*E753,"0")</f>
        <v>850</v>
      </c>
      <c r="H753" s="337">
        <f t="shared" si="54"/>
        <v>127.5</v>
      </c>
      <c r="I753" s="168">
        <f t="shared" si="55"/>
        <v>977.5</v>
      </c>
    </row>
    <row r="754" spans="1:9" ht="13.2">
      <c r="A754" s="170">
        <f t="shared" si="57"/>
        <v>753</v>
      </c>
      <c r="B754" s="171" t="s">
        <v>249</v>
      </c>
      <c r="C754" s="171" t="str">
        <f>VLOOKUP(B754,MEMBERS!B:C,2, )</f>
        <v>MUHAMMAD EBRAHIM TIWANA</v>
      </c>
      <c r="D754" s="191">
        <v>46005</v>
      </c>
      <c r="E754" s="178">
        <v>3</v>
      </c>
      <c r="F754" s="171" t="s">
        <v>504</v>
      </c>
      <c r="G754" s="168">
        <f>IFERROR(VLOOKUP(F754,'menu list'!B:C,2,FALSE)*E754,"0")</f>
        <v>390</v>
      </c>
      <c r="H754" s="337">
        <f t="shared" si="54"/>
        <v>58.5</v>
      </c>
      <c r="I754" s="168">
        <f t="shared" si="55"/>
        <v>448.5</v>
      </c>
    </row>
    <row r="755" spans="1:9" ht="13.2">
      <c r="A755" s="170">
        <f t="shared" si="57"/>
        <v>754</v>
      </c>
      <c r="B755" s="171" t="s">
        <v>249</v>
      </c>
      <c r="C755" s="171" t="str">
        <f>VLOOKUP(B755,MEMBERS!B:C,2, )</f>
        <v>MUHAMMAD EBRAHIM TIWANA</v>
      </c>
      <c r="D755" s="191">
        <v>46005</v>
      </c>
      <c r="E755" s="178">
        <v>1</v>
      </c>
      <c r="F755" s="171" t="s">
        <v>499</v>
      </c>
      <c r="G755" s="168">
        <f>IFERROR(VLOOKUP(F755,'menu list'!B:C,2,FALSE)*E755,"0")</f>
        <v>100</v>
      </c>
      <c r="H755" s="337">
        <f t="shared" si="54"/>
        <v>15</v>
      </c>
      <c r="I755" s="168">
        <f t="shared" si="55"/>
        <v>115</v>
      </c>
    </row>
    <row r="756" spans="1:9" ht="13.2">
      <c r="A756" s="170">
        <f t="shared" si="57"/>
        <v>755</v>
      </c>
      <c r="B756" s="171" t="s">
        <v>249</v>
      </c>
      <c r="C756" s="171" t="str">
        <f>VLOOKUP(B756,MEMBERS!B:C,2, )</f>
        <v>MUHAMMAD EBRAHIM TIWANA</v>
      </c>
      <c r="D756" s="191">
        <v>46005</v>
      </c>
      <c r="E756" s="178">
        <v>2</v>
      </c>
      <c r="F756" s="171" t="s">
        <v>442</v>
      </c>
      <c r="G756" s="168">
        <f>IFERROR(VLOOKUP(F756,'menu list'!B:C,2,FALSE)*E756,"0")</f>
        <v>300</v>
      </c>
      <c r="H756" s="337">
        <f t="shared" si="54"/>
        <v>45</v>
      </c>
      <c r="I756" s="168">
        <f t="shared" si="55"/>
        <v>345</v>
      </c>
    </row>
    <row r="757" spans="1:9" ht="13.2">
      <c r="A757" s="170">
        <f t="shared" si="57"/>
        <v>756</v>
      </c>
      <c r="B757" s="171" t="s">
        <v>395</v>
      </c>
      <c r="C757" s="171" t="str">
        <f>VLOOKUP(B757,MEMBERS!B:C,2, )</f>
        <v>BAHRIA INTERNATIONAL HOSPITAL</v>
      </c>
      <c r="D757" s="191">
        <v>46005</v>
      </c>
      <c r="E757" s="178">
        <v>20</v>
      </c>
      <c r="F757" s="171" t="s">
        <v>516</v>
      </c>
      <c r="G757" s="168">
        <f>IFERROR(VLOOKUP(F757,'menu list'!B:C,2,FALSE)*E757,"0")</f>
        <v>5000</v>
      </c>
      <c r="H757" s="337"/>
      <c r="I757" s="168">
        <f t="shared" si="55"/>
        <v>5000</v>
      </c>
    </row>
    <row r="758" spans="1:9" ht="13.2">
      <c r="A758" s="170">
        <f t="shared" si="57"/>
        <v>757</v>
      </c>
      <c r="B758" s="171" t="s">
        <v>395</v>
      </c>
      <c r="C758" s="171" t="str">
        <f>VLOOKUP(B758,MEMBERS!B:C,2, )</f>
        <v>BAHRIA INTERNATIONAL HOSPITAL</v>
      </c>
      <c r="D758" s="191">
        <v>46005</v>
      </c>
      <c r="E758" s="178">
        <v>10</v>
      </c>
      <c r="F758" s="171" t="s">
        <v>558</v>
      </c>
      <c r="G758" s="168">
        <f>IFERROR(VLOOKUP(F758,'menu list'!B:C,2,FALSE)*E758,"0")</f>
        <v>1500</v>
      </c>
      <c r="H758" s="337"/>
      <c r="I758" s="168">
        <f t="shared" si="55"/>
        <v>1500</v>
      </c>
    </row>
    <row r="759" spans="1:9" ht="13.2">
      <c r="A759" s="170">
        <f t="shared" si="57"/>
        <v>758</v>
      </c>
      <c r="B759" s="171" t="s">
        <v>395</v>
      </c>
      <c r="C759" s="171" t="str">
        <f>VLOOKUP(B759,MEMBERS!B:C,2, )</f>
        <v>BAHRIA INTERNATIONAL HOSPITAL</v>
      </c>
      <c r="D759" s="191">
        <v>46005</v>
      </c>
      <c r="E759" s="178">
        <v>30</v>
      </c>
      <c r="F759" s="171" t="s">
        <v>775</v>
      </c>
      <c r="G759" s="168">
        <f>IFERROR(VLOOKUP(F759,'menu list'!B:C,2,FALSE)*E759,"0")</f>
        <v>3000</v>
      </c>
      <c r="H759" s="337"/>
      <c r="I759" s="168">
        <f t="shared" si="55"/>
        <v>3000</v>
      </c>
    </row>
    <row r="760" spans="1:9" ht="13.2">
      <c r="A760" s="170">
        <f t="shared" si="57"/>
        <v>759</v>
      </c>
      <c r="B760" s="171" t="s">
        <v>192</v>
      </c>
      <c r="C760" s="171" t="str">
        <f>VLOOKUP(B760,MEMBERS!B:C,2, )</f>
        <v>MR.HANIF AHSAN ZUBEDI</v>
      </c>
      <c r="D760" s="191">
        <v>46005</v>
      </c>
      <c r="E760" s="178">
        <v>1</v>
      </c>
      <c r="F760" s="171" t="s">
        <v>499</v>
      </c>
      <c r="G760" s="168">
        <f>IFERROR(VLOOKUP(F760,'menu list'!B:C,2,FALSE)*E760,"0")</f>
        <v>100</v>
      </c>
      <c r="H760" s="337">
        <f t="shared" si="54"/>
        <v>15</v>
      </c>
      <c r="I760" s="168">
        <f t="shared" si="55"/>
        <v>115</v>
      </c>
    </row>
    <row r="761" spans="1:9" ht="13.2">
      <c r="A761" s="170">
        <f t="shared" si="57"/>
        <v>760</v>
      </c>
      <c r="B761" s="171" t="s">
        <v>795</v>
      </c>
      <c r="C761" s="171" t="str">
        <f>VLOOKUP(B761,MEMBERS!B:C,2, )</f>
        <v>MR. HASAN KARIM</v>
      </c>
      <c r="D761" s="191">
        <v>46005</v>
      </c>
      <c r="E761" s="178">
        <v>1</v>
      </c>
      <c r="F761" s="171" t="s">
        <v>499</v>
      </c>
      <c r="G761" s="168">
        <f>IFERROR(VLOOKUP(F761,'menu list'!B:C,2,FALSE)*E761,"0")</f>
        <v>100</v>
      </c>
      <c r="H761" s="337">
        <f t="shared" si="54"/>
        <v>15</v>
      </c>
      <c r="I761" s="168">
        <f t="shared" si="55"/>
        <v>115</v>
      </c>
    </row>
    <row r="762" spans="1:9" ht="13.2">
      <c r="A762" s="170">
        <f t="shared" si="57"/>
        <v>761</v>
      </c>
      <c r="B762" s="171" t="s">
        <v>795</v>
      </c>
      <c r="C762" s="171" t="str">
        <f>VLOOKUP(B762,MEMBERS!B:C,2, )</f>
        <v>MR. HASAN KARIM</v>
      </c>
      <c r="D762" s="191">
        <v>46005</v>
      </c>
      <c r="E762" s="178">
        <v>2</v>
      </c>
      <c r="F762" s="171" t="s">
        <v>498</v>
      </c>
      <c r="G762" s="168">
        <f>IFERROR(VLOOKUP(F762,'menu list'!B:C,2,FALSE)*E762,"0")</f>
        <v>400</v>
      </c>
      <c r="H762" s="337">
        <f t="shared" si="54"/>
        <v>60</v>
      </c>
      <c r="I762" s="168">
        <f t="shared" si="55"/>
        <v>460</v>
      </c>
    </row>
    <row r="763" spans="1:9" ht="13.2">
      <c r="A763" s="170">
        <f t="shared" si="57"/>
        <v>762</v>
      </c>
      <c r="B763" s="171" t="s">
        <v>88</v>
      </c>
      <c r="C763" s="171" t="str">
        <f>VLOOKUP(B763,MEMBERS!B:C,2, )</f>
        <v>DR.NAZEER HUSSAIN KALHORO</v>
      </c>
      <c r="D763" s="191">
        <v>46005</v>
      </c>
      <c r="E763" s="178">
        <v>2</v>
      </c>
      <c r="F763" s="171" t="s">
        <v>499</v>
      </c>
      <c r="G763" s="168">
        <f>IFERROR(VLOOKUP(F763,'menu list'!B:C,2,FALSE)*E763,"0")</f>
        <v>200</v>
      </c>
      <c r="H763" s="337">
        <f t="shared" si="54"/>
        <v>30</v>
      </c>
      <c r="I763" s="168">
        <f t="shared" si="55"/>
        <v>230</v>
      </c>
    </row>
    <row r="764" spans="1:9" ht="13.2">
      <c r="A764" s="170">
        <f t="shared" si="57"/>
        <v>763</v>
      </c>
      <c r="B764" s="171" t="s">
        <v>39</v>
      </c>
      <c r="C764" s="171" t="str">
        <f>VLOOKUP(B764,MEMBERS!B:C,2, )</f>
        <v>MR.SYED ABDULLAH ALI</v>
      </c>
      <c r="D764" s="191">
        <v>46005</v>
      </c>
      <c r="E764" s="178">
        <v>4</v>
      </c>
      <c r="F764" s="171" t="s">
        <v>498</v>
      </c>
      <c r="G764" s="168">
        <f>IFERROR(VLOOKUP(F764,'menu list'!B:C,2,FALSE)*E764,"0")</f>
        <v>800</v>
      </c>
      <c r="H764" s="337">
        <f t="shared" si="54"/>
        <v>120</v>
      </c>
      <c r="I764" s="168">
        <f t="shared" si="55"/>
        <v>920</v>
      </c>
    </row>
    <row r="765" spans="1:9" ht="13.2">
      <c r="A765" s="170">
        <f t="shared" si="57"/>
        <v>764</v>
      </c>
      <c r="B765" s="171" t="s">
        <v>39</v>
      </c>
      <c r="C765" s="171" t="str">
        <f>VLOOKUP(B765,MEMBERS!B:C,2, )</f>
        <v>MR.SYED ABDULLAH ALI</v>
      </c>
      <c r="D765" s="191">
        <v>46005</v>
      </c>
      <c r="E765" s="178">
        <v>1</v>
      </c>
      <c r="F765" s="171" t="s">
        <v>440</v>
      </c>
      <c r="G765" s="168">
        <f>IFERROR(VLOOKUP(F765,'menu list'!B:C,2,FALSE)*E765,"0")</f>
        <v>150</v>
      </c>
      <c r="H765" s="337">
        <f t="shared" si="54"/>
        <v>22.5</v>
      </c>
      <c r="I765" s="168">
        <f t="shared" si="55"/>
        <v>172.5</v>
      </c>
    </row>
    <row r="766" spans="1:9" ht="13.2">
      <c r="A766" s="170">
        <f t="shared" si="57"/>
        <v>765</v>
      </c>
      <c r="B766" s="171" t="s">
        <v>374</v>
      </c>
      <c r="C766" s="171" t="str">
        <f>VLOOKUP(B766,MEMBERS!B:C,2, )</f>
        <v>AAMIR RASOOL</v>
      </c>
      <c r="D766" s="191">
        <v>46005</v>
      </c>
      <c r="E766" s="178">
        <v>1</v>
      </c>
      <c r="F766" s="171" t="s">
        <v>1057</v>
      </c>
      <c r="G766" s="168">
        <f>IFERROR(VLOOKUP(F766,'menu list'!B:C,2,FALSE)*E766,"0")</f>
        <v>850</v>
      </c>
      <c r="H766" s="337">
        <f t="shared" si="54"/>
        <v>127.5</v>
      </c>
      <c r="I766" s="168">
        <f t="shared" si="55"/>
        <v>977.5</v>
      </c>
    </row>
    <row r="767" spans="1:9" ht="13.2">
      <c r="A767" s="170">
        <f t="shared" si="57"/>
        <v>766</v>
      </c>
      <c r="B767" s="171" t="s">
        <v>374</v>
      </c>
      <c r="C767" s="171" t="str">
        <f>VLOOKUP(B767,MEMBERS!B:C,2, )</f>
        <v>AAMIR RASOOL</v>
      </c>
      <c r="D767" s="191">
        <v>46005</v>
      </c>
      <c r="E767" s="178">
        <v>1</v>
      </c>
      <c r="F767" s="171" t="s">
        <v>633</v>
      </c>
      <c r="G767" s="168">
        <f>IFERROR(VLOOKUP(F767,'menu list'!B:C,2,FALSE)*E767,"0")</f>
        <v>700</v>
      </c>
      <c r="H767" s="337">
        <f t="shared" si="54"/>
        <v>105</v>
      </c>
      <c r="I767" s="168">
        <f t="shared" si="55"/>
        <v>805</v>
      </c>
    </row>
    <row r="768" spans="1:9" ht="13.2">
      <c r="A768" s="170">
        <f t="shared" si="57"/>
        <v>767</v>
      </c>
      <c r="B768" s="171" t="s">
        <v>374</v>
      </c>
      <c r="C768" s="171" t="str">
        <f>VLOOKUP(B768,MEMBERS!B:C,2, )</f>
        <v>AAMIR RASOOL</v>
      </c>
      <c r="D768" s="191">
        <v>46005</v>
      </c>
      <c r="E768" s="178">
        <v>2</v>
      </c>
      <c r="F768" s="171" t="s">
        <v>442</v>
      </c>
      <c r="G768" s="168">
        <f>IFERROR(VLOOKUP(F768,'menu list'!B:C,2,FALSE)*E768,"0")</f>
        <v>300</v>
      </c>
      <c r="H768" s="337">
        <f t="shared" si="54"/>
        <v>45</v>
      </c>
      <c r="I768" s="168">
        <f t="shared" si="55"/>
        <v>345</v>
      </c>
    </row>
    <row r="769" spans="1:10" ht="13.2">
      <c r="A769" s="170">
        <f t="shared" si="57"/>
        <v>768</v>
      </c>
      <c r="B769" s="171" t="s">
        <v>374</v>
      </c>
      <c r="C769" s="171" t="str">
        <f>VLOOKUP(B769,MEMBERS!B:C,2, )</f>
        <v>AAMIR RASOOL</v>
      </c>
      <c r="D769" s="191">
        <v>46005</v>
      </c>
      <c r="E769" s="178">
        <v>2</v>
      </c>
      <c r="F769" s="171" t="s">
        <v>499</v>
      </c>
      <c r="G769" s="168">
        <f>IFERROR(VLOOKUP(F769,'menu list'!B:C,2,FALSE)*E769,"0")</f>
        <v>200</v>
      </c>
      <c r="H769" s="337">
        <f t="shared" si="54"/>
        <v>30</v>
      </c>
      <c r="I769" s="168">
        <f t="shared" si="55"/>
        <v>230</v>
      </c>
    </row>
    <row r="770" spans="1:10" ht="13.2">
      <c r="A770" s="170">
        <f t="shared" si="57"/>
        <v>769</v>
      </c>
      <c r="B770" s="171" t="s">
        <v>374</v>
      </c>
      <c r="C770" s="171" t="str">
        <f>VLOOKUP(B770,MEMBERS!B:C,2, )</f>
        <v>AAMIR RASOOL</v>
      </c>
      <c r="D770" s="191">
        <v>46005</v>
      </c>
      <c r="E770" s="178">
        <v>1</v>
      </c>
      <c r="F770" s="171" t="s">
        <v>804</v>
      </c>
      <c r="G770" s="168">
        <f>IFERROR(VLOOKUP(F770,'menu list'!B:C,2,FALSE)*E770,"0")</f>
        <v>270</v>
      </c>
      <c r="H770" s="337">
        <f t="shared" si="54"/>
        <v>40.5</v>
      </c>
      <c r="I770" s="168">
        <f t="shared" si="55"/>
        <v>310.5</v>
      </c>
    </row>
    <row r="771" spans="1:10" ht="13.2">
      <c r="A771" s="313">
        <f t="shared" si="57"/>
        <v>770</v>
      </c>
      <c r="B771" s="314" t="s">
        <v>454</v>
      </c>
      <c r="C771" s="314" t="str">
        <f>VLOOKUP(B771,MEMBERS!B:C,2, )</f>
        <v>Heritage club</v>
      </c>
      <c r="D771" s="315">
        <v>46005</v>
      </c>
      <c r="E771" s="316">
        <v>1</v>
      </c>
      <c r="F771" s="314" t="s">
        <v>498</v>
      </c>
      <c r="G771" s="317">
        <f>IFERROR(VLOOKUP(F771,'menu list'!B:C,2,FALSE)*E771,"0")</f>
        <v>200</v>
      </c>
      <c r="H771" s="337">
        <f t="shared" ref="H771:H834" si="58">G771*15/100</f>
        <v>30</v>
      </c>
      <c r="I771" s="168">
        <f t="shared" si="55"/>
        <v>230</v>
      </c>
      <c r="J771" s="339" t="s">
        <v>1090</v>
      </c>
    </row>
    <row r="772" spans="1:10" ht="13.2">
      <c r="A772" s="313">
        <f t="shared" si="57"/>
        <v>771</v>
      </c>
      <c r="B772" s="314" t="s">
        <v>454</v>
      </c>
      <c r="C772" s="314" t="str">
        <f>VLOOKUP(B772,MEMBERS!B:C,2, )</f>
        <v>Heritage club</v>
      </c>
      <c r="D772" s="315">
        <v>46005</v>
      </c>
      <c r="E772" s="316">
        <v>1</v>
      </c>
      <c r="F772" s="314" t="s">
        <v>499</v>
      </c>
      <c r="G772" s="317">
        <f>IFERROR(VLOOKUP(F772,'menu list'!B:C,2,FALSE)*E772,"0")</f>
        <v>100</v>
      </c>
      <c r="H772" s="337">
        <f t="shared" si="58"/>
        <v>15</v>
      </c>
      <c r="I772" s="168">
        <f t="shared" ref="I772:I835" si="59">G772+H772</f>
        <v>115</v>
      </c>
      <c r="J772" s="339" t="s">
        <v>1090</v>
      </c>
    </row>
    <row r="773" spans="1:10" ht="13.2">
      <c r="A773" s="170">
        <f t="shared" si="57"/>
        <v>772</v>
      </c>
      <c r="B773" s="171" t="s">
        <v>69</v>
      </c>
      <c r="C773" s="171" t="str">
        <f>VLOOKUP(B773,MEMBERS!B:C,2, )</f>
        <v>MR.TARIQUE ZUBAIR</v>
      </c>
      <c r="D773" s="318">
        <v>46005</v>
      </c>
      <c r="E773" s="178">
        <v>1</v>
      </c>
      <c r="F773" s="171" t="s">
        <v>770</v>
      </c>
      <c r="G773" s="168">
        <v>0</v>
      </c>
      <c r="H773" s="337">
        <f t="shared" si="58"/>
        <v>0</v>
      </c>
      <c r="I773" s="168">
        <f t="shared" si="59"/>
        <v>0</v>
      </c>
    </row>
    <row r="774" spans="1:10" ht="13.2">
      <c r="A774" s="170">
        <f t="shared" si="57"/>
        <v>773</v>
      </c>
      <c r="B774" s="171" t="s">
        <v>69</v>
      </c>
      <c r="C774" s="171" t="str">
        <f>VLOOKUP(B774,MEMBERS!B:C,2, )</f>
        <v>MR.TARIQUE ZUBAIR</v>
      </c>
      <c r="D774" s="318">
        <v>46005</v>
      </c>
      <c r="E774" s="178">
        <v>4</v>
      </c>
      <c r="F774" s="171" t="s">
        <v>439</v>
      </c>
      <c r="G774" s="168">
        <v>0</v>
      </c>
      <c r="H774" s="337">
        <f t="shared" si="58"/>
        <v>0</v>
      </c>
      <c r="I774" s="168">
        <f t="shared" si="59"/>
        <v>0</v>
      </c>
    </row>
    <row r="775" spans="1:10" ht="13.2">
      <c r="A775" s="170">
        <f t="shared" si="57"/>
        <v>774</v>
      </c>
      <c r="B775" s="171" t="s">
        <v>192</v>
      </c>
      <c r="C775" s="171" t="str">
        <f>VLOOKUP(B775,MEMBERS!B:C,2, )</f>
        <v>MR.HANIF AHSAN ZUBEDI</v>
      </c>
      <c r="D775" s="318">
        <v>46005</v>
      </c>
      <c r="E775" s="178">
        <v>8</v>
      </c>
      <c r="F775" s="171" t="s">
        <v>641</v>
      </c>
      <c r="G775" s="168">
        <f>IFERROR(VLOOKUP(F775,'menu list'!B:C,2,FALSE)*E775,"0")</f>
        <v>12400</v>
      </c>
      <c r="H775" s="337">
        <f t="shared" si="58"/>
        <v>1860</v>
      </c>
      <c r="I775" s="168">
        <f t="shared" si="59"/>
        <v>14260</v>
      </c>
    </row>
    <row r="776" spans="1:10" ht="13.2">
      <c r="A776" s="170">
        <f t="shared" si="57"/>
        <v>775</v>
      </c>
      <c r="B776" s="171" t="s">
        <v>192</v>
      </c>
      <c r="C776" s="171" t="str">
        <f>VLOOKUP(B776,MEMBERS!B:C,2, )</f>
        <v>MR.HANIF AHSAN ZUBEDI</v>
      </c>
      <c r="D776" s="318">
        <v>46005</v>
      </c>
      <c r="E776" s="178">
        <v>4</v>
      </c>
      <c r="F776" s="171" t="s">
        <v>659</v>
      </c>
      <c r="G776" s="168">
        <f>IFERROR(VLOOKUP(F776,'menu list'!B:C,2,FALSE)*E776,"0")</f>
        <v>3100</v>
      </c>
      <c r="H776" s="337">
        <f t="shared" si="58"/>
        <v>465</v>
      </c>
      <c r="I776" s="168">
        <f t="shared" si="59"/>
        <v>3565</v>
      </c>
    </row>
    <row r="777" spans="1:10" ht="13.2">
      <c r="A777" s="170">
        <f t="shared" si="57"/>
        <v>776</v>
      </c>
      <c r="B777" s="171" t="s">
        <v>192</v>
      </c>
      <c r="C777" s="171" t="str">
        <f>VLOOKUP(B777,MEMBERS!B:C,2, )</f>
        <v>MR.HANIF AHSAN ZUBEDI</v>
      </c>
      <c r="D777" s="318">
        <v>46005</v>
      </c>
      <c r="E777" s="178">
        <v>2</v>
      </c>
      <c r="F777" s="171" t="s">
        <v>582</v>
      </c>
      <c r="G777" s="168">
        <f>IFERROR(VLOOKUP(F777,'menu list'!B:C,2,FALSE)*E777,"0")</f>
        <v>600</v>
      </c>
      <c r="H777" s="337">
        <f t="shared" si="58"/>
        <v>90</v>
      </c>
      <c r="I777" s="168">
        <f t="shared" si="59"/>
        <v>690</v>
      </c>
    </row>
    <row r="778" spans="1:10" ht="13.2">
      <c r="A778" s="170">
        <f t="shared" si="57"/>
        <v>777</v>
      </c>
      <c r="B778" s="171" t="s">
        <v>192</v>
      </c>
      <c r="C778" s="171" t="str">
        <f>VLOOKUP(B778,MEMBERS!B:C,2, )</f>
        <v>MR.HANIF AHSAN ZUBEDI</v>
      </c>
      <c r="D778" s="318">
        <v>46005</v>
      </c>
      <c r="E778" s="178">
        <v>2</v>
      </c>
      <c r="F778" s="171" t="s">
        <v>440</v>
      </c>
      <c r="G778" s="168">
        <f>IFERROR(VLOOKUP(F778,'menu list'!B:C,2,FALSE)*E778,"0")</f>
        <v>300</v>
      </c>
      <c r="H778" s="337">
        <f t="shared" si="58"/>
        <v>45</v>
      </c>
      <c r="I778" s="168">
        <f t="shared" si="59"/>
        <v>345</v>
      </c>
    </row>
    <row r="779" spans="1:10" ht="13.2">
      <c r="A779" s="170">
        <f t="shared" si="57"/>
        <v>778</v>
      </c>
      <c r="B779" s="171" t="s">
        <v>88</v>
      </c>
      <c r="C779" s="171" t="str">
        <f>VLOOKUP(B779,MEMBERS!B:C,2, )</f>
        <v>DR.NAZEER HUSSAIN KALHORO</v>
      </c>
      <c r="D779" s="318">
        <v>46005</v>
      </c>
      <c r="E779" s="178">
        <v>5</v>
      </c>
      <c r="F779" s="171" t="s">
        <v>1017</v>
      </c>
      <c r="G779" s="168">
        <f>IFERROR(VLOOKUP(F779,'menu list'!B:C,2,FALSE)*E779,"0")</f>
        <v>9250</v>
      </c>
      <c r="H779" s="337">
        <f t="shared" si="58"/>
        <v>1387.5</v>
      </c>
      <c r="I779" s="168">
        <f t="shared" si="59"/>
        <v>10637.5</v>
      </c>
    </row>
    <row r="780" spans="1:10" ht="13.2">
      <c r="A780" s="170">
        <f t="shared" si="57"/>
        <v>779</v>
      </c>
      <c r="B780" s="171" t="s">
        <v>88</v>
      </c>
      <c r="C780" s="171" t="str">
        <f>VLOOKUP(B780,MEMBERS!B:C,2, )</f>
        <v>DR.NAZEER HUSSAIN KALHORO</v>
      </c>
      <c r="D780" s="318">
        <v>46005</v>
      </c>
      <c r="E780" s="178">
        <v>2</v>
      </c>
      <c r="F780" s="171" t="s">
        <v>1018</v>
      </c>
      <c r="G780" s="168">
        <f>IFERROR(VLOOKUP(F780,'menu list'!B:C,2,FALSE)*E780,"0")</f>
        <v>1850</v>
      </c>
      <c r="H780" s="337">
        <f t="shared" si="58"/>
        <v>277.5</v>
      </c>
      <c r="I780" s="168">
        <f t="shared" si="59"/>
        <v>2127.5</v>
      </c>
    </row>
    <row r="781" spans="1:10" ht="13.2">
      <c r="A781" s="170">
        <f t="shared" si="57"/>
        <v>780</v>
      </c>
      <c r="B781" s="171" t="s">
        <v>88</v>
      </c>
      <c r="C781" s="171" t="str">
        <f>VLOOKUP(B781,MEMBERS!B:C,2, )</f>
        <v>DR.NAZEER HUSSAIN KALHORO</v>
      </c>
      <c r="D781" s="318">
        <v>46005</v>
      </c>
      <c r="E781" s="178">
        <v>1</v>
      </c>
      <c r="F781" s="171" t="s">
        <v>499</v>
      </c>
      <c r="G781" s="168">
        <f>IFERROR(VLOOKUP(F781,'menu list'!B:C,2,FALSE)*E781,"0")</f>
        <v>100</v>
      </c>
      <c r="H781" s="337">
        <f t="shared" si="58"/>
        <v>15</v>
      </c>
      <c r="I781" s="168">
        <f t="shared" si="59"/>
        <v>115</v>
      </c>
    </row>
    <row r="782" spans="1:10" ht="13.2">
      <c r="A782" s="170">
        <f t="shared" si="57"/>
        <v>781</v>
      </c>
      <c r="B782" s="171" t="s">
        <v>88</v>
      </c>
      <c r="C782" s="171" t="str">
        <f>VLOOKUP(B782,MEMBERS!B:C,2, )</f>
        <v>DR.NAZEER HUSSAIN KALHORO</v>
      </c>
      <c r="D782" s="318">
        <v>46005</v>
      </c>
      <c r="E782" s="178">
        <v>1</v>
      </c>
      <c r="F782" s="171" t="s">
        <v>440</v>
      </c>
      <c r="G782" s="168">
        <f>IFERROR(VLOOKUP(F782,'menu list'!B:C,2,FALSE)*E782,"0")</f>
        <v>150</v>
      </c>
      <c r="H782" s="337">
        <f t="shared" si="58"/>
        <v>22.5</v>
      </c>
      <c r="I782" s="168">
        <f t="shared" si="59"/>
        <v>172.5</v>
      </c>
    </row>
    <row r="783" spans="1:10" ht="13.2">
      <c r="A783" s="170">
        <f t="shared" si="57"/>
        <v>782</v>
      </c>
      <c r="B783" s="171" t="s">
        <v>308</v>
      </c>
      <c r="C783" s="171" t="str">
        <f>VLOOKUP(B783,MEMBERS!B:C,2, )</f>
        <v>DGM AZFAR ALI</v>
      </c>
      <c r="D783" s="318">
        <v>46005</v>
      </c>
      <c r="E783" s="178">
        <v>6</v>
      </c>
      <c r="F783" s="171" t="s">
        <v>641</v>
      </c>
      <c r="G783" s="168">
        <f>IFERROR(VLOOKUP(F783,'menu list'!B:C,2,FALSE)*E783,"0")</f>
        <v>9300</v>
      </c>
      <c r="H783" s="337">
        <f t="shared" si="58"/>
        <v>1395</v>
      </c>
      <c r="I783" s="168">
        <f t="shared" si="59"/>
        <v>10695</v>
      </c>
    </row>
    <row r="784" spans="1:10" ht="13.2">
      <c r="A784" s="170">
        <f t="shared" si="57"/>
        <v>783</v>
      </c>
      <c r="B784" s="171" t="s">
        <v>308</v>
      </c>
      <c r="C784" s="171" t="str">
        <f>VLOOKUP(B784,MEMBERS!B:C,2, )</f>
        <v>DGM AZFAR ALI</v>
      </c>
      <c r="D784" s="318">
        <v>46005</v>
      </c>
      <c r="E784" s="178">
        <v>2</v>
      </c>
      <c r="F784" s="171" t="s">
        <v>582</v>
      </c>
      <c r="G784" s="168">
        <f>IFERROR(VLOOKUP(F784,'menu list'!B:C,2,FALSE)*E784,"0")</f>
        <v>600</v>
      </c>
      <c r="H784" s="337">
        <f t="shared" si="58"/>
        <v>90</v>
      </c>
      <c r="I784" s="168">
        <f t="shared" si="59"/>
        <v>690</v>
      </c>
    </row>
    <row r="785" spans="1:9" ht="13.2">
      <c r="A785" s="170">
        <f t="shared" si="57"/>
        <v>784</v>
      </c>
      <c r="B785" s="171" t="s">
        <v>308</v>
      </c>
      <c r="C785" s="171" t="str">
        <f>VLOOKUP(B785,MEMBERS!B:C,2, )</f>
        <v>DGM AZFAR ALI</v>
      </c>
      <c r="D785" s="318">
        <v>46005</v>
      </c>
      <c r="E785" s="178">
        <v>3</v>
      </c>
      <c r="F785" s="171" t="s">
        <v>440</v>
      </c>
      <c r="G785" s="168">
        <f>IFERROR(VLOOKUP(F785,'menu list'!B:C,2,FALSE)*E785,"0")</f>
        <v>450</v>
      </c>
      <c r="H785" s="337">
        <f t="shared" si="58"/>
        <v>67.5</v>
      </c>
      <c r="I785" s="168">
        <f t="shared" si="59"/>
        <v>517.5</v>
      </c>
    </row>
    <row r="786" spans="1:9" ht="13.2">
      <c r="A786" s="170">
        <f t="shared" si="57"/>
        <v>785</v>
      </c>
      <c r="B786" s="171" t="s">
        <v>308</v>
      </c>
      <c r="C786" s="171" t="str">
        <f>VLOOKUP(B786,MEMBERS!B:C,2, )</f>
        <v>DGM AZFAR ALI</v>
      </c>
      <c r="D786" s="318">
        <v>46005</v>
      </c>
      <c r="E786" s="178">
        <v>1</v>
      </c>
      <c r="F786" s="171" t="s">
        <v>836</v>
      </c>
      <c r="G786" s="168">
        <f>IFERROR(VLOOKUP(F786,'menu list'!B:C,2,FALSE)*E786,"0")</f>
        <v>350</v>
      </c>
      <c r="H786" s="337">
        <f t="shared" si="58"/>
        <v>52.5</v>
      </c>
      <c r="I786" s="168">
        <f t="shared" si="59"/>
        <v>402.5</v>
      </c>
    </row>
    <row r="787" spans="1:9" ht="13.2">
      <c r="A787" s="170">
        <f t="shared" si="57"/>
        <v>786</v>
      </c>
      <c r="B787" s="171" t="s">
        <v>308</v>
      </c>
      <c r="C787" s="171" t="str">
        <f>VLOOKUP(B787,MEMBERS!B:C,2, )</f>
        <v>DGM AZFAR ALI</v>
      </c>
      <c r="D787" s="318">
        <v>46005</v>
      </c>
      <c r="E787" s="178">
        <v>3</v>
      </c>
      <c r="F787" s="171" t="s">
        <v>659</v>
      </c>
      <c r="G787" s="168">
        <f>IFERROR(VLOOKUP(F787,'menu list'!B:C,2,FALSE)*E787,"0")</f>
        <v>2325</v>
      </c>
      <c r="H787" s="337">
        <f t="shared" si="58"/>
        <v>348.75</v>
      </c>
      <c r="I787" s="168">
        <f t="shared" si="59"/>
        <v>2673.75</v>
      </c>
    </row>
    <row r="788" spans="1:9" ht="13.2">
      <c r="A788" s="170">
        <f t="shared" si="57"/>
        <v>787</v>
      </c>
      <c r="B788" s="171" t="s">
        <v>258</v>
      </c>
      <c r="C788" s="171" t="str">
        <f>VLOOKUP(B788,MEMBERS!B:C,2, )</f>
        <v>BRIG DR. GHULAM MEHDI (Retd)</v>
      </c>
      <c r="D788" s="318">
        <v>46005</v>
      </c>
      <c r="E788" s="178">
        <v>3</v>
      </c>
      <c r="F788" s="171" t="s">
        <v>641</v>
      </c>
      <c r="G788" s="168">
        <f>IFERROR(VLOOKUP(F788,'menu list'!B:C,2,FALSE)*E788,"0")</f>
        <v>4650</v>
      </c>
      <c r="H788" s="337">
        <f t="shared" si="58"/>
        <v>697.5</v>
      </c>
      <c r="I788" s="168">
        <f t="shared" si="59"/>
        <v>5347.5</v>
      </c>
    </row>
    <row r="789" spans="1:9" ht="13.2">
      <c r="A789" s="170">
        <f t="shared" si="57"/>
        <v>788</v>
      </c>
      <c r="B789" s="171" t="s">
        <v>258</v>
      </c>
      <c r="C789" s="171" t="str">
        <f>VLOOKUP(B789,MEMBERS!B:C,2, )</f>
        <v>BRIG DR. GHULAM MEHDI (Retd)</v>
      </c>
      <c r="D789" s="318">
        <v>46005</v>
      </c>
      <c r="E789" s="178">
        <v>2</v>
      </c>
      <c r="F789" s="171" t="s">
        <v>582</v>
      </c>
      <c r="G789" s="168">
        <f>IFERROR(VLOOKUP(F789,'menu list'!B:C,2,FALSE)*E789,"0")</f>
        <v>600</v>
      </c>
      <c r="H789" s="337">
        <f t="shared" si="58"/>
        <v>90</v>
      </c>
      <c r="I789" s="168">
        <f t="shared" si="59"/>
        <v>690</v>
      </c>
    </row>
    <row r="790" spans="1:9" ht="13.2">
      <c r="A790" s="170">
        <f t="shared" si="57"/>
        <v>789</v>
      </c>
      <c r="B790" s="171" t="s">
        <v>258</v>
      </c>
      <c r="C790" s="171" t="str">
        <f>VLOOKUP(B790,MEMBERS!B:C,2, )</f>
        <v>BRIG DR. GHULAM MEHDI (Retd)</v>
      </c>
      <c r="D790" s="318">
        <v>46005</v>
      </c>
      <c r="E790" s="178">
        <v>1</v>
      </c>
      <c r="F790" s="171" t="s">
        <v>440</v>
      </c>
      <c r="G790" s="168">
        <f>IFERROR(VLOOKUP(F790,'menu list'!B:C,2,FALSE)*E790,"0")</f>
        <v>150</v>
      </c>
      <c r="H790" s="337">
        <f t="shared" si="58"/>
        <v>22.5</v>
      </c>
      <c r="I790" s="168">
        <f t="shared" si="59"/>
        <v>172.5</v>
      </c>
    </row>
    <row r="791" spans="1:9" ht="13.2">
      <c r="A791" s="170">
        <f t="shared" si="57"/>
        <v>790</v>
      </c>
      <c r="B791" s="171" t="s">
        <v>263</v>
      </c>
      <c r="C791" s="171" t="str">
        <f>VLOOKUP(B791,MEMBERS!B:C,2, )</f>
        <v>MR.CAREL HEDRIK BURGER</v>
      </c>
      <c r="D791" s="318">
        <v>46005</v>
      </c>
      <c r="E791" s="178">
        <v>8</v>
      </c>
      <c r="F791" s="171" t="s">
        <v>1017</v>
      </c>
      <c r="G791" s="168">
        <f>IFERROR(VLOOKUP(F791,'menu list'!B:C,2,FALSE)*E791,"0")</f>
        <v>14800</v>
      </c>
      <c r="H791" s="337">
        <f t="shared" si="58"/>
        <v>2220</v>
      </c>
      <c r="I791" s="168">
        <f t="shared" si="59"/>
        <v>17020</v>
      </c>
    </row>
    <row r="792" spans="1:9" ht="13.2">
      <c r="A792" s="170">
        <f t="shared" si="57"/>
        <v>791</v>
      </c>
      <c r="B792" s="171" t="s">
        <v>263</v>
      </c>
      <c r="C792" s="171" t="str">
        <f>VLOOKUP(B792,MEMBERS!B:C,2, )</f>
        <v>MR.CAREL HEDRIK BURGER</v>
      </c>
      <c r="D792" s="318">
        <v>46005</v>
      </c>
      <c r="E792" s="178">
        <v>4</v>
      </c>
      <c r="F792" s="171" t="s">
        <v>582</v>
      </c>
      <c r="G792" s="168">
        <f>IFERROR(VLOOKUP(F792,'menu list'!B:C,2,FALSE)*E792,"0")</f>
        <v>1200</v>
      </c>
      <c r="H792" s="337">
        <f t="shared" si="58"/>
        <v>180</v>
      </c>
      <c r="I792" s="168">
        <f t="shared" si="59"/>
        <v>1380</v>
      </c>
    </row>
    <row r="793" spans="1:9" ht="13.2">
      <c r="A793" s="170">
        <f t="shared" si="57"/>
        <v>792</v>
      </c>
      <c r="B793" s="171" t="s">
        <v>263</v>
      </c>
      <c r="C793" s="171" t="str">
        <f>VLOOKUP(B793,MEMBERS!B:C,2, )</f>
        <v>MR.CAREL HEDRIK BURGER</v>
      </c>
      <c r="D793" s="318">
        <v>46005</v>
      </c>
      <c r="E793" s="178">
        <v>1</v>
      </c>
      <c r="F793" s="171" t="s">
        <v>836</v>
      </c>
      <c r="G793" s="168">
        <f>IFERROR(VLOOKUP(F793,'menu list'!B:C,2,FALSE)*E793,"0")</f>
        <v>350</v>
      </c>
      <c r="H793" s="337">
        <f t="shared" si="58"/>
        <v>52.5</v>
      </c>
      <c r="I793" s="168">
        <f t="shared" si="59"/>
        <v>402.5</v>
      </c>
    </row>
    <row r="794" spans="1:9" ht="13.2">
      <c r="A794" s="170">
        <f t="shared" si="57"/>
        <v>793</v>
      </c>
      <c r="B794" s="171" t="s">
        <v>263</v>
      </c>
      <c r="C794" s="171" t="str">
        <f>VLOOKUP(B794,MEMBERS!B:C,2, )</f>
        <v>MR.CAREL HEDRIK BURGER</v>
      </c>
      <c r="D794" s="318">
        <v>46005</v>
      </c>
      <c r="E794" s="178">
        <v>2</v>
      </c>
      <c r="F794" s="171" t="s">
        <v>440</v>
      </c>
      <c r="G794" s="168">
        <f>IFERROR(VLOOKUP(F794,'menu list'!B:C,2,FALSE)*E794,"0")</f>
        <v>300</v>
      </c>
      <c r="H794" s="337">
        <f t="shared" si="58"/>
        <v>45</v>
      </c>
      <c r="I794" s="168">
        <f t="shared" si="59"/>
        <v>345</v>
      </c>
    </row>
    <row r="795" spans="1:9" ht="13.2">
      <c r="A795" s="170">
        <f t="shared" si="57"/>
        <v>794</v>
      </c>
      <c r="B795" s="171" t="s">
        <v>263</v>
      </c>
      <c r="C795" s="171" t="str">
        <f>VLOOKUP(B795,MEMBERS!B:C,2, )</f>
        <v>MR.CAREL HEDRIK BURGER</v>
      </c>
      <c r="D795" s="318">
        <v>46005</v>
      </c>
      <c r="E795" s="178">
        <v>5</v>
      </c>
      <c r="F795" s="171" t="s">
        <v>442</v>
      </c>
      <c r="G795" s="168">
        <f>IFERROR(VLOOKUP(F795,'menu list'!B:C,2,FALSE)*E795,"0")</f>
        <v>750</v>
      </c>
      <c r="H795" s="337">
        <f t="shared" si="58"/>
        <v>112.5</v>
      </c>
      <c r="I795" s="168">
        <f t="shared" si="59"/>
        <v>862.5</v>
      </c>
    </row>
    <row r="796" spans="1:9" ht="13.2">
      <c r="A796" s="170">
        <f t="shared" si="57"/>
        <v>795</v>
      </c>
      <c r="B796" s="171" t="s">
        <v>315</v>
      </c>
      <c r="C796" s="171" t="str">
        <f>VLOOKUP(B796,MEMBERS!B:C,2, )</f>
        <v>DGM FATIMA ZAHID</v>
      </c>
      <c r="D796" s="318">
        <v>46005</v>
      </c>
      <c r="E796" s="178">
        <v>4</v>
      </c>
      <c r="F796" s="171" t="s">
        <v>1017</v>
      </c>
      <c r="G796" s="168">
        <f>IFERROR(VLOOKUP(F796,'menu list'!B:C,2,FALSE)*E796,"0")</f>
        <v>7400</v>
      </c>
      <c r="H796" s="337">
        <f t="shared" si="58"/>
        <v>1110</v>
      </c>
      <c r="I796" s="168">
        <f t="shared" si="59"/>
        <v>8510</v>
      </c>
    </row>
    <row r="797" spans="1:9" ht="13.2">
      <c r="A797" s="170">
        <f t="shared" si="57"/>
        <v>796</v>
      </c>
      <c r="B797" s="171" t="s">
        <v>315</v>
      </c>
      <c r="C797" s="171" t="str">
        <f>VLOOKUP(B797,MEMBERS!B:C,2, )</f>
        <v>DGM FATIMA ZAHID</v>
      </c>
      <c r="D797" s="318">
        <v>46005</v>
      </c>
      <c r="E797" s="178">
        <v>2</v>
      </c>
      <c r="F797" s="171" t="s">
        <v>1018</v>
      </c>
      <c r="G797" s="168">
        <f>IFERROR(VLOOKUP(F797,'menu list'!B:C,2,FALSE)*E797,"0")</f>
        <v>1850</v>
      </c>
      <c r="H797" s="337">
        <f t="shared" si="58"/>
        <v>277.5</v>
      </c>
      <c r="I797" s="168">
        <f t="shared" si="59"/>
        <v>2127.5</v>
      </c>
    </row>
    <row r="798" spans="1:9" ht="13.2">
      <c r="A798" s="170">
        <f t="shared" si="57"/>
        <v>797</v>
      </c>
      <c r="B798" s="171" t="s">
        <v>315</v>
      </c>
      <c r="C798" s="171" t="str">
        <f>VLOOKUP(B798,MEMBERS!B:C,2, )</f>
        <v>DGM FATIMA ZAHID</v>
      </c>
      <c r="D798" s="318">
        <v>46005</v>
      </c>
      <c r="E798" s="178">
        <v>3</v>
      </c>
      <c r="F798" s="171" t="s">
        <v>836</v>
      </c>
      <c r="G798" s="168">
        <f>IFERROR(VLOOKUP(F798,'menu list'!B:C,2,FALSE)*E798,"0")</f>
        <v>1050</v>
      </c>
      <c r="H798" s="337">
        <f t="shared" si="58"/>
        <v>157.5</v>
      </c>
      <c r="I798" s="168">
        <f t="shared" si="59"/>
        <v>1207.5</v>
      </c>
    </row>
    <row r="799" spans="1:9" ht="13.2">
      <c r="A799" s="170">
        <f t="shared" si="57"/>
        <v>798</v>
      </c>
      <c r="B799" s="171" t="s">
        <v>315</v>
      </c>
      <c r="C799" s="171" t="str">
        <f>VLOOKUP(B799,MEMBERS!B:C,2, )</f>
        <v>DGM FATIMA ZAHID</v>
      </c>
      <c r="D799" s="318">
        <v>46005</v>
      </c>
      <c r="E799" s="178">
        <v>1</v>
      </c>
      <c r="F799" s="171" t="s">
        <v>440</v>
      </c>
      <c r="G799" s="168">
        <f>IFERROR(VLOOKUP(F799,'menu list'!B:C,2,FALSE)*E799,"0")</f>
        <v>150</v>
      </c>
      <c r="H799" s="337">
        <f t="shared" si="58"/>
        <v>22.5</v>
      </c>
      <c r="I799" s="168">
        <f t="shared" si="59"/>
        <v>172.5</v>
      </c>
    </row>
    <row r="800" spans="1:9" ht="13.2">
      <c r="A800" s="170">
        <f t="shared" si="57"/>
        <v>799</v>
      </c>
      <c r="B800" s="171" t="s">
        <v>650</v>
      </c>
      <c r="C800" s="171" t="str">
        <f>VLOOKUP(B800,MEMBERS!B:C,2, )</f>
        <v>SHAHBAZ AHMED</v>
      </c>
      <c r="D800" s="318">
        <v>46005</v>
      </c>
      <c r="E800" s="178">
        <v>2</v>
      </c>
      <c r="F800" s="171" t="s">
        <v>1017</v>
      </c>
      <c r="G800" s="168">
        <f>IFERROR(VLOOKUP(F800,'menu list'!B:C,2,FALSE)*E800,"0")</f>
        <v>3700</v>
      </c>
      <c r="H800" s="337">
        <f t="shared" si="58"/>
        <v>555</v>
      </c>
      <c r="I800" s="168">
        <f t="shared" si="59"/>
        <v>4255</v>
      </c>
    </row>
    <row r="801" spans="1:9" ht="13.2">
      <c r="A801" s="170">
        <f t="shared" si="57"/>
        <v>800</v>
      </c>
      <c r="B801" s="171" t="s">
        <v>650</v>
      </c>
      <c r="C801" s="171" t="str">
        <f>VLOOKUP(B801,MEMBERS!B:C,2, )</f>
        <v>SHAHBAZ AHMED</v>
      </c>
      <c r="D801" s="318">
        <v>46005</v>
      </c>
      <c r="E801" s="178">
        <v>1</v>
      </c>
      <c r="F801" s="171" t="s">
        <v>440</v>
      </c>
      <c r="G801" s="168">
        <f>IFERROR(VLOOKUP(F801,'menu list'!B:C,2,FALSE)*E801,"0")</f>
        <v>150</v>
      </c>
      <c r="H801" s="337">
        <f t="shared" si="58"/>
        <v>22.5</v>
      </c>
      <c r="I801" s="168">
        <f t="shared" si="59"/>
        <v>172.5</v>
      </c>
    </row>
    <row r="802" spans="1:9" ht="13.2">
      <c r="A802" s="170">
        <f t="shared" si="57"/>
        <v>801</v>
      </c>
      <c r="B802" s="171" t="s">
        <v>235</v>
      </c>
      <c r="C802" s="171" t="str">
        <f>VLOOKUP(B802,MEMBERS!B:C,2, )</f>
        <v>MR.IMRAN WAZEER</v>
      </c>
      <c r="D802" s="318">
        <v>46005</v>
      </c>
      <c r="E802" s="178">
        <v>3</v>
      </c>
      <c r="F802" s="171" t="s">
        <v>641</v>
      </c>
      <c r="G802" s="168">
        <f>IFERROR(VLOOKUP(F802,'menu list'!B:C,2,FALSE)*E802,"0")</f>
        <v>4650</v>
      </c>
      <c r="H802" s="337">
        <f t="shared" si="58"/>
        <v>697.5</v>
      </c>
      <c r="I802" s="168">
        <f t="shared" si="59"/>
        <v>5347.5</v>
      </c>
    </row>
    <row r="803" spans="1:9" ht="13.2">
      <c r="A803" s="170">
        <f t="shared" si="57"/>
        <v>802</v>
      </c>
      <c r="B803" s="171" t="s">
        <v>235</v>
      </c>
      <c r="C803" s="171" t="str">
        <f>VLOOKUP(B803,MEMBERS!B:C,2, )</f>
        <v>MR.IMRAN WAZEER</v>
      </c>
      <c r="D803" s="318">
        <v>46005</v>
      </c>
      <c r="E803" s="178">
        <v>1</v>
      </c>
      <c r="F803" s="171" t="s">
        <v>440</v>
      </c>
      <c r="G803" s="168">
        <f>IFERROR(VLOOKUP(F803,'menu list'!B:C,2,FALSE)*E803,"0")</f>
        <v>150</v>
      </c>
      <c r="H803" s="337">
        <f t="shared" si="58"/>
        <v>22.5</v>
      </c>
      <c r="I803" s="168">
        <f t="shared" si="59"/>
        <v>172.5</v>
      </c>
    </row>
    <row r="804" spans="1:9" ht="13.2">
      <c r="A804" s="170">
        <f t="shared" si="57"/>
        <v>803</v>
      </c>
      <c r="B804" s="171" t="s">
        <v>235</v>
      </c>
      <c r="C804" s="171" t="str">
        <f>VLOOKUP(B804,MEMBERS!B:C,2, )</f>
        <v>MR.IMRAN WAZEER</v>
      </c>
      <c r="D804" s="318">
        <v>46005</v>
      </c>
      <c r="E804" s="178">
        <v>2</v>
      </c>
      <c r="F804" s="171" t="s">
        <v>582</v>
      </c>
      <c r="G804" s="168">
        <f>IFERROR(VLOOKUP(F804,'menu list'!B:C,2,FALSE)*E804,"0")</f>
        <v>600</v>
      </c>
      <c r="H804" s="337">
        <f t="shared" si="58"/>
        <v>90</v>
      </c>
      <c r="I804" s="168">
        <f t="shared" si="59"/>
        <v>690</v>
      </c>
    </row>
    <row r="805" spans="1:9" ht="13.2">
      <c r="A805" s="170">
        <f t="shared" si="57"/>
        <v>804</v>
      </c>
      <c r="B805" s="171" t="s">
        <v>1004</v>
      </c>
      <c r="C805" s="171" t="str">
        <f>VLOOKUP(B805,MEMBERS!B:C,2, )</f>
        <v>MRS RIFFAT ZULFIQAR</v>
      </c>
      <c r="D805" s="318">
        <v>46005</v>
      </c>
      <c r="E805" s="178">
        <v>11</v>
      </c>
      <c r="F805" s="171" t="s">
        <v>641</v>
      </c>
      <c r="G805" s="168">
        <f>IFERROR(VLOOKUP(F805,'menu list'!B:C,2,FALSE)*E805,"0")</f>
        <v>17050</v>
      </c>
      <c r="H805" s="337">
        <f t="shared" si="58"/>
        <v>2557.5</v>
      </c>
      <c r="I805" s="168">
        <f t="shared" si="59"/>
        <v>19607.5</v>
      </c>
    </row>
    <row r="806" spans="1:9" ht="13.2">
      <c r="A806" s="170">
        <f t="shared" si="57"/>
        <v>805</v>
      </c>
      <c r="B806" s="171" t="s">
        <v>1004</v>
      </c>
      <c r="C806" s="171" t="str">
        <f>VLOOKUP(B806,MEMBERS!B:C,2, )</f>
        <v>MRS RIFFAT ZULFIQAR</v>
      </c>
      <c r="D806" s="318">
        <v>46005</v>
      </c>
      <c r="E806" s="178">
        <v>2</v>
      </c>
      <c r="F806" s="171" t="s">
        <v>659</v>
      </c>
      <c r="G806" s="168">
        <f>IFERROR(VLOOKUP(F806,'menu list'!B:C,2,FALSE)*E806,"0")</f>
        <v>1550</v>
      </c>
      <c r="H806" s="337">
        <f t="shared" si="58"/>
        <v>232.5</v>
      </c>
      <c r="I806" s="168">
        <f t="shared" si="59"/>
        <v>1782.5</v>
      </c>
    </row>
    <row r="807" spans="1:9" ht="13.2">
      <c r="A807" s="170">
        <f t="shared" si="57"/>
        <v>806</v>
      </c>
      <c r="B807" s="171" t="s">
        <v>1004</v>
      </c>
      <c r="C807" s="171" t="str">
        <f>VLOOKUP(B807,MEMBERS!B:C,2, )</f>
        <v>MRS RIFFAT ZULFIQAR</v>
      </c>
      <c r="D807" s="318">
        <v>46005</v>
      </c>
      <c r="E807" s="178">
        <v>2</v>
      </c>
      <c r="F807" s="171" t="s">
        <v>836</v>
      </c>
      <c r="G807" s="168">
        <f>IFERROR(VLOOKUP(F807,'menu list'!B:C,2,FALSE)*E807,"0")</f>
        <v>700</v>
      </c>
      <c r="H807" s="337">
        <f t="shared" si="58"/>
        <v>105</v>
      </c>
      <c r="I807" s="168">
        <f t="shared" si="59"/>
        <v>805</v>
      </c>
    </row>
    <row r="808" spans="1:9" ht="13.2">
      <c r="A808" s="170">
        <f t="shared" si="57"/>
        <v>807</v>
      </c>
      <c r="B808" s="171" t="s">
        <v>1004</v>
      </c>
      <c r="C808" s="171" t="str">
        <f>VLOOKUP(B808,MEMBERS!B:C,2, )</f>
        <v>MRS RIFFAT ZULFIQAR</v>
      </c>
      <c r="D808" s="318">
        <v>46005</v>
      </c>
      <c r="E808" s="178">
        <v>3</v>
      </c>
      <c r="F808" s="171" t="s">
        <v>440</v>
      </c>
      <c r="G808" s="168">
        <f>IFERROR(VLOOKUP(F808,'menu list'!B:C,2,FALSE)*E808,"0")</f>
        <v>450</v>
      </c>
      <c r="H808" s="337">
        <f t="shared" si="58"/>
        <v>67.5</v>
      </c>
      <c r="I808" s="168">
        <f t="shared" si="59"/>
        <v>517.5</v>
      </c>
    </row>
    <row r="809" spans="1:9" ht="13.2">
      <c r="A809" s="170">
        <f t="shared" si="57"/>
        <v>808</v>
      </c>
      <c r="B809" s="171" t="s">
        <v>1004</v>
      </c>
      <c r="C809" s="171" t="str">
        <f>VLOOKUP(B809,MEMBERS!B:C,2, )</f>
        <v>MRS RIFFAT ZULFIQAR</v>
      </c>
      <c r="D809" s="318">
        <v>46005</v>
      </c>
      <c r="E809" s="178">
        <v>2</v>
      </c>
      <c r="F809" s="171" t="s">
        <v>582</v>
      </c>
      <c r="G809" s="168">
        <f>IFERROR(VLOOKUP(F809,'menu list'!B:C,2,FALSE)*E809,"0")</f>
        <v>600</v>
      </c>
      <c r="H809" s="337">
        <f t="shared" si="58"/>
        <v>90</v>
      </c>
      <c r="I809" s="168">
        <f t="shared" si="59"/>
        <v>690</v>
      </c>
    </row>
    <row r="810" spans="1:9" ht="13.2">
      <c r="A810" s="170">
        <f t="shared" si="57"/>
        <v>809</v>
      </c>
      <c r="B810" s="171" t="s">
        <v>1004</v>
      </c>
      <c r="C810" s="171" t="str">
        <f>VLOOKUP(B810,MEMBERS!B:C,2, )</f>
        <v>MRS RIFFAT ZULFIQAR</v>
      </c>
      <c r="D810" s="318">
        <v>46005</v>
      </c>
      <c r="E810" s="178">
        <v>4</v>
      </c>
      <c r="F810" s="171" t="s">
        <v>442</v>
      </c>
      <c r="G810" s="168">
        <f>IFERROR(VLOOKUP(F810,'menu list'!B:C,2,FALSE)*E810,"0")</f>
        <v>600</v>
      </c>
      <c r="H810" s="337">
        <f t="shared" si="58"/>
        <v>90</v>
      </c>
      <c r="I810" s="168">
        <f t="shared" si="59"/>
        <v>690</v>
      </c>
    </row>
    <row r="811" spans="1:9" ht="13.2">
      <c r="A811" s="170">
        <f t="shared" si="57"/>
        <v>810</v>
      </c>
      <c r="B811" s="171" t="s">
        <v>287</v>
      </c>
      <c r="C811" s="171" t="str">
        <f>VLOOKUP(B811,MEMBERS!B:C,2, )</f>
        <v>DGM.REHAN TARIQ</v>
      </c>
      <c r="D811" s="318">
        <v>46005</v>
      </c>
      <c r="E811" s="178">
        <v>2</v>
      </c>
      <c r="F811" s="171" t="s">
        <v>641</v>
      </c>
      <c r="G811" s="168">
        <f>IFERROR(VLOOKUP(F811,'menu list'!B:C,2,FALSE)*E811,"0")</f>
        <v>3100</v>
      </c>
      <c r="H811" s="337">
        <f t="shared" si="58"/>
        <v>465</v>
      </c>
      <c r="I811" s="168">
        <f t="shared" si="59"/>
        <v>3565</v>
      </c>
    </row>
    <row r="812" spans="1:9" ht="13.2">
      <c r="A812" s="170">
        <f t="shared" si="57"/>
        <v>811</v>
      </c>
      <c r="B812" s="171" t="s">
        <v>287</v>
      </c>
      <c r="C812" s="171" t="str">
        <f>VLOOKUP(B812,MEMBERS!B:C,2, )</f>
        <v>DGM.REHAN TARIQ</v>
      </c>
      <c r="D812" s="318">
        <v>46005</v>
      </c>
      <c r="E812" s="178">
        <v>1</v>
      </c>
      <c r="F812" s="171" t="s">
        <v>440</v>
      </c>
      <c r="G812" s="168">
        <f>IFERROR(VLOOKUP(F812,'menu list'!B:C,2,FALSE)*E812,"0")</f>
        <v>150</v>
      </c>
      <c r="H812" s="337">
        <f t="shared" si="58"/>
        <v>22.5</v>
      </c>
      <c r="I812" s="168">
        <f t="shared" si="59"/>
        <v>172.5</v>
      </c>
    </row>
    <row r="813" spans="1:9" ht="13.2">
      <c r="A813" s="170">
        <f t="shared" si="57"/>
        <v>812</v>
      </c>
      <c r="B813" s="171" t="s">
        <v>263</v>
      </c>
      <c r="C813" s="171" t="str">
        <f>VLOOKUP(B813,MEMBERS!B:C,2, )</f>
        <v>MR.CAREL HEDRIK BURGER</v>
      </c>
      <c r="D813" s="318">
        <v>46006</v>
      </c>
      <c r="E813" s="178">
        <v>2</v>
      </c>
      <c r="F813" s="171" t="s">
        <v>802</v>
      </c>
      <c r="G813" s="168">
        <f>IFERROR(VLOOKUP(F813,'menu list'!B:C,2,FALSE)*E813,"0")</f>
        <v>1000</v>
      </c>
      <c r="H813" s="337">
        <f t="shared" si="58"/>
        <v>150</v>
      </c>
      <c r="I813" s="168">
        <f t="shared" si="59"/>
        <v>1150</v>
      </c>
    </row>
    <row r="814" spans="1:9" ht="13.2">
      <c r="A814" s="170">
        <f t="shared" ref="A814:A815" si="60">IF(D814&lt;&gt;"", ROW()-1, "")</f>
        <v>813</v>
      </c>
      <c r="B814" s="171" t="s">
        <v>263</v>
      </c>
      <c r="C814" s="171" t="str">
        <f>VLOOKUP(B814,MEMBERS!B:C,2, )</f>
        <v>MR.CAREL HEDRIK BURGER</v>
      </c>
      <c r="D814" s="318">
        <v>46006</v>
      </c>
      <c r="E814" s="178">
        <v>3</v>
      </c>
      <c r="F814" s="171" t="s">
        <v>442</v>
      </c>
      <c r="G814" s="168">
        <f>IFERROR(VLOOKUP(F814,'menu list'!B:C,2,FALSE)*E814,"0")</f>
        <v>450</v>
      </c>
      <c r="H814" s="337">
        <f t="shared" si="58"/>
        <v>67.5</v>
      </c>
      <c r="I814" s="168">
        <f t="shared" si="59"/>
        <v>517.5</v>
      </c>
    </row>
    <row r="815" spans="1:9" ht="13.2">
      <c r="A815" s="170">
        <f t="shared" si="60"/>
        <v>814</v>
      </c>
      <c r="B815" s="171" t="s">
        <v>164</v>
      </c>
      <c r="C815" s="171" t="str">
        <f>VLOOKUP(B815,MEMBERS!B:C,2, )</f>
        <v>MR.ASHOK KUMAR</v>
      </c>
      <c r="D815" s="318">
        <v>46006</v>
      </c>
      <c r="E815" s="178">
        <v>1</v>
      </c>
      <c r="F815" s="171" t="s">
        <v>440</v>
      </c>
      <c r="G815" s="168">
        <f>IFERROR(VLOOKUP(F815,'menu list'!B:C,2,FALSE)*E815,"0")</f>
        <v>150</v>
      </c>
      <c r="H815" s="337">
        <f t="shared" si="58"/>
        <v>22.5</v>
      </c>
      <c r="I815" s="168">
        <f t="shared" si="59"/>
        <v>172.5</v>
      </c>
    </row>
    <row r="816" spans="1:9" ht="13.2">
      <c r="A816" s="170">
        <f t="shared" ref="A816:A824" si="61">IF(D816&lt;&gt;"", ROW()-1, "")</f>
        <v>815</v>
      </c>
      <c r="B816" s="171" t="s">
        <v>164</v>
      </c>
      <c r="C816" s="171" t="str">
        <f>VLOOKUP(B816,MEMBERS!B:C,2, )</f>
        <v>MR.ASHOK KUMAR</v>
      </c>
      <c r="D816" s="318">
        <v>46006</v>
      </c>
      <c r="E816" s="178">
        <v>3</v>
      </c>
      <c r="F816" s="171" t="s">
        <v>643</v>
      </c>
      <c r="G816" s="168">
        <f>IFERROR(VLOOKUP(F816,'menu list'!B:C,2,FALSE)*E816,"0")</f>
        <v>900</v>
      </c>
      <c r="H816" s="337">
        <f t="shared" si="58"/>
        <v>135</v>
      </c>
      <c r="I816" s="168">
        <f t="shared" si="59"/>
        <v>1035</v>
      </c>
    </row>
    <row r="817" spans="1:9" ht="13.2">
      <c r="A817" s="170">
        <f t="shared" si="61"/>
        <v>816</v>
      </c>
      <c r="B817" s="171" t="s">
        <v>306</v>
      </c>
      <c r="C817" s="171" t="str">
        <f>VLOOKUP(B817,MEMBERS!B:C,2, )</f>
        <v>BRIG.KHALID MEHMOOD</v>
      </c>
      <c r="D817" s="318">
        <v>46006</v>
      </c>
      <c r="E817" s="178">
        <v>1</v>
      </c>
      <c r="F817" s="171" t="s">
        <v>508</v>
      </c>
      <c r="G817" s="168">
        <v>1600</v>
      </c>
      <c r="H817" s="337">
        <f t="shared" si="58"/>
        <v>240</v>
      </c>
      <c r="I817" s="168">
        <f t="shared" si="59"/>
        <v>1840</v>
      </c>
    </row>
    <row r="818" spans="1:9" ht="13.2">
      <c r="A818" s="170">
        <f t="shared" si="61"/>
        <v>817</v>
      </c>
      <c r="B818" s="171" t="s">
        <v>948</v>
      </c>
      <c r="C818" s="171" t="str">
        <f>VLOOKUP(B818,MEMBERS!B:C,2, )</f>
        <v>MR. TEHSEEN FAIZ</v>
      </c>
      <c r="D818" s="318">
        <v>46006</v>
      </c>
      <c r="E818" s="178">
        <v>1</v>
      </c>
      <c r="F818" s="171" t="s">
        <v>500</v>
      </c>
      <c r="G818" s="168">
        <f>IFERROR(VLOOKUP(F818,'menu list'!B:C,2,FALSE)*E818,"0")</f>
        <v>1250</v>
      </c>
      <c r="H818" s="337">
        <f t="shared" si="58"/>
        <v>187.5</v>
      </c>
      <c r="I818" s="168">
        <f t="shared" si="59"/>
        <v>1437.5</v>
      </c>
    </row>
    <row r="819" spans="1:9" ht="13.2">
      <c r="A819" s="170">
        <f t="shared" si="61"/>
        <v>818</v>
      </c>
      <c r="B819" s="171" t="s">
        <v>948</v>
      </c>
      <c r="C819" s="171" t="str">
        <f>VLOOKUP(B819,MEMBERS!B:C,2, )</f>
        <v>MR. TEHSEEN FAIZ</v>
      </c>
      <c r="D819" s="318">
        <v>46006</v>
      </c>
      <c r="E819" s="178">
        <v>2</v>
      </c>
      <c r="F819" s="171" t="s">
        <v>805</v>
      </c>
      <c r="G819" s="168">
        <f>IFERROR(VLOOKUP(F819,'menu list'!B:C,2,FALSE)*E819,"0")</f>
        <v>1080</v>
      </c>
      <c r="H819" s="337">
        <f t="shared" si="58"/>
        <v>162</v>
      </c>
      <c r="I819" s="168">
        <f t="shared" si="59"/>
        <v>1242</v>
      </c>
    </row>
    <row r="820" spans="1:9" ht="13.2">
      <c r="A820" s="170">
        <f t="shared" si="61"/>
        <v>819</v>
      </c>
      <c r="B820" s="171" t="s">
        <v>948</v>
      </c>
      <c r="C820" s="171" t="str">
        <f>VLOOKUP(B820,MEMBERS!B:C,2, )</f>
        <v>MR. TEHSEEN FAIZ</v>
      </c>
      <c r="D820" s="318">
        <v>46006</v>
      </c>
      <c r="E820" s="178">
        <v>1</v>
      </c>
      <c r="F820" s="171" t="s">
        <v>440</v>
      </c>
      <c r="G820" s="168">
        <f>IFERROR(VLOOKUP(F820,'menu list'!B:C,2,FALSE)*E820,"0")</f>
        <v>150</v>
      </c>
      <c r="H820" s="337">
        <f t="shared" si="58"/>
        <v>22.5</v>
      </c>
      <c r="I820" s="168">
        <f t="shared" si="59"/>
        <v>172.5</v>
      </c>
    </row>
    <row r="821" spans="1:9" ht="13.2">
      <c r="A821" s="170">
        <f t="shared" si="61"/>
        <v>820</v>
      </c>
      <c r="B821" s="171" t="s">
        <v>948</v>
      </c>
      <c r="C821" s="171" t="str">
        <f>VLOOKUP(B821,MEMBERS!B:C,2, )</f>
        <v>MR. TEHSEEN FAIZ</v>
      </c>
      <c r="D821" s="318">
        <v>46006</v>
      </c>
      <c r="E821" s="178">
        <v>1</v>
      </c>
      <c r="F821" s="171" t="s">
        <v>634</v>
      </c>
      <c r="G821" s="168">
        <f>IFERROR(VLOOKUP(F821,'menu list'!B:C,2,FALSE)*E821,"0")</f>
        <v>500</v>
      </c>
      <c r="H821" s="337">
        <f t="shared" si="58"/>
        <v>75</v>
      </c>
      <c r="I821" s="168">
        <f t="shared" si="59"/>
        <v>575</v>
      </c>
    </row>
    <row r="822" spans="1:9" ht="13.2">
      <c r="A822" s="170">
        <f t="shared" si="61"/>
        <v>821</v>
      </c>
      <c r="B822" s="171" t="s">
        <v>948</v>
      </c>
      <c r="C822" s="171" t="str">
        <f>VLOOKUP(B822,MEMBERS!B:C,2, )</f>
        <v>MR. TEHSEEN FAIZ</v>
      </c>
      <c r="D822" s="318">
        <v>46006</v>
      </c>
      <c r="E822" s="178">
        <v>2</v>
      </c>
      <c r="F822" s="171" t="s">
        <v>442</v>
      </c>
      <c r="G822" s="168">
        <f>IFERROR(VLOOKUP(F822,'menu list'!B:C,2,FALSE)*E822,"0")</f>
        <v>300</v>
      </c>
      <c r="H822" s="337">
        <f t="shared" si="58"/>
        <v>45</v>
      </c>
      <c r="I822" s="168">
        <f t="shared" si="59"/>
        <v>345</v>
      </c>
    </row>
    <row r="823" spans="1:9" ht="13.2">
      <c r="A823" s="170">
        <f t="shared" si="61"/>
        <v>822</v>
      </c>
      <c r="B823" s="171" t="s">
        <v>235</v>
      </c>
      <c r="C823" s="171" t="str">
        <f>VLOOKUP(B823,MEMBERS!B:C,2, )</f>
        <v>MR.IMRAN WAZEER</v>
      </c>
      <c r="D823" s="318">
        <v>46007</v>
      </c>
      <c r="E823" s="178">
        <v>1</v>
      </c>
      <c r="F823" s="171" t="s">
        <v>440</v>
      </c>
      <c r="G823" s="168">
        <f>IFERROR(VLOOKUP(F823,'menu list'!B:C,2,FALSE)*E823,"0")</f>
        <v>150</v>
      </c>
      <c r="H823" s="337">
        <f t="shared" si="58"/>
        <v>22.5</v>
      </c>
      <c r="I823" s="168">
        <f t="shared" si="59"/>
        <v>172.5</v>
      </c>
    </row>
    <row r="824" spans="1:9" ht="13.2">
      <c r="A824" s="170">
        <f t="shared" si="61"/>
        <v>823</v>
      </c>
      <c r="B824" s="171" t="s">
        <v>235</v>
      </c>
      <c r="C824" s="171" t="str">
        <f>VLOOKUP(B824,MEMBERS!B:C,2, )</f>
        <v>MR.IMRAN WAZEER</v>
      </c>
      <c r="D824" s="318">
        <v>46007</v>
      </c>
      <c r="E824" s="178">
        <v>1</v>
      </c>
      <c r="F824" s="171" t="s">
        <v>861</v>
      </c>
      <c r="G824" s="168">
        <f>IFERROR(VLOOKUP(F824,'menu list'!B:C,2,FALSE)*E824,"0")</f>
        <v>800</v>
      </c>
      <c r="H824" s="337">
        <f t="shared" si="58"/>
        <v>120</v>
      </c>
      <c r="I824" s="168">
        <f t="shared" si="59"/>
        <v>920</v>
      </c>
    </row>
    <row r="825" spans="1:9" ht="13.2">
      <c r="A825" s="170">
        <f t="shared" ref="A825:A850" si="62">IF(D825&lt;&gt;"", ROW()-1, "")</f>
        <v>824</v>
      </c>
      <c r="B825" s="171" t="s">
        <v>235</v>
      </c>
      <c r="C825" s="171" t="str">
        <f>VLOOKUP(B825,MEMBERS!B:C,2, )</f>
        <v>MR.IMRAN WAZEER</v>
      </c>
      <c r="D825" s="318">
        <v>46007</v>
      </c>
      <c r="E825" s="178">
        <v>1</v>
      </c>
      <c r="F825" s="171" t="s">
        <v>901</v>
      </c>
      <c r="G825" s="168">
        <f>IFERROR(VLOOKUP(F825,'menu list'!B:C,2,FALSE)*E825,"0")</f>
        <v>800</v>
      </c>
      <c r="H825" s="337">
        <f t="shared" si="58"/>
        <v>120</v>
      </c>
      <c r="I825" s="168">
        <f t="shared" si="59"/>
        <v>920</v>
      </c>
    </row>
    <row r="826" spans="1:9" ht="13.2">
      <c r="A826" s="170">
        <f t="shared" si="62"/>
        <v>825</v>
      </c>
      <c r="B826" s="171" t="s">
        <v>235</v>
      </c>
      <c r="C826" s="171" t="str">
        <f>VLOOKUP(B826,MEMBERS!B:C,2, )</f>
        <v>MR.IMRAN WAZEER</v>
      </c>
      <c r="D826" s="318">
        <v>46007</v>
      </c>
      <c r="E826" s="178">
        <v>1</v>
      </c>
      <c r="F826" s="171" t="s">
        <v>910</v>
      </c>
      <c r="G826" s="168">
        <f>IFERROR(VLOOKUP(F826,'menu list'!B:C,2,FALSE)*E826,"0")</f>
        <v>300</v>
      </c>
      <c r="H826" s="337">
        <f t="shared" si="58"/>
        <v>45</v>
      </c>
      <c r="I826" s="168">
        <f t="shared" si="59"/>
        <v>345</v>
      </c>
    </row>
    <row r="827" spans="1:9" ht="13.2">
      <c r="A827" s="170">
        <f t="shared" si="62"/>
        <v>826</v>
      </c>
      <c r="B827" s="171" t="s">
        <v>235</v>
      </c>
      <c r="C827" s="171" t="str">
        <f>VLOOKUP(B827,MEMBERS!B:C,2, )</f>
        <v>MR.IMRAN WAZEER</v>
      </c>
      <c r="D827" s="318">
        <v>46007</v>
      </c>
      <c r="E827" s="178">
        <v>1</v>
      </c>
      <c r="F827" s="171" t="s">
        <v>786</v>
      </c>
      <c r="G827" s="168">
        <f>IFERROR(VLOOKUP(F827,'menu list'!B:C,2,FALSE)*E827,"0")</f>
        <v>1150</v>
      </c>
      <c r="H827" s="337">
        <f t="shared" si="58"/>
        <v>172.5</v>
      </c>
      <c r="I827" s="168">
        <f t="shared" si="59"/>
        <v>1322.5</v>
      </c>
    </row>
    <row r="828" spans="1:9" ht="13.2">
      <c r="A828" s="170">
        <f t="shared" si="62"/>
        <v>827</v>
      </c>
      <c r="B828" s="171" t="s">
        <v>235</v>
      </c>
      <c r="C828" s="171" t="str">
        <f>VLOOKUP(B828,MEMBERS!B:C,2, )</f>
        <v>MR.IMRAN WAZEER</v>
      </c>
      <c r="D828" s="318">
        <v>46007</v>
      </c>
      <c r="E828" s="178">
        <v>1</v>
      </c>
      <c r="F828" s="171" t="s">
        <v>939</v>
      </c>
      <c r="G828" s="168">
        <f>IFERROR(VLOOKUP(F828,'menu list'!B:C,2,FALSE)*E828,"0")</f>
        <v>1200</v>
      </c>
      <c r="H828" s="337">
        <f t="shared" si="58"/>
        <v>180</v>
      </c>
      <c r="I828" s="168">
        <f t="shared" si="59"/>
        <v>1380</v>
      </c>
    </row>
    <row r="829" spans="1:9" ht="13.2">
      <c r="A829" s="170">
        <f t="shared" si="62"/>
        <v>828</v>
      </c>
      <c r="B829" s="171" t="s">
        <v>235</v>
      </c>
      <c r="C829" s="171" t="str">
        <f>VLOOKUP(B829,MEMBERS!B:C,2, )</f>
        <v>MR.IMRAN WAZEER</v>
      </c>
      <c r="D829" s="318">
        <v>46007</v>
      </c>
      <c r="E829" s="178">
        <v>1</v>
      </c>
      <c r="F829" s="171" t="s">
        <v>915</v>
      </c>
      <c r="G829" s="168">
        <f>IFERROR(VLOOKUP(F829,'menu list'!B:C,2,FALSE)*E829,"0")</f>
        <v>999</v>
      </c>
      <c r="H829" s="337">
        <f t="shared" si="58"/>
        <v>149.85</v>
      </c>
      <c r="I829" s="168">
        <f t="shared" si="59"/>
        <v>1148.8499999999999</v>
      </c>
    </row>
    <row r="830" spans="1:9" ht="13.2">
      <c r="A830" s="170">
        <f t="shared" si="62"/>
        <v>829</v>
      </c>
      <c r="B830" s="171" t="s">
        <v>235</v>
      </c>
      <c r="C830" s="171" t="str">
        <f>VLOOKUP(B830,MEMBERS!B:C,2, )</f>
        <v>MR.IMRAN WAZEER</v>
      </c>
      <c r="D830" s="318">
        <v>46007</v>
      </c>
      <c r="E830" s="178">
        <v>3</v>
      </c>
      <c r="F830" s="171" t="s">
        <v>439</v>
      </c>
      <c r="G830" s="168">
        <f>IFERROR(VLOOKUP(F830,'menu list'!B:C,2,FALSE)*E830,"0")</f>
        <v>210</v>
      </c>
      <c r="H830" s="337">
        <f t="shared" si="58"/>
        <v>31.5</v>
      </c>
      <c r="I830" s="168">
        <f t="shared" si="59"/>
        <v>241.5</v>
      </c>
    </row>
    <row r="831" spans="1:9" ht="13.2">
      <c r="A831" s="170">
        <f t="shared" si="62"/>
        <v>830</v>
      </c>
      <c r="B831" s="171" t="s">
        <v>235</v>
      </c>
      <c r="C831" s="171" t="str">
        <f>VLOOKUP(B831,MEMBERS!B:C,2, )</f>
        <v>MR.IMRAN WAZEER</v>
      </c>
      <c r="D831" s="318">
        <v>46007</v>
      </c>
      <c r="E831" s="178">
        <v>3</v>
      </c>
      <c r="F831" s="171" t="s">
        <v>443</v>
      </c>
      <c r="G831" s="168">
        <f>IFERROR(VLOOKUP(F831,'menu list'!B:C,2,FALSE)*E831,"0")</f>
        <v>450</v>
      </c>
      <c r="H831" s="337">
        <f t="shared" si="58"/>
        <v>67.5</v>
      </c>
      <c r="I831" s="168">
        <f t="shared" si="59"/>
        <v>517.5</v>
      </c>
    </row>
    <row r="832" spans="1:9" ht="13.2">
      <c r="A832" s="170">
        <f t="shared" si="62"/>
        <v>831</v>
      </c>
      <c r="B832" s="171" t="s">
        <v>235</v>
      </c>
      <c r="C832" s="171" t="str">
        <f>VLOOKUP(B832,MEMBERS!B:C,2, )</f>
        <v>MR.IMRAN WAZEER</v>
      </c>
      <c r="D832" s="318">
        <v>46007</v>
      </c>
      <c r="E832" s="178">
        <v>1</v>
      </c>
      <c r="F832" s="171" t="s">
        <v>770</v>
      </c>
      <c r="G832" s="168">
        <f>IFERROR(VLOOKUP(F832,'menu list'!B:C,2,FALSE)*E832,"0")</f>
        <v>1000</v>
      </c>
      <c r="H832" s="337">
        <f t="shared" si="58"/>
        <v>150</v>
      </c>
      <c r="I832" s="168">
        <f t="shared" si="59"/>
        <v>1150</v>
      </c>
    </row>
    <row r="833" spans="1:9" ht="13.2">
      <c r="A833" s="170">
        <f t="shared" si="62"/>
        <v>832</v>
      </c>
      <c r="B833" s="171" t="s">
        <v>235</v>
      </c>
      <c r="C833" s="171" t="str">
        <f>VLOOKUP(B833,MEMBERS!B:C,2, )</f>
        <v>MR.IMRAN WAZEER</v>
      </c>
      <c r="D833" s="318">
        <v>46007</v>
      </c>
      <c r="E833" s="178">
        <v>1</v>
      </c>
      <c r="F833" s="171" t="s">
        <v>498</v>
      </c>
      <c r="G833" s="168">
        <f>IFERROR(VLOOKUP(F833,'menu list'!B:C,2,FALSE)*E833,"0")</f>
        <v>200</v>
      </c>
      <c r="H833" s="337">
        <f t="shared" si="58"/>
        <v>30</v>
      </c>
      <c r="I833" s="168">
        <f t="shared" si="59"/>
        <v>230</v>
      </c>
    </row>
    <row r="834" spans="1:9" ht="13.2">
      <c r="A834" s="170">
        <f t="shared" si="62"/>
        <v>833</v>
      </c>
      <c r="B834" s="171" t="s">
        <v>235</v>
      </c>
      <c r="C834" s="171" t="str">
        <f>VLOOKUP(B834,MEMBERS!B:C,2, )</f>
        <v>MR.IMRAN WAZEER</v>
      </c>
      <c r="D834" s="318">
        <v>46007</v>
      </c>
      <c r="E834" s="178">
        <v>1</v>
      </c>
      <c r="F834" s="171" t="s">
        <v>836</v>
      </c>
      <c r="G834" s="168">
        <f>IFERROR(VLOOKUP(F834,'menu list'!B:C,2,FALSE)*E834,"0")</f>
        <v>350</v>
      </c>
      <c r="H834" s="337">
        <f t="shared" si="58"/>
        <v>52.5</v>
      </c>
      <c r="I834" s="168">
        <f t="shared" si="59"/>
        <v>402.5</v>
      </c>
    </row>
    <row r="835" spans="1:9" ht="13.2">
      <c r="A835" s="170">
        <f t="shared" si="62"/>
        <v>834</v>
      </c>
      <c r="B835" s="171" t="s">
        <v>395</v>
      </c>
      <c r="C835" s="171" t="str">
        <f>VLOOKUP(B835,MEMBERS!B:C,2, )</f>
        <v>BAHRIA INTERNATIONAL HOSPITAL</v>
      </c>
      <c r="D835" s="318">
        <v>46007</v>
      </c>
      <c r="E835" s="178">
        <v>21</v>
      </c>
      <c r="F835" s="171" t="s">
        <v>516</v>
      </c>
      <c r="G835" s="168">
        <f>IFERROR(VLOOKUP(F835,'menu list'!B:C,2,FALSE)*E835,"0")</f>
        <v>5250</v>
      </c>
      <c r="H835" s="337"/>
      <c r="I835" s="168">
        <f t="shared" si="59"/>
        <v>5250</v>
      </c>
    </row>
    <row r="836" spans="1:9" ht="13.2">
      <c r="A836" s="170">
        <f t="shared" si="62"/>
        <v>835</v>
      </c>
      <c r="B836" s="171" t="s">
        <v>395</v>
      </c>
      <c r="C836" s="171" t="str">
        <f>VLOOKUP(B836,MEMBERS!B:C,2, )</f>
        <v>BAHRIA INTERNATIONAL HOSPITAL</v>
      </c>
      <c r="D836" s="318">
        <v>46007</v>
      </c>
      <c r="E836" s="178">
        <v>6</v>
      </c>
      <c r="F836" s="171" t="s">
        <v>660</v>
      </c>
      <c r="G836" s="168">
        <f>IFERROR(VLOOKUP(F836,'menu list'!B:C,2,FALSE)*E836,"0")</f>
        <v>900</v>
      </c>
      <c r="H836" s="337"/>
      <c r="I836" s="168">
        <f t="shared" ref="I836:I899" si="63">G836+H836</f>
        <v>900</v>
      </c>
    </row>
    <row r="837" spans="1:9" ht="13.2">
      <c r="A837" s="170">
        <f t="shared" si="62"/>
        <v>836</v>
      </c>
      <c r="B837" s="171" t="s">
        <v>395</v>
      </c>
      <c r="C837" s="171" t="str">
        <f>VLOOKUP(B837,MEMBERS!B:C,2, )</f>
        <v>BAHRIA INTERNATIONAL HOSPITAL</v>
      </c>
      <c r="D837" s="318">
        <v>46007</v>
      </c>
      <c r="E837" s="178">
        <v>30</v>
      </c>
      <c r="F837" s="171" t="s">
        <v>775</v>
      </c>
      <c r="G837" s="168">
        <f>IFERROR(VLOOKUP(F837,'menu list'!B:C,2,FALSE)*E837,"0")</f>
        <v>3000</v>
      </c>
      <c r="H837" s="337"/>
      <c r="I837" s="168">
        <f t="shared" si="63"/>
        <v>3000</v>
      </c>
    </row>
    <row r="838" spans="1:9" ht="13.2">
      <c r="A838" s="170">
        <f t="shared" si="62"/>
        <v>837</v>
      </c>
      <c r="B838" s="171" t="s">
        <v>395</v>
      </c>
      <c r="C838" s="171" t="str">
        <f>VLOOKUP(B838,MEMBERS!B:C,2, )</f>
        <v>BAHRIA INTERNATIONAL HOSPITAL</v>
      </c>
      <c r="D838" s="318">
        <v>46007</v>
      </c>
      <c r="E838" s="178">
        <v>15</v>
      </c>
      <c r="F838" s="171" t="s">
        <v>558</v>
      </c>
      <c r="G838" s="168">
        <f>IFERROR(VLOOKUP(F838,'menu list'!B:C,2,FALSE)*E838,"0")</f>
        <v>2250</v>
      </c>
      <c r="H838" s="337"/>
      <c r="I838" s="168">
        <f t="shared" si="63"/>
        <v>2250</v>
      </c>
    </row>
    <row r="839" spans="1:9" ht="13.2">
      <c r="A839" s="170">
        <f t="shared" si="62"/>
        <v>838</v>
      </c>
      <c r="B839" s="171" t="s">
        <v>395</v>
      </c>
      <c r="C839" s="171" t="str">
        <f>VLOOKUP(B839,MEMBERS!B:C,2, )</f>
        <v>BAHRIA INTERNATIONAL HOSPITAL</v>
      </c>
      <c r="D839" s="318">
        <v>46007</v>
      </c>
      <c r="E839" s="178">
        <v>6</v>
      </c>
      <c r="F839" s="171" t="s">
        <v>515</v>
      </c>
      <c r="G839" s="168">
        <f>IFERROR(VLOOKUP(F839,'menu list'!B:C,2,FALSE)*E839,"0")</f>
        <v>2400</v>
      </c>
      <c r="H839" s="337"/>
      <c r="I839" s="168">
        <f t="shared" si="63"/>
        <v>2400</v>
      </c>
    </row>
    <row r="840" spans="1:9" ht="13.2">
      <c r="A840" s="170">
        <f t="shared" si="62"/>
        <v>839</v>
      </c>
      <c r="B840" s="171" t="s">
        <v>761</v>
      </c>
      <c r="C840" s="171" t="str">
        <f>VLOOKUP(B840,MEMBERS!B:C,2, )</f>
        <v>MR. FAYAZ ALI SOOMRO</v>
      </c>
      <c r="D840" s="318">
        <v>46007</v>
      </c>
      <c r="E840" s="178">
        <v>4</v>
      </c>
      <c r="F840" s="171" t="s">
        <v>901</v>
      </c>
      <c r="G840" s="168">
        <f>IFERROR(VLOOKUP(F840,'menu list'!B:C,2,FALSE)*E840,"0")</f>
        <v>3200</v>
      </c>
      <c r="H840" s="337">
        <f t="shared" ref="H840:H898" si="64">G840*15/100</f>
        <v>480</v>
      </c>
      <c r="I840" s="168">
        <f t="shared" si="63"/>
        <v>3680</v>
      </c>
    </row>
    <row r="841" spans="1:9" ht="13.2">
      <c r="A841" s="170">
        <f t="shared" si="62"/>
        <v>840</v>
      </c>
      <c r="B841" s="171" t="s">
        <v>761</v>
      </c>
      <c r="C841" s="171" t="str">
        <f>VLOOKUP(B841,MEMBERS!B:C,2, )</f>
        <v>MR. FAYAZ ALI SOOMRO</v>
      </c>
      <c r="D841" s="318">
        <v>46007</v>
      </c>
      <c r="E841" s="178">
        <v>1</v>
      </c>
      <c r="F841" s="171" t="s">
        <v>915</v>
      </c>
      <c r="G841" s="168">
        <f>IFERROR(VLOOKUP(F841,'menu list'!B:C,2,FALSE)*E841,"0")</f>
        <v>999</v>
      </c>
      <c r="H841" s="337">
        <f t="shared" si="64"/>
        <v>149.85</v>
      </c>
      <c r="I841" s="168">
        <f t="shared" si="63"/>
        <v>1148.8499999999999</v>
      </c>
    </row>
    <row r="842" spans="1:9" ht="13.2">
      <c r="A842" s="170">
        <f t="shared" si="62"/>
        <v>841</v>
      </c>
      <c r="B842" s="171" t="s">
        <v>761</v>
      </c>
      <c r="C842" s="171" t="str">
        <f>VLOOKUP(B842,MEMBERS!B:C,2, )</f>
        <v>MR. FAYAZ ALI SOOMRO</v>
      </c>
      <c r="D842" s="318">
        <v>46007</v>
      </c>
      <c r="E842" s="178">
        <v>1</v>
      </c>
      <c r="F842" s="171" t="s">
        <v>522</v>
      </c>
      <c r="G842" s="168">
        <f>IFERROR(VLOOKUP(F842,'menu list'!B:C,2,FALSE)*E842,"0")</f>
        <v>1200</v>
      </c>
      <c r="H842" s="337">
        <f t="shared" si="64"/>
        <v>180</v>
      </c>
      <c r="I842" s="168">
        <f t="shared" si="63"/>
        <v>1380</v>
      </c>
    </row>
    <row r="843" spans="1:9" ht="13.2">
      <c r="A843" s="170">
        <f t="shared" si="62"/>
        <v>842</v>
      </c>
      <c r="B843" s="171" t="s">
        <v>761</v>
      </c>
      <c r="C843" s="171" t="str">
        <f>VLOOKUP(B843,MEMBERS!B:C,2, )</f>
        <v>MR. FAYAZ ALI SOOMRO</v>
      </c>
      <c r="D843" s="318">
        <v>46007</v>
      </c>
      <c r="E843" s="178">
        <v>1</v>
      </c>
      <c r="F843" s="171" t="s">
        <v>786</v>
      </c>
      <c r="G843" s="168">
        <f>IFERROR(VLOOKUP(F843,'menu list'!B:C,2,FALSE)*E843,"0")</f>
        <v>1150</v>
      </c>
      <c r="H843" s="337">
        <f t="shared" si="64"/>
        <v>172.5</v>
      </c>
      <c r="I843" s="168">
        <f t="shared" si="63"/>
        <v>1322.5</v>
      </c>
    </row>
    <row r="844" spans="1:9" ht="13.2">
      <c r="A844" s="170">
        <f t="shared" si="62"/>
        <v>843</v>
      </c>
      <c r="B844" s="171" t="s">
        <v>761</v>
      </c>
      <c r="C844" s="171" t="str">
        <f>VLOOKUP(B844,MEMBERS!B:C,2, )</f>
        <v>MR. FAYAZ ALI SOOMRO</v>
      </c>
      <c r="D844" s="318">
        <v>46007</v>
      </c>
      <c r="E844" s="178">
        <v>1</v>
      </c>
      <c r="F844" s="171" t="s">
        <v>939</v>
      </c>
      <c r="G844" s="168">
        <f>IFERROR(VLOOKUP(F844,'menu list'!B:C,2,FALSE)*E844,"0")</f>
        <v>1200</v>
      </c>
      <c r="H844" s="337">
        <f t="shared" si="64"/>
        <v>180</v>
      </c>
      <c r="I844" s="168">
        <f t="shared" si="63"/>
        <v>1380</v>
      </c>
    </row>
    <row r="845" spans="1:9" ht="13.2">
      <c r="A845" s="170">
        <f t="shared" si="62"/>
        <v>844</v>
      </c>
      <c r="B845" s="171" t="s">
        <v>761</v>
      </c>
      <c r="C845" s="171" t="str">
        <f>VLOOKUP(B845,MEMBERS!B:C,2, )</f>
        <v>MR. FAYAZ ALI SOOMRO</v>
      </c>
      <c r="D845" s="318">
        <v>46007</v>
      </c>
      <c r="E845" s="178">
        <v>1</v>
      </c>
      <c r="F845" s="171" t="s">
        <v>501</v>
      </c>
      <c r="G845" s="168">
        <f>IFERROR(VLOOKUP(F845,'menu list'!B:C,2,FALSE)*E845,"0")</f>
        <v>1200</v>
      </c>
      <c r="H845" s="337">
        <f t="shared" si="64"/>
        <v>180</v>
      </c>
      <c r="I845" s="168">
        <f t="shared" si="63"/>
        <v>1380</v>
      </c>
    </row>
    <row r="846" spans="1:9" ht="13.2">
      <c r="A846" s="170">
        <f t="shared" si="62"/>
        <v>845</v>
      </c>
      <c r="B846" s="171" t="s">
        <v>20</v>
      </c>
      <c r="C846" s="171" t="str">
        <f>VLOOKUP(B846,MEMBERS!B:C,2, )</f>
        <v>MR.BILAL AHMED</v>
      </c>
      <c r="D846" s="318">
        <v>46007</v>
      </c>
      <c r="E846" s="178">
        <v>2</v>
      </c>
      <c r="F846" s="171" t="s">
        <v>499</v>
      </c>
      <c r="G846" s="168">
        <f>IFERROR(VLOOKUP(F846,'menu list'!B:C,2,FALSE)*E846,"0")</f>
        <v>200</v>
      </c>
      <c r="H846" s="337">
        <f t="shared" si="64"/>
        <v>30</v>
      </c>
      <c r="I846" s="168">
        <f t="shared" si="63"/>
        <v>230</v>
      </c>
    </row>
    <row r="847" spans="1:9" ht="13.2">
      <c r="A847" s="170">
        <f t="shared" si="62"/>
        <v>846</v>
      </c>
      <c r="B847" s="171" t="s">
        <v>20</v>
      </c>
      <c r="C847" s="171" t="str">
        <f>VLOOKUP(B847,MEMBERS!B:C,2, )</f>
        <v>MR.BILAL AHMED</v>
      </c>
      <c r="D847" s="318">
        <v>46007</v>
      </c>
      <c r="E847" s="178">
        <v>2</v>
      </c>
      <c r="F847" s="171" t="s">
        <v>836</v>
      </c>
      <c r="G847" s="168">
        <f>IFERROR(VLOOKUP(F847,'menu list'!B:C,2,FALSE)*E847,"0")</f>
        <v>700</v>
      </c>
      <c r="H847" s="337">
        <f t="shared" si="64"/>
        <v>105</v>
      </c>
      <c r="I847" s="168">
        <f t="shared" si="63"/>
        <v>805</v>
      </c>
    </row>
    <row r="848" spans="1:9" ht="13.2">
      <c r="A848" s="170">
        <f t="shared" si="62"/>
        <v>847</v>
      </c>
      <c r="B848" s="171" t="s">
        <v>69</v>
      </c>
      <c r="C848" s="171" t="str">
        <f>VLOOKUP(B848,MEMBERS!B:C,2, )</f>
        <v>MR.TARIQUE ZUBAIR</v>
      </c>
      <c r="D848" s="318">
        <v>46007</v>
      </c>
      <c r="E848" s="178">
        <v>1</v>
      </c>
      <c r="F848" s="171" t="s">
        <v>500</v>
      </c>
      <c r="G848" s="168">
        <f>IFERROR(VLOOKUP(F848,'menu list'!B:C,2,FALSE)*E848,"0")</f>
        <v>1250</v>
      </c>
      <c r="H848" s="337">
        <f t="shared" si="64"/>
        <v>187.5</v>
      </c>
      <c r="I848" s="168">
        <f t="shared" si="63"/>
        <v>1437.5</v>
      </c>
    </row>
    <row r="849" spans="1:10" ht="13.2">
      <c r="A849" s="170">
        <f t="shared" si="62"/>
        <v>848</v>
      </c>
      <c r="B849" s="171" t="s">
        <v>69</v>
      </c>
      <c r="C849" s="171" t="str">
        <f>VLOOKUP(B849,MEMBERS!B:C,2, )</f>
        <v>MR.TARIQUE ZUBAIR</v>
      </c>
      <c r="D849" s="318">
        <v>46007</v>
      </c>
      <c r="E849" s="178">
        <v>1</v>
      </c>
      <c r="F849" s="171" t="s">
        <v>442</v>
      </c>
      <c r="G849" s="168">
        <f>IFERROR(VLOOKUP(F849,'menu list'!B:C,2,FALSE)*E849,"0")</f>
        <v>150</v>
      </c>
      <c r="H849" s="337">
        <f t="shared" si="64"/>
        <v>22.5</v>
      </c>
      <c r="I849" s="168">
        <f t="shared" si="63"/>
        <v>172.5</v>
      </c>
    </row>
    <row r="850" spans="1:10" ht="13.2">
      <c r="A850" s="170">
        <f t="shared" si="62"/>
        <v>849</v>
      </c>
      <c r="B850" s="322" t="s">
        <v>187</v>
      </c>
      <c r="C850" s="322" t="str">
        <f>VLOOKUP(B850,MEMBERS!B:C,2, )</f>
        <v>MR.SHAN ELAHI SEHGAL</v>
      </c>
      <c r="D850" s="323">
        <v>46008</v>
      </c>
      <c r="E850" s="324">
        <v>1</v>
      </c>
      <c r="F850" s="322" t="s">
        <v>500</v>
      </c>
      <c r="G850" s="325">
        <f>IFERROR(VLOOKUP(F850,'menu list'!B:C,2,FALSE)*E850,"0")</f>
        <v>1250</v>
      </c>
      <c r="H850" s="337">
        <f t="shared" si="64"/>
        <v>187.5</v>
      </c>
      <c r="I850" s="168">
        <f t="shared" si="63"/>
        <v>1437.5</v>
      </c>
      <c r="J850" s="340" t="s">
        <v>1188</v>
      </c>
    </row>
    <row r="851" spans="1:10" ht="13.2">
      <c r="A851" s="170">
        <f t="shared" ref="A851:A872" si="65">IF(D851&lt;&gt;"", ROW()-1, "")</f>
        <v>850</v>
      </c>
      <c r="B851" s="322" t="s">
        <v>187</v>
      </c>
      <c r="C851" s="322" t="str">
        <f>VLOOKUP(B851,MEMBERS!B:C,2, )</f>
        <v>MR.SHAN ELAHI SEHGAL</v>
      </c>
      <c r="D851" s="323">
        <v>46008</v>
      </c>
      <c r="E851" s="324">
        <v>2</v>
      </c>
      <c r="F851" s="322" t="s">
        <v>634</v>
      </c>
      <c r="G851" s="325">
        <f>IFERROR(VLOOKUP(F851,'menu list'!B:C,2,FALSE)*E851,"0")</f>
        <v>1000</v>
      </c>
      <c r="H851" s="337">
        <f t="shared" si="64"/>
        <v>150</v>
      </c>
      <c r="I851" s="168">
        <f t="shared" si="63"/>
        <v>1150</v>
      </c>
      <c r="J851" s="334"/>
    </row>
    <row r="852" spans="1:10" ht="13.2">
      <c r="A852" s="170">
        <f t="shared" si="65"/>
        <v>851</v>
      </c>
      <c r="B852" s="322" t="s">
        <v>187</v>
      </c>
      <c r="C852" s="322" t="str">
        <f>VLOOKUP(B852,MEMBERS!B:C,2, )</f>
        <v>MR.SHAN ELAHI SEHGAL</v>
      </c>
      <c r="D852" s="323">
        <v>46008</v>
      </c>
      <c r="E852" s="324">
        <v>2</v>
      </c>
      <c r="F852" s="322" t="s">
        <v>442</v>
      </c>
      <c r="G852" s="325">
        <f>IFERROR(VLOOKUP(F852,'menu list'!B:C,2,FALSE)*E852,"0")</f>
        <v>300</v>
      </c>
      <c r="H852" s="337">
        <f t="shared" si="64"/>
        <v>45</v>
      </c>
      <c r="I852" s="168">
        <f t="shared" si="63"/>
        <v>345</v>
      </c>
      <c r="J852" s="334"/>
    </row>
    <row r="853" spans="1:10" ht="13.2">
      <c r="A853" s="170">
        <f t="shared" si="65"/>
        <v>852</v>
      </c>
      <c r="B853" s="171" t="s">
        <v>217</v>
      </c>
      <c r="C853" s="171" t="str">
        <f>VLOOKUP(B853,MEMBERS!B:C,2, )</f>
        <v>MR.ZAIN FAROOQ</v>
      </c>
      <c r="D853" s="326">
        <v>46008</v>
      </c>
      <c r="E853" s="178">
        <v>1</v>
      </c>
      <c r="F853" s="171" t="s">
        <v>634</v>
      </c>
      <c r="G853" s="168">
        <f>IFERROR(VLOOKUP(F853,'menu list'!B:C,2,FALSE)*E853,"0")</f>
        <v>500</v>
      </c>
      <c r="H853" s="337">
        <f t="shared" si="64"/>
        <v>75</v>
      </c>
      <c r="I853" s="168">
        <f t="shared" si="63"/>
        <v>575</v>
      </c>
    </row>
    <row r="854" spans="1:10" ht="13.2">
      <c r="A854" s="170">
        <f t="shared" si="65"/>
        <v>853</v>
      </c>
      <c r="B854" s="171" t="s">
        <v>235</v>
      </c>
      <c r="C854" s="171" t="str">
        <f>VLOOKUP(B854,MEMBERS!B:C,2, )</f>
        <v>MR.IMRAN WAZEER</v>
      </c>
      <c r="D854" s="326">
        <v>46008</v>
      </c>
      <c r="E854" s="178">
        <v>1</v>
      </c>
      <c r="F854" s="171" t="s">
        <v>803</v>
      </c>
      <c r="G854" s="168">
        <f>IFERROR(VLOOKUP(F854,'menu list'!B:C,2,FALSE)*E854,"0")</f>
        <v>250</v>
      </c>
      <c r="H854" s="337">
        <f t="shared" si="64"/>
        <v>37.5</v>
      </c>
      <c r="I854" s="168">
        <f t="shared" si="63"/>
        <v>287.5</v>
      </c>
    </row>
    <row r="855" spans="1:10" ht="13.2">
      <c r="A855" s="170">
        <f t="shared" si="65"/>
        <v>854</v>
      </c>
      <c r="B855" s="171" t="s">
        <v>235</v>
      </c>
      <c r="C855" s="171" t="str">
        <f>VLOOKUP(B855,MEMBERS!B:C,2, )</f>
        <v>MR.IMRAN WAZEER</v>
      </c>
      <c r="D855" s="326">
        <v>46008</v>
      </c>
      <c r="E855" s="178">
        <v>1</v>
      </c>
      <c r="F855" s="171" t="s">
        <v>633</v>
      </c>
      <c r="G855" s="168">
        <f>IFERROR(VLOOKUP(F855,'menu list'!B:C,2,FALSE)*E855,"0")</f>
        <v>700</v>
      </c>
      <c r="H855" s="337">
        <f t="shared" si="64"/>
        <v>105</v>
      </c>
      <c r="I855" s="168">
        <f t="shared" si="63"/>
        <v>805</v>
      </c>
    </row>
    <row r="856" spans="1:10" ht="13.2">
      <c r="A856" s="170">
        <f t="shared" si="65"/>
        <v>855</v>
      </c>
      <c r="B856" s="171" t="s">
        <v>235</v>
      </c>
      <c r="C856" s="171" t="str">
        <f>VLOOKUP(B856,MEMBERS!B:C,2, )</f>
        <v>MR.IMRAN WAZEER</v>
      </c>
      <c r="D856" s="326">
        <v>46008</v>
      </c>
      <c r="E856" s="178">
        <v>1</v>
      </c>
      <c r="F856" s="171" t="s">
        <v>499</v>
      </c>
      <c r="G856" s="168">
        <f>IFERROR(VLOOKUP(F856,'menu list'!B:C,2,FALSE)*E856,"0")</f>
        <v>100</v>
      </c>
      <c r="H856" s="337">
        <f t="shared" si="64"/>
        <v>15</v>
      </c>
      <c r="I856" s="168">
        <f t="shared" si="63"/>
        <v>115</v>
      </c>
    </row>
    <row r="857" spans="1:10" ht="13.2">
      <c r="A857" s="170">
        <f t="shared" si="65"/>
        <v>856</v>
      </c>
      <c r="B857" s="171" t="s">
        <v>1073</v>
      </c>
      <c r="C857" s="171" t="str">
        <f>VLOOKUP(B857,MEMBERS!B:C,2, )</f>
        <v>MR. GHULAM MUSTAFA</v>
      </c>
      <c r="D857" s="326">
        <v>46008</v>
      </c>
      <c r="E857" s="178">
        <v>1</v>
      </c>
      <c r="F857" s="171" t="s">
        <v>801</v>
      </c>
      <c r="G857" s="168">
        <f>IFERROR(VLOOKUP(F857,'menu list'!B:C,2,FALSE)*E857,"0")</f>
        <v>700</v>
      </c>
      <c r="H857" s="337">
        <f t="shared" si="64"/>
        <v>105</v>
      </c>
      <c r="I857" s="168">
        <f t="shared" si="63"/>
        <v>805</v>
      </c>
    </row>
    <row r="858" spans="1:10" ht="13.2">
      <c r="A858" s="170">
        <f t="shared" si="65"/>
        <v>857</v>
      </c>
      <c r="B858" s="171" t="s">
        <v>1073</v>
      </c>
      <c r="C858" s="171" t="str">
        <f>VLOOKUP(B858,MEMBERS!B:C,2, )</f>
        <v>MR. GHULAM MUSTAFA</v>
      </c>
      <c r="D858" s="326">
        <v>46008</v>
      </c>
      <c r="E858" s="178">
        <v>1</v>
      </c>
      <c r="F858" s="171" t="s">
        <v>653</v>
      </c>
      <c r="G858" s="168">
        <f>IFERROR(VLOOKUP(F858,'menu list'!B:C,2,FALSE)*E858,"0")</f>
        <v>350</v>
      </c>
      <c r="H858" s="337">
        <f t="shared" si="64"/>
        <v>52.5</v>
      </c>
      <c r="I858" s="168">
        <f t="shared" si="63"/>
        <v>402.5</v>
      </c>
    </row>
    <row r="859" spans="1:10" ht="13.2">
      <c r="A859" s="170">
        <f t="shared" si="65"/>
        <v>858</v>
      </c>
      <c r="B859" s="171" t="s">
        <v>1073</v>
      </c>
      <c r="C859" s="171" t="str">
        <f>VLOOKUP(B859,MEMBERS!B:C,2, )</f>
        <v>MR. GHULAM MUSTAFA</v>
      </c>
      <c r="D859" s="326">
        <v>46008</v>
      </c>
      <c r="E859" s="178">
        <v>1</v>
      </c>
      <c r="F859" s="171" t="s">
        <v>832</v>
      </c>
      <c r="G859" s="168">
        <f>IFERROR(VLOOKUP(F859,'menu list'!B:C,2,FALSE)*E859,"0")</f>
        <v>250</v>
      </c>
      <c r="H859" s="337">
        <f t="shared" si="64"/>
        <v>37.5</v>
      </c>
      <c r="I859" s="168">
        <f t="shared" si="63"/>
        <v>287.5</v>
      </c>
    </row>
    <row r="860" spans="1:10" ht="13.2">
      <c r="A860" s="170">
        <f t="shared" si="65"/>
        <v>859</v>
      </c>
      <c r="B860" s="171" t="s">
        <v>1073</v>
      </c>
      <c r="C860" s="171" t="str">
        <f>VLOOKUP(B860,MEMBERS!B:C,2, )</f>
        <v>MR. GHULAM MUSTAFA</v>
      </c>
      <c r="D860" s="326">
        <v>46008</v>
      </c>
      <c r="E860" s="178">
        <v>1</v>
      </c>
      <c r="F860" s="171" t="s">
        <v>497</v>
      </c>
      <c r="G860" s="168">
        <f>IFERROR(VLOOKUP(F860,'menu list'!B:C,2,FALSE)*E860,"0")</f>
        <v>250</v>
      </c>
      <c r="H860" s="337">
        <f t="shared" si="64"/>
        <v>37.5</v>
      </c>
      <c r="I860" s="168">
        <f t="shared" si="63"/>
        <v>287.5</v>
      </c>
    </row>
    <row r="861" spans="1:10" ht="13.2">
      <c r="A861" s="170">
        <f t="shared" si="65"/>
        <v>860</v>
      </c>
      <c r="B861" s="171" t="s">
        <v>1073</v>
      </c>
      <c r="C861" s="171" t="str">
        <f>VLOOKUP(B861,MEMBERS!B:C,2, )</f>
        <v>MR. GHULAM MUSTAFA</v>
      </c>
      <c r="D861" s="326">
        <v>46008</v>
      </c>
      <c r="E861" s="178">
        <v>1</v>
      </c>
      <c r="F861" s="171" t="s">
        <v>664</v>
      </c>
      <c r="G861" s="168">
        <f>IFERROR(VLOOKUP(F861,'menu list'!B:C,2,FALSE)*E861,"0")</f>
        <v>400</v>
      </c>
      <c r="H861" s="337">
        <f t="shared" si="64"/>
        <v>60</v>
      </c>
      <c r="I861" s="168">
        <f t="shared" si="63"/>
        <v>460</v>
      </c>
    </row>
    <row r="862" spans="1:10" ht="13.2">
      <c r="A862" s="170">
        <f t="shared" si="65"/>
        <v>861</v>
      </c>
      <c r="B862" s="171" t="s">
        <v>1073</v>
      </c>
      <c r="C862" s="171" t="str">
        <f>VLOOKUP(B862,MEMBERS!B:C,2, )</f>
        <v>MR. GHULAM MUSTAFA</v>
      </c>
      <c r="D862" s="326">
        <v>46008</v>
      </c>
      <c r="E862" s="178">
        <v>1</v>
      </c>
      <c r="F862" s="171" t="s">
        <v>560</v>
      </c>
      <c r="G862" s="168">
        <f>IFERROR(VLOOKUP(F862,'menu list'!B:C,2,FALSE)*E862,"0")</f>
        <v>300</v>
      </c>
      <c r="H862" s="337">
        <f t="shared" si="64"/>
        <v>45</v>
      </c>
      <c r="I862" s="168">
        <f t="shared" si="63"/>
        <v>345</v>
      </c>
    </row>
    <row r="863" spans="1:10" ht="13.2">
      <c r="A863" s="170">
        <f t="shared" si="65"/>
        <v>862</v>
      </c>
      <c r="B863" s="171" t="s">
        <v>1073</v>
      </c>
      <c r="C863" s="171" t="str">
        <f>VLOOKUP(B863,MEMBERS!B:C,2, )</f>
        <v>MR. GHULAM MUSTAFA</v>
      </c>
      <c r="D863" s="326">
        <v>46008</v>
      </c>
      <c r="E863" s="178">
        <v>1</v>
      </c>
      <c r="F863" s="171" t="s">
        <v>501</v>
      </c>
      <c r="G863" s="168">
        <f>IFERROR(VLOOKUP(F863,'menu list'!B:C,2,FALSE)*E863,"0")</f>
        <v>1200</v>
      </c>
      <c r="H863" s="337">
        <f t="shared" si="64"/>
        <v>180</v>
      </c>
      <c r="I863" s="168">
        <f t="shared" si="63"/>
        <v>1380</v>
      </c>
    </row>
    <row r="864" spans="1:10" ht="13.2">
      <c r="A864" s="170">
        <f t="shared" si="65"/>
        <v>863</v>
      </c>
      <c r="B864" s="171" t="s">
        <v>1073</v>
      </c>
      <c r="C864" s="171" t="str">
        <f>VLOOKUP(B864,MEMBERS!B:C,2, )</f>
        <v>MR. GHULAM MUSTAFA</v>
      </c>
      <c r="D864" s="326">
        <v>46008</v>
      </c>
      <c r="E864" s="178">
        <v>1</v>
      </c>
      <c r="F864" s="171" t="s">
        <v>915</v>
      </c>
      <c r="G864" s="168">
        <f>IFERROR(VLOOKUP(F864,'menu list'!B:C,2,FALSE)*E864,"0")</f>
        <v>999</v>
      </c>
      <c r="H864" s="337">
        <f t="shared" si="64"/>
        <v>149.85</v>
      </c>
      <c r="I864" s="168">
        <f t="shared" si="63"/>
        <v>1148.8499999999999</v>
      </c>
    </row>
    <row r="865" spans="1:9" ht="13.2">
      <c r="A865" s="170">
        <f t="shared" si="65"/>
        <v>864</v>
      </c>
      <c r="B865" s="171" t="s">
        <v>1073</v>
      </c>
      <c r="C865" s="171" t="str">
        <f>VLOOKUP(B865,MEMBERS!B:C,2, )</f>
        <v>MR. GHULAM MUSTAFA</v>
      </c>
      <c r="D865" s="326">
        <v>46008</v>
      </c>
      <c r="E865" s="178">
        <v>1</v>
      </c>
      <c r="F865" s="171" t="s">
        <v>728</v>
      </c>
      <c r="G865" s="168">
        <f>IFERROR(VLOOKUP(F865,'menu list'!B:C,2,FALSE)*E865,"0")</f>
        <v>900</v>
      </c>
      <c r="H865" s="337">
        <f t="shared" si="64"/>
        <v>135</v>
      </c>
      <c r="I865" s="168">
        <f t="shared" si="63"/>
        <v>1035</v>
      </c>
    </row>
    <row r="866" spans="1:9" ht="13.2">
      <c r="A866" s="170">
        <f t="shared" si="65"/>
        <v>865</v>
      </c>
      <c r="B866" s="171" t="s">
        <v>1073</v>
      </c>
      <c r="C866" s="171" t="str">
        <f>VLOOKUP(B866,MEMBERS!B:C,2, )</f>
        <v>MR. GHULAM MUSTAFA</v>
      </c>
      <c r="D866" s="326">
        <v>46008</v>
      </c>
      <c r="E866" s="178">
        <v>1</v>
      </c>
      <c r="F866" s="171" t="s">
        <v>859</v>
      </c>
      <c r="G866" s="168">
        <f>IFERROR(VLOOKUP(F866,'menu list'!B:C,2,FALSE)*E866,"0")</f>
        <v>500</v>
      </c>
      <c r="H866" s="337">
        <f t="shared" si="64"/>
        <v>75</v>
      </c>
      <c r="I866" s="168">
        <f t="shared" si="63"/>
        <v>575</v>
      </c>
    </row>
    <row r="867" spans="1:9" ht="13.2">
      <c r="A867" s="170">
        <f t="shared" si="65"/>
        <v>866</v>
      </c>
      <c r="B867" s="171" t="s">
        <v>1073</v>
      </c>
      <c r="C867" s="171" t="str">
        <f>VLOOKUP(B867,MEMBERS!B:C,2, )</f>
        <v>MR. GHULAM MUSTAFA</v>
      </c>
      <c r="D867" s="326">
        <v>46008</v>
      </c>
      <c r="E867" s="178">
        <v>2</v>
      </c>
      <c r="F867" s="171" t="s">
        <v>439</v>
      </c>
      <c r="G867" s="168">
        <f>IFERROR(VLOOKUP(F867,'menu list'!B:C,2,FALSE)*E867,"0")</f>
        <v>140</v>
      </c>
      <c r="H867" s="337">
        <f t="shared" si="64"/>
        <v>21</v>
      </c>
      <c r="I867" s="168">
        <f t="shared" si="63"/>
        <v>161</v>
      </c>
    </row>
    <row r="868" spans="1:9" ht="13.2">
      <c r="A868" s="170">
        <f t="shared" si="65"/>
        <v>867</v>
      </c>
      <c r="B868" s="171" t="s">
        <v>1073</v>
      </c>
      <c r="C868" s="171" t="str">
        <f>VLOOKUP(B868,MEMBERS!B:C,2, )</f>
        <v>MR. GHULAM MUSTAFA</v>
      </c>
      <c r="D868" s="326">
        <v>46008</v>
      </c>
      <c r="E868" s="178">
        <v>2</v>
      </c>
      <c r="F868" s="171" t="s">
        <v>504</v>
      </c>
      <c r="G868" s="168">
        <f>IFERROR(VLOOKUP(F868,'menu list'!B:C,2,FALSE)*E868,"0")</f>
        <v>260</v>
      </c>
      <c r="H868" s="337">
        <f t="shared" si="64"/>
        <v>39</v>
      </c>
      <c r="I868" s="168">
        <f t="shared" si="63"/>
        <v>299</v>
      </c>
    </row>
    <row r="869" spans="1:9" ht="13.2">
      <c r="A869" s="170">
        <f t="shared" si="65"/>
        <v>868</v>
      </c>
      <c r="B869" s="171" t="s">
        <v>1073</v>
      </c>
      <c r="C869" s="171" t="str">
        <f>VLOOKUP(B869,MEMBERS!B:C,2, )</f>
        <v>MR. GHULAM MUSTAFA</v>
      </c>
      <c r="D869" s="326">
        <v>46008</v>
      </c>
      <c r="E869" s="178">
        <v>2</v>
      </c>
      <c r="F869" s="171" t="s">
        <v>443</v>
      </c>
      <c r="G869" s="168">
        <f>IFERROR(VLOOKUP(F869,'menu list'!B:C,2,FALSE)*E869,"0")</f>
        <v>300</v>
      </c>
      <c r="H869" s="337">
        <f t="shared" si="64"/>
        <v>45</v>
      </c>
      <c r="I869" s="168">
        <f t="shared" si="63"/>
        <v>345</v>
      </c>
    </row>
    <row r="870" spans="1:9" ht="13.2">
      <c r="A870" s="170">
        <f t="shared" si="65"/>
        <v>869</v>
      </c>
      <c r="B870" s="171" t="s">
        <v>1073</v>
      </c>
      <c r="C870" s="171" t="str">
        <f>VLOOKUP(B870,MEMBERS!B:C,2, )</f>
        <v>MR. GHULAM MUSTAFA</v>
      </c>
      <c r="D870" s="326">
        <v>46008</v>
      </c>
      <c r="E870" s="178">
        <v>1</v>
      </c>
      <c r="F870" s="171" t="s">
        <v>440</v>
      </c>
      <c r="G870" s="168">
        <f>IFERROR(VLOOKUP(F870,'menu list'!B:C,2,FALSE)*E870,"0")</f>
        <v>150</v>
      </c>
      <c r="H870" s="337">
        <f t="shared" si="64"/>
        <v>22.5</v>
      </c>
      <c r="I870" s="168">
        <f t="shared" si="63"/>
        <v>172.5</v>
      </c>
    </row>
    <row r="871" spans="1:9" ht="13.2">
      <c r="A871" s="170">
        <f t="shared" si="65"/>
        <v>870</v>
      </c>
      <c r="B871" s="171" t="s">
        <v>1073</v>
      </c>
      <c r="C871" s="171" t="str">
        <f>VLOOKUP(B871,MEMBERS!B:C,2, )</f>
        <v>MR. GHULAM MUSTAFA</v>
      </c>
      <c r="D871" s="326">
        <v>46008</v>
      </c>
      <c r="E871" s="178">
        <v>1</v>
      </c>
      <c r="F871" s="171" t="s">
        <v>442</v>
      </c>
      <c r="G871" s="168">
        <f>IFERROR(VLOOKUP(F871,'menu list'!B:C,2,FALSE)*E871,"0")</f>
        <v>150</v>
      </c>
      <c r="H871" s="337">
        <f t="shared" si="64"/>
        <v>22.5</v>
      </c>
      <c r="I871" s="168">
        <f t="shared" si="63"/>
        <v>172.5</v>
      </c>
    </row>
    <row r="872" spans="1:9" ht="13.2">
      <c r="A872" s="170">
        <f t="shared" si="65"/>
        <v>871</v>
      </c>
      <c r="B872" s="171" t="s">
        <v>217</v>
      </c>
      <c r="C872" s="171" t="str">
        <f>VLOOKUP(B872,MEMBERS!B:C,2, )</f>
        <v>MR.ZAIN FAROOQ</v>
      </c>
      <c r="D872" s="326">
        <v>46008</v>
      </c>
      <c r="E872" s="178">
        <v>2</v>
      </c>
      <c r="F872" s="171" t="s">
        <v>806</v>
      </c>
      <c r="G872" s="168">
        <f>IFERROR(VLOOKUP(F872,'menu list'!B:C,2,FALSE)*E872,"0")</f>
        <v>1200</v>
      </c>
      <c r="H872" s="337">
        <f t="shared" si="64"/>
        <v>180</v>
      </c>
      <c r="I872" s="168">
        <f t="shared" si="63"/>
        <v>1380</v>
      </c>
    </row>
    <row r="873" spans="1:9" ht="13.2">
      <c r="A873" s="170">
        <f t="shared" ref="A873:A883" si="66">IF(D873&lt;&gt;"", ROW()-1, "")</f>
        <v>872</v>
      </c>
      <c r="B873" s="171" t="s">
        <v>187</v>
      </c>
      <c r="C873" s="171" t="str">
        <f>VLOOKUP(B873,MEMBERS!B:C,2, )</f>
        <v>MR.SHAN ELAHI SEHGAL</v>
      </c>
      <c r="D873" s="326">
        <v>46008</v>
      </c>
      <c r="E873" s="178">
        <v>1</v>
      </c>
      <c r="F873" s="171" t="s">
        <v>498</v>
      </c>
      <c r="G873" s="168">
        <f>IFERROR(VLOOKUP(F873,'menu list'!B:C,2,FALSE)*E873,"0")</f>
        <v>200</v>
      </c>
      <c r="H873" s="337">
        <f t="shared" si="64"/>
        <v>30</v>
      </c>
      <c r="I873" s="168">
        <f t="shared" si="63"/>
        <v>230</v>
      </c>
    </row>
    <row r="874" spans="1:9" ht="13.2">
      <c r="A874" s="170">
        <f t="shared" si="66"/>
        <v>873</v>
      </c>
      <c r="B874" s="171" t="s">
        <v>187</v>
      </c>
      <c r="C874" s="171" t="str">
        <f>VLOOKUP(B874,MEMBERS!B:C,2, )</f>
        <v>MR.SHAN ELAHI SEHGAL</v>
      </c>
      <c r="D874" s="326">
        <v>46008</v>
      </c>
      <c r="E874" s="178">
        <v>1</v>
      </c>
      <c r="F874" s="171" t="s">
        <v>499</v>
      </c>
      <c r="G874" s="168">
        <f>IFERROR(VLOOKUP(F874,'menu list'!B:C,2,FALSE)*E874,"0")</f>
        <v>100</v>
      </c>
      <c r="H874" s="337">
        <f t="shared" si="64"/>
        <v>15</v>
      </c>
      <c r="I874" s="168">
        <f t="shared" si="63"/>
        <v>115</v>
      </c>
    </row>
    <row r="875" spans="1:9" ht="13.2">
      <c r="A875" s="170">
        <f t="shared" si="66"/>
        <v>874</v>
      </c>
      <c r="B875" s="171" t="s">
        <v>187</v>
      </c>
      <c r="C875" s="171" t="str">
        <f>VLOOKUP(B875,MEMBERS!B:C,2, )</f>
        <v>MR.SHAN ELAHI SEHGAL</v>
      </c>
      <c r="D875" s="326">
        <v>46008</v>
      </c>
      <c r="E875" s="178">
        <v>2</v>
      </c>
      <c r="F875" s="171" t="s">
        <v>775</v>
      </c>
      <c r="G875" s="168">
        <f>IFERROR(VLOOKUP(F875,'menu list'!B:C,2,FALSE)*E875,"0")</f>
        <v>200</v>
      </c>
      <c r="H875" s="337">
        <f t="shared" si="64"/>
        <v>30</v>
      </c>
      <c r="I875" s="168">
        <f t="shared" si="63"/>
        <v>230</v>
      </c>
    </row>
    <row r="876" spans="1:9" ht="13.2">
      <c r="A876" s="170">
        <f t="shared" si="66"/>
        <v>875</v>
      </c>
      <c r="B876" s="171" t="s">
        <v>1021</v>
      </c>
      <c r="C876" s="171" t="str">
        <f>VLOOKUP(B876,MEMBERS!B:C,2, )</f>
        <v>MR. AIJAZ ALI BALOCH</v>
      </c>
      <c r="D876" s="326">
        <v>46008</v>
      </c>
      <c r="E876" s="178">
        <v>5</v>
      </c>
      <c r="F876" s="171" t="s">
        <v>439</v>
      </c>
      <c r="G876" s="168">
        <f>IFERROR(VLOOKUP(F876,'menu list'!B:C,2,FALSE)*E876,"0")</f>
        <v>350</v>
      </c>
      <c r="H876" s="337">
        <f t="shared" si="64"/>
        <v>52.5</v>
      </c>
      <c r="I876" s="168">
        <f t="shared" si="63"/>
        <v>402.5</v>
      </c>
    </row>
    <row r="877" spans="1:9" ht="13.2">
      <c r="A877" s="170">
        <f t="shared" si="66"/>
        <v>876</v>
      </c>
      <c r="B877" s="171" t="s">
        <v>1021</v>
      </c>
      <c r="C877" s="171" t="str">
        <f>VLOOKUP(B877,MEMBERS!B:C,2, )</f>
        <v>MR. AIJAZ ALI BALOCH</v>
      </c>
      <c r="D877" s="326">
        <v>46008</v>
      </c>
      <c r="E877" s="178">
        <v>1</v>
      </c>
      <c r="F877" s="171" t="s">
        <v>1011</v>
      </c>
      <c r="G877" s="168">
        <f>IFERROR(VLOOKUP(F877,'menu list'!B:C,2,FALSE)*E877,"0")</f>
        <v>1800</v>
      </c>
      <c r="H877" s="337">
        <f t="shared" si="64"/>
        <v>270</v>
      </c>
      <c r="I877" s="168">
        <f t="shared" si="63"/>
        <v>2070</v>
      </c>
    </row>
    <row r="878" spans="1:9" ht="13.2">
      <c r="A878" s="170">
        <f t="shared" si="66"/>
        <v>877</v>
      </c>
      <c r="B878" s="171" t="s">
        <v>1021</v>
      </c>
      <c r="C878" s="171" t="str">
        <f>VLOOKUP(B878,MEMBERS!B:C,2, )</f>
        <v>MR. AIJAZ ALI BALOCH</v>
      </c>
      <c r="D878" s="326">
        <v>46008</v>
      </c>
      <c r="E878" s="178">
        <v>2</v>
      </c>
      <c r="F878" s="171" t="s">
        <v>443</v>
      </c>
      <c r="G878" s="168">
        <f>IFERROR(VLOOKUP(F878,'menu list'!B:C,2,FALSE)*E878,"0")</f>
        <v>300</v>
      </c>
      <c r="H878" s="337">
        <f t="shared" si="64"/>
        <v>45</v>
      </c>
      <c r="I878" s="168">
        <f t="shared" si="63"/>
        <v>345</v>
      </c>
    </row>
    <row r="879" spans="1:9" ht="13.2">
      <c r="A879" s="170">
        <f t="shared" si="66"/>
        <v>878</v>
      </c>
      <c r="B879" s="171" t="s">
        <v>1021</v>
      </c>
      <c r="C879" s="171" t="str">
        <f>VLOOKUP(B879,MEMBERS!B:C,2, )</f>
        <v>MR. AIJAZ ALI BALOCH</v>
      </c>
      <c r="D879" s="326">
        <v>46008</v>
      </c>
      <c r="E879" s="178">
        <v>2</v>
      </c>
      <c r="F879" s="171" t="s">
        <v>504</v>
      </c>
      <c r="G879" s="168">
        <f>IFERROR(VLOOKUP(F879,'menu list'!B:C,2,FALSE)*E879,"0")</f>
        <v>260</v>
      </c>
      <c r="H879" s="337">
        <f t="shared" si="64"/>
        <v>39</v>
      </c>
      <c r="I879" s="168">
        <f t="shared" si="63"/>
        <v>299</v>
      </c>
    </row>
    <row r="880" spans="1:9" ht="13.2">
      <c r="A880" s="170">
        <f t="shared" si="66"/>
        <v>879</v>
      </c>
      <c r="B880" s="171" t="s">
        <v>1021</v>
      </c>
      <c r="C880" s="171" t="str">
        <f>VLOOKUP(B880,MEMBERS!B:C,2, )</f>
        <v>MR. AIJAZ ALI BALOCH</v>
      </c>
      <c r="D880" s="326">
        <v>46008</v>
      </c>
      <c r="E880" s="178">
        <v>1</v>
      </c>
      <c r="F880" s="171" t="s">
        <v>910</v>
      </c>
      <c r="G880" s="168">
        <f>IFERROR(VLOOKUP(F880,'menu list'!B:C,2,FALSE)*E880,"0")</f>
        <v>300</v>
      </c>
      <c r="H880" s="337">
        <f t="shared" si="64"/>
        <v>45</v>
      </c>
      <c r="I880" s="168">
        <f t="shared" si="63"/>
        <v>345</v>
      </c>
    </row>
    <row r="881" spans="1:9" ht="13.2">
      <c r="A881" s="170">
        <f t="shared" si="66"/>
        <v>880</v>
      </c>
      <c r="B881" s="171" t="s">
        <v>1021</v>
      </c>
      <c r="C881" s="171" t="str">
        <f>VLOOKUP(B881,MEMBERS!B:C,2, )</f>
        <v>MR. AIJAZ ALI BALOCH</v>
      </c>
      <c r="D881" s="326">
        <v>46008</v>
      </c>
      <c r="E881" s="178">
        <v>4</v>
      </c>
      <c r="F881" s="171" t="s">
        <v>502</v>
      </c>
      <c r="G881" s="168">
        <f>IFERROR(VLOOKUP(F881,'menu list'!B:C,2,FALSE)*E881,"0")</f>
        <v>1400</v>
      </c>
      <c r="H881" s="337">
        <f t="shared" si="64"/>
        <v>210</v>
      </c>
      <c r="I881" s="168">
        <f t="shared" si="63"/>
        <v>1610</v>
      </c>
    </row>
    <row r="882" spans="1:9" ht="13.2">
      <c r="A882" s="170">
        <f t="shared" si="66"/>
        <v>881</v>
      </c>
      <c r="B882" s="171" t="s">
        <v>1021</v>
      </c>
      <c r="C882" s="171" t="str">
        <f>VLOOKUP(B882,MEMBERS!B:C,2, )</f>
        <v>MR. AIJAZ ALI BALOCH</v>
      </c>
      <c r="D882" s="326">
        <v>46008</v>
      </c>
      <c r="E882" s="178">
        <v>4</v>
      </c>
      <c r="F882" s="171" t="s">
        <v>442</v>
      </c>
      <c r="G882" s="168">
        <f>IFERROR(VLOOKUP(F882,'menu list'!B:C,2,FALSE)*E882,"0")</f>
        <v>600</v>
      </c>
      <c r="H882" s="337">
        <f t="shared" si="64"/>
        <v>90</v>
      </c>
      <c r="I882" s="168">
        <f t="shared" si="63"/>
        <v>690</v>
      </c>
    </row>
    <row r="883" spans="1:9" ht="13.2">
      <c r="A883" s="170">
        <f t="shared" si="66"/>
        <v>882</v>
      </c>
      <c r="B883" s="171" t="s">
        <v>1021</v>
      </c>
      <c r="C883" s="171" t="str">
        <f>VLOOKUP(B883,MEMBERS!B:C,2, )</f>
        <v>MR. AIJAZ ALI BALOCH</v>
      </c>
      <c r="D883" s="326">
        <v>46008</v>
      </c>
      <c r="E883" s="178">
        <v>1</v>
      </c>
      <c r="F883" s="171" t="s">
        <v>440</v>
      </c>
      <c r="G883" s="168">
        <f>IFERROR(VLOOKUP(F883,'menu list'!B:C,2,FALSE)*E883,"0")</f>
        <v>150</v>
      </c>
      <c r="H883" s="337">
        <f t="shared" si="64"/>
        <v>22.5</v>
      </c>
      <c r="I883" s="168">
        <f t="shared" si="63"/>
        <v>172.5</v>
      </c>
    </row>
    <row r="884" spans="1:9" ht="13.2">
      <c r="A884" s="170">
        <f t="shared" ref="A884:A898" si="67">IF(D884&lt;&gt;"", ROW()-1, "")</f>
        <v>883</v>
      </c>
      <c r="B884" s="171" t="s">
        <v>1021</v>
      </c>
      <c r="C884" s="171" t="str">
        <f>VLOOKUP(B884,MEMBERS!B:C,2, )</f>
        <v>MR. AIJAZ ALI BALOCH</v>
      </c>
      <c r="D884" s="326">
        <v>46008</v>
      </c>
      <c r="E884" s="178">
        <v>1</v>
      </c>
      <c r="F884" s="171" t="s">
        <v>1011</v>
      </c>
      <c r="G884" s="168">
        <f>IFERROR(VLOOKUP(F884,'menu list'!B:C,2,FALSE)*E884,"0")</f>
        <v>1800</v>
      </c>
      <c r="H884" s="337">
        <f t="shared" si="64"/>
        <v>270</v>
      </c>
      <c r="I884" s="168">
        <f t="shared" si="63"/>
        <v>2070</v>
      </c>
    </row>
    <row r="885" spans="1:9" ht="13.2">
      <c r="A885" s="170">
        <f t="shared" si="67"/>
        <v>884</v>
      </c>
      <c r="B885" s="171" t="s">
        <v>1021</v>
      </c>
      <c r="C885" s="171" t="str">
        <f>VLOOKUP(B885,MEMBERS!B:C,2, )</f>
        <v>MR. AIJAZ ALI BALOCH</v>
      </c>
      <c r="D885" s="326">
        <v>46008</v>
      </c>
      <c r="E885" s="178">
        <v>1</v>
      </c>
      <c r="F885" s="171" t="s">
        <v>522</v>
      </c>
      <c r="G885" s="168">
        <f>IFERROR(VLOOKUP(F885,'menu list'!B:C,2,FALSE)*E885,"0")</f>
        <v>1200</v>
      </c>
      <c r="H885" s="337">
        <f t="shared" si="64"/>
        <v>180</v>
      </c>
      <c r="I885" s="168">
        <f t="shared" si="63"/>
        <v>1380</v>
      </c>
    </row>
    <row r="886" spans="1:9" ht="13.2">
      <c r="A886" s="170">
        <f t="shared" si="67"/>
        <v>885</v>
      </c>
      <c r="B886" s="171" t="s">
        <v>1021</v>
      </c>
      <c r="C886" s="171" t="str">
        <f>VLOOKUP(B886,MEMBERS!B:C,2, )</f>
        <v>MR. AIJAZ ALI BALOCH</v>
      </c>
      <c r="D886" s="326">
        <v>46008</v>
      </c>
      <c r="E886" s="178">
        <v>1</v>
      </c>
      <c r="F886" s="171" t="s">
        <v>786</v>
      </c>
      <c r="G886" s="168">
        <f>IFERROR(VLOOKUP(F886,'menu list'!B:C,2,FALSE)*E886,"0")</f>
        <v>1150</v>
      </c>
      <c r="H886" s="337">
        <f t="shared" si="64"/>
        <v>172.5</v>
      </c>
      <c r="I886" s="168">
        <f t="shared" si="63"/>
        <v>1322.5</v>
      </c>
    </row>
    <row r="887" spans="1:9" ht="13.2">
      <c r="A887" s="170">
        <f t="shared" si="67"/>
        <v>886</v>
      </c>
      <c r="B887" s="171" t="s">
        <v>1021</v>
      </c>
      <c r="C887" s="171" t="str">
        <f>VLOOKUP(B887,MEMBERS!B:C,2, )</f>
        <v>MR. AIJAZ ALI BALOCH</v>
      </c>
      <c r="D887" s="326">
        <v>46008</v>
      </c>
      <c r="E887" s="178">
        <v>1</v>
      </c>
      <c r="F887" s="171" t="s">
        <v>910</v>
      </c>
      <c r="G887" s="168">
        <f>IFERROR(VLOOKUP(F887,'menu list'!B:C,2,FALSE)*E887,"0")</f>
        <v>300</v>
      </c>
      <c r="H887" s="337">
        <f t="shared" si="64"/>
        <v>45</v>
      </c>
      <c r="I887" s="168">
        <f t="shared" si="63"/>
        <v>345</v>
      </c>
    </row>
    <row r="888" spans="1:9" ht="13.2">
      <c r="A888" s="170">
        <f t="shared" si="67"/>
        <v>887</v>
      </c>
      <c r="B888" s="171" t="s">
        <v>1021</v>
      </c>
      <c r="C888" s="171" t="str">
        <f>VLOOKUP(B888,MEMBERS!B:C,2, )</f>
        <v>MR. AIJAZ ALI BALOCH</v>
      </c>
      <c r="D888" s="326">
        <v>46008</v>
      </c>
      <c r="E888" s="178">
        <v>1</v>
      </c>
      <c r="F888" s="171" t="s">
        <v>785</v>
      </c>
      <c r="G888" s="168">
        <f>IFERROR(VLOOKUP(F888,'menu list'!B:C,2,FALSE)*E888,"0")</f>
        <v>950</v>
      </c>
      <c r="H888" s="337">
        <f t="shared" si="64"/>
        <v>142.5</v>
      </c>
      <c r="I888" s="168">
        <f t="shared" si="63"/>
        <v>1092.5</v>
      </c>
    </row>
    <row r="889" spans="1:9" ht="13.2">
      <c r="A889" s="170">
        <f t="shared" si="67"/>
        <v>888</v>
      </c>
      <c r="B889" s="171" t="s">
        <v>1021</v>
      </c>
      <c r="C889" s="171" t="str">
        <f>VLOOKUP(B889,MEMBERS!B:C,2, )</f>
        <v>MR. AIJAZ ALI BALOCH</v>
      </c>
      <c r="D889" s="326">
        <v>46008</v>
      </c>
      <c r="E889" s="178">
        <v>1</v>
      </c>
      <c r="F889" s="171" t="s">
        <v>939</v>
      </c>
      <c r="G889" s="168">
        <f>IFERROR(VLOOKUP(F889,'menu list'!B:C,2,FALSE)*E889,"0")</f>
        <v>1200</v>
      </c>
      <c r="H889" s="337">
        <f t="shared" si="64"/>
        <v>180</v>
      </c>
      <c r="I889" s="168">
        <f t="shared" si="63"/>
        <v>1380</v>
      </c>
    </row>
    <row r="890" spans="1:9" ht="13.2">
      <c r="A890" s="170">
        <f t="shared" si="67"/>
        <v>889</v>
      </c>
      <c r="B890" s="171" t="s">
        <v>1021</v>
      </c>
      <c r="C890" s="171" t="str">
        <f>VLOOKUP(B890,MEMBERS!B:C,2, )</f>
        <v>MR. AIJAZ ALI BALOCH</v>
      </c>
      <c r="D890" s="326">
        <v>46008</v>
      </c>
      <c r="E890" s="178">
        <v>1</v>
      </c>
      <c r="F890" s="171" t="s">
        <v>915</v>
      </c>
      <c r="G890" s="168">
        <f>IFERROR(VLOOKUP(F890,'menu list'!B:C,2,FALSE)*E890,"0")</f>
        <v>999</v>
      </c>
      <c r="H890" s="337">
        <f t="shared" si="64"/>
        <v>149.85</v>
      </c>
      <c r="I890" s="168">
        <f t="shared" si="63"/>
        <v>1148.8499999999999</v>
      </c>
    </row>
    <row r="891" spans="1:9" ht="13.2">
      <c r="A891" s="170">
        <f t="shared" si="67"/>
        <v>890</v>
      </c>
      <c r="B891" s="171" t="s">
        <v>1021</v>
      </c>
      <c r="C891" s="171" t="str">
        <f>VLOOKUP(B891,MEMBERS!B:C,2, )</f>
        <v>MR. AIJAZ ALI BALOCH</v>
      </c>
      <c r="D891" s="326">
        <v>46008</v>
      </c>
      <c r="E891" s="178">
        <v>1</v>
      </c>
      <c r="F891" s="171" t="s">
        <v>793</v>
      </c>
      <c r="G891" s="168">
        <f>IFERROR(VLOOKUP(F891,'menu list'!B:C,2,FALSE)*E891,"0")</f>
        <v>800</v>
      </c>
      <c r="H891" s="337">
        <f t="shared" si="64"/>
        <v>120</v>
      </c>
      <c r="I891" s="168">
        <f t="shared" si="63"/>
        <v>920</v>
      </c>
    </row>
    <row r="892" spans="1:9" ht="13.2">
      <c r="A892" s="170">
        <f t="shared" si="67"/>
        <v>891</v>
      </c>
      <c r="B892" s="171" t="s">
        <v>1021</v>
      </c>
      <c r="C892" s="171" t="str">
        <f>VLOOKUP(B892,MEMBERS!B:C,2, )</f>
        <v>MR. AIJAZ ALI BALOCH</v>
      </c>
      <c r="D892" s="326">
        <v>46008</v>
      </c>
      <c r="E892" s="178">
        <v>1</v>
      </c>
      <c r="F892" s="171" t="s">
        <v>441</v>
      </c>
      <c r="G892" s="168">
        <f>IFERROR(VLOOKUP(F892,'menu list'!B:C,2,FALSE)*E892,"0")</f>
        <v>200</v>
      </c>
      <c r="H892" s="337">
        <f t="shared" si="64"/>
        <v>30</v>
      </c>
      <c r="I892" s="168">
        <f t="shared" si="63"/>
        <v>230</v>
      </c>
    </row>
    <row r="893" spans="1:9" ht="13.2">
      <c r="A893" s="170">
        <f t="shared" si="67"/>
        <v>892</v>
      </c>
      <c r="B893" s="171" t="s">
        <v>1021</v>
      </c>
      <c r="C893" s="171" t="str">
        <f>VLOOKUP(B893,MEMBERS!B:C,2, )</f>
        <v>MR. AIJAZ ALI BALOCH</v>
      </c>
      <c r="D893" s="326">
        <v>46008</v>
      </c>
      <c r="E893" s="178">
        <v>1</v>
      </c>
      <c r="F893" s="171" t="s">
        <v>861</v>
      </c>
      <c r="G893" s="168">
        <f>IFERROR(VLOOKUP(F893,'menu list'!B:C,2,FALSE)*E893,"0")</f>
        <v>800</v>
      </c>
      <c r="H893" s="337">
        <f t="shared" si="64"/>
        <v>120</v>
      </c>
      <c r="I893" s="168">
        <f t="shared" si="63"/>
        <v>920</v>
      </c>
    </row>
    <row r="894" spans="1:9" ht="13.2">
      <c r="A894" s="170">
        <f t="shared" si="67"/>
        <v>893</v>
      </c>
      <c r="B894" s="171" t="s">
        <v>1021</v>
      </c>
      <c r="C894" s="171" t="str">
        <f>VLOOKUP(B894,MEMBERS!B:C,2, )</f>
        <v>MR. AIJAZ ALI BALOCH</v>
      </c>
      <c r="D894" s="326">
        <v>46008</v>
      </c>
      <c r="E894" s="178">
        <v>2</v>
      </c>
      <c r="F894" s="171" t="s">
        <v>1057</v>
      </c>
      <c r="G894" s="168">
        <f>IFERROR(VLOOKUP(F894,'menu list'!B:C,2,FALSE)*E894,"0")</f>
        <v>1700</v>
      </c>
      <c r="H894" s="337">
        <f t="shared" si="64"/>
        <v>255</v>
      </c>
      <c r="I894" s="168">
        <f t="shared" si="63"/>
        <v>1955</v>
      </c>
    </row>
    <row r="895" spans="1:9" ht="13.2">
      <c r="A895" s="170">
        <f t="shared" si="67"/>
        <v>894</v>
      </c>
      <c r="B895" s="171" t="s">
        <v>1021</v>
      </c>
      <c r="C895" s="171" t="str">
        <f>VLOOKUP(B895,MEMBERS!B:C,2, )</f>
        <v>MR. AIJAZ ALI BALOCH</v>
      </c>
      <c r="D895" s="326">
        <v>46008</v>
      </c>
      <c r="E895" s="178">
        <v>2</v>
      </c>
      <c r="F895" s="171" t="s">
        <v>502</v>
      </c>
      <c r="G895" s="168">
        <f>IFERROR(VLOOKUP(F895,'menu list'!B:C,2,FALSE)*E895,"0")</f>
        <v>700</v>
      </c>
      <c r="H895" s="337">
        <f t="shared" si="64"/>
        <v>105</v>
      </c>
      <c r="I895" s="168">
        <f t="shared" si="63"/>
        <v>805</v>
      </c>
    </row>
    <row r="896" spans="1:9" ht="13.2">
      <c r="A896" s="170">
        <f t="shared" ref="A896:A897" si="68">IF(D896&lt;&gt;"", ROW()-1, "")</f>
        <v>895</v>
      </c>
      <c r="B896" s="171" t="s">
        <v>1021</v>
      </c>
      <c r="C896" s="171" t="str">
        <f>VLOOKUP(B896,MEMBERS!B:C,2, )</f>
        <v>MR. AIJAZ ALI BALOCH</v>
      </c>
      <c r="D896" s="326">
        <v>46008</v>
      </c>
      <c r="E896" s="178">
        <v>3</v>
      </c>
      <c r="F896" s="171" t="s">
        <v>499</v>
      </c>
      <c r="G896" s="168">
        <f>IFERROR(VLOOKUP(F896,'menu list'!B:C,2,FALSE)*E896,"0")</f>
        <v>300</v>
      </c>
      <c r="H896" s="337">
        <f t="shared" si="64"/>
        <v>45</v>
      </c>
      <c r="I896" s="168">
        <f t="shared" si="63"/>
        <v>345</v>
      </c>
    </row>
    <row r="897" spans="1:9" ht="13.2">
      <c r="A897" s="170">
        <f t="shared" si="68"/>
        <v>896</v>
      </c>
      <c r="B897" s="171" t="s">
        <v>1021</v>
      </c>
      <c r="C897" s="171" t="str">
        <f>VLOOKUP(B897,MEMBERS!B:C,2, )</f>
        <v>MR. AIJAZ ALI BALOCH</v>
      </c>
      <c r="D897" s="326">
        <v>46008</v>
      </c>
      <c r="E897" s="178">
        <v>14</v>
      </c>
      <c r="F897" s="171" t="s">
        <v>1186</v>
      </c>
      <c r="G897" s="168">
        <f>IFERROR(VLOOKUP(F897,'menu list'!B:C,2,FALSE)*E897,"0")</f>
        <v>14000</v>
      </c>
      <c r="H897" s="337">
        <f t="shared" si="64"/>
        <v>2100</v>
      </c>
      <c r="I897" s="168">
        <f t="shared" si="63"/>
        <v>16100</v>
      </c>
    </row>
    <row r="898" spans="1:9" ht="13.2">
      <c r="A898" s="170">
        <f t="shared" si="67"/>
        <v>897</v>
      </c>
      <c r="B898" s="171" t="s">
        <v>1020</v>
      </c>
      <c r="C898" s="171" t="str">
        <f>VLOOKUP(B898,MEMBERS!B:C,2, )</f>
        <v>MR. MUNAWAR HUSSAIN</v>
      </c>
      <c r="D898" s="326">
        <v>46008</v>
      </c>
      <c r="E898" s="178">
        <v>1</v>
      </c>
      <c r="F898" s="171" t="s">
        <v>440</v>
      </c>
      <c r="G898" s="168">
        <f>IFERROR(VLOOKUP(F898,'menu list'!B:C,2,FALSE)*E898,"0")</f>
        <v>150</v>
      </c>
      <c r="H898" s="337">
        <f t="shared" si="64"/>
        <v>22.5</v>
      </c>
      <c r="I898" s="168">
        <f t="shared" si="63"/>
        <v>172.5</v>
      </c>
    </row>
    <row r="899" spans="1:9" ht="13.2">
      <c r="A899" s="170">
        <f t="shared" ref="A899:A906" si="69">IF(D899&lt;&gt;"", ROW()-1, "")</f>
        <v>898</v>
      </c>
      <c r="B899" s="171" t="s">
        <v>1020</v>
      </c>
      <c r="C899" s="171" t="str">
        <f>VLOOKUP(B899,MEMBERS!B:C,2, )</f>
        <v>MR. MUNAWAR HUSSAIN</v>
      </c>
      <c r="D899" s="326">
        <v>46008</v>
      </c>
      <c r="E899" s="178">
        <v>1</v>
      </c>
      <c r="F899" s="171" t="s">
        <v>653</v>
      </c>
      <c r="G899" s="168">
        <f>IFERROR(VLOOKUP(F899,'menu list'!B:C,2,FALSE)*E899,"0")</f>
        <v>350</v>
      </c>
      <c r="H899" s="337">
        <f t="shared" ref="H899:H962" si="70">G899*15/100</f>
        <v>52.5</v>
      </c>
      <c r="I899" s="168">
        <f t="shared" si="63"/>
        <v>402.5</v>
      </c>
    </row>
    <row r="900" spans="1:9" ht="13.2">
      <c r="A900" s="170">
        <f t="shared" si="69"/>
        <v>899</v>
      </c>
      <c r="B900" s="171" t="s">
        <v>1020</v>
      </c>
      <c r="C900" s="171" t="str">
        <f>VLOOKUP(B900,MEMBERS!B:C,2, )</f>
        <v>MR. MUNAWAR HUSSAIN</v>
      </c>
      <c r="D900" s="326">
        <v>46008</v>
      </c>
      <c r="E900" s="178">
        <v>1</v>
      </c>
      <c r="F900" s="171" t="s">
        <v>833</v>
      </c>
      <c r="G900" s="168">
        <f>IFERROR(VLOOKUP(F900,'menu list'!B:C,2,FALSE)*E900,"0")</f>
        <v>350</v>
      </c>
      <c r="H900" s="337">
        <f t="shared" si="70"/>
        <v>52.5</v>
      </c>
      <c r="I900" s="168">
        <f t="shared" ref="I900:I963" si="71">G900+H900</f>
        <v>402.5</v>
      </c>
    </row>
    <row r="901" spans="1:9" ht="13.2">
      <c r="A901" s="170">
        <f t="shared" si="69"/>
        <v>900</v>
      </c>
      <c r="B901" s="171" t="s">
        <v>1020</v>
      </c>
      <c r="C901" s="171" t="str">
        <f>VLOOKUP(B901,MEMBERS!B:C,2, )</f>
        <v>MR. MUNAWAR HUSSAIN</v>
      </c>
      <c r="D901" s="326">
        <v>46008</v>
      </c>
      <c r="E901" s="178">
        <v>1</v>
      </c>
      <c r="F901" s="171" t="s">
        <v>724</v>
      </c>
      <c r="G901" s="168">
        <f>IFERROR(VLOOKUP(F901,'menu list'!B:C,2,FALSE)*E901,"0")</f>
        <v>400</v>
      </c>
      <c r="H901" s="337">
        <f t="shared" si="70"/>
        <v>60</v>
      </c>
      <c r="I901" s="168">
        <f t="shared" si="71"/>
        <v>460</v>
      </c>
    </row>
    <row r="902" spans="1:9" ht="13.2">
      <c r="A902" s="170">
        <f t="shared" si="69"/>
        <v>901</v>
      </c>
      <c r="B902" s="171" t="s">
        <v>1020</v>
      </c>
      <c r="C902" s="171" t="str">
        <f>VLOOKUP(B902,MEMBERS!B:C,2, )</f>
        <v>MR. MUNAWAR HUSSAIN</v>
      </c>
      <c r="D902" s="326">
        <v>46008</v>
      </c>
      <c r="E902" s="178">
        <v>1</v>
      </c>
      <c r="F902" s="171" t="s">
        <v>601</v>
      </c>
      <c r="G902" s="168">
        <f>IFERROR(VLOOKUP(F902,'menu list'!B:C,2,FALSE)*E902,"0")</f>
        <v>1200</v>
      </c>
      <c r="H902" s="337">
        <f t="shared" si="70"/>
        <v>180</v>
      </c>
      <c r="I902" s="168">
        <f t="shared" si="71"/>
        <v>1380</v>
      </c>
    </row>
    <row r="903" spans="1:9" ht="13.2">
      <c r="A903" s="170">
        <f t="shared" si="69"/>
        <v>902</v>
      </c>
      <c r="B903" s="171" t="s">
        <v>1020</v>
      </c>
      <c r="C903" s="171" t="str">
        <f>VLOOKUP(B903,MEMBERS!B:C,2, )</f>
        <v>MR. MUNAWAR HUSSAIN</v>
      </c>
      <c r="D903" s="326">
        <v>46008</v>
      </c>
      <c r="E903" s="178">
        <v>1</v>
      </c>
      <c r="F903" s="171" t="s">
        <v>439</v>
      </c>
      <c r="G903" s="168">
        <f>IFERROR(VLOOKUP(F903,'menu list'!B:C,2,FALSE)*E903,"0")</f>
        <v>70</v>
      </c>
      <c r="H903" s="337">
        <f t="shared" si="70"/>
        <v>10.5</v>
      </c>
      <c r="I903" s="168">
        <f t="shared" si="71"/>
        <v>80.5</v>
      </c>
    </row>
    <row r="904" spans="1:9" ht="13.2">
      <c r="A904" s="170">
        <f t="shared" si="69"/>
        <v>903</v>
      </c>
      <c r="B904" s="171" t="s">
        <v>1020</v>
      </c>
      <c r="C904" s="171" t="str">
        <f>VLOOKUP(B904,MEMBERS!B:C,2, )</f>
        <v>MR. MUNAWAR HUSSAIN</v>
      </c>
      <c r="D904" s="326">
        <v>46008</v>
      </c>
      <c r="E904" s="178">
        <v>1</v>
      </c>
      <c r="F904" s="171" t="s">
        <v>504</v>
      </c>
      <c r="G904" s="168">
        <f>IFERROR(VLOOKUP(F904,'menu list'!B:C,2,FALSE)*E904,"0")</f>
        <v>130</v>
      </c>
      <c r="H904" s="337">
        <f t="shared" si="70"/>
        <v>19.5</v>
      </c>
      <c r="I904" s="168">
        <f t="shared" si="71"/>
        <v>149.5</v>
      </c>
    </row>
    <row r="905" spans="1:9" ht="13.2">
      <c r="A905" s="170">
        <f t="shared" si="69"/>
        <v>904</v>
      </c>
      <c r="B905" s="171" t="s">
        <v>1020</v>
      </c>
      <c r="C905" s="171" t="str">
        <f>VLOOKUP(B905,MEMBERS!B:C,2, )</f>
        <v>MR. MUNAWAR HUSSAIN</v>
      </c>
      <c r="D905" s="326">
        <v>46008</v>
      </c>
      <c r="E905" s="178">
        <v>1</v>
      </c>
      <c r="F905" s="171" t="s">
        <v>836</v>
      </c>
      <c r="G905" s="168">
        <f>IFERROR(VLOOKUP(F905,'menu list'!B:C,2,FALSE)*E905,"0")</f>
        <v>350</v>
      </c>
      <c r="H905" s="337">
        <f t="shared" si="70"/>
        <v>52.5</v>
      </c>
      <c r="I905" s="168">
        <f t="shared" si="71"/>
        <v>402.5</v>
      </c>
    </row>
    <row r="906" spans="1:9" ht="13.2">
      <c r="A906" s="170">
        <f t="shared" si="69"/>
        <v>905</v>
      </c>
      <c r="B906" s="171" t="s">
        <v>1024</v>
      </c>
      <c r="C906" s="171" t="str">
        <f>VLOOKUP(B906,MEMBERS!B:C,2, )</f>
        <v>MR. ANEEL ZAHOOR</v>
      </c>
      <c r="D906" s="326">
        <v>46009</v>
      </c>
      <c r="E906" s="178">
        <v>3</v>
      </c>
      <c r="F906" s="171" t="s">
        <v>633</v>
      </c>
      <c r="G906" s="168">
        <f>IFERROR(VLOOKUP(F906,'menu list'!B:C,2,FALSE)*E906,"0")</f>
        <v>2100</v>
      </c>
      <c r="H906" s="337">
        <f t="shared" si="70"/>
        <v>315</v>
      </c>
      <c r="I906" s="168">
        <f t="shared" si="71"/>
        <v>2415</v>
      </c>
    </row>
    <row r="907" spans="1:9" ht="13.2">
      <c r="A907" s="170">
        <f t="shared" ref="A907:A940" si="72">IF(D907&lt;&gt;"", ROW()-1, "")</f>
        <v>906</v>
      </c>
      <c r="B907" s="171" t="s">
        <v>1024</v>
      </c>
      <c r="C907" s="171" t="str">
        <f>VLOOKUP(B907,MEMBERS!B:C,2, )</f>
        <v>MR. ANEEL ZAHOOR</v>
      </c>
      <c r="D907" s="326">
        <v>46009</v>
      </c>
      <c r="E907" s="178">
        <v>2</v>
      </c>
      <c r="F907" s="171" t="s">
        <v>775</v>
      </c>
      <c r="G907" s="168">
        <f>IFERROR(VLOOKUP(F907,'menu list'!B:C,2,FALSE)*E907,"0")</f>
        <v>200</v>
      </c>
      <c r="H907" s="337">
        <f t="shared" si="70"/>
        <v>30</v>
      </c>
      <c r="I907" s="168">
        <f t="shared" si="71"/>
        <v>230</v>
      </c>
    </row>
    <row r="908" spans="1:9" ht="13.2">
      <c r="A908" s="170">
        <f t="shared" si="72"/>
        <v>907</v>
      </c>
      <c r="B908" s="171" t="s">
        <v>1024</v>
      </c>
      <c r="C908" s="171" t="str">
        <f>VLOOKUP(B908,MEMBERS!B:C,2, )</f>
        <v>MR. ANEEL ZAHOOR</v>
      </c>
      <c r="D908" s="326">
        <v>46009</v>
      </c>
      <c r="E908" s="178">
        <v>2</v>
      </c>
      <c r="F908" s="171" t="s">
        <v>498</v>
      </c>
      <c r="G908" s="168">
        <f>IFERROR(VLOOKUP(F908,'menu list'!B:C,2,FALSE)*E908,"0")</f>
        <v>400</v>
      </c>
      <c r="H908" s="337">
        <f t="shared" si="70"/>
        <v>60</v>
      </c>
      <c r="I908" s="168">
        <f t="shared" si="71"/>
        <v>460</v>
      </c>
    </row>
    <row r="909" spans="1:9" ht="13.2">
      <c r="A909" s="170">
        <f t="shared" si="72"/>
        <v>908</v>
      </c>
      <c r="B909" s="171" t="s">
        <v>1024</v>
      </c>
      <c r="C909" s="171" t="str">
        <f>VLOOKUP(B909,MEMBERS!B:C,2, )</f>
        <v>MR. ANEEL ZAHOOR</v>
      </c>
      <c r="D909" s="326">
        <v>46009</v>
      </c>
      <c r="E909" s="178">
        <v>2</v>
      </c>
      <c r="F909" s="171" t="s">
        <v>442</v>
      </c>
      <c r="G909" s="168">
        <f>IFERROR(VLOOKUP(F909,'menu list'!B:C,2,FALSE)*E909,"0")</f>
        <v>300</v>
      </c>
      <c r="H909" s="337">
        <f t="shared" si="70"/>
        <v>45</v>
      </c>
      <c r="I909" s="168">
        <f t="shared" si="71"/>
        <v>345</v>
      </c>
    </row>
    <row r="910" spans="1:9" ht="13.2">
      <c r="A910" s="170">
        <f t="shared" si="72"/>
        <v>909</v>
      </c>
      <c r="B910" s="171" t="s">
        <v>1024</v>
      </c>
      <c r="C910" s="171" t="str">
        <f>VLOOKUP(B910,MEMBERS!B:C,2, )</f>
        <v>MR. ANEEL ZAHOOR</v>
      </c>
      <c r="D910" s="326">
        <v>46009</v>
      </c>
      <c r="E910" s="178">
        <v>1</v>
      </c>
      <c r="F910" s="171" t="s">
        <v>499</v>
      </c>
      <c r="G910" s="168">
        <f>IFERROR(VLOOKUP(F910,'menu list'!B:C,2,FALSE)*E910,"0")</f>
        <v>100</v>
      </c>
      <c r="H910" s="337">
        <f t="shared" si="70"/>
        <v>15</v>
      </c>
      <c r="I910" s="168">
        <f t="shared" si="71"/>
        <v>115</v>
      </c>
    </row>
    <row r="911" spans="1:9" ht="13.2">
      <c r="A911" s="170">
        <f t="shared" si="72"/>
        <v>910</v>
      </c>
      <c r="B911" s="171" t="s">
        <v>1024</v>
      </c>
      <c r="C911" s="171" t="str">
        <f>VLOOKUP(B911,MEMBERS!B:C,2, )</f>
        <v>MR. ANEEL ZAHOOR</v>
      </c>
      <c r="D911" s="326">
        <v>46009</v>
      </c>
      <c r="E911" s="178">
        <v>2</v>
      </c>
      <c r="F911" s="171" t="s">
        <v>440</v>
      </c>
      <c r="G911" s="168">
        <f>IFERROR(VLOOKUP(F911,'menu list'!B:C,2,FALSE)*E911,"0")</f>
        <v>300</v>
      </c>
      <c r="H911" s="337">
        <f t="shared" si="70"/>
        <v>45</v>
      </c>
      <c r="I911" s="168">
        <f t="shared" si="71"/>
        <v>345</v>
      </c>
    </row>
    <row r="912" spans="1:9" ht="13.2">
      <c r="A912" s="170">
        <f t="shared" si="72"/>
        <v>911</v>
      </c>
      <c r="B912" s="171" t="s">
        <v>1024</v>
      </c>
      <c r="C912" s="171" t="str">
        <f>VLOOKUP(B912,MEMBERS!B:C,2, )</f>
        <v>MR. ANEEL ZAHOOR</v>
      </c>
      <c r="D912" s="326">
        <v>46009</v>
      </c>
      <c r="E912" s="178">
        <v>1</v>
      </c>
      <c r="F912" s="171" t="s">
        <v>740</v>
      </c>
      <c r="G912" s="168">
        <f>IFERROR(VLOOKUP(F912,'menu list'!B:C,2,FALSE)*E912,"0")</f>
        <v>1800</v>
      </c>
      <c r="H912" s="337">
        <f t="shared" si="70"/>
        <v>270</v>
      </c>
      <c r="I912" s="168">
        <f t="shared" si="71"/>
        <v>2070</v>
      </c>
    </row>
    <row r="913" spans="1:9" ht="13.2">
      <c r="A913" s="170">
        <f t="shared" si="72"/>
        <v>912</v>
      </c>
      <c r="B913" s="171" t="s">
        <v>1024</v>
      </c>
      <c r="C913" s="171" t="str">
        <f>VLOOKUP(B913,MEMBERS!B:C,2, )</f>
        <v>MR. ANEEL ZAHOOR</v>
      </c>
      <c r="D913" s="326">
        <v>46009</v>
      </c>
      <c r="E913" s="178">
        <v>1</v>
      </c>
      <c r="F913" s="171" t="s">
        <v>772</v>
      </c>
      <c r="G913" s="168">
        <f>IFERROR(VLOOKUP(F913,'menu list'!B:C,2,FALSE)*E913,"0")</f>
        <v>900</v>
      </c>
      <c r="H913" s="337">
        <f t="shared" si="70"/>
        <v>135</v>
      </c>
      <c r="I913" s="168">
        <f t="shared" si="71"/>
        <v>1035</v>
      </c>
    </row>
    <row r="914" spans="1:9" ht="13.2">
      <c r="A914" s="170">
        <f t="shared" si="72"/>
        <v>913</v>
      </c>
      <c r="B914" s="171" t="s">
        <v>1024</v>
      </c>
      <c r="C914" s="171" t="str">
        <f>VLOOKUP(B914,MEMBERS!B:C,2, )</f>
        <v>MR. ANEEL ZAHOOR</v>
      </c>
      <c r="D914" s="326">
        <v>46009</v>
      </c>
      <c r="E914" s="178">
        <v>1</v>
      </c>
      <c r="F914" s="171" t="s">
        <v>939</v>
      </c>
      <c r="G914" s="168">
        <f>IFERROR(VLOOKUP(F914,'menu list'!B:C,2,FALSE)*E914,"0")</f>
        <v>1200</v>
      </c>
      <c r="H914" s="337">
        <f t="shared" si="70"/>
        <v>180</v>
      </c>
      <c r="I914" s="168">
        <f t="shared" si="71"/>
        <v>1380</v>
      </c>
    </row>
    <row r="915" spans="1:9" ht="13.2">
      <c r="A915" s="170">
        <f t="shared" si="72"/>
        <v>914</v>
      </c>
      <c r="B915" s="171" t="s">
        <v>1024</v>
      </c>
      <c r="C915" s="171" t="str">
        <f>VLOOKUP(B915,MEMBERS!B:C,2, )</f>
        <v>MR. ANEEL ZAHOOR</v>
      </c>
      <c r="D915" s="326">
        <v>46009</v>
      </c>
      <c r="E915" s="178">
        <v>5</v>
      </c>
      <c r="F915" s="171" t="s">
        <v>439</v>
      </c>
      <c r="G915" s="168">
        <f>IFERROR(VLOOKUP(F915,'menu list'!B:C,2,FALSE)*E915,"0")</f>
        <v>350</v>
      </c>
      <c r="H915" s="337">
        <f t="shared" si="70"/>
        <v>52.5</v>
      </c>
      <c r="I915" s="168">
        <f t="shared" si="71"/>
        <v>402.5</v>
      </c>
    </row>
    <row r="916" spans="1:9" ht="13.2">
      <c r="A916" s="170">
        <f t="shared" si="72"/>
        <v>915</v>
      </c>
      <c r="B916" s="171" t="s">
        <v>1024</v>
      </c>
      <c r="C916" s="171" t="str">
        <f>VLOOKUP(B916,MEMBERS!B:C,2, )</f>
        <v>MR. ANEEL ZAHOOR</v>
      </c>
      <c r="D916" s="326">
        <v>46009</v>
      </c>
      <c r="E916" s="178">
        <v>1</v>
      </c>
      <c r="F916" s="171" t="s">
        <v>497</v>
      </c>
      <c r="G916" s="168">
        <f>IFERROR(VLOOKUP(F916,'menu list'!B:C,2,FALSE)*E916,"0")</f>
        <v>250</v>
      </c>
      <c r="H916" s="337">
        <f t="shared" si="70"/>
        <v>37.5</v>
      </c>
      <c r="I916" s="168">
        <f t="shared" si="71"/>
        <v>287.5</v>
      </c>
    </row>
    <row r="917" spans="1:9" ht="13.2">
      <c r="A917" s="170">
        <f t="shared" si="72"/>
        <v>916</v>
      </c>
      <c r="B917" s="171" t="s">
        <v>1024</v>
      </c>
      <c r="C917" s="171" t="str">
        <f>VLOOKUP(B917,MEMBERS!B:C,2, )</f>
        <v>MR. ANEEL ZAHOOR</v>
      </c>
      <c r="D917" s="326">
        <v>46009</v>
      </c>
      <c r="E917" s="178">
        <v>4</v>
      </c>
      <c r="F917" s="171" t="s">
        <v>504</v>
      </c>
      <c r="G917" s="168">
        <f>IFERROR(VLOOKUP(F917,'menu list'!B:C,2,FALSE)*E917,"0")</f>
        <v>520</v>
      </c>
      <c r="H917" s="337">
        <f t="shared" si="70"/>
        <v>78</v>
      </c>
      <c r="I917" s="168">
        <f t="shared" si="71"/>
        <v>598</v>
      </c>
    </row>
    <row r="918" spans="1:9" ht="13.2">
      <c r="A918" s="170">
        <f t="shared" si="72"/>
        <v>917</v>
      </c>
      <c r="B918" s="171" t="s">
        <v>1024</v>
      </c>
      <c r="C918" s="171" t="str">
        <f>VLOOKUP(B918,MEMBERS!B:C,2, )</f>
        <v>MR. ANEEL ZAHOOR</v>
      </c>
      <c r="D918" s="326">
        <v>46009</v>
      </c>
      <c r="E918" s="178">
        <v>4</v>
      </c>
      <c r="F918" s="171" t="s">
        <v>442</v>
      </c>
      <c r="G918" s="168">
        <f>IFERROR(VLOOKUP(F918,'menu list'!B:C,2,FALSE)*E918,"0")</f>
        <v>600</v>
      </c>
      <c r="H918" s="337">
        <f t="shared" si="70"/>
        <v>90</v>
      </c>
      <c r="I918" s="168">
        <f t="shared" si="71"/>
        <v>690</v>
      </c>
    </row>
    <row r="919" spans="1:9" ht="13.2">
      <c r="A919" s="170">
        <f t="shared" si="72"/>
        <v>918</v>
      </c>
      <c r="B919" s="171" t="s">
        <v>1024</v>
      </c>
      <c r="C919" s="171" t="str">
        <f>VLOOKUP(B919,MEMBERS!B:C,2, )</f>
        <v>MR. ANEEL ZAHOOR</v>
      </c>
      <c r="D919" s="326">
        <v>46009</v>
      </c>
      <c r="E919" s="178">
        <v>1</v>
      </c>
      <c r="F919" s="171" t="s">
        <v>502</v>
      </c>
      <c r="G919" s="168">
        <f>IFERROR(VLOOKUP(F919,'menu list'!B:C,2,FALSE)*E919,"0")</f>
        <v>350</v>
      </c>
      <c r="H919" s="337">
        <f t="shared" si="70"/>
        <v>52.5</v>
      </c>
      <c r="I919" s="168">
        <f t="shared" si="71"/>
        <v>402.5</v>
      </c>
    </row>
    <row r="920" spans="1:9" ht="13.2">
      <c r="A920" s="170">
        <f t="shared" si="72"/>
        <v>919</v>
      </c>
      <c r="B920" s="171" t="s">
        <v>1024</v>
      </c>
      <c r="C920" s="171" t="str">
        <f>VLOOKUP(B920,MEMBERS!B:C,2, )</f>
        <v>MR. ANEEL ZAHOOR</v>
      </c>
      <c r="D920" s="326">
        <v>46009</v>
      </c>
      <c r="E920" s="178">
        <v>1</v>
      </c>
      <c r="F920" s="171" t="s">
        <v>852</v>
      </c>
      <c r="G920" s="168">
        <f>IFERROR(VLOOKUP(F920,'menu list'!B:C,2,FALSE)*E920,"0")</f>
        <v>850</v>
      </c>
      <c r="H920" s="337">
        <f t="shared" si="70"/>
        <v>127.5</v>
      </c>
      <c r="I920" s="168">
        <f t="shared" si="71"/>
        <v>977.5</v>
      </c>
    </row>
    <row r="921" spans="1:9" ht="13.2">
      <c r="A921" s="170">
        <f t="shared" si="72"/>
        <v>920</v>
      </c>
      <c r="B921" s="171" t="s">
        <v>1053</v>
      </c>
      <c r="C921" s="171" t="str">
        <f>VLOOKUP(B921,MEMBERS!B:C,2, )</f>
        <v>MR. ZAMIR ALI SHAH</v>
      </c>
      <c r="D921" s="326">
        <v>46009</v>
      </c>
      <c r="E921" s="178">
        <v>1</v>
      </c>
      <c r="F921" s="171" t="s">
        <v>836</v>
      </c>
      <c r="G921" s="168">
        <f>IFERROR(VLOOKUP(F921,'menu list'!B:C,2,FALSE)*E921,"0")</f>
        <v>350</v>
      </c>
      <c r="H921" s="337">
        <f t="shared" si="70"/>
        <v>52.5</v>
      </c>
      <c r="I921" s="168">
        <f t="shared" si="71"/>
        <v>402.5</v>
      </c>
    </row>
    <row r="922" spans="1:9" ht="13.2">
      <c r="A922" s="170">
        <f t="shared" si="72"/>
        <v>921</v>
      </c>
      <c r="B922" s="171" t="s">
        <v>1053</v>
      </c>
      <c r="C922" s="171" t="str">
        <f>VLOOKUP(B922,MEMBERS!B:C,2, )</f>
        <v>MR. ZAMIR ALI SHAH</v>
      </c>
      <c r="D922" s="326">
        <v>46009</v>
      </c>
      <c r="E922" s="178">
        <v>1</v>
      </c>
      <c r="F922" s="171" t="s">
        <v>500</v>
      </c>
      <c r="G922" s="168">
        <f>IFERROR(VLOOKUP(F922,'menu list'!B:C,2,FALSE)*E922,"0")</f>
        <v>1250</v>
      </c>
      <c r="H922" s="337">
        <f t="shared" si="70"/>
        <v>187.5</v>
      </c>
      <c r="I922" s="168">
        <f t="shared" si="71"/>
        <v>1437.5</v>
      </c>
    </row>
    <row r="923" spans="1:9" ht="13.2">
      <c r="A923" s="170">
        <f t="shared" si="72"/>
        <v>922</v>
      </c>
      <c r="B923" s="171" t="s">
        <v>1053</v>
      </c>
      <c r="C923" s="171" t="str">
        <f>VLOOKUP(B923,MEMBERS!B:C,2, )</f>
        <v>MR. ZAMIR ALI SHAH</v>
      </c>
      <c r="D923" s="326">
        <v>46009</v>
      </c>
      <c r="E923" s="178">
        <v>2</v>
      </c>
      <c r="F923" s="171" t="s">
        <v>499</v>
      </c>
      <c r="G923" s="168">
        <f>IFERROR(VLOOKUP(F923,'menu list'!B:C,2,FALSE)*E923,"0")</f>
        <v>200</v>
      </c>
      <c r="H923" s="337">
        <f t="shared" si="70"/>
        <v>30</v>
      </c>
      <c r="I923" s="168">
        <f t="shared" si="71"/>
        <v>230</v>
      </c>
    </row>
    <row r="924" spans="1:9" ht="13.2">
      <c r="A924" s="170">
        <f t="shared" si="72"/>
        <v>923</v>
      </c>
      <c r="B924" s="171" t="s">
        <v>1053</v>
      </c>
      <c r="C924" s="171" t="str">
        <f>VLOOKUP(B924,MEMBERS!B:C,2, )</f>
        <v>MR. ZAMIR ALI SHAH</v>
      </c>
      <c r="D924" s="326">
        <v>46009</v>
      </c>
      <c r="E924" s="178">
        <v>1</v>
      </c>
      <c r="F924" s="171" t="s">
        <v>498</v>
      </c>
      <c r="G924" s="168">
        <f>IFERROR(VLOOKUP(F924,'menu list'!B:C,2,FALSE)*E924,"0")</f>
        <v>200</v>
      </c>
      <c r="H924" s="337">
        <f t="shared" si="70"/>
        <v>30</v>
      </c>
      <c r="I924" s="168">
        <f t="shared" si="71"/>
        <v>230</v>
      </c>
    </row>
    <row r="925" spans="1:9" ht="13.2">
      <c r="A925" s="170">
        <f t="shared" si="72"/>
        <v>924</v>
      </c>
      <c r="B925" s="171" t="s">
        <v>1053</v>
      </c>
      <c r="C925" s="171" t="str">
        <f>VLOOKUP(B925,MEMBERS!B:C,2, )</f>
        <v>MR. ZAMIR ALI SHAH</v>
      </c>
      <c r="D925" s="326">
        <v>46009</v>
      </c>
      <c r="E925" s="178">
        <v>1</v>
      </c>
      <c r="F925" s="171" t="s">
        <v>634</v>
      </c>
      <c r="G925" s="168">
        <f>IFERROR(VLOOKUP(F925,'menu list'!B:C,2,FALSE)*E925,"0")</f>
        <v>500</v>
      </c>
      <c r="H925" s="337">
        <f t="shared" si="70"/>
        <v>75</v>
      </c>
      <c r="I925" s="168">
        <f t="shared" si="71"/>
        <v>575</v>
      </c>
    </row>
    <row r="926" spans="1:9" ht="13.2">
      <c r="A926" s="170">
        <f t="shared" si="72"/>
        <v>925</v>
      </c>
      <c r="B926" s="171" t="s">
        <v>1053</v>
      </c>
      <c r="C926" s="171" t="str">
        <f>VLOOKUP(B926,MEMBERS!B:C,2, )</f>
        <v>MR. ZAMIR ALI SHAH</v>
      </c>
      <c r="D926" s="326">
        <v>46009</v>
      </c>
      <c r="E926" s="178">
        <v>1</v>
      </c>
      <c r="F926" s="171" t="s">
        <v>785</v>
      </c>
      <c r="G926" s="168">
        <f>IFERROR(VLOOKUP(F926,'menu list'!B:C,2,FALSE)*E926,"0")</f>
        <v>950</v>
      </c>
      <c r="H926" s="337">
        <f t="shared" si="70"/>
        <v>142.5</v>
      </c>
      <c r="I926" s="168">
        <f t="shared" si="71"/>
        <v>1092.5</v>
      </c>
    </row>
    <row r="927" spans="1:9" ht="13.2">
      <c r="A927" s="170">
        <f t="shared" si="72"/>
        <v>926</v>
      </c>
      <c r="B927" s="171" t="s">
        <v>1053</v>
      </c>
      <c r="C927" s="171" t="str">
        <f>VLOOKUP(B927,MEMBERS!B:C,2, )</f>
        <v>MR. ZAMIR ALI SHAH</v>
      </c>
      <c r="D927" s="326">
        <v>46009</v>
      </c>
      <c r="E927" s="178">
        <v>1</v>
      </c>
      <c r="F927" s="171" t="s">
        <v>440</v>
      </c>
      <c r="G927" s="168">
        <f>IFERROR(VLOOKUP(F927,'menu list'!B:C,2,FALSE)*E927,"0")</f>
        <v>150</v>
      </c>
      <c r="H927" s="337">
        <f t="shared" si="70"/>
        <v>22.5</v>
      </c>
      <c r="I927" s="168">
        <f t="shared" si="71"/>
        <v>172.5</v>
      </c>
    </row>
    <row r="928" spans="1:9" ht="13.2">
      <c r="A928" s="170">
        <f t="shared" si="72"/>
        <v>927</v>
      </c>
      <c r="B928" s="171" t="s">
        <v>385</v>
      </c>
      <c r="C928" s="171" t="str">
        <f>VLOOKUP(B928,MEMBERS!B:C,2, )</f>
        <v>AYSM MIRZA</v>
      </c>
      <c r="D928" s="326">
        <v>46009</v>
      </c>
      <c r="E928" s="178">
        <v>2</v>
      </c>
      <c r="F928" s="171" t="s">
        <v>532</v>
      </c>
      <c r="G928" s="168">
        <f>IFERROR(VLOOKUP(F928,'menu list'!B:C,2,FALSE)*E928,"0")</f>
        <v>120</v>
      </c>
      <c r="H928" s="337">
        <f t="shared" si="70"/>
        <v>18</v>
      </c>
      <c r="I928" s="168">
        <f t="shared" si="71"/>
        <v>138</v>
      </c>
    </row>
    <row r="929" spans="1:9" ht="13.2">
      <c r="A929" s="170">
        <f t="shared" si="72"/>
        <v>928</v>
      </c>
      <c r="B929" s="171" t="s">
        <v>385</v>
      </c>
      <c r="C929" s="171" t="str">
        <f>VLOOKUP(B929,MEMBERS!B:C,2, )</f>
        <v>AYSM MIRZA</v>
      </c>
      <c r="D929" s="326">
        <v>46009</v>
      </c>
      <c r="E929" s="178">
        <v>1</v>
      </c>
      <c r="F929" s="171" t="s">
        <v>707</v>
      </c>
      <c r="G929" s="168">
        <f>IFERROR(VLOOKUP(F929,'menu list'!B:C,2,FALSE)*E929,"0")</f>
        <v>450</v>
      </c>
      <c r="H929" s="337">
        <f t="shared" si="70"/>
        <v>67.5</v>
      </c>
      <c r="I929" s="168">
        <f t="shared" si="71"/>
        <v>517.5</v>
      </c>
    </row>
    <row r="930" spans="1:9" ht="13.2">
      <c r="A930" s="170">
        <f t="shared" si="72"/>
        <v>929</v>
      </c>
      <c r="B930" s="171" t="s">
        <v>385</v>
      </c>
      <c r="C930" s="171" t="str">
        <f>VLOOKUP(B930,MEMBERS!B:C,2, )</f>
        <v>AYSM MIRZA</v>
      </c>
      <c r="D930" s="326">
        <v>46009</v>
      </c>
      <c r="E930" s="178">
        <v>1</v>
      </c>
      <c r="F930" s="171" t="s">
        <v>498</v>
      </c>
      <c r="G930" s="168">
        <f>IFERROR(VLOOKUP(F930,'menu list'!B:C,2,FALSE)*E930,"0")</f>
        <v>200</v>
      </c>
      <c r="H930" s="337">
        <f t="shared" si="70"/>
        <v>30</v>
      </c>
      <c r="I930" s="168">
        <f t="shared" si="71"/>
        <v>230</v>
      </c>
    </row>
    <row r="931" spans="1:9" ht="13.2">
      <c r="A931" s="170">
        <f t="shared" si="72"/>
        <v>930</v>
      </c>
      <c r="B931" s="171" t="s">
        <v>187</v>
      </c>
      <c r="C931" s="171" t="str">
        <f>VLOOKUP(B931,MEMBERS!B:C,2, )</f>
        <v>MR.SHAN ELAHI SEHGAL</v>
      </c>
      <c r="D931" s="326">
        <v>46009</v>
      </c>
      <c r="E931" s="178">
        <v>2</v>
      </c>
      <c r="F931" s="171" t="s">
        <v>440</v>
      </c>
      <c r="G931" s="168">
        <f>IFERROR(VLOOKUP(F931,'menu list'!B:C,2,FALSE)*E931,"0")</f>
        <v>300</v>
      </c>
      <c r="H931" s="337">
        <f t="shared" si="70"/>
        <v>45</v>
      </c>
      <c r="I931" s="168">
        <f t="shared" si="71"/>
        <v>345</v>
      </c>
    </row>
    <row r="932" spans="1:9" ht="13.2">
      <c r="A932" s="170">
        <f t="shared" si="72"/>
        <v>931</v>
      </c>
      <c r="B932" s="171" t="s">
        <v>187</v>
      </c>
      <c r="C932" s="171" t="str">
        <f>VLOOKUP(B932,MEMBERS!B:C,2, )</f>
        <v>MR.SHAN ELAHI SEHGAL</v>
      </c>
      <c r="D932" s="326">
        <v>46009</v>
      </c>
      <c r="E932" s="178">
        <v>1</v>
      </c>
      <c r="F932" s="171" t="s">
        <v>915</v>
      </c>
      <c r="G932" s="168">
        <f>IFERROR(VLOOKUP(F932,'menu list'!B:C,2,FALSE)*E932,"0")</f>
        <v>999</v>
      </c>
      <c r="H932" s="337">
        <f t="shared" si="70"/>
        <v>149.85</v>
      </c>
      <c r="I932" s="168">
        <f t="shared" si="71"/>
        <v>1148.8499999999999</v>
      </c>
    </row>
    <row r="933" spans="1:9" ht="13.2">
      <c r="A933" s="170">
        <f t="shared" si="72"/>
        <v>932</v>
      </c>
      <c r="B933" s="171" t="s">
        <v>187</v>
      </c>
      <c r="C933" s="171" t="str">
        <f>VLOOKUP(B933,MEMBERS!B:C,2, )</f>
        <v>MR.SHAN ELAHI SEHGAL</v>
      </c>
      <c r="D933" s="326">
        <v>46009</v>
      </c>
      <c r="E933" s="178">
        <v>1</v>
      </c>
      <c r="F933" s="171" t="s">
        <v>522</v>
      </c>
      <c r="G933" s="168">
        <f>IFERROR(VLOOKUP(F933,'menu list'!B:C,2,FALSE)*E933,"0")</f>
        <v>1200</v>
      </c>
      <c r="H933" s="337">
        <f t="shared" si="70"/>
        <v>180</v>
      </c>
      <c r="I933" s="168">
        <f t="shared" si="71"/>
        <v>1380</v>
      </c>
    </row>
    <row r="934" spans="1:9" ht="13.2">
      <c r="A934" s="170">
        <f t="shared" si="72"/>
        <v>933</v>
      </c>
      <c r="B934" s="171" t="s">
        <v>187</v>
      </c>
      <c r="C934" s="171" t="str">
        <f>VLOOKUP(B934,MEMBERS!B:C,2, )</f>
        <v>MR.SHAN ELAHI SEHGAL</v>
      </c>
      <c r="D934" s="326">
        <v>46009</v>
      </c>
      <c r="E934" s="178">
        <v>1</v>
      </c>
      <c r="F934" s="171" t="s">
        <v>939</v>
      </c>
      <c r="G934" s="168">
        <f>IFERROR(VLOOKUP(F934,'menu list'!B:C,2,FALSE)*E934,"0")</f>
        <v>1200</v>
      </c>
      <c r="H934" s="337">
        <f t="shared" si="70"/>
        <v>180</v>
      </c>
      <c r="I934" s="168">
        <f t="shared" si="71"/>
        <v>1380</v>
      </c>
    </row>
    <row r="935" spans="1:9" ht="13.2">
      <c r="A935" s="170">
        <f t="shared" si="72"/>
        <v>934</v>
      </c>
      <c r="B935" s="171" t="s">
        <v>187</v>
      </c>
      <c r="C935" s="171" t="str">
        <f>VLOOKUP(B935,MEMBERS!B:C,2, )</f>
        <v>MR.SHAN ELAHI SEHGAL</v>
      </c>
      <c r="D935" s="326">
        <v>46009</v>
      </c>
      <c r="E935" s="178">
        <v>8</v>
      </c>
      <c r="F935" s="171" t="s">
        <v>439</v>
      </c>
      <c r="G935" s="168">
        <f>IFERROR(VLOOKUP(F935,'menu list'!B:C,2,FALSE)*E935,"0")</f>
        <v>560</v>
      </c>
      <c r="H935" s="337">
        <f t="shared" si="70"/>
        <v>84</v>
      </c>
      <c r="I935" s="168">
        <f t="shared" si="71"/>
        <v>644</v>
      </c>
    </row>
    <row r="936" spans="1:9" ht="13.2">
      <c r="A936" s="170">
        <f t="shared" si="72"/>
        <v>935</v>
      </c>
      <c r="B936" s="171" t="s">
        <v>187</v>
      </c>
      <c r="C936" s="171" t="str">
        <f>VLOOKUP(B936,MEMBERS!B:C,2, )</f>
        <v>MR.SHAN ELAHI SEHGAL</v>
      </c>
      <c r="D936" s="326">
        <v>46009</v>
      </c>
      <c r="E936" s="178">
        <v>1</v>
      </c>
      <c r="F936" s="171" t="s">
        <v>832</v>
      </c>
      <c r="G936" s="168">
        <f>IFERROR(VLOOKUP(F936,'menu list'!B:C,2,FALSE)*E936,"0")</f>
        <v>250</v>
      </c>
      <c r="H936" s="337">
        <f t="shared" si="70"/>
        <v>37.5</v>
      </c>
      <c r="I936" s="168">
        <f t="shared" si="71"/>
        <v>287.5</v>
      </c>
    </row>
    <row r="937" spans="1:9" ht="13.2">
      <c r="A937" s="170">
        <f t="shared" si="72"/>
        <v>936</v>
      </c>
      <c r="B937" s="171" t="s">
        <v>187</v>
      </c>
      <c r="C937" s="171" t="str">
        <f>VLOOKUP(B937,MEMBERS!B:C,2, )</f>
        <v>MR.SHAN ELAHI SEHGAL</v>
      </c>
      <c r="D937" s="326">
        <v>46009</v>
      </c>
      <c r="E937" s="178">
        <v>1</v>
      </c>
      <c r="F937" s="171" t="s">
        <v>833</v>
      </c>
      <c r="G937" s="168">
        <f>IFERROR(VLOOKUP(F937,'menu list'!B:C,2,FALSE)*E937,"0")</f>
        <v>350</v>
      </c>
      <c r="H937" s="337">
        <f t="shared" si="70"/>
        <v>52.5</v>
      </c>
      <c r="I937" s="168">
        <f t="shared" si="71"/>
        <v>402.5</v>
      </c>
    </row>
    <row r="938" spans="1:9" ht="13.2">
      <c r="A938" s="170">
        <f t="shared" si="72"/>
        <v>937</v>
      </c>
      <c r="B938" s="171" t="s">
        <v>187</v>
      </c>
      <c r="C938" s="171" t="str">
        <f>VLOOKUP(B938,MEMBERS!B:C,2, )</f>
        <v>MR.SHAN ELAHI SEHGAL</v>
      </c>
      <c r="D938" s="326">
        <v>46009</v>
      </c>
      <c r="E938" s="178">
        <v>1</v>
      </c>
      <c r="F938" s="171" t="s">
        <v>442</v>
      </c>
      <c r="G938" s="168">
        <f>IFERROR(VLOOKUP(F938,'menu list'!B:C,2,FALSE)*E938,"0")</f>
        <v>150</v>
      </c>
      <c r="H938" s="337">
        <f t="shared" si="70"/>
        <v>22.5</v>
      </c>
      <c r="I938" s="168">
        <f t="shared" si="71"/>
        <v>172.5</v>
      </c>
    </row>
    <row r="939" spans="1:9" ht="13.2">
      <c r="A939" s="170">
        <f t="shared" si="72"/>
        <v>938</v>
      </c>
      <c r="B939" s="171" t="s">
        <v>187</v>
      </c>
      <c r="C939" s="171" t="str">
        <f>VLOOKUP(B939,MEMBERS!B:C,2, )</f>
        <v>MR.SHAN ELAHI SEHGAL</v>
      </c>
      <c r="D939" s="326">
        <v>46009</v>
      </c>
      <c r="E939" s="178">
        <v>1</v>
      </c>
      <c r="F939" s="171" t="s">
        <v>501</v>
      </c>
      <c r="G939" s="168">
        <f>IFERROR(VLOOKUP(F939,'menu list'!B:C,2,FALSE)*E939,"0")</f>
        <v>1200</v>
      </c>
      <c r="H939" s="337">
        <f t="shared" si="70"/>
        <v>180</v>
      </c>
      <c r="I939" s="168">
        <f t="shared" si="71"/>
        <v>1380</v>
      </c>
    </row>
    <row r="940" spans="1:9" ht="13.2">
      <c r="A940" s="170">
        <f t="shared" si="72"/>
        <v>939</v>
      </c>
      <c r="B940" s="171" t="s">
        <v>263</v>
      </c>
      <c r="C940" s="171" t="str">
        <f>VLOOKUP(B940,MEMBERS!B:C,2, )</f>
        <v>MR.CAREL HEDRIK BURGER</v>
      </c>
      <c r="D940" s="326">
        <v>46010</v>
      </c>
      <c r="E940" s="178">
        <v>1</v>
      </c>
      <c r="F940" s="171" t="s">
        <v>498</v>
      </c>
      <c r="G940" s="168">
        <f>IFERROR(VLOOKUP(F940,'menu list'!B:C,2,FALSE)*E940,"0")</f>
        <v>200</v>
      </c>
      <c r="H940" s="337">
        <f t="shared" si="70"/>
        <v>30</v>
      </c>
      <c r="I940" s="168">
        <f t="shared" si="71"/>
        <v>230</v>
      </c>
    </row>
    <row r="941" spans="1:9" ht="13.2">
      <c r="A941" s="170">
        <f t="shared" ref="A941:A1004" si="73">IF(D941&lt;&gt;"", ROW()-1, "")</f>
        <v>940</v>
      </c>
      <c r="B941" s="171" t="s">
        <v>187</v>
      </c>
      <c r="C941" s="171" t="str">
        <f>VLOOKUP(B941,MEMBERS!B:C,2, )</f>
        <v>MR.SHAN ELAHI SEHGAL</v>
      </c>
      <c r="D941" s="326">
        <v>46010</v>
      </c>
      <c r="E941" s="178">
        <v>1</v>
      </c>
      <c r="F941" s="171" t="s">
        <v>498</v>
      </c>
      <c r="G941" s="168">
        <f>IFERROR(VLOOKUP(F941,'menu list'!B:C,2,FALSE)*E941,"0")</f>
        <v>200</v>
      </c>
      <c r="H941" s="337">
        <f t="shared" si="70"/>
        <v>30</v>
      </c>
      <c r="I941" s="168">
        <f t="shared" si="71"/>
        <v>230</v>
      </c>
    </row>
    <row r="942" spans="1:9" ht="13.2">
      <c r="A942" s="170">
        <f t="shared" si="73"/>
        <v>941</v>
      </c>
      <c r="B942" s="171" t="s">
        <v>273</v>
      </c>
      <c r="C942" s="171" t="str">
        <f>VLOOKUP(B942,MEMBERS!B:C,2, )</f>
        <v>MR.SYED MURTAZA ALI</v>
      </c>
      <c r="D942" s="326">
        <v>46010</v>
      </c>
      <c r="E942" s="178">
        <v>1</v>
      </c>
      <c r="F942" s="171" t="s">
        <v>633</v>
      </c>
      <c r="G942" s="168">
        <f>IFERROR(VLOOKUP(F942,'menu list'!B:C,2,FALSE)*E942,"0")</f>
        <v>700</v>
      </c>
      <c r="H942" s="337">
        <f t="shared" si="70"/>
        <v>105</v>
      </c>
      <c r="I942" s="168">
        <f t="shared" si="71"/>
        <v>805</v>
      </c>
    </row>
    <row r="943" spans="1:9" ht="13.2">
      <c r="A943" s="170">
        <f t="shared" si="73"/>
        <v>942</v>
      </c>
      <c r="B943" s="171" t="s">
        <v>273</v>
      </c>
      <c r="C943" s="171" t="str">
        <f>VLOOKUP(B943,MEMBERS!B:C,2, )</f>
        <v>MR.SYED MURTAZA ALI</v>
      </c>
      <c r="D943" s="326">
        <v>46010</v>
      </c>
      <c r="E943" s="178">
        <v>1</v>
      </c>
      <c r="F943" s="171" t="s">
        <v>803</v>
      </c>
      <c r="G943" s="168">
        <f>IFERROR(VLOOKUP(F943,'menu list'!B:C,2,FALSE)*E943,"0")</f>
        <v>250</v>
      </c>
      <c r="H943" s="337">
        <f t="shared" si="70"/>
        <v>37.5</v>
      </c>
      <c r="I943" s="168">
        <f t="shared" si="71"/>
        <v>287.5</v>
      </c>
    </row>
    <row r="944" spans="1:9" ht="13.2">
      <c r="A944" s="170">
        <f t="shared" si="73"/>
        <v>943</v>
      </c>
      <c r="B944" s="171" t="s">
        <v>1039</v>
      </c>
      <c r="C944" s="171" t="str">
        <f>VLOOKUP(B944,MEMBERS!B:C,2, )</f>
        <v>MR. AYAZ JAMRO</v>
      </c>
      <c r="D944" s="326">
        <v>46010</v>
      </c>
      <c r="E944" s="178">
        <v>1</v>
      </c>
      <c r="F944" s="171" t="s">
        <v>440</v>
      </c>
      <c r="G944" s="168">
        <f>IFERROR(VLOOKUP(F944,'menu list'!B:C,2,FALSE)*E944,"0")</f>
        <v>150</v>
      </c>
      <c r="H944" s="337">
        <f t="shared" si="70"/>
        <v>22.5</v>
      </c>
      <c r="I944" s="168">
        <f t="shared" si="71"/>
        <v>172.5</v>
      </c>
    </row>
    <row r="945" spans="1:9" ht="13.2">
      <c r="A945" s="170">
        <f t="shared" si="73"/>
        <v>944</v>
      </c>
      <c r="B945" s="171" t="s">
        <v>1039</v>
      </c>
      <c r="C945" s="171" t="str">
        <f>VLOOKUP(B945,MEMBERS!B:C,2, )</f>
        <v>MR. AYAZ JAMRO</v>
      </c>
      <c r="D945" s="326">
        <v>46010</v>
      </c>
      <c r="E945" s="178">
        <v>1</v>
      </c>
      <c r="F945" s="171" t="s">
        <v>664</v>
      </c>
      <c r="G945" s="168">
        <f>IFERROR(VLOOKUP(F945,'menu list'!B:C,2,FALSE)*E945,"0")</f>
        <v>400</v>
      </c>
      <c r="H945" s="337">
        <f t="shared" si="70"/>
        <v>60</v>
      </c>
      <c r="I945" s="168">
        <f t="shared" si="71"/>
        <v>460</v>
      </c>
    </row>
    <row r="946" spans="1:9" ht="13.2">
      <c r="A946" s="170">
        <f t="shared" si="73"/>
        <v>945</v>
      </c>
      <c r="B946" s="171" t="s">
        <v>1039</v>
      </c>
      <c r="C946" s="171" t="str">
        <f>VLOOKUP(B946,MEMBERS!B:C,2, )</f>
        <v>MR. AYAZ JAMRO</v>
      </c>
      <c r="D946" s="326">
        <v>46010</v>
      </c>
      <c r="E946" s="178">
        <v>1</v>
      </c>
      <c r="F946" s="171" t="s">
        <v>853</v>
      </c>
      <c r="G946" s="168">
        <f>IFERROR(VLOOKUP(F946,'menu list'!B:C,2,FALSE)*E946,"0")</f>
        <v>575</v>
      </c>
      <c r="H946" s="337">
        <f t="shared" si="70"/>
        <v>86.25</v>
      </c>
      <c r="I946" s="168">
        <f t="shared" si="71"/>
        <v>661.25</v>
      </c>
    </row>
    <row r="947" spans="1:9" ht="13.2">
      <c r="A947" s="170">
        <f t="shared" si="73"/>
        <v>946</v>
      </c>
      <c r="B947" s="171" t="s">
        <v>1039</v>
      </c>
      <c r="C947" s="171" t="str">
        <f>VLOOKUP(B947,MEMBERS!B:C,2, )</f>
        <v>MR. AYAZ JAMRO</v>
      </c>
      <c r="D947" s="326">
        <v>46010</v>
      </c>
      <c r="E947" s="178">
        <v>1</v>
      </c>
      <c r="F947" s="171" t="s">
        <v>787</v>
      </c>
      <c r="G947" s="168">
        <f>IFERROR(VLOOKUP(F947,'menu list'!B:C,2,FALSE)*E947,"0")</f>
        <v>900</v>
      </c>
      <c r="H947" s="337">
        <f t="shared" si="70"/>
        <v>135</v>
      </c>
      <c r="I947" s="168">
        <f t="shared" si="71"/>
        <v>1035</v>
      </c>
    </row>
    <row r="948" spans="1:9" ht="13.2">
      <c r="A948" s="170">
        <f t="shared" si="73"/>
        <v>947</v>
      </c>
      <c r="B948" s="171" t="s">
        <v>1039</v>
      </c>
      <c r="C948" s="171" t="str">
        <f>VLOOKUP(B948,MEMBERS!B:C,2, )</f>
        <v>MR. AYAZ JAMRO</v>
      </c>
      <c r="D948" s="326">
        <v>46010</v>
      </c>
      <c r="E948" s="178">
        <v>1</v>
      </c>
      <c r="F948" s="171" t="s">
        <v>601</v>
      </c>
      <c r="G948" s="168">
        <f>IFERROR(VLOOKUP(F948,'menu list'!B:C,2,FALSE)*E948,"0")</f>
        <v>1200</v>
      </c>
      <c r="H948" s="337">
        <f t="shared" si="70"/>
        <v>180</v>
      </c>
      <c r="I948" s="168">
        <f t="shared" si="71"/>
        <v>1380</v>
      </c>
    </row>
    <row r="949" spans="1:9" ht="13.2">
      <c r="A949" s="170">
        <f t="shared" si="73"/>
        <v>948</v>
      </c>
      <c r="B949" s="171" t="s">
        <v>1039</v>
      </c>
      <c r="C949" s="171" t="str">
        <f>VLOOKUP(B949,MEMBERS!B:C,2, )</f>
        <v>MR. AYAZ JAMRO</v>
      </c>
      <c r="D949" s="326">
        <v>46010</v>
      </c>
      <c r="E949" s="178">
        <v>2</v>
      </c>
      <c r="F949" s="171" t="s">
        <v>439</v>
      </c>
      <c r="G949" s="168">
        <f>IFERROR(VLOOKUP(F949,'menu list'!B:C,2,FALSE)*E949,"0")</f>
        <v>140</v>
      </c>
      <c r="H949" s="337">
        <f t="shared" si="70"/>
        <v>21</v>
      </c>
      <c r="I949" s="168">
        <f t="shared" si="71"/>
        <v>161</v>
      </c>
    </row>
    <row r="950" spans="1:9" ht="13.2">
      <c r="A950" s="170">
        <f t="shared" si="73"/>
        <v>949</v>
      </c>
      <c r="B950" s="171" t="s">
        <v>1039</v>
      </c>
      <c r="C950" s="171" t="str">
        <f>VLOOKUP(B950,MEMBERS!B:C,2, )</f>
        <v>MR. AYAZ JAMRO</v>
      </c>
      <c r="D950" s="326">
        <v>46010</v>
      </c>
      <c r="E950" s="178">
        <v>1</v>
      </c>
      <c r="F950" s="171" t="s">
        <v>504</v>
      </c>
      <c r="G950" s="168">
        <f>IFERROR(VLOOKUP(F950,'menu list'!B:C,2,FALSE)*E950,"0")</f>
        <v>130</v>
      </c>
      <c r="H950" s="337">
        <f t="shared" si="70"/>
        <v>19.5</v>
      </c>
      <c r="I950" s="168">
        <f t="shared" si="71"/>
        <v>149.5</v>
      </c>
    </row>
    <row r="951" spans="1:9" ht="13.2">
      <c r="A951" s="170">
        <f t="shared" si="73"/>
        <v>950</v>
      </c>
      <c r="B951" s="171" t="s">
        <v>1039</v>
      </c>
      <c r="C951" s="171" t="str">
        <f>VLOOKUP(B951,MEMBERS!B:C,2, )</f>
        <v>MR. AYAZ JAMRO</v>
      </c>
      <c r="D951" s="326">
        <v>46010</v>
      </c>
      <c r="E951" s="178">
        <v>2</v>
      </c>
      <c r="F951" s="171" t="s">
        <v>442</v>
      </c>
      <c r="G951" s="168">
        <f>IFERROR(VLOOKUP(F951,'menu list'!B:C,2,FALSE)*E951,"0")</f>
        <v>300</v>
      </c>
      <c r="H951" s="337">
        <f t="shared" si="70"/>
        <v>45</v>
      </c>
      <c r="I951" s="168">
        <f t="shared" si="71"/>
        <v>345</v>
      </c>
    </row>
    <row r="952" spans="1:9" ht="13.2">
      <c r="A952" s="170">
        <f t="shared" si="73"/>
        <v>951</v>
      </c>
      <c r="B952" s="171" t="s">
        <v>1039</v>
      </c>
      <c r="C952" s="171" t="str">
        <f>VLOOKUP(B952,MEMBERS!B:C,2, )</f>
        <v>MR. AYAZ JAMRO</v>
      </c>
      <c r="D952" s="326">
        <v>46010</v>
      </c>
      <c r="E952" s="178">
        <v>1</v>
      </c>
      <c r="F952" s="171" t="s">
        <v>836</v>
      </c>
      <c r="G952" s="168">
        <f>IFERROR(VLOOKUP(F952,'menu list'!B:C,2,FALSE)*E952,"0")</f>
        <v>350</v>
      </c>
      <c r="H952" s="337">
        <f t="shared" si="70"/>
        <v>52.5</v>
      </c>
      <c r="I952" s="168">
        <f t="shared" si="71"/>
        <v>402.5</v>
      </c>
    </row>
    <row r="953" spans="1:9" ht="13.2">
      <c r="A953" s="170">
        <f t="shared" si="73"/>
        <v>952</v>
      </c>
      <c r="B953" s="171" t="s">
        <v>762</v>
      </c>
      <c r="C953" s="171" t="str">
        <f>VLOOKUP(B953,MEMBERS!B:C,2, )</f>
        <v>MR. KASHIF SAEED</v>
      </c>
      <c r="D953" s="326">
        <v>46010</v>
      </c>
      <c r="E953" s="178">
        <v>1</v>
      </c>
      <c r="F953" s="171" t="s">
        <v>828</v>
      </c>
      <c r="G953" s="168">
        <f>IFERROR(VLOOKUP(F953,'menu list'!B:C,2,FALSE)*E953,"0")</f>
        <v>850</v>
      </c>
      <c r="H953" s="337">
        <f t="shared" si="70"/>
        <v>127.5</v>
      </c>
      <c r="I953" s="168">
        <f t="shared" si="71"/>
        <v>977.5</v>
      </c>
    </row>
    <row r="954" spans="1:9" ht="13.2">
      <c r="A954" s="170">
        <f t="shared" si="73"/>
        <v>953</v>
      </c>
      <c r="B954" s="171" t="s">
        <v>762</v>
      </c>
      <c r="C954" s="171" t="str">
        <f>VLOOKUP(B954,MEMBERS!B:C,2, )</f>
        <v>MR. KASHIF SAEED</v>
      </c>
      <c r="D954" s="326">
        <v>46010</v>
      </c>
      <c r="E954" s="178">
        <v>1</v>
      </c>
      <c r="F954" s="171" t="s">
        <v>801</v>
      </c>
      <c r="G954" s="168">
        <f>IFERROR(VLOOKUP(F954,'menu list'!B:C,2,FALSE)*E954,"0")</f>
        <v>700</v>
      </c>
      <c r="H954" s="337">
        <f t="shared" si="70"/>
        <v>105</v>
      </c>
      <c r="I954" s="168">
        <f t="shared" si="71"/>
        <v>805</v>
      </c>
    </row>
    <row r="955" spans="1:9" ht="13.2">
      <c r="A955" s="170">
        <f t="shared" si="73"/>
        <v>954</v>
      </c>
      <c r="B955" s="171" t="s">
        <v>762</v>
      </c>
      <c r="C955" s="171" t="str">
        <f>VLOOKUP(B955,MEMBERS!B:C,2, )</f>
        <v>MR. KASHIF SAEED</v>
      </c>
      <c r="D955" s="326">
        <v>46010</v>
      </c>
      <c r="E955" s="178">
        <v>1</v>
      </c>
      <c r="F955" s="171" t="s">
        <v>898</v>
      </c>
      <c r="G955" s="168">
        <f>IFERROR(VLOOKUP(F955,'menu list'!B:C,2,FALSE)*E955,"0")</f>
        <v>1000</v>
      </c>
      <c r="H955" s="337">
        <f t="shared" si="70"/>
        <v>150</v>
      </c>
      <c r="I955" s="168">
        <f t="shared" si="71"/>
        <v>1150</v>
      </c>
    </row>
    <row r="956" spans="1:9" ht="13.2">
      <c r="A956" s="170">
        <f t="shared" si="73"/>
        <v>955</v>
      </c>
      <c r="B956" s="171" t="s">
        <v>762</v>
      </c>
      <c r="C956" s="171" t="str">
        <f>VLOOKUP(B956,MEMBERS!B:C,2, )</f>
        <v>MR. KASHIF SAEED</v>
      </c>
      <c r="D956" s="326">
        <v>46010</v>
      </c>
      <c r="E956" s="178">
        <v>1</v>
      </c>
      <c r="F956" s="171" t="s">
        <v>812</v>
      </c>
      <c r="G956" s="168">
        <f>IFERROR(VLOOKUP(F956,'menu list'!B:C,2,FALSE)*E956,"0")</f>
        <v>950</v>
      </c>
      <c r="H956" s="337">
        <f t="shared" si="70"/>
        <v>142.5</v>
      </c>
      <c r="I956" s="168">
        <f t="shared" si="71"/>
        <v>1092.5</v>
      </c>
    </row>
    <row r="957" spans="1:9" ht="13.2">
      <c r="A957" s="170">
        <f t="shared" si="73"/>
        <v>956</v>
      </c>
      <c r="B957" s="171" t="s">
        <v>762</v>
      </c>
      <c r="C957" s="171" t="str">
        <f>VLOOKUP(B957,MEMBERS!B:C,2, )</f>
        <v>MR. KASHIF SAEED</v>
      </c>
      <c r="D957" s="326">
        <v>46010</v>
      </c>
      <c r="E957" s="178">
        <v>2</v>
      </c>
      <c r="F957" s="171" t="s">
        <v>502</v>
      </c>
      <c r="G957" s="168">
        <f>IFERROR(VLOOKUP(F957,'menu list'!B:C,2,FALSE)*E957,"0")</f>
        <v>700</v>
      </c>
      <c r="H957" s="337">
        <f t="shared" si="70"/>
        <v>105</v>
      </c>
      <c r="I957" s="168">
        <f t="shared" si="71"/>
        <v>805</v>
      </c>
    </row>
    <row r="958" spans="1:9" ht="13.2">
      <c r="A958" s="170">
        <f t="shared" si="73"/>
        <v>957</v>
      </c>
      <c r="B958" s="171" t="s">
        <v>762</v>
      </c>
      <c r="C958" s="171" t="str">
        <f>VLOOKUP(B958,MEMBERS!B:C,2, )</f>
        <v>MR. KASHIF SAEED</v>
      </c>
      <c r="D958" s="326">
        <v>46010</v>
      </c>
      <c r="E958" s="178">
        <v>1</v>
      </c>
      <c r="F958" s="171" t="s">
        <v>442</v>
      </c>
      <c r="G958" s="168">
        <f>IFERROR(VLOOKUP(F958,'menu list'!B:C,2,FALSE)*E958,"0")</f>
        <v>150</v>
      </c>
      <c r="H958" s="337">
        <f t="shared" si="70"/>
        <v>22.5</v>
      </c>
      <c r="I958" s="168">
        <f t="shared" si="71"/>
        <v>172.5</v>
      </c>
    </row>
    <row r="959" spans="1:9" ht="13.2">
      <c r="A959" s="170">
        <f t="shared" si="73"/>
        <v>958</v>
      </c>
      <c r="B959" s="171" t="s">
        <v>762</v>
      </c>
      <c r="C959" s="171" t="str">
        <f>VLOOKUP(B959,MEMBERS!B:C,2, )</f>
        <v>MR. KASHIF SAEED</v>
      </c>
      <c r="D959" s="326">
        <v>46010</v>
      </c>
      <c r="E959" s="178">
        <v>1</v>
      </c>
      <c r="F959" s="171" t="s">
        <v>440</v>
      </c>
      <c r="G959" s="168">
        <f>IFERROR(VLOOKUP(F959,'menu list'!B:C,2,FALSE)*E959,"0")</f>
        <v>150</v>
      </c>
      <c r="H959" s="337">
        <f t="shared" si="70"/>
        <v>22.5</v>
      </c>
      <c r="I959" s="168">
        <f t="shared" si="71"/>
        <v>172.5</v>
      </c>
    </row>
    <row r="960" spans="1:9" ht="13.2">
      <c r="A960" s="170">
        <f t="shared" si="73"/>
        <v>959</v>
      </c>
      <c r="B960" s="171" t="s">
        <v>762</v>
      </c>
      <c r="C960" s="171" t="str">
        <f>VLOOKUP(B960,MEMBERS!B:C,2, )</f>
        <v>MR. KASHIF SAEED</v>
      </c>
      <c r="D960" s="326">
        <v>46010</v>
      </c>
      <c r="E960" s="178">
        <v>1</v>
      </c>
      <c r="F960" s="171" t="s">
        <v>611</v>
      </c>
      <c r="G960" s="168">
        <f>IFERROR(VLOOKUP(F960,'menu list'!B:C,2,FALSE)*E960,"0")</f>
        <v>400</v>
      </c>
      <c r="H960" s="337">
        <f t="shared" si="70"/>
        <v>60</v>
      </c>
      <c r="I960" s="168">
        <f t="shared" si="71"/>
        <v>460</v>
      </c>
    </row>
    <row r="961" spans="1:9" ht="13.2">
      <c r="A961" s="170">
        <f t="shared" si="73"/>
        <v>960</v>
      </c>
      <c r="B961" s="171" t="s">
        <v>282</v>
      </c>
      <c r="C961" s="171" t="str">
        <f>VLOOKUP(B961,MEMBERS!B:C,2, )</f>
        <v>ZULFIQAR AHMED MEMON</v>
      </c>
      <c r="D961" s="326">
        <v>46010</v>
      </c>
      <c r="E961" s="178">
        <v>4</v>
      </c>
      <c r="F961" s="171" t="s">
        <v>633</v>
      </c>
      <c r="G961" s="168">
        <f>IFERROR(VLOOKUP(F961,'menu list'!B:C,2,FALSE)*E961,"0")</f>
        <v>2800</v>
      </c>
      <c r="H961" s="337">
        <f t="shared" si="70"/>
        <v>420</v>
      </c>
      <c r="I961" s="168">
        <f t="shared" si="71"/>
        <v>3220</v>
      </c>
    </row>
    <row r="962" spans="1:9" ht="13.2">
      <c r="A962" s="170">
        <f t="shared" si="73"/>
        <v>961</v>
      </c>
      <c r="B962" s="171" t="s">
        <v>282</v>
      </c>
      <c r="C962" s="171" t="str">
        <f>VLOOKUP(B962,MEMBERS!B:C,2, )</f>
        <v>ZULFIQAR AHMED MEMON</v>
      </c>
      <c r="D962" s="326">
        <v>46010</v>
      </c>
      <c r="E962" s="178">
        <v>1</v>
      </c>
      <c r="F962" s="171" t="s">
        <v>500</v>
      </c>
      <c r="G962" s="168">
        <f>IFERROR(VLOOKUP(F962,'menu list'!B:C,2,FALSE)*E962,"0")</f>
        <v>1250</v>
      </c>
      <c r="H962" s="337">
        <f t="shared" si="70"/>
        <v>187.5</v>
      </c>
      <c r="I962" s="168">
        <f t="shared" si="71"/>
        <v>1437.5</v>
      </c>
    </row>
    <row r="963" spans="1:9" ht="13.2">
      <c r="A963" s="170">
        <f t="shared" si="73"/>
        <v>962</v>
      </c>
      <c r="B963" s="171" t="s">
        <v>282</v>
      </c>
      <c r="C963" s="171" t="str">
        <f>VLOOKUP(B963,MEMBERS!B:C,2, )</f>
        <v>ZULFIQAR AHMED MEMON</v>
      </c>
      <c r="D963" s="326">
        <v>46010</v>
      </c>
      <c r="E963" s="178">
        <v>2</v>
      </c>
      <c r="F963" s="171" t="s">
        <v>803</v>
      </c>
      <c r="G963" s="168">
        <f>IFERROR(VLOOKUP(F963,'menu list'!B:C,2,FALSE)*E963,"0")</f>
        <v>500</v>
      </c>
      <c r="H963" s="337">
        <f t="shared" ref="H963:H1026" si="74">G963*15/100</f>
        <v>75</v>
      </c>
      <c r="I963" s="168">
        <f t="shared" si="71"/>
        <v>575</v>
      </c>
    </row>
    <row r="964" spans="1:9" ht="13.2">
      <c r="A964" s="170">
        <f t="shared" si="73"/>
        <v>963</v>
      </c>
      <c r="B964" s="171" t="s">
        <v>282</v>
      </c>
      <c r="C964" s="171" t="str">
        <f>VLOOKUP(B964,MEMBERS!B:C,2, )</f>
        <v>ZULFIQAR AHMED MEMON</v>
      </c>
      <c r="D964" s="326">
        <v>46010</v>
      </c>
      <c r="E964" s="178">
        <v>1</v>
      </c>
      <c r="F964" s="171" t="s">
        <v>440</v>
      </c>
      <c r="G964" s="168">
        <f>IFERROR(VLOOKUP(F964,'menu list'!B:C,2,FALSE)*E964,"0")</f>
        <v>150</v>
      </c>
      <c r="H964" s="337">
        <f t="shared" si="74"/>
        <v>22.5</v>
      </c>
      <c r="I964" s="168">
        <f t="shared" ref="I964:I1027" si="75">G964+H964</f>
        <v>172.5</v>
      </c>
    </row>
    <row r="965" spans="1:9" ht="13.2">
      <c r="A965" s="170">
        <f t="shared" si="73"/>
        <v>964</v>
      </c>
      <c r="B965" s="171" t="s">
        <v>282</v>
      </c>
      <c r="C965" s="171" t="str">
        <f>VLOOKUP(B965,MEMBERS!B:C,2, )</f>
        <v>ZULFIQAR AHMED MEMON</v>
      </c>
      <c r="D965" s="326">
        <v>46010</v>
      </c>
      <c r="E965" s="178">
        <v>3</v>
      </c>
      <c r="F965" s="171" t="s">
        <v>442</v>
      </c>
      <c r="G965" s="168">
        <f>IFERROR(VLOOKUP(F965,'menu list'!B:C,2,FALSE)*E965,"0")</f>
        <v>450</v>
      </c>
      <c r="H965" s="337">
        <f t="shared" si="74"/>
        <v>67.5</v>
      </c>
      <c r="I965" s="168">
        <f t="shared" si="75"/>
        <v>517.5</v>
      </c>
    </row>
    <row r="966" spans="1:9" ht="13.2">
      <c r="A966" s="170">
        <f t="shared" si="73"/>
        <v>965</v>
      </c>
      <c r="B966" s="171" t="s">
        <v>395</v>
      </c>
      <c r="C966" s="171" t="str">
        <f>VLOOKUP(B966,MEMBERS!B:C,2, )</f>
        <v>BAHRIA INTERNATIONAL HOSPITAL</v>
      </c>
      <c r="D966" s="326">
        <v>46010</v>
      </c>
      <c r="E966" s="178">
        <v>30</v>
      </c>
      <c r="F966" s="171" t="s">
        <v>775</v>
      </c>
      <c r="G966" s="168">
        <f>IFERROR(VLOOKUP(F966,'menu list'!B:C,2,FALSE)*E966,"0")</f>
        <v>3000</v>
      </c>
      <c r="H966" s="337"/>
      <c r="I966" s="168">
        <f t="shared" si="75"/>
        <v>3000</v>
      </c>
    </row>
    <row r="967" spans="1:9" ht="13.2">
      <c r="A967" s="170">
        <f t="shared" si="73"/>
        <v>966</v>
      </c>
      <c r="B967" s="171" t="s">
        <v>395</v>
      </c>
      <c r="C967" s="171" t="str">
        <f>VLOOKUP(B967,MEMBERS!B:C,2, )</f>
        <v>BAHRIA INTERNATIONAL HOSPITAL</v>
      </c>
      <c r="D967" s="326">
        <v>46010</v>
      </c>
      <c r="E967" s="178">
        <v>12</v>
      </c>
      <c r="F967" s="171" t="s">
        <v>516</v>
      </c>
      <c r="G967" s="168">
        <f>IFERROR(VLOOKUP(F967,'menu list'!B:C,2,FALSE)*E967,"0")</f>
        <v>3000</v>
      </c>
      <c r="H967" s="337"/>
      <c r="I967" s="168">
        <f t="shared" si="75"/>
        <v>3000</v>
      </c>
    </row>
    <row r="968" spans="1:9" ht="13.2">
      <c r="A968" s="170">
        <f t="shared" si="73"/>
        <v>967</v>
      </c>
      <c r="B968" s="171" t="s">
        <v>395</v>
      </c>
      <c r="C968" s="171" t="str">
        <f>VLOOKUP(B968,MEMBERS!B:C,2, )</f>
        <v>BAHRIA INTERNATIONAL HOSPITAL</v>
      </c>
      <c r="D968" s="326">
        <v>46010</v>
      </c>
      <c r="E968" s="178">
        <v>10</v>
      </c>
      <c r="F968" s="171" t="s">
        <v>558</v>
      </c>
      <c r="G968" s="168">
        <f>IFERROR(VLOOKUP(F968,'menu list'!B:C,2,FALSE)*E968,"0")</f>
        <v>1500</v>
      </c>
      <c r="H968" s="337"/>
      <c r="I968" s="168">
        <f t="shared" si="75"/>
        <v>1500</v>
      </c>
    </row>
    <row r="969" spans="1:9" ht="13.2">
      <c r="A969" s="170">
        <f t="shared" si="73"/>
        <v>968</v>
      </c>
      <c r="B969" s="171" t="s">
        <v>395</v>
      </c>
      <c r="C969" s="171" t="str">
        <f>VLOOKUP(B969,MEMBERS!B:C,2, )</f>
        <v>BAHRIA INTERNATIONAL HOSPITAL</v>
      </c>
      <c r="D969" s="326">
        <v>46010</v>
      </c>
      <c r="E969" s="178">
        <v>6</v>
      </c>
      <c r="F969" s="171" t="s">
        <v>660</v>
      </c>
      <c r="G969" s="168">
        <f>IFERROR(VLOOKUP(F969,'menu list'!B:C,2,FALSE)*E969,"0")</f>
        <v>900</v>
      </c>
      <c r="H969" s="337"/>
      <c r="I969" s="168">
        <f t="shared" si="75"/>
        <v>900</v>
      </c>
    </row>
    <row r="970" spans="1:9" ht="13.2">
      <c r="A970" s="170">
        <f t="shared" si="73"/>
        <v>969</v>
      </c>
      <c r="B970" s="171" t="s">
        <v>395</v>
      </c>
      <c r="C970" s="171" t="str">
        <f>VLOOKUP(B970,MEMBERS!B:C,2, )</f>
        <v>BAHRIA INTERNATIONAL HOSPITAL</v>
      </c>
      <c r="D970" s="326">
        <v>46010</v>
      </c>
      <c r="E970" s="178">
        <v>2</v>
      </c>
      <c r="F970" s="171" t="s">
        <v>705</v>
      </c>
      <c r="G970" s="168">
        <f>IFERROR(VLOOKUP(F970,'menu list'!B:C,2,FALSE)*E970,"0")</f>
        <v>1600</v>
      </c>
      <c r="H970" s="337"/>
      <c r="I970" s="168">
        <f t="shared" si="75"/>
        <v>1600</v>
      </c>
    </row>
    <row r="971" spans="1:9" ht="13.2">
      <c r="A971" s="170">
        <f t="shared" si="73"/>
        <v>970</v>
      </c>
      <c r="B971" s="171" t="s">
        <v>98</v>
      </c>
      <c r="C971" s="171" t="str">
        <f>VLOOKUP(B971,MEMBERS!B:C,2, )</f>
        <v>MR.HAFEEZ AHMED SIYAL</v>
      </c>
      <c r="D971" s="326">
        <v>46010</v>
      </c>
      <c r="E971" s="178">
        <v>4</v>
      </c>
      <c r="F971" s="171" t="s">
        <v>833</v>
      </c>
      <c r="G971" s="168">
        <f>IFERROR(VLOOKUP(F971,'menu list'!B:C,2,FALSE)*E971,"0")</f>
        <v>1400</v>
      </c>
      <c r="H971" s="337">
        <f t="shared" si="74"/>
        <v>210</v>
      </c>
      <c r="I971" s="168">
        <f t="shared" si="75"/>
        <v>1610</v>
      </c>
    </row>
    <row r="972" spans="1:9" ht="13.2">
      <c r="A972" s="170">
        <f t="shared" si="73"/>
        <v>971</v>
      </c>
      <c r="B972" s="171" t="s">
        <v>98</v>
      </c>
      <c r="C972" s="171" t="str">
        <f>VLOOKUP(B972,MEMBERS!B:C,2, )</f>
        <v>MR.HAFEEZ AHMED SIYAL</v>
      </c>
      <c r="D972" s="326">
        <v>46010</v>
      </c>
      <c r="E972" s="178">
        <v>1</v>
      </c>
      <c r="F972" s="171" t="s">
        <v>858</v>
      </c>
      <c r="G972" s="168">
        <f>IFERROR(VLOOKUP(F972,'menu list'!B:C,2,FALSE)*E972,"0")</f>
        <v>500</v>
      </c>
      <c r="H972" s="337">
        <f t="shared" si="74"/>
        <v>75</v>
      </c>
      <c r="I972" s="168">
        <f t="shared" si="75"/>
        <v>575</v>
      </c>
    </row>
    <row r="973" spans="1:9" ht="13.2">
      <c r="A973" s="170">
        <f t="shared" si="73"/>
        <v>972</v>
      </c>
      <c r="B973" s="171" t="s">
        <v>98</v>
      </c>
      <c r="C973" s="171" t="str">
        <f>VLOOKUP(B973,MEMBERS!B:C,2, )</f>
        <v>MR.HAFEEZ AHMED SIYAL</v>
      </c>
      <c r="D973" s="326">
        <v>46010</v>
      </c>
      <c r="E973" s="178">
        <v>1</v>
      </c>
      <c r="F973" s="171" t="s">
        <v>497</v>
      </c>
      <c r="G973" s="168">
        <f>IFERROR(VLOOKUP(F973,'menu list'!B:C,2,FALSE)*E973,"0")</f>
        <v>250</v>
      </c>
      <c r="H973" s="337">
        <f t="shared" si="74"/>
        <v>37.5</v>
      </c>
      <c r="I973" s="168">
        <f t="shared" si="75"/>
        <v>287.5</v>
      </c>
    </row>
    <row r="974" spans="1:9" ht="13.2">
      <c r="A974" s="170">
        <f t="shared" si="73"/>
        <v>973</v>
      </c>
      <c r="B974" s="171" t="s">
        <v>98</v>
      </c>
      <c r="C974" s="171" t="str">
        <f>VLOOKUP(B974,MEMBERS!B:C,2, )</f>
        <v>MR.HAFEEZ AHMED SIYAL</v>
      </c>
      <c r="D974" s="326">
        <v>46010</v>
      </c>
      <c r="E974" s="178">
        <v>1</v>
      </c>
      <c r="F974" s="171" t="s">
        <v>499</v>
      </c>
      <c r="G974" s="168">
        <f>IFERROR(VLOOKUP(F974,'menu list'!B:C,2,FALSE)*E974,"0")</f>
        <v>100</v>
      </c>
      <c r="H974" s="337">
        <f t="shared" si="74"/>
        <v>15</v>
      </c>
      <c r="I974" s="168">
        <f t="shared" si="75"/>
        <v>115</v>
      </c>
    </row>
    <row r="975" spans="1:9" ht="13.2">
      <c r="A975" s="170">
        <f t="shared" si="73"/>
        <v>974</v>
      </c>
      <c r="B975" s="171" t="s">
        <v>312</v>
      </c>
      <c r="C975" s="171" t="str">
        <f>VLOOKUP(B975,MEMBERS!B:C,2, )</f>
        <v>GM GHULAM DASTAGEER</v>
      </c>
      <c r="D975" s="326">
        <v>46010</v>
      </c>
      <c r="E975" s="178">
        <v>1</v>
      </c>
      <c r="F975" s="171" t="s">
        <v>858</v>
      </c>
      <c r="G975" s="168">
        <f>IFERROR(VLOOKUP(F975,'menu list'!B:C,2,FALSE)*E975,"0")</f>
        <v>500</v>
      </c>
      <c r="H975" s="337">
        <f t="shared" si="74"/>
        <v>75</v>
      </c>
      <c r="I975" s="168">
        <f t="shared" si="75"/>
        <v>575</v>
      </c>
    </row>
    <row r="976" spans="1:9" ht="13.2">
      <c r="A976" s="170">
        <f t="shared" si="73"/>
        <v>975</v>
      </c>
      <c r="B976" s="171" t="s">
        <v>312</v>
      </c>
      <c r="C976" s="171" t="str">
        <f>VLOOKUP(B976,MEMBERS!B:C,2, )</f>
        <v>GM GHULAM DASTAGEER</v>
      </c>
      <c r="D976" s="326">
        <v>46010</v>
      </c>
      <c r="E976" s="178">
        <v>1</v>
      </c>
      <c r="F976" s="171" t="s">
        <v>497</v>
      </c>
      <c r="G976" s="168">
        <f>IFERROR(VLOOKUP(F976,'menu list'!B:C,2,FALSE)*E976,"0")</f>
        <v>250</v>
      </c>
      <c r="H976" s="337">
        <f t="shared" si="74"/>
        <v>37.5</v>
      </c>
      <c r="I976" s="168">
        <f t="shared" si="75"/>
        <v>287.5</v>
      </c>
    </row>
    <row r="977" spans="1:9" ht="13.2">
      <c r="A977" s="170">
        <f t="shared" si="73"/>
        <v>976</v>
      </c>
      <c r="B977" s="171" t="s">
        <v>312</v>
      </c>
      <c r="C977" s="171" t="str">
        <f>VLOOKUP(B977,MEMBERS!B:C,2, )</f>
        <v>GM GHULAM DASTAGEER</v>
      </c>
      <c r="D977" s="326">
        <v>46010</v>
      </c>
      <c r="E977" s="178">
        <v>1</v>
      </c>
      <c r="F977" s="171" t="s">
        <v>499</v>
      </c>
      <c r="G977" s="168">
        <f>IFERROR(VLOOKUP(F977,'menu list'!B:C,2,FALSE)*E977,"0")</f>
        <v>100</v>
      </c>
      <c r="H977" s="337">
        <f t="shared" si="74"/>
        <v>15</v>
      </c>
      <c r="I977" s="168">
        <f t="shared" si="75"/>
        <v>115</v>
      </c>
    </row>
    <row r="978" spans="1:9" ht="13.2">
      <c r="A978" s="170">
        <f t="shared" si="73"/>
        <v>977</v>
      </c>
      <c r="B978" s="171" t="s">
        <v>430</v>
      </c>
      <c r="C978" s="171" t="str">
        <f>VLOOKUP(B978,MEMBERS!B:C,2, )</f>
        <v>SYED JIBRAN MUSHTAQ</v>
      </c>
      <c r="D978" s="326">
        <v>46010</v>
      </c>
      <c r="E978" s="178">
        <v>2</v>
      </c>
      <c r="F978" s="171" t="s">
        <v>1190</v>
      </c>
      <c r="G978" s="168">
        <v>900</v>
      </c>
      <c r="H978" s="337">
        <f t="shared" si="74"/>
        <v>135</v>
      </c>
      <c r="I978" s="168">
        <f t="shared" si="75"/>
        <v>1035</v>
      </c>
    </row>
    <row r="979" spans="1:9" ht="13.2">
      <c r="A979" s="170">
        <f t="shared" si="73"/>
        <v>978</v>
      </c>
      <c r="B979" s="171" t="s">
        <v>948</v>
      </c>
      <c r="C979" s="171" t="str">
        <f>VLOOKUP(B979,MEMBERS!B:C,2, )</f>
        <v>MR. TEHSEEN FAIZ</v>
      </c>
      <c r="D979" s="326">
        <v>46010</v>
      </c>
      <c r="E979" s="178">
        <v>1</v>
      </c>
      <c r="F979" s="171" t="s">
        <v>497</v>
      </c>
      <c r="G979" s="168">
        <f>IFERROR(VLOOKUP(F979,'menu list'!B:C,2,FALSE)*E979,"0")</f>
        <v>250</v>
      </c>
      <c r="H979" s="337">
        <f t="shared" si="74"/>
        <v>37.5</v>
      </c>
      <c r="I979" s="168">
        <f t="shared" si="75"/>
        <v>287.5</v>
      </c>
    </row>
    <row r="980" spans="1:9" ht="13.2">
      <c r="A980" s="170">
        <f t="shared" si="73"/>
        <v>979</v>
      </c>
      <c r="B980" s="171" t="s">
        <v>374</v>
      </c>
      <c r="C980" s="171" t="str">
        <f>VLOOKUP(B980,MEMBERS!B:C,2, )</f>
        <v>AAMIR RASOOL</v>
      </c>
      <c r="D980" s="326">
        <v>46010</v>
      </c>
      <c r="E980" s="178">
        <v>1</v>
      </c>
      <c r="F980" s="171" t="s">
        <v>500</v>
      </c>
      <c r="G980" s="168">
        <f>IFERROR(VLOOKUP(F980,'menu list'!B:C,2,FALSE)*E980,"0")</f>
        <v>1250</v>
      </c>
      <c r="H980" s="337">
        <f t="shared" si="74"/>
        <v>187.5</v>
      </c>
      <c r="I980" s="168">
        <f t="shared" si="75"/>
        <v>1437.5</v>
      </c>
    </row>
    <row r="981" spans="1:9" ht="13.2">
      <c r="A981" s="170">
        <f t="shared" si="73"/>
        <v>980</v>
      </c>
      <c r="B981" s="171" t="s">
        <v>374</v>
      </c>
      <c r="C981" s="171" t="str">
        <f>VLOOKUP(B981,MEMBERS!B:C,2, )</f>
        <v>AAMIR RASOOL</v>
      </c>
      <c r="D981" s="326">
        <v>46010</v>
      </c>
      <c r="E981" s="178">
        <v>2</v>
      </c>
      <c r="F981" s="171" t="s">
        <v>498</v>
      </c>
      <c r="G981" s="168">
        <f>IFERROR(VLOOKUP(F981,'menu list'!B:C,2,FALSE)*E981,"0")</f>
        <v>400</v>
      </c>
      <c r="H981" s="337">
        <f t="shared" si="74"/>
        <v>60</v>
      </c>
      <c r="I981" s="168">
        <f t="shared" si="75"/>
        <v>460</v>
      </c>
    </row>
    <row r="982" spans="1:9" ht="13.2">
      <c r="A982" s="170">
        <f t="shared" si="73"/>
        <v>981</v>
      </c>
      <c r="B982" s="171" t="s">
        <v>374</v>
      </c>
      <c r="C982" s="171" t="str">
        <f>VLOOKUP(B982,MEMBERS!B:C,2, )</f>
        <v>AAMIR RASOOL</v>
      </c>
      <c r="D982" s="326">
        <v>46010</v>
      </c>
      <c r="E982" s="178">
        <v>1</v>
      </c>
      <c r="F982" s="171" t="s">
        <v>440</v>
      </c>
      <c r="G982" s="168">
        <f>IFERROR(VLOOKUP(F982,'menu list'!B:C,2,FALSE)*E982,"0")</f>
        <v>150</v>
      </c>
      <c r="H982" s="337">
        <f t="shared" si="74"/>
        <v>22.5</v>
      </c>
      <c r="I982" s="168">
        <f t="shared" si="75"/>
        <v>172.5</v>
      </c>
    </row>
    <row r="983" spans="1:9" ht="13.2">
      <c r="A983" s="170">
        <f t="shared" si="73"/>
        <v>982</v>
      </c>
      <c r="B983" s="171" t="s">
        <v>426</v>
      </c>
      <c r="C983" s="171" t="str">
        <f>VLOOKUP(B983,MEMBERS!B:C,2, )</f>
        <v>NASIR ABBAS</v>
      </c>
      <c r="D983" s="326">
        <v>46011</v>
      </c>
      <c r="E983" s="178">
        <v>2</v>
      </c>
      <c r="F983" s="171" t="s">
        <v>713</v>
      </c>
      <c r="G983" s="168">
        <f>IFERROR(VLOOKUP(F983,'menu list'!B:C,2,FALSE)*E983,"0")</f>
        <v>900</v>
      </c>
      <c r="H983" s="337">
        <f t="shared" si="74"/>
        <v>135</v>
      </c>
      <c r="I983" s="168">
        <f t="shared" si="75"/>
        <v>1035</v>
      </c>
    </row>
    <row r="984" spans="1:9" ht="13.2">
      <c r="A984" s="170">
        <f t="shared" si="73"/>
        <v>983</v>
      </c>
      <c r="B984" s="171" t="s">
        <v>426</v>
      </c>
      <c r="C984" s="171" t="str">
        <f>VLOOKUP(B984,MEMBERS!B:C,2, )</f>
        <v>NASIR ABBAS</v>
      </c>
      <c r="D984" s="326">
        <v>46011</v>
      </c>
      <c r="E984" s="178">
        <v>5</v>
      </c>
      <c r="F984" s="171" t="s">
        <v>921</v>
      </c>
      <c r="G984" s="168">
        <f>IFERROR(VLOOKUP(F984,'menu list'!B:C,2,FALSE)*E984,"0")</f>
        <v>1500</v>
      </c>
      <c r="H984" s="337">
        <f t="shared" si="74"/>
        <v>225</v>
      </c>
      <c r="I984" s="168">
        <f t="shared" si="75"/>
        <v>1725</v>
      </c>
    </row>
    <row r="985" spans="1:9" ht="13.2">
      <c r="A985" s="170">
        <f t="shared" si="73"/>
        <v>984</v>
      </c>
      <c r="B985" s="171" t="s">
        <v>426</v>
      </c>
      <c r="C985" s="171" t="str">
        <f>VLOOKUP(B985,MEMBERS!B:C,2, )</f>
        <v>NASIR ABBAS</v>
      </c>
      <c r="D985" s="326">
        <v>46011</v>
      </c>
      <c r="E985" s="178">
        <v>2</v>
      </c>
      <c r="F985" s="171" t="s">
        <v>974</v>
      </c>
      <c r="G985" s="168">
        <f>IFERROR(VLOOKUP(F985,'menu list'!B:C,2,FALSE)*E985,"0")</f>
        <v>900</v>
      </c>
      <c r="H985" s="337">
        <f t="shared" si="74"/>
        <v>135</v>
      </c>
      <c r="I985" s="168">
        <f t="shared" si="75"/>
        <v>1035</v>
      </c>
    </row>
    <row r="986" spans="1:9" ht="13.2">
      <c r="A986" s="170">
        <f t="shared" si="73"/>
        <v>985</v>
      </c>
      <c r="B986" s="171" t="s">
        <v>426</v>
      </c>
      <c r="C986" s="171" t="str">
        <f>VLOOKUP(B986,MEMBERS!B:C,2, )</f>
        <v>NASIR ABBAS</v>
      </c>
      <c r="D986" s="326">
        <v>46011</v>
      </c>
      <c r="E986" s="178">
        <v>8</v>
      </c>
      <c r="F986" s="171" t="s">
        <v>886</v>
      </c>
      <c r="G986" s="168">
        <f>IFERROR(VLOOKUP(F986,'menu list'!B:C,2,FALSE)*E986,"0")</f>
        <v>1200</v>
      </c>
      <c r="H986" s="337">
        <f t="shared" si="74"/>
        <v>180</v>
      </c>
      <c r="I986" s="168">
        <f t="shared" si="75"/>
        <v>1380</v>
      </c>
    </row>
    <row r="987" spans="1:9" ht="13.2">
      <c r="A987" s="170">
        <f t="shared" si="73"/>
        <v>986</v>
      </c>
      <c r="B987" s="171" t="s">
        <v>426</v>
      </c>
      <c r="C987" s="171" t="str">
        <f>VLOOKUP(B987,MEMBERS!B:C,2, )</f>
        <v>NASIR ABBAS</v>
      </c>
      <c r="D987" s="326">
        <v>46011</v>
      </c>
      <c r="E987" s="178">
        <v>5</v>
      </c>
      <c r="F987" s="171" t="s">
        <v>498</v>
      </c>
      <c r="G987" s="168">
        <f>IFERROR(VLOOKUP(F987,'menu list'!B:C,2,FALSE)*E987,"0")</f>
        <v>1000</v>
      </c>
      <c r="H987" s="337">
        <f t="shared" si="74"/>
        <v>150</v>
      </c>
      <c r="I987" s="168">
        <f t="shared" si="75"/>
        <v>1150</v>
      </c>
    </row>
    <row r="988" spans="1:9" ht="13.2">
      <c r="A988" s="170">
        <f t="shared" si="73"/>
        <v>987</v>
      </c>
      <c r="B988" s="171" t="s">
        <v>426</v>
      </c>
      <c r="C988" s="171" t="str">
        <f>VLOOKUP(B988,MEMBERS!B:C,2, )</f>
        <v>NASIR ABBAS</v>
      </c>
      <c r="D988" s="326">
        <v>46011</v>
      </c>
      <c r="E988" s="178">
        <v>5</v>
      </c>
      <c r="F988" s="171" t="s">
        <v>1191</v>
      </c>
      <c r="G988" s="168">
        <f>IFERROR(VLOOKUP(F988,'menu list'!B:C,2,FALSE)*E988,"0")</f>
        <v>2000</v>
      </c>
      <c r="H988" s="337">
        <f t="shared" si="74"/>
        <v>300</v>
      </c>
      <c r="I988" s="168">
        <f t="shared" si="75"/>
        <v>2300</v>
      </c>
    </row>
    <row r="989" spans="1:9" ht="13.2">
      <c r="A989" s="170">
        <f t="shared" si="73"/>
        <v>988</v>
      </c>
      <c r="B989" s="171" t="s">
        <v>426</v>
      </c>
      <c r="C989" s="171" t="str">
        <f>VLOOKUP(B989,MEMBERS!B:C,2, )</f>
        <v>NASIR ABBAS</v>
      </c>
      <c r="D989" s="326">
        <v>46011</v>
      </c>
      <c r="E989" s="178">
        <v>1</v>
      </c>
      <c r="F989" s="171" t="s">
        <v>440</v>
      </c>
      <c r="G989" s="168">
        <f>IFERROR(VLOOKUP(F989,'menu list'!B:C,2,FALSE)*E989,"0")</f>
        <v>150</v>
      </c>
      <c r="H989" s="337">
        <f t="shared" si="74"/>
        <v>22.5</v>
      </c>
      <c r="I989" s="168">
        <f t="shared" si="75"/>
        <v>172.5</v>
      </c>
    </row>
    <row r="990" spans="1:9" ht="13.2">
      <c r="A990" s="170">
        <f t="shared" si="73"/>
        <v>989</v>
      </c>
      <c r="B990" s="171" t="s">
        <v>113</v>
      </c>
      <c r="C990" s="171" t="str">
        <f>VLOOKUP(B990,MEMBERS!B:C,2, )</f>
        <v>MR.MANOJ KUMAR</v>
      </c>
      <c r="D990" s="326">
        <v>46011</v>
      </c>
      <c r="E990" s="178">
        <v>1</v>
      </c>
      <c r="F990" s="171" t="s">
        <v>440</v>
      </c>
      <c r="G990" s="168">
        <f>IFERROR(VLOOKUP(F990,'menu list'!B:C,2,FALSE)*E990,"0")</f>
        <v>150</v>
      </c>
      <c r="H990" s="337">
        <f t="shared" si="74"/>
        <v>22.5</v>
      </c>
      <c r="I990" s="168">
        <f t="shared" si="75"/>
        <v>172.5</v>
      </c>
    </row>
    <row r="991" spans="1:9" ht="13.2">
      <c r="A991" s="170">
        <f t="shared" si="73"/>
        <v>990</v>
      </c>
      <c r="B991" s="171" t="s">
        <v>113</v>
      </c>
      <c r="C991" s="171" t="str">
        <f>VLOOKUP(B991,MEMBERS!B:C,2, )</f>
        <v>MR.MANOJ KUMAR</v>
      </c>
      <c r="D991" s="326">
        <v>46011</v>
      </c>
      <c r="E991" s="178">
        <v>1</v>
      </c>
      <c r="F991" s="171" t="s">
        <v>799</v>
      </c>
      <c r="G991" s="168">
        <f>IFERROR(VLOOKUP(F991,'menu list'!B:C,2,FALSE)*E991,"0")</f>
        <v>1700</v>
      </c>
      <c r="H991" s="337">
        <f t="shared" si="74"/>
        <v>255</v>
      </c>
      <c r="I991" s="168">
        <f t="shared" si="75"/>
        <v>1955</v>
      </c>
    </row>
    <row r="992" spans="1:9" ht="13.2">
      <c r="A992" s="170">
        <f t="shared" si="73"/>
        <v>991</v>
      </c>
      <c r="B992" s="171" t="s">
        <v>113</v>
      </c>
      <c r="C992" s="171" t="str">
        <f>VLOOKUP(B992,MEMBERS!B:C,2, )</f>
        <v>MR.MANOJ KUMAR</v>
      </c>
      <c r="D992" s="326">
        <v>46011</v>
      </c>
      <c r="E992" s="178">
        <v>1</v>
      </c>
      <c r="F992" s="171" t="s">
        <v>772</v>
      </c>
      <c r="G992" s="168">
        <f>IFERROR(VLOOKUP(F992,'menu list'!B:C,2,FALSE)*E992,"0")</f>
        <v>900</v>
      </c>
      <c r="H992" s="337">
        <f t="shared" si="74"/>
        <v>135</v>
      </c>
      <c r="I992" s="168">
        <f t="shared" si="75"/>
        <v>1035</v>
      </c>
    </row>
    <row r="993" spans="1:9" ht="13.2">
      <c r="A993" s="170">
        <f t="shared" si="73"/>
        <v>992</v>
      </c>
      <c r="B993" s="171" t="s">
        <v>113</v>
      </c>
      <c r="C993" s="171" t="str">
        <f>VLOOKUP(B993,MEMBERS!B:C,2, )</f>
        <v>MR.MANOJ KUMAR</v>
      </c>
      <c r="D993" s="326">
        <v>46011</v>
      </c>
      <c r="E993" s="178">
        <v>1</v>
      </c>
      <c r="F993" s="171" t="s">
        <v>793</v>
      </c>
      <c r="G993" s="168">
        <f>IFERROR(VLOOKUP(F993,'menu list'!B:C,2,FALSE)*E993,"0")</f>
        <v>800</v>
      </c>
      <c r="H993" s="337">
        <f t="shared" si="74"/>
        <v>120</v>
      </c>
      <c r="I993" s="168">
        <f t="shared" si="75"/>
        <v>920</v>
      </c>
    </row>
    <row r="994" spans="1:9" ht="13.2">
      <c r="A994" s="170">
        <f t="shared" si="73"/>
        <v>993</v>
      </c>
      <c r="B994" s="171" t="s">
        <v>113</v>
      </c>
      <c r="C994" s="171" t="str">
        <f>VLOOKUP(B994,MEMBERS!B:C,2, )</f>
        <v>MR.MANOJ KUMAR</v>
      </c>
      <c r="D994" s="326">
        <v>46011</v>
      </c>
      <c r="E994" s="178">
        <v>2</v>
      </c>
      <c r="F994" s="171" t="s">
        <v>439</v>
      </c>
      <c r="G994" s="168">
        <f>IFERROR(VLOOKUP(F994,'menu list'!B:C,2,FALSE)*E994,"0")</f>
        <v>140</v>
      </c>
      <c r="H994" s="337">
        <f t="shared" si="74"/>
        <v>21</v>
      </c>
      <c r="I994" s="168">
        <f t="shared" si="75"/>
        <v>161</v>
      </c>
    </row>
    <row r="995" spans="1:9" ht="13.2">
      <c r="A995" s="170">
        <f t="shared" si="73"/>
        <v>994</v>
      </c>
      <c r="B995" s="171" t="s">
        <v>113</v>
      </c>
      <c r="C995" s="171" t="str">
        <f>VLOOKUP(B995,MEMBERS!B:C,2, )</f>
        <v>MR.MANOJ KUMAR</v>
      </c>
      <c r="D995" s="326">
        <v>46011</v>
      </c>
      <c r="E995" s="178">
        <v>2</v>
      </c>
      <c r="F995" s="171" t="s">
        <v>504</v>
      </c>
      <c r="G995" s="168">
        <f>IFERROR(VLOOKUP(F995,'menu list'!B:C,2,FALSE)*E995,"0")</f>
        <v>260</v>
      </c>
      <c r="H995" s="337">
        <f t="shared" si="74"/>
        <v>39</v>
      </c>
      <c r="I995" s="168">
        <f t="shared" si="75"/>
        <v>299</v>
      </c>
    </row>
    <row r="996" spans="1:9" ht="13.2">
      <c r="A996" s="170">
        <f t="shared" si="73"/>
        <v>995</v>
      </c>
      <c r="B996" s="171" t="s">
        <v>113</v>
      </c>
      <c r="C996" s="171" t="str">
        <f>VLOOKUP(B996,MEMBERS!B:C,2, )</f>
        <v>MR.MANOJ KUMAR</v>
      </c>
      <c r="D996" s="326">
        <v>46011</v>
      </c>
      <c r="E996" s="178">
        <v>1</v>
      </c>
      <c r="F996" s="171" t="s">
        <v>441</v>
      </c>
      <c r="G996" s="168">
        <f>IFERROR(VLOOKUP(F996,'menu list'!B:C,2,FALSE)*E996,"0")</f>
        <v>200</v>
      </c>
      <c r="H996" s="337">
        <f t="shared" si="74"/>
        <v>30</v>
      </c>
      <c r="I996" s="168">
        <f t="shared" si="75"/>
        <v>230</v>
      </c>
    </row>
    <row r="997" spans="1:9" ht="13.2">
      <c r="A997" s="170">
        <f t="shared" si="73"/>
        <v>996</v>
      </c>
      <c r="B997" s="171" t="s">
        <v>197</v>
      </c>
      <c r="C997" s="171" t="str">
        <f>VLOOKUP(B997,MEMBERS!B:C,2, )</f>
        <v>MR.MUHAMMAD ATIF USMANI</v>
      </c>
      <c r="D997" s="326">
        <v>46011</v>
      </c>
      <c r="E997" s="178">
        <v>1</v>
      </c>
      <c r="F997" s="171" t="s">
        <v>653</v>
      </c>
      <c r="G997" s="168">
        <f>IFERROR(VLOOKUP(F997,'menu list'!B:C,2,FALSE)*E997,"0")</f>
        <v>350</v>
      </c>
      <c r="H997" s="337">
        <f t="shared" si="74"/>
        <v>52.5</v>
      </c>
      <c r="I997" s="168">
        <f t="shared" si="75"/>
        <v>402.5</v>
      </c>
    </row>
    <row r="998" spans="1:9" ht="13.2">
      <c r="A998" s="170">
        <f t="shared" si="73"/>
        <v>997</v>
      </c>
      <c r="B998" s="171" t="s">
        <v>197</v>
      </c>
      <c r="C998" s="171" t="str">
        <f>VLOOKUP(B998,MEMBERS!B:C,2, )</f>
        <v>MR.MUHAMMAD ATIF USMANI</v>
      </c>
      <c r="D998" s="326">
        <v>46011</v>
      </c>
      <c r="E998" s="178">
        <v>1</v>
      </c>
      <c r="F998" s="171" t="s">
        <v>939</v>
      </c>
      <c r="G998" s="168">
        <f>IFERROR(VLOOKUP(F998,'menu list'!B:C,2,FALSE)*E998,"0")</f>
        <v>1200</v>
      </c>
      <c r="H998" s="337">
        <f t="shared" si="74"/>
        <v>180</v>
      </c>
      <c r="I998" s="168">
        <f t="shared" si="75"/>
        <v>1380</v>
      </c>
    </row>
    <row r="999" spans="1:9" ht="13.2">
      <c r="A999" s="170">
        <f t="shared" si="73"/>
        <v>998</v>
      </c>
      <c r="B999" s="171" t="s">
        <v>197</v>
      </c>
      <c r="C999" s="171" t="str">
        <f>VLOOKUP(B999,MEMBERS!B:C,2, )</f>
        <v>MR.MUHAMMAD ATIF USMANI</v>
      </c>
      <c r="D999" s="326">
        <v>46011</v>
      </c>
      <c r="E999" s="178">
        <v>2</v>
      </c>
      <c r="F999" s="171" t="s">
        <v>439</v>
      </c>
      <c r="G999" s="168">
        <f>IFERROR(VLOOKUP(F999,'menu list'!B:C,2,FALSE)*E999,"0")</f>
        <v>140</v>
      </c>
      <c r="H999" s="337">
        <f t="shared" si="74"/>
        <v>21</v>
      </c>
      <c r="I999" s="168">
        <f t="shared" si="75"/>
        <v>161</v>
      </c>
    </row>
    <row r="1000" spans="1:9" ht="13.2">
      <c r="A1000" s="170">
        <f t="shared" si="73"/>
        <v>999</v>
      </c>
      <c r="B1000" s="171" t="s">
        <v>197</v>
      </c>
      <c r="C1000" s="171" t="str">
        <f>VLOOKUP(B1000,MEMBERS!B:C,2, )</f>
        <v>MR.MUHAMMAD ATIF USMANI</v>
      </c>
      <c r="D1000" s="326">
        <v>46011</v>
      </c>
      <c r="E1000" s="178">
        <v>1</v>
      </c>
      <c r="F1000" s="171" t="s">
        <v>440</v>
      </c>
      <c r="G1000" s="168">
        <f>IFERROR(VLOOKUP(F1000,'menu list'!B:C,2,FALSE)*E1000,"0")</f>
        <v>150</v>
      </c>
      <c r="H1000" s="337">
        <f t="shared" si="74"/>
        <v>22.5</v>
      </c>
      <c r="I1000" s="168">
        <f t="shared" si="75"/>
        <v>172.5</v>
      </c>
    </row>
    <row r="1001" spans="1:9" ht="13.2">
      <c r="A1001" s="170">
        <f t="shared" si="73"/>
        <v>1000</v>
      </c>
      <c r="B1001" s="171" t="s">
        <v>93</v>
      </c>
      <c r="C1001" s="171" t="str">
        <f>VLOOKUP(B1001,MEMBERS!B:C,2, )</f>
        <v>MR.NIZAM UDDIN NIZAMANI</v>
      </c>
      <c r="D1001" s="326">
        <v>46011</v>
      </c>
      <c r="E1001" s="178">
        <v>1</v>
      </c>
      <c r="F1001" s="171" t="s">
        <v>833</v>
      </c>
      <c r="G1001" s="168">
        <f>IFERROR(VLOOKUP(F1001,'menu list'!B:C,2,FALSE)*E1001,"0")</f>
        <v>350</v>
      </c>
      <c r="H1001" s="337">
        <f t="shared" si="74"/>
        <v>52.5</v>
      </c>
      <c r="I1001" s="168">
        <f t="shared" si="75"/>
        <v>402.5</v>
      </c>
    </row>
    <row r="1002" spans="1:9" ht="13.2">
      <c r="A1002" s="170">
        <f t="shared" si="73"/>
        <v>1001</v>
      </c>
      <c r="B1002" s="171" t="s">
        <v>93</v>
      </c>
      <c r="C1002" s="171" t="str">
        <f>VLOOKUP(B1002,MEMBERS!B:C,2, )</f>
        <v>MR.NIZAM UDDIN NIZAMANI</v>
      </c>
      <c r="D1002" s="326">
        <v>46011</v>
      </c>
      <c r="E1002" s="178">
        <v>1</v>
      </c>
      <c r="F1002" s="171" t="s">
        <v>793</v>
      </c>
      <c r="G1002" s="168">
        <f>IFERROR(VLOOKUP(F1002,'menu list'!B:C,2,FALSE)*E1002,"0")</f>
        <v>800</v>
      </c>
      <c r="H1002" s="337">
        <f t="shared" si="74"/>
        <v>120</v>
      </c>
      <c r="I1002" s="168">
        <f t="shared" si="75"/>
        <v>920</v>
      </c>
    </row>
    <row r="1003" spans="1:9" ht="13.2">
      <c r="A1003" s="170">
        <f t="shared" si="73"/>
        <v>1002</v>
      </c>
      <c r="B1003" s="171" t="s">
        <v>93</v>
      </c>
      <c r="C1003" s="171" t="str">
        <f>VLOOKUP(B1003,MEMBERS!B:C,2, )</f>
        <v>MR.NIZAM UDDIN NIZAMANI</v>
      </c>
      <c r="D1003" s="326">
        <v>46011</v>
      </c>
      <c r="E1003" s="178">
        <v>3</v>
      </c>
      <c r="F1003" s="171" t="s">
        <v>439</v>
      </c>
      <c r="G1003" s="168">
        <f>IFERROR(VLOOKUP(F1003,'menu list'!B:C,2,FALSE)*E1003,"0")</f>
        <v>210</v>
      </c>
      <c r="H1003" s="337">
        <f t="shared" si="74"/>
        <v>31.5</v>
      </c>
      <c r="I1003" s="168">
        <f t="shared" si="75"/>
        <v>241.5</v>
      </c>
    </row>
    <row r="1004" spans="1:9" ht="13.2">
      <c r="A1004" s="170">
        <f t="shared" si="73"/>
        <v>1003</v>
      </c>
      <c r="B1004" s="171" t="s">
        <v>93</v>
      </c>
      <c r="C1004" s="171" t="str">
        <f>VLOOKUP(B1004,MEMBERS!B:C,2, )</f>
        <v>MR.NIZAM UDDIN NIZAMANI</v>
      </c>
      <c r="D1004" s="326">
        <v>46011</v>
      </c>
      <c r="E1004" s="178">
        <v>1</v>
      </c>
      <c r="F1004" s="171" t="s">
        <v>939</v>
      </c>
      <c r="G1004" s="168">
        <f>IFERROR(VLOOKUP(F1004,'menu list'!B:C,2,FALSE)*E1004,"0")</f>
        <v>1200</v>
      </c>
      <c r="H1004" s="337">
        <f t="shared" si="74"/>
        <v>180</v>
      </c>
      <c r="I1004" s="168">
        <f t="shared" si="75"/>
        <v>1380</v>
      </c>
    </row>
    <row r="1005" spans="1:9" ht="13.2">
      <c r="A1005" s="170">
        <f t="shared" ref="A1005:A1063" si="76">IF(D1005&lt;&gt;"", ROW()-1, "")</f>
        <v>1004</v>
      </c>
      <c r="B1005" s="171" t="s">
        <v>93</v>
      </c>
      <c r="C1005" s="171" t="str">
        <f>VLOOKUP(B1005,MEMBERS!B:C,2, )</f>
        <v>MR.NIZAM UDDIN NIZAMANI</v>
      </c>
      <c r="D1005" s="326">
        <v>46011</v>
      </c>
      <c r="E1005" s="178">
        <v>1</v>
      </c>
      <c r="F1005" s="171" t="s">
        <v>441</v>
      </c>
      <c r="G1005" s="168">
        <f>IFERROR(VLOOKUP(F1005,'menu list'!B:C,2,FALSE)*E1005,"0")</f>
        <v>200</v>
      </c>
      <c r="H1005" s="337">
        <f t="shared" si="74"/>
        <v>30</v>
      </c>
      <c r="I1005" s="168">
        <f t="shared" si="75"/>
        <v>230</v>
      </c>
    </row>
    <row r="1006" spans="1:9" ht="13.2">
      <c r="A1006" s="170">
        <f t="shared" si="76"/>
        <v>1005</v>
      </c>
      <c r="B1006" s="171" t="s">
        <v>430</v>
      </c>
      <c r="C1006" s="171" t="str">
        <f>VLOOKUP(B1006,MEMBERS!B:C,2, )</f>
        <v>SYED JIBRAN MUSHTAQ</v>
      </c>
      <c r="D1006" s="326">
        <v>46011</v>
      </c>
      <c r="E1006" s="178">
        <v>1</v>
      </c>
      <c r="F1006" s="171" t="s">
        <v>772</v>
      </c>
      <c r="G1006" s="168">
        <f>IFERROR(VLOOKUP(F1006,'menu list'!B:C,2,FALSE)*E1006,"0")</f>
        <v>900</v>
      </c>
      <c r="H1006" s="337">
        <f t="shared" si="74"/>
        <v>135</v>
      </c>
      <c r="I1006" s="168">
        <f t="shared" si="75"/>
        <v>1035</v>
      </c>
    </row>
    <row r="1007" spans="1:9" ht="13.2">
      <c r="A1007" s="170">
        <f t="shared" si="76"/>
        <v>1006</v>
      </c>
      <c r="B1007" s="171" t="s">
        <v>430</v>
      </c>
      <c r="C1007" s="171" t="str">
        <f>VLOOKUP(B1007,MEMBERS!B:C,2, )</f>
        <v>SYED JIBRAN MUSHTAQ</v>
      </c>
      <c r="D1007" s="326">
        <v>46011</v>
      </c>
      <c r="E1007" s="178">
        <v>1</v>
      </c>
      <c r="F1007" s="171" t="s">
        <v>522</v>
      </c>
      <c r="G1007" s="168">
        <f>IFERROR(VLOOKUP(F1007,'menu list'!B:C,2,FALSE)*E1007,"0")</f>
        <v>1200</v>
      </c>
      <c r="H1007" s="337">
        <f t="shared" si="74"/>
        <v>180</v>
      </c>
      <c r="I1007" s="168">
        <f t="shared" si="75"/>
        <v>1380</v>
      </c>
    </row>
    <row r="1008" spans="1:9" ht="13.2">
      <c r="A1008" s="170">
        <f t="shared" si="76"/>
        <v>1007</v>
      </c>
      <c r="B1008" s="171" t="s">
        <v>430</v>
      </c>
      <c r="C1008" s="171" t="str">
        <f>VLOOKUP(B1008,MEMBERS!B:C,2, )</f>
        <v>SYED JIBRAN MUSHTAQ</v>
      </c>
      <c r="D1008" s="326">
        <v>46011</v>
      </c>
      <c r="E1008" s="178">
        <v>3</v>
      </c>
      <c r="F1008" s="171" t="s">
        <v>439</v>
      </c>
      <c r="G1008" s="168">
        <f>IFERROR(VLOOKUP(F1008,'menu list'!B:C,2,FALSE)*E1008,"0")</f>
        <v>210</v>
      </c>
      <c r="H1008" s="337">
        <f t="shared" si="74"/>
        <v>31.5</v>
      </c>
      <c r="I1008" s="168">
        <f t="shared" si="75"/>
        <v>241.5</v>
      </c>
    </row>
    <row r="1009" spans="1:9" ht="13.2">
      <c r="A1009" s="170">
        <f t="shared" si="76"/>
        <v>1008</v>
      </c>
      <c r="B1009" s="171" t="s">
        <v>1021</v>
      </c>
      <c r="C1009" s="171" t="str">
        <f>VLOOKUP(B1009,MEMBERS!B:C,2, )</f>
        <v>MR. AIJAZ ALI BALOCH</v>
      </c>
      <c r="D1009" s="326">
        <v>46011</v>
      </c>
      <c r="E1009" s="178">
        <v>2</v>
      </c>
      <c r="F1009" s="171" t="s">
        <v>786</v>
      </c>
      <c r="G1009" s="168">
        <f>IFERROR(VLOOKUP(F1009,'menu list'!B:C,2,FALSE)*E1009,"0")</f>
        <v>2300</v>
      </c>
      <c r="H1009" s="337">
        <f t="shared" si="74"/>
        <v>345</v>
      </c>
      <c r="I1009" s="168">
        <f t="shared" si="75"/>
        <v>2645</v>
      </c>
    </row>
    <row r="1010" spans="1:9" ht="13.2">
      <c r="A1010" s="170">
        <f t="shared" si="76"/>
        <v>1009</v>
      </c>
      <c r="B1010" s="171" t="s">
        <v>1021</v>
      </c>
      <c r="C1010" s="171" t="str">
        <f>VLOOKUP(B1010,MEMBERS!B:C,2, )</f>
        <v>MR. AIJAZ ALI BALOCH</v>
      </c>
      <c r="D1010" s="326">
        <v>46011</v>
      </c>
      <c r="E1010" s="178">
        <v>2</v>
      </c>
      <c r="F1010" s="171" t="s">
        <v>939</v>
      </c>
      <c r="G1010" s="168">
        <f>IFERROR(VLOOKUP(F1010,'menu list'!B:C,2,FALSE)*E1010,"0")</f>
        <v>2400</v>
      </c>
      <c r="H1010" s="337">
        <f t="shared" si="74"/>
        <v>360</v>
      </c>
      <c r="I1010" s="168">
        <f t="shared" si="75"/>
        <v>2760</v>
      </c>
    </row>
    <row r="1011" spans="1:9" ht="13.2">
      <c r="A1011" s="170">
        <f t="shared" si="76"/>
        <v>1010</v>
      </c>
      <c r="B1011" s="171" t="s">
        <v>1021</v>
      </c>
      <c r="C1011" s="171" t="str">
        <f>VLOOKUP(B1011,MEMBERS!B:C,2, )</f>
        <v>MR. AIJAZ ALI BALOCH</v>
      </c>
      <c r="D1011" s="326">
        <v>46011</v>
      </c>
      <c r="E1011" s="178">
        <v>2</v>
      </c>
      <c r="F1011" s="171" t="s">
        <v>522</v>
      </c>
      <c r="G1011" s="168">
        <f>IFERROR(VLOOKUP(F1011,'menu list'!B:C,2,FALSE)*E1011,"0")</f>
        <v>2400</v>
      </c>
      <c r="H1011" s="337">
        <f t="shared" si="74"/>
        <v>360</v>
      </c>
      <c r="I1011" s="168">
        <f t="shared" si="75"/>
        <v>2760</v>
      </c>
    </row>
    <row r="1012" spans="1:9" ht="13.2">
      <c r="A1012" s="170">
        <f t="shared" si="76"/>
        <v>1011</v>
      </c>
      <c r="B1012" s="171" t="s">
        <v>1021</v>
      </c>
      <c r="C1012" s="171" t="str">
        <f>VLOOKUP(B1012,MEMBERS!B:C,2, )</f>
        <v>MR. AIJAZ ALI BALOCH</v>
      </c>
      <c r="D1012" s="326">
        <v>46011</v>
      </c>
      <c r="E1012" s="178">
        <v>2</v>
      </c>
      <c r="F1012" s="171" t="s">
        <v>915</v>
      </c>
      <c r="G1012" s="168">
        <f>IFERROR(VLOOKUP(F1012,'menu list'!B:C,2,FALSE)*E1012,"0")</f>
        <v>1998</v>
      </c>
      <c r="H1012" s="337">
        <f t="shared" si="74"/>
        <v>299.7</v>
      </c>
      <c r="I1012" s="168">
        <f t="shared" si="75"/>
        <v>2297.6999999999998</v>
      </c>
    </row>
    <row r="1013" spans="1:9" ht="13.2">
      <c r="A1013" s="170">
        <f t="shared" si="76"/>
        <v>1012</v>
      </c>
      <c r="B1013" s="171" t="s">
        <v>1021</v>
      </c>
      <c r="C1013" s="171" t="str">
        <f>VLOOKUP(B1013,MEMBERS!B:C,2, )</f>
        <v>MR. AIJAZ ALI BALOCH</v>
      </c>
      <c r="D1013" s="326">
        <v>46011</v>
      </c>
      <c r="E1013" s="178">
        <v>1</v>
      </c>
      <c r="F1013" s="171" t="s">
        <v>787</v>
      </c>
      <c r="G1013" s="168">
        <f>IFERROR(VLOOKUP(F1013,'menu list'!B:C,2,FALSE)*E1013,"0")</f>
        <v>900</v>
      </c>
      <c r="H1013" s="337">
        <f t="shared" si="74"/>
        <v>135</v>
      </c>
      <c r="I1013" s="168">
        <f t="shared" si="75"/>
        <v>1035</v>
      </c>
    </row>
    <row r="1014" spans="1:9" ht="13.2">
      <c r="A1014" s="170">
        <f t="shared" si="76"/>
        <v>1013</v>
      </c>
      <c r="B1014" s="171" t="s">
        <v>1021</v>
      </c>
      <c r="C1014" s="171" t="str">
        <f>VLOOKUP(B1014,MEMBERS!B:C,2, )</f>
        <v>MR. AIJAZ ALI BALOCH</v>
      </c>
      <c r="D1014" s="326">
        <v>46011</v>
      </c>
      <c r="E1014" s="178">
        <v>2</v>
      </c>
      <c r="F1014" s="171" t="s">
        <v>772</v>
      </c>
      <c r="G1014" s="168">
        <f>IFERROR(VLOOKUP(F1014,'menu list'!B:C,2,FALSE)*E1014,"0")</f>
        <v>1800</v>
      </c>
      <c r="H1014" s="337">
        <f t="shared" si="74"/>
        <v>270</v>
      </c>
      <c r="I1014" s="168">
        <f t="shared" si="75"/>
        <v>2070</v>
      </c>
    </row>
    <row r="1015" spans="1:9" ht="13.2">
      <c r="A1015" s="170">
        <f t="shared" si="76"/>
        <v>1014</v>
      </c>
      <c r="B1015" s="171" t="s">
        <v>1021</v>
      </c>
      <c r="C1015" s="171" t="str">
        <f>VLOOKUP(B1015,MEMBERS!B:C,2, )</f>
        <v>MR. AIJAZ ALI BALOCH</v>
      </c>
      <c r="D1015" s="326">
        <v>46011</v>
      </c>
      <c r="E1015" s="178">
        <v>1</v>
      </c>
      <c r="F1015" s="171" t="s">
        <v>726</v>
      </c>
      <c r="G1015" s="168">
        <f>IFERROR(VLOOKUP(F1015,'menu list'!B:C,2,FALSE)*E1015,"0")</f>
        <v>1300</v>
      </c>
      <c r="H1015" s="337">
        <f t="shared" si="74"/>
        <v>195</v>
      </c>
      <c r="I1015" s="168">
        <f t="shared" si="75"/>
        <v>1495</v>
      </c>
    </row>
    <row r="1016" spans="1:9" ht="13.2">
      <c r="A1016" s="170">
        <f t="shared" si="76"/>
        <v>1015</v>
      </c>
      <c r="B1016" s="171" t="s">
        <v>1021</v>
      </c>
      <c r="C1016" s="171" t="str">
        <f>VLOOKUP(B1016,MEMBERS!B:C,2, )</f>
        <v>MR. AIJAZ ALI BALOCH</v>
      </c>
      <c r="D1016" s="326">
        <v>46011</v>
      </c>
      <c r="E1016" s="178">
        <v>3</v>
      </c>
      <c r="F1016" s="171" t="s">
        <v>633</v>
      </c>
      <c r="G1016" s="168">
        <f>IFERROR(VLOOKUP(F1016,'menu list'!B:C,2,FALSE)*E1016,"0")</f>
        <v>2100</v>
      </c>
      <c r="H1016" s="337">
        <f t="shared" si="74"/>
        <v>315</v>
      </c>
      <c r="I1016" s="168">
        <f t="shared" si="75"/>
        <v>2415</v>
      </c>
    </row>
    <row r="1017" spans="1:9" ht="13.2">
      <c r="A1017" s="170">
        <f t="shared" si="76"/>
        <v>1016</v>
      </c>
      <c r="B1017" s="171" t="s">
        <v>1021</v>
      </c>
      <c r="C1017" s="171" t="str">
        <f>VLOOKUP(B1017,MEMBERS!B:C,2, )</f>
        <v>MR. AIJAZ ALI BALOCH</v>
      </c>
      <c r="D1017" s="326">
        <v>46011</v>
      </c>
      <c r="E1017" s="178">
        <v>5</v>
      </c>
      <c r="F1017" s="171" t="s">
        <v>439</v>
      </c>
      <c r="G1017" s="168">
        <f>IFERROR(VLOOKUP(F1017,'menu list'!B:C,2,FALSE)*E1017,"0")</f>
        <v>350</v>
      </c>
      <c r="H1017" s="337">
        <f t="shared" si="74"/>
        <v>52.5</v>
      </c>
      <c r="I1017" s="168">
        <f t="shared" si="75"/>
        <v>402.5</v>
      </c>
    </row>
    <row r="1018" spans="1:9" ht="13.2">
      <c r="A1018" s="170">
        <f t="shared" si="76"/>
        <v>1017</v>
      </c>
      <c r="B1018" s="171" t="s">
        <v>1021</v>
      </c>
      <c r="C1018" s="171" t="str">
        <f>VLOOKUP(B1018,MEMBERS!B:C,2, )</f>
        <v>MR. AIJAZ ALI BALOCH</v>
      </c>
      <c r="D1018" s="326">
        <v>46011</v>
      </c>
      <c r="E1018" s="178">
        <v>5</v>
      </c>
      <c r="F1018" s="171" t="s">
        <v>504</v>
      </c>
      <c r="G1018" s="168">
        <f>IFERROR(VLOOKUP(F1018,'menu list'!B:C,2,FALSE)*E1018,"0")</f>
        <v>650</v>
      </c>
      <c r="H1018" s="337">
        <f t="shared" si="74"/>
        <v>97.5</v>
      </c>
      <c r="I1018" s="168">
        <f t="shared" si="75"/>
        <v>747.5</v>
      </c>
    </row>
    <row r="1019" spans="1:9" ht="13.2">
      <c r="A1019" s="170">
        <f t="shared" si="76"/>
        <v>1018</v>
      </c>
      <c r="B1019" s="171" t="s">
        <v>1021</v>
      </c>
      <c r="C1019" s="171" t="str">
        <f>VLOOKUP(B1019,MEMBERS!B:C,2, )</f>
        <v>MR. AIJAZ ALI BALOCH</v>
      </c>
      <c r="D1019" s="326">
        <v>46011</v>
      </c>
      <c r="E1019" s="178">
        <v>2</v>
      </c>
      <c r="F1019" s="171" t="s">
        <v>441</v>
      </c>
      <c r="G1019" s="168">
        <f>IFERROR(VLOOKUP(F1019,'menu list'!B:C,2,FALSE)*E1019,"0")</f>
        <v>400</v>
      </c>
      <c r="H1019" s="337">
        <f t="shared" si="74"/>
        <v>60</v>
      </c>
      <c r="I1019" s="168">
        <f t="shared" si="75"/>
        <v>460</v>
      </c>
    </row>
    <row r="1020" spans="1:9" ht="13.2">
      <c r="A1020" s="170">
        <f t="shared" si="76"/>
        <v>1019</v>
      </c>
      <c r="B1020" s="171" t="s">
        <v>1021</v>
      </c>
      <c r="C1020" s="171" t="str">
        <f>VLOOKUP(B1020,MEMBERS!B:C,2, )</f>
        <v>MR. AIJAZ ALI BALOCH</v>
      </c>
      <c r="D1020" s="326">
        <v>46011</v>
      </c>
      <c r="E1020" s="178">
        <v>2</v>
      </c>
      <c r="F1020" s="171" t="s">
        <v>793</v>
      </c>
      <c r="G1020" s="168">
        <f>IFERROR(VLOOKUP(F1020,'menu list'!B:C,2,FALSE)*E1020,"0")</f>
        <v>1600</v>
      </c>
      <c r="H1020" s="337">
        <f t="shared" si="74"/>
        <v>240</v>
      </c>
      <c r="I1020" s="168">
        <f t="shared" si="75"/>
        <v>1840</v>
      </c>
    </row>
    <row r="1021" spans="1:9" ht="13.2">
      <c r="A1021" s="170">
        <f t="shared" si="76"/>
        <v>1020</v>
      </c>
      <c r="B1021" s="171" t="s">
        <v>1021</v>
      </c>
      <c r="C1021" s="171" t="str">
        <f>VLOOKUP(B1021,MEMBERS!B:C,2, )</f>
        <v>MR. AIJAZ ALI BALOCH</v>
      </c>
      <c r="D1021" s="326">
        <v>46011</v>
      </c>
      <c r="E1021" s="178">
        <v>3</v>
      </c>
      <c r="F1021" s="171" t="s">
        <v>502</v>
      </c>
      <c r="G1021" s="168">
        <f>IFERROR(VLOOKUP(F1021,'menu list'!B:C,2,FALSE)*E1021,"0")</f>
        <v>1050</v>
      </c>
      <c r="H1021" s="337">
        <f t="shared" si="74"/>
        <v>157.5</v>
      </c>
      <c r="I1021" s="168">
        <f t="shared" si="75"/>
        <v>1207.5</v>
      </c>
    </row>
    <row r="1022" spans="1:9" ht="13.2">
      <c r="A1022" s="170">
        <f t="shared" si="76"/>
        <v>1021</v>
      </c>
      <c r="B1022" s="171" t="s">
        <v>1021</v>
      </c>
      <c r="C1022" s="171" t="str">
        <f>VLOOKUP(B1022,MEMBERS!B:C,2, )</f>
        <v>MR. AIJAZ ALI BALOCH</v>
      </c>
      <c r="D1022" s="326">
        <v>46011</v>
      </c>
      <c r="E1022" s="178">
        <v>4</v>
      </c>
      <c r="F1022" s="171" t="s">
        <v>442</v>
      </c>
      <c r="G1022" s="168">
        <f>IFERROR(VLOOKUP(F1022,'menu list'!B:C,2,FALSE)*E1022,"0")</f>
        <v>600</v>
      </c>
      <c r="H1022" s="337">
        <f t="shared" si="74"/>
        <v>90</v>
      </c>
      <c r="I1022" s="168">
        <f t="shared" si="75"/>
        <v>690</v>
      </c>
    </row>
    <row r="1023" spans="1:9" ht="13.2">
      <c r="A1023" s="170">
        <f t="shared" si="76"/>
        <v>1022</v>
      </c>
      <c r="B1023" s="171" t="s">
        <v>1021</v>
      </c>
      <c r="C1023" s="171" t="str">
        <f>VLOOKUP(B1023,MEMBERS!B:C,2, )</f>
        <v>MR. AIJAZ ALI BALOCH</v>
      </c>
      <c r="D1023" s="326">
        <v>46011</v>
      </c>
      <c r="E1023" s="178">
        <v>2</v>
      </c>
      <c r="F1023" s="171" t="s">
        <v>440</v>
      </c>
      <c r="G1023" s="168">
        <f>IFERROR(VLOOKUP(F1023,'menu list'!B:C,2,FALSE)*E1023,"0")</f>
        <v>300</v>
      </c>
      <c r="H1023" s="337">
        <f t="shared" si="74"/>
        <v>45</v>
      </c>
      <c r="I1023" s="168">
        <f t="shared" si="75"/>
        <v>345</v>
      </c>
    </row>
    <row r="1024" spans="1:9" ht="13.2">
      <c r="A1024" s="170">
        <f t="shared" si="76"/>
        <v>1023</v>
      </c>
      <c r="B1024" s="171" t="s">
        <v>1021</v>
      </c>
      <c r="C1024" s="171" t="str">
        <f>VLOOKUP(B1024,MEMBERS!B:C,2, )</f>
        <v>MR. AIJAZ ALI BALOCH</v>
      </c>
      <c r="D1024" s="326">
        <v>46011</v>
      </c>
      <c r="E1024" s="178">
        <v>4</v>
      </c>
      <c r="F1024" s="171" t="s">
        <v>439</v>
      </c>
      <c r="G1024" s="168">
        <f>IFERROR(VLOOKUP(F1024,'menu list'!B:C,2,FALSE)*E1024,"0")</f>
        <v>280</v>
      </c>
      <c r="H1024" s="337">
        <f t="shared" si="74"/>
        <v>42</v>
      </c>
      <c r="I1024" s="168">
        <f t="shared" si="75"/>
        <v>322</v>
      </c>
    </row>
    <row r="1025" spans="1:9" ht="13.2">
      <c r="A1025" s="170">
        <f t="shared" si="76"/>
        <v>1024</v>
      </c>
      <c r="B1025" s="171" t="s">
        <v>98</v>
      </c>
      <c r="C1025" s="171" t="str">
        <f>VLOOKUP(B1025,MEMBERS!B:C,2, )</f>
        <v>MR.HAFEEZ AHMED SIYAL</v>
      </c>
      <c r="D1025" s="326">
        <v>46011</v>
      </c>
      <c r="E1025" s="178">
        <v>1</v>
      </c>
      <c r="F1025" s="171" t="s">
        <v>500</v>
      </c>
      <c r="G1025" s="168">
        <f>IFERROR(VLOOKUP(F1025,'menu list'!B:C,2,FALSE)*E1025,"0")</f>
        <v>1250</v>
      </c>
      <c r="H1025" s="337">
        <f t="shared" si="74"/>
        <v>187.5</v>
      </c>
      <c r="I1025" s="168">
        <f t="shared" si="75"/>
        <v>1437.5</v>
      </c>
    </row>
    <row r="1026" spans="1:9" ht="13.2">
      <c r="A1026" s="170">
        <f t="shared" si="76"/>
        <v>1025</v>
      </c>
      <c r="B1026" s="171" t="s">
        <v>98</v>
      </c>
      <c r="C1026" s="171" t="str">
        <f>VLOOKUP(B1026,MEMBERS!B:C,2, )</f>
        <v>MR.HAFEEZ AHMED SIYAL</v>
      </c>
      <c r="D1026" s="326">
        <v>46011</v>
      </c>
      <c r="E1026" s="178">
        <v>3</v>
      </c>
      <c r="F1026" s="171" t="s">
        <v>833</v>
      </c>
      <c r="G1026" s="168">
        <f>IFERROR(VLOOKUP(F1026,'menu list'!B:C,2,FALSE)*E1026,"0")</f>
        <v>1050</v>
      </c>
      <c r="H1026" s="337">
        <f t="shared" si="74"/>
        <v>157.5</v>
      </c>
      <c r="I1026" s="168">
        <f t="shared" si="75"/>
        <v>1207.5</v>
      </c>
    </row>
    <row r="1027" spans="1:9" ht="13.2">
      <c r="A1027" s="170">
        <f t="shared" si="76"/>
        <v>1026</v>
      </c>
      <c r="B1027" s="171" t="s">
        <v>98</v>
      </c>
      <c r="C1027" s="171" t="str">
        <f>VLOOKUP(B1027,MEMBERS!B:C,2, )</f>
        <v>MR.HAFEEZ AHMED SIYAL</v>
      </c>
      <c r="D1027" s="326">
        <v>46011</v>
      </c>
      <c r="E1027" s="178">
        <v>1</v>
      </c>
      <c r="F1027" s="171" t="s">
        <v>440</v>
      </c>
      <c r="G1027" s="168">
        <f>IFERROR(VLOOKUP(F1027,'menu list'!B:C,2,FALSE)*E1027,"0")</f>
        <v>150</v>
      </c>
      <c r="H1027" s="337">
        <f t="shared" ref="H1027:H1090" si="77">G1027*15/100</f>
        <v>22.5</v>
      </c>
      <c r="I1027" s="168">
        <f t="shared" si="75"/>
        <v>172.5</v>
      </c>
    </row>
    <row r="1028" spans="1:9" ht="13.2">
      <c r="A1028" s="170">
        <f t="shared" si="76"/>
        <v>1027</v>
      </c>
      <c r="B1028" s="171" t="s">
        <v>221</v>
      </c>
      <c r="C1028" s="171" t="str">
        <f>VLOOKUP(B1028,MEMBERS!B:C,2, )</f>
        <v>MR.WAQAR UDDIN</v>
      </c>
      <c r="D1028" s="326">
        <v>46011</v>
      </c>
      <c r="E1028" s="178">
        <v>3</v>
      </c>
      <c r="F1028" s="171" t="s">
        <v>770</v>
      </c>
      <c r="G1028" s="168">
        <f>IFERROR(VLOOKUP(F1028,'menu list'!B:C,2,FALSE)*E1028,"0")</f>
        <v>3000</v>
      </c>
      <c r="H1028" s="337">
        <f t="shared" si="77"/>
        <v>450</v>
      </c>
      <c r="I1028" s="168">
        <f t="shared" ref="I1028:I1091" si="78">G1028+H1028</f>
        <v>3450</v>
      </c>
    </row>
    <row r="1029" spans="1:9" ht="13.2">
      <c r="A1029" s="170">
        <f t="shared" si="76"/>
        <v>1028</v>
      </c>
      <c r="B1029" s="171" t="s">
        <v>221</v>
      </c>
      <c r="C1029" s="171" t="str">
        <f>VLOOKUP(B1029,MEMBERS!B:C,2, )</f>
        <v>MR.WAQAR UDDIN</v>
      </c>
      <c r="D1029" s="326">
        <v>46011</v>
      </c>
      <c r="E1029" s="178">
        <v>3</v>
      </c>
      <c r="F1029" s="171" t="s">
        <v>740</v>
      </c>
      <c r="G1029" s="168">
        <f>IFERROR(VLOOKUP(F1029,'menu list'!B:C,2,FALSE)*E1029,"0")</f>
        <v>5400</v>
      </c>
      <c r="H1029" s="337">
        <f t="shared" si="77"/>
        <v>810</v>
      </c>
      <c r="I1029" s="168">
        <f t="shared" si="78"/>
        <v>6210</v>
      </c>
    </row>
    <row r="1030" spans="1:9" ht="13.2">
      <c r="A1030" s="170">
        <f t="shared" si="76"/>
        <v>1029</v>
      </c>
      <c r="B1030" s="171" t="s">
        <v>221</v>
      </c>
      <c r="C1030" s="171" t="str">
        <f>VLOOKUP(B1030,MEMBERS!B:C,2, )</f>
        <v>MR.WAQAR UDDIN</v>
      </c>
      <c r="D1030" s="326">
        <v>46011</v>
      </c>
      <c r="E1030" s="178">
        <v>3</v>
      </c>
      <c r="F1030" s="171" t="s">
        <v>910</v>
      </c>
      <c r="G1030" s="168">
        <f>IFERROR(VLOOKUP(F1030,'menu list'!B:C,2,FALSE)*E1030,"0")</f>
        <v>900</v>
      </c>
      <c r="H1030" s="337">
        <f t="shared" si="77"/>
        <v>135</v>
      </c>
      <c r="I1030" s="168">
        <f t="shared" si="78"/>
        <v>1035</v>
      </c>
    </row>
    <row r="1031" spans="1:9" ht="13.2">
      <c r="A1031" s="170">
        <f t="shared" si="76"/>
        <v>1030</v>
      </c>
      <c r="B1031" s="171" t="s">
        <v>221</v>
      </c>
      <c r="C1031" s="171" t="str">
        <f>VLOOKUP(B1031,MEMBERS!B:C,2, )</f>
        <v>MR.WAQAR UDDIN</v>
      </c>
      <c r="D1031" s="326">
        <v>46011</v>
      </c>
      <c r="E1031" s="178">
        <v>3</v>
      </c>
      <c r="F1031" s="171" t="s">
        <v>559</v>
      </c>
      <c r="G1031" s="168">
        <f>IFERROR(VLOOKUP(F1031,'menu list'!B:C,2,FALSE)*E1031,"0")</f>
        <v>2997</v>
      </c>
      <c r="H1031" s="337">
        <f t="shared" si="77"/>
        <v>449.55</v>
      </c>
      <c r="I1031" s="168">
        <f t="shared" si="78"/>
        <v>3446.55</v>
      </c>
    </row>
    <row r="1032" spans="1:9" ht="13.2">
      <c r="A1032" s="170">
        <f t="shared" si="76"/>
        <v>1031</v>
      </c>
      <c r="B1032" s="171" t="s">
        <v>221</v>
      </c>
      <c r="C1032" s="171" t="str">
        <f>VLOOKUP(B1032,MEMBERS!B:C,2, )</f>
        <v>MR.WAQAR UDDIN</v>
      </c>
      <c r="D1032" s="326">
        <v>46011</v>
      </c>
      <c r="E1032" s="178">
        <v>3</v>
      </c>
      <c r="F1032" s="171" t="s">
        <v>440</v>
      </c>
      <c r="G1032" s="168">
        <f>IFERROR(VLOOKUP(F1032,'menu list'!B:C,2,FALSE)*E1032,"0")</f>
        <v>450</v>
      </c>
      <c r="H1032" s="337">
        <f t="shared" si="77"/>
        <v>67.5</v>
      </c>
      <c r="I1032" s="168">
        <f t="shared" si="78"/>
        <v>517.5</v>
      </c>
    </row>
    <row r="1033" spans="1:9" ht="13.2">
      <c r="A1033" s="170">
        <f t="shared" si="76"/>
        <v>1032</v>
      </c>
      <c r="B1033" s="171" t="s">
        <v>221</v>
      </c>
      <c r="C1033" s="171" t="str">
        <f>VLOOKUP(B1033,MEMBERS!B:C,2, )</f>
        <v>MR.WAQAR UDDIN</v>
      </c>
      <c r="D1033" s="326">
        <v>46011</v>
      </c>
      <c r="E1033" s="178">
        <v>2</v>
      </c>
      <c r="F1033" s="171" t="s">
        <v>846</v>
      </c>
      <c r="G1033" s="168">
        <f>IFERROR(VLOOKUP(F1033,'menu list'!B:C,2,FALSE)*E1033,"0")</f>
        <v>2500</v>
      </c>
      <c r="H1033" s="337">
        <f t="shared" si="77"/>
        <v>375</v>
      </c>
      <c r="I1033" s="168">
        <f t="shared" si="78"/>
        <v>2875</v>
      </c>
    </row>
    <row r="1034" spans="1:9" ht="13.2">
      <c r="A1034" s="170">
        <f t="shared" si="76"/>
        <v>1033</v>
      </c>
      <c r="B1034" s="171" t="s">
        <v>221</v>
      </c>
      <c r="C1034" s="171" t="str">
        <f>VLOOKUP(B1034,MEMBERS!B:C,2, )</f>
        <v>MR.WAQAR UDDIN</v>
      </c>
      <c r="D1034" s="326">
        <v>46011</v>
      </c>
      <c r="E1034" s="178">
        <v>8</v>
      </c>
      <c r="F1034" s="171" t="s">
        <v>439</v>
      </c>
      <c r="G1034" s="168">
        <f>IFERROR(VLOOKUP(F1034,'menu list'!B:C,2,FALSE)*E1034,"0")</f>
        <v>560</v>
      </c>
      <c r="H1034" s="337">
        <f t="shared" si="77"/>
        <v>84</v>
      </c>
      <c r="I1034" s="168">
        <f t="shared" si="78"/>
        <v>644</v>
      </c>
    </row>
    <row r="1035" spans="1:9" ht="13.2">
      <c r="A1035" s="170">
        <f t="shared" si="76"/>
        <v>1034</v>
      </c>
      <c r="B1035" s="171" t="s">
        <v>315</v>
      </c>
      <c r="C1035" s="171" t="str">
        <f>VLOOKUP(B1035,MEMBERS!B:C,2, )</f>
        <v>DGM FATIMA ZAHID</v>
      </c>
      <c r="D1035" s="326">
        <v>46011</v>
      </c>
      <c r="E1035" s="178">
        <v>1</v>
      </c>
      <c r="F1035" s="171" t="s">
        <v>853</v>
      </c>
      <c r="G1035" s="168">
        <f>IFERROR(VLOOKUP(F1035,'menu list'!B:C,2,FALSE)*E1035,"0")</f>
        <v>575</v>
      </c>
      <c r="H1035" s="337">
        <f t="shared" si="77"/>
        <v>86.25</v>
      </c>
      <c r="I1035" s="168">
        <f t="shared" si="78"/>
        <v>661.25</v>
      </c>
    </row>
    <row r="1036" spans="1:9" ht="13.2">
      <c r="A1036" s="170">
        <f t="shared" si="76"/>
        <v>1035</v>
      </c>
      <c r="B1036" s="171" t="s">
        <v>315</v>
      </c>
      <c r="C1036" s="171" t="str">
        <f>VLOOKUP(B1036,MEMBERS!B:C,2, )</f>
        <v>DGM FATIMA ZAHID</v>
      </c>
      <c r="D1036" s="326">
        <v>46011</v>
      </c>
      <c r="E1036" s="178">
        <v>1</v>
      </c>
      <c r="F1036" s="171" t="s">
        <v>846</v>
      </c>
      <c r="G1036" s="168">
        <f>IFERROR(VLOOKUP(F1036,'menu list'!B:C,2,FALSE)*E1036,"0")</f>
        <v>1250</v>
      </c>
      <c r="H1036" s="337">
        <f t="shared" si="77"/>
        <v>187.5</v>
      </c>
      <c r="I1036" s="168">
        <f t="shared" si="78"/>
        <v>1437.5</v>
      </c>
    </row>
    <row r="1037" spans="1:9" ht="13.2">
      <c r="A1037" s="170">
        <f t="shared" si="76"/>
        <v>1036</v>
      </c>
      <c r="B1037" s="171" t="s">
        <v>315</v>
      </c>
      <c r="C1037" s="171" t="str">
        <f>VLOOKUP(B1037,MEMBERS!B:C,2, )</f>
        <v>DGM FATIMA ZAHID</v>
      </c>
      <c r="D1037" s="326">
        <v>46011</v>
      </c>
      <c r="E1037" s="178">
        <v>2</v>
      </c>
      <c r="F1037" s="171" t="s">
        <v>803</v>
      </c>
      <c r="G1037" s="168">
        <f>IFERROR(VLOOKUP(F1037,'menu list'!B:C,2,FALSE)*E1037,"0")</f>
        <v>500</v>
      </c>
      <c r="H1037" s="337">
        <f t="shared" si="77"/>
        <v>75</v>
      </c>
      <c r="I1037" s="168">
        <f t="shared" si="78"/>
        <v>575</v>
      </c>
    </row>
    <row r="1038" spans="1:9" ht="13.2">
      <c r="A1038" s="170">
        <f t="shared" si="76"/>
        <v>1037</v>
      </c>
      <c r="B1038" s="171" t="s">
        <v>315</v>
      </c>
      <c r="C1038" s="171" t="str">
        <f>VLOOKUP(B1038,MEMBERS!B:C,2, )</f>
        <v>DGM FATIMA ZAHID</v>
      </c>
      <c r="D1038" s="326">
        <v>46011</v>
      </c>
      <c r="E1038" s="178">
        <v>1</v>
      </c>
      <c r="F1038" s="171" t="s">
        <v>713</v>
      </c>
      <c r="G1038" s="168">
        <f>IFERROR(VLOOKUP(F1038,'menu list'!B:C,2,FALSE)*E1038,"0")</f>
        <v>450</v>
      </c>
      <c r="H1038" s="337">
        <f t="shared" si="77"/>
        <v>67.5</v>
      </c>
      <c r="I1038" s="168">
        <f t="shared" si="78"/>
        <v>517.5</v>
      </c>
    </row>
    <row r="1039" spans="1:9" ht="13.2">
      <c r="A1039" s="170">
        <f t="shared" si="76"/>
        <v>1038</v>
      </c>
      <c r="B1039" s="171" t="s">
        <v>315</v>
      </c>
      <c r="C1039" s="171" t="str">
        <f>VLOOKUP(B1039,MEMBERS!B:C,2, )</f>
        <v>DGM FATIMA ZAHID</v>
      </c>
      <c r="D1039" s="326">
        <v>46011</v>
      </c>
      <c r="E1039" s="178">
        <v>1</v>
      </c>
      <c r="F1039" s="171" t="s">
        <v>442</v>
      </c>
      <c r="G1039" s="168">
        <f>IFERROR(VLOOKUP(F1039,'menu list'!B:C,2,FALSE)*E1039,"0")</f>
        <v>150</v>
      </c>
      <c r="H1039" s="337">
        <f t="shared" si="77"/>
        <v>22.5</v>
      </c>
      <c r="I1039" s="168">
        <f t="shared" si="78"/>
        <v>172.5</v>
      </c>
    </row>
    <row r="1040" spans="1:9" ht="13.2">
      <c r="A1040" s="170">
        <f t="shared" si="76"/>
        <v>1039</v>
      </c>
      <c r="B1040" s="171" t="s">
        <v>315</v>
      </c>
      <c r="C1040" s="171" t="str">
        <f>VLOOKUP(B1040,MEMBERS!B:C,2, )</f>
        <v>DGM FATIMA ZAHID</v>
      </c>
      <c r="D1040" s="326">
        <v>46011</v>
      </c>
      <c r="E1040" s="178">
        <v>2</v>
      </c>
      <c r="F1040" s="171" t="s">
        <v>836</v>
      </c>
      <c r="G1040" s="168">
        <f>IFERROR(VLOOKUP(F1040,'menu list'!B:C,2,FALSE)*E1040,"0")</f>
        <v>700</v>
      </c>
      <c r="H1040" s="337">
        <f t="shared" si="77"/>
        <v>105</v>
      </c>
      <c r="I1040" s="168">
        <f t="shared" si="78"/>
        <v>805</v>
      </c>
    </row>
    <row r="1041" spans="1:9" ht="13.2">
      <c r="A1041" s="170">
        <f t="shared" si="76"/>
        <v>1040</v>
      </c>
      <c r="B1041" s="171" t="s">
        <v>315</v>
      </c>
      <c r="C1041" s="171" t="str">
        <f>VLOOKUP(B1041,MEMBERS!B:C,2, )</f>
        <v>DGM FATIMA ZAHID</v>
      </c>
      <c r="D1041" s="326">
        <v>46011</v>
      </c>
      <c r="E1041" s="178">
        <v>1</v>
      </c>
      <c r="F1041" s="171" t="s">
        <v>498</v>
      </c>
      <c r="G1041" s="168">
        <f>IFERROR(VLOOKUP(F1041,'menu list'!B:C,2,FALSE)*E1041,"0")</f>
        <v>200</v>
      </c>
      <c r="H1041" s="337">
        <f t="shared" si="77"/>
        <v>30</v>
      </c>
      <c r="I1041" s="168">
        <f t="shared" si="78"/>
        <v>230</v>
      </c>
    </row>
    <row r="1042" spans="1:9" ht="13.2">
      <c r="A1042" s="170">
        <f t="shared" si="76"/>
        <v>1041</v>
      </c>
      <c r="B1042" s="171" t="s">
        <v>187</v>
      </c>
      <c r="C1042" s="171" t="str">
        <f>VLOOKUP(B1042,MEMBERS!B:C,2, )</f>
        <v>MR.SHAN ELAHI SEHGAL</v>
      </c>
      <c r="D1042" s="326">
        <v>46011</v>
      </c>
      <c r="E1042" s="178">
        <v>1</v>
      </c>
      <c r="F1042" s="171" t="s">
        <v>440</v>
      </c>
      <c r="G1042" s="168">
        <f>IFERROR(VLOOKUP(F1042,'menu list'!B:C,2,FALSE)*E1042,"0")</f>
        <v>150</v>
      </c>
      <c r="H1042" s="337">
        <f t="shared" si="77"/>
        <v>22.5</v>
      </c>
      <c r="I1042" s="168">
        <f t="shared" si="78"/>
        <v>172.5</v>
      </c>
    </row>
    <row r="1043" spans="1:9" ht="13.2">
      <c r="A1043" s="170">
        <f t="shared" si="76"/>
        <v>1042</v>
      </c>
      <c r="B1043" s="171" t="s">
        <v>187</v>
      </c>
      <c r="C1043" s="171" t="str">
        <f>VLOOKUP(B1043,MEMBERS!B:C,2, )</f>
        <v>MR.SHAN ELAHI SEHGAL</v>
      </c>
      <c r="D1043" s="326">
        <v>46011</v>
      </c>
      <c r="E1043" s="178">
        <v>3</v>
      </c>
      <c r="F1043" s="171" t="s">
        <v>498</v>
      </c>
      <c r="G1043" s="168">
        <f>IFERROR(VLOOKUP(F1043,'menu list'!B:C,2,FALSE)*E1043,"0")</f>
        <v>600</v>
      </c>
      <c r="H1043" s="337">
        <f t="shared" si="77"/>
        <v>90</v>
      </c>
      <c r="I1043" s="168">
        <f t="shared" si="78"/>
        <v>690</v>
      </c>
    </row>
    <row r="1044" spans="1:9" ht="13.2">
      <c r="A1044" s="170">
        <f t="shared" si="76"/>
        <v>1043</v>
      </c>
      <c r="B1044" s="171" t="s">
        <v>187</v>
      </c>
      <c r="C1044" s="171" t="str">
        <f>VLOOKUP(B1044,MEMBERS!B:C,2, )</f>
        <v>MR.SHAN ELAHI SEHGAL</v>
      </c>
      <c r="D1044" s="326">
        <v>46011</v>
      </c>
      <c r="E1044" s="178">
        <v>2</v>
      </c>
      <c r="F1044" s="171" t="s">
        <v>500</v>
      </c>
      <c r="G1044" s="168">
        <f>IFERROR(VLOOKUP(F1044,'menu list'!B:C,2,FALSE)*E1044,"0")</f>
        <v>2500</v>
      </c>
      <c r="H1044" s="337">
        <f t="shared" si="77"/>
        <v>375</v>
      </c>
      <c r="I1044" s="168">
        <f t="shared" si="78"/>
        <v>2875</v>
      </c>
    </row>
    <row r="1045" spans="1:9" ht="13.2">
      <c r="A1045" s="170">
        <f t="shared" si="76"/>
        <v>1044</v>
      </c>
      <c r="B1045" s="171" t="s">
        <v>187</v>
      </c>
      <c r="C1045" s="171" t="str">
        <f>VLOOKUP(B1045,MEMBERS!B:C,2, )</f>
        <v>MR.SHAN ELAHI SEHGAL</v>
      </c>
      <c r="D1045" s="326">
        <v>46011</v>
      </c>
      <c r="E1045" s="178">
        <v>1</v>
      </c>
      <c r="F1045" s="171" t="s">
        <v>498</v>
      </c>
      <c r="G1045" s="168">
        <f>IFERROR(VLOOKUP(F1045,'menu list'!B:C,2,FALSE)*E1045,"0")</f>
        <v>200</v>
      </c>
      <c r="H1045" s="337">
        <f t="shared" si="77"/>
        <v>30</v>
      </c>
      <c r="I1045" s="168">
        <f t="shared" si="78"/>
        <v>230</v>
      </c>
    </row>
    <row r="1046" spans="1:9" ht="13.2">
      <c r="A1046" s="170">
        <f t="shared" si="76"/>
        <v>1045</v>
      </c>
      <c r="B1046" s="171" t="s">
        <v>187</v>
      </c>
      <c r="C1046" s="171" t="str">
        <f>VLOOKUP(B1046,MEMBERS!B:C,2, )</f>
        <v>MR.SHAN ELAHI SEHGAL</v>
      </c>
      <c r="D1046" s="326">
        <v>46011</v>
      </c>
      <c r="E1046" s="178">
        <v>2</v>
      </c>
      <c r="F1046" s="171" t="s">
        <v>442</v>
      </c>
      <c r="G1046" s="168">
        <f>IFERROR(VLOOKUP(F1046,'menu list'!B:C,2,FALSE)*E1046,"0")</f>
        <v>300</v>
      </c>
      <c r="H1046" s="337">
        <f t="shared" si="77"/>
        <v>45</v>
      </c>
      <c r="I1046" s="168">
        <f t="shared" si="78"/>
        <v>345</v>
      </c>
    </row>
    <row r="1047" spans="1:9" ht="13.2">
      <c r="A1047" s="170">
        <f t="shared" si="76"/>
        <v>1046</v>
      </c>
      <c r="B1047" s="171" t="s">
        <v>374</v>
      </c>
      <c r="C1047" s="171" t="str">
        <f>VLOOKUP(B1047,MEMBERS!B:C,2, )</f>
        <v>AAMIR RASOOL</v>
      </c>
      <c r="D1047" s="326">
        <v>46011</v>
      </c>
      <c r="E1047" s="178">
        <v>1</v>
      </c>
      <c r="F1047" s="171" t="s">
        <v>500</v>
      </c>
      <c r="G1047" s="168">
        <f>IFERROR(VLOOKUP(F1047,'menu list'!B:C,2,FALSE)*E1047,"0")</f>
        <v>1250</v>
      </c>
      <c r="H1047" s="337">
        <f t="shared" si="77"/>
        <v>187.5</v>
      </c>
      <c r="I1047" s="168">
        <f t="shared" si="78"/>
        <v>1437.5</v>
      </c>
    </row>
    <row r="1048" spans="1:9" ht="13.2">
      <c r="A1048" s="170">
        <f t="shared" si="76"/>
        <v>1047</v>
      </c>
      <c r="B1048" s="171" t="s">
        <v>374</v>
      </c>
      <c r="C1048" s="171" t="str">
        <f>VLOOKUP(B1048,MEMBERS!B:C,2, )</f>
        <v>AAMIR RASOOL</v>
      </c>
      <c r="D1048" s="326">
        <v>46011</v>
      </c>
      <c r="E1048" s="178">
        <v>1</v>
      </c>
      <c r="F1048" s="171" t="s">
        <v>1057</v>
      </c>
      <c r="G1048" s="168">
        <f>IFERROR(VLOOKUP(F1048,'menu list'!B:C,2,FALSE)*E1048,"0")</f>
        <v>850</v>
      </c>
      <c r="H1048" s="337">
        <f t="shared" si="77"/>
        <v>127.5</v>
      </c>
      <c r="I1048" s="168">
        <f t="shared" si="78"/>
        <v>977.5</v>
      </c>
    </row>
    <row r="1049" spans="1:9" ht="13.2">
      <c r="A1049" s="170">
        <f t="shared" si="76"/>
        <v>1048</v>
      </c>
      <c r="B1049" s="171" t="s">
        <v>374</v>
      </c>
      <c r="C1049" s="171" t="str">
        <f>VLOOKUP(B1049,MEMBERS!B:C,2, )</f>
        <v>AAMIR RASOOL</v>
      </c>
      <c r="D1049" s="326">
        <v>46011</v>
      </c>
      <c r="E1049" s="178">
        <v>2</v>
      </c>
      <c r="F1049" s="171" t="s">
        <v>440</v>
      </c>
      <c r="G1049" s="168">
        <f>IFERROR(VLOOKUP(F1049,'menu list'!B:C,2,FALSE)*E1049,"0")</f>
        <v>300</v>
      </c>
      <c r="H1049" s="337">
        <f t="shared" si="77"/>
        <v>45</v>
      </c>
      <c r="I1049" s="168">
        <f t="shared" si="78"/>
        <v>345</v>
      </c>
    </row>
    <row r="1050" spans="1:9" ht="13.2">
      <c r="A1050" s="170">
        <f t="shared" si="76"/>
        <v>1049</v>
      </c>
      <c r="B1050" s="171" t="s">
        <v>430</v>
      </c>
      <c r="C1050" s="171" t="str">
        <f>VLOOKUP(B1050,MEMBERS!B:C,2, )</f>
        <v>SYED JIBRAN MUSHTAQ</v>
      </c>
      <c r="D1050" s="326">
        <v>46011</v>
      </c>
      <c r="E1050" s="178">
        <v>2</v>
      </c>
      <c r="F1050" s="171" t="s">
        <v>633</v>
      </c>
      <c r="G1050" s="168">
        <f>IFERROR(VLOOKUP(F1050,'menu list'!B:C,2,FALSE)*E1050,"0")</f>
        <v>1400</v>
      </c>
      <c r="H1050" s="337">
        <f t="shared" si="77"/>
        <v>210</v>
      </c>
      <c r="I1050" s="168">
        <f t="shared" si="78"/>
        <v>1610</v>
      </c>
    </row>
    <row r="1051" spans="1:9" ht="13.2">
      <c r="A1051" s="170">
        <f t="shared" si="76"/>
        <v>1050</v>
      </c>
      <c r="B1051" s="171" t="s">
        <v>430</v>
      </c>
      <c r="C1051" s="171" t="str">
        <f>VLOOKUP(B1051,MEMBERS!B:C,2, )</f>
        <v>SYED JIBRAN MUSHTAQ</v>
      </c>
      <c r="D1051" s="326">
        <v>46011</v>
      </c>
      <c r="E1051" s="178">
        <v>2</v>
      </c>
      <c r="F1051" s="171" t="s">
        <v>499</v>
      </c>
      <c r="G1051" s="168">
        <f>IFERROR(VLOOKUP(F1051,'menu list'!B:C,2,FALSE)*E1051,"0")</f>
        <v>200</v>
      </c>
      <c r="H1051" s="337">
        <f t="shared" si="77"/>
        <v>30</v>
      </c>
      <c r="I1051" s="168">
        <f t="shared" si="78"/>
        <v>230</v>
      </c>
    </row>
    <row r="1052" spans="1:9" ht="13.2">
      <c r="A1052" s="170">
        <f t="shared" si="76"/>
        <v>1051</v>
      </c>
      <c r="B1052" s="171" t="s">
        <v>98</v>
      </c>
      <c r="C1052" s="171" t="str">
        <f>VLOOKUP(B1052,MEMBERS!B:C,2, )</f>
        <v>MR.HAFEEZ AHMED SIYAL</v>
      </c>
      <c r="D1052" s="326">
        <v>46011</v>
      </c>
      <c r="E1052" s="178">
        <v>1</v>
      </c>
      <c r="F1052" s="171" t="s">
        <v>858</v>
      </c>
      <c r="G1052" s="168">
        <f>IFERROR(VLOOKUP(F1052,'menu list'!B:C,2,FALSE)*E1052,"0")</f>
        <v>500</v>
      </c>
      <c r="H1052" s="337">
        <f t="shared" si="77"/>
        <v>75</v>
      </c>
      <c r="I1052" s="168">
        <f t="shared" si="78"/>
        <v>575</v>
      </c>
    </row>
    <row r="1053" spans="1:9" ht="13.2">
      <c r="A1053" s="170">
        <f t="shared" si="76"/>
        <v>1052</v>
      </c>
      <c r="B1053" s="171" t="s">
        <v>1053</v>
      </c>
      <c r="C1053" s="171" t="str">
        <f>VLOOKUP(B1053,MEMBERS!B:C,2, )</f>
        <v>MR. ZAMIR ALI SHAH</v>
      </c>
      <c r="D1053" s="326">
        <v>46011</v>
      </c>
      <c r="E1053" s="178">
        <v>4</v>
      </c>
      <c r="F1053" s="171" t="s">
        <v>1012</v>
      </c>
      <c r="G1053" s="168">
        <f>IFERROR(VLOOKUP(F1053,'menu list'!B:C,2,FALSE)*E1053,"0")</f>
        <v>4000</v>
      </c>
      <c r="H1053" s="337">
        <f t="shared" si="77"/>
        <v>600</v>
      </c>
      <c r="I1053" s="168">
        <f t="shared" si="78"/>
        <v>4600</v>
      </c>
    </row>
    <row r="1054" spans="1:9" ht="13.2">
      <c r="A1054" s="170">
        <f t="shared" si="76"/>
        <v>1053</v>
      </c>
      <c r="B1054" s="171" t="s">
        <v>795</v>
      </c>
      <c r="C1054" s="171" t="str">
        <f>VLOOKUP(B1054,MEMBERS!B:C,2, )</f>
        <v>MR. HASAN KARIM</v>
      </c>
      <c r="D1054" s="326">
        <v>46011</v>
      </c>
      <c r="E1054" s="178">
        <v>2</v>
      </c>
      <c r="F1054" s="171" t="s">
        <v>498</v>
      </c>
      <c r="G1054" s="168">
        <f>IFERROR(VLOOKUP(F1054,'menu list'!B:C,2,FALSE)*E1054,"0")</f>
        <v>400</v>
      </c>
      <c r="H1054" s="337">
        <f t="shared" si="77"/>
        <v>60</v>
      </c>
      <c r="I1054" s="168">
        <f t="shared" si="78"/>
        <v>460</v>
      </c>
    </row>
    <row r="1055" spans="1:9" ht="13.2">
      <c r="A1055" s="170">
        <f t="shared" si="76"/>
        <v>1054</v>
      </c>
      <c r="B1055" s="171" t="s">
        <v>795</v>
      </c>
      <c r="C1055" s="171" t="str">
        <f>VLOOKUP(B1055,MEMBERS!B:C,2, )</f>
        <v>MR. HASAN KARIM</v>
      </c>
      <c r="D1055" s="326">
        <v>46011</v>
      </c>
      <c r="E1055" s="178">
        <v>1</v>
      </c>
      <c r="F1055" s="171" t="s">
        <v>497</v>
      </c>
      <c r="G1055" s="168">
        <f>IFERROR(VLOOKUP(F1055,'menu list'!B:C,2,FALSE)*E1055,"0")</f>
        <v>250</v>
      </c>
      <c r="H1055" s="337">
        <f t="shared" si="77"/>
        <v>37.5</v>
      </c>
      <c r="I1055" s="168">
        <f t="shared" si="78"/>
        <v>287.5</v>
      </c>
    </row>
    <row r="1056" spans="1:9" ht="13.2">
      <c r="A1056" s="170">
        <f t="shared" si="76"/>
        <v>1055</v>
      </c>
      <c r="B1056" s="171" t="s">
        <v>795</v>
      </c>
      <c r="C1056" s="171" t="str">
        <f>VLOOKUP(B1056,MEMBERS!B:C,2, )</f>
        <v>MR. HASAN KARIM</v>
      </c>
      <c r="D1056" s="326">
        <v>46011</v>
      </c>
      <c r="E1056" s="178">
        <v>1</v>
      </c>
      <c r="F1056" s="171" t="s">
        <v>499</v>
      </c>
      <c r="G1056" s="168">
        <f>IFERROR(VLOOKUP(F1056,'menu list'!B:C,2,FALSE)*E1056,"0")</f>
        <v>100</v>
      </c>
      <c r="H1056" s="337">
        <f t="shared" si="77"/>
        <v>15</v>
      </c>
      <c r="I1056" s="168">
        <f t="shared" si="78"/>
        <v>115</v>
      </c>
    </row>
    <row r="1057" spans="1:9" ht="13.2">
      <c r="A1057" s="170">
        <f t="shared" si="76"/>
        <v>1056</v>
      </c>
      <c r="B1057" s="171" t="s">
        <v>1024</v>
      </c>
      <c r="C1057" s="171" t="str">
        <f>VLOOKUP(B1057,MEMBERS!B:C,2, )</f>
        <v>MR. ANEEL ZAHOOR</v>
      </c>
      <c r="D1057" s="326">
        <v>46011</v>
      </c>
      <c r="E1057" s="178">
        <v>1</v>
      </c>
      <c r="F1057" s="171" t="s">
        <v>440</v>
      </c>
      <c r="G1057" s="168">
        <f>IFERROR(VLOOKUP(F1057,'menu list'!B:C,2,FALSE)*E1057,"0")</f>
        <v>150</v>
      </c>
      <c r="H1057" s="337">
        <f t="shared" si="77"/>
        <v>22.5</v>
      </c>
      <c r="I1057" s="168">
        <f t="shared" si="78"/>
        <v>172.5</v>
      </c>
    </row>
    <row r="1058" spans="1:9" ht="13.2">
      <c r="A1058" s="170">
        <f t="shared" si="76"/>
        <v>1057</v>
      </c>
      <c r="B1058" s="171" t="s">
        <v>1024</v>
      </c>
      <c r="C1058" s="171" t="str">
        <f>VLOOKUP(B1058,MEMBERS!B:C,2, )</f>
        <v>MR. ANEEL ZAHOOR</v>
      </c>
      <c r="D1058" s="326">
        <v>46011</v>
      </c>
      <c r="E1058" s="178">
        <v>1</v>
      </c>
      <c r="F1058" s="171" t="s">
        <v>500</v>
      </c>
      <c r="G1058" s="168">
        <f>IFERROR(VLOOKUP(F1058,'menu list'!B:C,2,FALSE)*E1058,"0")</f>
        <v>1250</v>
      </c>
      <c r="H1058" s="337">
        <f t="shared" si="77"/>
        <v>187.5</v>
      </c>
      <c r="I1058" s="168">
        <f t="shared" si="78"/>
        <v>1437.5</v>
      </c>
    </row>
    <row r="1059" spans="1:9" ht="13.2">
      <c r="A1059" s="170">
        <f t="shared" si="76"/>
        <v>1058</v>
      </c>
      <c r="B1059" s="171" t="s">
        <v>1024</v>
      </c>
      <c r="C1059" s="171" t="str">
        <f>VLOOKUP(B1059,MEMBERS!B:C,2, )</f>
        <v>MR. ANEEL ZAHOOR</v>
      </c>
      <c r="D1059" s="326">
        <v>46011</v>
      </c>
      <c r="E1059" s="178">
        <v>1</v>
      </c>
      <c r="F1059" s="171" t="s">
        <v>498</v>
      </c>
      <c r="G1059" s="168">
        <f>IFERROR(VLOOKUP(F1059,'menu list'!B:C,2,FALSE)*E1059,"0")</f>
        <v>200</v>
      </c>
      <c r="H1059" s="337">
        <f t="shared" si="77"/>
        <v>30</v>
      </c>
      <c r="I1059" s="168">
        <f t="shared" si="78"/>
        <v>230</v>
      </c>
    </row>
    <row r="1060" spans="1:9" ht="13.2">
      <c r="A1060" s="170">
        <f t="shared" si="76"/>
        <v>1059</v>
      </c>
      <c r="B1060" s="171" t="s">
        <v>1024</v>
      </c>
      <c r="C1060" s="171" t="str">
        <f>VLOOKUP(B1060,MEMBERS!B:C,2, )</f>
        <v>MR. ANEEL ZAHOOR</v>
      </c>
      <c r="D1060" s="326">
        <v>46011</v>
      </c>
      <c r="E1060" s="178">
        <v>2</v>
      </c>
      <c r="F1060" s="171" t="s">
        <v>442</v>
      </c>
      <c r="G1060" s="168">
        <f>IFERROR(VLOOKUP(F1060,'menu list'!B:C,2,FALSE)*E1060,"0")</f>
        <v>300</v>
      </c>
      <c r="H1060" s="337">
        <f t="shared" si="77"/>
        <v>45</v>
      </c>
      <c r="I1060" s="168">
        <f t="shared" si="78"/>
        <v>345</v>
      </c>
    </row>
    <row r="1061" spans="1:9" ht="13.2">
      <c r="A1061" s="170">
        <f t="shared" si="76"/>
        <v>1060</v>
      </c>
      <c r="B1061" s="171" t="s">
        <v>948</v>
      </c>
      <c r="C1061" s="171" t="str">
        <f>VLOOKUP(B1061,MEMBERS!B:C,2, )</f>
        <v>MR. TEHSEEN FAIZ</v>
      </c>
      <c r="D1061" s="326">
        <v>46011</v>
      </c>
      <c r="E1061" s="178">
        <v>1</v>
      </c>
      <c r="F1061" s="171" t="s">
        <v>500</v>
      </c>
      <c r="G1061" s="168">
        <f>IFERROR(VLOOKUP(F1061,'menu list'!B:C,2,FALSE)*E1061,"0")</f>
        <v>1250</v>
      </c>
      <c r="H1061" s="337">
        <f t="shared" si="77"/>
        <v>187.5</v>
      </c>
      <c r="I1061" s="168">
        <f t="shared" si="78"/>
        <v>1437.5</v>
      </c>
    </row>
    <row r="1062" spans="1:9" ht="13.2">
      <c r="A1062" s="170">
        <f t="shared" si="76"/>
        <v>1061</v>
      </c>
      <c r="B1062" s="171" t="s">
        <v>948</v>
      </c>
      <c r="C1062" s="171" t="str">
        <f>VLOOKUP(B1062,MEMBERS!B:C,2, )</f>
        <v>MR. TEHSEEN FAIZ</v>
      </c>
      <c r="D1062" s="326">
        <v>46011</v>
      </c>
      <c r="E1062" s="178">
        <v>1</v>
      </c>
      <c r="F1062" s="171" t="s">
        <v>802</v>
      </c>
      <c r="G1062" s="168">
        <f>IFERROR(VLOOKUP(F1062,'menu list'!B:C,2,FALSE)*E1062,"0")</f>
        <v>500</v>
      </c>
      <c r="H1062" s="337">
        <f t="shared" si="77"/>
        <v>75</v>
      </c>
      <c r="I1062" s="168">
        <f t="shared" si="78"/>
        <v>575</v>
      </c>
    </row>
    <row r="1063" spans="1:9" ht="13.2">
      <c r="A1063" s="170">
        <f t="shared" si="76"/>
        <v>1062</v>
      </c>
      <c r="B1063" s="171" t="s">
        <v>374</v>
      </c>
      <c r="C1063" s="171" t="str">
        <f>VLOOKUP(B1063,MEMBERS!B:C,2, )</f>
        <v>AAMIR RASOOL</v>
      </c>
      <c r="D1063" s="326">
        <v>46011</v>
      </c>
      <c r="E1063" s="178">
        <v>1</v>
      </c>
      <c r="F1063" s="171" t="s">
        <v>861</v>
      </c>
      <c r="G1063" s="168">
        <f>IFERROR(VLOOKUP(F1063,'menu list'!B:C,2,FALSE)*E1063,"0")</f>
        <v>800</v>
      </c>
      <c r="H1063" s="337">
        <f t="shared" si="77"/>
        <v>120</v>
      </c>
      <c r="I1063" s="168">
        <f t="shared" si="78"/>
        <v>920</v>
      </c>
    </row>
    <row r="1064" spans="1:9" ht="13.2">
      <c r="A1064" s="170">
        <f t="shared" ref="A1064:A1127" si="79">IF(D1064&lt;&gt;"", ROW()-1, "")</f>
        <v>1063</v>
      </c>
      <c r="B1064" s="171" t="s">
        <v>374</v>
      </c>
      <c r="C1064" s="171" t="str">
        <f>VLOOKUP(B1064,MEMBERS!B:C,2, )</f>
        <v>AAMIR RASOOL</v>
      </c>
      <c r="D1064" s="326">
        <v>46011</v>
      </c>
      <c r="E1064" s="178">
        <v>1</v>
      </c>
      <c r="F1064" s="171" t="s">
        <v>939</v>
      </c>
      <c r="G1064" s="168">
        <f>IFERROR(VLOOKUP(F1064,'menu list'!B:C,2,FALSE)*E1064,"0")</f>
        <v>1200</v>
      </c>
      <c r="H1064" s="337">
        <f t="shared" si="77"/>
        <v>180</v>
      </c>
      <c r="I1064" s="168">
        <f t="shared" si="78"/>
        <v>1380</v>
      </c>
    </row>
    <row r="1065" spans="1:9" ht="13.2">
      <c r="A1065" s="170">
        <f t="shared" si="79"/>
        <v>1064</v>
      </c>
      <c r="B1065" s="171" t="s">
        <v>374</v>
      </c>
      <c r="C1065" s="171" t="str">
        <f>VLOOKUP(B1065,MEMBERS!B:C,2, )</f>
        <v>AAMIR RASOOL</v>
      </c>
      <c r="D1065" s="326">
        <v>46011</v>
      </c>
      <c r="E1065" s="178">
        <v>1</v>
      </c>
      <c r="F1065" s="171" t="s">
        <v>786</v>
      </c>
      <c r="G1065" s="168">
        <f>IFERROR(VLOOKUP(F1065,'menu list'!B:C,2,FALSE)*E1065,"0")</f>
        <v>1150</v>
      </c>
      <c r="H1065" s="337">
        <f t="shared" si="77"/>
        <v>172.5</v>
      </c>
      <c r="I1065" s="168">
        <f t="shared" si="78"/>
        <v>1322.5</v>
      </c>
    </row>
    <row r="1066" spans="1:9" ht="13.2">
      <c r="A1066" s="170">
        <f t="shared" si="79"/>
        <v>1065</v>
      </c>
      <c r="B1066" s="171" t="s">
        <v>374</v>
      </c>
      <c r="C1066" s="171" t="str">
        <f>VLOOKUP(B1066,MEMBERS!B:C,2, )</f>
        <v>AAMIR RASOOL</v>
      </c>
      <c r="D1066" s="326">
        <v>46011</v>
      </c>
      <c r="E1066" s="178">
        <v>1</v>
      </c>
      <c r="F1066" s="171" t="s">
        <v>739</v>
      </c>
      <c r="G1066" s="168">
        <f>IFERROR(VLOOKUP(F1066,'menu list'!B:C,2,FALSE)*E1066,"0")</f>
        <v>400</v>
      </c>
      <c r="H1066" s="337">
        <f t="shared" si="77"/>
        <v>60</v>
      </c>
      <c r="I1066" s="168">
        <f t="shared" si="78"/>
        <v>460</v>
      </c>
    </row>
    <row r="1067" spans="1:9" ht="13.2">
      <c r="A1067" s="170">
        <f t="shared" si="79"/>
        <v>1066</v>
      </c>
      <c r="B1067" s="171" t="s">
        <v>374</v>
      </c>
      <c r="C1067" s="171" t="str">
        <f>VLOOKUP(B1067,MEMBERS!B:C,2, )</f>
        <v>AAMIR RASOOL</v>
      </c>
      <c r="D1067" s="326">
        <v>46011</v>
      </c>
      <c r="E1067" s="178">
        <v>1</v>
      </c>
      <c r="F1067" s="171" t="s">
        <v>1011</v>
      </c>
      <c r="G1067" s="168">
        <f>IFERROR(VLOOKUP(F1067,'menu list'!B:C,2,FALSE)*E1067,"0")</f>
        <v>1800</v>
      </c>
      <c r="H1067" s="337">
        <f t="shared" si="77"/>
        <v>270</v>
      </c>
      <c r="I1067" s="168">
        <f t="shared" si="78"/>
        <v>2070</v>
      </c>
    </row>
    <row r="1068" spans="1:9" ht="13.2">
      <c r="A1068" s="170">
        <f t="shared" si="79"/>
        <v>1067</v>
      </c>
      <c r="B1068" s="171" t="s">
        <v>374</v>
      </c>
      <c r="C1068" s="171" t="str">
        <f>VLOOKUP(B1068,MEMBERS!B:C,2, )</f>
        <v>AAMIR RASOOL</v>
      </c>
      <c r="D1068" s="326">
        <v>46011</v>
      </c>
      <c r="E1068" s="178">
        <v>1</v>
      </c>
      <c r="F1068" s="171" t="s">
        <v>793</v>
      </c>
      <c r="G1068" s="168">
        <f>IFERROR(VLOOKUP(F1068,'menu list'!B:C,2,FALSE)*E1068,"0")</f>
        <v>800</v>
      </c>
      <c r="H1068" s="337">
        <f t="shared" si="77"/>
        <v>120</v>
      </c>
      <c r="I1068" s="168">
        <f t="shared" si="78"/>
        <v>920</v>
      </c>
    </row>
    <row r="1069" spans="1:9" ht="13.2">
      <c r="A1069" s="170">
        <f t="shared" si="79"/>
        <v>1068</v>
      </c>
      <c r="B1069" s="171" t="s">
        <v>374</v>
      </c>
      <c r="C1069" s="171" t="str">
        <f>VLOOKUP(B1069,MEMBERS!B:C,2, )</f>
        <v>AAMIR RASOOL</v>
      </c>
      <c r="D1069" s="326">
        <v>46011</v>
      </c>
      <c r="E1069" s="178">
        <v>7</v>
      </c>
      <c r="F1069" s="171" t="s">
        <v>439</v>
      </c>
      <c r="G1069" s="168">
        <f>IFERROR(VLOOKUP(F1069,'menu list'!B:C,2,FALSE)*E1069,"0")</f>
        <v>490</v>
      </c>
      <c r="H1069" s="337">
        <f t="shared" si="77"/>
        <v>73.5</v>
      </c>
      <c r="I1069" s="168">
        <f t="shared" si="78"/>
        <v>563.5</v>
      </c>
    </row>
    <row r="1070" spans="1:9" ht="13.2">
      <c r="A1070" s="170">
        <f t="shared" si="79"/>
        <v>1069</v>
      </c>
      <c r="B1070" s="171" t="s">
        <v>374</v>
      </c>
      <c r="C1070" s="171" t="str">
        <f>VLOOKUP(B1070,MEMBERS!B:C,2, )</f>
        <v>AAMIR RASOOL</v>
      </c>
      <c r="D1070" s="326">
        <v>46011</v>
      </c>
      <c r="E1070" s="178">
        <v>1</v>
      </c>
      <c r="F1070" s="171" t="s">
        <v>440</v>
      </c>
      <c r="G1070" s="168">
        <f>IFERROR(VLOOKUP(F1070,'menu list'!B:C,2,FALSE)*E1070,"0")</f>
        <v>150</v>
      </c>
      <c r="H1070" s="337">
        <f t="shared" si="77"/>
        <v>22.5</v>
      </c>
      <c r="I1070" s="168">
        <f t="shared" si="78"/>
        <v>172.5</v>
      </c>
    </row>
    <row r="1071" spans="1:9" ht="13.2">
      <c r="A1071" s="170">
        <f t="shared" si="79"/>
        <v>1070</v>
      </c>
      <c r="B1071" s="171" t="s">
        <v>454</v>
      </c>
      <c r="C1071" s="171" t="str">
        <f>VLOOKUP(B1071,MEMBERS!B:C,2, )</f>
        <v>Heritage club</v>
      </c>
      <c r="D1071" s="326">
        <v>46011</v>
      </c>
      <c r="E1071" s="178">
        <v>2</v>
      </c>
      <c r="F1071" s="171" t="s">
        <v>440</v>
      </c>
      <c r="G1071" s="168">
        <f>IFERROR(VLOOKUP(F1071,'menu list'!B:C,2,FALSE)*E1071,"0")</f>
        <v>300</v>
      </c>
      <c r="H1071" s="337">
        <f t="shared" si="77"/>
        <v>45</v>
      </c>
      <c r="I1071" s="168">
        <f t="shared" si="78"/>
        <v>345</v>
      </c>
    </row>
    <row r="1072" spans="1:9" ht="13.2">
      <c r="A1072" s="170">
        <f t="shared" si="79"/>
        <v>1071</v>
      </c>
      <c r="B1072" s="171" t="s">
        <v>454</v>
      </c>
      <c r="C1072" s="171" t="str">
        <f>VLOOKUP(B1072,MEMBERS!B:C,2, )</f>
        <v>Heritage club</v>
      </c>
      <c r="D1072" s="326">
        <v>46011</v>
      </c>
      <c r="E1072" s="178">
        <v>4</v>
      </c>
      <c r="F1072" s="171" t="s">
        <v>498</v>
      </c>
      <c r="G1072" s="168">
        <f>IFERROR(VLOOKUP(F1072,'menu list'!B:C,2,FALSE)*E1072,"0")</f>
        <v>800</v>
      </c>
      <c r="H1072" s="337">
        <f t="shared" si="77"/>
        <v>120</v>
      </c>
      <c r="I1072" s="168">
        <f t="shared" si="78"/>
        <v>920</v>
      </c>
    </row>
    <row r="1073" spans="1:9" ht="13.2">
      <c r="A1073" s="170">
        <f t="shared" si="79"/>
        <v>1072</v>
      </c>
      <c r="B1073" s="171" t="s">
        <v>454</v>
      </c>
      <c r="C1073" s="171" t="str">
        <f>VLOOKUP(B1073,MEMBERS!B:C,2, )</f>
        <v>Heritage club</v>
      </c>
      <c r="D1073" s="326">
        <v>46011</v>
      </c>
      <c r="E1073" s="178">
        <v>1</v>
      </c>
      <c r="F1073" s="171" t="s">
        <v>772</v>
      </c>
      <c r="G1073" s="168">
        <f>IFERROR(VLOOKUP(F1073,'menu list'!B:C,2,FALSE)*E1073,"0")</f>
        <v>900</v>
      </c>
      <c r="H1073" s="337">
        <f t="shared" si="77"/>
        <v>135</v>
      </c>
      <c r="I1073" s="168">
        <f t="shared" si="78"/>
        <v>1035</v>
      </c>
    </row>
    <row r="1074" spans="1:9" ht="13.2">
      <c r="A1074" s="170">
        <f t="shared" si="79"/>
        <v>1073</v>
      </c>
      <c r="B1074" s="171" t="s">
        <v>454</v>
      </c>
      <c r="C1074" s="171" t="str">
        <f>VLOOKUP(B1074,MEMBERS!B:C,2, )</f>
        <v>Heritage club</v>
      </c>
      <c r="D1074" s="326">
        <v>46011</v>
      </c>
      <c r="E1074" s="178">
        <v>5</v>
      </c>
      <c r="F1074" s="171" t="s">
        <v>439</v>
      </c>
      <c r="G1074" s="168">
        <f>IFERROR(VLOOKUP(F1074,'menu list'!B:C,2,FALSE)*E1074,"0")</f>
        <v>350</v>
      </c>
      <c r="H1074" s="337">
        <f t="shared" si="77"/>
        <v>52.5</v>
      </c>
      <c r="I1074" s="168">
        <f t="shared" si="78"/>
        <v>402.5</v>
      </c>
    </row>
    <row r="1075" spans="1:9" ht="13.2">
      <c r="A1075" s="170">
        <f t="shared" si="79"/>
        <v>1074</v>
      </c>
      <c r="B1075" s="171" t="s">
        <v>1053</v>
      </c>
      <c r="C1075" s="171" t="str">
        <f>VLOOKUP(B1075,MEMBERS!B:C,2, )</f>
        <v>MR. ZAMIR ALI SHAH</v>
      </c>
      <c r="D1075" s="326">
        <v>46011</v>
      </c>
      <c r="E1075" s="178">
        <v>3</v>
      </c>
      <c r="F1075" s="171" t="s">
        <v>440</v>
      </c>
      <c r="G1075" s="168">
        <f>IFERROR(VLOOKUP(F1075,'menu list'!B:C,2,FALSE)*E1075,"0")</f>
        <v>450</v>
      </c>
      <c r="H1075" s="337">
        <f t="shared" si="77"/>
        <v>67.5</v>
      </c>
      <c r="I1075" s="168">
        <f t="shared" si="78"/>
        <v>517.5</v>
      </c>
    </row>
    <row r="1076" spans="1:9" ht="13.2">
      <c r="A1076" s="170">
        <f t="shared" si="79"/>
        <v>1075</v>
      </c>
      <c r="B1076" s="171" t="s">
        <v>1053</v>
      </c>
      <c r="C1076" s="171" t="str">
        <f>VLOOKUP(B1076,MEMBERS!B:C,2, )</f>
        <v>MR. ZAMIR ALI SHAH</v>
      </c>
      <c r="D1076" s="326">
        <v>46011</v>
      </c>
      <c r="E1076" s="178">
        <v>1</v>
      </c>
      <c r="F1076" s="171" t="s">
        <v>1057</v>
      </c>
      <c r="G1076" s="168">
        <f>IFERROR(VLOOKUP(F1076,'menu list'!B:C,2,FALSE)*E1076,"0")</f>
        <v>850</v>
      </c>
      <c r="H1076" s="337">
        <f t="shared" si="77"/>
        <v>127.5</v>
      </c>
      <c r="I1076" s="168">
        <f t="shared" si="78"/>
        <v>977.5</v>
      </c>
    </row>
    <row r="1077" spans="1:9" ht="13.2">
      <c r="A1077" s="170">
        <f t="shared" si="79"/>
        <v>1076</v>
      </c>
      <c r="B1077" s="171" t="s">
        <v>1053</v>
      </c>
      <c r="C1077" s="171" t="str">
        <f>VLOOKUP(B1077,MEMBERS!B:C,2, )</f>
        <v>MR. ZAMIR ALI SHAH</v>
      </c>
      <c r="D1077" s="326">
        <v>46011</v>
      </c>
      <c r="E1077" s="178">
        <v>1</v>
      </c>
      <c r="F1077" s="171" t="s">
        <v>799</v>
      </c>
      <c r="G1077" s="168">
        <f>IFERROR(VLOOKUP(F1077,'menu list'!B:C,2,FALSE)*E1077,"0")</f>
        <v>1700</v>
      </c>
      <c r="H1077" s="337">
        <f t="shared" si="77"/>
        <v>255</v>
      </c>
      <c r="I1077" s="168">
        <f t="shared" si="78"/>
        <v>1955</v>
      </c>
    </row>
    <row r="1078" spans="1:9" ht="13.2">
      <c r="A1078" s="170">
        <f t="shared" si="79"/>
        <v>1077</v>
      </c>
      <c r="B1078" s="171" t="s">
        <v>1053</v>
      </c>
      <c r="C1078" s="171" t="str">
        <f>VLOOKUP(B1078,MEMBERS!B:C,2, )</f>
        <v>MR. ZAMIR ALI SHAH</v>
      </c>
      <c r="D1078" s="326">
        <v>46011</v>
      </c>
      <c r="E1078" s="178">
        <v>1</v>
      </c>
      <c r="F1078" s="171" t="s">
        <v>939</v>
      </c>
      <c r="G1078" s="168">
        <f>IFERROR(VLOOKUP(F1078,'menu list'!B:C,2,FALSE)*E1078,"0")</f>
        <v>1200</v>
      </c>
      <c r="H1078" s="337">
        <f t="shared" si="77"/>
        <v>180</v>
      </c>
      <c r="I1078" s="168">
        <f t="shared" si="78"/>
        <v>1380</v>
      </c>
    </row>
    <row r="1079" spans="1:9" ht="13.2">
      <c r="A1079" s="170">
        <f t="shared" si="79"/>
        <v>1078</v>
      </c>
      <c r="B1079" s="171" t="s">
        <v>1053</v>
      </c>
      <c r="C1079" s="171" t="str">
        <f>VLOOKUP(B1079,MEMBERS!B:C,2, )</f>
        <v>MR. ZAMIR ALI SHAH</v>
      </c>
      <c r="D1079" s="326">
        <v>46011</v>
      </c>
      <c r="E1079" s="178">
        <v>1</v>
      </c>
      <c r="F1079" s="171" t="s">
        <v>501</v>
      </c>
      <c r="G1079" s="168">
        <f>IFERROR(VLOOKUP(F1079,'menu list'!B:C,2,FALSE)*E1079,"0")</f>
        <v>1200</v>
      </c>
      <c r="H1079" s="337">
        <f t="shared" si="77"/>
        <v>180</v>
      </c>
      <c r="I1079" s="168">
        <f t="shared" si="78"/>
        <v>1380</v>
      </c>
    </row>
    <row r="1080" spans="1:9" ht="13.2">
      <c r="A1080" s="170">
        <f t="shared" si="79"/>
        <v>1079</v>
      </c>
      <c r="B1080" s="171" t="s">
        <v>1053</v>
      </c>
      <c r="C1080" s="171" t="str">
        <f>VLOOKUP(B1080,MEMBERS!B:C,2, )</f>
        <v>MR. ZAMIR ALI SHAH</v>
      </c>
      <c r="D1080" s="326">
        <v>46011</v>
      </c>
      <c r="E1080" s="178">
        <v>2</v>
      </c>
      <c r="F1080" s="171" t="s">
        <v>786</v>
      </c>
      <c r="G1080" s="168">
        <f>IFERROR(VLOOKUP(F1080,'menu list'!B:C,2,FALSE)*E1080,"0")</f>
        <v>2300</v>
      </c>
      <c r="H1080" s="337">
        <f t="shared" si="77"/>
        <v>345</v>
      </c>
      <c r="I1080" s="168">
        <f t="shared" si="78"/>
        <v>2645</v>
      </c>
    </row>
    <row r="1081" spans="1:9" ht="13.2">
      <c r="A1081" s="170">
        <f t="shared" si="79"/>
        <v>1080</v>
      </c>
      <c r="B1081" s="171" t="s">
        <v>20</v>
      </c>
      <c r="C1081" s="171" t="str">
        <f>VLOOKUP(B1081,MEMBERS!B:C,2, )</f>
        <v>MR.BILAL AHMED</v>
      </c>
      <c r="D1081" s="326">
        <v>46011</v>
      </c>
      <c r="E1081" s="178">
        <v>4</v>
      </c>
      <c r="F1081" s="171" t="s">
        <v>498</v>
      </c>
      <c r="G1081" s="168">
        <f>IFERROR(VLOOKUP(F1081,'menu list'!B:C,2,FALSE)*E1081,"0")</f>
        <v>800</v>
      </c>
      <c r="H1081" s="337">
        <f t="shared" si="77"/>
        <v>120</v>
      </c>
      <c r="I1081" s="168">
        <f t="shared" si="78"/>
        <v>920</v>
      </c>
    </row>
    <row r="1082" spans="1:9" ht="13.2">
      <c r="A1082" s="170">
        <f t="shared" si="79"/>
        <v>1081</v>
      </c>
      <c r="B1082" s="171" t="s">
        <v>20</v>
      </c>
      <c r="C1082" s="171" t="str">
        <f>VLOOKUP(B1082,MEMBERS!B:C,2, )</f>
        <v>MR.BILAL AHMED</v>
      </c>
      <c r="D1082" s="326">
        <v>46011</v>
      </c>
      <c r="E1082" s="178">
        <v>2</v>
      </c>
      <c r="F1082" s="171" t="s">
        <v>500</v>
      </c>
      <c r="G1082" s="168">
        <f>IFERROR(VLOOKUP(F1082,'menu list'!B:C,2,FALSE)*E1082,"0")</f>
        <v>2500</v>
      </c>
      <c r="H1082" s="337">
        <f t="shared" si="77"/>
        <v>375</v>
      </c>
      <c r="I1082" s="168">
        <f t="shared" si="78"/>
        <v>2875</v>
      </c>
    </row>
    <row r="1083" spans="1:9" ht="13.2">
      <c r="A1083" s="170">
        <f t="shared" si="79"/>
        <v>1082</v>
      </c>
      <c r="B1083" s="171" t="s">
        <v>20</v>
      </c>
      <c r="C1083" s="171" t="str">
        <f>VLOOKUP(B1083,MEMBERS!B:C,2, )</f>
        <v>MR.BILAL AHMED</v>
      </c>
      <c r="D1083" s="326">
        <v>46011</v>
      </c>
      <c r="E1083" s="178">
        <v>4</v>
      </c>
      <c r="F1083" s="171" t="s">
        <v>499</v>
      </c>
      <c r="G1083" s="168">
        <f>IFERROR(VLOOKUP(F1083,'menu list'!B:C,2,FALSE)*E1083,"0")</f>
        <v>400</v>
      </c>
      <c r="H1083" s="337">
        <f t="shared" si="77"/>
        <v>60</v>
      </c>
      <c r="I1083" s="168">
        <f t="shared" si="78"/>
        <v>460</v>
      </c>
    </row>
    <row r="1084" spans="1:9" ht="13.2">
      <c r="A1084" s="170">
        <f t="shared" si="79"/>
        <v>1083</v>
      </c>
      <c r="B1084" s="171" t="s">
        <v>795</v>
      </c>
      <c r="C1084" s="171" t="str">
        <f>VLOOKUP(B1084,MEMBERS!B:C,2, )</f>
        <v>MR. HASAN KARIM</v>
      </c>
      <c r="D1084" s="326">
        <v>46011</v>
      </c>
      <c r="E1084" s="178">
        <v>1</v>
      </c>
      <c r="F1084" s="171" t="s">
        <v>499</v>
      </c>
      <c r="G1084" s="168">
        <f>IFERROR(VLOOKUP(F1084,'menu list'!B:C,2,FALSE)*E1084,"0")</f>
        <v>100</v>
      </c>
      <c r="H1084" s="337">
        <f t="shared" si="77"/>
        <v>15</v>
      </c>
      <c r="I1084" s="168">
        <f t="shared" si="78"/>
        <v>115</v>
      </c>
    </row>
    <row r="1085" spans="1:9" ht="13.2">
      <c r="A1085" s="170">
        <f t="shared" si="79"/>
        <v>1084</v>
      </c>
      <c r="B1085" s="171" t="s">
        <v>795</v>
      </c>
      <c r="C1085" s="171" t="str">
        <f>VLOOKUP(B1085,MEMBERS!B:C,2, )</f>
        <v>MR. HASAN KARIM</v>
      </c>
      <c r="D1085" s="326">
        <v>46011</v>
      </c>
      <c r="E1085" s="178">
        <v>1</v>
      </c>
      <c r="F1085" s="171" t="s">
        <v>653</v>
      </c>
      <c r="G1085" s="168">
        <f>IFERROR(VLOOKUP(F1085,'menu list'!B:C,2,FALSE)*E1085,"0")</f>
        <v>350</v>
      </c>
      <c r="H1085" s="337">
        <f t="shared" si="77"/>
        <v>52.5</v>
      </c>
      <c r="I1085" s="168">
        <f t="shared" si="78"/>
        <v>402.5</v>
      </c>
    </row>
    <row r="1086" spans="1:9" ht="13.2">
      <c r="A1086" s="170">
        <f t="shared" si="79"/>
        <v>1085</v>
      </c>
      <c r="B1086" s="171" t="s">
        <v>25</v>
      </c>
      <c r="C1086" s="171" t="str">
        <f>VLOOKUP(B1086,MEMBERS!B:C,2, )</f>
        <v>MR.MUHAMMAD ARIF</v>
      </c>
      <c r="D1086" s="326">
        <v>46011</v>
      </c>
      <c r="E1086" s="178">
        <v>1</v>
      </c>
      <c r="F1086" s="171" t="s">
        <v>786</v>
      </c>
      <c r="G1086" s="168">
        <f>IFERROR(VLOOKUP(F1086,'menu list'!B:C,2,FALSE)*E1086,"0")</f>
        <v>1150</v>
      </c>
      <c r="H1086" s="337">
        <f t="shared" si="77"/>
        <v>172.5</v>
      </c>
      <c r="I1086" s="168">
        <f t="shared" si="78"/>
        <v>1322.5</v>
      </c>
    </row>
    <row r="1087" spans="1:9" ht="13.2">
      <c r="A1087" s="170">
        <f t="shared" si="79"/>
        <v>1086</v>
      </c>
      <c r="B1087" s="171" t="s">
        <v>25</v>
      </c>
      <c r="C1087" s="171" t="str">
        <f>VLOOKUP(B1087,MEMBERS!B:C,2, )</f>
        <v>MR.MUHAMMAD ARIF</v>
      </c>
      <c r="D1087" s="326">
        <v>46011</v>
      </c>
      <c r="E1087" s="178">
        <v>1</v>
      </c>
      <c r="F1087" s="171" t="s">
        <v>915</v>
      </c>
      <c r="G1087" s="168">
        <f>IFERROR(VLOOKUP(F1087,'menu list'!B:C,2,FALSE)*E1087,"0")</f>
        <v>999</v>
      </c>
      <c r="H1087" s="337">
        <f t="shared" si="77"/>
        <v>149.85</v>
      </c>
      <c r="I1087" s="168">
        <f t="shared" si="78"/>
        <v>1148.8499999999999</v>
      </c>
    </row>
    <row r="1088" spans="1:9" ht="13.2">
      <c r="A1088" s="170">
        <f t="shared" si="79"/>
        <v>1087</v>
      </c>
      <c r="B1088" s="171" t="s">
        <v>25</v>
      </c>
      <c r="C1088" s="171" t="str">
        <f>VLOOKUP(B1088,MEMBERS!B:C,2, )</f>
        <v>MR.MUHAMMAD ARIF</v>
      </c>
      <c r="D1088" s="326">
        <v>46011</v>
      </c>
      <c r="E1088" s="178">
        <v>1</v>
      </c>
      <c r="F1088" s="171" t="s">
        <v>822</v>
      </c>
      <c r="G1088" s="168">
        <f>IFERROR(VLOOKUP(F1088,'menu list'!B:C,2,FALSE)*E1088,"0")</f>
        <v>1500</v>
      </c>
      <c r="H1088" s="337">
        <f t="shared" si="77"/>
        <v>225</v>
      </c>
      <c r="I1088" s="168">
        <f t="shared" si="78"/>
        <v>1725</v>
      </c>
    </row>
    <row r="1089" spans="1:9" ht="13.2">
      <c r="A1089" s="170">
        <f t="shared" si="79"/>
        <v>1088</v>
      </c>
      <c r="B1089" s="171" t="s">
        <v>25</v>
      </c>
      <c r="C1089" s="171" t="str">
        <f>VLOOKUP(B1089,MEMBERS!B:C,2, )</f>
        <v>MR.MUHAMMAD ARIF</v>
      </c>
      <c r="D1089" s="326">
        <v>46011</v>
      </c>
      <c r="E1089" s="178">
        <v>1</v>
      </c>
      <c r="F1089" s="171" t="s">
        <v>939</v>
      </c>
      <c r="G1089" s="168">
        <f>IFERROR(VLOOKUP(F1089,'menu list'!B:C,2,FALSE)*E1089,"0")</f>
        <v>1200</v>
      </c>
      <c r="H1089" s="337">
        <f t="shared" si="77"/>
        <v>180</v>
      </c>
      <c r="I1089" s="168">
        <f t="shared" si="78"/>
        <v>1380</v>
      </c>
    </row>
    <row r="1090" spans="1:9" ht="13.2">
      <c r="A1090" s="170">
        <f t="shared" si="79"/>
        <v>1089</v>
      </c>
      <c r="B1090" s="171" t="s">
        <v>25</v>
      </c>
      <c r="C1090" s="171" t="str">
        <f>VLOOKUP(B1090,MEMBERS!B:C,2, )</f>
        <v>MR.MUHAMMAD ARIF</v>
      </c>
      <c r="D1090" s="326">
        <v>46011</v>
      </c>
      <c r="E1090" s="178">
        <v>1</v>
      </c>
      <c r="F1090" s="171" t="s">
        <v>770</v>
      </c>
      <c r="G1090" s="168">
        <f>IFERROR(VLOOKUP(F1090,'menu list'!B:C,2,FALSE)*E1090,"0")</f>
        <v>1000</v>
      </c>
      <c r="H1090" s="337">
        <f t="shared" si="77"/>
        <v>150</v>
      </c>
      <c r="I1090" s="168">
        <f t="shared" si="78"/>
        <v>1150</v>
      </c>
    </row>
    <row r="1091" spans="1:9" ht="13.2">
      <c r="A1091" s="170">
        <f t="shared" si="79"/>
        <v>1090</v>
      </c>
      <c r="B1091" s="171" t="s">
        <v>25</v>
      </c>
      <c r="C1091" s="171" t="str">
        <f>VLOOKUP(B1091,MEMBERS!B:C,2, )</f>
        <v>MR.MUHAMMAD ARIF</v>
      </c>
      <c r="D1091" s="326">
        <v>46011</v>
      </c>
      <c r="E1091" s="178">
        <v>1</v>
      </c>
      <c r="F1091" s="171" t="s">
        <v>802</v>
      </c>
      <c r="G1091" s="168">
        <f>IFERROR(VLOOKUP(F1091,'menu list'!B:C,2,FALSE)*E1091,"0")</f>
        <v>500</v>
      </c>
      <c r="H1091" s="337">
        <f t="shared" ref="H1091:H1154" si="80">G1091*15/100</f>
        <v>75</v>
      </c>
      <c r="I1091" s="168">
        <f t="shared" si="78"/>
        <v>575</v>
      </c>
    </row>
    <row r="1092" spans="1:9" ht="13.2">
      <c r="A1092" s="170">
        <f t="shared" si="79"/>
        <v>1091</v>
      </c>
      <c r="B1092" s="171" t="s">
        <v>25</v>
      </c>
      <c r="C1092" s="171" t="str">
        <f>VLOOKUP(B1092,MEMBERS!B:C,2, )</f>
        <v>MR.MUHAMMAD ARIF</v>
      </c>
      <c r="D1092" s="326">
        <v>46011</v>
      </c>
      <c r="E1092" s="178">
        <v>1</v>
      </c>
      <c r="F1092" s="171" t="s">
        <v>887</v>
      </c>
      <c r="G1092" s="168">
        <f>IFERROR(VLOOKUP(F1092,'menu list'!B:C,2,FALSE)*E1092,"0")</f>
        <v>1050</v>
      </c>
      <c r="H1092" s="337">
        <f t="shared" si="80"/>
        <v>157.5</v>
      </c>
      <c r="I1092" s="168">
        <f t="shared" ref="I1092:I1155" si="81">G1092+H1092</f>
        <v>1207.5</v>
      </c>
    </row>
    <row r="1093" spans="1:9" ht="13.2">
      <c r="A1093" s="170">
        <f t="shared" si="79"/>
        <v>1092</v>
      </c>
      <c r="B1093" s="171" t="s">
        <v>25</v>
      </c>
      <c r="C1093" s="171" t="str">
        <f>VLOOKUP(B1093,MEMBERS!B:C,2, )</f>
        <v>MR.MUHAMMAD ARIF</v>
      </c>
      <c r="D1093" s="326">
        <v>46011</v>
      </c>
      <c r="E1093" s="178">
        <v>7</v>
      </c>
      <c r="F1093" s="171" t="s">
        <v>439</v>
      </c>
      <c r="G1093" s="168">
        <f>IFERROR(VLOOKUP(F1093,'menu list'!B:C,2,FALSE)*E1093,"0")</f>
        <v>490</v>
      </c>
      <c r="H1093" s="337">
        <f t="shared" si="80"/>
        <v>73.5</v>
      </c>
      <c r="I1093" s="168">
        <f t="shared" si="81"/>
        <v>563.5</v>
      </c>
    </row>
    <row r="1094" spans="1:9" ht="13.2">
      <c r="A1094" s="170">
        <f t="shared" si="79"/>
        <v>1093</v>
      </c>
      <c r="B1094" s="171" t="s">
        <v>25</v>
      </c>
      <c r="C1094" s="171" t="str">
        <f>VLOOKUP(B1094,MEMBERS!B:C,2, )</f>
        <v>MR.MUHAMMAD ARIF</v>
      </c>
      <c r="D1094" s="326">
        <v>46011</v>
      </c>
      <c r="E1094" s="178">
        <v>1</v>
      </c>
      <c r="F1094" s="171" t="s">
        <v>793</v>
      </c>
      <c r="G1094" s="168">
        <f>IFERROR(VLOOKUP(F1094,'menu list'!B:C,2,FALSE)*E1094,"0")</f>
        <v>800</v>
      </c>
      <c r="H1094" s="337">
        <f t="shared" si="80"/>
        <v>120</v>
      </c>
      <c r="I1094" s="168">
        <f t="shared" si="81"/>
        <v>920</v>
      </c>
    </row>
    <row r="1095" spans="1:9" ht="13.2">
      <c r="A1095" s="170">
        <f t="shared" si="79"/>
        <v>1094</v>
      </c>
      <c r="B1095" s="171" t="s">
        <v>25</v>
      </c>
      <c r="C1095" s="171" t="str">
        <f>VLOOKUP(B1095,MEMBERS!B:C,2, )</f>
        <v>MR.MUHAMMAD ARIF</v>
      </c>
      <c r="D1095" s="326">
        <v>46011</v>
      </c>
      <c r="E1095" s="178">
        <v>2</v>
      </c>
      <c r="F1095" s="171" t="s">
        <v>441</v>
      </c>
      <c r="G1095" s="168">
        <f>IFERROR(VLOOKUP(F1095,'menu list'!B:C,2,FALSE)*E1095,"0")</f>
        <v>400</v>
      </c>
      <c r="H1095" s="337">
        <f t="shared" si="80"/>
        <v>60</v>
      </c>
      <c r="I1095" s="168">
        <f t="shared" si="81"/>
        <v>460</v>
      </c>
    </row>
    <row r="1096" spans="1:9" ht="13.2">
      <c r="A1096" s="170">
        <f t="shared" si="79"/>
        <v>1095</v>
      </c>
      <c r="B1096" s="171" t="s">
        <v>25</v>
      </c>
      <c r="C1096" s="171" t="str">
        <f>VLOOKUP(B1096,MEMBERS!B:C,2, )</f>
        <v>MR.MUHAMMAD ARIF</v>
      </c>
      <c r="D1096" s="326">
        <v>46011</v>
      </c>
      <c r="E1096" s="178">
        <v>1</v>
      </c>
      <c r="F1096" s="171" t="s">
        <v>440</v>
      </c>
      <c r="G1096" s="168">
        <f>IFERROR(VLOOKUP(F1096,'menu list'!B:C,2,FALSE)*E1096,"0")</f>
        <v>150</v>
      </c>
      <c r="H1096" s="337">
        <f t="shared" si="80"/>
        <v>22.5</v>
      </c>
      <c r="I1096" s="168">
        <f t="shared" si="81"/>
        <v>172.5</v>
      </c>
    </row>
    <row r="1097" spans="1:9" ht="13.2">
      <c r="A1097" s="170">
        <f t="shared" si="79"/>
        <v>1096</v>
      </c>
      <c r="B1097" s="171" t="s">
        <v>25</v>
      </c>
      <c r="C1097" s="171" t="str">
        <f>VLOOKUP(B1097,MEMBERS!B:C,2, )</f>
        <v>MR.MUHAMMAD ARIF</v>
      </c>
      <c r="D1097" s="326">
        <v>46011</v>
      </c>
      <c r="E1097" s="178">
        <v>2</v>
      </c>
      <c r="F1097" s="171" t="s">
        <v>439</v>
      </c>
      <c r="G1097" s="168">
        <f>IFERROR(VLOOKUP(F1097,'menu list'!B:C,2,FALSE)*E1097,"0")</f>
        <v>140</v>
      </c>
      <c r="H1097" s="337">
        <f t="shared" si="80"/>
        <v>21</v>
      </c>
      <c r="I1097" s="168">
        <f t="shared" si="81"/>
        <v>161</v>
      </c>
    </row>
    <row r="1098" spans="1:9" ht="13.2">
      <c r="A1098" s="170">
        <f t="shared" si="79"/>
        <v>1097</v>
      </c>
      <c r="B1098" s="171" t="s">
        <v>25</v>
      </c>
      <c r="C1098" s="171" t="str">
        <f>VLOOKUP(B1098,MEMBERS!B:C,2, )</f>
        <v>MR.MUHAMMAD ARIF</v>
      </c>
      <c r="D1098" s="326">
        <v>46011</v>
      </c>
      <c r="E1098" s="178">
        <v>6</v>
      </c>
      <c r="F1098" s="171" t="s">
        <v>836</v>
      </c>
      <c r="G1098" s="168">
        <f>IFERROR(VLOOKUP(F1098,'menu list'!B:C,2,FALSE)*E1098,"0")</f>
        <v>2100</v>
      </c>
      <c r="H1098" s="337">
        <f t="shared" si="80"/>
        <v>315</v>
      </c>
      <c r="I1098" s="168">
        <f t="shared" si="81"/>
        <v>2415</v>
      </c>
    </row>
    <row r="1099" spans="1:9" ht="13.2">
      <c r="A1099" s="170">
        <f t="shared" si="79"/>
        <v>1098</v>
      </c>
      <c r="B1099" s="171" t="s">
        <v>795</v>
      </c>
      <c r="C1099" s="171" t="str">
        <f>VLOOKUP(B1099,MEMBERS!B:C,2, )</f>
        <v>MR. HASAN KARIM</v>
      </c>
      <c r="D1099" s="326">
        <v>46011</v>
      </c>
      <c r="E1099" s="178">
        <v>1</v>
      </c>
      <c r="F1099" s="171" t="s">
        <v>853</v>
      </c>
      <c r="G1099" s="168">
        <f>IFERROR(VLOOKUP(F1099,'menu list'!B:C,2,FALSE)*E1099,"0")</f>
        <v>575</v>
      </c>
      <c r="H1099" s="337">
        <f t="shared" si="80"/>
        <v>86.25</v>
      </c>
      <c r="I1099" s="168">
        <f t="shared" si="81"/>
        <v>661.25</v>
      </c>
    </row>
    <row r="1100" spans="1:9" ht="13.2">
      <c r="A1100" s="170">
        <f t="shared" si="79"/>
        <v>1099</v>
      </c>
      <c r="B1100" s="171" t="s">
        <v>795</v>
      </c>
      <c r="C1100" s="171" t="str">
        <f>VLOOKUP(B1100,MEMBERS!B:C,2, )</f>
        <v>MR. HASAN KARIM</v>
      </c>
      <c r="D1100" s="326">
        <v>46011</v>
      </c>
      <c r="E1100" s="178">
        <v>1</v>
      </c>
      <c r="F1100" s="171" t="s">
        <v>836</v>
      </c>
      <c r="G1100" s="168">
        <f>IFERROR(VLOOKUP(F1100,'menu list'!B:C,2,FALSE)*E1100,"0")</f>
        <v>350</v>
      </c>
      <c r="H1100" s="337">
        <f t="shared" si="80"/>
        <v>52.5</v>
      </c>
      <c r="I1100" s="168">
        <f t="shared" si="81"/>
        <v>402.5</v>
      </c>
    </row>
    <row r="1101" spans="1:9" ht="13.2">
      <c r="A1101" s="170">
        <f t="shared" si="79"/>
        <v>1100</v>
      </c>
      <c r="B1101" s="171" t="s">
        <v>795</v>
      </c>
      <c r="C1101" s="171" t="str">
        <f>VLOOKUP(B1101,MEMBERS!B:C,2, )</f>
        <v>MR. HASAN KARIM</v>
      </c>
      <c r="D1101" s="326">
        <v>46011</v>
      </c>
      <c r="E1101" s="178">
        <v>1</v>
      </c>
      <c r="F1101" s="171" t="s">
        <v>499</v>
      </c>
      <c r="G1101" s="168">
        <f>IFERROR(VLOOKUP(F1101,'menu list'!B:C,2,FALSE)*E1101,"0")</f>
        <v>100</v>
      </c>
      <c r="H1101" s="337">
        <f t="shared" si="80"/>
        <v>15</v>
      </c>
      <c r="I1101" s="168">
        <f t="shared" si="81"/>
        <v>115</v>
      </c>
    </row>
    <row r="1102" spans="1:9" ht="13.2">
      <c r="A1102" s="170">
        <f t="shared" si="79"/>
        <v>1101</v>
      </c>
      <c r="B1102" s="171" t="s">
        <v>182</v>
      </c>
      <c r="C1102" s="171" t="str">
        <f>VLOOKUP(B1102,MEMBERS!B:C,2, )</f>
        <v>MR.MUHAMMAD SALIQ SIDDIQUI</v>
      </c>
      <c r="D1102" s="326">
        <v>46012</v>
      </c>
      <c r="E1102" s="178">
        <v>3</v>
      </c>
      <c r="F1102" s="171" t="s">
        <v>502</v>
      </c>
      <c r="G1102" s="168">
        <f>IFERROR(VLOOKUP(F1102,'menu list'!B:C,2,FALSE)*E1102,"0")</f>
        <v>1050</v>
      </c>
      <c r="H1102" s="337">
        <f t="shared" si="80"/>
        <v>157.5</v>
      </c>
      <c r="I1102" s="168">
        <f t="shared" si="81"/>
        <v>1207.5</v>
      </c>
    </row>
    <row r="1103" spans="1:9" ht="13.2">
      <c r="A1103" s="170">
        <f t="shared" si="79"/>
        <v>1102</v>
      </c>
      <c r="B1103" s="171" t="s">
        <v>795</v>
      </c>
      <c r="C1103" s="171" t="str">
        <f>VLOOKUP(B1103,MEMBERS!B:C,2, )</f>
        <v>MR. HASAN KARIM</v>
      </c>
      <c r="D1103" s="326">
        <v>46012</v>
      </c>
      <c r="E1103" s="178">
        <v>2</v>
      </c>
      <c r="F1103" s="171" t="s">
        <v>497</v>
      </c>
      <c r="G1103" s="168">
        <f>IFERROR(VLOOKUP(F1103,'menu list'!B:C,2,FALSE)*E1103,"0")</f>
        <v>500</v>
      </c>
      <c r="H1103" s="337">
        <f t="shared" si="80"/>
        <v>75</v>
      </c>
      <c r="I1103" s="168">
        <f t="shared" si="81"/>
        <v>575</v>
      </c>
    </row>
    <row r="1104" spans="1:9" ht="13.2">
      <c r="A1104" s="170">
        <f t="shared" si="79"/>
        <v>1103</v>
      </c>
      <c r="B1104" s="171" t="s">
        <v>795</v>
      </c>
      <c r="C1104" s="171" t="str">
        <f>VLOOKUP(B1104,MEMBERS!B:C,2, )</f>
        <v>MR. HASAN KARIM</v>
      </c>
      <c r="D1104" s="326">
        <v>46012</v>
      </c>
      <c r="E1104" s="178">
        <v>1</v>
      </c>
      <c r="F1104" s="171" t="s">
        <v>846</v>
      </c>
      <c r="G1104" s="168">
        <f>IFERROR(VLOOKUP(F1104,'menu list'!B:C,2,FALSE)*E1104,"0")</f>
        <v>1250</v>
      </c>
      <c r="H1104" s="337">
        <f t="shared" si="80"/>
        <v>187.5</v>
      </c>
      <c r="I1104" s="168">
        <f t="shared" si="81"/>
        <v>1437.5</v>
      </c>
    </row>
    <row r="1105" spans="1:9" ht="13.2">
      <c r="A1105" s="170">
        <f t="shared" si="79"/>
        <v>1104</v>
      </c>
      <c r="B1105" s="171" t="s">
        <v>795</v>
      </c>
      <c r="C1105" s="171" t="str">
        <f>VLOOKUP(B1105,MEMBERS!B:C,2, )</f>
        <v>MR. HASAN KARIM</v>
      </c>
      <c r="D1105" s="326">
        <v>46012</v>
      </c>
      <c r="E1105" s="178">
        <v>2</v>
      </c>
      <c r="F1105" s="171" t="s">
        <v>772</v>
      </c>
      <c r="G1105" s="168">
        <f>IFERROR(VLOOKUP(F1105,'menu list'!B:C,2,FALSE)*E1105,"0")</f>
        <v>1800</v>
      </c>
      <c r="H1105" s="337">
        <f t="shared" si="80"/>
        <v>270</v>
      </c>
      <c r="I1105" s="168">
        <f t="shared" si="81"/>
        <v>2070</v>
      </c>
    </row>
    <row r="1106" spans="1:9" ht="13.2">
      <c r="A1106" s="170">
        <f t="shared" si="79"/>
        <v>1105</v>
      </c>
      <c r="B1106" s="171" t="s">
        <v>795</v>
      </c>
      <c r="C1106" s="171" t="str">
        <f>VLOOKUP(B1106,MEMBERS!B:C,2, )</f>
        <v>MR. HASAN KARIM</v>
      </c>
      <c r="D1106" s="326">
        <v>46012</v>
      </c>
      <c r="E1106" s="178">
        <v>1</v>
      </c>
      <c r="F1106" s="171" t="s">
        <v>540</v>
      </c>
      <c r="G1106" s="168">
        <f>IFERROR(VLOOKUP(F1106,'menu list'!B:C,2,FALSE)*E1106,"0")</f>
        <v>800</v>
      </c>
      <c r="H1106" s="337">
        <f t="shared" si="80"/>
        <v>120</v>
      </c>
      <c r="I1106" s="168">
        <f t="shared" si="81"/>
        <v>920</v>
      </c>
    </row>
    <row r="1107" spans="1:9" ht="13.2">
      <c r="A1107" s="170">
        <f t="shared" si="79"/>
        <v>1106</v>
      </c>
      <c r="B1107" s="171" t="s">
        <v>795</v>
      </c>
      <c r="C1107" s="171" t="str">
        <f>VLOOKUP(B1107,MEMBERS!B:C,2, )</f>
        <v>MR. HASAN KARIM</v>
      </c>
      <c r="D1107" s="326">
        <v>46012</v>
      </c>
      <c r="E1107" s="178">
        <v>1</v>
      </c>
      <c r="F1107" s="171" t="s">
        <v>723</v>
      </c>
      <c r="G1107" s="168">
        <f>IFERROR(VLOOKUP(F1107,'menu list'!B:C,2,FALSE)*E1107,"0")</f>
        <v>400</v>
      </c>
      <c r="H1107" s="337">
        <f t="shared" si="80"/>
        <v>60</v>
      </c>
      <c r="I1107" s="168">
        <f t="shared" si="81"/>
        <v>460</v>
      </c>
    </row>
    <row r="1108" spans="1:9" ht="13.2">
      <c r="A1108" s="170">
        <f t="shared" si="79"/>
        <v>1107</v>
      </c>
      <c r="B1108" s="171" t="s">
        <v>795</v>
      </c>
      <c r="C1108" s="171" t="str">
        <f>VLOOKUP(B1108,MEMBERS!B:C,2, )</f>
        <v>MR. HASAN KARIM</v>
      </c>
      <c r="D1108" s="326">
        <v>46012</v>
      </c>
      <c r="E1108" s="178">
        <v>1</v>
      </c>
      <c r="F1108" s="171" t="s">
        <v>504</v>
      </c>
      <c r="G1108" s="168">
        <f>IFERROR(VLOOKUP(F1108,'menu list'!B:C,2,FALSE)*E1108,"0")</f>
        <v>130</v>
      </c>
      <c r="H1108" s="337">
        <f t="shared" si="80"/>
        <v>19.5</v>
      </c>
      <c r="I1108" s="168">
        <f t="shared" si="81"/>
        <v>149.5</v>
      </c>
    </row>
    <row r="1109" spans="1:9" ht="13.2">
      <c r="A1109" s="170">
        <f t="shared" si="79"/>
        <v>1108</v>
      </c>
      <c r="B1109" s="171" t="s">
        <v>795</v>
      </c>
      <c r="C1109" s="171" t="str">
        <f>VLOOKUP(B1109,MEMBERS!B:C,2, )</f>
        <v>MR. HASAN KARIM</v>
      </c>
      <c r="D1109" s="326">
        <v>46012</v>
      </c>
      <c r="E1109" s="178">
        <v>8</v>
      </c>
      <c r="F1109" s="171" t="s">
        <v>439</v>
      </c>
      <c r="G1109" s="168">
        <f>IFERROR(VLOOKUP(F1109,'menu list'!B:C,2,FALSE)*E1109,"0")</f>
        <v>560</v>
      </c>
      <c r="H1109" s="337">
        <f t="shared" si="80"/>
        <v>84</v>
      </c>
      <c r="I1109" s="168">
        <f t="shared" si="81"/>
        <v>644</v>
      </c>
    </row>
    <row r="1110" spans="1:9" ht="13.2">
      <c r="A1110" s="170">
        <f t="shared" si="79"/>
        <v>1109</v>
      </c>
      <c r="B1110" s="171" t="s">
        <v>795</v>
      </c>
      <c r="C1110" s="171" t="str">
        <f>VLOOKUP(B1110,MEMBERS!B:C,2, )</f>
        <v>MR. HASAN KARIM</v>
      </c>
      <c r="D1110" s="326">
        <v>46012</v>
      </c>
      <c r="E1110" s="178">
        <v>2</v>
      </c>
      <c r="F1110" s="171" t="s">
        <v>440</v>
      </c>
      <c r="G1110" s="168">
        <f>IFERROR(VLOOKUP(F1110,'menu list'!B:C,2,FALSE)*E1110,"0")</f>
        <v>300</v>
      </c>
      <c r="H1110" s="337">
        <f t="shared" si="80"/>
        <v>45</v>
      </c>
      <c r="I1110" s="168">
        <f t="shared" si="81"/>
        <v>345</v>
      </c>
    </row>
    <row r="1111" spans="1:9" ht="13.2">
      <c r="A1111" s="170">
        <f t="shared" si="79"/>
        <v>1110</v>
      </c>
      <c r="B1111" s="171" t="s">
        <v>795</v>
      </c>
      <c r="C1111" s="171" t="str">
        <f>VLOOKUP(B1111,MEMBERS!B:C,2, )</f>
        <v>MR. HASAN KARIM</v>
      </c>
      <c r="D1111" s="326">
        <v>46012</v>
      </c>
      <c r="E1111" s="178">
        <v>4</v>
      </c>
      <c r="F1111" s="171" t="s">
        <v>499</v>
      </c>
      <c r="G1111" s="168">
        <f>IFERROR(VLOOKUP(F1111,'menu list'!B:C,2,FALSE)*E1111,"0")</f>
        <v>400</v>
      </c>
      <c r="H1111" s="337">
        <f t="shared" si="80"/>
        <v>60</v>
      </c>
      <c r="I1111" s="168">
        <f t="shared" si="81"/>
        <v>460</v>
      </c>
    </row>
    <row r="1112" spans="1:9" ht="13.2">
      <c r="A1112" s="170">
        <f t="shared" si="79"/>
        <v>1111</v>
      </c>
      <c r="B1112" s="171" t="s">
        <v>795</v>
      </c>
      <c r="C1112" s="171" t="str">
        <f>VLOOKUP(B1112,MEMBERS!B:C,2, )</f>
        <v>MR. HASAN KARIM</v>
      </c>
      <c r="D1112" s="326">
        <v>46012</v>
      </c>
      <c r="E1112" s="178">
        <v>1</v>
      </c>
      <c r="F1112" s="171" t="s">
        <v>836</v>
      </c>
      <c r="G1112" s="168">
        <f>IFERROR(VLOOKUP(F1112,'menu list'!B:C,2,FALSE)*E1112,"0")</f>
        <v>350</v>
      </c>
      <c r="H1112" s="337">
        <f t="shared" si="80"/>
        <v>52.5</v>
      </c>
      <c r="I1112" s="168">
        <f t="shared" si="81"/>
        <v>402.5</v>
      </c>
    </row>
    <row r="1113" spans="1:9" ht="13.2">
      <c r="A1113" s="170">
        <f t="shared" si="79"/>
        <v>1112</v>
      </c>
      <c r="B1113" s="171" t="s">
        <v>795</v>
      </c>
      <c r="C1113" s="171" t="str">
        <f>VLOOKUP(B1113,MEMBERS!B:C,2, )</f>
        <v>MR. HASAN KARIM</v>
      </c>
      <c r="D1113" s="326">
        <v>46012</v>
      </c>
      <c r="E1113" s="178">
        <v>1</v>
      </c>
      <c r="F1113" s="171" t="s">
        <v>666</v>
      </c>
      <c r="G1113" s="168">
        <f>IFERROR(VLOOKUP(F1113,'menu list'!B:C,2,FALSE)*E1113,"0")</f>
        <v>350</v>
      </c>
      <c r="H1113" s="337">
        <f t="shared" si="80"/>
        <v>52.5</v>
      </c>
      <c r="I1113" s="168">
        <f t="shared" si="81"/>
        <v>402.5</v>
      </c>
    </row>
    <row r="1114" spans="1:9" ht="13.2">
      <c r="A1114" s="170">
        <f t="shared" si="79"/>
        <v>1113</v>
      </c>
      <c r="B1114" s="171" t="s">
        <v>795</v>
      </c>
      <c r="C1114" s="171" t="str">
        <f>VLOOKUP(B1114,MEMBERS!B:C,2, )</f>
        <v>MR. HASAN KARIM</v>
      </c>
      <c r="D1114" s="326">
        <v>46012</v>
      </c>
      <c r="E1114" s="178">
        <v>3</v>
      </c>
      <c r="F1114" s="171" t="s">
        <v>848</v>
      </c>
      <c r="G1114" s="168">
        <f>IFERROR(VLOOKUP(F1114,'menu list'!B:C,2,FALSE)*E1114,"0")</f>
        <v>600</v>
      </c>
      <c r="H1114" s="337">
        <f t="shared" si="80"/>
        <v>90</v>
      </c>
      <c r="I1114" s="168">
        <f t="shared" si="81"/>
        <v>690</v>
      </c>
    </row>
    <row r="1115" spans="1:9" ht="13.2">
      <c r="A1115" s="170">
        <f t="shared" si="79"/>
        <v>1114</v>
      </c>
      <c r="B1115" s="171" t="s">
        <v>795</v>
      </c>
      <c r="C1115" s="171" t="str">
        <f>VLOOKUP(B1115,MEMBERS!B:C,2, )</f>
        <v>MR. HASAN KARIM</v>
      </c>
      <c r="D1115" s="326">
        <v>46012</v>
      </c>
      <c r="E1115" s="178">
        <v>1</v>
      </c>
      <c r="F1115" s="171" t="s">
        <v>442</v>
      </c>
      <c r="G1115" s="168">
        <f>IFERROR(VLOOKUP(F1115,'menu list'!B:C,2,FALSE)*E1115,"0")</f>
        <v>150</v>
      </c>
      <c r="H1115" s="337">
        <f t="shared" si="80"/>
        <v>22.5</v>
      </c>
      <c r="I1115" s="168">
        <f t="shared" si="81"/>
        <v>172.5</v>
      </c>
    </row>
    <row r="1116" spans="1:9" ht="13.2">
      <c r="A1116" s="170">
        <f t="shared" si="79"/>
        <v>1115</v>
      </c>
      <c r="B1116" s="171" t="s">
        <v>373</v>
      </c>
      <c r="C1116" s="171" t="str">
        <f>VLOOKUP(B1116,MEMBERS!B:C,2, )</f>
        <v>ASIF ASHFAQ</v>
      </c>
      <c r="D1116" s="326">
        <v>46012</v>
      </c>
      <c r="E1116" s="178">
        <v>2</v>
      </c>
      <c r="F1116" s="171" t="s">
        <v>440</v>
      </c>
      <c r="G1116" s="168">
        <f>IFERROR(VLOOKUP(F1116,'menu list'!B:C,2,FALSE)*E1116,"0")</f>
        <v>300</v>
      </c>
      <c r="H1116" s="337">
        <f t="shared" si="80"/>
        <v>45</v>
      </c>
      <c r="I1116" s="168">
        <f t="shared" si="81"/>
        <v>345</v>
      </c>
    </row>
    <row r="1117" spans="1:9" ht="13.2">
      <c r="A1117" s="170">
        <f t="shared" si="79"/>
        <v>1116</v>
      </c>
      <c r="B1117" s="171" t="s">
        <v>373</v>
      </c>
      <c r="C1117" s="171" t="str">
        <f>VLOOKUP(B1117,MEMBERS!B:C,2, )</f>
        <v>ASIF ASHFAQ</v>
      </c>
      <c r="D1117" s="326">
        <v>46012</v>
      </c>
      <c r="E1117" s="178">
        <v>1</v>
      </c>
      <c r="F1117" s="171" t="s">
        <v>498</v>
      </c>
      <c r="G1117" s="168">
        <f>IFERROR(VLOOKUP(F1117,'menu list'!B:C,2,FALSE)*E1117,"0")</f>
        <v>200</v>
      </c>
      <c r="H1117" s="337">
        <f t="shared" si="80"/>
        <v>30</v>
      </c>
      <c r="I1117" s="168">
        <f t="shared" si="81"/>
        <v>230</v>
      </c>
    </row>
    <row r="1118" spans="1:9" ht="13.2">
      <c r="A1118" s="170">
        <f t="shared" si="79"/>
        <v>1117</v>
      </c>
      <c r="B1118" s="171" t="s">
        <v>359</v>
      </c>
      <c r="C1118" s="171" t="str">
        <f>VLOOKUP(B1118,MEMBERS!B:C,2, )</f>
        <v>DR.NASEEM MUNSHI</v>
      </c>
      <c r="D1118" s="326">
        <v>46012</v>
      </c>
      <c r="E1118" s="178">
        <v>3</v>
      </c>
      <c r="F1118" s="171" t="s">
        <v>500</v>
      </c>
      <c r="G1118" s="168">
        <f>IFERROR(VLOOKUP(F1118,'menu list'!B:C,2,FALSE)*E1118,"0")</f>
        <v>3750</v>
      </c>
      <c r="H1118" s="337">
        <f t="shared" si="80"/>
        <v>562.5</v>
      </c>
      <c r="I1118" s="168">
        <f t="shared" si="81"/>
        <v>4312.5</v>
      </c>
    </row>
    <row r="1119" spans="1:9" ht="13.2">
      <c r="A1119" s="170">
        <f t="shared" si="79"/>
        <v>1118</v>
      </c>
      <c r="B1119" s="171" t="s">
        <v>359</v>
      </c>
      <c r="C1119" s="171" t="str">
        <f>VLOOKUP(B1119,MEMBERS!B:C,2, )</f>
        <v>DR.NASEEM MUNSHI</v>
      </c>
      <c r="D1119" s="326">
        <v>46012</v>
      </c>
      <c r="E1119" s="178">
        <v>1</v>
      </c>
      <c r="F1119" s="171" t="s">
        <v>784</v>
      </c>
      <c r="G1119" s="168">
        <f>IFERROR(VLOOKUP(F1119,'menu list'!B:C,2,FALSE)*E1119,"0")</f>
        <v>750</v>
      </c>
      <c r="H1119" s="337">
        <f t="shared" si="80"/>
        <v>112.5</v>
      </c>
      <c r="I1119" s="168">
        <f t="shared" si="81"/>
        <v>862.5</v>
      </c>
    </row>
    <row r="1120" spans="1:9" ht="13.2">
      <c r="A1120" s="170">
        <f t="shared" si="79"/>
        <v>1119</v>
      </c>
      <c r="B1120" s="171" t="s">
        <v>947</v>
      </c>
      <c r="C1120" s="171" t="str">
        <f>VLOOKUP(B1120,MEMBERS!B:C,2, )</f>
        <v>MR . SYED RAHAT HUSSAIN ZAIDI</v>
      </c>
      <c r="D1120" s="326">
        <v>46012</v>
      </c>
      <c r="E1120" s="178">
        <v>3</v>
      </c>
      <c r="F1120" s="171" t="s">
        <v>601</v>
      </c>
      <c r="G1120" s="168">
        <f>IFERROR(VLOOKUP(F1120,'menu list'!B:C,2,FALSE)*E1120,"0")</f>
        <v>3600</v>
      </c>
      <c r="H1120" s="337">
        <f t="shared" si="80"/>
        <v>540</v>
      </c>
      <c r="I1120" s="168">
        <f t="shared" si="81"/>
        <v>4140</v>
      </c>
    </row>
    <row r="1121" spans="1:9" ht="13.2">
      <c r="A1121" s="170">
        <f t="shared" si="79"/>
        <v>1120</v>
      </c>
      <c r="B1121" s="171" t="s">
        <v>947</v>
      </c>
      <c r="C1121" s="171" t="str">
        <f>VLOOKUP(B1121,MEMBERS!B:C,2, )</f>
        <v>MR . SYED RAHAT HUSSAIN ZAIDI</v>
      </c>
      <c r="D1121" s="326">
        <v>46012</v>
      </c>
      <c r="E1121" s="178">
        <v>5</v>
      </c>
      <c r="F1121" s="171" t="s">
        <v>853</v>
      </c>
      <c r="G1121" s="168">
        <f>IFERROR(VLOOKUP(F1121,'menu list'!B:C,2,FALSE)*E1121,"0")</f>
        <v>2875</v>
      </c>
      <c r="H1121" s="337">
        <f t="shared" si="80"/>
        <v>431.25</v>
      </c>
      <c r="I1121" s="168">
        <f t="shared" si="81"/>
        <v>3306.25</v>
      </c>
    </row>
    <row r="1122" spans="1:9" ht="13.2">
      <c r="A1122" s="170">
        <f t="shared" si="79"/>
        <v>1121</v>
      </c>
      <c r="B1122" s="171" t="s">
        <v>947</v>
      </c>
      <c r="C1122" s="171" t="str">
        <f>VLOOKUP(B1122,MEMBERS!B:C,2, )</f>
        <v>MR . SYED RAHAT HUSSAIN ZAIDI</v>
      </c>
      <c r="D1122" s="326">
        <v>46012</v>
      </c>
      <c r="E1122" s="178">
        <v>33</v>
      </c>
      <c r="F1122" s="171" t="s">
        <v>497</v>
      </c>
      <c r="G1122" s="168">
        <f>IFERROR(VLOOKUP(F1122,'menu list'!B:C,2,FALSE)*E1122,"0")</f>
        <v>8250</v>
      </c>
      <c r="H1122" s="337">
        <f t="shared" si="80"/>
        <v>1237.5</v>
      </c>
      <c r="I1122" s="168">
        <f t="shared" si="81"/>
        <v>9487.5</v>
      </c>
    </row>
    <row r="1123" spans="1:9" ht="13.2">
      <c r="A1123" s="170">
        <f t="shared" si="79"/>
        <v>1122</v>
      </c>
      <c r="B1123" s="171" t="s">
        <v>947</v>
      </c>
      <c r="C1123" s="171" t="str">
        <f>VLOOKUP(B1123,MEMBERS!B:C,2, )</f>
        <v>MR . SYED RAHAT HUSSAIN ZAIDI</v>
      </c>
      <c r="D1123" s="326">
        <v>46012</v>
      </c>
      <c r="E1123" s="178">
        <v>20</v>
      </c>
      <c r="F1123" s="171" t="s">
        <v>498</v>
      </c>
      <c r="G1123" s="168">
        <f>IFERROR(VLOOKUP(F1123,'menu list'!B:C,2,FALSE)*E1123,"0")</f>
        <v>4000</v>
      </c>
      <c r="H1123" s="337">
        <f t="shared" si="80"/>
        <v>600</v>
      </c>
      <c r="I1123" s="168">
        <f t="shared" si="81"/>
        <v>4600</v>
      </c>
    </row>
    <row r="1124" spans="1:9" ht="13.2">
      <c r="A1124" s="170">
        <f t="shared" si="79"/>
        <v>1123</v>
      </c>
      <c r="B1124" s="171" t="s">
        <v>947</v>
      </c>
      <c r="C1124" s="171" t="str">
        <f>VLOOKUP(B1124,MEMBERS!B:C,2, )</f>
        <v>MR . SYED RAHAT HUSSAIN ZAIDI</v>
      </c>
      <c r="D1124" s="326">
        <v>46012</v>
      </c>
      <c r="E1124" s="178">
        <v>4</v>
      </c>
      <c r="F1124" s="171" t="s">
        <v>442</v>
      </c>
      <c r="G1124" s="168">
        <f>IFERROR(VLOOKUP(F1124,'menu list'!B:C,2,FALSE)*E1124,"0")</f>
        <v>600</v>
      </c>
      <c r="H1124" s="337">
        <f t="shared" si="80"/>
        <v>90</v>
      </c>
      <c r="I1124" s="168">
        <f t="shared" si="81"/>
        <v>690</v>
      </c>
    </row>
    <row r="1125" spans="1:9" ht="13.2">
      <c r="A1125" s="170">
        <f t="shared" si="79"/>
        <v>1124</v>
      </c>
      <c r="B1125" s="171" t="s">
        <v>98</v>
      </c>
      <c r="C1125" s="171" t="str">
        <f>VLOOKUP(B1125,MEMBERS!B:C,2, )</f>
        <v>MR.HAFEEZ AHMED SIYAL</v>
      </c>
      <c r="D1125" s="326">
        <v>46012</v>
      </c>
      <c r="E1125" s="178">
        <v>1</v>
      </c>
      <c r="F1125" s="171" t="s">
        <v>833</v>
      </c>
      <c r="G1125" s="168">
        <f>IFERROR(VLOOKUP(F1125,'menu list'!B:C,2,FALSE)*E1125,"0")</f>
        <v>350</v>
      </c>
      <c r="H1125" s="337">
        <f t="shared" si="80"/>
        <v>52.5</v>
      </c>
      <c r="I1125" s="168">
        <f t="shared" si="81"/>
        <v>402.5</v>
      </c>
    </row>
    <row r="1126" spans="1:9" ht="13.2">
      <c r="A1126" s="170">
        <f t="shared" si="79"/>
        <v>1125</v>
      </c>
      <c r="B1126" s="171" t="s">
        <v>98</v>
      </c>
      <c r="C1126" s="171" t="str">
        <f>VLOOKUP(B1126,MEMBERS!B:C,2, )</f>
        <v>MR.HAFEEZ AHMED SIYAL</v>
      </c>
      <c r="D1126" s="326">
        <v>46012</v>
      </c>
      <c r="E1126" s="178">
        <v>1</v>
      </c>
      <c r="F1126" s="171" t="s">
        <v>858</v>
      </c>
      <c r="G1126" s="168">
        <f>IFERROR(VLOOKUP(F1126,'menu list'!B:C,2,FALSE)*E1126,"0")</f>
        <v>500</v>
      </c>
      <c r="H1126" s="337">
        <f t="shared" si="80"/>
        <v>75</v>
      </c>
      <c r="I1126" s="168">
        <f t="shared" si="81"/>
        <v>575</v>
      </c>
    </row>
    <row r="1127" spans="1:9" ht="13.2">
      <c r="A1127" s="170">
        <f t="shared" si="79"/>
        <v>1126</v>
      </c>
      <c r="B1127" s="171" t="s">
        <v>98</v>
      </c>
      <c r="C1127" s="171" t="str">
        <f>VLOOKUP(B1127,MEMBERS!B:C,2, )</f>
        <v>MR.HAFEEZ AHMED SIYAL</v>
      </c>
      <c r="D1127" s="326">
        <v>46012</v>
      </c>
      <c r="E1127" s="178">
        <v>1</v>
      </c>
      <c r="F1127" s="171" t="s">
        <v>853</v>
      </c>
      <c r="G1127" s="168">
        <f>IFERROR(VLOOKUP(F1127,'menu list'!B:C,2,FALSE)*E1127,"0")</f>
        <v>575</v>
      </c>
      <c r="H1127" s="337">
        <f t="shared" si="80"/>
        <v>86.25</v>
      </c>
      <c r="I1127" s="168">
        <f t="shared" si="81"/>
        <v>661.25</v>
      </c>
    </row>
    <row r="1128" spans="1:9" ht="13.2">
      <c r="A1128" s="170">
        <f t="shared" ref="A1128:A1161" si="82">IF(D1128&lt;&gt;"", ROW()-1, "")</f>
        <v>1127</v>
      </c>
      <c r="B1128" s="171" t="s">
        <v>98</v>
      </c>
      <c r="C1128" s="171" t="str">
        <f>VLOOKUP(B1128,MEMBERS!B:C,2, )</f>
        <v>MR.HAFEEZ AHMED SIYAL</v>
      </c>
      <c r="D1128" s="326">
        <v>46012</v>
      </c>
      <c r="E1128" s="178">
        <v>1</v>
      </c>
      <c r="F1128" s="171" t="s">
        <v>502</v>
      </c>
      <c r="G1128" s="168">
        <f>IFERROR(VLOOKUP(F1128,'menu list'!B:C,2,FALSE)*E1128,"0")</f>
        <v>350</v>
      </c>
      <c r="H1128" s="337">
        <f t="shared" si="80"/>
        <v>52.5</v>
      </c>
      <c r="I1128" s="168">
        <f t="shared" si="81"/>
        <v>402.5</v>
      </c>
    </row>
    <row r="1129" spans="1:9" ht="13.2">
      <c r="A1129" s="170">
        <f t="shared" si="82"/>
        <v>1128</v>
      </c>
      <c r="B1129" s="171" t="s">
        <v>296</v>
      </c>
      <c r="C1129" s="171" t="str">
        <f>VLOOKUP(B1129,MEMBERS!B:C,2, )</f>
        <v>COL.AMIR RAZA</v>
      </c>
      <c r="D1129" s="326">
        <v>46012</v>
      </c>
      <c r="E1129" s="178">
        <v>1</v>
      </c>
      <c r="F1129" s="171" t="s">
        <v>876</v>
      </c>
      <c r="G1129" s="168">
        <f>IFERROR(VLOOKUP(F1129,'menu list'!B:C,2,FALSE)*E1129,"0")</f>
        <v>1800</v>
      </c>
      <c r="H1129" s="337">
        <f t="shared" si="80"/>
        <v>270</v>
      </c>
      <c r="I1129" s="168">
        <f t="shared" si="81"/>
        <v>2070</v>
      </c>
    </row>
    <row r="1130" spans="1:9" ht="13.2">
      <c r="A1130" s="170">
        <f t="shared" si="82"/>
        <v>1129</v>
      </c>
      <c r="B1130" s="171" t="s">
        <v>296</v>
      </c>
      <c r="C1130" s="171" t="str">
        <f>VLOOKUP(B1130,MEMBERS!B:C,2, )</f>
        <v>COL.AMIR RAZA</v>
      </c>
      <c r="D1130" s="326">
        <v>46012</v>
      </c>
      <c r="E1130" s="178">
        <v>2</v>
      </c>
      <c r="F1130" s="171" t="s">
        <v>784</v>
      </c>
      <c r="G1130" s="168">
        <f>IFERROR(VLOOKUP(F1130,'menu list'!B:C,2,FALSE)*E1130,"0")</f>
        <v>1500</v>
      </c>
      <c r="H1130" s="337">
        <f t="shared" si="80"/>
        <v>225</v>
      </c>
      <c r="I1130" s="168">
        <f t="shared" si="81"/>
        <v>1725</v>
      </c>
    </row>
    <row r="1131" spans="1:9" ht="13.2">
      <c r="A1131" s="170">
        <f t="shared" si="82"/>
        <v>1130</v>
      </c>
      <c r="B1131" s="171" t="s">
        <v>296</v>
      </c>
      <c r="C1131" s="171" t="str">
        <f>VLOOKUP(B1131,MEMBERS!B:C,2, )</f>
        <v>COL.AMIR RAZA</v>
      </c>
      <c r="D1131" s="326">
        <v>46012</v>
      </c>
      <c r="E1131" s="178">
        <v>1</v>
      </c>
      <c r="F1131" s="171" t="s">
        <v>915</v>
      </c>
      <c r="G1131" s="168">
        <f>IFERROR(VLOOKUP(F1131,'menu list'!B:C,2,FALSE)*E1131,"0")</f>
        <v>999</v>
      </c>
      <c r="H1131" s="337">
        <f t="shared" si="80"/>
        <v>149.85</v>
      </c>
      <c r="I1131" s="168">
        <f t="shared" si="81"/>
        <v>1148.8499999999999</v>
      </c>
    </row>
    <row r="1132" spans="1:9" ht="13.2">
      <c r="A1132" s="170">
        <f t="shared" si="82"/>
        <v>1131</v>
      </c>
      <c r="B1132" s="171" t="s">
        <v>296</v>
      </c>
      <c r="C1132" s="171" t="str">
        <f>VLOOKUP(B1132,MEMBERS!B:C,2, )</f>
        <v>COL.AMIR RAZA</v>
      </c>
      <c r="D1132" s="326">
        <v>46012</v>
      </c>
      <c r="E1132" s="178">
        <v>1</v>
      </c>
      <c r="F1132" s="171" t="s">
        <v>501</v>
      </c>
      <c r="G1132" s="168">
        <f>IFERROR(VLOOKUP(F1132,'menu list'!B:C,2,FALSE)*E1132,"0")</f>
        <v>1200</v>
      </c>
      <c r="H1132" s="337">
        <f t="shared" si="80"/>
        <v>180</v>
      </c>
      <c r="I1132" s="168">
        <f t="shared" si="81"/>
        <v>1380</v>
      </c>
    </row>
    <row r="1133" spans="1:9" ht="13.2">
      <c r="A1133" s="170">
        <f t="shared" si="82"/>
        <v>1132</v>
      </c>
      <c r="B1133" s="171" t="s">
        <v>296</v>
      </c>
      <c r="C1133" s="171" t="str">
        <f>VLOOKUP(B1133,MEMBERS!B:C,2, )</f>
        <v>COL.AMIR RAZA</v>
      </c>
      <c r="D1133" s="326">
        <v>46012</v>
      </c>
      <c r="E1133" s="178">
        <v>1</v>
      </c>
      <c r="F1133" s="171" t="s">
        <v>559</v>
      </c>
      <c r="G1133" s="168">
        <f>IFERROR(VLOOKUP(F1133,'menu list'!B:C,2,FALSE)*E1133,"0")</f>
        <v>999</v>
      </c>
      <c r="H1133" s="337">
        <f t="shared" si="80"/>
        <v>149.85</v>
      </c>
      <c r="I1133" s="168">
        <f t="shared" si="81"/>
        <v>1148.8499999999999</v>
      </c>
    </row>
    <row r="1134" spans="1:9" ht="13.2">
      <c r="A1134" s="170">
        <f t="shared" si="82"/>
        <v>1133</v>
      </c>
      <c r="B1134" s="171" t="s">
        <v>296</v>
      </c>
      <c r="C1134" s="171" t="str">
        <f>VLOOKUP(B1134,MEMBERS!B:C,2, )</f>
        <v>COL.AMIR RAZA</v>
      </c>
      <c r="D1134" s="326">
        <v>46012</v>
      </c>
      <c r="E1134" s="178">
        <v>6</v>
      </c>
      <c r="F1134" s="171" t="s">
        <v>439</v>
      </c>
      <c r="G1134" s="168">
        <f>IFERROR(VLOOKUP(F1134,'menu list'!B:C,2,FALSE)*E1134,"0")</f>
        <v>420</v>
      </c>
      <c r="H1134" s="337">
        <f t="shared" si="80"/>
        <v>63</v>
      </c>
      <c r="I1134" s="168">
        <f t="shared" si="81"/>
        <v>483</v>
      </c>
    </row>
    <row r="1135" spans="1:9" ht="13.2">
      <c r="A1135" s="170">
        <f t="shared" si="82"/>
        <v>1134</v>
      </c>
      <c r="B1135" s="171" t="s">
        <v>296</v>
      </c>
      <c r="C1135" s="171" t="str">
        <f>VLOOKUP(B1135,MEMBERS!B:C,2, )</f>
        <v>COL.AMIR RAZA</v>
      </c>
      <c r="D1135" s="326">
        <v>46012</v>
      </c>
      <c r="E1135" s="178">
        <v>2</v>
      </c>
      <c r="F1135" s="171" t="s">
        <v>442</v>
      </c>
      <c r="G1135" s="168">
        <f>IFERROR(VLOOKUP(F1135,'menu list'!B:C,2,FALSE)*E1135,"0")</f>
        <v>300</v>
      </c>
      <c r="H1135" s="337">
        <f t="shared" si="80"/>
        <v>45</v>
      </c>
      <c r="I1135" s="168">
        <f t="shared" si="81"/>
        <v>345</v>
      </c>
    </row>
    <row r="1136" spans="1:9" ht="13.2">
      <c r="A1136" s="170">
        <f t="shared" si="82"/>
        <v>1135</v>
      </c>
      <c r="B1136" s="171" t="s">
        <v>296</v>
      </c>
      <c r="C1136" s="171" t="str">
        <f>VLOOKUP(B1136,MEMBERS!B:C,2, )</f>
        <v>COL.AMIR RAZA</v>
      </c>
      <c r="D1136" s="326">
        <v>46012</v>
      </c>
      <c r="E1136" s="178">
        <v>1</v>
      </c>
      <c r="F1136" s="171" t="s">
        <v>440</v>
      </c>
      <c r="G1136" s="168">
        <f>IFERROR(VLOOKUP(F1136,'menu list'!B:C,2,FALSE)*E1136,"0")</f>
        <v>150</v>
      </c>
      <c r="H1136" s="337">
        <f t="shared" si="80"/>
        <v>22.5</v>
      </c>
      <c r="I1136" s="168">
        <f t="shared" si="81"/>
        <v>172.5</v>
      </c>
    </row>
    <row r="1137" spans="1:9" ht="13.2">
      <c r="A1137" s="170">
        <f t="shared" si="82"/>
        <v>1136</v>
      </c>
      <c r="B1137" s="171" t="s">
        <v>164</v>
      </c>
      <c r="C1137" s="171" t="str">
        <f>VLOOKUP(B1137,MEMBERS!B:C,2, )</f>
        <v>MR.ASHOK KUMAR</v>
      </c>
      <c r="D1137" s="326">
        <v>46012</v>
      </c>
      <c r="E1137" s="178">
        <v>1</v>
      </c>
      <c r="F1137" s="171" t="s">
        <v>440</v>
      </c>
      <c r="G1137" s="168">
        <f>IFERROR(VLOOKUP(F1137,'menu list'!B:C,2,FALSE)*E1137,"0")</f>
        <v>150</v>
      </c>
      <c r="H1137" s="337">
        <f t="shared" si="80"/>
        <v>22.5</v>
      </c>
      <c r="I1137" s="168">
        <f t="shared" si="81"/>
        <v>172.5</v>
      </c>
    </row>
    <row r="1138" spans="1:9" ht="13.2">
      <c r="A1138" s="170">
        <f t="shared" si="82"/>
        <v>1137</v>
      </c>
      <c r="B1138" s="171" t="s">
        <v>164</v>
      </c>
      <c r="C1138" s="171" t="str">
        <f>VLOOKUP(B1138,MEMBERS!B:C,2, )</f>
        <v>MR.ASHOK KUMAR</v>
      </c>
      <c r="D1138" s="326">
        <v>46012</v>
      </c>
      <c r="E1138" s="178">
        <v>1</v>
      </c>
      <c r="F1138" s="171" t="s">
        <v>498</v>
      </c>
      <c r="G1138" s="168">
        <f>IFERROR(VLOOKUP(F1138,'menu list'!B:C,2,FALSE)*E1138,"0")</f>
        <v>200</v>
      </c>
      <c r="H1138" s="337">
        <f t="shared" si="80"/>
        <v>30</v>
      </c>
      <c r="I1138" s="168">
        <f t="shared" si="81"/>
        <v>230</v>
      </c>
    </row>
    <row r="1139" spans="1:9" ht="13.2">
      <c r="A1139" s="170">
        <f t="shared" si="82"/>
        <v>1138</v>
      </c>
      <c r="B1139" s="171" t="s">
        <v>164</v>
      </c>
      <c r="C1139" s="171" t="str">
        <f>VLOOKUP(B1139,MEMBERS!B:C,2, )</f>
        <v>MR.ASHOK KUMAR</v>
      </c>
      <c r="D1139" s="326">
        <v>46012</v>
      </c>
      <c r="E1139" s="178">
        <v>4</v>
      </c>
      <c r="F1139" s="171" t="s">
        <v>583</v>
      </c>
      <c r="G1139" s="168">
        <f>IFERROR(VLOOKUP(F1139,'menu list'!B:C,2,FALSE)*E1139,"0")</f>
        <v>1400</v>
      </c>
      <c r="H1139" s="337">
        <f t="shared" si="80"/>
        <v>210</v>
      </c>
      <c r="I1139" s="168">
        <f t="shared" si="81"/>
        <v>1610</v>
      </c>
    </row>
    <row r="1140" spans="1:9" ht="13.2">
      <c r="A1140" s="170">
        <f t="shared" si="82"/>
        <v>1139</v>
      </c>
      <c r="B1140" s="171" t="s">
        <v>1053</v>
      </c>
      <c r="C1140" s="171" t="str">
        <f>VLOOKUP(B1140,MEMBERS!B:C,2, )</f>
        <v>MR. ZAMIR ALI SHAH</v>
      </c>
      <c r="D1140" s="326">
        <v>46012</v>
      </c>
      <c r="E1140" s="178">
        <v>2</v>
      </c>
      <c r="F1140" s="171" t="s">
        <v>499</v>
      </c>
      <c r="G1140" s="168">
        <f>IFERROR(VLOOKUP(F1140,'menu list'!B:C,2,FALSE)*E1140,"0")</f>
        <v>200</v>
      </c>
      <c r="H1140" s="337">
        <f t="shared" si="80"/>
        <v>30</v>
      </c>
      <c r="I1140" s="168">
        <f t="shared" si="81"/>
        <v>230</v>
      </c>
    </row>
    <row r="1141" spans="1:9" ht="13.2">
      <c r="A1141" s="170">
        <f t="shared" si="82"/>
        <v>1140</v>
      </c>
      <c r="B1141" s="171" t="s">
        <v>1053</v>
      </c>
      <c r="C1141" s="171" t="str">
        <f>VLOOKUP(B1141,MEMBERS!B:C,2, )</f>
        <v>MR. ZAMIR ALI SHAH</v>
      </c>
      <c r="D1141" s="326">
        <v>46012</v>
      </c>
      <c r="E1141" s="178">
        <v>1</v>
      </c>
      <c r="F1141" s="171" t="s">
        <v>870</v>
      </c>
      <c r="G1141" s="168">
        <f>IFERROR(VLOOKUP(F1141,'menu list'!B:C,2,FALSE)*E1141,"0")</f>
        <v>1100</v>
      </c>
      <c r="H1141" s="337">
        <f t="shared" si="80"/>
        <v>165</v>
      </c>
      <c r="I1141" s="168">
        <f t="shared" si="81"/>
        <v>1265</v>
      </c>
    </row>
    <row r="1142" spans="1:9" ht="13.2">
      <c r="A1142" s="170">
        <f t="shared" si="82"/>
        <v>1141</v>
      </c>
      <c r="B1142" s="171" t="s">
        <v>1053</v>
      </c>
      <c r="C1142" s="171" t="str">
        <f>VLOOKUP(B1142,MEMBERS!B:C,2, )</f>
        <v>MR. ZAMIR ALI SHAH</v>
      </c>
      <c r="D1142" s="326">
        <v>46012</v>
      </c>
      <c r="E1142" s="178">
        <v>1</v>
      </c>
      <c r="F1142" s="171" t="s">
        <v>1011</v>
      </c>
      <c r="G1142" s="168">
        <f>IFERROR(VLOOKUP(F1142,'menu list'!B:C,2,FALSE)*E1142,"0")</f>
        <v>1800</v>
      </c>
      <c r="H1142" s="337">
        <f t="shared" si="80"/>
        <v>270</v>
      </c>
      <c r="I1142" s="168">
        <f t="shared" si="81"/>
        <v>2070</v>
      </c>
    </row>
    <row r="1143" spans="1:9" ht="13.2">
      <c r="A1143" s="170">
        <f t="shared" si="82"/>
        <v>1142</v>
      </c>
      <c r="B1143" s="171" t="s">
        <v>1053</v>
      </c>
      <c r="C1143" s="171" t="str">
        <f>VLOOKUP(B1143,MEMBERS!B:C,2, )</f>
        <v>MR. ZAMIR ALI SHAH</v>
      </c>
      <c r="D1143" s="326">
        <v>46012</v>
      </c>
      <c r="E1143" s="178">
        <v>2</v>
      </c>
      <c r="F1143" s="171" t="s">
        <v>504</v>
      </c>
      <c r="G1143" s="168">
        <f>IFERROR(VLOOKUP(F1143,'menu list'!B:C,2,FALSE)*E1143,"0")</f>
        <v>260</v>
      </c>
      <c r="H1143" s="337">
        <f t="shared" si="80"/>
        <v>39</v>
      </c>
      <c r="I1143" s="168">
        <f t="shared" si="81"/>
        <v>299</v>
      </c>
    </row>
    <row r="1144" spans="1:9" ht="13.2">
      <c r="A1144" s="170">
        <f t="shared" si="82"/>
        <v>1143</v>
      </c>
      <c r="B1144" s="171" t="s">
        <v>1053</v>
      </c>
      <c r="C1144" s="171" t="str">
        <f>VLOOKUP(B1144,MEMBERS!B:C,2, )</f>
        <v>MR. ZAMIR ALI SHAH</v>
      </c>
      <c r="D1144" s="326">
        <v>46012</v>
      </c>
      <c r="E1144" s="178">
        <v>2</v>
      </c>
      <c r="F1144" s="171" t="s">
        <v>439</v>
      </c>
      <c r="G1144" s="168">
        <f>IFERROR(VLOOKUP(F1144,'menu list'!B:C,2,FALSE)*E1144,"0")</f>
        <v>140</v>
      </c>
      <c r="H1144" s="337">
        <f t="shared" si="80"/>
        <v>21</v>
      </c>
      <c r="I1144" s="168">
        <f t="shared" si="81"/>
        <v>161</v>
      </c>
    </row>
    <row r="1145" spans="1:9" ht="13.2">
      <c r="A1145" s="170">
        <f t="shared" si="82"/>
        <v>1144</v>
      </c>
      <c r="B1145" s="171" t="s">
        <v>1053</v>
      </c>
      <c r="C1145" s="171" t="str">
        <f>VLOOKUP(B1145,MEMBERS!B:C,2, )</f>
        <v>MR. ZAMIR ALI SHAH</v>
      </c>
      <c r="D1145" s="326">
        <v>46012</v>
      </c>
      <c r="E1145" s="178">
        <v>2</v>
      </c>
      <c r="F1145" s="171" t="s">
        <v>666</v>
      </c>
      <c r="G1145" s="168">
        <f>IFERROR(VLOOKUP(F1145,'menu list'!B:C,2,FALSE)*E1145,"0")</f>
        <v>700</v>
      </c>
      <c r="H1145" s="337">
        <f t="shared" si="80"/>
        <v>105</v>
      </c>
      <c r="I1145" s="168">
        <f t="shared" si="81"/>
        <v>805</v>
      </c>
    </row>
    <row r="1146" spans="1:9" ht="13.2">
      <c r="A1146" s="170">
        <f t="shared" si="82"/>
        <v>1145</v>
      </c>
      <c r="B1146" s="171" t="s">
        <v>795</v>
      </c>
      <c r="C1146" s="171" t="str">
        <f>VLOOKUP(B1146,MEMBERS!B:C,2, )</f>
        <v>MR. HASAN KARIM</v>
      </c>
      <c r="D1146" s="326">
        <v>46012</v>
      </c>
      <c r="E1146" s="178">
        <v>1</v>
      </c>
      <c r="F1146" s="171" t="s">
        <v>499</v>
      </c>
      <c r="G1146" s="168">
        <f>IFERROR(VLOOKUP(F1146,'menu list'!B:C,2,FALSE)*E1146,"0")</f>
        <v>100</v>
      </c>
      <c r="H1146" s="337">
        <f t="shared" si="80"/>
        <v>15</v>
      </c>
      <c r="I1146" s="168">
        <f t="shared" si="81"/>
        <v>115</v>
      </c>
    </row>
    <row r="1147" spans="1:9" ht="13.2">
      <c r="A1147" s="170">
        <f t="shared" si="82"/>
        <v>1146</v>
      </c>
      <c r="B1147" s="171" t="s">
        <v>1004</v>
      </c>
      <c r="C1147" s="171" t="str">
        <f>VLOOKUP(B1147,MEMBERS!B:C,2, )</f>
        <v>MRS RIFFAT ZULFIQAR</v>
      </c>
      <c r="D1147" s="326">
        <v>46012</v>
      </c>
      <c r="E1147" s="178">
        <v>2</v>
      </c>
      <c r="F1147" s="171" t="s">
        <v>664</v>
      </c>
      <c r="G1147" s="168">
        <f>IFERROR(VLOOKUP(F1147,'menu list'!B:C,2,FALSE)*E1147,"0")</f>
        <v>800</v>
      </c>
      <c r="H1147" s="337">
        <f t="shared" si="80"/>
        <v>120</v>
      </c>
      <c r="I1147" s="168">
        <f t="shared" si="81"/>
        <v>920</v>
      </c>
    </row>
    <row r="1148" spans="1:9" ht="13.2">
      <c r="A1148" s="170">
        <f t="shared" si="82"/>
        <v>1147</v>
      </c>
      <c r="B1148" s="171" t="s">
        <v>1004</v>
      </c>
      <c r="C1148" s="171" t="str">
        <f>VLOOKUP(B1148,MEMBERS!B:C,2, )</f>
        <v>MRS RIFFAT ZULFIQAR</v>
      </c>
      <c r="D1148" s="326">
        <v>46012</v>
      </c>
      <c r="E1148" s="178">
        <v>1</v>
      </c>
      <c r="F1148" s="171" t="s">
        <v>876</v>
      </c>
      <c r="G1148" s="168">
        <f>IFERROR(VLOOKUP(F1148,'menu list'!B:C,2,FALSE)*E1148,"0")</f>
        <v>1800</v>
      </c>
      <c r="H1148" s="337">
        <f t="shared" si="80"/>
        <v>270</v>
      </c>
      <c r="I1148" s="168">
        <f t="shared" si="81"/>
        <v>2070</v>
      </c>
    </row>
    <row r="1149" spans="1:9" ht="13.2">
      <c r="A1149" s="170">
        <f t="shared" si="82"/>
        <v>1148</v>
      </c>
      <c r="B1149" s="171" t="s">
        <v>1004</v>
      </c>
      <c r="C1149" s="171" t="str">
        <f>VLOOKUP(B1149,MEMBERS!B:C,2, )</f>
        <v>MRS RIFFAT ZULFIQAR</v>
      </c>
      <c r="D1149" s="326">
        <v>46012</v>
      </c>
      <c r="E1149" s="178">
        <v>1</v>
      </c>
      <c r="F1149" s="171" t="s">
        <v>939</v>
      </c>
      <c r="G1149" s="168">
        <f>IFERROR(VLOOKUP(F1149,'menu list'!B:C,2,FALSE)*E1149,"0")</f>
        <v>1200</v>
      </c>
      <c r="H1149" s="337">
        <f t="shared" si="80"/>
        <v>180</v>
      </c>
      <c r="I1149" s="168">
        <f t="shared" si="81"/>
        <v>1380</v>
      </c>
    </row>
    <row r="1150" spans="1:9" ht="13.2">
      <c r="A1150" s="170">
        <f t="shared" si="82"/>
        <v>1149</v>
      </c>
      <c r="B1150" s="171" t="s">
        <v>1004</v>
      </c>
      <c r="C1150" s="171" t="str">
        <f>VLOOKUP(B1150,MEMBERS!B:C,2, )</f>
        <v>MRS RIFFAT ZULFIQAR</v>
      </c>
      <c r="D1150" s="326">
        <v>46012</v>
      </c>
      <c r="E1150" s="178">
        <v>2</v>
      </c>
      <c r="F1150" s="171" t="s">
        <v>504</v>
      </c>
      <c r="G1150" s="168">
        <f>IFERROR(VLOOKUP(F1150,'menu list'!B:C,2,FALSE)*E1150,"0")</f>
        <v>260</v>
      </c>
      <c r="H1150" s="337">
        <f t="shared" si="80"/>
        <v>39</v>
      </c>
      <c r="I1150" s="168">
        <f t="shared" si="81"/>
        <v>299</v>
      </c>
    </row>
    <row r="1151" spans="1:9" ht="13.2">
      <c r="A1151" s="170">
        <f t="shared" si="82"/>
        <v>1150</v>
      </c>
      <c r="B1151" s="171" t="s">
        <v>1004</v>
      </c>
      <c r="C1151" s="171" t="str">
        <f>VLOOKUP(B1151,MEMBERS!B:C,2, )</f>
        <v>MRS RIFFAT ZULFIQAR</v>
      </c>
      <c r="D1151" s="326">
        <v>46012</v>
      </c>
      <c r="E1151" s="178">
        <v>1</v>
      </c>
      <c r="F1151" s="171" t="s">
        <v>439</v>
      </c>
      <c r="G1151" s="168">
        <f>IFERROR(VLOOKUP(F1151,'menu list'!B:C,2,FALSE)*E1151,"0")</f>
        <v>70</v>
      </c>
      <c r="H1151" s="337">
        <f t="shared" si="80"/>
        <v>10.5</v>
      </c>
      <c r="I1151" s="168">
        <f t="shared" si="81"/>
        <v>80.5</v>
      </c>
    </row>
    <row r="1152" spans="1:9" ht="13.2">
      <c r="A1152" s="170">
        <f t="shared" si="82"/>
        <v>1151</v>
      </c>
      <c r="B1152" s="171" t="s">
        <v>1004</v>
      </c>
      <c r="C1152" s="171" t="str">
        <f>VLOOKUP(B1152,MEMBERS!B:C,2, )</f>
        <v>MRS RIFFAT ZULFIQAR</v>
      </c>
      <c r="D1152" s="326">
        <v>46012</v>
      </c>
      <c r="E1152" s="178">
        <v>2</v>
      </c>
      <c r="F1152" s="171" t="s">
        <v>499</v>
      </c>
      <c r="G1152" s="168">
        <f>IFERROR(VLOOKUP(F1152,'menu list'!B:C,2,FALSE)*E1152,"0")</f>
        <v>200</v>
      </c>
      <c r="H1152" s="337">
        <f t="shared" si="80"/>
        <v>30</v>
      </c>
      <c r="I1152" s="168">
        <f t="shared" si="81"/>
        <v>230</v>
      </c>
    </row>
    <row r="1153" spans="1:9" ht="13.2">
      <c r="A1153" s="170">
        <f t="shared" si="82"/>
        <v>1152</v>
      </c>
      <c r="B1153" s="171" t="s">
        <v>268</v>
      </c>
      <c r="C1153" s="171" t="str">
        <f>VLOOKUP(B1153,MEMBERS!B:C,2, )</f>
        <v>DGM AMJAD ALI SHAIKH</v>
      </c>
      <c r="D1153" s="326">
        <v>46012</v>
      </c>
      <c r="E1153" s="178">
        <v>1</v>
      </c>
      <c r="F1153" s="171" t="s">
        <v>499</v>
      </c>
      <c r="G1153" s="168">
        <f>IFERROR(VLOOKUP(F1153,'menu list'!B:C,2,FALSE)*E1153,"0")</f>
        <v>100</v>
      </c>
      <c r="H1153" s="337">
        <f t="shared" si="80"/>
        <v>15</v>
      </c>
      <c r="I1153" s="168">
        <f t="shared" si="81"/>
        <v>115</v>
      </c>
    </row>
    <row r="1154" spans="1:9" ht="13.2">
      <c r="A1154" s="170">
        <f t="shared" si="82"/>
        <v>1153</v>
      </c>
      <c r="B1154" s="171" t="s">
        <v>268</v>
      </c>
      <c r="C1154" s="171" t="str">
        <f>VLOOKUP(B1154,MEMBERS!B:C,2, )</f>
        <v>DGM AMJAD ALI SHAIKH</v>
      </c>
      <c r="D1154" s="326">
        <v>46012</v>
      </c>
      <c r="E1154" s="178">
        <v>1</v>
      </c>
      <c r="F1154" s="171" t="s">
        <v>898</v>
      </c>
      <c r="G1154" s="168">
        <f>IFERROR(VLOOKUP(F1154,'menu list'!B:C,2,FALSE)*E1154,"0")</f>
        <v>1000</v>
      </c>
      <c r="H1154" s="337">
        <f t="shared" si="80"/>
        <v>150</v>
      </c>
      <c r="I1154" s="168">
        <f t="shared" si="81"/>
        <v>1150</v>
      </c>
    </row>
    <row r="1155" spans="1:9" ht="13.2">
      <c r="A1155" s="170">
        <f t="shared" si="82"/>
        <v>1154</v>
      </c>
      <c r="B1155" s="171" t="s">
        <v>268</v>
      </c>
      <c r="C1155" s="171" t="str">
        <f>VLOOKUP(B1155,MEMBERS!B:C,2, )</f>
        <v>DGM AMJAD ALI SHAIKH</v>
      </c>
      <c r="D1155" s="326">
        <v>46012</v>
      </c>
      <c r="E1155" s="178">
        <v>1</v>
      </c>
      <c r="F1155" s="171" t="s">
        <v>828</v>
      </c>
      <c r="G1155" s="168">
        <f>IFERROR(VLOOKUP(F1155,'menu list'!B:C,2,FALSE)*E1155,"0")</f>
        <v>850</v>
      </c>
      <c r="H1155" s="337">
        <f t="shared" ref="H1155:H1217" si="83">G1155*15/100</f>
        <v>127.5</v>
      </c>
      <c r="I1155" s="168">
        <f t="shared" si="81"/>
        <v>977.5</v>
      </c>
    </row>
    <row r="1156" spans="1:9" ht="13.2">
      <c r="A1156" s="170">
        <f t="shared" si="82"/>
        <v>1155</v>
      </c>
      <c r="B1156" s="171" t="s">
        <v>268</v>
      </c>
      <c r="C1156" s="171" t="str">
        <f>VLOOKUP(B1156,MEMBERS!B:C,2, )</f>
        <v>DGM AMJAD ALI SHAIKH</v>
      </c>
      <c r="D1156" s="326">
        <v>46012</v>
      </c>
      <c r="E1156" s="178">
        <v>1</v>
      </c>
      <c r="F1156" s="171" t="s">
        <v>500</v>
      </c>
      <c r="G1156" s="168">
        <f>IFERROR(VLOOKUP(F1156,'menu list'!B:C,2,FALSE)*E1156,"0")</f>
        <v>1250</v>
      </c>
      <c r="H1156" s="337">
        <f t="shared" si="83"/>
        <v>187.5</v>
      </c>
      <c r="I1156" s="168">
        <f t="shared" ref="I1156:I1218" si="84">G1156+H1156</f>
        <v>1437.5</v>
      </c>
    </row>
    <row r="1157" spans="1:9" ht="13.2">
      <c r="A1157" s="170">
        <f t="shared" si="82"/>
        <v>1156</v>
      </c>
      <c r="B1157" s="171" t="s">
        <v>268</v>
      </c>
      <c r="C1157" s="171" t="str">
        <f>VLOOKUP(B1157,MEMBERS!B:C,2, )</f>
        <v>DGM AMJAD ALI SHAIKH</v>
      </c>
      <c r="D1157" s="326">
        <v>46012</v>
      </c>
      <c r="E1157" s="178">
        <v>1</v>
      </c>
      <c r="F1157" s="171" t="s">
        <v>740</v>
      </c>
      <c r="G1157" s="168">
        <f>IFERROR(VLOOKUP(F1157,'menu list'!B:C,2,FALSE)*E1157,"0")</f>
        <v>1800</v>
      </c>
      <c r="H1157" s="337">
        <f t="shared" si="83"/>
        <v>270</v>
      </c>
      <c r="I1157" s="168">
        <f t="shared" si="84"/>
        <v>2070</v>
      </c>
    </row>
    <row r="1158" spans="1:9" ht="13.2">
      <c r="A1158" s="170">
        <f t="shared" si="82"/>
        <v>1157</v>
      </c>
      <c r="B1158" s="171" t="s">
        <v>373</v>
      </c>
      <c r="C1158" s="171" t="str">
        <f>VLOOKUP(B1158,MEMBERS!B:C,2, )</f>
        <v>ASIF ASHFAQ</v>
      </c>
      <c r="D1158" s="326">
        <v>46012</v>
      </c>
      <c r="E1158" s="178">
        <v>50</v>
      </c>
      <c r="F1158" s="171" t="s">
        <v>1192</v>
      </c>
      <c r="G1158" s="168">
        <f>IFERROR(VLOOKUP(F1158,'menu list'!B:C,2,FALSE)*E1158,"0")</f>
        <v>190000</v>
      </c>
      <c r="H1158" s="337">
        <f t="shared" si="83"/>
        <v>28500</v>
      </c>
      <c r="I1158" s="168">
        <f t="shared" si="84"/>
        <v>218500</v>
      </c>
    </row>
    <row r="1159" spans="1:9" ht="13.2">
      <c r="A1159" s="170">
        <f t="shared" si="82"/>
        <v>1158</v>
      </c>
      <c r="B1159" s="171" t="s">
        <v>373</v>
      </c>
      <c r="C1159" s="171" t="str">
        <f>VLOOKUP(B1159,MEMBERS!B:C,2, )</f>
        <v>ASIF ASHFAQ</v>
      </c>
      <c r="D1159" s="326">
        <v>46012</v>
      </c>
      <c r="E1159" s="178">
        <v>13</v>
      </c>
      <c r="F1159" s="171" t="s">
        <v>440</v>
      </c>
      <c r="G1159" s="168">
        <f>IFERROR(VLOOKUP(F1159,'menu list'!B:C,2,FALSE)*E1159,"0")</f>
        <v>1950</v>
      </c>
      <c r="H1159" s="337">
        <f t="shared" si="83"/>
        <v>292.5</v>
      </c>
      <c r="I1159" s="168">
        <f t="shared" si="84"/>
        <v>2242.5</v>
      </c>
    </row>
    <row r="1160" spans="1:9" ht="13.2">
      <c r="A1160" s="170">
        <f t="shared" si="82"/>
        <v>1159</v>
      </c>
      <c r="B1160" s="171" t="s">
        <v>373</v>
      </c>
      <c r="C1160" s="171" t="str">
        <f>VLOOKUP(B1160,MEMBERS!B:C,2, )</f>
        <v>ASIF ASHFAQ</v>
      </c>
      <c r="D1160" s="326">
        <v>46012</v>
      </c>
      <c r="E1160" s="178">
        <v>48</v>
      </c>
      <c r="F1160" s="171" t="s">
        <v>442</v>
      </c>
      <c r="G1160" s="168">
        <f>IFERROR(VLOOKUP(F1160,'menu list'!B:C,2,FALSE)*E1160,"0")</f>
        <v>7200</v>
      </c>
      <c r="H1160" s="337">
        <f t="shared" si="83"/>
        <v>1080</v>
      </c>
      <c r="I1160" s="168">
        <f t="shared" si="84"/>
        <v>8280</v>
      </c>
    </row>
    <row r="1161" spans="1:9" ht="13.2">
      <c r="A1161" s="170">
        <f t="shared" si="82"/>
        <v>1160</v>
      </c>
      <c r="B1161" s="171" t="s">
        <v>947</v>
      </c>
      <c r="C1161" s="171" t="str">
        <f>VLOOKUP(B1161,MEMBERS!B:C,2, )</f>
        <v>MR . SYED RAHAT HUSSAIN ZAIDI</v>
      </c>
      <c r="D1161" s="326">
        <v>46012</v>
      </c>
      <c r="E1161" s="178">
        <v>22</v>
      </c>
      <c r="F1161" s="171" t="s">
        <v>641</v>
      </c>
      <c r="G1161" s="168">
        <f>IFERROR(VLOOKUP(F1161,'menu list'!B:C,2,FALSE)*E1161,"0")</f>
        <v>34100</v>
      </c>
      <c r="H1161" s="337">
        <f t="shared" si="83"/>
        <v>5115</v>
      </c>
      <c r="I1161" s="168">
        <f t="shared" si="84"/>
        <v>39215</v>
      </c>
    </row>
    <row r="1162" spans="1:9" ht="13.2">
      <c r="A1162" s="170">
        <f t="shared" ref="A1162:A1183" si="85">IF(D1162&lt;&gt;"", ROW()-1, "")</f>
        <v>1161</v>
      </c>
      <c r="B1162" s="171" t="s">
        <v>947</v>
      </c>
      <c r="C1162" s="171" t="str">
        <f>VLOOKUP(B1162,MEMBERS!B:C,2, )</f>
        <v>MR . SYED RAHAT HUSSAIN ZAIDI</v>
      </c>
      <c r="D1162" s="326">
        <v>46012</v>
      </c>
      <c r="E1162" s="178">
        <v>5</v>
      </c>
      <c r="F1162" s="171" t="s">
        <v>659</v>
      </c>
      <c r="G1162" s="168">
        <f>IFERROR(VLOOKUP(F1162,'menu list'!B:C,2,FALSE)*E1162,"0")</f>
        <v>3875</v>
      </c>
      <c r="H1162" s="337">
        <f t="shared" si="83"/>
        <v>581.25</v>
      </c>
      <c r="I1162" s="168">
        <f t="shared" si="84"/>
        <v>4456.25</v>
      </c>
    </row>
    <row r="1163" spans="1:9" ht="13.2">
      <c r="A1163" s="170">
        <f t="shared" si="85"/>
        <v>1162</v>
      </c>
      <c r="B1163" s="171" t="s">
        <v>947</v>
      </c>
      <c r="C1163" s="171" t="str">
        <f>VLOOKUP(B1163,MEMBERS!B:C,2, )</f>
        <v>MR . SYED RAHAT HUSSAIN ZAIDI</v>
      </c>
      <c r="D1163" s="326">
        <v>46012</v>
      </c>
      <c r="E1163" s="178">
        <v>7</v>
      </c>
      <c r="F1163" s="171" t="s">
        <v>440</v>
      </c>
      <c r="G1163" s="168">
        <f>IFERROR(VLOOKUP(F1163,'menu list'!B:C,2,FALSE)*E1163,"0")</f>
        <v>1050</v>
      </c>
      <c r="H1163" s="337">
        <f t="shared" si="83"/>
        <v>157.5</v>
      </c>
      <c r="I1163" s="168">
        <f t="shared" si="84"/>
        <v>1207.5</v>
      </c>
    </row>
    <row r="1164" spans="1:9" ht="13.2">
      <c r="A1164" s="170">
        <f t="shared" si="85"/>
        <v>1163</v>
      </c>
      <c r="B1164" s="171" t="s">
        <v>947</v>
      </c>
      <c r="C1164" s="171" t="str">
        <f>VLOOKUP(B1164,MEMBERS!B:C,2, )</f>
        <v>MR . SYED RAHAT HUSSAIN ZAIDI</v>
      </c>
      <c r="D1164" s="326">
        <v>46012</v>
      </c>
      <c r="E1164" s="178">
        <v>4</v>
      </c>
      <c r="F1164" s="171" t="s">
        <v>502</v>
      </c>
      <c r="G1164" s="168">
        <f>IFERROR(VLOOKUP(F1164,'menu list'!B:C,2,FALSE)*E1164,"0")</f>
        <v>1400</v>
      </c>
      <c r="H1164" s="337">
        <f t="shared" si="83"/>
        <v>210</v>
      </c>
      <c r="I1164" s="168">
        <f t="shared" si="84"/>
        <v>1610</v>
      </c>
    </row>
    <row r="1165" spans="1:9" ht="13.2">
      <c r="A1165" s="170">
        <f t="shared" si="85"/>
        <v>1164</v>
      </c>
      <c r="B1165" s="171" t="s">
        <v>947</v>
      </c>
      <c r="C1165" s="171" t="str">
        <f>VLOOKUP(B1165,MEMBERS!B:C,2, )</f>
        <v>MR . SYED RAHAT HUSSAIN ZAIDI</v>
      </c>
      <c r="D1165" s="326">
        <v>46012</v>
      </c>
      <c r="E1165" s="178">
        <v>7</v>
      </c>
      <c r="F1165" s="171" t="s">
        <v>836</v>
      </c>
      <c r="G1165" s="168">
        <f>IFERROR(VLOOKUP(F1165,'menu list'!B:C,2,FALSE)*E1165,"0")</f>
        <v>2450</v>
      </c>
      <c r="H1165" s="337">
        <f t="shared" si="83"/>
        <v>367.5</v>
      </c>
      <c r="I1165" s="168">
        <f t="shared" si="84"/>
        <v>2817.5</v>
      </c>
    </row>
    <row r="1166" spans="1:9" ht="13.2">
      <c r="A1166" s="170">
        <f t="shared" si="85"/>
        <v>1165</v>
      </c>
      <c r="B1166" s="171" t="s">
        <v>947</v>
      </c>
      <c r="C1166" s="171" t="str">
        <f>VLOOKUP(B1166,MEMBERS!B:C,2, )</f>
        <v>MR . SYED RAHAT HUSSAIN ZAIDI</v>
      </c>
      <c r="D1166" s="326">
        <v>46012</v>
      </c>
      <c r="E1166" s="178">
        <v>7</v>
      </c>
      <c r="F1166" s="171" t="s">
        <v>442</v>
      </c>
      <c r="G1166" s="168">
        <f>IFERROR(VLOOKUP(F1166,'menu list'!B:C,2,FALSE)*E1166,"0")</f>
        <v>1050</v>
      </c>
      <c r="H1166" s="337">
        <f t="shared" si="83"/>
        <v>157.5</v>
      </c>
      <c r="I1166" s="168">
        <f t="shared" si="84"/>
        <v>1207.5</v>
      </c>
    </row>
    <row r="1167" spans="1:9" ht="13.2">
      <c r="A1167" s="170">
        <f t="shared" si="85"/>
        <v>1166</v>
      </c>
      <c r="B1167" s="171" t="s">
        <v>187</v>
      </c>
      <c r="C1167" s="171" t="str">
        <f>VLOOKUP(B1167,MEMBERS!B:C,2, )</f>
        <v>MR.SHAN ELAHI SEHGAL</v>
      </c>
      <c r="D1167" s="326">
        <v>46012</v>
      </c>
      <c r="E1167" s="178">
        <v>9</v>
      </c>
      <c r="F1167" s="171" t="s">
        <v>641</v>
      </c>
      <c r="G1167" s="168">
        <f>IFERROR(VLOOKUP(F1167,'menu list'!B:C,2,FALSE)*E1167,"0")</f>
        <v>13950</v>
      </c>
      <c r="H1167" s="337">
        <f t="shared" si="83"/>
        <v>2092.5</v>
      </c>
      <c r="I1167" s="168">
        <f t="shared" si="84"/>
        <v>16042.5</v>
      </c>
    </row>
    <row r="1168" spans="1:9" ht="13.2">
      <c r="A1168" s="170">
        <f t="shared" si="85"/>
        <v>1167</v>
      </c>
      <c r="B1168" s="171" t="s">
        <v>187</v>
      </c>
      <c r="C1168" s="171" t="str">
        <f>VLOOKUP(B1168,MEMBERS!B:C,2, )</f>
        <v>MR.SHAN ELAHI SEHGAL</v>
      </c>
      <c r="D1168" s="326">
        <v>46012</v>
      </c>
      <c r="E1168" s="178">
        <v>2</v>
      </c>
      <c r="F1168" s="171" t="s">
        <v>440</v>
      </c>
      <c r="G1168" s="168">
        <f>IFERROR(VLOOKUP(F1168,'menu list'!B:C,2,FALSE)*E1168,"0")</f>
        <v>300</v>
      </c>
      <c r="H1168" s="337">
        <f t="shared" si="83"/>
        <v>45</v>
      </c>
      <c r="I1168" s="168">
        <f t="shared" si="84"/>
        <v>345</v>
      </c>
    </row>
    <row r="1169" spans="1:11" ht="13.2">
      <c r="A1169" s="170">
        <f t="shared" si="85"/>
        <v>1168</v>
      </c>
      <c r="B1169" s="171" t="s">
        <v>187</v>
      </c>
      <c r="C1169" s="171" t="str">
        <f>VLOOKUP(B1169,MEMBERS!B:C,2, )</f>
        <v>MR.SHAN ELAHI SEHGAL</v>
      </c>
      <c r="D1169" s="326">
        <v>46012</v>
      </c>
      <c r="E1169" s="178">
        <v>1</v>
      </c>
      <c r="F1169" s="171" t="s">
        <v>502</v>
      </c>
      <c r="G1169" s="168">
        <f>IFERROR(VLOOKUP(F1169,'menu list'!B:C,2,FALSE)*E1169,"0")</f>
        <v>350</v>
      </c>
      <c r="H1169" s="337">
        <f t="shared" si="83"/>
        <v>52.5</v>
      </c>
      <c r="I1169" s="168">
        <f t="shared" si="84"/>
        <v>402.5</v>
      </c>
    </row>
    <row r="1170" spans="1:11" ht="13.2">
      <c r="A1170" s="170">
        <f t="shared" si="85"/>
        <v>1169</v>
      </c>
      <c r="B1170" s="171" t="s">
        <v>187</v>
      </c>
      <c r="C1170" s="171" t="str">
        <f>VLOOKUP(B1170,MEMBERS!B:C,2, )</f>
        <v>MR.SHAN ELAHI SEHGAL</v>
      </c>
      <c r="D1170" s="326">
        <v>46012</v>
      </c>
      <c r="E1170" s="178">
        <v>1</v>
      </c>
      <c r="F1170" s="171" t="s">
        <v>659</v>
      </c>
      <c r="G1170" s="168">
        <f>IFERROR(VLOOKUP(F1170,'menu list'!B:C,2,FALSE)*E1170,"0")</f>
        <v>775</v>
      </c>
      <c r="H1170" s="337">
        <f t="shared" si="83"/>
        <v>116.25</v>
      </c>
      <c r="I1170" s="168">
        <f t="shared" si="84"/>
        <v>891.25</v>
      </c>
    </row>
    <row r="1171" spans="1:11" ht="13.2">
      <c r="A1171" s="170">
        <f t="shared" si="85"/>
        <v>1170</v>
      </c>
      <c r="B1171" s="171" t="s">
        <v>59</v>
      </c>
      <c r="C1171" s="171" t="str">
        <f>VLOOKUP(B1171,MEMBERS!B:C,2, )</f>
        <v>MR.SAJJAD ALI</v>
      </c>
      <c r="D1171" s="326">
        <v>46012</v>
      </c>
      <c r="E1171" s="178">
        <v>1</v>
      </c>
      <c r="F1171" s="171" t="s">
        <v>440</v>
      </c>
      <c r="G1171" s="168">
        <f>IFERROR(VLOOKUP(F1171,'menu list'!B:C,2,FALSE)*E1171,"0")</f>
        <v>150</v>
      </c>
      <c r="H1171" s="337">
        <f t="shared" si="83"/>
        <v>22.5</v>
      </c>
      <c r="I1171" s="168">
        <f t="shared" si="84"/>
        <v>172.5</v>
      </c>
    </row>
    <row r="1172" spans="1:11" ht="13.2">
      <c r="A1172" s="170">
        <f t="shared" si="85"/>
        <v>1171</v>
      </c>
      <c r="B1172" s="171" t="s">
        <v>59</v>
      </c>
      <c r="C1172" s="171" t="str">
        <f>VLOOKUP(B1172,MEMBERS!B:C,2, )</f>
        <v>MR.SAJJAD ALI</v>
      </c>
      <c r="D1172" s="326">
        <v>46012</v>
      </c>
      <c r="E1172" s="178">
        <v>1</v>
      </c>
      <c r="F1172" s="171" t="s">
        <v>500</v>
      </c>
      <c r="G1172" s="168">
        <f>IFERROR(VLOOKUP(F1172,'menu list'!B:C,2,FALSE)*E1172,"0")</f>
        <v>1250</v>
      </c>
      <c r="H1172" s="337">
        <f t="shared" si="83"/>
        <v>187.5</v>
      </c>
      <c r="I1172" s="168">
        <f t="shared" si="84"/>
        <v>1437.5</v>
      </c>
    </row>
    <row r="1173" spans="1:11" ht="13.2">
      <c r="A1173" s="170">
        <f t="shared" si="85"/>
        <v>1172</v>
      </c>
      <c r="B1173" s="171" t="s">
        <v>59</v>
      </c>
      <c r="C1173" s="171" t="str">
        <f>VLOOKUP(B1173,MEMBERS!B:C,2, )</f>
        <v>MR.SAJJAD ALI</v>
      </c>
      <c r="D1173" s="326">
        <v>46012</v>
      </c>
      <c r="E1173" s="178">
        <v>1</v>
      </c>
      <c r="F1173" s="171" t="s">
        <v>846</v>
      </c>
      <c r="G1173" s="168">
        <f>IFERROR(VLOOKUP(F1173,'menu list'!B:C,2,FALSE)*E1173,"0")</f>
        <v>1250</v>
      </c>
      <c r="H1173" s="337">
        <f t="shared" si="83"/>
        <v>187.5</v>
      </c>
      <c r="I1173" s="168">
        <f t="shared" si="84"/>
        <v>1437.5</v>
      </c>
    </row>
    <row r="1174" spans="1:11" ht="13.2">
      <c r="A1174" s="170">
        <f t="shared" si="85"/>
        <v>1173</v>
      </c>
      <c r="B1174" s="171" t="s">
        <v>258</v>
      </c>
      <c r="C1174" s="171" t="str">
        <f>VLOOKUP(B1174,MEMBERS!B:C,2, )</f>
        <v>BRIG DR. GHULAM MEHDI (Retd)</v>
      </c>
      <c r="D1174" s="326">
        <v>46012</v>
      </c>
      <c r="E1174" s="178">
        <v>3</v>
      </c>
      <c r="F1174" s="171" t="s">
        <v>641</v>
      </c>
      <c r="G1174" s="168">
        <f>IFERROR(VLOOKUP(F1174,'menu list'!B:C,2,FALSE)*E1174,"0")</f>
        <v>4650</v>
      </c>
      <c r="H1174" s="337">
        <f t="shared" si="83"/>
        <v>697.5</v>
      </c>
      <c r="I1174" s="168">
        <f t="shared" si="84"/>
        <v>5347.5</v>
      </c>
    </row>
    <row r="1175" spans="1:11" ht="13.2">
      <c r="A1175" s="170">
        <f t="shared" si="85"/>
        <v>1174</v>
      </c>
      <c r="B1175" s="171" t="s">
        <v>258</v>
      </c>
      <c r="C1175" s="171" t="str">
        <f>VLOOKUP(B1175,MEMBERS!B:C,2, )</f>
        <v>BRIG DR. GHULAM MEHDI (Retd)</v>
      </c>
      <c r="D1175" s="326">
        <v>46012</v>
      </c>
      <c r="E1175" s="178">
        <v>1</v>
      </c>
      <c r="F1175" s="171" t="s">
        <v>440</v>
      </c>
      <c r="G1175" s="168">
        <f>IFERROR(VLOOKUP(F1175,'menu list'!B:C,2,FALSE)*E1175,"0")</f>
        <v>150</v>
      </c>
      <c r="H1175" s="337">
        <f t="shared" si="83"/>
        <v>22.5</v>
      </c>
      <c r="I1175" s="168">
        <f t="shared" si="84"/>
        <v>172.5</v>
      </c>
    </row>
    <row r="1176" spans="1:11" ht="13.2">
      <c r="A1176" s="170">
        <f t="shared" si="85"/>
        <v>1175</v>
      </c>
      <c r="B1176" s="171" t="s">
        <v>258</v>
      </c>
      <c r="C1176" s="171" t="str">
        <f>VLOOKUP(B1176,MEMBERS!B:C,2, )</f>
        <v>BRIG DR. GHULAM MEHDI (Retd)</v>
      </c>
      <c r="D1176" s="326">
        <v>46012</v>
      </c>
      <c r="E1176" s="178">
        <v>2</v>
      </c>
      <c r="F1176" s="171" t="s">
        <v>582</v>
      </c>
      <c r="G1176" s="168">
        <f>IFERROR(VLOOKUP(F1176,'menu list'!B:C,2,FALSE)*E1176,"0")</f>
        <v>600</v>
      </c>
      <c r="H1176" s="337">
        <f t="shared" si="83"/>
        <v>90</v>
      </c>
      <c r="I1176" s="168">
        <f t="shared" si="84"/>
        <v>690</v>
      </c>
    </row>
    <row r="1177" spans="1:11" ht="13.2">
      <c r="A1177" s="170">
        <f t="shared" si="85"/>
        <v>1176</v>
      </c>
      <c r="B1177" s="171" t="s">
        <v>1004</v>
      </c>
      <c r="C1177" s="171" t="str">
        <f>VLOOKUP(B1177,MEMBERS!B:C,2, )</f>
        <v>MRS RIFFAT ZULFIQAR</v>
      </c>
      <c r="D1177" s="326">
        <v>46012</v>
      </c>
      <c r="E1177" s="178">
        <v>7</v>
      </c>
      <c r="F1177" s="171" t="s">
        <v>641</v>
      </c>
      <c r="G1177" s="168">
        <f>IFERROR(VLOOKUP(F1177,'menu list'!B:C,2,FALSE)*E1177,"0")</f>
        <v>10850</v>
      </c>
      <c r="H1177" s="337">
        <f t="shared" si="83"/>
        <v>1627.5</v>
      </c>
      <c r="I1177" s="168">
        <f t="shared" si="84"/>
        <v>12477.5</v>
      </c>
    </row>
    <row r="1178" spans="1:11" ht="13.2">
      <c r="A1178" s="170">
        <f t="shared" si="85"/>
        <v>1177</v>
      </c>
      <c r="B1178" s="171" t="s">
        <v>1004</v>
      </c>
      <c r="C1178" s="171" t="str">
        <f>VLOOKUP(B1178,MEMBERS!B:C,2, )</f>
        <v>MRS RIFFAT ZULFIQAR</v>
      </c>
      <c r="D1178" s="326">
        <v>46012</v>
      </c>
      <c r="E1178" s="178">
        <v>2</v>
      </c>
      <c r="F1178" s="171" t="s">
        <v>440</v>
      </c>
      <c r="G1178" s="168">
        <f>IFERROR(VLOOKUP(F1178,'menu list'!B:C,2,FALSE)*E1178,"0")</f>
        <v>300</v>
      </c>
      <c r="H1178" s="337">
        <f t="shared" si="83"/>
        <v>45</v>
      </c>
      <c r="I1178" s="168">
        <f t="shared" si="84"/>
        <v>345</v>
      </c>
    </row>
    <row r="1179" spans="1:11" ht="13.2">
      <c r="A1179" s="170">
        <f t="shared" si="85"/>
        <v>1178</v>
      </c>
      <c r="B1179" s="171" t="s">
        <v>1004</v>
      </c>
      <c r="C1179" s="171" t="str">
        <f>VLOOKUP(B1179,MEMBERS!B:C,2, )</f>
        <v>MRS RIFFAT ZULFIQAR</v>
      </c>
      <c r="D1179" s="326">
        <v>46012</v>
      </c>
      <c r="E1179" s="178">
        <v>2</v>
      </c>
      <c r="F1179" s="171" t="s">
        <v>582</v>
      </c>
      <c r="G1179" s="168">
        <f>IFERROR(VLOOKUP(F1179,'menu list'!B:C,2,FALSE)*E1179,"0")</f>
        <v>600</v>
      </c>
      <c r="H1179" s="337">
        <f t="shared" si="83"/>
        <v>90</v>
      </c>
      <c r="I1179" s="168">
        <f t="shared" si="84"/>
        <v>690</v>
      </c>
    </row>
    <row r="1180" spans="1:11" ht="13.2">
      <c r="A1180" s="170">
        <f t="shared" si="85"/>
        <v>1179</v>
      </c>
      <c r="B1180" s="171" t="s">
        <v>1004</v>
      </c>
      <c r="C1180" s="171" t="str">
        <f>VLOOKUP(B1180,MEMBERS!B:C,2, )</f>
        <v>MRS RIFFAT ZULFIQAR</v>
      </c>
      <c r="D1180" s="326">
        <v>46012</v>
      </c>
      <c r="E1180" s="178">
        <v>1</v>
      </c>
      <c r="F1180" s="171" t="s">
        <v>836</v>
      </c>
      <c r="G1180" s="168">
        <f>IFERROR(VLOOKUP(F1180,'menu list'!B:C,2,FALSE)*E1180,"0")</f>
        <v>350</v>
      </c>
      <c r="H1180" s="337">
        <f t="shared" si="83"/>
        <v>52.5</v>
      </c>
      <c r="I1180" s="168">
        <f t="shared" si="84"/>
        <v>402.5</v>
      </c>
    </row>
    <row r="1181" spans="1:11" ht="13.2">
      <c r="A1181" s="170">
        <f t="shared" si="85"/>
        <v>1180</v>
      </c>
      <c r="B1181" s="171" t="s">
        <v>428</v>
      </c>
      <c r="C1181" s="171" t="str">
        <f>VLOOKUP(B1181,MEMBERS!B:C,2, )</f>
        <v>ALI LEGHARI</v>
      </c>
      <c r="D1181" s="326">
        <v>46012</v>
      </c>
      <c r="E1181" s="178">
        <v>48</v>
      </c>
      <c r="F1181" s="171" t="s">
        <v>440</v>
      </c>
      <c r="G1181" s="168">
        <f>IFERROR(VLOOKUP(F1181,'menu list'!B:C,2,FALSE)*E1181,"0")</f>
        <v>7200</v>
      </c>
      <c r="H1181" s="337">
        <f t="shared" si="83"/>
        <v>1080</v>
      </c>
      <c r="I1181" s="168">
        <f t="shared" si="84"/>
        <v>8280</v>
      </c>
    </row>
    <row r="1182" spans="1:11" ht="13.2">
      <c r="A1182" s="170">
        <f t="shared" si="85"/>
        <v>1181</v>
      </c>
      <c r="B1182" s="171" t="s">
        <v>428</v>
      </c>
      <c r="C1182" s="171" t="str">
        <f>VLOOKUP(B1182,MEMBERS!B:C,2, )</f>
        <v>ALI LEGHARI</v>
      </c>
      <c r="D1182" s="326">
        <v>46012</v>
      </c>
      <c r="E1182" s="178">
        <v>242</v>
      </c>
      <c r="F1182" s="171" t="s">
        <v>442</v>
      </c>
      <c r="G1182" s="168">
        <f>IFERROR(VLOOKUP(F1182,'menu list'!B:C,2,FALSE)*E1182,"0")</f>
        <v>36300</v>
      </c>
      <c r="H1182" s="337">
        <f t="shared" si="83"/>
        <v>5445</v>
      </c>
      <c r="I1182" s="168">
        <f t="shared" si="84"/>
        <v>41745</v>
      </c>
    </row>
    <row r="1183" spans="1:11" ht="13.2">
      <c r="A1183" s="170">
        <f t="shared" si="85"/>
        <v>1182</v>
      </c>
      <c r="B1183" s="171" t="s">
        <v>93</v>
      </c>
      <c r="C1183" s="171" t="str">
        <f>VLOOKUP(B1183,MEMBERS!B:C,2, )</f>
        <v>MR.NIZAM UDDIN NIZAMANI</v>
      </c>
      <c r="D1183" s="326">
        <v>46013</v>
      </c>
      <c r="E1183" s="178">
        <v>35</v>
      </c>
      <c r="F1183" s="171" t="s">
        <v>1193</v>
      </c>
      <c r="G1183" s="168">
        <v>87500</v>
      </c>
      <c r="H1183" s="337">
        <f t="shared" si="83"/>
        <v>13125</v>
      </c>
      <c r="I1183" s="168">
        <f t="shared" si="84"/>
        <v>100625</v>
      </c>
    </row>
    <row r="1184" spans="1:11" ht="13.2">
      <c r="A1184" s="170">
        <f t="shared" ref="A1184:A1185" si="86">IF(D1184&lt;&gt;"", ROW()-1, "")</f>
        <v>1183</v>
      </c>
      <c r="B1184" s="171" t="s">
        <v>93</v>
      </c>
      <c r="C1184" s="171" t="str">
        <f>VLOOKUP(B1184,MEMBERS!B:C,2, )</f>
        <v>MR.NIZAM UDDIN NIZAMANI</v>
      </c>
      <c r="D1184" s="326">
        <v>46013</v>
      </c>
      <c r="E1184" s="178">
        <v>11</v>
      </c>
      <c r="F1184" s="171" t="s">
        <v>442</v>
      </c>
      <c r="G1184" s="168">
        <f>IFERROR(VLOOKUP(F1184,'menu list'!B:C,2,FALSE)*E1184,"0")</f>
        <v>1650</v>
      </c>
      <c r="H1184" s="337">
        <f t="shared" si="83"/>
        <v>247.5</v>
      </c>
      <c r="I1184" s="168">
        <f t="shared" si="84"/>
        <v>1897.5</v>
      </c>
      <c r="J1184" s="169">
        <v>9947.5</v>
      </c>
      <c r="K1184" s="169" t="s">
        <v>1244</v>
      </c>
    </row>
    <row r="1185" spans="1:9" ht="13.2">
      <c r="A1185" s="170">
        <f t="shared" si="86"/>
        <v>1184</v>
      </c>
      <c r="B1185" s="171" t="s">
        <v>93</v>
      </c>
      <c r="C1185" s="171" t="str">
        <f>VLOOKUP(B1185,MEMBERS!B:C,2, )</f>
        <v>MR.NIZAM UDDIN NIZAMANI</v>
      </c>
      <c r="D1185" s="326">
        <v>46013</v>
      </c>
      <c r="E1185" s="178">
        <v>1</v>
      </c>
      <c r="F1185" s="171" t="s">
        <v>1194</v>
      </c>
      <c r="G1185" s="168">
        <v>5000</v>
      </c>
      <c r="H1185" s="337">
        <f t="shared" si="83"/>
        <v>750</v>
      </c>
      <c r="I1185" s="168">
        <f t="shared" si="84"/>
        <v>5750</v>
      </c>
    </row>
    <row r="1186" spans="1:9" ht="13.2">
      <c r="A1186" s="170">
        <f t="shared" ref="A1186:A1213" si="87">IF(D1186&lt;&gt;"", ROW()-1, "")</f>
        <v>1185</v>
      </c>
      <c r="B1186" s="171" t="s">
        <v>395</v>
      </c>
      <c r="C1186" s="171" t="str">
        <f>VLOOKUP(B1186,MEMBERS!B:C,2, )</f>
        <v>BAHRIA INTERNATIONAL HOSPITAL</v>
      </c>
      <c r="D1186" s="326">
        <v>46013</v>
      </c>
      <c r="E1186" s="178">
        <v>16</v>
      </c>
      <c r="F1186" s="171" t="s">
        <v>516</v>
      </c>
      <c r="G1186" s="168">
        <f>IFERROR(VLOOKUP(F1186,'menu list'!B:C,2,FALSE)*E1186,"0")</f>
        <v>4000</v>
      </c>
      <c r="H1186" s="337"/>
      <c r="I1186" s="168">
        <f t="shared" si="84"/>
        <v>4000</v>
      </c>
    </row>
    <row r="1187" spans="1:9" ht="13.2">
      <c r="A1187" s="170">
        <f t="shared" si="87"/>
        <v>1186</v>
      </c>
      <c r="B1187" s="171" t="s">
        <v>395</v>
      </c>
      <c r="C1187" s="171" t="str">
        <f>VLOOKUP(B1187,MEMBERS!B:C,2, )</f>
        <v>BAHRIA INTERNATIONAL HOSPITAL</v>
      </c>
      <c r="D1187" s="326">
        <v>46013</v>
      </c>
      <c r="E1187" s="178">
        <v>10</v>
      </c>
      <c r="F1187" s="171" t="s">
        <v>558</v>
      </c>
      <c r="G1187" s="168">
        <f>IFERROR(VLOOKUP(F1187,'menu list'!B:C,2,FALSE)*E1187,"0")</f>
        <v>1500</v>
      </c>
      <c r="H1187" s="337"/>
      <c r="I1187" s="168">
        <f t="shared" si="84"/>
        <v>1500</v>
      </c>
    </row>
    <row r="1188" spans="1:9" ht="13.2">
      <c r="A1188" s="170">
        <f t="shared" si="87"/>
        <v>1187</v>
      </c>
      <c r="B1188" s="171" t="s">
        <v>395</v>
      </c>
      <c r="C1188" s="171" t="str">
        <f>VLOOKUP(B1188,MEMBERS!B:C,2, )</f>
        <v>BAHRIA INTERNATIONAL HOSPITAL</v>
      </c>
      <c r="D1188" s="326">
        <v>46013</v>
      </c>
      <c r="E1188" s="178">
        <v>6</v>
      </c>
      <c r="F1188" s="171" t="s">
        <v>660</v>
      </c>
      <c r="G1188" s="168">
        <f>IFERROR(VLOOKUP(F1188,'menu list'!B:C,2,FALSE)*E1188,"0")</f>
        <v>900</v>
      </c>
      <c r="H1188" s="337"/>
      <c r="I1188" s="168">
        <f t="shared" si="84"/>
        <v>900</v>
      </c>
    </row>
    <row r="1189" spans="1:9" ht="13.2">
      <c r="A1189" s="170">
        <f t="shared" si="87"/>
        <v>1188</v>
      </c>
      <c r="B1189" s="171" t="s">
        <v>395</v>
      </c>
      <c r="C1189" s="171" t="str">
        <f>VLOOKUP(B1189,MEMBERS!B:C,2, )</f>
        <v>BAHRIA INTERNATIONAL HOSPITAL</v>
      </c>
      <c r="D1189" s="326">
        <v>46013</v>
      </c>
      <c r="E1189" s="178">
        <v>30</v>
      </c>
      <c r="F1189" s="171" t="s">
        <v>775</v>
      </c>
      <c r="G1189" s="168">
        <f>IFERROR(VLOOKUP(F1189,'menu list'!B:C,2,FALSE)*E1189,"0")</f>
        <v>3000</v>
      </c>
      <c r="H1189" s="337"/>
      <c r="I1189" s="168">
        <f t="shared" si="84"/>
        <v>3000</v>
      </c>
    </row>
    <row r="1190" spans="1:9" ht="13.2">
      <c r="A1190" s="170">
        <f t="shared" si="87"/>
        <v>1189</v>
      </c>
      <c r="B1190" s="171" t="s">
        <v>1053</v>
      </c>
      <c r="C1190" s="171" t="str">
        <f>VLOOKUP(B1190,MEMBERS!B:C,2, )</f>
        <v>MR. ZAMIR ALI SHAH</v>
      </c>
      <c r="D1190" s="326">
        <v>46013</v>
      </c>
      <c r="E1190" s="178">
        <v>3</v>
      </c>
      <c r="F1190" s="171" t="s">
        <v>846</v>
      </c>
      <c r="G1190" s="168">
        <f>IFERROR(VLOOKUP(F1190,'menu list'!B:C,2,FALSE)*E1190,"0")</f>
        <v>3750</v>
      </c>
      <c r="H1190" s="337">
        <f t="shared" si="83"/>
        <v>562.5</v>
      </c>
      <c r="I1190" s="168">
        <f t="shared" si="84"/>
        <v>4312.5</v>
      </c>
    </row>
    <row r="1191" spans="1:9" ht="13.2">
      <c r="A1191" s="170">
        <f t="shared" si="87"/>
        <v>1190</v>
      </c>
      <c r="B1191" s="171" t="s">
        <v>1053</v>
      </c>
      <c r="C1191" s="171" t="str">
        <f>VLOOKUP(B1191,MEMBERS!B:C,2, )</f>
        <v>MR. ZAMIR ALI SHAH</v>
      </c>
      <c r="D1191" s="326">
        <v>46013</v>
      </c>
      <c r="E1191" s="178">
        <v>2</v>
      </c>
      <c r="F1191" s="171" t="s">
        <v>500</v>
      </c>
      <c r="G1191" s="168">
        <f>IFERROR(VLOOKUP(F1191,'menu list'!B:C,2,FALSE)*E1191,"0")</f>
        <v>2500</v>
      </c>
      <c r="H1191" s="337">
        <f t="shared" si="83"/>
        <v>375</v>
      </c>
      <c r="I1191" s="168">
        <f t="shared" si="84"/>
        <v>2875</v>
      </c>
    </row>
    <row r="1192" spans="1:9" ht="13.2">
      <c r="A1192" s="170">
        <f t="shared" si="87"/>
        <v>1191</v>
      </c>
      <c r="B1192" s="171" t="s">
        <v>1053</v>
      </c>
      <c r="C1192" s="171" t="str">
        <f>VLOOKUP(B1192,MEMBERS!B:C,2, )</f>
        <v>MR. ZAMIR ALI SHAH</v>
      </c>
      <c r="D1192" s="326">
        <v>46013</v>
      </c>
      <c r="E1192" s="178">
        <v>1</v>
      </c>
      <c r="F1192" s="171" t="s">
        <v>440</v>
      </c>
      <c r="G1192" s="168">
        <f>IFERROR(VLOOKUP(F1192,'menu list'!B:C,2,FALSE)*E1192,"0")</f>
        <v>150</v>
      </c>
      <c r="H1192" s="337">
        <f t="shared" si="83"/>
        <v>22.5</v>
      </c>
      <c r="I1192" s="168">
        <f t="shared" si="84"/>
        <v>172.5</v>
      </c>
    </row>
    <row r="1193" spans="1:9" ht="13.2">
      <c r="A1193" s="170">
        <f t="shared" si="87"/>
        <v>1192</v>
      </c>
      <c r="B1193" s="171" t="s">
        <v>1053</v>
      </c>
      <c r="C1193" s="171" t="str">
        <f>VLOOKUP(B1193,MEMBERS!B:C,2, )</f>
        <v>MR. ZAMIR ALI SHAH</v>
      </c>
      <c r="D1193" s="326">
        <v>46013</v>
      </c>
      <c r="E1193" s="178">
        <v>3</v>
      </c>
      <c r="F1193" s="171" t="s">
        <v>498</v>
      </c>
      <c r="G1193" s="168">
        <f>IFERROR(VLOOKUP(F1193,'menu list'!B:C,2,FALSE)*E1193,"0")</f>
        <v>600</v>
      </c>
      <c r="H1193" s="337">
        <f t="shared" si="83"/>
        <v>90</v>
      </c>
      <c r="I1193" s="168">
        <f t="shared" si="84"/>
        <v>690</v>
      </c>
    </row>
    <row r="1194" spans="1:9" ht="13.2">
      <c r="A1194" s="170">
        <f t="shared" si="87"/>
        <v>1193</v>
      </c>
      <c r="B1194" s="171" t="s">
        <v>1053</v>
      </c>
      <c r="C1194" s="171" t="str">
        <f>VLOOKUP(B1194,MEMBERS!B:C,2, )</f>
        <v>MR. ZAMIR ALI SHAH</v>
      </c>
      <c r="D1194" s="326">
        <v>46013</v>
      </c>
      <c r="E1194" s="178">
        <v>2</v>
      </c>
      <c r="F1194" s="171" t="s">
        <v>499</v>
      </c>
      <c r="G1194" s="168">
        <f>IFERROR(VLOOKUP(F1194,'menu list'!B:C,2,FALSE)*E1194,"0")</f>
        <v>200</v>
      </c>
      <c r="H1194" s="337">
        <f t="shared" si="83"/>
        <v>30</v>
      </c>
      <c r="I1194" s="168">
        <f t="shared" si="84"/>
        <v>230</v>
      </c>
    </row>
    <row r="1195" spans="1:9" ht="13.2">
      <c r="A1195" s="170">
        <f t="shared" si="87"/>
        <v>1194</v>
      </c>
      <c r="B1195" s="171" t="s">
        <v>268</v>
      </c>
      <c r="C1195" s="171" t="str">
        <f>VLOOKUP(B1195,MEMBERS!B:C,2, )</f>
        <v>DGM AMJAD ALI SHAIKH</v>
      </c>
      <c r="D1195" s="326">
        <v>46013</v>
      </c>
      <c r="E1195" s="178">
        <v>1</v>
      </c>
      <c r="F1195" s="171" t="s">
        <v>897</v>
      </c>
      <c r="G1195" s="168">
        <f>IFERROR(VLOOKUP(F1195,'menu list'!B:C,2,FALSE)*E1195,"0")</f>
        <v>950</v>
      </c>
      <c r="H1195" s="337">
        <f t="shared" si="83"/>
        <v>142.5</v>
      </c>
      <c r="I1195" s="168">
        <f t="shared" si="84"/>
        <v>1092.5</v>
      </c>
    </row>
    <row r="1196" spans="1:9" ht="13.2">
      <c r="A1196" s="170">
        <f t="shared" si="87"/>
        <v>1195</v>
      </c>
      <c r="B1196" s="171" t="s">
        <v>268</v>
      </c>
      <c r="C1196" s="171" t="str">
        <f>VLOOKUP(B1196,MEMBERS!B:C,2, )</f>
        <v>DGM AMJAD ALI SHAIKH</v>
      </c>
      <c r="D1196" s="326">
        <v>46013</v>
      </c>
      <c r="E1196" s="178">
        <v>1</v>
      </c>
      <c r="F1196" s="171" t="s">
        <v>852</v>
      </c>
      <c r="G1196" s="168">
        <f>IFERROR(VLOOKUP(F1196,'menu list'!B:C,2,FALSE)*E1196,"0")</f>
        <v>850</v>
      </c>
      <c r="H1196" s="337">
        <f t="shared" si="83"/>
        <v>127.5</v>
      </c>
      <c r="I1196" s="168">
        <f t="shared" si="84"/>
        <v>977.5</v>
      </c>
    </row>
    <row r="1197" spans="1:9" ht="13.2">
      <c r="A1197" s="170">
        <f t="shared" si="87"/>
        <v>1196</v>
      </c>
      <c r="B1197" s="171" t="s">
        <v>187</v>
      </c>
      <c r="C1197" s="171" t="str">
        <f>VLOOKUP(B1197,MEMBERS!B:C,2, )</f>
        <v>MR.SHAN ELAHI SEHGAL</v>
      </c>
      <c r="D1197" s="326">
        <v>46013</v>
      </c>
      <c r="E1197" s="178">
        <v>1</v>
      </c>
      <c r="F1197" s="171" t="s">
        <v>497</v>
      </c>
      <c r="G1197" s="168">
        <f>IFERROR(VLOOKUP(F1197,'menu list'!B:C,2,FALSE)*E1197,"0")</f>
        <v>250</v>
      </c>
      <c r="H1197" s="337">
        <f t="shared" si="83"/>
        <v>37.5</v>
      </c>
      <c r="I1197" s="168">
        <f t="shared" si="84"/>
        <v>287.5</v>
      </c>
    </row>
    <row r="1198" spans="1:9" ht="13.2">
      <c r="A1198" s="170">
        <f t="shared" si="87"/>
        <v>1197</v>
      </c>
      <c r="B1198" s="171" t="s">
        <v>187</v>
      </c>
      <c r="C1198" s="171" t="str">
        <f>VLOOKUP(B1198,MEMBERS!B:C,2, )</f>
        <v>MR.SHAN ELAHI SEHGAL</v>
      </c>
      <c r="D1198" s="326">
        <v>46013</v>
      </c>
      <c r="E1198" s="178">
        <v>1</v>
      </c>
      <c r="F1198" s="171" t="s">
        <v>499</v>
      </c>
      <c r="G1198" s="168">
        <f>IFERROR(VLOOKUP(F1198,'menu list'!B:C,2,FALSE)*E1198,"0")</f>
        <v>100</v>
      </c>
      <c r="H1198" s="337">
        <f t="shared" si="83"/>
        <v>15</v>
      </c>
      <c r="I1198" s="168">
        <f t="shared" si="84"/>
        <v>115</v>
      </c>
    </row>
    <row r="1199" spans="1:9" ht="13.2">
      <c r="A1199" s="170">
        <f t="shared" si="87"/>
        <v>1198</v>
      </c>
      <c r="B1199" s="171" t="s">
        <v>1053</v>
      </c>
      <c r="C1199" s="171" t="str">
        <f>VLOOKUP(B1199,MEMBERS!B:C,2, )</f>
        <v>MR. ZAMIR ALI SHAH</v>
      </c>
      <c r="D1199" s="326">
        <v>46013</v>
      </c>
      <c r="E1199" s="178">
        <v>12</v>
      </c>
      <c r="F1199" s="171" t="s">
        <v>442</v>
      </c>
      <c r="G1199" s="168">
        <f>IFERROR(VLOOKUP(F1199,'menu list'!B:C,2,FALSE)*E1199,"0")</f>
        <v>1800</v>
      </c>
      <c r="H1199" s="337">
        <f t="shared" si="83"/>
        <v>270</v>
      </c>
      <c r="I1199" s="168">
        <f t="shared" si="84"/>
        <v>2070</v>
      </c>
    </row>
    <row r="1200" spans="1:9" ht="13.2">
      <c r="A1200" s="170">
        <f t="shared" si="87"/>
        <v>1199</v>
      </c>
      <c r="B1200" s="171" t="s">
        <v>1053</v>
      </c>
      <c r="C1200" s="171" t="str">
        <f>VLOOKUP(B1200,MEMBERS!B:C,2, )</f>
        <v>MR. ZAMIR ALI SHAH</v>
      </c>
      <c r="D1200" s="326">
        <v>46013</v>
      </c>
      <c r="E1200" s="178">
        <v>2</v>
      </c>
      <c r="F1200" s="171" t="s">
        <v>766</v>
      </c>
      <c r="G1200" s="168">
        <f>IFERROR(VLOOKUP(F1200,'menu list'!B:C,2,FALSE)*E1200,"0")</f>
        <v>1100</v>
      </c>
      <c r="H1200" s="337">
        <f t="shared" si="83"/>
        <v>165</v>
      </c>
      <c r="I1200" s="168">
        <f t="shared" si="84"/>
        <v>1265</v>
      </c>
    </row>
    <row r="1201" spans="1:9" ht="13.2">
      <c r="A1201" s="170">
        <f t="shared" si="87"/>
        <v>1200</v>
      </c>
      <c r="B1201" s="171" t="s">
        <v>1053</v>
      </c>
      <c r="C1201" s="171" t="str">
        <f>VLOOKUP(B1201,MEMBERS!B:C,2, )</f>
        <v>MR. ZAMIR ALI SHAH</v>
      </c>
      <c r="D1201" s="326">
        <v>46013</v>
      </c>
      <c r="E1201" s="178">
        <v>2</v>
      </c>
      <c r="F1201" s="171" t="s">
        <v>633</v>
      </c>
      <c r="G1201" s="168">
        <f>IFERROR(VLOOKUP(F1201,'menu list'!B:C,2,FALSE)*E1201,"0")</f>
        <v>1400</v>
      </c>
      <c r="H1201" s="337">
        <f t="shared" si="83"/>
        <v>210</v>
      </c>
      <c r="I1201" s="168">
        <f t="shared" si="84"/>
        <v>1610</v>
      </c>
    </row>
    <row r="1202" spans="1:9" ht="13.2">
      <c r="A1202" s="170">
        <f t="shared" si="87"/>
        <v>1201</v>
      </c>
      <c r="B1202" s="171" t="s">
        <v>1053</v>
      </c>
      <c r="C1202" s="171" t="str">
        <f>VLOOKUP(B1202,MEMBERS!B:C,2, )</f>
        <v>MR. ZAMIR ALI SHAH</v>
      </c>
      <c r="D1202" s="326">
        <v>46013</v>
      </c>
      <c r="E1202" s="178">
        <v>1</v>
      </c>
      <c r="F1202" s="171" t="s">
        <v>519</v>
      </c>
      <c r="G1202" s="168">
        <f>IFERROR(VLOOKUP(F1202,'menu list'!B:C,2,FALSE)*E1202,"0")</f>
        <v>999</v>
      </c>
      <c r="H1202" s="337">
        <f t="shared" si="83"/>
        <v>149.85</v>
      </c>
      <c r="I1202" s="168">
        <f t="shared" si="84"/>
        <v>1148.8499999999999</v>
      </c>
    </row>
    <row r="1203" spans="1:9" ht="13.2">
      <c r="A1203" s="170">
        <f t="shared" si="87"/>
        <v>1202</v>
      </c>
      <c r="B1203" s="171" t="s">
        <v>1053</v>
      </c>
      <c r="C1203" s="171" t="str">
        <f>VLOOKUP(B1203,MEMBERS!B:C,2, )</f>
        <v>MR. ZAMIR ALI SHAH</v>
      </c>
      <c r="D1203" s="326">
        <v>46013</v>
      </c>
      <c r="E1203" s="178">
        <v>1</v>
      </c>
      <c r="F1203" s="171" t="s">
        <v>440</v>
      </c>
      <c r="G1203" s="168">
        <f>IFERROR(VLOOKUP(F1203,'menu list'!B:C,2,FALSE)*E1203,"0")</f>
        <v>150</v>
      </c>
      <c r="H1203" s="337">
        <f t="shared" si="83"/>
        <v>22.5</v>
      </c>
      <c r="I1203" s="168">
        <f t="shared" si="84"/>
        <v>172.5</v>
      </c>
    </row>
    <row r="1204" spans="1:9" ht="13.2">
      <c r="A1204" s="170">
        <f t="shared" si="87"/>
        <v>1203</v>
      </c>
      <c r="B1204" s="171" t="s">
        <v>376</v>
      </c>
      <c r="C1204" s="171" t="str">
        <f>VLOOKUP(B1204,MEMBERS!B:C,2, )</f>
        <v>KHURRAM FIRDOUS</v>
      </c>
      <c r="D1204" s="326">
        <v>46013</v>
      </c>
      <c r="E1204" s="178">
        <v>1</v>
      </c>
      <c r="F1204" s="171" t="s">
        <v>500</v>
      </c>
      <c r="G1204" s="168">
        <f>IFERROR(VLOOKUP(F1204,'menu list'!B:C,2,FALSE)*E1204,"0")</f>
        <v>1250</v>
      </c>
      <c r="H1204" s="337">
        <f t="shared" si="83"/>
        <v>187.5</v>
      </c>
      <c r="I1204" s="168">
        <f t="shared" si="84"/>
        <v>1437.5</v>
      </c>
    </row>
    <row r="1205" spans="1:9" ht="13.2">
      <c r="A1205" s="170">
        <f t="shared" si="87"/>
        <v>1204</v>
      </c>
      <c r="B1205" s="171" t="s">
        <v>376</v>
      </c>
      <c r="C1205" s="171" t="str">
        <f>VLOOKUP(B1205,MEMBERS!B:C,2, )</f>
        <v>KHURRAM FIRDOUS</v>
      </c>
      <c r="D1205" s="326">
        <v>46013</v>
      </c>
      <c r="E1205" s="178">
        <v>2</v>
      </c>
      <c r="F1205" s="171" t="s">
        <v>498</v>
      </c>
      <c r="G1205" s="168">
        <f>IFERROR(VLOOKUP(F1205,'menu list'!B:C,2,FALSE)*E1205,"0")</f>
        <v>400</v>
      </c>
      <c r="H1205" s="337">
        <f t="shared" si="83"/>
        <v>60</v>
      </c>
      <c r="I1205" s="168">
        <f t="shared" si="84"/>
        <v>460</v>
      </c>
    </row>
    <row r="1206" spans="1:9" ht="13.2">
      <c r="A1206" s="170">
        <f t="shared" si="87"/>
        <v>1205</v>
      </c>
      <c r="B1206" s="171" t="s">
        <v>98</v>
      </c>
      <c r="C1206" s="171" t="str">
        <f>VLOOKUP(B1206,MEMBERS!B:C,2, )</f>
        <v>MR.HAFEEZ AHMED SIYAL</v>
      </c>
      <c r="D1206" s="326">
        <v>46013</v>
      </c>
      <c r="E1206" s="178">
        <v>1</v>
      </c>
      <c r="F1206" s="171" t="s">
        <v>499</v>
      </c>
      <c r="G1206" s="168">
        <f>IFERROR(VLOOKUP(F1206,'menu list'!B:C,2,FALSE)*E1206,"0")</f>
        <v>100</v>
      </c>
      <c r="H1206" s="337">
        <f t="shared" si="83"/>
        <v>15</v>
      </c>
      <c r="I1206" s="168">
        <f t="shared" si="84"/>
        <v>115</v>
      </c>
    </row>
    <row r="1207" spans="1:9" ht="13.2">
      <c r="A1207" s="170">
        <f t="shared" si="87"/>
        <v>1206</v>
      </c>
      <c r="B1207" s="171" t="s">
        <v>1053</v>
      </c>
      <c r="C1207" s="171" t="str">
        <f>VLOOKUP(B1207,MEMBERS!B:C,2, )</f>
        <v>MR. ZAMIR ALI SHAH</v>
      </c>
      <c r="D1207" s="326">
        <v>46013</v>
      </c>
      <c r="E1207" s="178">
        <v>2</v>
      </c>
      <c r="F1207" s="171" t="s">
        <v>500</v>
      </c>
      <c r="G1207" s="168">
        <f>IFERROR(VLOOKUP(F1207,'menu list'!B:C,2,FALSE)*E1207,"0")</f>
        <v>2500</v>
      </c>
      <c r="H1207" s="337">
        <f t="shared" si="83"/>
        <v>375</v>
      </c>
      <c r="I1207" s="168">
        <f t="shared" si="84"/>
        <v>2875</v>
      </c>
    </row>
    <row r="1208" spans="1:9" ht="13.2">
      <c r="A1208" s="170">
        <f t="shared" si="87"/>
        <v>1207</v>
      </c>
      <c r="B1208" s="171" t="s">
        <v>1053</v>
      </c>
      <c r="C1208" s="171" t="str">
        <f>VLOOKUP(B1208,MEMBERS!B:C,2, )</f>
        <v>MR. ZAMIR ALI SHAH</v>
      </c>
      <c r="D1208" s="326">
        <v>46013</v>
      </c>
      <c r="E1208" s="178">
        <v>3</v>
      </c>
      <c r="F1208" s="171" t="s">
        <v>633</v>
      </c>
      <c r="G1208" s="168">
        <f>IFERROR(VLOOKUP(F1208,'menu list'!B:C,2,FALSE)*E1208,"0")</f>
        <v>2100</v>
      </c>
      <c r="H1208" s="337">
        <f t="shared" si="83"/>
        <v>315</v>
      </c>
      <c r="I1208" s="168">
        <f t="shared" si="84"/>
        <v>2415</v>
      </c>
    </row>
    <row r="1209" spans="1:9" ht="13.2">
      <c r="A1209" s="170">
        <f t="shared" si="87"/>
        <v>1208</v>
      </c>
      <c r="B1209" s="171" t="s">
        <v>1053</v>
      </c>
      <c r="C1209" s="171" t="str">
        <f>VLOOKUP(B1209,MEMBERS!B:C,2, )</f>
        <v>MR. ZAMIR ALI SHAH</v>
      </c>
      <c r="D1209" s="326">
        <v>46013</v>
      </c>
      <c r="E1209" s="178">
        <v>1</v>
      </c>
      <c r="F1209" s="171" t="s">
        <v>803</v>
      </c>
      <c r="G1209" s="168">
        <f>IFERROR(VLOOKUP(F1209,'menu list'!B:C,2,FALSE)*E1209,"0")</f>
        <v>250</v>
      </c>
      <c r="H1209" s="337">
        <f t="shared" si="83"/>
        <v>37.5</v>
      </c>
      <c r="I1209" s="168">
        <f t="shared" si="84"/>
        <v>287.5</v>
      </c>
    </row>
    <row r="1210" spans="1:9" ht="13.2">
      <c r="A1210" s="170">
        <f t="shared" si="87"/>
        <v>1209</v>
      </c>
      <c r="B1210" s="171" t="s">
        <v>1053</v>
      </c>
      <c r="C1210" s="171" t="str">
        <f>VLOOKUP(B1210,MEMBERS!B:C,2, )</f>
        <v>MR. ZAMIR ALI SHAH</v>
      </c>
      <c r="D1210" s="326">
        <v>46013</v>
      </c>
      <c r="E1210" s="178">
        <v>6</v>
      </c>
      <c r="F1210" s="171" t="s">
        <v>442</v>
      </c>
      <c r="G1210" s="168">
        <f>IFERROR(VLOOKUP(F1210,'menu list'!B:C,2,FALSE)*E1210,"0")</f>
        <v>900</v>
      </c>
      <c r="H1210" s="337">
        <f t="shared" si="83"/>
        <v>135</v>
      </c>
      <c r="I1210" s="168">
        <f t="shared" si="84"/>
        <v>1035</v>
      </c>
    </row>
    <row r="1211" spans="1:9" ht="13.2">
      <c r="A1211" s="170">
        <f t="shared" si="87"/>
        <v>1210</v>
      </c>
      <c r="B1211" s="171" t="s">
        <v>1053</v>
      </c>
      <c r="C1211" s="171" t="str">
        <f>VLOOKUP(B1211,MEMBERS!B:C,2, )</f>
        <v>MR. ZAMIR ALI SHAH</v>
      </c>
      <c r="D1211" s="326">
        <v>46013</v>
      </c>
      <c r="E1211" s="178">
        <v>1</v>
      </c>
      <c r="F1211" s="171" t="s">
        <v>440</v>
      </c>
      <c r="G1211" s="168">
        <f>IFERROR(VLOOKUP(F1211,'menu list'!B:C,2,FALSE)*E1211,"0")</f>
        <v>150</v>
      </c>
      <c r="H1211" s="337">
        <f t="shared" si="83"/>
        <v>22.5</v>
      </c>
      <c r="I1211" s="168">
        <f t="shared" si="84"/>
        <v>172.5</v>
      </c>
    </row>
    <row r="1212" spans="1:9" ht="13.2">
      <c r="A1212" s="170">
        <f t="shared" si="87"/>
        <v>1211</v>
      </c>
      <c r="B1212" s="171" t="s">
        <v>385</v>
      </c>
      <c r="C1212" s="171" t="str">
        <f>VLOOKUP(B1212,MEMBERS!B:C,2, )</f>
        <v>AYSM MIRZA</v>
      </c>
      <c r="D1212" s="326">
        <v>46013</v>
      </c>
      <c r="E1212" s="178">
        <v>2</v>
      </c>
      <c r="F1212" s="171" t="s">
        <v>786</v>
      </c>
      <c r="G1212" s="168">
        <f>IFERROR(VLOOKUP(F1212,'menu list'!B:C,2,FALSE)*E1212,"0")</f>
        <v>2300</v>
      </c>
      <c r="H1212" s="337">
        <f t="shared" si="83"/>
        <v>345</v>
      </c>
      <c r="I1212" s="168">
        <f t="shared" si="84"/>
        <v>2645</v>
      </c>
    </row>
    <row r="1213" spans="1:9" ht="13.2">
      <c r="A1213" s="170">
        <f t="shared" si="87"/>
        <v>1212</v>
      </c>
      <c r="B1213" s="171" t="s">
        <v>385</v>
      </c>
      <c r="C1213" s="171" t="str">
        <f>VLOOKUP(B1213,MEMBERS!B:C,2, )</f>
        <v>AYSM MIRZA</v>
      </c>
      <c r="D1213" s="326">
        <v>46013</v>
      </c>
      <c r="E1213" s="178">
        <v>2</v>
      </c>
      <c r="F1213" s="171" t="s">
        <v>939</v>
      </c>
      <c r="G1213" s="168">
        <f>IFERROR(VLOOKUP(F1213,'menu list'!B:C,2,FALSE)*E1213,"0")</f>
        <v>2400</v>
      </c>
      <c r="H1213" s="337">
        <f t="shared" si="83"/>
        <v>360</v>
      </c>
      <c r="I1213" s="168">
        <f t="shared" si="84"/>
        <v>2760</v>
      </c>
    </row>
    <row r="1214" spans="1:9" ht="13.2">
      <c r="A1214" s="170">
        <f t="shared" ref="A1214:A1222" si="88">IF(D1214&lt;&gt;"", ROW()-1, "")</f>
        <v>1213</v>
      </c>
      <c r="B1214" s="171" t="s">
        <v>385</v>
      </c>
      <c r="C1214" s="171" t="str">
        <f>VLOOKUP(B1214,MEMBERS!B:C,2, )</f>
        <v>AYSM MIRZA</v>
      </c>
      <c r="D1214" s="326">
        <v>46013</v>
      </c>
      <c r="E1214" s="178">
        <v>2</v>
      </c>
      <c r="F1214" s="171" t="s">
        <v>772</v>
      </c>
      <c r="G1214" s="168">
        <f>IFERROR(VLOOKUP(F1214,'menu list'!B:C,2,FALSE)*E1214,"0")</f>
        <v>1800</v>
      </c>
      <c r="H1214" s="337">
        <f t="shared" si="83"/>
        <v>270</v>
      </c>
      <c r="I1214" s="168">
        <f t="shared" si="84"/>
        <v>2070</v>
      </c>
    </row>
    <row r="1215" spans="1:9" ht="13.2">
      <c r="A1215" s="170">
        <f t="shared" si="88"/>
        <v>1214</v>
      </c>
      <c r="B1215" s="171" t="s">
        <v>385</v>
      </c>
      <c r="C1215" s="171" t="str">
        <f>VLOOKUP(B1215,MEMBERS!B:C,2, )</f>
        <v>AYSM MIRZA</v>
      </c>
      <c r="D1215" s="326">
        <v>46013</v>
      </c>
      <c r="E1215" s="178">
        <v>2</v>
      </c>
      <c r="F1215" s="171" t="s">
        <v>1195</v>
      </c>
      <c r="G1215" s="168">
        <f>IFERROR(VLOOKUP(F1215,'menu list'!B:C,2,FALSE)*E1215,"0")</f>
        <v>1998</v>
      </c>
      <c r="H1215" s="337">
        <f t="shared" si="83"/>
        <v>299.7</v>
      </c>
      <c r="I1215" s="168">
        <f t="shared" si="84"/>
        <v>2297.6999999999998</v>
      </c>
    </row>
    <row r="1216" spans="1:9" ht="13.2">
      <c r="A1216" s="170">
        <f t="shared" si="88"/>
        <v>1215</v>
      </c>
      <c r="B1216" s="171" t="s">
        <v>385</v>
      </c>
      <c r="C1216" s="171" t="str">
        <f>VLOOKUP(B1216,MEMBERS!B:C,2, )</f>
        <v>AYSM MIRZA</v>
      </c>
      <c r="D1216" s="326">
        <v>46013</v>
      </c>
      <c r="E1216" s="178">
        <v>1</v>
      </c>
      <c r="F1216" s="171" t="s">
        <v>766</v>
      </c>
      <c r="G1216" s="168">
        <f>IFERROR(VLOOKUP(F1216,'menu list'!B:C,2,FALSE)*E1216,"0")</f>
        <v>550</v>
      </c>
      <c r="H1216" s="337">
        <f t="shared" si="83"/>
        <v>82.5</v>
      </c>
      <c r="I1216" s="168">
        <f t="shared" si="84"/>
        <v>632.5</v>
      </c>
    </row>
    <row r="1217" spans="1:9" ht="13.2">
      <c r="A1217" s="170">
        <f t="shared" si="88"/>
        <v>1216</v>
      </c>
      <c r="B1217" s="171" t="s">
        <v>385</v>
      </c>
      <c r="C1217" s="171" t="str">
        <f>VLOOKUP(B1217,MEMBERS!B:C,2, )</f>
        <v>AYSM MIRZA</v>
      </c>
      <c r="D1217" s="326">
        <v>46013</v>
      </c>
      <c r="E1217" s="178">
        <v>1</v>
      </c>
      <c r="F1217" s="171" t="s">
        <v>802</v>
      </c>
      <c r="G1217" s="168">
        <f>IFERROR(VLOOKUP(F1217,'menu list'!B:C,2,FALSE)*E1217,"0")</f>
        <v>500</v>
      </c>
      <c r="H1217" s="337">
        <f t="shared" si="83"/>
        <v>75</v>
      </c>
      <c r="I1217" s="168">
        <f t="shared" si="84"/>
        <v>575</v>
      </c>
    </row>
    <row r="1218" spans="1:9" ht="13.2">
      <c r="A1218" s="170">
        <f t="shared" si="88"/>
        <v>1217</v>
      </c>
      <c r="B1218" s="171" t="s">
        <v>385</v>
      </c>
      <c r="C1218" s="171" t="str">
        <f>VLOOKUP(B1218,MEMBERS!B:C,2, )</f>
        <v>AYSM MIRZA</v>
      </c>
      <c r="D1218" s="326">
        <v>46013</v>
      </c>
      <c r="E1218" s="178">
        <v>2</v>
      </c>
      <c r="F1218" s="171" t="s">
        <v>634</v>
      </c>
      <c r="G1218" s="168">
        <f>IFERROR(VLOOKUP(F1218,'menu list'!B:C,2,FALSE)*E1218,"0")</f>
        <v>1000</v>
      </c>
      <c r="H1218" s="337">
        <f t="shared" ref="H1218:H1222" si="89">G1218*15/100</f>
        <v>150</v>
      </c>
      <c r="I1218" s="168">
        <f t="shared" si="84"/>
        <v>1150</v>
      </c>
    </row>
    <row r="1219" spans="1:9" ht="13.2">
      <c r="A1219" s="170">
        <f t="shared" si="88"/>
        <v>1218</v>
      </c>
      <c r="B1219" s="171" t="s">
        <v>385</v>
      </c>
      <c r="C1219" s="171" t="str">
        <f>VLOOKUP(B1219,MEMBERS!B:C,2, )</f>
        <v>AYSM MIRZA</v>
      </c>
      <c r="D1219" s="326">
        <v>46013</v>
      </c>
      <c r="E1219" s="178">
        <v>2</v>
      </c>
      <c r="F1219" s="171" t="s">
        <v>440</v>
      </c>
      <c r="G1219" s="168">
        <f>IFERROR(VLOOKUP(F1219,'menu list'!B:C,2,FALSE)*E1219,"0")</f>
        <v>300</v>
      </c>
      <c r="H1219" s="337">
        <f t="shared" si="89"/>
        <v>45</v>
      </c>
      <c r="I1219" s="168">
        <f t="shared" ref="I1219:I1252" si="90">G1219+H1219</f>
        <v>345</v>
      </c>
    </row>
    <row r="1220" spans="1:9" ht="13.2">
      <c r="A1220" s="170">
        <f t="shared" si="88"/>
        <v>1219</v>
      </c>
      <c r="B1220" s="171" t="s">
        <v>385</v>
      </c>
      <c r="C1220" s="171" t="str">
        <f>VLOOKUP(B1220,MEMBERS!B:C,2, )</f>
        <v>AYSM MIRZA</v>
      </c>
      <c r="D1220" s="326">
        <v>46013</v>
      </c>
      <c r="E1220" s="178">
        <v>4</v>
      </c>
      <c r="F1220" s="171" t="s">
        <v>925</v>
      </c>
      <c r="G1220" s="168">
        <f>IFERROR(VLOOKUP(F1220,'menu list'!B:C,2,FALSE)*E1220,"0")</f>
        <v>1596</v>
      </c>
      <c r="H1220" s="337">
        <f t="shared" si="89"/>
        <v>239.4</v>
      </c>
      <c r="I1220" s="168">
        <f t="shared" si="90"/>
        <v>1835.4</v>
      </c>
    </row>
    <row r="1221" spans="1:9" ht="13.2">
      <c r="A1221" s="170">
        <f t="shared" si="88"/>
        <v>1220</v>
      </c>
      <c r="B1221" s="171" t="s">
        <v>385</v>
      </c>
      <c r="C1221" s="171" t="str">
        <f>VLOOKUP(B1221,MEMBERS!B:C,2, )</f>
        <v>AYSM MIRZA</v>
      </c>
      <c r="D1221" s="326">
        <v>46013</v>
      </c>
      <c r="E1221" s="178">
        <v>1</v>
      </c>
      <c r="F1221" s="171" t="s">
        <v>442</v>
      </c>
      <c r="G1221" s="168">
        <f>IFERROR(VLOOKUP(F1221,'menu list'!B:C,2,FALSE)*E1221,"0")</f>
        <v>150</v>
      </c>
      <c r="H1221" s="337">
        <f t="shared" si="89"/>
        <v>22.5</v>
      </c>
      <c r="I1221" s="168">
        <f t="shared" si="90"/>
        <v>172.5</v>
      </c>
    </row>
    <row r="1222" spans="1:9" ht="13.2">
      <c r="A1222" s="170">
        <f t="shared" si="88"/>
        <v>1221</v>
      </c>
      <c r="B1222" s="171" t="s">
        <v>306</v>
      </c>
      <c r="C1222" s="171" t="str">
        <f>VLOOKUP(B1222,MEMBERS!B:C,2, )</f>
        <v>BRIG.KHALID MEHMOOD</v>
      </c>
      <c r="D1222" s="326">
        <v>46014</v>
      </c>
      <c r="E1222" s="178">
        <v>20</v>
      </c>
      <c r="F1222" s="171" t="s">
        <v>653</v>
      </c>
      <c r="G1222" s="168">
        <f>IFERROR(VLOOKUP(F1222,'menu list'!B:C,2,FALSE)*E1222,"0")</f>
        <v>7000</v>
      </c>
      <c r="H1222" s="337">
        <f t="shared" si="89"/>
        <v>1050</v>
      </c>
      <c r="I1222" s="168">
        <f t="shared" si="90"/>
        <v>8050</v>
      </c>
    </row>
    <row r="1223" spans="1:9" ht="13.2">
      <c r="A1223" s="170">
        <f t="shared" ref="A1223:A1252" si="91">IF(D1223&lt;&gt;"", ROW()-1, "")</f>
        <v>1222</v>
      </c>
      <c r="B1223" s="171" t="s">
        <v>306</v>
      </c>
      <c r="C1223" s="171" t="str">
        <f>VLOOKUP(B1223,MEMBERS!B:C,2, )</f>
        <v>BRIG.KHALID MEHMOOD</v>
      </c>
      <c r="D1223" s="326">
        <v>46014</v>
      </c>
      <c r="E1223" s="178">
        <v>7</v>
      </c>
      <c r="F1223" s="171" t="s">
        <v>560</v>
      </c>
      <c r="G1223" s="168">
        <f>IFERROR(VLOOKUP(F1223,'menu list'!B:C,2,FALSE)*E1223,"0")</f>
        <v>2100</v>
      </c>
      <c r="H1223" s="337">
        <f t="shared" ref="H1223:H1252" si="92">G1223*15/100</f>
        <v>315</v>
      </c>
      <c r="I1223" s="168">
        <f t="shared" si="90"/>
        <v>2415</v>
      </c>
    </row>
    <row r="1224" spans="1:9" ht="13.2">
      <c r="A1224" s="170">
        <f t="shared" si="91"/>
        <v>1223</v>
      </c>
      <c r="B1224" s="171" t="s">
        <v>306</v>
      </c>
      <c r="C1224" s="171" t="str">
        <f>VLOOKUP(B1224,MEMBERS!B:C,2, )</f>
        <v>BRIG.KHALID MEHMOOD</v>
      </c>
      <c r="D1224" s="326">
        <v>46014</v>
      </c>
      <c r="E1224" s="178">
        <v>7</v>
      </c>
      <c r="F1224" s="171" t="s">
        <v>910</v>
      </c>
      <c r="G1224" s="168">
        <f>IFERROR(VLOOKUP(F1224,'menu list'!B:C,2,FALSE)*E1224,"0")</f>
        <v>2100</v>
      </c>
      <c r="H1224" s="337">
        <f t="shared" si="92"/>
        <v>315</v>
      </c>
      <c r="I1224" s="168">
        <f t="shared" si="90"/>
        <v>2415</v>
      </c>
    </row>
    <row r="1225" spans="1:9" ht="13.2">
      <c r="A1225" s="170">
        <f t="shared" si="91"/>
        <v>1224</v>
      </c>
      <c r="B1225" s="171" t="s">
        <v>306</v>
      </c>
      <c r="C1225" s="171" t="str">
        <f>VLOOKUP(B1225,MEMBERS!B:C,2, )</f>
        <v>BRIG.KHALID MEHMOOD</v>
      </c>
      <c r="D1225" s="326">
        <v>46014</v>
      </c>
      <c r="E1225" s="178">
        <v>7</v>
      </c>
      <c r="F1225" s="171" t="s">
        <v>785</v>
      </c>
      <c r="G1225" s="168">
        <f>IFERROR(VLOOKUP(F1225,'menu list'!B:C,2,FALSE)*E1225,"0")</f>
        <v>6650</v>
      </c>
      <c r="H1225" s="337">
        <f t="shared" si="92"/>
        <v>997.5</v>
      </c>
      <c r="I1225" s="168">
        <f t="shared" si="90"/>
        <v>7647.5</v>
      </c>
    </row>
    <row r="1226" spans="1:9" ht="13.2">
      <c r="A1226" s="170">
        <f t="shared" si="91"/>
        <v>1225</v>
      </c>
      <c r="B1226" s="171" t="s">
        <v>306</v>
      </c>
      <c r="C1226" s="171" t="str">
        <f>VLOOKUP(B1226,MEMBERS!B:C,2, )</f>
        <v>BRIG.KHALID MEHMOOD</v>
      </c>
      <c r="D1226" s="326">
        <v>46014</v>
      </c>
      <c r="E1226" s="178">
        <v>8</v>
      </c>
      <c r="F1226" s="171" t="s">
        <v>711</v>
      </c>
      <c r="G1226" s="168">
        <f>IFERROR(VLOOKUP(F1226,'menu list'!B:C,2,FALSE)*E1226,"0")</f>
        <v>6800</v>
      </c>
      <c r="H1226" s="337">
        <f t="shared" si="92"/>
        <v>1020</v>
      </c>
      <c r="I1226" s="168">
        <f t="shared" si="90"/>
        <v>7820</v>
      </c>
    </row>
    <row r="1227" spans="1:9" ht="13.2">
      <c r="A1227" s="170">
        <f t="shared" si="91"/>
        <v>1226</v>
      </c>
      <c r="B1227" s="171" t="s">
        <v>306</v>
      </c>
      <c r="C1227" s="171" t="str">
        <f>VLOOKUP(B1227,MEMBERS!B:C,2, )</f>
        <v>BRIG.KHALID MEHMOOD</v>
      </c>
      <c r="D1227" s="326">
        <v>46014</v>
      </c>
      <c r="E1227" s="178">
        <v>7</v>
      </c>
      <c r="F1227" s="171" t="s">
        <v>718</v>
      </c>
      <c r="G1227" s="168">
        <f>IFERROR(VLOOKUP(F1227,'menu list'!B:C,2,FALSE)*E1227,"0")</f>
        <v>5600</v>
      </c>
      <c r="H1227" s="337">
        <f t="shared" si="92"/>
        <v>840</v>
      </c>
      <c r="I1227" s="168">
        <f t="shared" si="90"/>
        <v>6440</v>
      </c>
    </row>
    <row r="1228" spans="1:9" ht="13.2">
      <c r="A1228" s="170">
        <f t="shared" si="91"/>
        <v>1227</v>
      </c>
      <c r="B1228" s="171" t="s">
        <v>306</v>
      </c>
      <c r="C1228" s="171" t="str">
        <f>VLOOKUP(B1228,MEMBERS!B:C,2, )</f>
        <v>BRIG.KHALID MEHMOOD</v>
      </c>
      <c r="D1228" s="326">
        <v>46014</v>
      </c>
      <c r="E1228" s="178">
        <v>8</v>
      </c>
      <c r="F1228" s="171" t="s">
        <v>811</v>
      </c>
      <c r="G1228" s="168">
        <f>IFERROR(VLOOKUP(F1228,'menu list'!B:C,2,FALSE)*E1228,"0")</f>
        <v>11600</v>
      </c>
      <c r="H1228" s="337">
        <f t="shared" si="92"/>
        <v>1740</v>
      </c>
      <c r="I1228" s="168">
        <f t="shared" si="90"/>
        <v>13340</v>
      </c>
    </row>
    <row r="1229" spans="1:9" ht="13.2">
      <c r="A1229" s="170">
        <f t="shared" si="91"/>
        <v>1228</v>
      </c>
      <c r="B1229" s="171" t="s">
        <v>306</v>
      </c>
      <c r="C1229" s="171" t="str">
        <f>VLOOKUP(B1229,MEMBERS!B:C,2, )</f>
        <v>BRIG.KHALID MEHMOOD</v>
      </c>
      <c r="D1229" s="326">
        <v>46014</v>
      </c>
      <c r="E1229" s="178">
        <v>21</v>
      </c>
      <c r="F1229" s="171" t="s">
        <v>926</v>
      </c>
      <c r="G1229" s="168">
        <f>IFERROR(VLOOKUP(F1229,'menu list'!B:C,2,FALSE)*E1229,"0")</f>
        <v>4620</v>
      </c>
      <c r="H1229" s="337">
        <f t="shared" si="92"/>
        <v>693</v>
      </c>
      <c r="I1229" s="168">
        <f t="shared" si="90"/>
        <v>5313</v>
      </c>
    </row>
    <row r="1230" spans="1:9" ht="13.2">
      <c r="A1230" s="170">
        <f t="shared" si="91"/>
        <v>1229</v>
      </c>
      <c r="B1230" s="171" t="s">
        <v>306</v>
      </c>
      <c r="C1230" s="171" t="str">
        <f>VLOOKUP(B1230,MEMBERS!B:C,2, )</f>
        <v>BRIG.KHALID MEHMOOD</v>
      </c>
      <c r="D1230" s="326">
        <v>46014</v>
      </c>
      <c r="E1230" s="178">
        <v>6</v>
      </c>
      <c r="F1230" s="171" t="s">
        <v>440</v>
      </c>
      <c r="G1230" s="168">
        <f>IFERROR(VLOOKUP(F1230,'menu list'!B:C,2,FALSE)*E1230,"0")</f>
        <v>900</v>
      </c>
      <c r="H1230" s="337">
        <f t="shared" si="92"/>
        <v>135</v>
      </c>
      <c r="I1230" s="168">
        <f t="shared" si="90"/>
        <v>1035</v>
      </c>
    </row>
    <row r="1231" spans="1:9" ht="13.2">
      <c r="A1231" s="170">
        <f t="shared" si="91"/>
        <v>1230</v>
      </c>
      <c r="B1231" s="342" t="s">
        <v>306</v>
      </c>
      <c r="C1231" s="171" t="str">
        <f>VLOOKUP(B1231,MEMBERS!B:C,2, )</f>
        <v>BRIG.KHALID MEHMOOD</v>
      </c>
      <c r="D1231" s="326">
        <v>46014</v>
      </c>
      <c r="E1231" s="178">
        <v>20</v>
      </c>
      <c r="F1231" s="171" t="s">
        <v>442</v>
      </c>
      <c r="G1231" s="168">
        <f>IFERROR(VLOOKUP(F1231,'menu list'!B:C,2,FALSE)*E1231,"0")</f>
        <v>3000</v>
      </c>
      <c r="H1231" s="337">
        <f t="shared" si="92"/>
        <v>450</v>
      </c>
      <c r="I1231" s="168">
        <f t="shared" si="90"/>
        <v>3450</v>
      </c>
    </row>
    <row r="1232" spans="1:9" ht="13.2">
      <c r="A1232" s="343">
        <f t="shared" si="91"/>
        <v>1231</v>
      </c>
      <c r="B1232" s="342" t="s">
        <v>454</v>
      </c>
      <c r="C1232" s="344" t="str">
        <f>VLOOKUP(B1232,MEMBERS!B:C,2, )</f>
        <v>Heritage club</v>
      </c>
      <c r="D1232" s="326">
        <v>46014</v>
      </c>
      <c r="E1232" s="178">
        <v>2</v>
      </c>
      <c r="F1232" s="171" t="s">
        <v>440</v>
      </c>
      <c r="G1232" s="168">
        <f>IFERROR(VLOOKUP(F1232,'menu list'!B:C,2,FALSE)*E1232,"0")</f>
        <v>300</v>
      </c>
      <c r="H1232" s="337">
        <f t="shared" si="92"/>
        <v>45</v>
      </c>
      <c r="I1232" s="168">
        <f t="shared" si="90"/>
        <v>345</v>
      </c>
    </row>
    <row r="1233" spans="1:9" ht="13.2">
      <c r="A1233" s="170">
        <f t="shared" si="91"/>
        <v>1232</v>
      </c>
      <c r="B1233" s="342" t="s">
        <v>454</v>
      </c>
      <c r="C1233" s="344" t="str">
        <f>VLOOKUP(B1233,MEMBERS!B:C,2, )</f>
        <v>Heritage club</v>
      </c>
      <c r="D1233" s="326">
        <v>46014</v>
      </c>
      <c r="E1233" s="178">
        <v>1</v>
      </c>
      <c r="F1233" s="171" t="s">
        <v>500</v>
      </c>
      <c r="G1233" s="168">
        <f>IFERROR(VLOOKUP(F1233,'menu list'!B:C,2,FALSE)*E1233,"0")</f>
        <v>1250</v>
      </c>
      <c r="H1233" s="337">
        <f t="shared" si="92"/>
        <v>187.5</v>
      </c>
      <c r="I1233" s="168">
        <f t="shared" si="90"/>
        <v>1437.5</v>
      </c>
    </row>
    <row r="1234" spans="1:9" ht="13.2">
      <c r="A1234" s="170">
        <f t="shared" si="91"/>
        <v>1233</v>
      </c>
      <c r="B1234" s="342" t="s">
        <v>454</v>
      </c>
      <c r="C1234" s="344" t="str">
        <f>VLOOKUP(B1234,MEMBERS!B:C,2, )</f>
        <v>Heritage club</v>
      </c>
      <c r="D1234" s="326">
        <v>46014</v>
      </c>
      <c r="E1234" s="178">
        <v>2</v>
      </c>
      <c r="F1234" s="171" t="s">
        <v>583</v>
      </c>
      <c r="G1234" s="168">
        <f>IFERROR(VLOOKUP(F1234,'menu list'!B:C,2,FALSE)*E1234,"0")</f>
        <v>700</v>
      </c>
      <c r="H1234" s="337">
        <f t="shared" si="92"/>
        <v>105</v>
      </c>
      <c r="I1234" s="168">
        <f t="shared" si="90"/>
        <v>805</v>
      </c>
    </row>
    <row r="1235" spans="1:9" ht="13.2">
      <c r="A1235" s="170">
        <f t="shared" si="91"/>
        <v>1234</v>
      </c>
      <c r="B1235" s="342" t="s">
        <v>454</v>
      </c>
      <c r="C1235" s="344" t="str">
        <f>VLOOKUP(B1235,MEMBERS!B:C,2, )</f>
        <v>Heritage club</v>
      </c>
      <c r="D1235" s="326">
        <v>46014</v>
      </c>
      <c r="E1235" s="178">
        <v>1</v>
      </c>
      <c r="F1235" s="171" t="s">
        <v>853</v>
      </c>
      <c r="G1235" s="168">
        <f>IFERROR(VLOOKUP(F1235,'menu list'!B:C,2,FALSE)*E1235,"0")</f>
        <v>575</v>
      </c>
      <c r="H1235" s="337">
        <f t="shared" si="92"/>
        <v>86.25</v>
      </c>
      <c r="I1235" s="168">
        <f t="shared" si="90"/>
        <v>661.25</v>
      </c>
    </row>
    <row r="1236" spans="1:9" ht="13.2">
      <c r="A1236" s="170">
        <f t="shared" si="91"/>
        <v>1235</v>
      </c>
      <c r="B1236" s="342" t="s">
        <v>454</v>
      </c>
      <c r="C1236" s="344" t="str">
        <f>VLOOKUP(B1236,MEMBERS!B:C,2, )</f>
        <v>Heritage club</v>
      </c>
      <c r="D1236" s="326">
        <v>46014</v>
      </c>
      <c r="E1236" s="178">
        <v>4</v>
      </c>
      <c r="F1236" s="171" t="s">
        <v>664</v>
      </c>
      <c r="G1236" s="168">
        <f>IFERROR(VLOOKUP(F1236,'menu list'!B:C,2,FALSE)*E1236,"0")</f>
        <v>1600</v>
      </c>
      <c r="H1236" s="337">
        <f t="shared" si="92"/>
        <v>240</v>
      </c>
      <c r="I1236" s="168">
        <f t="shared" si="90"/>
        <v>1840</v>
      </c>
    </row>
    <row r="1237" spans="1:9" ht="13.2">
      <c r="A1237" s="170">
        <f t="shared" si="91"/>
        <v>1236</v>
      </c>
      <c r="B1237" s="342" t="s">
        <v>454</v>
      </c>
      <c r="C1237" s="344" t="str">
        <f>VLOOKUP(B1237,MEMBERS!B:C,2, )</f>
        <v>Heritage club</v>
      </c>
      <c r="D1237" s="326">
        <v>46014</v>
      </c>
      <c r="E1237" s="178">
        <v>1</v>
      </c>
      <c r="F1237" s="171" t="s">
        <v>653</v>
      </c>
      <c r="G1237" s="168">
        <f>IFERROR(VLOOKUP(F1237,'menu list'!B:C,2,FALSE)*E1237,"0")</f>
        <v>350</v>
      </c>
      <c r="H1237" s="337">
        <f t="shared" si="92"/>
        <v>52.5</v>
      </c>
      <c r="I1237" s="168">
        <f t="shared" si="90"/>
        <v>402.5</v>
      </c>
    </row>
    <row r="1238" spans="1:9" ht="13.2">
      <c r="A1238" s="170">
        <f t="shared" si="91"/>
        <v>1237</v>
      </c>
      <c r="B1238" s="171" t="s">
        <v>113</v>
      </c>
      <c r="C1238" s="171" t="str">
        <f>VLOOKUP(B1238,MEMBERS!B:C,2, )</f>
        <v>MR.MANOJ KUMAR</v>
      </c>
      <c r="D1238" s="326">
        <v>46014</v>
      </c>
      <c r="E1238" s="178">
        <v>2</v>
      </c>
      <c r="F1238" s="171" t="s">
        <v>440</v>
      </c>
      <c r="G1238" s="168">
        <f>IFERROR(VLOOKUP(F1238,'menu list'!B:C,2,FALSE)*E1238,"0")</f>
        <v>300</v>
      </c>
      <c r="H1238" s="337">
        <f t="shared" si="92"/>
        <v>45</v>
      </c>
      <c r="I1238" s="168">
        <f t="shared" si="90"/>
        <v>345</v>
      </c>
    </row>
    <row r="1239" spans="1:9" ht="13.2">
      <c r="A1239" s="170">
        <f t="shared" si="91"/>
        <v>1238</v>
      </c>
      <c r="B1239" s="171" t="s">
        <v>113</v>
      </c>
      <c r="C1239" s="171" t="str">
        <f>VLOOKUP(B1239,MEMBERS!B:C,2, )</f>
        <v>MR.MANOJ KUMAR</v>
      </c>
      <c r="D1239" s="326">
        <v>46014</v>
      </c>
      <c r="E1239" s="178">
        <v>3</v>
      </c>
      <c r="F1239" s="171" t="s">
        <v>910</v>
      </c>
      <c r="G1239" s="168">
        <f>IFERROR(VLOOKUP(F1239,'menu list'!B:C,2,FALSE)*E1239,"0")</f>
        <v>900</v>
      </c>
      <c r="H1239" s="337">
        <f t="shared" si="92"/>
        <v>135</v>
      </c>
      <c r="I1239" s="168">
        <f t="shared" si="90"/>
        <v>1035</v>
      </c>
    </row>
    <row r="1240" spans="1:9" ht="13.2">
      <c r="A1240" s="170">
        <f t="shared" si="91"/>
        <v>1239</v>
      </c>
      <c r="B1240" s="171" t="s">
        <v>113</v>
      </c>
      <c r="C1240" s="171" t="str">
        <f>VLOOKUP(B1240,MEMBERS!B:C,2, )</f>
        <v>MR.MANOJ KUMAR</v>
      </c>
      <c r="D1240" s="326">
        <v>46014</v>
      </c>
      <c r="E1240" s="178">
        <v>1</v>
      </c>
      <c r="F1240" s="171" t="s">
        <v>826</v>
      </c>
      <c r="G1240" s="168">
        <f>IFERROR(VLOOKUP(F1240,'menu list'!B:C,2,FALSE)*E1240,"0")</f>
        <v>900</v>
      </c>
      <c r="H1240" s="337">
        <f t="shared" si="92"/>
        <v>135</v>
      </c>
      <c r="I1240" s="168">
        <f t="shared" si="90"/>
        <v>1035</v>
      </c>
    </row>
    <row r="1241" spans="1:9" ht="13.2">
      <c r="A1241" s="170">
        <f t="shared" si="91"/>
        <v>1240</v>
      </c>
      <c r="B1241" s="171" t="s">
        <v>113</v>
      </c>
      <c r="C1241" s="171" t="str">
        <f>VLOOKUP(B1241,MEMBERS!B:C,2, )</f>
        <v>MR.MANOJ KUMAR</v>
      </c>
      <c r="D1241" s="326">
        <v>46014</v>
      </c>
      <c r="E1241" s="178">
        <v>1</v>
      </c>
      <c r="F1241" s="171" t="s">
        <v>728</v>
      </c>
      <c r="G1241" s="168">
        <f>IFERROR(VLOOKUP(F1241,'menu list'!B:C,2,FALSE)*E1241,"0")</f>
        <v>900</v>
      </c>
      <c r="H1241" s="337">
        <f t="shared" si="92"/>
        <v>135</v>
      </c>
      <c r="I1241" s="168">
        <f t="shared" si="90"/>
        <v>1035</v>
      </c>
    </row>
    <row r="1242" spans="1:9" ht="13.2">
      <c r="A1242" s="170">
        <f t="shared" si="91"/>
        <v>1241</v>
      </c>
      <c r="B1242" s="171" t="s">
        <v>113</v>
      </c>
      <c r="C1242" s="171" t="str">
        <f>VLOOKUP(B1242,MEMBERS!B:C,2, )</f>
        <v>MR.MANOJ KUMAR</v>
      </c>
      <c r="D1242" s="326">
        <v>46014</v>
      </c>
      <c r="E1242" s="178">
        <v>1</v>
      </c>
      <c r="F1242" s="171" t="s">
        <v>992</v>
      </c>
      <c r="G1242" s="168">
        <f>IFERROR(VLOOKUP(F1242,'menu list'!B:C,2,FALSE)*E1242,"0")</f>
        <v>600</v>
      </c>
      <c r="H1242" s="337">
        <f t="shared" si="92"/>
        <v>90</v>
      </c>
      <c r="I1242" s="168">
        <f t="shared" si="90"/>
        <v>690</v>
      </c>
    </row>
    <row r="1243" spans="1:9" ht="13.2">
      <c r="A1243" s="170">
        <f t="shared" si="91"/>
        <v>1242</v>
      </c>
      <c r="B1243" s="171" t="s">
        <v>113</v>
      </c>
      <c r="C1243" s="171" t="str">
        <f>VLOOKUP(B1243,MEMBERS!B:C,2, )</f>
        <v>MR.MANOJ KUMAR</v>
      </c>
      <c r="D1243" s="326">
        <v>46014</v>
      </c>
      <c r="E1243" s="178">
        <v>10</v>
      </c>
      <c r="F1243" s="171" t="s">
        <v>442</v>
      </c>
      <c r="G1243" s="168">
        <f>IFERROR(VLOOKUP(F1243,'menu list'!B:C,2,FALSE)*E1243,"0")</f>
        <v>1500</v>
      </c>
      <c r="H1243" s="337">
        <f t="shared" si="92"/>
        <v>225</v>
      </c>
      <c r="I1243" s="168">
        <f t="shared" si="90"/>
        <v>1725</v>
      </c>
    </row>
    <row r="1244" spans="1:9" ht="13.2">
      <c r="A1244" s="170">
        <f t="shared" si="91"/>
        <v>1243</v>
      </c>
      <c r="B1244" s="171" t="s">
        <v>113</v>
      </c>
      <c r="C1244" s="171" t="str">
        <f>VLOOKUP(B1244,MEMBERS!B:C,2, )</f>
        <v>MR.MANOJ KUMAR</v>
      </c>
      <c r="D1244" s="326">
        <v>46014</v>
      </c>
      <c r="E1244" s="178">
        <v>1</v>
      </c>
      <c r="F1244" s="171" t="s">
        <v>601</v>
      </c>
      <c r="G1244" s="168">
        <f>IFERROR(VLOOKUP(F1244,'menu list'!B:C,2,FALSE)*E1244,"0")</f>
        <v>1200</v>
      </c>
      <c r="H1244" s="337">
        <f t="shared" si="92"/>
        <v>180</v>
      </c>
      <c r="I1244" s="168">
        <f t="shared" si="90"/>
        <v>1380</v>
      </c>
    </row>
    <row r="1245" spans="1:9" ht="13.2">
      <c r="A1245" s="170">
        <f t="shared" si="91"/>
        <v>1244</v>
      </c>
      <c r="B1245" s="171" t="s">
        <v>113</v>
      </c>
      <c r="C1245" s="171" t="str">
        <f>VLOOKUP(B1245,MEMBERS!B:C,2, )</f>
        <v>MR.MANOJ KUMAR</v>
      </c>
      <c r="D1245" s="326">
        <v>46014</v>
      </c>
      <c r="E1245" s="178">
        <v>2</v>
      </c>
      <c r="F1245" s="171" t="s">
        <v>500</v>
      </c>
      <c r="G1245" s="168">
        <f>IFERROR(VLOOKUP(F1245,'menu list'!B:C,2,FALSE)*E1245,"0")</f>
        <v>2500</v>
      </c>
      <c r="H1245" s="337">
        <f t="shared" si="92"/>
        <v>375</v>
      </c>
      <c r="I1245" s="168">
        <f t="shared" si="90"/>
        <v>2875</v>
      </c>
    </row>
    <row r="1246" spans="1:9" ht="13.2">
      <c r="A1246" s="170">
        <f t="shared" si="91"/>
        <v>1245</v>
      </c>
      <c r="B1246" s="171" t="s">
        <v>113</v>
      </c>
      <c r="C1246" s="171" t="str">
        <f>VLOOKUP(B1246,MEMBERS!B:C,2, )</f>
        <v>MR.MANOJ KUMAR</v>
      </c>
      <c r="D1246" s="326">
        <v>46014</v>
      </c>
      <c r="E1246" s="178">
        <v>1</v>
      </c>
      <c r="F1246" s="171" t="s">
        <v>939</v>
      </c>
      <c r="G1246" s="168">
        <f>IFERROR(VLOOKUP(F1246,'menu list'!B:C,2,FALSE)*E1246,"0")</f>
        <v>1200</v>
      </c>
      <c r="H1246" s="337">
        <f t="shared" si="92"/>
        <v>180</v>
      </c>
      <c r="I1246" s="168">
        <f t="shared" si="90"/>
        <v>1380</v>
      </c>
    </row>
    <row r="1247" spans="1:9" ht="13.2">
      <c r="A1247" s="170">
        <f t="shared" si="91"/>
        <v>1246</v>
      </c>
      <c r="B1247" s="171" t="s">
        <v>113</v>
      </c>
      <c r="C1247" s="171" t="str">
        <f>VLOOKUP(B1247,MEMBERS!B:C,2, )</f>
        <v>MR.MANOJ KUMAR</v>
      </c>
      <c r="D1247" s="326">
        <v>46014</v>
      </c>
      <c r="E1247" s="178">
        <v>2</v>
      </c>
      <c r="F1247" s="171" t="s">
        <v>439</v>
      </c>
      <c r="G1247" s="168">
        <f>IFERROR(VLOOKUP(F1247,'menu list'!B:C,2,FALSE)*E1247,"0")</f>
        <v>140</v>
      </c>
      <c r="H1247" s="337">
        <f t="shared" si="92"/>
        <v>21</v>
      </c>
      <c r="I1247" s="168">
        <f t="shared" si="90"/>
        <v>161</v>
      </c>
    </row>
    <row r="1248" spans="1:9" ht="13.2">
      <c r="A1248" s="170">
        <f t="shared" si="91"/>
        <v>1247</v>
      </c>
      <c r="B1248" s="171" t="s">
        <v>113</v>
      </c>
      <c r="C1248" s="171" t="str">
        <f>VLOOKUP(B1248,MEMBERS!B:C,2, )</f>
        <v>MR.MANOJ KUMAR</v>
      </c>
      <c r="D1248" s="326">
        <v>46014</v>
      </c>
      <c r="E1248" s="178">
        <v>1</v>
      </c>
      <c r="F1248" s="171" t="s">
        <v>441</v>
      </c>
      <c r="G1248" s="168">
        <f>IFERROR(VLOOKUP(F1248,'menu list'!B:C,2,FALSE)*E1248,"0")</f>
        <v>200</v>
      </c>
      <c r="H1248" s="337">
        <f t="shared" si="92"/>
        <v>30</v>
      </c>
      <c r="I1248" s="168">
        <f t="shared" si="90"/>
        <v>230</v>
      </c>
    </row>
    <row r="1249" spans="1:9" ht="13.2">
      <c r="A1249" s="170">
        <f t="shared" si="91"/>
        <v>1248</v>
      </c>
      <c r="B1249" s="171" t="s">
        <v>113</v>
      </c>
      <c r="C1249" s="171" t="str">
        <f>VLOOKUP(B1249,MEMBERS!B:C,2, )</f>
        <v>MR.MANOJ KUMAR</v>
      </c>
      <c r="D1249" s="326">
        <v>46014</v>
      </c>
      <c r="E1249" s="178">
        <v>1</v>
      </c>
      <c r="F1249" s="171" t="s">
        <v>793</v>
      </c>
      <c r="G1249" s="168">
        <f>IFERROR(VLOOKUP(F1249,'menu list'!B:C,2,FALSE)*E1249,"0")</f>
        <v>800</v>
      </c>
      <c r="H1249" s="337">
        <f t="shared" si="92"/>
        <v>120</v>
      </c>
      <c r="I1249" s="168">
        <f t="shared" si="90"/>
        <v>920</v>
      </c>
    </row>
    <row r="1250" spans="1:9" ht="13.2">
      <c r="A1250" s="170">
        <f t="shared" si="91"/>
        <v>1249</v>
      </c>
      <c r="B1250" s="171" t="s">
        <v>113</v>
      </c>
      <c r="C1250" s="171" t="str">
        <f>VLOOKUP(B1250,MEMBERS!B:C,2, )</f>
        <v>MR.MANOJ KUMAR</v>
      </c>
      <c r="D1250" s="326">
        <v>46014</v>
      </c>
      <c r="E1250" s="178">
        <v>7</v>
      </c>
      <c r="F1250" s="171" t="s">
        <v>439</v>
      </c>
      <c r="G1250" s="168">
        <f>IFERROR(VLOOKUP(F1250,'menu list'!B:C,2,FALSE)*E1250,"0")</f>
        <v>490</v>
      </c>
      <c r="H1250" s="337">
        <f t="shared" si="92"/>
        <v>73.5</v>
      </c>
      <c r="I1250" s="168">
        <f t="shared" si="90"/>
        <v>563.5</v>
      </c>
    </row>
    <row r="1251" spans="1:9" ht="13.2">
      <c r="A1251" s="170">
        <f t="shared" si="91"/>
        <v>1250</v>
      </c>
      <c r="B1251" s="171" t="s">
        <v>113</v>
      </c>
      <c r="C1251" s="171" t="str">
        <f>VLOOKUP(B1251,MEMBERS!B:C,2, )</f>
        <v>MR.MANOJ KUMAR</v>
      </c>
      <c r="D1251" s="326">
        <v>46014</v>
      </c>
      <c r="E1251" s="178">
        <v>5</v>
      </c>
      <c r="F1251" s="171" t="s">
        <v>443</v>
      </c>
      <c r="G1251" s="168">
        <f>IFERROR(VLOOKUP(F1251,'menu list'!B:C,2,FALSE)*E1251,"0")</f>
        <v>750</v>
      </c>
      <c r="H1251" s="337">
        <f t="shared" si="92"/>
        <v>112.5</v>
      </c>
      <c r="I1251" s="168">
        <f t="shared" si="90"/>
        <v>862.5</v>
      </c>
    </row>
    <row r="1252" spans="1:9" ht="13.2">
      <c r="A1252" s="170">
        <f t="shared" si="91"/>
        <v>1251</v>
      </c>
      <c r="B1252" s="171" t="s">
        <v>187</v>
      </c>
      <c r="C1252" s="171" t="str">
        <f>VLOOKUP(B1252,MEMBERS!B:C,2, )</f>
        <v>MR.SHAN ELAHI SEHGAL</v>
      </c>
      <c r="D1252" s="326">
        <v>46014</v>
      </c>
      <c r="E1252" s="178">
        <v>1</v>
      </c>
      <c r="F1252" s="171" t="s">
        <v>633</v>
      </c>
      <c r="G1252" s="168">
        <f>IFERROR(VLOOKUP(F1252,'menu list'!B:C,2,FALSE)*E1252,"0")</f>
        <v>700</v>
      </c>
      <c r="H1252" s="337">
        <f t="shared" si="92"/>
        <v>105</v>
      </c>
      <c r="I1252" s="168">
        <f t="shared" si="90"/>
        <v>805</v>
      </c>
    </row>
    <row r="1253" spans="1:9" ht="13.2">
      <c r="A1253" s="170">
        <f t="shared" ref="A1253:A1268" si="93">IF(D1253&lt;&gt;"", ROW()-1, "")</f>
        <v>1252</v>
      </c>
      <c r="B1253" s="171" t="s">
        <v>187</v>
      </c>
      <c r="C1253" s="171" t="str">
        <f>VLOOKUP(B1253,MEMBERS!B:C,2, )</f>
        <v>MR.SHAN ELAHI SEHGAL</v>
      </c>
      <c r="D1253" s="326">
        <v>46014</v>
      </c>
      <c r="E1253" s="178">
        <v>1</v>
      </c>
      <c r="F1253" s="171" t="s">
        <v>498</v>
      </c>
      <c r="G1253" s="168">
        <f>IFERROR(VLOOKUP(F1253,'menu list'!B:C,2,FALSE)*E1253,"0")</f>
        <v>200</v>
      </c>
      <c r="H1253" s="337">
        <f t="shared" ref="H1253:H1268" si="94">G1253*15/100</f>
        <v>30</v>
      </c>
      <c r="I1253" s="168">
        <f t="shared" ref="I1253:I1268" si="95">G1253+H1253</f>
        <v>230</v>
      </c>
    </row>
    <row r="1254" spans="1:9" ht="13.2">
      <c r="A1254" s="170">
        <f t="shared" si="93"/>
        <v>1253</v>
      </c>
      <c r="B1254" s="171" t="s">
        <v>187</v>
      </c>
      <c r="C1254" s="171" t="str">
        <f>VLOOKUP(B1254,MEMBERS!B:C,2, )</f>
        <v>MR.SHAN ELAHI SEHGAL</v>
      </c>
      <c r="D1254" s="326">
        <v>46014</v>
      </c>
      <c r="E1254" s="178">
        <v>1</v>
      </c>
      <c r="F1254" s="171" t="s">
        <v>499</v>
      </c>
      <c r="G1254" s="168">
        <f>IFERROR(VLOOKUP(F1254,'menu list'!B:C,2,FALSE)*E1254,"0")</f>
        <v>100</v>
      </c>
      <c r="H1254" s="337">
        <f t="shared" si="94"/>
        <v>15</v>
      </c>
      <c r="I1254" s="168">
        <f t="shared" si="95"/>
        <v>115</v>
      </c>
    </row>
    <row r="1255" spans="1:9" ht="13.2">
      <c r="A1255" s="170">
        <f t="shared" si="93"/>
        <v>1254</v>
      </c>
      <c r="B1255" s="171" t="s">
        <v>1020</v>
      </c>
      <c r="C1255" s="171" t="str">
        <f>VLOOKUP(B1255,MEMBERS!B:C,2, )</f>
        <v>MR. MUNAWAR HUSSAIN</v>
      </c>
      <c r="D1255" s="326">
        <v>46014</v>
      </c>
      <c r="E1255" s="178">
        <v>2</v>
      </c>
      <c r="F1255" s="171" t="s">
        <v>836</v>
      </c>
      <c r="G1255" s="168">
        <f>IFERROR(VLOOKUP(F1255,'menu list'!B:C,2,FALSE)*E1255,"0")</f>
        <v>700</v>
      </c>
      <c r="H1255" s="337">
        <f t="shared" si="94"/>
        <v>105</v>
      </c>
      <c r="I1255" s="168">
        <f t="shared" si="95"/>
        <v>805</v>
      </c>
    </row>
    <row r="1256" spans="1:9" ht="13.2">
      <c r="A1256" s="170">
        <f t="shared" si="93"/>
        <v>1255</v>
      </c>
      <c r="B1256" s="171" t="s">
        <v>1020</v>
      </c>
      <c r="C1256" s="171" t="str">
        <f>VLOOKUP(B1256,MEMBERS!B:C,2, )</f>
        <v>MR. MUNAWAR HUSSAIN</v>
      </c>
      <c r="D1256" s="326">
        <v>46014</v>
      </c>
      <c r="E1256" s="178">
        <v>1</v>
      </c>
      <c r="F1256" s="171" t="s">
        <v>499</v>
      </c>
      <c r="G1256" s="168">
        <f>IFERROR(VLOOKUP(F1256,'menu list'!B:C,2,FALSE)*E1256,"0")</f>
        <v>100</v>
      </c>
      <c r="H1256" s="337">
        <f t="shared" si="94"/>
        <v>15</v>
      </c>
      <c r="I1256" s="168">
        <f t="shared" si="95"/>
        <v>115</v>
      </c>
    </row>
    <row r="1257" spans="1:9" ht="13.2">
      <c r="A1257" s="170">
        <f t="shared" si="93"/>
        <v>1256</v>
      </c>
      <c r="B1257" s="171" t="s">
        <v>103</v>
      </c>
      <c r="C1257" s="171" t="str">
        <f>VLOOKUP(B1257,MEMBERS!B:C,2, )</f>
        <v>MR.IQBAL AHMED MALLAH</v>
      </c>
      <c r="D1257" s="326">
        <v>46014</v>
      </c>
      <c r="E1257" s="178">
        <v>2</v>
      </c>
      <c r="F1257" s="171" t="s">
        <v>440</v>
      </c>
      <c r="G1257" s="168">
        <f>IFERROR(VLOOKUP(F1257,'menu list'!B:C,2,FALSE)*E1257,"0")</f>
        <v>300</v>
      </c>
      <c r="H1257" s="337">
        <f t="shared" si="94"/>
        <v>45</v>
      </c>
      <c r="I1257" s="168">
        <f t="shared" si="95"/>
        <v>345</v>
      </c>
    </row>
    <row r="1258" spans="1:9" ht="13.2">
      <c r="A1258" s="170">
        <f t="shared" si="93"/>
        <v>1257</v>
      </c>
      <c r="B1258" s="171" t="s">
        <v>103</v>
      </c>
      <c r="C1258" s="171" t="str">
        <f>VLOOKUP(B1258,MEMBERS!B:C,2, )</f>
        <v>MR.IQBAL AHMED MALLAH</v>
      </c>
      <c r="D1258" s="326">
        <v>46014</v>
      </c>
      <c r="E1258" s="178">
        <v>1</v>
      </c>
      <c r="F1258" s="171" t="s">
        <v>500</v>
      </c>
      <c r="G1258" s="168">
        <f>IFERROR(VLOOKUP(F1258,'menu list'!B:C,2,FALSE)*E1258,"0")</f>
        <v>1250</v>
      </c>
      <c r="H1258" s="337">
        <f t="shared" si="94"/>
        <v>187.5</v>
      </c>
      <c r="I1258" s="168">
        <f t="shared" si="95"/>
        <v>1437.5</v>
      </c>
    </row>
    <row r="1259" spans="1:9" ht="13.2">
      <c r="A1259" s="170">
        <f t="shared" si="93"/>
        <v>1258</v>
      </c>
      <c r="B1259" s="171" t="s">
        <v>103</v>
      </c>
      <c r="C1259" s="171" t="str">
        <f>VLOOKUP(B1259,MEMBERS!B:C,2, )</f>
        <v>MR.IQBAL AHMED MALLAH</v>
      </c>
      <c r="D1259" s="326">
        <v>46014</v>
      </c>
      <c r="E1259" s="178">
        <v>2</v>
      </c>
      <c r="F1259" s="171" t="s">
        <v>858</v>
      </c>
      <c r="G1259" s="168">
        <f>IFERROR(VLOOKUP(F1259,'menu list'!B:C,2,FALSE)*E1259,"0")</f>
        <v>1000</v>
      </c>
      <c r="H1259" s="337">
        <f t="shared" si="94"/>
        <v>150</v>
      </c>
      <c r="I1259" s="168">
        <f t="shared" si="95"/>
        <v>1150</v>
      </c>
    </row>
    <row r="1260" spans="1:9" ht="13.2">
      <c r="A1260" s="170">
        <f t="shared" si="93"/>
        <v>1259</v>
      </c>
      <c r="B1260" s="171" t="s">
        <v>103</v>
      </c>
      <c r="C1260" s="171" t="str">
        <f>VLOOKUP(B1260,MEMBERS!B:C,2, )</f>
        <v>MR.IQBAL AHMED MALLAH</v>
      </c>
      <c r="D1260" s="326">
        <v>46014</v>
      </c>
      <c r="E1260" s="178">
        <v>2</v>
      </c>
      <c r="F1260" s="171" t="s">
        <v>802</v>
      </c>
      <c r="G1260" s="168">
        <f>IFERROR(VLOOKUP(F1260,'menu list'!B:C,2,FALSE)*E1260,"0")</f>
        <v>1000</v>
      </c>
      <c r="H1260" s="337">
        <f t="shared" si="94"/>
        <v>150</v>
      </c>
      <c r="I1260" s="168">
        <f t="shared" si="95"/>
        <v>1150</v>
      </c>
    </row>
    <row r="1261" spans="1:9" ht="13.2">
      <c r="A1261" s="170">
        <f t="shared" si="93"/>
        <v>1260</v>
      </c>
      <c r="B1261" s="171" t="s">
        <v>103</v>
      </c>
      <c r="C1261" s="171" t="str">
        <f>VLOOKUP(B1261,MEMBERS!B:C,2, )</f>
        <v>MR.IQBAL AHMED MALLAH</v>
      </c>
      <c r="D1261" s="326">
        <v>46014</v>
      </c>
      <c r="E1261" s="178">
        <v>1</v>
      </c>
      <c r="F1261" s="171" t="s">
        <v>601</v>
      </c>
      <c r="G1261" s="168">
        <f>IFERROR(VLOOKUP(F1261,'menu list'!B:C,2,FALSE)*E1261,"0")</f>
        <v>1200</v>
      </c>
      <c r="H1261" s="337">
        <f t="shared" si="94"/>
        <v>180</v>
      </c>
      <c r="I1261" s="168">
        <f t="shared" si="95"/>
        <v>1380</v>
      </c>
    </row>
    <row r="1262" spans="1:9" ht="13.2">
      <c r="A1262" s="170">
        <f t="shared" si="93"/>
        <v>1261</v>
      </c>
      <c r="B1262" s="171" t="s">
        <v>103</v>
      </c>
      <c r="C1262" s="171" t="str">
        <f>VLOOKUP(B1262,MEMBERS!B:C,2, )</f>
        <v>MR.IQBAL AHMED MALLAH</v>
      </c>
      <c r="D1262" s="326">
        <v>46014</v>
      </c>
      <c r="E1262" s="178">
        <v>1</v>
      </c>
      <c r="F1262" s="171" t="s">
        <v>853</v>
      </c>
      <c r="G1262" s="168">
        <f>IFERROR(VLOOKUP(F1262,'menu list'!B:C,2,FALSE)*E1262,"0")</f>
        <v>575</v>
      </c>
      <c r="H1262" s="337">
        <f t="shared" si="94"/>
        <v>86.25</v>
      </c>
      <c r="I1262" s="168">
        <f t="shared" si="95"/>
        <v>661.25</v>
      </c>
    </row>
    <row r="1263" spans="1:9" ht="13.2">
      <c r="A1263" s="170">
        <f t="shared" si="93"/>
        <v>1262</v>
      </c>
      <c r="B1263" s="171" t="s">
        <v>103</v>
      </c>
      <c r="C1263" s="171" t="str">
        <f>VLOOKUP(B1263,MEMBERS!B:C,2, )</f>
        <v>MR.IQBAL AHMED MALLAH</v>
      </c>
      <c r="D1263" s="326">
        <v>46014</v>
      </c>
      <c r="E1263" s="178">
        <v>1</v>
      </c>
      <c r="F1263" s="171" t="s">
        <v>497</v>
      </c>
      <c r="G1263" s="168">
        <f>IFERROR(VLOOKUP(F1263,'menu list'!B:C,2,FALSE)*E1263,"0")</f>
        <v>250</v>
      </c>
      <c r="H1263" s="337">
        <f t="shared" si="94"/>
        <v>37.5</v>
      </c>
      <c r="I1263" s="168">
        <f t="shared" si="95"/>
        <v>287.5</v>
      </c>
    </row>
    <row r="1264" spans="1:9" ht="13.2">
      <c r="A1264" s="170">
        <f t="shared" si="93"/>
        <v>1263</v>
      </c>
      <c r="B1264" s="171" t="s">
        <v>103</v>
      </c>
      <c r="C1264" s="171" t="str">
        <f>VLOOKUP(B1264,MEMBERS!B:C,2, )</f>
        <v>MR.IQBAL AHMED MALLAH</v>
      </c>
      <c r="D1264" s="326">
        <v>46014</v>
      </c>
      <c r="E1264" s="178">
        <v>1</v>
      </c>
      <c r="F1264" s="171" t="s">
        <v>633</v>
      </c>
      <c r="G1264" s="168">
        <f>IFERROR(VLOOKUP(F1264,'menu list'!B:C,2,FALSE)*E1264,"0")</f>
        <v>700</v>
      </c>
      <c r="H1264" s="337">
        <f t="shared" si="94"/>
        <v>105</v>
      </c>
      <c r="I1264" s="168">
        <f t="shared" si="95"/>
        <v>805</v>
      </c>
    </row>
    <row r="1265" spans="1:10" ht="13.2">
      <c r="A1265" s="170">
        <f t="shared" si="93"/>
        <v>1264</v>
      </c>
      <c r="B1265" s="171" t="s">
        <v>103</v>
      </c>
      <c r="C1265" s="171" t="str">
        <f>VLOOKUP(B1265,MEMBERS!B:C,2, )</f>
        <v>MR.IQBAL AHMED MALLAH</v>
      </c>
      <c r="D1265" s="326">
        <v>46014</v>
      </c>
      <c r="E1265" s="178">
        <v>1</v>
      </c>
      <c r="F1265" s="171" t="s">
        <v>498</v>
      </c>
      <c r="G1265" s="168">
        <f>IFERROR(VLOOKUP(F1265,'menu list'!B:C,2,FALSE)*E1265,"0")</f>
        <v>200</v>
      </c>
      <c r="H1265" s="337">
        <f t="shared" si="94"/>
        <v>30</v>
      </c>
      <c r="I1265" s="168">
        <f t="shared" si="95"/>
        <v>230</v>
      </c>
    </row>
    <row r="1266" spans="1:10" ht="13.2">
      <c r="A1266" s="170">
        <f t="shared" si="93"/>
        <v>1265</v>
      </c>
      <c r="B1266" s="171" t="s">
        <v>103</v>
      </c>
      <c r="C1266" s="171" t="str">
        <f>VLOOKUP(B1266,MEMBERS!B:C,2, )</f>
        <v>MR.IQBAL AHMED MALLAH</v>
      </c>
      <c r="D1266" s="326">
        <v>46014</v>
      </c>
      <c r="E1266" s="178">
        <v>8</v>
      </c>
      <c r="F1266" s="171" t="s">
        <v>442</v>
      </c>
      <c r="G1266" s="168">
        <f>IFERROR(VLOOKUP(F1266,'menu list'!B:C,2,FALSE)*E1266,"0")</f>
        <v>1200</v>
      </c>
      <c r="H1266" s="337">
        <f t="shared" si="94"/>
        <v>180</v>
      </c>
      <c r="I1266" s="168">
        <f t="shared" si="95"/>
        <v>1380</v>
      </c>
    </row>
    <row r="1267" spans="1:10" ht="13.2">
      <c r="A1267" s="170">
        <f t="shared" si="93"/>
        <v>1266</v>
      </c>
      <c r="B1267" s="171" t="s">
        <v>1020</v>
      </c>
      <c r="C1267" s="171" t="str">
        <f>VLOOKUP(B1267,MEMBERS!B:C,2, )</f>
        <v>MR. MUNAWAR HUSSAIN</v>
      </c>
      <c r="D1267" s="326">
        <v>46014</v>
      </c>
      <c r="E1267" s="178">
        <v>2</v>
      </c>
      <c r="F1267" s="171" t="s">
        <v>502</v>
      </c>
      <c r="G1267" s="168">
        <f>IFERROR(VLOOKUP(F1267,'menu list'!B:C,2,FALSE)*E1267,"0")</f>
        <v>700</v>
      </c>
      <c r="H1267" s="337">
        <f t="shared" si="94"/>
        <v>105</v>
      </c>
      <c r="I1267" s="168">
        <f t="shared" si="95"/>
        <v>805</v>
      </c>
    </row>
    <row r="1268" spans="1:10" ht="13.2">
      <c r="A1268" s="170">
        <f t="shared" si="93"/>
        <v>1267</v>
      </c>
      <c r="B1268" s="322" t="s">
        <v>454</v>
      </c>
      <c r="C1268" s="322" t="str">
        <f>VLOOKUP(B1268,MEMBERS!B:C,2, )</f>
        <v>Heritage club</v>
      </c>
      <c r="D1268" s="323">
        <v>46015</v>
      </c>
      <c r="E1268" s="324">
        <v>757</v>
      </c>
      <c r="F1268" s="322" t="s">
        <v>1236</v>
      </c>
      <c r="G1268" s="325">
        <f>IFERROR(VLOOKUP(F1268,'menu list'!B:C,2,FALSE)*E1268,"0")</f>
        <v>3028000</v>
      </c>
      <c r="H1268" s="347">
        <f t="shared" si="94"/>
        <v>454200</v>
      </c>
      <c r="I1268" s="325">
        <f t="shared" si="95"/>
        <v>3482200</v>
      </c>
      <c r="J1268" s="169" t="s">
        <v>1239</v>
      </c>
    </row>
    <row r="1269" spans="1:10" ht="13.2">
      <c r="A1269" s="170">
        <f t="shared" ref="A1269:A1327" si="96">IF(D1269&lt;&gt;"", ROW()-1, "")</f>
        <v>1268</v>
      </c>
      <c r="B1269" s="322" t="s">
        <v>454</v>
      </c>
      <c r="C1269" s="322" t="str">
        <f>VLOOKUP(B1269,MEMBERS!B:C,2, )</f>
        <v>Heritage club</v>
      </c>
      <c r="D1269" s="323">
        <v>46015</v>
      </c>
      <c r="E1269" s="324">
        <v>15</v>
      </c>
      <c r="F1269" s="322" t="s">
        <v>499</v>
      </c>
      <c r="G1269" s="325">
        <f>IFERROR(VLOOKUP(F1269,'menu list'!B:C,2,FALSE)*E1269,"0")</f>
        <v>1500</v>
      </c>
      <c r="H1269" s="347">
        <f t="shared" ref="H1269:H1327" si="97">G1269*15/100</f>
        <v>225</v>
      </c>
      <c r="I1269" s="325">
        <f t="shared" ref="I1269:I1327" si="98">G1269+H1269</f>
        <v>1725</v>
      </c>
    </row>
    <row r="1270" spans="1:10" ht="13.2">
      <c r="A1270" s="170">
        <f t="shared" si="96"/>
        <v>1269</v>
      </c>
      <c r="B1270" s="322" t="s">
        <v>454</v>
      </c>
      <c r="C1270" s="322" t="str">
        <f>VLOOKUP(B1270,MEMBERS!B:C,2, )</f>
        <v>Heritage club</v>
      </c>
      <c r="D1270" s="323">
        <v>46015</v>
      </c>
      <c r="E1270" s="324">
        <v>18</v>
      </c>
      <c r="F1270" s="322" t="s">
        <v>440</v>
      </c>
      <c r="G1270" s="325">
        <f>IFERROR(VLOOKUP(F1270,'menu list'!B:C,2,FALSE)*E1270,"0")</f>
        <v>2700</v>
      </c>
      <c r="H1270" s="347">
        <f t="shared" si="97"/>
        <v>405</v>
      </c>
      <c r="I1270" s="325">
        <f t="shared" si="98"/>
        <v>3105</v>
      </c>
    </row>
    <row r="1271" spans="1:10" ht="13.2">
      <c r="A1271" s="170">
        <f t="shared" si="96"/>
        <v>1270</v>
      </c>
      <c r="B1271" s="322" t="s">
        <v>454</v>
      </c>
      <c r="C1271" s="322" t="str">
        <f>VLOOKUP(B1271,MEMBERS!B:C,2, )</f>
        <v>Heritage club</v>
      </c>
      <c r="D1271" s="323">
        <v>46015</v>
      </c>
      <c r="E1271" s="324">
        <v>5</v>
      </c>
      <c r="F1271" s="322" t="s">
        <v>1237</v>
      </c>
      <c r="G1271" s="325">
        <f>IFERROR(VLOOKUP(F1271,'menu list'!B:C,2,FALSE)*E1271,"0")</f>
        <v>1500</v>
      </c>
      <c r="H1271" s="347">
        <f t="shared" si="97"/>
        <v>225</v>
      </c>
      <c r="I1271" s="325">
        <f t="shared" si="98"/>
        <v>1725</v>
      </c>
    </row>
    <row r="1272" spans="1:10" ht="13.2">
      <c r="A1272" s="170">
        <f t="shared" si="96"/>
        <v>1271</v>
      </c>
      <c r="B1272" s="322" t="s">
        <v>454</v>
      </c>
      <c r="C1272" s="322" t="str">
        <f>VLOOKUP(B1272,MEMBERS!B:C,2, )</f>
        <v>Heritage club</v>
      </c>
      <c r="D1272" s="323">
        <v>46015</v>
      </c>
      <c r="E1272" s="324">
        <v>3</v>
      </c>
      <c r="F1272" s="322" t="s">
        <v>643</v>
      </c>
      <c r="G1272" s="325">
        <f>IFERROR(VLOOKUP(F1272,'menu list'!B:C,2,FALSE)*E1272,"0")</f>
        <v>900</v>
      </c>
      <c r="H1272" s="347">
        <f t="shared" si="97"/>
        <v>135</v>
      </c>
      <c r="I1272" s="325">
        <f t="shared" si="98"/>
        <v>1035</v>
      </c>
    </row>
    <row r="1273" spans="1:10" ht="13.2">
      <c r="A1273" s="170">
        <f t="shared" si="96"/>
        <v>1272</v>
      </c>
      <c r="B1273" s="322" t="s">
        <v>454</v>
      </c>
      <c r="C1273" s="322" t="str">
        <f>VLOOKUP(B1273,MEMBERS!B:C,2, )</f>
        <v>Heritage club</v>
      </c>
      <c r="D1273" s="323">
        <v>46015</v>
      </c>
      <c r="E1273" s="324">
        <v>7</v>
      </c>
      <c r="F1273" s="322" t="s">
        <v>836</v>
      </c>
      <c r="G1273" s="325">
        <f>IFERROR(VLOOKUP(F1273,'menu list'!B:C,2,FALSE)*E1273,"0")</f>
        <v>2450</v>
      </c>
      <c r="H1273" s="347">
        <f t="shared" si="97"/>
        <v>367.5</v>
      </c>
      <c r="I1273" s="325">
        <f t="shared" si="98"/>
        <v>2817.5</v>
      </c>
    </row>
    <row r="1274" spans="1:10" ht="13.2">
      <c r="A1274" s="170">
        <f t="shared" si="96"/>
        <v>1273</v>
      </c>
      <c r="B1274" s="322" t="s">
        <v>454</v>
      </c>
      <c r="C1274" s="322" t="str">
        <f>VLOOKUP(B1274,MEMBERS!B:C,2, )</f>
        <v>Heritage club</v>
      </c>
      <c r="D1274" s="323">
        <v>46015</v>
      </c>
      <c r="E1274" s="324">
        <v>91</v>
      </c>
      <c r="F1274" s="322" t="s">
        <v>1238</v>
      </c>
      <c r="G1274" s="325">
        <f>IFERROR(VLOOKUP(F1274,'menu list'!B:C,2,FALSE)*E1274,"0")</f>
        <v>45500</v>
      </c>
      <c r="H1274" s="347">
        <f t="shared" si="97"/>
        <v>6825</v>
      </c>
      <c r="I1274" s="325">
        <f t="shared" si="98"/>
        <v>52325</v>
      </c>
    </row>
    <row r="1275" spans="1:10" ht="13.2">
      <c r="A1275" s="170">
        <f t="shared" si="96"/>
        <v>1274</v>
      </c>
      <c r="B1275" s="171" t="s">
        <v>650</v>
      </c>
      <c r="C1275" s="171" t="str">
        <f>VLOOKUP(B1275,MEMBERS!B:C,2, )</f>
        <v>SHAHBAZ AHMED</v>
      </c>
      <c r="D1275" s="326">
        <v>46015</v>
      </c>
      <c r="E1275" s="178">
        <v>1</v>
      </c>
      <c r="F1275" s="171" t="s">
        <v>772</v>
      </c>
      <c r="G1275" s="168">
        <f>IFERROR(VLOOKUP(F1275,'menu list'!B:C,2,FALSE)*E1275,"0")</f>
        <v>900</v>
      </c>
      <c r="H1275" s="337">
        <f t="shared" si="97"/>
        <v>135</v>
      </c>
      <c r="I1275" s="168">
        <f t="shared" si="98"/>
        <v>1035</v>
      </c>
    </row>
    <row r="1276" spans="1:10" ht="13.2">
      <c r="A1276" s="170">
        <f t="shared" si="96"/>
        <v>1275</v>
      </c>
      <c r="B1276" s="171" t="s">
        <v>650</v>
      </c>
      <c r="C1276" s="171" t="str">
        <f>VLOOKUP(B1276,MEMBERS!B:C,2, )</f>
        <v>SHAHBAZ AHMED</v>
      </c>
      <c r="D1276" s="326">
        <v>46015</v>
      </c>
      <c r="E1276" s="178">
        <v>1</v>
      </c>
      <c r="F1276" s="171" t="s">
        <v>740</v>
      </c>
      <c r="G1276" s="168">
        <f>IFERROR(VLOOKUP(F1276,'menu list'!B:C,2,FALSE)*E1276,"0")</f>
        <v>1800</v>
      </c>
      <c r="H1276" s="337">
        <f t="shared" si="97"/>
        <v>270</v>
      </c>
      <c r="I1276" s="168">
        <f t="shared" si="98"/>
        <v>2070</v>
      </c>
    </row>
    <row r="1277" spans="1:10" ht="13.2">
      <c r="A1277" s="170">
        <f t="shared" si="96"/>
        <v>1276</v>
      </c>
      <c r="B1277" s="171" t="s">
        <v>650</v>
      </c>
      <c r="C1277" s="171" t="str">
        <f>VLOOKUP(B1277,MEMBERS!B:C,2, )</f>
        <v>SHAHBAZ AHMED</v>
      </c>
      <c r="D1277" s="326">
        <v>46015</v>
      </c>
      <c r="E1277" s="178">
        <v>2</v>
      </c>
      <c r="F1277" s="171" t="s">
        <v>861</v>
      </c>
      <c r="G1277" s="168">
        <f>IFERROR(VLOOKUP(F1277,'menu list'!B:C,2,FALSE)*E1277,"0")</f>
        <v>1600</v>
      </c>
      <c r="H1277" s="337">
        <f t="shared" si="97"/>
        <v>240</v>
      </c>
      <c r="I1277" s="168">
        <f t="shared" si="98"/>
        <v>1840</v>
      </c>
    </row>
    <row r="1278" spans="1:10" ht="13.2">
      <c r="A1278" s="170">
        <f t="shared" si="96"/>
        <v>1277</v>
      </c>
      <c r="B1278" s="171" t="s">
        <v>650</v>
      </c>
      <c r="C1278" s="171" t="str">
        <f>VLOOKUP(B1278,MEMBERS!B:C,2, )</f>
        <v>SHAHBAZ AHMED</v>
      </c>
      <c r="D1278" s="326">
        <v>46015</v>
      </c>
      <c r="E1278" s="178">
        <v>4</v>
      </c>
      <c r="F1278" s="171" t="s">
        <v>443</v>
      </c>
      <c r="G1278" s="168">
        <f>IFERROR(VLOOKUP(F1278,'menu list'!B:C,2,FALSE)*E1278,"0")</f>
        <v>600</v>
      </c>
      <c r="H1278" s="337">
        <f t="shared" si="97"/>
        <v>90</v>
      </c>
      <c r="I1278" s="168">
        <f t="shared" si="98"/>
        <v>690</v>
      </c>
    </row>
    <row r="1279" spans="1:10" ht="13.2">
      <c r="A1279" s="170">
        <f t="shared" si="96"/>
        <v>1278</v>
      </c>
      <c r="B1279" s="171" t="s">
        <v>650</v>
      </c>
      <c r="C1279" s="171" t="str">
        <f>VLOOKUP(B1279,MEMBERS!B:C,2, )</f>
        <v>SHAHBAZ AHMED</v>
      </c>
      <c r="D1279" s="326">
        <v>46015</v>
      </c>
      <c r="E1279" s="178">
        <v>3</v>
      </c>
      <c r="F1279" s="171" t="s">
        <v>439</v>
      </c>
      <c r="G1279" s="168">
        <f>IFERROR(VLOOKUP(F1279,'menu list'!B:C,2,FALSE)*E1279,"0")</f>
        <v>210</v>
      </c>
      <c r="H1279" s="337">
        <f t="shared" si="97"/>
        <v>31.5</v>
      </c>
      <c r="I1279" s="168">
        <f t="shared" si="98"/>
        <v>241.5</v>
      </c>
    </row>
    <row r="1280" spans="1:10" ht="13.2">
      <c r="A1280" s="170">
        <f t="shared" si="96"/>
        <v>1279</v>
      </c>
      <c r="B1280" s="171" t="s">
        <v>650</v>
      </c>
      <c r="C1280" s="171" t="str">
        <f>VLOOKUP(B1280,MEMBERS!B:C,2, )</f>
        <v>SHAHBAZ AHMED</v>
      </c>
      <c r="D1280" s="326">
        <v>46015</v>
      </c>
      <c r="E1280" s="178">
        <v>9</v>
      </c>
      <c r="F1280" s="171" t="s">
        <v>442</v>
      </c>
      <c r="G1280" s="168">
        <f>IFERROR(VLOOKUP(F1280,'menu list'!B:C,2,FALSE)*E1280,"0")</f>
        <v>1350</v>
      </c>
      <c r="H1280" s="337">
        <f t="shared" si="97"/>
        <v>202.5</v>
      </c>
      <c r="I1280" s="168">
        <f t="shared" si="98"/>
        <v>1552.5</v>
      </c>
    </row>
    <row r="1281" spans="1:9" ht="13.2">
      <c r="A1281" s="170">
        <f t="shared" si="96"/>
        <v>1280</v>
      </c>
      <c r="B1281" s="171" t="s">
        <v>650</v>
      </c>
      <c r="C1281" s="171" t="str">
        <f>VLOOKUP(B1281,MEMBERS!B:C,2, )</f>
        <v>SHAHBAZ AHMED</v>
      </c>
      <c r="D1281" s="326">
        <v>46015</v>
      </c>
      <c r="E1281" s="178">
        <v>2</v>
      </c>
      <c r="F1281" s="171" t="s">
        <v>440</v>
      </c>
      <c r="G1281" s="168">
        <f>IFERROR(VLOOKUP(F1281,'menu list'!B:C,2,FALSE)*E1281,"0")</f>
        <v>300</v>
      </c>
      <c r="H1281" s="337">
        <f t="shared" si="97"/>
        <v>45</v>
      </c>
      <c r="I1281" s="168">
        <f t="shared" si="98"/>
        <v>345</v>
      </c>
    </row>
    <row r="1282" spans="1:9" ht="13.2">
      <c r="A1282" s="170">
        <f t="shared" si="96"/>
        <v>1281</v>
      </c>
      <c r="B1282" s="171" t="s">
        <v>25</v>
      </c>
      <c r="C1282" s="171" t="str">
        <f>VLOOKUP(B1282,MEMBERS!B:C,2, )</f>
        <v>MR.MUHAMMAD ARIF</v>
      </c>
      <c r="D1282" s="326">
        <v>46015</v>
      </c>
      <c r="E1282" s="178">
        <v>2</v>
      </c>
      <c r="F1282" s="171" t="s">
        <v>440</v>
      </c>
      <c r="G1282" s="168">
        <f>IFERROR(VLOOKUP(F1282,'menu list'!B:C,2,FALSE)*E1282,"0")</f>
        <v>300</v>
      </c>
      <c r="H1282" s="337">
        <f t="shared" si="97"/>
        <v>45</v>
      </c>
      <c r="I1282" s="168">
        <f t="shared" si="98"/>
        <v>345</v>
      </c>
    </row>
    <row r="1283" spans="1:9" ht="13.2">
      <c r="A1283" s="170">
        <f t="shared" si="96"/>
        <v>1282</v>
      </c>
      <c r="B1283" s="171" t="s">
        <v>25</v>
      </c>
      <c r="C1283" s="171" t="str">
        <f>VLOOKUP(B1283,MEMBERS!B:C,2, )</f>
        <v>MR.MUHAMMAD ARIF</v>
      </c>
      <c r="D1283" s="326">
        <v>46015</v>
      </c>
      <c r="E1283" s="178">
        <v>1</v>
      </c>
      <c r="F1283" s="171" t="s">
        <v>898</v>
      </c>
      <c r="G1283" s="168">
        <f>IFERROR(VLOOKUP(F1283,'menu list'!B:C,2,FALSE)*E1283,"0")</f>
        <v>1000</v>
      </c>
      <c r="H1283" s="337">
        <f t="shared" si="97"/>
        <v>150</v>
      </c>
      <c r="I1283" s="168">
        <f t="shared" si="98"/>
        <v>1150</v>
      </c>
    </row>
    <row r="1284" spans="1:9" ht="13.2">
      <c r="A1284" s="170">
        <f t="shared" si="96"/>
        <v>1283</v>
      </c>
      <c r="B1284" s="171" t="s">
        <v>25</v>
      </c>
      <c r="C1284" s="171" t="str">
        <f>VLOOKUP(B1284,MEMBERS!B:C,2, )</f>
        <v>MR.MUHAMMAD ARIF</v>
      </c>
      <c r="D1284" s="326">
        <v>46015</v>
      </c>
      <c r="E1284" s="178">
        <v>1</v>
      </c>
      <c r="F1284" s="171" t="s">
        <v>1195</v>
      </c>
      <c r="G1284" s="168">
        <f>IFERROR(VLOOKUP(F1284,'menu list'!B:C,2,FALSE)*E1284,"0")</f>
        <v>999</v>
      </c>
      <c r="H1284" s="337">
        <f t="shared" si="97"/>
        <v>149.85</v>
      </c>
      <c r="I1284" s="168">
        <f t="shared" si="98"/>
        <v>1148.8499999999999</v>
      </c>
    </row>
    <row r="1285" spans="1:9" ht="13.2">
      <c r="A1285" s="170">
        <f t="shared" si="96"/>
        <v>1284</v>
      </c>
      <c r="B1285" s="171" t="s">
        <v>25</v>
      </c>
      <c r="C1285" s="171" t="str">
        <f>VLOOKUP(B1285,MEMBERS!B:C,2, )</f>
        <v>MR.MUHAMMAD ARIF</v>
      </c>
      <c r="D1285" s="326">
        <v>46015</v>
      </c>
      <c r="E1285" s="178">
        <v>1</v>
      </c>
      <c r="F1285" s="171" t="s">
        <v>833</v>
      </c>
      <c r="G1285" s="168">
        <f>IFERROR(VLOOKUP(F1285,'menu list'!B:C,2,FALSE)*E1285,"0")</f>
        <v>350</v>
      </c>
      <c r="H1285" s="337">
        <f t="shared" si="97"/>
        <v>52.5</v>
      </c>
      <c r="I1285" s="168">
        <f t="shared" si="98"/>
        <v>402.5</v>
      </c>
    </row>
    <row r="1286" spans="1:9" ht="13.2">
      <c r="A1286" s="170">
        <f t="shared" si="96"/>
        <v>1285</v>
      </c>
      <c r="B1286" s="171" t="s">
        <v>25</v>
      </c>
      <c r="C1286" s="171" t="str">
        <f>VLOOKUP(B1286,MEMBERS!B:C,2, )</f>
        <v>MR.MUHAMMAD ARIF</v>
      </c>
      <c r="D1286" s="326">
        <v>46015</v>
      </c>
      <c r="E1286" s="178">
        <v>1</v>
      </c>
      <c r="F1286" s="171" t="s">
        <v>869</v>
      </c>
      <c r="G1286" s="168">
        <f>IFERROR(VLOOKUP(F1286,'menu list'!B:C,2,FALSE)*E1286,"0")</f>
        <v>750</v>
      </c>
      <c r="H1286" s="337">
        <f t="shared" si="97"/>
        <v>112.5</v>
      </c>
      <c r="I1286" s="168">
        <f t="shared" si="98"/>
        <v>862.5</v>
      </c>
    </row>
    <row r="1287" spans="1:9" ht="13.2">
      <c r="A1287" s="170">
        <f t="shared" si="96"/>
        <v>1286</v>
      </c>
      <c r="B1287" s="171" t="s">
        <v>25</v>
      </c>
      <c r="C1287" s="171" t="str">
        <f>VLOOKUP(B1287,MEMBERS!B:C,2, )</f>
        <v>MR.MUHAMMAD ARIF</v>
      </c>
      <c r="D1287" s="326">
        <v>46015</v>
      </c>
      <c r="E1287" s="178">
        <v>2</v>
      </c>
      <c r="F1287" s="171" t="s">
        <v>664</v>
      </c>
      <c r="G1287" s="168">
        <f>IFERROR(VLOOKUP(F1287,'menu list'!B:C,2,FALSE)*E1287,"0")</f>
        <v>800</v>
      </c>
      <c r="H1287" s="337">
        <f t="shared" si="97"/>
        <v>120</v>
      </c>
      <c r="I1287" s="168">
        <f t="shared" si="98"/>
        <v>920</v>
      </c>
    </row>
    <row r="1288" spans="1:9" ht="13.2">
      <c r="A1288" s="170">
        <f t="shared" si="96"/>
        <v>1287</v>
      </c>
      <c r="B1288" s="171" t="s">
        <v>25</v>
      </c>
      <c r="C1288" s="171" t="str">
        <f>VLOOKUP(B1288,MEMBERS!B:C,2, )</f>
        <v>MR.MUHAMMAD ARIF</v>
      </c>
      <c r="D1288" s="326">
        <v>46015</v>
      </c>
      <c r="E1288" s="178">
        <v>1</v>
      </c>
      <c r="F1288" s="171" t="s">
        <v>868</v>
      </c>
      <c r="G1288" s="168">
        <f>IFERROR(VLOOKUP(F1288,'menu list'!B:C,2,FALSE)*E1288,"0")</f>
        <v>1000</v>
      </c>
      <c r="H1288" s="337">
        <f t="shared" si="97"/>
        <v>150</v>
      </c>
      <c r="I1288" s="168">
        <f t="shared" si="98"/>
        <v>1150</v>
      </c>
    </row>
    <row r="1289" spans="1:9" ht="13.2">
      <c r="A1289" s="170">
        <f t="shared" si="96"/>
        <v>1288</v>
      </c>
      <c r="B1289" s="171" t="s">
        <v>25</v>
      </c>
      <c r="C1289" s="171" t="str">
        <f>VLOOKUP(B1289,MEMBERS!B:C,2, )</f>
        <v>MR.MUHAMMAD ARIF</v>
      </c>
      <c r="D1289" s="326">
        <v>46015</v>
      </c>
      <c r="E1289" s="178">
        <v>2</v>
      </c>
      <c r="F1289" s="171" t="s">
        <v>504</v>
      </c>
      <c r="G1289" s="168">
        <f>IFERROR(VLOOKUP(F1289,'menu list'!B:C,2,FALSE)*E1289,"0")</f>
        <v>260</v>
      </c>
      <c r="H1289" s="337">
        <f t="shared" si="97"/>
        <v>39</v>
      </c>
      <c r="I1289" s="168">
        <f t="shared" si="98"/>
        <v>299</v>
      </c>
    </row>
    <row r="1290" spans="1:9" ht="13.2">
      <c r="A1290" s="170">
        <f t="shared" si="96"/>
        <v>1289</v>
      </c>
      <c r="B1290" s="171" t="s">
        <v>25</v>
      </c>
      <c r="C1290" s="171" t="str">
        <f>VLOOKUP(B1290,MEMBERS!B:C,2, )</f>
        <v>MR.MUHAMMAD ARIF</v>
      </c>
      <c r="D1290" s="326">
        <v>46015</v>
      </c>
      <c r="E1290" s="178">
        <v>1</v>
      </c>
      <c r="F1290" s="171" t="s">
        <v>439</v>
      </c>
      <c r="G1290" s="168">
        <f>IFERROR(VLOOKUP(F1290,'menu list'!B:C,2,FALSE)*E1290,"0")</f>
        <v>70</v>
      </c>
      <c r="H1290" s="337">
        <f t="shared" si="97"/>
        <v>10.5</v>
      </c>
      <c r="I1290" s="168">
        <f t="shared" si="98"/>
        <v>80.5</v>
      </c>
    </row>
    <row r="1291" spans="1:9" ht="13.2">
      <c r="A1291" s="170">
        <f t="shared" si="96"/>
        <v>1290</v>
      </c>
      <c r="B1291" s="171" t="s">
        <v>192</v>
      </c>
      <c r="C1291" s="171" t="str">
        <f>VLOOKUP(B1291,MEMBERS!B:C,2, )</f>
        <v>MR.HANIF AHSAN ZUBEDI</v>
      </c>
      <c r="D1291" s="326">
        <v>46015</v>
      </c>
      <c r="E1291" s="178">
        <v>1</v>
      </c>
      <c r="F1291" s="171" t="s">
        <v>634</v>
      </c>
      <c r="G1291" s="168">
        <f>IFERROR(VLOOKUP(F1291,'menu list'!B:C,2,FALSE)*E1291,"0")</f>
        <v>500</v>
      </c>
      <c r="H1291" s="337">
        <f t="shared" si="97"/>
        <v>75</v>
      </c>
      <c r="I1291" s="168">
        <f t="shared" si="98"/>
        <v>575</v>
      </c>
    </row>
    <row r="1292" spans="1:9" ht="13.2">
      <c r="A1292" s="170">
        <f t="shared" si="96"/>
        <v>1291</v>
      </c>
      <c r="B1292" s="171" t="s">
        <v>192</v>
      </c>
      <c r="C1292" s="171" t="str">
        <f>VLOOKUP(B1292,MEMBERS!B:C,2, )</f>
        <v>MR.HANIF AHSAN ZUBEDI</v>
      </c>
      <c r="D1292" s="326">
        <v>46015</v>
      </c>
      <c r="E1292" s="178">
        <v>1</v>
      </c>
      <c r="F1292" s="171" t="s">
        <v>502</v>
      </c>
      <c r="G1292" s="168">
        <f>IFERROR(VLOOKUP(F1292,'menu list'!B:C,2,FALSE)*E1292,"0")</f>
        <v>350</v>
      </c>
      <c r="H1292" s="337">
        <f t="shared" si="97"/>
        <v>52.5</v>
      </c>
      <c r="I1292" s="168">
        <f t="shared" si="98"/>
        <v>402.5</v>
      </c>
    </row>
    <row r="1293" spans="1:9" ht="13.2">
      <c r="A1293" s="170">
        <f t="shared" si="96"/>
        <v>1292</v>
      </c>
      <c r="B1293" s="171" t="s">
        <v>192</v>
      </c>
      <c r="C1293" s="171" t="str">
        <f>VLOOKUP(B1293,MEMBERS!B:C,2, )</f>
        <v>MR.HANIF AHSAN ZUBEDI</v>
      </c>
      <c r="D1293" s="326">
        <v>46015</v>
      </c>
      <c r="E1293" s="178">
        <v>2</v>
      </c>
      <c r="F1293" s="171" t="s">
        <v>498</v>
      </c>
      <c r="G1293" s="168">
        <f>IFERROR(VLOOKUP(F1293,'menu list'!B:C,2,FALSE)*E1293,"0")</f>
        <v>400</v>
      </c>
      <c r="H1293" s="337">
        <f t="shared" si="97"/>
        <v>60</v>
      </c>
      <c r="I1293" s="168">
        <f t="shared" si="98"/>
        <v>460</v>
      </c>
    </row>
    <row r="1294" spans="1:9" ht="13.2">
      <c r="A1294" s="170">
        <f t="shared" si="96"/>
        <v>1293</v>
      </c>
      <c r="B1294" s="171" t="s">
        <v>155</v>
      </c>
      <c r="C1294" s="171" t="str">
        <f>VLOOKUP(B1294,MEMBERS!B:C,2, )</f>
        <v>MR.PIR MUJEEB JAN SARHANDI</v>
      </c>
      <c r="D1294" s="326">
        <v>46015</v>
      </c>
      <c r="E1294" s="178">
        <v>1</v>
      </c>
      <c r="F1294" s="171" t="s">
        <v>740</v>
      </c>
      <c r="G1294" s="168">
        <f>IFERROR(VLOOKUP(F1294,'menu list'!B:C,2,FALSE)*E1294,"0")</f>
        <v>1800</v>
      </c>
      <c r="H1294" s="337">
        <f t="shared" si="97"/>
        <v>270</v>
      </c>
      <c r="I1294" s="168">
        <f t="shared" si="98"/>
        <v>2070</v>
      </c>
    </row>
    <row r="1295" spans="1:9" ht="13.2">
      <c r="A1295" s="170">
        <f t="shared" si="96"/>
        <v>1294</v>
      </c>
      <c r="B1295" s="171" t="s">
        <v>155</v>
      </c>
      <c r="C1295" s="171" t="str">
        <f>VLOOKUP(B1295,MEMBERS!B:C,2, )</f>
        <v>MR.PIR MUJEEB JAN SARHANDI</v>
      </c>
      <c r="D1295" s="326">
        <v>46015</v>
      </c>
      <c r="E1295" s="178">
        <v>1</v>
      </c>
      <c r="F1295" s="171" t="s">
        <v>846</v>
      </c>
      <c r="G1295" s="168">
        <f>IFERROR(VLOOKUP(F1295,'menu list'!B:C,2,FALSE)*E1295,"0")</f>
        <v>1250</v>
      </c>
      <c r="H1295" s="337">
        <f t="shared" si="97"/>
        <v>187.5</v>
      </c>
      <c r="I1295" s="168">
        <f t="shared" si="98"/>
        <v>1437.5</v>
      </c>
    </row>
    <row r="1296" spans="1:9" ht="13.2">
      <c r="A1296" s="170">
        <f t="shared" si="96"/>
        <v>1295</v>
      </c>
      <c r="B1296" s="171" t="s">
        <v>155</v>
      </c>
      <c r="C1296" s="171" t="str">
        <f>VLOOKUP(B1296,MEMBERS!B:C,2, )</f>
        <v>MR.PIR MUJEEB JAN SARHANDI</v>
      </c>
      <c r="D1296" s="326">
        <v>46015</v>
      </c>
      <c r="E1296" s="178">
        <v>1</v>
      </c>
      <c r="F1296" s="171" t="s">
        <v>559</v>
      </c>
      <c r="G1296" s="168">
        <f>IFERROR(VLOOKUP(F1296,'menu list'!B:C,2,FALSE)*E1296,"0")</f>
        <v>999</v>
      </c>
      <c r="H1296" s="337">
        <f t="shared" si="97"/>
        <v>149.85</v>
      </c>
      <c r="I1296" s="168">
        <f t="shared" si="98"/>
        <v>1148.8499999999999</v>
      </c>
    </row>
    <row r="1297" spans="1:9" ht="13.2">
      <c r="A1297" s="170">
        <f t="shared" si="96"/>
        <v>1296</v>
      </c>
      <c r="B1297" s="171" t="s">
        <v>155</v>
      </c>
      <c r="C1297" s="171" t="str">
        <f>VLOOKUP(B1297,MEMBERS!B:C,2, )</f>
        <v>MR.PIR MUJEEB JAN SARHANDI</v>
      </c>
      <c r="D1297" s="326">
        <v>46015</v>
      </c>
      <c r="E1297" s="178">
        <v>5</v>
      </c>
      <c r="F1297" s="171" t="s">
        <v>439</v>
      </c>
      <c r="G1297" s="168">
        <f>IFERROR(VLOOKUP(F1297,'menu list'!B:C,2,FALSE)*E1297,"0")</f>
        <v>350</v>
      </c>
      <c r="H1297" s="337">
        <f t="shared" si="97"/>
        <v>52.5</v>
      </c>
      <c r="I1297" s="168">
        <f t="shared" si="98"/>
        <v>402.5</v>
      </c>
    </row>
    <row r="1298" spans="1:9" ht="13.2">
      <c r="A1298" s="170">
        <f t="shared" si="96"/>
        <v>1297</v>
      </c>
      <c r="B1298" s="171" t="s">
        <v>155</v>
      </c>
      <c r="C1298" s="171" t="str">
        <f>VLOOKUP(B1298,MEMBERS!B:C,2, )</f>
        <v>MR.PIR MUJEEB JAN SARHANDI</v>
      </c>
      <c r="D1298" s="326">
        <v>46015</v>
      </c>
      <c r="E1298" s="178">
        <v>3</v>
      </c>
      <c r="F1298" s="171" t="s">
        <v>442</v>
      </c>
      <c r="G1298" s="168">
        <f>IFERROR(VLOOKUP(F1298,'menu list'!B:C,2,FALSE)*E1298,"0")</f>
        <v>450</v>
      </c>
      <c r="H1298" s="337">
        <f t="shared" si="97"/>
        <v>67.5</v>
      </c>
      <c r="I1298" s="168">
        <f t="shared" si="98"/>
        <v>517.5</v>
      </c>
    </row>
    <row r="1299" spans="1:9" ht="13.2">
      <c r="A1299" s="170">
        <f t="shared" si="96"/>
        <v>1298</v>
      </c>
      <c r="B1299" s="171" t="s">
        <v>155</v>
      </c>
      <c r="C1299" s="171" t="str">
        <f>VLOOKUP(B1299,MEMBERS!B:C,2, )</f>
        <v>MR.PIR MUJEEB JAN SARHANDI</v>
      </c>
      <c r="D1299" s="326">
        <v>46015</v>
      </c>
      <c r="E1299" s="178">
        <v>1</v>
      </c>
      <c r="F1299" s="171" t="s">
        <v>440</v>
      </c>
      <c r="G1299" s="168">
        <f>IFERROR(VLOOKUP(F1299,'menu list'!B:C,2,FALSE)*E1299,"0")</f>
        <v>150</v>
      </c>
      <c r="H1299" s="337">
        <f t="shared" si="97"/>
        <v>22.5</v>
      </c>
      <c r="I1299" s="168">
        <f t="shared" si="98"/>
        <v>172.5</v>
      </c>
    </row>
    <row r="1300" spans="1:9" ht="13.2">
      <c r="A1300" s="170">
        <f t="shared" si="96"/>
        <v>1299</v>
      </c>
      <c r="B1300" s="171" t="s">
        <v>10</v>
      </c>
      <c r="C1300" s="171" t="str">
        <f>VLOOKUP(B1300,MEMBERS!B:C,2, )</f>
        <v>MR. JABIR SHAHZAD</v>
      </c>
      <c r="D1300" s="326">
        <v>46015</v>
      </c>
      <c r="E1300" s="178">
        <v>1</v>
      </c>
      <c r="F1300" s="171" t="s">
        <v>809</v>
      </c>
      <c r="G1300" s="168">
        <f>IFERROR(VLOOKUP(F1300,'menu list'!B:C,2,FALSE)*E1300,"0")</f>
        <v>800</v>
      </c>
      <c r="H1300" s="337">
        <f t="shared" si="97"/>
        <v>120</v>
      </c>
      <c r="I1300" s="168">
        <f t="shared" si="98"/>
        <v>920</v>
      </c>
    </row>
    <row r="1301" spans="1:9" ht="13.2">
      <c r="A1301" s="170">
        <f t="shared" si="96"/>
        <v>1300</v>
      </c>
      <c r="B1301" s="171" t="s">
        <v>10</v>
      </c>
      <c r="C1301" s="171" t="str">
        <f>VLOOKUP(B1301,MEMBERS!B:C,2, )</f>
        <v>MR. JABIR SHAHZAD</v>
      </c>
      <c r="D1301" s="326">
        <v>46015</v>
      </c>
      <c r="E1301" s="178">
        <v>2</v>
      </c>
      <c r="F1301" s="171" t="s">
        <v>633</v>
      </c>
      <c r="G1301" s="168">
        <f>IFERROR(VLOOKUP(F1301,'menu list'!B:C,2,FALSE)*E1301,"0")</f>
        <v>1400</v>
      </c>
      <c r="H1301" s="337">
        <f t="shared" si="97"/>
        <v>210</v>
      </c>
      <c r="I1301" s="168">
        <f t="shared" si="98"/>
        <v>1610</v>
      </c>
    </row>
    <row r="1302" spans="1:9" ht="13.2">
      <c r="A1302" s="170">
        <f t="shared" si="96"/>
        <v>1301</v>
      </c>
      <c r="B1302" s="171" t="s">
        <v>10</v>
      </c>
      <c r="C1302" s="171" t="str">
        <f>VLOOKUP(B1302,MEMBERS!B:C,2, )</f>
        <v>MR. JABIR SHAHZAD</v>
      </c>
      <c r="D1302" s="326">
        <v>46015</v>
      </c>
      <c r="E1302" s="178">
        <v>1</v>
      </c>
      <c r="F1302" s="171" t="s">
        <v>500</v>
      </c>
      <c r="G1302" s="168">
        <f>IFERROR(VLOOKUP(F1302,'menu list'!B:C,2,FALSE)*E1302,"0")</f>
        <v>1250</v>
      </c>
      <c r="H1302" s="337">
        <f t="shared" si="97"/>
        <v>187.5</v>
      </c>
      <c r="I1302" s="168">
        <f t="shared" si="98"/>
        <v>1437.5</v>
      </c>
    </row>
    <row r="1303" spans="1:9" ht="13.2">
      <c r="A1303" s="170">
        <f t="shared" si="96"/>
        <v>1302</v>
      </c>
      <c r="B1303" s="171" t="s">
        <v>10</v>
      </c>
      <c r="C1303" s="171" t="str">
        <f>VLOOKUP(B1303,MEMBERS!B:C,2, )</f>
        <v>MR. JABIR SHAHZAD</v>
      </c>
      <c r="D1303" s="326">
        <v>46015</v>
      </c>
      <c r="E1303" s="178">
        <v>1</v>
      </c>
      <c r="F1303" s="171" t="s">
        <v>785</v>
      </c>
      <c r="G1303" s="168">
        <f>IFERROR(VLOOKUP(F1303,'menu list'!B:C,2,FALSE)*E1303,"0")</f>
        <v>950</v>
      </c>
      <c r="H1303" s="337">
        <f t="shared" si="97"/>
        <v>142.5</v>
      </c>
      <c r="I1303" s="168">
        <f t="shared" si="98"/>
        <v>1092.5</v>
      </c>
    </row>
    <row r="1304" spans="1:9" ht="13.2">
      <c r="A1304" s="170">
        <f t="shared" si="96"/>
        <v>1303</v>
      </c>
      <c r="B1304" s="171" t="s">
        <v>10</v>
      </c>
      <c r="C1304" s="171" t="str">
        <f>VLOOKUP(B1304,MEMBERS!B:C,2, )</f>
        <v>MR. JABIR SHAHZAD</v>
      </c>
      <c r="D1304" s="326">
        <v>46015</v>
      </c>
      <c r="E1304" s="178">
        <v>1</v>
      </c>
      <c r="F1304" s="171" t="s">
        <v>846</v>
      </c>
      <c r="G1304" s="168">
        <f>IFERROR(VLOOKUP(F1304,'menu list'!B:C,2,FALSE)*E1304,"0")</f>
        <v>1250</v>
      </c>
      <c r="H1304" s="337">
        <f t="shared" si="97"/>
        <v>187.5</v>
      </c>
      <c r="I1304" s="168">
        <f t="shared" si="98"/>
        <v>1437.5</v>
      </c>
    </row>
    <row r="1305" spans="1:9" ht="13.2">
      <c r="A1305" s="170">
        <f t="shared" si="96"/>
        <v>1304</v>
      </c>
      <c r="B1305" s="171" t="s">
        <v>10</v>
      </c>
      <c r="C1305" s="171" t="str">
        <f>VLOOKUP(B1305,MEMBERS!B:C,2, )</f>
        <v>MR. JABIR SHAHZAD</v>
      </c>
      <c r="D1305" s="326">
        <v>46015</v>
      </c>
      <c r="E1305" s="178">
        <v>1</v>
      </c>
      <c r="F1305" s="171" t="s">
        <v>770</v>
      </c>
      <c r="G1305" s="168">
        <f>IFERROR(VLOOKUP(F1305,'menu list'!B:C,2,FALSE)*E1305,"0")</f>
        <v>1000</v>
      </c>
      <c r="H1305" s="337">
        <f t="shared" si="97"/>
        <v>150</v>
      </c>
      <c r="I1305" s="168">
        <f t="shared" si="98"/>
        <v>1150</v>
      </c>
    </row>
    <row r="1306" spans="1:9" ht="13.2">
      <c r="A1306" s="170">
        <f t="shared" si="96"/>
        <v>1305</v>
      </c>
      <c r="B1306" s="171" t="s">
        <v>10</v>
      </c>
      <c r="C1306" s="171" t="str">
        <f>VLOOKUP(B1306,MEMBERS!B:C,2, )</f>
        <v>MR. JABIR SHAHZAD</v>
      </c>
      <c r="D1306" s="326">
        <v>46015</v>
      </c>
      <c r="E1306" s="178">
        <v>2</v>
      </c>
      <c r="F1306" s="171" t="s">
        <v>786</v>
      </c>
      <c r="G1306" s="168">
        <f>IFERROR(VLOOKUP(F1306,'menu list'!B:C,2,FALSE)*E1306,"0")</f>
        <v>2300</v>
      </c>
      <c r="H1306" s="337">
        <f t="shared" si="97"/>
        <v>345</v>
      </c>
      <c r="I1306" s="168">
        <f t="shared" si="98"/>
        <v>2645</v>
      </c>
    </row>
    <row r="1307" spans="1:9" ht="13.2">
      <c r="A1307" s="170">
        <f t="shared" si="96"/>
        <v>1306</v>
      </c>
      <c r="B1307" s="171" t="s">
        <v>10</v>
      </c>
      <c r="C1307" s="171" t="str">
        <f>VLOOKUP(B1307,MEMBERS!B:C,2, )</f>
        <v>MR. JABIR SHAHZAD</v>
      </c>
      <c r="D1307" s="326">
        <v>46015</v>
      </c>
      <c r="E1307" s="178">
        <v>1</v>
      </c>
      <c r="F1307" s="171" t="s">
        <v>939</v>
      </c>
      <c r="G1307" s="168">
        <f>IFERROR(VLOOKUP(F1307,'menu list'!B:C,2,FALSE)*E1307,"0")</f>
        <v>1200</v>
      </c>
      <c r="H1307" s="337">
        <f t="shared" si="97"/>
        <v>180</v>
      </c>
      <c r="I1307" s="168">
        <f t="shared" si="98"/>
        <v>1380</v>
      </c>
    </row>
    <row r="1308" spans="1:9" ht="13.2">
      <c r="A1308" s="170">
        <f t="shared" si="96"/>
        <v>1307</v>
      </c>
      <c r="B1308" s="171" t="s">
        <v>10</v>
      </c>
      <c r="C1308" s="171" t="str">
        <f>VLOOKUP(B1308,MEMBERS!B:C,2, )</f>
        <v>MR. JABIR SHAHZAD</v>
      </c>
      <c r="D1308" s="326">
        <v>46015</v>
      </c>
      <c r="E1308" s="178">
        <v>1</v>
      </c>
      <c r="F1308" s="171" t="s">
        <v>1240</v>
      </c>
      <c r="G1308" s="168">
        <f>IFERROR(VLOOKUP(F1308,'menu list'!B:C,2,FALSE)*E1308,"0")</f>
        <v>600</v>
      </c>
      <c r="H1308" s="337">
        <f t="shared" si="97"/>
        <v>90</v>
      </c>
      <c r="I1308" s="168">
        <f t="shared" si="98"/>
        <v>690</v>
      </c>
    </row>
    <row r="1309" spans="1:9" ht="13.2">
      <c r="A1309" s="170">
        <f t="shared" si="96"/>
        <v>1308</v>
      </c>
      <c r="B1309" s="171" t="s">
        <v>10</v>
      </c>
      <c r="C1309" s="171" t="str">
        <f>VLOOKUP(B1309,MEMBERS!B:C,2, )</f>
        <v>MR. JABIR SHAHZAD</v>
      </c>
      <c r="D1309" s="326">
        <v>46015</v>
      </c>
      <c r="E1309" s="178">
        <v>10</v>
      </c>
      <c r="F1309" s="171" t="s">
        <v>886</v>
      </c>
      <c r="G1309" s="168">
        <f>IFERROR(VLOOKUP(F1309,'menu list'!B:C,2,FALSE)*E1309,"0")</f>
        <v>1500</v>
      </c>
      <c r="H1309" s="337">
        <f t="shared" si="97"/>
        <v>225</v>
      </c>
      <c r="I1309" s="168">
        <f t="shared" si="98"/>
        <v>1725</v>
      </c>
    </row>
    <row r="1310" spans="1:9" ht="13.2">
      <c r="A1310" s="170">
        <f t="shared" si="96"/>
        <v>1309</v>
      </c>
      <c r="B1310" s="171" t="s">
        <v>10</v>
      </c>
      <c r="C1310" s="171" t="str">
        <f>VLOOKUP(B1310,MEMBERS!B:C,2, )</f>
        <v>MR. JABIR SHAHZAD</v>
      </c>
      <c r="D1310" s="326">
        <v>46015</v>
      </c>
      <c r="E1310" s="178">
        <v>2</v>
      </c>
      <c r="F1310" s="171" t="s">
        <v>441</v>
      </c>
      <c r="G1310" s="168">
        <f>IFERROR(VLOOKUP(F1310,'menu list'!B:C,2,FALSE)*E1310,"0")</f>
        <v>400</v>
      </c>
      <c r="H1310" s="337">
        <f t="shared" si="97"/>
        <v>60</v>
      </c>
      <c r="I1310" s="168">
        <f t="shared" si="98"/>
        <v>460</v>
      </c>
    </row>
    <row r="1311" spans="1:9" ht="13.2">
      <c r="A1311" s="170">
        <f t="shared" si="96"/>
        <v>1310</v>
      </c>
      <c r="B1311" s="171" t="s">
        <v>10</v>
      </c>
      <c r="C1311" s="171" t="str">
        <f>VLOOKUP(B1311,MEMBERS!B:C,2, )</f>
        <v>MR. JABIR SHAHZAD</v>
      </c>
      <c r="D1311" s="326">
        <v>46015</v>
      </c>
      <c r="E1311" s="178">
        <v>2</v>
      </c>
      <c r="F1311" s="171" t="s">
        <v>440</v>
      </c>
      <c r="G1311" s="168">
        <f>IFERROR(VLOOKUP(F1311,'menu list'!B:C,2,FALSE)*E1311,"0")</f>
        <v>300</v>
      </c>
      <c r="H1311" s="337">
        <f t="shared" si="97"/>
        <v>45</v>
      </c>
      <c r="I1311" s="168">
        <f t="shared" si="98"/>
        <v>345</v>
      </c>
    </row>
    <row r="1312" spans="1:9" ht="13.2">
      <c r="A1312" s="170">
        <f t="shared" si="96"/>
        <v>1311</v>
      </c>
      <c r="B1312" s="171" t="s">
        <v>395</v>
      </c>
      <c r="C1312" s="171" t="str">
        <f>VLOOKUP(B1312,MEMBERS!B:C,2, )</f>
        <v>BAHRIA INTERNATIONAL HOSPITAL</v>
      </c>
      <c r="D1312" s="326">
        <v>46015</v>
      </c>
      <c r="E1312" s="178">
        <v>10</v>
      </c>
      <c r="F1312" s="171" t="s">
        <v>516</v>
      </c>
      <c r="G1312" s="168">
        <f>IFERROR(VLOOKUP(F1312,'menu list'!B:C,2,FALSE)*E1312,"0")</f>
        <v>2500</v>
      </c>
      <c r="H1312" s="337"/>
      <c r="I1312" s="168">
        <f t="shared" si="98"/>
        <v>2500</v>
      </c>
    </row>
    <row r="1313" spans="1:9" ht="13.2">
      <c r="A1313" s="170">
        <f t="shared" si="96"/>
        <v>1312</v>
      </c>
      <c r="B1313" s="171" t="s">
        <v>395</v>
      </c>
      <c r="C1313" s="171" t="str">
        <f>VLOOKUP(B1313,MEMBERS!B:C,2, )</f>
        <v>BAHRIA INTERNATIONAL HOSPITAL</v>
      </c>
      <c r="D1313" s="326">
        <v>46015</v>
      </c>
      <c r="E1313" s="178">
        <v>10</v>
      </c>
      <c r="F1313" s="171" t="s">
        <v>558</v>
      </c>
      <c r="G1313" s="168">
        <f>IFERROR(VLOOKUP(F1313,'menu list'!B:C,2,FALSE)*E1313,"0")</f>
        <v>1500</v>
      </c>
      <c r="H1313" s="337"/>
      <c r="I1313" s="168">
        <f t="shared" si="98"/>
        <v>1500</v>
      </c>
    </row>
    <row r="1314" spans="1:9" ht="13.2">
      <c r="A1314" s="170">
        <f t="shared" si="96"/>
        <v>1313</v>
      </c>
      <c r="B1314" s="171" t="s">
        <v>395</v>
      </c>
      <c r="C1314" s="171" t="str">
        <f>VLOOKUP(B1314,MEMBERS!B:C,2, )</f>
        <v>BAHRIA INTERNATIONAL HOSPITAL</v>
      </c>
      <c r="D1314" s="326">
        <v>46015</v>
      </c>
      <c r="E1314" s="178">
        <v>4</v>
      </c>
      <c r="F1314" s="171" t="s">
        <v>515</v>
      </c>
      <c r="G1314" s="168">
        <f>IFERROR(VLOOKUP(F1314,'menu list'!B:C,2,FALSE)*E1314,"0")</f>
        <v>1600</v>
      </c>
      <c r="H1314" s="337"/>
      <c r="I1314" s="168">
        <f t="shared" si="98"/>
        <v>1600</v>
      </c>
    </row>
    <row r="1315" spans="1:9" ht="13.2">
      <c r="A1315" s="170">
        <f t="shared" si="96"/>
        <v>1314</v>
      </c>
      <c r="B1315" s="171" t="s">
        <v>418</v>
      </c>
      <c r="C1315" s="171" t="str">
        <f>VLOOKUP(B1315,MEMBERS!B:C,2, )</f>
        <v>ZAIB UR REHMAN</v>
      </c>
      <c r="D1315" s="326">
        <v>46015</v>
      </c>
      <c r="E1315" s="178">
        <v>1</v>
      </c>
      <c r="F1315" s="171" t="s">
        <v>498</v>
      </c>
      <c r="G1315" s="168">
        <f>IFERROR(VLOOKUP(F1315,'menu list'!B:C,2,FALSE)*E1315,"0")</f>
        <v>200</v>
      </c>
      <c r="H1315" s="337">
        <f t="shared" si="97"/>
        <v>30</v>
      </c>
      <c r="I1315" s="168">
        <f t="shared" si="98"/>
        <v>230</v>
      </c>
    </row>
    <row r="1316" spans="1:9" ht="13.2">
      <c r="A1316" s="170">
        <f t="shared" si="96"/>
        <v>1315</v>
      </c>
      <c r="B1316" s="171" t="s">
        <v>418</v>
      </c>
      <c r="C1316" s="171" t="str">
        <f>VLOOKUP(B1316,MEMBERS!B:C,2, )</f>
        <v>ZAIB UR REHMAN</v>
      </c>
      <c r="D1316" s="326">
        <v>46015</v>
      </c>
      <c r="E1316" s="178">
        <v>1</v>
      </c>
      <c r="F1316" s="171" t="s">
        <v>570</v>
      </c>
      <c r="G1316" s="168">
        <f>IFERROR(VLOOKUP(F1316,'menu list'!B:C,2,FALSE)*E1316,"0")</f>
        <v>150</v>
      </c>
      <c r="H1316" s="337">
        <f t="shared" si="97"/>
        <v>22.5</v>
      </c>
      <c r="I1316" s="168">
        <f t="shared" si="98"/>
        <v>172.5</v>
      </c>
    </row>
    <row r="1317" spans="1:9" ht="13.2">
      <c r="A1317" s="170">
        <f t="shared" si="96"/>
        <v>1316</v>
      </c>
      <c r="B1317" s="171" t="s">
        <v>1020</v>
      </c>
      <c r="C1317" s="171" t="str">
        <f>VLOOKUP(B1317,MEMBERS!B:C,2, )</f>
        <v>MR. MUNAWAR HUSSAIN</v>
      </c>
      <c r="D1317" s="326">
        <v>46015</v>
      </c>
      <c r="E1317" s="178">
        <v>2</v>
      </c>
      <c r="F1317" s="171" t="s">
        <v>643</v>
      </c>
      <c r="G1317" s="168">
        <f>IFERROR(VLOOKUP(F1317,'menu list'!B:C,2,FALSE)*E1317,"0")</f>
        <v>600</v>
      </c>
      <c r="H1317" s="337">
        <f t="shared" si="97"/>
        <v>90</v>
      </c>
      <c r="I1317" s="168">
        <f t="shared" si="98"/>
        <v>690</v>
      </c>
    </row>
    <row r="1318" spans="1:9" ht="13.2">
      <c r="A1318" s="170">
        <f t="shared" si="96"/>
        <v>1317</v>
      </c>
      <c r="B1318" s="171" t="s">
        <v>342</v>
      </c>
      <c r="C1318" s="171" t="str">
        <f>VLOOKUP(B1318,MEMBERS!B:C,2, )</f>
        <v xml:space="preserve">JAM FEROZ </v>
      </c>
      <c r="D1318" s="326">
        <v>46015</v>
      </c>
      <c r="E1318" s="178">
        <v>1</v>
      </c>
      <c r="F1318" s="171" t="s">
        <v>440</v>
      </c>
      <c r="G1318" s="168">
        <f>IFERROR(VLOOKUP(F1318,'menu list'!B:C,2,FALSE)*E1318,"0")</f>
        <v>150</v>
      </c>
      <c r="H1318" s="337">
        <f t="shared" si="97"/>
        <v>22.5</v>
      </c>
      <c r="I1318" s="168">
        <f t="shared" si="98"/>
        <v>172.5</v>
      </c>
    </row>
    <row r="1319" spans="1:9" ht="13.2">
      <c r="A1319" s="170">
        <f t="shared" si="96"/>
        <v>1318</v>
      </c>
      <c r="B1319" s="171" t="s">
        <v>342</v>
      </c>
      <c r="C1319" s="171" t="str">
        <f>VLOOKUP(B1319,MEMBERS!B:C,2, )</f>
        <v xml:space="preserve">JAM FEROZ </v>
      </c>
      <c r="D1319" s="326">
        <v>46015</v>
      </c>
      <c r="E1319" s="178">
        <v>1</v>
      </c>
      <c r="F1319" s="171" t="s">
        <v>500</v>
      </c>
      <c r="G1319" s="168">
        <f>IFERROR(VLOOKUP(F1319,'menu list'!B:C,2,FALSE)*E1319,"0")</f>
        <v>1250</v>
      </c>
      <c r="H1319" s="337">
        <f t="shared" si="97"/>
        <v>187.5</v>
      </c>
      <c r="I1319" s="168">
        <f t="shared" si="98"/>
        <v>1437.5</v>
      </c>
    </row>
    <row r="1320" spans="1:9" ht="13.2">
      <c r="A1320" s="170">
        <f t="shared" si="96"/>
        <v>1319</v>
      </c>
      <c r="B1320" s="171" t="s">
        <v>342</v>
      </c>
      <c r="C1320" s="171" t="str">
        <f>VLOOKUP(B1320,MEMBERS!B:C,2, )</f>
        <v xml:space="preserve">JAM FEROZ </v>
      </c>
      <c r="D1320" s="326">
        <v>46015</v>
      </c>
      <c r="E1320" s="178">
        <v>3</v>
      </c>
      <c r="F1320" s="171" t="s">
        <v>836</v>
      </c>
      <c r="G1320" s="168">
        <f>IFERROR(VLOOKUP(F1320,'menu list'!B:C,2,FALSE)*E1320,"0")</f>
        <v>1050</v>
      </c>
      <c r="H1320" s="337">
        <f t="shared" si="97"/>
        <v>157.5</v>
      </c>
      <c r="I1320" s="168">
        <f t="shared" si="98"/>
        <v>1207.5</v>
      </c>
    </row>
    <row r="1321" spans="1:9" ht="13.2">
      <c r="A1321" s="170">
        <f t="shared" si="96"/>
        <v>1320</v>
      </c>
      <c r="B1321" s="171" t="s">
        <v>342</v>
      </c>
      <c r="C1321" s="171" t="str">
        <f>VLOOKUP(B1321,MEMBERS!B:C,2, )</f>
        <v xml:space="preserve">JAM FEROZ </v>
      </c>
      <c r="D1321" s="326">
        <v>46015</v>
      </c>
      <c r="E1321" s="178">
        <v>4</v>
      </c>
      <c r="F1321" s="171" t="s">
        <v>770</v>
      </c>
      <c r="G1321" s="168">
        <f>IFERROR(VLOOKUP(F1321,'menu list'!B:C,2,FALSE)*E1321,"0")</f>
        <v>4000</v>
      </c>
      <c r="H1321" s="337">
        <f t="shared" si="97"/>
        <v>600</v>
      </c>
      <c r="I1321" s="168">
        <f t="shared" si="98"/>
        <v>4600</v>
      </c>
    </row>
    <row r="1322" spans="1:9" ht="13.2">
      <c r="A1322" s="170">
        <f t="shared" si="96"/>
        <v>1321</v>
      </c>
      <c r="B1322" s="171" t="s">
        <v>342</v>
      </c>
      <c r="C1322" s="171" t="str">
        <f>VLOOKUP(B1322,MEMBERS!B:C,2, )</f>
        <v xml:space="preserve">JAM FEROZ </v>
      </c>
      <c r="D1322" s="326">
        <v>46015</v>
      </c>
      <c r="E1322" s="178">
        <v>2</v>
      </c>
      <c r="F1322" s="171" t="s">
        <v>939</v>
      </c>
      <c r="G1322" s="168">
        <f>IFERROR(VLOOKUP(F1322,'menu list'!B:C,2,FALSE)*E1322,"0")</f>
        <v>2400</v>
      </c>
      <c r="H1322" s="337">
        <f t="shared" si="97"/>
        <v>360</v>
      </c>
      <c r="I1322" s="168">
        <f t="shared" si="98"/>
        <v>2760</v>
      </c>
    </row>
    <row r="1323" spans="1:9" ht="13.2">
      <c r="A1323" s="170">
        <f t="shared" si="96"/>
        <v>1322</v>
      </c>
      <c r="B1323" s="171" t="s">
        <v>342</v>
      </c>
      <c r="C1323" s="171" t="str">
        <f>VLOOKUP(B1323,MEMBERS!B:C,2, )</f>
        <v xml:space="preserve">JAM FEROZ </v>
      </c>
      <c r="D1323" s="326">
        <v>46015</v>
      </c>
      <c r="E1323" s="178">
        <v>2</v>
      </c>
      <c r="F1323" s="171" t="s">
        <v>846</v>
      </c>
      <c r="G1323" s="168">
        <f>IFERROR(VLOOKUP(F1323,'menu list'!B:C,2,FALSE)*E1323,"0")</f>
        <v>2500</v>
      </c>
      <c r="H1323" s="337">
        <f t="shared" si="97"/>
        <v>375</v>
      </c>
      <c r="I1323" s="168">
        <f t="shared" si="98"/>
        <v>2875</v>
      </c>
    </row>
    <row r="1324" spans="1:9" ht="13.2">
      <c r="A1324" s="170">
        <f t="shared" si="96"/>
        <v>1323</v>
      </c>
      <c r="B1324" s="171" t="s">
        <v>342</v>
      </c>
      <c r="C1324" s="171" t="str">
        <f>VLOOKUP(B1324,MEMBERS!B:C,2, )</f>
        <v xml:space="preserve">JAM FEROZ </v>
      </c>
      <c r="D1324" s="326">
        <v>46015</v>
      </c>
      <c r="E1324" s="178">
        <v>3</v>
      </c>
      <c r="F1324" s="171" t="s">
        <v>439</v>
      </c>
      <c r="G1324" s="168">
        <f>IFERROR(VLOOKUP(F1324,'menu list'!B:C,2,FALSE)*E1324,"0")</f>
        <v>210</v>
      </c>
      <c r="H1324" s="337">
        <f t="shared" si="97"/>
        <v>31.5</v>
      </c>
      <c r="I1324" s="168">
        <f t="shared" si="98"/>
        <v>241.5</v>
      </c>
    </row>
    <row r="1325" spans="1:9" ht="13.2">
      <c r="A1325" s="170">
        <f t="shared" si="96"/>
        <v>1324</v>
      </c>
      <c r="B1325" s="171" t="s">
        <v>342</v>
      </c>
      <c r="C1325" s="171" t="str">
        <f>VLOOKUP(B1325,MEMBERS!B:C,2, )</f>
        <v xml:space="preserve">JAM FEROZ </v>
      </c>
      <c r="D1325" s="326">
        <v>46015</v>
      </c>
      <c r="E1325" s="178">
        <v>6</v>
      </c>
      <c r="F1325" s="171" t="s">
        <v>504</v>
      </c>
      <c r="G1325" s="168">
        <f>IFERROR(VLOOKUP(F1325,'menu list'!B:C,2,FALSE)*E1325,"0")</f>
        <v>780</v>
      </c>
      <c r="H1325" s="337">
        <f t="shared" si="97"/>
        <v>117</v>
      </c>
      <c r="I1325" s="168">
        <f t="shared" si="98"/>
        <v>897</v>
      </c>
    </row>
    <row r="1326" spans="1:9" ht="13.2">
      <c r="A1326" s="170">
        <f t="shared" si="96"/>
        <v>1325</v>
      </c>
      <c r="B1326" s="171" t="s">
        <v>342</v>
      </c>
      <c r="C1326" s="171" t="str">
        <f>VLOOKUP(B1326,MEMBERS!B:C,2, )</f>
        <v xml:space="preserve">JAM FEROZ </v>
      </c>
      <c r="D1326" s="326">
        <v>46015</v>
      </c>
      <c r="E1326" s="178">
        <v>4</v>
      </c>
      <c r="F1326" s="171" t="s">
        <v>740</v>
      </c>
      <c r="G1326" s="168">
        <f>IFERROR(VLOOKUP(F1326,'menu list'!B:C,2,FALSE)*E1326,"0")</f>
        <v>7200</v>
      </c>
      <c r="H1326" s="337">
        <f t="shared" si="97"/>
        <v>1080</v>
      </c>
      <c r="I1326" s="168">
        <f t="shared" si="98"/>
        <v>8280</v>
      </c>
    </row>
    <row r="1327" spans="1:9" ht="13.2">
      <c r="A1327" s="170">
        <f t="shared" si="96"/>
        <v>1326</v>
      </c>
      <c r="B1327" s="171" t="s">
        <v>795</v>
      </c>
      <c r="C1327" s="171" t="str">
        <f>VLOOKUP(B1327,MEMBERS!B:C,2, )</f>
        <v>MR. HASAN KARIM</v>
      </c>
      <c r="D1327" s="326">
        <v>46016</v>
      </c>
      <c r="E1327" s="178">
        <v>3</v>
      </c>
      <c r="F1327" s="171" t="s">
        <v>846</v>
      </c>
      <c r="G1327" s="168">
        <f>IFERROR(VLOOKUP(F1327,'menu list'!B:C,2,FALSE)*E1327,"0")</f>
        <v>3750</v>
      </c>
      <c r="H1327" s="337">
        <f t="shared" si="97"/>
        <v>562.5</v>
      </c>
      <c r="I1327" s="168">
        <f t="shared" si="98"/>
        <v>4312.5</v>
      </c>
    </row>
    <row r="1328" spans="1:9" ht="13.2">
      <c r="A1328" s="170">
        <f t="shared" ref="A1328:A1391" si="99">IF(D1328&lt;&gt;"", ROW()-1, "")</f>
        <v>1327</v>
      </c>
      <c r="B1328" s="171" t="s">
        <v>795</v>
      </c>
      <c r="C1328" s="171" t="str">
        <f>VLOOKUP(B1328,MEMBERS!B:C,2, )</f>
        <v>MR. HASAN KARIM</v>
      </c>
      <c r="D1328" s="326">
        <v>46016</v>
      </c>
      <c r="E1328" s="178">
        <v>4</v>
      </c>
      <c r="F1328" s="171" t="s">
        <v>497</v>
      </c>
      <c r="G1328" s="168">
        <f>IFERROR(VLOOKUP(F1328,'menu list'!B:C,2,FALSE)*E1328,"0")</f>
        <v>1000</v>
      </c>
      <c r="H1328" s="337">
        <f t="shared" ref="H1328:H1391" si="100">G1328*15/100</f>
        <v>150</v>
      </c>
      <c r="I1328" s="168">
        <f t="shared" ref="I1328:I1391" si="101">G1328+H1328</f>
        <v>1150</v>
      </c>
    </row>
    <row r="1329" spans="1:9" ht="13.2">
      <c r="A1329" s="170">
        <f t="shared" si="99"/>
        <v>1328</v>
      </c>
      <c r="B1329" s="171" t="s">
        <v>795</v>
      </c>
      <c r="C1329" s="171" t="str">
        <f>VLOOKUP(B1329,MEMBERS!B:C,2, )</f>
        <v>MR. HASAN KARIM</v>
      </c>
      <c r="D1329" s="326">
        <v>46016</v>
      </c>
      <c r="E1329" s="178">
        <v>4</v>
      </c>
      <c r="F1329" s="171" t="s">
        <v>772</v>
      </c>
      <c r="G1329" s="168">
        <f>IFERROR(VLOOKUP(F1329,'menu list'!B:C,2,FALSE)*E1329,"0")</f>
        <v>3600</v>
      </c>
      <c r="H1329" s="337">
        <f t="shared" si="100"/>
        <v>540</v>
      </c>
      <c r="I1329" s="168">
        <f t="shared" si="101"/>
        <v>4140</v>
      </c>
    </row>
    <row r="1330" spans="1:9" ht="13.2">
      <c r="A1330" s="170">
        <f t="shared" si="99"/>
        <v>1329</v>
      </c>
      <c r="B1330" s="171" t="s">
        <v>795</v>
      </c>
      <c r="C1330" s="171" t="str">
        <f>VLOOKUP(B1330,MEMBERS!B:C,2, )</f>
        <v>MR. HASAN KARIM</v>
      </c>
      <c r="D1330" s="326">
        <v>46016</v>
      </c>
      <c r="E1330" s="178">
        <v>3</v>
      </c>
      <c r="F1330" s="171" t="s">
        <v>559</v>
      </c>
      <c r="G1330" s="168">
        <f>IFERROR(VLOOKUP(F1330,'menu list'!B:C,2,FALSE)*E1330,"0")</f>
        <v>2997</v>
      </c>
      <c r="H1330" s="337">
        <f t="shared" si="100"/>
        <v>449.55</v>
      </c>
      <c r="I1330" s="168">
        <f t="shared" si="101"/>
        <v>3446.55</v>
      </c>
    </row>
    <row r="1331" spans="1:9" ht="13.2">
      <c r="A1331" s="170">
        <f t="shared" si="99"/>
        <v>1330</v>
      </c>
      <c r="B1331" s="171" t="s">
        <v>795</v>
      </c>
      <c r="C1331" s="171" t="str">
        <f>VLOOKUP(B1331,MEMBERS!B:C,2, )</f>
        <v>MR. HASAN KARIM</v>
      </c>
      <c r="D1331" s="326">
        <v>46016</v>
      </c>
      <c r="E1331" s="178">
        <v>3</v>
      </c>
      <c r="F1331" s="171" t="s">
        <v>785</v>
      </c>
      <c r="G1331" s="168">
        <f>IFERROR(VLOOKUP(F1331,'menu list'!B:C,2,FALSE)*E1331,"0")</f>
        <v>2850</v>
      </c>
      <c r="H1331" s="337">
        <f t="shared" si="100"/>
        <v>427.5</v>
      </c>
      <c r="I1331" s="168">
        <f t="shared" si="101"/>
        <v>3277.5</v>
      </c>
    </row>
    <row r="1332" spans="1:9" ht="13.2">
      <c r="A1332" s="170">
        <f t="shared" si="99"/>
        <v>1331</v>
      </c>
      <c r="B1332" s="171" t="s">
        <v>795</v>
      </c>
      <c r="C1332" s="171" t="str">
        <f>VLOOKUP(B1332,MEMBERS!B:C,2, )</f>
        <v>MR. HASAN KARIM</v>
      </c>
      <c r="D1332" s="326">
        <v>46016</v>
      </c>
      <c r="E1332" s="178">
        <v>2</v>
      </c>
      <c r="F1332" s="171" t="s">
        <v>441</v>
      </c>
      <c r="G1332" s="168">
        <f>IFERROR(VLOOKUP(F1332,'menu list'!B:C,2,FALSE)*E1332,"0")</f>
        <v>400</v>
      </c>
      <c r="H1332" s="337">
        <f t="shared" si="100"/>
        <v>60</v>
      </c>
      <c r="I1332" s="168">
        <f t="shared" si="101"/>
        <v>460</v>
      </c>
    </row>
    <row r="1333" spans="1:9" ht="13.2">
      <c r="A1333" s="170">
        <f t="shared" si="99"/>
        <v>1332</v>
      </c>
      <c r="B1333" s="171" t="s">
        <v>795</v>
      </c>
      <c r="C1333" s="171" t="str">
        <f>VLOOKUP(B1333,MEMBERS!B:C,2, )</f>
        <v>MR. HASAN KARIM</v>
      </c>
      <c r="D1333" s="326">
        <v>46016</v>
      </c>
      <c r="E1333" s="178">
        <v>1</v>
      </c>
      <c r="F1333" s="171" t="s">
        <v>601</v>
      </c>
      <c r="G1333" s="168">
        <f>IFERROR(VLOOKUP(F1333,'menu list'!B:C,2,FALSE)*E1333,"0")</f>
        <v>1200</v>
      </c>
      <c r="H1333" s="337">
        <f t="shared" si="100"/>
        <v>180</v>
      </c>
      <c r="I1333" s="168">
        <f t="shared" si="101"/>
        <v>1380</v>
      </c>
    </row>
    <row r="1334" spans="1:9" ht="13.2">
      <c r="A1334" s="170">
        <f t="shared" si="99"/>
        <v>1333</v>
      </c>
      <c r="B1334" s="171" t="s">
        <v>795</v>
      </c>
      <c r="C1334" s="171" t="str">
        <f>VLOOKUP(B1334,MEMBERS!B:C,2, )</f>
        <v>MR. HASAN KARIM</v>
      </c>
      <c r="D1334" s="326">
        <v>46016</v>
      </c>
      <c r="E1334" s="178">
        <v>8</v>
      </c>
      <c r="F1334" s="171" t="s">
        <v>504</v>
      </c>
      <c r="G1334" s="168">
        <f>IFERROR(VLOOKUP(F1334,'menu list'!B:C,2,FALSE)*E1334,"0")</f>
        <v>1040</v>
      </c>
      <c r="H1334" s="337">
        <f t="shared" si="100"/>
        <v>156</v>
      </c>
      <c r="I1334" s="168">
        <f t="shared" si="101"/>
        <v>1196</v>
      </c>
    </row>
    <row r="1335" spans="1:9" ht="13.2">
      <c r="A1335" s="170">
        <f t="shared" si="99"/>
        <v>1334</v>
      </c>
      <c r="B1335" s="171" t="s">
        <v>795</v>
      </c>
      <c r="C1335" s="171" t="str">
        <f>VLOOKUP(B1335,MEMBERS!B:C,2, )</f>
        <v>MR. HASAN KARIM</v>
      </c>
      <c r="D1335" s="326">
        <v>46016</v>
      </c>
      <c r="E1335" s="178">
        <v>8</v>
      </c>
      <c r="F1335" s="171" t="s">
        <v>439</v>
      </c>
      <c r="G1335" s="168">
        <f>IFERROR(VLOOKUP(F1335,'menu list'!B:C,2,FALSE)*E1335,"0")</f>
        <v>560</v>
      </c>
      <c r="H1335" s="337">
        <f t="shared" si="100"/>
        <v>84</v>
      </c>
      <c r="I1335" s="168">
        <f t="shared" si="101"/>
        <v>644</v>
      </c>
    </row>
    <row r="1336" spans="1:9" ht="13.2">
      <c r="A1336" s="170">
        <f t="shared" si="99"/>
        <v>1335</v>
      </c>
      <c r="B1336" s="171" t="s">
        <v>795</v>
      </c>
      <c r="C1336" s="171" t="str">
        <f>VLOOKUP(B1336,MEMBERS!B:C,2, )</f>
        <v>MR. HASAN KARIM</v>
      </c>
      <c r="D1336" s="326">
        <v>46016</v>
      </c>
      <c r="E1336" s="178">
        <v>9</v>
      </c>
      <c r="F1336" s="171" t="s">
        <v>442</v>
      </c>
      <c r="G1336" s="168">
        <f>IFERROR(VLOOKUP(F1336,'menu list'!B:C,2,FALSE)*E1336,"0")</f>
        <v>1350</v>
      </c>
      <c r="H1336" s="337">
        <f t="shared" si="100"/>
        <v>202.5</v>
      </c>
      <c r="I1336" s="168">
        <f t="shared" si="101"/>
        <v>1552.5</v>
      </c>
    </row>
    <row r="1337" spans="1:9" ht="13.2">
      <c r="A1337" s="170">
        <f t="shared" si="99"/>
        <v>1336</v>
      </c>
      <c r="B1337" s="171" t="s">
        <v>795</v>
      </c>
      <c r="C1337" s="171" t="str">
        <f>VLOOKUP(B1337,MEMBERS!B:C,2, )</f>
        <v>MR. HASAN KARIM</v>
      </c>
      <c r="D1337" s="326">
        <v>46016</v>
      </c>
      <c r="E1337" s="178">
        <v>3</v>
      </c>
      <c r="F1337" s="171" t="s">
        <v>440</v>
      </c>
      <c r="G1337" s="168">
        <f>IFERROR(VLOOKUP(F1337,'menu list'!B:C,2,FALSE)*E1337,"0")</f>
        <v>450</v>
      </c>
      <c r="H1337" s="337">
        <f t="shared" si="100"/>
        <v>67.5</v>
      </c>
      <c r="I1337" s="168">
        <f t="shared" si="101"/>
        <v>517.5</v>
      </c>
    </row>
    <row r="1338" spans="1:9" ht="13.2">
      <c r="A1338" s="170">
        <f t="shared" si="99"/>
        <v>1337</v>
      </c>
      <c r="B1338" s="171" t="s">
        <v>795</v>
      </c>
      <c r="C1338" s="171" t="str">
        <f>VLOOKUP(B1338,MEMBERS!B:C,2, )</f>
        <v>MR. HASAN KARIM</v>
      </c>
      <c r="D1338" s="326">
        <v>46016</v>
      </c>
      <c r="E1338" s="178">
        <v>2</v>
      </c>
      <c r="F1338" s="171" t="s">
        <v>499</v>
      </c>
      <c r="G1338" s="168">
        <f>IFERROR(VLOOKUP(F1338,'menu list'!B:C,2,FALSE)*E1338,"0")</f>
        <v>200</v>
      </c>
      <c r="H1338" s="337">
        <f t="shared" si="100"/>
        <v>30</v>
      </c>
      <c r="I1338" s="168">
        <f t="shared" si="101"/>
        <v>230</v>
      </c>
    </row>
    <row r="1339" spans="1:9" ht="13.2">
      <c r="A1339" s="170">
        <f t="shared" si="99"/>
        <v>1338</v>
      </c>
      <c r="B1339" s="171" t="s">
        <v>795</v>
      </c>
      <c r="C1339" s="171" t="str">
        <f>VLOOKUP(B1339,MEMBERS!B:C,2, )</f>
        <v>MR. HASAN KARIM</v>
      </c>
      <c r="D1339" s="326">
        <v>46016</v>
      </c>
      <c r="E1339" s="178">
        <v>2</v>
      </c>
      <c r="F1339" s="171" t="s">
        <v>793</v>
      </c>
      <c r="G1339" s="168">
        <f>IFERROR(VLOOKUP(F1339,'menu list'!B:C,2,FALSE)*E1339,"0")</f>
        <v>1600</v>
      </c>
      <c r="H1339" s="337">
        <f t="shared" si="100"/>
        <v>240</v>
      </c>
      <c r="I1339" s="168">
        <f t="shared" si="101"/>
        <v>1840</v>
      </c>
    </row>
    <row r="1340" spans="1:9" ht="13.2">
      <c r="A1340" s="170">
        <f t="shared" si="99"/>
        <v>1339</v>
      </c>
      <c r="B1340" s="171" t="s">
        <v>323</v>
      </c>
      <c r="C1340" s="171" t="str">
        <f>VLOOKUP(B1340,MEMBERS!B:C,2, )</f>
        <v>DR.FAKHRUNISSA WAHEED</v>
      </c>
      <c r="D1340" s="326">
        <v>46016</v>
      </c>
      <c r="E1340" s="178">
        <v>7</v>
      </c>
      <c r="F1340" s="171" t="s">
        <v>1241</v>
      </c>
      <c r="G1340" s="168">
        <f>IFERROR(VLOOKUP(F1340,'menu list'!B:C,2,FALSE)*E1340,"0")</f>
        <v>17500</v>
      </c>
      <c r="H1340" s="337">
        <f t="shared" si="100"/>
        <v>2625</v>
      </c>
      <c r="I1340" s="168">
        <f t="shared" si="101"/>
        <v>20125</v>
      </c>
    </row>
    <row r="1341" spans="1:9" ht="13.2">
      <c r="A1341" s="170">
        <f t="shared" si="99"/>
        <v>1340</v>
      </c>
      <c r="B1341" s="171" t="s">
        <v>323</v>
      </c>
      <c r="C1341" s="171" t="str">
        <f>VLOOKUP(B1341,MEMBERS!B:C,2, )</f>
        <v>DR.FAKHRUNISSA WAHEED</v>
      </c>
      <c r="D1341" s="326">
        <v>46016</v>
      </c>
      <c r="E1341" s="178">
        <v>1</v>
      </c>
      <c r="F1341" s="171" t="s">
        <v>1242</v>
      </c>
      <c r="G1341" s="168">
        <f>IFERROR(VLOOKUP(F1341,'menu list'!B:C,2,FALSE)*E1341,"0")</f>
        <v>1250</v>
      </c>
      <c r="H1341" s="337">
        <f t="shared" si="100"/>
        <v>187.5</v>
      </c>
      <c r="I1341" s="168">
        <f t="shared" si="101"/>
        <v>1437.5</v>
      </c>
    </row>
    <row r="1342" spans="1:9" ht="13.2">
      <c r="A1342" s="170">
        <f t="shared" si="99"/>
        <v>1341</v>
      </c>
      <c r="B1342" s="171" t="s">
        <v>323</v>
      </c>
      <c r="C1342" s="171" t="str">
        <f>VLOOKUP(B1342,MEMBERS!B:C,2, )</f>
        <v>DR.FAKHRUNISSA WAHEED</v>
      </c>
      <c r="D1342" s="326">
        <v>46016</v>
      </c>
      <c r="E1342" s="178">
        <v>2</v>
      </c>
      <c r="F1342" s="171" t="s">
        <v>440</v>
      </c>
      <c r="G1342" s="168">
        <f>IFERROR(VLOOKUP(F1342,'menu list'!B:C,2,FALSE)*E1342,"0")</f>
        <v>300</v>
      </c>
      <c r="H1342" s="337">
        <f t="shared" si="100"/>
        <v>45</v>
      </c>
      <c r="I1342" s="168">
        <f t="shared" si="101"/>
        <v>345</v>
      </c>
    </row>
    <row r="1343" spans="1:9" ht="13.2">
      <c r="A1343" s="170">
        <f t="shared" si="99"/>
        <v>1342</v>
      </c>
      <c r="B1343" s="171" t="s">
        <v>323</v>
      </c>
      <c r="C1343" s="171" t="str">
        <f>VLOOKUP(B1343,MEMBERS!B:C,2, )</f>
        <v>DR.FAKHRUNISSA WAHEED</v>
      </c>
      <c r="D1343" s="326">
        <v>46016</v>
      </c>
      <c r="E1343" s="178">
        <v>6</v>
      </c>
      <c r="F1343" s="171" t="s">
        <v>502</v>
      </c>
      <c r="G1343" s="168">
        <f>IFERROR(VLOOKUP(F1343,'menu list'!B:C,2,FALSE)*E1343,"0")</f>
        <v>2100</v>
      </c>
      <c r="H1343" s="337">
        <f t="shared" si="100"/>
        <v>315</v>
      </c>
      <c r="I1343" s="168">
        <f t="shared" si="101"/>
        <v>2415</v>
      </c>
    </row>
    <row r="1344" spans="1:9" ht="13.2">
      <c r="A1344" s="170">
        <f t="shared" si="99"/>
        <v>1343</v>
      </c>
      <c r="B1344" s="171" t="s">
        <v>323</v>
      </c>
      <c r="C1344" s="171" t="str">
        <f>VLOOKUP(B1344,MEMBERS!B:C,2, )</f>
        <v>DR.FAKHRUNISSA WAHEED</v>
      </c>
      <c r="D1344" s="326">
        <v>46016</v>
      </c>
      <c r="E1344" s="178">
        <v>4</v>
      </c>
      <c r="F1344" s="171" t="s">
        <v>836</v>
      </c>
      <c r="G1344" s="168">
        <f>IFERROR(VLOOKUP(F1344,'menu list'!B:C,2,FALSE)*E1344,"0")</f>
        <v>1400</v>
      </c>
      <c r="H1344" s="337">
        <f t="shared" si="100"/>
        <v>210</v>
      </c>
      <c r="I1344" s="168">
        <f t="shared" si="101"/>
        <v>1610</v>
      </c>
    </row>
    <row r="1345" spans="1:9" ht="13.2">
      <c r="A1345" s="170">
        <f t="shared" si="99"/>
        <v>1344</v>
      </c>
      <c r="B1345" s="171" t="s">
        <v>323</v>
      </c>
      <c r="C1345" s="171" t="str">
        <f>VLOOKUP(B1345,MEMBERS!B:C,2, )</f>
        <v>DR.FAKHRUNISSA WAHEED</v>
      </c>
      <c r="D1345" s="326">
        <v>46016</v>
      </c>
      <c r="E1345" s="178">
        <v>3</v>
      </c>
      <c r="F1345" s="171" t="s">
        <v>498</v>
      </c>
      <c r="G1345" s="168">
        <f>IFERROR(VLOOKUP(F1345,'menu list'!B:C,2,FALSE)*E1345,"0")</f>
        <v>600</v>
      </c>
      <c r="H1345" s="337">
        <f t="shared" si="100"/>
        <v>90</v>
      </c>
      <c r="I1345" s="168">
        <f t="shared" si="101"/>
        <v>690</v>
      </c>
    </row>
    <row r="1346" spans="1:9" ht="13.2">
      <c r="A1346" s="170">
        <f t="shared" si="99"/>
        <v>1345</v>
      </c>
      <c r="B1346" s="171" t="s">
        <v>323</v>
      </c>
      <c r="C1346" s="171" t="str">
        <f>VLOOKUP(B1346,MEMBERS!B:C,2, )</f>
        <v>DR.FAKHRUNISSA WAHEED</v>
      </c>
      <c r="D1346" s="326">
        <v>46016</v>
      </c>
      <c r="E1346" s="178">
        <v>4</v>
      </c>
      <c r="F1346" s="171" t="s">
        <v>499</v>
      </c>
      <c r="G1346" s="168">
        <f>IFERROR(VLOOKUP(F1346,'menu list'!B:C,2,FALSE)*E1346,"0")</f>
        <v>400</v>
      </c>
      <c r="H1346" s="337">
        <f t="shared" si="100"/>
        <v>60</v>
      </c>
      <c r="I1346" s="168">
        <f t="shared" si="101"/>
        <v>460</v>
      </c>
    </row>
    <row r="1347" spans="1:9" ht="13.2">
      <c r="A1347" s="170">
        <f t="shared" si="99"/>
        <v>1346</v>
      </c>
      <c r="B1347" s="171" t="s">
        <v>323</v>
      </c>
      <c r="C1347" s="171" t="str">
        <f>VLOOKUP(B1347,MEMBERS!B:C,2, )</f>
        <v>DR.FAKHRUNISSA WAHEED</v>
      </c>
      <c r="D1347" s="326">
        <v>46016</v>
      </c>
      <c r="E1347" s="178">
        <v>3</v>
      </c>
      <c r="F1347" s="171" t="s">
        <v>442</v>
      </c>
      <c r="G1347" s="168">
        <f>IFERROR(VLOOKUP(F1347,'menu list'!B:C,2,FALSE)*E1347,"0")</f>
        <v>450</v>
      </c>
      <c r="H1347" s="337">
        <f t="shared" si="100"/>
        <v>67.5</v>
      </c>
      <c r="I1347" s="168">
        <f t="shared" si="101"/>
        <v>517.5</v>
      </c>
    </row>
    <row r="1348" spans="1:9" ht="13.2">
      <c r="A1348" s="170">
        <f t="shared" si="99"/>
        <v>1347</v>
      </c>
      <c r="B1348" s="171" t="s">
        <v>263</v>
      </c>
      <c r="C1348" s="171" t="str">
        <f>VLOOKUP(B1348,MEMBERS!B:C,2, )</f>
        <v>MR.CAREL HEDRIK BURGER</v>
      </c>
      <c r="D1348" s="326">
        <v>46016</v>
      </c>
      <c r="E1348" s="178">
        <v>12</v>
      </c>
      <c r="F1348" s="171" t="s">
        <v>1241</v>
      </c>
      <c r="G1348" s="168">
        <f>IFERROR(VLOOKUP(F1348,'menu list'!B:C,2,FALSE)*E1348,"0")</f>
        <v>30000</v>
      </c>
      <c r="H1348" s="337">
        <f t="shared" si="100"/>
        <v>4500</v>
      </c>
      <c r="I1348" s="168">
        <f t="shared" si="101"/>
        <v>34500</v>
      </c>
    </row>
    <row r="1349" spans="1:9" ht="13.2">
      <c r="A1349" s="170">
        <f t="shared" si="99"/>
        <v>1348</v>
      </c>
      <c r="B1349" s="171" t="s">
        <v>263</v>
      </c>
      <c r="C1349" s="171" t="str">
        <f>VLOOKUP(B1349,MEMBERS!B:C,2, )</f>
        <v>MR.CAREL HEDRIK BURGER</v>
      </c>
      <c r="D1349" s="326">
        <v>46016</v>
      </c>
      <c r="E1349" s="178">
        <v>8</v>
      </c>
      <c r="F1349" s="171" t="s">
        <v>499</v>
      </c>
      <c r="G1349" s="168">
        <f>IFERROR(VLOOKUP(F1349,'menu list'!B:C,2,FALSE)*E1349,"0")</f>
        <v>800</v>
      </c>
      <c r="H1349" s="337">
        <f t="shared" si="100"/>
        <v>120</v>
      </c>
      <c r="I1349" s="168">
        <f t="shared" si="101"/>
        <v>920</v>
      </c>
    </row>
    <row r="1350" spans="1:9" ht="13.2">
      <c r="A1350" s="170">
        <f t="shared" si="99"/>
        <v>1349</v>
      </c>
      <c r="B1350" s="171" t="s">
        <v>263</v>
      </c>
      <c r="C1350" s="171" t="str">
        <f>VLOOKUP(B1350,MEMBERS!B:C,2, )</f>
        <v>MR.CAREL HEDRIK BURGER</v>
      </c>
      <c r="D1350" s="326">
        <v>46016</v>
      </c>
      <c r="E1350" s="178">
        <v>2</v>
      </c>
      <c r="F1350" s="171" t="s">
        <v>440</v>
      </c>
      <c r="G1350" s="168">
        <f>IFERROR(VLOOKUP(F1350,'menu list'!B:C,2,FALSE)*E1350,"0")</f>
        <v>300</v>
      </c>
      <c r="H1350" s="337">
        <f t="shared" si="100"/>
        <v>45</v>
      </c>
      <c r="I1350" s="168">
        <f t="shared" si="101"/>
        <v>345</v>
      </c>
    </row>
    <row r="1351" spans="1:9" ht="13.2">
      <c r="A1351" s="170">
        <f t="shared" si="99"/>
        <v>1350</v>
      </c>
      <c r="B1351" s="171" t="s">
        <v>263</v>
      </c>
      <c r="C1351" s="171" t="str">
        <f>VLOOKUP(B1351,MEMBERS!B:C,2, )</f>
        <v>MR.CAREL HEDRIK BURGER</v>
      </c>
      <c r="D1351" s="326">
        <v>46016</v>
      </c>
      <c r="E1351" s="178">
        <v>3</v>
      </c>
      <c r="F1351" s="171" t="s">
        <v>442</v>
      </c>
      <c r="G1351" s="168">
        <f>IFERROR(VLOOKUP(F1351,'menu list'!B:C,2,FALSE)*E1351,"0")</f>
        <v>450</v>
      </c>
      <c r="H1351" s="337">
        <f t="shared" si="100"/>
        <v>67.5</v>
      </c>
      <c r="I1351" s="168">
        <f t="shared" si="101"/>
        <v>517.5</v>
      </c>
    </row>
    <row r="1352" spans="1:9" ht="13.2">
      <c r="A1352" s="170">
        <f t="shared" si="99"/>
        <v>1351</v>
      </c>
      <c r="B1352" s="171" t="s">
        <v>263</v>
      </c>
      <c r="C1352" s="171" t="str">
        <f>VLOOKUP(B1352,MEMBERS!B:C,2, )</f>
        <v>MR.CAREL HEDRIK BURGER</v>
      </c>
      <c r="D1352" s="326">
        <v>46016</v>
      </c>
      <c r="E1352" s="178">
        <v>4</v>
      </c>
      <c r="F1352" s="171" t="s">
        <v>582</v>
      </c>
      <c r="G1352" s="168">
        <f>IFERROR(VLOOKUP(F1352,'menu list'!B:C,2,FALSE)*E1352,"0")</f>
        <v>1200</v>
      </c>
      <c r="H1352" s="337">
        <f t="shared" si="100"/>
        <v>180</v>
      </c>
      <c r="I1352" s="168">
        <f t="shared" si="101"/>
        <v>1380</v>
      </c>
    </row>
    <row r="1353" spans="1:9" ht="13.2">
      <c r="A1353" s="170">
        <f t="shared" si="99"/>
        <v>1352</v>
      </c>
      <c r="B1353" s="171" t="s">
        <v>263</v>
      </c>
      <c r="C1353" s="171" t="str">
        <f>VLOOKUP(B1353,MEMBERS!B:C,2, )</f>
        <v>MR.CAREL HEDRIK BURGER</v>
      </c>
      <c r="D1353" s="326">
        <v>46016</v>
      </c>
      <c r="E1353" s="178">
        <v>9</v>
      </c>
      <c r="F1353" s="171" t="s">
        <v>573</v>
      </c>
      <c r="G1353" s="168">
        <f>IFERROR(VLOOKUP(F1353,'menu list'!B:C,2,FALSE)*E1353,"0")</f>
        <v>27000</v>
      </c>
      <c r="H1353" s="337">
        <f t="shared" si="100"/>
        <v>4050</v>
      </c>
      <c r="I1353" s="168">
        <f t="shared" si="101"/>
        <v>31050</v>
      </c>
    </row>
    <row r="1354" spans="1:9" ht="13.2">
      <c r="A1354" s="170">
        <f t="shared" si="99"/>
        <v>1353</v>
      </c>
      <c r="B1354" s="171" t="s">
        <v>426</v>
      </c>
      <c r="C1354" s="171" t="str">
        <f>VLOOKUP(B1354,MEMBERS!B:C,2, )</f>
        <v>NASIR ABBAS</v>
      </c>
      <c r="D1354" s="326">
        <v>46016</v>
      </c>
      <c r="E1354" s="178">
        <v>6</v>
      </c>
      <c r="F1354" s="171" t="s">
        <v>1241</v>
      </c>
      <c r="G1354" s="168">
        <f>IFERROR(VLOOKUP(F1354,'menu list'!B:C,2,FALSE)*E1354,"0")</f>
        <v>15000</v>
      </c>
      <c r="H1354" s="337">
        <f t="shared" si="100"/>
        <v>2250</v>
      </c>
      <c r="I1354" s="168">
        <f t="shared" si="101"/>
        <v>17250</v>
      </c>
    </row>
    <row r="1355" spans="1:9" ht="13.2">
      <c r="A1355" s="170">
        <f t="shared" si="99"/>
        <v>1354</v>
      </c>
      <c r="B1355" s="171" t="s">
        <v>426</v>
      </c>
      <c r="C1355" s="171" t="str">
        <f>VLOOKUP(B1355,MEMBERS!B:C,2, )</f>
        <v>NASIR ABBAS</v>
      </c>
      <c r="D1355" s="326">
        <v>46016</v>
      </c>
      <c r="E1355" s="178">
        <v>6</v>
      </c>
      <c r="F1355" s="171" t="s">
        <v>502</v>
      </c>
      <c r="G1355" s="168">
        <f>IFERROR(VLOOKUP(F1355,'menu list'!B:C,2,FALSE)*E1355,"0")</f>
        <v>2100</v>
      </c>
      <c r="H1355" s="337">
        <f t="shared" si="100"/>
        <v>315</v>
      </c>
      <c r="I1355" s="168">
        <f t="shared" si="101"/>
        <v>2415</v>
      </c>
    </row>
    <row r="1356" spans="1:9" ht="13.2">
      <c r="A1356" s="170">
        <f t="shared" si="99"/>
        <v>1355</v>
      </c>
      <c r="B1356" s="171" t="s">
        <v>426</v>
      </c>
      <c r="C1356" s="171" t="str">
        <f>VLOOKUP(B1356,MEMBERS!B:C,2, )</f>
        <v>NASIR ABBAS</v>
      </c>
      <c r="D1356" s="326">
        <v>46016</v>
      </c>
      <c r="E1356" s="178">
        <v>2</v>
      </c>
      <c r="F1356" s="171" t="s">
        <v>440</v>
      </c>
      <c r="G1356" s="168">
        <f>IFERROR(VLOOKUP(F1356,'menu list'!B:C,2,FALSE)*E1356,"0")</f>
        <v>300</v>
      </c>
      <c r="H1356" s="337">
        <f t="shared" si="100"/>
        <v>45</v>
      </c>
      <c r="I1356" s="168">
        <f t="shared" si="101"/>
        <v>345</v>
      </c>
    </row>
    <row r="1357" spans="1:9" ht="13.2">
      <c r="A1357" s="170">
        <f t="shared" si="99"/>
        <v>1356</v>
      </c>
      <c r="B1357" s="171" t="s">
        <v>258</v>
      </c>
      <c r="C1357" s="171" t="str">
        <f>VLOOKUP(B1357,MEMBERS!B:C,2, )</f>
        <v>BRIG DR. GHULAM MEHDI (Retd)</v>
      </c>
      <c r="D1357" s="326">
        <v>46016</v>
      </c>
      <c r="E1357" s="178">
        <v>2</v>
      </c>
      <c r="F1357" s="171" t="s">
        <v>1241</v>
      </c>
      <c r="G1357" s="168">
        <f>IFERROR(VLOOKUP(F1357,'menu list'!B:C,2,FALSE)*E1357,"0")</f>
        <v>5000</v>
      </c>
      <c r="H1357" s="337">
        <f t="shared" si="100"/>
        <v>750</v>
      </c>
      <c r="I1357" s="168">
        <f t="shared" si="101"/>
        <v>5750</v>
      </c>
    </row>
    <row r="1358" spans="1:9" ht="13.2">
      <c r="A1358" s="170">
        <f t="shared" si="99"/>
        <v>1357</v>
      </c>
      <c r="B1358" s="171" t="s">
        <v>258</v>
      </c>
      <c r="C1358" s="171" t="str">
        <f>VLOOKUP(B1358,MEMBERS!B:C,2, )</f>
        <v>BRIG DR. GHULAM MEHDI (Retd)</v>
      </c>
      <c r="D1358" s="326">
        <v>46016</v>
      </c>
      <c r="E1358" s="178">
        <v>2</v>
      </c>
      <c r="F1358" s="171" t="s">
        <v>502</v>
      </c>
      <c r="G1358" s="168">
        <f>IFERROR(VLOOKUP(F1358,'menu list'!B:C,2,FALSE)*E1358,"0")</f>
        <v>700</v>
      </c>
      <c r="H1358" s="337">
        <f t="shared" si="100"/>
        <v>105</v>
      </c>
      <c r="I1358" s="168">
        <f t="shared" si="101"/>
        <v>805</v>
      </c>
    </row>
    <row r="1359" spans="1:9" ht="13.2">
      <c r="A1359" s="170">
        <f t="shared" si="99"/>
        <v>1358</v>
      </c>
      <c r="B1359" s="171" t="s">
        <v>258</v>
      </c>
      <c r="C1359" s="171" t="str">
        <f>VLOOKUP(B1359,MEMBERS!B:C,2, )</f>
        <v>BRIG DR. GHULAM MEHDI (Retd)</v>
      </c>
      <c r="D1359" s="326">
        <v>46016</v>
      </c>
      <c r="E1359" s="178">
        <v>1</v>
      </c>
      <c r="F1359" s="171" t="s">
        <v>440</v>
      </c>
      <c r="G1359" s="168">
        <f>IFERROR(VLOOKUP(F1359,'menu list'!B:C,2,FALSE)*E1359,"0")</f>
        <v>150</v>
      </c>
      <c r="H1359" s="337">
        <f t="shared" si="100"/>
        <v>22.5</v>
      </c>
      <c r="I1359" s="168">
        <f t="shared" si="101"/>
        <v>172.5</v>
      </c>
    </row>
    <row r="1360" spans="1:9" ht="13.2">
      <c r="A1360" s="170">
        <f t="shared" si="99"/>
        <v>1359</v>
      </c>
      <c r="B1360" s="171" t="s">
        <v>7</v>
      </c>
      <c r="C1360" s="171" t="str">
        <f>VLOOKUP(B1360,MEMBERS!B:C,2, )</f>
        <v>ADMIRAL AHMED HAYAT</v>
      </c>
      <c r="D1360" s="326">
        <v>46016</v>
      </c>
      <c r="E1360" s="178">
        <v>9</v>
      </c>
      <c r="F1360" s="171" t="s">
        <v>1241</v>
      </c>
      <c r="G1360" s="168">
        <f>IFERROR(VLOOKUP(F1360,'menu list'!B:C,2,FALSE)*E1360,"0")</f>
        <v>22500</v>
      </c>
      <c r="H1360" s="337">
        <f t="shared" si="100"/>
        <v>3375</v>
      </c>
      <c r="I1360" s="168">
        <f t="shared" si="101"/>
        <v>25875</v>
      </c>
    </row>
    <row r="1361" spans="1:9" ht="13.2">
      <c r="A1361" s="170">
        <f t="shared" si="99"/>
        <v>1360</v>
      </c>
      <c r="B1361" s="171" t="s">
        <v>7</v>
      </c>
      <c r="C1361" s="171" t="str">
        <f>VLOOKUP(B1361,MEMBERS!B:C,2, )</f>
        <v>ADMIRAL AHMED HAYAT</v>
      </c>
      <c r="D1361" s="326">
        <v>46016</v>
      </c>
      <c r="E1361" s="178">
        <v>5</v>
      </c>
      <c r="F1361" s="171" t="s">
        <v>502</v>
      </c>
      <c r="G1361" s="168">
        <f>IFERROR(VLOOKUP(F1361,'menu list'!B:C,2,FALSE)*E1361,"0")</f>
        <v>1750</v>
      </c>
      <c r="H1361" s="337">
        <f t="shared" si="100"/>
        <v>262.5</v>
      </c>
      <c r="I1361" s="168">
        <f t="shared" si="101"/>
        <v>2012.5</v>
      </c>
    </row>
    <row r="1362" spans="1:9" ht="13.2">
      <c r="A1362" s="170">
        <f t="shared" si="99"/>
        <v>1361</v>
      </c>
      <c r="B1362" s="171" t="s">
        <v>7</v>
      </c>
      <c r="C1362" s="171" t="str">
        <f>VLOOKUP(B1362,MEMBERS!B:C,2, )</f>
        <v>ADMIRAL AHMED HAYAT</v>
      </c>
      <c r="D1362" s="326">
        <v>46016</v>
      </c>
      <c r="E1362" s="178">
        <v>2</v>
      </c>
      <c r="F1362" s="171" t="s">
        <v>440</v>
      </c>
      <c r="G1362" s="168">
        <f>IFERROR(VLOOKUP(F1362,'menu list'!B:C,2,FALSE)*E1362,"0")</f>
        <v>300</v>
      </c>
      <c r="H1362" s="337">
        <f t="shared" si="100"/>
        <v>45</v>
      </c>
      <c r="I1362" s="168">
        <f t="shared" si="101"/>
        <v>345</v>
      </c>
    </row>
    <row r="1363" spans="1:9" ht="13.2">
      <c r="A1363" s="170">
        <f t="shared" si="99"/>
        <v>1362</v>
      </c>
      <c r="B1363" s="171" t="s">
        <v>217</v>
      </c>
      <c r="C1363" s="171" t="str">
        <f>VLOOKUP(B1363,MEMBERS!B:C,2, )</f>
        <v>MR.ZAIN FAROOQ</v>
      </c>
      <c r="D1363" s="326">
        <v>46016</v>
      </c>
      <c r="E1363" s="178">
        <v>3</v>
      </c>
      <c r="F1363" s="171" t="s">
        <v>1241</v>
      </c>
      <c r="G1363" s="168">
        <f>IFERROR(VLOOKUP(F1363,'menu list'!B:C,2,FALSE)*E1363,"0")</f>
        <v>7500</v>
      </c>
      <c r="H1363" s="337">
        <f t="shared" si="100"/>
        <v>1125</v>
      </c>
      <c r="I1363" s="168">
        <f t="shared" si="101"/>
        <v>8625</v>
      </c>
    </row>
    <row r="1364" spans="1:9" ht="13.2">
      <c r="A1364" s="170">
        <f t="shared" si="99"/>
        <v>1363</v>
      </c>
      <c r="B1364" s="171" t="s">
        <v>217</v>
      </c>
      <c r="C1364" s="171" t="str">
        <f>VLOOKUP(B1364,MEMBERS!B:C,2, )</f>
        <v>MR.ZAIN FAROOQ</v>
      </c>
      <c r="D1364" s="326">
        <v>46016</v>
      </c>
      <c r="E1364" s="178">
        <v>2</v>
      </c>
      <c r="F1364" s="171" t="s">
        <v>499</v>
      </c>
      <c r="G1364" s="168">
        <f>IFERROR(VLOOKUP(F1364,'menu list'!B:C,2,FALSE)*E1364,"0")</f>
        <v>200</v>
      </c>
      <c r="H1364" s="337">
        <f t="shared" si="100"/>
        <v>30</v>
      </c>
      <c r="I1364" s="168">
        <f t="shared" si="101"/>
        <v>230</v>
      </c>
    </row>
    <row r="1365" spans="1:9" ht="13.2">
      <c r="A1365" s="170">
        <f t="shared" si="99"/>
        <v>1364</v>
      </c>
      <c r="B1365" s="171" t="s">
        <v>226</v>
      </c>
      <c r="C1365" s="171" t="str">
        <f>VLOOKUP(B1365,MEMBERS!B:C,2, )</f>
        <v>MR.ASIF ALI</v>
      </c>
      <c r="D1365" s="326">
        <v>46016</v>
      </c>
      <c r="E1365" s="178">
        <v>9</v>
      </c>
      <c r="F1365" s="171" t="s">
        <v>1241</v>
      </c>
      <c r="G1365" s="168">
        <f>IFERROR(VLOOKUP(F1365,'menu list'!B:C,2,FALSE)*E1365,"0")</f>
        <v>22500</v>
      </c>
      <c r="H1365" s="337">
        <f t="shared" si="100"/>
        <v>3375</v>
      </c>
      <c r="I1365" s="168">
        <f t="shared" si="101"/>
        <v>25875</v>
      </c>
    </row>
    <row r="1366" spans="1:9" ht="13.2">
      <c r="A1366" s="170">
        <f t="shared" si="99"/>
        <v>1365</v>
      </c>
      <c r="B1366" s="171" t="s">
        <v>226</v>
      </c>
      <c r="C1366" s="171" t="str">
        <f>VLOOKUP(B1366,MEMBERS!B:C,2, )</f>
        <v>MR.ASIF ALI</v>
      </c>
      <c r="D1366" s="326">
        <v>46016</v>
      </c>
      <c r="E1366" s="178">
        <v>5</v>
      </c>
      <c r="F1366" s="171" t="s">
        <v>499</v>
      </c>
      <c r="G1366" s="168">
        <f>IFERROR(VLOOKUP(F1366,'menu list'!B:C,2,FALSE)*E1366,"0")</f>
        <v>500</v>
      </c>
      <c r="H1366" s="337">
        <f t="shared" si="100"/>
        <v>75</v>
      </c>
      <c r="I1366" s="168">
        <f t="shared" si="101"/>
        <v>575</v>
      </c>
    </row>
    <row r="1367" spans="1:9" ht="13.2">
      <c r="A1367" s="170">
        <f t="shared" si="99"/>
        <v>1366</v>
      </c>
      <c r="B1367" s="171" t="s">
        <v>226</v>
      </c>
      <c r="C1367" s="171" t="str">
        <f>VLOOKUP(B1367,MEMBERS!B:C,2, )</f>
        <v>MR.ASIF ALI</v>
      </c>
      <c r="D1367" s="326">
        <v>46016</v>
      </c>
      <c r="E1367" s="178">
        <v>9</v>
      </c>
      <c r="F1367" s="171" t="s">
        <v>442</v>
      </c>
      <c r="G1367" s="168">
        <f>IFERROR(VLOOKUP(F1367,'menu list'!B:C,2,FALSE)*E1367,"0")</f>
        <v>1350</v>
      </c>
      <c r="H1367" s="337">
        <f t="shared" si="100"/>
        <v>202.5</v>
      </c>
      <c r="I1367" s="168">
        <f t="shared" si="101"/>
        <v>1552.5</v>
      </c>
    </row>
    <row r="1368" spans="1:9" ht="13.2">
      <c r="A1368" s="170">
        <f t="shared" si="99"/>
        <v>1367</v>
      </c>
      <c r="B1368" s="171" t="s">
        <v>359</v>
      </c>
      <c r="C1368" s="171" t="str">
        <f>VLOOKUP(B1368,MEMBERS!B:C,2, )</f>
        <v>DR.NASEEM MUNSHI</v>
      </c>
      <c r="D1368" s="326">
        <v>46016</v>
      </c>
      <c r="E1368" s="178">
        <v>6</v>
      </c>
      <c r="F1368" s="171" t="s">
        <v>1241</v>
      </c>
      <c r="G1368" s="168">
        <f>IFERROR(VLOOKUP(F1368,'menu list'!B:C,2,FALSE)*E1368,"0")</f>
        <v>15000</v>
      </c>
      <c r="H1368" s="337">
        <f t="shared" si="100"/>
        <v>2250</v>
      </c>
      <c r="I1368" s="168">
        <f t="shared" si="101"/>
        <v>17250</v>
      </c>
    </row>
    <row r="1369" spans="1:9" ht="13.2">
      <c r="A1369" s="170">
        <f t="shared" si="99"/>
        <v>1368</v>
      </c>
      <c r="B1369" s="171" t="s">
        <v>359</v>
      </c>
      <c r="C1369" s="171" t="str">
        <f>VLOOKUP(B1369,MEMBERS!B:C,2, )</f>
        <v>DR.NASEEM MUNSHI</v>
      </c>
      <c r="D1369" s="326">
        <v>46016</v>
      </c>
      <c r="E1369" s="178">
        <v>5</v>
      </c>
      <c r="F1369" s="171" t="s">
        <v>502</v>
      </c>
      <c r="G1369" s="168">
        <f>IFERROR(VLOOKUP(F1369,'menu list'!B:C,2,FALSE)*E1369,"0")</f>
        <v>1750</v>
      </c>
      <c r="H1369" s="337">
        <f t="shared" si="100"/>
        <v>262.5</v>
      </c>
      <c r="I1369" s="168">
        <f t="shared" si="101"/>
        <v>2012.5</v>
      </c>
    </row>
    <row r="1370" spans="1:9" ht="13.2">
      <c r="A1370" s="170">
        <f t="shared" si="99"/>
        <v>1369</v>
      </c>
      <c r="B1370" s="171" t="s">
        <v>359</v>
      </c>
      <c r="C1370" s="171" t="str">
        <f>VLOOKUP(B1370,MEMBERS!B:C,2, )</f>
        <v>DR.NASEEM MUNSHI</v>
      </c>
      <c r="D1370" s="326">
        <v>46016</v>
      </c>
      <c r="E1370" s="178">
        <v>1</v>
      </c>
      <c r="F1370" s="171" t="s">
        <v>440</v>
      </c>
      <c r="G1370" s="168">
        <f>IFERROR(VLOOKUP(F1370,'menu list'!B:C,2,FALSE)*E1370,"0")</f>
        <v>150</v>
      </c>
      <c r="H1370" s="337">
        <f t="shared" si="100"/>
        <v>22.5</v>
      </c>
      <c r="I1370" s="168">
        <f t="shared" si="101"/>
        <v>172.5</v>
      </c>
    </row>
    <row r="1371" spans="1:9" ht="13.2">
      <c r="A1371" s="170">
        <f t="shared" si="99"/>
        <v>1370</v>
      </c>
      <c r="B1371" s="171" t="s">
        <v>359</v>
      </c>
      <c r="C1371" s="171" t="str">
        <f>VLOOKUP(B1371,MEMBERS!B:C,2, )</f>
        <v>DR.NASEEM MUNSHI</v>
      </c>
      <c r="D1371" s="326">
        <v>46016</v>
      </c>
      <c r="E1371" s="178">
        <v>1</v>
      </c>
      <c r="F1371" s="171" t="s">
        <v>442</v>
      </c>
      <c r="G1371" s="168">
        <f>IFERROR(VLOOKUP(F1371,'menu list'!B:C,2,FALSE)*E1371,"0")</f>
        <v>150</v>
      </c>
      <c r="H1371" s="337">
        <f t="shared" si="100"/>
        <v>22.5</v>
      </c>
      <c r="I1371" s="168">
        <f t="shared" si="101"/>
        <v>172.5</v>
      </c>
    </row>
    <row r="1372" spans="1:9" ht="13.2">
      <c r="A1372" s="170">
        <f t="shared" si="99"/>
        <v>1371</v>
      </c>
      <c r="B1372" s="171" t="s">
        <v>1051</v>
      </c>
      <c r="C1372" s="171" t="str">
        <f>VLOOKUP(B1372,MEMBERS!B:C,2, )</f>
        <v>MR. ZAHIR REHMAN</v>
      </c>
      <c r="D1372" s="326">
        <v>46016</v>
      </c>
      <c r="E1372" s="178">
        <v>2</v>
      </c>
      <c r="F1372" s="171" t="s">
        <v>440</v>
      </c>
      <c r="G1372" s="168">
        <f>IFERROR(VLOOKUP(F1372,'menu list'!B:C,2,FALSE)*E1372,"0")</f>
        <v>300</v>
      </c>
      <c r="H1372" s="337">
        <f t="shared" si="100"/>
        <v>45</v>
      </c>
      <c r="I1372" s="168">
        <f t="shared" si="101"/>
        <v>345</v>
      </c>
    </row>
    <row r="1373" spans="1:9" ht="13.2">
      <c r="A1373" s="170">
        <f t="shared" si="99"/>
        <v>1372</v>
      </c>
      <c r="B1373" s="171" t="s">
        <v>1051</v>
      </c>
      <c r="C1373" s="171" t="str">
        <f>VLOOKUP(B1373,MEMBERS!B:C,2, )</f>
        <v>MR. ZAHIR REHMAN</v>
      </c>
      <c r="D1373" s="326">
        <v>46016</v>
      </c>
      <c r="E1373" s="178">
        <v>1</v>
      </c>
      <c r="F1373" s="171" t="s">
        <v>634</v>
      </c>
      <c r="G1373" s="168">
        <f>IFERROR(VLOOKUP(F1373,'menu list'!B:C,2,FALSE)*E1373,"0")</f>
        <v>500</v>
      </c>
      <c r="H1373" s="337">
        <f t="shared" si="100"/>
        <v>75</v>
      </c>
      <c r="I1373" s="168">
        <f t="shared" si="101"/>
        <v>575</v>
      </c>
    </row>
    <row r="1374" spans="1:9" ht="13.2">
      <c r="A1374" s="170">
        <f t="shared" si="99"/>
        <v>1373</v>
      </c>
      <c r="B1374" s="171" t="s">
        <v>1051</v>
      </c>
      <c r="C1374" s="171" t="str">
        <f>VLOOKUP(B1374,MEMBERS!B:C,2, )</f>
        <v>MR. ZAHIR REHMAN</v>
      </c>
      <c r="D1374" s="326">
        <v>46016</v>
      </c>
      <c r="E1374" s="178">
        <v>1</v>
      </c>
      <c r="F1374" s="171" t="s">
        <v>811</v>
      </c>
      <c r="G1374" s="168">
        <f>IFERROR(VLOOKUP(F1374,'menu list'!B:C,2,FALSE)*E1374,"0")</f>
        <v>1450</v>
      </c>
      <c r="H1374" s="337">
        <f t="shared" si="100"/>
        <v>217.5</v>
      </c>
      <c r="I1374" s="168">
        <f t="shared" si="101"/>
        <v>1667.5</v>
      </c>
    </row>
    <row r="1375" spans="1:9" ht="13.2">
      <c r="A1375" s="170">
        <f t="shared" si="99"/>
        <v>1374</v>
      </c>
      <c r="B1375" s="171" t="s">
        <v>1051</v>
      </c>
      <c r="C1375" s="171" t="str">
        <f>VLOOKUP(B1375,MEMBERS!B:C,2, )</f>
        <v>MR. ZAHIR REHMAN</v>
      </c>
      <c r="D1375" s="326">
        <v>46016</v>
      </c>
      <c r="E1375" s="178">
        <v>1</v>
      </c>
      <c r="F1375" s="171" t="s">
        <v>800</v>
      </c>
      <c r="G1375" s="168">
        <f>IFERROR(VLOOKUP(F1375,'menu list'!B:C,2,FALSE)*E1375,"0")</f>
        <v>800</v>
      </c>
      <c r="H1375" s="337">
        <f t="shared" si="100"/>
        <v>120</v>
      </c>
      <c r="I1375" s="168">
        <f t="shared" si="101"/>
        <v>920</v>
      </c>
    </row>
    <row r="1376" spans="1:9" ht="13.2">
      <c r="A1376" s="170">
        <f t="shared" si="99"/>
        <v>1375</v>
      </c>
      <c r="B1376" s="171" t="s">
        <v>1051</v>
      </c>
      <c r="C1376" s="171" t="str">
        <f>VLOOKUP(B1376,MEMBERS!B:C,2, )</f>
        <v>MR. ZAHIR REHMAN</v>
      </c>
      <c r="D1376" s="326">
        <v>46016</v>
      </c>
      <c r="E1376" s="178">
        <v>2</v>
      </c>
      <c r="F1376" s="171" t="s">
        <v>833</v>
      </c>
      <c r="G1376" s="168">
        <f>IFERROR(VLOOKUP(F1376,'menu list'!B:C,2,FALSE)*E1376,"0")</f>
        <v>700</v>
      </c>
      <c r="H1376" s="337">
        <f t="shared" si="100"/>
        <v>105</v>
      </c>
      <c r="I1376" s="168">
        <f t="shared" si="101"/>
        <v>805</v>
      </c>
    </row>
    <row r="1377" spans="1:9" ht="13.2">
      <c r="A1377" s="170">
        <f t="shared" si="99"/>
        <v>1376</v>
      </c>
      <c r="B1377" s="171" t="s">
        <v>1051</v>
      </c>
      <c r="C1377" s="171" t="str">
        <f>VLOOKUP(B1377,MEMBERS!B:C,2, )</f>
        <v>MR. ZAHIR REHMAN</v>
      </c>
      <c r="D1377" s="326">
        <v>46016</v>
      </c>
      <c r="E1377" s="178">
        <v>1</v>
      </c>
      <c r="F1377" s="171" t="s">
        <v>442</v>
      </c>
      <c r="G1377" s="168">
        <f>IFERROR(VLOOKUP(F1377,'menu list'!B:C,2,FALSE)*E1377,"0")</f>
        <v>150</v>
      </c>
      <c r="H1377" s="337">
        <f t="shared" si="100"/>
        <v>22.5</v>
      </c>
      <c r="I1377" s="168">
        <f t="shared" si="101"/>
        <v>172.5</v>
      </c>
    </row>
    <row r="1378" spans="1:9" ht="13.2">
      <c r="A1378" s="170">
        <f t="shared" si="99"/>
        <v>1377</v>
      </c>
      <c r="B1378" s="171" t="s">
        <v>263</v>
      </c>
      <c r="C1378" s="171" t="str">
        <f>VLOOKUP(B1378,MEMBERS!B:C,2, )</f>
        <v>MR.CAREL HEDRIK BURGER</v>
      </c>
      <c r="D1378" s="326">
        <v>46016</v>
      </c>
      <c r="E1378" s="178">
        <v>4</v>
      </c>
      <c r="F1378" s="171" t="s">
        <v>442</v>
      </c>
      <c r="G1378" s="168">
        <f>IFERROR(VLOOKUP(F1378,'menu list'!B:C,2,FALSE)*E1378,"0")</f>
        <v>600</v>
      </c>
      <c r="H1378" s="337">
        <f t="shared" si="100"/>
        <v>90</v>
      </c>
      <c r="I1378" s="168">
        <f t="shared" si="101"/>
        <v>690</v>
      </c>
    </row>
    <row r="1379" spans="1:9" ht="13.2">
      <c r="A1379" s="170">
        <f t="shared" si="99"/>
        <v>1378</v>
      </c>
      <c r="B1379" s="171" t="s">
        <v>15</v>
      </c>
      <c r="C1379" s="171" t="str">
        <f>VLOOKUP(B1379,MEMBERS!B:C,2, )</f>
        <v>MR.GHULAM NABI OTHI</v>
      </c>
      <c r="D1379" s="326">
        <v>46016</v>
      </c>
      <c r="E1379" s="178">
        <v>4</v>
      </c>
      <c r="F1379" s="171" t="s">
        <v>646</v>
      </c>
      <c r="G1379" s="168">
        <f>IFERROR(VLOOKUP(F1379,'menu list'!B:C,2,FALSE)*E1379,"0")</f>
        <v>4000</v>
      </c>
      <c r="H1379" s="337">
        <f t="shared" si="100"/>
        <v>600</v>
      </c>
      <c r="I1379" s="168">
        <f t="shared" si="101"/>
        <v>4600</v>
      </c>
    </row>
    <row r="1380" spans="1:9" ht="13.2">
      <c r="A1380" s="170">
        <f t="shared" si="99"/>
        <v>1379</v>
      </c>
      <c r="B1380" s="171" t="s">
        <v>15</v>
      </c>
      <c r="C1380" s="171" t="str">
        <f>VLOOKUP(B1380,MEMBERS!B:C,2, )</f>
        <v>MR.GHULAM NABI OTHI</v>
      </c>
      <c r="D1380" s="326">
        <v>46016</v>
      </c>
      <c r="E1380" s="178">
        <v>5</v>
      </c>
      <c r="F1380" s="310" t="s">
        <v>1115</v>
      </c>
      <c r="G1380" s="168">
        <f>IFERROR(VLOOKUP(F1380,'menu list'!B:C,2,FALSE)*E1380,"0")</f>
        <v>5000</v>
      </c>
      <c r="H1380" s="337">
        <f t="shared" si="100"/>
        <v>750</v>
      </c>
      <c r="I1380" s="168">
        <f t="shared" si="101"/>
        <v>5750</v>
      </c>
    </row>
    <row r="1381" spans="1:9" ht="13.2">
      <c r="A1381" s="170">
        <f t="shared" si="99"/>
        <v>1380</v>
      </c>
      <c r="B1381" s="171" t="s">
        <v>226</v>
      </c>
      <c r="C1381" s="171" t="str">
        <f>VLOOKUP(B1381,MEMBERS!B:C,2, )</f>
        <v>MR.ASIF ALI</v>
      </c>
      <c r="D1381" s="326">
        <v>46016</v>
      </c>
      <c r="E1381" s="178">
        <v>2</v>
      </c>
      <c r="F1381" s="171" t="s">
        <v>836</v>
      </c>
      <c r="G1381" s="168">
        <f>IFERROR(VLOOKUP(F1381,'menu list'!B:C,2,FALSE)*E1381,"0")</f>
        <v>700</v>
      </c>
      <c r="H1381" s="337">
        <f t="shared" si="100"/>
        <v>105</v>
      </c>
      <c r="I1381" s="168">
        <f t="shared" si="101"/>
        <v>805</v>
      </c>
    </row>
    <row r="1382" spans="1:9" ht="13.2">
      <c r="A1382" s="170">
        <f t="shared" si="99"/>
        <v>1381</v>
      </c>
      <c r="B1382" s="171" t="s">
        <v>226</v>
      </c>
      <c r="C1382" s="171" t="str">
        <f>VLOOKUP(B1382,MEMBERS!B:C,2, )</f>
        <v>MR.ASIF ALI</v>
      </c>
      <c r="D1382" s="326">
        <v>46016</v>
      </c>
      <c r="E1382" s="178">
        <v>1</v>
      </c>
      <c r="F1382" s="171" t="s">
        <v>440</v>
      </c>
      <c r="G1382" s="168">
        <f>IFERROR(VLOOKUP(F1382,'menu list'!B:C,2,FALSE)*E1382,"0")</f>
        <v>150</v>
      </c>
      <c r="H1382" s="337">
        <f t="shared" si="100"/>
        <v>22.5</v>
      </c>
      <c r="I1382" s="168">
        <f t="shared" si="101"/>
        <v>172.5</v>
      </c>
    </row>
    <row r="1383" spans="1:9" ht="13.2">
      <c r="A1383" s="170">
        <f t="shared" si="99"/>
        <v>1382</v>
      </c>
      <c r="B1383" s="171" t="s">
        <v>226</v>
      </c>
      <c r="C1383" s="171" t="str">
        <f>VLOOKUP(B1383,MEMBERS!B:C,2, )</f>
        <v>MR.ASIF ALI</v>
      </c>
      <c r="D1383" s="326">
        <v>46016</v>
      </c>
      <c r="E1383" s="178">
        <v>2</v>
      </c>
      <c r="F1383" s="171" t="s">
        <v>498</v>
      </c>
      <c r="G1383" s="168">
        <f>IFERROR(VLOOKUP(F1383,'menu list'!B:C,2,FALSE)*E1383,"0")</f>
        <v>400</v>
      </c>
      <c r="H1383" s="337">
        <f t="shared" si="100"/>
        <v>60</v>
      </c>
      <c r="I1383" s="168">
        <f t="shared" si="101"/>
        <v>460</v>
      </c>
    </row>
    <row r="1384" spans="1:9" ht="13.2">
      <c r="A1384" s="170">
        <f t="shared" si="99"/>
        <v>1383</v>
      </c>
      <c r="B1384" s="171" t="s">
        <v>226</v>
      </c>
      <c r="C1384" s="171" t="str">
        <f>VLOOKUP(B1384,MEMBERS!B:C,2, )</f>
        <v>MR.ASIF ALI</v>
      </c>
      <c r="D1384" s="326">
        <v>46016</v>
      </c>
      <c r="E1384" s="178">
        <v>4</v>
      </c>
      <c r="F1384" s="171" t="s">
        <v>502</v>
      </c>
      <c r="G1384" s="168">
        <f>IFERROR(VLOOKUP(F1384,'menu list'!B:C,2,FALSE)*E1384,"0")</f>
        <v>1400</v>
      </c>
      <c r="H1384" s="337">
        <f t="shared" si="100"/>
        <v>210</v>
      </c>
      <c r="I1384" s="168">
        <f t="shared" si="101"/>
        <v>1610</v>
      </c>
    </row>
    <row r="1385" spans="1:9" ht="13.2">
      <c r="A1385" s="170">
        <f t="shared" si="99"/>
        <v>1384</v>
      </c>
      <c r="B1385" s="171" t="s">
        <v>226</v>
      </c>
      <c r="C1385" s="171" t="str">
        <f>VLOOKUP(B1385,MEMBERS!B:C,2, )</f>
        <v>MR.ASIF ALI</v>
      </c>
      <c r="D1385" s="326">
        <v>46016</v>
      </c>
      <c r="E1385" s="178">
        <v>3</v>
      </c>
      <c r="F1385" s="171" t="s">
        <v>803</v>
      </c>
      <c r="G1385" s="168">
        <f>IFERROR(VLOOKUP(F1385,'menu list'!B:C,2,FALSE)*E1385,"0")</f>
        <v>750</v>
      </c>
      <c r="H1385" s="337">
        <f t="shared" si="100"/>
        <v>112.5</v>
      </c>
      <c r="I1385" s="168">
        <f t="shared" si="101"/>
        <v>862.5</v>
      </c>
    </row>
    <row r="1386" spans="1:9" ht="13.2">
      <c r="A1386" s="170">
        <f t="shared" si="99"/>
        <v>1385</v>
      </c>
      <c r="B1386" s="171" t="s">
        <v>226</v>
      </c>
      <c r="C1386" s="171" t="str">
        <f>VLOOKUP(B1386,MEMBERS!B:C,2, )</f>
        <v>MR.ASIF ALI</v>
      </c>
      <c r="D1386" s="326">
        <v>46016</v>
      </c>
      <c r="E1386" s="178">
        <v>1</v>
      </c>
      <c r="F1386" s="171" t="s">
        <v>499</v>
      </c>
      <c r="G1386" s="168">
        <f>IFERROR(VLOOKUP(F1386,'menu list'!B:C,2,FALSE)*E1386,"0")</f>
        <v>100</v>
      </c>
      <c r="H1386" s="337">
        <f t="shared" si="100"/>
        <v>15</v>
      </c>
      <c r="I1386" s="168">
        <f t="shared" si="101"/>
        <v>115</v>
      </c>
    </row>
    <row r="1387" spans="1:9" ht="13.2">
      <c r="A1387" s="170">
        <f t="shared" si="99"/>
        <v>1386</v>
      </c>
      <c r="B1387" s="171" t="s">
        <v>1004</v>
      </c>
      <c r="C1387" s="171" t="str">
        <f>VLOOKUP(B1387,MEMBERS!B:C,2, )</f>
        <v>MRS RIFFAT ZULFIQAR</v>
      </c>
      <c r="D1387" s="326">
        <v>46016</v>
      </c>
      <c r="E1387" s="178">
        <v>2</v>
      </c>
      <c r="F1387" s="171" t="s">
        <v>837</v>
      </c>
      <c r="G1387" s="168">
        <f>IFERROR(VLOOKUP(F1387,'menu list'!B:C,2,FALSE)*E1387,"0")</f>
        <v>800</v>
      </c>
      <c r="H1387" s="337">
        <f t="shared" si="100"/>
        <v>120</v>
      </c>
      <c r="I1387" s="168">
        <f t="shared" si="101"/>
        <v>920</v>
      </c>
    </row>
    <row r="1388" spans="1:9" ht="13.2">
      <c r="A1388" s="170">
        <f t="shared" si="99"/>
        <v>1387</v>
      </c>
      <c r="B1388" s="171" t="s">
        <v>1004</v>
      </c>
      <c r="C1388" s="171" t="str">
        <f>VLOOKUP(B1388,MEMBERS!B:C,2, )</f>
        <v>MRS RIFFAT ZULFIQAR</v>
      </c>
      <c r="D1388" s="326">
        <v>46016</v>
      </c>
      <c r="E1388" s="178">
        <v>1</v>
      </c>
      <c r="F1388" s="171" t="s">
        <v>499</v>
      </c>
      <c r="G1388" s="168">
        <f>IFERROR(VLOOKUP(F1388,'menu list'!B:C,2,FALSE)*E1388,"0")</f>
        <v>100</v>
      </c>
      <c r="H1388" s="337">
        <f t="shared" si="100"/>
        <v>15</v>
      </c>
      <c r="I1388" s="168">
        <f t="shared" si="101"/>
        <v>115</v>
      </c>
    </row>
    <row r="1389" spans="1:9" ht="13.2">
      <c r="A1389" s="170">
        <f t="shared" si="99"/>
        <v>1388</v>
      </c>
      <c r="B1389" s="171" t="s">
        <v>378</v>
      </c>
      <c r="C1389" s="171" t="str">
        <f>VLOOKUP(B1389,MEMBERS!B:C,2, )</f>
        <v>SABA AHSAN</v>
      </c>
      <c r="D1389" s="326">
        <v>46016</v>
      </c>
      <c r="E1389" s="178">
        <v>1</v>
      </c>
      <c r="F1389" s="171" t="s">
        <v>500</v>
      </c>
      <c r="G1389" s="168">
        <f>IFERROR(VLOOKUP(F1389,'menu list'!B:C,2,FALSE)*E1389,"0")</f>
        <v>1250</v>
      </c>
      <c r="H1389" s="337">
        <f t="shared" si="100"/>
        <v>187.5</v>
      </c>
      <c r="I1389" s="168">
        <f t="shared" si="101"/>
        <v>1437.5</v>
      </c>
    </row>
    <row r="1390" spans="1:9" ht="13.2">
      <c r="A1390" s="170">
        <f t="shared" si="99"/>
        <v>1389</v>
      </c>
      <c r="B1390" s="171" t="s">
        <v>378</v>
      </c>
      <c r="C1390" s="171" t="str">
        <f>VLOOKUP(B1390,MEMBERS!B:C,2, )</f>
        <v>SABA AHSAN</v>
      </c>
      <c r="D1390" s="326">
        <v>46016</v>
      </c>
      <c r="E1390" s="178">
        <v>1</v>
      </c>
      <c r="F1390" s="171" t="s">
        <v>770</v>
      </c>
      <c r="G1390" s="168">
        <f>IFERROR(VLOOKUP(F1390,'menu list'!B:C,2,FALSE)*E1390,"0")</f>
        <v>1000</v>
      </c>
      <c r="H1390" s="337">
        <f t="shared" si="100"/>
        <v>150</v>
      </c>
      <c r="I1390" s="168">
        <f t="shared" si="101"/>
        <v>1150</v>
      </c>
    </row>
    <row r="1391" spans="1:9" ht="13.2">
      <c r="A1391" s="170">
        <f t="shared" si="99"/>
        <v>1390</v>
      </c>
      <c r="B1391" s="171" t="s">
        <v>378</v>
      </c>
      <c r="C1391" s="171" t="str">
        <f>VLOOKUP(B1391,MEMBERS!B:C,2, )</f>
        <v>SABA AHSAN</v>
      </c>
      <c r="D1391" s="326">
        <v>46016</v>
      </c>
      <c r="E1391" s="178">
        <v>1</v>
      </c>
      <c r="F1391" s="171" t="s">
        <v>772</v>
      </c>
      <c r="G1391" s="168">
        <f>IFERROR(VLOOKUP(F1391,'menu list'!B:C,2,FALSE)*E1391,"0")</f>
        <v>900</v>
      </c>
      <c r="H1391" s="337">
        <f t="shared" si="100"/>
        <v>135</v>
      </c>
      <c r="I1391" s="168">
        <f t="shared" si="101"/>
        <v>1035</v>
      </c>
    </row>
    <row r="1392" spans="1:9" ht="13.2">
      <c r="A1392" s="170">
        <f t="shared" ref="A1392:A1415" si="102">IF(D1392&lt;&gt;"", ROW()-1, "")</f>
        <v>1391</v>
      </c>
      <c r="B1392" s="171" t="s">
        <v>378</v>
      </c>
      <c r="C1392" s="171" t="str">
        <f>VLOOKUP(B1392,MEMBERS!B:C,2, )</f>
        <v>SABA AHSAN</v>
      </c>
      <c r="D1392" s="326">
        <v>46016</v>
      </c>
      <c r="E1392" s="178">
        <v>1</v>
      </c>
      <c r="F1392" s="171" t="s">
        <v>633</v>
      </c>
      <c r="G1392" s="168">
        <f>IFERROR(VLOOKUP(F1392,'menu list'!B:C,2,FALSE)*E1392,"0")</f>
        <v>700</v>
      </c>
      <c r="H1392" s="337">
        <f t="shared" ref="H1392:H1415" si="103">G1392*15/100</f>
        <v>105</v>
      </c>
      <c r="I1392" s="168">
        <f t="shared" ref="I1392:I1415" si="104">G1392+H1392</f>
        <v>805</v>
      </c>
    </row>
    <row r="1393" spans="1:9" ht="13.2">
      <c r="A1393" s="170">
        <f t="shared" si="102"/>
        <v>1392</v>
      </c>
      <c r="B1393" s="171" t="s">
        <v>378</v>
      </c>
      <c r="C1393" s="171" t="str">
        <f>VLOOKUP(B1393,MEMBERS!B:C,2, )</f>
        <v>SABA AHSAN</v>
      </c>
      <c r="D1393" s="326">
        <v>46016</v>
      </c>
      <c r="E1393" s="178">
        <v>1</v>
      </c>
      <c r="F1393" s="171" t="s">
        <v>801</v>
      </c>
      <c r="G1393" s="168">
        <f>IFERROR(VLOOKUP(F1393,'menu list'!B:C,2,FALSE)*E1393,"0")</f>
        <v>700</v>
      </c>
      <c r="H1393" s="337">
        <f t="shared" si="103"/>
        <v>105</v>
      </c>
      <c r="I1393" s="168">
        <f t="shared" si="104"/>
        <v>805</v>
      </c>
    </row>
    <row r="1394" spans="1:9" ht="13.2">
      <c r="A1394" s="170">
        <f t="shared" si="102"/>
        <v>1393</v>
      </c>
      <c r="B1394" s="171" t="s">
        <v>378</v>
      </c>
      <c r="C1394" s="171" t="str">
        <f>VLOOKUP(B1394,MEMBERS!B:C,2, )</f>
        <v>SABA AHSAN</v>
      </c>
      <c r="D1394" s="326">
        <v>46016</v>
      </c>
      <c r="E1394" s="178">
        <v>2</v>
      </c>
      <c r="F1394" s="171" t="s">
        <v>498</v>
      </c>
      <c r="G1394" s="168">
        <f>IFERROR(VLOOKUP(F1394,'menu list'!B:C,2,FALSE)*E1394,"0")</f>
        <v>400</v>
      </c>
      <c r="H1394" s="337">
        <f t="shared" si="103"/>
        <v>60</v>
      </c>
      <c r="I1394" s="168">
        <f t="shared" si="104"/>
        <v>460</v>
      </c>
    </row>
    <row r="1395" spans="1:9" ht="13.2">
      <c r="A1395" s="170">
        <f t="shared" si="102"/>
        <v>1394</v>
      </c>
      <c r="B1395" s="171" t="s">
        <v>378</v>
      </c>
      <c r="C1395" s="171" t="str">
        <f>VLOOKUP(B1395,MEMBERS!B:C,2, )</f>
        <v>SABA AHSAN</v>
      </c>
      <c r="D1395" s="326">
        <v>46016</v>
      </c>
      <c r="E1395" s="178">
        <v>1</v>
      </c>
      <c r="F1395" s="171" t="s">
        <v>440</v>
      </c>
      <c r="G1395" s="168">
        <f>IFERROR(VLOOKUP(F1395,'menu list'!B:C,2,FALSE)*E1395,"0")</f>
        <v>150</v>
      </c>
      <c r="H1395" s="337">
        <f t="shared" si="103"/>
        <v>22.5</v>
      </c>
      <c r="I1395" s="168">
        <f t="shared" si="104"/>
        <v>172.5</v>
      </c>
    </row>
    <row r="1396" spans="1:9" ht="13.2">
      <c r="A1396" s="170">
        <f t="shared" si="102"/>
        <v>1395</v>
      </c>
      <c r="B1396" s="171" t="s">
        <v>795</v>
      </c>
      <c r="C1396" s="171" t="str">
        <f>VLOOKUP(B1396,MEMBERS!B:C,2, )</f>
        <v>MR. HASAN KARIM</v>
      </c>
      <c r="D1396" s="326">
        <v>46016</v>
      </c>
      <c r="E1396" s="178">
        <v>1</v>
      </c>
      <c r="F1396" s="171" t="s">
        <v>499</v>
      </c>
      <c r="G1396" s="168">
        <f>IFERROR(VLOOKUP(F1396,'menu list'!B:C,2,FALSE)*E1396,"0")</f>
        <v>100</v>
      </c>
      <c r="H1396" s="337">
        <f t="shared" si="103"/>
        <v>15</v>
      </c>
      <c r="I1396" s="168">
        <f t="shared" si="104"/>
        <v>115</v>
      </c>
    </row>
    <row r="1397" spans="1:9" ht="13.2">
      <c r="A1397" s="170">
        <f t="shared" si="102"/>
        <v>1396</v>
      </c>
      <c r="B1397" s="171" t="s">
        <v>795</v>
      </c>
      <c r="C1397" s="171" t="str">
        <f>VLOOKUP(B1397,MEMBERS!B:C,2, )</f>
        <v>MR. HASAN KARIM</v>
      </c>
      <c r="D1397" s="326">
        <v>46016</v>
      </c>
      <c r="E1397" s="178">
        <v>1</v>
      </c>
      <c r="F1397" s="171" t="s">
        <v>653</v>
      </c>
      <c r="G1397" s="168">
        <f>IFERROR(VLOOKUP(F1397,'menu list'!B:C,2,FALSE)*E1397,"0")</f>
        <v>350</v>
      </c>
      <c r="H1397" s="337">
        <f t="shared" si="103"/>
        <v>52.5</v>
      </c>
      <c r="I1397" s="168">
        <f t="shared" si="104"/>
        <v>402.5</v>
      </c>
    </row>
    <row r="1398" spans="1:9" ht="13.2">
      <c r="A1398" s="170">
        <f t="shared" si="102"/>
        <v>1397</v>
      </c>
      <c r="B1398" s="171" t="s">
        <v>795</v>
      </c>
      <c r="C1398" s="171" t="str">
        <f>VLOOKUP(B1398,MEMBERS!B:C,2, )</f>
        <v>MR. HASAN KARIM</v>
      </c>
      <c r="D1398" s="326">
        <v>46016</v>
      </c>
      <c r="E1398" s="178">
        <v>2</v>
      </c>
      <c r="F1398" s="171" t="s">
        <v>497</v>
      </c>
      <c r="G1398" s="168">
        <f>IFERROR(VLOOKUP(F1398,'menu list'!B:C,2,FALSE)*E1398,"0")</f>
        <v>500</v>
      </c>
      <c r="H1398" s="337">
        <f t="shared" si="103"/>
        <v>75</v>
      </c>
      <c r="I1398" s="168">
        <f t="shared" si="104"/>
        <v>575</v>
      </c>
    </row>
    <row r="1399" spans="1:9" ht="13.2">
      <c r="A1399" s="170">
        <f t="shared" si="102"/>
        <v>1398</v>
      </c>
      <c r="B1399" s="171" t="s">
        <v>795</v>
      </c>
      <c r="C1399" s="171" t="str">
        <f>VLOOKUP(B1399,MEMBERS!B:C,2, )</f>
        <v>MR. HASAN KARIM</v>
      </c>
      <c r="D1399" s="326">
        <v>46016</v>
      </c>
      <c r="E1399" s="178">
        <v>2</v>
      </c>
      <c r="F1399" s="171" t="s">
        <v>498</v>
      </c>
      <c r="G1399" s="168">
        <f>IFERROR(VLOOKUP(F1399,'menu list'!B:C,2,FALSE)*E1399,"0")</f>
        <v>400</v>
      </c>
      <c r="H1399" s="337">
        <f t="shared" si="103"/>
        <v>60</v>
      </c>
      <c r="I1399" s="168">
        <f t="shared" si="104"/>
        <v>460</v>
      </c>
    </row>
    <row r="1400" spans="1:9" ht="13.2">
      <c r="A1400" s="170">
        <f t="shared" si="102"/>
        <v>1399</v>
      </c>
      <c r="B1400" s="171" t="s">
        <v>795</v>
      </c>
      <c r="C1400" s="171" t="str">
        <f>VLOOKUP(B1400,MEMBERS!B:C,2, )</f>
        <v>MR. HASAN KARIM</v>
      </c>
      <c r="D1400" s="326">
        <v>46016</v>
      </c>
      <c r="E1400" s="178">
        <v>1</v>
      </c>
      <c r="F1400" s="171" t="s">
        <v>499</v>
      </c>
      <c r="G1400" s="168">
        <f>IFERROR(VLOOKUP(F1400,'menu list'!B:C,2,FALSE)*E1400,"0")</f>
        <v>100</v>
      </c>
      <c r="H1400" s="337">
        <f t="shared" si="103"/>
        <v>15</v>
      </c>
      <c r="I1400" s="168">
        <f t="shared" si="104"/>
        <v>115</v>
      </c>
    </row>
    <row r="1401" spans="1:9" ht="13.2">
      <c r="A1401" s="170">
        <f t="shared" si="102"/>
        <v>1400</v>
      </c>
      <c r="B1401" s="171" t="s">
        <v>312</v>
      </c>
      <c r="C1401" s="171" t="str">
        <f>VLOOKUP(B1401,MEMBERS!B:C,2, )</f>
        <v>GM GHULAM DASTAGEER</v>
      </c>
      <c r="D1401" s="326">
        <v>46016</v>
      </c>
      <c r="E1401" s="178">
        <v>3</v>
      </c>
      <c r="F1401" s="171" t="s">
        <v>499</v>
      </c>
      <c r="G1401" s="168">
        <f>IFERROR(VLOOKUP(F1401,'menu list'!B:C,2,FALSE)*E1401,"0")</f>
        <v>300</v>
      </c>
      <c r="H1401" s="337">
        <f t="shared" si="103"/>
        <v>45</v>
      </c>
      <c r="I1401" s="168">
        <f t="shared" si="104"/>
        <v>345</v>
      </c>
    </row>
    <row r="1402" spans="1:9" ht="13.2">
      <c r="A1402" s="170">
        <f t="shared" si="102"/>
        <v>1401</v>
      </c>
      <c r="B1402" s="171" t="s">
        <v>312</v>
      </c>
      <c r="C1402" s="171" t="str">
        <f>VLOOKUP(B1402,MEMBERS!B:C,2, )</f>
        <v>GM GHULAM DASTAGEER</v>
      </c>
      <c r="D1402" s="326">
        <v>46016</v>
      </c>
      <c r="E1402" s="178">
        <v>1</v>
      </c>
      <c r="F1402" s="171" t="s">
        <v>801</v>
      </c>
      <c r="G1402" s="168">
        <f>IFERROR(VLOOKUP(F1402,'menu list'!B:C,2,FALSE)*E1402,"0")</f>
        <v>700</v>
      </c>
      <c r="H1402" s="337">
        <f t="shared" si="103"/>
        <v>105</v>
      </c>
      <c r="I1402" s="168">
        <f t="shared" si="104"/>
        <v>805</v>
      </c>
    </row>
    <row r="1403" spans="1:9" ht="13.2">
      <c r="A1403" s="170">
        <f t="shared" si="102"/>
        <v>1402</v>
      </c>
      <c r="B1403" s="171" t="s">
        <v>312</v>
      </c>
      <c r="C1403" s="171" t="str">
        <f>VLOOKUP(B1403,MEMBERS!B:C,2, )</f>
        <v>GM GHULAM DASTAGEER</v>
      </c>
      <c r="D1403" s="326">
        <v>46016</v>
      </c>
      <c r="E1403" s="178">
        <v>1</v>
      </c>
      <c r="F1403" s="171" t="s">
        <v>601</v>
      </c>
      <c r="G1403" s="168">
        <f>IFERROR(VLOOKUP(F1403,'menu list'!B:C,2,FALSE)*E1403,"0")</f>
        <v>1200</v>
      </c>
      <c r="H1403" s="337">
        <f t="shared" si="103"/>
        <v>180</v>
      </c>
      <c r="I1403" s="168">
        <f t="shared" si="104"/>
        <v>1380</v>
      </c>
    </row>
    <row r="1404" spans="1:9" ht="13.2">
      <c r="A1404" s="170">
        <f t="shared" si="102"/>
        <v>1403</v>
      </c>
      <c r="B1404" s="171" t="s">
        <v>312</v>
      </c>
      <c r="C1404" s="171" t="str">
        <f>VLOOKUP(B1404,MEMBERS!B:C,2, )</f>
        <v>GM GHULAM DASTAGEER</v>
      </c>
      <c r="D1404" s="326">
        <v>46016</v>
      </c>
      <c r="E1404" s="178">
        <v>1</v>
      </c>
      <c r="F1404" s="171" t="s">
        <v>939</v>
      </c>
      <c r="G1404" s="168">
        <f>IFERROR(VLOOKUP(F1404,'menu list'!B:C,2,FALSE)*E1404,"0")</f>
        <v>1200</v>
      </c>
      <c r="H1404" s="337">
        <f t="shared" si="103"/>
        <v>180</v>
      </c>
      <c r="I1404" s="168">
        <f t="shared" si="104"/>
        <v>1380</v>
      </c>
    </row>
    <row r="1405" spans="1:9" ht="13.2">
      <c r="A1405" s="170">
        <f t="shared" si="102"/>
        <v>1404</v>
      </c>
      <c r="B1405" s="171" t="s">
        <v>795</v>
      </c>
      <c r="C1405" s="171" t="str">
        <f>VLOOKUP(B1405,MEMBERS!B:C,2, )</f>
        <v>MR. HASAN KARIM</v>
      </c>
      <c r="D1405" s="326">
        <v>46016</v>
      </c>
      <c r="E1405" s="178">
        <v>2</v>
      </c>
      <c r="F1405" s="171" t="s">
        <v>497</v>
      </c>
      <c r="G1405" s="168">
        <f>IFERROR(VLOOKUP(F1405,'menu list'!B:C,2,FALSE)*E1405,"0")</f>
        <v>500</v>
      </c>
      <c r="H1405" s="337">
        <f t="shared" si="103"/>
        <v>75</v>
      </c>
      <c r="I1405" s="168">
        <f t="shared" si="104"/>
        <v>575</v>
      </c>
    </row>
    <row r="1406" spans="1:9" ht="13.2">
      <c r="A1406" s="170">
        <f t="shared" si="102"/>
        <v>1405</v>
      </c>
      <c r="B1406" s="171" t="s">
        <v>795</v>
      </c>
      <c r="C1406" s="171" t="str">
        <f>VLOOKUP(B1406,MEMBERS!B:C,2, )</f>
        <v>MR. HASAN KARIM</v>
      </c>
      <c r="D1406" s="326">
        <v>46016</v>
      </c>
      <c r="E1406" s="178">
        <v>1</v>
      </c>
      <c r="F1406" s="171" t="s">
        <v>836</v>
      </c>
      <c r="G1406" s="168">
        <f>IFERROR(VLOOKUP(F1406,'menu list'!B:C,2,FALSE)*E1406,"0")</f>
        <v>350</v>
      </c>
      <c r="H1406" s="337">
        <f t="shared" si="103"/>
        <v>52.5</v>
      </c>
      <c r="I1406" s="168">
        <f t="shared" si="104"/>
        <v>402.5</v>
      </c>
    </row>
    <row r="1407" spans="1:9" ht="13.2">
      <c r="A1407" s="170">
        <f t="shared" si="102"/>
        <v>1406</v>
      </c>
      <c r="B1407" s="171" t="s">
        <v>795</v>
      </c>
      <c r="C1407" s="171" t="str">
        <f>VLOOKUP(B1407,MEMBERS!B:C,2, )</f>
        <v>MR. HASAN KARIM</v>
      </c>
      <c r="D1407" s="326">
        <v>46016</v>
      </c>
      <c r="E1407" s="178">
        <v>1</v>
      </c>
      <c r="F1407" s="171" t="s">
        <v>442</v>
      </c>
      <c r="G1407" s="168">
        <f>IFERROR(VLOOKUP(F1407,'menu list'!B:C,2,FALSE)*E1407,"0")</f>
        <v>150</v>
      </c>
      <c r="H1407" s="337">
        <f t="shared" si="103"/>
        <v>22.5</v>
      </c>
      <c r="I1407" s="168">
        <f t="shared" si="104"/>
        <v>172.5</v>
      </c>
    </row>
    <row r="1408" spans="1:9" ht="13.2">
      <c r="A1408" s="170">
        <f t="shared" si="102"/>
        <v>1407</v>
      </c>
      <c r="B1408" s="171" t="s">
        <v>795</v>
      </c>
      <c r="C1408" s="171" t="str">
        <f>VLOOKUP(B1408,MEMBERS!B:C,2, )</f>
        <v>MR. HASAN KARIM</v>
      </c>
      <c r="D1408" s="326">
        <v>46016</v>
      </c>
      <c r="E1408" s="178">
        <v>1</v>
      </c>
      <c r="F1408" s="171" t="s">
        <v>499</v>
      </c>
      <c r="G1408" s="168">
        <f>IFERROR(VLOOKUP(F1408,'menu list'!B:C,2,FALSE)*E1408,"0")</f>
        <v>100</v>
      </c>
      <c r="H1408" s="337">
        <f t="shared" si="103"/>
        <v>15</v>
      </c>
      <c r="I1408" s="168">
        <f t="shared" si="104"/>
        <v>115</v>
      </c>
    </row>
    <row r="1409" spans="1:9" ht="13.2">
      <c r="A1409" s="170">
        <f t="shared" si="102"/>
        <v>1408</v>
      </c>
      <c r="B1409" s="171" t="s">
        <v>1020</v>
      </c>
      <c r="C1409" s="171" t="str">
        <f>VLOOKUP(B1409,MEMBERS!B:C,2, )</f>
        <v>MR. MUNAWAR HUSSAIN</v>
      </c>
      <c r="D1409" s="326">
        <v>46016</v>
      </c>
      <c r="E1409" s="178">
        <v>6</v>
      </c>
      <c r="F1409" s="171" t="s">
        <v>499</v>
      </c>
      <c r="G1409" s="168">
        <f>IFERROR(VLOOKUP(F1409,'menu list'!B:C,2,FALSE)*E1409,"0")</f>
        <v>600</v>
      </c>
      <c r="H1409" s="337">
        <f t="shared" si="103"/>
        <v>90</v>
      </c>
      <c r="I1409" s="168">
        <f t="shared" si="104"/>
        <v>690</v>
      </c>
    </row>
    <row r="1410" spans="1:9" ht="13.2">
      <c r="A1410" s="170">
        <f t="shared" si="102"/>
        <v>1409</v>
      </c>
      <c r="B1410" s="171" t="s">
        <v>1020</v>
      </c>
      <c r="C1410" s="171" t="str">
        <f>VLOOKUP(B1410,MEMBERS!B:C,2, )</f>
        <v>MR. MUNAWAR HUSSAIN</v>
      </c>
      <c r="D1410" s="326">
        <v>46016</v>
      </c>
      <c r="E1410" s="178">
        <v>6</v>
      </c>
      <c r="F1410" s="171" t="s">
        <v>836</v>
      </c>
      <c r="G1410" s="168">
        <f>IFERROR(VLOOKUP(F1410,'menu list'!B:C,2,FALSE)*E1410,"0")</f>
        <v>2100</v>
      </c>
      <c r="H1410" s="337">
        <f t="shared" si="103"/>
        <v>315</v>
      </c>
      <c r="I1410" s="168">
        <f t="shared" si="104"/>
        <v>2415</v>
      </c>
    </row>
    <row r="1411" spans="1:9" ht="13.2">
      <c r="A1411" s="170">
        <f t="shared" si="102"/>
        <v>1410</v>
      </c>
      <c r="B1411" s="171" t="s">
        <v>1020</v>
      </c>
      <c r="C1411" s="171" t="str">
        <f>VLOOKUP(B1411,MEMBERS!B:C,2, )</f>
        <v>MR. MUNAWAR HUSSAIN</v>
      </c>
      <c r="D1411" s="326">
        <v>46016</v>
      </c>
      <c r="E1411" s="178">
        <v>2</v>
      </c>
      <c r="F1411" s="171" t="s">
        <v>516</v>
      </c>
      <c r="G1411" s="168">
        <f>IFERROR(VLOOKUP(F1411,'menu list'!B:C,2,FALSE)*E1411,"0")</f>
        <v>500</v>
      </c>
      <c r="H1411" s="337">
        <f t="shared" si="103"/>
        <v>75</v>
      </c>
      <c r="I1411" s="168">
        <f t="shared" si="104"/>
        <v>575</v>
      </c>
    </row>
    <row r="1412" spans="1:9" ht="13.2">
      <c r="A1412" s="170">
        <f t="shared" si="102"/>
        <v>1411</v>
      </c>
      <c r="B1412" s="171" t="s">
        <v>138</v>
      </c>
      <c r="C1412" s="171" t="str">
        <f>VLOOKUP(B1412,MEMBERS!B:C,2, )</f>
        <v>DR.UMER QAZI</v>
      </c>
      <c r="D1412" s="326">
        <v>46016</v>
      </c>
      <c r="E1412" s="178">
        <v>2</v>
      </c>
      <c r="F1412" s="171" t="s">
        <v>439</v>
      </c>
      <c r="G1412" s="168">
        <f>IFERROR(VLOOKUP(F1412,'menu list'!B:C,2,FALSE)*E1412,"0")</f>
        <v>140</v>
      </c>
      <c r="H1412" s="337">
        <f t="shared" si="103"/>
        <v>21</v>
      </c>
      <c r="I1412" s="168">
        <f t="shared" si="104"/>
        <v>161</v>
      </c>
    </row>
    <row r="1413" spans="1:9" ht="13.2">
      <c r="A1413" s="170">
        <f t="shared" si="102"/>
        <v>1412</v>
      </c>
      <c r="B1413" s="171" t="s">
        <v>138</v>
      </c>
      <c r="C1413" s="171" t="str">
        <f>VLOOKUP(B1413,MEMBERS!B:C,2, )</f>
        <v>DR.UMER QAZI</v>
      </c>
      <c r="D1413" s="326">
        <v>46016</v>
      </c>
      <c r="E1413" s="178">
        <v>2</v>
      </c>
      <c r="F1413" s="171" t="s">
        <v>861</v>
      </c>
      <c r="G1413" s="168">
        <f>IFERROR(VLOOKUP(F1413,'menu list'!B:C,2,FALSE)*E1413,"0")</f>
        <v>1600</v>
      </c>
      <c r="H1413" s="337">
        <f t="shared" si="103"/>
        <v>240</v>
      </c>
      <c r="I1413" s="168">
        <f t="shared" si="104"/>
        <v>1840</v>
      </c>
    </row>
    <row r="1414" spans="1:9" ht="13.2">
      <c r="A1414" s="170">
        <f t="shared" si="102"/>
        <v>1413</v>
      </c>
      <c r="B1414" s="171" t="s">
        <v>138</v>
      </c>
      <c r="C1414" s="171" t="str">
        <f>VLOOKUP(B1414,MEMBERS!B:C,2, )</f>
        <v>DR.UMER QAZI</v>
      </c>
      <c r="D1414" s="326">
        <v>46016</v>
      </c>
      <c r="E1414" s="178">
        <v>2</v>
      </c>
      <c r="F1414" s="171" t="s">
        <v>499</v>
      </c>
      <c r="G1414" s="168">
        <f>IFERROR(VLOOKUP(F1414,'menu list'!B:C,2,FALSE)*E1414,"0")</f>
        <v>200</v>
      </c>
      <c r="H1414" s="337">
        <f t="shared" si="103"/>
        <v>30</v>
      </c>
      <c r="I1414" s="168">
        <f t="shared" si="104"/>
        <v>230</v>
      </c>
    </row>
    <row r="1415" spans="1:9" ht="13.2">
      <c r="A1415" s="170">
        <f t="shared" si="102"/>
        <v>1414</v>
      </c>
      <c r="B1415" s="171" t="s">
        <v>59</v>
      </c>
      <c r="C1415" s="171" t="str">
        <f>VLOOKUP(B1415,MEMBERS!B:C,2, )</f>
        <v>MR.SAJJAD ALI</v>
      </c>
      <c r="D1415" s="326">
        <v>46017</v>
      </c>
      <c r="E1415" s="178">
        <v>2</v>
      </c>
      <c r="F1415" s="171" t="s">
        <v>801</v>
      </c>
      <c r="G1415" s="168">
        <f>IFERROR(VLOOKUP(F1415,'menu list'!B:C,2,FALSE)*E1415,"0")</f>
        <v>1400</v>
      </c>
      <c r="H1415" s="337">
        <f t="shared" si="103"/>
        <v>210</v>
      </c>
      <c r="I1415" s="168">
        <f t="shared" si="104"/>
        <v>1610</v>
      </c>
    </row>
    <row r="1416" spans="1:9" ht="13.2">
      <c r="A1416" s="170">
        <f t="shared" ref="A1416:A1444" si="105">IF(D1416&lt;&gt;"", ROW()-1, "")</f>
        <v>1415</v>
      </c>
      <c r="B1416" s="171" t="s">
        <v>59</v>
      </c>
      <c r="C1416" s="171" t="str">
        <f>VLOOKUP(B1416,MEMBERS!B:C,2, )</f>
        <v>MR.SAJJAD ALI</v>
      </c>
      <c r="D1416" s="326">
        <v>46017</v>
      </c>
      <c r="E1416" s="178">
        <v>2</v>
      </c>
      <c r="F1416" s="171" t="s">
        <v>846</v>
      </c>
      <c r="G1416" s="168">
        <f>IFERROR(VLOOKUP(F1416,'menu list'!B:C,2,FALSE)*E1416,"0")</f>
        <v>2500</v>
      </c>
      <c r="H1416" s="337">
        <f t="shared" ref="H1416:H1444" si="106">G1416*15/100</f>
        <v>375</v>
      </c>
      <c r="I1416" s="168">
        <f t="shared" ref="I1416:I1444" si="107">G1416+H1416</f>
        <v>2875</v>
      </c>
    </row>
    <row r="1417" spans="1:9" ht="13.2">
      <c r="A1417" s="170">
        <f t="shared" si="105"/>
        <v>1416</v>
      </c>
      <c r="B1417" s="171" t="s">
        <v>59</v>
      </c>
      <c r="C1417" s="171" t="str">
        <f>VLOOKUP(B1417,MEMBERS!B:C,2, )</f>
        <v>MR.SAJJAD ALI</v>
      </c>
      <c r="D1417" s="326">
        <v>46017</v>
      </c>
      <c r="E1417" s="178">
        <v>4</v>
      </c>
      <c r="F1417" s="171" t="s">
        <v>772</v>
      </c>
      <c r="G1417" s="168">
        <f>IFERROR(VLOOKUP(F1417,'menu list'!B:C,2,FALSE)*E1417,"0")</f>
        <v>3600</v>
      </c>
      <c r="H1417" s="337">
        <f t="shared" si="106"/>
        <v>540</v>
      </c>
      <c r="I1417" s="168">
        <f t="shared" si="107"/>
        <v>4140</v>
      </c>
    </row>
    <row r="1418" spans="1:9" ht="13.2">
      <c r="A1418" s="170">
        <f t="shared" si="105"/>
        <v>1417</v>
      </c>
      <c r="B1418" s="171" t="s">
        <v>59</v>
      </c>
      <c r="C1418" s="171" t="str">
        <f>VLOOKUP(B1418,MEMBERS!B:C,2, )</f>
        <v>MR.SAJJAD ALI</v>
      </c>
      <c r="D1418" s="326">
        <v>46017</v>
      </c>
      <c r="E1418" s="178">
        <v>8</v>
      </c>
      <c r="F1418" s="171" t="s">
        <v>443</v>
      </c>
      <c r="G1418" s="168">
        <f>IFERROR(VLOOKUP(F1418,'menu list'!B:C,2,FALSE)*E1418,"0")</f>
        <v>1200</v>
      </c>
      <c r="H1418" s="337">
        <f t="shared" si="106"/>
        <v>180</v>
      </c>
      <c r="I1418" s="168">
        <f t="shared" si="107"/>
        <v>1380</v>
      </c>
    </row>
    <row r="1419" spans="1:9" ht="13.2">
      <c r="A1419" s="170">
        <f t="shared" si="105"/>
        <v>1418</v>
      </c>
      <c r="B1419" s="171" t="s">
        <v>59</v>
      </c>
      <c r="C1419" s="171" t="str">
        <f>VLOOKUP(B1419,MEMBERS!B:C,2, )</f>
        <v>MR.SAJJAD ALI</v>
      </c>
      <c r="D1419" s="326">
        <v>46017</v>
      </c>
      <c r="E1419" s="178">
        <v>2</v>
      </c>
      <c r="F1419" s="171" t="s">
        <v>915</v>
      </c>
      <c r="G1419" s="168">
        <f>IFERROR(VLOOKUP(F1419,'menu list'!B:C,2,FALSE)*E1419,"0")</f>
        <v>1998</v>
      </c>
      <c r="H1419" s="337">
        <f t="shared" si="106"/>
        <v>299.7</v>
      </c>
      <c r="I1419" s="168">
        <f t="shared" si="107"/>
        <v>2297.6999999999998</v>
      </c>
    </row>
    <row r="1420" spans="1:9" ht="13.2">
      <c r="A1420" s="170">
        <f t="shared" si="105"/>
        <v>1419</v>
      </c>
      <c r="B1420" s="171" t="s">
        <v>187</v>
      </c>
      <c r="C1420" s="171" t="str">
        <f>VLOOKUP(B1420,MEMBERS!B:C,2, )</f>
        <v>MR.SHAN ELAHI SEHGAL</v>
      </c>
      <c r="D1420" s="326">
        <v>46017</v>
      </c>
      <c r="E1420" s="178">
        <v>1</v>
      </c>
      <c r="F1420" s="171" t="s">
        <v>499</v>
      </c>
      <c r="G1420" s="168">
        <f>IFERROR(VLOOKUP(F1420,'menu list'!B:C,2,FALSE)*E1420,"0")</f>
        <v>100</v>
      </c>
      <c r="H1420" s="337">
        <f t="shared" si="106"/>
        <v>15</v>
      </c>
      <c r="I1420" s="168">
        <f t="shared" si="107"/>
        <v>115</v>
      </c>
    </row>
    <row r="1421" spans="1:9" ht="13.2">
      <c r="A1421" s="170">
        <f t="shared" si="105"/>
        <v>1420</v>
      </c>
      <c r="B1421" s="171" t="s">
        <v>187</v>
      </c>
      <c r="C1421" s="171" t="str">
        <f>VLOOKUP(B1421,MEMBERS!B:C,2, )</f>
        <v>MR.SHAN ELAHI SEHGAL</v>
      </c>
      <c r="D1421" s="326">
        <v>46017</v>
      </c>
      <c r="E1421" s="178">
        <v>1</v>
      </c>
      <c r="F1421" s="171" t="s">
        <v>498</v>
      </c>
      <c r="G1421" s="168">
        <f>IFERROR(VLOOKUP(F1421,'menu list'!B:C,2,FALSE)*E1421,"0")</f>
        <v>200</v>
      </c>
      <c r="H1421" s="337">
        <f t="shared" si="106"/>
        <v>30</v>
      </c>
      <c r="I1421" s="168">
        <f t="shared" si="107"/>
        <v>230</v>
      </c>
    </row>
    <row r="1422" spans="1:9" ht="13.2">
      <c r="A1422" s="170">
        <f t="shared" ref="A1422:A1442" si="108">IF(D1422&lt;&gt;"", ROW()-1, "")</f>
        <v>1421</v>
      </c>
      <c r="B1422" s="171" t="s">
        <v>374</v>
      </c>
      <c r="C1422" s="171" t="str">
        <f>VLOOKUP(B1422,MEMBERS!B:C,2, )</f>
        <v>AAMIR RASOOL</v>
      </c>
      <c r="D1422" s="326">
        <v>46017</v>
      </c>
      <c r="E1422" s="178">
        <v>2</v>
      </c>
      <c r="F1422" s="171" t="s">
        <v>499</v>
      </c>
      <c r="G1422" s="168">
        <f>IFERROR(VLOOKUP(F1422,'menu list'!B:C,2,FALSE)*E1422,"0")</f>
        <v>200</v>
      </c>
      <c r="H1422" s="337">
        <f t="shared" ref="H1422:H1442" si="109">G1422*15/100</f>
        <v>30</v>
      </c>
      <c r="I1422" s="168">
        <f t="shared" ref="I1422:I1442" si="110">G1422+H1422</f>
        <v>230</v>
      </c>
    </row>
    <row r="1423" spans="1:9" ht="13.2">
      <c r="A1423" s="170">
        <f t="shared" si="108"/>
        <v>1422</v>
      </c>
      <c r="B1423" s="171" t="s">
        <v>795</v>
      </c>
      <c r="C1423" s="171" t="str">
        <f>VLOOKUP(B1423,MEMBERS!B:C,2, )</f>
        <v>MR. HASAN KARIM</v>
      </c>
      <c r="D1423" s="326">
        <v>46017</v>
      </c>
      <c r="E1423" s="178">
        <v>1</v>
      </c>
      <c r="F1423" s="171" t="s">
        <v>500</v>
      </c>
      <c r="G1423" s="168">
        <f>IFERROR(VLOOKUP(F1423,'menu list'!B:C,2,FALSE)*E1423,"0")</f>
        <v>1250</v>
      </c>
      <c r="H1423" s="337">
        <f t="shared" si="109"/>
        <v>187.5</v>
      </c>
      <c r="I1423" s="168">
        <f t="shared" si="110"/>
        <v>1437.5</v>
      </c>
    </row>
    <row r="1424" spans="1:9" ht="13.2">
      <c r="A1424" s="170">
        <f t="shared" si="108"/>
        <v>1423</v>
      </c>
      <c r="B1424" s="171" t="s">
        <v>25</v>
      </c>
      <c r="C1424" s="171" t="str">
        <f>VLOOKUP(B1424,MEMBERS!B:C,2, )</f>
        <v>MR.MUHAMMAD ARIF</v>
      </c>
      <c r="D1424" s="326">
        <v>46017</v>
      </c>
      <c r="E1424" s="178">
        <v>1</v>
      </c>
      <c r="F1424" s="171" t="s">
        <v>440</v>
      </c>
      <c r="G1424" s="168">
        <f>IFERROR(VLOOKUP(F1424,'menu list'!B:C,2,FALSE)*E1424,"0")</f>
        <v>150</v>
      </c>
      <c r="H1424" s="337">
        <f t="shared" si="109"/>
        <v>22.5</v>
      </c>
      <c r="I1424" s="168">
        <f t="shared" si="110"/>
        <v>172.5</v>
      </c>
    </row>
    <row r="1425" spans="1:9" ht="13.2">
      <c r="A1425" s="170">
        <f t="shared" si="108"/>
        <v>1424</v>
      </c>
      <c r="B1425" s="171" t="s">
        <v>25</v>
      </c>
      <c r="C1425" s="171" t="str">
        <f>VLOOKUP(B1425,MEMBERS!B:C,2, )</f>
        <v>MR.MUHAMMAD ARIF</v>
      </c>
      <c r="D1425" s="326">
        <v>46017</v>
      </c>
      <c r="E1425" s="178">
        <v>2</v>
      </c>
      <c r="F1425" s="171" t="s">
        <v>499</v>
      </c>
      <c r="G1425" s="168">
        <f>IFERROR(VLOOKUP(F1425,'menu list'!B:C,2,FALSE)*E1425,"0")</f>
        <v>200</v>
      </c>
      <c r="H1425" s="337">
        <f t="shared" si="109"/>
        <v>30</v>
      </c>
      <c r="I1425" s="168">
        <f t="shared" si="110"/>
        <v>230</v>
      </c>
    </row>
    <row r="1426" spans="1:9" ht="13.2">
      <c r="A1426" s="170">
        <f t="shared" si="108"/>
        <v>1425</v>
      </c>
      <c r="B1426" s="171" t="s">
        <v>25</v>
      </c>
      <c r="C1426" s="171" t="str">
        <f>VLOOKUP(B1426,MEMBERS!B:C,2, )</f>
        <v>MR.MUHAMMAD ARIF</v>
      </c>
      <c r="D1426" s="326">
        <v>46017</v>
      </c>
      <c r="E1426" s="178">
        <v>1</v>
      </c>
      <c r="F1426" s="171" t="s">
        <v>822</v>
      </c>
      <c r="G1426" s="168">
        <f>IFERROR(VLOOKUP(F1426,'menu list'!B:C,2,FALSE)*E1426,"0")</f>
        <v>1500</v>
      </c>
      <c r="H1426" s="337">
        <f t="shared" si="109"/>
        <v>225</v>
      </c>
      <c r="I1426" s="168">
        <f t="shared" si="110"/>
        <v>1725</v>
      </c>
    </row>
    <row r="1427" spans="1:9" ht="13.2">
      <c r="A1427" s="170">
        <f t="shared" si="108"/>
        <v>1426</v>
      </c>
      <c r="B1427" s="171" t="s">
        <v>25</v>
      </c>
      <c r="C1427" s="171" t="str">
        <f>VLOOKUP(B1427,MEMBERS!B:C,2, )</f>
        <v>MR.MUHAMMAD ARIF</v>
      </c>
      <c r="D1427" s="326">
        <v>46017</v>
      </c>
      <c r="E1427" s="178">
        <v>1</v>
      </c>
      <c r="F1427" s="171" t="s">
        <v>868</v>
      </c>
      <c r="G1427" s="168">
        <f>IFERROR(VLOOKUP(F1427,'menu list'!B:C,2,FALSE)*E1427,"0")</f>
        <v>1000</v>
      </c>
      <c r="H1427" s="337">
        <f t="shared" si="109"/>
        <v>150</v>
      </c>
      <c r="I1427" s="168">
        <f t="shared" si="110"/>
        <v>1150</v>
      </c>
    </row>
    <row r="1428" spans="1:9" ht="13.2">
      <c r="A1428" s="170">
        <f t="shared" si="108"/>
        <v>1427</v>
      </c>
      <c r="B1428" s="171" t="s">
        <v>25</v>
      </c>
      <c r="C1428" s="171" t="str">
        <f>VLOOKUP(B1428,MEMBERS!B:C,2, )</f>
        <v>MR.MUHAMMAD ARIF</v>
      </c>
      <c r="D1428" s="326">
        <v>46017</v>
      </c>
      <c r="E1428" s="178">
        <v>1</v>
      </c>
      <c r="F1428" s="171" t="s">
        <v>828</v>
      </c>
      <c r="G1428" s="168">
        <f>IFERROR(VLOOKUP(F1428,'menu list'!B:C,2,FALSE)*E1428,"0")</f>
        <v>850</v>
      </c>
      <c r="H1428" s="337">
        <f t="shared" si="109"/>
        <v>127.5</v>
      </c>
      <c r="I1428" s="168">
        <f t="shared" si="110"/>
        <v>977.5</v>
      </c>
    </row>
    <row r="1429" spans="1:9" ht="13.2">
      <c r="A1429" s="170">
        <f t="shared" si="108"/>
        <v>1428</v>
      </c>
      <c r="B1429" s="171" t="s">
        <v>25</v>
      </c>
      <c r="C1429" s="171" t="str">
        <f>VLOOKUP(B1429,MEMBERS!B:C,2, )</f>
        <v>MR.MUHAMMAD ARIF</v>
      </c>
      <c r="D1429" s="326">
        <v>46017</v>
      </c>
      <c r="E1429" s="178">
        <v>1</v>
      </c>
      <c r="F1429" s="171" t="s">
        <v>519</v>
      </c>
      <c r="G1429" s="168">
        <f>IFERROR(VLOOKUP(F1429,'menu list'!B:C,2,FALSE)*E1429,"0")</f>
        <v>999</v>
      </c>
      <c r="H1429" s="337">
        <f t="shared" si="109"/>
        <v>149.85</v>
      </c>
      <c r="I1429" s="168">
        <f t="shared" si="110"/>
        <v>1148.8499999999999</v>
      </c>
    </row>
    <row r="1430" spans="1:9" ht="13.2">
      <c r="A1430" s="170">
        <f t="shared" si="108"/>
        <v>1429</v>
      </c>
      <c r="B1430" s="171" t="s">
        <v>25</v>
      </c>
      <c r="C1430" s="171" t="str">
        <f>VLOOKUP(B1430,MEMBERS!B:C,2, )</f>
        <v>MR.MUHAMMAD ARIF</v>
      </c>
      <c r="D1430" s="326">
        <v>46017</v>
      </c>
      <c r="E1430" s="178">
        <v>5</v>
      </c>
      <c r="F1430" s="171" t="s">
        <v>439</v>
      </c>
      <c r="G1430" s="168">
        <f>IFERROR(VLOOKUP(F1430,'menu list'!B:C,2,FALSE)*E1430,"0")</f>
        <v>350</v>
      </c>
      <c r="H1430" s="337">
        <f t="shared" si="109"/>
        <v>52.5</v>
      </c>
      <c r="I1430" s="168">
        <f t="shared" si="110"/>
        <v>402.5</v>
      </c>
    </row>
    <row r="1431" spans="1:9" ht="13.2">
      <c r="A1431" s="170">
        <f t="shared" si="108"/>
        <v>1430</v>
      </c>
      <c r="B1431" s="171" t="s">
        <v>25</v>
      </c>
      <c r="C1431" s="171" t="str">
        <f>VLOOKUP(B1431,MEMBERS!B:C,2, )</f>
        <v>MR.MUHAMMAD ARIF</v>
      </c>
      <c r="D1431" s="326">
        <v>46017</v>
      </c>
      <c r="E1431" s="178">
        <v>4</v>
      </c>
      <c r="F1431" s="171" t="s">
        <v>442</v>
      </c>
      <c r="G1431" s="168">
        <f>IFERROR(VLOOKUP(F1431,'menu list'!B:C,2,FALSE)*E1431,"0")</f>
        <v>600</v>
      </c>
      <c r="H1431" s="337">
        <f t="shared" si="109"/>
        <v>90</v>
      </c>
      <c r="I1431" s="168">
        <f t="shared" si="110"/>
        <v>690</v>
      </c>
    </row>
    <row r="1432" spans="1:9" ht="13.2">
      <c r="A1432" s="170">
        <f t="shared" si="108"/>
        <v>1431</v>
      </c>
      <c r="B1432" s="171" t="s">
        <v>244</v>
      </c>
      <c r="C1432" s="171" t="str">
        <f>VLOOKUP(B1432,MEMBERS!B:C,2, )</f>
        <v>MR.KHADIM HUSSAIN</v>
      </c>
      <c r="D1432" s="326">
        <v>46017</v>
      </c>
      <c r="E1432" s="178">
        <v>1</v>
      </c>
      <c r="F1432" s="171" t="s">
        <v>440</v>
      </c>
      <c r="G1432" s="168">
        <f>IFERROR(VLOOKUP(F1432,'menu list'!B:C,2,FALSE)*E1432,"0")</f>
        <v>150</v>
      </c>
      <c r="H1432" s="337">
        <f t="shared" si="109"/>
        <v>22.5</v>
      </c>
      <c r="I1432" s="168">
        <f t="shared" si="110"/>
        <v>172.5</v>
      </c>
    </row>
    <row r="1433" spans="1:9" ht="13.2">
      <c r="A1433" s="170">
        <f t="shared" si="108"/>
        <v>1432</v>
      </c>
      <c r="B1433" s="171" t="s">
        <v>244</v>
      </c>
      <c r="C1433" s="171" t="str">
        <f>VLOOKUP(B1433,MEMBERS!B:C,2, )</f>
        <v>MR.KHADIM HUSSAIN</v>
      </c>
      <c r="D1433" s="326">
        <v>46017</v>
      </c>
      <c r="E1433" s="178">
        <v>2</v>
      </c>
      <c r="F1433" s="171" t="s">
        <v>801</v>
      </c>
      <c r="G1433" s="168">
        <f>IFERROR(VLOOKUP(F1433,'menu list'!B:C,2,FALSE)*E1433,"0")</f>
        <v>1400</v>
      </c>
      <c r="H1433" s="337">
        <f t="shared" si="109"/>
        <v>210</v>
      </c>
      <c r="I1433" s="168">
        <f t="shared" si="110"/>
        <v>1610</v>
      </c>
    </row>
    <row r="1434" spans="1:9" ht="13.2">
      <c r="A1434" s="170">
        <f t="shared" si="108"/>
        <v>1433</v>
      </c>
      <c r="B1434" s="171" t="s">
        <v>244</v>
      </c>
      <c r="C1434" s="171" t="str">
        <f>VLOOKUP(B1434,MEMBERS!B:C,2, )</f>
        <v>MR.KHADIM HUSSAIN</v>
      </c>
      <c r="D1434" s="326">
        <v>46017</v>
      </c>
      <c r="E1434" s="178">
        <v>1</v>
      </c>
      <c r="F1434" s="171" t="s">
        <v>500</v>
      </c>
      <c r="G1434" s="168">
        <f>IFERROR(VLOOKUP(F1434,'menu list'!B:C,2,FALSE)*E1434,"0")</f>
        <v>1250</v>
      </c>
      <c r="H1434" s="337">
        <f t="shared" si="109"/>
        <v>187.5</v>
      </c>
      <c r="I1434" s="168">
        <f t="shared" si="110"/>
        <v>1437.5</v>
      </c>
    </row>
    <row r="1435" spans="1:9" ht="13.2">
      <c r="A1435" s="170">
        <f t="shared" si="108"/>
        <v>1434</v>
      </c>
      <c r="B1435" s="171" t="s">
        <v>244</v>
      </c>
      <c r="C1435" s="171" t="str">
        <f>VLOOKUP(B1435,MEMBERS!B:C,2, )</f>
        <v>MR.KHADIM HUSSAIN</v>
      </c>
      <c r="D1435" s="326">
        <v>46017</v>
      </c>
      <c r="E1435" s="178">
        <v>2</v>
      </c>
      <c r="F1435" s="171" t="s">
        <v>785</v>
      </c>
      <c r="G1435" s="168">
        <f>IFERROR(VLOOKUP(F1435,'menu list'!B:C,2,FALSE)*E1435,"0")</f>
        <v>1900</v>
      </c>
      <c r="H1435" s="337">
        <f t="shared" si="109"/>
        <v>285</v>
      </c>
      <c r="I1435" s="168">
        <f t="shared" si="110"/>
        <v>2185</v>
      </c>
    </row>
    <row r="1436" spans="1:9" ht="13.2">
      <c r="A1436" s="170">
        <f t="shared" si="108"/>
        <v>1435</v>
      </c>
      <c r="B1436" s="171" t="s">
        <v>244</v>
      </c>
      <c r="C1436" s="171" t="str">
        <f>VLOOKUP(B1436,MEMBERS!B:C,2, )</f>
        <v>MR.KHADIM HUSSAIN</v>
      </c>
      <c r="D1436" s="326">
        <v>46017</v>
      </c>
      <c r="E1436" s="178">
        <v>4</v>
      </c>
      <c r="F1436" s="171" t="s">
        <v>497</v>
      </c>
      <c r="G1436" s="168">
        <f>IFERROR(VLOOKUP(F1436,'menu list'!B:C,2,FALSE)*E1436,"0")</f>
        <v>1000</v>
      </c>
      <c r="H1436" s="337">
        <f t="shared" si="109"/>
        <v>150</v>
      </c>
      <c r="I1436" s="168">
        <f t="shared" si="110"/>
        <v>1150</v>
      </c>
    </row>
    <row r="1437" spans="1:9" ht="13.2">
      <c r="A1437" s="170">
        <f t="shared" si="108"/>
        <v>1436</v>
      </c>
      <c r="B1437" s="171" t="s">
        <v>244</v>
      </c>
      <c r="C1437" s="171" t="str">
        <f>VLOOKUP(B1437,MEMBERS!B:C,2, )</f>
        <v>MR.KHADIM HUSSAIN</v>
      </c>
      <c r="D1437" s="326">
        <v>46017</v>
      </c>
      <c r="E1437" s="178">
        <v>1</v>
      </c>
      <c r="F1437" s="171" t="s">
        <v>803</v>
      </c>
      <c r="G1437" s="168">
        <f>IFERROR(VLOOKUP(F1437,'menu list'!B:C,2,FALSE)*E1437,"0")</f>
        <v>250</v>
      </c>
      <c r="H1437" s="337">
        <f t="shared" si="109"/>
        <v>37.5</v>
      </c>
      <c r="I1437" s="168">
        <f t="shared" si="110"/>
        <v>287.5</v>
      </c>
    </row>
    <row r="1438" spans="1:9" ht="13.2">
      <c r="A1438" s="170">
        <f t="shared" si="108"/>
        <v>1437</v>
      </c>
      <c r="B1438" s="171" t="s">
        <v>244</v>
      </c>
      <c r="C1438" s="171" t="str">
        <f>VLOOKUP(B1438,MEMBERS!B:C,2, )</f>
        <v>MR.KHADIM HUSSAIN</v>
      </c>
      <c r="D1438" s="326">
        <v>46017</v>
      </c>
      <c r="E1438" s="178">
        <v>1</v>
      </c>
      <c r="F1438" s="171" t="s">
        <v>499</v>
      </c>
      <c r="G1438" s="168">
        <f>IFERROR(VLOOKUP(F1438,'menu list'!B:C,2,FALSE)*E1438,"0")</f>
        <v>100</v>
      </c>
      <c r="H1438" s="337">
        <f t="shared" si="109"/>
        <v>15</v>
      </c>
      <c r="I1438" s="168">
        <f t="shared" si="110"/>
        <v>115</v>
      </c>
    </row>
    <row r="1439" spans="1:9" ht="13.2">
      <c r="A1439" s="170">
        <f t="shared" si="108"/>
        <v>1438</v>
      </c>
      <c r="B1439" s="171" t="s">
        <v>428</v>
      </c>
      <c r="C1439" s="171" t="str">
        <f>VLOOKUP(B1439,MEMBERS!B:C,2, )</f>
        <v>ALI LEGHARI</v>
      </c>
      <c r="D1439" s="326">
        <v>46017</v>
      </c>
      <c r="E1439" s="178">
        <v>4</v>
      </c>
      <c r="F1439" s="171" t="s">
        <v>499</v>
      </c>
      <c r="G1439" s="168">
        <f>IFERROR(VLOOKUP(F1439,'menu list'!B:C,2,FALSE)*E1439,"0")</f>
        <v>400</v>
      </c>
      <c r="H1439" s="337">
        <f t="shared" si="109"/>
        <v>60</v>
      </c>
      <c r="I1439" s="168">
        <f t="shared" si="110"/>
        <v>460</v>
      </c>
    </row>
    <row r="1440" spans="1:9" ht="13.2">
      <c r="A1440" s="170">
        <f t="shared" si="108"/>
        <v>1439</v>
      </c>
      <c r="B1440" s="171" t="s">
        <v>428</v>
      </c>
      <c r="C1440" s="171" t="str">
        <f>VLOOKUP(B1440,MEMBERS!B:C,2, )</f>
        <v>ALI LEGHARI</v>
      </c>
      <c r="D1440" s="326">
        <v>46017</v>
      </c>
      <c r="E1440" s="178">
        <v>33</v>
      </c>
      <c r="F1440" s="171" t="s">
        <v>440</v>
      </c>
      <c r="G1440" s="168">
        <f>IFERROR(VLOOKUP(F1440,'menu list'!B:C,2,FALSE)*E1440,"0")</f>
        <v>4950</v>
      </c>
      <c r="H1440" s="337">
        <f t="shared" si="109"/>
        <v>742.5</v>
      </c>
      <c r="I1440" s="168">
        <f t="shared" si="110"/>
        <v>5692.5</v>
      </c>
    </row>
    <row r="1441" spans="1:9" ht="13.2">
      <c r="A1441" s="170">
        <f t="shared" si="108"/>
        <v>1440</v>
      </c>
      <c r="B1441" s="171" t="s">
        <v>428</v>
      </c>
      <c r="C1441" s="171" t="str">
        <f>VLOOKUP(B1441,MEMBERS!B:C,2, )</f>
        <v>ALI LEGHARI</v>
      </c>
      <c r="D1441" s="326">
        <v>46017</v>
      </c>
      <c r="E1441" s="178">
        <v>208</v>
      </c>
      <c r="F1441" s="171" t="s">
        <v>442</v>
      </c>
      <c r="G1441" s="168">
        <f>IFERROR(VLOOKUP(F1441,'menu list'!B:C,2,FALSE)*E1441,"0")</f>
        <v>31200</v>
      </c>
      <c r="H1441" s="337">
        <f t="shared" si="109"/>
        <v>4680</v>
      </c>
      <c r="I1441" s="168">
        <f t="shared" si="110"/>
        <v>35880</v>
      </c>
    </row>
    <row r="1442" spans="1:9" ht="13.2">
      <c r="A1442" s="170" t="str">
        <f t="shared" si="108"/>
        <v/>
      </c>
      <c r="B1442" s="171" t="s">
        <v>756</v>
      </c>
      <c r="C1442" s="171" t="e">
        <f>VLOOKUP(B1442,MEMBERS!B:C,2, )</f>
        <v>#N/A</v>
      </c>
      <c r="D1442" s="326"/>
      <c r="E1442" s="178"/>
      <c r="F1442" s="171"/>
      <c r="G1442" s="168" t="str">
        <f>IFERROR(VLOOKUP(F1442,'menu list'!B:C,2,FALSE)*E1442,"0")</f>
        <v>0</v>
      </c>
      <c r="H1442" s="337">
        <f t="shared" si="109"/>
        <v>0</v>
      </c>
      <c r="I1442" s="168">
        <f t="shared" si="110"/>
        <v>0</v>
      </c>
    </row>
    <row r="1443" spans="1:9" ht="13.2">
      <c r="A1443" s="170" t="str">
        <f t="shared" si="105"/>
        <v/>
      </c>
      <c r="B1443" s="171" t="s">
        <v>756</v>
      </c>
      <c r="C1443" s="171" t="e">
        <f>VLOOKUP(B1443,MEMBERS!B:C,2, )</f>
        <v>#N/A</v>
      </c>
      <c r="D1443" s="326"/>
      <c r="E1443" s="178"/>
      <c r="F1443" s="171"/>
      <c r="G1443" s="168" t="str">
        <f>IFERROR(VLOOKUP(F1443,'menu list'!B:C,2,FALSE)*E1443,"0")</f>
        <v>0</v>
      </c>
      <c r="H1443" s="337">
        <f t="shared" si="106"/>
        <v>0</v>
      </c>
      <c r="I1443" s="168">
        <f t="shared" si="107"/>
        <v>0</v>
      </c>
    </row>
    <row r="1444" spans="1:9" ht="13.2">
      <c r="A1444" s="170" t="str">
        <f t="shared" si="105"/>
        <v/>
      </c>
      <c r="B1444" s="171" t="s">
        <v>756</v>
      </c>
      <c r="C1444" s="171" t="e">
        <f>VLOOKUP(B1444,MEMBERS!B:C,2, )</f>
        <v>#N/A</v>
      </c>
      <c r="D1444" s="326"/>
      <c r="E1444" s="178"/>
      <c r="F1444" s="171"/>
      <c r="G1444" s="168" t="str">
        <f>IFERROR(VLOOKUP(F1444,'menu list'!B:C,2,FALSE)*E1444,"0")</f>
        <v>0</v>
      </c>
      <c r="H1444" s="337">
        <f t="shared" si="106"/>
        <v>0</v>
      </c>
      <c r="I1444" s="168">
        <f t="shared" si="107"/>
        <v>0</v>
      </c>
    </row>
    <row r="1445" spans="1:9" ht="13.8" thickBot="1">
      <c r="A1445" s="170" t="str">
        <f t="shared" ref="A1445" si="111">IF(D1445&lt;&gt;"", ROW()-1, "")</f>
        <v/>
      </c>
      <c r="B1445" s="171" t="s">
        <v>756</v>
      </c>
      <c r="C1445" s="171" t="e">
        <f>VLOOKUP(B1445,MEMBERS!B:C,2, )</f>
        <v>#N/A</v>
      </c>
      <c r="D1445" s="326"/>
      <c r="E1445" s="178"/>
      <c r="F1445" s="171"/>
      <c r="G1445" s="168" t="str">
        <f>IFERROR(VLOOKUP(F1445,'menu list'!B:C,2,FALSE)*E1445,"0")</f>
        <v>0</v>
      </c>
      <c r="H1445" s="337">
        <f t="shared" ref="H1445" si="112">G1445*15/100</f>
        <v>0</v>
      </c>
      <c r="I1445" s="168">
        <f t="shared" ref="I1445" si="113">G1445+H1445</f>
        <v>0</v>
      </c>
    </row>
    <row r="1446" spans="1:9" ht="13.8" thickBot="1">
      <c r="A1446" s="189"/>
      <c r="B1446" s="181"/>
      <c r="C1446" s="181"/>
      <c r="D1446" s="182"/>
      <c r="E1446" s="183"/>
      <c r="F1446" s="184" t="s">
        <v>1089</v>
      </c>
      <c r="G1446" s="188">
        <f>SUM(G2:G1445)</f>
        <v>5370466</v>
      </c>
      <c r="H1446" s="338">
        <f>SUM(H2:H1445)</f>
        <v>791409.9</v>
      </c>
      <c r="I1446" s="338">
        <f>SUM(I2:I1445)</f>
        <v>6161875.8999999994</v>
      </c>
    </row>
  </sheetData>
  <autoFilter ref="A1:L1446" xr:uid="{00000000-0001-0000-0300-000000000000}"/>
  <phoneticPr fontId="8" type="noConversion"/>
  <conditionalFormatting sqref="F1380">
    <cfRule type="duplicateValues" dxfId="8" priority="1"/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  <pageSetup paperSize="9"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DQ480"/>
  <sheetViews>
    <sheetView topLeftCell="A475" zoomScale="106" zoomScaleNormal="106" zoomScaleSheetLayoutView="145" workbookViewId="0">
      <selection activeCell="D489" sqref="D489"/>
    </sheetView>
  </sheetViews>
  <sheetFormatPr defaultColWidth="9" defaultRowHeight="13.8"/>
  <cols>
    <col min="1" max="1" width="10.88671875" style="235" bestFit="1" customWidth="1"/>
    <col min="2" max="2" width="50.33203125" style="235" customWidth="1"/>
    <col min="3" max="3" width="10.33203125" style="311" bestFit="1" customWidth="1"/>
    <col min="4" max="4" width="16.44140625" style="235" bestFit="1" customWidth="1"/>
    <col min="5" max="15" width="9" style="235"/>
    <col min="16" max="16" width="3" style="235" bestFit="1" customWidth="1"/>
    <col min="17" max="17" width="2" style="235" bestFit="1" customWidth="1"/>
    <col min="18" max="16384" width="9" style="235"/>
  </cols>
  <sheetData>
    <row r="1" spans="1:10">
      <c r="A1" s="297" t="s">
        <v>1083</v>
      </c>
      <c r="B1" s="298"/>
      <c r="C1" s="299"/>
      <c r="D1" s="300"/>
    </row>
    <row r="2" spans="1:10">
      <c r="A2" s="301" t="s">
        <v>1106</v>
      </c>
      <c r="B2" s="302" t="s">
        <v>1107</v>
      </c>
      <c r="C2" s="302" t="s">
        <v>1108</v>
      </c>
      <c r="D2" s="302" t="s">
        <v>1109</v>
      </c>
      <c r="J2" s="235" t="s">
        <v>1110</v>
      </c>
    </row>
    <row r="3" spans="1:10">
      <c r="A3" s="350">
        <f>IF(B3&lt;&gt;"", ROW()-2, "")</f>
        <v>1</v>
      </c>
      <c r="B3" s="351" t="s">
        <v>507</v>
      </c>
      <c r="C3" s="352">
        <v>550</v>
      </c>
      <c r="D3" s="300"/>
    </row>
    <row r="4" spans="1:10">
      <c r="A4" s="350">
        <f t="shared" ref="A4:A67" si="0">IF(B4&lt;&gt;"", ROW()-2, "")</f>
        <v>2</v>
      </c>
      <c r="B4" s="351" t="s">
        <v>810</v>
      </c>
      <c r="C4" s="352">
        <v>600</v>
      </c>
      <c r="D4" s="300"/>
    </row>
    <row r="5" spans="1:10">
      <c r="A5" s="350">
        <f t="shared" si="0"/>
        <v>3</v>
      </c>
      <c r="B5" s="351" t="s">
        <v>508</v>
      </c>
      <c r="C5" s="352">
        <v>1500</v>
      </c>
      <c r="D5" s="300"/>
    </row>
    <row r="6" spans="1:10">
      <c r="A6" s="350">
        <f t="shared" si="0"/>
        <v>4</v>
      </c>
      <c r="B6" s="351" t="s">
        <v>509</v>
      </c>
      <c r="C6" s="352">
        <v>400</v>
      </c>
      <c r="D6" s="300"/>
    </row>
    <row r="7" spans="1:10">
      <c r="A7" s="350">
        <f t="shared" si="0"/>
        <v>5</v>
      </c>
      <c r="B7" s="351" t="s">
        <v>708</v>
      </c>
      <c r="C7" s="352">
        <v>800</v>
      </c>
      <c r="D7" s="300"/>
    </row>
    <row r="8" spans="1:10">
      <c r="A8" s="350">
        <f t="shared" si="0"/>
        <v>6</v>
      </c>
      <c r="B8" s="351" t="s">
        <v>510</v>
      </c>
      <c r="C8" s="352">
        <v>100</v>
      </c>
      <c r="D8" s="300"/>
    </row>
    <row r="9" spans="1:10">
      <c r="A9" s="350">
        <f t="shared" si="0"/>
        <v>7</v>
      </c>
      <c r="B9" s="351" t="s">
        <v>811</v>
      </c>
      <c r="C9" s="352">
        <v>1450</v>
      </c>
      <c r="D9" s="300"/>
    </row>
    <row r="10" spans="1:10">
      <c r="A10" s="350">
        <f t="shared" si="0"/>
        <v>8</v>
      </c>
      <c r="B10" s="351" t="s">
        <v>511</v>
      </c>
      <c r="C10" s="352">
        <v>400</v>
      </c>
      <c r="D10" s="300"/>
    </row>
    <row r="11" spans="1:10">
      <c r="A11" s="350">
        <f t="shared" si="0"/>
        <v>9</v>
      </c>
      <c r="B11" s="351" t="s">
        <v>812</v>
      </c>
      <c r="C11" s="352">
        <v>950</v>
      </c>
      <c r="D11" s="300"/>
    </row>
    <row r="12" spans="1:10">
      <c r="A12" s="350">
        <f t="shared" si="0"/>
        <v>10</v>
      </c>
      <c r="B12" s="351" t="s">
        <v>444</v>
      </c>
      <c r="C12" s="352">
        <v>200</v>
      </c>
      <c r="D12" s="300"/>
    </row>
    <row r="13" spans="1:10">
      <c r="A13" s="350">
        <f t="shared" si="0"/>
        <v>11</v>
      </c>
      <c r="B13" s="351" t="s">
        <v>512</v>
      </c>
      <c r="C13" s="352">
        <v>450</v>
      </c>
      <c r="D13" s="300"/>
    </row>
    <row r="14" spans="1:10">
      <c r="A14" s="350">
        <f t="shared" si="0"/>
        <v>12</v>
      </c>
      <c r="B14" s="351" t="s">
        <v>813</v>
      </c>
      <c r="C14" s="352">
        <v>300</v>
      </c>
      <c r="D14" s="300"/>
    </row>
    <row r="15" spans="1:10">
      <c r="A15" s="350">
        <f t="shared" si="0"/>
        <v>13</v>
      </c>
      <c r="B15" s="351" t="s">
        <v>513</v>
      </c>
      <c r="C15" s="352">
        <v>275</v>
      </c>
      <c r="D15" s="300"/>
    </row>
    <row r="16" spans="1:10">
      <c r="A16" s="350">
        <f t="shared" si="0"/>
        <v>14</v>
      </c>
      <c r="B16" s="351" t="s">
        <v>514</v>
      </c>
      <c r="C16" s="352">
        <v>600</v>
      </c>
      <c r="D16" s="300"/>
    </row>
    <row r="17" spans="1:4">
      <c r="A17" s="350">
        <f t="shared" si="0"/>
        <v>15</v>
      </c>
      <c r="B17" s="351" t="s">
        <v>515</v>
      </c>
      <c r="C17" s="352">
        <v>400</v>
      </c>
      <c r="D17" s="300"/>
    </row>
    <row r="18" spans="1:4">
      <c r="A18" s="350">
        <f t="shared" si="0"/>
        <v>16</v>
      </c>
      <c r="B18" s="351" t="s">
        <v>705</v>
      </c>
      <c r="C18" s="352">
        <v>800</v>
      </c>
      <c r="D18" s="300"/>
    </row>
    <row r="19" spans="1:4" ht="14.4">
      <c r="A19" s="350">
        <f t="shared" si="0"/>
        <v>17</v>
      </c>
      <c r="B19" s="351" t="s">
        <v>516</v>
      </c>
      <c r="C19" s="353">
        <v>250</v>
      </c>
      <c r="D19" s="300"/>
    </row>
    <row r="20" spans="1:4">
      <c r="A20" s="350">
        <f t="shared" si="0"/>
        <v>18</v>
      </c>
      <c r="B20" s="354" t="s">
        <v>734</v>
      </c>
      <c r="C20" s="355">
        <v>350</v>
      </c>
      <c r="D20" s="300"/>
    </row>
    <row r="21" spans="1:4" ht="14.4">
      <c r="A21" s="350">
        <f t="shared" si="0"/>
        <v>19</v>
      </c>
      <c r="B21" s="356" t="s">
        <v>517</v>
      </c>
      <c r="C21" s="353">
        <v>150</v>
      </c>
      <c r="D21" s="300"/>
    </row>
    <row r="22" spans="1:4" ht="14.4">
      <c r="A22" s="350">
        <f t="shared" si="0"/>
        <v>20</v>
      </c>
      <c r="B22" s="357" t="s">
        <v>518</v>
      </c>
      <c r="C22" s="353">
        <v>250</v>
      </c>
      <c r="D22" s="300"/>
    </row>
    <row r="23" spans="1:4" ht="14.4">
      <c r="A23" s="350">
        <f t="shared" si="0"/>
        <v>21</v>
      </c>
      <c r="B23" s="351" t="s">
        <v>805</v>
      </c>
      <c r="C23" s="353">
        <v>540</v>
      </c>
      <c r="D23" s="300"/>
    </row>
    <row r="24" spans="1:4" ht="14.4">
      <c r="A24" s="350">
        <f t="shared" si="0"/>
        <v>22</v>
      </c>
      <c r="B24" s="351" t="s">
        <v>804</v>
      </c>
      <c r="C24" s="353">
        <v>270</v>
      </c>
      <c r="D24" s="300"/>
    </row>
    <row r="25" spans="1:4">
      <c r="A25" s="350">
        <f t="shared" si="0"/>
        <v>23</v>
      </c>
      <c r="B25" s="351" t="s">
        <v>501</v>
      </c>
      <c r="C25" s="352">
        <v>1200</v>
      </c>
      <c r="D25" s="300"/>
    </row>
    <row r="26" spans="1:4">
      <c r="A26" s="350">
        <f t="shared" si="0"/>
        <v>24</v>
      </c>
      <c r="B26" s="351" t="s">
        <v>519</v>
      </c>
      <c r="C26" s="352">
        <v>999</v>
      </c>
      <c r="D26" s="300"/>
    </row>
    <row r="27" spans="1:4">
      <c r="A27" s="350">
        <f t="shared" si="0"/>
        <v>25</v>
      </c>
      <c r="B27" s="351" t="s">
        <v>737</v>
      </c>
      <c r="C27" s="355">
        <v>999</v>
      </c>
      <c r="D27" s="300"/>
    </row>
    <row r="28" spans="1:4">
      <c r="A28" s="350">
        <f t="shared" si="0"/>
        <v>26</v>
      </c>
      <c r="B28" s="351" t="s">
        <v>520</v>
      </c>
      <c r="C28" s="352">
        <v>850</v>
      </c>
      <c r="D28" s="300"/>
    </row>
    <row r="29" spans="1:4" ht="14.4">
      <c r="A29" s="350">
        <f t="shared" si="0"/>
        <v>27</v>
      </c>
      <c r="B29" s="356" t="s">
        <v>521</v>
      </c>
      <c r="C29" s="353">
        <v>1599</v>
      </c>
      <c r="D29" s="300"/>
    </row>
    <row r="30" spans="1:4" ht="14.4">
      <c r="A30" s="350">
        <f t="shared" si="0"/>
        <v>28</v>
      </c>
      <c r="B30" s="351" t="s">
        <v>522</v>
      </c>
      <c r="C30" s="353">
        <v>1200</v>
      </c>
      <c r="D30" s="300"/>
    </row>
    <row r="31" spans="1:4">
      <c r="A31" s="350">
        <f t="shared" si="0"/>
        <v>29</v>
      </c>
      <c r="B31" s="351" t="s">
        <v>792</v>
      </c>
      <c r="C31" s="352">
        <v>1200</v>
      </c>
      <c r="D31" s="300"/>
    </row>
    <row r="32" spans="1:4">
      <c r="A32" s="350">
        <f t="shared" si="0"/>
        <v>30</v>
      </c>
      <c r="B32" s="351" t="s">
        <v>814</v>
      </c>
      <c r="C32" s="352">
        <v>1200</v>
      </c>
      <c r="D32" s="300"/>
    </row>
    <row r="33" spans="1:4">
      <c r="A33" s="350">
        <f t="shared" si="0"/>
        <v>31</v>
      </c>
      <c r="B33" s="351" t="s">
        <v>815</v>
      </c>
      <c r="C33" s="352">
        <v>600</v>
      </c>
      <c r="D33" s="300"/>
    </row>
    <row r="34" spans="1:4">
      <c r="A34" s="350">
        <f t="shared" si="0"/>
        <v>32</v>
      </c>
      <c r="B34" s="351" t="s">
        <v>643</v>
      </c>
      <c r="C34" s="352">
        <v>300</v>
      </c>
      <c r="D34" s="300"/>
    </row>
    <row r="35" spans="1:4">
      <c r="A35" s="350">
        <f t="shared" si="0"/>
        <v>33</v>
      </c>
      <c r="B35" s="351" t="s">
        <v>523</v>
      </c>
      <c r="C35" s="352">
        <v>250</v>
      </c>
      <c r="D35" s="300"/>
    </row>
    <row r="36" spans="1:4">
      <c r="A36" s="350">
        <f t="shared" si="0"/>
        <v>34</v>
      </c>
      <c r="B36" s="351" t="s">
        <v>524</v>
      </c>
      <c r="C36" s="352">
        <v>1900</v>
      </c>
      <c r="D36" s="300"/>
    </row>
    <row r="37" spans="1:4" ht="14.4">
      <c r="A37" s="350">
        <f t="shared" si="0"/>
        <v>35</v>
      </c>
      <c r="B37" s="358" t="s">
        <v>525</v>
      </c>
      <c r="C37" s="353">
        <v>250</v>
      </c>
      <c r="D37" s="300"/>
    </row>
    <row r="38" spans="1:4">
      <c r="A38" s="350">
        <f t="shared" si="0"/>
        <v>36</v>
      </c>
      <c r="B38" s="351" t="s">
        <v>526</v>
      </c>
      <c r="C38" s="352">
        <v>1500</v>
      </c>
      <c r="D38" s="300"/>
    </row>
    <row r="39" spans="1:4">
      <c r="A39" s="350">
        <f t="shared" si="0"/>
        <v>37</v>
      </c>
      <c r="B39" s="351" t="s">
        <v>645</v>
      </c>
      <c r="C39" s="352">
        <v>800</v>
      </c>
      <c r="D39" s="300"/>
    </row>
    <row r="40" spans="1:4">
      <c r="A40" s="350">
        <f t="shared" si="0"/>
        <v>38</v>
      </c>
      <c r="B40" s="351" t="s">
        <v>527</v>
      </c>
      <c r="C40" s="352">
        <v>100</v>
      </c>
      <c r="D40" s="300"/>
    </row>
    <row r="41" spans="1:4">
      <c r="A41" s="350">
        <f t="shared" si="0"/>
        <v>39</v>
      </c>
      <c r="B41" s="351" t="s">
        <v>816</v>
      </c>
      <c r="C41" s="352">
        <v>1000</v>
      </c>
      <c r="D41" s="300"/>
    </row>
    <row r="42" spans="1:4">
      <c r="A42" s="350">
        <f t="shared" si="0"/>
        <v>40</v>
      </c>
      <c r="B42" s="351" t="s">
        <v>808</v>
      </c>
      <c r="C42" s="352">
        <v>1000</v>
      </c>
      <c r="D42" s="300"/>
    </row>
    <row r="43" spans="1:4">
      <c r="A43" s="350">
        <f t="shared" si="0"/>
        <v>41</v>
      </c>
      <c r="B43" s="351" t="s">
        <v>817</v>
      </c>
      <c r="C43" s="352">
        <v>700</v>
      </c>
      <c r="D43" s="300"/>
    </row>
    <row r="44" spans="1:4">
      <c r="A44" s="350">
        <f t="shared" si="0"/>
        <v>42</v>
      </c>
      <c r="B44" s="351" t="s">
        <v>946</v>
      </c>
      <c r="C44" s="352">
        <v>2800</v>
      </c>
      <c r="D44" s="300"/>
    </row>
    <row r="45" spans="1:4">
      <c r="A45" s="350">
        <f t="shared" si="0"/>
        <v>43</v>
      </c>
      <c r="B45" s="351" t="s">
        <v>528</v>
      </c>
      <c r="C45" s="352">
        <v>2800</v>
      </c>
      <c r="D45" s="300"/>
    </row>
    <row r="46" spans="1:4">
      <c r="A46" s="350">
        <f t="shared" si="0"/>
        <v>44</v>
      </c>
      <c r="B46" s="354" t="s">
        <v>742</v>
      </c>
      <c r="C46" s="355">
        <v>350</v>
      </c>
      <c r="D46" s="300"/>
    </row>
    <row r="47" spans="1:4">
      <c r="A47" s="350">
        <f t="shared" si="0"/>
        <v>45</v>
      </c>
      <c r="B47" s="351" t="s">
        <v>818</v>
      </c>
      <c r="C47" s="352">
        <v>900</v>
      </c>
      <c r="D47" s="300"/>
    </row>
    <row r="48" spans="1:4">
      <c r="A48" s="350">
        <f t="shared" si="0"/>
        <v>46</v>
      </c>
      <c r="B48" s="351" t="s">
        <v>529</v>
      </c>
      <c r="C48" s="352">
        <v>250</v>
      </c>
      <c r="D48" s="300"/>
    </row>
    <row r="49" spans="1:4">
      <c r="A49" s="350">
        <f t="shared" si="0"/>
        <v>47</v>
      </c>
      <c r="B49" s="351" t="s">
        <v>704</v>
      </c>
      <c r="C49" s="352">
        <v>100</v>
      </c>
      <c r="D49" s="300"/>
    </row>
    <row r="50" spans="1:4">
      <c r="A50" s="350">
        <f t="shared" si="0"/>
        <v>48</v>
      </c>
      <c r="B50" s="351" t="s">
        <v>530</v>
      </c>
      <c r="C50" s="352">
        <v>1800</v>
      </c>
      <c r="D50" s="300"/>
    </row>
    <row r="51" spans="1:4">
      <c r="A51" s="350">
        <f t="shared" si="0"/>
        <v>49</v>
      </c>
      <c r="B51" s="351" t="s">
        <v>531</v>
      </c>
      <c r="C51" s="352">
        <v>4500</v>
      </c>
      <c r="D51" s="300"/>
    </row>
    <row r="52" spans="1:4">
      <c r="A52" s="350">
        <f t="shared" si="0"/>
        <v>50</v>
      </c>
      <c r="B52" s="351" t="s">
        <v>532</v>
      </c>
      <c r="C52" s="352">
        <v>60</v>
      </c>
      <c r="D52" s="300"/>
    </row>
    <row r="53" spans="1:4">
      <c r="A53" s="350">
        <f t="shared" si="0"/>
        <v>51</v>
      </c>
      <c r="B53" s="351" t="s">
        <v>712</v>
      </c>
      <c r="C53" s="352">
        <v>200</v>
      </c>
      <c r="D53" s="300"/>
    </row>
    <row r="54" spans="1:4" ht="14.4">
      <c r="A54" s="350">
        <f t="shared" si="0"/>
        <v>52</v>
      </c>
      <c r="B54" s="357" t="s">
        <v>533</v>
      </c>
      <c r="C54" s="353">
        <v>200</v>
      </c>
      <c r="D54" s="300"/>
    </row>
    <row r="55" spans="1:4" ht="14.4">
      <c r="A55" s="350">
        <f t="shared" si="0"/>
        <v>53</v>
      </c>
      <c r="B55" s="356" t="s">
        <v>534</v>
      </c>
      <c r="C55" s="353">
        <v>775</v>
      </c>
      <c r="D55" s="300"/>
    </row>
    <row r="56" spans="1:4">
      <c r="A56" s="350">
        <f t="shared" si="0"/>
        <v>54</v>
      </c>
      <c r="B56" s="351" t="s">
        <v>635</v>
      </c>
      <c r="C56" s="352">
        <v>3000</v>
      </c>
      <c r="D56" s="300"/>
    </row>
    <row r="57" spans="1:4" ht="26.4">
      <c r="A57" s="350">
        <f t="shared" si="0"/>
        <v>55</v>
      </c>
      <c r="B57" s="351" t="s">
        <v>819</v>
      </c>
      <c r="C57" s="352">
        <v>3700</v>
      </c>
      <c r="D57" s="303" t="s">
        <v>820</v>
      </c>
    </row>
    <row r="58" spans="1:4">
      <c r="A58" s="350">
        <f t="shared" si="0"/>
        <v>56</v>
      </c>
      <c r="B58" s="351" t="s">
        <v>535</v>
      </c>
      <c r="C58" s="352">
        <v>60</v>
      </c>
      <c r="D58" s="300"/>
    </row>
    <row r="59" spans="1:4" ht="14.4">
      <c r="A59" s="350">
        <f t="shared" si="0"/>
        <v>57</v>
      </c>
      <c r="B59" s="356" t="s">
        <v>536</v>
      </c>
      <c r="C59" s="353">
        <v>750</v>
      </c>
      <c r="D59" s="300"/>
    </row>
    <row r="60" spans="1:4">
      <c r="A60" s="350">
        <f t="shared" si="0"/>
        <v>58</v>
      </c>
      <c r="B60" s="351" t="s">
        <v>537</v>
      </c>
      <c r="C60" s="352">
        <v>150</v>
      </c>
      <c r="D60" s="300"/>
    </row>
    <row r="61" spans="1:4">
      <c r="A61" s="350">
        <f t="shared" si="0"/>
        <v>59</v>
      </c>
      <c r="B61" s="351" t="s">
        <v>538</v>
      </c>
      <c r="C61" s="352">
        <v>200</v>
      </c>
      <c r="D61" s="300"/>
    </row>
    <row r="62" spans="1:4">
      <c r="A62" s="350">
        <f t="shared" si="0"/>
        <v>60</v>
      </c>
      <c r="B62" s="351" t="s">
        <v>821</v>
      </c>
      <c r="C62" s="352">
        <v>350</v>
      </c>
      <c r="D62" s="300"/>
    </row>
    <row r="63" spans="1:4">
      <c r="A63" s="350">
        <f t="shared" si="0"/>
        <v>61</v>
      </c>
      <c r="B63" s="351" t="s">
        <v>822</v>
      </c>
      <c r="C63" s="352">
        <v>1500</v>
      </c>
      <c r="D63" s="300"/>
    </row>
    <row r="64" spans="1:4">
      <c r="A64" s="350">
        <f t="shared" si="0"/>
        <v>62</v>
      </c>
      <c r="B64" s="351" t="s">
        <v>668</v>
      </c>
      <c r="C64" s="352">
        <v>350</v>
      </c>
      <c r="D64" s="300"/>
    </row>
    <row r="65" spans="1:4">
      <c r="A65" s="350">
        <f t="shared" si="0"/>
        <v>63</v>
      </c>
      <c r="B65" s="351" t="s">
        <v>539</v>
      </c>
      <c r="C65" s="352">
        <v>200</v>
      </c>
      <c r="D65" s="300"/>
    </row>
    <row r="66" spans="1:4">
      <c r="A66" s="350">
        <f t="shared" si="0"/>
        <v>64</v>
      </c>
      <c r="B66" s="351" t="s">
        <v>716</v>
      </c>
      <c r="C66" s="352">
        <v>250</v>
      </c>
      <c r="D66" s="300"/>
    </row>
    <row r="67" spans="1:4">
      <c r="A67" s="350">
        <f t="shared" si="0"/>
        <v>65</v>
      </c>
      <c r="B67" s="351" t="s">
        <v>765</v>
      </c>
      <c r="C67" s="352">
        <v>600</v>
      </c>
      <c r="D67" s="300"/>
    </row>
    <row r="68" spans="1:4">
      <c r="A68" s="350">
        <f t="shared" ref="A68:A131" si="1">IF(B68&lt;&gt;"", ROW()-2, "")</f>
        <v>66</v>
      </c>
      <c r="B68" s="351" t="s">
        <v>766</v>
      </c>
      <c r="C68" s="352">
        <v>550</v>
      </c>
      <c r="D68" s="300"/>
    </row>
    <row r="69" spans="1:4">
      <c r="A69" s="350">
        <f t="shared" si="1"/>
        <v>67</v>
      </c>
      <c r="B69" s="351" t="s">
        <v>823</v>
      </c>
      <c r="C69" s="352">
        <v>1200</v>
      </c>
      <c r="D69" s="300"/>
    </row>
    <row r="70" spans="1:4">
      <c r="A70" s="350">
        <f t="shared" si="1"/>
        <v>68</v>
      </c>
      <c r="B70" s="351" t="s">
        <v>784</v>
      </c>
      <c r="C70" s="352">
        <v>750</v>
      </c>
      <c r="D70" s="300"/>
    </row>
    <row r="71" spans="1:4">
      <c r="A71" s="350">
        <f t="shared" si="1"/>
        <v>69</v>
      </c>
      <c r="B71" s="351" t="s">
        <v>785</v>
      </c>
      <c r="C71" s="352">
        <v>950</v>
      </c>
      <c r="D71" s="300"/>
    </row>
    <row r="72" spans="1:4">
      <c r="A72" s="350">
        <f t="shared" si="1"/>
        <v>70</v>
      </c>
      <c r="B72" s="351" t="s">
        <v>767</v>
      </c>
      <c r="C72" s="352">
        <v>500</v>
      </c>
      <c r="D72" s="300"/>
    </row>
    <row r="73" spans="1:4">
      <c r="A73" s="350">
        <f t="shared" si="1"/>
        <v>71</v>
      </c>
      <c r="B73" s="351" t="s">
        <v>768</v>
      </c>
      <c r="C73" s="352">
        <v>500</v>
      </c>
      <c r="D73" s="300"/>
    </row>
    <row r="74" spans="1:4">
      <c r="A74" s="350">
        <f t="shared" si="1"/>
        <v>72</v>
      </c>
      <c r="B74" s="351" t="s">
        <v>769</v>
      </c>
      <c r="C74" s="352">
        <v>550</v>
      </c>
      <c r="D74" s="300"/>
    </row>
    <row r="75" spans="1:4">
      <c r="A75" s="350">
        <f t="shared" si="1"/>
        <v>73</v>
      </c>
      <c r="B75" s="351" t="s">
        <v>770</v>
      </c>
      <c r="C75" s="352">
        <v>1000</v>
      </c>
      <c r="D75" s="300"/>
    </row>
    <row r="76" spans="1:4" ht="14.4">
      <c r="A76" s="350">
        <f t="shared" si="1"/>
        <v>74</v>
      </c>
      <c r="B76" s="356" t="s">
        <v>771</v>
      </c>
      <c r="C76" s="353">
        <v>800</v>
      </c>
      <c r="D76" s="300"/>
    </row>
    <row r="77" spans="1:4">
      <c r="A77" s="350">
        <f t="shared" si="1"/>
        <v>75</v>
      </c>
      <c r="B77" s="351" t="s">
        <v>824</v>
      </c>
      <c r="C77" s="352">
        <v>900</v>
      </c>
      <c r="D77" s="300"/>
    </row>
    <row r="78" spans="1:4">
      <c r="A78" s="350">
        <f t="shared" si="1"/>
        <v>76</v>
      </c>
      <c r="B78" s="351" t="s">
        <v>772</v>
      </c>
      <c r="C78" s="352">
        <v>900</v>
      </c>
      <c r="D78" s="300"/>
    </row>
    <row r="79" spans="1:4">
      <c r="A79" s="350">
        <f t="shared" si="1"/>
        <v>77</v>
      </c>
      <c r="B79" s="351" t="s">
        <v>825</v>
      </c>
      <c r="C79" s="352">
        <v>650</v>
      </c>
      <c r="D79" s="300"/>
    </row>
    <row r="80" spans="1:4">
      <c r="A80" s="350">
        <f t="shared" si="1"/>
        <v>78</v>
      </c>
      <c r="B80" s="351" t="s">
        <v>773</v>
      </c>
      <c r="C80" s="352">
        <v>800</v>
      </c>
      <c r="D80" s="300"/>
    </row>
    <row r="81" spans="1:4" ht="14.4">
      <c r="A81" s="350">
        <f t="shared" si="1"/>
        <v>79</v>
      </c>
      <c r="B81" s="356" t="s">
        <v>774</v>
      </c>
      <c r="C81" s="353">
        <v>900</v>
      </c>
      <c r="D81" s="300"/>
    </row>
    <row r="82" spans="1:4">
      <c r="A82" s="350">
        <f t="shared" si="1"/>
        <v>80</v>
      </c>
      <c r="B82" s="351" t="s">
        <v>775</v>
      </c>
      <c r="C82" s="352">
        <v>100</v>
      </c>
      <c r="D82" s="300"/>
    </row>
    <row r="83" spans="1:4">
      <c r="A83" s="350">
        <f t="shared" si="1"/>
        <v>81</v>
      </c>
      <c r="B83" s="351" t="s">
        <v>826</v>
      </c>
      <c r="C83" s="352">
        <v>900</v>
      </c>
      <c r="D83" s="300"/>
    </row>
    <row r="84" spans="1:4">
      <c r="A84" s="350">
        <f t="shared" si="1"/>
        <v>82</v>
      </c>
      <c r="B84" s="351" t="s">
        <v>776</v>
      </c>
      <c r="C84" s="352">
        <v>300</v>
      </c>
      <c r="D84" s="300"/>
    </row>
    <row r="85" spans="1:4">
      <c r="A85" s="350">
        <f t="shared" si="1"/>
        <v>83</v>
      </c>
      <c r="B85" s="351" t="s">
        <v>827</v>
      </c>
      <c r="C85" s="352">
        <v>350</v>
      </c>
      <c r="D85" s="300"/>
    </row>
    <row r="86" spans="1:4">
      <c r="A86" s="350">
        <f t="shared" si="1"/>
        <v>84</v>
      </c>
      <c r="B86" s="351" t="s">
        <v>828</v>
      </c>
      <c r="C86" s="352">
        <v>850</v>
      </c>
      <c r="D86" s="300"/>
    </row>
    <row r="87" spans="1:4">
      <c r="A87" s="350">
        <f t="shared" si="1"/>
        <v>85</v>
      </c>
      <c r="B87" s="351" t="s">
        <v>777</v>
      </c>
      <c r="C87" s="352">
        <v>400</v>
      </c>
      <c r="D87" s="300"/>
    </row>
    <row r="88" spans="1:4">
      <c r="A88" s="350">
        <f t="shared" si="1"/>
        <v>86</v>
      </c>
      <c r="B88" s="351" t="s">
        <v>829</v>
      </c>
      <c r="C88" s="352">
        <v>800</v>
      </c>
      <c r="D88" s="300"/>
    </row>
    <row r="89" spans="1:4">
      <c r="A89" s="350">
        <f t="shared" si="1"/>
        <v>87</v>
      </c>
      <c r="B89" s="351" t="s">
        <v>710</v>
      </c>
      <c r="C89" s="352">
        <v>1200</v>
      </c>
      <c r="D89" s="300"/>
    </row>
    <row r="90" spans="1:4">
      <c r="A90" s="350">
        <f t="shared" si="1"/>
        <v>88</v>
      </c>
      <c r="B90" s="351" t="s">
        <v>778</v>
      </c>
      <c r="C90" s="352">
        <v>650</v>
      </c>
      <c r="D90" s="300"/>
    </row>
    <row r="91" spans="1:4">
      <c r="A91" s="350">
        <f t="shared" si="1"/>
        <v>89</v>
      </c>
      <c r="B91" s="351" t="s">
        <v>779</v>
      </c>
      <c r="C91" s="352">
        <v>800</v>
      </c>
      <c r="D91" s="300"/>
    </row>
    <row r="92" spans="1:4">
      <c r="A92" s="350">
        <f t="shared" si="1"/>
        <v>90</v>
      </c>
      <c r="B92" s="351" t="s">
        <v>780</v>
      </c>
      <c r="C92" s="352">
        <v>800</v>
      </c>
      <c r="D92" s="300"/>
    </row>
    <row r="93" spans="1:4">
      <c r="A93" s="350">
        <f t="shared" si="1"/>
        <v>91</v>
      </c>
      <c r="B93" s="351" t="s">
        <v>781</v>
      </c>
      <c r="C93" s="352">
        <v>800</v>
      </c>
      <c r="D93" s="300"/>
    </row>
    <row r="94" spans="1:4">
      <c r="A94" s="350">
        <f t="shared" si="1"/>
        <v>92</v>
      </c>
      <c r="B94" s="351" t="s">
        <v>782</v>
      </c>
      <c r="C94" s="352">
        <v>800</v>
      </c>
      <c r="D94" s="300"/>
    </row>
    <row r="95" spans="1:4">
      <c r="A95" s="350">
        <f t="shared" si="1"/>
        <v>93</v>
      </c>
      <c r="B95" s="351" t="s">
        <v>801</v>
      </c>
      <c r="C95" s="352">
        <v>700</v>
      </c>
      <c r="D95" s="300"/>
    </row>
    <row r="96" spans="1:4">
      <c r="A96" s="350">
        <f t="shared" si="1"/>
        <v>94</v>
      </c>
      <c r="B96" s="351" t="s">
        <v>830</v>
      </c>
      <c r="C96" s="352">
        <v>600</v>
      </c>
      <c r="D96" s="300"/>
    </row>
    <row r="97" spans="1:4">
      <c r="A97" s="350">
        <f t="shared" si="1"/>
        <v>95</v>
      </c>
      <c r="B97" s="351" t="s">
        <v>831</v>
      </c>
      <c r="C97" s="352">
        <v>850</v>
      </c>
      <c r="D97" s="300"/>
    </row>
    <row r="98" spans="1:4">
      <c r="A98" s="350">
        <f t="shared" si="1"/>
        <v>96</v>
      </c>
      <c r="B98" s="351" t="s">
        <v>783</v>
      </c>
      <c r="C98" s="352">
        <v>900</v>
      </c>
      <c r="D98" s="300"/>
    </row>
    <row r="99" spans="1:4">
      <c r="A99" s="350">
        <f t="shared" si="1"/>
        <v>97</v>
      </c>
      <c r="B99" s="351" t="s">
        <v>540</v>
      </c>
      <c r="C99" s="352">
        <v>800</v>
      </c>
      <c r="D99" s="300"/>
    </row>
    <row r="100" spans="1:4">
      <c r="A100" s="350">
        <f t="shared" si="1"/>
        <v>98</v>
      </c>
      <c r="B100" s="351" t="s">
        <v>923</v>
      </c>
      <c r="C100" s="352">
        <v>400</v>
      </c>
      <c r="D100" s="300"/>
    </row>
    <row r="101" spans="1:4">
      <c r="A101" s="350">
        <f t="shared" si="1"/>
        <v>99</v>
      </c>
      <c r="B101" s="351" t="s">
        <v>832</v>
      </c>
      <c r="C101" s="352">
        <v>250</v>
      </c>
      <c r="D101" s="300"/>
    </row>
    <row r="102" spans="1:4">
      <c r="A102" s="350">
        <f t="shared" si="1"/>
        <v>100</v>
      </c>
      <c r="B102" s="351" t="s">
        <v>833</v>
      </c>
      <c r="C102" s="352">
        <v>350</v>
      </c>
      <c r="D102" s="300"/>
    </row>
    <row r="103" spans="1:4">
      <c r="A103" s="350">
        <f t="shared" si="1"/>
        <v>101</v>
      </c>
      <c r="B103" s="351" t="s">
        <v>541</v>
      </c>
      <c r="C103" s="352">
        <v>200</v>
      </c>
      <c r="D103" s="300"/>
    </row>
    <row r="104" spans="1:4">
      <c r="A104" s="350">
        <f t="shared" si="1"/>
        <v>102</v>
      </c>
      <c r="B104" s="351" t="s">
        <v>672</v>
      </c>
      <c r="C104" s="352">
        <v>150</v>
      </c>
      <c r="D104" s="300"/>
    </row>
    <row r="105" spans="1:4">
      <c r="A105" s="350">
        <f t="shared" si="1"/>
        <v>103</v>
      </c>
      <c r="B105" s="351" t="s">
        <v>972</v>
      </c>
      <c r="C105" s="352">
        <v>350</v>
      </c>
      <c r="D105" s="300"/>
    </row>
    <row r="106" spans="1:4">
      <c r="A106" s="350">
        <f t="shared" si="1"/>
        <v>104</v>
      </c>
      <c r="B106" s="351" t="s">
        <v>542</v>
      </c>
      <c r="C106" s="352">
        <v>100</v>
      </c>
      <c r="D106" s="300"/>
    </row>
    <row r="107" spans="1:4">
      <c r="A107" s="350">
        <f t="shared" si="1"/>
        <v>105</v>
      </c>
      <c r="B107" s="351" t="s">
        <v>543</v>
      </c>
      <c r="C107" s="352">
        <v>150</v>
      </c>
      <c r="D107" s="300"/>
    </row>
    <row r="108" spans="1:4">
      <c r="A108" s="350">
        <f t="shared" si="1"/>
        <v>106</v>
      </c>
      <c r="B108" s="351" t="s">
        <v>450</v>
      </c>
      <c r="C108" s="352">
        <v>400</v>
      </c>
      <c r="D108" s="300"/>
    </row>
    <row r="109" spans="1:4">
      <c r="A109" s="350">
        <f t="shared" si="1"/>
        <v>107</v>
      </c>
      <c r="B109" s="351" t="s">
        <v>660</v>
      </c>
      <c r="C109" s="352">
        <v>150</v>
      </c>
      <c r="D109" s="300"/>
    </row>
    <row r="110" spans="1:4">
      <c r="A110" s="350">
        <f t="shared" si="1"/>
        <v>108</v>
      </c>
      <c r="B110" s="351" t="s">
        <v>544</v>
      </c>
      <c r="C110" s="352">
        <v>2500</v>
      </c>
      <c r="D110" s="300"/>
    </row>
    <row r="111" spans="1:4">
      <c r="A111" s="350">
        <f t="shared" si="1"/>
        <v>109</v>
      </c>
      <c r="B111" s="351" t="s">
        <v>545</v>
      </c>
      <c r="C111" s="352">
        <v>350</v>
      </c>
      <c r="D111" s="300"/>
    </row>
    <row r="112" spans="1:4">
      <c r="A112" s="350">
        <f t="shared" si="1"/>
        <v>110</v>
      </c>
      <c r="B112" s="351" t="s">
        <v>546</v>
      </c>
      <c r="C112" s="352">
        <v>250</v>
      </c>
      <c r="D112" s="300"/>
    </row>
    <row r="113" spans="1:4" ht="14.4">
      <c r="A113" s="350">
        <f t="shared" si="1"/>
        <v>111</v>
      </c>
      <c r="B113" s="356" t="s">
        <v>455</v>
      </c>
      <c r="C113" s="353">
        <v>400</v>
      </c>
      <c r="D113" s="300"/>
    </row>
    <row r="114" spans="1:4">
      <c r="A114" s="350">
        <f t="shared" si="1"/>
        <v>112</v>
      </c>
      <c r="B114" s="351" t="s">
        <v>547</v>
      </c>
      <c r="C114" s="352">
        <v>400</v>
      </c>
      <c r="D114" s="300"/>
    </row>
    <row r="115" spans="1:4">
      <c r="A115" s="350">
        <f t="shared" si="1"/>
        <v>113</v>
      </c>
      <c r="B115" s="351" t="s">
        <v>834</v>
      </c>
      <c r="C115" s="352">
        <v>300</v>
      </c>
      <c r="D115" s="300"/>
    </row>
    <row r="116" spans="1:4">
      <c r="A116" s="350">
        <f t="shared" si="1"/>
        <v>114</v>
      </c>
      <c r="B116" s="351" t="s">
        <v>835</v>
      </c>
      <c r="C116" s="352">
        <v>1300</v>
      </c>
      <c r="D116" s="300"/>
    </row>
    <row r="117" spans="1:4">
      <c r="A117" s="350">
        <f t="shared" si="1"/>
        <v>115</v>
      </c>
      <c r="B117" s="351" t="s">
        <v>500</v>
      </c>
      <c r="C117" s="352">
        <v>1250</v>
      </c>
      <c r="D117" s="300"/>
    </row>
    <row r="118" spans="1:4">
      <c r="A118" s="350">
        <f t="shared" si="1"/>
        <v>116</v>
      </c>
      <c r="B118" s="351" t="s">
        <v>991</v>
      </c>
      <c r="C118" s="352">
        <v>400</v>
      </c>
      <c r="D118" s="300"/>
    </row>
    <row r="119" spans="1:4">
      <c r="A119" s="350">
        <f t="shared" si="1"/>
        <v>117</v>
      </c>
      <c r="B119" s="351" t="s">
        <v>548</v>
      </c>
      <c r="C119" s="352">
        <v>400</v>
      </c>
      <c r="D119" s="300"/>
    </row>
    <row r="120" spans="1:4">
      <c r="A120" s="350">
        <f t="shared" si="1"/>
        <v>118</v>
      </c>
      <c r="B120" s="351" t="s">
        <v>836</v>
      </c>
      <c r="C120" s="352">
        <v>350</v>
      </c>
      <c r="D120" s="300"/>
    </row>
    <row r="121" spans="1:4">
      <c r="A121" s="350">
        <f t="shared" si="1"/>
        <v>119</v>
      </c>
      <c r="B121" s="351" t="s">
        <v>917</v>
      </c>
      <c r="C121" s="352">
        <v>2800</v>
      </c>
      <c r="D121" s="300"/>
    </row>
    <row r="122" spans="1:4" ht="14.4">
      <c r="A122" s="350">
        <f t="shared" si="1"/>
        <v>120</v>
      </c>
      <c r="B122" s="351" t="s">
        <v>918</v>
      </c>
      <c r="C122" s="353">
        <v>250</v>
      </c>
      <c r="D122" s="300"/>
    </row>
    <row r="123" spans="1:4">
      <c r="A123" s="350">
        <f t="shared" si="1"/>
        <v>121</v>
      </c>
      <c r="B123" s="351" t="s">
        <v>549</v>
      </c>
      <c r="C123" s="352">
        <v>500</v>
      </c>
      <c r="D123" s="300"/>
    </row>
    <row r="124" spans="1:4">
      <c r="A124" s="350">
        <f t="shared" si="1"/>
        <v>122</v>
      </c>
      <c r="B124" s="351" t="s">
        <v>837</v>
      </c>
      <c r="C124" s="352">
        <v>400</v>
      </c>
      <c r="D124" s="300"/>
    </row>
    <row r="125" spans="1:4">
      <c r="A125" s="350">
        <f t="shared" si="1"/>
        <v>123</v>
      </c>
      <c r="B125" s="351" t="s">
        <v>550</v>
      </c>
      <c r="C125" s="352">
        <v>200</v>
      </c>
      <c r="D125" s="300"/>
    </row>
    <row r="126" spans="1:4">
      <c r="A126" s="350">
        <f t="shared" si="1"/>
        <v>124</v>
      </c>
      <c r="B126" s="351" t="s">
        <v>663</v>
      </c>
      <c r="C126" s="352">
        <v>200</v>
      </c>
      <c r="D126" s="300"/>
    </row>
    <row r="127" spans="1:4">
      <c r="A127" s="350">
        <f t="shared" si="1"/>
        <v>125</v>
      </c>
      <c r="B127" s="357" t="s">
        <v>1012</v>
      </c>
      <c r="C127" s="359">
        <v>1000</v>
      </c>
      <c r="D127" s="300"/>
    </row>
    <row r="128" spans="1:4">
      <c r="A128" s="350">
        <f t="shared" si="1"/>
        <v>126</v>
      </c>
      <c r="B128" s="351" t="s">
        <v>732</v>
      </c>
      <c r="C128" s="352">
        <v>400</v>
      </c>
      <c r="D128" s="300"/>
    </row>
    <row r="129" spans="1:4">
      <c r="A129" s="350">
        <f t="shared" si="1"/>
        <v>127</v>
      </c>
      <c r="B129" s="351" t="s">
        <v>838</v>
      </c>
      <c r="C129" s="352">
        <v>330</v>
      </c>
      <c r="D129" s="300"/>
    </row>
    <row r="130" spans="1:4">
      <c r="A130" s="350">
        <f t="shared" si="1"/>
        <v>128</v>
      </c>
      <c r="B130" s="351" t="s">
        <v>551</v>
      </c>
      <c r="C130" s="352">
        <v>1550</v>
      </c>
      <c r="D130" s="300"/>
    </row>
    <row r="131" spans="1:4">
      <c r="A131" s="350">
        <f t="shared" si="1"/>
        <v>129</v>
      </c>
      <c r="B131" s="351" t="s">
        <v>665</v>
      </c>
      <c r="C131" s="352">
        <v>350</v>
      </c>
      <c r="D131" s="300"/>
    </row>
    <row r="132" spans="1:4">
      <c r="A132" s="350">
        <f t="shared" ref="A132:A195" si="2">IF(B132&lt;&gt;"", ROW()-2, "")</f>
        <v>130</v>
      </c>
      <c r="B132" s="351" t="s">
        <v>666</v>
      </c>
      <c r="C132" s="352">
        <v>350</v>
      </c>
      <c r="D132" s="300"/>
    </row>
    <row r="133" spans="1:4" ht="14.4">
      <c r="A133" s="350">
        <f t="shared" si="2"/>
        <v>131</v>
      </c>
      <c r="B133" s="351" t="s">
        <v>839</v>
      </c>
      <c r="C133" s="353">
        <v>450</v>
      </c>
      <c r="D133" s="300"/>
    </row>
    <row r="134" spans="1:4">
      <c r="A134" s="350">
        <f t="shared" si="2"/>
        <v>132</v>
      </c>
      <c r="B134" s="351" t="s">
        <v>664</v>
      </c>
      <c r="C134" s="352">
        <v>400</v>
      </c>
      <c r="D134" s="300"/>
    </row>
    <row r="135" spans="1:4">
      <c r="A135" s="350">
        <f t="shared" si="2"/>
        <v>133</v>
      </c>
      <c r="B135" s="357" t="s">
        <v>552</v>
      </c>
      <c r="C135" s="359">
        <v>150</v>
      </c>
      <c r="D135" s="300"/>
    </row>
    <row r="136" spans="1:4">
      <c r="A136" s="350">
        <f t="shared" si="2"/>
        <v>134</v>
      </c>
      <c r="B136" s="351" t="s">
        <v>840</v>
      </c>
      <c r="C136" s="352">
        <v>450</v>
      </c>
      <c r="D136" s="300"/>
    </row>
    <row r="137" spans="1:4">
      <c r="A137" s="350">
        <f t="shared" si="2"/>
        <v>135</v>
      </c>
      <c r="B137" s="351" t="s">
        <v>553</v>
      </c>
      <c r="C137" s="352">
        <v>2800</v>
      </c>
      <c r="D137" s="300"/>
    </row>
    <row r="138" spans="1:4">
      <c r="A138" s="350">
        <f t="shared" si="2"/>
        <v>136</v>
      </c>
      <c r="B138" s="351" t="s">
        <v>636</v>
      </c>
      <c r="C138" s="352">
        <v>250</v>
      </c>
      <c r="D138" s="300"/>
    </row>
    <row r="139" spans="1:4">
      <c r="A139" s="350">
        <f t="shared" si="2"/>
        <v>137</v>
      </c>
      <c r="B139" s="351" t="s">
        <v>554</v>
      </c>
      <c r="C139" s="352">
        <v>450</v>
      </c>
      <c r="D139" s="300"/>
    </row>
    <row r="140" spans="1:4">
      <c r="A140" s="350">
        <f t="shared" si="2"/>
        <v>138</v>
      </c>
      <c r="B140" s="351" t="s">
        <v>992</v>
      </c>
      <c r="C140" s="352">
        <v>600</v>
      </c>
      <c r="D140" s="300"/>
    </row>
    <row r="141" spans="1:4">
      <c r="A141" s="350">
        <f t="shared" si="2"/>
        <v>139</v>
      </c>
      <c r="B141" s="351" t="s">
        <v>555</v>
      </c>
      <c r="C141" s="352">
        <v>200</v>
      </c>
      <c r="D141" s="300"/>
    </row>
    <row r="142" spans="1:4">
      <c r="A142" s="350">
        <f t="shared" si="2"/>
        <v>140</v>
      </c>
      <c r="B142" s="351" t="s">
        <v>556</v>
      </c>
      <c r="C142" s="352">
        <v>750</v>
      </c>
      <c r="D142" s="300"/>
    </row>
    <row r="143" spans="1:4">
      <c r="A143" s="350">
        <f t="shared" si="2"/>
        <v>141</v>
      </c>
      <c r="B143" s="351" t="s">
        <v>557</v>
      </c>
      <c r="C143" s="352">
        <v>750</v>
      </c>
      <c r="D143" s="300"/>
    </row>
    <row r="144" spans="1:4">
      <c r="A144" s="350">
        <f t="shared" si="2"/>
        <v>142</v>
      </c>
      <c r="B144" s="351" t="s">
        <v>841</v>
      </c>
      <c r="C144" s="352">
        <v>350</v>
      </c>
      <c r="D144" s="300"/>
    </row>
    <row r="145" spans="1:4">
      <c r="A145" s="350">
        <f t="shared" si="2"/>
        <v>143</v>
      </c>
      <c r="B145" s="351" t="s">
        <v>842</v>
      </c>
      <c r="C145" s="352">
        <v>1300</v>
      </c>
      <c r="D145" s="300"/>
    </row>
    <row r="146" spans="1:4">
      <c r="A146" s="350">
        <f t="shared" si="2"/>
        <v>144</v>
      </c>
      <c r="B146" s="351" t="s">
        <v>558</v>
      </c>
      <c r="C146" s="352">
        <v>150</v>
      </c>
      <c r="D146" s="300"/>
    </row>
    <row r="147" spans="1:4">
      <c r="A147" s="350">
        <f t="shared" si="2"/>
        <v>145</v>
      </c>
      <c r="B147" s="351" t="s">
        <v>559</v>
      </c>
      <c r="C147" s="352">
        <v>999</v>
      </c>
      <c r="D147" s="300"/>
    </row>
    <row r="148" spans="1:4" ht="14.4">
      <c r="A148" s="350">
        <f t="shared" si="2"/>
        <v>146</v>
      </c>
      <c r="B148" s="356" t="s">
        <v>560</v>
      </c>
      <c r="C148" s="353">
        <v>300</v>
      </c>
      <c r="D148" s="300"/>
    </row>
    <row r="149" spans="1:4">
      <c r="A149" s="350">
        <f t="shared" si="2"/>
        <v>147</v>
      </c>
      <c r="B149" s="351" t="s">
        <v>642</v>
      </c>
      <c r="C149" s="352">
        <v>2000</v>
      </c>
      <c r="D149" s="300"/>
    </row>
    <row r="150" spans="1:4">
      <c r="A150" s="350">
        <f t="shared" si="2"/>
        <v>148</v>
      </c>
      <c r="B150" s="351" t="s">
        <v>637</v>
      </c>
      <c r="C150" s="352">
        <v>1000</v>
      </c>
      <c r="D150" s="300"/>
    </row>
    <row r="151" spans="1:4">
      <c r="A151" s="350">
        <f t="shared" si="2"/>
        <v>149</v>
      </c>
      <c r="B151" s="351" t="s">
        <v>843</v>
      </c>
      <c r="C151" s="352">
        <v>250</v>
      </c>
      <c r="D151" s="300"/>
    </row>
    <row r="152" spans="1:4">
      <c r="A152" s="350">
        <f t="shared" si="2"/>
        <v>150</v>
      </c>
      <c r="B152" s="351" t="s">
        <v>924</v>
      </c>
      <c r="C152" s="352">
        <v>350</v>
      </c>
      <c r="D152" s="300"/>
    </row>
    <row r="153" spans="1:4">
      <c r="A153" s="350">
        <f t="shared" si="2"/>
        <v>151</v>
      </c>
      <c r="B153" s="351" t="s">
        <v>844</v>
      </c>
      <c r="C153" s="352">
        <v>900</v>
      </c>
      <c r="D153" s="300"/>
    </row>
    <row r="154" spans="1:4">
      <c r="A154" s="350">
        <f t="shared" si="2"/>
        <v>152</v>
      </c>
      <c r="B154" s="351" t="s">
        <v>845</v>
      </c>
      <c r="C154" s="352">
        <v>1250</v>
      </c>
      <c r="D154" s="300"/>
    </row>
    <row r="155" spans="1:4">
      <c r="A155" s="350">
        <f t="shared" si="2"/>
        <v>153</v>
      </c>
      <c r="B155" s="351" t="s">
        <v>846</v>
      </c>
      <c r="C155" s="352">
        <v>1250</v>
      </c>
      <c r="D155" s="300"/>
    </row>
    <row r="156" spans="1:4">
      <c r="A156" s="350">
        <f t="shared" si="2"/>
        <v>154</v>
      </c>
      <c r="B156" s="351" t="s">
        <v>638</v>
      </c>
      <c r="C156" s="352">
        <v>850</v>
      </c>
      <c r="D156" s="300"/>
    </row>
    <row r="157" spans="1:4">
      <c r="A157" s="350">
        <f t="shared" si="2"/>
        <v>155</v>
      </c>
      <c r="B157" s="351" t="s">
        <v>561</v>
      </c>
      <c r="C157" s="352">
        <v>850</v>
      </c>
      <c r="D157" s="300"/>
    </row>
    <row r="158" spans="1:4" ht="14.4">
      <c r="A158" s="350">
        <f t="shared" si="2"/>
        <v>156</v>
      </c>
      <c r="B158" s="356" t="s">
        <v>503</v>
      </c>
      <c r="C158" s="353">
        <v>1200</v>
      </c>
      <c r="D158" s="300"/>
    </row>
    <row r="159" spans="1:4">
      <c r="A159" s="350">
        <f t="shared" si="2"/>
        <v>157</v>
      </c>
      <c r="B159" s="351" t="s">
        <v>847</v>
      </c>
      <c r="C159" s="352">
        <v>470</v>
      </c>
      <c r="D159" s="300"/>
    </row>
    <row r="160" spans="1:4">
      <c r="A160" s="350">
        <f t="shared" si="2"/>
        <v>158</v>
      </c>
      <c r="B160" s="351" t="s">
        <v>793</v>
      </c>
      <c r="C160" s="352">
        <v>800</v>
      </c>
      <c r="D160" s="300"/>
    </row>
    <row r="161" spans="1:4">
      <c r="A161" s="350">
        <f t="shared" si="2"/>
        <v>159</v>
      </c>
      <c r="B161" s="351" t="s">
        <v>848</v>
      </c>
      <c r="C161" s="352">
        <v>200</v>
      </c>
      <c r="D161" s="300"/>
    </row>
    <row r="162" spans="1:4">
      <c r="A162" s="350">
        <f t="shared" si="2"/>
        <v>160</v>
      </c>
      <c r="B162" s="351" t="s">
        <v>719</v>
      </c>
      <c r="C162" s="355">
        <v>400</v>
      </c>
      <c r="D162" s="300"/>
    </row>
    <row r="163" spans="1:4">
      <c r="A163" s="350">
        <f t="shared" si="2"/>
        <v>161</v>
      </c>
      <c r="B163" s="351" t="s">
        <v>919</v>
      </c>
      <c r="C163" s="352">
        <v>390</v>
      </c>
      <c r="D163" s="300"/>
    </row>
    <row r="164" spans="1:4">
      <c r="A164" s="350">
        <f t="shared" si="2"/>
        <v>162</v>
      </c>
      <c r="B164" s="351" t="s">
        <v>644</v>
      </c>
      <c r="C164" s="352">
        <v>999</v>
      </c>
      <c r="D164" s="300"/>
    </row>
    <row r="165" spans="1:4">
      <c r="A165" s="350">
        <f t="shared" si="2"/>
        <v>163</v>
      </c>
      <c r="B165" s="351" t="s">
        <v>562</v>
      </c>
      <c r="C165" s="352">
        <v>300</v>
      </c>
      <c r="D165" s="300"/>
    </row>
    <row r="166" spans="1:4">
      <c r="A166" s="350">
        <f t="shared" si="2"/>
        <v>164</v>
      </c>
      <c r="B166" s="351" t="s">
        <v>563</v>
      </c>
      <c r="C166" s="352">
        <v>1200</v>
      </c>
      <c r="D166" s="300"/>
    </row>
    <row r="167" spans="1:4">
      <c r="A167" s="350">
        <f t="shared" si="2"/>
        <v>165</v>
      </c>
      <c r="B167" s="351" t="s">
        <v>564</v>
      </c>
      <c r="C167" s="352">
        <v>1800</v>
      </c>
      <c r="D167" s="300"/>
    </row>
    <row r="168" spans="1:4">
      <c r="A168" s="350">
        <f t="shared" si="2"/>
        <v>166</v>
      </c>
      <c r="B168" s="351" t="s">
        <v>736</v>
      </c>
      <c r="C168" s="352">
        <v>370</v>
      </c>
      <c r="D168" s="300"/>
    </row>
    <row r="169" spans="1:4" ht="14.4">
      <c r="A169" s="350">
        <f t="shared" si="2"/>
        <v>167</v>
      </c>
      <c r="B169" s="356" t="s">
        <v>565</v>
      </c>
      <c r="C169" s="353">
        <v>400</v>
      </c>
      <c r="D169" s="300"/>
    </row>
    <row r="170" spans="1:4" ht="14.4">
      <c r="A170" s="350">
        <f t="shared" si="2"/>
        <v>168</v>
      </c>
      <c r="B170" s="357" t="s">
        <v>566</v>
      </c>
      <c r="C170" s="353">
        <v>250</v>
      </c>
      <c r="D170" s="300"/>
    </row>
    <row r="171" spans="1:4">
      <c r="A171" s="350">
        <f t="shared" si="2"/>
        <v>169</v>
      </c>
      <c r="B171" s="351" t="s">
        <v>849</v>
      </c>
      <c r="C171" s="352">
        <v>1500</v>
      </c>
      <c r="D171" s="300"/>
    </row>
    <row r="172" spans="1:4">
      <c r="A172" s="350">
        <f t="shared" si="2"/>
        <v>170</v>
      </c>
      <c r="B172" s="351" t="s">
        <v>667</v>
      </c>
      <c r="C172" s="352">
        <v>2000</v>
      </c>
      <c r="D172" s="300"/>
    </row>
    <row r="173" spans="1:4">
      <c r="A173" s="350">
        <f t="shared" si="2"/>
        <v>171</v>
      </c>
      <c r="B173" s="351" t="s">
        <v>504</v>
      </c>
      <c r="C173" s="352">
        <v>130</v>
      </c>
      <c r="D173" s="300"/>
    </row>
    <row r="174" spans="1:4">
      <c r="A174" s="350">
        <f t="shared" si="2"/>
        <v>172</v>
      </c>
      <c r="B174" s="351" t="s">
        <v>567</v>
      </c>
      <c r="C174" s="352">
        <v>1100</v>
      </c>
      <c r="D174" s="300"/>
    </row>
    <row r="175" spans="1:4">
      <c r="A175" s="350">
        <f t="shared" si="2"/>
        <v>173</v>
      </c>
      <c r="B175" s="351" t="s">
        <v>850</v>
      </c>
      <c r="C175" s="352">
        <v>2000</v>
      </c>
      <c r="D175" s="300"/>
    </row>
    <row r="176" spans="1:4">
      <c r="A176" s="350">
        <f t="shared" si="2"/>
        <v>174</v>
      </c>
      <c r="B176" s="351" t="s">
        <v>447</v>
      </c>
      <c r="C176" s="352">
        <v>400</v>
      </c>
      <c r="D176" s="300"/>
    </row>
    <row r="177" spans="1:8">
      <c r="A177" s="350">
        <f t="shared" si="2"/>
        <v>175</v>
      </c>
      <c r="B177" s="351" t="s">
        <v>851</v>
      </c>
      <c r="C177" s="352">
        <v>1000</v>
      </c>
      <c r="D177" s="300"/>
    </row>
    <row r="178" spans="1:8">
      <c r="A178" s="350">
        <f t="shared" si="2"/>
        <v>176</v>
      </c>
      <c r="B178" s="351" t="s">
        <v>568</v>
      </c>
      <c r="C178" s="352">
        <v>3400</v>
      </c>
      <c r="D178" s="300"/>
    </row>
    <row r="179" spans="1:8">
      <c r="A179" s="350">
        <f t="shared" si="2"/>
        <v>177</v>
      </c>
      <c r="B179" s="351" t="s">
        <v>807</v>
      </c>
      <c r="C179" s="352">
        <v>600</v>
      </c>
      <c r="D179" s="300"/>
      <c r="H179" s="304"/>
    </row>
    <row r="180" spans="1:8">
      <c r="A180" s="350">
        <f t="shared" si="2"/>
        <v>178</v>
      </c>
      <c r="B180" s="351" t="s">
        <v>569</v>
      </c>
      <c r="C180" s="352">
        <v>450</v>
      </c>
      <c r="D180" s="300"/>
    </row>
    <row r="181" spans="1:8">
      <c r="A181" s="350">
        <f t="shared" si="2"/>
        <v>179</v>
      </c>
      <c r="B181" s="351" t="s">
        <v>570</v>
      </c>
      <c r="C181" s="352">
        <v>150</v>
      </c>
      <c r="D181" s="300"/>
    </row>
    <row r="182" spans="1:8">
      <c r="A182" s="350">
        <f t="shared" si="2"/>
        <v>180</v>
      </c>
      <c r="B182" s="351" t="s">
        <v>657</v>
      </c>
      <c r="C182" s="352">
        <v>1500</v>
      </c>
      <c r="D182" s="300"/>
    </row>
    <row r="183" spans="1:8">
      <c r="A183" s="350">
        <f t="shared" si="2"/>
        <v>181</v>
      </c>
      <c r="B183" s="351" t="s">
        <v>656</v>
      </c>
      <c r="C183" s="352">
        <v>750</v>
      </c>
      <c r="D183" s="300"/>
    </row>
    <row r="184" spans="1:8">
      <c r="A184" s="350">
        <f t="shared" si="2"/>
        <v>182</v>
      </c>
      <c r="B184" s="351" t="s">
        <v>852</v>
      </c>
      <c r="C184" s="352">
        <v>850</v>
      </c>
      <c r="D184" s="300"/>
    </row>
    <row r="185" spans="1:8">
      <c r="A185" s="350">
        <f t="shared" si="2"/>
        <v>183</v>
      </c>
      <c r="B185" s="351" t="s">
        <v>853</v>
      </c>
      <c r="C185" s="352">
        <v>575</v>
      </c>
      <c r="D185" s="300"/>
    </row>
    <row r="186" spans="1:8">
      <c r="A186" s="350">
        <f t="shared" si="2"/>
        <v>184</v>
      </c>
      <c r="B186" s="351" t="s">
        <v>854</v>
      </c>
      <c r="C186" s="352">
        <v>1100</v>
      </c>
      <c r="D186" s="300"/>
    </row>
    <row r="187" spans="1:8">
      <c r="A187" s="350">
        <f t="shared" si="2"/>
        <v>185</v>
      </c>
      <c r="B187" s="351" t="s">
        <v>855</v>
      </c>
      <c r="C187" s="352">
        <v>600</v>
      </c>
      <c r="D187" s="300"/>
    </row>
    <row r="188" spans="1:8">
      <c r="A188" s="350">
        <f t="shared" si="2"/>
        <v>186</v>
      </c>
      <c r="B188" s="351" t="s">
        <v>571</v>
      </c>
      <c r="C188" s="352">
        <v>500</v>
      </c>
      <c r="D188" s="300"/>
    </row>
    <row r="189" spans="1:8">
      <c r="A189" s="350">
        <f t="shared" si="2"/>
        <v>187</v>
      </c>
      <c r="B189" s="351" t="s">
        <v>799</v>
      </c>
      <c r="C189" s="352">
        <v>1700</v>
      </c>
      <c r="D189" s="300"/>
    </row>
    <row r="190" spans="1:8">
      <c r="A190" s="350">
        <f t="shared" si="2"/>
        <v>188</v>
      </c>
      <c r="B190" s="351" t="s">
        <v>856</v>
      </c>
      <c r="C190" s="352">
        <v>999</v>
      </c>
      <c r="D190" s="300"/>
    </row>
    <row r="191" spans="1:8">
      <c r="A191" s="350">
        <f t="shared" si="2"/>
        <v>189</v>
      </c>
      <c r="B191" s="351" t="s">
        <v>572</v>
      </c>
      <c r="C191" s="352">
        <v>700</v>
      </c>
      <c r="D191" s="300"/>
    </row>
    <row r="192" spans="1:8">
      <c r="A192" s="350">
        <f t="shared" si="2"/>
        <v>190</v>
      </c>
      <c r="B192" s="351" t="s">
        <v>806</v>
      </c>
      <c r="C192" s="352">
        <v>600</v>
      </c>
      <c r="D192" s="300"/>
    </row>
    <row r="193" spans="1:17">
      <c r="A193" s="350">
        <f t="shared" si="2"/>
        <v>191</v>
      </c>
      <c r="B193" s="351" t="s">
        <v>857</v>
      </c>
      <c r="C193" s="352">
        <v>200</v>
      </c>
      <c r="D193" s="300"/>
    </row>
    <row r="194" spans="1:17">
      <c r="A194" s="350">
        <f t="shared" si="2"/>
        <v>192</v>
      </c>
      <c r="B194" s="351" t="s">
        <v>858</v>
      </c>
      <c r="C194" s="352">
        <v>500</v>
      </c>
      <c r="D194" s="300"/>
    </row>
    <row r="195" spans="1:17">
      <c r="A195" s="350">
        <f t="shared" si="2"/>
        <v>193</v>
      </c>
      <c r="B195" s="351" t="s">
        <v>859</v>
      </c>
      <c r="C195" s="352">
        <v>500</v>
      </c>
      <c r="D195" s="300"/>
    </row>
    <row r="196" spans="1:17">
      <c r="A196" s="350">
        <f t="shared" ref="A196:A259" si="3">IF(B196&lt;&gt;"", ROW()-2, "")</f>
        <v>194</v>
      </c>
      <c r="B196" s="354" t="s">
        <v>724</v>
      </c>
      <c r="C196" s="355">
        <v>400</v>
      </c>
      <c r="D196" s="300"/>
    </row>
    <row r="197" spans="1:17">
      <c r="A197" s="350">
        <f t="shared" si="3"/>
        <v>195</v>
      </c>
      <c r="B197" s="351" t="s">
        <v>860</v>
      </c>
      <c r="C197" s="352">
        <v>300</v>
      </c>
      <c r="D197" s="300"/>
    </row>
    <row r="198" spans="1:17">
      <c r="A198" s="350">
        <f t="shared" si="3"/>
        <v>196</v>
      </c>
      <c r="B198" s="354" t="s">
        <v>740</v>
      </c>
      <c r="C198" s="355">
        <v>1800</v>
      </c>
      <c r="D198" s="300"/>
    </row>
    <row r="199" spans="1:17">
      <c r="A199" s="350">
        <f t="shared" si="3"/>
        <v>197</v>
      </c>
      <c r="B199" s="351" t="s">
        <v>861</v>
      </c>
      <c r="C199" s="352">
        <v>800</v>
      </c>
      <c r="D199" s="300"/>
    </row>
    <row r="200" spans="1:17">
      <c r="A200" s="350">
        <f t="shared" si="3"/>
        <v>198</v>
      </c>
      <c r="B200" s="351" t="s">
        <v>573</v>
      </c>
      <c r="C200" s="352">
        <v>3000</v>
      </c>
      <c r="D200" s="300"/>
    </row>
    <row r="201" spans="1:17">
      <c r="A201" s="350">
        <f t="shared" si="3"/>
        <v>199</v>
      </c>
      <c r="B201" s="351" t="s">
        <v>862</v>
      </c>
      <c r="C201" s="352">
        <v>1500</v>
      </c>
      <c r="D201" s="300"/>
    </row>
    <row r="202" spans="1:17">
      <c r="A202" s="350">
        <f t="shared" si="3"/>
        <v>200</v>
      </c>
      <c r="B202" s="351" t="s">
        <v>574</v>
      </c>
      <c r="C202" s="352">
        <v>300</v>
      </c>
      <c r="D202" s="300"/>
      <c r="Q202" s="235" t="s">
        <v>863</v>
      </c>
    </row>
    <row r="203" spans="1:17">
      <c r="A203" s="350">
        <f t="shared" si="3"/>
        <v>201</v>
      </c>
      <c r="B203" s="354" t="s">
        <v>662</v>
      </c>
      <c r="C203" s="355">
        <v>1600</v>
      </c>
      <c r="D203" s="300"/>
    </row>
    <row r="204" spans="1:17">
      <c r="A204" s="350">
        <f t="shared" si="3"/>
        <v>202</v>
      </c>
      <c r="B204" s="351" t="s">
        <v>653</v>
      </c>
      <c r="C204" s="352">
        <v>350</v>
      </c>
      <c r="D204" s="300"/>
    </row>
    <row r="205" spans="1:17">
      <c r="A205" s="350">
        <f t="shared" si="3"/>
        <v>203</v>
      </c>
      <c r="B205" s="354" t="s">
        <v>864</v>
      </c>
      <c r="C205" s="355">
        <v>100</v>
      </c>
      <c r="D205" s="300"/>
    </row>
    <row r="206" spans="1:17">
      <c r="A206" s="350">
        <f t="shared" si="3"/>
        <v>204</v>
      </c>
      <c r="B206" s="351" t="s">
        <v>926</v>
      </c>
      <c r="C206" s="355">
        <v>220</v>
      </c>
      <c r="D206" s="300"/>
    </row>
    <row r="207" spans="1:17">
      <c r="A207" s="350">
        <f t="shared" si="3"/>
        <v>205</v>
      </c>
      <c r="B207" s="351" t="s">
        <v>791</v>
      </c>
      <c r="C207" s="355">
        <v>120</v>
      </c>
      <c r="D207" s="300"/>
    </row>
    <row r="208" spans="1:17">
      <c r="A208" s="350">
        <f t="shared" si="3"/>
        <v>206</v>
      </c>
      <c r="B208" s="351" t="s">
        <v>927</v>
      </c>
      <c r="C208" s="355">
        <v>330</v>
      </c>
      <c r="D208" s="300"/>
    </row>
    <row r="209" spans="1:4">
      <c r="A209" s="350">
        <f t="shared" si="3"/>
        <v>207</v>
      </c>
      <c r="B209" s="351" t="s">
        <v>575</v>
      </c>
      <c r="C209" s="352">
        <v>2000</v>
      </c>
      <c r="D209" s="300"/>
    </row>
    <row r="210" spans="1:4">
      <c r="A210" s="350">
        <f t="shared" si="3"/>
        <v>208</v>
      </c>
      <c r="B210" s="351" t="s">
        <v>576</v>
      </c>
      <c r="C210" s="352">
        <v>1000</v>
      </c>
      <c r="D210" s="300"/>
    </row>
    <row r="211" spans="1:4">
      <c r="A211" s="350">
        <f t="shared" si="3"/>
        <v>209</v>
      </c>
      <c r="B211" s="351" t="s">
        <v>577</v>
      </c>
      <c r="C211" s="352">
        <v>400</v>
      </c>
      <c r="D211" s="300"/>
    </row>
    <row r="212" spans="1:4">
      <c r="A212" s="350">
        <f t="shared" si="3"/>
        <v>210</v>
      </c>
      <c r="B212" s="351" t="s">
        <v>670</v>
      </c>
      <c r="C212" s="352">
        <v>800</v>
      </c>
      <c r="D212" s="300"/>
    </row>
    <row r="213" spans="1:4">
      <c r="A213" s="350">
        <f t="shared" si="3"/>
        <v>211</v>
      </c>
      <c r="B213" s="351" t="s">
        <v>865</v>
      </c>
      <c r="C213" s="352">
        <v>250</v>
      </c>
      <c r="D213" s="300"/>
    </row>
    <row r="214" spans="1:4">
      <c r="A214" s="350">
        <f t="shared" si="3"/>
        <v>212</v>
      </c>
      <c r="B214" s="357" t="s">
        <v>578</v>
      </c>
      <c r="C214" s="359">
        <v>150</v>
      </c>
      <c r="D214" s="300"/>
    </row>
    <row r="215" spans="1:4">
      <c r="A215" s="350">
        <f t="shared" si="3"/>
        <v>213</v>
      </c>
      <c r="B215" s="351" t="s">
        <v>579</v>
      </c>
      <c r="C215" s="352">
        <v>1500</v>
      </c>
      <c r="D215" s="300"/>
    </row>
    <row r="216" spans="1:4">
      <c r="A216" s="350">
        <f t="shared" si="3"/>
        <v>214</v>
      </c>
      <c r="B216" s="351" t="s">
        <v>866</v>
      </c>
      <c r="C216" s="352">
        <v>500</v>
      </c>
      <c r="D216" s="300"/>
    </row>
    <row r="217" spans="1:4">
      <c r="A217" s="350">
        <f t="shared" si="3"/>
        <v>215</v>
      </c>
      <c r="B217" s="351" t="s">
        <v>867</v>
      </c>
      <c r="C217" s="352">
        <v>100</v>
      </c>
      <c r="D217" s="300"/>
    </row>
    <row r="218" spans="1:4">
      <c r="A218" s="350">
        <f t="shared" si="3"/>
        <v>216</v>
      </c>
      <c r="B218" s="351" t="s">
        <v>580</v>
      </c>
      <c r="C218" s="352">
        <v>2800</v>
      </c>
      <c r="D218" s="300"/>
    </row>
    <row r="219" spans="1:4">
      <c r="A219" s="350">
        <f t="shared" si="3"/>
        <v>217</v>
      </c>
      <c r="B219" s="351" t="s">
        <v>581</v>
      </c>
      <c r="C219" s="352">
        <v>400</v>
      </c>
      <c r="D219" s="300"/>
    </row>
    <row r="220" spans="1:4">
      <c r="A220" s="350">
        <f t="shared" si="3"/>
        <v>218</v>
      </c>
      <c r="B220" s="354" t="s">
        <v>728</v>
      </c>
      <c r="C220" s="355">
        <v>900</v>
      </c>
      <c r="D220" s="300"/>
    </row>
    <row r="221" spans="1:4">
      <c r="A221" s="350">
        <f t="shared" si="3"/>
        <v>219</v>
      </c>
      <c r="B221" s="351" t="s">
        <v>582</v>
      </c>
      <c r="C221" s="352">
        <v>300</v>
      </c>
      <c r="D221" s="300"/>
    </row>
    <row r="222" spans="1:4">
      <c r="A222" s="350">
        <f t="shared" si="3"/>
        <v>220</v>
      </c>
      <c r="B222" s="351" t="s">
        <v>583</v>
      </c>
      <c r="C222" s="352">
        <v>350</v>
      </c>
      <c r="D222" s="300"/>
    </row>
    <row r="223" spans="1:4">
      <c r="A223" s="350">
        <f t="shared" si="3"/>
        <v>221</v>
      </c>
      <c r="B223" s="351" t="s">
        <v>941</v>
      </c>
      <c r="C223" s="352">
        <v>500</v>
      </c>
      <c r="D223" s="300"/>
    </row>
    <row r="224" spans="1:4">
      <c r="A224" s="350">
        <f t="shared" si="3"/>
        <v>222</v>
      </c>
      <c r="B224" s="351" t="s">
        <v>671</v>
      </c>
      <c r="C224" s="352">
        <v>800</v>
      </c>
      <c r="D224" s="300"/>
    </row>
    <row r="225" spans="1:121">
      <c r="A225" s="350">
        <f t="shared" si="3"/>
        <v>223</v>
      </c>
      <c r="B225" s="351" t="s">
        <v>584</v>
      </c>
      <c r="C225" s="352">
        <v>300</v>
      </c>
      <c r="D225" s="300"/>
    </row>
    <row r="226" spans="1:121">
      <c r="A226" s="350">
        <f t="shared" si="3"/>
        <v>224</v>
      </c>
      <c r="B226" s="351" t="s">
        <v>585</v>
      </c>
      <c r="C226" s="352">
        <v>100</v>
      </c>
      <c r="D226" s="300"/>
    </row>
    <row r="227" spans="1:121">
      <c r="A227" s="350">
        <f t="shared" si="3"/>
        <v>225</v>
      </c>
      <c r="B227" s="351" t="s">
        <v>586</v>
      </c>
      <c r="C227" s="352">
        <v>2800</v>
      </c>
      <c r="D227" s="300"/>
    </row>
    <row r="228" spans="1:121" ht="14.4">
      <c r="A228" s="350">
        <f t="shared" si="3"/>
        <v>226</v>
      </c>
      <c r="B228" s="357" t="s">
        <v>587</v>
      </c>
      <c r="C228" s="353">
        <v>250</v>
      </c>
      <c r="D228" s="300"/>
    </row>
    <row r="229" spans="1:121">
      <c r="A229" s="350">
        <f t="shared" si="3"/>
        <v>227</v>
      </c>
      <c r="B229" s="354" t="s">
        <v>787</v>
      </c>
      <c r="C229" s="355">
        <v>900</v>
      </c>
      <c r="D229" s="300"/>
    </row>
    <row r="230" spans="1:121">
      <c r="A230" s="350">
        <f t="shared" si="3"/>
        <v>228</v>
      </c>
      <c r="B230" s="351" t="s">
        <v>868</v>
      </c>
      <c r="C230" s="352">
        <v>1000</v>
      </c>
      <c r="D230" s="300"/>
    </row>
    <row r="231" spans="1:121">
      <c r="A231" s="350">
        <f t="shared" si="3"/>
        <v>229</v>
      </c>
      <c r="B231" s="354" t="s">
        <v>730</v>
      </c>
      <c r="C231" s="355">
        <v>1000</v>
      </c>
      <c r="D231" s="300"/>
    </row>
    <row r="232" spans="1:121">
      <c r="A232" s="350">
        <f t="shared" si="3"/>
        <v>230</v>
      </c>
      <c r="B232" s="351" t="s">
        <v>786</v>
      </c>
      <c r="C232" s="352">
        <v>1150</v>
      </c>
      <c r="D232" s="300"/>
    </row>
    <row r="233" spans="1:121">
      <c r="A233" s="350">
        <f t="shared" si="3"/>
        <v>231</v>
      </c>
      <c r="B233" s="351" t="s">
        <v>800</v>
      </c>
      <c r="C233" s="352">
        <v>800</v>
      </c>
      <c r="D233" s="300"/>
    </row>
    <row r="234" spans="1:121">
      <c r="A234" s="350">
        <f t="shared" si="3"/>
        <v>232</v>
      </c>
      <c r="B234" s="351" t="s">
        <v>588</v>
      </c>
      <c r="C234" s="352">
        <v>1000</v>
      </c>
      <c r="D234" s="305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  <c r="AG234" s="306"/>
      <c r="AH234" s="306"/>
      <c r="AI234" s="306"/>
      <c r="AJ234" s="306"/>
      <c r="AK234" s="306"/>
      <c r="AL234" s="306"/>
      <c r="AM234" s="306"/>
      <c r="AN234" s="306"/>
      <c r="AO234" s="306"/>
      <c r="AP234" s="306"/>
      <c r="AQ234" s="306"/>
      <c r="AR234" s="306"/>
      <c r="AS234" s="306"/>
      <c r="AT234" s="306"/>
      <c r="AU234" s="306"/>
      <c r="AV234" s="306"/>
      <c r="AW234" s="306"/>
      <c r="AX234" s="306"/>
      <c r="AY234" s="306"/>
      <c r="AZ234" s="306"/>
      <c r="BA234" s="306"/>
      <c r="BB234" s="306"/>
      <c r="BC234" s="306"/>
      <c r="BD234" s="306"/>
      <c r="BE234" s="306"/>
      <c r="BF234" s="306"/>
      <c r="BG234" s="306"/>
      <c r="BH234" s="306"/>
      <c r="BI234" s="306"/>
      <c r="BJ234" s="306"/>
      <c r="BK234" s="306"/>
      <c r="BL234" s="306"/>
      <c r="BM234" s="306"/>
      <c r="BN234" s="306"/>
      <c r="BO234" s="306"/>
      <c r="BP234" s="306"/>
      <c r="BQ234" s="306"/>
      <c r="BR234" s="306"/>
      <c r="BS234" s="306"/>
      <c r="BT234" s="306"/>
      <c r="BU234" s="306"/>
      <c r="BV234" s="306"/>
      <c r="BW234" s="306"/>
      <c r="BX234" s="306"/>
      <c r="BY234" s="306"/>
      <c r="BZ234" s="306"/>
      <c r="CA234" s="306"/>
      <c r="CB234" s="306"/>
      <c r="CC234" s="306"/>
      <c r="CD234" s="306"/>
      <c r="CE234" s="306"/>
      <c r="CF234" s="306"/>
      <c r="CG234" s="306"/>
      <c r="CH234" s="306"/>
      <c r="CI234" s="306"/>
      <c r="CJ234" s="306"/>
      <c r="CK234" s="306"/>
      <c r="CL234" s="306"/>
      <c r="CM234" s="306"/>
      <c r="CN234" s="306"/>
      <c r="CO234" s="306"/>
      <c r="CP234" s="306"/>
      <c r="CQ234" s="306"/>
      <c r="CR234" s="306"/>
      <c r="CS234" s="306"/>
      <c r="CT234" s="306"/>
      <c r="CU234" s="306"/>
      <c r="CV234" s="306"/>
      <c r="CW234" s="306"/>
      <c r="CX234" s="306"/>
      <c r="CY234" s="306"/>
      <c r="CZ234" s="306"/>
      <c r="DA234" s="306"/>
      <c r="DB234" s="306"/>
      <c r="DC234" s="306"/>
      <c r="DD234" s="306"/>
      <c r="DE234" s="306"/>
      <c r="DF234" s="306"/>
      <c r="DG234" s="306"/>
      <c r="DH234" s="306"/>
      <c r="DI234" s="306"/>
      <c r="DJ234" s="306"/>
      <c r="DK234" s="306"/>
      <c r="DL234" s="306"/>
      <c r="DM234" s="306"/>
      <c r="DN234" s="306"/>
      <c r="DO234" s="306"/>
      <c r="DP234" s="306"/>
      <c r="DQ234" s="306"/>
    </row>
    <row r="235" spans="1:121">
      <c r="A235" s="350">
        <f t="shared" si="3"/>
        <v>233</v>
      </c>
      <c r="B235" s="351" t="s">
        <v>869</v>
      </c>
      <c r="C235" s="352">
        <v>750</v>
      </c>
      <c r="D235" s="305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  <c r="AG235" s="306"/>
      <c r="AH235" s="306"/>
      <c r="AI235" s="306"/>
      <c r="AJ235" s="306"/>
      <c r="AK235" s="306"/>
      <c r="AL235" s="306"/>
      <c r="AM235" s="306"/>
      <c r="AN235" s="306"/>
      <c r="AO235" s="306"/>
      <c r="AP235" s="306"/>
      <c r="AQ235" s="306"/>
      <c r="AR235" s="306"/>
      <c r="AS235" s="306"/>
      <c r="AT235" s="306"/>
      <c r="AU235" s="306"/>
      <c r="AV235" s="306"/>
      <c r="AW235" s="306"/>
      <c r="AX235" s="306"/>
      <c r="AY235" s="306"/>
      <c r="AZ235" s="306"/>
      <c r="BA235" s="306"/>
      <c r="BB235" s="306"/>
      <c r="BC235" s="306"/>
      <c r="BD235" s="306"/>
      <c r="BE235" s="306"/>
      <c r="BF235" s="306"/>
      <c r="BG235" s="306"/>
      <c r="BH235" s="306"/>
      <c r="BI235" s="306"/>
      <c r="BJ235" s="306"/>
      <c r="BK235" s="306"/>
      <c r="BL235" s="306"/>
      <c r="BM235" s="306"/>
      <c r="BN235" s="306"/>
      <c r="BO235" s="306"/>
      <c r="BP235" s="306"/>
      <c r="BQ235" s="306"/>
      <c r="BR235" s="306"/>
      <c r="BS235" s="306"/>
      <c r="BT235" s="306"/>
      <c r="BU235" s="306"/>
      <c r="BV235" s="306"/>
      <c r="BW235" s="306"/>
      <c r="BX235" s="306"/>
      <c r="BY235" s="306"/>
      <c r="BZ235" s="306"/>
      <c r="CA235" s="306"/>
      <c r="CB235" s="306"/>
      <c r="CC235" s="306"/>
      <c r="CD235" s="306"/>
      <c r="CE235" s="306"/>
      <c r="CF235" s="306"/>
      <c r="CG235" s="306"/>
      <c r="CH235" s="306"/>
      <c r="CI235" s="306"/>
      <c r="CJ235" s="306"/>
      <c r="CK235" s="306"/>
      <c r="CL235" s="306"/>
      <c r="CM235" s="306"/>
      <c r="CN235" s="306"/>
      <c r="CO235" s="306"/>
      <c r="CP235" s="306"/>
      <c r="CQ235" s="306"/>
      <c r="CR235" s="306"/>
      <c r="CS235" s="306"/>
      <c r="CT235" s="306"/>
      <c r="CU235" s="306"/>
      <c r="CV235" s="306"/>
      <c r="CW235" s="306"/>
      <c r="CX235" s="306"/>
      <c r="CY235" s="306"/>
      <c r="CZ235" s="306"/>
      <c r="DA235" s="306"/>
      <c r="DB235" s="306"/>
      <c r="DC235" s="306"/>
      <c r="DD235" s="306"/>
      <c r="DE235" s="306"/>
      <c r="DF235" s="306"/>
      <c r="DG235" s="306"/>
      <c r="DH235" s="306"/>
      <c r="DI235" s="306"/>
      <c r="DJ235" s="306"/>
      <c r="DK235" s="306"/>
      <c r="DL235" s="306"/>
      <c r="DM235" s="306"/>
      <c r="DN235" s="306"/>
      <c r="DO235" s="306"/>
      <c r="DP235" s="306"/>
      <c r="DQ235" s="306"/>
    </row>
    <row r="236" spans="1:121">
      <c r="A236" s="350">
        <f t="shared" si="3"/>
        <v>234</v>
      </c>
      <c r="B236" s="351" t="s">
        <v>589</v>
      </c>
      <c r="C236" s="352">
        <v>400</v>
      </c>
      <c r="D236" s="305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306"/>
      <c r="AB236" s="306"/>
      <c r="AC236" s="306"/>
      <c r="AD236" s="306"/>
      <c r="AE236" s="306"/>
      <c r="AF236" s="306"/>
      <c r="AG236" s="306"/>
      <c r="AH236" s="306"/>
      <c r="AI236" s="306"/>
      <c r="AJ236" s="306"/>
      <c r="AK236" s="306"/>
      <c r="AL236" s="306"/>
      <c r="AM236" s="306"/>
      <c r="AN236" s="306"/>
      <c r="AO236" s="306"/>
      <c r="AP236" s="306"/>
      <c r="AQ236" s="306"/>
      <c r="AR236" s="306"/>
      <c r="AS236" s="306"/>
      <c r="AT236" s="306"/>
      <c r="AU236" s="306"/>
      <c r="AV236" s="306"/>
      <c r="AW236" s="306"/>
      <c r="AX236" s="306"/>
      <c r="AY236" s="306"/>
      <c r="AZ236" s="306"/>
      <c r="BA236" s="306"/>
      <c r="BB236" s="306"/>
      <c r="BC236" s="306"/>
      <c r="BD236" s="306"/>
      <c r="BE236" s="306"/>
      <c r="BF236" s="306"/>
      <c r="BG236" s="306"/>
      <c r="BH236" s="306"/>
      <c r="BI236" s="306"/>
      <c r="BJ236" s="306"/>
      <c r="BK236" s="306"/>
      <c r="BL236" s="306"/>
      <c r="BM236" s="306"/>
      <c r="BN236" s="306"/>
      <c r="BO236" s="306"/>
      <c r="BP236" s="306"/>
      <c r="BQ236" s="306"/>
      <c r="BR236" s="306"/>
      <c r="BS236" s="306"/>
      <c r="BT236" s="306"/>
      <c r="BU236" s="306"/>
      <c r="BV236" s="306"/>
      <c r="BW236" s="306"/>
      <c r="BX236" s="306"/>
      <c r="BY236" s="306"/>
      <c r="BZ236" s="306"/>
      <c r="CA236" s="306"/>
      <c r="CB236" s="306"/>
      <c r="CC236" s="306"/>
      <c r="CD236" s="306"/>
      <c r="CE236" s="306"/>
      <c r="CF236" s="306"/>
      <c r="CG236" s="306"/>
      <c r="CH236" s="306"/>
      <c r="CI236" s="306"/>
      <c r="CJ236" s="306"/>
      <c r="CK236" s="306"/>
      <c r="CL236" s="306"/>
      <c r="CM236" s="306"/>
      <c r="CN236" s="306"/>
      <c r="CO236" s="306"/>
      <c r="CP236" s="306"/>
      <c r="CQ236" s="306"/>
      <c r="CR236" s="306"/>
      <c r="CS236" s="306"/>
      <c r="CT236" s="306"/>
      <c r="CU236" s="306"/>
      <c r="CV236" s="306"/>
      <c r="CW236" s="306"/>
      <c r="CX236" s="306"/>
      <c r="CY236" s="306"/>
      <c r="CZ236" s="306"/>
      <c r="DA236" s="306"/>
      <c r="DB236" s="306"/>
      <c r="DC236" s="306"/>
      <c r="DD236" s="306"/>
      <c r="DE236" s="306"/>
      <c r="DF236" s="306"/>
      <c r="DG236" s="306"/>
      <c r="DH236" s="306"/>
      <c r="DI236" s="306"/>
      <c r="DJ236" s="306"/>
      <c r="DK236" s="306"/>
      <c r="DL236" s="306"/>
      <c r="DM236" s="306"/>
      <c r="DN236" s="306"/>
      <c r="DO236" s="306"/>
      <c r="DP236" s="306"/>
      <c r="DQ236" s="306"/>
    </row>
    <row r="237" spans="1:121">
      <c r="A237" s="350">
        <f t="shared" si="3"/>
        <v>235</v>
      </c>
      <c r="B237" s="351" t="s">
        <v>647</v>
      </c>
      <c r="C237" s="352">
        <v>900</v>
      </c>
      <c r="D237" s="305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  <c r="X237" s="306"/>
      <c r="Y237" s="306"/>
      <c r="Z237" s="306"/>
      <c r="AA237" s="306"/>
      <c r="AB237" s="306"/>
      <c r="AC237" s="306"/>
      <c r="AD237" s="306"/>
      <c r="AE237" s="306"/>
      <c r="AF237" s="306"/>
      <c r="AG237" s="306"/>
      <c r="AH237" s="306"/>
      <c r="AI237" s="306"/>
      <c r="AJ237" s="306"/>
      <c r="AK237" s="306"/>
      <c r="AL237" s="306"/>
      <c r="AM237" s="306"/>
      <c r="AN237" s="306"/>
      <c r="AO237" s="306"/>
      <c r="AP237" s="306"/>
      <c r="AQ237" s="306"/>
      <c r="AR237" s="306"/>
      <c r="AS237" s="306"/>
      <c r="AT237" s="306"/>
      <c r="AU237" s="306"/>
      <c r="AV237" s="306"/>
      <c r="AW237" s="306"/>
      <c r="AX237" s="306"/>
      <c r="AY237" s="306"/>
      <c r="AZ237" s="306"/>
      <c r="BA237" s="306"/>
      <c r="BB237" s="306"/>
      <c r="BC237" s="306"/>
      <c r="BD237" s="306"/>
      <c r="BE237" s="306"/>
      <c r="BF237" s="306"/>
      <c r="BG237" s="306"/>
      <c r="BH237" s="306"/>
      <c r="BI237" s="306"/>
      <c r="BJ237" s="306"/>
      <c r="BK237" s="306"/>
      <c r="BL237" s="306"/>
      <c r="BM237" s="306"/>
      <c r="BN237" s="306"/>
      <c r="BO237" s="306"/>
      <c r="BP237" s="306"/>
      <c r="BQ237" s="306"/>
      <c r="BR237" s="306"/>
      <c r="BS237" s="306"/>
      <c r="BT237" s="306"/>
      <c r="BU237" s="306"/>
      <c r="BV237" s="306"/>
      <c r="BW237" s="306"/>
      <c r="BX237" s="306"/>
      <c r="BY237" s="306"/>
      <c r="BZ237" s="306"/>
      <c r="CA237" s="306"/>
      <c r="CB237" s="306"/>
      <c r="CC237" s="306"/>
      <c r="CD237" s="306"/>
      <c r="CE237" s="306"/>
      <c r="CF237" s="306"/>
      <c r="CG237" s="306"/>
      <c r="CH237" s="306"/>
      <c r="CI237" s="306"/>
      <c r="CJ237" s="306"/>
      <c r="CK237" s="306"/>
      <c r="CL237" s="306"/>
      <c r="CM237" s="306"/>
      <c r="CN237" s="306"/>
      <c r="CO237" s="306"/>
      <c r="CP237" s="306"/>
      <c r="CQ237" s="306"/>
      <c r="CR237" s="306"/>
      <c r="CS237" s="306"/>
      <c r="CT237" s="306"/>
      <c r="CU237" s="306"/>
      <c r="CV237" s="306"/>
      <c r="CW237" s="306"/>
      <c r="CX237" s="306"/>
      <c r="CY237" s="306"/>
      <c r="CZ237" s="306"/>
      <c r="DA237" s="306"/>
      <c r="DB237" s="306"/>
      <c r="DC237" s="306"/>
      <c r="DD237" s="306"/>
      <c r="DE237" s="306"/>
      <c r="DF237" s="306"/>
      <c r="DG237" s="306"/>
      <c r="DH237" s="306"/>
      <c r="DI237" s="306"/>
      <c r="DJ237" s="306"/>
      <c r="DK237" s="306"/>
      <c r="DL237" s="306"/>
      <c r="DM237" s="306"/>
      <c r="DN237" s="306"/>
      <c r="DO237" s="306"/>
      <c r="DP237" s="306"/>
      <c r="DQ237" s="306"/>
    </row>
    <row r="238" spans="1:121">
      <c r="A238" s="350">
        <f t="shared" si="3"/>
        <v>236</v>
      </c>
      <c r="B238" s="351" t="s">
        <v>707</v>
      </c>
      <c r="C238" s="352">
        <v>450</v>
      </c>
      <c r="D238" s="307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</row>
    <row r="239" spans="1:121">
      <c r="A239" s="350">
        <f t="shared" si="3"/>
        <v>237</v>
      </c>
      <c r="B239" s="351" t="s">
        <v>870</v>
      </c>
      <c r="C239" s="352">
        <v>1100</v>
      </c>
      <c r="D239" s="305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  <c r="X239" s="306"/>
      <c r="Y239" s="306"/>
      <c r="Z239" s="306"/>
      <c r="AA239" s="306"/>
      <c r="AB239" s="306"/>
      <c r="AC239" s="306"/>
      <c r="AD239" s="306"/>
      <c r="AE239" s="306"/>
      <c r="AF239" s="306"/>
      <c r="AG239" s="306"/>
      <c r="AH239" s="306"/>
      <c r="AI239" s="306"/>
      <c r="AJ239" s="306"/>
      <c r="AK239" s="306"/>
      <c r="AL239" s="306"/>
      <c r="AM239" s="306"/>
      <c r="AN239" s="306"/>
      <c r="AO239" s="306"/>
      <c r="AP239" s="306"/>
      <c r="AQ239" s="306"/>
      <c r="AR239" s="306"/>
      <c r="AS239" s="306"/>
      <c r="AT239" s="306"/>
      <c r="AU239" s="306"/>
      <c r="AV239" s="306"/>
      <c r="AW239" s="306"/>
      <c r="AX239" s="306"/>
      <c r="AY239" s="306"/>
      <c r="AZ239" s="306"/>
      <c r="BA239" s="306"/>
      <c r="BB239" s="306"/>
      <c r="BC239" s="306"/>
      <c r="BD239" s="306"/>
      <c r="BE239" s="306"/>
      <c r="BF239" s="306"/>
      <c r="BG239" s="306"/>
      <c r="BH239" s="306"/>
      <c r="BI239" s="306"/>
      <c r="BJ239" s="306"/>
      <c r="BK239" s="306"/>
      <c r="BL239" s="306"/>
      <c r="BM239" s="306"/>
      <c r="BN239" s="306"/>
      <c r="BO239" s="306"/>
      <c r="BP239" s="306"/>
      <c r="BQ239" s="306"/>
      <c r="BR239" s="306"/>
      <c r="BS239" s="306"/>
      <c r="BT239" s="306"/>
      <c r="BU239" s="306"/>
      <c r="BV239" s="306"/>
      <c r="BW239" s="306"/>
      <c r="BX239" s="306"/>
      <c r="BY239" s="306"/>
      <c r="BZ239" s="306"/>
      <c r="CA239" s="306"/>
      <c r="CB239" s="306"/>
      <c r="CC239" s="306"/>
      <c r="CD239" s="306"/>
      <c r="CE239" s="306"/>
      <c r="CF239" s="306"/>
      <c r="CG239" s="306"/>
      <c r="CH239" s="306"/>
      <c r="CI239" s="306"/>
      <c r="CJ239" s="306"/>
      <c r="CK239" s="306"/>
      <c r="CL239" s="306"/>
      <c r="CM239" s="306"/>
      <c r="CN239" s="306"/>
      <c r="CO239" s="306"/>
      <c r="CP239" s="306"/>
      <c r="CQ239" s="306"/>
      <c r="CR239" s="306"/>
      <c r="CS239" s="306"/>
      <c r="CT239" s="306"/>
      <c r="CU239" s="306"/>
      <c r="CV239" s="306"/>
      <c r="CW239" s="306"/>
      <c r="CX239" s="306"/>
      <c r="CY239" s="306"/>
      <c r="CZ239" s="306"/>
      <c r="DA239" s="306"/>
      <c r="DB239" s="306"/>
      <c r="DC239" s="306"/>
      <c r="DD239" s="306"/>
      <c r="DE239" s="306"/>
      <c r="DF239" s="306"/>
      <c r="DG239" s="306"/>
      <c r="DH239" s="306"/>
      <c r="DI239" s="306"/>
      <c r="DJ239" s="306"/>
      <c r="DK239" s="306"/>
      <c r="DL239" s="306"/>
      <c r="DM239" s="306"/>
      <c r="DN239" s="306"/>
      <c r="DO239" s="306"/>
      <c r="DP239" s="306"/>
      <c r="DQ239" s="306"/>
    </row>
    <row r="240" spans="1:121">
      <c r="A240" s="350">
        <f t="shared" si="3"/>
        <v>238</v>
      </c>
      <c r="B240" s="351" t="s">
        <v>590</v>
      </c>
      <c r="C240" s="352">
        <v>999</v>
      </c>
      <c r="D240" s="305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  <c r="AG240" s="306"/>
      <c r="AH240" s="306"/>
      <c r="AI240" s="306"/>
      <c r="AJ240" s="306"/>
      <c r="AK240" s="306"/>
      <c r="AL240" s="306"/>
      <c r="AM240" s="306"/>
      <c r="AN240" s="306"/>
      <c r="AO240" s="306"/>
      <c r="AP240" s="306"/>
      <c r="AQ240" s="306"/>
      <c r="AR240" s="306"/>
      <c r="AS240" s="306"/>
      <c r="AT240" s="306"/>
      <c r="AU240" s="306"/>
      <c r="AV240" s="306"/>
      <c r="AW240" s="306"/>
      <c r="AX240" s="306"/>
      <c r="AY240" s="306"/>
      <c r="AZ240" s="306"/>
      <c r="BA240" s="306"/>
      <c r="BB240" s="306"/>
      <c r="BC240" s="306"/>
      <c r="BD240" s="306"/>
      <c r="BE240" s="306"/>
      <c r="BF240" s="306"/>
      <c r="BG240" s="306"/>
      <c r="BH240" s="306"/>
      <c r="BI240" s="306"/>
      <c r="BJ240" s="306"/>
      <c r="BK240" s="306"/>
      <c r="BL240" s="306"/>
      <c r="BM240" s="306"/>
      <c r="BN240" s="306"/>
      <c r="BO240" s="306"/>
      <c r="BP240" s="306"/>
      <c r="BQ240" s="306"/>
      <c r="BR240" s="306"/>
      <c r="BS240" s="306"/>
      <c r="BT240" s="306"/>
      <c r="BU240" s="306"/>
      <c r="BV240" s="306"/>
      <c r="BW240" s="306"/>
      <c r="BX240" s="306"/>
      <c r="BY240" s="306"/>
      <c r="BZ240" s="306"/>
      <c r="CA240" s="306"/>
      <c r="CB240" s="306"/>
      <c r="CC240" s="306"/>
      <c r="CD240" s="306"/>
      <c r="CE240" s="306"/>
      <c r="CF240" s="306"/>
      <c r="CG240" s="306"/>
      <c r="CH240" s="306"/>
      <c r="CI240" s="306"/>
      <c r="CJ240" s="306"/>
      <c r="CK240" s="306"/>
      <c r="CL240" s="306"/>
      <c r="CM240" s="306"/>
      <c r="CN240" s="306"/>
      <c r="CO240" s="306"/>
      <c r="CP240" s="306"/>
      <c r="CQ240" s="306"/>
      <c r="CR240" s="306"/>
      <c r="CS240" s="306"/>
      <c r="CT240" s="306"/>
      <c r="CU240" s="306"/>
      <c r="CV240" s="306"/>
      <c r="CW240" s="306"/>
      <c r="CX240" s="306"/>
      <c r="CY240" s="306"/>
      <c r="CZ240" s="306"/>
      <c r="DA240" s="306"/>
      <c r="DB240" s="306"/>
      <c r="DC240" s="306"/>
      <c r="DD240" s="306"/>
      <c r="DE240" s="306"/>
      <c r="DF240" s="306"/>
      <c r="DG240" s="306"/>
      <c r="DH240" s="306"/>
      <c r="DI240" s="306"/>
      <c r="DJ240" s="306"/>
      <c r="DK240" s="306"/>
      <c r="DL240" s="306"/>
      <c r="DM240" s="306"/>
      <c r="DN240" s="306"/>
      <c r="DO240" s="306"/>
      <c r="DP240" s="306"/>
      <c r="DQ240" s="306"/>
    </row>
    <row r="241" spans="1:121">
      <c r="A241" s="350">
        <f t="shared" si="3"/>
        <v>239</v>
      </c>
      <c r="B241" s="351" t="s">
        <v>639</v>
      </c>
      <c r="C241" s="352">
        <v>1500</v>
      </c>
      <c r="D241" s="305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  <c r="AG241" s="306"/>
      <c r="AH241" s="306"/>
      <c r="AI241" s="306"/>
      <c r="AJ241" s="306"/>
      <c r="AK241" s="306"/>
      <c r="AL241" s="306"/>
      <c r="AM241" s="306"/>
      <c r="AN241" s="306"/>
      <c r="AO241" s="306"/>
      <c r="AP241" s="306"/>
      <c r="AQ241" s="306"/>
      <c r="AR241" s="306"/>
      <c r="AS241" s="306"/>
      <c r="AT241" s="306"/>
      <c r="AU241" s="306"/>
      <c r="AV241" s="306"/>
      <c r="AW241" s="306"/>
      <c r="AX241" s="306"/>
      <c r="AY241" s="306"/>
      <c r="AZ241" s="306"/>
      <c r="BA241" s="306"/>
      <c r="BB241" s="306"/>
      <c r="BC241" s="306"/>
      <c r="BD241" s="306"/>
      <c r="BE241" s="306"/>
      <c r="BF241" s="306"/>
      <c r="BG241" s="306"/>
      <c r="BH241" s="306"/>
      <c r="BI241" s="306"/>
      <c r="BJ241" s="306"/>
      <c r="BK241" s="306"/>
      <c r="BL241" s="306"/>
      <c r="BM241" s="306"/>
      <c r="BN241" s="306"/>
      <c r="BO241" s="306"/>
      <c r="BP241" s="306"/>
      <c r="BQ241" s="306"/>
      <c r="BR241" s="306"/>
      <c r="BS241" s="306"/>
      <c r="BT241" s="306"/>
      <c r="BU241" s="306"/>
      <c r="BV241" s="306"/>
      <c r="BW241" s="306"/>
      <c r="BX241" s="306"/>
      <c r="BY241" s="306"/>
      <c r="BZ241" s="306"/>
      <c r="CA241" s="306"/>
      <c r="CB241" s="306"/>
      <c r="CC241" s="306"/>
      <c r="CD241" s="306"/>
      <c r="CE241" s="306"/>
      <c r="CF241" s="306"/>
      <c r="CG241" s="306"/>
      <c r="CH241" s="306"/>
      <c r="CI241" s="306"/>
      <c r="CJ241" s="306"/>
      <c r="CK241" s="306"/>
      <c r="CL241" s="306"/>
      <c r="CM241" s="306"/>
      <c r="CN241" s="306"/>
      <c r="CO241" s="306"/>
      <c r="CP241" s="306"/>
      <c r="CQ241" s="306"/>
      <c r="CR241" s="306"/>
      <c r="CS241" s="306"/>
      <c r="CT241" s="306"/>
      <c r="CU241" s="306"/>
      <c r="CV241" s="306"/>
      <c r="CW241" s="306"/>
      <c r="CX241" s="306"/>
      <c r="CY241" s="306"/>
      <c r="CZ241" s="306"/>
      <c r="DA241" s="306"/>
      <c r="DB241" s="306"/>
      <c r="DC241" s="306"/>
      <c r="DD241" s="306"/>
      <c r="DE241" s="306"/>
      <c r="DF241" s="306"/>
      <c r="DG241" s="306"/>
      <c r="DH241" s="306"/>
      <c r="DI241" s="306"/>
      <c r="DJ241" s="306"/>
      <c r="DK241" s="306"/>
      <c r="DL241" s="306"/>
      <c r="DM241" s="306"/>
      <c r="DN241" s="306"/>
      <c r="DO241" s="306"/>
      <c r="DP241" s="306"/>
      <c r="DQ241" s="306"/>
    </row>
    <row r="242" spans="1:121">
      <c r="A242" s="350">
        <f t="shared" si="3"/>
        <v>240</v>
      </c>
      <c r="B242" s="351" t="s">
        <v>871</v>
      </c>
      <c r="C242" s="352">
        <v>700</v>
      </c>
      <c r="D242" s="305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  <c r="AH242" s="306"/>
      <c r="AI242" s="306"/>
      <c r="AJ242" s="306"/>
      <c r="AK242" s="306"/>
      <c r="AL242" s="306"/>
      <c r="AM242" s="306"/>
      <c r="AN242" s="306"/>
      <c r="AO242" s="306"/>
      <c r="AP242" s="306"/>
      <c r="AQ242" s="306"/>
      <c r="AR242" s="306"/>
      <c r="AS242" s="306"/>
      <c r="AT242" s="306"/>
      <c r="AU242" s="306"/>
      <c r="AV242" s="306"/>
      <c r="AW242" s="306"/>
      <c r="AX242" s="306"/>
      <c r="AY242" s="306"/>
      <c r="AZ242" s="306"/>
      <c r="BA242" s="306"/>
      <c r="BB242" s="306"/>
      <c r="BC242" s="306"/>
      <c r="BD242" s="306"/>
      <c r="BE242" s="306"/>
      <c r="BF242" s="306"/>
      <c r="BG242" s="306"/>
      <c r="BH242" s="306"/>
      <c r="BI242" s="306"/>
      <c r="BJ242" s="306"/>
      <c r="BK242" s="306"/>
      <c r="BL242" s="306"/>
      <c r="BM242" s="306"/>
      <c r="BN242" s="306"/>
      <c r="BO242" s="306"/>
      <c r="BP242" s="306"/>
      <c r="BQ242" s="306"/>
      <c r="BR242" s="306"/>
      <c r="BS242" s="306"/>
      <c r="BT242" s="306"/>
      <c r="BU242" s="306"/>
      <c r="BV242" s="306"/>
      <c r="BW242" s="306"/>
      <c r="BX242" s="306"/>
      <c r="BY242" s="306"/>
      <c r="BZ242" s="306"/>
      <c r="CA242" s="306"/>
      <c r="CB242" s="306"/>
      <c r="CC242" s="306"/>
      <c r="CD242" s="306"/>
      <c r="CE242" s="306"/>
      <c r="CF242" s="306"/>
      <c r="CG242" s="306"/>
      <c r="CH242" s="306"/>
      <c r="CI242" s="306"/>
      <c r="CJ242" s="306"/>
      <c r="CK242" s="306"/>
      <c r="CL242" s="306"/>
      <c r="CM242" s="306"/>
      <c r="CN242" s="306"/>
      <c r="CO242" s="306"/>
      <c r="CP242" s="306"/>
      <c r="CQ242" s="306"/>
      <c r="CR242" s="306"/>
      <c r="CS242" s="306"/>
      <c r="CT242" s="306"/>
      <c r="CU242" s="306"/>
      <c r="CV242" s="306"/>
      <c r="CW242" s="306"/>
      <c r="CX242" s="306"/>
      <c r="CY242" s="306"/>
      <c r="CZ242" s="306"/>
      <c r="DA242" s="306"/>
      <c r="DB242" s="306"/>
      <c r="DC242" s="306"/>
      <c r="DD242" s="306"/>
      <c r="DE242" s="306"/>
      <c r="DF242" s="306"/>
      <c r="DG242" s="306"/>
      <c r="DH242" s="306"/>
      <c r="DI242" s="306"/>
      <c r="DJ242" s="306"/>
      <c r="DK242" s="306"/>
      <c r="DL242" s="306"/>
      <c r="DM242" s="306"/>
      <c r="DN242" s="306"/>
      <c r="DO242" s="306"/>
      <c r="DP242" s="306"/>
      <c r="DQ242" s="306"/>
    </row>
    <row r="243" spans="1:121" ht="14.4">
      <c r="A243" s="350">
        <f t="shared" si="3"/>
        <v>241</v>
      </c>
      <c r="B243" s="356" t="s">
        <v>591</v>
      </c>
      <c r="C243" s="353">
        <v>250</v>
      </c>
      <c r="D243" s="305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  <c r="X243" s="306"/>
      <c r="Y243" s="306"/>
      <c r="Z243" s="306"/>
      <c r="AA243" s="306"/>
      <c r="AB243" s="306"/>
      <c r="AC243" s="306"/>
      <c r="AD243" s="306"/>
      <c r="AE243" s="306"/>
      <c r="AF243" s="306"/>
      <c r="AG243" s="306"/>
      <c r="AH243" s="306"/>
      <c r="AI243" s="306"/>
      <c r="AJ243" s="306"/>
      <c r="AK243" s="306"/>
      <c r="AL243" s="306"/>
      <c r="AM243" s="306"/>
      <c r="AN243" s="306"/>
      <c r="AO243" s="306"/>
      <c r="AP243" s="306"/>
      <c r="AQ243" s="306"/>
      <c r="AR243" s="306"/>
      <c r="AS243" s="306"/>
      <c r="AT243" s="306"/>
      <c r="AU243" s="306"/>
      <c r="AV243" s="306"/>
      <c r="AW243" s="306"/>
      <c r="AX243" s="306"/>
      <c r="AY243" s="306"/>
      <c r="AZ243" s="306"/>
      <c r="BA243" s="306"/>
      <c r="BB243" s="306"/>
      <c r="BC243" s="306"/>
      <c r="BD243" s="306"/>
      <c r="BE243" s="306"/>
      <c r="BF243" s="306"/>
      <c r="BG243" s="306"/>
      <c r="BH243" s="306"/>
      <c r="BI243" s="306"/>
      <c r="BJ243" s="306"/>
      <c r="BK243" s="306"/>
      <c r="BL243" s="306"/>
      <c r="BM243" s="306"/>
      <c r="BN243" s="306"/>
      <c r="BO243" s="306"/>
      <c r="BP243" s="306"/>
      <c r="BQ243" s="306"/>
      <c r="BR243" s="306"/>
      <c r="BS243" s="306"/>
      <c r="BT243" s="306"/>
      <c r="BU243" s="306"/>
      <c r="BV243" s="306"/>
      <c r="BW243" s="306"/>
      <c r="BX243" s="306"/>
      <c r="BY243" s="306"/>
      <c r="BZ243" s="306"/>
      <c r="CA243" s="306"/>
      <c r="CB243" s="306"/>
      <c r="CC243" s="306"/>
      <c r="CD243" s="306"/>
      <c r="CE243" s="306"/>
      <c r="CF243" s="306"/>
      <c r="CG243" s="306"/>
      <c r="CH243" s="306"/>
      <c r="CI243" s="306"/>
      <c r="CJ243" s="306"/>
      <c r="CK243" s="306"/>
      <c r="CL243" s="306"/>
      <c r="CM243" s="306"/>
      <c r="CN243" s="306"/>
      <c r="CO243" s="306"/>
      <c r="CP243" s="306"/>
      <c r="CQ243" s="306"/>
      <c r="CR243" s="306"/>
      <c r="CS243" s="306"/>
      <c r="CT243" s="306"/>
      <c r="CU243" s="306"/>
      <c r="CV243" s="306"/>
      <c r="CW243" s="306"/>
      <c r="CX243" s="306"/>
      <c r="CY243" s="306"/>
      <c r="CZ243" s="306"/>
      <c r="DA243" s="306"/>
      <c r="DB243" s="306"/>
      <c r="DC243" s="306"/>
      <c r="DD243" s="306"/>
      <c r="DE243" s="306"/>
      <c r="DF243" s="306"/>
      <c r="DG243" s="306"/>
      <c r="DH243" s="306"/>
      <c r="DI243" s="306"/>
      <c r="DJ243" s="306"/>
      <c r="DK243" s="306"/>
      <c r="DL243" s="306"/>
      <c r="DM243" s="306"/>
      <c r="DN243" s="306"/>
      <c r="DO243" s="306"/>
      <c r="DP243" s="306"/>
      <c r="DQ243" s="306"/>
    </row>
    <row r="244" spans="1:121">
      <c r="A244" s="350">
        <f t="shared" si="3"/>
        <v>242</v>
      </c>
      <c r="B244" s="351" t="s">
        <v>440</v>
      </c>
      <c r="C244" s="352">
        <v>150</v>
      </c>
      <c r="D244" s="305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  <c r="AG244" s="306"/>
      <c r="AH244" s="306"/>
      <c r="AI244" s="306"/>
      <c r="AJ244" s="306"/>
      <c r="AK244" s="306"/>
      <c r="AL244" s="306"/>
      <c r="AM244" s="306"/>
      <c r="AN244" s="306"/>
      <c r="AO244" s="306"/>
      <c r="AP244" s="306"/>
      <c r="AQ244" s="306"/>
      <c r="AR244" s="306"/>
      <c r="AS244" s="306"/>
      <c r="AT244" s="306"/>
      <c r="AU244" s="306"/>
      <c r="AV244" s="306"/>
      <c r="AW244" s="306"/>
      <c r="AX244" s="306"/>
      <c r="AY244" s="306"/>
      <c r="AZ244" s="306"/>
      <c r="BA244" s="306"/>
      <c r="BB244" s="306"/>
      <c r="BC244" s="306"/>
      <c r="BD244" s="306"/>
      <c r="BE244" s="306"/>
      <c r="BF244" s="306"/>
      <c r="BG244" s="306"/>
      <c r="BH244" s="306"/>
      <c r="BI244" s="306"/>
      <c r="BJ244" s="306"/>
      <c r="BK244" s="306"/>
      <c r="BL244" s="306"/>
      <c r="BM244" s="306"/>
      <c r="BN244" s="306"/>
      <c r="BO244" s="306"/>
      <c r="BP244" s="306"/>
      <c r="BQ244" s="306"/>
      <c r="BR244" s="306"/>
      <c r="BS244" s="306"/>
      <c r="BT244" s="306"/>
      <c r="BU244" s="306"/>
      <c r="BV244" s="306"/>
      <c r="BW244" s="306"/>
      <c r="BX244" s="306"/>
      <c r="BY244" s="306"/>
      <c r="BZ244" s="306"/>
      <c r="CA244" s="306"/>
      <c r="CB244" s="306"/>
      <c r="CC244" s="306"/>
      <c r="CD244" s="306"/>
      <c r="CE244" s="306"/>
      <c r="CF244" s="306"/>
      <c r="CG244" s="306"/>
      <c r="CH244" s="306"/>
      <c r="CI244" s="306"/>
      <c r="CJ244" s="306"/>
      <c r="CK244" s="306"/>
      <c r="CL244" s="306"/>
      <c r="CM244" s="306"/>
      <c r="CN244" s="306"/>
      <c r="CO244" s="306"/>
      <c r="CP244" s="306"/>
      <c r="CQ244" s="306"/>
      <c r="CR244" s="306"/>
      <c r="CS244" s="306"/>
      <c r="CT244" s="306"/>
      <c r="CU244" s="306"/>
      <c r="CV244" s="306"/>
      <c r="CW244" s="306"/>
      <c r="CX244" s="306"/>
      <c r="CY244" s="306"/>
      <c r="CZ244" s="306"/>
      <c r="DA244" s="306"/>
      <c r="DB244" s="306"/>
      <c r="DC244" s="306"/>
      <c r="DD244" s="306"/>
      <c r="DE244" s="306"/>
      <c r="DF244" s="306"/>
      <c r="DG244" s="306"/>
      <c r="DH244" s="306"/>
      <c r="DI244" s="306"/>
      <c r="DJ244" s="306"/>
      <c r="DK244" s="306"/>
      <c r="DL244" s="306"/>
      <c r="DM244" s="306"/>
      <c r="DN244" s="306"/>
      <c r="DO244" s="306"/>
      <c r="DP244" s="306"/>
      <c r="DQ244" s="306"/>
    </row>
    <row r="245" spans="1:121">
      <c r="A245" s="350">
        <f t="shared" si="3"/>
        <v>243</v>
      </c>
      <c r="B245" s="351" t="s">
        <v>499</v>
      </c>
      <c r="C245" s="352">
        <v>100</v>
      </c>
      <c r="D245" s="305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  <c r="AG245" s="306"/>
      <c r="AH245" s="306"/>
      <c r="AI245" s="306"/>
      <c r="AJ245" s="306"/>
      <c r="AK245" s="306"/>
      <c r="AL245" s="306"/>
      <c r="AM245" s="306"/>
      <c r="AN245" s="306"/>
      <c r="AO245" s="306"/>
      <c r="AP245" s="306"/>
      <c r="AQ245" s="306"/>
      <c r="AR245" s="306"/>
      <c r="AS245" s="306"/>
      <c r="AT245" s="306"/>
      <c r="AU245" s="306"/>
      <c r="AV245" s="306"/>
      <c r="AW245" s="306"/>
      <c r="AX245" s="306"/>
      <c r="AY245" s="306"/>
      <c r="AZ245" s="306"/>
      <c r="BA245" s="306"/>
      <c r="BB245" s="306"/>
      <c r="BC245" s="306"/>
      <c r="BD245" s="306"/>
      <c r="BE245" s="306"/>
      <c r="BF245" s="306"/>
      <c r="BG245" s="306"/>
      <c r="BH245" s="306"/>
      <c r="BI245" s="306"/>
      <c r="BJ245" s="306"/>
      <c r="BK245" s="306"/>
      <c r="BL245" s="306"/>
      <c r="BM245" s="306"/>
      <c r="BN245" s="306"/>
      <c r="BO245" s="306"/>
      <c r="BP245" s="306"/>
      <c r="BQ245" s="306"/>
      <c r="BR245" s="306"/>
      <c r="BS245" s="306"/>
      <c r="BT245" s="306"/>
      <c r="BU245" s="306"/>
      <c r="BV245" s="306"/>
      <c r="BW245" s="306"/>
      <c r="BX245" s="306"/>
      <c r="BY245" s="306"/>
      <c r="BZ245" s="306"/>
      <c r="CA245" s="306"/>
      <c r="CB245" s="306"/>
      <c r="CC245" s="306"/>
      <c r="CD245" s="306"/>
      <c r="CE245" s="306"/>
      <c r="CF245" s="306"/>
      <c r="CG245" s="306"/>
      <c r="CH245" s="306"/>
      <c r="CI245" s="306"/>
      <c r="CJ245" s="306"/>
      <c r="CK245" s="306"/>
      <c r="CL245" s="306"/>
      <c r="CM245" s="306"/>
      <c r="CN245" s="306"/>
      <c r="CO245" s="306"/>
      <c r="CP245" s="306"/>
      <c r="CQ245" s="306"/>
      <c r="CR245" s="306"/>
      <c r="CS245" s="306"/>
      <c r="CT245" s="306"/>
      <c r="CU245" s="306"/>
      <c r="CV245" s="306"/>
      <c r="CW245" s="306"/>
      <c r="CX245" s="306"/>
      <c r="CY245" s="306"/>
      <c r="CZ245" s="306"/>
      <c r="DA245" s="306"/>
      <c r="DB245" s="306"/>
      <c r="DC245" s="306"/>
      <c r="DD245" s="306"/>
      <c r="DE245" s="306"/>
      <c r="DF245" s="306"/>
      <c r="DG245" s="306"/>
      <c r="DH245" s="306"/>
      <c r="DI245" s="306"/>
      <c r="DJ245" s="306"/>
      <c r="DK245" s="306"/>
      <c r="DL245" s="306"/>
      <c r="DM245" s="306"/>
      <c r="DN245" s="306"/>
      <c r="DO245" s="306"/>
      <c r="DP245" s="306"/>
      <c r="DQ245" s="306"/>
    </row>
    <row r="246" spans="1:121">
      <c r="A246" s="350">
        <f t="shared" si="3"/>
        <v>244</v>
      </c>
      <c r="B246" s="351" t="s">
        <v>592</v>
      </c>
      <c r="C246" s="352">
        <v>300</v>
      </c>
      <c r="D246" s="305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  <c r="AG246" s="306"/>
      <c r="AH246" s="306"/>
      <c r="AI246" s="306"/>
      <c r="AJ246" s="306"/>
      <c r="AK246" s="306"/>
      <c r="AL246" s="306"/>
      <c r="AM246" s="306"/>
      <c r="AN246" s="306"/>
      <c r="AO246" s="306"/>
      <c r="AP246" s="306"/>
      <c r="AQ246" s="306"/>
      <c r="AR246" s="306"/>
      <c r="AS246" s="306"/>
      <c r="AT246" s="306"/>
      <c r="AU246" s="306"/>
      <c r="AV246" s="306"/>
      <c r="AW246" s="306"/>
      <c r="AX246" s="306"/>
      <c r="AY246" s="306"/>
      <c r="AZ246" s="306"/>
      <c r="BA246" s="306"/>
      <c r="BB246" s="306"/>
      <c r="BC246" s="306"/>
      <c r="BD246" s="306"/>
      <c r="BE246" s="306"/>
      <c r="BF246" s="306"/>
      <c r="BG246" s="306"/>
      <c r="BH246" s="306"/>
      <c r="BI246" s="306"/>
      <c r="BJ246" s="306"/>
      <c r="BK246" s="306"/>
      <c r="BL246" s="306"/>
      <c r="BM246" s="306"/>
      <c r="BN246" s="306"/>
      <c r="BO246" s="306"/>
      <c r="BP246" s="306"/>
      <c r="BQ246" s="306"/>
      <c r="BR246" s="306"/>
      <c r="BS246" s="306"/>
      <c r="BT246" s="306"/>
      <c r="BU246" s="306"/>
      <c r="BV246" s="306"/>
      <c r="BW246" s="306"/>
      <c r="BX246" s="306"/>
      <c r="BY246" s="306"/>
      <c r="BZ246" s="306"/>
      <c r="CA246" s="306"/>
      <c r="CB246" s="306"/>
      <c r="CC246" s="306"/>
      <c r="CD246" s="306"/>
      <c r="CE246" s="306"/>
      <c r="CF246" s="306"/>
      <c r="CG246" s="306"/>
      <c r="CH246" s="306"/>
      <c r="CI246" s="306"/>
      <c r="CJ246" s="306"/>
      <c r="CK246" s="306"/>
      <c r="CL246" s="306"/>
      <c r="CM246" s="306"/>
      <c r="CN246" s="306"/>
      <c r="CO246" s="306"/>
      <c r="CP246" s="306"/>
      <c r="CQ246" s="306"/>
      <c r="CR246" s="306"/>
      <c r="CS246" s="306"/>
      <c r="CT246" s="306"/>
      <c r="CU246" s="306"/>
      <c r="CV246" s="306"/>
      <c r="CW246" s="306"/>
      <c r="CX246" s="306"/>
      <c r="CY246" s="306"/>
      <c r="CZ246" s="306"/>
      <c r="DA246" s="306"/>
      <c r="DB246" s="306"/>
      <c r="DC246" s="306"/>
      <c r="DD246" s="306"/>
      <c r="DE246" s="306"/>
      <c r="DF246" s="306"/>
      <c r="DG246" s="306"/>
      <c r="DH246" s="306"/>
      <c r="DI246" s="306"/>
      <c r="DJ246" s="306"/>
      <c r="DK246" s="306"/>
      <c r="DL246" s="306"/>
      <c r="DM246" s="306"/>
      <c r="DN246" s="306"/>
      <c r="DO246" s="306"/>
      <c r="DP246" s="306"/>
      <c r="DQ246" s="306"/>
    </row>
    <row r="247" spans="1:121" ht="14.4" thickBot="1">
      <c r="A247" s="350">
        <f t="shared" si="3"/>
        <v>245</v>
      </c>
      <c r="B247" s="351" t="s">
        <v>502</v>
      </c>
      <c r="C247" s="352">
        <v>350</v>
      </c>
      <c r="D247" s="305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  <c r="AG247" s="306"/>
      <c r="AH247" s="306"/>
      <c r="AI247" s="306"/>
      <c r="AJ247" s="306"/>
      <c r="AK247" s="306"/>
      <c r="AL247" s="306"/>
      <c r="AM247" s="306"/>
      <c r="AN247" s="306"/>
      <c r="AO247" s="306"/>
      <c r="AP247" s="306"/>
      <c r="AQ247" s="306"/>
      <c r="AR247" s="306"/>
      <c r="AS247" s="306"/>
      <c r="AT247" s="306"/>
      <c r="AU247" s="306"/>
      <c r="AV247" s="306"/>
      <c r="AW247" s="306"/>
      <c r="AX247" s="306"/>
      <c r="AY247" s="306"/>
      <c r="AZ247" s="306"/>
      <c r="BA247" s="306"/>
      <c r="BB247" s="306"/>
      <c r="BC247" s="306"/>
      <c r="BD247" s="306"/>
      <c r="BE247" s="306"/>
      <c r="BF247" s="306"/>
      <c r="BG247" s="306"/>
      <c r="BH247" s="306"/>
      <c r="BI247" s="306"/>
      <c r="BJ247" s="306"/>
      <c r="BK247" s="306"/>
      <c r="BL247" s="306"/>
      <c r="BM247" s="306"/>
      <c r="BN247" s="306"/>
      <c r="BO247" s="306"/>
      <c r="BP247" s="306"/>
      <c r="BQ247" s="306"/>
      <c r="BR247" s="306"/>
      <c r="BS247" s="306"/>
      <c r="BT247" s="306"/>
      <c r="BU247" s="306"/>
      <c r="BV247" s="306"/>
      <c r="BW247" s="306"/>
      <c r="BX247" s="306"/>
      <c r="BY247" s="306"/>
      <c r="BZ247" s="306"/>
      <c r="CA247" s="306"/>
      <c r="CB247" s="306"/>
      <c r="CC247" s="306"/>
      <c r="CD247" s="306"/>
      <c r="CE247" s="306"/>
      <c r="CF247" s="306"/>
      <c r="CG247" s="306"/>
      <c r="CH247" s="306"/>
      <c r="CI247" s="306"/>
      <c r="CJ247" s="306"/>
      <c r="CK247" s="306"/>
      <c r="CL247" s="306"/>
      <c r="CM247" s="306"/>
      <c r="CN247" s="306"/>
      <c r="CO247" s="306"/>
      <c r="CP247" s="306"/>
      <c r="CQ247" s="306"/>
      <c r="CR247" s="306"/>
      <c r="CS247" s="306"/>
      <c r="CT247" s="306"/>
      <c r="CU247" s="306"/>
      <c r="CV247" s="306"/>
      <c r="CW247" s="306"/>
      <c r="CX247" s="306"/>
      <c r="CY247" s="306"/>
      <c r="CZ247" s="306"/>
      <c r="DA247" s="306"/>
      <c r="DB247" s="306"/>
      <c r="DC247" s="306"/>
      <c r="DD247" s="306"/>
      <c r="DE247" s="306"/>
      <c r="DF247" s="306"/>
      <c r="DG247" s="306"/>
      <c r="DH247" s="306"/>
      <c r="DI247" s="306"/>
      <c r="DJ247" s="306"/>
      <c r="DK247" s="306"/>
      <c r="DL247" s="306"/>
      <c r="DM247" s="306"/>
      <c r="DN247" s="306"/>
      <c r="DO247" s="306"/>
      <c r="DP247" s="306"/>
      <c r="DQ247" s="306"/>
    </row>
    <row r="248" spans="1:121" ht="14.4" thickBot="1">
      <c r="A248" s="350">
        <f t="shared" si="3"/>
        <v>246</v>
      </c>
      <c r="B248" s="351" t="s">
        <v>872</v>
      </c>
      <c r="C248" s="352">
        <v>1000</v>
      </c>
      <c r="D248" s="308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6"/>
      <c r="P248" s="306"/>
      <c r="Q248" s="306"/>
      <c r="R248" s="306"/>
      <c r="S248" s="306"/>
      <c r="T248" s="306"/>
      <c r="U248" s="306"/>
      <c r="V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  <c r="AG248" s="306"/>
      <c r="AH248" s="306"/>
      <c r="AI248" s="306"/>
      <c r="AJ248" s="306"/>
      <c r="AK248" s="306"/>
      <c r="AL248" s="306"/>
      <c r="AM248" s="306"/>
      <c r="AN248" s="306"/>
      <c r="AO248" s="306"/>
      <c r="AP248" s="306"/>
      <c r="AQ248" s="306"/>
      <c r="AR248" s="306"/>
      <c r="AS248" s="306"/>
      <c r="AT248" s="306"/>
      <c r="AU248" s="306"/>
      <c r="AV248" s="306"/>
      <c r="AW248" s="306"/>
      <c r="AX248" s="306"/>
      <c r="AY248" s="306"/>
      <c r="AZ248" s="306"/>
      <c r="BA248" s="306"/>
      <c r="BB248" s="306"/>
      <c r="BC248" s="306"/>
      <c r="BD248" s="306"/>
      <c r="BE248" s="306"/>
      <c r="BF248" s="306"/>
      <c r="BG248" s="306"/>
      <c r="BH248" s="306"/>
      <c r="BI248" s="306"/>
      <c r="BJ248" s="306"/>
      <c r="BK248" s="306"/>
      <c r="BL248" s="306"/>
      <c r="BM248" s="306"/>
      <c r="BN248" s="306"/>
      <c r="BO248" s="306"/>
      <c r="BP248" s="306"/>
      <c r="BQ248" s="306"/>
      <c r="BR248" s="306"/>
      <c r="BS248" s="306"/>
      <c r="BT248" s="306"/>
      <c r="BU248" s="306"/>
      <c r="BV248" s="306"/>
      <c r="BW248" s="306"/>
      <c r="BX248" s="306"/>
      <c r="BY248" s="306"/>
      <c r="BZ248" s="306"/>
      <c r="CA248" s="306"/>
      <c r="CB248" s="306"/>
      <c r="CC248" s="306"/>
      <c r="CD248" s="306"/>
      <c r="CE248" s="306"/>
      <c r="CF248" s="306"/>
      <c r="CG248" s="306"/>
      <c r="CH248" s="306"/>
      <c r="CI248" s="306"/>
      <c r="CJ248" s="306"/>
      <c r="CK248" s="306"/>
      <c r="CL248" s="306"/>
      <c r="CM248" s="306"/>
      <c r="CN248" s="306"/>
      <c r="CO248" s="306"/>
      <c r="CP248" s="306"/>
      <c r="CQ248" s="306"/>
      <c r="CR248" s="306"/>
      <c r="CS248" s="306"/>
      <c r="CT248" s="306"/>
      <c r="CU248" s="306"/>
      <c r="CV248" s="306"/>
      <c r="CW248" s="306"/>
      <c r="CX248" s="306"/>
      <c r="CY248" s="306"/>
      <c r="CZ248" s="306"/>
      <c r="DA248" s="306"/>
      <c r="DB248" s="306"/>
      <c r="DC248" s="306"/>
      <c r="DD248" s="306"/>
      <c r="DE248" s="306"/>
      <c r="DF248" s="306"/>
      <c r="DG248" s="306"/>
      <c r="DH248" s="306"/>
      <c r="DI248" s="306"/>
      <c r="DJ248" s="306"/>
      <c r="DK248" s="306"/>
      <c r="DL248" s="306"/>
      <c r="DM248" s="306"/>
      <c r="DN248" s="306"/>
      <c r="DO248" s="306"/>
      <c r="DP248" s="306"/>
      <c r="DQ248" s="306"/>
    </row>
    <row r="249" spans="1:121">
      <c r="A249" s="350">
        <f t="shared" si="3"/>
        <v>247</v>
      </c>
      <c r="B249" s="351" t="s">
        <v>658</v>
      </c>
      <c r="C249" s="352">
        <v>350</v>
      </c>
      <c r="D249" s="305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  <c r="AG249" s="306"/>
      <c r="AH249" s="306"/>
      <c r="AI249" s="306"/>
      <c r="AJ249" s="306"/>
      <c r="AK249" s="306"/>
      <c r="AL249" s="306"/>
      <c r="AM249" s="306"/>
      <c r="AN249" s="306"/>
      <c r="AO249" s="306"/>
      <c r="AP249" s="306"/>
      <c r="AQ249" s="306"/>
      <c r="AR249" s="306"/>
      <c r="AS249" s="306"/>
      <c r="AT249" s="306"/>
      <c r="AU249" s="306"/>
      <c r="AV249" s="306"/>
      <c r="AW249" s="306"/>
      <c r="AX249" s="306"/>
      <c r="AY249" s="306"/>
      <c r="AZ249" s="306"/>
      <c r="BA249" s="306"/>
      <c r="BB249" s="306"/>
      <c r="BC249" s="306"/>
      <c r="BD249" s="306"/>
      <c r="BE249" s="306"/>
      <c r="BF249" s="306"/>
      <c r="BG249" s="306"/>
      <c r="BH249" s="306"/>
      <c r="BI249" s="306"/>
      <c r="BJ249" s="306"/>
      <c r="BK249" s="306"/>
      <c r="BL249" s="306"/>
      <c r="BM249" s="306"/>
      <c r="BN249" s="306"/>
      <c r="BO249" s="306"/>
      <c r="BP249" s="306"/>
      <c r="BQ249" s="306"/>
      <c r="BR249" s="306"/>
      <c r="BS249" s="306"/>
      <c r="BT249" s="306"/>
      <c r="BU249" s="306"/>
      <c r="BV249" s="306"/>
      <c r="BW249" s="306"/>
      <c r="BX249" s="306"/>
      <c r="BY249" s="306"/>
      <c r="BZ249" s="306"/>
      <c r="CA249" s="306"/>
      <c r="CB249" s="306"/>
      <c r="CC249" s="306"/>
      <c r="CD249" s="306"/>
      <c r="CE249" s="306"/>
      <c r="CF249" s="306"/>
      <c r="CG249" s="306"/>
      <c r="CH249" s="306"/>
      <c r="CI249" s="306"/>
      <c r="CJ249" s="306"/>
      <c r="CK249" s="306"/>
      <c r="CL249" s="306"/>
      <c r="CM249" s="306"/>
      <c r="CN249" s="306"/>
      <c r="CO249" s="306"/>
      <c r="CP249" s="306"/>
      <c r="CQ249" s="306"/>
      <c r="CR249" s="306"/>
      <c r="CS249" s="306"/>
      <c r="CT249" s="306"/>
      <c r="CU249" s="306"/>
      <c r="CV249" s="306"/>
      <c r="CW249" s="306"/>
      <c r="CX249" s="306"/>
      <c r="CY249" s="306"/>
      <c r="CZ249" s="306"/>
      <c r="DA249" s="306"/>
      <c r="DB249" s="306"/>
      <c r="DC249" s="306"/>
      <c r="DD249" s="306"/>
      <c r="DE249" s="306"/>
      <c r="DF249" s="306"/>
      <c r="DG249" s="306"/>
      <c r="DH249" s="306"/>
      <c r="DI249" s="306"/>
      <c r="DJ249" s="306"/>
      <c r="DK249" s="306"/>
      <c r="DL249" s="306"/>
      <c r="DM249" s="306"/>
      <c r="DN249" s="306"/>
      <c r="DO249" s="306"/>
      <c r="DP249" s="306"/>
      <c r="DQ249" s="306"/>
    </row>
    <row r="250" spans="1:121" ht="14.4">
      <c r="A250" s="350">
        <f t="shared" si="3"/>
        <v>248</v>
      </c>
      <c r="B250" s="356" t="s">
        <v>593</v>
      </c>
      <c r="C250" s="353">
        <v>300</v>
      </c>
      <c r="D250" s="300"/>
    </row>
    <row r="251" spans="1:121">
      <c r="A251" s="350">
        <f t="shared" si="3"/>
        <v>249</v>
      </c>
      <c r="B251" s="351" t="s">
        <v>498</v>
      </c>
      <c r="C251" s="352">
        <v>200</v>
      </c>
      <c r="D251" s="300"/>
    </row>
    <row r="252" spans="1:121">
      <c r="A252" s="350">
        <f t="shared" si="3"/>
        <v>250</v>
      </c>
      <c r="B252" s="354" t="s">
        <v>739</v>
      </c>
      <c r="C252" s="355">
        <v>400</v>
      </c>
      <c r="D252" s="300"/>
    </row>
    <row r="253" spans="1:121">
      <c r="A253" s="350">
        <f t="shared" si="3"/>
        <v>251</v>
      </c>
      <c r="B253" s="351" t="s">
        <v>873</v>
      </c>
      <c r="C253" s="352">
        <v>350</v>
      </c>
      <c r="D253" s="300"/>
    </row>
    <row r="254" spans="1:121">
      <c r="A254" s="350">
        <f t="shared" si="3"/>
        <v>252</v>
      </c>
      <c r="B254" s="357" t="s">
        <v>594</v>
      </c>
      <c r="C254" s="359">
        <v>350</v>
      </c>
      <c r="D254" s="300"/>
    </row>
    <row r="255" spans="1:121">
      <c r="A255" s="350">
        <f t="shared" si="3"/>
        <v>253</v>
      </c>
      <c r="B255" s="354" t="s">
        <v>726</v>
      </c>
      <c r="C255" s="355">
        <v>1300</v>
      </c>
      <c r="D255" s="300"/>
    </row>
    <row r="256" spans="1:121">
      <c r="A256" s="350">
        <f t="shared" si="3"/>
        <v>254</v>
      </c>
      <c r="B256" s="351" t="s">
        <v>920</v>
      </c>
      <c r="C256" s="352">
        <v>600</v>
      </c>
      <c r="D256" s="300"/>
    </row>
    <row r="257" spans="1:16">
      <c r="A257" s="350">
        <f t="shared" si="3"/>
        <v>255</v>
      </c>
      <c r="B257" s="354" t="s">
        <v>727</v>
      </c>
      <c r="C257" s="355">
        <v>1500</v>
      </c>
      <c r="D257" s="300"/>
    </row>
    <row r="258" spans="1:16">
      <c r="A258" s="350">
        <f t="shared" si="3"/>
        <v>256</v>
      </c>
      <c r="B258" s="351" t="s">
        <v>874</v>
      </c>
      <c r="C258" s="352">
        <v>1400</v>
      </c>
      <c r="D258" s="300"/>
    </row>
    <row r="259" spans="1:16">
      <c r="A259" s="350">
        <f t="shared" si="3"/>
        <v>257</v>
      </c>
      <c r="B259" s="351" t="s">
        <v>875</v>
      </c>
      <c r="C259" s="352">
        <v>750</v>
      </c>
      <c r="D259" s="300"/>
    </row>
    <row r="260" spans="1:16">
      <c r="A260" s="350">
        <f t="shared" ref="A260:A323" si="4">IF(B260&lt;&gt;"", ROW()-2, "")</f>
        <v>258</v>
      </c>
      <c r="B260" s="351" t="s">
        <v>646</v>
      </c>
      <c r="C260" s="352">
        <v>1000</v>
      </c>
      <c r="D260" s="300"/>
    </row>
    <row r="261" spans="1:16">
      <c r="A261" s="350">
        <f t="shared" si="4"/>
        <v>259</v>
      </c>
      <c r="B261" s="351" t="s">
        <v>595</v>
      </c>
      <c r="C261" s="352">
        <v>800</v>
      </c>
      <c r="D261" s="300"/>
    </row>
    <row r="262" spans="1:16">
      <c r="A262" s="350">
        <f t="shared" si="4"/>
        <v>260</v>
      </c>
      <c r="B262" s="351" t="s">
        <v>596</v>
      </c>
      <c r="C262" s="352">
        <v>1500</v>
      </c>
      <c r="D262" s="300"/>
    </row>
    <row r="263" spans="1:16">
      <c r="A263" s="350">
        <f t="shared" si="4"/>
        <v>261</v>
      </c>
      <c r="B263" s="351" t="s">
        <v>714</v>
      </c>
      <c r="C263" s="352">
        <v>1900</v>
      </c>
      <c r="D263" s="300"/>
    </row>
    <row r="264" spans="1:16">
      <c r="A264" s="350">
        <f t="shared" si="4"/>
        <v>262</v>
      </c>
      <c r="B264" s="351" t="s">
        <v>1011</v>
      </c>
      <c r="C264" s="352">
        <v>1800</v>
      </c>
      <c r="D264" s="300"/>
    </row>
    <row r="265" spans="1:16" ht="14.4">
      <c r="A265" s="350">
        <f t="shared" si="4"/>
        <v>263</v>
      </c>
      <c r="B265" s="356" t="s">
        <v>597</v>
      </c>
      <c r="C265" s="353">
        <v>700</v>
      </c>
      <c r="D265" s="300"/>
    </row>
    <row r="266" spans="1:16">
      <c r="A266" s="350">
        <f t="shared" si="4"/>
        <v>264</v>
      </c>
      <c r="B266" s="351" t="s">
        <v>876</v>
      </c>
      <c r="C266" s="352">
        <v>1800</v>
      </c>
      <c r="D266" s="300"/>
    </row>
    <row r="267" spans="1:16">
      <c r="A267" s="350">
        <f t="shared" si="4"/>
        <v>265</v>
      </c>
      <c r="B267" s="354" t="s">
        <v>725</v>
      </c>
      <c r="C267" s="355">
        <v>1950</v>
      </c>
      <c r="D267" s="300"/>
    </row>
    <row r="268" spans="1:16">
      <c r="A268" s="350">
        <f t="shared" si="4"/>
        <v>266</v>
      </c>
      <c r="B268" s="351" t="s">
        <v>877</v>
      </c>
      <c r="C268" s="352">
        <v>1400</v>
      </c>
      <c r="D268" s="300"/>
      <c r="P268" s="235">
        <v>1</v>
      </c>
    </row>
    <row r="269" spans="1:16">
      <c r="A269" s="350">
        <f t="shared" si="4"/>
        <v>267</v>
      </c>
      <c r="B269" s="351" t="s">
        <v>598</v>
      </c>
      <c r="C269" s="352">
        <v>200</v>
      </c>
      <c r="D269" s="300"/>
    </row>
    <row r="270" spans="1:16">
      <c r="A270" s="350">
        <f t="shared" si="4"/>
        <v>268</v>
      </c>
      <c r="B270" s="351" t="s">
        <v>599</v>
      </c>
      <c r="C270" s="352">
        <v>2800</v>
      </c>
      <c r="D270" s="300"/>
    </row>
    <row r="271" spans="1:16">
      <c r="A271" s="350">
        <f t="shared" si="4"/>
        <v>269</v>
      </c>
      <c r="B271" s="351" t="s">
        <v>600</v>
      </c>
      <c r="C271" s="352">
        <v>250</v>
      </c>
      <c r="D271" s="300"/>
    </row>
    <row r="272" spans="1:16">
      <c r="A272" s="350">
        <f t="shared" si="4"/>
        <v>270</v>
      </c>
      <c r="B272" s="351" t="s">
        <v>878</v>
      </c>
      <c r="C272" s="352">
        <v>450</v>
      </c>
      <c r="D272" s="300"/>
    </row>
    <row r="273" spans="1:4">
      <c r="A273" s="350">
        <f t="shared" si="4"/>
        <v>271</v>
      </c>
      <c r="B273" s="351" t="s">
        <v>925</v>
      </c>
      <c r="C273" s="352">
        <v>399</v>
      </c>
      <c r="D273" s="300"/>
    </row>
    <row r="274" spans="1:4">
      <c r="A274" s="350">
        <f t="shared" si="4"/>
        <v>272</v>
      </c>
      <c r="B274" s="351" t="s">
        <v>921</v>
      </c>
      <c r="C274" s="352">
        <v>300</v>
      </c>
      <c r="D274" s="300"/>
    </row>
    <row r="275" spans="1:4">
      <c r="A275" s="350">
        <f t="shared" si="4"/>
        <v>273</v>
      </c>
      <c r="B275" s="351" t="s">
        <v>713</v>
      </c>
      <c r="C275" s="352">
        <v>450</v>
      </c>
      <c r="D275" s="300"/>
    </row>
    <row r="276" spans="1:4">
      <c r="A276" s="350">
        <f t="shared" si="4"/>
        <v>274</v>
      </c>
      <c r="B276" s="351" t="s">
        <v>879</v>
      </c>
      <c r="C276" s="352">
        <v>1000</v>
      </c>
      <c r="D276" s="300"/>
    </row>
    <row r="277" spans="1:4" ht="14.4">
      <c r="A277" s="350">
        <f t="shared" si="4"/>
        <v>275</v>
      </c>
      <c r="B277" s="356" t="s">
        <v>601</v>
      </c>
      <c r="C277" s="353">
        <v>1200</v>
      </c>
      <c r="D277" s="300"/>
    </row>
    <row r="278" spans="1:4">
      <c r="A278" s="350">
        <f t="shared" si="4"/>
        <v>276</v>
      </c>
      <c r="B278" s="351" t="s">
        <v>733</v>
      </c>
      <c r="C278" s="352">
        <v>300</v>
      </c>
      <c r="D278" s="300"/>
    </row>
    <row r="279" spans="1:4" ht="14.4">
      <c r="A279" s="350">
        <f t="shared" si="4"/>
        <v>277</v>
      </c>
      <c r="B279" s="356" t="s">
        <v>602</v>
      </c>
      <c r="C279" s="353">
        <v>550</v>
      </c>
      <c r="D279" s="300"/>
    </row>
    <row r="280" spans="1:4" ht="14.4">
      <c r="A280" s="350">
        <f t="shared" si="4"/>
        <v>278</v>
      </c>
      <c r="B280" s="356" t="s">
        <v>937</v>
      </c>
      <c r="C280" s="353">
        <v>750</v>
      </c>
      <c r="D280" s="300"/>
    </row>
    <row r="281" spans="1:4">
      <c r="A281" s="350">
        <f t="shared" si="4"/>
        <v>279</v>
      </c>
      <c r="B281" s="351" t="s">
        <v>655</v>
      </c>
      <c r="C281" s="352">
        <v>1500</v>
      </c>
      <c r="D281" s="300"/>
    </row>
    <row r="282" spans="1:4">
      <c r="A282" s="350">
        <f t="shared" si="4"/>
        <v>280</v>
      </c>
      <c r="B282" s="351" t="s">
        <v>654</v>
      </c>
      <c r="C282" s="352">
        <v>750</v>
      </c>
      <c r="D282" s="300"/>
    </row>
    <row r="283" spans="1:4">
      <c r="A283" s="350">
        <f t="shared" si="4"/>
        <v>281</v>
      </c>
      <c r="B283" s="351" t="s">
        <v>880</v>
      </c>
      <c r="C283" s="352">
        <v>800</v>
      </c>
      <c r="D283" s="300"/>
    </row>
    <row r="284" spans="1:4">
      <c r="A284" s="350">
        <f t="shared" si="4"/>
        <v>282</v>
      </c>
      <c r="B284" s="351" t="s">
        <v>881</v>
      </c>
      <c r="C284" s="352">
        <v>900</v>
      </c>
      <c r="D284" s="300"/>
    </row>
    <row r="285" spans="1:4">
      <c r="A285" s="350">
        <f t="shared" si="4"/>
        <v>283</v>
      </c>
      <c r="B285" s="351" t="s">
        <v>603</v>
      </c>
      <c r="C285" s="352">
        <v>800</v>
      </c>
      <c r="D285" s="300"/>
    </row>
    <row r="286" spans="1:4">
      <c r="A286" s="350">
        <f t="shared" si="4"/>
        <v>284</v>
      </c>
      <c r="B286" s="354" t="s">
        <v>729</v>
      </c>
      <c r="C286" s="355">
        <v>900</v>
      </c>
      <c r="D286" s="300"/>
    </row>
    <row r="287" spans="1:4">
      <c r="A287" s="350">
        <f t="shared" si="4"/>
        <v>285</v>
      </c>
      <c r="B287" s="351" t="s">
        <v>882</v>
      </c>
      <c r="C287" s="352">
        <v>1100</v>
      </c>
      <c r="D287" s="300"/>
    </row>
    <row r="288" spans="1:4">
      <c r="A288" s="350">
        <f t="shared" si="4"/>
        <v>286</v>
      </c>
      <c r="B288" s="351" t="s">
        <v>604</v>
      </c>
      <c r="C288" s="352">
        <v>450</v>
      </c>
      <c r="D288" s="300"/>
    </row>
    <row r="289" spans="1:4">
      <c r="A289" s="350">
        <f t="shared" si="4"/>
        <v>287</v>
      </c>
      <c r="B289" s="351" t="s">
        <v>605</v>
      </c>
      <c r="C289" s="352">
        <v>150</v>
      </c>
      <c r="D289" s="300"/>
    </row>
    <row r="290" spans="1:4">
      <c r="A290" s="350">
        <f t="shared" si="4"/>
        <v>288</v>
      </c>
      <c r="B290" s="351" t="s">
        <v>606</v>
      </c>
      <c r="C290" s="352">
        <v>1900</v>
      </c>
      <c r="D290" s="300"/>
    </row>
    <row r="291" spans="1:4">
      <c r="A291" s="350">
        <f t="shared" si="4"/>
        <v>289</v>
      </c>
      <c r="B291" s="351" t="s">
        <v>607</v>
      </c>
      <c r="C291" s="352">
        <v>150</v>
      </c>
      <c r="D291" s="300"/>
    </row>
    <row r="292" spans="1:4">
      <c r="A292" s="350">
        <f t="shared" si="4"/>
        <v>290</v>
      </c>
      <c r="B292" s="351" t="s">
        <v>608</v>
      </c>
      <c r="C292" s="352">
        <v>250</v>
      </c>
      <c r="D292" s="300"/>
    </row>
    <row r="293" spans="1:4">
      <c r="A293" s="350">
        <f t="shared" si="4"/>
        <v>291</v>
      </c>
      <c r="B293" s="351" t="s">
        <v>802</v>
      </c>
      <c r="C293" s="352">
        <v>500</v>
      </c>
      <c r="D293" s="300"/>
    </row>
    <row r="294" spans="1:4">
      <c r="A294" s="350">
        <f t="shared" si="4"/>
        <v>292</v>
      </c>
      <c r="B294" s="351" t="s">
        <v>803</v>
      </c>
      <c r="C294" s="352">
        <v>250</v>
      </c>
      <c r="D294" s="300"/>
    </row>
    <row r="295" spans="1:4">
      <c r="A295" s="350">
        <f t="shared" si="4"/>
        <v>293</v>
      </c>
      <c r="B295" s="351" t="s">
        <v>609</v>
      </c>
      <c r="C295" s="352">
        <v>1000</v>
      </c>
      <c r="D295" s="300"/>
    </row>
    <row r="296" spans="1:4">
      <c r="A296" s="350">
        <f t="shared" si="4"/>
        <v>294</v>
      </c>
      <c r="B296" s="351" t="s">
        <v>610</v>
      </c>
      <c r="C296" s="352">
        <v>1500</v>
      </c>
      <c r="D296" s="300"/>
    </row>
    <row r="297" spans="1:4">
      <c r="A297" s="350">
        <f t="shared" si="4"/>
        <v>295</v>
      </c>
      <c r="B297" s="351" t="s">
        <v>611</v>
      </c>
      <c r="C297" s="352">
        <v>400</v>
      </c>
      <c r="D297" s="300"/>
    </row>
    <row r="298" spans="1:4">
      <c r="A298" s="350">
        <f t="shared" si="4"/>
        <v>296</v>
      </c>
      <c r="B298" s="351" t="s">
        <v>669</v>
      </c>
      <c r="C298" s="352">
        <v>800</v>
      </c>
      <c r="D298" s="300"/>
    </row>
    <row r="299" spans="1:4">
      <c r="A299" s="350">
        <f t="shared" si="4"/>
        <v>297</v>
      </c>
      <c r="B299" s="351" t="s">
        <v>497</v>
      </c>
      <c r="C299" s="352">
        <v>250</v>
      </c>
      <c r="D299" s="300"/>
    </row>
    <row r="300" spans="1:4">
      <c r="A300" s="350">
        <f t="shared" si="4"/>
        <v>298</v>
      </c>
      <c r="B300" s="351" t="s">
        <v>439</v>
      </c>
      <c r="C300" s="352">
        <v>70</v>
      </c>
      <c r="D300" s="300"/>
    </row>
    <row r="301" spans="1:4">
      <c r="A301" s="350">
        <f t="shared" si="4"/>
        <v>299</v>
      </c>
      <c r="B301" s="351" t="s">
        <v>634</v>
      </c>
      <c r="C301" s="352">
        <v>500</v>
      </c>
      <c r="D301" s="300"/>
    </row>
    <row r="302" spans="1:4" ht="14.4">
      <c r="A302" s="350">
        <f t="shared" si="4"/>
        <v>300</v>
      </c>
      <c r="B302" s="356" t="s">
        <v>612</v>
      </c>
      <c r="C302" s="353">
        <v>1150</v>
      </c>
      <c r="D302" s="300"/>
    </row>
    <row r="303" spans="1:4">
      <c r="A303" s="350">
        <f t="shared" si="4"/>
        <v>301</v>
      </c>
      <c r="B303" s="351" t="s">
        <v>883</v>
      </c>
      <c r="C303" s="352">
        <v>800</v>
      </c>
      <c r="D303" s="300"/>
    </row>
    <row r="304" spans="1:4">
      <c r="A304" s="350">
        <f t="shared" si="4"/>
        <v>302</v>
      </c>
      <c r="B304" s="351" t="s">
        <v>720</v>
      </c>
      <c r="C304" s="355">
        <v>350</v>
      </c>
      <c r="D304" s="300"/>
    </row>
    <row r="305" spans="1:8">
      <c r="A305" s="350">
        <f t="shared" si="4"/>
        <v>303</v>
      </c>
      <c r="B305" s="351" t="s">
        <v>613</v>
      </c>
      <c r="C305" s="352">
        <v>150</v>
      </c>
      <c r="D305" s="300"/>
    </row>
    <row r="306" spans="1:8">
      <c r="A306" s="350">
        <f t="shared" si="4"/>
        <v>304</v>
      </c>
      <c r="B306" s="351" t="s">
        <v>496</v>
      </c>
      <c r="C306" s="352">
        <v>550</v>
      </c>
      <c r="D306" s="300"/>
    </row>
    <row r="307" spans="1:8">
      <c r="A307" s="350">
        <f t="shared" si="4"/>
        <v>305</v>
      </c>
      <c r="B307" s="351" t="s">
        <v>884</v>
      </c>
      <c r="C307" s="352">
        <v>1800</v>
      </c>
      <c r="D307" s="300"/>
    </row>
    <row r="308" spans="1:8">
      <c r="A308" s="350">
        <f t="shared" si="4"/>
        <v>306</v>
      </c>
      <c r="B308" s="351" t="s">
        <v>885</v>
      </c>
      <c r="C308" s="352">
        <v>800</v>
      </c>
      <c r="D308" s="300"/>
    </row>
    <row r="309" spans="1:8">
      <c r="A309" s="350">
        <f t="shared" si="4"/>
        <v>307</v>
      </c>
      <c r="B309" s="351" t="s">
        <v>886</v>
      </c>
      <c r="C309" s="352">
        <v>150</v>
      </c>
      <c r="D309" s="300"/>
    </row>
    <row r="310" spans="1:8">
      <c r="A310" s="350">
        <f t="shared" si="4"/>
        <v>308</v>
      </c>
      <c r="B310" s="351" t="s">
        <v>614</v>
      </c>
      <c r="C310" s="352">
        <v>400</v>
      </c>
      <c r="D310" s="300"/>
    </row>
    <row r="311" spans="1:8">
      <c r="A311" s="350">
        <f t="shared" si="4"/>
        <v>309</v>
      </c>
      <c r="B311" s="351" t="s">
        <v>441</v>
      </c>
      <c r="C311" s="352">
        <v>200</v>
      </c>
      <c r="D311" s="300"/>
    </row>
    <row r="312" spans="1:8">
      <c r="A312" s="350">
        <f t="shared" si="4"/>
        <v>310</v>
      </c>
      <c r="B312" s="351" t="s">
        <v>887</v>
      </c>
      <c r="C312" s="352">
        <v>1050</v>
      </c>
      <c r="D312" s="300"/>
      <c r="H312" s="309"/>
    </row>
    <row r="313" spans="1:8">
      <c r="A313" s="350">
        <f t="shared" si="4"/>
        <v>311</v>
      </c>
      <c r="B313" s="351" t="s">
        <v>929</v>
      </c>
      <c r="C313" s="352">
        <v>2100</v>
      </c>
      <c r="D313" s="300"/>
    </row>
    <row r="314" spans="1:8">
      <c r="A314" s="350">
        <f t="shared" si="4"/>
        <v>312</v>
      </c>
      <c r="B314" s="351" t="s">
        <v>615</v>
      </c>
      <c r="C314" s="352">
        <v>2800</v>
      </c>
      <c r="D314" s="300"/>
    </row>
    <row r="315" spans="1:8" ht="14.4">
      <c r="A315" s="350">
        <f t="shared" si="4"/>
        <v>313</v>
      </c>
      <c r="B315" s="357" t="s">
        <v>452</v>
      </c>
      <c r="C315" s="353">
        <v>250</v>
      </c>
      <c r="D315" s="300"/>
    </row>
    <row r="316" spans="1:8">
      <c r="A316" s="350">
        <f t="shared" si="4"/>
        <v>314</v>
      </c>
      <c r="B316" s="351" t="s">
        <v>888</v>
      </c>
      <c r="C316" s="352">
        <v>1200</v>
      </c>
      <c r="D316" s="300"/>
    </row>
    <row r="317" spans="1:8">
      <c r="A317" s="350">
        <f t="shared" si="4"/>
        <v>315</v>
      </c>
      <c r="B317" s="351" t="s">
        <v>889</v>
      </c>
      <c r="C317" s="352">
        <v>999</v>
      </c>
      <c r="D317" s="300"/>
    </row>
    <row r="318" spans="1:8">
      <c r="A318" s="350">
        <f t="shared" si="4"/>
        <v>316</v>
      </c>
      <c r="B318" s="351" t="s">
        <v>915</v>
      </c>
      <c r="C318" s="352">
        <v>999</v>
      </c>
      <c r="D318" s="300"/>
    </row>
    <row r="319" spans="1:8">
      <c r="A319" s="350">
        <f t="shared" si="4"/>
        <v>317</v>
      </c>
      <c r="B319" s="351" t="s">
        <v>890</v>
      </c>
      <c r="C319" s="352">
        <v>600</v>
      </c>
      <c r="D319" s="300"/>
    </row>
    <row r="320" spans="1:8">
      <c r="A320" s="350">
        <f t="shared" si="4"/>
        <v>318</v>
      </c>
      <c r="B320" s="351" t="s">
        <v>891</v>
      </c>
      <c r="C320" s="352">
        <v>350</v>
      </c>
      <c r="D320" s="300"/>
    </row>
    <row r="321" spans="1:4">
      <c r="A321" s="350">
        <f t="shared" si="4"/>
        <v>319</v>
      </c>
      <c r="B321" s="351" t="s">
        <v>443</v>
      </c>
      <c r="C321" s="352">
        <v>150</v>
      </c>
      <c r="D321" s="300"/>
    </row>
    <row r="322" spans="1:4">
      <c r="A322" s="350">
        <f t="shared" si="4"/>
        <v>320</v>
      </c>
      <c r="B322" s="351" t="s">
        <v>616</v>
      </c>
      <c r="C322" s="352">
        <v>400</v>
      </c>
      <c r="D322" s="300"/>
    </row>
    <row r="323" spans="1:4">
      <c r="A323" s="350">
        <f t="shared" si="4"/>
        <v>321</v>
      </c>
      <c r="B323" s="351" t="s">
        <v>706</v>
      </c>
      <c r="C323" s="352">
        <v>650</v>
      </c>
      <c r="D323" s="300"/>
    </row>
    <row r="324" spans="1:4">
      <c r="A324" s="350">
        <f t="shared" ref="A324:A387" si="5">IF(B324&lt;&gt;"", ROW()-2, "")</f>
        <v>322</v>
      </c>
      <c r="B324" s="351" t="s">
        <v>717</v>
      </c>
      <c r="C324" s="352">
        <v>650</v>
      </c>
      <c r="D324" s="300"/>
    </row>
    <row r="325" spans="1:4">
      <c r="A325" s="350">
        <f t="shared" si="5"/>
        <v>323</v>
      </c>
      <c r="B325" s="351" t="s">
        <v>892</v>
      </c>
      <c r="C325" s="352">
        <v>1700</v>
      </c>
      <c r="D325" s="300"/>
    </row>
    <row r="326" spans="1:4">
      <c r="A326" s="350">
        <f t="shared" si="5"/>
        <v>324</v>
      </c>
      <c r="B326" s="351" t="s">
        <v>715</v>
      </c>
      <c r="C326" s="352">
        <v>550</v>
      </c>
      <c r="D326" s="300"/>
    </row>
    <row r="327" spans="1:4">
      <c r="A327" s="350">
        <f t="shared" si="5"/>
        <v>325</v>
      </c>
      <c r="B327" s="351" t="s">
        <v>893</v>
      </c>
      <c r="C327" s="352">
        <v>1000</v>
      </c>
      <c r="D327" s="300"/>
    </row>
    <row r="328" spans="1:4">
      <c r="A328" s="350">
        <f t="shared" si="5"/>
        <v>326</v>
      </c>
      <c r="B328" s="351" t="s">
        <v>723</v>
      </c>
      <c r="C328" s="355">
        <v>400</v>
      </c>
      <c r="D328" s="300"/>
    </row>
    <row r="329" spans="1:4">
      <c r="A329" s="350">
        <f t="shared" si="5"/>
        <v>327</v>
      </c>
      <c r="B329" s="351" t="s">
        <v>894</v>
      </c>
      <c r="C329" s="352">
        <v>300</v>
      </c>
      <c r="D329" s="300"/>
    </row>
    <row r="330" spans="1:4">
      <c r="A330" s="350">
        <f t="shared" si="5"/>
        <v>328</v>
      </c>
      <c r="B330" s="351" t="s">
        <v>895</v>
      </c>
      <c r="C330" s="352">
        <v>450</v>
      </c>
      <c r="D330" s="300"/>
    </row>
    <row r="331" spans="1:4">
      <c r="A331" s="350">
        <f t="shared" si="5"/>
        <v>329</v>
      </c>
      <c r="B331" s="351" t="s">
        <v>896</v>
      </c>
      <c r="C331" s="352">
        <v>1500</v>
      </c>
      <c r="D331" s="300"/>
    </row>
    <row r="332" spans="1:4">
      <c r="A332" s="350">
        <f t="shared" si="5"/>
        <v>330</v>
      </c>
      <c r="B332" s="351" t="s">
        <v>897</v>
      </c>
      <c r="C332" s="352">
        <v>950</v>
      </c>
      <c r="D332" s="300"/>
    </row>
    <row r="333" spans="1:4">
      <c r="A333" s="350">
        <f t="shared" si="5"/>
        <v>331</v>
      </c>
      <c r="B333" s="351" t="s">
        <v>939</v>
      </c>
      <c r="C333" s="352">
        <v>1200</v>
      </c>
      <c r="D333" s="300"/>
    </row>
    <row r="334" spans="1:4">
      <c r="A334" s="350">
        <f t="shared" si="5"/>
        <v>332</v>
      </c>
      <c r="B334" s="351" t="s">
        <v>617</v>
      </c>
      <c r="C334" s="352">
        <v>850</v>
      </c>
      <c r="D334" s="300"/>
    </row>
    <row r="335" spans="1:4">
      <c r="A335" s="350">
        <f t="shared" si="5"/>
        <v>333</v>
      </c>
      <c r="B335" s="351" t="s">
        <v>709</v>
      </c>
      <c r="C335" s="352">
        <v>500</v>
      </c>
      <c r="D335" s="300"/>
    </row>
    <row r="336" spans="1:4">
      <c r="A336" s="350">
        <f t="shared" si="5"/>
        <v>334</v>
      </c>
      <c r="B336" s="351" t="s">
        <v>898</v>
      </c>
      <c r="C336" s="352">
        <v>1000</v>
      </c>
      <c r="D336" s="300"/>
    </row>
    <row r="337" spans="1:4">
      <c r="A337" s="350">
        <f t="shared" si="5"/>
        <v>335</v>
      </c>
      <c r="B337" s="351" t="s">
        <v>618</v>
      </c>
      <c r="C337" s="352">
        <v>225</v>
      </c>
      <c r="D337" s="300"/>
    </row>
    <row r="338" spans="1:4" ht="14.4">
      <c r="A338" s="350">
        <f t="shared" si="5"/>
        <v>336</v>
      </c>
      <c r="B338" s="356" t="s">
        <v>619</v>
      </c>
      <c r="C338" s="353">
        <v>150</v>
      </c>
      <c r="D338" s="300"/>
    </row>
    <row r="339" spans="1:4">
      <c r="A339" s="350">
        <f t="shared" si="5"/>
        <v>337</v>
      </c>
      <c r="B339" s="351" t="s">
        <v>899</v>
      </c>
      <c r="C339" s="352">
        <v>200</v>
      </c>
      <c r="D339" s="300"/>
    </row>
    <row r="340" spans="1:4">
      <c r="A340" s="350">
        <f t="shared" si="5"/>
        <v>338</v>
      </c>
      <c r="B340" s="351" t="s">
        <v>442</v>
      </c>
      <c r="C340" s="352">
        <v>150</v>
      </c>
      <c r="D340" s="300"/>
    </row>
    <row r="341" spans="1:4">
      <c r="A341" s="350">
        <f t="shared" si="5"/>
        <v>339</v>
      </c>
      <c r="B341" s="351" t="s">
        <v>620</v>
      </c>
      <c r="C341" s="352">
        <v>300</v>
      </c>
      <c r="D341" s="300"/>
    </row>
    <row r="342" spans="1:4">
      <c r="A342" s="350">
        <f t="shared" si="5"/>
        <v>340</v>
      </c>
      <c r="B342" s="351" t="s">
        <v>900</v>
      </c>
      <c r="C342" s="352">
        <v>1200</v>
      </c>
      <c r="D342" s="300"/>
    </row>
    <row r="343" spans="1:4">
      <c r="A343" s="350">
        <f t="shared" si="5"/>
        <v>341</v>
      </c>
      <c r="B343" s="351" t="s">
        <v>901</v>
      </c>
      <c r="C343" s="352">
        <v>800</v>
      </c>
      <c r="D343" s="300"/>
    </row>
    <row r="344" spans="1:4">
      <c r="A344" s="350">
        <f t="shared" si="5"/>
        <v>342</v>
      </c>
      <c r="B344" s="351" t="s">
        <v>902</v>
      </c>
      <c r="C344" s="352">
        <v>500</v>
      </c>
      <c r="D344" s="300"/>
    </row>
    <row r="345" spans="1:4">
      <c r="A345" s="350">
        <f t="shared" si="5"/>
        <v>343</v>
      </c>
      <c r="B345" s="351" t="s">
        <v>903</v>
      </c>
      <c r="C345" s="352">
        <v>500</v>
      </c>
      <c r="D345" s="300"/>
    </row>
    <row r="346" spans="1:4">
      <c r="A346" s="350">
        <f t="shared" si="5"/>
        <v>344</v>
      </c>
      <c r="B346" s="351" t="s">
        <v>904</v>
      </c>
      <c r="C346" s="355">
        <v>950</v>
      </c>
      <c r="D346" s="300"/>
    </row>
    <row r="347" spans="1:4">
      <c r="A347" s="350">
        <f t="shared" si="5"/>
        <v>345</v>
      </c>
      <c r="B347" s="351" t="s">
        <v>996</v>
      </c>
      <c r="C347" s="352">
        <v>900</v>
      </c>
      <c r="D347" s="300"/>
    </row>
    <row r="348" spans="1:4">
      <c r="A348" s="350">
        <f t="shared" si="5"/>
        <v>346</v>
      </c>
      <c r="B348" s="351" t="s">
        <v>621</v>
      </c>
      <c r="C348" s="352">
        <v>2800</v>
      </c>
      <c r="D348" s="300"/>
    </row>
    <row r="349" spans="1:4" ht="14.4">
      <c r="A349" s="350">
        <f t="shared" si="5"/>
        <v>347</v>
      </c>
      <c r="B349" s="357" t="s">
        <v>451</v>
      </c>
      <c r="C349" s="353">
        <v>250</v>
      </c>
      <c r="D349" s="300"/>
    </row>
    <row r="350" spans="1:4">
      <c r="A350" s="350">
        <f t="shared" si="5"/>
        <v>348</v>
      </c>
      <c r="B350" s="354" t="s">
        <v>735</v>
      </c>
      <c r="C350" s="355">
        <v>350</v>
      </c>
      <c r="D350" s="300"/>
    </row>
    <row r="351" spans="1:4">
      <c r="A351" s="350">
        <f t="shared" si="5"/>
        <v>349</v>
      </c>
      <c r="B351" s="357" t="s">
        <v>641</v>
      </c>
      <c r="C351" s="359">
        <v>1550</v>
      </c>
      <c r="D351" s="300"/>
    </row>
    <row r="352" spans="1:4">
      <c r="A352" s="350">
        <f t="shared" si="5"/>
        <v>350</v>
      </c>
      <c r="B352" s="351" t="s">
        <v>659</v>
      </c>
      <c r="C352" s="352">
        <v>775</v>
      </c>
      <c r="D352" s="300"/>
    </row>
    <row r="353" spans="1:4">
      <c r="A353" s="350">
        <f t="shared" si="5"/>
        <v>351</v>
      </c>
      <c r="B353" s="351" t="s">
        <v>718</v>
      </c>
      <c r="C353" s="352">
        <v>800</v>
      </c>
      <c r="D353" s="300"/>
    </row>
    <row r="354" spans="1:4">
      <c r="A354" s="350">
        <f t="shared" si="5"/>
        <v>352</v>
      </c>
      <c r="B354" s="351" t="s">
        <v>905</v>
      </c>
      <c r="C354" s="352">
        <v>1400</v>
      </c>
      <c r="D354" s="300"/>
    </row>
    <row r="355" spans="1:4">
      <c r="A355" s="350">
        <f t="shared" si="5"/>
        <v>353</v>
      </c>
      <c r="B355" s="351" t="s">
        <v>622</v>
      </c>
      <c r="C355" s="352">
        <v>150</v>
      </c>
      <c r="D355" s="300"/>
    </row>
    <row r="356" spans="1:4">
      <c r="A356" s="350">
        <f t="shared" si="5"/>
        <v>354</v>
      </c>
      <c r="B356" s="351" t="s">
        <v>623</v>
      </c>
      <c r="C356" s="352">
        <v>150</v>
      </c>
      <c r="D356" s="300"/>
    </row>
    <row r="357" spans="1:4">
      <c r="A357" s="350">
        <f t="shared" si="5"/>
        <v>355</v>
      </c>
      <c r="B357" s="351" t="s">
        <v>640</v>
      </c>
      <c r="C357" s="352">
        <v>200</v>
      </c>
      <c r="D357" s="300"/>
    </row>
    <row r="358" spans="1:4">
      <c r="A358" s="350">
        <f t="shared" si="5"/>
        <v>356</v>
      </c>
      <c r="B358" s="351" t="s">
        <v>997</v>
      </c>
      <c r="C358" s="352">
        <v>2000</v>
      </c>
      <c r="D358" s="300"/>
    </row>
    <row r="359" spans="1:4">
      <c r="A359" s="350">
        <f t="shared" si="5"/>
        <v>357</v>
      </c>
      <c r="B359" s="351" t="s">
        <v>906</v>
      </c>
      <c r="C359" s="352">
        <v>1400</v>
      </c>
      <c r="D359" s="300"/>
    </row>
    <row r="360" spans="1:4">
      <c r="A360" s="350">
        <f t="shared" si="5"/>
        <v>358</v>
      </c>
      <c r="B360" s="351" t="s">
        <v>907</v>
      </c>
      <c r="C360" s="352">
        <v>1300</v>
      </c>
      <c r="D360" s="300"/>
    </row>
    <row r="361" spans="1:4">
      <c r="A361" s="350">
        <f t="shared" si="5"/>
        <v>359</v>
      </c>
      <c r="B361" s="351" t="s">
        <v>711</v>
      </c>
      <c r="C361" s="352">
        <v>850</v>
      </c>
      <c r="D361" s="300"/>
    </row>
    <row r="362" spans="1:4">
      <c r="A362" s="350">
        <f t="shared" si="5"/>
        <v>360</v>
      </c>
      <c r="B362" s="351" t="s">
        <v>908</v>
      </c>
      <c r="C362" s="352">
        <v>1200</v>
      </c>
      <c r="D362" s="300"/>
    </row>
    <row r="363" spans="1:4">
      <c r="A363" s="350">
        <f t="shared" si="5"/>
        <v>361</v>
      </c>
      <c r="B363" s="354" t="s">
        <v>731</v>
      </c>
      <c r="C363" s="355">
        <v>1150</v>
      </c>
      <c r="D363" s="300"/>
    </row>
    <row r="364" spans="1:4">
      <c r="A364" s="350">
        <f t="shared" si="5"/>
        <v>362</v>
      </c>
      <c r="B364" s="351" t="s">
        <v>624</v>
      </c>
      <c r="C364" s="352">
        <v>2800</v>
      </c>
      <c r="D364" s="300"/>
    </row>
    <row r="365" spans="1:4">
      <c r="A365" s="350">
        <f t="shared" si="5"/>
        <v>363</v>
      </c>
      <c r="B365" s="351" t="s">
        <v>790</v>
      </c>
      <c r="C365" s="352">
        <v>1000</v>
      </c>
      <c r="D365" s="300"/>
    </row>
    <row r="366" spans="1:4">
      <c r="A366" s="350">
        <f t="shared" si="5"/>
        <v>364</v>
      </c>
      <c r="B366" s="351" t="s">
        <v>661</v>
      </c>
      <c r="C366" s="352">
        <v>2000</v>
      </c>
      <c r="D366" s="300"/>
    </row>
    <row r="367" spans="1:4">
      <c r="A367" s="350">
        <f t="shared" si="5"/>
        <v>365</v>
      </c>
      <c r="B367" s="351" t="s">
        <v>625</v>
      </c>
      <c r="C367" s="352">
        <v>250</v>
      </c>
      <c r="D367" s="300"/>
    </row>
    <row r="368" spans="1:4">
      <c r="A368" s="350">
        <f t="shared" si="5"/>
        <v>366</v>
      </c>
      <c r="B368" s="351" t="s">
        <v>626</v>
      </c>
      <c r="C368" s="352">
        <v>2800</v>
      </c>
      <c r="D368" s="300"/>
    </row>
    <row r="369" spans="1:4">
      <c r="A369" s="350">
        <f t="shared" si="5"/>
        <v>367</v>
      </c>
      <c r="B369" s="351" t="s">
        <v>909</v>
      </c>
      <c r="C369" s="352">
        <v>1500</v>
      </c>
      <c r="D369" s="300"/>
    </row>
    <row r="370" spans="1:4">
      <c r="A370" s="350">
        <f t="shared" si="5"/>
        <v>368</v>
      </c>
      <c r="B370" s="351" t="s">
        <v>910</v>
      </c>
      <c r="C370" s="352">
        <v>300</v>
      </c>
      <c r="D370" s="300"/>
    </row>
    <row r="371" spans="1:4">
      <c r="A371" s="350">
        <f t="shared" si="5"/>
        <v>369</v>
      </c>
      <c r="B371" s="351" t="s">
        <v>738</v>
      </c>
      <c r="C371" s="352">
        <v>80</v>
      </c>
      <c r="D371" s="300"/>
    </row>
    <row r="372" spans="1:4">
      <c r="A372" s="350">
        <f t="shared" si="5"/>
        <v>370</v>
      </c>
      <c r="B372" s="351" t="s">
        <v>627</v>
      </c>
      <c r="C372" s="352">
        <v>60</v>
      </c>
      <c r="D372" s="300"/>
    </row>
    <row r="373" spans="1:4">
      <c r="A373" s="350">
        <f t="shared" si="5"/>
        <v>371</v>
      </c>
      <c r="B373" s="354" t="s">
        <v>911</v>
      </c>
      <c r="C373" s="355">
        <v>5000</v>
      </c>
      <c r="D373" s="300"/>
    </row>
    <row r="374" spans="1:4">
      <c r="A374" s="350">
        <f t="shared" si="5"/>
        <v>372</v>
      </c>
      <c r="B374" s="351" t="s">
        <v>912</v>
      </c>
      <c r="C374" s="352">
        <v>430</v>
      </c>
      <c r="D374" s="300"/>
    </row>
    <row r="375" spans="1:4">
      <c r="A375" s="350">
        <f t="shared" si="5"/>
        <v>373</v>
      </c>
      <c r="B375" s="357" t="s">
        <v>628</v>
      </c>
      <c r="C375" s="359">
        <v>550</v>
      </c>
      <c r="D375" s="300"/>
    </row>
    <row r="376" spans="1:4">
      <c r="A376" s="350">
        <f t="shared" si="5"/>
        <v>374</v>
      </c>
      <c r="B376" s="351" t="s">
        <v>809</v>
      </c>
      <c r="C376" s="352">
        <v>800</v>
      </c>
      <c r="D376" s="300"/>
    </row>
    <row r="377" spans="1:4">
      <c r="A377" s="350">
        <f t="shared" si="5"/>
        <v>375</v>
      </c>
      <c r="B377" s="351" t="s">
        <v>722</v>
      </c>
      <c r="C377" s="355">
        <v>350</v>
      </c>
      <c r="D377" s="300"/>
    </row>
    <row r="378" spans="1:4">
      <c r="A378" s="350">
        <f t="shared" si="5"/>
        <v>376</v>
      </c>
      <c r="B378" s="351" t="s">
        <v>629</v>
      </c>
      <c r="C378" s="352">
        <v>500</v>
      </c>
      <c r="D378" s="300"/>
    </row>
    <row r="379" spans="1:4">
      <c r="A379" s="350">
        <f t="shared" si="5"/>
        <v>377</v>
      </c>
      <c r="B379" s="351" t="s">
        <v>913</v>
      </c>
      <c r="C379" s="352">
        <v>400</v>
      </c>
      <c r="D379" s="300"/>
    </row>
    <row r="380" spans="1:4">
      <c r="A380" s="350">
        <f t="shared" si="5"/>
        <v>378</v>
      </c>
      <c r="B380" s="351" t="s">
        <v>630</v>
      </c>
      <c r="C380" s="352">
        <v>550</v>
      </c>
      <c r="D380" s="300"/>
    </row>
    <row r="381" spans="1:4">
      <c r="A381" s="350">
        <f t="shared" si="5"/>
        <v>379</v>
      </c>
      <c r="B381" s="351" t="s">
        <v>721</v>
      </c>
      <c r="C381" s="355">
        <v>150</v>
      </c>
      <c r="D381" s="300"/>
    </row>
    <row r="382" spans="1:4">
      <c r="A382" s="350">
        <f t="shared" si="5"/>
        <v>380</v>
      </c>
      <c r="B382" s="351" t="s">
        <v>631</v>
      </c>
      <c r="C382" s="352">
        <v>100</v>
      </c>
      <c r="D382" s="300"/>
    </row>
    <row r="383" spans="1:4">
      <c r="A383" s="350">
        <f t="shared" si="5"/>
        <v>381</v>
      </c>
      <c r="B383" s="351" t="s">
        <v>632</v>
      </c>
      <c r="C383" s="352">
        <v>400</v>
      </c>
      <c r="D383" s="300"/>
    </row>
    <row r="384" spans="1:4">
      <c r="A384" s="350">
        <f t="shared" si="5"/>
        <v>382</v>
      </c>
      <c r="B384" s="351" t="s">
        <v>506</v>
      </c>
      <c r="C384" s="352">
        <v>500</v>
      </c>
      <c r="D384" s="300"/>
    </row>
    <row r="385" spans="1:4">
      <c r="A385" s="350">
        <f t="shared" si="5"/>
        <v>383</v>
      </c>
      <c r="B385" s="351" t="s">
        <v>633</v>
      </c>
      <c r="C385" s="352">
        <v>700</v>
      </c>
      <c r="D385" s="300"/>
    </row>
    <row r="386" spans="1:4">
      <c r="A386" s="350">
        <f t="shared" si="5"/>
        <v>384</v>
      </c>
      <c r="B386" s="351" t="s">
        <v>928</v>
      </c>
      <c r="C386" s="352">
        <v>150</v>
      </c>
      <c r="D386" s="300"/>
    </row>
    <row r="387" spans="1:4">
      <c r="A387" s="350">
        <f t="shared" si="5"/>
        <v>385</v>
      </c>
      <c r="B387" s="351" t="s">
        <v>930</v>
      </c>
      <c r="C387" s="352">
        <v>1800</v>
      </c>
      <c r="D387" s="300"/>
    </row>
    <row r="388" spans="1:4">
      <c r="A388" s="350">
        <f t="shared" ref="A388:A451" si="6">IF(B388&lt;&gt;"", ROW()-2, "")</f>
        <v>386</v>
      </c>
      <c r="B388" s="351" t="s">
        <v>931</v>
      </c>
      <c r="C388" s="352">
        <v>1850</v>
      </c>
      <c r="D388" s="300"/>
    </row>
    <row r="389" spans="1:4">
      <c r="A389" s="350">
        <f t="shared" si="6"/>
        <v>387</v>
      </c>
      <c r="B389" s="351" t="s">
        <v>932</v>
      </c>
      <c r="C389" s="352">
        <v>900</v>
      </c>
      <c r="D389" s="300"/>
    </row>
    <row r="390" spans="1:4">
      <c r="A390" s="350">
        <f t="shared" si="6"/>
        <v>388</v>
      </c>
      <c r="B390" s="351" t="s">
        <v>933</v>
      </c>
      <c r="C390" s="352">
        <v>800</v>
      </c>
      <c r="D390" s="300"/>
    </row>
    <row r="391" spans="1:4">
      <c r="A391" s="350">
        <f t="shared" si="6"/>
        <v>389</v>
      </c>
      <c r="B391" s="351" t="s">
        <v>788</v>
      </c>
      <c r="C391" s="352">
        <v>300</v>
      </c>
      <c r="D391" s="300"/>
    </row>
    <row r="392" spans="1:4">
      <c r="A392" s="350">
        <f t="shared" si="6"/>
        <v>390</v>
      </c>
      <c r="B392" s="351" t="s">
        <v>914</v>
      </c>
      <c r="C392" s="352">
        <v>200</v>
      </c>
      <c r="D392" s="300"/>
    </row>
    <row r="393" spans="1:4">
      <c r="A393" s="350">
        <f t="shared" si="6"/>
        <v>391</v>
      </c>
      <c r="B393" s="351" t="s">
        <v>916</v>
      </c>
      <c r="C393" s="352">
        <v>300</v>
      </c>
      <c r="D393" s="300"/>
    </row>
    <row r="394" spans="1:4">
      <c r="A394" s="350">
        <f t="shared" si="6"/>
        <v>392</v>
      </c>
      <c r="B394" s="351" t="s">
        <v>789</v>
      </c>
      <c r="C394" s="352">
        <v>1500</v>
      </c>
      <c r="D394" s="300"/>
    </row>
    <row r="395" spans="1:4">
      <c r="A395" s="350">
        <f t="shared" si="6"/>
        <v>393</v>
      </c>
      <c r="B395" s="351" t="s">
        <v>936</v>
      </c>
      <c r="C395" s="352">
        <v>350</v>
      </c>
      <c r="D395" s="300"/>
    </row>
    <row r="396" spans="1:4">
      <c r="A396" s="350">
        <f t="shared" si="6"/>
        <v>394</v>
      </c>
      <c r="B396" s="351" t="s">
        <v>938</v>
      </c>
      <c r="C396" s="352">
        <v>750</v>
      </c>
      <c r="D396" s="300"/>
    </row>
    <row r="397" spans="1:4">
      <c r="A397" s="350">
        <f t="shared" si="6"/>
        <v>395</v>
      </c>
      <c r="B397" s="351" t="s">
        <v>940</v>
      </c>
      <c r="C397" s="352">
        <v>1000</v>
      </c>
      <c r="D397" s="300"/>
    </row>
    <row r="398" spans="1:4">
      <c r="A398" s="350">
        <f t="shared" si="6"/>
        <v>396</v>
      </c>
      <c r="B398" s="351" t="s">
        <v>941</v>
      </c>
      <c r="C398" s="352">
        <v>500</v>
      </c>
      <c r="D398" s="300"/>
    </row>
    <row r="399" spans="1:4">
      <c r="A399" s="350">
        <f t="shared" si="6"/>
        <v>397</v>
      </c>
      <c r="B399" s="351" t="s">
        <v>942</v>
      </c>
      <c r="C399" s="352">
        <v>75</v>
      </c>
      <c r="D399" s="300"/>
    </row>
    <row r="400" spans="1:4">
      <c r="A400" s="350">
        <f t="shared" si="6"/>
        <v>398</v>
      </c>
      <c r="B400" s="351" t="s">
        <v>944</v>
      </c>
      <c r="C400" s="352">
        <v>15000</v>
      </c>
      <c r="D400" s="300"/>
    </row>
    <row r="401" spans="1:4">
      <c r="A401" s="350">
        <f t="shared" si="6"/>
        <v>399</v>
      </c>
      <c r="B401" s="351" t="s">
        <v>951</v>
      </c>
      <c r="C401" s="352">
        <v>900</v>
      </c>
      <c r="D401" s="300"/>
    </row>
    <row r="402" spans="1:4">
      <c r="A402" s="350">
        <f t="shared" si="6"/>
        <v>400</v>
      </c>
      <c r="B402" s="351" t="s">
        <v>954</v>
      </c>
      <c r="C402" s="352">
        <v>60</v>
      </c>
      <c r="D402" s="300"/>
    </row>
    <row r="403" spans="1:4">
      <c r="A403" s="350">
        <f t="shared" si="6"/>
        <v>401</v>
      </c>
      <c r="B403" s="351" t="s">
        <v>955</v>
      </c>
      <c r="C403" s="352">
        <v>100</v>
      </c>
      <c r="D403" s="300"/>
    </row>
    <row r="404" spans="1:4">
      <c r="A404" s="350">
        <f t="shared" si="6"/>
        <v>402</v>
      </c>
      <c r="B404" s="351" t="s">
        <v>922</v>
      </c>
      <c r="C404" s="352">
        <v>750</v>
      </c>
      <c r="D404" s="300"/>
    </row>
    <row r="405" spans="1:4">
      <c r="A405" s="350">
        <f t="shared" si="6"/>
        <v>403</v>
      </c>
      <c r="B405" s="351" t="s">
        <v>973</v>
      </c>
      <c r="C405" s="352">
        <v>350</v>
      </c>
      <c r="D405" s="300"/>
    </row>
    <row r="406" spans="1:4">
      <c r="A406" s="350">
        <f t="shared" si="6"/>
        <v>404</v>
      </c>
      <c r="B406" s="351" t="s">
        <v>974</v>
      </c>
      <c r="C406" s="352">
        <v>450</v>
      </c>
      <c r="D406" s="300"/>
    </row>
    <row r="407" spans="1:4">
      <c r="A407" s="350">
        <f t="shared" si="6"/>
        <v>405</v>
      </c>
      <c r="B407" s="351" t="s">
        <v>975</v>
      </c>
      <c r="C407" s="352">
        <v>800</v>
      </c>
      <c r="D407" s="300"/>
    </row>
    <row r="408" spans="1:4">
      <c r="A408" s="350">
        <f t="shared" si="6"/>
        <v>406</v>
      </c>
      <c r="B408" s="351" t="s">
        <v>989</v>
      </c>
      <c r="C408" s="352">
        <v>150</v>
      </c>
      <c r="D408" s="300"/>
    </row>
    <row r="409" spans="1:4">
      <c r="A409" s="350">
        <f t="shared" si="6"/>
        <v>407</v>
      </c>
      <c r="B409" s="351" t="s">
        <v>990</v>
      </c>
      <c r="C409" s="352">
        <v>100</v>
      </c>
      <c r="D409" s="300"/>
    </row>
    <row r="410" spans="1:4">
      <c r="A410" s="350">
        <f t="shared" si="6"/>
        <v>408</v>
      </c>
      <c r="B410" s="351" t="s">
        <v>994</v>
      </c>
      <c r="C410" s="352">
        <v>3800</v>
      </c>
      <c r="D410" s="300"/>
    </row>
    <row r="411" spans="1:4">
      <c r="A411" s="350">
        <f t="shared" si="6"/>
        <v>409</v>
      </c>
      <c r="B411" s="351" t="s">
        <v>995</v>
      </c>
      <c r="C411" s="352">
        <v>400</v>
      </c>
      <c r="D411" s="300"/>
    </row>
    <row r="412" spans="1:4">
      <c r="A412" s="350">
        <f t="shared" si="6"/>
        <v>410</v>
      </c>
      <c r="B412" s="351" t="s">
        <v>998</v>
      </c>
      <c r="C412" s="352">
        <v>200</v>
      </c>
      <c r="D412" s="300"/>
    </row>
    <row r="413" spans="1:4">
      <c r="A413" s="350">
        <f t="shared" si="6"/>
        <v>411</v>
      </c>
      <c r="B413" s="351" t="s">
        <v>999</v>
      </c>
      <c r="C413" s="352">
        <v>550</v>
      </c>
      <c r="D413" s="300"/>
    </row>
    <row r="414" spans="1:4">
      <c r="A414" s="350">
        <f t="shared" si="6"/>
        <v>412</v>
      </c>
      <c r="B414" s="351" t="s">
        <v>1000</v>
      </c>
      <c r="C414" s="352">
        <v>2500</v>
      </c>
      <c r="D414" s="300"/>
    </row>
    <row r="415" spans="1:4">
      <c r="A415" s="350">
        <f t="shared" si="6"/>
        <v>413</v>
      </c>
      <c r="B415" s="351" t="s">
        <v>1001</v>
      </c>
      <c r="C415" s="352">
        <v>30000</v>
      </c>
      <c r="D415" s="300"/>
    </row>
    <row r="416" spans="1:4" ht="14.4">
      <c r="A416" s="350">
        <f t="shared" si="6"/>
        <v>414</v>
      </c>
      <c r="B416" s="360" t="s">
        <v>1003</v>
      </c>
      <c r="C416" s="361">
        <v>550</v>
      </c>
      <c r="D416" s="300"/>
    </row>
    <row r="417" spans="1:4" ht="14.4">
      <c r="A417" s="350">
        <f t="shared" si="6"/>
        <v>415</v>
      </c>
      <c r="B417" s="351" t="s">
        <v>1010</v>
      </c>
      <c r="C417" s="361">
        <v>1075</v>
      </c>
      <c r="D417" s="300"/>
    </row>
    <row r="418" spans="1:4" ht="14.4">
      <c r="A418" s="350">
        <f t="shared" si="6"/>
        <v>416</v>
      </c>
      <c r="B418" s="360" t="s">
        <v>1013</v>
      </c>
      <c r="C418" s="361">
        <v>2000</v>
      </c>
      <c r="D418" s="300"/>
    </row>
    <row r="419" spans="1:4" ht="14.4">
      <c r="A419" s="350">
        <f t="shared" si="6"/>
        <v>417</v>
      </c>
      <c r="B419" s="360" t="s">
        <v>1016</v>
      </c>
      <c r="C419" s="361">
        <v>5600</v>
      </c>
      <c r="D419" s="300"/>
    </row>
    <row r="420" spans="1:4" ht="14.4">
      <c r="A420" s="350">
        <f t="shared" si="6"/>
        <v>418</v>
      </c>
      <c r="B420" s="360" t="s">
        <v>1017</v>
      </c>
      <c r="C420" s="361">
        <v>1850</v>
      </c>
      <c r="D420" s="300"/>
    </row>
    <row r="421" spans="1:4" ht="14.4">
      <c r="A421" s="350">
        <f t="shared" si="6"/>
        <v>419</v>
      </c>
      <c r="B421" s="360" t="s">
        <v>1018</v>
      </c>
      <c r="C421" s="361">
        <v>925</v>
      </c>
      <c r="D421" s="300"/>
    </row>
    <row r="422" spans="1:4" ht="14.4">
      <c r="A422" s="350">
        <f t="shared" si="6"/>
        <v>420</v>
      </c>
      <c r="B422" s="360" t="s">
        <v>1027</v>
      </c>
      <c r="C422" s="361">
        <v>3900</v>
      </c>
      <c r="D422" s="300"/>
    </row>
    <row r="423" spans="1:4" ht="14.4">
      <c r="A423" s="350">
        <f t="shared" si="6"/>
        <v>421</v>
      </c>
      <c r="B423" s="360" t="s">
        <v>1028</v>
      </c>
      <c r="C423" s="361">
        <v>400</v>
      </c>
      <c r="D423" s="300"/>
    </row>
    <row r="424" spans="1:4" ht="14.4">
      <c r="A424" s="350">
        <f t="shared" si="6"/>
        <v>422</v>
      </c>
      <c r="B424" s="360" t="s">
        <v>1029</v>
      </c>
      <c r="C424" s="361">
        <v>275</v>
      </c>
      <c r="D424" s="300"/>
    </row>
    <row r="425" spans="1:4" ht="14.4">
      <c r="A425" s="350">
        <f t="shared" si="6"/>
        <v>423</v>
      </c>
      <c r="B425" s="360" t="s">
        <v>1030</v>
      </c>
      <c r="C425" s="361">
        <v>400</v>
      </c>
      <c r="D425" s="300"/>
    </row>
    <row r="426" spans="1:4" ht="14.4">
      <c r="A426" s="350">
        <f t="shared" si="6"/>
        <v>424</v>
      </c>
      <c r="B426" s="360" t="s">
        <v>1031</v>
      </c>
      <c r="C426" s="361">
        <v>400</v>
      </c>
      <c r="D426" s="300"/>
    </row>
    <row r="427" spans="1:4" ht="14.4">
      <c r="A427" s="350">
        <f t="shared" si="6"/>
        <v>425</v>
      </c>
      <c r="B427" s="360" t="s">
        <v>1032</v>
      </c>
      <c r="C427" s="361">
        <v>250</v>
      </c>
      <c r="D427" s="300"/>
    </row>
    <row r="428" spans="1:4" ht="14.4">
      <c r="A428" s="350">
        <f t="shared" si="6"/>
        <v>426</v>
      </c>
      <c r="B428" s="360" t="s">
        <v>1033</v>
      </c>
      <c r="C428" s="361">
        <v>1000</v>
      </c>
      <c r="D428" s="300"/>
    </row>
    <row r="429" spans="1:4" ht="14.4">
      <c r="A429" s="350">
        <f t="shared" si="6"/>
        <v>427</v>
      </c>
      <c r="B429" s="360" t="s">
        <v>1034</v>
      </c>
      <c r="C429" s="361">
        <v>100</v>
      </c>
      <c r="D429" s="300"/>
    </row>
    <row r="430" spans="1:4" ht="14.4">
      <c r="A430" s="350">
        <f t="shared" si="6"/>
        <v>428</v>
      </c>
      <c r="B430" s="360" t="s">
        <v>1035</v>
      </c>
      <c r="C430" s="361">
        <v>200</v>
      </c>
      <c r="D430" s="300"/>
    </row>
    <row r="431" spans="1:4" ht="14.4">
      <c r="A431" s="350">
        <f t="shared" si="6"/>
        <v>429</v>
      </c>
      <c r="B431" s="360" t="s">
        <v>1036</v>
      </c>
      <c r="C431" s="361">
        <v>150</v>
      </c>
      <c r="D431" s="300"/>
    </row>
    <row r="432" spans="1:4" ht="14.4">
      <c r="A432" s="350">
        <f t="shared" si="6"/>
        <v>430</v>
      </c>
      <c r="B432" s="360" t="s">
        <v>1037</v>
      </c>
      <c r="C432" s="361">
        <v>1100</v>
      </c>
      <c r="D432" s="300"/>
    </row>
    <row r="433" spans="1:4" ht="14.4">
      <c r="A433" s="350">
        <f t="shared" si="6"/>
        <v>431</v>
      </c>
      <c r="B433" s="360" t="s">
        <v>1038</v>
      </c>
      <c r="C433" s="361">
        <v>1800</v>
      </c>
      <c r="D433" s="300"/>
    </row>
    <row r="434" spans="1:4" ht="14.4">
      <c r="A434" s="350">
        <f t="shared" si="6"/>
        <v>432</v>
      </c>
      <c r="B434" s="360" t="s">
        <v>1042</v>
      </c>
      <c r="C434" s="361">
        <v>1750</v>
      </c>
      <c r="D434" s="300"/>
    </row>
    <row r="435" spans="1:4" ht="14.4">
      <c r="A435" s="350">
        <f t="shared" si="6"/>
        <v>433</v>
      </c>
      <c r="B435" s="360" t="s">
        <v>1043</v>
      </c>
      <c r="C435" s="361">
        <v>26400</v>
      </c>
      <c r="D435" s="300"/>
    </row>
    <row r="436" spans="1:4" ht="14.4">
      <c r="A436" s="350">
        <f t="shared" si="6"/>
        <v>434</v>
      </c>
      <c r="B436" s="360" t="s">
        <v>1044</v>
      </c>
      <c r="C436" s="361">
        <v>450</v>
      </c>
      <c r="D436" s="300"/>
    </row>
    <row r="437" spans="1:4" ht="14.4">
      <c r="A437" s="350">
        <f t="shared" si="6"/>
        <v>435</v>
      </c>
      <c r="B437" s="360" t="s">
        <v>1056</v>
      </c>
      <c r="C437" s="361">
        <v>2000</v>
      </c>
      <c r="D437" s="300"/>
    </row>
    <row r="438" spans="1:4" ht="14.4">
      <c r="A438" s="350">
        <f t="shared" si="6"/>
        <v>436</v>
      </c>
      <c r="B438" s="360" t="s">
        <v>1057</v>
      </c>
      <c r="C438" s="361">
        <v>850</v>
      </c>
      <c r="D438" s="300"/>
    </row>
    <row r="439" spans="1:4" ht="14.4">
      <c r="A439" s="350">
        <f t="shared" si="6"/>
        <v>437</v>
      </c>
      <c r="B439" s="360" t="s">
        <v>1058</v>
      </c>
      <c r="C439" s="361">
        <v>2800</v>
      </c>
      <c r="D439" s="300"/>
    </row>
    <row r="440" spans="1:4" ht="14.4">
      <c r="A440" s="350">
        <f t="shared" si="6"/>
        <v>438</v>
      </c>
      <c r="B440" s="360" t="s">
        <v>1059</v>
      </c>
      <c r="C440" s="361">
        <v>1400</v>
      </c>
      <c r="D440" s="300"/>
    </row>
    <row r="441" spans="1:4" ht="14.4">
      <c r="A441" s="350">
        <f t="shared" si="6"/>
        <v>439</v>
      </c>
      <c r="B441" s="360" t="s">
        <v>1061</v>
      </c>
      <c r="C441" s="361">
        <v>3000</v>
      </c>
      <c r="D441" s="300"/>
    </row>
    <row r="442" spans="1:4" ht="14.4">
      <c r="A442" s="350">
        <f t="shared" si="6"/>
        <v>440</v>
      </c>
      <c r="B442" s="360" t="s">
        <v>1062</v>
      </c>
      <c r="C442" s="361">
        <v>2400</v>
      </c>
      <c r="D442" s="300"/>
    </row>
    <row r="443" spans="1:4" ht="14.4">
      <c r="A443" s="350">
        <f t="shared" si="6"/>
        <v>441</v>
      </c>
      <c r="B443" s="360" t="s">
        <v>1063</v>
      </c>
      <c r="C443" s="361">
        <v>1000</v>
      </c>
      <c r="D443" s="300"/>
    </row>
    <row r="444" spans="1:4" ht="14.4">
      <c r="A444" s="350">
        <f t="shared" si="6"/>
        <v>442</v>
      </c>
      <c r="B444" s="360" t="s">
        <v>1064</v>
      </c>
      <c r="C444" s="361">
        <v>2800</v>
      </c>
      <c r="D444" s="300"/>
    </row>
    <row r="445" spans="1:4" ht="14.4">
      <c r="A445" s="350">
        <f t="shared" si="6"/>
        <v>443</v>
      </c>
      <c r="B445" s="360" t="s">
        <v>1065</v>
      </c>
      <c r="C445" s="361">
        <v>2000</v>
      </c>
      <c r="D445" s="300"/>
    </row>
    <row r="446" spans="1:4" ht="14.4">
      <c r="A446" s="350">
        <f t="shared" si="6"/>
        <v>444</v>
      </c>
      <c r="B446" s="360" t="s">
        <v>1066</v>
      </c>
      <c r="C446" s="361">
        <v>1000</v>
      </c>
      <c r="D446" s="300"/>
    </row>
    <row r="447" spans="1:4" ht="14.4">
      <c r="A447" s="350">
        <f t="shared" si="6"/>
        <v>445</v>
      </c>
      <c r="B447" s="360" t="s">
        <v>1067</v>
      </c>
      <c r="C447" s="361">
        <v>1700</v>
      </c>
      <c r="D447" s="300"/>
    </row>
    <row r="448" spans="1:4" ht="14.4">
      <c r="A448" s="350">
        <f t="shared" si="6"/>
        <v>446</v>
      </c>
      <c r="B448" s="360" t="s">
        <v>1068</v>
      </c>
      <c r="C448" s="361">
        <v>850</v>
      </c>
      <c r="D448" s="300"/>
    </row>
    <row r="449" spans="1:4" ht="14.4">
      <c r="A449" s="350">
        <f t="shared" si="6"/>
        <v>447</v>
      </c>
      <c r="B449" s="360" t="s">
        <v>1072</v>
      </c>
      <c r="C449" s="361">
        <v>750</v>
      </c>
      <c r="D449" s="300"/>
    </row>
    <row r="450" spans="1:4" ht="14.4">
      <c r="A450" s="350">
        <f t="shared" si="6"/>
        <v>448</v>
      </c>
      <c r="B450" s="360" t="s">
        <v>1088</v>
      </c>
      <c r="C450" s="361">
        <v>1700</v>
      </c>
      <c r="D450" s="363"/>
    </row>
    <row r="451" spans="1:4" ht="14.4">
      <c r="A451" s="350">
        <f t="shared" si="6"/>
        <v>449</v>
      </c>
      <c r="B451" s="360" t="s">
        <v>1092</v>
      </c>
      <c r="C451" s="361">
        <v>700</v>
      </c>
      <c r="D451" s="363"/>
    </row>
    <row r="452" spans="1:4" ht="14.4">
      <c r="A452" s="350">
        <f t="shared" ref="A452:A455" si="7">IF(B452&lt;&gt;"", ROW()-2, "")</f>
        <v>450</v>
      </c>
      <c r="B452" s="360" t="s">
        <v>1093</v>
      </c>
      <c r="C452" s="361">
        <v>750</v>
      </c>
      <c r="D452" s="363"/>
    </row>
    <row r="453" spans="1:4" ht="14.4">
      <c r="A453" s="350">
        <f t="shared" si="7"/>
        <v>451</v>
      </c>
      <c r="B453" s="360" t="s">
        <v>1094</v>
      </c>
      <c r="C453" s="361">
        <v>1800</v>
      </c>
      <c r="D453" s="363"/>
    </row>
    <row r="454" spans="1:4" ht="14.4">
      <c r="A454" s="350">
        <f t="shared" si="7"/>
        <v>452</v>
      </c>
      <c r="B454" s="360" t="s">
        <v>1095</v>
      </c>
      <c r="C454" s="361">
        <v>2000</v>
      </c>
      <c r="D454" s="363"/>
    </row>
    <row r="455" spans="1:4" ht="14.4">
      <c r="A455" s="350">
        <f t="shared" si="7"/>
        <v>453</v>
      </c>
      <c r="B455" s="360" t="s">
        <v>1096</v>
      </c>
      <c r="C455" s="361">
        <v>800</v>
      </c>
      <c r="D455" s="363"/>
    </row>
    <row r="456" spans="1:4" ht="14.4">
      <c r="A456" s="350">
        <f>IF(B456&lt;&gt;"", ROW()-2, "")</f>
        <v>454</v>
      </c>
      <c r="B456" s="360" t="s">
        <v>1115</v>
      </c>
      <c r="C456" s="361">
        <v>1000</v>
      </c>
      <c r="D456" s="363"/>
    </row>
    <row r="457" spans="1:4" ht="14.4">
      <c r="A457" s="350">
        <f t="shared" ref="A457:A480" si="8">IF(B457&lt;&gt;"", ROW()-2, "")</f>
        <v>455</v>
      </c>
      <c r="B457" s="360" t="s">
        <v>1163</v>
      </c>
      <c r="C457" s="361">
        <v>1000</v>
      </c>
      <c r="D457" s="363"/>
    </row>
    <row r="458" spans="1:4" ht="14.4">
      <c r="A458" s="350">
        <f t="shared" si="8"/>
        <v>456</v>
      </c>
      <c r="B458" s="360" t="s">
        <v>1164</v>
      </c>
      <c r="C458" s="361">
        <v>1800</v>
      </c>
      <c r="D458" s="363"/>
    </row>
    <row r="459" spans="1:4" ht="14.4">
      <c r="A459" s="350">
        <f t="shared" si="8"/>
        <v>457</v>
      </c>
      <c r="B459" s="360" t="s">
        <v>1167</v>
      </c>
      <c r="C459" s="361">
        <v>1800</v>
      </c>
      <c r="D459" s="363"/>
    </row>
    <row r="460" spans="1:4" ht="14.4">
      <c r="A460" s="350">
        <f t="shared" si="8"/>
        <v>458</v>
      </c>
      <c r="B460" s="360" t="s">
        <v>1165</v>
      </c>
      <c r="C460" s="361">
        <v>1100</v>
      </c>
      <c r="D460" s="363"/>
    </row>
    <row r="461" spans="1:4" ht="14.4">
      <c r="A461" s="350">
        <f t="shared" si="8"/>
        <v>459</v>
      </c>
      <c r="B461" s="360" t="s">
        <v>1166</v>
      </c>
      <c r="C461" s="361">
        <v>1400</v>
      </c>
      <c r="D461" s="363"/>
    </row>
    <row r="462" spans="1:4" ht="14.4">
      <c r="A462" s="350">
        <f t="shared" si="8"/>
        <v>460</v>
      </c>
      <c r="B462" s="360" t="s">
        <v>1168</v>
      </c>
      <c r="C462" s="361">
        <v>450</v>
      </c>
      <c r="D462" s="363"/>
    </row>
    <row r="463" spans="1:4" ht="14.4">
      <c r="A463" s="350">
        <f t="shared" si="8"/>
        <v>461</v>
      </c>
      <c r="B463" s="360" t="s">
        <v>1169</v>
      </c>
      <c r="C463" s="361">
        <v>2000</v>
      </c>
      <c r="D463" s="363"/>
    </row>
    <row r="464" spans="1:4" ht="14.4">
      <c r="A464" s="350">
        <f t="shared" si="8"/>
        <v>462</v>
      </c>
      <c r="B464" s="360" t="s">
        <v>1170</v>
      </c>
      <c r="C464" s="361">
        <v>800</v>
      </c>
      <c r="D464" s="363"/>
    </row>
    <row r="465" spans="1:4" ht="14.4">
      <c r="A465" s="350">
        <f t="shared" si="8"/>
        <v>463</v>
      </c>
      <c r="B465" s="360" t="s">
        <v>1171</v>
      </c>
      <c r="C465" s="361">
        <v>550</v>
      </c>
      <c r="D465" s="363"/>
    </row>
    <row r="466" spans="1:4" ht="14.4">
      <c r="A466" s="350">
        <f t="shared" si="8"/>
        <v>464</v>
      </c>
      <c r="B466" s="360" t="s">
        <v>1177</v>
      </c>
      <c r="C466" s="361">
        <v>1400</v>
      </c>
      <c r="D466" s="363"/>
    </row>
    <row r="467" spans="1:4" ht="14.4">
      <c r="A467" s="350">
        <f t="shared" si="8"/>
        <v>465</v>
      </c>
      <c r="B467" s="362" t="s">
        <v>1184</v>
      </c>
      <c r="C467" s="365">
        <v>800</v>
      </c>
      <c r="D467" s="363"/>
    </row>
    <row r="468" spans="1:4" ht="14.4">
      <c r="A468" s="350">
        <f t="shared" si="8"/>
        <v>466</v>
      </c>
      <c r="B468" s="364" t="s">
        <v>1185</v>
      </c>
      <c r="C468" s="365">
        <v>1000</v>
      </c>
      <c r="D468" s="363"/>
    </row>
    <row r="469" spans="1:4" ht="14.4">
      <c r="A469" s="350">
        <f t="shared" si="8"/>
        <v>467</v>
      </c>
      <c r="B469" s="362" t="s">
        <v>1187</v>
      </c>
      <c r="C469" s="365">
        <v>2000</v>
      </c>
      <c r="D469" s="363"/>
    </row>
    <row r="470" spans="1:4" ht="14.4">
      <c r="A470" s="350">
        <f t="shared" si="8"/>
        <v>468</v>
      </c>
      <c r="B470" s="362" t="s">
        <v>1186</v>
      </c>
      <c r="C470" s="365">
        <v>1000</v>
      </c>
      <c r="D470" s="363"/>
    </row>
    <row r="471" spans="1:4" ht="14.4">
      <c r="A471" s="350">
        <f t="shared" si="8"/>
        <v>469</v>
      </c>
      <c r="B471" s="362" t="s">
        <v>1191</v>
      </c>
      <c r="C471" s="365">
        <v>400</v>
      </c>
      <c r="D471" s="363"/>
    </row>
    <row r="472" spans="1:4" ht="14.4">
      <c r="A472" s="350">
        <f t="shared" si="8"/>
        <v>470</v>
      </c>
      <c r="B472" s="362" t="s">
        <v>1192</v>
      </c>
      <c r="C472" s="365">
        <v>3800</v>
      </c>
      <c r="D472" s="363"/>
    </row>
    <row r="473" spans="1:4" ht="14.4">
      <c r="A473" s="350">
        <f t="shared" si="8"/>
        <v>471</v>
      </c>
      <c r="B473" s="362" t="s">
        <v>1193</v>
      </c>
      <c r="C473" s="365">
        <v>2433</v>
      </c>
      <c r="D473" s="363"/>
    </row>
    <row r="474" spans="1:4" ht="14.4">
      <c r="A474" s="350">
        <f t="shared" si="8"/>
        <v>472</v>
      </c>
      <c r="B474" s="362" t="s">
        <v>1195</v>
      </c>
      <c r="C474" s="365">
        <v>999</v>
      </c>
      <c r="D474" s="363"/>
    </row>
    <row r="475" spans="1:4" ht="14.4">
      <c r="A475" s="350">
        <f t="shared" si="8"/>
        <v>473</v>
      </c>
      <c r="B475" s="362" t="s">
        <v>1236</v>
      </c>
      <c r="C475" s="365">
        <v>4000</v>
      </c>
      <c r="D475" s="363"/>
    </row>
    <row r="476" spans="1:4" ht="14.4">
      <c r="A476" s="350">
        <f t="shared" si="8"/>
        <v>474</v>
      </c>
      <c r="B476" s="362" t="s">
        <v>1237</v>
      </c>
      <c r="C476" s="365">
        <v>300</v>
      </c>
      <c r="D476" s="363"/>
    </row>
    <row r="477" spans="1:4" ht="14.4">
      <c r="A477" s="350">
        <f t="shared" si="8"/>
        <v>475</v>
      </c>
      <c r="B477" s="362" t="s">
        <v>1238</v>
      </c>
      <c r="C477" s="365">
        <v>500</v>
      </c>
      <c r="D477" s="363"/>
    </row>
    <row r="478" spans="1:4" ht="14.4">
      <c r="A478" s="350">
        <f t="shared" si="8"/>
        <v>476</v>
      </c>
      <c r="B478" s="362" t="s">
        <v>1240</v>
      </c>
      <c r="C478" s="365">
        <v>600</v>
      </c>
      <c r="D478" s="363"/>
    </row>
    <row r="479" spans="1:4" ht="14.4">
      <c r="A479" s="350">
        <f t="shared" si="8"/>
        <v>477</v>
      </c>
      <c r="B479" s="362" t="s">
        <v>1241</v>
      </c>
      <c r="C479" s="365">
        <v>2500</v>
      </c>
      <c r="D479" s="363"/>
    </row>
    <row r="480" spans="1:4" ht="14.4">
      <c r="A480" s="350">
        <f t="shared" si="8"/>
        <v>478</v>
      </c>
      <c r="B480" s="364" t="s">
        <v>1242</v>
      </c>
      <c r="C480" s="365">
        <v>1250</v>
      </c>
      <c r="D480" s="363"/>
    </row>
  </sheetData>
  <sortState xmlns:xlrd2="http://schemas.microsoft.com/office/spreadsheetml/2017/richdata2" ref="B3:C235">
    <sortCondition ref="B1:B235"/>
  </sortState>
  <dataConsolidate/>
  <conditionalFormatting sqref="B1:B1048576">
    <cfRule type="duplicateValues" dxfId="4" priority="1"/>
  </conditionalFormatting>
  <conditionalFormatting sqref="B121:B415 B2:B119 B417 B420 B423:B426 B432 B434 B441 B447:B1048576">
    <cfRule type="duplicateValues" dxfId="3" priority="5"/>
  </conditionalFormatting>
  <conditionalFormatting sqref="B417 B2:B415 B420 B423:B426 B432 B434 B441 B447:B1048576">
    <cfRule type="duplicateValues" dxfId="2" priority="2"/>
    <cfRule type="duplicateValues" dxfId="1" priority="3"/>
  </conditionalFormatting>
  <conditionalFormatting sqref="D57">
    <cfRule type="duplicateValues" dxfId="0" priority="4"/>
  </conditionalFormatting>
  <hyperlinks>
    <hyperlink ref="B76" r:id="rId1" display="Ch Jalfrezi" xr:uid="{4FD9E1B0-5898-4CB1-A3D3-183C29947CD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C44-27E2-49A7-9AF1-46ECAD0CEA95}">
  <dimension ref="A9:V35"/>
  <sheetViews>
    <sheetView topLeftCell="A4" zoomScale="70" zoomScaleNormal="70" workbookViewId="0">
      <selection activeCell="B10" sqref="B10:B34"/>
    </sheetView>
  </sheetViews>
  <sheetFormatPr defaultRowHeight="14.4"/>
  <cols>
    <col min="1" max="1" width="13.88671875" bestFit="1" customWidth="1"/>
    <col min="2" max="2" width="15.77734375" bestFit="1" customWidth="1"/>
    <col min="3" max="3" width="14.109375" bestFit="1" customWidth="1"/>
    <col min="4" max="4" width="11.77734375" bestFit="1" customWidth="1"/>
    <col min="5" max="5" width="11.6640625" bestFit="1" customWidth="1"/>
    <col min="6" max="6" width="13.88671875" bestFit="1" customWidth="1"/>
    <col min="7" max="7" width="14.21875" bestFit="1" customWidth="1"/>
    <col min="8" max="8" width="7.109375" bestFit="1" customWidth="1"/>
    <col min="9" max="9" width="12.88671875" bestFit="1" customWidth="1"/>
    <col min="10" max="10" width="13.6640625" bestFit="1" customWidth="1"/>
    <col min="11" max="11" width="13" bestFit="1" customWidth="1"/>
    <col min="12" max="12" width="18.5546875" bestFit="1" customWidth="1"/>
    <col min="13" max="13" width="7.5546875" bestFit="1" customWidth="1"/>
    <col min="14" max="14" width="11.88671875" bestFit="1" customWidth="1"/>
    <col min="15" max="15" width="11.33203125" bestFit="1" customWidth="1"/>
    <col min="16" max="16" width="10.77734375" bestFit="1" customWidth="1"/>
    <col min="17" max="17" width="12.109375" bestFit="1" customWidth="1"/>
    <col min="18" max="18" width="12.6640625" bestFit="1" customWidth="1"/>
    <col min="19" max="19" width="11.33203125" bestFit="1" customWidth="1"/>
    <col min="20" max="20" width="10" bestFit="1" customWidth="1"/>
    <col min="21" max="22" width="13.109375" bestFit="1" customWidth="1"/>
  </cols>
  <sheetData>
    <row r="9" spans="1:22" s="327" customFormat="1" ht="28.8">
      <c r="A9" s="266" t="s">
        <v>1116</v>
      </c>
      <c r="B9" t="s">
        <v>1118</v>
      </c>
      <c r="C9" t="s">
        <v>1234</v>
      </c>
      <c r="D9"/>
      <c r="F9" s="266" t="s">
        <v>1116</v>
      </c>
      <c r="G9" s="327" t="s">
        <v>1119</v>
      </c>
      <c r="H9" s="327" t="s">
        <v>1120</v>
      </c>
      <c r="I9" s="327" t="s">
        <v>1121</v>
      </c>
      <c r="J9" s="327" t="s">
        <v>1122</v>
      </c>
      <c r="K9" s="327" t="s">
        <v>1123</v>
      </c>
      <c r="L9" s="327" t="s">
        <v>1124</v>
      </c>
      <c r="M9" s="327" t="s">
        <v>1125</v>
      </c>
      <c r="N9" s="327" t="s">
        <v>1126</v>
      </c>
      <c r="O9" s="327" t="s">
        <v>1127</v>
      </c>
      <c r="P9" s="327" t="s">
        <v>1128</v>
      </c>
      <c r="Q9" s="327" t="s">
        <v>1129</v>
      </c>
      <c r="R9" s="327" t="s">
        <v>1130</v>
      </c>
      <c r="S9" s="327" t="s">
        <v>1132</v>
      </c>
      <c r="T9" s="327" t="s">
        <v>1131</v>
      </c>
      <c r="U9" s="327" t="s">
        <v>1181</v>
      </c>
      <c r="V9" s="327" t="s">
        <v>1182</v>
      </c>
    </row>
    <row r="10" spans="1:22">
      <c r="A10" s="335">
        <v>45992</v>
      </c>
      <c r="B10">
        <v>20219</v>
      </c>
      <c r="C10">
        <v>3032.85</v>
      </c>
      <c r="F10" s="335">
        <v>45992</v>
      </c>
      <c r="G10">
        <v>1800</v>
      </c>
      <c r="H10">
        <v>1200</v>
      </c>
      <c r="I10">
        <v>0</v>
      </c>
      <c r="J10">
        <v>0</v>
      </c>
      <c r="K10">
        <v>0</v>
      </c>
      <c r="L10">
        <v>300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335">
        <v>45993</v>
      </c>
      <c r="B11">
        <v>35314</v>
      </c>
      <c r="C11">
        <v>3879.6</v>
      </c>
      <c r="F11" s="335">
        <v>45993</v>
      </c>
      <c r="G11">
        <v>1200</v>
      </c>
      <c r="H11">
        <v>2700</v>
      </c>
      <c r="I11">
        <v>150</v>
      </c>
      <c r="J11">
        <v>0</v>
      </c>
      <c r="K11">
        <v>0</v>
      </c>
      <c r="L11">
        <v>600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335">
        <v>45994</v>
      </c>
      <c r="B12">
        <v>22550</v>
      </c>
      <c r="C12">
        <v>2107.5</v>
      </c>
      <c r="F12" s="335">
        <v>45994</v>
      </c>
      <c r="G12">
        <v>0</v>
      </c>
      <c r="H12">
        <v>2250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5000</v>
      </c>
      <c r="S12">
        <v>0</v>
      </c>
      <c r="T12">
        <v>0</v>
      </c>
      <c r="U12">
        <v>0</v>
      </c>
      <c r="V12">
        <v>0</v>
      </c>
    </row>
    <row r="13" spans="1:22">
      <c r="A13" s="335">
        <v>45995</v>
      </c>
      <c r="B13">
        <v>17530</v>
      </c>
      <c r="C13">
        <v>2629.5</v>
      </c>
      <c r="F13" s="335">
        <v>45995</v>
      </c>
      <c r="G13">
        <v>0</v>
      </c>
      <c r="H13">
        <v>1950</v>
      </c>
      <c r="I13">
        <v>0</v>
      </c>
      <c r="J13">
        <v>0</v>
      </c>
      <c r="K13">
        <v>0</v>
      </c>
      <c r="L13">
        <v>4600</v>
      </c>
      <c r="M13">
        <v>0</v>
      </c>
      <c r="N13">
        <v>0</v>
      </c>
      <c r="O13">
        <v>0</v>
      </c>
      <c r="P13">
        <v>0</v>
      </c>
      <c r="Q13">
        <v>0</v>
      </c>
      <c r="R13">
        <v>16000</v>
      </c>
      <c r="S13">
        <v>0</v>
      </c>
      <c r="T13">
        <v>0</v>
      </c>
      <c r="U13">
        <v>0</v>
      </c>
      <c r="V13">
        <v>0</v>
      </c>
    </row>
    <row r="14" spans="1:22">
      <c r="A14" s="335">
        <v>45996</v>
      </c>
      <c r="B14">
        <v>36240</v>
      </c>
      <c r="C14">
        <v>3808.5</v>
      </c>
      <c r="F14" s="335">
        <v>45996</v>
      </c>
      <c r="G14">
        <v>3600</v>
      </c>
      <c r="H14">
        <v>1950</v>
      </c>
      <c r="I14">
        <v>0</v>
      </c>
      <c r="J14">
        <v>0</v>
      </c>
      <c r="K14">
        <v>0</v>
      </c>
      <c r="L14">
        <v>5400</v>
      </c>
      <c r="M14">
        <v>0</v>
      </c>
      <c r="N14">
        <v>0</v>
      </c>
      <c r="O14">
        <v>0</v>
      </c>
      <c r="P14">
        <v>0</v>
      </c>
      <c r="Q14">
        <v>11500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335">
        <v>45997</v>
      </c>
      <c r="B15">
        <v>233400</v>
      </c>
      <c r="C15">
        <v>35010</v>
      </c>
      <c r="F15" s="335">
        <v>45997</v>
      </c>
      <c r="G15">
        <v>7500</v>
      </c>
      <c r="H15">
        <v>1500</v>
      </c>
      <c r="I15">
        <v>0</v>
      </c>
      <c r="J15">
        <v>0</v>
      </c>
      <c r="K15">
        <v>0</v>
      </c>
      <c r="L15">
        <v>11000</v>
      </c>
      <c r="M15">
        <v>300</v>
      </c>
      <c r="N15">
        <v>0</v>
      </c>
      <c r="O15">
        <v>0</v>
      </c>
      <c r="P15">
        <v>0</v>
      </c>
      <c r="Q15">
        <v>22950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335">
        <v>45998</v>
      </c>
      <c r="B16">
        <v>157350</v>
      </c>
      <c r="C16">
        <v>23602.5</v>
      </c>
      <c r="F16" s="335">
        <v>45998</v>
      </c>
      <c r="G16">
        <v>11100</v>
      </c>
      <c r="H16">
        <v>750</v>
      </c>
      <c r="I16">
        <v>0</v>
      </c>
      <c r="J16">
        <v>0</v>
      </c>
      <c r="K16">
        <v>0</v>
      </c>
      <c r="L16">
        <v>14200</v>
      </c>
      <c r="M16">
        <v>0</v>
      </c>
      <c r="N16">
        <v>0</v>
      </c>
      <c r="O16">
        <v>0</v>
      </c>
      <c r="P16">
        <v>3000</v>
      </c>
      <c r="Q16">
        <v>0</v>
      </c>
      <c r="R16">
        <v>20500</v>
      </c>
      <c r="S16">
        <v>0</v>
      </c>
      <c r="T16">
        <v>0</v>
      </c>
      <c r="U16">
        <v>0</v>
      </c>
      <c r="V16">
        <v>0</v>
      </c>
    </row>
    <row r="17" spans="1:22">
      <c r="A17" s="335">
        <v>45999</v>
      </c>
      <c r="B17">
        <v>23265</v>
      </c>
      <c r="C17">
        <v>3489.75</v>
      </c>
      <c r="F17" s="335">
        <v>45999</v>
      </c>
      <c r="G17">
        <v>0</v>
      </c>
      <c r="H17">
        <v>1500</v>
      </c>
      <c r="I17">
        <v>0</v>
      </c>
      <c r="J17">
        <v>0</v>
      </c>
      <c r="K17">
        <v>0</v>
      </c>
      <c r="L17">
        <v>600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335">
        <v>46000</v>
      </c>
      <c r="B18">
        <v>37589</v>
      </c>
      <c r="C18">
        <v>4385.8500000000004</v>
      </c>
      <c r="F18" s="335">
        <v>46000</v>
      </c>
      <c r="G18">
        <v>1500</v>
      </c>
      <c r="H18">
        <v>2550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20500</v>
      </c>
      <c r="S18">
        <v>0</v>
      </c>
      <c r="T18">
        <v>0</v>
      </c>
      <c r="U18">
        <v>0</v>
      </c>
      <c r="V18">
        <v>0</v>
      </c>
    </row>
    <row r="19" spans="1:22">
      <c r="A19" s="335">
        <v>46001</v>
      </c>
      <c r="B19">
        <v>27209</v>
      </c>
      <c r="C19">
        <v>4081.35</v>
      </c>
      <c r="F19" s="335">
        <v>46001</v>
      </c>
      <c r="G19">
        <v>0</v>
      </c>
      <c r="H19">
        <v>2550</v>
      </c>
      <c r="I19">
        <v>0</v>
      </c>
      <c r="J19">
        <v>0</v>
      </c>
      <c r="K19">
        <v>0</v>
      </c>
      <c r="L19">
        <v>900</v>
      </c>
      <c r="M19">
        <v>7500</v>
      </c>
      <c r="N19">
        <v>0</v>
      </c>
      <c r="O19">
        <v>0</v>
      </c>
      <c r="P19">
        <v>0</v>
      </c>
      <c r="Q19">
        <v>0</v>
      </c>
      <c r="R19">
        <v>2950</v>
      </c>
      <c r="S19">
        <v>0</v>
      </c>
      <c r="T19">
        <v>0</v>
      </c>
      <c r="U19">
        <v>0</v>
      </c>
      <c r="V19">
        <v>0</v>
      </c>
    </row>
    <row r="20" spans="1:22">
      <c r="A20" s="335">
        <v>46002</v>
      </c>
      <c r="B20">
        <v>14238</v>
      </c>
      <c r="C20">
        <v>2135.6999999999998</v>
      </c>
      <c r="F20" s="335">
        <v>46002</v>
      </c>
      <c r="G20">
        <v>0</v>
      </c>
      <c r="H20">
        <v>1800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12000</v>
      </c>
      <c r="S20">
        <v>0</v>
      </c>
      <c r="T20">
        <v>0</v>
      </c>
      <c r="U20">
        <v>5000</v>
      </c>
      <c r="V20">
        <v>0</v>
      </c>
    </row>
    <row r="21" spans="1:22">
      <c r="A21" s="335">
        <v>46003</v>
      </c>
      <c r="B21">
        <v>83201</v>
      </c>
      <c r="C21">
        <v>11137.65</v>
      </c>
      <c r="F21" s="335">
        <v>46003</v>
      </c>
      <c r="G21">
        <v>2700</v>
      </c>
      <c r="H21">
        <v>1050</v>
      </c>
      <c r="I21">
        <v>150</v>
      </c>
      <c r="J21">
        <v>0</v>
      </c>
      <c r="K21">
        <v>0</v>
      </c>
      <c r="L21">
        <v>5800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150000</v>
      </c>
      <c r="V21">
        <v>0</v>
      </c>
    </row>
    <row r="22" spans="1:22">
      <c r="A22" s="335">
        <v>46004</v>
      </c>
      <c r="B22">
        <v>223374</v>
      </c>
      <c r="C22">
        <v>33506.1</v>
      </c>
      <c r="F22" s="335">
        <v>46004</v>
      </c>
      <c r="G22">
        <v>1800</v>
      </c>
      <c r="H22">
        <v>1050</v>
      </c>
      <c r="I22">
        <v>0</v>
      </c>
      <c r="J22">
        <v>0</v>
      </c>
      <c r="K22">
        <v>0</v>
      </c>
      <c r="L22">
        <v>4000</v>
      </c>
      <c r="M22">
        <v>300</v>
      </c>
      <c r="N22">
        <v>0</v>
      </c>
      <c r="O22">
        <v>0</v>
      </c>
      <c r="P22">
        <v>0</v>
      </c>
      <c r="Q22">
        <v>0</v>
      </c>
      <c r="R22">
        <v>11500</v>
      </c>
      <c r="S22">
        <v>0</v>
      </c>
      <c r="T22">
        <v>0</v>
      </c>
      <c r="U22">
        <v>0</v>
      </c>
      <c r="V22">
        <v>143000</v>
      </c>
    </row>
    <row r="23" spans="1:22">
      <c r="A23" s="335">
        <v>46005</v>
      </c>
      <c r="B23">
        <v>156695</v>
      </c>
      <c r="C23">
        <v>22079.25</v>
      </c>
      <c r="F23" s="335">
        <v>46005</v>
      </c>
      <c r="G23">
        <v>12300</v>
      </c>
      <c r="H23">
        <v>1050</v>
      </c>
      <c r="I23">
        <v>0</v>
      </c>
      <c r="J23">
        <v>900</v>
      </c>
      <c r="K23">
        <v>0</v>
      </c>
      <c r="L23">
        <v>12300</v>
      </c>
      <c r="M23">
        <v>0</v>
      </c>
      <c r="N23">
        <v>0</v>
      </c>
      <c r="O23">
        <v>0</v>
      </c>
      <c r="P23">
        <v>0</v>
      </c>
      <c r="Q23">
        <v>5500</v>
      </c>
      <c r="R23">
        <v>20000</v>
      </c>
      <c r="S23">
        <v>0</v>
      </c>
      <c r="T23">
        <v>0</v>
      </c>
      <c r="U23">
        <v>0</v>
      </c>
      <c r="V23">
        <v>0</v>
      </c>
    </row>
    <row r="24" spans="1:22">
      <c r="A24" s="335">
        <v>46006</v>
      </c>
      <c r="B24">
        <v>7380</v>
      </c>
      <c r="C24">
        <v>1107</v>
      </c>
      <c r="F24" s="335">
        <v>46006</v>
      </c>
      <c r="G24">
        <v>0</v>
      </c>
      <c r="H24">
        <v>1200</v>
      </c>
      <c r="I24">
        <v>0</v>
      </c>
      <c r="J24">
        <v>0</v>
      </c>
      <c r="K24">
        <v>0</v>
      </c>
      <c r="L24">
        <v>0</v>
      </c>
      <c r="M24">
        <v>900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335">
        <v>46007</v>
      </c>
      <c r="B25">
        <v>32658</v>
      </c>
      <c r="C25">
        <v>2828.7</v>
      </c>
      <c r="F25" s="335">
        <v>46007</v>
      </c>
      <c r="G25">
        <v>1500</v>
      </c>
      <c r="H25">
        <v>1800</v>
      </c>
      <c r="I25">
        <v>0</v>
      </c>
      <c r="J25">
        <v>0</v>
      </c>
      <c r="K25">
        <v>0</v>
      </c>
      <c r="L25">
        <v>800</v>
      </c>
      <c r="M25">
        <v>0</v>
      </c>
      <c r="N25">
        <v>0</v>
      </c>
      <c r="O25">
        <v>0</v>
      </c>
      <c r="P25">
        <v>0</v>
      </c>
      <c r="Q25">
        <v>0</v>
      </c>
      <c r="R25">
        <v>2000</v>
      </c>
      <c r="S25">
        <v>0</v>
      </c>
      <c r="T25">
        <v>0</v>
      </c>
      <c r="U25">
        <v>0</v>
      </c>
      <c r="V25">
        <v>0</v>
      </c>
    </row>
    <row r="26" spans="1:22">
      <c r="A26" s="335">
        <v>46008</v>
      </c>
      <c r="B26">
        <v>46908</v>
      </c>
      <c r="C26">
        <v>7036.2</v>
      </c>
      <c r="F26" s="335">
        <v>46008</v>
      </c>
      <c r="G26">
        <v>0</v>
      </c>
      <c r="H26">
        <v>1800</v>
      </c>
      <c r="I26">
        <v>0</v>
      </c>
      <c r="J26">
        <v>0</v>
      </c>
      <c r="K26">
        <v>0</v>
      </c>
      <c r="L26">
        <v>4000</v>
      </c>
      <c r="M26">
        <v>4700</v>
      </c>
      <c r="N26">
        <v>0</v>
      </c>
      <c r="O26">
        <v>0</v>
      </c>
      <c r="P26">
        <v>0</v>
      </c>
      <c r="Q26">
        <v>6000</v>
      </c>
      <c r="R26">
        <v>6000</v>
      </c>
      <c r="S26">
        <v>0</v>
      </c>
      <c r="T26">
        <v>0</v>
      </c>
      <c r="U26">
        <v>0</v>
      </c>
      <c r="V26">
        <v>0</v>
      </c>
    </row>
    <row r="27" spans="1:22">
      <c r="A27" s="335">
        <v>46009</v>
      </c>
      <c r="B27">
        <v>20799</v>
      </c>
      <c r="C27">
        <v>3119.85</v>
      </c>
      <c r="F27" s="335">
        <v>46009</v>
      </c>
      <c r="G27">
        <v>0</v>
      </c>
      <c r="H27">
        <v>0</v>
      </c>
      <c r="I27">
        <v>0</v>
      </c>
      <c r="J27">
        <v>0</v>
      </c>
      <c r="K27">
        <v>0</v>
      </c>
      <c r="L27">
        <v>4100</v>
      </c>
      <c r="M27">
        <v>0</v>
      </c>
      <c r="N27">
        <v>0</v>
      </c>
      <c r="O27">
        <v>0</v>
      </c>
      <c r="P27">
        <v>0</v>
      </c>
      <c r="Q27">
        <v>6000</v>
      </c>
      <c r="R27">
        <v>38650</v>
      </c>
      <c r="S27">
        <v>0</v>
      </c>
      <c r="T27">
        <v>0</v>
      </c>
      <c r="U27">
        <v>0</v>
      </c>
      <c r="V27">
        <v>0</v>
      </c>
    </row>
    <row r="28" spans="1:22">
      <c r="A28" s="335">
        <v>46010</v>
      </c>
      <c r="B28">
        <v>31595</v>
      </c>
      <c r="C28">
        <v>3239.25</v>
      </c>
      <c r="F28" s="335">
        <v>46010</v>
      </c>
      <c r="G28">
        <v>1800</v>
      </c>
      <c r="H28">
        <v>1200</v>
      </c>
      <c r="I28">
        <v>0</v>
      </c>
      <c r="J28">
        <v>0</v>
      </c>
      <c r="K28">
        <v>0</v>
      </c>
      <c r="L28">
        <v>3200</v>
      </c>
      <c r="M28">
        <v>0</v>
      </c>
      <c r="N28">
        <v>0</v>
      </c>
      <c r="O28">
        <v>0</v>
      </c>
      <c r="P28">
        <v>0</v>
      </c>
      <c r="Q28">
        <v>0</v>
      </c>
      <c r="R28">
        <v>11750</v>
      </c>
      <c r="S28">
        <v>0</v>
      </c>
      <c r="T28">
        <v>0</v>
      </c>
      <c r="U28">
        <v>0</v>
      </c>
      <c r="V28">
        <v>0</v>
      </c>
    </row>
    <row r="29" spans="1:22">
      <c r="A29" s="335">
        <v>46011</v>
      </c>
      <c r="B29">
        <v>111364</v>
      </c>
      <c r="C29">
        <v>16704.599999999999</v>
      </c>
      <c r="F29" s="335">
        <v>46011</v>
      </c>
      <c r="G29">
        <v>6600</v>
      </c>
      <c r="H29">
        <v>750</v>
      </c>
      <c r="I29">
        <v>0</v>
      </c>
      <c r="J29">
        <v>0</v>
      </c>
      <c r="K29">
        <v>0</v>
      </c>
      <c r="L29">
        <v>6300</v>
      </c>
      <c r="M29">
        <v>0</v>
      </c>
      <c r="N29">
        <v>0</v>
      </c>
      <c r="O29">
        <v>0</v>
      </c>
      <c r="P29">
        <v>0</v>
      </c>
      <c r="Q29">
        <v>0</v>
      </c>
      <c r="R29">
        <v>40300</v>
      </c>
      <c r="S29">
        <v>0</v>
      </c>
      <c r="T29">
        <v>0</v>
      </c>
      <c r="U29">
        <v>0</v>
      </c>
      <c r="V29">
        <v>0</v>
      </c>
    </row>
    <row r="30" spans="1:22">
      <c r="A30" s="335">
        <v>46012</v>
      </c>
      <c r="B30">
        <v>379588</v>
      </c>
      <c r="C30">
        <v>56938.2</v>
      </c>
      <c r="F30" s="335">
        <v>46012</v>
      </c>
      <c r="G30">
        <v>10500</v>
      </c>
      <c r="H30">
        <v>300</v>
      </c>
      <c r="I30">
        <v>1200</v>
      </c>
      <c r="J30">
        <v>3600</v>
      </c>
      <c r="K30">
        <v>0</v>
      </c>
      <c r="L30">
        <v>7700</v>
      </c>
      <c r="M30">
        <v>300</v>
      </c>
      <c r="N30">
        <v>0</v>
      </c>
      <c r="O30">
        <v>200</v>
      </c>
      <c r="P30">
        <v>0</v>
      </c>
      <c r="Q30">
        <v>16500</v>
      </c>
      <c r="R30">
        <v>7500</v>
      </c>
      <c r="S30">
        <v>0</v>
      </c>
      <c r="T30">
        <v>0</v>
      </c>
      <c r="U30">
        <v>0</v>
      </c>
      <c r="V30">
        <v>365000</v>
      </c>
    </row>
    <row r="31" spans="1:22">
      <c r="A31" s="335">
        <v>46013</v>
      </c>
      <c r="B31">
        <v>147243</v>
      </c>
      <c r="C31">
        <v>20676.45</v>
      </c>
      <c r="F31" s="335">
        <v>46013</v>
      </c>
      <c r="G31">
        <v>10200</v>
      </c>
      <c r="H31">
        <v>750</v>
      </c>
      <c r="I31">
        <v>0</v>
      </c>
      <c r="J31">
        <v>0</v>
      </c>
      <c r="K31">
        <v>0</v>
      </c>
      <c r="L31">
        <v>8200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335">
        <v>46014</v>
      </c>
      <c r="B32">
        <v>77700</v>
      </c>
      <c r="C32">
        <v>11655</v>
      </c>
      <c r="F32" s="335">
        <v>46014</v>
      </c>
      <c r="G32">
        <v>5400</v>
      </c>
      <c r="H32">
        <v>1200</v>
      </c>
      <c r="I32">
        <v>0</v>
      </c>
      <c r="J32">
        <v>0</v>
      </c>
      <c r="K32">
        <v>0</v>
      </c>
      <c r="L32">
        <v>7700</v>
      </c>
      <c r="M32">
        <v>0</v>
      </c>
      <c r="N32">
        <v>0</v>
      </c>
      <c r="O32">
        <v>0</v>
      </c>
      <c r="P32">
        <v>0</v>
      </c>
      <c r="Q32">
        <v>0</v>
      </c>
      <c r="R32">
        <v>28750</v>
      </c>
      <c r="S32">
        <v>0</v>
      </c>
      <c r="T32">
        <v>0</v>
      </c>
      <c r="U32">
        <v>0</v>
      </c>
      <c r="V32">
        <v>0</v>
      </c>
    </row>
    <row r="33" spans="1:22">
      <c r="A33" s="335">
        <v>46015</v>
      </c>
      <c r="B33">
        <v>3140128</v>
      </c>
      <c r="C33">
        <v>471019.19999999995</v>
      </c>
      <c r="F33" s="335">
        <v>46015</v>
      </c>
      <c r="G33">
        <v>1500</v>
      </c>
      <c r="H33">
        <v>600</v>
      </c>
      <c r="I33">
        <v>0</v>
      </c>
      <c r="J33">
        <v>3000</v>
      </c>
      <c r="K33">
        <v>300</v>
      </c>
      <c r="L33">
        <v>1700</v>
      </c>
      <c r="M33">
        <v>2700</v>
      </c>
      <c r="N33">
        <v>0</v>
      </c>
      <c r="O33">
        <v>0</v>
      </c>
      <c r="P33">
        <v>0</v>
      </c>
      <c r="Q33">
        <v>0</v>
      </c>
      <c r="R33">
        <v>11500</v>
      </c>
      <c r="S33">
        <v>0</v>
      </c>
      <c r="T33">
        <v>0</v>
      </c>
      <c r="U33">
        <v>480000</v>
      </c>
      <c r="V33">
        <v>0</v>
      </c>
    </row>
    <row r="34" spans="1:22">
      <c r="A34" s="335">
        <v>46016</v>
      </c>
      <c r="B34">
        <v>235737</v>
      </c>
      <c r="C34">
        <v>35360.550000000003</v>
      </c>
      <c r="F34" s="335">
        <v>46016</v>
      </c>
      <c r="G34">
        <v>8100</v>
      </c>
      <c r="H34">
        <v>600</v>
      </c>
      <c r="I34">
        <v>0</v>
      </c>
      <c r="J34">
        <v>0</v>
      </c>
      <c r="K34">
        <v>0</v>
      </c>
      <c r="L34">
        <v>5700</v>
      </c>
      <c r="M34">
        <v>300</v>
      </c>
      <c r="N34">
        <v>0</v>
      </c>
      <c r="O34">
        <v>0</v>
      </c>
      <c r="P34">
        <v>0</v>
      </c>
      <c r="Q34">
        <v>10000</v>
      </c>
      <c r="R34">
        <v>6500</v>
      </c>
      <c r="S34">
        <v>0</v>
      </c>
      <c r="T34">
        <v>0</v>
      </c>
      <c r="U34">
        <v>0</v>
      </c>
      <c r="V34">
        <v>0</v>
      </c>
    </row>
    <row r="35" spans="1:22">
      <c r="A35" s="267" t="s">
        <v>1117</v>
      </c>
      <c r="B35">
        <v>5319274</v>
      </c>
      <c r="C35">
        <v>784571.10000000009</v>
      </c>
      <c r="F35" s="267" t="s">
        <v>1117</v>
      </c>
      <c r="G35">
        <v>89100</v>
      </c>
      <c r="H35">
        <v>34050</v>
      </c>
      <c r="I35">
        <v>1500</v>
      </c>
      <c r="J35">
        <v>7500</v>
      </c>
      <c r="K35">
        <v>300</v>
      </c>
      <c r="L35">
        <v>109100</v>
      </c>
      <c r="M35">
        <v>17000</v>
      </c>
      <c r="N35">
        <v>0</v>
      </c>
      <c r="O35">
        <v>200</v>
      </c>
      <c r="P35">
        <v>3000</v>
      </c>
      <c r="Q35">
        <v>78450</v>
      </c>
      <c r="R35">
        <v>261400</v>
      </c>
      <c r="S35">
        <v>0</v>
      </c>
      <c r="T35">
        <v>0</v>
      </c>
      <c r="U35">
        <v>635000</v>
      </c>
      <c r="V35">
        <v>508000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1538-6FF4-48AD-8D0C-5CCA7D45A990}">
  <sheetPr>
    <pageSetUpPr fitToPage="1"/>
  </sheetPr>
  <dimension ref="A1:AA43"/>
  <sheetViews>
    <sheetView zoomScale="40" zoomScaleNormal="40" workbookViewId="0">
      <selection activeCell="I29" sqref="I29"/>
    </sheetView>
  </sheetViews>
  <sheetFormatPr defaultRowHeight="14.4"/>
  <cols>
    <col min="1" max="1" width="6.6640625" bestFit="1" customWidth="1"/>
    <col min="2" max="2" width="52.6640625" bestFit="1" customWidth="1"/>
    <col min="3" max="3" width="19.6640625" bestFit="1" customWidth="1"/>
    <col min="4" max="4" width="17.77734375" bestFit="1" customWidth="1"/>
    <col min="5" max="5" width="16.77734375" customWidth="1"/>
    <col min="6" max="6" width="18.6640625" bestFit="1" customWidth="1"/>
    <col min="7" max="7" width="14.77734375" customWidth="1"/>
    <col min="8" max="8" width="24.44140625" customWidth="1"/>
    <col min="9" max="9" width="17.77734375" bestFit="1" customWidth="1"/>
    <col min="10" max="10" width="14" customWidth="1"/>
    <col min="11" max="11" width="17.88671875" customWidth="1"/>
    <col min="12" max="12" width="17.77734375" bestFit="1" customWidth="1"/>
    <col min="13" max="14" width="19.6640625" bestFit="1" customWidth="1"/>
    <col min="15" max="15" width="20.109375" bestFit="1" customWidth="1"/>
    <col min="16" max="16" width="19.77734375" bestFit="1" customWidth="1"/>
    <col min="17" max="17" width="18.5546875" customWidth="1"/>
    <col min="18" max="18" width="21.88671875" bestFit="1" customWidth="1"/>
    <col min="19" max="20" width="24.88671875" bestFit="1" customWidth="1"/>
    <col min="21" max="21" width="18" customWidth="1"/>
    <col min="22" max="22" width="20.109375" bestFit="1" customWidth="1"/>
  </cols>
  <sheetData>
    <row r="1" spans="1:27" ht="36.6">
      <c r="A1" s="381" t="s">
        <v>1133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</row>
    <row r="2" spans="1:27" ht="25.8">
      <c r="A2" s="382" t="s">
        <v>1134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</row>
    <row r="3" spans="1:27" ht="25.8">
      <c r="A3" s="382" t="s">
        <v>1243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2"/>
      <c r="S3" s="382"/>
      <c r="T3" s="382"/>
    </row>
    <row r="4" spans="1:27" ht="42">
      <c r="A4" s="268" t="s">
        <v>0</v>
      </c>
      <c r="B4" s="269" t="s">
        <v>362</v>
      </c>
      <c r="C4" s="268" t="s">
        <v>1135</v>
      </c>
      <c r="D4" s="268" t="s">
        <v>1136</v>
      </c>
      <c r="E4" s="268" t="s">
        <v>1137</v>
      </c>
      <c r="F4" s="268" t="s">
        <v>1138</v>
      </c>
      <c r="G4" s="268" t="s">
        <v>1139</v>
      </c>
      <c r="H4" s="268" t="s">
        <v>367</v>
      </c>
      <c r="I4" s="268" t="s">
        <v>1140</v>
      </c>
      <c r="J4" s="268" t="s">
        <v>1141</v>
      </c>
      <c r="K4" s="268" t="s">
        <v>1142</v>
      </c>
      <c r="L4" s="268" t="s">
        <v>1143</v>
      </c>
      <c r="M4" s="268" t="s">
        <v>1144</v>
      </c>
      <c r="N4" s="268" t="s">
        <v>1145</v>
      </c>
      <c r="O4" s="268" t="s">
        <v>1146</v>
      </c>
      <c r="P4" s="268" t="s">
        <v>1147</v>
      </c>
      <c r="Q4" s="268" t="s">
        <v>1148</v>
      </c>
      <c r="R4" s="268" t="s">
        <v>1149</v>
      </c>
      <c r="S4" s="270" t="s">
        <v>1150</v>
      </c>
      <c r="T4" s="268" t="s">
        <v>1089</v>
      </c>
    </row>
    <row r="5" spans="1:27" ht="25.8">
      <c r="A5" s="271">
        <v>1</v>
      </c>
      <c r="B5" s="272">
        <v>45992</v>
      </c>
      <c r="C5" s="273">
        <v>1800</v>
      </c>
      <c r="D5" s="273">
        <v>1200</v>
      </c>
      <c r="E5" s="273">
        <v>0</v>
      </c>
      <c r="F5" s="273">
        <v>0</v>
      </c>
      <c r="G5" s="273">
        <v>0</v>
      </c>
      <c r="H5" s="273">
        <v>300</v>
      </c>
      <c r="I5" s="273">
        <v>0</v>
      </c>
      <c r="J5" s="273">
        <v>0</v>
      </c>
      <c r="K5" s="273">
        <v>0</v>
      </c>
      <c r="L5" s="273">
        <v>0</v>
      </c>
      <c r="M5" s="273">
        <v>0</v>
      </c>
      <c r="N5" s="273">
        <v>0</v>
      </c>
      <c r="O5" s="273">
        <v>0</v>
      </c>
      <c r="P5" s="273">
        <v>0</v>
      </c>
      <c r="Q5" s="273">
        <v>0</v>
      </c>
      <c r="R5" s="273">
        <v>0</v>
      </c>
      <c r="S5" s="273">
        <v>20219</v>
      </c>
      <c r="T5" s="273">
        <f>SUM(C5:S5)</f>
        <v>23519</v>
      </c>
      <c r="U5" s="273">
        <v>29769</v>
      </c>
      <c r="V5" s="320">
        <f>T5-U5</f>
        <v>-6250</v>
      </c>
      <c r="Y5" s="99"/>
    </row>
    <row r="6" spans="1:27" ht="25.8">
      <c r="A6" s="271">
        <v>2</v>
      </c>
      <c r="B6" s="272">
        <v>45993</v>
      </c>
      <c r="C6" s="273">
        <v>1200</v>
      </c>
      <c r="D6" s="273">
        <v>2700</v>
      </c>
      <c r="E6" s="273">
        <v>150</v>
      </c>
      <c r="F6" s="273">
        <v>0</v>
      </c>
      <c r="G6" s="273">
        <v>0</v>
      </c>
      <c r="H6" s="273">
        <v>600</v>
      </c>
      <c r="I6" s="273">
        <v>0</v>
      </c>
      <c r="J6" s="273">
        <v>0</v>
      </c>
      <c r="K6" s="273">
        <v>0</v>
      </c>
      <c r="L6" s="273">
        <v>0</v>
      </c>
      <c r="M6" s="273">
        <v>0</v>
      </c>
      <c r="N6" s="273">
        <v>0</v>
      </c>
      <c r="O6" s="273">
        <v>0</v>
      </c>
      <c r="P6" s="273">
        <v>0</v>
      </c>
      <c r="Q6" s="273">
        <v>0</v>
      </c>
      <c r="R6" s="273">
        <v>0</v>
      </c>
      <c r="S6" s="273">
        <v>35314</v>
      </c>
      <c r="T6" s="273">
        <f>SUM(C6:S6)</f>
        <v>39964</v>
      </c>
      <c r="U6" s="273">
        <v>32509</v>
      </c>
      <c r="V6" s="320">
        <f t="shared" ref="V6:V30" si="0">T6-U6</f>
        <v>7455</v>
      </c>
      <c r="Y6" s="99"/>
    </row>
    <row r="7" spans="1:27" ht="25.8">
      <c r="A7" s="271">
        <v>3</v>
      </c>
      <c r="B7" s="272">
        <v>45994</v>
      </c>
      <c r="C7" s="273">
        <v>0</v>
      </c>
      <c r="D7" s="273">
        <v>2250</v>
      </c>
      <c r="E7" s="273">
        <v>0</v>
      </c>
      <c r="F7" s="273">
        <v>0</v>
      </c>
      <c r="G7" s="273">
        <v>0</v>
      </c>
      <c r="H7" s="273">
        <v>0</v>
      </c>
      <c r="I7" s="273">
        <v>0</v>
      </c>
      <c r="J7" s="273">
        <v>0</v>
      </c>
      <c r="K7" s="273">
        <v>0</v>
      </c>
      <c r="L7" s="273">
        <v>0</v>
      </c>
      <c r="M7" s="273">
        <v>0</v>
      </c>
      <c r="N7" s="273">
        <v>5000</v>
      </c>
      <c r="O7" s="273">
        <v>0</v>
      </c>
      <c r="P7" s="273">
        <v>0</v>
      </c>
      <c r="Q7" s="273">
        <v>0</v>
      </c>
      <c r="R7" s="273">
        <v>0</v>
      </c>
      <c r="S7" s="273">
        <v>22550</v>
      </c>
      <c r="T7" s="273">
        <f>SUM(C7:S7)</f>
        <v>29800</v>
      </c>
      <c r="U7" s="273">
        <v>30250</v>
      </c>
      <c r="V7" s="320">
        <f t="shared" si="0"/>
        <v>-450</v>
      </c>
      <c r="Y7" s="99"/>
    </row>
    <row r="8" spans="1:27" ht="25.8">
      <c r="A8" s="271">
        <v>4</v>
      </c>
      <c r="B8" s="272">
        <v>45995</v>
      </c>
      <c r="C8" s="273">
        <v>0</v>
      </c>
      <c r="D8" s="273">
        <v>1950</v>
      </c>
      <c r="E8" s="273">
        <v>0</v>
      </c>
      <c r="F8" s="273">
        <v>0</v>
      </c>
      <c r="G8" s="273">
        <v>0</v>
      </c>
      <c r="H8" s="273">
        <v>4600</v>
      </c>
      <c r="I8" s="273">
        <v>0</v>
      </c>
      <c r="J8" s="273">
        <v>0</v>
      </c>
      <c r="K8" s="273">
        <v>0</v>
      </c>
      <c r="L8" s="273">
        <v>0</v>
      </c>
      <c r="M8" s="273">
        <v>0</v>
      </c>
      <c r="N8" s="273">
        <v>16000</v>
      </c>
      <c r="O8" s="273">
        <v>0</v>
      </c>
      <c r="P8" s="273">
        <v>0</v>
      </c>
      <c r="Q8" s="273">
        <v>0</v>
      </c>
      <c r="R8" s="273">
        <v>0</v>
      </c>
      <c r="S8" s="273">
        <v>17530</v>
      </c>
      <c r="T8" s="273">
        <f t="shared" ref="T8:T29" si="1">SUM(C8:S8)</f>
        <v>40080</v>
      </c>
      <c r="U8" s="273">
        <v>39970</v>
      </c>
      <c r="V8" s="320">
        <f t="shared" si="0"/>
        <v>110</v>
      </c>
    </row>
    <row r="9" spans="1:27" ht="25.8">
      <c r="A9" s="271">
        <v>5</v>
      </c>
      <c r="B9" s="272">
        <v>45996</v>
      </c>
      <c r="C9" s="273">
        <v>3600</v>
      </c>
      <c r="D9" s="273">
        <v>1950</v>
      </c>
      <c r="E9" s="273">
        <v>0</v>
      </c>
      <c r="F9" s="273">
        <v>0</v>
      </c>
      <c r="G9" s="273">
        <v>0</v>
      </c>
      <c r="H9" s="273">
        <v>5400</v>
      </c>
      <c r="I9" s="273">
        <v>0</v>
      </c>
      <c r="J9" s="273">
        <v>0</v>
      </c>
      <c r="K9" s="273">
        <v>0</v>
      </c>
      <c r="L9" s="273">
        <v>0</v>
      </c>
      <c r="M9" s="273">
        <v>11500</v>
      </c>
      <c r="N9" s="273">
        <v>0</v>
      </c>
      <c r="O9" s="273">
        <v>0</v>
      </c>
      <c r="P9" s="273">
        <v>0</v>
      </c>
      <c r="Q9" s="273">
        <v>0</v>
      </c>
      <c r="R9" s="273">
        <v>0</v>
      </c>
      <c r="S9" s="273">
        <v>36240</v>
      </c>
      <c r="T9" s="273">
        <f t="shared" si="1"/>
        <v>58690</v>
      </c>
      <c r="U9" s="273">
        <v>58890</v>
      </c>
      <c r="V9" s="320">
        <f t="shared" si="0"/>
        <v>-200</v>
      </c>
      <c r="Y9" s="99"/>
      <c r="Z9" s="99"/>
      <c r="AA9" s="99"/>
    </row>
    <row r="10" spans="1:27" ht="25.8">
      <c r="A10" s="271">
        <v>6</v>
      </c>
      <c r="B10" s="272">
        <v>45997</v>
      </c>
      <c r="C10" s="273">
        <v>7500</v>
      </c>
      <c r="D10" s="273">
        <v>1500</v>
      </c>
      <c r="E10" s="273">
        <v>0</v>
      </c>
      <c r="F10" s="273">
        <v>0</v>
      </c>
      <c r="G10" s="273">
        <v>0</v>
      </c>
      <c r="H10" s="273">
        <v>11000</v>
      </c>
      <c r="I10" s="273">
        <v>300</v>
      </c>
      <c r="J10" s="273">
        <v>0</v>
      </c>
      <c r="K10" s="273">
        <v>0</v>
      </c>
      <c r="L10" s="273">
        <v>0</v>
      </c>
      <c r="M10" s="273">
        <v>22950</v>
      </c>
      <c r="N10" s="273">
        <v>0</v>
      </c>
      <c r="O10" s="273">
        <v>0</v>
      </c>
      <c r="P10" s="273">
        <v>0</v>
      </c>
      <c r="Q10" s="273">
        <v>0</v>
      </c>
      <c r="R10" s="273">
        <v>0</v>
      </c>
      <c r="S10" s="273">
        <v>233400</v>
      </c>
      <c r="T10" s="273">
        <f t="shared" si="1"/>
        <v>276650</v>
      </c>
      <c r="U10" s="273">
        <v>283840</v>
      </c>
      <c r="V10" s="320">
        <f t="shared" si="0"/>
        <v>-7190</v>
      </c>
      <c r="AA10" s="99"/>
    </row>
    <row r="11" spans="1:27" ht="25.8">
      <c r="A11" s="271">
        <v>7</v>
      </c>
      <c r="B11" s="272">
        <v>45998</v>
      </c>
      <c r="C11" s="273">
        <v>11100</v>
      </c>
      <c r="D11" s="273">
        <v>750</v>
      </c>
      <c r="E11" s="273">
        <v>0</v>
      </c>
      <c r="F11" s="273">
        <v>0</v>
      </c>
      <c r="G11" s="273">
        <v>0</v>
      </c>
      <c r="H11" s="273">
        <v>14200</v>
      </c>
      <c r="I11" s="273">
        <v>0</v>
      </c>
      <c r="J11" s="273">
        <v>0</v>
      </c>
      <c r="K11" s="273">
        <v>0</v>
      </c>
      <c r="L11" s="273">
        <v>3000</v>
      </c>
      <c r="M11" s="273">
        <v>0</v>
      </c>
      <c r="N11" s="273">
        <v>20500</v>
      </c>
      <c r="O11" s="273">
        <v>0</v>
      </c>
      <c r="P11" s="273">
        <v>0</v>
      </c>
      <c r="Q11" s="273">
        <v>0</v>
      </c>
      <c r="R11" s="273">
        <v>0</v>
      </c>
      <c r="S11" s="273">
        <v>157350</v>
      </c>
      <c r="T11" s="273">
        <f>SUM(C11:S11)</f>
        <v>206900</v>
      </c>
      <c r="U11" s="273">
        <v>243600</v>
      </c>
      <c r="V11" s="320">
        <f t="shared" si="0"/>
        <v>-36700</v>
      </c>
    </row>
    <row r="12" spans="1:27" ht="25.8">
      <c r="A12" s="271">
        <v>8</v>
      </c>
      <c r="B12" s="272">
        <v>45999</v>
      </c>
      <c r="C12" s="273">
        <v>0</v>
      </c>
      <c r="D12" s="273">
        <v>1500</v>
      </c>
      <c r="E12" s="273">
        <v>0</v>
      </c>
      <c r="F12" s="273">
        <v>0</v>
      </c>
      <c r="G12" s="273">
        <v>0</v>
      </c>
      <c r="H12" s="273">
        <v>600</v>
      </c>
      <c r="I12" s="273">
        <v>0</v>
      </c>
      <c r="J12" s="273">
        <v>0</v>
      </c>
      <c r="K12" s="273">
        <v>0</v>
      </c>
      <c r="L12" s="273">
        <v>0</v>
      </c>
      <c r="M12" s="273">
        <v>0</v>
      </c>
      <c r="N12" s="273">
        <v>0</v>
      </c>
      <c r="O12" s="273">
        <v>0</v>
      </c>
      <c r="P12" s="273">
        <v>0</v>
      </c>
      <c r="Q12" s="273">
        <v>0</v>
      </c>
      <c r="R12" s="273">
        <v>0</v>
      </c>
      <c r="S12" s="273">
        <v>23265</v>
      </c>
      <c r="T12" s="273">
        <f t="shared" si="1"/>
        <v>25365</v>
      </c>
      <c r="U12" s="273">
        <v>26990</v>
      </c>
      <c r="V12" s="320">
        <f t="shared" si="0"/>
        <v>-1625</v>
      </c>
    </row>
    <row r="13" spans="1:27" ht="25.8">
      <c r="A13" s="271">
        <v>9</v>
      </c>
      <c r="B13" s="272">
        <v>46000</v>
      </c>
      <c r="C13" s="273">
        <v>1500</v>
      </c>
      <c r="D13" s="273">
        <v>2550</v>
      </c>
      <c r="E13" s="273">
        <v>0</v>
      </c>
      <c r="F13" s="273">
        <v>0</v>
      </c>
      <c r="G13" s="273">
        <v>0</v>
      </c>
      <c r="H13" s="273">
        <v>0</v>
      </c>
      <c r="I13" s="273">
        <v>0</v>
      </c>
      <c r="J13" s="273">
        <v>0</v>
      </c>
      <c r="K13" s="273">
        <v>0</v>
      </c>
      <c r="L13" s="273">
        <v>0</v>
      </c>
      <c r="M13" s="273">
        <v>0</v>
      </c>
      <c r="N13" s="273">
        <v>20500</v>
      </c>
      <c r="O13" s="273">
        <v>0</v>
      </c>
      <c r="P13" s="273">
        <v>0</v>
      </c>
      <c r="Q13" s="273">
        <v>0</v>
      </c>
      <c r="R13" s="273">
        <v>0</v>
      </c>
      <c r="S13" s="273">
        <v>37589</v>
      </c>
      <c r="T13" s="273">
        <f t="shared" si="1"/>
        <v>62139</v>
      </c>
      <c r="U13" s="273">
        <v>55300</v>
      </c>
      <c r="V13" s="320">
        <f t="shared" si="0"/>
        <v>6839</v>
      </c>
    </row>
    <row r="14" spans="1:27" ht="25.8">
      <c r="A14" s="271">
        <v>10</v>
      </c>
      <c r="B14" s="272">
        <v>46001</v>
      </c>
      <c r="C14" s="273">
        <v>0</v>
      </c>
      <c r="D14" s="273">
        <v>2550</v>
      </c>
      <c r="E14" s="273">
        <v>0</v>
      </c>
      <c r="F14" s="273">
        <v>0</v>
      </c>
      <c r="G14" s="273">
        <v>0</v>
      </c>
      <c r="H14" s="273">
        <v>900</v>
      </c>
      <c r="I14" s="273">
        <v>7500</v>
      </c>
      <c r="J14" s="273">
        <v>0</v>
      </c>
      <c r="K14" s="273">
        <v>0</v>
      </c>
      <c r="L14" s="273">
        <v>0</v>
      </c>
      <c r="M14" s="273">
        <v>0</v>
      </c>
      <c r="N14" s="273">
        <v>2950</v>
      </c>
      <c r="O14" s="273">
        <v>0</v>
      </c>
      <c r="P14" s="273">
        <v>0</v>
      </c>
      <c r="Q14" s="273">
        <v>0</v>
      </c>
      <c r="R14" s="273">
        <v>0</v>
      </c>
      <c r="S14" s="273">
        <v>27209</v>
      </c>
      <c r="T14" s="273">
        <f t="shared" si="1"/>
        <v>41109</v>
      </c>
      <c r="U14" s="273">
        <v>41809</v>
      </c>
      <c r="V14" s="320">
        <f t="shared" si="0"/>
        <v>-700</v>
      </c>
    </row>
    <row r="15" spans="1:27" ht="25.8">
      <c r="A15" s="271">
        <v>11</v>
      </c>
      <c r="B15" s="272">
        <v>46002</v>
      </c>
      <c r="C15" s="273">
        <v>0</v>
      </c>
      <c r="D15" s="273">
        <v>1800</v>
      </c>
      <c r="E15" s="273">
        <v>0</v>
      </c>
      <c r="F15" s="273">
        <v>0</v>
      </c>
      <c r="G15" s="273">
        <v>0</v>
      </c>
      <c r="H15" s="273">
        <v>0</v>
      </c>
      <c r="I15" s="273">
        <v>0</v>
      </c>
      <c r="J15" s="273">
        <v>0</v>
      </c>
      <c r="K15" s="273">
        <v>0</v>
      </c>
      <c r="L15" s="273">
        <v>0</v>
      </c>
      <c r="M15" s="273">
        <v>0</v>
      </c>
      <c r="N15" s="273">
        <v>12000</v>
      </c>
      <c r="O15" s="273">
        <v>0</v>
      </c>
      <c r="P15" s="273">
        <v>0</v>
      </c>
      <c r="Q15" s="273">
        <v>5000</v>
      </c>
      <c r="R15" s="273">
        <v>0</v>
      </c>
      <c r="S15" s="273">
        <v>14238</v>
      </c>
      <c r="T15" s="273">
        <f t="shared" si="1"/>
        <v>33038</v>
      </c>
      <c r="U15" s="273">
        <v>31558</v>
      </c>
      <c r="V15" s="320">
        <f t="shared" si="0"/>
        <v>1480</v>
      </c>
    </row>
    <row r="16" spans="1:27" ht="25.8">
      <c r="A16" s="271">
        <v>12</v>
      </c>
      <c r="B16" s="272">
        <v>46003</v>
      </c>
      <c r="C16" s="273">
        <v>2700</v>
      </c>
      <c r="D16" s="273">
        <v>1050</v>
      </c>
      <c r="E16" s="273">
        <v>150</v>
      </c>
      <c r="F16" s="273">
        <v>0</v>
      </c>
      <c r="G16" s="273">
        <v>0</v>
      </c>
      <c r="H16" s="273">
        <v>5800</v>
      </c>
      <c r="I16" s="273">
        <v>0</v>
      </c>
      <c r="J16" s="273">
        <v>0</v>
      </c>
      <c r="K16" s="273">
        <v>0</v>
      </c>
      <c r="L16" s="273">
        <v>0</v>
      </c>
      <c r="M16" s="273">
        <v>0</v>
      </c>
      <c r="N16" s="273">
        <v>0</v>
      </c>
      <c r="O16" s="273">
        <v>0</v>
      </c>
      <c r="P16" s="273">
        <v>0</v>
      </c>
      <c r="Q16" s="273">
        <v>150000</v>
      </c>
      <c r="R16" s="273">
        <v>0</v>
      </c>
      <c r="S16" s="273">
        <v>83201</v>
      </c>
      <c r="T16" s="273">
        <f t="shared" si="1"/>
        <v>242901</v>
      </c>
      <c r="U16" s="273">
        <v>241401</v>
      </c>
      <c r="V16" s="320">
        <f t="shared" si="0"/>
        <v>1500</v>
      </c>
    </row>
    <row r="17" spans="1:23" ht="25.8">
      <c r="A17" s="271">
        <v>13</v>
      </c>
      <c r="B17" s="272">
        <v>46004</v>
      </c>
      <c r="C17" s="273">
        <v>1800</v>
      </c>
      <c r="D17" s="273">
        <v>1050</v>
      </c>
      <c r="E17" s="273">
        <v>0</v>
      </c>
      <c r="F17" s="273">
        <v>0</v>
      </c>
      <c r="G17" s="273">
        <v>0</v>
      </c>
      <c r="H17" s="273">
        <v>4000</v>
      </c>
      <c r="I17" s="273">
        <v>300</v>
      </c>
      <c r="J17" s="273">
        <v>0</v>
      </c>
      <c r="K17" s="273">
        <v>0</v>
      </c>
      <c r="L17" s="273">
        <v>0</v>
      </c>
      <c r="M17" s="273">
        <v>0</v>
      </c>
      <c r="N17" s="273">
        <v>11500</v>
      </c>
      <c r="O17" s="273">
        <v>0</v>
      </c>
      <c r="P17" s="273">
        <v>0</v>
      </c>
      <c r="Q17" s="273">
        <v>0</v>
      </c>
      <c r="R17" s="273">
        <v>143000</v>
      </c>
      <c r="S17" s="273">
        <v>223374</v>
      </c>
      <c r="T17" s="273">
        <f t="shared" si="1"/>
        <v>385024</v>
      </c>
      <c r="U17" s="273">
        <v>384824</v>
      </c>
      <c r="V17" s="320">
        <f t="shared" si="0"/>
        <v>200</v>
      </c>
    </row>
    <row r="18" spans="1:23" ht="25.8">
      <c r="A18" s="271">
        <v>14</v>
      </c>
      <c r="B18" s="272">
        <v>46005</v>
      </c>
      <c r="C18" s="273">
        <v>12300</v>
      </c>
      <c r="D18" s="273">
        <v>1050</v>
      </c>
      <c r="E18" s="273">
        <v>0</v>
      </c>
      <c r="F18" s="273">
        <v>900</v>
      </c>
      <c r="G18" s="273">
        <v>0</v>
      </c>
      <c r="H18" s="273">
        <v>12300</v>
      </c>
      <c r="I18" s="273">
        <v>0</v>
      </c>
      <c r="J18" s="273">
        <v>0</v>
      </c>
      <c r="K18" s="273">
        <v>0</v>
      </c>
      <c r="L18" s="273">
        <v>0</v>
      </c>
      <c r="M18" s="273">
        <v>5500</v>
      </c>
      <c r="N18" s="273">
        <v>20000</v>
      </c>
      <c r="O18" s="273">
        <v>0</v>
      </c>
      <c r="P18" s="273">
        <v>0</v>
      </c>
      <c r="Q18" s="273">
        <v>0</v>
      </c>
      <c r="R18" s="273">
        <v>0</v>
      </c>
      <c r="S18" s="273">
        <v>156695</v>
      </c>
      <c r="T18" s="273">
        <f t="shared" si="1"/>
        <v>208745</v>
      </c>
      <c r="U18" s="273">
        <v>208525</v>
      </c>
      <c r="V18" s="320">
        <f t="shared" si="0"/>
        <v>220</v>
      </c>
      <c r="W18" t="s">
        <v>1189</v>
      </c>
    </row>
    <row r="19" spans="1:23" ht="25.8">
      <c r="A19" s="271">
        <v>15</v>
      </c>
      <c r="B19" s="272">
        <v>46006</v>
      </c>
      <c r="C19" s="273">
        <v>0</v>
      </c>
      <c r="D19" s="273">
        <v>1200</v>
      </c>
      <c r="E19" s="273">
        <v>0</v>
      </c>
      <c r="F19" s="273">
        <v>0</v>
      </c>
      <c r="G19" s="273">
        <v>0</v>
      </c>
      <c r="H19" s="273">
        <v>0</v>
      </c>
      <c r="I19" s="273">
        <v>900</v>
      </c>
      <c r="J19" s="273">
        <v>0</v>
      </c>
      <c r="K19" s="273">
        <v>0</v>
      </c>
      <c r="L19" s="273">
        <v>0</v>
      </c>
      <c r="M19" s="273">
        <v>0</v>
      </c>
      <c r="N19" s="273">
        <v>0</v>
      </c>
      <c r="O19" s="273">
        <v>0</v>
      </c>
      <c r="P19" s="273">
        <v>0</v>
      </c>
      <c r="Q19" s="273">
        <v>0</v>
      </c>
      <c r="R19" s="273">
        <v>0</v>
      </c>
      <c r="S19" s="273">
        <v>7380</v>
      </c>
      <c r="T19" s="273">
        <f t="shared" si="1"/>
        <v>9480</v>
      </c>
      <c r="U19" s="273">
        <v>9480</v>
      </c>
      <c r="V19" s="320">
        <f t="shared" si="0"/>
        <v>0</v>
      </c>
    </row>
    <row r="20" spans="1:23" ht="25.8">
      <c r="A20" s="271">
        <v>16</v>
      </c>
      <c r="B20" s="272">
        <v>46007</v>
      </c>
      <c r="C20" s="273">
        <v>1500</v>
      </c>
      <c r="D20" s="273">
        <v>1800</v>
      </c>
      <c r="E20" s="273">
        <v>0</v>
      </c>
      <c r="F20" s="273">
        <v>0</v>
      </c>
      <c r="G20" s="273">
        <v>0</v>
      </c>
      <c r="H20" s="273">
        <v>800</v>
      </c>
      <c r="I20" s="273">
        <v>0</v>
      </c>
      <c r="J20" s="273">
        <v>0</v>
      </c>
      <c r="K20" s="273">
        <v>0</v>
      </c>
      <c r="L20" s="273">
        <v>0</v>
      </c>
      <c r="M20" s="273">
        <v>0</v>
      </c>
      <c r="N20" s="273">
        <v>2000</v>
      </c>
      <c r="O20" s="273">
        <v>0</v>
      </c>
      <c r="P20" s="273">
        <v>0</v>
      </c>
      <c r="Q20" s="273">
        <v>0</v>
      </c>
      <c r="R20" s="273">
        <v>0</v>
      </c>
      <c r="S20" s="273">
        <v>32658</v>
      </c>
      <c r="T20" s="273">
        <f t="shared" si="1"/>
        <v>38758</v>
      </c>
      <c r="U20" s="273">
        <v>38758</v>
      </c>
      <c r="V20" s="320">
        <f t="shared" si="0"/>
        <v>0</v>
      </c>
    </row>
    <row r="21" spans="1:23" ht="25.8">
      <c r="A21" s="271">
        <v>17</v>
      </c>
      <c r="B21" s="272">
        <v>46008</v>
      </c>
      <c r="C21" s="273">
        <v>0</v>
      </c>
      <c r="D21" s="273">
        <v>1800</v>
      </c>
      <c r="E21" s="273">
        <v>0</v>
      </c>
      <c r="F21" s="273">
        <v>0</v>
      </c>
      <c r="G21" s="273">
        <v>0</v>
      </c>
      <c r="H21" s="273">
        <v>4000</v>
      </c>
      <c r="I21" s="273">
        <v>4700</v>
      </c>
      <c r="J21" s="273">
        <v>0</v>
      </c>
      <c r="K21" s="273">
        <v>0</v>
      </c>
      <c r="L21" s="273">
        <v>0</v>
      </c>
      <c r="M21" s="273">
        <v>6000</v>
      </c>
      <c r="N21" s="273">
        <v>6000</v>
      </c>
      <c r="O21" s="273">
        <v>0</v>
      </c>
      <c r="P21" s="273">
        <v>0</v>
      </c>
      <c r="Q21" s="273">
        <v>0</v>
      </c>
      <c r="R21" s="273">
        <v>0</v>
      </c>
      <c r="S21" s="273">
        <v>46908</v>
      </c>
      <c r="T21" s="273">
        <f t="shared" si="1"/>
        <v>69408</v>
      </c>
      <c r="U21" s="273">
        <v>70008</v>
      </c>
      <c r="V21" s="320">
        <f t="shared" si="0"/>
        <v>-600</v>
      </c>
    </row>
    <row r="22" spans="1:23" ht="25.8">
      <c r="A22" s="271">
        <v>18</v>
      </c>
      <c r="B22" s="272">
        <v>46009</v>
      </c>
      <c r="C22" s="273">
        <v>0</v>
      </c>
      <c r="D22" s="273">
        <v>0</v>
      </c>
      <c r="E22" s="273">
        <v>0</v>
      </c>
      <c r="F22" s="273">
        <v>0</v>
      </c>
      <c r="G22" s="273">
        <v>0</v>
      </c>
      <c r="H22" s="273">
        <v>4100</v>
      </c>
      <c r="I22" s="273">
        <v>0</v>
      </c>
      <c r="J22" s="273">
        <v>0</v>
      </c>
      <c r="K22" s="273">
        <v>0</v>
      </c>
      <c r="L22" s="273">
        <v>0</v>
      </c>
      <c r="M22" s="273">
        <v>6000</v>
      </c>
      <c r="N22" s="273">
        <v>38650</v>
      </c>
      <c r="O22" s="273">
        <v>0</v>
      </c>
      <c r="P22" s="273">
        <v>0</v>
      </c>
      <c r="Q22" s="273">
        <v>0</v>
      </c>
      <c r="R22" s="273">
        <v>0</v>
      </c>
      <c r="S22" s="273">
        <v>20799</v>
      </c>
      <c r="T22" s="273">
        <f t="shared" si="1"/>
        <v>69549</v>
      </c>
      <c r="U22" s="273"/>
      <c r="V22" s="320">
        <f t="shared" si="0"/>
        <v>69549</v>
      </c>
    </row>
    <row r="23" spans="1:23" ht="25.8">
      <c r="A23" s="271">
        <v>19</v>
      </c>
      <c r="B23" s="272">
        <v>46010</v>
      </c>
      <c r="C23" s="273">
        <v>1800</v>
      </c>
      <c r="D23" s="273">
        <v>1200</v>
      </c>
      <c r="E23" s="273">
        <v>0</v>
      </c>
      <c r="F23" s="273">
        <v>0</v>
      </c>
      <c r="G23" s="273">
        <v>0</v>
      </c>
      <c r="H23" s="273">
        <v>3200</v>
      </c>
      <c r="I23" s="273">
        <v>0</v>
      </c>
      <c r="J23" s="273">
        <v>0</v>
      </c>
      <c r="K23" s="273">
        <v>0</v>
      </c>
      <c r="L23" s="273">
        <v>0</v>
      </c>
      <c r="M23" s="273">
        <v>0</v>
      </c>
      <c r="N23" s="273">
        <v>11750</v>
      </c>
      <c r="O23" s="273">
        <v>0</v>
      </c>
      <c r="P23" s="273">
        <v>0</v>
      </c>
      <c r="Q23" s="273">
        <v>0</v>
      </c>
      <c r="R23" s="273">
        <v>0</v>
      </c>
      <c r="S23" s="273">
        <v>31595</v>
      </c>
      <c r="T23" s="273">
        <f t="shared" si="1"/>
        <v>49545</v>
      </c>
      <c r="U23" s="273"/>
      <c r="V23" s="320">
        <f t="shared" si="0"/>
        <v>49545</v>
      </c>
    </row>
    <row r="24" spans="1:23" ht="25.8">
      <c r="A24" s="271">
        <v>20</v>
      </c>
      <c r="B24" s="272">
        <v>46011</v>
      </c>
      <c r="C24" s="273">
        <v>6600</v>
      </c>
      <c r="D24" s="273">
        <v>750</v>
      </c>
      <c r="E24" s="273">
        <v>0</v>
      </c>
      <c r="F24" s="273">
        <v>0</v>
      </c>
      <c r="G24" s="273">
        <v>0</v>
      </c>
      <c r="H24" s="273">
        <v>6300</v>
      </c>
      <c r="I24" s="273">
        <v>0</v>
      </c>
      <c r="J24" s="273">
        <v>0</v>
      </c>
      <c r="K24" s="273">
        <v>0</v>
      </c>
      <c r="L24" s="273">
        <v>0</v>
      </c>
      <c r="M24" s="273">
        <v>0</v>
      </c>
      <c r="N24" s="273">
        <v>40300</v>
      </c>
      <c r="O24" s="273">
        <v>0</v>
      </c>
      <c r="P24" s="273">
        <v>0</v>
      </c>
      <c r="Q24" s="273">
        <v>0</v>
      </c>
      <c r="R24" s="273">
        <v>0</v>
      </c>
      <c r="S24" s="273">
        <v>111364</v>
      </c>
      <c r="T24" s="273">
        <f t="shared" si="1"/>
        <v>165314</v>
      </c>
      <c r="U24" s="273"/>
      <c r="V24" s="320">
        <f t="shared" si="0"/>
        <v>165314</v>
      </c>
    </row>
    <row r="25" spans="1:23" ht="25.8">
      <c r="A25" s="271">
        <v>21</v>
      </c>
      <c r="B25" s="272">
        <v>46012</v>
      </c>
      <c r="C25" s="273">
        <v>10500</v>
      </c>
      <c r="D25" s="273">
        <v>300</v>
      </c>
      <c r="E25" s="273">
        <v>1200</v>
      </c>
      <c r="F25" s="273">
        <v>3600</v>
      </c>
      <c r="G25" s="273">
        <v>0</v>
      </c>
      <c r="H25" s="273">
        <v>7700</v>
      </c>
      <c r="I25" s="273">
        <v>300</v>
      </c>
      <c r="J25" s="273">
        <v>0</v>
      </c>
      <c r="K25" s="273">
        <v>200</v>
      </c>
      <c r="L25" s="273">
        <v>0</v>
      </c>
      <c r="M25" s="273">
        <v>16500</v>
      </c>
      <c r="N25" s="273">
        <v>7500</v>
      </c>
      <c r="O25" s="273">
        <v>0</v>
      </c>
      <c r="P25" s="273">
        <v>0</v>
      </c>
      <c r="Q25" s="273">
        <v>0</v>
      </c>
      <c r="R25" s="273">
        <v>365000</v>
      </c>
      <c r="S25" s="273">
        <v>379588</v>
      </c>
      <c r="T25" s="273">
        <f t="shared" si="1"/>
        <v>792388</v>
      </c>
      <c r="U25" s="273"/>
      <c r="V25" s="320">
        <f t="shared" si="0"/>
        <v>792388</v>
      </c>
    </row>
    <row r="26" spans="1:23" ht="25.8">
      <c r="A26" s="271">
        <v>22</v>
      </c>
      <c r="B26" s="272">
        <v>46013</v>
      </c>
      <c r="C26" s="273">
        <v>10200</v>
      </c>
      <c r="D26" s="273">
        <v>750</v>
      </c>
      <c r="E26" s="273">
        <v>0</v>
      </c>
      <c r="F26" s="273">
        <v>0</v>
      </c>
      <c r="G26" s="273">
        <v>0</v>
      </c>
      <c r="H26" s="273">
        <v>8200</v>
      </c>
      <c r="I26" s="273">
        <v>0</v>
      </c>
      <c r="J26" s="273">
        <v>0</v>
      </c>
      <c r="K26" s="273">
        <v>0</v>
      </c>
      <c r="L26" s="273">
        <v>0</v>
      </c>
      <c r="M26" s="273">
        <v>0</v>
      </c>
      <c r="N26" s="273">
        <v>0</v>
      </c>
      <c r="O26" s="273">
        <v>0</v>
      </c>
      <c r="P26" s="273">
        <v>0</v>
      </c>
      <c r="Q26" s="273">
        <v>0</v>
      </c>
      <c r="R26" s="273">
        <v>0</v>
      </c>
      <c r="S26" s="273">
        <v>147243</v>
      </c>
      <c r="T26" s="273">
        <f t="shared" si="1"/>
        <v>166393</v>
      </c>
      <c r="U26" s="273"/>
      <c r="V26" s="320">
        <f t="shared" si="0"/>
        <v>166393</v>
      </c>
    </row>
    <row r="27" spans="1:23" ht="25.8">
      <c r="A27" s="271">
        <v>23</v>
      </c>
      <c r="B27" s="272">
        <v>46014</v>
      </c>
      <c r="C27" s="273">
        <v>5400</v>
      </c>
      <c r="D27" s="273">
        <v>1200</v>
      </c>
      <c r="E27" s="273">
        <v>0</v>
      </c>
      <c r="F27" s="273">
        <v>0</v>
      </c>
      <c r="G27" s="273">
        <v>0</v>
      </c>
      <c r="H27" s="273">
        <v>7700</v>
      </c>
      <c r="I27" s="273">
        <v>0</v>
      </c>
      <c r="J27" s="273">
        <v>0</v>
      </c>
      <c r="K27" s="273">
        <v>0</v>
      </c>
      <c r="L27" s="273">
        <v>0</v>
      </c>
      <c r="M27" s="273">
        <v>0</v>
      </c>
      <c r="N27" s="273">
        <v>28750</v>
      </c>
      <c r="O27" s="273">
        <v>0</v>
      </c>
      <c r="P27" s="273">
        <v>0</v>
      </c>
      <c r="Q27" s="273">
        <v>0</v>
      </c>
      <c r="R27" s="273">
        <v>0</v>
      </c>
      <c r="S27" s="273">
        <v>77700</v>
      </c>
      <c r="T27" s="273">
        <f t="shared" si="1"/>
        <v>120750</v>
      </c>
      <c r="U27" s="273"/>
      <c r="V27" s="320">
        <f t="shared" si="0"/>
        <v>120750</v>
      </c>
    </row>
    <row r="28" spans="1:23" ht="25.8">
      <c r="A28" s="271">
        <v>24</v>
      </c>
      <c r="B28" s="272">
        <v>46015</v>
      </c>
      <c r="C28" s="273">
        <v>1500</v>
      </c>
      <c r="D28" s="273">
        <v>600</v>
      </c>
      <c r="E28" s="273">
        <v>0</v>
      </c>
      <c r="F28" s="273">
        <v>3000</v>
      </c>
      <c r="G28" s="273">
        <v>300</v>
      </c>
      <c r="H28" s="273">
        <v>1700</v>
      </c>
      <c r="I28" s="273">
        <v>2700</v>
      </c>
      <c r="J28" s="273">
        <v>0</v>
      </c>
      <c r="K28" s="273">
        <v>0</v>
      </c>
      <c r="L28" s="273">
        <v>0</v>
      </c>
      <c r="M28" s="273">
        <v>0</v>
      </c>
      <c r="N28" s="273">
        <v>11500</v>
      </c>
      <c r="O28" s="273">
        <v>0</v>
      </c>
      <c r="P28" s="273">
        <v>0</v>
      </c>
      <c r="Q28" s="273">
        <v>480000</v>
      </c>
      <c r="R28" s="273">
        <v>0</v>
      </c>
      <c r="S28" s="273">
        <v>3140128</v>
      </c>
      <c r="T28" s="273">
        <f t="shared" si="1"/>
        <v>3641428</v>
      </c>
      <c r="U28" s="273"/>
      <c r="V28" s="320">
        <f t="shared" si="0"/>
        <v>3641428</v>
      </c>
    </row>
    <row r="29" spans="1:23" ht="25.8">
      <c r="A29" s="271">
        <v>25</v>
      </c>
      <c r="B29" s="272">
        <v>46016</v>
      </c>
      <c r="C29" s="273">
        <v>8100</v>
      </c>
      <c r="D29" s="273">
        <v>600</v>
      </c>
      <c r="E29" s="273">
        <v>0</v>
      </c>
      <c r="F29" s="273">
        <v>0</v>
      </c>
      <c r="G29" s="273">
        <v>0</v>
      </c>
      <c r="H29" s="273">
        <v>5700</v>
      </c>
      <c r="I29" s="273">
        <v>300</v>
      </c>
      <c r="J29" s="273">
        <v>0</v>
      </c>
      <c r="K29" s="273">
        <v>0</v>
      </c>
      <c r="L29" s="273">
        <v>0</v>
      </c>
      <c r="M29" s="273">
        <v>10000</v>
      </c>
      <c r="N29" s="273">
        <v>6500</v>
      </c>
      <c r="O29" s="273">
        <v>0</v>
      </c>
      <c r="P29" s="273">
        <v>0</v>
      </c>
      <c r="Q29" s="273">
        <v>0</v>
      </c>
      <c r="R29" s="273">
        <v>0</v>
      </c>
      <c r="S29" s="273">
        <v>235737</v>
      </c>
      <c r="T29" s="273">
        <f t="shared" si="1"/>
        <v>266937</v>
      </c>
      <c r="U29" s="273">
        <v>247040</v>
      </c>
      <c r="V29" s="320">
        <f t="shared" si="0"/>
        <v>19897</v>
      </c>
    </row>
    <row r="30" spans="1:23" ht="24.6" customHeight="1">
      <c r="A30" s="274"/>
      <c r="B30" s="275" t="s">
        <v>1089</v>
      </c>
      <c r="C30" s="276">
        <f>SUM(C5:C29)</f>
        <v>89100</v>
      </c>
      <c r="D30" s="276">
        <f t="shared" ref="D30:T30" si="2">SUM(D5:D29)</f>
        <v>34050</v>
      </c>
      <c r="E30" s="276">
        <f t="shared" si="2"/>
        <v>1500</v>
      </c>
      <c r="F30" s="276">
        <f t="shared" si="2"/>
        <v>7500</v>
      </c>
      <c r="G30" s="276">
        <f t="shared" si="2"/>
        <v>300</v>
      </c>
      <c r="H30" s="276">
        <f t="shared" si="2"/>
        <v>109100</v>
      </c>
      <c r="I30" s="276">
        <f t="shared" si="2"/>
        <v>17000</v>
      </c>
      <c r="J30" s="276">
        <f t="shared" si="2"/>
        <v>0</v>
      </c>
      <c r="K30" s="276">
        <f t="shared" si="2"/>
        <v>200</v>
      </c>
      <c r="L30" s="276">
        <f t="shared" si="2"/>
        <v>3000</v>
      </c>
      <c r="M30" s="276">
        <f t="shared" si="2"/>
        <v>78450</v>
      </c>
      <c r="N30" s="276">
        <f t="shared" si="2"/>
        <v>261400</v>
      </c>
      <c r="O30" s="276">
        <f t="shared" si="2"/>
        <v>0</v>
      </c>
      <c r="P30" s="276">
        <f t="shared" si="2"/>
        <v>0</v>
      </c>
      <c r="Q30" s="276">
        <f t="shared" si="2"/>
        <v>635000</v>
      </c>
      <c r="R30" s="276">
        <f t="shared" si="2"/>
        <v>508000</v>
      </c>
      <c r="S30" s="276">
        <f t="shared" si="2"/>
        <v>5319274</v>
      </c>
      <c r="T30" s="276">
        <f t="shared" si="2"/>
        <v>7063874</v>
      </c>
      <c r="V30" s="320">
        <f t="shared" si="0"/>
        <v>7063874</v>
      </c>
    </row>
    <row r="31" spans="1:23" ht="25.8">
      <c r="A31" s="6"/>
      <c r="B31" s="277"/>
      <c r="C31" s="278"/>
      <c r="D31" s="293"/>
      <c r="E31" s="294" t="s">
        <v>1151</v>
      </c>
      <c r="F31" s="294"/>
      <c r="G31" s="294"/>
      <c r="H31" s="279">
        <f>T30</f>
        <v>7063874</v>
      </c>
      <c r="I31" s="278"/>
      <c r="J31" s="279"/>
      <c r="K31" s="279"/>
      <c r="L31" s="279"/>
      <c r="M31" s="279"/>
      <c r="N31" s="278"/>
      <c r="O31" s="278"/>
      <c r="P31" s="278"/>
      <c r="Q31" s="279"/>
      <c r="R31" s="279"/>
      <c r="S31" s="279"/>
      <c r="T31" s="279"/>
      <c r="V31" s="320"/>
    </row>
    <row r="32" spans="1:23" ht="25.8">
      <c r="A32" s="6"/>
      <c r="B32" s="277"/>
      <c r="C32" s="278"/>
      <c r="D32" s="271"/>
      <c r="E32" s="295" t="s">
        <v>1152</v>
      </c>
      <c r="F32" s="328"/>
      <c r="G32" s="328"/>
      <c r="H32" s="279">
        <f>'data base '!U124</f>
        <v>791409.9</v>
      </c>
      <c r="I32" s="278"/>
      <c r="N32" s="278"/>
      <c r="O32" s="278"/>
      <c r="P32" s="278"/>
      <c r="Q32" s="279"/>
      <c r="R32" s="279"/>
      <c r="S32" s="279"/>
      <c r="T32" s="279"/>
      <c r="V32" s="320"/>
    </row>
    <row r="33" spans="1:22" ht="25.8">
      <c r="A33" s="6"/>
      <c r="B33" s="277"/>
      <c r="C33" s="278"/>
      <c r="D33" s="271"/>
      <c r="E33" s="295" t="s">
        <v>1153</v>
      </c>
      <c r="F33" s="328"/>
      <c r="G33" s="328"/>
      <c r="H33" s="279">
        <v>819000</v>
      </c>
      <c r="I33" s="278"/>
      <c r="N33" s="278"/>
      <c r="O33" s="278"/>
      <c r="P33" s="278"/>
      <c r="Q33" s="279"/>
      <c r="R33" s="279"/>
      <c r="S33" s="279"/>
      <c r="T33" s="279"/>
      <c r="V33" s="320"/>
    </row>
    <row r="34" spans="1:22" ht="25.8">
      <c r="A34" s="6"/>
      <c r="B34" s="277"/>
      <c r="C34" s="278"/>
      <c r="D34" s="271"/>
      <c r="E34" s="296" t="s">
        <v>1154</v>
      </c>
      <c r="F34" s="329"/>
      <c r="G34" s="329"/>
      <c r="H34" s="276">
        <f>SUM(H31:H33)</f>
        <v>8674283.9000000004</v>
      </c>
      <c r="I34" s="278"/>
      <c r="N34" s="278"/>
      <c r="O34" s="278"/>
      <c r="P34" s="278"/>
      <c r="Q34" s="279"/>
      <c r="R34" s="279"/>
      <c r="S34" s="279"/>
      <c r="T34" s="279"/>
    </row>
    <row r="35" spans="1:22">
      <c r="A35" s="6"/>
      <c r="B35" s="280"/>
    </row>
    <row r="43" spans="1:22">
      <c r="M43" s="8" t="s">
        <v>945</v>
      </c>
    </row>
  </sheetData>
  <mergeCells count="3">
    <mergeCell ref="A1:T1"/>
    <mergeCell ref="A2:T2"/>
    <mergeCell ref="A3:T3"/>
  </mergeCells>
  <pageMargins left="0.7" right="0.7" top="0.75" bottom="0.75" header="0.3" footer="0.3"/>
  <pageSetup paperSize="9" scale="2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AFCE-7E78-457A-9D76-D672C9D8B2A1}">
  <dimension ref="A4:J36"/>
  <sheetViews>
    <sheetView topLeftCell="A7" zoomScale="115" zoomScaleNormal="115" workbookViewId="0">
      <selection activeCell="B27" sqref="B27"/>
    </sheetView>
  </sheetViews>
  <sheetFormatPr defaultRowHeight="14.4"/>
  <cols>
    <col min="1" max="1" width="10.88671875" style="190" bestFit="1" customWidth="1"/>
    <col min="2" max="2" width="17.33203125" bestFit="1" customWidth="1"/>
    <col min="3" max="3" width="10.109375" bestFit="1" customWidth="1"/>
    <col min="4" max="4" width="11.5546875" style="146" bestFit="1" customWidth="1"/>
    <col min="5" max="5" width="11.5546875" style="146" customWidth="1"/>
    <col min="6" max="6" width="13.109375" bestFit="1" customWidth="1"/>
    <col min="7" max="7" width="18.6640625" bestFit="1" customWidth="1"/>
    <col min="8" max="8" width="12.88671875" bestFit="1" customWidth="1"/>
    <col min="9" max="9" width="24.109375" bestFit="1" customWidth="1"/>
    <col min="10" max="10" width="12.88671875" bestFit="1" customWidth="1"/>
  </cols>
  <sheetData>
    <row r="4" spans="1:10">
      <c r="A4" s="332" t="s">
        <v>1084</v>
      </c>
      <c r="B4" s="245" t="s">
        <v>1085</v>
      </c>
      <c r="C4" s="245" t="s">
        <v>1086</v>
      </c>
      <c r="D4" s="245" t="s">
        <v>1220</v>
      </c>
      <c r="E4" s="245" t="s">
        <v>1221</v>
      </c>
      <c r="F4" s="245" t="s">
        <v>1222</v>
      </c>
      <c r="G4" s="245" t="s">
        <v>1223</v>
      </c>
      <c r="H4" s="245" t="s">
        <v>1224</v>
      </c>
      <c r="I4" s="245" t="s">
        <v>1087</v>
      </c>
      <c r="J4" s="331" t="s">
        <v>1225</v>
      </c>
    </row>
    <row r="5" spans="1:10">
      <c r="A5" s="333">
        <v>45984.941446759258</v>
      </c>
      <c r="B5" s="330" t="s">
        <v>1196</v>
      </c>
      <c r="C5" s="330" t="s">
        <v>1218</v>
      </c>
      <c r="D5" s="5">
        <v>6140</v>
      </c>
      <c r="E5" s="5">
        <f>+D5*1.5/100</f>
        <v>92.1</v>
      </c>
      <c r="F5" s="5">
        <f>E5*15/100</f>
        <v>13.815</v>
      </c>
      <c r="G5" s="5">
        <f>D5-E5-F5</f>
        <v>6034.085</v>
      </c>
      <c r="H5" s="8" t="s">
        <v>1226</v>
      </c>
      <c r="I5" s="8" t="s">
        <v>1052</v>
      </c>
      <c r="J5" s="8" t="s">
        <v>1229</v>
      </c>
    </row>
    <row r="6" spans="1:10">
      <c r="A6" s="333">
        <v>45985.941446701392</v>
      </c>
      <c r="B6" s="330" t="s">
        <v>1197</v>
      </c>
      <c r="C6" s="330" t="s">
        <v>1218</v>
      </c>
      <c r="D6" s="5">
        <v>6375</v>
      </c>
      <c r="E6" s="5">
        <f t="shared" ref="E6:E26" si="0">+D6*1.5/100</f>
        <v>95.625</v>
      </c>
      <c r="F6" s="5">
        <f t="shared" ref="F6:F26" si="1">E6*15/100</f>
        <v>14.34375</v>
      </c>
      <c r="G6" s="5">
        <f t="shared" ref="G6:G26" si="2">D6-E6-F6</f>
        <v>6265.03125</v>
      </c>
      <c r="H6" s="8" t="s">
        <v>1227</v>
      </c>
      <c r="I6" s="8" t="s">
        <v>1230</v>
      </c>
      <c r="J6" s="8" t="s">
        <v>1231</v>
      </c>
    </row>
    <row r="7" spans="1:10">
      <c r="A7" s="333">
        <v>45986.941446701392</v>
      </c>
      <c r="B7" s="330" t="s">
        <v>1198</v>
      </c>
      <c r="C7" s="330" t="s">
        <v>1218</v>
      </c>
      <c r="D7" s="5">
        <v>6140</v>
      </c>
      <c r="E7" s="5">
        <f t="shared" si="0"/>
        <v>92.1</v>
      </c>
      <c r="F7" s="5">
        <f t="shared" si="1"/>
        <v>13.815</v>
      </c>
      <c r="G7" s="5">
        <f t="shared" si="2"/>
        <v>6034.085</v>
      </c>
      <c r="H7" s="8" t="s">
        <v>1226</v>
      </c>
      <c r="I7" s="8" t="s">
        <v>1052</v>
      </c>
      <c r="J7" s="8" t="s">
        <v>1229</v>
      </c>
    </row>
    <row r="8" spans="1:10">
      <c r="A8" s="333">
        <v>45987.941446701392</v>
      </c>
      <c r="B8" s="330" t="s">
        <v>1199</v>
      </c>
      <c r="C8" s="330" t="s">
        <v>1218</v>
      </c>
      <c r="D8" s="5">
        <v>1020</v>
      </c>
      <c r="E8" s="5">
        <f t="shared" si="0"/>
        <v>15.3</v>
      </c>
      <c r="F8" s="5">
        <f t="shared" si="1"/>
        <v>2.2949999999999999</v>
      </c>
      <c r="G8" s="5">
        <f t="shared" si="2"/>
        <v>1002.4050000000001</v>
      </c>
      <c r="H8" s="8" t="s">
        <v>1227</v>
      </c>
      <c r="I8" s="8" t="s">
        <v>1230</v>
      </c>
    </row>
    <row r="9" spans="1:10">
      <c r="A9" s="333">
        <v>45988.941446701392</v>
      </c>
      <c r="B9" s="330" t="s">
        <v>1200</v>
      </c>
      <c r="C9" s="330" t="s">
        <v>1218</v>
      </c>
      <c r="D9" s="5">
        <v>6140</v>
      </c>
      <c r="E9" s="5">
        <f t="shared" si="0"/>
        <v>92.1</v>
      </c>
      <c r="F9" s="5">
        <f t="shared" si="1"/>
        <v>13.815</v>
      </c>
      <c r="G9" s="5">
        <f t="shared" si="2"/>
        <v>6034.085</v>
      </c>
      <c r="H9" s="8" t="s">
        <v>1226</v>
      </c>
      <c r="I9" s="8" t="s">
        <v>1052</v>
      </c>
      <c r="J9" s="8" t="s">
        <v>1229</v>
      </c>
    </row>
    <row r="10" spans="1:10">
      <c r="A10" s="333">
        <v>45989.941446701392</v>
      </c>
      <c r="B10" s="330" t="s">
        <v>1201</v>
      </c>
      <c r="C10" s="330" t="s">
        <v>1218</v>
      </c>
      <c r="D10" s="5">
        <v>1020</v>
      </c>
      <c r="E10" s="5">
        <f t="shared" si="0"/>
        <v>15.3</v>
      </c>
      <c r="F10" s="5">
        <f t="shared" si="1"/>
        <v>2.2949999999999999</v>
      </c>
      <c r="G10" s="5">
        <f t="shared" si="2"/>
        <v>1002.4050000000001</v>
      </c>
      <c r="H10" s="8" t="s">
        <v>1228</v>
      </c>
      <c r="I10" s="8" t="s">
        <v>650</v>
      </c>
      <c r="J10" s="8" t="s">
        <v>1232</v>
      </c>
    </row>
    <row r="11" spans="1:10">
      <c r="A11" s="333">
        <v>45990.941446701392</v>
      </c>
      <c r="B11" s="330" t="s">
        <v>1202</v>
      </c>
      <c r="C11" s="330" t="s">
        <v>1218</v>
      </c>
      <c r="D11" s="5">
        <v>7038</v>
      </c>
      <c r="E11" s="5">
        <f t="shared" si="0"/>
        <v>105.57</v>
      </c>
      <c r="F11" s="5">
        <f t="shared" si="1"/>
        <v>15.8355</v>
      </c>
      <c r="G11" s="5">
        <f t="shared" si="2"/>
        <v>6916.5945000000002</v>
      </c>
      <c r="H11" s="8" t="s">
        <v>1227</v>
      </c>
    </row>
    <row r="12" spans="1:10">
      <c r="A12" s="333">
        <v>45991.941446701392</v>
      </c>
      <c r="B12" s="330" t="s">
        <v>1203</v>
      </c>
      <c r="C12" s="330" t="s">
        <v>1218</v>
      </c>
      <c r="D12" s="5">
        <v>6140</v>
      </c>
      <c r="E12" s="5">
        <f t="shared" si="0"/>
        <v>92.1</v>
      </c>
      <c r="F12" s="5">
        <f t="shared" si="1"/>
        <v>13.815</v>
      </c>
      <c r="G12" s="5">
        <f t="shared" si="2"/>
        <v>6034.085</v>
      </c>
      <c r="H12" s="8" t="s">
        <v>1226</v>
      </c>
      <c r="I12" s="8" t="s">
        <v>1052</v>
      </c>
      <c r="J12" s="8" t="s">
        <v>1229</v>
      </c>
    </row>
    <row r="13" spans="1:10">
      <c r="A13" s="333">
        <v>45991.941446701392</v>
      </c>
      <c r="B13" s="330" t="s">
        <v>1204</v>
      </c>
      <c r="C13" s="330" t="s">
        <v>1218</v>
      </c>
      <c r="D13" s="5">
        <v>142227.78</v>
      </c>
      <c r="E13" s="5">
        <f t="shared" si="0"/>
        <v>2133.4166999999998</v>
      </c>
      <c r="F13" s="5">
        <f t="shared" si="1"/>
        <v>320.01250499999992</v>
      </c>
      <c r="G13" s="5">
        <f t="shared" si="2"/>
        <v>139774.35079500001</v>
      </c>
      <c r="H13" s="5"/>
    </row>
    <row r="14" spans="1:10">
      <c r="A14" s="333">
        <v>45993.941446701392</v>
      </c>
      <c r="B14" s="330" t="s">
        <v>1205</v>
      </c>
      <c r="C14" s="330" t="s">
        <v>1219</v>
      </c>
      <c r="D14" s="5">
        <v>2040</v>
      </c>
      <c r="E14" s="5">
        <f t="shared" si="0"/>
        <v>30.6</v>
      </c>
      <c r="F14" s="5">
        <f t="shared" si="1"/>
        <v>4.59</v>
      </c>
      <c r="G14" s="5">
        <f t="shared" si="2"/>
        <v>2004.8100000000002</v>
      </c>
      <c r="H14" s="5"/>
    </row>
    <row r="15" spans="1:10">
      <c r="A15" s="333">
        <v>45994.941446701392</v>
      </c>
      <c r="B15" s="330" t="s">
        <v>1206</v>
      </c>
      <c r="C15" s="330" t="s">
        <v>1219</v>
      </c>
      <c r="D15" s="5">
        <v>35109</v>
      </c>
      <c r="E15" s="5">
        <f t="shared" si="0"/>
        <v>526.63499999999999</v>
      </c>
      <c r="F15" s="5">
        <f t="shared" si="1"/>
        <v>78.995249999999999</v>
      </c>
      <c r="G15" s="5">
        <f t="shared" si="2"/>
        <v>34503.369749999998</v>
      </c>
      <c r="H15" s="5"/>
    </row>
    <row r="16" spans="1:10">
      <c r="A16" s="333">
        <v>45995.941446701392</v>
      </c>
      <c r="B16" s="330" t="s">
        <v>1207</v>
      </c>
      <c r="C16" s="330" t="s">
        <v>1219</v>
      </c>
      <c r="D16" s="5">
        <v>10200</v>
      </c>
      <c r="E16" s="5">
        <f t="shared" si="0"/>
        <v>153</v>
      </c>
      <c r="F16" s="5">
        <f t="shared" si="1"/>
        <v>22.95</v>
      </c>
      <c r="G16" s="5">
        <f t="shared" si="2"/>
        <v>10024.049999999999</v>
      </c>
      <c r="H16" s="5"/>
    </row>
    <row r="17" spans="1:8">
      <c r="A17" s="333">
        <v>45996.941446701392</v>
      </c>
      <c r="B17" s="330" t="s">
        <v>1208</v>
      </c>
      <c r="C17" s="330" t="s">
        <v>1219</v>
      </c>
      <c r="D17" s="5">
        <v>5100</v>
      </c>
      <c r="E17" s="5">
        <f t="shared" si="0"/>
        <v>76.5</v>
      </c>
      <c r="F17" s="5">
        <f t="shared" si="1"/>
        <v>11.475</v>
      </c>
      <c r="G17" s="5">
        <f t="shared" si="2"/>
        <v>5012.0249999999996</v>
      </c>
      <c r="H17" s="5"/>
    </row>
    <row r="18" spans="1:8">
      <c r="A18" s="333">
        <v>45997.941446701392</v>
      </c>
      <c r="B18" s="330" t="s">
        <v>1209</v>
      </c>
      <c r="C18" s="330" t="s">
        <v>1219</v>
      </c>
      <c r="D18" s="5">
        <v>1173</v>
      </c>
      <c r="E18" s="5">
        <f t="shared" si="0"/>
        <v>17.594999999999999</v>
      </c>
      <c r="F18" s="5">
        <f t="shared" si="1"/>
        <v>2.6392499999999997</v>
      </c>
      <c r="G18" s="5">
        <f t="shared" si="2"/>
        <v>1152.76575</v>
      </c>
      <c r="H18" s="5"/>
    </row>
    <row r="19" spans="1:8">
      <c r="A19" s="333">
        <v>45998.941446701392</v>
      </c>
      <c r="B19" s="330" t="s">
        <v>1210</v>
      </c>
      <c r="C19" s="330" t="s">
        <v>1219</v>
      </c>
      <c r="D19" s="5">
        <v>2448</v>
      </c>
      <c r="E19" s="5">
        <f t="shared" si="0"/>
        <v>36.72</v>
      </c>
      <c r="F19" s="5">
        <f t="shared" si="1"/>
        <v>5.5079999999999991</v>
      </c>
      <c r="G19" s="5">
        <f t="shared" si="2"/>
        <v>2405.7720000000004</v>
      </c>
      <c r="H19" s="5"/>
    </row>
    <row r="20" spans="1:8">
      <c r="A20" s="333">
        <v>45999.941446701392</v>
      </c>
      <c r="B20" s="330" t="s">
        <v>1211</v>
      </c>
      <c r="C20" s="330" t="s">
        <v>1219</v>
      </c>
      <c r="D20" s="5">
        <v>12240</v>
      </c>
      <c r="E20" s="5">
        <f t="shared" si="0"/>
        <v>183.6</v>
      </c>
      <c r="F20" s="5">
        <f t="shared" si="1"/>
        <v>27.54</v>
      </c>
      <c r="G20" s="5">
        <f t="shared" si="2"/>
        <v>12028.859999999999</v>
      </c>
      <c r="H20" s="5"/>
    </row>
    <row r="21" spans="1:8">
      <c r="A21" s="333">
        <v>46000.941446701392</v>
      </c>
      <c r="B21" s="330" t="s">
        <v>1212</v>
      </c>
      <c r="C21" s="330" t="s">
        <v>1219</v>
      </c>
      <c r="D21" s="5">
        <v>821</v>
      </c>
      <c r="E21" s="5">
        <f t="shared" si="0"/>
        <v>12.315</v>
      </c>
      <c r="F21" s="5">
        <f t="shared" si="1"/>
        <v>1.8472499999999998</v>
      </c>
      <c r="G21" s="5">
        <f t="shared" si="2"/>
        <v>806.83774999999991</v>
      </c>
      <c r="H21" s="5"/>
    </row>
    <row r="22" spans="1:8">
      <c r="A22" s="333">
        <v>46001.941446701392</v>
      </c>
      <c r="B22" s="330" t="s">
        <v>1213</v>
      </c>
      <c r="C22" s="330" t="s">
        <v>1219</v>
      </c>
      <c r="D22" s="5">
        <v>20910</v>
      </c>
      <c r="E22" s="5">
        <f t="shared" si="0"/>
        <v>313.64999999999998</v>
      </c>
      <c r="F22" s="5">
        <f t="shared" si="1"/>
        <v>47.047499999999999</v>
      </c>
      <c r="G22" s="5">
        <f t="shared" si="2"/>
        <v>20549.302499999998</v>
      </c>
      <c r="H22" s="5"/>
    </row>
    <row r="23" spans="1:8">
      <c r="A23" s="333">
        <v>46002.941446701392</v>
      </c>
      <c r="B23" s="330" t="s">
        <v>1214</v>
      </c>
      <c r="C23" s="330" t="s">
        <v>1219</v>
      </c>
      <c r="D23" s="5">
        <v>500</v>
      </c>
      <c r="E23" s="5">
        <f t="shared" si="0"/>
        <v>7.5</v>
      </c>
      <c r="F23" s="5">
        <f t="shared" si="1"/>
        <v>1.125</v>
      </c>
      <c r="G23" s="5">
        <f t="shared" si="2"/>
        <v>491.375</v>
      </c>
      <c r="H23" s="5"/>
    </row>
    <row r="24" spans="1:8">
      <c r="A24" s="333">
        <v>46003.941446701392</v>
      </c>
      <c r="B24" s="330" t="s">
        <v>1215</v>
      </c>
      <c r="C24" s="330" t="s">
        <v>1219</v>
      </c>
      <c r="D24" s="5">
        <v>2448</v>
      </c>
      <c r="E24" s="5">
        <f t="shared" si="0"/>
        <v>36.72</v>
      </c>
      <c r="F24" s="5">
        <f t="shared" si="1"/>
        <v>5.5079999999999991</v>
      </c>
      <c r="G24" s="5">
        <f t="shared" si="2"/>
        <v>2405.7720000000004</v>
      </c>
      <c r="H24" s="5"/>
    </row>
    <row r="25" spans="1:8">
      <c r="A25" s="333">
        <v>46004.941446701392</v>
      </c>
      <c r="B25" s="330" t="s">
        <v>1216</v>
      </c>
      <c r="C25" s="330" t="s">
        <v>1219</v>
      </c>
      <c r="D25" s="5">
        <v>11424</v>
      </c>
      <c r="E25" s="5">
        <f t="shared" si="0"/>
        <v>171.36</v>
      </c>
      <c r="F25" s="5">
        <f t="shared" si="1"/>
        <v>25.704000000000001</v>
      </c>
      <c r="G25" s="5">
        <f t="shared" si="2"/>
        <v>11226.936</v>
      </c>
      <c r="H25" s="5"/>
    </row>
    <row r="26" spans="1:8">
      <c r="A26" s="333">
        <v>46005.941446701392</v>
      </c>
      <c r="B26" s="330" t="s">
        <v>1217</v>
      </c>
      <c r="C26" s="330" t="s">
        <v>1219</v>
      </c>
      <c r="D26" s="5">
        <v>6140</v>
      </c>
      <c r="E26" s="5">
        <f t="shared" si="0"/>
        <v>92.1</v>
      </c>
      <c r="F26" s="5">
        <f t="shared" si="1"/>
        <v>13.815</v>
      </c>
      <c r="G26" s="5">
        <f t="shared" si="2"/>
        <v>6034.085</v>
      </c>
      <c r="H26" s="5"/>
    </row>
    <row r="27" spans="1:8">
      <c r="A27" s="333"/>
      <c r="B27" s="330"/>
      <c r="C27" s="330"/>
      <c r="D27" s="5"/>
      <c r="E27" s="5"/>
      <c r="F27" s="5"/>
      <c r="G27" s="5"/>
      <c r="H27" s="5"/>
    </row>
    <row r="28" spans="1:8">
      <c r="A28" s="333"/>
      <c r="B28" s="330"/>
      <c r="C28" s="330"/>
      <c r="D28" s="5"/>
      <c r="E28" s="5"/>
      <c r="F28" s="5"/>
      <c r="G28" s="5"/>
      <c r="H28" s="5"/>
    </row>
    <row r="29" spans="1:8">
      <c r="A29" s="333"/>
      <c r="B29" s="330"/>
      <c r="C29" s="330"/>
      <c r="D29" s="5"/>
      <c r="E29" s="5"/>
      <c r="F29" s="5"/>
      <c r="G29" s="5"/>
      <c r="H29" s="5"/>
    </row>
    <row r="30" spans="1:8">
      <c r="A30" s="333"/>
      <c r="B30" s="330"/>
      <c r="C30" s="330"/>
      <c r="D30" s="5"/>
      <c r="E30" s="5"/>
      <c r="F30" s="5"/>
      <c r="G30" s="5"/>
      <c r="H30" s="5"/>
    </row>
    <row r="31" spans="1:8">
      <c r="A31" s="333"/>
      <c r="B31" s="330"/>
      <c r="C31" s="330"/>
      <c r="D31" s="5"/>
      <c r="E31" s="5"/>
      <c r="F31" s="5"/>
      <c r="G31" s="5"/>
      <c r="H31" s="5"/>
    </row>
    <row r="32" spans="1:8">
      <c r="A32" s="333"/>
      <c r="B32" s="330"/>
      <c r="C32" s="330"/>
      <c r="D32" s="5"/>
      <c r="E32" s="5"/>
      <c r="F32" s="5"/>
      <c r="G32" s="5"/>
      <c r="H32" s="5"/>
    </row>
    <row r="33" spans="1:8">
      <c r="A33" s="333"/>
      <c r="B33" s="330"/>
      <c r="C33" s="330"/>
      <c r="D33" s="5"/>
      <c r="E33" s="5"/>
      <c r="F33" s="5"/>
      <c r="G33" s="5"/>
      <c r="H33" s="5"/>
    </row>
    <row r="34" spans="1:8">
      <c r="A34" s="333"/>
      <c r="B34" s="330"/>
      <c r="C34" s="330"/>
      <c r="D34" s="5"/>
      <c r="E34" s="5"/>
      <c r="F34" s="5"/>
      <c r="G34" s="5"/>
      <c r="H34" s="5"/>
    </row>
    <row r="35" spans="1:8">
      <c r="A35" s="333"/>
      <c r="B35" s="330"/>
      <c r="C35" s="330"/>
      <c r="D35" s="5"/>
      <c r="E35" s="5"/>
      <c r="F35" s="5"/>
      <c r="G35" s="5"/>
      <c r="H35" s="5"/>
    </row>
    <row r="36" spans="1:8">
      <c r="A36" s="333"/>
      <c r="B36" s="330"/>
      <c r="C36" s="330"/>
      <c r="D36" s="5"/>
      <c r="E36" s="5"/>
      <c r="F36" s="5"/>
      <c r="G36" s="5"/>
      <c r="H36" s="5"/>
    </row>
  </sheetData>
  <autoFilter ref="A4:I4" xr:uid="{8254AFCE-7E78-457A-9D76-D672C9D8B2A1}">
    <sortState xmlns:xlrd2="http://schemas.microsoft.com/office/spreadsheetml/2017/richdata2" ref="A4:I5">
      <sortCondition ref="C4"/>
    </sortState>
  </autoFilter>
  <phoneticPr fontId="50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G199"/>
  <sheetViews>
    <sheetView view="pageBreakPreview" topLeftCell="A7" zoomScale="130" zoomScaleNormal="70" zoomScaleSheetLayoutView="130" zoomScalePageLayoutView="55" workbookViewId="0">
      <selection activeCell="F27" sqref="F27"/>
    </sheetView>
  </sheetViews>
  <sheetFormatPr defaultColWidth="9.33203125" defaultRowHeight="13.8"/>
  <cols>
    <col min="1" max="1" width="20.5546875" style="17" customWidth="1"/>
    <col min="2" max="2" width="2.33203125" style="17" customWidth="1"/>
    <col min="3" max="3" width="12.33203125" style="17" customWidth="1"/>
    <col min="4" max="4" width="7.33203125" style="17" customWidth="1"/>
    <col min="5" max="5" width="44.6640625" style="185" bestFit="1" customWidth="1"/>
    <col min="6" max="6" width="43.5546875" style="18" customWidth="1"/>
    <col min="7" max="7" width="20.6640625" style="17" customWidth="1"/>
    <col min="8" max="8" width="14.6640625" style="17" customWidth="1"/>
    <col min="9" max="16384" width="9.33203125" style="17"/>
  </cols>
  <sheetData>
    <row r="1" spans="1:7" ht="39" customHeight="1">
      <c r="A1" s="423"/>
      <c r="B1" s="411"/>
      <c r="C1" s="417" t="s">
        <v>410</v>
      </c>
      <c r="D1" s="418"/>
      <c r="E1" s="418"/>
      <c r="F1" s="419"/>
    </row>
    <row r="2" spans="1:7" ht="64.5" customHeight="1">
      <c r="A2" s="424"/>
      <c r="B2" s="412"/>
      <c r="C2" s="414" t="s">
        <v>752</v>
      </c>
      <c r="D2" s="415"/>
      <c r="E2" s="415"/>
      <c r="F2" s="416"/>
    </row>
    <row r="3" spans="1:7" ht="22.2" customHeight="1" thickBot="1">
      <c r="A3" s="140" t="s">
        <v>977</v>
      </c>
      <c r="B3" s="412"/>
      <c r="C3" s="425" t="s">
        <v>15</v>
      </c>
      <c r="D3" s="426"/>
      <c r="E3" s="427"/>
      <c r="F3" s="136" t="str">
        <f>VLOOKUP(C3,MEMBERS!B:C,2, )</f>
        <v>MR.GHULAM NABI OTHI</v>
      </c>
    </row>
    <row r="4" spans="1:7" ht="22.2" customHeight="1">
      <c r="A4" s="434"/>
      <c r="B4" s="412"/>
      <c r="C4" s="428" t="s">
        <v>416</v>
      </c>
      <c r="D4" s="429"/>
      <c r="E4" s="429"/>
      <c r="F4" s="430"/>
    </row>
    <row r="5" spans="1:7" ht="22.2" customHeight="1">
      <c r="A5" s="435"/>
      <c r="B5" s="412"/>
      <c r="C5" s="390" t="s">
        <v>1079</v>
      </c>
      <c r="D5" s="391"/>
      <c r="E5" s="392"/>
      <c r="F5" s="52">
        <f>F8+F10+F11-F9</f>
        <v>72464.7</v>
      </c>
    </row>
    <row r="6" spans="1:7" ht="22.2" customHeight="1">
      <c r="A6" s="435"/>
      <c r="B6" s="412"/>
      <c r="C6" s="383" t="s">
        <v>750</v>
      </c>
      <c r="D6" s="384"/>
      <c r="E6" s="385"/>
      <c r="F6" s="52">
        <f>F11*0.1</f>
        <v>7246.47</v>
      </c>
    </row>
    <row r="7" spans="1:7" ht="22.2" customHeight="1">
      <c r="A7" s="435"/>
      <c r="B7" s="412"/>
      <c r="C7" s="383" t="s">
        <v>460</v>
      </c>
      <c r="D7" s="384"/>
      <c r="E7" s="385"/>
      <c r="F7" s="52">
        <f>F5+F6</f>
        <v>79711.17</v>
      </c>
    </row>
    <row r="8" spans="1:7" ht="22.2" customHeight="1">
      <c r="A8" s="435"/>
      <c r="B8" s="412"/>
      <c r="C8" s="383" t="s">
        <v>1158</v>
      </c>
      <c r="D8" s="384"/>
      <c r="E8" s="385"/>
      <c r="F8" s="52">
        <f>SUMIFS('FIXED AMOUNT'!E:E,'FIXED AMOUNT'!B:B,BILL!C3)</f>
        <v>0</v>
      </c>
    </row>
    <row r="9" spans="1:7" ht="22.2" customHeight="1">
      <c r="A9" s="435"/>
      <c r="B9" s="412"/>
      <c r="C9" s="383" t="s">
        <v>1162</v>
      </c>
      <c r="D9" s="384"/>
      <c r="E9" s="385"/>
      <c r="F9" s="52">
        <f>SUMIFS('FIXED AMOUNT'!F:F,'FIXED AMOUNT'!B:B,BILL!C3)</f>
        <v>0</v>
      </c>
    </row>
    <row r="10" spans="1:7" ht="22.2" customHeight="1">
      <c r="A10" s="435"/>
      <c r="B10" s="412"/>
      <c r="C10" s="393" t="s">
        <v>415</v>
      </c>
      <c r="D10" s="394"/>
      <c r="E10" s="395"/>
      <c r="F10" s="52">
        <f>F39</f>
        <v>0</v>
      </c>
    </row>
    <row r="11" spans="1:7" ht="22.2" customHeight="1">
      <c r="A11" s="435"/>
      <c r="B11" s="412"/>
      <c r="C11" s="383" t="s">
        <v>458</v>
      </c>
      <c r="D11" s="384"/>
      <c r="E11" s="385"/>
      <c r="F11" s="52">
        <f>SUM(F17,F35)</f>
        <v>72464.7</v>
      </c>
    </row>
    <row r="12" spans="1:7" ht="22.2" customHeight="1" thickBot="1">
      <c r="A12" s="435"/>
      <c r="B12" s="412"/>
      <c r="C12" s="399" t="s">
        <v>397</v>
      </c>
      <c r="D12" s="400"/>
      <c r="E12" s="401"/>
      <c r="F12" s="137" t="s">
        <v>1080</v>
      </c>
    </row>
    <row r="13" spans="1:7" ht="22.2" customHeight="1">
      <c r="A13" s="435"/>
      <c r="B13" s="412"/>
      <c r="C13" s="428" t="s">
        <v>398</v>
      </c>
      <c r="D13" s="429"/>
      <c r="E13" s="429"/>
      <c r="F13" s="430"/>
      <c r="G13" s="17" t="s">
        <v>945</v>
      </c>
    </row>
    <row r="14" spans="1:7" ht="22.2" customHeight="1">
      <c r="A14" s="435"/>
      <c r="B14" s="412"/>
      <c r="C14" s="383" t="s">
        <v>743</v>
      </c>
      <c r="D14" s="384"/>
      <c r="E14" s="385"/>
      <c r="F14" s="53">
        <f>SUMIFS('FIXED AMOUNT'!G:G,'FIXED AMOUNT'!B:B,BILL!C3)</f>
        <v>7000</v>
      </c>
    </row>
    <row r="15" spans="1:7" ht="22.2" customHeight="1">
      <c r="A15" s="435"/>
      <c r="B15" s="412"/>
      <c r="C15" s="383" t="s">
        <v>399</v>
      </c>
      <c r="D15" s="384"/>
      <c r="E15" s="385"/>
      <c r="F15" s="53">
        <f>SUMIFS(FACILITIES!R:R,FACILITIES!B:B,BILL!C3)</f>
        <v>0</v>
      </c>
    </row>
    <row r="16" spans="1:7" ht="22.2" customHeight="1">
      <c r="A16" s="435"/>
      <c r="B16" s="412"/>
      <c r="C16" s="383" t="s">
        <v>1101</v>
      </c>
      <c r="D16" s="384"/>
      <c r="E16" s="385"/>
      <c r="F16" s="53">
        <f>SUMIFS(FACILITIES!M:M,FACILITIES!B:B,BILL!C3)</f>
        <v>0</v>
      </c>
    </row>
    <row r="17" spans="1:6" ht="22.2" customHeight="1" thickBot="1">
      <c r="A17" s="435"/>
      <c r="B17" s="412"/>
      <c r="C17" s="399" t="s">
        <v>404</v>
      </c>
      <c r="D17" s="400"/>
      <c r="E17" s="401"/>
      <c r="F17" s="138">
        <f>SUM(F14:F16)</f>
        <v>7000</v>
      </c>
    </row>
    <row r="18" spans="1:6" ht="22.2" customHeight="1">
      <c r="A18" s="435"/>
      <c r="B18" s="412"/>
      <c r="C18" s="428" t="s">
        <v>400</v>
      </c>
      <c r="D18" s="429"/>
      <c r="E18" s="429"/>
      <c r="F18" s="430"/>
    </row>
    <row r="19" spans="1:6" ht="22.2" customHeight="1">
      <c r="A19" s="435"/>
      <c r="B19" s="412"/>
      <c r="C19" s="387" t="s">
        <v>411</v>
      </c>
      <c r="D19" s="388"/>
      <c r="E19" s="389"/>
      <c r="F19" s="53">
        <f>SUMIFS('F &amp; B'!G:G,'F &amp; B'!B:B,BILL!C3)</f>
        <v>52578</v>
      </c>
    </row>
    <row r="20" spans="1:6" ht="22.2" customHeight="1">
      <c r="A20" s="435"/>
      <c r="B20" s="412"/>
      <c r="C20" s="387" t="s">
        <v>371</v>
      </c>
      <c r="D20" s="388"/>
      <c r="E20" s="389"/>
      <c r="F20" s="53">
        <f>SUMIFS(FACILITIES!N:N,FACILITIES!B:B,BILL!C3)</f>
        <v>0</v>
      </c>
    </row>
    <row r="21" spans="1:6" ht="22.2" customHeight="1">
      <c r="A21" s="435"/>
      <c r="B21" s="412"/>
      <c r="C21" s="387" t="s">
        <v>412</v>
      </c>
      <c r="D21" s="388"/>
      <c r="E21" s="389"/>
      <c r="F21" s="53">
        <f>SUMIFS(FACILITIES!F:F,FACILITIES!B:B,BILL!C3)</f>
        <v>0</v>
      </c>
    </row>
    <row r="22" spans="1:6" ht="22.2" customHeight="1">
      <c r="A22" s="435"/>
      <c r="B22" s="412"/>
      <c r="C22" s="387" t="s">
        <v>401</v>
      </c>
      <c r="D22" s="388"/>
      <c r="E22" s="389"/>
      <c r="F22" s="53">
        <f>SUMIFS(FACILITIES!E:E,FACILITIES!B:B,BILL!C3)</f>
        <v>0</v>
      </c>
    </row>
    <row r="23" spans="1:6" ht="22.2" customHeight="1">
      <c r="A23" s="435"/>
      <c r="B23" s="412"/>
      <c r="C23" s="387" t="s">
        <v>935</v>
      </c>
      <c r="D23" s="388"/>
      <c r="E23" s="389"/>
      <c r="F23" s="53">
        <f>SUMIFS(FACILITIES!J:J,FACILITIES!B:B,BILL!C3)</f>
        <v>0</v>
      </c>
    </row>
    <row r="24" spans="1:6" ht="22.2" customHeight="1">
      <c r="A24" s="435"/>
      <c r="B24" s="412"/>
      <c r="C24" s="387" t="s">
        <v>456</v>
      </c>
      <c r="D24" s="388"/>
      <c r="E24" s="389"/>
      <c r="F24" s="53">
        <f>SUMIFS(FACILITIES!G:G,FACILITIES!B:B,BILL!C3)</f>
        <v>0</v>
      </c>
    </row>
    <row r="25" spans="1:6" ht="22.2" customHeight="1">
      <c r="A25" s="435"/>
      <c r="B25" s="412"/>
      <c r="C25" s="387" t="s">
        <v>457</v>
      </c>
      <c r="D25" s="388"/>
      <c r="E25" s="389"/>
      <c r="F25" s="53">
        <f>SUMIFS(FACILITIES!I:I,FACILITIES!B:B,BILL!C3)</f>
        <v>0</v>
      </c>
    </row>
    <row r="26" spans="1:6" ht="22.2" customHeight="1">
      <c r="A26" s="435"/>
      <c r="B26" s="412"/>
      <c r="C26" s="387" t="s">
        <v>402</v>
      </c>
      <c r="D26" s="388"/>
      <c r="E26" s="389"/>
      <c r="F26" s="53">
        <f>SUMIFS(FACILITIES!H:H,FACILITIES!B:B,BILL!C3)</f>
        <v>0</v>
      </c>
    </row>
    <row r="27" spans="1:6" ht="22.2" customHeight="1">
      <c r="A27" s="435"/>
      <c r="B27" s="412"/>
      <c r="C27" s="387" t="s">
        <v>403</v>
      </c>
      <c r="D27" s="388"/>
      <c r="E27" s="389"/>
      <c r="F27" s="53">
        <f>SUMIFS(FACILITIES!K:K,FACILITIES!B:B,BILL!C3)</f>
        <v>0</v>
      </c>
    </row>
    <row r="28" spans="1:6" ht="22.2" customHeight="1">
      <c r="A28" s="435"/>
      <c r="B28" s="412"/>
      <c r="C28" s="387" t="s">
        <v>741</v>
      </c>
      <c r="D28" s="388"/>
      <c r="E28" s="389"/>
      <c r="F28" s="53">
        <f>SUMIFS(FACILITIES!S:S,FACILITIES!B:B,BILL!C3)</f>
        <v>5000</v>
      </c>
    </row>
    <row r="29" spans="1:6" ht="22.2" customHeight="1">
      <c r="A29" s="435"/>
      <c r="B29" s="412"/>
      <c r="C29" s="387" t="s">
        <v>794</v>
      </c>
      <c r="D29" s="388"/>
      <c r="E29" s="389"/>
      <c r="F29" s="53">
        <f>SUMIFS(FACILITIES!O:O,FACILITIES!B:B,BILL!C3)</f>
        <v>0</v>
      </c>
    </row>
    <row r="30" spans="1:6" ht="22.2" customHeight="1">
      <c r="A30" s="435"/>
      <c r="B30" s="412"/>
      <c r="C30" s="387" t="s">
        <v>934</v>
      </c>
      <c r="D30" s="388"/>
      <c r="E30" s="389"/>
      <c r="F30" s="53">
        <f>SUMIFS(FACILITIES!P:P,FACILITIES!B:B,BILL!C3)</f>
        <v>0</v>
      </c>
    </row>
    <row r="31" spans="1:6" ht="22.2" customHeight="1">
      <c r="A31" s="435"/>
      <c r="B31" s="412"/>
      <c r="C31" s="387" t="s">
        <v>1002</v>
      </c>
      <c r="D31" s="388"/>
      <c r="E31" s="389"/>
      <c r="F31" s="53">
        <f>SUMIFS(FACILITIES!Q:Q,FACILITIES!B:B,BILL!C3)</f>
        <v>0</v>
      </c>
    </row>
    <row r="32" spans="1:6" ht="22.2" customHeight="1">
      <c r="A32" s="435"/>
      <c r="B32" s="412"/>
      <c r="C32" s="387" t="s">
        <v>757</v>
      </c>
      <c r="D32" s="388"/>
      <c r="E32" s="389"/>
      <c r="F32" s="53">
        <f>SUMIFS('FIXED AMOUNT'!I:I,'FIXED AMOUNT'!B:B,BILL!C3)</f>
        <v>0</v>
      </c>
    </row>
    <row r="33" spans="1:6" ht="22.2" customHeight="1">
      <c r="A33" s="435"/>
      <c r="B33" s="412"/>
      <c r="C33" s="393" t="s">
        <v>404</v>
      </c>
      <c r="D33" s="394"/>
      <c r="E33" s="395"/>
      <c r="F33" s="53">
        <f>SUM(F19:F32)</f>
        <v>57578</v>
      </c>
    </row>
    <row r="34" spans="1:6" ht="22.2" customHeight="1">
      <c r="A34" s="435"/>
      <c r="B34" s="412"/>
      <c r="C34" s="393" t="s">
        <v>405</v>
      </c>
      <c r="D34" s="394"/>
      <c r="E34" s="395"/>
      <c r="F34" s="54">
        <f>F19*0.15</f>
        <v>7886.7</v>
      </c>
    </row>
    <row r="35" spans="1:6" ht="22.2" customHeight="1" thickBot="1">
      <c r="A35" s="435"/>
      <c r="B35" s="412"/>
      <c r="C35" s="396" t="s">
        <v>406</v>
      </c>
      <c r="D35" s="397"/>
      <c r="E35" s="398"/>
      <c r="F35" s="134">
        <f>SUM(F33:F34)</f>
        <v>65464.7</v>
      </c>
    </row>
    <row r="36" spans="1:6" ht="22.2" customHeight="1">
      <c r="A36" s="435"/>
      <c r="B36" s="412"/>
      <c r="C36" s="444" t="s">
        <v>1019</v>
      </c>
      <c r="D36" s="445"/>
      <c r="E36" s="445"/>
      <c r="F36" s="446"/>
    </row>
    <row r="37" spans="1:6" ht="22.2" customHeight="1">
      <c r="A37" s="435"/>
      <c r="B37" s="412"/>
      <c r="C37" s="431" t="s">
        <v>407</v>
      </c>
      <c r="D37" s="432"/>
      <c r="E37" s="433"/>
      <c r="F37" s="135">
        <f>SUMIFS('FIXED AMOUNT'!U:U,'FIXED AMOUNT'!B:B,BILL!C3)</f>
        <v>60000</v>
      </c>
    </row>
    <row r="38" spans="1:6" ht="22.2" customHeight="1">
      <c r="A38" s="435"/>
      <c r="B38" s="412"/>
      <c r="C38" s="393" t="s">
        <v>408</v>
      </c>
      <c r="D38" s="394"/>
      <c r="E38" s="395"/>
      <c r="F38" s="53">
        <f>SUMIFS('FIXED AMOUNT'!H:H,'FIXED AMOUNT'!B:B,BILL!C3)</f>
        <v>168251</v>
      </c>
    </row>
    <row r="39" spans="1:6" ht="22.2" customHeight="1">
      <c r="A39" s="435"/>
      <c r="B39" s="412"/>
      <c r="C39" s="393" t="s">
        <v>409</v>
      </c>
      <c r="D39" s="394"/>
      <c r="E39" s="395"/>
      <c r="F39" s="53">
        <f>IF(F37-F38&lt;0,0,F37-F38)</f>
        <v>0</v>
      </c>
    </row>
    <row r="40" spans="1:6" ht="22.2" customHeight="1">
      <c r="A40" s="435"/>
      <c r="B40" s="412"/>
      <c r="C40" s="402" t="s">
        <v>461</v>
      </c>
      <c r="D40" s="403"/>
      <c r="E40" s="404"/>
      <c r="F40" s="117">
        <f>F5</f>
        <v>72464.7</v>
      </c>
    </row>
    <row r="41" spans="1:6" ht="22.2" customHeight="1" thickBot="1">
      <c r="A41" s="435"/>
      <c r="B41" s="412"/>
      <c r="C41" s="405" t="s">
        <v>462</v>
      </c>
      <c r="D41" s="406"/>
      <c r="E41" s="407"/>
      <c r="F41" s="139">
        <f>F7</f>
        <v>79711.17</v>
      </c>
    </row>
    <row r="42" spans="1:6" ht="22.2" customHeight="1" thickBot="1">
      <c r="A42" s="436"/>
      <c r="B42" s="413"/>
      <c r="C42" s="408" t="s">
        <v>1081</v>
      </c>
      <c r="D42" s="409"/>
      <c r="E42" s="409"/>
      <c r="F42" s="410"/>
    </row>
    <row r="43" spans="1:6" ht="26.25" customHeight="1">
      <c r="A43" s="437"/>
      <c r="B43" s="437"/>
      <c r="C43" s="437"/>
      <c r="D43" s="437"/>
      <c r="E43" s="437"/>
      <c r="F43" s="437"/>
    </row>
    <row r="44" spans="1:6" ht="26.25" customHeight="1">
      <c r="A44" s="443" t="s">
        <v>943</v>
      </c>
      <c r="B44" s="443"/>
      <c r="C44" s="443"/>
      <c r="D44" s="443"/>
      <c r="E44" s="443"/>
      <c r="F44" s="443"/>
    </row>
    <row r="45" spans="1:6" ht="21.75" customHeight="1">
      <c r="A45" s="439" t="s">
        <v>1082</v>
      </c>
      <c r="B45" s="439"/>
      <c r="C45" s="439"/>
      <c r="D45" s="439"/>
      <c r="E45" s="439"/>
      <c r="F45" s="439"/>
    </row>
    <row r="46" spans="1:6" ht="23.25" customHeight="1">
      <c r="A46" s="438" t="s">
        <v>751</v>
      </c>
      <c r="B46" s="438"/>
      <c r="C46" s="438"/>
      <c r="D46" s="438"/>
      <c r="E46" s="438"/>
      <c r="F46" s="100">
        <f>SUM(F48:F199)</f>
        <v>52578</v>
      </c>
    </row>
    <row r="47" spans="1:6" ht="30" customHeight="1">
      <c r="A47" s="422" t="s">
        <v>435</v>
      </c>
      <c r="B47" s="422"/>
      <c r="C47" s="73" t="s">
        <v>436</v>
      </c>
      <c r="D47" s="73" t="s">
        <v>437</v>
      </c>
      <c r="E47" s="73" t="s">
        <v>438</v>
      </c>
      <c r="F47" s="73" t="s">
        <v>414</v>
      </c>
    </row>
    <row r="48" spans="1:6" s="74" customFormat="1" ht="17.100000000000001" customHeight="1">
      <c r="A48" s="386" t="str">
        <f>C3</f>
        <v>HCFM-0503</v>
      </c>
      <c r="B48" s="386"/>
      <c r="C48" s="192">
        <f>IFERROR(
INDEX('F &amp; B'!D$2:D$10815,
_xlfn.AGGREGATE(15,6,
(ROW('F &amp; B'!$B$2:$B$10815)-ROW('F &amp; B'!$B$2)+1)/
('F &amp; B'!$B$2:$B$10815=$A$48),
ROW()-47)
),
"")</f>
        <v>45992</v>
      </c>
      <c r="D48" s="180">
        <f>IFERROR(
INDEX('F &amp; B'!E$2:E$10815,
_xlfn.AGGREGATE(15,6,
(ROW('F &amp; B'!$B$2:$B$10815)-ROW('F &amp; B'!$B$2)+1)/
('F &amp; B'!$B$2:$B$10815=$A$48),
ROW()-47)
),
"")</f>
        <v>1</v>
      </c>
      <c r="E48" s="7" t="str">
        <f>IFERROR(
INDEX('F &amp; B'!F$2:F$10815,
_xlfn.AGGREGATE(15,6,
(ROW('F &amp; B'!$B$2:$B$10815)-ROW('F &amp; B'!$B$2)+1)/
('F &amp; B'!$B$2:$B$10815=$A$48),
ROW()-47)
),
"")</f>
        <v>SPECIAL CHICKEN POPCORN</v>
      </c>
      <c r="F48" s="186">
        <f>IFERROR(
INDEX('F &amp; B'!G$2:G$10815,
_xlfn.AGGREGATE(15,6,
(ROW('F &amp; B'!$B$2:$B$10815)-ROW('F &amp; B'!$B$2)+1)/
('F &amp; B'!$B$2:$B$10815=$A$48),
ROW()-47)
),
"")</f>
        <v>500</v>
      </c>
    </row>
    <row r="49" spans="1:6" s="74" customFormat="1" ht="17.100000000000001" customHeight="1">
      <c r="A49" s="420"/>
      <c r="B49" s="421"/>
      <c r="C49" s="192">
        <f>IFERROR(
INDEX('F &amp; B'!D$2:D$10815,
_xlfn.AGGREGATE(15,6,
(ROW('F &amp; B'!$B$2:$B$10815)-ROW('F &amp; B'!$B$2)+1)/
('F &amp; B'!$B$2:$B$10815=$A$48),
ROW()-47)
),
"")</f>
        <v>45992</v>
      </c>
      <c r="D49" s="180">
        <f>IFERROR(
INDEX('F &amp; B'!E$2:E$10815,
_xlfn.AGGREGATE(15,6,
(ROW('F &amp; B'!$B$2:$B$10815)-ROW('F &amp; B'!$B$2)+1)/
('F &amp; B'!$B$2:$B$10815=$A$48),
ROW()-47)
),
"")</f>
        <v>1</v>
      </c>
      <c r="E49" s="7" t="str">
        <f>IFERROR(
INDEX('F &amp; B'!F$2:F$10815,
_xlfn.AGGREGATE(15,6,
(ROW('F &amp; B'!$B$2:$B$10815)-ROW('F &amp; B'!$B$2)+1)/
('F &amp; B'!$B$2:$B$10815=$A$48),
ROW()-47)
),
"")</f>
        <v>CREAM OF MASHROOM SOUP</v>
      </c>
      <c r="F49" s="186">
        <f>IFERROR(
INDEX('F &amp; B'!G$2:G$10815,
_xlfn.AGGREGATE(15,6,
(ROW('F &amp; B'!$B$2:$B$10815)-ROW('F &amp; B'!$B$2)+1)/
('F &amp; B'!$B$2:$B$10815=$A$48),
ROW()-47)
),
"")</f>
        <v>400</v>
      </c>
    </row>
    <row r="50" spans="1:6" s="74" customFormat="1" ht="17.100000000000001" customHeight="1">
      <c r="A50" s="420"/>
      <c r="B50" s="421"/>
      <c r="C50" s="192">
        <f>IFERROR(
INDEX('F &amp; B'!D$2:D$10815,
_xlfn.AGGREGATE(15,6,
(ROW('F &amp; B'!$B$2:$B$10815)-ROW('F &amp; B'!$B$2)+1)/
('F &amp; B'!$B$2:$B$10815=$A$48),
ROW()-47)
),
"")</f>
        <v>45992</v>
      </c>
      <c r="D50" s="180">
        <f>IFERROR(
INDEX('F &amp; B'!E$2:E$10815,
_xlfn.AGGREGATE(15,6,
(ROW('F &amp; B'!$B$2:$B$10815)-ROW('F &amp; B'!$B$2)+1)/
('F &amp; B'!$B$2:$B$10815=$A$48),
ROW()-47)
),
"")</f>
        <v>1</v>
      </c>
      <c r="E50" s="7" t="str">
        <f>IFERROR(
INDEX('F &amp; B'!F$2:F$10815,
_xlfn.AGGREGATE(15,6,
(ROW('F &amp; B'!$B$2:$B$10815)-ROW('F &amp; B'!$B$2)+1)/
('F &amp; B'!$B$2:$B$10815=$A$48),
ROW()-47)
),
"")</f>
        <v>RAITA</v>
      </c>
      <c r="F50" s="186">
        <f>IFERROR(
INDEX('F &amp; B'!G$2:G$10815,
_xlfn.AGGREGATE(15,6,
(ROW('F &amp; B'!$B$2:$B$10815)-ROW('F &amp; B'!$B$2)+1)/
('F &amp; B'!$B$2:$B$10815=$A$48),
ROW()-47)
),
"")</f>
        <v>200</v>
      </c>
    </row>
    <row r="51" spans="1:6" s="74" customFormat="1" ht="17.100000000000001" customHeight="1">
      <c r="A51" s="386"/>
      <c r="B51" s="386"/>
      <c r="C51" s="192">
        <f>IFERROR(
INDEX('F &amp; B'!D$2:D$10815,
_xlfn.AGGREGATE(15,6,
(ROW('F &amp; B'!$B$2:$B$10815)-ROW('F &amp; B'!$B$2)+1)/
('F &amp; B'!$B$2:$B$10815=$A$48),
ROW()-47)
),
"")</f>
        <v>45992</v>
      </c>
      <c r="D51" s="180">
        <f>IFERROR(
INDEX('F &amp; B'!E$2:E$10815,
_xlfn.AGGREGATE(15,6,
(ROW('F &amp; B'!$B$2:$B$10815)-ROW('F &amp; B'!$B$2)+1)/
('F &amp; B'!$B$2:$B$10815=$A$48),
ROW()-47)
),
"")</f>
        <v>1</v>
      </c>
      <c r="E51" s="7" t="str">
        <f>IFERROR(
INDEX('F &amp; B'!F$2:F$10815,
_xlfn.AGGREGATE(15,6,
(ROW('F &amp; B'!$B$2:$B$10815)-ROW('F &amp; B'!$B$2)+1)/
('F &amp; B'!$B$2:$B$10815=$A$48),
ROW()-47)
),
"")</f>
        <v>MINERAL WATER LARGE</v>
      </c>
      <c r="F51" s="186">
        <f>IFERROR(
INDEX('F &amp; B'!G$2:G$10815,
_xlfn.AGGREGATE(15,6,
(ROW('F &amp; B'!$B$2:$B$10815)-ROW('F &amp; B'!$B$2)+1)/
('F &amp; B'!$B$2:$B$10815=$A$48),
ROW()-47)
),
"")</f>
        <v>150</v>
      </c>
    </row>
    <row r="52" spans="1:6" s="74" customFormat="1" ht="17.100000000000001" customHeight="1">
      <c r="A52" s="386"/>
      <c r="B52" s="386"/>
      <c r="C52" s="192">
        <f>IFERROR(
INDEX('F &amp; B'!D$2:D$10815,
_xlfn.AGGREGATE(15,6,
(ROW('F &amp; B'!$B$2:$B$10815)-ROW('F &amp; B'!$B$2)+1)/
('F &amp; B'!$B$2:$B$10815=$A$48),
ROW()-47)
),
"")</f>
        <v>45997</v>
      </c>
      <c r="D52" s="180">
        <f>IFERROR(
INDEX('F &amp; B'!E$2:E$10815,
_xlfn.AGGREGATE(15,6,
(ROW('F &amp; B'!$B$2:$B$10815)-ROW('F &amp; B'!$B$2)+1)/
('F &amp; B'!$B$2:$B$10815=$A$48),
ROW()-47)
),
"")</f>
        <v>1</v>
      </c>
      <c r="E52" s="7" t="str">
        <f>IFERROR(
INDEX('F &amp; B'!F$2:F$10815,
_xlfn.AGGREGATE(15,6,
(ROW('F &amp; B'!$B$2:$B$10815)-ROW('F &amp; B'!$B$2)+1)/
('F &amp; B'!$B$2:$B$10815=$A$48),
ROW()-47)
),
"")</f>
        <v>MINERAL WATER LARGE</v>
      </c>
      <c r="F52" s="186">
        <f>IFERROR(
INDEX('F &amp; B'!G$2:G$10815,
_xlfn.AGGREGATE(15,6,
(ROW('F &amp; B'!$B$2:$B$10815)-ROW('F &amp; B'!$B$2)+1)/
('F &amp; B'!$B$2:$B$10815=$A$48),
ROW()-47)
),
"")</f>
        <v>150</v>
      </c>
    </row>
    <row r="53" spans="1:6" s="74" customFormat="1" ht="17.100000000000001" customHeight="1">
      <c r="A53" s="386"/>
      <c r="B53" s="386"/>
      <c r="C53" s="192">
        <f>IFERROR(
INDEX('F &amp; B'!D$2:D$10815,
_xlfn.AGGREGATE(15,6,
(ROW('F &amp; B'!$B$2:$B$10815)-ROW('F &amp; B'!$B$2)+1)/
('F &amp; B'!$B$2:$B$10815=$A$48),
ROW()-47)
),
"")</f>
        <v>45997</v>
      </c>
      <c r="D53" s="180">
        <f>IFERROR(
INDEX('F &amp; B'!E$2:E$10815,
_xlfn.AGGREGATE(15,6,
(ROW('F &amp; B'!$B$2:$B$10815)-ROW('F &amp; B'!$B$2)+1)/
('F &amp; B'!$B$2:$B$10815=$A$48),
ROW()-47)
),
"")</f>
        <v>1</v>
      </c>
      <c r="E53" s="7" t="str">
        <f>IFERROR(
INDEX('F &amp; B'!F$2:F$10815,
_xlfn.AGGREGATE(15,6,
(ROW('F &amp; B'!$B$2:$B$10815)-ROW('F &amp; B'!$B$2)+1)/
('F &amp; B'!$B$2:$B$10815=$A$48),
ROW()-47)
),
"")</f>
        <v>BEEF BOTI</v>
      </c>
      <c r="F53" s="186">
        <f>IFERROR(
INDEX('F &amp; B'!G$2:G$10815,
_xlfn.AGGREGATE(15,6,
(ROW('F &amp; B'!$B$2:$B$10815)-ROW('F &amp; B'!$B$2)+1)/
('F &amp; B'!$B$2:$B$10815=$A$48),
ROW()-47)
),
"")</f>
        <v>1200</v>
      </c>
    </row>
    <row r="54" spans="1:6" s="74" customFormat="1" ht="17.100000000000001" customHeight="1">
      <c r="A54" s="386"/>
      <c r="B54" s="386"/>
      <c r="C54" s="192">
        <f>IFERROR(
INDEX('F &amp; B'!D$2:D$10815,
_xlfn.AGGREGATE(15,6,
(ROW('F &amp; B'!$B$2:$B$10815)-ROW('F &amp; B'!$B$2)+1)/
('F &amp; B'!$B$2:$B$10815=$A$48),
ROW()-47)
),
"")</f>
        <v>45997</v>
      </c>
      <c r="D54" s="180">
        <f>IFERROR(
INDEX('F &amp; B'!E$2:E$10815,
_xlfn.AGGREGATE(15,6,
(ROW('F &amp; B'!$B$2:$B$10815)-ROW('F &amp; B'!$B$2)+1)/
('F &amp; B'!$B$2:$B$10815=$A$48),
ROW()-47)
),
"")</f>
        <v>1</v>
      </c>
      <c r="E54" s="7" t="str">
        <f>IFERROR(
INDEX('F &amp; B'!F$2:F$10815,
_xlfn.AGGREGATE(15,6,
(ROW('F &amp; B'!$B$2:$B$10815)-ROW('F &amp; B'!$B$2)+1)/
('F &amp; B'!$B$2:$B$10815=$A$48),
ROW()-47)
),
"")</f>
        <v>PLAIN NAAN</v>
      </c>
      <c r="F54" s="186">
        <f>IFERROR(
INDEX('F &amp; B'!G$2:G$10815,
_xlfn.AGGREGATE(15,6,
(ROW('F &amp; B'!$B$2:$B$10815)-ROW('F &amp; B'!$B$2)+1)/
('F &amp; B'!$B$2:$B$10815=$A$48),
ROW()-47)
),
"")</f>
        <v>70</v>
      </c>
    </row>
    <row r="55" spans="1:6" s="74" customFormat="1" ht="17.100000000000001" customHeight="1">
      <c r="A55" s="386"/>
      <c r="B55" s="386"/>
      <c r="C55" s="192">
        <f>IFERROR(
INDEX('F &amp; B'!D$2:D$10815,
_xlfn.AGGREGATE(15,6,
(ROW('F &amp; B'!$B$2:$B$10815)-ROW('F &amp; B'!$B$2)+1)/
('F &amp; B'!$B$2:$B$10815=$A$48),
ROW()-47)
),
"")</f>
        <v>45997</v>
      </c>
      <c r="D55" s="180">
        <f>IFERROR(
INDEX('F &amp; B'!E$2:E$10815,
_xlfn.AGGREGATE(15,6,
(ROW('F &amp; B'!$B$2:$B$10815)-ROW('F &amp; B'!$B$2)+1)/
('F &amp; B'!$B$2:$B$10815=$A$48),
ROW()-47)
),
"")</f>
        <v>7</v>
      </c>
      <c r="E55" s="7" t="str">
        <f>IFERROR(
INDEX('F &amp; B'!F$2:F$10815,
_xlfn.AGGREGATE(15,6,
(ROW('F &amp; B'!$B$2:$B$10815)-ROW('F &amp; B'!$B$2)+1)/
('F &amp; B'!$B$2:$B$10815=$A$48),
ROW()-47)
),
"")</f>
        <v>VODKA SINGLE</v>
      </c>
      <c r="F55" s="186">
        <f>IFERROR(
INDEX('F &amp; B'!G$2:G$10815,
_xlfn.AGGREGATE(15,6,
(ROW('F &amp; B'!$B$2:$B$10815)-ROW('F &amp; B'!$B$2)+1)/
('F &amp; B'!$B$2:$B$10815=$A$48),
ROW()-47)
),
"")</f>
        <v>3850</v>
      </c>
    </row>
    <row r="56" spans="1:6" s="74" customFormat="1" ht="17.100000000000001" customHeight="1">
      <c r="A56" s="386"/>
      <c r="B56" s="386"/>
      <c r="C56" s="192">
        <f>IFERROR(
INDEX('F &amp; B'!D$2:D$10815,
_xlfn.AGGREGATE(15,6,
(ROW('F &amp; B'!$B$2:$B$10815)-ROW('F &amp; B'!$B$2)+1)/
('F &amp; B'!$B$2:$B$10815=$A$48),
ROW()-47)
),
"")</f>
        <v>45997</v>
      </c>
      <c r="D56" s="180">
        <f>IFERROR(
INDEX('F &amp; B'!E$2:E$10815,
_xlfn.AGGREGATE(15,6,
(ROW('F &amp; B'!$B$2:$B$10815)-ROW('F &amp; B'!$B$2)+1)/
('F &amp; B'!$B$2:$B$10815=$A$48),
ROW()-47)
),
"")</f>
        <v>3</v>
      </c>
      <c r="E56" s="7" t="str">
        <f>IFERROR(
INDEX('F &amp; B'!F$2:F$10815,
_xlfn.AGGREGATE(15,6,
(ROW('F &amp; B'!$B$2:$B$10815)-ROW('F &amp; B'!$B$2)+1)/
('F &amp; B'!$B$2:$B$10815=$A$48),
ROW()-47)
),
"")</f>
        <v>MURREE BEER</v>
      </c>
      <c r="F56" s="186">
        <f>IFERROR(
INDEX('F &amp; B'!G$2:G$10815,
_xlfn.AGGREGATE(15,6,
(ROW('F &amp; B'!$B$2:$B$10815)-ROW('F &amp; B'!$B$2)+1)/
('F &amp; B'!$B$2:$B$10815=$A$48),
ROW()-47)
),
"")</f>
        <v>3000</v>
      </c>
    </row>
    <row r="57" spans="1:6" s="74" customFormat="1" ht="17.100000000000001" customHeight="1">
      <c r="A57" s="386"/>
      <c r="B57" s="386"/>
      <c r="C57" s="192">
        <f>IFERROR(
INDEX('F &amp; B'!D$2:D$10815,
_xlfn.AGGREGATE(15,6,
(ROW('F &amp; B'!$B$2:$B$10815)-ROW('F &amp; B'!$B$2)+1)/
('F &amp; B'!$B$2:$B$10815=$A$48),
ROW()-47)
),
"")</f>
        <v>45999</v>
      </c>
      <c r="D57" s="180">
        <f>IFERROR(
INDEX('F &amp; B'!E$2:E$10815,
_xlfn.AGGREGATE(15,6,
(ROW('F &amp; B'!$B$2:$B$10815)-ROW('F &amp; B'!$B$2)+1)/
('F &amp; B'!$B$2:$B$10815=$A$48),
ROW()-47)
),
"")</f>
        <v>1</v>
      </c>
      <c r="E57" s="7" t="str">
        <f>IFERROR(
INDEX('F &amp; B'!F$2:F$10815,
_xlfn.AGGREGATE(15,6,
(ROW('F &amp; B'!$B$2:$B$10815)-ROW('F &amp; B'!$B$2)+1)/
('F &amp; B'!$B$2:$B$10815=$A$48),
ROW()-47)
),
"")</f>
        <v>MINERAL WATER LARGE</v>
      </c>
      <c r="F57" s="186">
        <f>IFERROR(
INDEX('F &amp; B'!G$2:G$10815,
_xlfn.AGGREGATE(15,6,
(ROW('F &amp; B'!$B$2:$B$10815)-ROW('F &amp; B'!$B$2)+1)/
('F &amp; B'!$B$2:$B$10815=$A$48),
ROW()-47)
),
"")</f>
        <v>150</v>
      </c>
    </row>
    <row r="58" spans="1:6" s="74" customFormat="1" ht="17.100000000000001" customHeight="1">
      <c r="A58" s="386"/>
      <c r="B58" s="386"/>
      <c r="C58" s="192">
        <f>IFERROR(
INDEX('F &amp; B'!D$2:D$10815,
_xlfn.AGGREGATE(15,6,
(ROW('F &amp; B'!$B$2:$B$10815)-ROW('F &amp; B'!$B$2)+1)/
('F &amp; B'!$B$2:$B$10815=$A$48),
ROW()-47)
),
"")</f>
        <v>45999</v>
      </c>
      <c r="D58" s="180">
        <f>IFERROR(
INDEX('F &amp; B'!E$2:E$10815,
_xlfn.AGGREGATE(15,6,
(ROW('F &amp; B'!$B$2:$B$10815)-ROW('F &amp; B'!$B$2)+1)/
('F &amp; B'!$B$2:$B$10815=$A$48),
ROW()-47)
),
"")</f>
        <v>2</v>
      </c>
      <c r="E58" s="7" t="str">
        <f>IFERROR(
INDEX('F &amp; B'!F$2:F$10815,
_xlfn.AGGREGATE(15,6,
(ROW('F &amp; B'!$B$2:$B$10815)-ROW('F &amp; B'!$B$2)+1)/
('F &amp; B'!$B$2:$B$10815=$A$48),
ROW()-47)
),
"")</f>
        <v>MINERAL WATER SMALL</v>
      </c>
      <c r="F58" s="186">
        <f>IFERROR(
INDEX('F &amp; B'!G$2:G$10815,
_xlfn.AGGREGATE(15,6,
(ROW('F &amp; B'!$B$2:$B$10815)-ROW('F &amp; B'!$B$2)+1)/
('F &amp; B'!$B$2:$B$10815=$A$48),
ROW()-47)
),
"")</f>
        <v>200</v>
      </c>
    </row>
    <row r="59" spans="1:6" s="74" customFormat="1" ht="17.100000000000001" customHeight="1">
      <c r="A59" s="386"/>
      <c r="B59" s="386"/>
      <c r="C59" s="192">
        <f>IFERROR(
INDEX('F &amp; B'!D$2:D$10815,
_xlfn.AGGREGATE(15,6,
(ROW('F &amp; B'!$B$2:$B$10815)-ROW('F &amp; B'!$B$2)+1)/
('F &amp; B'!$B$2:$B$10815=$A$48),
ROW()-47)
),
"")</f>
        <v>45999</v>
      </c>
      <c r="D59" s="180">
        <f>IFERROR(
INDEX('F &amp; B'!E$2:E$10815,
_xlfn.AGGREGATE(15,6,
(ROW('F &amp; B'!$B$2:$B$10815)-ROW('F &amp; B'!$B$2)+1)/
('F &amp; B'!$B$2:$B$10815=$A$48),
ROW()-47)
),
"")</f>
        <v>2</v>
      </c>
      <c r="E59" s="7" t="str">
        <f>IFERROR(
INDEX('F &amp; B'!F$2:F$10815,
_xlfn.AGGREGATE(15,6,
(ROW('F &amp; B'!$B$2:$B$10815)-ROW('F &amp; B'!$B$2)+1)/
('F &amp; B'!$B$2:$B$10815=$A$48),
ROW()-47)
),
"")</f>
        <v>PEANUT AND NIMCO</v>
      </c>
      <c r="F59" s="186">
        <f>IFERROR(
INDEX('F &amp; B'!G$2:G$10815,
_xlfn.AGGREGATE(15,6,
(ROW('F &amp; B'!$B$2:$B$10815)-ROW('F &amp; B'!$B$2)+1)/
('F &amp; B'!$B$2:$B$10815=$A$48),
ROW()-47)
),
"")</f>
        <v>600</v>
      </c>
    </row>
    <row r="60" spans="1:6" s="74" customFormat="1" ht="17.100000000000001" customHeight="1">
      <c r="A60" s="386"/>
      <c r="B60" s="386"/>
      <c r="C60" s="192">
        <f>IFERROR(
INDEX('F &amp; B'!D$2:D$10815,
_xlfn.AGGREGATE(15,6,
(ROW('F &amp; B'!$B$2:$B$10815)-ROW('F &amp; B'!$B$2)+1)/
('F &amp; B'!$B$2:$B$10815=$A$48),
ROW()-47)
),
"")</f>
        <v>46002</v>
      </c>
      <c r="D60" s="180">
        <f>IFERROR(
INDEX('F &amp; B'!E$2:E$10815,
_xlfn.AGGREGATE(15,6,
(ROW('F &amp; B'!$B$2:$B$10815)-ROW('F &amp; B'!$B$2)+1)/
('F &amp; B'!$B$2:$B$10815=$A$48),
ROW()-47)
),
"")</f>
        <v>1</v>
      </c>
      <c r="E60" s="7" t="str">
        <f>IFERROR(
INDEX('F &amp; B'!F$2:F$10815,
_xlfn.AGGREGATE(15,6,
(ROW('F &amp; B'!$B$2:$B$10815)-ROW('F &amp; B'!$B$2)+1)/
('F &amp; B'!$B$2:$B$10815=$A$48),
ROW()-47)
),
"")</f>
        <v>FISH N CHIPS</v>
      </c>
      <c r="F60" s="186">
        <f>IFERROR(
INDEX('F &amp; B'!G$2:G$10815,
_xlfn.AGGREGATE(15,6,
(ROW('F &amp; B'!$B$2:$B$10815)-ROW('F &amp; B'!$B$2)+1)/
('F &amp; B'!$B$2:$B$10815=$A$48),
ROW()-47)
),
"")</f>
        <v>1200</v>
      </c>
    </row>
    <row r="61" spans="1:6" s="74" customFormat="1" ht="17.100000000000001" customHeight="1">
      <c r="A61" s="386"/>
      <c r="B61" s="386"/>
      <c r="C61" s="192">
        <f>IFERROR(
INDEX('F &amp; B'!D$2:D$10815,
_xlfn.AGGREGATE(15,6,
(ROW('F &amp; B'!$B$2:$B$10815)-ROW('F &amp; B'!$B$2)+1)/
('F &amp; B'!$B$2:$B$10815=$A$48),
ROW()-47)
),
"")</f>
        <v>46002</v>
      </c>
      <c r="D61" s="180">
        <f>IFERROR(
INDEX('F &amp; B'!E$2:E$10815,
_xlfn.AGGREGATE(15,6,
(ROW('F &amp; B'!$B$2:$B$10815)-ROW('F &amp; B'!$B$2)+1)/
('F &amp; B'!$B$2:$B$10815=$A$48),
ROW()-47)
),
"")</f>
        <v>2</v>
      </c>
      <c r="E61" s="7" t="str">
        <f>IFERROR(
INDEX('F &amp; B'!F$2:F$10815,
_xlfn.AGGREGATE(15,6,
(ROW('F &amp; B'!$B$2:$B$10815)-ROW('F &amp; B'!$B$2)+1)/
('F &amp; B'!$B$2:$B$10815=$A$48),
ROW()-47)
),
"")</f>
        <v>MINERAL WATER LARGE</v>
      </c>
      <c r="F61" s="186">
        <f>IFERROR(
INDEX('F &amp; B'!G$2:G$10815,
_xlfn.AGGREGATE(15,6,
(ROW('F &amp; B'!$B$2:$B$10815)-ROW('F &amp; B'!$B$2)+1)/
('F &amp; B'!$B$2:$B$10815=$A$48),
ROW()-47)
),
"")</f>
        <v>300</v>
      </c>
    </row>
    <row r="62" spans="1:6" s="74" customFormat="1" ht="17.100000000000001" customHeight="1">
      <c r="A62" s="386"/>
      <c r="B62" s="386"/>
      <c r="C62" s="192">
        <f>IFERROR(
INDEX('F &amp; B'!D$2:D$10815,
_xlfn.AGGREGATE(15,6,
(ROW('F &amp; B'!$B$2:$B$10815)-ROW('F &amp; B'!$B$2)+1)/
('F &amp; B'!$B$2:$B$10815=$A$48),
ROW()-47)
),
"")</f>
        <v>46002</v>
      </c>
      <c r="D62" s="180">
        <f>IFERROR(
INDEX('F &amp; B'!E$2:E$10815,
_xlfn.AGGREGATE(15,6,
(ROW('F &amp; B'!$B$2:$B$10815)-ROW('F &amp; B'!$B$2)+1)/
('F &amp; B'!$B$2:$B$10815=$A$48),
ROW()-47)
),
"")</f>
        <v>2</v>
      </c>
      <c r="E62" s="7" t="str">
        <f>IFERROR(
INDEX('F &amp; B'!F$2:F$10815,
_xlfn.AGGREGATE(15,6,
(ROW('F &amp; B'!$B$2:$B$10815)-ROW('F &amp; B'!$B$2)+1)/
('F &amp; B'!$B$2:$B$10815=$A$48),
ROW()-47)
),
"")</f>
        <v>RESHMI SEEKH KABAB</v>
      </c>
      <c r="F62" s="186">
        <f>IFERROR(
INDEX('F &amp; B'!G$2:G$10815,
_xlfn.AGGREGATE(15,6,
(ROW('F &amp; B'!$B$2:$B$10815)-ROW('F &amp; B'!$B$2)+1)/
('F &amp; B'!$B$2:$B$10815=$A$48),
ROW()-47)
),
"")</f>
        <v>1998</v>
      </c>
    </row>
    <row r="63" spans="1:6" s="74" customFormat="1" ht="17.100000000000001" customHeight="1">
      <c r="A63" s="386"/>
      <c r="B63" s="386"/>
      <c r="C63" s="192">
        <f>IFERROR(
INDEX('F &amp; B'!D$2:D$10815,
_xlfn.AGGREGATE(15,6,
(ROW('F &amp; B'!$B$2:$B$10815)-ROW('F &amp; B'!$B$2)+1)/
('F &amp; B'!$B$2:$B$10815=$A$48),
ROW()-47)
),
"")</f>
        <v>46002</v>
      </c>
      <c r="D63" s="180">
        <f>IFERROR(
INDEX('F &amp; B'!E$2:E$10815,
_xlfn.AGGREGATE(15,6,
(ROW('F &amp; B'!$B$2:$B$10815)-ROW('F &amp; B'!$B$2)+1)/
('F &amp; B'!$B$2:$B$10815=$A$48),
ROW()-47)
),
"")</f>
        <v>1</v>
      </c>
      <c r="E63" s="7" t="str">
        <f>IFERROR(
INDEX('F &amp; B'!F$2:F$10815,
_xlfn.AGGREGATE(15,6,
(ROW('F &amp; B'!$B$2:$B$10815)-ROW('F &amp; B'!$B$2)+1)/
('F &amp; B'!$B$2:$B$10815=$A$48),
ROW()-47)
),
"")</f>
        <v>MALAI BOTI</v>
      </c>
      <c r="F63" s="186">
        <f>IFERROR(
INDEX('F &amp; B'!G$2:G$10815,
_xlfn.AGGREGATE(15,6,
(ROW('F &amp; B'!$B$2:$B$10815)-ROW('F &amp; B'!$B$2)+1)/
('F &amp; B'!$B$2:$B$10815=$A$48),
ROW()-47)
),
"")</f>
        <v>1150</v>
      </c>
    </row>
    <row r="64" spans="1:6" s="74" customFormat="1" ht="17.100000000000001" customHeight="1">
      <c r="A64" s="386"/>
      <c r="B64" s="386"/>
      <c r="C64" s="192">
        <f>IFERROR(
INDEX('F &amp; B'!D$2:D$10815,
_xlfn.AGGREGATE(15,6,
(ROW('F &amp; B'!$B$2:$B$10815)-ROW('F &amp; B'!$B$2)+1)/
('F &amp; B'!$B$2:$B$10815=$A$48),
ROW()-47)
),
"")</f>
        <v>46002</v>
      </c>
      <c r="D64" s="180">
        <f>IFERROR(
INDEX('F &amp; B'!E$2:E$10815,
_xlfn.AGGREGATE(15,6,
(ROW('F &amp; B'!$B$2:$B$10815)-ROW('F &amp; B'!$B$2)+1)/
('F &amp; B'!$B$2:$B$10815=$A$48),
ROW()-47)
),
"")</f>
        <v>1</v>
      </c>
      <c r="E64" s="7" t="str">
        <f>IFERROR(
INDEX('F &amp; B'!F$2:F$10815,
_xlfn.AGGREGATE(15,6,
(ROW('F &amp; B'!$B$2:$B$10815)-ROW('F &amp; B'!$B$2)+1)/
('F &amp; B'!$B$2:$B$10815=$A$48),
ROW()-47)
),
"")</f>
        <v>CHICKEN HANDI</v>
      </c>
      <c r="F64" s="186">
        <f>IFERROR(
INDEX('F &amp; B'!G$2:G$10815,
_xlfn.AGGREGATE(15,6,
(ROW('F &amp; B'!$B$2:$B$10815)-ROW('F &amp; B'!$B$2)+1)/
('F &amp; B'!$B$2:$B$10815=$A$48),
ROW()-47)
),
"")</f>
        <v>1000</v>
      </c>
    </row>
    <row r="65" spans="1:6" s="74" customFormat="1" ht="17.100000000000001" customHeight="1">
      <c r="A65" s="386"/>
      <c r="B65" s="386"/>
      <c r="C65" s="192">
        <f>IFERROR(
INDEX('F &amp; B'!D$2:D$10815,
_xlfn.AGGREGATE(15,6,
(ROW('F &amp; B'!$B$2:$B$10815)-ROW('F &amp; B'!$B$2)+1)/
('F &amp; B'!$B$2:$B$10815=$A$48),
ROW()-47)
),
"")</f>
        <v>46002</v>
      </c>
      <c r="D65" s="180">
        <f>IFERROR(
INDEX('F &amp; B'!E$2:E$10815,
_xlfn.AGGREGATE(15,6,
(ROW('F &amp; B'!$B$2:$B$10815)-ROW('F &amp; B'!$B$2)+1)/
('F &amp; B'!$B$2:$B$10815=$A$48),
ROW()-47)
),
"")</f>
        <v>2</v>
      </c>
      <c r="E65" s="7" t="str">
        <f>IFERROR(
INDEX('F &amp; B'!F$2:F$10815,
_xlfn.AGGREGATE(15,6,
(ROW('F &amp; B'!$B$2:$B$10815)-ROW('F &amp; B'!$B$2)+1)/
('F &amp; B'!$B$2:$B$10815=$A$48),
ROW()-47)
),
"")</f>
        <v>SHISH TAOUK</v>
      </c>
      <c r="F65" s="186">
        <f>IFERROR(
INDEX('F &amp; B'!G$2:G$10815,
_xlfn.AGGREGATE(15,6,
(ROW('F &amp; B'!$B$2:$B$10815)-ROW('F &amp; B'!$B$2)+1)/
('F &amp; B'!$B$2:$B$10815=$A$48),
ROW()-47)
),
"")</f>
        <v>2400</v>
      </c>
    </row>
    <row r="66" spans="1:6" s="74" customFormat="1" ht="17.100000000000001" customHeight="1">
      <c r="A66" s="386"/>
      <c r="B66" s="386"/>
      <c r="C66" s="192">
        <f>IFERROR(
INDEX('F &amp; B'!D$2:D$10815,
_xlfn.AGGREGATE(15,6,
(ROW('F &amp; B'!$B$2:$B$10815)-ROW('F &amp; B'!$B$2)+1)/
('F &amp; B'!$B$2:$B$10815=$A$48),
ROW()-47)
),
"")</f>
        <v>46002</v>
      </c>
      <c r="D66" s="180">
        <f>IFERROR(
INDEX('F &amp; B'!E$2:E$10815,
_xlfn.AGGREGATE(15,6,
(ROW('F &amp; B'!$B$2:$B$10815)-ROW('F &amp; B'!$B$2)+1)/
('F &amp; B'!$B$2:$B$10815=$A$48),
ROW()-47)
),
"")</f>
        <v>4</v>
      </c>
      <c r="E66" s="7" t="str">
        <f>IFERROR(
INDEX('F &amp; B'!F$2:F$10815,
_xlfn.AGGREGATE(15,6,
(ROW('F &amp; B'!$B$2:$B$10815)-ROW('F &amp; B'!$B$2)+1)/
('F &amp; B'!$B$2:$B$10815=$A$48),
ROW()-47)
),
"")</f>
        <v>GARLIC NAAN</v>
      </c>
      <c r="F66" s="186">
        <f>IFERROR(
INDEX('F &amp; B'!G$2:G$10815,
_xlfn.AGGREGATE(15,6,
(ROW('F &amp; B'!$B$2:$B$10815)-ROW('F &amp; B'!$B$2)+1)/
('F &amp; B'!$B$2:$B$10815=$A$48),
ROW()-47)
),
"")</f>
        <v>520</v>
      </c>
    </row>
    <row r="67" spans="1:6" s="74" customFormat="1" ht="17.100000000000001" customHeight="1">
      <c r="A67" s="386"/>
      <c r="B67" s="386"/>
      <c r="C67" s="192">
        <f>IFERROR(
INDEX('F &amp; B'!D$2:D$10815,
_xlfn.AGGREGATE(15,6,
(ROW('F &amp; B'!$B$2:$B$10815)-ROW('F &amp; B'!$B$2)+1)/
('F &amp; B'!$B$2:$B$10815=$A$48),
ROW()-47)
),
"")</f>
        <v>46002</v>
      </c>
      <c r="D67" s="180">
        <f>IFERROR(
INDEX('F &amp; B'!E$2:E$10815,
_xlfn.AGGREGATE(15,6,
(ROW('F &amp; B'!$B$2:$B$10815)-ROW('F &amp; B'!$B$2)+1)/
('F &amp; B'!$B$2:$B$10815=$A$48),
ROW()-47)
),
"")</f>
        <v>1</v>
      </c>
      <c r="E67" s="7" t="str">
        <f>IFERROR(
INDEX('F &amp; B'!F$2:F$10815,
_xlfn.AGGREGATE(15,6,
(ROW('F &amp; B'!$B$2:$B$10815)-ROW('F &amp; B'!$B$2)+1)/
('F &amp; B'!$B$2:$B$10815=$A$48),
ROW()-47)
),
"")</f>
        <v>RAITA</v>
      </c>
      <c r="F67" s="186">
        <f>IFERROR(
INDEX('F &amp; B'!G$2:G$10815,
_xlfn.AGGREGATE(15,6,
(ROW('F &amp; B'!$B$2:$B$10815)-ROW('F &amp; B'!$B$2)+1)/
('F &amp; B'!$B$2:$B$10815=$A$48),
ROW()-47)
),
"")</f>
        <v>200</v>
      </c>
    </row>
    <row r="68" spans="1:6" s="74" customFormat="1" ht="17.100000000000001" customHeight="1">
      <c r="A68" s="386"/>
      <c r="B68" s="386"/>
      <c r="C68" s="192">
        <f>IFERROR(
INDEX('F &amp; B'!D$2:D$10815,
_xlfn.AGGREGATE(15,6,
(ROW('F &amp; B'!$B$2:$B$10815)-ROW('F &amp; B'!$B$2)+1)/
('F &amp; B'!$B$2:$B$10815=$A$48),
ROW()-47)
),
"")</f>
        <v>46002</v>
      </c>
      <c r="D68" s="180">
        <f>IFERROR(
INDEX('F &amp; B'!E$2:E$10815,
_xlfn.AGGREGATE(15,6,
(ROW('F &amp; B'!$B$2:$B$10815)-ROW('F &amp; B'!$B$2)+1)/
('F &amp; B'!$B$2:$B$10815=$A$48),
ROW()-47)
),
"")</f>
        <v>2</v>
      </c>
      <c r="E68" s="7" t="str">
        <f>IFERROR(
INDEX('F &amp; B'!F$2:F$10815,
_xlfn.AGGREGATE(15,6,
(ROW('F &amp; B'!$B$2:$B$10815)-ROW('F &amp; B'!$B$2)+1)/
('F &amp; B'!$B$2:$B$10815=$A$48),
ROW()-47)
),
"")</f>
        <v>PLAIN NAAN</v>
      </c>
      <c r="F68" s="186">
        <f>IFERROR(
INDEX('F &amp; B'!G$2:G$10815,
_xlfn.AGGREGATE(15,6,
(ROW('F &amp; B'!$B$2:$B$10815)-ROW('F &amp; B'!$B$2)+1)/
('F &amp; B'!$B$2:$B$10815=$A$48),
ROW()-47)
),
"")</f>
        <v>140</v>
      </c>
    </row>
    <row r="69" spans="1:6" s="74" customFormat="1" ht="17.100000000000001" customHeight="1">
      <c r="A69" s="386"/>
      <c r="B69" s="386"/>
      <c r="C69" s="192">
        <f>IFERROR(
INDEX('F &amp; B'!D$2:D$10815,
_xlfn.AGGREGATE(15,6,
(ROW('F &amp; B'!$B$2:$B$10815)-ROW('F &amp; B'!$B$2)+1)/
('F &amp; B'!$B$2:$B$10815=$A$48),
ROW()-47)
),
"")</f>
        <v>46002</v>
      </c>
      <c r="D69" s="180">
        <f>IFERROR(
INDEX('F &amp; B'!E$2:E$10815,
_xlfn.AGGREGATE(15,6,
(ROW('F &amp; B'!$B$2:$B$10815)-ROW('F &amp; B'!$B$2)+1)/
('F &amp; B'!$B$2:$B$10815=$A$48),
ROW()-47)
),
"")</f>
        <v>3</v>
      </c>
      <c r="E69" s="7" t="str">
        <f>IFERROR(
INDEX('F &amp; B'!F$2:F$10815,
_xlfn.AGGREGATE(15,6,
(ROW('F &amp; B'!$B$2:$B$10815)-ROW('F &amp; B'!$B$2)+1)/
('F &amp; B'!$B$2:$B$10815=$A$48),
ROW()-47)
),
"")</f>
        <v>MIX NIMCO</v>
      </c>
      <c r="F69" s="186">
        <f>IFERROR(
INDEX('F &amp; B'!G$2:G$10815,
_xlfn.AGGREGATE(15,6,
(ROW('F &amp; B'!$B$2:$B$10815)-ROW('F &amp; B'!$B$2)+1)/
('F &amp; B'!$B$2:$B$10815=$A$48),
ROW()-47)
),
"")</f>
        <v>900</v>
      </c>
    </row>
    <row r="70" spans="1:6" s="74" customFormat="1" ht="17.100000000000001" customHeight="1">
      <c r="A70" s="386"/>
      <c r="B70" s="386"/>
      <c r="C70" s="192">
        <f>IFERROR(
INDEX('F &amp; B'!D$2:D$10815,
_xlfn.AGGREGATE(15,6,
(ROW('F &amp; B'!$B$2:$B$10815)-ROW('F &amp; B'!$B$2)+1)/
('F &amp; B'!$B$2:$B$10815=$A$48),
ROW()-47)
),
"")</f>
        <v>46003</v>
      </c>
      <c r="D70" s="180">
        <f>IFERROR(
INDEX('F &amp; B'!E$2:E$10815,
_xlfn.AGGREGATE(15,6,
(ROW('F &amp; B'!$B$2:$B$10815)-ROW('F &amp; B'!$B$2)+1)/
('F &amp; B'!$B$2:$B$10815=$A$48),
ROW()-47)
),
"")</f>
        <v>1</v>
      </c>
      <c r="E70" s="7" t="str">
        <f>IFERROR(
INDEX('F &amp; B'!F$2:F$10815,
_xlfn.AGGREGATE(15,6,
(ROW('F &amp; B'!$B$2:$B$10815)-ROW('F &amp; B'!$B$2)+1)/
('F &amp; B'!$B$2:$B$10815=$A$48),
ROW()-47)
),
"")</f>
        <v>PEANUT AND NIMCO</v>
      </c>
      <c r="F70" s="186">
        <f>IFERROR(
INDEX('F &amp; B'!G$2:G$10815,
_xlfn.AGGREGATE(15,6,
(ROW('F &amp; B'!$B$2:$B$10815)-ROW('F &amp; B'!$B$2)+1)/
('F &amp; B'!$B$2:$B$10815=$A$48),
ROW()-47)
),
"")</f>
        <v>300</v>
      </c>
    </row>
    <row r="71" spans="1:6" s="74" customFormat="1" ht="17.100000000000001" customHeight="1">
      <c r="A71" s="386"/>
      <c r="B71" s="386"/>
      <c r="C71" s="192">
        <f>IFERROR(
INDEX('F &amp; B'!D$2:D$10815,
_xlfn.AGGREGATE(15,6,
(ROW('F &amp; B'!$B$2:$B$10815)-ROW('F &amp; B'!$B$2)+1)/
('F &amp; B'!$B$2:$B$10815=$A$48),
ROW()-47)
),
"")</f>
        <v>46003</v>
      </c>
      <c r="D71" s="180">
        <f>IFERROR(
INDEX('F &amp; B'!E$2:E$10815,
_xlfn.AGGREGATE(15,6,
(ROW('F &amp; B'!$B$2:$B$10815)-ROW('F &amp; B'!$B$2)+1)/
('F &amp; B'!$B$2:$B$10815=$A$48),
ROW()-47)
),
"")</f>
        <v>16</v>
      </c>
      <c r="E71" s="7" t="str">
        <f>IFERROR(
INDEX('F &amp; B'!F$2:F$10815,
_xlfn.AGGREGATE(15,6,
(ROW('F &amp; B'!$B$2:$B$10815)-ROW('F &amp; B'!$B$2)+1)/
('F &amp; B'!$B$2:$B$10815=$A$48),
ROW()-47)
),
"")</f>
        <v>VODKA SINGLE</v>
      </c>
      <c r="F71" s="186">
        <f>IFERROR(
INDEX('F &amp; B'!G$2:G$10815,
_xlfn.AGGREGATE(15,6,
(ROW('F &amp; B'!$B$2:$B$10815)-ROW('F &amp; B'!$B$2)+1)/
('F &amp; B'!$B$2:$B$10815=$A$48),
ROW()-47)
),
"")</f>
        <v>8800</v>
      </c>
    </row>
    <row r="72" spans="1:6" s="74" customFormat="1" ht="17.100000000000001" customHeight="1">
      <c r="A72" s="386"/>
      <c r="B72" s="386"/>
      <c r="C72" s="192">
        <f>IFERROR(
INDEX('F &amp; B'!D$2:D$10815,
_xlfn.AGGREGATE(15,6,
(ROW('F &amp; B'!$B$2:$B$10815)-ROW('F &amp; B'!$B$2)+1)/
('F &amp; B'!$B$2:$B$10815=$A$48),
ROW()-47)
),
"")</f>
        <v>46004</v>
      </c>
      <c r="D72" s="180">
        <f>IFERROR(
INDEX('F &amp; B'!E$2:E$10815,
_xlfn.AGGREGATE(15,6,
(ROW('F &amp; B'!$B$2:$B$10815)-ROW('F &amp; B'!$B$2)+1)/
('F &amp; B'!$B$2:$B$10815=$A$48),
ROW()-47)
),
"")</f>
        <v>8</v>
      </c>
      <c r="E72" s="7" t="str">
        <f>IFERROR(
INDEX('F &amp; B'!F$2:F$10815,
_xlfn.AGGREGATE(15,6,
(ROW('F &amp; B'!$B$2:$B$10815)-ROW('F &amp; B'!$B$2)+1)/
('F &amp; B'!$B$2:$B$10815=$A$48),
ROW()-47)
),
"")</f>
        <v>BLACK LABEL SINGLE</v>
      </c>
      <c r="F72" s="186">
        <f>IFERROR(
INDEX('F &amp; B'!G$2:G$10815,
_xlfn.AGGREGATE(15,6,
(ROW('F &amp; B'!$B$2:$B$10815)-ROW('F &amp; B'!$B$2)+1)/
('F &amp; B'!$B$2:$B$10815=$A$48),
ROW()-47)
),
"")</f>
        <v>8000</v>
      </c>
    </row>
    <row r="73" spans="1:6" s="74" customFormat="1" ht="17.100000000000001" customHeight="1">
      <c r="A73" s="386"/>
      <c r="B73" s="386"/>
      <c r="C73" s="192">
        <f>IFERROR(
INDEX('F &amp; B'!D$2:D$10815,
_xlfn.AGGREGATE(15,6,
(ROW('F &amp; B'!$B$2:$B$10815)-ROW('F &amp; B'!$B$2)+1)/
('F &amp; B'!$B$2:$B$10815=$A$48),
ROW()-47)
),
"")</f>
        <v>46004</v>
      </c>
      <c r="D73" s="180">
        <f>IFERROR(
INDEX('F &amp; B'!E$2:E$10815,
_xlfn.AGGREGATE(15,6,
(ROW('F &amp; B'!$B$2:$B$10815)-ROW('F &amp; B'!$B$2)+1)/
('F &amp; B'!$B$2:$B$10815=$A$48),
ROW()-47)
),
"")</f>
        <v>2</v>
      </c>
      <c r="E73" s="7" t="str">
        <f>IFERROR(
INDEX('F &amp; B'!F$2:F$10815,
_xlfn.AGGREGATE(15,6,
(ROW('F &amp; B'!$B$2:$B$10815)-ROW('F &amp; B'!$B$2)+1)/
('F &amp; B'!$B$2:$B$10815=$A$48),
ROW()-47)
),
"")</f>
        <v>CHIVAS SINGLE</v>
      </c>
      <c r="F73" s="186">
        <f>IFERROR(
INDEX('F &amp; B'!G$2:G$10815,
_xlfn.AGGREGATE(15,6,
(ROW('F &amp; B'!$B$2:$B$10815)-ROW('F &amp; B'!$B$2)+1)/
('F &amp; B'!$B$2:$B$10815=$A$48),
ROW()-47)
),
"")</f>
        <v>2000</v>
      </c>
    </row>
    <row r="74" spans="1:6" s="74" customFormat="1" ht="17.100000000000001" customHeight="1">
      <c r="A74" s="386"/>
      <c r="B74" s="386"/>
      <c r="C74" s="192">
        <f>IFERROR(
INDEX('F &amp; B'!D$2:D$10815,
_xlfn.AGGREGATE(15,6,
(ROW('F &amp; B'!$B$2:$B$10815)-ROW('F &amp; B'!$B$2)+1)/
('F &amp; B'!$B$2:$B$10815=$A$48),
ROW()-47)
),
"")</f>
        <v>46004</v>
      </c>
      <c r="D74" s="180">
        <f>IFERROR(
INDEX('F &amp; B'!E$2:E$10815,
_xlfn.AGGREGATE(15,6,
(ROW('F &amp; B'!$B$2:$B$10815)-ROW('F &amp; B'!$B$2)+1)/
('F &amp; B'!$B$2:$B$10815=$A$48),
ROW()-47)
),
"")</f>
        <v>1</v>
      </c>
      <c r="E74" s="7" t="str">
        <f>IFERROR(
INDEX('F &amp; B'!F$2:F$10815,
_xlfn.AGGREGATE(15,6,
(ROW('F &amp; B'!$B$2:$B$10815)-ROW('F &amp; B'!$B$2)+1)/
('F &amp; B'!$B$2:$B$10815=$A$48),
ROW()-47)
),
"")</f>
        <v>MINERAL WATER LARGE</v>
      </c>
      <c r="F74" s="186">
        <f>IFERROR(
INDEX('F &amp; B'!G$2:G$10815,
_xlfn.AGGREGATE(15,6,
(ROW('F &amp; B'!$B$2:$B$10815)-ROW('F &amp; B'!$B$2)+1)/
('F &amp; B'!$B$2:$B$10815=$A$48),
ROW()-47)
),
"")</f>
        <v>150</v>
      </c>
    </row>
    <row r="75" spans="1:6" s="74" customFormat="1" ht="17.100000000000001" customHeight="1">
      <c r="A75" s="386"/>
      <c r="B75" s="386"/>
      <c r="C75" s="192">
        <f>IFERROR(
INDEX('F &amp; B'!D$2:D$10815,
_xlfn.AGGREGATE(15,6,
(ROW('F &amp; B'!$B$2:$B$10815)-ROW('F &amp; B'!$B$2)+1)/
('F &amp; B'!$B$2:$B$10815=$A$48),
ROW()-47)
),
"")</f>
        <v>46004</v>
      </c>
      <c r="D75" s="180">
        <f>IFERROR(
INDEX('F &amp; B'!E$2:E$10815,
_xlfn.AGGREGATE(15,6,
(ROW('F &amp; B'!$B$2:$B$10815)-ROW('F &amp; B'!$B$2)+1)/
('F &amp; B'!$B$2:$B$10815=$A$48),
ROW()-47)
),
"")</f>
        <v>1</v>
      </c>
      <c r="E75" s="7" t="str">
        <f>IFERROR(
INDEX('F &amp; B'!F$2:F$10815,
_xlfn.AGGREGATE(15,6,
(ROW('F &amp; B'!$B$2:$B$10815)-ROW('F &amp; B'!$B$2)+1)/
('F &amp; B'!$B$2:$B$10815=$A$48),
ROW()-47)
),
"")</f>
        <v>MINERAL WATER SMALL</v>
      </c>
      <c r="F75" s="186">
        <f>IFERROR(
INDEX('F &amp; B'!G$2:G$10815,
_xlfn.AGGREGATE(15,6,
(ROW('F &amp; B'!$B$2:$B$10815)-ROW('F &amp; B'!$B$2)+1)/
('F &amp; B'!$B$2:$B$10815=$A$48),
ROW()-47)
),
"")</f>
        <v>100</v>
      </c>
    </row>
    <row r="76" spans="1:6" s="74" customFormat="1" ht="17.100000000000001" customHeight="1">
      <c r="A76" s="386"/>
      <c r="B76" s="386"/>
      <c r="C76" s="192">
        <f>IFERROR(
INDEX('F &amp; B'!D$2:D$10815,
_xlfn.AGGREGATE(15,6,
(ROW('F &amp; B'!$B$2:$B$10815)-ROW('F &amp; B'!$B$2)+1)/
('F &amp; B'!$B$2:$B$10815=$A$48),
ROW()-47)
),
"")</f>
        <v>46004</v>
      </c>
      <c r="D76" s="180">
        <f>IFERROR(
INDEX('F &amp; B'!E$2:E$10815,
_xlfn.AGGREGATE(15,6,
(ROW('F &amp; B'!$B$2:$B$10815)-ROW('F &amp; B'!$B$2)+1)/
('F &amp; B'!$B$2:$B$10815=$A$48),
ROW()-47)
),
"")</f>
        <v>2</v>
      </c>
      <c r="E76" s="7" t="str">
        <f>IFERROR(
INDEX('F &amp; B'!F$2:F$10815,
_xlfn.AGGREGATE(15,6,
(ROW('F &amp; B'!$B$2:$B$10815)-ROW('F &amp; B'!$B$2)+1)/
('F &amp; B'!$B$2:$B$10815=$A$48),
ROW()-47)
),
"")</f>
        <v>MINERAL WATER LARGE</v>
      </c>
      <c r="F76" s="186">
        <f>IFERROR(
INDEX('F &amp; B'!G$2:G$10815,
_xlfn.AGGREGATE(15,6,
(ROW('F &amp; B'!$B$2:$B$10815)-ROW('F &amp; B'!$B$2)+1)/
('F &amp; B'!$B$2:$B$10815=$A$48),
ROW()-47)
),
"")</f>
        <v>300</v>
      </c>
    </row>
    <row r="77" spans="1:6" s="74" customFormat="1" ht="17.100000000000001" customHeight="1">
      <c r="A77" s="386"/>
      <c r="B77" s="386"/>
      <c r="C77" s="192">
        <f>IFERROR(
INDEX('F &amp; B'!D$2:D$10815,
_xlfn.AGGREGATE(15,6,
(ROW('F &amp; B'!$B$2:$B$10815)-ROW('F &amp; B'!$B$2)+1)/
('F &amp; B'!$B$2:$B$10815=$A$48),
ROW()-47)
),
"")</f>
        <v>46004</v>
      </c>
      <c r="D77" s="180">
        <f>IFERROR(
INDEX('F &amp; B'!E$2:E$10815,
_xlfn.AGGREGATE(15,6,
(ROW('F &amp; B'!$B$2:$B$10815)-ROW('F &amp; B'!$B$2)+1)/
('F &amp; B'!$B$2:$B$10815=$A$48),
ROW()-47)
),
"")</f>
        <v>1</v>
      </c>
      <c r="E77" s="7" t="str">
        <f>IFERROR(
INDEX('F &amp; B'!F$2:F$10815,
_xlfn.AGGREGATE(15,6,
(ROW('F &amp; B'!$B$2:$B$10815)-ROW('F &amp; B'!$B$2)+1)/
('F &amp; B'!$B$2:$B$10815=$A$48),
ROW()-47)
),
"")</f>
        <v>MALAI BOTI</v>
      </c>
      <c r="F77" s="186">
        <f>IFERROR(
INDEX('F &amp; B'!G$2:G$10815,
_xlfn.AGGREGATE(15,6,
(ROW('F &amp; B'!$B$2:$B$10815)-ROW('F &amp; B'!$B$2)+1)/
('F &amp; B'!$B$2:$B$10815=$A$48),
ROW()-47)
),
"")</f>
        <v>1150</v>
      </c>
    </row>
    <row r="78" spans="1:6" s="74" customFormat="1" ht="17.100000000000001" customHeight="1">
      <c r="A78" s="386"/>
      <c r="B78" s="386"/>
      <c r="C78" s="192">
        <f>IFERROR(
INDEX('F &amp; B'!D$2:D$10815,
_xlfn.AGGREGATE(15,6,
(ROW('F &amp; B'!$B$2:$B$10815)-ROW('F &amp; B'!$B$2)+1)/
('F &amp; B'!$B$2:$B$10815=$A$48),
ROW()-47)
),
"")</f>
        <v>46004</v>
      </c>
      <c r="D78" s="180">
        <f>IFERROR(
INDEX('F &amp; B'!E$2:E$10815,
_xlfn.AGGREGATE(15,6,
(ROW('F &amp; B'!$B$2:$B$10815)-ROW('F &amp; B'!$B$2)+1)/
('F &amp; B'!$B$2:$B$10815=$A$48),
ROW()-47)
),
"")</f>
        <v>1</v>
      </c>
      <c r="E78" s="7" t="str">
        <f>IFERROR(
INDEX('F &amp; B'!F$2:F$10815,
_xlfn.AGGREGATE(15,6,
(ROW('F &amp; B'!$B$2:$B$10815)-ROW('F &amp; B'!$B$2)+1)/
('F &amp; B'!$B$2:$B$10815=$A$48),
ROW()-47)
),
"")</f>
        <v>PEANUT AND NIMCO</v>
      </c>
      <c r="F78" s="186">
        <f>IFERROR(
INDEX('F &amp; B'!G$2:G$10815,
_xlfn.AGGREGATE(15,6,
(ROW('F &amp; B'!$B$2:$B$10815)-ROW('F &amp; B'!$B$2)+1)/
('F &amp; B'!$B$2:$B$10815=$A$48),
ROW()-47)
),
"")</f>
        <v>300</v>
      </c>
    </row>
    <row r="79" spans="1:6" s="74" customFormat="1" ht="17.100000000000001" customHeight="1">
      <c r="A79" s="386"/>
      <c r="B79" s="386"/>
      <c r="C79" s="192">
        <f>IFERROR(
INDEX('F &amp; B'!D$2:D$10815,
_xlfn.AGGREGATE(15,6,
(ROW('F &amp; B'!$B$2:$B$10815)-ROW('F &amp; B'!$B$2)+1)/
('F &amp; B'!$B$2:$B$10815=$A$48),
ROW()-47)
),
"")</f>
        <v>46004</v>
      </c>
      <c r="D79" s="180">
        <f>IFERROR(
INDEX('F &amp; B'!E$2:E$10815,
_xlfn.AGGREGATE(15,6,
(ROW('F &amp; B'!$B$2:$B$10815)-ROW('F &amp; B'!$B$2)+1)/
('F &amp; B'!$B$2:$B$10815=$A$48),
ROW()-47)
),
"")</f>
        <v>1</v>
      </c>
      <c r="E79" s="7" t="str">
        <f>IFERROR(
INDEX('F &amp; B'!F$2:F$10815,
_xlfn.AGGREGATE(15,6,
(ROW('F &amp; B'!$B$2:$B$10815)-ROW('F &amp; B'!$B$2)+1)/
('F &amp; B'!$B$2:$B$10815=$A$48),
ROW()-47)
),
"")</f>
        <v>SHISH TAOUK</v>
      </c>
      <c r="F79" s="186">
        <f>IFERROR(
INDEX('F &amp; B'!G$2:G$10815,
_xlfn.AGGREGATE(15,6,
(ROW('F &amp; B'!$B$2:$B$10815)-ROW('F &amp; B'!$B$2)+1)/
('F &amp; B'!$B$2:$B$10815=$A$48),
ROW()-47)
),
"")</f>
        <v>1200</v>
      </c>
    </row>
    <row r="80" spans="1:6" s="74" customFormat="1" ht="17.100000000000001" customHeight="1">
      <c r="A80" s="386"/>
      <c r="B80" s="386"/>
      <c r="C80" s="192">
        <f>IFERROR(
INDEX('F &amp; B'!D$2:D$10815,
_xlfn.AGGREGATE(15,6,
(ROW('F &amp; B'!$B$2:$B$10815)-ROW('F &amp; B'!$B$2)+1)/
('F &amp; B'!$B$2:$B$10815=$A$48),
ROW()-47)
),
"")</f>
        <v>46004</v>
      </c>
      <c r="D80" s="180">
        <f>IFERROR(
INDEX('F &amp; B'!E$2:E$10815,
_xlfn.AGGREGATE(15,6,
(ROW('F &amp; B'!$B$2:$B$10815)-ROW('F &amp; B'!$B$2)+1)/
('F &amp; B'!$B$2:$B$10815=$A$48),
ROW()-47)
),
"")</f>
        <v>1</v>
      </c>
      <c r="E80" s="7" t="str">
        <f>IFERROR(
INDEX('F &amp; B'!F$2:F$10815,
_xlfn.AGGREGATE(15,6,
(ROW('F &amp; B'!$B$2:$B$10815)-ROW('F &amp; B'!$B$2)+1)/
('F &amp; B'!$B$2:$B$10815=$A$48),
ROW()-47)
),
"")</f>
        <v>CORKAGE</v>
      </c>
      <c r="F80" s="186">
        <f>IFERROR(
INDEX('F &amp; B'!G$2:G$10815,
_xlfn.AGGREGATE(15,6,
(ROW('F &amp; B'!$B$2:$B$10815)-ROW('F &amp; B'!$B$2)+1)/
('F &amp; B'!$B$2:$B$10815=$A$48),
ROW()-47)
),
"")</f>
        <v>1000</v>
      </c>
    </row>
    <row r="81" spans="1:6" s="74" customFormat="1" ht="17.100000000000001" customHeight="1">
      <c r="A81" s="386"/>
      <c r="B81" s="386"/>
      <c r="C81" s="192">
        <f>IFERROR(
INDEX('F &amp; B'!D$2:D$10815,
_xlfn.AGGREGATE(15,6,
(ROW('F &amp; B'!$B$2:$B$10815)-ROW('F &amp; B'!$B$2)+1)/
('F &amp; B'!$B$2:$B$10815=$A$48),
ROW()-47)
),
"")</f>
        <v>46016</v>
      </c>
      <c r="D81" s="180">
        <f>IFERROR(
INDEX('F &amp; B'!E$2:E$10815,
_xlfn.AGGREGATE(15,6,
(ROW('F &amp; B'!$B$2:$B$10815)-ROW('F &amp; B'!$B$2)+1)/
('F &amp; B'!$B$2:$B$10815=$A$48),
ROW()-47)
),
"")</f>
        <v>4</v>
      </c>
      <c r="E81" s="7" t="str">
        <f>IFERROR(
INDEX('F &amp; B'!F$2:F$10815,
_xlfn.AGGREGATE(15,6,
(ROW('F &amp; B'!$B$2:$B$10815)-ROW('F &amp; B'!$B$2)+1)/
('F &amp; B'!$B$2:$B$10815=$A$48),
ROW()-47)
),
"")</f>
        <v>MURREE BEER</v>
      </c>
      <c r="F81" s="186">
        <f>IFERROR(
INDEX('F &amp; B'!G$2:G$10815,
_xlfn.AGGREGATE(15,6,
(ROW('F &amp; B'!$B$2:$B$10815)-ROW('F &amp; B'!$B$2)+1)/
('F &amp; B'!$B$2:$B$10815=$A$48),
ROW()-47)
),
"")</f>
        <v>4000</v>
      </c>
    </row>
    <row r="82" spans="1:6" s="74" customFormat="1" ht="17.100000000000001" customHeight="1">
      <c r="A82" s="386"/>
      <c r="B82" s="386"/>
      <c r="C82" s="192">
        <f>IFERROR(
INDEX('F &amp; B'!D$2:D$10815,
_xlfn.AGGREGATE(15,6,
(ROW('F &amp; B'!$B$2:$B$10815)-ROW('F &amp; B'!$B$2)+1)/
('F &amp; B'!$B$2:$B$10815=$A$48),
ROW()-47)
),
"")</f>
        <v>46016</v>
      </c>
      <c r="D82" s="180">
        <f>IFERROR(
INDEX('F &amp; B'!E$2:E$10815,
_xlfn.AGGREGATE(15,6,
(ROW('F &amp; B'!$B$2:$B$10815)-ROW('F &amp; B'!$B$2)+1)/
('F &amp; B'!$B$2:$B$10815=$A$48),
ROW()-47)
),
"")</f>
        <v>5</v>
      </c>
      <c r="E82" s="7" t="str">
        <f>IFERROR(
INDEX('F &amp; B'!F$2:F$10815,
_xlfn.AGGREGATE(15,6,
(ROW('F &amp; B'!$B$2:$B$10815)-ROW('F &amp; B'!$B$2)+1)/
('F &amp; B'!$B$2:$B$10815=$A$48),
ROW()-47)
),
"")</f>
        <v>BLACK LABEL SINGLE WL</v>
      </c>
      <c r="F82" s="186">
        <f>IFERROR(
INDEX('F &amp; B'!G$2:G$10815,
_xlfn.AGGREGATE(15,6,
(ROW('F &amp; B'!$B$2:$B$10815)-ROW('F &amp; B'!$B$2)+1)/
('F &amp; B'!$B$2:$B$10815=$A$48),
ROW()-47)
),
"")</f>
        <v>5000</v>
      </c>
    </row>
    <row r="83" spans="1:6" s="74" customFormat="1" ht="17.100000000000001" customHeight="1">
      <c r="A83" s="386"/>
      <c r="B83" s="386"/>
      <c r="C83" s="192" t="str">
        <f>IFERROR(
INDEX('F &amp; B'!D$2:D$10815,
_xlfn.AGGREGATE(15,6,
(ROW('F &amp; B'!$B$2:$B$10815)-ROW('F &amp; B'!$B$2)+1)/
('F &amp; B'!$B$2:$B$10815=$A$48),
ROW()-47)
),
"")</f>
        <v/>
      </c>
      <c r="D83" s="180" t="str">
        <f>IFERROR(
INDEX('F &amp; B'!E$2:E$10815,
_xlfn.AGGREGATE(15,6,
(ROW('F &amp; B'!$B$2:$B$10815)-ROW('F &amp; B'!$B$2)+1)/
('F &amp; B'!$B$2:$B$10815=$A$48),
ROW()-47)
),
"")</f>
        <v/>
      </c>
      <c r="E83" s="7" t="str">
        <f>IFERROR(
INDEX('F &amp; B'!F$2:F$10815,
_xlfn.AGGREGATE(15,6,
(ROW('F &amp; B'!$B$2:$B$10815)-ROW('F &amp; B'!$B$2)+1)/
('F &amp; B'!$B$2:$B$10815=$A$48),
ROW()-47)
),
"")</f>
        <v/>
      </c>
      <c r="F83" s="186" t="str">
        <f>IFERROR(
INDEX('F &amp; B'!G$2:G$10815,
_xlfn.AGGREGATE(15,6,
(ROW('F &amp; B'!$B$2:$B$10815)-ROW('F &amp; B'!$B$2)+1)/
('F &amp; B'!$B$2:$B$10815=$A$48),
ROW()-47)
),
"")</f>
        <v/>
      </c>
    </row>
    <row r="84" spans="1:6" s="74" customFormat="1" ht="17.100000000000001" customHeight="1">
      <c r="A84" s="440"/>
      <c r="B84" s="441"/>
      <c r="C84" s="192" t="str">
        <f>IFERROR(
INDEX('F &amp; B'!D$2:D$10815,
_xlfn.AGGREGATE(15,6,
(ROW('F &amp; B'!$B$2:$B$10815)-ROW('F &amp; B'!$B$2)+1)/
('F &amp; B'!$B$2:$B$10815=$A$48),
ROW()-47)
),
"")</f>
        <v/>
      </c>
      <c r="D84" s="180" t="str">
        <f>IFERROR(
INDEX('F &amp; B'!E$2:E$10815,
_xlfn.AGGREGATE(15,6,
(ROW('F &amp; B'!$B$2:$B$10815)-ROW('F &amp; B'!$B$2)+1)/
('F &amp; B'!$B$2:$B$10815=$A$48),
ROW()-47)
),
"")</f>
        <v/>
      </c>
      <c r="E84" s="7" t="str">
        <f>IFERROR(
INDEX('F &amp; B'!F$2:F$10815,
_xlfn.AGGREGATE(15,6,
(ROW('F &amp; B'!$B$2:$B$10815)-ROW('F &amp; B'!$B$2)+1)/
('F &amp; B'!$B$2:$B$10815=$A$48),
ROW()-47)
),
"")</f>
        <v/>
      </c>
      <c r="F84" s="186" t="str">
        <f>IFERROR(
INDEX('F &amp; B'!G$2:G$10815,
_xlfn.AGGREGATE(15,6,
(ROW('F &amp; B'!$B$2:$B$10815)-ROW('F &amp; B'!$B$2)+1)/
('F &amp; B'!$B$2:$B$10815=$A$48),
ROW()-47)
),
"")</f>
        <v/>
      </c>
    </row>
    <row r="85" spans="1:6" s="74" customFormat="1" ht="17.100000000000001" customHeight="1">
      <c r="A85" s="442"/>
      <c r="B85" s="442"/>
      <c r="C85" s="192" t="str">
        <f>IFERROR(
INDEX('F &amp; B'!D$2:D$10815,
_xlfn.AGGREGATE(15,6,
(ROW('F &amp; B'!$B$2:$B$10815)-ROW('F &amp; B'!$B$2)+1)/
('F &amp; B'!$B$2:$B$10815=$A$48),
ROW()-47)
),
"")</f>
        <v/>
      </c>
      <c r="D85" s="180" t="str">
        <f>IFERROR(
INDEX('F &amp; B'!E$2:E$10815,
_xlfn.AGGREGATE(15,6,
(ROW('F &amp; B'!$B$2:$B$10815)-ROW('F &amp; B'!$B$2)+1)/
('F &amp; B'!$B$2:$B$10815=$A$48),
ROW()-47)
),
"")</f>
        <v/>
      </c>
      <c r="E85" s="7" t="str">
        <f>IFERROR(
INDEX('F &amp; B'!F$2:F$10815,
_xlfn.AGGREGATE(15,6,
(ROW('F &amp; B'!$B$2:$B$10815)-ROW('F &amp; B'!$B$2)+1)/
('F &amp; B'!$B$2:$B$10815=$A$48),
ROW()-47)
),
"")</f>
        <v/>
      </c>
      <c r="F85" s="186" t="str">
        <f>IFERROR(
INDEX('F &amp; B'!G$2:G$10815,
_xlfn.AGGREGATE(15,6,
(ROW('F &amp; B'!$B$2:$B$10815)-ROW('F &amp; B'!$B$2)+1)/
('F &amp; B'!$B$2:$B$10815=$A$48),
ROW()-47)
),
"")</f>
        <v/>
      </c>
    </row>
    <row r="86" spans="1:6" s="74" customFormat="1" ht="17.100000000000001" customHeight="1">
      <c r="A86" s="386"/>
      <c r="B86" s="386"/>
      <c r="C86" s="192" t="str">
        <f>IFERROR(
INDEX('F &amp; B'!D$2:D$10815,
_xlfn.AGGREGATE(15,6,
(ROW('F &amp; B'!$B$2:$B$10815)-ROW('F &amp; B'!$B$2)+1)/
('F &amp; B'!$B$2:$B$10815=$A$48),
ROW()-47)
),
"")</f>
        <v/>
      </c>
      <c r="D86" s="180" t="str">
        <f>IFERROR(
INDEX('F &amp; B'!E$2:E$10815,
_xlfn.AGGREGATE(15,6,
(ROW('F &amp; B'!$B$2:$B$10815)-ROW('F &amp; B'!$B$2)+1)/
('F &amp; B'!$B$2:$B$10815=$A$48),
ROW()-47)
),
"")</f>
        <v/>
      </c>
      <c r="E86" s="7" t="str">
        <f>IFERROR(
INDEX('F &amp; B'!F$2:F$10815,
_xlfn.AGGREGATE(15,6,
(ROW('F &amp; B'!$B$2:$B$10815)-ROW('F &amp; B'!$B$2)+1)/
('F &amp; B'!$B$2:$B$10815=$A$48),
ROW()-47)
),
"")</f>
        <v/>
      </c>
      <c r="F86" s="186" t="str">
        <f>IFERROR(
INDEX('F &amp; B'!G$2:G$10815,
_xlfn.AGGREGATE(15,6,
(ROW('F &amp; B'!$B$2:$B$10815)-ROW('F &amp; B'!$B$2)+1)/
('F &amp; B'!$B$2:$B$10815=$A$48),
ROW()-47)
),
"")</f>
        <v/>
      </c>
    </row>
    <row r="87" spans="1:6" s="74" customFormat="1" ht="17.100000000000001" customHeight="1">
      <c r="A87" s="386"/>
      <c r="B87" s="386"/>
      <c r="C87" s="192" t="str">
        <f>IFERROR(
INDEX('F &amp; B'!D$2:D$10815,
_xlfn.AGGREGATE(15,6,
(ROW('F &amp; B'!$B$2:$B$10815)-ROW('F &amp; B'!$B$2)+1)/
('F &amp; B'!$B$2:$B$10815=$A$48),
ROW()-47)
),
"")</f>
        <v/>
      </c>
      <c r="D87" s="180" t="str">
        <f>IFERROR(
INDEX('F &amp; B'!E$2:E$10815,
_xlfn.AGGREGATE(15,6,
(ROW('F &amp; B'!$B$2:$B$10815)-ROW('F &amp; B'!$B$2)+1)/
('F &amp; B'!$B$2:$B$10815=$A$48),
ROW()-47)
),
"")</f>
        <v/>
      </c>
      <c r="E87" s="7" t="str">
        <f>IFERROR(
INDEX('F &amp; B'!F$2:F$10815,
_xlfn.AGGREGATE(15,6,
(ROW('F &amp; B'!$B$2:$B$10815)-ROW('F &amp; B'!$B$2)+1)/
('F &amp; B'!$B$2:$B$10815=$A$48),
ROW()-47)
),
"")</f>
        <v/>
      </c>
      <c r="F87" s="186" t="str">
        <f>IFERROR(
INDEX('F &amp; B'!G$2:G$10815,
_xlfn.AGGREGATE(15,6,
(ROW('F &amp; B'!$B$2:$B$10815)-ROW('F &amp; B'!$B$2)+1)/
('F &amp; B'!$B$2:$B$10815=$A$48),
ROW()-47)
),
"")</f>
        <v/>
      </c>
    </row>
    <row r="88" spans="1:6" s="74" customFormat="1" ht="17.100000000000001" customHeight="1">
      <c r="A88" s="386"/>
      <c r="B88" s="386"/>
      <c r="C88" s="192" t="str">
        <f>IFERROR(
INDEX('F &amp; B'!D$2:D$10815,
_xlfn.AGGREGATE(15,6,
(ROW('F &amp; B'!$B$2:$B$10815)-ROW('F &amp; B'!$B$2)+1)/
('F &amp; B'!$B$2:$B$10815=$A$48),
ROW()-47)
),
"")</f>
        <v/>
      </c>
      <c r="D88" s="180" t="str">
        <f>IFERROR(
INDEX('F &amp; B'!E$2:E$10815,
_xlfn.AGGREGATE(15,6,
(ROW('F &amp; B'!$B$2:$B$10815)-ROW('F &amp; B'!$B$2)+1)/
('F &amp; B'!$B$2:$B$10815=$A$48),
ROW()-47)
),
"")</f>
        <v/>
      </c>
      <c r="E88" s="7" t="str">
        <f>IFERROR(
INDEX('F &amp; B'!F$2:F$10815,
_xlfn.AGGREGATE(15,6,
(ROW('F &amp; B'!$B$2:$B$10815)-ROW('F &amp; B'!$B$2)+1)/
('F &amp; B'!$B$2:$B$10815=$A$48),
ROW()-47)
),
"")</f>
        <v/>
      </c>
      <c r="F88" s="186" t="str">
        <f>IFERROR(
INDEX('F &amp; B'!G$2:G$10815,
_xlfn.AGGREGATE(15,6,
(ROW('F &amp; B'!$B$2:$B$10815)-ROW('F &amp; B'!$B$2)+1)/
('F &amp; B'!$B$2:$B$10815=$A$48),
ROW()-47)
),
"")</f>
        <v/>
      </c>
    </row>
    <row r="89" spans="1:6" s="74" customFormat="1" ht="17.100000000000001" customHeight="1">
      <c r="A89" s="386"/>
      <c r="B89" s="386"/>
      <c r="C89" s="192" t="str">
        <f>IFERROR(
INDEX('F &amp; B'!D$2:D$10815,
_xlfn.AGGREGATE(15,6,
(ROW('F &amp; B'!$B$2:$B$10815)-ROW('F &amp; B'!$B$2)+1)/
('F &amp; B'!$B$2:$B$10815=$A$48),
ROW()-47)
),
"")</f>
        <v/>
      </c>
      <c r="D89" s="180" t="str">
        <f>IFERROR(
INDEX('F &amp; B'!E$2:E$10815,
_xlfn.AGGREGATE(15,6,
(ROW('F &amp; B'!$B$2:$B$10815)-ROW('F &amp; B'!$B$2)+1)/
('F &amp; B'!$B$2:$B$10815=$A$48),
ROW()-47)
),
"")</f>
        <v/>
      </c>
      <c r="E89" s="7" t="str">
        <f>IFERROR(
INDEX('F &amp; B'!F$2:F$10815,
_xlfn.AGGREGATE(15,6,
(ROW('F &amp; B'!$B$2:$B$10815)-ROW('F &amp; B'!$B$2)+1)/
('F &amp; B'!$B$2:$B$10815=$A$48),
ROW()-47)
),
"")</f>
        <v/>
      </c>
      <c r="F89" s="186" t="str">
        <f>IFERROR(
INDEX('F &amp; B'!G$2:G$10815,
_xlfn.AGGREGATE(15,6,
(ROW('F &amp; B'!$B$2:$B$10815)-ROW('F &amp; B'!$B$2)+1)/
('F &amp; B'!$B$2:$B$10815=$A$48),
ROW()-47)
),
"")</f>
        <v/>
      </c>
    </row>
    <row r="90" spans="1:6" s="74" customFormat="1" ht="17.100000000000001" customHeight="1">
      <c r="A90" s="386"/>
      <c r="B90" s="386"/>
      <c r="C90" s="192" t="str">
        <f>IFERROR(
INDEX('F &amp; B'!D$2:D$10815,
_xlfn.AGGREGATE(15,6,
(ROW('F &amp; B'!$B$2:$B$10815)-ROW('F &amp; B'!$B$2)+1)/
('F &amp; B'!$B$2:$B$10815=$A$48),
ROW()-47)
),
"")</f>
        <v/>
      </c>
      <c r="D90" s="180" t="str">
        <f>IFERROR(
INDEX('F &amp; B'!E$2:E$10815,
_xlfn.AGGREGATE(15,6,
(ROW('F &amp; B'!$B$2:$B$10815)-ROW('F &amp; B'!$B$2)+1)/
('F &amp; B'!$B$2:$B$10815=$A$48),
ROW()-47)
),
"")</f>
        <v/>
      </c>
      <c r="E90" s="7" t="str">
        <f>IFERROR(
INDEX('F &amp; B'!F$2:F$10815,
_xlfn.AGGREGATE(15,6,
(ROW('F &amp; B'!$B$2:$B$10815)-ROW('F &amp; B'!$B$2)+1)/
('F &amp; B'!$B$2:$B$10815=$A$48),
ROW()-47)
),
"")</f>
        <v/>
      </c>
      <c r="F90" s="186" t="str">
        <f>IFERROR(
INDEX('F &amp; B'!G$2:G$10815,
_xlfn.AGGREGATE(15,6,
(ROW('F &amp; B'!$B$2:$B$10815)-ROW('F &amp; B'!$B$2)+1)/
('F &amp; B'!$B$2:$B$10815=$A$48),
ROW()-47)
),
"")</f>
        <v/>
      </c>
    </row>
    <row r="91" spans="1:6" s="74" customFormat="1" ht="17.100000000000001" customHeight="1">
      <c r="A91" s="386"/>
      <c r="B91" s="386"/>
      <c r="C91" s="192" t="str">
        <f>IFERROR(
INDEX('F &amp; B'!D$2:D$10815,
_xlfn.AGGREGATE(15,6,
(ROW('F &amp; B'!$B$2:$B$10815)-ROW('F &amp; B'!$B$2)+1)/
('F &amp; B'!$B$2:$B$10815=$A$48),
ROW()-47)
),
"")</f>
        <v/>
      </c>
      <c r="D91" s="180" t="str">
        <f>IFERROR(
INDEX('F &amp; B'!E$2:E$10815,
_xlfn.AGGREGATE(15,6,
(ROW('F &amp; B'!$B$2:$B$10815)-ROW('F &amp; B'!$B$2)+1)/
('F &amp; B'!$B$2:$B$10815=$A$48),
ROW()-47)
),
"")</f>
        <v/>
      </c>
      <c r="E91" s="7" t="str">
        <f>IFERROR(
INDEX('F &amp; B'!F$2:F$10815,
_xlfn.AGGREGATE(15,6,
(ROW('F &amp; B'!$B$2:$B$10815)-ROW('F &amp; B'!$B$2)+1)/
('F &amp; B'!$B$2:$B$10815=$A$48),
ROW()-47)
),
"")</f>
        <v/>
      </c>
      <c r="F91" s="186" t="str">
        <f>IFERROR(
INDEX('F &amp; B'!G$2:G$10815,
_xlfn.AGGREGATE(15,6,
(ROW('F &amp; B'!$B$2:$B$10815)-ROW('F &amp; B'!$B$2)+1)/
('F &amp; B'!$B$2:$B$10815=$A$48),
ROW()-47)
),
"")</f>
        <v/>
      </c>
    </row>
    <row r="92" spans="1:6" s="74" customFormat="1" ht="17.100000000000001" customHeight="1">
      <c r="A92" s="386"/>
      <c r="B92" s="386"/>
      <c r="C92" s="192" t="str">
        <f>IFERROR(
INDEX('F &amp; B'!D$2:D$10815,
_xlfn.AGGREGATE(15,6,
(ROW('F &amp; B'!$B$2:$B$10815)-ROW('F &amp; B'!$B$2)+1)/
('F &amp; B'!$B$2:$B$10815=$A$48),
ROW()-47)
),
"")</f>
        <v/>
      </c>
      <c r="D92" s="180" t="str">
        <f>IFERROR(
INDEX('F &amp; B'!E$2:E$10815,
_xlfn.AGGREGATE(15,6,
(ROW('F &amp; B'!$B$2:$B$10815)-ROW('F &amp; B'!$B$2)+1)/
('F &amp; B'!$B$2:$B$10815=$A$48),
ROW()-47)
),
"")</f>
        <v/>
      </c>
      <c r="E92" s="7" t="str">
        <f>IFERROR(
INDEX('F &amp; B'!F$2:F$10815,
_xlfn.AGGREGATE(15,6,
(ROW('F &amp; B'!$B$2:$B$10815)-ROW('F &amp; B'!$B$2)+1)/
('F &amp; B'!$B$2:$B$10815=$A$48),
ROW()-47)
),
"")</f>
        <v/>
      </c>
      <c r="F92" s="186" t="str">
        <f>IFERROR(
INDEX('F &amp; B'!G$2:G$10815,
_xlfn.AGGREGATE(15,6,
(ROW('F &amp; B'!$B$2:$B$10815)-ROW('F &amp; B'!$B$2)+1)/
('F &amp; B'!$B$2:$B$10815=$A$48),
ROW()-47)
),
"")</f>
        <v/>
      </c>
    </row>
    <row r="93" spans="1:6" s="74" customFormat="1" ht="17.100000000000001" customHeight="1">
      <c r="A93" s="386"/>
      <c r="B93" s="386"/>
      <c r="C93" s="192" t="str">
        <f>IFERROR(
INDEX('F &amp; B'!D$2:D$10815,
_xlfn.AGGREGATE(15,6,
(ROW('F &amp; B'!$B$2:$B$10815)-ROW('F &amp; B'!$B$2)+1)/
('F &amp; B'!$B$2:$B$10815=$A$48),
ROW()-47)
),
"")</f>
        <v/>
      </c>
      <c r="D93" s="180" t="str">
        <f>IFERROR(
INDEX('F &amp; B'!E$2:E$10815,
_xlfn.AGGREGATE(15,6,
(ROW('F &amp; B'!$B$2:$B$10815)-ROW('F &amp; B'!$B$2)+1)/
('F &amp; B'!$B$2:$B$10815=$A$48),
ROW()-47)
),
"")</f>
        <v/>
      </c>
      <c r="E93" s="7" t="str">
        <f>IFERROR(
INDEX('F &amp; B'!F$2:F$10815,
_xlfn.AGGREGATE(15,6,
(ROW('F &amp; B'!$B$2:$B$10815)-ROW('F &amp; B'!$B$2)+1)/
('F &amp; B'!$B$2:$B$10815=$A$48),
ROW()-47)
),
"")</f>
        <v/>
      </c>
      <c r="F93" s="186" t="str">
        <f>IFERROR(
INDEX('F &amp; B'!G$2:G$10815,
_xlfn.AGGREGATE(15,6,
(ROW('F &amp; B'!$B$2:$B$10815)-ROW('F &amp; B'!$B$2)+1)/
('F &amp; B'!$B$2:$B$10815=$A$48),
ROW()-47)
),
"")</f>
        <v/>
      </c>
    </row>
    <row r="94" spans="1:6" s="74" customFormat="1" ht="17.100000000000001" customHeight="1">
      <c r="A94" s="386"/>
      <c r="B94" s="386"/>
      <c r="C94" s="192" t="str">
        <f>IFERROR(
INDEX('F &amp; B'!D$2:D$10815,
_xlfn.AGGREGATE(15,6,
(ROW('F &amp; B'!$B$2:$B$10815)-ROW('F &amp; B'!$B$2)+1)/
('F &amp; B'!$B$2:$B$10815=$A$48),
ROW()-47)
),
"")</f>
        <v/>
      </c>
      <c r="D94" s="180" t="str">
        <f>IFERROR(
INDEX('F &amp; B'!E$2:E$10815,
_xlfn.AGGREGATE(15,6,
(ROW('F &amp; B'!$B$2:$B$10815)-ROW('F &amp; B'!$B$2)+1)/
('F &amp; B'!$B$2:$B$10815=$A$48),
ROW()-47)
),
"")</f>
        <v/>
      </c>
      <c r="E94" s="7" t="str">
        <f>IFERROR(
INDEX('F &amp; B'!F$2:F$10815,
_xlfn.AGGREGATE(15,6,
(ROW('F &amp; B'!$B$2:$B$10815)-ROW('F &amp; B'!$B$2)+1)/
('F &amp; B'!$B$2:$B$10815=$A$48),
ROW()-47)
),
"")</f>
        <v/>
      </c>
      <c r="F94" s="186" t="str">
        <f>IFERROR(
INDEX('F &amp; B'!G$2:G$10815,
_xlfn.AGGREGATE(15,6,
(ROW('F &amp; B'!$B$2:$B$10815)-ROW('F &amp; B'!$B$2)+1)/
('F &amp; B'!$B$2:$B$10815=$A$48),
ROW()-47)
),
"")</f>
        <v/>
      </c>
    </row>
    <row r="95" spans="1:6" s="74" customFormat="1" ht="17.100000000000001" customHeight="1">
      <c r="A95" s="386"/>
      <c r="B95" s="386"/>
      <c r="C95" s="192" t="str">
        <f>IFERROR(
INDEX('F &amp; B'!D$2:D$10815,
_xlfn.AGGREGATE(15,6,
(ROW('F &amp; B'!$B$2:$B$10815)-ROW('F &amp; B'!$B$2)+1)/
('F &amp; B'!$B$2:$B$10815=$A$48),
ROW()-47)
),
"")</f>
        <v/>
      </c>
      <c r="D95" s="180" t="str">
        <f>IFERROR(
INDEX('F &amp; B'!E$2:E$10815,
_xlfn.AGGREGATE(15,6,
(ROW('F &amp; B'!$B$2:$B$10815)-ROW('F &amp; B'!$B$2)+1)/
('F &amp; B'!$B$2:$B$10815=$A$48),
ROW()-47)
),
"")</f>
        <v/>
      </c>
      <c r="E95" s="7" t="str">
        <f>IFERROR(
INDEX('F &amp; B'!F$2:F$10815,
_xlfn.AGGREGATE(15,6,
(ROW('F &amp; B'!$B$2:$B$10815)-ROW('F &amp; B'!$B$2)+1)/
('F &amp; B'!$B$2:$B$10815=$A$48),
ROW()-47)
),
"")</f>
        <v/>
      </c>
      <c r="F95" s="186" t="str">
        <f>IFERROR(
INDEX('F &amp; B'!G$2:G$10815,
_xlfn.AGGREGATE(15,6,
(ROW('F &amp; B'!$B$2:$B$10815)-ROW('F &amp; B'!$B$2)+1)/
('F &amp; B'!$B$2:$B$10815=$A$48),
ROW()-47)
),
"")</f>
        <v/>
      </c>
    </row>
    <row r="96" spans="1:6" s="74" customFormat="1" ht="17.100000000000001" customHeight="1">
      <c r="A96" s="386"/>
      <c r="B96" s="386"/>
      <c r="C96" s="192" t="str">
        <f>IFERROR(
INDEX('F &amp; B'!D$2:D$10815,
_xlfn.AGGREGATE(15,6,
(ROW('F &amp; B'!$B$2:$B$10815)-ROW('F &amp; B'!$B$2)+1)/
('F &amp; B'!$B$2:$B$10815=$A$48),
ROW()-47)
),
"")</f>
        <v/>
      </c>
      <c r="D96" s="180" t="str">
        <f>IFERROR(
INDEX('F &amp; B'!E$2:E$10815,
_xlfn.AGGREGATE(15,6,
(ROW('F &amp; B'!$B$2:$B$10815)-ROW('F &amp; B'!$B$2)+1)/
('F &amp; B'!$B$2:$B$10815=$A$48),
ROW()-47)
),
"")</f>
        <v/>
      </c>
      <c r="E96" s="7" t="str">
        <f>IFERROR(
INDEX('F &amp; B'!F$2:F$10815,
_xlfn.AGGREGATE(15,6,
(ROW('F &amp; B'!$B$2:$B$10815)-ROW('F &amp; B'!$B$2)+1)/
('F &amp; B'!$B$2:$B$10815=$A$48),
ROW()-47)
),
"")</f>
        <v/>
      </c>
      <c r="F96" s="186" t="str">
        <f>IFERROR(
INDEX('F &amp; B'!G$2:G$10815,
_xlfn.AGGREGATE(15,6,
(ROW('F &amp; B'!$B$2:$B$10815)-ROW('F &amp; B'!$B$2)+1)/
('F &amp; B'!$B$2:$B$10815=$A$48),
ROW()-47)
),
"")</f>
        <v/>
      </c>
    </row>
    <row r="97" spans="1:6" s="74" customFormat="1" ht="17.100000000000001" customHeight="1">
      <c r="A97" s="386"/>
      <c r="B97" s="386"/>
      <c r="C97" s="192" t="str">
        <f>IFERROR(
INDEX('F &amp; B'!D$2:D$10815,
_xlfn.AGGREGATE(15,6,
(ROW('F &amp; B'!$B$2:$B$10815)-ROW('F &amp; B'!$B$2)+1)/
('F &amp; B'!$B$2:$B$10815=$A$48),
ROW()-47)
),
"")</f>
        <v/>
      </c>
      <c r="D97" s="180" t="str">
        <f>IFERROR(
INDEX('F &amp; B'!E$2:E$10815,
_xlfn.AGGREGATE(15,6,
(ROW('F &amp; B'!$B$2:$B$10815)-ROW('F &amp; B'!$B$2)+1)/
('F &amp; B'!$B$2:$B$10815=$A$48),
ROW()-47)
),
"")</f>
        <v/>
      </c>
      <c r="E97" s="7" t="str">
        <f>IFERROR(
INDEX('F &amp; B'!F$2:F$10815,
_xlfn.AGGREGATE(15,6,
(ROW('F &amp; B'!$B$2:$B$10815)-ROW('F &amp; B'!$B$2)+1)/
('F &amp; B'!$B$2:$B$10815=$A$48),
ROW()-47)
),
"")</f>
        <v/>
      </c>
      <c r="F97" s="186" t="str">
        <f>IFERROR(
INDEX('F &amp; B'!G$2:G$10815,
_xlfn.AGGREGATE(15,6,
(ROW('F &amp; B'!$B$2:$B$10815)-ROW('F &amp; B'!$B$2)+1)/
('F &amp; B'!$B$2:$B$10815=$A$48),
ROW()-47)
),
"")</f>
        <v/>
      </c>
    </row>
    <row r="98" spans="1:6" s="74" customFormat="1" ht="17.100000000000001" customHeight="1">
      <c r="A98" s="386"/>
      <c r="B98" s="386"/>
      <c r="C98" s="192" t="str">
        <f>IFERROR(
INDEX('F &amp; B'!D$2:D$10815,
_xlfn.AGGREGATE(15,6,
(ROW('F &amp; B'!$B$2:$B$10815)-ROW('F &amp; B'!$B$2)+1)/
('F &amp; B'!$B$2:$B$10815=$A$48),
ROW()-47)
),
"")</f>
        <v/>
      </c>
      <c r="D98" s="180" t="str">
        <f>IFERROR(
INDEX('F &amp; B'!E$2:E$10815,
_xlfn.AGGREGATE(15,6,
(ROW('F &amp; B'!$B$2:$B$10815)-ROW('F &amp; B'!$B$2)+1)/
('F &amp; B'!$B$2:$B$10815=$A$48),
ROW()-47)
),
"")</f>
        <v/>
      </c>
      <c r="E98" s="7" t="str">
        <f>IFERROR(
INDEX('F &amp; B'!F$2:F$10815,
_xlfn.AGGREGATE(15,6,
(ROW('F &amp; B'!$B$2:$B$10815)-ROW('F &amp; B'!$B$2)+1)/
('F &amp; B'!$B$2:$B$10815=$A$48),
ROW()-47)
),
"")</f>
        <v/>
      </c>
      <c r="F98" s="186" t="str">
        <f>IFERROR(
INDEX('F &amp; B'!G$2:G$10815,
_xlfn.AGGREGATE(15,6,
(ROW('F &amp; B'!$B$2:$B$10815)-ROW('F &amp; B'!$B$2)+1)/
('F &amp; B'!$B$2:$B$10815=$A$48),
ROW()-47)
),
"")</f>
        <v/>
      </c>
    </row>
    <row r="99" spans="1:6" s="74" customFormat="1" ht="17.100000000000001" customHeight="1">
      <c r="A99" s="386"/>
      <c r="B99" s="386"/>
      <c r="C99" s="192" t="str">
        <f>IFERROR(
INDEX('F &amp; B'!D$2:D$10815,
_xlfn.AGGREGATE(15,6,
(ROW('F &amp; B'!$B$2:$B$10815)-ROW('F &amp; B'!$B$2)+1)/
('F &amp; B'!$B$2:$B$10815=$A$48),
ROW()-47)
),
"")</f>
        <v/>
      </c>
      <c r="D99" s="180" t="str">
        <f>IFERROR(
INDEX('F &amp; B'!E$2:E$10815,
_xlfn.AGGREGATE(15,6,
(ROW('F &amp; B'!$B$2:$B$10815)-ROW('F &amp; B'!$B$2)+1)/
('F &amp; B'!$B$2:$B$10815=$A$48),
ROW()-47)
),
"")</f>
        <v/>
      </c>
      <c r="E99" s="7" t="str">
        <f>IFERROR(
INDEX('F &amp; B'!F$2:F$10815,
_xlfn.AGGREGATE(15,6,
(ROW('F &amp; B'!$B$2:$B$10815)-ROW('F &amp; B'!$B$2)+1)/
('F &amp; B'!$B$2:$B$10815=$A$48),
ROW()-47)
),
"")</f>
        <v/>
      </c>
      <c r="F99" s="186" t="str">
        <f>IFERROR(
INDEX('F &amp; B'!G$2:G$10815,
_xlfn.AGGREGATE(15,6,
(ROW('F &amp; B'!$B$2:$B$10815)-ROW('F &amp; B'!$B$2)+1)/
('F &amp; B'!$B$2:$B$10815=$A$48),
ROW()-47)
),
"")</f>
        <v/>
      </c>
    </row>
    <row r="100" spans="1:6" s="74" customFormat="1" ht="17.100000000000001" customHeight="1">
      <c r="A100" s="386"/>
      <c r="B100" s="386"/>
      <c r="C100" s="192" t="str">
        <f>IFERROR(
INDEX('F &amp; B'!D$2:D$10815,
_xlfn.AGGREGATE(15,6,
(ROW('F &amp; B'!$B$2:$B$10815)-ROW('F &amp; B'!$B$2)+1)/
('F &amp; B'!$B$2:$B$10815=$A$48),
ROW()-47)
),
"")</f>
        <v/>
      </c>
      <c r="D100" s="180" t="str">
        <f>IFERROR(
INDEX('F &amp; B'!E$2:E$10815,
_xlfn.AGGREGATE(15,6,
(ROW('F &amp; B'!$B$2:$B$10815)-ROW('F &amp; B'!$B$2)+1)/
('F &amp; B'!$B$2:$B$10815=$A$48),
ROW()-47)
),
"")</f>
        <v/>
      </c>
      <c r="E100" s="7" t="str">
        <f>IFERROR(
INDEX('F &amp; B'!F$2:F$10815,
_xlfn.AGGREGATE(15,6,
(ROW('F &amp; B'!$B$2:$B$10815)-ROW('F &amp; B'!$B$2)+1)/
('F &amp; B'!$B$2:$B$10815=$A$48),
ROW()-47)
),
"")</f>
        <v/>
      </c>
      <c r="F100" s="186" t="str">
        <f>IFERROR(
INDEX('F &amp; B'!G$2:G$10815,
_xlfn.AGGREGATE(15,6,
(ROW('F &amp; B'!$B$2:$B$10815)-ROW('F &amp; B'!$B$2)+1)/
('F &amp; B'!$B$2:$B$10815=$A$48),
ROW()-47)
),
"")</f>
        <v/>
      </c>
    </row>
    <row r="101" spans="1:6" s="74" customFormat="1" ht="17.100000000000001" customHeight="1">
      <c r="A101" s="386"/>
      <c r="B101" s="386"/>
      <c r="C101" s="192" t="str">
        <f>IFERROR(
INDEX('F &amp; B'!D$2:D$10815,
_xlfn.AGGREGATE(15,6,
(ROW('F &amp; B'!$B$2:$B$10815)-ROW('F &amp; B'!$B$2)+1)/
('F &amp; B'!$B$2:$B$10815=$A$48),
ROW()-47)
),
"")</f>
        <v/>
      </c>
      <c r="D101" s="180" t="str">
        <f>IFERROR(
INDEX('F &amp; B'!E$2:E$10815,
_xlfn.AGGREGATE(15,6,
(ROW('F &amp; B'!$B$2:$B$10815)-ROW('F &amp; B'!$B$2)+1)/
('F &amp; B'!$B$2:$B$10815=$A$48),
ROW()-47)
),
"")</f>
        <v/>
      </c>
      <c r="E101" s="7" t="str">
        <f>IFERROR(
INDEX('F &amp; B'!F$2:F$10815,
_xlfn.AGGREGATE(15,6,
(ROW('F &amp; B'!$B$2:$B$10815)-ROW('F &amp; B'!$B$2)+1)/
('F &amp; B'!$B$2:$B$10815=$A$48),
ROW()-47)
),
"")</f>
        <v/>
      </c>
      <c r="F101" s="186" t="str">
        <f>IFERROR(
INDEX('F &amp; B'!G$2:G$10815,
_xlfn.AGGREGATE(15,6,
(ROW('F &amp; B'!$B$2:$B$10815)-ROW('F &amp; B'!$B$2)+1)/
('F &amp; B'!$B$2:$B$10815=$A$48),
ROW()-47)
),
"")</f>
        <v/>
      </c>
    </row>
    <row r="102" spans="1:6" s="74" customFormat="1" ht="17.100000000000001" customHeight="1">
      <c r="A102" s="386"/>
      <c r="B102" s="386"/>
      <c r="C102" s="192" t="str">
        <f>IFERROR(
INDEX('F &amp; B'!D$2:D$10815,
_xlfn.AGGREGATE(15,6,
(ROW('F &amp; B'!$B$2:$B$10815)-ROW('F &amp; B'!$B$2)+1)/
('F &amp; B'!$B$2:$B$10815=$A$48),
ROW()-47)
),
"")</f>
        <v/>
      </c>
      <c r="D102" s="180" t="str">
        <f>IFERROR(
INDEX('F &amp; B'!E$2:E$10815,
_xlfn.AGGREGATE(15,6,
(ROW('F &amp; B'!$B$2:$B$10815)-ROW('F &amp; B'!$B$2)+1)/
('F &amp; B'!$B$2:$B$10815=$A$48),
ROW()-47)
),
"")</f>
        <v/>
      </c>
      <c r="E102" s="7" t="str">
        <f>IFERROR(
INDEX('F &amp; B'!F$2:F$10815,
_xlfn.AGGREGATE(15,6,
(ROW('F &amp; B'!$B$2:$B$10815)-ROW('F &amp; B'!$B$2)+1)/
('F &amp; B'!$B$2:$B$10815=$A$48),
ROW()-47)
),
"")</f>
        <v/>
      </c>
      <c r="F102" s="186" t="str">
        <f>IFERROR(
INDEX('F &amp; B'!G$2:G$10815,
_xlfn.AGGREGATE(15,6,
(ROW('F &amp; B'!$B$2:$B$10815)-ROW('F &amp; B'!$B$2)+1)/
('F &amp; B'!$B$2:$B$10815=$A$48),
ROW()-47)
),
"")</f>
        <v/>
      </c>
    </row>
    <row r="103" spans="1:6" s="74" customFormat="1" ht="17.100000000000001" customHeight="1">
      <c r="A103" s="386"/>
      <c r="B103" s="386"/>
      <c r="C103" s="192" t="str">
        <f>IFERROR(
INDEX('F &amp; B'!D$2:D$10815,
_xlfn.AGGREGATE(15,6,
(ROW('F &amp; B'!$B$2:$B$10815)-ROW('F &amp; B'!$B$2)+1)/
('F &amp; B'!$B$2:$B$10815=$A$48),
ROW()-47)
),
"")</f>
        <v/>
      </c>
      <c r="D103" s="180" t="str">
        <f>IFERROR(
INDEX('F &amp; B'!E$2:E$10815,
_xlfn.AGGREGATE(15,6,
(ROW('F &amp; B'!$B$2:$B$10815)-ROW('F &amp; B'!$B$2)+1)/
('F &amp; B'!$B$2:$B$10815=$A$48),
ROW()-47)
),
"")</f>
        <v/>
      </c>
      <c r="E103" s="7" t="str">
        <f>IFERROR(
INDEX('F &amp; B'!F$2:F$10815,
_xlfn.AGGREGATE(15,6,
(ROW('F &amp; B'!$B$2:$B$10815)-ROW('F &amp; B'!$B$2)+1)/
('F &amp; B'!$B$2:$B$10815=$A$48),
ROW()-47)
),
"")</f>
        <v/>
      </c>
      <c r="F103" s="186" t="str">
        <f>IFERROR(
INDEX('F &amp; B'!G$2:G$10815,
_xlfn.AGGREGATE(15,6,
(ROW('F &amp; B'!$B$2:$B$10815)-ROW('F &amp; B'!$B$2)+1)/
('F &amp; B'!$B$2:$B$10815=$A$48),
ROW()-47)
),
"")</f>
        <v/>
      </c>
    </row>
    <row r="104" spans="1:6" s="74" customFormat="1" ht="17.100000000000001" customHeight="1">
      <c r="A104" s="386"/>
      <c r="B104" s="386"/>
      <c r="C104" s="192" t="str">
        <f>IFERROR(
INDEX('F &amp; B'!D$2:D$10815,
_xlfn.AGGREGATE(15,6,
(ROW('F &amp; B'!$B$2:$B$10815)-ROW('F &amp; B'!$B$2)+1)/
('F &amp; B'!$B$2:$B$10815=$A$48),
ROW()-47)
),
"")</f>
        <v/>
      </c>
      <c r="D104" s="180" t="str">
        <f>IFERROR(
INDEX('F &amp; B'!E$2:E$10815,
_xlfn.AGGREGATE(15,6,
(ROW('F &amp; B'!$B$2:$B$10815)-ROW('F &amp; B'!$B$2)+1)/
('F &amp; B'!$B$2:$B$10815=$A$48),
ROW()-47)
),
"")</f>
        <v/>
      </c>
      <c r="E104" s="7" t="str">
        <f>IFERROR(
INDEX('F &amp; B'!F$2:F$10815,
_xlfn.AGGREGATE(15,6,
(ROW('F &amp; B'!$B$2:$B$10815)-ROW('F &amp; B'!$B$2)+1)/
('F &amp; B'!$B$2:$B$10815=$A$48),
ROW()-47)
),
"")</f>
        <v/>
      </c>
      <c r="F104" s="186" t="str">
        <f>IFERROR(
INDEX('F &amp; B'!G$2:G$10815,
_xlfn.AGGREGATE(15,6,
(ROW('F &amp; B'!$B$2:$B$10815)-ROW('F &amp; B'!$B$2)+1)/
('F &amp; B'!$B$2:$B$10815=$A$48),
ROW()-47)
),
"")</f>
        <v/>
      </c>
    </row>
    <row r="105" spans="1:6" s="74" customFormat="1" ht="17.100000000000001" customHeight="1">
      <c r="A105" s="386"/>
      <c r="B105" s="386"/>
      <c r="C105" s="192" t="str">
        <f>IFERROR(
INDEX('F &amp; B'!D$2:D$10815,
_xlfn.AGGREGATE(15,6,
(ROW('F &amp; B'!$B$2:$B$10815)-ROW('F &amp; B'!$B$2)+1)/
('F &amp; B'!$B$2:$B$10815=$A$48),
ROW()-47)
),
"")</f>
        <v/>
      </c>
      <c r="D105" s="180" t="str">
        <f>IFERROR(
INDEX('F &amp; B'!E$2:E$10815,
_xlfn.AGGREGATE(15,6,
(ROW('F &amp; B'!$B$2:$B$10815)-ROW('F &amp; B'!$B$2)+1)/
('F &amp; B'!$B$2:$B$10815=$A$48),
ROW()-47)
),
"")</f>
        <v/>
      </c>
      <c r="E105" s="7" t="str">
        <f>IFERROR(
INDEX('F &amp; B'!F$2:F$10815,
_xlfn.AGGREGATE(15,6,
(ROW('F &amp; B'!$B$2:$B$10815)-ROW('F &amp; B'!$B$2)+1)/
('F &amp; B'!$B$2:$B$10815=$A$48),
ROW()-47)
),
"")</f>
        <v/>
      </c>
      <c r="F105" s="186" t="str">
        <f>IFERROR(
INDEX('F &amp; B'!G$2:G$10815,
_xlfn.AGGREGATE(15,6,
(ROW('F &amp; B'!$B$2:$B$10815)-ROW('F &amp; B'!$B$2)+1)/
('F &amp; B'!$B$2:$B$10815=$A$48),
ROW()-47)
),
"")</f>
        <v/>
      </c>
    </row>
    <row r="106" spans="1:6" s="74" customFormat="1" ht="17.100000000000001" customHeight="1">
      <c r="A106" s="386"/>
      <c r="B106" s="386"/>
      <c r="C106" s="192" t="str">
        <f>IFERROR(
INDEX('F &amp; B'!D$2:D$10815,
_xlfn.AGGREGATE(15,6,
(ROW('F &amp; B'!$B$2:$B$10815)-ROW('F &amp; B'!$B$2)+1)/
('F &amp; B'!$B$2:$B$10815=$A$48),
ROW()-47)
),
"")</f>
        <v/>
      </c>
      <c r="D106" s="180" t="str">
        <f>IFERROR(
INDEX('F &amp; B'!E$2:E$10815,
_xlfn.AGGREGATE(15,6,
(ROW('F &amp; B'!$B$2:$B$10815)-ROW('F &amp; B'!$B$2)+1)/
('F &amp; B'!$B$2:$B$10815=$A$48),
ROW()-47)
),
"")</f>
        <v/>
      </c>
      <c r="E106" s="7" t="str">
        <f>IFERROR(
INDEX('F &amp; B'!F$2:F$10815,
_xlfn.AGGREGATE(15,6,
(ROW('F &amp; B'!$B$2:$B$10815)-ROW('F &amp; B'!$B$2)+1)/
('F &amp; B'!$B$2:$B$10815=$A$48),
ROW()-47)
),
"")</f>
        <v/>
      </c>
      <c r="F106" s="186" t="str">
        <f>IFERROR(
INDEX('F &amp; B'!G$2:G$10815,
_xlfn.AGGREGATE(15,6,
(ROW('F &amp; B'!$B$2:$B$10815)-ROW('F &amp; B'!$B$2)+1)/
('F &amp; B'!$B$2:$B$10815=$A$48),
ROW()-47)
),
"")</f>
        <v/>
      </c>
    </row>
    <row r="107" spans="1:6" s="74" customFormat="1" ht="17.100000000000001" customHeight="1">
      <c r="A107" s="386"/>
      <c r="B107" s="386"/>
      <c r="C107" s="192" t="str">
        <f>IFERROR(
INDEX('F &amp; B'!D$2:D$10815,
_xlfn.AGGREGATE(15,6,
(ROW('F &amp; B'!$B$2:$B$10815)-ROW('F &amp; B'!$B$2)+1)/
('F &amp; B'!$B$2:$B$10815=$A$48),
ROW()-47)
),
"")</f>
        <v/>
      </c>
      <c r="D107" s="180" t="str">
        <f>IFERROR(
INDEX('F &amp; B'!E$2:E$10815,
_xlfn.AGGREGATE(15,6,
(ROW('F &amp; B'!$B$2:$B$10815)-ROW('F &amp; B'!$B$2)+1)/
('F &amp; B'!$B$2:$B$10815=$A$48),
ROW()-47)
),
"")</f>
        <v/>
      </c>
      <c r="E107" s="7" t="str">
        <f>IFERROR(
INDEX('F &amp; B'!F$2:F$10815,
_xlfn.AGGREGATE(15,6,
(ROW('F &amp; B'!$B$2:$B$10815)-ROW('F &amp; B'!$B$2)+1)/
('F &amp; B'!$B$2:$B$10815=$A$48),
ROW()-47)
),
"")</f>
        <v/>
      </c>
      <c r="F107" s="186" t="str">
        <f>IFERROR(
INDEX('F &amp; B'!G$2:G$10815,
_xlfn.AGGREGATE(15,6,
(ROW('F &amp; B'!$B$2:$B$10815)-ROW('F &amp; B'!$B$2)+1)/
('F &amp; B'!$B$2:$B$10815=$A$48),
ROW()-47)
),
"")</f>
        <v/>
      </c>
    </row>
    <row r="108" spans="1:6" s="74" customFormat="1" ht="17.100000000000001" customHeight="1">
      <c r="A108" s="386"/>
      <c r="B108" s="386"/>
      <c r="C108" s="192" t="str">
        <f>IFERROR(
INDEX('F &amp; B'!D$2:D$10815,
_xlfn.AGGREGATE(15,6,
(ROW('F &amp; B'!$B$2:$B$10815)-ROW('F &amp; B'!$B$2)+1)/
('F &amp; B'!$B$2:$B$10815=$A$48),
ROW()-47)
),
"")</f>
        <v/>
      </c>
      <c r="D108" s="180" t="str">
        <f>IFERROR(
INDEX('F &amp; B'!E$2:E$10815,
_xlfn.AGGREGATE(15,6,
(ROW('F &amp; B'!$B$2:$B$10815)-ROW('F &amp; B'!$B$2)+1)/
('F &amp; B'!$B$2:$B$10815=$A$48),
ROW()-47)
),
"")</f>
        <v/>
      </c>
      <c r="E108" s="7" t="str">
        <f>IFERROR(
INDEX('F &amp; B'!F$2:F$10815,
_xlfn.AGGREGATE(15,6,
(ROW('F &amp; B'!$B$2:$B$10815)-ROW('F &amp; B'!$B$2)+1)/
('F &amp; B'!$B$2:$B$10815=$A$48),
ROW()-47)
),
"")</f>
        <v/>
      </c>
      <c r="F108" s="186" t="str">
        <f>IFERROR(
INDEX('F &amp; B'!G$2:G$10815,
_xlfn.AGGREGATE(15,6,
(ROW('F &amp; B'!$B$2:$B$10815)-ROW('F &amp; B'!$B$2)+1)/
('F &amp; B'!$B$2:$B$10815=$A$48),
ROW()-47)
),
"")</f>
        <v/>
      </c>
    </row>
    <row r="109" spans="1:6" s="74" customFormat="1" ht="17.100000000000001" customHeight="1">
      <c r="A109" s="386"/>
      <c r="B109" s="386"/>
      <c r="C109" s="192" t="str">
        <f>IFERROR(
INDEX('F &amp; B'!D$2:D$10815,
_xlfn.AGGREGATE(15,6,
(ROW('F &amp; B'!$B$2:$B$10815)-ROW('F &amp; B'!$B$2)+1)/
('F &amp; B'!$B$2:$B$10815=$A$48),
ROW()-47)
),
"")</f>
        <v/>
      </c>
      <c r="D109" s="180" t="str">
        <f>IFERROR(
INDEX('F &amp; B'!E$2:E$10815,
_xlfn.AGGREGATE(15,6,
(ROW('F &amp; B'!$B$2:$B$10815)-ROW('F &amp; B'!$B$2)+1)/
('F &amp; B'!$B$2:$B$10815=$A$48),
ROW()-47)
),
"")</f>
        <v/>
      </c>
      <c r="E109" s="7" t="str">
        <f>IFERROR(
INDEX('F &amp; B'!F$2:F$10815,
_xlfn.AGGREGATE(15,6,
(ROW('F &amp; B'!$B$2:$B$10815)-ROW('F &amp; B'!$B$2)+1)/
('F &amp; B'!$B$2:$B$10815=$A$48),
ROW()-47)
),
"")</f>
        <v/>
      </c>
      <c r="F109" s="186" t="str">
        <f>IFERROR(
INDEX('F &amp; B'!G$2:G$10815,
_xlfn.AGGREGATE(15,6,
(ROW('F &amp; B'!$B$2:$B$10815)-ROW('F &amp; B'!$B$2)+1)/
('F &amp; B'!$B$2:$B$10815=$A$48),
ROW()-47)
),
"")</f>
        <v/>
      </c>
    </row>
    <row r="110" spans="1:6" s="74" customFormat="1" ht="17.100000000000001" customHeight="1">
      <c r="A110" s="386"/>
      <c r="B110" s="386"/>
      <c r="C110" s="192" t="str">
        <f>IFERROR(
INDEX('F &amp; B'!D$2:D$10815,
_xlfn.AGGREGATE(15,6,
(ROW('F &amp; B'!$B$2:$B$10815)-ROW('F &amp; B'!$B$2)+1)/
('F &amp; B'!$B$2:$B$10815=$A$48),
ROW()-47)
),
"")</f>
        <v/>
      </c>
      <c r="D110" s="180" t="str">
        <f>IFERROR(
INDEX('F &amp; B'!E$2:E$10815,
_xlfn.AGGREGATE(15,6,
(ROW('F &amp; B'!$B$2:$B$10815)-ROW('F &amp; B'!$B$2)+1)/
('F &amp; B'!$B$2:$B$10815=$A$48),
ROW()-47)
),
"")</f>
        <v/>
      </c>
      <c r="E110" s="7" t="str">
        <f>IFERROR(
INDEX('F &amp; B'!F$2:F$10815,
_xlfn.AGGREGATE(15,6,
(ROW('F &amp; B'!$B$2:$B$10815)-ROW('F &amp; B'!$B$2)+1)/
('F &amp; B'!$B$2:$B$10815=$A$48),
ROW()-47)
),
"")</f>
        <v/>
      </c>
      <c r="F110" s="186" t="str">
        <f>IFERROR(
INDEX('F &amp; B'!G$2:G$10815,
_xlfn.AGGREGATE(15,6,
(ROW('F &amp; B'!$B$2:$B$10815)-ROW('F &amp; B'!$B$2)+1)/
('F &amp; B'!$B$2:$B$10815=$A$48),
ROW()-47)
),
"")</f>
        <v/>
      </c>
    </row>
    <row r="111" spans="1:6" s="74" customFormat="1" ht="17.100000000000001" customHeight="1">
      <c r="A111" s="386"/>
      <c r="B111" s="386"/>
      <c r="C111" s="192" t="str">
        <f>IFERROR(
INDEX('F &amp; B'!D$2:D$10815,
_xlfn.AGGREGATE(15,6,
(ROW('F &amp; B'!$B$2:$B$10815)-ROW('F &amp; B'!$B$2)+1)/
('F &amp; B'!$B$2:$B$10815=$A$48),
ROW()-47)
),
"")</f>
        <v/>
      </c>
      <c r="D111" s="180" t="str">
        <f>IFERROR(
INDEX('F &amp; B'!E$2:E$10815,
_xlfn.AGGREGATE(15,6,
(ROW('F &amp; B'!$B$2:$B$10815)-ROW('F &amp; B'!$B$2)+1)/
('F &amp; B'!$B$2:$B$10815=$A$48),
ROW()-47)
),
"")</f>
        <v/>
      </c>
      <c r="E111" s="7" t="str">
        <f>IFERROR(
INDEX('F &amp; B'!F$2:F$10815,
_xlfn.AGGREGATE(15,6,
(ROW('F &amp; B'!$B$2:$B$10815)-ROW('F &amp; B'!$B$2)+1)/
('F &amp; B'!$B$2:$B$10815=$A$48),
ROW()-47)
),
"")</f>
        <v/>
      </c>
      <c r="F111" s="186" t="str">
        <f>IFERROR(
INDEX('F &amp; B'!G$2:G$10815,
_xlfn.AGGREGATE(15,6,
(ROW('F &amp; B'!$B$2:$B$10815)-ROW('F &amp; B'!$B$2)+1)/
('F &amp; B'!$B$2:$B$10815=$A$48),
ROW()-47)
),
"")</f>
        <v/>
      </c>
    </row>
    <row r="112" spans="1:6" s="74" customFormat="1" ht="17.100000000000001" customHeight="1">
      <c r="A112" s="386"/>
      <c r="B112" s="386"/>
      <c r="C112" s="192" t="str">
        <f>IFERROR(
INDEX('F &amp; B'!D$2:D$10815,
_xlfn.AGGREGATE(15,6,
(ROW('F &amp; B'!$B$2:$B$10815)-ROW('F &amp; B'!$B$2)+1)/
('F &amp; B'!$B$2:$B$10815=$A$48),
ROW()-47)
),
"")</f>
        <v/>
      </c>
      <c r="D112" s="180" t="str">
        <f>IFERROR(
INDEX('F &amp; B'!E$2:E$10815,
_xlfn.AGGREGATE(15,6,
(ROW('F &amp; B'!$B$2:$B$10815)-ROW('F &amp; B'!$B$2)+1)/
('F &amp; B'!$B$2:$B$10815=$A$48),
ROW()-47)
),
"")</f>
        <v/>
      </c>
      <c r="E112" s="7" t="str">
        <f>IFERROR(
INDEX('F &amp; B'!F$2:F$10815,
_xlfn.AGGREGATE(15,6,
(ROW('F &amp; B'!$B$2:$B$10815)-ROW('F &amp; B'!$B$2)+1)/
('F &amp; B'!$B$2:$B$10815=$A$48),
ROW()-47)
),
"")</f>
        <v/>
      </c>
      <c r="F112" s="186" t="str">
        <f>IFERROR(
INDEX('F &amp; B'!G$2:G$10815,
_xlfn.AGGREGATE(15,6,
(ROW('F &amp; B'!$B$2:$B$10815)-ROW('F &amp; B'!$B$2)+1)/
('F &amp; B'!$B$2:$B$10815=$A$48),
ROW()-47)
),
"")</f>
        <v/>
      </c>
    </row>
    <row r="113" spans="1:6" s="74" customFormat="1" ht="17.100000000000001" customHeight="1">
      <c r="A113" s="386"/>
      <c r="B113" s="386"/>
      <c r="C113" s="192" t="str">
        <f>IFERROR(
INDEX('F &amp; B'!D$2:D$10815,
_xlfn.AGGREGATE(15,6,
(ROW('F &amp; B'!$B$2:$B$10815)-ROW('F &amp; B'!$B$2)+1)/
('F &amp; B'!$B$2:$B$10815=$A$48),
ROW()-47)
),
"")</f>
        <v/>
      </c>
      <c r="D113" s="180" t="str">
        <f>IFERROR(
INDEX('F &amp; B'!E$2:E$10815,
_xlfn.AGGREGATE(15,6,
(ROW('F &amp; B'!$B$2:$B$10815)-ROW('F &amp; B'!$B$2)+1)/
('F &amp; B'!$B$2:$B$10815=$A$48),
ROW()-47)
),
"")</f>
        <v/>
      </c>
      <c r="E113" s="7" t="str">
        <f>IFERROR(
INDEX('F &amp; B'!F$2:F$10815,
_xlfn.AGGREGATE(15,6,
(ROW('F &amp; B'!$B$2:$B$10815)-ROW('F &amp; B'!$B$2)+1)/
('F &amp; B'!$B$2:$B$10815=$A$48),
ROW()-47)
),
"")</f>
        <v/>
      </c>
      <c r="F113" s="186" t="str">
        <f>IFERROR(
INDEX('F &amp; B'!G$2:G$10815,
_xlfn.AGGREGATE(15,6,
(ROW('F &amp; B'!$B$2:$B$10815)-ROW('F &amp; B'!$B$2)+1)/
('F &amp; B'!$B$2:$B$10815=$A$48),
ROW()-47)
),
"")</f>
        <v/>
      </c>
    </row>
    <row r="114" spans="1:6" s="74" customFormat="1" ht="17.100000000000001" customHeight="1">
      <c r="A114" s="386"/>
      <c r="B114" s="386"/>
      <c r="C114" s="192" t="str">
        <f>IFERROR(
INDEX('F &amp; B'!D$2:D$10815,
_xlfn.AGGREGATE(15,6,
(ROW('F &amp; B'!$B$2:$B$10815)-ROW('F &amp; B'!$B$2)+1)/
('F &amp; B'!$B$2:$B$10815=$A$48),
ROW()-47)
),
"")</f>
        <v/>
      </c>
      <c r="D114" s="180" t="str">
        <f>IFERROR(
INDEX('F &amp; B'!E$2:E$10815,
_xlfn.AGGREGATE(15,6,
(ROW('F &amp; B'!$B$2:$B$10815)-ROW('F &amp; B'!$B$2)+1)/
('F &amp; B'!$B$2:$B$10815=$A$48),
ROW()-47)
),
"")</f>
        <v/>
      </c>
      <c r="E114" s="7" t="str">
        <f>IFERROR(
INDEX('F &amp; B'!F$2:F$10815,
_xlfn.AGGREGATE(15,6,
(ROW('F &amp; B'!$B$2:$B$10815)-ROW('F &amp; B'!$B$2)+1)/
('F &amp; B'!$B$2:$B$10815=$A$48),
ROW()-47)
),
"")</f>
        <v/>
      </c>
      <c r="F114" s="186" t="str">
        <f>IFERROR(
INDEX('F &amp; B'!G$2:G$10815,
_xlfn.AGGREGATE(15,6,
(ROW('F &amp; B'!$B$2:$B$10815)-ROW('F &amp; B'!$B$2)+1)/
('F &amp; B'!$B$2:$B$10815=$A$48),
ROW()-47)
),
"")</f>
        <v/>
      </c>
    </row>
    <row r="115" spans="1:6" s="74" customFormat="1" ht="17.100000000000001" customHeight="1">
      <c r="A115" s="386"/>
      <c r="B115" s="386"/>
      <c r="C115" s="192" t="str">
        <f>IFERROR(
INDEX('F &amp; B'!D$2:D$10815,
_xlfn.AGGREGATE(15,6,
(ROW('F &amp; B'!$B$2:$B$10815)-ROW('F &amp; B'!$B$2)+1)/
('F &amp; B'!$B$2:$B$10815=$A$48),
ROW()-47)
),
"")</f>
        <v/>
      </c>
      <c r="D115" s="180" t="str">
        <f>IFERROR(
INDEX('F &amp; B'!E$2:E$10815,
_xlfn.AGGREGATE(15,6,
(ROW('F &amp; B'!$B$2:$B$10815)-ROW('F &amp; B'!$B$2)+1)/
('F &amp; B'!$B$2:$B$10815=$A$48),
ROW()-47)
),
"")</f>
        <v/>
      </c>
      <c r="E115" s="7" t="str">
        <f>IFERROR(
INDEX('F &amp; B'!F$2:F$10815,
_xlfn.AGGREGATE(15,6,
(ROW('F &amp; B'!$B$2:$B$10815)-ROW('F &amp; B'!$B$2)+1)/
('F &amp; B'!$B$2:$B$10815=$A$48),
ROW()-47)
),
"")</f>
        <v/>
      </c>
      <c r="F115" s="186" t="str">
        <f>IFERROR(
INDEX('F &amp; B'!G$2:G$10815,
_xlfn.AGGREGATE(15,6,
(ROW('F &amp; B'!$B$2:$B$10815)-ROW('F &amp; B'!$B$2)+1)/
('F &amp; B'!$B$2:$B$10815=$A$48),
ROW()-47)
),
"")</f>
        <v/>
      </c>
    </row>
    <row r="116" spans="1:6" s="74" customFormat="1" ht="17.100000000000001" customHeight="1">
      <c r="A116" s="386"/>
      <c r="B116" s="386"/>
      <c r="C116" s="192" t="str">
        <f>IFERROR(
INDEX('F &amp; B'!D$2:D$10815,
_xlfn.AGGREGATE(15,6,
(ROW('F &amp; B'!$B$2:$B$10815)-ROW('F &amp; B'!$B$2)+1)/
('F &amp; B'!$B$2:$B$10815=$A$48),
ROW()-47)
),
"")</f>
        <v/>
      </c>
      <c r="D116" s="180" t="str">
        <f>IFERROR(
INDEX('F &amp; B'!E$2:E$10815,
_xlfn.AGGREGATE(15,6,
(ROW('F &amp; B'!$B$2:$B$10815)-ROW('F &amp; B'!$B$2)+1)/
('F &amp; B'!$B$2:$B$10815=$A$48),
ROW()-47)
),
"")</f>
        <v/>
      </c>
      <c r="E116" s="7" t="str">
        <f>IFERROR(
INDEX('F &amp; B'!F$2:F$10815,
_xlfn.AGGREGATE(15,6,
(ROW('F &amp; B'!$B$2:$B$10815)-ROW('F &amp; B'!$B$2)+1)/
('F &amp; B'!$B$2:$B$10815=$A$48),
ROW()-47)
),
"")</f>
        <v/>
      </c>
      <c r="F116" s="186" t="str">
        <f>IFERROR(
INDEX('F &amp; B'!G$2:G$10815,
_xlfn.AGGREGATE(15,6,
(ROW('F &amp; B'!$B$2:$B$10815)-ROW('F &amp; B'!$B$2)+1)/
('F &amp; B'!$B$2:$B$10815=$A$48),
ROW()-47)
),
"")</f>
        <v/>
      </c>
    </row>
    <row r="117" spans="1:6" s="74" customFormat="1" ht="17.100000000000001" customHeight="1">
      <c r="A117" s="386"/>
      <c r="B117" s="386"/>
      <c r="C117" s="192" t="str">
        <f>IFERROR(
INDEX('F &amp; B'!D$2:D$10815,
_xlfn.AGGREGATE(15,6,
(ROW('F &amp; B'!$B$2:$B$10815)-ROW('F &amp; B'!$B$2)+1)/
('F &amp; B'!$B$2:$B$10815=$A$48),
ROW()-47)
),
"")</f>
        <v/>
      </c>
      <c r="D117" s="180" t="str">
        <f>IFERROR(
INDEX('F &amp; B'!E$2:E$10815,
_xlfn.AGGREGATE(15,6,
(ROW('F &amp; B'!$B$2:$B$10815)-ROW('F &amp; B'!$B$2)+1)/
('F &amp; B'!$B$2:$B$10815=$A$48),
ROW()-47)
),
"")</f>
        <v/>
      </c>
      <c r="E117" s="7" t="str">
        <f>IFERROR(
INDEX('F &amp; B'!F$2:F$10815,
_xlfn.AGGREGATE(15,6,
(ROW('F &amp; B'!$B$2:$B$10815)-ROW('F &amp; B'!$B$2)+1)/
('F &amp; B'!$B$2:$B$10815=$A$48),
ROW()-47)
),
"")</f>
        <v/>
      </c>
      <c r="F117" s="186" t="str">
        <f>IFERROR(
INDEX('F &amp; B'!G$2:G$10815,
_xlfn.AGGREGATE(15,6,
(ROW('F &amp; B'!$B$2:$B$10815)-ROW('F &amp; B'!$B$2)+1)/
('F &amp; B'!$B$2:$B$10815=$A$48),
ROW()-47)
),
"")</f>
        <v/>
      </c>
    </row>
    <row r="118" spans="1:6" s="74" customFormat="1" ht="17.100000000000001" customHeight="1">
      <c r="A118" s="386"/>
      <c r="B118" s="386"/>
      <c r="C118" s="192" t="str">
        <f>IFERROR(
INDEX('F &amp; B'!D$2:D$10815,
_xlfn.AGGREGATE(15,6,
(ROW('F &amp; B'!$B$2:$B$10815)-ROW('F &amp; B'!$B$2)+1)/
('F &amp; B'!$B$2:$B$10815=$A$48),
ROW()-47)
),
"")</f>
        <v/>
      </c>
      <c r="D118" s="180" t="str">
        <f>IFERROR(
INDEX('F &amp; B'!E$2:E$10815,
_xlfn.AGGREGATE(15,6,
(ROW('F &amp; B'!$B$2:$B$10815)-ROW('F &amp; B'!$B$2)+1)/
('F &amp; B'!$B$2:$B$10815=$A$48),
ROW()-47)
),
"")</f>
        <v/>
      </c>
      <c r="E118" s="7" t="str">
        <f>IFERROR(
INDEX('F &amp; B'!F$2:F$10815,
_xlfn.AGGREGATE(15,6,
(ROW('F &amp; B'!$B$2:$B$10815)-ROW('F &amp; B'!$B$2)+1)/
('F &amp; B'!$B$2:$B$10815=$A$48),
ROW()-47)
),
"")</f>
        <v/>
      </c>
      <c r="F118" s="186" t="str">
        <f>IFERROR(
INDEX('F &amp; B'!G$2:G$10815,
_xlfn.AGGREGATE(15,6,
(ROW('F &amp; B'!$B$2:$B$10815)-ROW('F &amp; B'!$B$2)+1)/
('F &amp; B'!$B$2:$B$10815=$A$48),
ROW()-47)
),
"")</f>
        <v/>
      </c>
    </row>
    <row r="119" spans="1:6" s="74" customFormat="1" ht="17.100000000000001" customHeight="1">
      <c r="A119" s="386"/>
      <c r="B119" s="386"/>
      <c r="C119" s="192" t="str">
        <f>IFERROR(
INDEX('F &amp; B'!D$2:D$10815,
_xlfn.AGGREGATE(15,6,
(ROW('F &amp; B'!$B$2:$B$10815)-ROW('F &amp; B'!$B$2)+1)/
('F &amp; B'!$B$2:$B$10815=$A$48),
ROW()-47)
),
"")</f>
        <v/>
      </c>
      <c r="D119" s="180" t="str">
        <f>IFERROR(
INDEX('F &amp; B'!E$2:E$10815,
_xlfn.AGGREGATE(15,6,
(ROW('F &amp; B'!$B$2:$B$10815)-ROW('F &amp; B'!$B$2)+1)/
('F &amp; B'!$B$2:$B$10815=$A$48),
ROW()-47)
),
"")</f>
        <v/>
      </c>
      <c r="E119" s="7" t="str">
        <f>IFERROR(
INDEX('F &amp; B'!F$2:F$10815,
_xlfn.AGGREGATE(15,6,
(ROW('F &amp; B'!$B$2:$B$10815)-ROW('F &amp; B'!$B$2)+1)/
('F &amp; B'!$B$2:$B$10815=$A$48),
ROW()-47)
),
"")</f>
        <v/>
      </c>
      <c r="F119" s="186" t="str">
        <f>IFERROR(
INDEX('F &amp; B'!G$2:G$10815,
_xlfn.AGGREGATE(15,6,
(ROW('F &amp; B'!$B$2:$B$10815)-ROW('F &amp; B'!$B$2)+1)/
('F &amp; B'!$B$2:$B$10815=$A$48),
ROW()-47)
),
"")</f>
        <v/>
      </c>
    </row>
    <row r="120" spans="1:6" s="74" customFormat="1" ht="17.100000000000001" customHeight="1">
      <c r="A120" s="386"/>
      <c r="B120" s="386"/>
      <c r="C120" s="192" t="str">
        <f>IFERROR(
INDEX('F &amp; B'!D$2:D$10815,
_xlfn.AGGREGATE(15,6,
(ROW('F &amp; B'!$B$2:$B$10815)-ROW('F &amp; B'!$B$2)+1)/
('F &amp; B'!$B$2:$B$10815=$A$48),
ROW()-47)
),
"")</f>
        <v/>
      </c>
      <c r="D120" s="180" t="str">
        <f>IFERROR(
INDEX('F &amp; B'!E$2:E$10815,
_xlfn.AGGREGATE(15,6,
(ROW('F &amp; B'!$B$2:$B$10815)-ROW('F &amp; B'!$B$2)+1)/
('F &amp; B'!$B$2:$B$10815=$A$48),
ROW()-47)
),
"")</f>
        <v/>
      </c>
      <c r="E120" s="7" t="str">
        <f>IFERROR(
INDEX('F &amp; B'!F$2:F$10815,
_xlfn.AGGREGATE(15,6,
(ROW('F &amp; B'!$B$2:$B$10815)-ROW('F &amp; B'!$B$2)+1)/
('F &amp; B'!$B$2:$B$10815=$A$48),
ROW()-47)
),
"")</f>
        <v/>
      </c>
      <c r="F120" s="186" t="str">
        <f>IFERROR(
INDEX('F &amp; B'!G$2:G$10815,
_xlfn.AGGREGATE(15,6,
(ROW('F &amp; B'!$B$2:$B$10815)-ROW('F &amp; B'!$B$2)+1)/
('F &amp; B'!$B$2:$B$10815=$A$48),
ROW()-47)
),
"")</f>
        <v/>
      </c>
    </row>
    <row r="121" spans="1:6" s="74" customFormat="1" ht="17.100000000000001" customHeight="1">
      <c r="A121" s="386"/>
      <c r="B121" s="386"/>
      <c r="C121" s="192" t="str">
        <f>IFERROR(
INDEX('F &amp; B'!D$2:D$10815,
_xlfn.AGGREGATE(15,6,
(ROW('F &amp; B'!$B$2:$B$10815)-ROW('F &amp; B'!$B$2)+1)/
('F &amp; B'!$B$2:$B$10815=$A$48),
ROW()-47)
),
"")</f>
        <v/>
      </c>
      <c r="D121" s="180" t="str">
        <f>IFERROR(
INDEX('F &amp; B'!E$2:E$10815,
_xlfn.AGGREGATE(15,6,
(ROW('F &amp; B'!$B$2:$B$10815)-ROW('F &amp; B'!$B$2)+1)/
('F &amp; B'!$B$2:$B$10815=$A$48),
ROW()-47)
),
"")</f>
        <v/>
      </c>
      <c r="E121" s="7" t="str">
        <f>IFERROR(
INDEX('F &amp; B'!F$2:F$10815,
_xlfn.AGGREGATE(15,6,
(ROW('F &amp; B'!$B$2:$B$10815)-ROW('F &amp; B'!$B$2)+1)/
('F &amp; B'!$B$2:$B$10815=$A$48),
ROW()-47)
),
"")</f>
        <v/>
      </c>
      <c r="F121" s="186" t="str">
        <f>IFERROR(
INDEX('F &amp; B'!G$2:G$10815,
_xlfn.AGGREGATE(15,6,
(ROW('F &amp; B'!$B$2:$B$10815)-ROW('F &amp; B'!$B$2)+1)/
('F &amp; B'!$B$2:$B$10815=$A$48),
ROW()-47)
),
"")</f>
        <v/>
      </c>
    </row>
    <row r="122" spans="1:6" s="74" customFormat="1" ht="17.100000000000001" customHeight="1">
      <c r="A122" s="386"/>
      <c r="B122" s="386"/>
      <c r="C122" s="192" t="str">
        <f>IFERROR(
INDEX('F &amp; B'!D$2:D$10815,
_xlfn.AGGREGATE(15,6,
(ROW('F &amp; B'!$B$2:$B$10815)-ROW('F &amp; B'!$B$2)+1)/
('F &amp; B'!$B$2:$B$10815=$A$48),
ROW()-47)
),
"")</f>
        <v/>
      </c>
      <c r="D122" s="180" t="str">
        <f>IFERROR(
INDEX('F &amp; B'!E$2:E$10815,
_xlfn.AGGREGATE(15,6,
(ROW('F &amp; B'!$B$2:$B$10815)-ROW('F &amp; B'!$B$2)+1)/
('F &amp; B'!$B$2:$B$10815=$A$48),
ROW()-47)
),
"")</f>
        <v/>
      </c>
      <c r="E122" s="7" t="str">
        <f>IFERROR(
INDEX('F &amp; B'!F$2:F$10815,
_xlfn.AGGREGATE(15,6,
(ROW('F &amp; B'!$B$2:$B$10815)-ROW('F &amp; B'!$B$2)+1)/
('F &amp; B'!$B$2:$B$10815=$A$48),
ROW()-47)
),
"")</f>
        <v/>
      </c>
      <c r="F122" s="186" t="str">
        <f>IFERROR(
INDEX('F &amp; B'!G$2:G$10815,
_xlfn.AGGREGATE(15,6,
(ROW('F &amp; B'!$B$2:$B$10815)-ROW('F &amp; B'!$B$2)+1)/
('F &amp; B'!$B$2:$B$10815=$A$48),
ROW()-47)
),
"")</f>
        <v/>
      </c>
    </row>
    <row r="123" spans="1:6" s="74" customFormat="1" ht="17.100000000000001" customHeight="1">
      <c r="A123" s="386"/>
      <c r="B123" s="386"/>
      <c r="C123" s="192" t="str">
        <f>IFERROR(
INDEX('F &amp; B'!D$2:D$10815,
_xlfn.AGGREGATE(15,6,
(ROW('F &amp; B'!$B$2:$B$10815)-ROW('F &amp; B'!$B$2)+1)/
('F &amp; B'!$B$2:$B$10815=$A$48),
ROW()-47)
),
"")</f>
        <v/>
      </c>
      <c r="D123" s="180" t="str">
        <f>IFERROR(
INDEX('F &amp; B'!E$2:E$10815,
_xlfn.AGGREGATE(15,6,
(ROW('F &amp; B'!$B$2:$B$10815)-ROW('F &amp; B'!$B$2)+1)/
('F &amp; B'!$B$2:$B$10815=$A$48),
ROW()-47)
),
"")</f>
        <v/>
      </c>
      <c r="E123" s="7" t="str">
        <f>IFERROR(
INDEX('F &amp; B'!F$2:F$10815,
_xlfn.AGGREGATE(15,6,
(ROW('F &amp; B'!$B$2:$B$10815)-ROW('F &amp; B'!$B$2)+1)/
('F &amp; B'!$B$2:$B$10815=$A$48),
ROW()-47)
),
"")</f>
        <v/>
      </c>
      <c r="F123" s="186" t="str">
        <f>IFERROR(
INDEX('F &amp; B'!G$2:G$10815,
_xlfn.AGGREGATE(15,6,
(ROW('F &amp; B'!$B$2:$B$10815)-ROW('F &amp; B'!$B$2)+1)/
('F &amp; B'!$B$2:$B$10815=$A$48),
ROW()-47)
),
"")</f>
        <v/>
      </c>
    </row>
    <row r="124" spans="1:6" s="74" customFormat="1" ht="17.100000000000001" customHeight="1">
      <c r="A124" s="386"/>
      <c r="B124" s="386"/>
      <c r="C124" s="192" t="str">
        <f>IFERROR(
INDEX('F &amp; B'!D$2:D$10815,
_xlfn.AGGREGATE(15,6,
(ROW('F &amp; B'!$B$2:$B$10815)-ROW('F &amp; B'!$B$2)+1)/
('F &amp; B'!$B$2:$B$10815=$A$48),
ROW()-47)
),
"")</f>
        <v/>
      </c>
      <c r="D124" s="180" t="str">
        <f>IFERROR(
INDEX('F &amp; B'!E$2:E$10815,
_xlfn.AGGREGATE(15,6,
(ROW('F &amp; B'!$B$2:$B$10815)-ROW('F &amp; B'!$B$2)+1)/
('F &amp; B'!$B$2:$B$10815=$A$48),
ROW()-47)
),
"")</f>
        <v/>
      </c>
      <c r="E124" s="7" t="str">
        <f>IFERROR(
INDEX('F &amp; B'!F$2:F$10815,
_xlfn.AGGREGATE(15,6,
(ROW('F &amp; B'!$B$2:$B$10815)-ROW('F &amp; B'!$B$2)+1)/
('F &amp; B'!$B$2:$B$10815=$A$48),
ROW()-47)
),
"")</f>
        <v/>
      </c>
      <c r="F124" s="186" t="str">
        <f>IFERROR(
INDEX('F &amp; B'!G$2:G$10815,
_xlfn.AGGREGATE(15,6,
(ROW('F &amp; B'!$B$2:$B$10815)-ROW('F &amp; B'!$B$2)+1)/
('F &amp; B'!$B$2:$B$10815=$A$48),
ROW()-47)
),
"")</f>
        <v/>
      </c>
    </row>
    <row r="125" spans="1:6" s="74" customFormat="1" ht="17.100000000000001" customHeight="1">
      <c r="A125" s="386"/>
      <c r="B125" s="386"/>
      <c r="C125" s="192" t="str">
        <f>IFERROR(
INDEX('F &amp; B'!D$2:D$10815,
_xlfn.AGGREGATE(15,6,
(ROW('F &amp; B'!$B$2:$B$10815)-ROW('F &amp; B'!$B$2)+1)/
('F &amp; B'!$B$2:$B$10815=$A$48),
ROW()-47)
),
"")</f>
        <v/>
      </c>
      <c r="D125" s="180" t="str">
        <f>IFERROR(
INDEX('F &amp; B'!E$2:E$10815,
_xlfn.AGGREGATE(15,6,
(ROW('F &amp; B'!$B$2:$B$10815)-ROW('F &amp; B'!$B$2)+1)/
('F &amp; B'!$B$2:$B$10815=$A$48),
ROW()-47)
),
"")</f>
        <v/>
      </c>
      <c r="E125" s="7" t="str">
        <f>IFERROR(
INDEX('F &amp; B'!F$2:F$10815,
_xlfn.AGGREGATE(15,6,
(ROW('F &amp; B'!$B$2:$B$10815)-ROW('F &amp; B'!$B$2)+1)/
('F &amp; B'!$B$2:$B$10815=$A$48),
ROW()-47)
),
"")</f>
        <v/>
      </c>
      <c r="F125" s="186" t="str">
        <f>IFERROR(
INDEX('F &amp; B'!G$2:G$10815,
_xlfn.AGGREGATE(15,6,
(ROW('F &amp; B'!$B$2:$B$10815)-ROW('F &amp; B'!$B$2)+1)/
('F &amp; B'!$B$2:$B$10815=$A$48),
ROW()-47)
),
"")</f>
        <v/>
      </c>
    </row>
    <row r="126" spans="1:6" s="74" customFormat="1" ht="17.100000000000001" customHeight="1">
      <c r="A126" s="386"/>
      <c r="B126" s="386"/>
      <c r="C126" s="192" t="str">
        <f>IFERROR(
INDEX('F &amp; B'!D$2:D$10815,
_xlfn.AGGREGATE(15,6,
(ROW('F &amp; B'!$B$2:$B$10815)-ROW('F &amp; B'!$B$2)+1)/
('F &amp; B'!$B$2:$B$10815=$A$48),
ROW()-47)
),
"")</f>
        <v/>
      </c>
      <c r="D126" s="180" t="str">
        <f>IFERROR(
INDEX('F &amp; B'!E$2:E$10815,
_xlfn.AGGREGATE(15,6,
(ROW('F &amp; B'!$B$2:$B$10815)-ROW('F &amp; B'!$B$2)+1)/
('F &amp; B'!$B$2:$B$10815=$A$48),
ROW()-47)
),
"")</f>
        <v/>
      </c>
      <c r="E126" s="7" t="str">
        <f>IFERROR(
INDEX('F &amp; B'!F$2:F$10815,
_xlfn.AGGREGATE(15,6,
(ROW('F &amp; B'!$B$2:$B$10815)-ROW('F &amp; B'!$B$2)+1)/
('F &amp; B'!$B$2:$B$10815=$A$48),
ROW()-47)
),
"")</f>
        <v/>
      </c>
      <c r="F126" s="186" t="str">
        <f>IFERROR(
INDEX('F &amp; B'!G$2:G$10815,
_xlfn.AGGREGATE(15,6,
(ROW('F &amp; B'!$B$2:$B$10815)-ROW('F &amp; B'!$B$2)+1)/
('F &amp; B'!$B$2:$B$10815=$A$48),
ROW()-47)
),
"")</f>
        <v/>
      </c>
    </row>
    <row r="127" spans="1:6" s="74" customFormat="1" ht="17.100000000000001" customHeight="1">
      <c r="A127" s="386"/>
      <c r="B127" s="386"/>
      <c r="C127" s="192" t="str">
        <f>IFERROR(
INDEX('F &amp; B'!D$2:D$10815,
_xlfn.AGGREGATE(15,6,
(ROW('F &amp; B'!$B$2:$B$10815)-ROW('F &amp; B'!$B$2)+1)/
('F &amp; B'!$B$2:$B$10815=$A$48),
ROW()-47)
),
"")</f>
        <v/>
      </c>
      <c r="D127" s="180" t="str">
        <f>IFERROR(
INDEX('F &amp; B'!E$2:E$10815,
_xlfn.AGGREGATE(15,6,
(ROW('F &amp; B'!$B$2:$B$10815)-ROW('F &amp; B'!$B$2)+1)/
('F &amp; B'!$B$2:$B$10815=$A$48),
ROW()-47)
),
"")</f>
        <v/>
      </c>
      <c r="E127" s="7" t="str">
        <f>IFERROR(
INDEX('F &amp; B'!F$2:F$10815,
_xlfn.AGGREGATE(15,6,
(ROW('F &amp; B'!$B$2:$B$10815)-ROW('F &amp; B'!$B$2)+1)/
('F &amp; B'!$B$2:$B$10815=$A$48),
ROW()-47)
),
"")</f>
        <v/>
      </c>
      <c r="F127" s="186" t="str">
        <f>IFERROR(
INDEX('F &amp; B'!G$2:G$10815,
_xlfn.AGGREGATE(15,6,
(ROW('F &amp; B'!$B$2:$B$10815)-ROW('F &amp; B'!$B$2)+1)/
('F &amp; B'!$B$2:$B$10815=$A$48),
ROW()-47)
),
"")</f>
        <v/>
      </c>
    </row>
    <row r="128" spans="1:6" s="74" customFormat="1" ht="17.100000000000001" customHeight="1">
      <c r="A128" s="386"/>
      <c r="B128" s="386"/>
      <c r="C128" s="192" t="str">
        <f>IFERROR(
INDEX('F &amp; B'!D$2:D$10815,
_xlfn.AGGREGATE(15,6,
(ROW('F &amp; B'!$B$2:$B$10815)-ROW('F &amp; B'!$B$2)+1)/
('F &amp; B'!$B$2:$B$10815=$A$48),
ROW()-47)
),
"")</f>
        <v/>
      </c>
      <c r="D128" s="180" t="str">
        <f>IFERROR(
INDEX('F &amp; B'!E$2:E$10815,
_xlfn.AGGREGATE(15,6,
(ROW('F &amp; B'!$B$2:$B$10815)-ROW('F &amp; B'!$B$2)+1)/
('F &amp; B'!$B$2:$B$10815=$A$48),
ROW()-47)
),
"")</f>
        <v/>
      </c>
      <c r="E128" s="7" t="str">
        <f>IFERROR(
INDEX('F &amp; B'!F$2:F$10815,
_xlfn.AGGREGATE(15,6,
(ROW('F &amp; B'!$B$2:$B$10815)-ROW('F &amp; B'!$B$2)+1)/
('F &amp; B'!$B$2:$B$10815=$A$48),
ROW()-47)
),
"")</f>
        <v/>
      </c>
      <c r="F128" s="186" t="str">
        <f>IFERROR(
INDEX('F &amp; B'!G$2:G$10815,
_xlfn.AGGREGATE(15,6,
(ROW('F &amp; B'!$B$2:$B$10815)-ROW('F &amp; B'!$B$2)+1)/
('F &amp; B'!$B$2:$B$10815=$A$48),
ROW()-47)
),
"")</f>
        <v/>
      </c>
    </row>
    <row r="129" spans="1:6" s="74" customFormat="1" ht="17.100000000000001" customHeight="1">
      <c r="A129" s="386"/>
      <c r="B129" s="386"/>
      <c r="C129" s="192" t="str">
        <f>IFERROR(
INDEX('F &amp; B'!D$2:D$10815,
_xlfn.AGGREGATE(15,6,
(ROW('F &amp; B'!$B$2:$B$10815)-ROW('F &amp; B'!$B$2)+1)/
('F &amp; B'!$B$2:$B$10815=$A$48),
ROW()-47)
),
"")</f>
        <v/>
      </c>
      <c r="D129" s="180" t="str">
        <f>IFERROR(
INDEX('F &amp; B'!E$2:E$10815,
_xlfn.AGGREGATE(15,6,
(ROW('F &amp; B'!$B$2:$B$10815)-ROW('F &amp; B'!$B$2)+1)/
('F &amp; B'!$B$2:$B$10815=$A$48),
ROW()-47)
),
"")</f>
        <v/>
      </c>
      <c r="E129" s="7" t="str">
        <f>IFERROR(
INDEX('F &amp; B'!F$2:F$10815,
_xlfn.AGGREGATE(15,6,
(ROW('F &amp; B'!$B$2:$B$10815)-ROW('F &amp; B'!$B$2)+1)/
('F &amp; B'!$B$2:$B$10815=$A$48),
ROW()-47)
),
"")</f>
        <v/>
      </c>
      <c r="F129" s="186" t="str">
        <f>IFERROR(
INDEX('F &amp; B'!G$2:G$10815,
_xlfn.AGGREGATE(15,6,
(ROW('F &amp; B'!$B$2:$B$10815)-ROW('F &amp; B'!$B$2)+1)/
('F &amp; B'!$B$2:$B$10815=$A$48),
ROW()-47)
),
"")</f>
        <v/>
      </c>
    </row>
    <row r="130" spans="1:6" s="74" customFormat="1" ht="17.100000000000001" customHeight="1">
      <c r="A130" s="386"/>
      <c r="B130" s="386"/>
      <c r="C130" s="192" t="str">
        <f>IFERROR(
INDEX('F &amp; B'!D$2:D$10815,
_xlfn.AGGREGATE(15,6,
(ROW('F &amp; B'!$B$2:$B$10815)-ROW('F &amp; B'!$B$2)+1)/
('F &amp; B'!$B$2:$B$10815=$A$48),
ROW()-47)
),
"")</f>
        <v/>
      </c>
      <c r="D130" s="180" t="str">
        <f>IFERROR(
INDEX('F &amp; B'!E$2:E$10815,
_xlfn.AGGREGATE(15,6,
(ROW('F &amp; B'!$B$2:$B$10815)-ROW('F &amp; B'!$B$2)+1)/
('F &amp; B'!$B$2:$B$10815=$A$48),
ROW()-47)
),
"")</f>
        <v/>
      </c>
      <c r="E130" s="7" t="str">
        <f>IFERROR(
INDEX('F &amp; B'!F$2:F$10815,
_xlfn.AGGREGATE(15,6,
(ROW('F &amp; B'!$B$2:$B$10815)-ROW('F &amp; B'!$B$2)+1)/
('F &amp; B'!$B$2:$B$10815=$A$48),
ROW()-47)
),
"")</f>
        <v/>
      </c>
      <c r="F130" s="186" t="str">
        <f>IFERROR(
INDEX('F &amp; B'!G$2:G$10815,
_xlfn.AGGREGATE(15,6,
(ROW('F &amp; B'!$B$2:$B$10815)-ROW('F &amp; B'!$B$2)+1)/
('F &amp; B'!$B$2:$B$10815=$A$48),
ROW()-47)
),
"")</f>
        <v/>
      </c>
    </row>
    <row r="131" spans="1:6" s="74" customFormat="1" ht="17.100000000000001" customHeight="1">
      <c r="A131" s="386"/>
      <c r="B131" s="386"/>
      <c r="C131" s="192" t="str">
        <f>IFERROR(
INDEX('F &amp; B'!D$2:D$10815,
_xlfn.AGGREGATE(15,6,
(ROW('F &amp; B'!$B$2:$B$10815)-ROW('F &amp; B'!$B$2)+1)/
('F &amp; B'!$B$2:$B$10815=$A$48),
ROW()-47)
),
"")</f>
        <v/>
      </c>
      <c r="D131" s="180" t="str">
        <f>IFERROR(
INDEX('F &amp; B'!E$2:E$10815,
_xlfn.AGGREGATE(15,6,
(ROW('F &amp; B'!$B$2:$B$10815)-ROW('F &amp; B'!$B$2)+1)/
('F &amp; B'!$B$2:$B$10815=$A$48),
ROW()-47)
),
"")</f>
        <v/>
      </c>
      <c r="E131" s="7" t="str">
        <f>IFERROR(
INDEX('F &amp; B'!F$2:F$10815,
_xlfn.AGGREGATE(15,6,
(ROW('F &amp; B'!$B$2:$B$10815)-ROW('F &amp; B'!$B$2)+1)/
('F &amp; B'!$B$2:$B$10815=$A$48),
ROW()-47)
),
"")</f>
        <v/>
      </c>
      <c r="F131" s="186" t="str">
        <f>IFERROR(
INDEX('F &amp; B'!G$2:G$10815,
_xlfn.AGGREGATE(15,6,
(ROW('F &amp; B'!$B$2:$B$10815)-ROW('F &amp; B'!$B$2)+1)/
('F &amp; B'!$B$2:$B$10815=$A$48),
ROW()-47)
),
"")</f>
        <v/>
      </c>
    </row>
    <row r="132" spans="1:6" s="74" customFormat="1" ht="17.100000000000001" customHeight="1">
      <c r="A132" s="386"/>
      <c r="B132" s="386"/>
      <c r="C132" s="192" t="str">
        <f>IFERROR(
INDEX('F &amp; B'!D$2:D$10815,
_xlfn.AGGREGATE(15,6,
(ROW('F &amp; B'!$B$2:$B$10815)-ROW('F &amp; B'!$B$2)+1)/
('F &amp; B'!$B$2:$B$10815=$A$48),
ROW()-47)
),
"")</f>
        <v/>
      </c>
      <c r="D132" s="180" t="str">
        <f>IFERROR(
INDEX('F &amp; B'!E$2:E$10815,
_xlfn.AGGREGATE(15,6,
(ROW('F &amp; B'!$B$2:$B$10815)-ROW('F &amp; B'!$B$2)+1)/
('F &amp; B'!$B$2:$B$10815=$A$48),
ROW()-47)
),
"")</f>
        <v/>
      </c>
      <c r="E132" s="7" t="str">
        <f>IFERROR(
INDEX('F &amp; B'!F$2:F$10815,
_xlfn.AGGREGATE(15,6,
(ROW('F &amp; B'!$B$2:$B$10815)-ROW('F &amp; B'!$B$2)+1)/
('F &amp; B'!$B$2:$B$10815=$A$48),
ROW()-47)
),
"")</f>
        <v/>
      </c>
      <c r="F132" s="186" t="str">
        <f>IFERROR(
INDEX('F &amp; B'!G$2:G$10815,
_xlfn.AGGREGATE(15,6,
(ROW('F &amp; B'!$B$2:$B$10815)-ROW('F &amp; B'!$B$2)+1)/
('F &amp; B'!$B$2:$B$10815=$A$48),
ROW()-47)
),
"")</f>
        <v/>
      </c>
    </row>
    <row r="133" spans="1:6" s="74" customFormat="1" ht="17.100000000000001" customHeight="1">
      <c r="A133" s="386"/>
      <c r="B133" s="386"/>
      <c r="C133" s="192" t="str">
        <f>IFERROR(
INDEX('F &amp; B'!D$2:D$10815,
_xlfn.AGGREGATE(15,6,
(ROW('F &amp; B'!$B$2:$B$10815)-ROW('F &amp; B'!$B$2)+1)/
('F &amp; B'!$B$2:$B$10815=$A$48),
ROW()-47)
),
"")</f>
        <v/>
      </c>
      <c r="D133" s="180" t="str">
        <f>IFERROR(
INDEX('F &amp; B'!E$2:E$10815,
_xlfn.AGGREGATE(15,6,
(ROW('F &amp; B'!$B$2:$B$10815)-ROW('F &amp; B'!$B$2)+1)/
('F &amp; B'!$B$2:$B$10815=$A$48),
ROW()-47)
),
"")</f>
        <v/>
      </c>
      <c r="E133" s="7" t="str">
        <f>IFERROR(
INDEX('F &amp; B'!F$2:F$10815,
_xlfn.AGGREGATE(15,6,
(ROW('F &amp; B'!$B$2:$B$10815)-ROW('F &amp; B'!$B$2)+1)/
('F &amp; B'!$B$2:$B$10815=$A$48),
ROW()-47)
),
"")</f>
        <v/>
      </c>
      <c r="F133" s="186" t="str">
        <f>IFERROR(
INDEX('F &amp; B'!G$2:G$10815,
_xlfn.AGGREGATE(15,6,
(ROW('F &amp; B'!$B$2:$B$10815)-ROW('F &amp; B'!$B$2)+1)/
('F &amp; B'!$B$2:$B$10815=$A$48),
ROW()-47)
),
"")</f>
        <v/>
      </c>
    </row>
    <row r="134" spans="1:6" s="74" customFormat="1" ht="17.100000000000001" customHeight="1">
      <c r="A134" s="386"/>
      <c r="B134" s="386"/>
      <c r="C134" s="192" t="str">
        <f>IFERROR(
INDEX('F &amp; B'!D$2:D$10815,
_xlfn.AGGREGATE(15,6,
(ROW('F &amp; B'!$B$2:$B$10815)-ROW('F &amp; B'!$B$2)+1)/
('F &amp; B'!$B$2:$B$10815=$A$48),
ROW()-47)
),
"")</f>
        <v/>
      </c>
      <c r="D134" s="180" t="str">
        <f>IFERROR(
INDEX('F &amp; B'!E$2:E$10815,
_xlfn.AGGREGATE(15,6,
(ROW('F &amp; B'!$B$2:$B$10815)-ROW('F &amp; B'!$B$2)+1)/
('F &amp; B'!$B$2:$B$10815=$A$48),
ROW()-47)
),
"")</f>
        <v/>
      </c>
      <c r="E134" s="7" t="str">
        <f>IFERROR(
INDEX('F &amp; B'!F$2:F$10815,
_xlfn.AGGREGATE(15,6,
(ROW('F &amp; B'!$B$2:$B$10815)-ROW('F &amp; B'!$B$2)+1)/
('F &amp; B'!$B$2:$B$10815=$A$48),
ROW()-47)
),
"")</f>
        <v/>
      </c>
      <c r="F134" s="186" t="str">
        <f>IFERROR(
INDEX('F &amp; B'!G$2:G$10815,
_xlfn.AGGREGATE(15,6,
(ROW('F &amp; B'!$B$2:$B$10815)-ROW('F &amp; B'!$B$2)+1)/
('F &amp; B'!$B$2:$B$10815=$A$48),
ROW()-47)
),
"")</f>
        <v/>
      </c>
    </row>
    <row r="135" spans="1:6" s="74" customFormat="1" ht="17.100000000000001" customHeight="1">
      <c r="A135" s="386"/>
      <c r="B135" s="386"/>
      <c r="C135" s="192" t="str">
        <f>IFERROR(
INDEX('F &amp; B'!D$2:D$10815,
_xlfn.AGGREGATE(15,6,
(ROW('F &amp; B'!$B$2:$B$10815)-ROW('F &amp; B'!$B$2)+1)/
('F &amp; B'!$B$2:$B$10815=$A$48),
ROW()-47)
),
"")</f>
        <v/>
      </c>
      <c r="D135" s="180" t="str">
        <f>IFERROR(
INDEX('F &amp; B'!E$2:E$10815,
_xlfn.AGGREGATE(15,6,
(ROW('F &amp; B'!$B$2:$B$10815)-ROW('F &amp; B'!$B$2)+1)/
('F &amp; B'!$B$2:$B$10815=$A$48),
ROW()-47)
),
"")</f>
        <v/>
      </c>
      <c r="E135" s="7" t="str">
        <f>IFERROR(
INDEX('F &amp; B'!F$2:F$10815,
_xlfn.AGGREGATE(15,6,
(ROW('F &amp; B'!$B$2:$B$10815)-ROW('F &amp; B'!$B$2)+1)/
('F &amp; B'!$B$2:$B$10815=$A$48),
ROW()-47)
),
"")</f>
        <v/>
      </c>
      <c r="F135" s="186" t="str">
        <f>IFERROR(
INDEX('F &amp; B'!G$2:G$10815,
_xlfn.AGGREGATE(15,6,
(ROW('F &amp; B'!$B$2:$B$10815)-ROW('F &amp; B'!$B$2)+1)/
('F &amp; B'!$B$2:$B$10815=$A$48),
ROW()-47)
),
"")</f>
        <v/>
      </c>
    </row>
    <row r="136" spans="1:6" s="74" customFormat="1" ht="17.100000000000001" customHeight="1">
      <c r="A136" s="386"/>
      <c r="B136" s="386"/>
      <c r="C136" s="192" t="str">
        <f>IFERROR(
INDEX('F &amp; B'!D$2:D$10815,
_xlfn.AGGREGATE(15,6,
(ROW('F &amp; B'!$B$2:$B$10815)-ROW('F &amp; B'!$B$2)+1)/
('F &amp; B'!$B$2:$B$10815=$A$48),
ROW()-47)
),
"")</f>
        <v/>
      </c>
      <c r="D136" s="180" t="str">
        <f>IFERROR(
INDEX('F &amp; B'!E$2:E$10815,
_xlfn.AGGREGATE(15,6,
(ROW('F &amp; B'!$B$2:$B$10815)-ROW('F &amp; B'!$B$2)+1)/
('F &amp; B'!$B$2:$B$10815=$A$48),
ROW()-47)
),
"")</f>
        <v/>
      </c>
      <c r="E136" s="7" t="str">
        <f>IFERROR(
INDEX('F &amp; B'!F$2:F$10815,
_xlfn.AGGREGATE(15,6,
(ROW('F &amp; B'!$B$2:$B$10815)-ROW('F &amp; B'!$B$2)+1)/
('F &amp; B'!$B$2:$B$10815=$A$48),
ROW()-47)
),
"")</f>
        <v/>
      </c>
      <c r="F136" s="186" t="str">
        <f>IFERROR(
INDEX('F &amp; B'!G$2:G$10815,
_xlfn.AGGREGATE(15,6,
(ROW('F &amp; B'!$B$2:$B$10815)-ROW('F &amp; B'!$B$2)+1)/
('F &amp; B'!$B$2:$B$10815=$A$48),
ROW()-47)
),
"")</f>
        <v/>
      </c>
    </row>
    <row r="137" spans="1:6" s="74" customFormat="1" ht="17.100000000000001" customHeight="1">
      <c r="A137" s="386"/>
      <c r="B137" s="386"/>
      <c r="C137" s="192" t="str">
        <f>IFERROR(
INDEX('F &amp; B'!D$2:D$10815,
_xlfn.AGGREGATE(15,6,
(ROW('F &amp; B'!$B$2:$B$10815)-ROW('F &amp; B'!$B$2)+1)/
('F &amp; B'!$B$2:$B$10815=$A$48),
ROW()-47)
),
"")</f>
        <v/>
      </c>
      <c r="D137" s="180" t="str">
        <f>IFERROR(
INDEX('F &amp; B'!E$2:E$10815,
_xlfn.AGGREGATE(15,6,
(ROW('F &amp; B'!$B$2:$B$10815)-ROW('F &amp; B'!$B$2)+1)/
('F &amp; B'!$B$2:$B$10815=$A$48),
ROW()-47)
),
"")</f>
        <v/>
      </c>
      <c r="E137" s="7" t="str">
        <f>IFERROR(
INDEX('F &amp; B'!F$2:F$10815,
_xlfn.AGGREGATE(15,6,
(ROW('F &amp; B'!$B$2:$B$10815)-ROW('F &amp; B'!$B$2)+1)/
('F &amp; B'!$B$2:$B$10815=$A$48),
ROW()-47)
),
"")</f>
        <v/>
      </c>
      <c r="F137" s="186" t="str">
        <f>IFERROR(
INDEX('F &amp; B'!G$2:G$10815,
_xlfn.AGGREGATE(15,6,
(ROW('F &amp; B'!$B$2:$B$10815)-ROW('F &amp; B'!$B$2)+1)/
('F &amp; B'!$B$2:$B$10815=$A$48),
ROW()-47)
),
"")</f>
        <v/>
      </c>
    </row>
    <row r="138" spans="1:6" s="74" customFormat="1" ht="17.100000000000001" customHeight="1">
      <c r="A138" s="386"/>
      <c r="B138" s="386"/>
      <c r="C138" s="192" t="str">
        <f>IFERROR(
INDEX('F &amp; B'!D$2:D$10815,
_xlfn.AGGREGATE(15,6,
(ROW('F &amp; B'!$B$2:$B$10815)-ROW('F &amp; B'!$B$2)+1)/
('F &amp; B'!$B$2:$B$10815=$A$48),
ROW()-47)
),
"")</f>
        <v/>
      </c>
      <c r="D138" s="180" t="str">
        <f>IFERROR(
INDEX('F &amp; B'!E$2:E$10815,
_xlfn.AGGREGATE(15,6,
(ROW('F &amp; B'!$B$2:$B$10815)-ROW('F &amp; B'!$B$2)+1)/
('F &amp; B'!$B$2:$B$10815=$A$48),
ROW()-47)
),
"")</f>
        <v/>
      </c>
      <c r="E138" s="7" t="str">
        <f>IFERROR(
INDEX('F &amp; B'!F$2:F$10815,
_xlfn.AGGREGATE(15,6,
(ROW('F &amp; B'!$B$2:$B$10815)-ROW('F &amp; B'!$B$2)+1)/
('F &amp; B'!$B$2:$B$10815=$A$48),
ROW()-47)
),
"")</f>
        <v/>
      </c>
      <c r="F138" s="186" t="str">
        <f>IFERROR(
INDEX('F &amp; B'!G$2:G$10815,
_xlfn.AGGREGATE(15,6,
(ROW('F &amp; B'!$B$2:$B$10815)-ROW('F &amp; B'!$B$2)+1)/
('F &amp; B'!$B$2:$B$10815=$A$48),
ROW()-47)
),
"")</f>
        <v/>
      </c>
    </row>
    <row r="139" spans="1:6" s="74" customFormat="1" ht="17.100000000000001" customHeight="1">
      <c r="A139" s="386"/>
      <c r="B139" s="386"/>
      <c r="C139" s="192" t="str">
        <f>IFERROR(
INDEX('F &amp; B'!D$2:D$10815,
_xlfn.AGGREGATE(15,6,
(ROW('F &amp; B'!$B$2:$B$10815)-ROW('F &amp; B'!$B$2)+1)/
('F &amp; B'!$B$2:$B$10815=$A$48),
ROW()-47)
),
"")</f>
        <v/>
      </c>
      <c r="D139" s="180" t="str">
        <f>IFERROR(
INDEX('F &amp; B'!E$2:E$10815,
_xlfn.AGGREGATE(15,6,
(ROW('F &amp; B'!$B$2:$B$10815)-ROW('F &amp; B'!$B$2)+1)/
('F &amp; B'!$B$2:$B$10815=$A$48),
ROW()-47)
),
"")</f>
        <v/>
      </c>
      <c r="E139" s="7" t="str">
        <f>IFERROR(
INDEX('F &amp; B'!F$2:F$10815,
_xlfn.AGGREGATE(15,6,
(ROW('F &amp; B'!$B$2:$B$10815)-ROW('F &amp; B'!$B$2)+1)/
('F &amp; B'!$B$2:$B$10815=$A$48),
ROW()-47)
),
"")</f>
        <v/>
      </c>
      <c r="F139" s="186" t="str">
        <f>IFERROR(
INDEX('F &amp; B'!G$2:G$10815,
_xlfn.AGGREGATE(15,6,
(ROW('F &amp; B'!$B$2:$B$10815)-ROW('F &amp; B'!$B$2)+1)/
('F &amp; B'!$B$2:$B$10815=$A$48),
ROW()-47)
),
"")</f>
        <v/>
      </c>
    </row>
    <row r="140" spans="1:6" s="74" customFormat="1" ht="17.100000000000001" customHeight="1">
      <c r="A140" s="386"/>
      <c r="B140" s="386"/>
      <c r="C140" s="192" t="str">
        <f>IFERROR(
INDEX('F &amp; B'!D$2:D$10815,
_xlfn.AGGREGATE(15,6,
(ROW('F &amp; B'!$B$2:$B$10815)-ROW('F &amp; B'!$B$2)+1)/
('F &amp; B'!$B$2:$B$10815=$A$48),
ROW()-47)
),
"")</f>
        <v/>
      </c>
      <c r="D140" s="180" t="str">
        <f>IFERROR(
INDEX('F &amp; B'!E$2:E$10815,
_xlfn.AGGREGATE(15,6,
(ROW('F &amp; B'!$B$2:$B$10815)-ROW('F &amp; B'!$B$2)+1)/
('F &amp; B'!$B$2:$B$10815=$A$48),
ROW()-47)
),
"")</f>
        <v/>
      </c>
      <c r="E140" s="7" t="str">
        <f>IFERROR(
INDEX('F &amp; B'!F$2:F$10815,
_xlfn.AGGREGATE(15,6,
(ROW('F &amp; B'!$B$2:$B$10815)-ROW('F &amp; B'!$B$2)+1)/
('F &amp; B'!$B$2:$B$10815=$A$48),
ROW()-47)
),
"")</f>
        <v/>
      </c>
      <c r="F140" s="186" t="str">
        <f>IFERROR(
INDEX('F &amp; B'!G$2:G$10815,
_xlfn.AGGREGATE(15,6,
(ROW('F &amp; B'!$B$2:$B$10815)-ROW('F &amp; B'!$B$2)+1)/
('F &amp; B'!$B$2:$B$10815=$A$48),
ROW()-47)
),
"")</f>
        <v/>
      </c>
    </row>
    <row r="141" spans="1:6" s="74" customFormat="1" ht="17.100000000000001" customHeight="1">
      <c r="A141" s="386"/>
      <c r="B141" s="386"/>
      <c r="C141" s="192" t="str">
        <f>IFERROR(
INDEX('F &amp; B'!D$2:D$10815,
_xlfn.AGGREGATE(15,6,
(ROW('F &amp; B'!$B$2:$B$10815)-ROW('F &amp; B'!$B$2)+1)/
('F &amp; B'!$B$2:$B$10815=$A$48),
ROW()-47)
),
"")</f>
        <v/>
      </c>
      <c r="D141" s="180" t="str">
        <f>IFERROR(
INDEX('F &amp; B'!E$2:E$10815,
_xlfn.AGGREGATE(15,6,
(ROW('F &amp; B'!$B$2:$B$10815)-ROW('F &amp; B'!$B$2)+1)/
('F &amp; B'!$B$2:$B$10815=$A$48),
ROW()-47)
),
"")</f>
        <v/>
      </c>
      <c r="E141" s="7" t="str">
        <f>IFERROR(
INDEX('F &amp; B'!F$2:F$10815,
_xlfn.AGGREGATE(15,6,
(ROW('F &amp; B'!$B$2:$B$10815)-ROW('F &amp; B'!$B$2)+1)/
('F &amp; B'!$B$2:$B$10815=$A$48),
ROW()-47)
),
"")</f>
        <v/>
      </c>
      <c r="F141" s="186" t="str">
        <f>IFERROR(
INDEX('F &amp; B'!G$2:G$10815,
_xlfn.AGGREGATE(15,6,
(ROW('F &amp; B'!$B$2:$B$10815)-ROW('F &amp; B'!$B$2)+1)/
('F &amp; B'!$B$2:$B$10815=$A$48),
ROW()-47)
),
"")</f>
        <v/>
      </c>
    </row>
    <row r="142" spans="1:6" s="74" customFormat="1" ht="17.100000000000001" customHeight="1">
      <c r="A142" s="386"/>
      <c r="B142" s="386"/>
      <c r="C142" s="192" t="str">
        <f>IFERROR(
INDEX('F &amp; B'!D$2:D$10815,
_xlfn.AGGREGATE(15,6,
(ROW('F &amp; B'!$B$2:$B$10815)-ROW('F &amp; B'!$B$2)+1)/
('F &amp; B'!$B$2:$B$10815=$A$48),
ROW()-47)
),
"")</f>
        <v/>
      </c>
      <c r="D142" s="180" t="str">
        <f>IFERROR(
INDEX('F &amp; B'!E$2:E$10815,
_xlfn.AGGREGATE(15,6,
(ROW('F &amp; B'!$B$2:$B$10815)-ROW('F &amp; B'!$B$2)+1)/
('F &amp; B'!$B$2:$B$10815=$A$48),
ROW()-47)
),
"")</f>
        <v/>
      </c>
      <c r="E142" s="7" t="str">
        <f>IFERROR(
INDEX('F &amp; B'!F$2:F$10815,
_xlfn.AGGREGATE(15,6,
(ROW('F &amp; B'!$B$2:$B$10815)-ROW('F &amp; B'!$B$2)+1)/
('F &amp; B'!$B$2:$B$10815=$A$48),
ROW()-47)
),
"")</f>
        <v/>
      </c>
      <c r="F142" s="186" t="str">
        <f>IFERROR(
INDEX('F &amp; B'!G$2:G$10815,
_xlfn.AGGREGATE(15,6,
(ROW('F &amp; B'!$B$2:$B$10815)-ROW('F &amp; B'!$B$2)+1)/
('F &amp; B'!$B$2:$B$10815=$A$48),
ROW()-47)
),
"")</f>
        <v/>
      </c>
    </row>
    <row r="143" spans="1:6" s="74" customFormat="1" ht="17.100000000000001" customHeight="1">
      <c r="A143" s="386"/>
      <c r="B143" s="386"/>
      <c r="C143" s="192" t="str">
        <f>IFERROR(
INDEX('F &amp; B'!D$2:D$10815,
_xlfn.AGGREGATE(15,6,
(ROW('F &amp; B'!$B$2:$B$10815)-ROW('F &amp; B'!$B$2)+1)/
('F &amp; B'!$B$2:$B$10815=$A$48),
ROW()-47)
),
"")</f>
        <v/>
      </c>
      <c r="D143" s="180" t="str">
        <f>IFERROR(
INDEX('F &amp; B'!E$2:E$10815,
_xlfn.AGGREGATE(15,6,
(ROW('F &amp; B'!$B$2:$B$10815)-ROW('F &amp; B'!$B$2)+1)/
('F &amp; B'!$B$2:$B$10815=$A$48),
ROW()-47)
),
"")</f>
        <v/>
      </c>
      <c r="E143" s="7" t="str">
        <f>IFERROR(
INDEX('F &amp; B'!F$2:F$10815,
_xlfn.AGGREGATE(15,6,
(ROW('F &amp; B'!$B$2:$B$10815)-ROW('F &amp; B'!$B$2)+1)/
('F &amp; B'!$B$2:$B$10815=$A$48),
ROW()-47)
),
"")</f>
        <v/>
      </c>
      <c r="F143" s="186" t="str">
        <f>IFERROR(
INDEX('F &amp; B'!G$2:G$10815,
_xlfn.AGGREGATE(15,6,
(ROW('F &amp; B'!$B$2:$B$10815)-ROW('F &amp; B'!$B$2)+1)/
('F &amp; B'!$B$2:$B$10815=$A$48),
ROW()-47)
),
"")</f>
        <v/>
      </c>
    </row>
    <row r="144" spans="1:6" s="74" customFormat="1" ht="17.100000000000001" customHeight="1">
      <c r="A144" s="386"/>
      <c r="B144" s="386"/>
      <c r="C144" s="192" t="str">
        <f>IFERROR(
INDEX('F &amp; B'!D$2:D$10815,
_xlfn.AGGREGATE(15,6,
(ROW('F &amp; B'!$B$2:$B$10815)-ROW('F &amp; B'!$B$2)+1)/
('F &amp; B'!$B$2:$B$10815=$A$48),
ROW()-47)
),
"")</f>
        <v/>
      </c>
      <c r="D144" s="180" t="str">
        <f>IFERROR(
INDEX('F &amp; B'!E$2:E$10815,
_xlfn.AGGREGATE(15,6,
(ROW('F &amp; B'!$B$2:$B$10815)-ROW('F &amp; B'!$B$2)+1)/
('F &amp; B'!$B$2:$B$10815=$A$48),
ROW()-47)
),
"")</f>
        <v/>
      </c>
      <c r="E144" s="7" t="str">
        <f>IFERROR(
INDEX('F &amp; B'!F$2:F$10815,
_xlfn.AGGREGATE(15,6,
(ROW('F &amp; B'!$B$2:$B$10815)-ROW('F &amp; B'!$B$2)+1)/
('F &amp; B'!$B$2:$B$10815=$A$48),
ROW()-47)
),
"")</f>
        <v/>
      </c>
      <c r="F144" s="186" t="str">
        <f>IFERROR(
INDEX('F &amp; B'!G$2:G$10815,
_xlfn.AGGREGATE(15,6,
(ROW('F &amp; B'!$B$2:$B$10815)-ROW('F &amp; B'!$B$2)+1)/
('F &amp; B'!$B$2:$B$10815=$A$48),
ROW()-47)
),
"")</f>
        <v/>
      </c>
    </row>
    <row r="145" spans="1:6" s="74" customFormat="1" ht="17.100000000000001" customHeight="1">
      <c r="A145" s="386"/>
      <c r="B145" s="386"/>
      <c r="C145" s="192" t="str">
        <f>IFERROR(
INDEX('F &amp; B'!D$2:D$10815,
_xlfn.AGGREGATE(15,6,
(ROW('F &amp; B'!$B$2:$B$10815)-ROW('F &amp; B'!$B$2)+1)/
('F &amp; B'!$B$2:$B$10815=$A$48),
ROW()-47)
),
"")</f>
        <v/>
      </c>
      <c r="D145" s="180" t="str">
        <f>IFERROR(
INDEX('F &amp; B'!E$2:E$10815,
_xlfn.AGGREGATE(15,6,
(ROW('F &amp; B'!$B$2:$B$10815)-ROW('F &amp; B'!$B$2)+1)/
('F &amp; B'!$B$2:$B$10815=$A$48),
ROW()-47)
),
"")</f>
        <v/>
      </c>
      <c r="E145" s="7" t="str">
        <f>IFERROR(
INDEX('F &amp; B'!F$2:F$10815,
_xlfn.AGGREGATE(15,6,
(ROW('F &amp; B'!$B$2:$B$10815)-ROW('F &amp; B'!$B$2)+1)/
('F &amp; B'!$B$2:$B$10815=$A$48),
ROW()-47)
),
"")</f>
        <v/>
      </c>
      <c r="F145" s="186" t="str">
        <f>IFERROR(
INDEX('F &amp; B'!G$2:G$10815,
_xlfn.AGGREGATE(15,6,
(ROW('F &amp; B'!$B$2:$B$10815)-ROW('F &amp; B'!$B$2)+1)/
('F &amp; B'!$B$2:$B$10815=$A$48),
ROW()-47)
),
"")</f>
        <v/>
      </c>
    </row>
    <row r="146" spans="1:6" s="74" customFormat="1" ht="17.100000000000001" customHeight="1">
      <c r="A146" s="386"/>
      <c r="B146" s="386"/>
      <c r="C146" s="192" t="str">
        <f>IFERROR(
INDEX('F &amp; B'!D$2:D$10815,
_xlfn.AGGREGATE(15,6,
(ROW('F &amp; B'!$B$2:$B$10815)-ROW('F &amp; B'!$B$2)+1)/
('F &amp; B'!$B$2:$B$10815=$A$48),
ROW()-47)
),
"")</f>
        <v/>
      </c>
      <c r="D146" s="180" t="str">
        <f>IFERROR(
INDEX('F &amp; B'!E$2:E$10815,
_xlfn.AGGREGATE(15,6,
(ROW('F &amp; B'!$B$2:$B$10815)-ROW('F &amp; B'!$B$2)+1)/
('F &amp; B'!$B$2:$B$10815=$A$48),
ROW()-47)
),
"")</f>
        <v/>
      </c>
      <c r="E146" s="7" t="str">
        <f>IFERROR(
INDEX('F &amp; B'!F$2:F$10815,
_xlfn.AGGREGATE(15,6,
(ROW('F &amp; B'!$B$2:$B$10815)-ROW('F &amp; B'!$B$2)+1)/
('F &amp; B'!$B$2:$B$10815=$A$48),
ROW()-47)
),
"")</f>
        <v/>
      </c>
      <c r="F146" s="186" t="str">
        <f>IFERROR(
INDEX('F &amp; B'!G$2:G$10815,
_xlfn.AGGREGATE(15,6,
(ROW('F &amp; B'!$B$2:$B$10815)-ROW('F &amp; B'!$B$2)+1)/
('F &amp; B'!$B$2:$B$10815=$A$48),
ROW()-47)
),
"")</f>
        <v/>
      </c>
    </row>
    <row r="147" spans="1:6" s="74" customFormat="1" ht="17.100000000000001" customHeight="1">
      <c r="A147" s="386"/>
      <c r="B147" s="386"/>
      <c r="C147" s="192" t="str">
        <f>IFERROR(
INDEX('F &amp; B'!D$2:D$10815,
_xlfn.AGGREGATE(15,6,
(ROW('F &amp; B'!$B$2:$B$10815)-ROW('F &amp; B'!$B$2)+1)/
('F &amp; B'!$B$2:$B$10815=$A$48),
ROW()-47)
),
"")</f>
        <v/>
      </c>
      <c r="D147" s="180" t="str">
        <f>IFERROR(
INDEX('F &amp; B'!E$2:E$10815,
_xlfn.AGGREGATE(15,6,
(ROW('F &amp; B'!$B$2:$B$10815)-ROW('F &amp; B'!$B$2)+1)/
('F &amp; B'!$B$2:$B$10815=$A$48),
ROW()-47)
),
"")</f>
        <v/>
      </c>
      <c r="E147" s="7" t="str">
        <f>IFERROR(
INDEX('F &amp; B'!F$2:F$10815,
_xlfn.AGGREGATE(15,6,
(ROW('F &amp; B'!$B$2:$B$10815)-ROW('F &amp; B'!$B$2)+1)/
('F &amp; B'!$B$2:$B$10815=$A$48),
ROW()-47)
),
"")</f>
        <v/>
      </c>
      <c r="F147" s="186" t="str">
        <f>IFERROR(
INDEX('F &amp; B'!G$2:G$10815,
_xlfn.AGGREGATE(15,6,
(ROW('F &amp; B'!$B$2:$B$10815)-ROW('F &amp; B'!$B$2)+1)/
('F &amp; B'!$B$2:$B$10815=$A$48),
ROW()-47)
),
"")</f>
        <v/>
      </c>
    </row>
    <row r="148" spans="1:6" s="74" customFormat="1" ht="17.100000000000001" customHeight="1">
      <c r="A148" s="386"/>
      <c r="B148" s="386"/>
      <c r="C148" s="192" t="str">
        <f>IFERROR(
INDEX('F &amp; B'!D$2:D$10815,
_xlfn.AGGREGATE(15,6,
(ROW('F &amp; B'!$B$2:$B$10815)-ROW('F &amp; B'!$B$2)+1)/
('F &amp; B'!$B$2:$B$10815=$A$48),
ROW()-47)
),
"")</f>
        <v/>
      </c>
      <c r="D148" s="180" t="str">
        <f>IFERROR(
INDEX('F &amp; B'!E$2:E$10815,
_xlfn.AGGREGATE(15,6,
(ROW('F &amp; B'!$B$2:$B$10815)-ROW('F &amp; B'!$B$2)+1)/
('F &amp; B'!$B$2:$B$10815=$A$48),
ROW()-47)
),
"")</f>
        <v/>
      </c>
      <c r="E148" s="7" t="str">
        <f>IFERROR(
INDEX('F &amp; B'!F$2:F$10815,
_xlfn.AGGREGATE(15,6,
(ROW('F &amp; B'!$B$2:$B$10815)-ROW('F &amp; B'!$B$2)+1)/
('F &amp; B'!$B$2:$B$10815=$A$48),
ROW()-47)
),
"")</f>
        <v/>
      </c>
      <c r="F148" s="186" t="str">
        <f>IFERROR(
INDEX('F &amp; B'!G$2:G$10815,
_xlfn.AGGREGATE(15,6,
(ROW('F &amp; B'!$B$2:$B$10815)-ROW('F &amp; B'!$B$2)+1)/
('F &amp; B'!$B$2:$B$10815=$A$48),
ROW()-47)
),
"")</f>
        <v/>
      </c>
    </row>
    <row r="149" spans="1:6" s="74" customFormat="1" ht="17.100000000000001" customHeight="1">
      <c r="A149" s="386"/>
      <c r="B149" s="386"/>
      <c r="C149" s="192" t="str">
        <f>IFERROR(
INDEX('F &amp; B'!D$2:D$10815,
_xlfn.AGGREGATE(15,6,
(ROW('F &amp; B'!$B$2:$B$10815)-ROW('F &amp; B'!$B$2)+1)/
('F &amp; B'!$B$2:$B$10815=$A$48),
ROW()-47)
),
"")</f>
        <v/>
      </c>
      <c r="D149" s="180" t="str">
        <f>IFERROR(
INDEX('F &amp; B'!E$2:E$10815,
_xlfn.AGGREGATE(15,6,
(ROW('F &amp; B'!$B$2:$B$10815)-ROW('F &amp; B'!$B$2)+1)/
('F &amp; B'!$B$2:$B$10815=$A$48),
ROW()-47)
),
"")</f>
        <v/>
      </c>
      <c r="E149" s="7" t="str">
        <f>IFERROR(
INDEX('F &amp; B'!F$2:F$10815,
_xlfn.AGGREGATE(15,6,
(ROW('F &amp; B'!$B$2:$B$10815)-ROW('F &amp; B'!$B$2)+1)/
('F &amp; B'!$B$2:$B$10815=$A$48),
ROW()-47)
),
"")</f>
        <v/>
      </c>
      <c r="F149" s="186" t="str">
        <f>IFERROR(
INDEX('F &amp; B'!G$2:G$10815,
_xlfn.AGGREGATE(15,6,
(ROW('F &amp; B'!$B$2:$B$10815)-ROW('F &amp; B'!$B$2)+1)/
('F &amp; B'!$B$2:$B$10815=$A$48),
ROW()-47)
),
"")</f>
        <v/>
      </c>
    </row>
    <row r="150" spans="1:6" s="74" customFormat="1" ht="17.100000000000001" customHeight="1">
      <c r="A150" s="386"/>
      <c r="B150" s="386"/>
      <c r="C150" s="192" t="str">
        <f>IFERROR(
INDEX('F &amp; B'!D$2:D$10815,
_xlfn.AGGREGATE(15,6,
(ROW('F &amp; B'!$B$2:$B$10815)-ROW('F &amp; B'!$B$2)+1)/
('F &amp; B'!$B$2:$B$10815=$A$48),
ROW()-47)
),
"")</f>
        <v/>
      </c>
      <c r="D150" s="180" t="str">
        <f>IFERROR(
INDEX('F &amp; B'!E$2:E$10815,
_xlfn.AGGREGATE(15,6,
(ROW('F &amp; B'!$B$2:$B$10815)-ROW('F &amp; B'!$B$2)+1)/
('F &amp; B'!$B$2:$B$10815=$A$48),
ROW()-47)
),
"")</f>
        <v/>
      </c>
      <c r="E150" s="7" t="str">
        <f>IFERROR(
INDEX('F &amp; B'!F$2:F$10815,
_xlfn.AGGREGATE(15,6,
(ROW('F &amp; B'!$B$2:$B$10815)-ROW('F &amp; B'!$B$2)+1)/
('F &amp; B'!$B$2:$B$10815=$A$48),
ROW()-47)
),
"")</f>
        <v/>
      </c>
      <c r="F150" s="186" t="str">
        <f>IFERROR(
INDEX('F &amp; B'!G$2:G$10815,
_xlfn.AGGREGATE(15,6,
(ROW('F &amp; B'!$B$2:$B$10815)-ROW('F &amp; B'!$B$2)+1)/
('F &amp; B'!$B$2:$B$10815=$A$48),
ROW()-47)
),
"")</f>
        <v/>
      </c>
    </row>
    <row r="151" spans="1:6" s="74" customFormat="1" ht="17.100000000000001" customHeight="1">
      <c r="A151" s="386"/>
      <c r="B151" s="386"/>
      <c r="C151" s="192" t="str">
        <f>IFERROR(
INDEX('F &amp; B'!D$2:D$10815,
_xlfn.AGGREGATE(15,6,
(ROW('F &amp; B'!$B$2:$B$10815)-ROW('F &amp; B'!$B$2)+1)/
('F &amp; B'!$B$2:$B$10815=$A$48),
ROW()-47)
),
"")</f>
        <v/>
      </c>
      <c r="D151" s="180" t="str">
        <f>IFERROR(
INDEX('F &amp; B'!E$2:E$10815,
_xlfn.AGGREGATE(15,6,
(ROW('F &amp; B'!$B$2:$B$10815)-ROW('F &amp; B'!$B$2)+1)/
('F &amp; B'!$B$2:$B$10815=$A$48),
ROW()-47)
),
"")</f>
        <v/>
      </c>
      <c r="E151" s="7" t="str">
        <f>IFERROR(
INDEX('F &amp; B'!F$2:F$10815,
_xlfn.AGGREGATE(15,6,
(ROW('F &amp; B'!$B$2:$B$10815)-ROW('F &amp; B'!$B$2)+1)/
('F &amp; B'!$B$2:$B$10815=$A$48),
ROW()-47)
),
"")</f>
        <v/>
      </c>
      <c r="F151" s="186" t="str">
        <f>IFERROR(
INDEX('F &amp; B'!G$2:G$10815,
_xlfn.AGGREGATE(15,6,
(ROW('F &amp; B'!$B$2:$B$10815)-ROW('F &amp; B'!$B$2)+1)/
('F &amp; B'!$B$2:$B$10815=$A$48),
ROW()-47)
),
"")</f>
        <v/>
      </c>
    </row>
    <row r="152" spans="1:6" s="74" customFormat="1" ht="17.100000000000001" customHeight="1">
      <c r="A152" s="386"/>
      <c r="B152" s="386"/>
      <c r="C152" s="192" t="str">
        <f>IFERROR(
INDEX('F &amp; B'!D$2:D$10815,
_xlfn.AGGREGATE(15,6,
(ROW('F &amp; B'!$B$2:$B$10815)-ROW('F &amp; B'!$B$2)+1)/
('F &amp; B'!$B$2:$B$10815=$A$48),
ROW()-47)
),
"")</f>
        <v/>
      </c>
      <c r="D152" s="180" t="str">
        <f>IFERROR(
INDEX('F &amp; B'!E$2:E$10815,
_xlfn.AGGREGATE(15,6,
(ROW('F &amp; B'!$B$2:$B$10815)-ROW('F &amp; B'!$B$2)+1)/
('F &amp; B'!$B$2:$B$10815=$A$48),
ROW()-47)
),
"")</f>
        <v/>
      </c>
      <c r="E152" s="7" t="str">
        <f>IFERROR(
INDEX('F &amp; B'!F$2:F$10815,
_xlfn.AGGREGATE(15,6,
(ROW('F &amp; B'!$B$2:$B$10815)-ROW('F &amp; B'!$B$2)+1)/
('F &amp; B'!$B$2:$B$10815=$A$48),
ROW()-47)
),
"")</f>
        <v/>
      </c>
      <c r="F152" s="186" t="str">
        <f>IFERROR(
INDEX('F &amp; B'!G$2:G$10815,
_xlfn.AGGREGATE(15,6,
(ROW('F &amp; B'!$B$2:$B$10815)-ROW('F &amp; B'!$B$2)+1)/
('F &amp; B'!$B$2:$B$10815=$A$48),
ROW()-47)
),
"")</f>
        <v/>
      </c>
    </row>
    <row r="153" spans="1:6" s="74" customFormat="1" ht="17.100000000000001" customHeight="1">
      <c r="A153" s="386"/>
      <c r="B153" s="386"/>
      <c r="C153" s="192" t="str">
        <f>IFERROR(
INDEX('F &amp; B'!D$2:D$10815,
_xlfn.AGGREGATE(15,6,
(ROW('F &amp; B'!$B$2:$B$10815)-ROW('F &amp; B'!$B$2)+1)/
('F &amp; B'!$B$2:$B$10815=$A$48),
ROW()-47)
),
"")</f>
        <v/>
      </c>
      <c r="D153" s="180" t="str">
        <f>IFERROR(
INDEX('F &amp; B'!E$2:E$10815,
_xlfn.AGGREGATE(15,6,
(ROW('F &amp; B'!$B$2:$B$10815)-ROW('F &amp; B'!$B$2)+1)/
('F &amp; B'!$B$2:$B$10815=$A$48),
ROW()-47)
),
"")</f>
        <v/>
      </c>
      <c r="E153" s="7" t="str">
        <f>IFERROR(
INDEX('F &amp; B'!F$2:F$10815,
_xlfn.AGGREGATE(15,6,
(ROW('F &amp; B'!$B$2:$B$10815)-ROW('F &amp; B'!$B$2)+1)/
('F &amp; B'!$B$2:$B$10815=$A$48),
ROW()-47)
),
"")</f>
        <v/>
      </c>
      <c r="F153" s="186" t="str">
        <f>IFERROR(
INDEX('F &amp; B'!G$2:G$10815,
_xlfn.AGGREGATE(15,6,
(ROW('F &amp; B'!$B$2:$B$10815)-ROW('F &amp; B'!$B$2)+1)/
('F &amp; B'!$B$2:$B$10815=$A$48),
ROW()-47)
),
"")</f>
        <v/>
      </c>
    </row>
    <row r="154" spans="1:6" s="74" customFormat="1" ht="17.100000000000001" customHeight="1">
      <c r="A154" s="386"/>
      <c r="B154" s="386"/>
      <c r="C154" s="192" t="str">
        <f>IFERROR(
INDEX('F &amp; B'!D$2:D$10815,
_xlfn.AGGREGATE(15,6,
(ROW('F &amp; B'!$B$2:$B$10815)-ROW('F &amp; B'!$B$2)+1)/
('F &amp; B'!$B$2:$B$10815=$A$48),
ROW()-47)
),
"")</f>
        <v/>
      </c>
      <c r="D154" s="180" t="str">
        <f>IFERROR(
INDEX('F &amp; B'!E$2:E$10815,
_xlfn.AGGREGATE(15,6,
(ROW('F &amp; B'!$B$2:$B$10815)-ROW('F &amp; B'!$B$2)+1)/
('F &amp; B'!$B$2:$B$10815=$A$48),
ROW()-47)
),
"")</f>
        <v/>
      </c>
      <c r="E154" s="7" t="str">
        <f>IFERROR(
INDEX('F &amp; B'!F$2:F$10815,
_xlfn.AGGREGATE(15,6,
(ROW('F &amp; B'!$B$2:$B$10815)-ROW('F &amp; B'!$B$2)+1)/
('F &amp; B'!$B$2:$B$10815=$A$48),
ROW()-47)
),
"")</f>
        <v/>
      </c>
      <c r="F154" s="186" t="str">
        <f>IFERROR(
INDEX('F &amp; B'!G$2:G$10815,
_xlfn.AGGREGATE(15,6,
(ROW('F &amp; B'!$B$2:$B$10815)-ROW('F &amp; B'!$B$2)+1)/
('F &amp; B'!$B$2:$B$10815=$A$48),
ROW()-47)
),
"")</f>
        <v/>
      </c>
    </row>
    <row r="155" spans="1:6" s="74" customFormat="1" ht="17.100000000000001" customHeight="1">
      <c r="A155" s="386"/>
      <c r="B155" s="386"/>
      <c r="C155" s="192" t="str">
        <f>IFERROR(
INDEX('F &amp; B'!D$2:D$10815,
_xlfn.AGGREGATE(15,6,
(ROW('F &amp; B'!$B$2:$B$10815)-ROW('F &amp; B'!$B$2)+1)/
('F &amp; B'!$B$2:$B$10815=$A$48),
ROW()-47)
),
"")</f>
        <v/>
      </c>
      <c r="D155" s="180" t="str">
        <f>IFERROR(
INDEX('F &amp; B'!E$2:E$10815,
_xlfn.AGGREGATE(15,6,
(ROW('F &amp; B'!$B$2:$B$10815)-ROW('F &amp; B'!$B$2)+1)/
('F &amp; B'!$B$2:$B$10815=$A$48),
ROW()-47)
),
"")</f>
        <v/>
      </c>
      <c r="E155" s="7" t="str">
        <f>IFERROR(
INDEX('F &amp; B'!F$2:F$10815,
_xlfn.AGGREGATE(15,6,
(ROW('F &amp; B'!$B$2:$B$10815)-ROW('F &amp; B'!$B$2)+1)/
('F &amp; B'!$B$2:$B$10815=$A$48),
ROW()-47)
),
"")</f>
        <v/>
      </c>
      <c r="F155" s="186" t="str">
        <f>IFERROR(
INDEX('F &amp; B'!G$2:G$10815,
_xlfn.AGGREGATE(15,6,
(ROW('F &amp; B'!$B$2:$B$10815)-ROW('F &amp; B'!$B$2)+1)/
('F &amp; B'!$B$2:$B$10815=$A$48),
ROW()-47)
),
"")</f>
        <v/>
      </c>
    </row>
    <row r="156" spans="1:6" s="74" customFormat="1" ht="17.100000000000001" customHeight="1">
      <c r="A156" s="386"/>
      <c r="B156" s="386"/>
      <c r="C156" s="192" t="str">
        <f>IFERROR(
INDEX('F &amp; B'!D$2:D$10815,
_xlfn.AGGREGATE(15,6,
(ROW('F &amp; B'!$B$2:$B$10815)-ROW('F &amp; B'!$B$2)+1)/
('F &amp; B'!$B$2:$B$10815=$A$48),
ROW()-47)
),
"")</f>
        <v/>
      </c>
      <c r="D156" s="180" t="str">
        <f>IFERROR(
INDEX('F &amp; B'!E$2:E$10815,
_xlfn.AGGREGATE(15,6,
(ROW('F &amp; B'!$B$2:$B$10815)-ROW('F &amp; B'!$B$2)+1)/
('F &amp; B'!$B$2:$B$10815=$A$48),
ROW()-47)
),
"")</f>
        <v/>
      </c>
      <c r="E156" s="7" t="str">
        <f>IFERROR(
INDEX('F &amp; B'!F$2:F$10815,
_xlfn.AGGREGATE(15,6,
(ROW('F &amp; B'!$B$2:$B$10815)-ROW('F &amp; B'!$B$2)+1)/
('F &amp; B'!$B$2:$B$10815=$A$48),
ROW()-47)
),
"")</f>
        <v/>
      </c>
      <c r="F156" s="186" t="str">
        <f>IFERROR(
INDEX('F &amp; B'!G$2:G$10815,
_xlfn.AGGREGATE(15,6,
(ROW('F &amp; B'!$B$2:$B$10815)-ROW('F &amp; B'!$B$2)+1)/
('F &amp; B'!$B$2:$B$10815=$A$48),
ROW()-47)
),
"")</f>
        <v/>
      </c>
    </row>
    <row r="157" spans="1:6">
      <c r="A157" s="386"/>
      <c r="B157" s="386"/>
      <c r="C157" s="192" t="str">
        <f>IFERROR(
INDEX('F &amp; B'!D$2:D$10815,
_xlfn.AGGREGATE(15,6,
(ROW('F &amp; B'!$B$2:$B$10815)-ROW('F &amp; B'!$B$2)+1)/
('F &amp; B'!$B$2:$B$10815=$A$48),
ROW()-47)
),
"")</f>
        <v/>
      </c>
      <c r="D157" s="180" t="str">
        <f>IFERROR(
INDEX('F &amp; B'!E$2:E$10815,
_xlfn.AGGREGATE(15,6,
(ROW('F &amp; B'!$B$2:$B$10815)-ROW('F &amp; B'!$B$2)+1)/
('F &amp; B'!$B$2:$B$10815=$A$48),
ROW()-47)
),
"")</f>
        <v/>
      </c>
      <c r="E157" s="7" t="str">
        <f>IFERROR(
INDEX('F &amp; B'!F$2:F$10815,
_xlfn.AGGREGATE(15,6,
(ROW('F &amp; B'!$B$2:$B$10815)-ROW('F &amp; B'!$B$2)+1)/
('F &amp; B'!$B$2:$B$10815=$A$48),
ROW()-47)
),
"")</f>
        <v/>
      </c>
      <c r="F157" s="186" t="str">
        <f>IFERROR(
INDEX('F &amp; B'!G$2:G$10815,
_xlfn.AGGREGATE(15,6,
(ROW('F &amp; B'!$B$2:$B$10815)-ROW('F &amp; B'!$B$2)+1)/
('F &amp; B'!$B$2:$B$10815=$A$48),
ROW()-47)
),
"")</f>
        <v/>
      </c>
    </row>
    <row r="158" spans="1:6">
      <c r="A158" s="386"/>
      <c r="B158" s="386"/>
      <c r="C158" s="192" t="str">
        <f>IFERROR(
INDEX('F &amp; B'!D$2:D$10815,
_xlfn.AGGREGATE(15,6,
(ROW('F &amp; B'!$B$2:$B$10815)-ROW('F &amp; B'!$B$2)+1)/
('F &amp; B'!$B$2:$B$10815=$A$48),
ROW()-47)
),
"")</f>
        <v/>
      </c>
      <c r="D158" s="180" t="str">
        <f>IFERROR(
INDEX('F &amp; B'!E$2:E$10815,
_xlfn.AGGREGATE(15,6,
(ROW('F &amp; B'!$B$2:$B$10815)-ROW('F &amp; B'!$B$2)+1)/
('F &amp; B'!$B$2:$B$10815=$A$48),
ROW()-47)
),
"")</f>
        <v/>
      </c>
      <c r="E158" s="7" t="str">
        <f>IFERROR(
INDEX('F &amp; B'!F$2:F$10815,
_xlfn.AGGREGATE(15,6,
(ROW('F &amp; B'!$B$2:$B$10815)-ROW('F &amp; B'!$B$2)+1)/
('F &amp; B'!$B$2:$B$10815=$A$48),
ROW()-47)
),
"")</f>
        <v/>
      </c>
      <c r="F158" s="186" t="str">
        <f>IFERROR(
INDEX('F &amp; B'!G$2:G$10815,
_xlfn.AGGREGATE(15,6,
(ROW('F &amp; B'!$B$2:$B$10815)-ROW('F &amp; B'!$B$2)+1)/
('F &amp; B'!$B$2:$B$10815=$A$48),
ROW()-47)
),
"")</f>
        <v/>
      </c>
    </row>
    <row r="159" spans="1:6">
      <c r="A159" s="386"/>
      <c r="B159" s="386"/>
      <c r="C159" s="192" t="str">
        <f>IFERROR(
INDEX('F &amp; B'!D$2:D$10815,
_xlfn.AGGREGATE(15,6,
(ROW('F &amp; B'!$B$2:$B$10815)-ROW('F &amp; B'!$B$2)+1)/
('F &amp; B'!$B$2:$B$10815=$A$48),
ROW()-47)
),
"")</f>
        <v/>
      </c>
      <c r="D159" s="180" t="str">
        <f>IFERROR(
INDEX('F &amp; B'!E$2:E$10815,
_xlfn.AGGREGATE(15,6,
(ROW('F &amp; B'!$B$2:$B$10815)-ROW('F &amp; B'!$B$2)+1)/
('F &amp; B'!$B$2:$B$10815=$A$48),
ROW()-47)
),
"")</f>
        <v/>
      </c>
      <c r="E159" s="7" t="str">
        <f>IFERROR(
INDEX('F &amp; B'!F$2:F$10815,
_xlfn.AGGREGATE(15,6,
(ROW('F &amp; B'!$B$2:$B$10815)-ROW('F &amp; B'!$B$2)+1)/
('F &amp; B'!$B$2:$B$10815=$A$48),
ROW()-47)
),
"")</f>
        <v/>
      </c>
      <c r="F159" s="186" t="str">
        <f>IFERROR(
INDEX('F &amp; B'!G$2:G$10815,
_xlfn.AGGREGATE(15,6,
(ROW('F &amp; B'!$B$2:$B$10815)-ROW('F &amp; B'!$B$2)+1)/
('F &amp; B'!$B$2:$B$10815=$A$48),
ROW()-47)
),
"")</f>
        <v/>
      </c>
    </row>
    <row r="160" spans="1:6">
      <c r="A160" s="386"/>
      <c r="B160" s="386"/>
      <c r="C160" s="192" t="str">
        <f>IFERROR(
INDEX('F &amp; B'!D$2:D$10815,
_xlfn.AGGREGATE(15,6,
(ROW('F &amp; B'!$B$2:$B$10815)-ROW('F &amp; B'!$B$2)+1)/
('F &amp; B'!$B$2:$B$10815=$A$48),
ROW()-47)
),
"")</f>
        <v/>
      </c>
      <c r="D160" s="180" t="str">
        <f>IFERROR(
INDEX('F &amp; B'!E$2:E$10815,
_xlfn.AGGREGATE(15,6,
(ROW('F &amp; B'!$B$2:$B$10815)-ROW('F &amp; B'!$B$2)+1)/
('F &amp; B'!$B$2:$B$10815=$A$48),
ROW()-47)
),
"")</f>
        <v/>
      </c>
      <c r="E160" s="7" t="str">
        <f>IFERROR(
INDEX('F &amp; B'!F$2:F$10815,
_xlfn.AGGREGATE(15,6,
(ROW('F &amp; B'!$B$2:$B$10815)-ROW('F &amp; B'!$B$2)+1)/
('F &amp; B'!$B$2:$B$10815=$A$48),
ROW()-47)
),
"")</f>
        <v/>
      </c>
      <c r="F160" s="186" t="str">
        <f>IFERROR(
INDEX('F &amp; B'!G$2:G$10815,
_xlfn.AGGREGATE(15,6,
(ROW('F &amp; B'!$B$2:$B$10815)-ROW('F &amp; B'!$B$2)+1)/
('F &amp; B'!$B$2:$B$10815=$A$48),
ROW()-47)
),
"")</f>
        <v/>
      </c>
    </row>
    <row r="161" spans="1:6">
      <c r="A161" s="386"/>
      <c r="B161" s="386"/>
      <c r="C161" s="192" t="str">
        <f>IFERROR(
INDEX('F &amp; B'!D$2:D$10815,
_xlfn.AGGREGATE(15,6,
(ROW('F &amp; B'!$B$2:$B$10815)-ROW('F &amp; B'!$B$2)+1)/
('F &amp; B'!$B$2:$B$10815=$A$48),
ROW()-47)
),
"")</f>
        <v/>
      </c>
      <c r="D161" s="180" t="str">
        <f>IFERROR(
INDEX('F &amp; B'!E$2:E$10815,
_xlfn.AGGREGATE(15,6,
(ROW('F &amp; B'!$B$2:$B$10815)-ROW('F &amp; B'!$B$2)+1)/
('F &amp; B'!$B$2:$B$10815=$A$48),
ROW()-47)
),
"")</f>
        <v/>
      </c>
      <c r="E161" s="7" t="str">
        <f>IFERROR(
INDEX('F &amp; B'!F$2:F$10815,
_xlfn.AGGREGATE(15,6,
(ROW('F &amp; B'!$B$2:$B$10815)-ROW('F &amp; B'!$B$2)+1)/
('F &amp; B'!$B$2:$B$10815=$A$48),
ROW()-47)
),
"")</f>
        <v/>
      </c>
      <c r="F161" s="186" t="str">
        <f>IFERROR(
INDEX('F &amp; B'!G$2:G$10815,
_xlfn.AGGREGATE(15,6,
(ROW('F &amp; B'!$B$2:$B$10815)-ROW('F &amp; B'!$B$2)+1)/
('F &amp; B'!$B$2:$B$10815=$A$48),
ROW()-47)
),
"")</f>
        <v/>
      </c>
    </row>
    <row r="162" spans="1:6">
      <c r="A162" s="386"/>
      <c r="B162" s="386"/>
      <c r="C162" s="192" t="str">
        <f>IFERROR(
INDEX('F &amp; B'!D$2:D$10815,
_xlfn.AGGREGATE(15,6,
(ROW('F &amp; B'!$B$2:$B$10815)-ROW('F &amp; B'!$B$2)+1)/
('F &amp; B'!$B$2:$B$10815=$A$48),
ROW()-47)
),
"")</f>
        <v/>
      </c>
      <c r="D162" s="180" t="str">
        <f>IFERROR(
INDEX('F &amp; B'!E$2:E$10815,
_xlfn.AGGREGATE(15,6,
(ROW('F &amp; B'!$B$2:$B$10815)-ROW('F &amp; B'!$B$2)+1)/
('F &amp; B'!$B$2:$B$10815=$A$48),
ROW()-47)
),
"")</f>
        <v/>
      </c>
      <c r="E162" s="7" t="str">
        <f>IFERROR(
INDEX('F &amp; B'!F$2:F$10815,
_xlfn.AGGREGATE(15,6,
(ROW('F &amp; B'!$B$2:$B$10815)-ROW('F &amp; B'!$B$2)+1)/
('F &amp; B'!$B$2:$B$10815=$A$48),
ROW()-47)
),
"")</f>
        <v/>
      </c>
      <c r="F162" s="186" t="str">
        <f>IFERROR(
INDEX('F &amp; B'!G$2:G$10815,
_xlfn.AGGREGATE(15,6,
(ROW('F &amp; B'!$B$2:$B$10815)-ROW('F &amp; B'!$B$2)+1)/
('F &amp; B'!$B$2:$B$10815=$A$48),
ROW()-47)
),
"")</f>
        <v/>
      </c>
    </row>
    <row r="163" spans="1:6">
      <c r="A163" s="386"/>
      <c r="B163" s="386"/>
      <c r="C163" s="192" t="str">
        <f>IFERROR(
INDEX('F &amp; B'!D$2:D$10815,
_xlfn.AGGREGATE(15,6,
(ROW('F &amp; B'!$B$2:$B$10815)-ROW('F &amp; B'!$B$2)+1)/
('F &amp; B'!$B$2:$B$10815=$A$48),
ROW()-47)
),
"")</f>
        <v/>
      </c>
      <c r="D163" s="180" t="str">
        <f>IFERROR(
INDEX('F &amp; B'!E$2:E$10815,
_xlfn.AGGREGATE(15,6,
(ROW('F &amp; B'!$B$2:$B$10815)-ROW('F &amp; B'!$B$2)+1)/
('F &amp; B'!$B$2:$B$10815=$A$48),
ROW()-47)
),
"")</f>
        <v/>
      </c>
      <c r="E163" s="7" t="str">
        <f>IFERROR(
INDEX('F &amp; B'!F$2:F$10815,
_xlfn.AGGREGATE(15,6,
(ROW('F &amp; B'!$B$2:$B$10815)-ROW('F &amp; B'!$B$2)+1)/
('F &amp; B'!$B$2:$B$10815=$A$48),
ROW()-47)
),
"")</f>
        <v/>
      </c>
      <c r="F163" s="186" t="str">
        <f>IFERROR(
INDEX('F &amp; B'!G$2:G$10815,
_xlfn.AGGREGATE(15,6,
(ROW('F &amp; B'!$B$2:$B$10815)-ROW('F &amp; B'!$B$2)+1)/
('F &amp; B'!$B$2:$B$10815=$A$48),
ROW()-47)
),
"")</f>
        <v/>
      </c>
    </row>
    <row r="164" spans="1:6">
      <c r="A164" s="386"/>
      <c r="B164" s="386"/>
      <c r="C164" s="192" t="str">
        <f>IFERROR(
INDEX('F &amp; B'!D$2:D$10815,
_xlfn.AGGREGATE(15,6,
(ROW('F &amp; B'!$B$2:$B$10815)-ROW('F &amp; B'!$B$2)+1)/
('F &amp; B'!$B$2:$B$10815=$A$48),
ROW()-47)
),
"")</f>
        <v/>
      </c>
      <c r="D164" s="180" t="str">
        <f>IFERROR(
INDEX('F &amp; B'!E$2:E$10815,
_xlfn.AGGREGATE(15,6,
(ROW('F &amp; B'!$B$2:$B$10815)-ROW('F &amp; B'!$B$2)+1)/
('F &amp; B'!$B$2:$B$10815=$A$48),
ROW()-47)
),
"")</f>
        <v/>
      </c>
      <c r="E164" s="7" t="str">
        <f>IFERROR(
INDEX('F &amp; B'!F$2:F$10815,
_xlfn.AGGREGATE(15,6,
(ROW('F &amp; B'!$B$2:$B$10815)-ROW('F &amp; B'!$B$2)+1)/
('F &amp; B'!$B$2:$B$10815=$A$48),
ROW()-47)
),
"")</f>
        <v/>
      </c>
      <c r="F164" s="186" t="str">
        <f>IFERROR(
INDEX('F &amp; B'!G$2:G$10815,
_xlfn.AGGREGATE(15,6,
(ROW('F &amp; B'!$B$2:$B$10815)-ROW('F &amp; B'!$B$2)+1)/
('F &amp; B'!$B$2:$B$10815=$A$48),
ROW()-47)
),
"")</f>
        <v/>
      </c>
    </row>
    <row r="165" spans="1:6">
      <c r="A165" s="386"/>
      <c r="B165" s="386"/>
      <c r="C165" s="192" t="str">
        <f>IFERROR(
INDEX('F &amp; B'!D$2:D$10815,
_xlfn.AGGREGATE(15,6,
(ROW('F &amp; B'!$B$2:$B$10815)-ROW('F &amp; B'!$B$2)+1)/
('F &amp; B'!$B$2:$B$10815=$A$48),
ROW()-47)
),
"")</f>
        <v/>
      </c>
      <c r="D165" s="180" t="str">
        <f>IFERROR(
INDEX('F &amp; B'!E$2:E$10815,
_xlfn.AGGREGATE(15,6,
(ROW('F &amp; B'!$B$2:$B$10815)-ROW('F &amp; B'!$B$2)+1)/
('F &amp; B'!$B$2:$B$10815=$A$48),
ROW()-47)
),
"")</f>
        <v/>
      </c>
      <c r="E165" s="7" t="str">
        <f>IFERROR(
INDEX('F &amp; B'!F$2:F$10815,
_xlfn.AGGREGATE(15,6,
(ROW('F &amp; B'!$B$2:$B$10815)-ROW('F &amp; B'!$B$2)+1)/
('F &amp; B'!$B$2:$B$10815=$A$48),
ROW()-47)
),
"")</f>
        <v/>
      </c>
      <c r="F165" s="186" t="str">
        <f>IFERROR(
INDEX('F &amp; B'!G$2:G$10815,
_xlfn.AGGREGATE(15,6,
(ROW('F &amp; B'!$B$2:$B$10815)-ROW('F &amp; B'!$B$2)+1)/
('F &amp; B'!$B$2:$B$10815=$A$48),
ROW()-47)
),
"")</f>
        <v/>
      </c>
    </row>
    <row r="166" spans="1:6">
      <c r="A166" s="386"/>
      <c r="B166" s="386"/>
      <c r="C166" s="192" t="str">
        <f>IFERROR(
INDEX('F &amp; B'!D$2:D$10815,
_xlfn.AGGREGATE(15,6,
(ROW('F &amp; B'!$B$2:$B$10815)-ROW('F &amp; B'!$B$2)+1)/
('F &amp; B'!$B$2:$B$10815=$A$48),
ROW()-47)
),
"")</f>
        <v/>
      </c>
      <c r="D166" s="180" t="str">
        <f>IFERROR(
INDEX('F &amp; B'!E$2:E$10815,
_xlfn.AGGREGATE(15,6,
(ROW('F &amp; B'!$B$2:$B$10815)-ROW('F &amp; B'!$B$2)+1)/
('F &amp; B'!$B$2:$B$10815=$A$48),
ROW()-47)
),
"")</f>
        <v/>
      </c>
      <c r="E166" s="7" t="str">
        <f>IFERROR(
INDEX('F &amp; B'!F$2:F$10815,
_xlfn.AGGREGATE(15,6,
(ROW('F &amp; B'!$B$2:$B$10815)-ROW('F &amp; B'!$B$2)+1)/
('F &amp; B'!$B$2:$B$10815=$A$48),
ROW()-47)
),
"")</f>
        <v/>
      </c>
      <c r="F166" s="186" t="str">
        <f>IFERROR(
INDEX('F &amp; B'!G$2:G$10815,
_xlfn.AGGREGATE(15,6,
(ROW('F &amp; B'!$B$2:$B$10815)-ROW('F &amp; B'!$B$2)+1)/
('F &amp; B'!$B$2:$B$10815=$A$48),
ROW()-47)
),
"")</f>
        <v/>
      </c>
    </row>
    <row r="167" spans="1:6">
      <c r="A167" s="386"/>
      <c r="B167" s="386"/>
      <c r="C167" s="192" t="str">
        <f>IFERROR(
INDEX('F &amp; B'!D$2:D$10815,
_xlfn.AGGREGATE(15,6,
(ROW('F &amp; B'!$B$2:$B$10815)-ROW('F &amp; B'!$B$2)+1)/
('F &amp; B'!$B$2:$B$10815=$A$48),
ROW()-47)
),
"")</f>
        <v/>
      </c>
      <c r="D167" s="180" t="str">
        <f>IFERROR(
INDEX('F &amp; B'!E$2:E$10815,
_xlfn.AGGREGATE(15,6,
(ROW('F &amp; B'!$B$2:$B$10815)-ROW('F &amp; B'!$B$2)+1)/
('F &amp; B'!$B$2:$B$10815=$A$48),
ROW()-47)
),
"")</f>
        <v/>
      </c>
      <c r="E167" s="7" t="str">
        <f>IFERROR(
INDEX('F &amp; B'!F$2:F$10815,
_xlfn.AGGREGATE(15,6,
(ROW('F &amp; B'!$B$2:$B$10815)-ROW('F &amp; B'!$B$2)+1)/
('F &amp; B'!$B$2:$B$10815=$A$48),
ROW()-47)
),
"")</f>
        <v/>
      </c>
      <c r="F167" s="186" t="str">
        <f>IFERROR(
INDEX('F &amp; B'!G$2:G$10815,
_xlfn.AGGREGATE(15,6,
(ROW('F &amp; B'!$B$2:$B$10815)-ROW('F &amp; B'!$B$2)+1)/
('F &amp; B'!$B$2:$B$10815=$A$48),
ROW()-47)
),
"")</f>
        <v/>
      </c>
    </row>
    <row r="168" spans="1:6">
      <c r="A168" s="386"/>
      <c r="B168" s="386"/>
      <c r="C168" s="192" t="str">
        <f>IFERROR(
INDEX('F &amp; B'!D$2:D$10815,
_xlfn.AGGREGATE(15,6,
(ROW('F &amp; B'!$B$2:$B$10815)-ROW('F &amp; B'!$B$2)+1)/
('F &amp; B'!$B$2:$B$10815=$A$48),
ROW()-47)
),
"")</f>
        <v/>
      </c>
      <c r="D168" s="180" t="str">
        <f>IFERROR(
INDEX('F &amp; B'!E$2:E$10815,
_xlfn.AGGREGATE(15,6,
(ROW('F &amp; B'!$B$2:$B$10815)-ROW('F &amp; B'!$B$2)+1)/
('F &amp; B'!$B$2:$B$10815=$A$48),
ROW()-47)
),
"")</f>
        <v/>
      </c>
      <c r="E168" s="7" t="str">
        <f>IFERROR(
INDEX('F &amp; B'!F$2:F$10815,
_xlfn.AGGREGATE(15,6,
(ROW('F &amp; B'!$B$2:$B$10815)-ROW('F &amp; B'!$B$2)+1)/
('F &amp; B'!$B$2:$B$10815=$A$48),
ROW()-47)
),
"")</f>
        <v/>
      </c>
      <c r="F168" s="186" t="str">
        <f>IFERROR(
INDEX('F &amp; B'!G$2:G$10815,
_xlfn.AGGREGATE(15,6,
(ROW('F &amp; B'!$B$2:$B$10815)-ROW('F &amp; B'!$B$2)+1)/
('F &amp; B'!$B$2:$B$10815=$A$48),
ROW()-47)
),
"")</f>
        <v/>
      </c>
    </row>
    <row r="169" spans="1:6">
      <c r="A169" s="386"/>
      <c r="B169" s="386"/>
      <c r="C169" s="192" t="str">
        <f>IFERROR(
INDEX('F &amp; B'!D$2:D$10815,
_xlfn.AGGREGATE(15,6,
(ROW('F &amp; B'!$B$2:$B$10815)-ROW('F &amp; B'!$B$2)+1)/
('F &amp; B'!$B$2:$B$10815=$A$48),
ROW()-47)
),
"")</f>
        <v/>
      </c>
      <c r="D169" s="180" t="str">
        <f>IFERROR(
INDEX('F &amp; B'!E$2:E$10815,
_xlfn.AGGREGATE(15,6,
(ROW('F &amp; B'!$B$2:$B$10815)-ROW('F &amp; B'!$B$2)+1)/
('F &amp; B'!$B$2:$B$10815=$A$48),
ROW()-47)
),
"")</f>
        <v/>
      </c>
      <c r="E169" s="7" t="str">
        <f>IFERROR(
INDEX('F &amp; B'!F$2:F$10815,
_xlfn.AGGREGATE(15,6,
(ROW('F &amp; B'!$B$2:$B$10815)-ROW('F &amp; B'!$B$2)+1)/
('F &amp; B'!$B$2:$B$10815=$A$48),
ROW()-47)
),
"")</f>
        <v/>
      </c>
      <c r="F169" s="186" t="str">
        <f>IFERROR(
INDEX('F &amp; B'!G$2:G$10815,
_xlfn.AGGREGATE(15,6,
(ROW('F &amp; B'!$B$2:$B$10815)-ROW('F &amp; B'!$B$2)+1)/
('F &amp; B'!$B$2:$B$10815=$A$48),
ROW()-47)
),
"")</f>
        <v/>
      </c>
    </row>
    <row r="170" spans="1:6">
      <c r="A170" s="386"/>
      <c r="B170" s="386"/>
      <c r="C170" s="192" t="str">
        <f>IFERROR(
INDEX('F &amp; B'!D$2:D$10815,
_xlfn.AGGREGATE(15,6,
(ROW('F &amp; B'!$B$2:$B$10815)-ROW('F &amp; B'!$B$2)+1)/
('F &amp; B'!$B$2:$B$10815=$A$48),
ROW()-47)
),
"")</f>
        <v/>
      </c>
      <c r="D170" s="180" t="str">
        <f>IFERROR(
INDEX('F &amp; B'!E$2:E$10815,
_xlfn.AGGREGATE(15,6,
(ROW('F &amp; B'!$B$2:$B$10815)-ROW('F &amp; B'!$B$2)+1)/
('F &amp; B'!$B$2:$B$10815=$A$48),
ROW()-47)
),
"")</f>
        <v/>
      </c>
      <c r="E170" s="7" t="str">
        <f>IFERROR(
INDEX('F &amp; B'!F$2:F$10815,
_xlfn.AGGREGATE(15,6,
(ROW('F &amp; B'!$B$2:$B$10815)-ROW('F &amp; B'!$B$2)+1)/
('F &amp; B'!$B$2:$B$10815=$A$48),
ROW()-47)
),
"")</f>
        <v/>
      </c>
      <c r="F170" s="186" t="str">
        <f>IFERROR(
INDEX('F &amp; B'!G$2:G$10815,
_xlfn.AGGREGATE(15,6,
(ROW('F &amp; B'!$B$2:$B$10815)-ROW('F &amp; B'!$B$2)+1)/
('F &amp; B'!$B$2:$B$10815=$A$48),
ROW()-47)
),
"")</f>
        <v/>
      </c>
    </row>
    <row r="171" spans="1:6">
      <c r="A171" s="386"/>
      <c r="B171" s="386"/>
      <c r="C171" s="192" t="str">
        <f>IFERROR(
INDEX('F &amp; B'!D$2:D$10815,
_xlfn.AGGREGATE(15,6,
(ROW('F &amp; B'!$B$2:$B$10815)-ROW('F &amp; B'!$B$2)+1)/
('F &amp; B'!$B$2:$B$10815=$A$48),
ROW()-47)
),
"")</f>
        <v/>
      </c>
      <c r="D171" s="180" t="str">
        <f>IFERROR(
INDEX('F &amp; B'!E$2:E$10815,
_xlfn.AGGREGATE(15,6,
(ROW('F &amp; B'!$B$2:$B$10815)-ROW('F &amp; B'!$B$2)+1)/
('F &amp; B'!$B$2:$B$10815=$A$48),
ROW()-47)
),
"")</f>
        <v/>
      </c>
      <c r="E171" s="7" t="str">
        <f>IFERROR(
INDEX('F &amp; B'!F$2:F$10815,
_xlfn.AGGREGATE(15,6,
(ROW('F &amp; B'!$B$2:$B$10815)-ROW('F &amp; B'!$B$2)+1)/
('F &amp; B'!$B$2:$B$10815=$A$48),
ROW()-47)
),
"")</f>
        <v/>
      </c>
      <c r="F171" s="186" t="str">
        <f>IFERROR(
INDEX('F &amp; B'!G$2:G$10815,
_xlfn.AGGREGATE(15,6,
(ROW('F &amp; B'!$B$2:$B$10815)-ROW('F &amp; B'!$B$2)+1)/
('F &amp; B'!$B$2:$B$10815=$A$48),
ROW()-47)
),
"")</f>
        <v/>
      </c>
    </row>
    <row r="172" spans="1:6">
      <c r="A172" s="386"/>
      <c r="B172" s="386"/>
      <c r="C172" s="192" t="str">
        <f>IFERROR(
INDEX('F &amp; B'!D$2:D$10815,
_xlfn.AGGREGATE(15,6,
(ROW('F &amp; B'!$B$2:$B$10815)-ROW('F &amp; B'!$B$2)+1)/
('F &amp; B'!$B$2:$B$10815=$A$48),
ROW()-47)
),
"")</f>
        <v/>
      </c>
      <c r="D172" s="180" t="str">
        <f>IFERROR(
INDEX('F &amp; B'!E$2:E$10815,
_xlfn.AGGREGATE(15,6,
(ROW('F &amp; B'!$B$2:$B$10815)-ROW('F &amp; B'!$B$2)+1)/
('F &amp; B'!$B$2:$B$10815=$A$48),
ROW()-47)
),
"")</f>
        <v/>
      </c>
      <c r="E172" s="7" t="str">
        <f>IFERROR(
INDEX('F &amp; B'!F$2:F$10815,
_xlfn.AGGREGATE(15,6,
(ROW('F &amp; B'!$B$2:$B$10815)-ROW('F &amp; B'!$B$2)+1)/
('F &amp; B'!$B$2:$B$10815=$A$48),
ROW()-47)
),
"")</f>
        <v/>
      </c>
      <c r="F172" s="186" t="str">
        <f>IFERROR(
INDEX('F &amp; B'!G$2:G$10815,
_xlfn.AGGREGATE(15,6,
(ROW('F &amp; B'!$B$2:$B$10815)-ROW('F &amp; B'!$B$2)+1)/
('F &amp; B'!$B$2:$B$10815=$A$48),
ROW()-47)
),
"")</f>
        <v/>
      </c>
    </row>
    <row r="173" spans="1:6">
      <c r="A173" s="386"/>
      <c r="B173" s="386"/>
      <c r="C173" s="192" t="str">
        <f>IFERROR(
INDEX('F &amp; B'!D$2:D$10815,
_xlfn.AGGREGATE(15,6,
(ROW('F &amp; B'!$B$2:$B$10815)-ROW('F &amp; B'!$B$2)+1)/
('F &amp; B'!$B$2:$B$10815=$A$48),
ROW()-47)
),
"")</f>
        <v/>
      </c>
      <c r="D173" s="180" t="str">
        <f>IFERROR(
INDEX('F &amp; B'!E$2:E$10815,
_xlfn.AGGREGATE(15,6,
(ROW('F &amp; B'!$B$2:$B$10815)-ROW('F &amp; B'!$B$2)+1)/
('F &amp; B'!$B$2:$B$10815=$A$48),
ROW()-47)
),
"")</f>
        <v/>
      </c>
      <c r="E173" s="7" t="str">
        <f>IFERROR(
INDEX('F &amp; B'!F$2:F$10815,
_xlfn.AGGREGATE(15,6,
(ROW('F &amp; B'!$B$2:$B$10815)-ROW('F &amp; B'!$B$2)+1)/
('F &amp; B'!$B$2:$B$10815=$A$48),
ROW()-47)
),
"")</f>
        <v/>
      </c>
      <c r="F173" s="186" t="str">
        <f>IFERROR(
INDEX('F &amp; B'!G$2:G$10815,
_xlfn.AGGREGATE(15,6,
(ROW('F &amp; B'!$B$2:$B$10815)-ROW('F &amp; B'!$B$2)+1)/
('F &amp; B'!$B$2:$B$10815=$A$48),
ROW()-47)
),
"")</f>
        <v/>
      </c>
    </row>
    <row r="174" spans="1:6">
      <c r="A174" s="386"/>
      <c r="B174" s="386"/>
      <c r="C174" s="192" t="str">
        <f>IFERROR(
INDEX('F &amp; B'!D$2:D$10815,
_xlfn.AGGREGATE(15,6,
(ROW('F &amp; B'!$B$2:$B$10815)-ROW('F &amp; B'!$B$2)+1)/
('F &amp; B'!$B$2:$B$10815=$A$48),
ROW()-47)
),
"")</f>
        <v/>
      </c>
      <c r="D174" s="180" t="str">
        <f>IFERROR(
INDEX('F &amp; B'!E$2:E$10815,
_xlfn.AGGREGATE(15,6,
(ROW('F &amp; B'!$B$2:$B$10815)-ROW('F &amp; B'!$B$2)+1)/
('F &amp; B'!$B$2:$B$10815=$A$48),
ROW()-47)
),
"")</f>
        <v/>
      </c>
      <c r="E174" s="7" t="str">
        <f>IFERROR(
INDEX('F &amp; B'!F$2:F$10815,
_xlfn.AGGREGATE(15,6,
(ROW('F &amp; B'!$B$2:$B$10815)-ROW('F &amp; B'!$B$2)+1)/
('F &amp; B'!$B$2:$B$10815=$A$48),
ROW()-47)
),
"")</f>
        <v/>
      </c>
      <c r="F174" s="186" t="str">
        <f>IFERROR(
INDEX('F &amp; B'!G$2:G$10815,
_xlfn.AGGREGATE(15,6,
(ROW('F &amp; B'!$B$2:$B$10815)-ROW('F &amp; B'!$B$2)+1)/
('F &amp; B'!$B$2:$B$10815=$A$48),
ROW()-47)
),
"")</f>
        <v/>
      </c>
    </row>
    <row r="175" spans="1:6">
      <c r="A175" s="386"/>
      <c r="B175" s="386"/>
      <c r="C175" s="192" t="str">
        <f>IFERROR(
INDEX('F &amp; B'!D$2:D$10815,
_xlfn.AGGREGATE(15,6,
(ROW('F &amp; B'!$B$2:$B$10815)-ROW('F &amp; B'!$B$2)+1)/
('F &amp; B'!$B$2:$B$10815=$A$48),
ROW()-47)
),
"")</f>
        <v/>
      </c>
      <c r="D175" s="180" t="str">
        <f>IFERROR(
INDEX('F &amp; B'!E$2:E$10815,
_xlfn.AGGREGATE(15,6,
(ROW('F &amp; B'!$B$2:$B$10815)-ROW('F &amp; B'!$B$2)+1)/
('F &amp; B'!$B$2:$B$10815=$A$48),
ROW()-47)
),
"")</f>
        <v/>
      </c>
      <c r="E175" s="7" t="str">
        <f>IFERROR(
INDEX('F &amp; B'!F$2:F$10815,
_xlfn.AGGREGATE(15,6,
(ROW('F &amp; B'!$B$2:$B$10815)-ROW('F &amp; B'!$B$2)+1)/
('F &amp; B'!$B$2:$B$10815=$A$48),
ROW()-47)
),
"")</f>
        <v/>
      </c>
      <c r="F175" s="186" t="str">
        <f>IFERROR(
INDEX('F &amp; B'!G$2:G$10815,
_xlfn.AGGREGATE(15,6,
(ROW('F &amp; B'!$B$2:$B$10815)-ROW('F &amp; B'!$B$2)+1)/
('F &amp; B'!$B$2:$B$10815=$A$48),
ROW()-47)
),
"")</f>
        <v/>
      </c>
    </row>
    <row r="176" spans="1:6">
      <c r="A176" s="386"/>
      <c r="B176" s="386"/>
      <c r="C176" s="192" t="str">
        <f>IFERROR(
INDEX('F &amp; B'!D$2:D$10815,
_xlfn.AGGREGATE(15,6,
(ROW('F &amp; B'!$B$2:$B$10815)-ROW('F &amp; B'!$B$2)+1)/
('F &amp; B'!$B$2:$B$10815=$A$48),
ROW()-47)
),
"")</f>
        <v/>
      </c>
      <c r="D176" s="180" t="str">
        <f>IFERROR(
INDEX('F &amp; B'!E$2:E$10815,
_xlfn.AGGREGATE(15,6,
(ROW('F &amp; B'!$B$2:$B$10815)-ROW('F &amp; B'!$B$2)+1)/
('F &amp; B'!$B$2:$B$10815=$A$48),
ROW()-47)
),
"")</f>
        <v/>
      </c>
      <c r="E176" s="7" t="str">
        <f>IFERROR(
INDEX('F &amp; B'!F$2:F$10815,
_xlfn.AGGREGATE(15,6,
(ROW('F &amp; B'!$B$2:$B$10815)-ROW('F &amp; B'!$B$2)+1)/
('F &amp; B'!$B$2:$B$10815=$A$48),
ROW()-47)
),
"")</f>
        <v/>
      </c>
      <c r="F176" s="186" t="str">
        <f>IFERROR(
INDEX('F &amp; B'!G$2:G$10815,
_xlfn.AGGREGATE(15,6,
(ROW('F &amp; B'!$B$2:$B$10815)-ROW('F &amp; B'!$B$2)+1)/
('F &amp; B'!$B$2:$B$10815=$A$48),
ROW()-47)
),
"")</f>
        <v/>
      </c>
    </row>
    <row r="177" spans="1:6">
      <c r="A177" s="386"/>
      <c r="B177" s="386"/>
      <c r="C177" s="192" t="str">
        <f>IFERROR(
INDEX('F &amp; B'!D$2:D$10815,
_xlfn.AGGREGATE(15,6,
(ROW('F &amp; B'!$B$2:$B$10815)-ROW('F &amp; B'!$B$2)+1)/
('F &amp; B'!$B$2:$B$10815=$A$48),
ROW()-47)
),
"")</f>
        <v/>
      </c>
      <c r="D177" s="180" t="str">
        <f>IFERROR(
INDEX('F &amp; B'!E$2:E$10815,
_xlfn.AGGREGATE(15,6,
(ROW('F &amp; B'!$B$2:$B$10815)-ROW('F &amp; B'!$B$2)+1)/
('F &amp; B'!$B$2:$B$10815=$A$48),
ROW()-47)
),
"")</f>
        <v/>
      </c>
      <c r="E177" s="7" t="str">
        <f>IFERROR(
INDEX('F &amp; B'!F$2:F$10815,
_xlfn.AGGREGATE(15,6,
(ROW('F &amp; B'!$B$2:$B$10815)-ROW('F &amp; B'!$B$2)+1)/
('F &amp; B'!$B$2:$B$10815=$A$48),
ROW()-47)
),
"")</f>
        <v/>
      </c>
      <c r="F177" s="186" t="str">
        <f>IFERROR(
INDEX('F &amp; B'!G$2:G$10815,
_xlfn.AGGREGATE(15,6,
(ROW('F &amp; B'!$B$2:$B$10815)-ROW('F &amp; B'!$B$2)+1)/
('F &amp; B'!$B$2:$B$10815=$A$48),
ROW()-47)
),
"")</f>
        <v/>
      </c>
    </row>
    <row r="178" spans="1:6">
      <c r="A178" s="386"/>
      <c r="B178" s="386"/>
      <c r="C178" s="192" t="str">
        <f>IFERROR(
INDEX('F &amp; B'!D$2:D$10815,
_xlfn.AGGREGATE(15,6,
(ROW('F &amp; B'!$B$2:$B$10815)-ROW('F &amp; B'!$B$2)+1)/
('F &amp; B'!$B$2:$B$10815=$A$48),
ROW()-47)
),
"")</f>
        <v/>
      </c>
      <c r="D178" s="180" t="str">
        <f>IFERROR(
INDEX('F &amp; B'!E$2:E$10815,
_xlfn.AGGREGATE(15,6,
(ROW('F &amp; B'!$B$2:$B$10815)-ROW('F &amp; B'!$B$2)+1)/
('F &amp; B'!$B$2:$B$10815=$A$48),
ROW()-47)
),
"")</f>
        <v/>
      </c>
      <c r="E178" s="7" t="str">
        <f>IFERROR(
INDEX('F &amp; B'!F$2:F$10815,
_xlfn.AGGREGATE(15,6,
(ROW('F &amp; B'!$B$2:$B$10815)-ROW('F &amp; B'!$B$2)+1)/
('F &amp; B'!$B$2:$B$10815=$A$48),
ROW()-47)
),
"")</f>
        <v/>
      </c>
      <c r="F178" s="186" t="str">
        <f>IFERROR(
INDEX('F &amp; B'!G$2:G$10815,
_xlfn.AGGREGATE(15,6,
(ROW('F &amp; B'!$B$2:$B$10815)-ROW('F &amp; B'!$B$2)+1)/
('F &amp; B'!$B$2:$B$10815=$A$48),
ROW()-47)
),
"")</f>
        <v/>
      </c>
    </row>
    <row r="179" spans="1:6">
      <c r="A179" s="386"/>
      <c r="B179" s="386"/>
      <c r="C179" s="192" t="str">
        <f>IFERROR(
INDEX('F &amp; B'!D$2:D$10815,
_xlfn.AGGREGATE(15,6,
(ROW('F &amp; B'!$B$2:$B$10815)-ROW('F &amp; B'!$B$2)+1)/
('F &amp; B'!$B$2:$B$10815=$A$48),
ROW()-47)
),
"")</f>
        <v/>
      </c>
      <c r="D179" s="180" t="str">
        <f>IFERROR(
INDEX('F &amp; B'!E$2:E$10815,
_xlfn.AGGREGATE(15,6,
(ROW('F &amp; B'!$B$2:$B$10815)-ROW('F &amp; B'!$B$2)+1)/
('F &amp; B'!$B$2:$B$10815=$A$48),
ROW()-47)
),
"")</f>
        <v/>
      </c>
      <c r="E179" s="7" t="str">
        <f>IFERROR(
INDEX('F &amp; B'!F$2:F$10815,
_xlfn.AGGREGATE(15,6,
(ROW('F &amp; B'!$B$2:$B$10815)-ROW('F &amp; B'!$B$2)+1)/
('F &amp; B'!$B$2:$B$10815=$A$48),
ROW()-47)
),
"")</f>
        <v/>
      </c>
      <c r="F179" s="186" t="str">
        <f>IFERROR(
INDEX('F &amp; B'!G$2:G$10815,
_xlfn.AGGREGATE(15,6,
(ROW('F &amp; B'!$B$2:$B$10815)-ROW('F &amp; B'!$B$2)+1)/
('F &amp; B'!$B$2:$B$10815=$A$48),
ROW()-47)
),
"")</f>
        <v/>
      </c>
    </row>
    <row r="180" spans="1:6">
      <c r="A180" s="386"/>
      <c r="B180" s="386"/>
      <c r="C180" s="192" t="str">
        <f>IFERROR(
INDEX('F &amp; B'!D$2:D$10815,
_xlfn.AGGREGATE(15,6,
(ROW('F &amp; B'!$B$2:$B$10815)-ROW('F &amp; B'!$B$2)+1)/
('F &amp; B'!$B$2:$B$10815=$A$48),
ROW()-47)
),
"")</f>
        <v/>
      </c>
      <c r="D180" s="180" t="str">
        <f>IFERROR(
INDEX('F &amp; B'!E$2:E$10815,
_xlfn.AGGREGATE(15,6,
(ROW('F &amp; B'!$B$2:$B$10815)-ROW('F &amp; B'!$B$2)+1)/
('F &amp; B'!$B$2:$B$10815=$A$48),
ROW()-47)
),
"")</f>
        <v/>
      </c>
      <c r="E180" s="7" t="str">
        <f>IFERROR(
INDEX('F &amp; B'!F$2:F$10815,
_xlfn.AGGREGATE(15,6,
(ROW('F &amp; B'!$B$2:$B$10815)-ROW('F &amp; B'!$B$2)+1)/
('F &amp; B'!$B$2:$B$10815=$A$48),
ROW()-47)
),
"")</f>
        <v/>
      </c>
      <c r="F180" s="186" t="str">
        <f>IFERROR(
INDEX('F &amp; B'!G$2:G$10815,
_xlfn.AGGREGATE(15,6,
(ROW('F &amp; B'!$B$2:$B$10815)-ROW('F &amp; B'!$B$2)+1)/
('F &amp; B'!$B$2:$B$10815=$A$48),
ROW()-47)
),
"")</f>
        <v/>
      </c>
    </row>
    <row r="181" spans="1:6">
      <c r="A181" s="386"/>
      <c r="B181" s="386"/>
      <c r="C181" s="192" t="str">
        <f>IFERROR(
INDEX('F &amp; B'!D$2:D$10815,
_xlfn.AGGREGATE(15,6,
(ROW('F &amp; B'!$B$2:$B$10815)-ROW('F &amp; B'!$B$2)+1)/
('F &amp; B'!$B$2:$B$10815=$A$48),
ROW()-47)
),
"")</f>
        <v/>
      </c>
      <c r="D181" s="180" t="str">
        <f>IFERROR(
INDEX('F &amp; B'!E$2:E$10815,
_xlfn.AGGREGATE(15,6,
(ROW('F &amp; B'!$B$2:$B$10815)-ROW('F &amp; B'!$B$2)+1)/
('F &amp; B'!$B$2:$B$10815=$A$48),
ROW()-47)
),
"")</f>
        <v/>
      </c>
      <c r="E181" s="7" t="str">
        <f>IFERROR(
INDEX('F &amp; B'!F$2:F$10815,
_xlfn.AGGREGATE(15,6,
(ROW('F &amp; B'!$B$2:$B$10815)-ROW('F &amp; B'!$B$2)+1)/
('F &amp; B'!$B$2:$B$10815=$A$48),
ROW()-47)
),
"")</f>
        <v/>
      </c>
      <c r="F181" s="186" t="str">
        <f>IFERROR(
INDEX('F &amp; B'!G$2:G$10815,
_xlfn.AGGREGATE(15,6,
(ROW('F &amp; B'!$B$2:$B$10815)-ROW('F &amp; B'!$B$2)+1)/
('F &amp; B'!$B$2:$B$10815=$A$48),
ROW()-47)
),
"")</f>
        <v/>
      </c>
    </row>
    <row r="182" spans="1:6">
      <c r="A182" s="386"/>
      <c r="B182" s="386"/>
      <c r="C182" s="192" t="str">
        <f>IFERROR(
INDEX('F &amp; B'!D$2:D$10815,
_xlfn.AGGREGATE(15,6,
(ROW('F &amp; B'!$B$2:$B$10815)-ROW('F &amp; B'!$B$2)+1)/
('F &amp; B'!$B$2:$B$10815=$A$48),
ROW()-47)
),
"")</f>
        <v/>
      </c>
      <c r="D182" s="180" t="str">
        <f>IFERROR(
INDEX('F &amp; B'!E$2:E$10815,
_xlfn.AGGREGATE(15,6,
(ROW('F &amp; B'!$B$2:$B$10815)-ROW('F &amp; B'!$B$2)+1)/
('F &amp; B'!$B$2:$B$10815=$A$48),
ROW()-47)
),
"")</f>
        <v/>
      </c>
      <c r="E182" s="7" t="str">
        <f>IFERROR(
INDEX('F &amp; B'!F$2:F$10815,
_xlfn.AGGREGATE(15,6,
(ROW('F &amp; B'!$B$2:$B$10815)-ROW('F &amp; B'!$B$2)+1)/
('F &amp; B'!$B$2:$B$10815=$A$48),
ROW()-47)
),
"")</f>
        <v/>
      </c>
      <c r="F182" s="186" t="str">
        <f>IFERROR(
INDEX('F &amp; B'!G$2:G$10815,
_xlfn.AGGREGATE(15,6,
(ROW('F &amp; B'!$B$2:$B$10815)-ROW('F &amp; B'!$B$2)+1)/
('F &amp; B'!$B$2:$B$10815=$A$48),
ROW()-47)
),
"")</f>
        <v/>
      </c>
    </row>
    <row r="183" spans="1:6">
      <c r="A183" s="386"/>
      <c r="B183" s="386"/>
      <c r="C183" s="192" t="str">
        <f>IFERROR(
INDEX('F &amp; B'!D$2:D$10815,
_xlfn.AGGREGATE(15,6,
(ROW('F &amp; B'!$B$2:$B$10815)-ROW('F &amp; B'!$B$2)+1)/
('F &amp; B'!$B$2:$B$10815=$A$48),
ROW()-47)
),
"")</f>
        <v/>
      </c>
      <c r="D183" s="180" t="str">
        <f>IFERROR(
INDEX('F &amp; B'!E$2:E$10815,
_xlfn.AGGREGATE(15,6,
(ROW('F &amp; B'!$B$2:$B$10815)-ROW('F &amp; B'!$B$2)+1)/
('F &amp; B'!$B$2:$B$10815=$A$48),
ROW()-47)
),
"")</f>
        <v/>
      </c>
      <c r="E183" s="7" t="str">
        <f>IFERROR(
INDEX('F &amp; B'!F$2:F$10815,
_xlfn.AGGREGATE(15,6,
(ROW('F &amp; B'!$B$2:$B$10815)-ROW('F &amp; B'!$B$2)+1)/
('F &amp; B'!$B$2:$B$10815=$A$48),
ROW()-47)
),
"")</f>
        <v/>
      </c>
      <c r="F183" s="186" t="str">
        <f>IFERROR(
INDEX('F &amp; B'!G$2:G$10815,
_xlfn.AGGREGATE(15,6,
(ROW('F &amp; B'!$B$2:$B$10815)-ROW('F &amp; B'!$B$2)+1)/
('F &amp; B'!$B$2:$B$10815=$A$48),
ROW()-47)
),
"")</f>
        <v/>
      </c>
    </row>
    <row r="184" spans="1:6">
      <c r="A184" s="386"/>
      <c r="B184" s="386"/>
      <c r="C184" s="192" t="str">
        <f>IFERROR(
INDEX('F &amp; B'!D$2:D$10815,
_xlfn.AGGREGATE(15,6,
(ROW('F &amp; B'!$B$2:$B$10815)-ROW('F &amp; B'!$B$2)+1)/
('F &amp; B'!$B$2:$B$10815=$A$48),
ROW()-47)
),
"")</f>
        <v/>
      </c>
      <c r="D184" s="180" t="str">
        <f>IFERROR(
INDEX('F &amp; B'!E$2:E$10815,
_xlfn.AGGREGATE(15,6,
(ROW('F &amp; B'!$B$2:$B$10815)-ROW('F &amp; B'!$B$2)+1)/
('F &amp; B'!$B$2:$B$10815=$A$48),
ROW()-47)
),
"")</f>
        <v/>
      </c>
      <c r="E184" s="7" t="str">
        <f>IFERROR(
INDEX('F &amp; B'!F$2:F$10815,
_xlfn.AGGREGATE(15,6,
(ROW('F &amp; B'!$B$2:$B$10815)-ROW('F &amp; B'!$B$2)+1)/
('F &amp; B'!$B$2:$B$10815=$A$48),
ROW()-47)
),
"")</f>
        <v/>
      </c>
      <c r="F184" s="186" t="str">
        <f>IFERROR(
INDEX('F &amp; B'!G$2:G$10815,
_xlfn.AGGREGATE(15,6,
(ROW('F &amp; B'!$B$2:$B$10815)-ROW('F &amp; B'!$B$2)+1)/
('F &amp; B'!$B$2:$B$10815=$A$48),
ROW()-47)
),
"")</f>
        <v/>
      </c>
    </row>
    <row r="185" spans="1:6">
      <c r="A185" s="386"/>
      <c r="B185" s="386"/>
      <c r="C185" s="192" t="str">
        <f>IFERROR(
INDEX('F &amp; B'!D$2:D$10815,
_xlfn.AGGREGATE(15,6,
(ROW('F &amp; B'!$B$2:$B$10815)-ROW('F &amp; B'!$B$2)+1)/
('F &amp; B'!$B$2:$B$10815=$A$48),
ROW()-47)
),
"")</f>
        <v/>
      </c>
      <c r="D185" s="180" t="str">
        <f>IFERROR(
INDEX('F &amp; B'!E$2:E$10815,
_xlfn.AGGREGATE(15,6,
(ROW('F &amp; B'!$B$2:$B$10815)-ROW('F &amp; B'!$B$2)+1)/
('F &amp; B'!$B$2:$B$10815=$A$48),
ROW()-47)
),
"")</f>
        <v/>
      </c>
      <c r="E185" s="7" t="str">
        <f>IFERROR(
INDEX('F &amp; B'!F$2:F$10815,
_xlfn.AGGREGATE(15,6,
(ROW('F &amp; B'!$B$2:$B$10815)-ROW('F &amp; B'!$B$2)+1)/
('F &amp; B'!$B$2:$B$10815=$A$48),
ROW()-47)
),
"")</f>
        <v/>
      </c>
      <c r="F185" s="186" t="str">
        <f>IFERROR(
INDEX('F &amp; B'!G$2:G$10815,
_xlfn.AGGREGATE(15,6,
(ROW('F &amp; B'!$B$2:$B$10815)-ROW('F &amp; B'!$B$2)+1)/
('F &amp; B'!$B$2:$B$10815=$A$48),
ROW()-47)
),
"")</f>
        <v/>
      </c>
    </row>
    <row r="186" spans="1:6">
      <c r="A186" s="386"/>
      <c r="B186" s="386"/>
      <c r="C186" s="192" t="str">
        <f>IFERROR(
INDEX('F &amp; B'!D$2:D$10815,
_xlfn.AGGREGATE(15,6,
(ROW('F &amp; B'!$B$2:$B$10815)-ROW('F &amp; B'!$B$2)+1)/
('F &amp; B'!$B$2:$B$10815=$A$48),
ROW()-47)
),
"")</f>
        <v/>
      </c>
      <c r="D186" s="180" t="str">
        <f>IFERROR(
INDEX('F &amp; B'!E$2:E$10815,
_xlfn.AGGREGATE(15,6,
(ROW('F &amp; B'!$B$2:$B$10815)-ROW('F &amp; B'!$B$2)+1)/
('F &amp; B'!$B$2:$B$10815=$A$48),
ROW()-47)
),
"")</f>
        <v/>
      </c>
      <c r="E186" s="7" t="str">
        <f>IFERROR(
INDEX('F &amp; B'!F$2:F$10815,
_xlfn.AGGREGATE(15,6,
(ROW('F &amp; B'!$B$2:$B$10815)-ROW('F &amp; B'!$B$2)+1)/
('F &amp; B'!$B$2:$B$10815=$A$48),
ROW()-47)
),
"")</f>
        <v/>
      </c>
      <c r="F186" s="186" t="str">
        <f>IFERROR(
INDEX('F &amp; B'!G$2:G$10815,
_xlfn.AGGREGATE(15,6,
(ROW('F &amp; B'!$B$2:$B$10815)-ROW('F &amp; B'!$B$2)+1)/
('F &amp; B'!$B$2:$B$10815=$A$48),
ROW()-47)
),
"")</f>
        <v/>
      </c>
    </row>
    <row r="187" spans="1:6">
      <c r="A187" s="386"/>
      <c r="B187" s="386"/>
      <c r="C187" s="192" t="str">
        <f>IFERROR(
INDEX('F &amp; B'!D$2:D$10815,
_xlfn.AGGREGATE(15,6,
(ROW('F &amp; B'!$B$2:$B$10815)-ROW('F &amp; B'!$B$2)+1)/
('F &amp; B'!$B$2:$B$10815=$A$48),
ROW()-47)
),
"")</f>
        <v/>
      </c>
      <c r="D187" s="180" t="str">
        <f>IFERROR(
INDEX('F &amp; B'!E$2:E$10815,
_xlfn.AGGREGATE(15,6,
(ROW('F &amp; B'!$B$2:$B$10815)-ROW('F &amp; B'!$B$2)+1)/
('F &amp; B'!$B$2:$B$10815=$A$48),
ROW()-47)
),
"")</f>
        <v/>
      </c>
      <c r="E187" s="7" t="str">
        <f>IFERROR(
INDEX('F &amp; B'!F$2:F$10815,
_xlfn.AGGREGATE(15,6,
(ROW('F &amp; B'!$B$2:$B$10815)-ROW('F &amp; B'!$B$2)+1)/
('F &amp; B'!$B$2:$B$10815=$A$48),
ROW()-47)
),
"")</f>
        <v/>
      </c>
      <c r="F187" s="186" t="str">
        <f>IFERROR(
INDEX('F &amp; B'!G$2:G$10815,
_xlfn.AGGREGATE(15,6,
(ROW('F &amp; B'!$B$2:$B$10815)-ROW('F &amp; B'!$B$2)+1)/
('F &amp; B'!$B$2:$B$10815=$A$48),
ROW()-47)
),
"")</f>
        <v/>
      </c>
    </row>
    <row r="188" spans="1:6">
      <c r="A188" s="386"/>
      <c r="B188" s="386"/>
      <c r="C188" s="192" t="str">
        <f>IFERROR(
INDEX('F &amp; B'!D$2:D$10815,
_xlfn.AGGREGATE(15,6,
(ROW('F &amp; B'!$B$2:$B$10815)-ROW('F &amp; B'!$B$2)+1)/
('F &amp; B'!$B$2:$B$10815=$A$48),
ROW()-47)
),
"")</f>
        <v/>
      </c>
      <c r="D188" s="180" t="str">
        <f>IFERROR(
INDEX('F &amp; B'!E$2:E$10815,
_xlfn.AGGREGATE(15,6,
(ROW('F &amp; B'!$B$2:$B$10815)-ROW('F &amp; B'!$B$2)+1)/
('F &amp; B'!$B$2:$B$10815=$A$48),
ROW()-47)
),
"")</f>
        <v/>
      </c>
      <c r="E188" s="7" t="str">
        <f>IFERROR(
INDEX('F &amp; B'!F$2:F$10815,
_xlfn.AGGREGATE(15,6,
(ROW('F &amp; B'!$B$2:$B$10815)-ROW('F &amp; B'!$B$2)+1)/
('F &amp; B'!$B$2:$B$10815=$A$48),
ROW()-47)
),
"")</f>
        <v/>
      </c>
      <c r="F188" s="186" t="str">
        <f>IFERROR(
INDEX('F &amp; B'!G$2:G$10815,
_xlfn.AGGREGATE(15,6,
(ROW('F &amp; B'!$B$2:$B$10815)-ROW('F &amp; B'!$B$2)+1)/
('F &amp; B'!$B$2:$B$10815=$A$48),
ROW()-47)
),
"")</f>
        <v/>
      </c>
    </row>
    <row r="189" spans="1:6">
      <c r="A189" s="386"/>
      <c r="B189" s="386"/>
      <c r="C189" s="192" t="str">
        <f>IFERROR(
INDEX('F &amp; B'!D$2:D$10815,
_xlfn.AGGREGATE(15,6,
(ROW('F &amp; B'!$B$2:$B$10815)-ROW('F &amp; B'!$B$2)+1)/
('F &amp; B'!$B$2:$B$10815=$A$48),
ROW()-47)
),
"")</f>
        <v/>
      </c>
      <c r="D189" s="180" t="str">
        <f>IFERROR(
INDEX('F &amp; B'!E$2:E$10815,
_xlfn.AGGREGATE(15,6,
(ROW('F &amp; B'!$B$2:$B$10815)-ROW('F &amp; B'!$B$2)+1)/
('F &amp; B'!$B$2:$B$10815=$A$48),
ROW()-47)
),
"")</f>
        <v/>
      </c>
      <c r="E189" s="7" t="str">
        <f>IFERROR(
INDEX('F &amp; B'!F$2:F$10815,
_xlfn.AGGREGATE(15,6,
(ROW('F &amp; B'!$B$2:$B$10815)-ROW('F &amp; B'!$B$2)+1)/
('F &amp; B'!$B$2:$B$10815=$A$48),
ROW()-47)
),
"")</f>
        <v/>
      </c>
      <c r="F189" s="186" t="str">
        <f>IFERROR(
INDEX('F &amp; B'!G$2:G$10815,
_xlfn.AGGREGATE(15,6,
(ROW('F &amp; B'!$B$2:$B$10815)-ROW('F &amp; B'!$B$2)+1)/
('F &amp; B'!$B$2:$B$10815=$A$48),
ROW()-47)
),
"")</f>
        <v/>
      </c>
    </row>
    <row r="190" spans="1:6">
      <c r="A190" s="386"/>
      <c r="B190" s="386"/>
      <c r="C190" s="192" t="str">
        <f>IFERROR(
INDEX('F &amp; B'!D$2:D$10815,
_xlfn.AGGREGATE(15,6,
(ROW('F &amp; B'!$B$2:$B$10815)-ROW('F &amp; B'!$B$2)+1)/
('F &amp; B'!$B$2:$B$10815=$A$48),
ROW()-47)
),
"")</f>
        <v/>
      </c>
      <c r="D190" s="180" t="str">
        <f>IFERROR(
INDEX('F &amp; B'!E$2:E$10815,
_xlfn.AGGREGATE(15,6,
(ROW('F &amp; B'!$B$2:$B$10815)-ROW('F &amp; B'!$B$2)+1)/
('F &amp; B'!$B$2:$B$10815=$A$48),
ROW()-47)
),
"")</f>
        <v/>
      </c>
      <c r="E190" s="7" t="str">
        <f>IFERROR(
INDEX('F &amp; B'!F$2:F$10815,
_xlfn.AGGREGATE(15,6,
(ROW('F &amp; B'!$B$2:$B$10815)-ROW('F &amp; B'!$B$2)+1)/
('F &amp; B'!$B$2:$B$10815=$A$48),
ROW()-47)
),
"")</f>
        <v/>
      </c>
      <c r="F190" s="186" t="str">
        <f>IFERROR(
INDEX('F &amp; B'!G$2:G$10815,
_xlfn.AGGREGATE(15,6,
(ROW('F &amp; B'!$B$2:$B$10815)-ROW('F &amp; B'!$B$2)+1)/
('F &amp; B'!$B$2:$B$10815=$A$48),
ROW()-47)
),
"")</f>
        <v/>
      </c>
    </row>
    <row r="191" spans="1:6">
      <c r="A191" s="386"/>
      <c r="B191" s="386"/>
      <c r="C191" s="192" t="str">
        <f>IFERROR(
INDEX('F &amp; B'!D$2:D$10815,
_xlfn.AGGREGATE(15,6,
(ROW('F &amp; B'!$B$2:$B$10815)-ROW('F &amp; B'!$B$2)+1)/
('F &amp; B'!$B$2:$B$10815=$A$48),
ROW()-47)
),
"")</f>
        <v/>
      </c>
      <c r="D191" s="180" t="str">
        <f>IFERROR(
INDEX('F &amp; B'!E$2:E$10815,
_xlfn.AGGREGATE(15,6,
(ROW('F &amp; B'!$B$2:$B$10815)-ROW('F &amp; B'!$B$2)+1)/
('F &amp; B'!$B$2:$B$10815=$A$48),
ROW()-47)
),
"")</f>
        <v/>
      </c>
      <c r="E191" s="7" t="str">
        <f>IFERROR(
INDEX('F &amp; B'!F$2:F$10815,
_xlfn.AGGREGATE(15,6,
(ROW('F &amp; B'!$B$2:$B$10815)-ROW('F &amp; B'!$B$2)+1)/
('F &amp; B'!$B$2:$B$10815=$A$48),
ROW()-47)
),
"")</f>
        <v/>
      </c>
      <c r="F191" s="186" t="str">
        <f>IFERROR(
INDEX('F &amp; B'!G$2:G$10815,
_xlfn.AGGREGATE(15,6,
(ROW('F &amp; B'!$B$2:$B$10815)-ROW('F &amp; B'!$B$2)+1)/
('F &amp; B'!$B$2:$B$10815=$A$48),
ROW()-47)
),
"")</f>
        <v/>
      </c>
    </row>
    <row r="192" spans="1:6">
      <c r="A192" s="386"/>
      <c r="B192" s="386"/>
      <c r="C192" s="192" t="str">
        <f>IFERROR(
INDEX('F &amp; B'!D$2:D$10815,
_xlfn.AGGREGATE(15,6,
(ROW('F &amp; B'!$B$2:$B$10815)-ROW('F &amp; B'!$B$2)+1)/
('F &amp; B'!$B$2:$B$10815=$A$48),
ROW()-47)
),
"")</f>
        <v/>
      </c>
      <c r="D192" s="180" t="str">
        <f>IFERROR(
INDEX('F &amp; B'!E$2:E$10815,
_xlfn.AGGREGATE(15,6,
(ROW('F &amp; B'!$B$2:$B$10815)-ROW('F &amp; B'!$B$2)+1)/
('F &amp; B'!$B$2:$B$10815=$A$48),
ROW()-47)
),
"")</f>
        <v/>
      </c>
      <c r="E192" s="7" t="str">
        <f>IFERROR(
INDEX('F &amp; B'!F$2:F$10815,
_xlfn.AGGREGATE(15,6,
(ROW('F &amp; B'!$B$2:$B$10815)-ROW('F &amp; B'!$B$2)+1)/
('F &amp; B'!$B$2:$B$10815=$A$48),
ROW()-47)
),
"")</f>
        <v/>
      </c>
      <c r="F192" s="186" t="str">
        <f>IFERROR(
INDEX('F &amp; B'!G$2:G$10815,
_xlfn.AGGREGATE(15,6,
(ROW('F &amp; B'!$B$2:$B$10815)-ROW('F &amp; B'!$B$2)+1)/
('F &amp; B'!$B$2:$B$10815=$A$48),
ROW()-47)
),
"")</f>
        <v/>
      </c>
    </row>
    <row r="193" spans="1:6">
      <c r="A193" s="386"/>
      <c r="B193" s="386"/>
      <c r="C193" s="192" t="str">
        <f>IFERROR(
INDEX('F &amp; B'!D$2:D$10815,
_xlfn.AGGREGATE(15,6,
(ROW('F &amp; B'!$B$2:$B$10815)-ROW('F &amp; B'!$B$2)+1)/
('F &amp; B'!$B$2:$B$10815=$A$48),
ROW()-47)
),
"")</f>
        <v/>
      </c>
      <c r="D193" s="180" t="str">
        <f>IFERROR(
INDEX('F &amp; B'!E$2:E$10815,
_xlfn.AGGREGATE(15,6,
(ROW('F &amp; B'!$B$2:$B$10815)-ROW('F &amp; B'!$B$2)+1)/
('F &amp; B'!$B$2:$B$10815=$A$48),
ROW()-47)
),
"")</f>
        <v/>
      </c>
      <c r="E193" s="7" t="str">
        <f>IFERROR(
INDEX('F &amp; B'!F$2:F$10815,
_xlfn.AGGREGATE(15,6,
(ROW('F &amp; B'!$B$2:$B$10815)-ROW('F &amp; B'!$B$2)+1)/
('F &amp; B'!$B$2:$B$10815=$A$48),
ROW()-47)
),
"")</f>
        <v/>
      </c>
      <c r="F193" s="186" t="str">
        <f>IFERROR(
INDEX('F &amp; B'!G$2:G$10815,
_xlfn.AGGREGATE(15,6,
(ROW('F &amp; B'!$B$2:$B$10815)-ROW('F &amp; B'!$B$2)+1)/
('F &amp; B'!$B$2:$B$10815=$A$48),
ROW()-47)
),
"")</f>
        <v/>
      </c>
    </row>
    <row r="194" spans="1:6">
      <c r="A194" s="386"/>
      <c r="B194" s="386"/>
      <c r="C194" s="192" t="str">
        <f>IFERROR(
INDEX('F &amp; B'!D$2:D$10815,
_xlfn.AGGREGATE(15,6,
(ROW('F &amp; B'!$B$2:$B$10815)-ROW('F &amp; B'!$B$2)+1)/
('F &amp; B'!$B$2:$B$10815=$A$48),
ROW()-47)
),
"")</f>
        <v/>
      </c>
      <c r="D194" s="180" t="str">
        <f>IFERROR(
INDEX('F &amp; B'!E$2:E$10815,
_xlfn.AGGREGATE(15,6,
(ROW('F &amp; B'!$B$2:$B$10815)-ROW('F &amp; B'!$B$2)+1)/
('F &amp; B'!$B$2:$B$10815=$A$48),
ROW()-47)
),
"")</f>
        <v/>
      </c>
      <c r="E194" s="7" t="str">
        <f>IFERROR(
INDEX('F &amp; B'!F$2:F$10815,
_xlfn.AGGREGATE(15,6,
(ROW('F &amp; B'!$B$2:$B$10815)-ROW('F &amp; B'!$B$2)+1)/
('F &amp; B'!$B$2:$B$10815=$A$48),
ROW()-47)
),
"")</f>
        <v/>
      </c>
      <c r="F194" s="186" t="str">
        <f>IFERROR(
INDEX('F &amp; B'!G$2:G$10815,
_xlfn.AGGREGATE(15,6,
(ROW('F &amp; B'!$B$2:$B$10815)-ROW('F &amp; B'!$B$2)+1)/
('F &amp; B'!$B$2:$B$10815=$A$48),
ROW()-47)
),
"")</f>
        <v/>
      </c>
    </row>
    <row r="195" spans="1:6">
      <c r="A195" s="386"/>
      <c r="B195" s="386"/>
      <c r="C195" s="192" t="str">
        <f>IFERROR(
INDEX('F &amp; B'!D$2:D$10815,
_xlfn.AGGREGATE(15,6,
(ROW('F &amp; B'!$B$2:$B$10815)-ROW('F &amp; B'!$B$2)+1)/
('F &amp; B'!$B$2:$B$10815=$A$48),
ROW()-47)
),
"")</f>
        <v/>
      </c>
      <c r="D195" s="180" t="str">
        <f>IFERROR(
INDEX('F &amp; B'!E$2:E$10815,
_xlfn.AGGREGATE(15,6,
(ROW('F &amp; B'!$B$2:$B$10815)-ROW('F &amp; B'!$B$2)+1)/
('F &amp; B'!$B$2:$B$10815=$A$48),
ROW()-47)
),
"")</f>
        <v/>
      </c>
      <c r="E195" s="7" t="str">
        <f>IFERROR(
INDEX('F &amp; B'!F$2:F$10815,
_xlfn.AGGREGATE(15,6,
(ROW('F &amp; B'!$B$2:$B$10815)-ROW('F &amp; B'!$B$2)+1)/
('F &amp; B'!$B$2:$B$10815=$A$48),
ROW()-47)
),
"")</f>
        <v/>
      </c>
      <c r="F195" s="186" t="str">
        <f>IFERROR(
INDEX('F &amp; B'!G$2:G$10815,
_xlfn.AGGREGATE(15,6,
(ROW('F &amp; B'!$B$2:$B$10815)-ROW('F &amp; B'!$B$2)+1)/
('F &amp; B'!$B$2:$B$10815=$A$48),
ROW()-47)
),
"")</f>
        <v/>
      </c>
    </row>
    <row r="196" spans="1:6">
      <c r="A196" s="386"/>
      <c r="B196" s="386"/>
      <c r="C196" s="192" t="str">
        <f>IFERROR(
INDEX('F &amp; B'!D$2:D$10815,
_xlfn.AGGREGATE(15,6,
(ROW('F &amp; B'!$B$2:$B$10815)-ROW('F &amp; B'!$B$2)+1)/
('F &amp; B'!$B$2:$B$10815=$A$48),
ROW()-47)
),
"")</f>
        <v/>
      </c>
      <c r="D196" s="180" t="str">
        <f>IFERROR(
INDEX('F &amp; B'!E$2:E$10815,
_xlfn.AGGREGATE(15,6,
(ROW('F &amp; B'!$B$2:$B$10815)-ROW('F &amp; B'!$B$2)+1)/
('F &amp; B'!$B$2:$B$10815=$A$48),
ROW()-47)
),
"")</f>
        <v/>
      </c>
      <c r="E196" s="7" t="str">
        <f>IFERROR(
INDEX('F &amp; B'!F$2:F$10815,
_xlfn.AGGREGATE(15,6,
(ROW('F &amp; B'!$B$2:$B$10815)-ROW('F &amp; B'!$B$2)+1)/
('F &amp; B'!$B$2:$B$10815=$A$48),
ROW()-47)
),
"")</f>
        <v/>
      </c>
      <c r="F196" s="186" t="str">
        <f>IFERROR(
INDEX('F &amp; B'!G$2:G$10815,
_xlfn.AGGREGATE(15,6,
(ROW('F &amp; B'!$B$2:$B$10815)-ROW('F &amp; B'!$B$2)+1)/
('F &amp; B'!$B$2:$B$10815=$A$48),
ROW()-47)
),
"")</f>
        <v/>
      </c>
    </row>
    <row r="197" spans="1:6">
      <c r="A197" s="386"/>
      <c r="B197" s="386"/>
      <c r="C197" s="192" t="str">
        <f>IFERROR(
INDEX('F &amp; B'!D$2:D$10815,
_xlfn.AGGREGATE(15,6,
(ROW('F &amp; B'!$B$2:$B$10815)-ROW('F &amp; B'!$B$2)+1)/
('F &amp; B'!$B$2:$B$10815=$A$48),
ROW()-47)
),
"")</f>
        <v/>
      </c>
      <c r="D197" s="180" t="str">
        <f>IFERROR(
INDEX('F &amp; B'!E$2:E$10815,
_xlfn.AGGREGATE(15,6,
(ROW('F &amp; B'!$B$2:$B$10815)-ROW('F &amp; B'!$B$2)+1)/
('F &amp; B'!$B$2:$B$10815=$A$48),
ROW()-47)
),
"")</f>
        <v/>
      </c>
      <c r="E197" s="7" t="str">
        <f>IFERROR(
INDEX('F &amp; B'!F$2:F$10815,
_xlfn.AGGREGATE(15,6,
(ROW('F &amp; B'!$B$2:$B$10815)-ROW('F &amp; B'!$B$2)+1)/
('F &amp; B'!$B$2:$B$10815=$A$48),
ROW()-47)
),
"")</f>
        <v/>
      </c>
      <c r="F197" s="186" t="str">
        <f>IFERROR(
INDEX('F &amp; B'!G$2:G$10815,
_xlfn.AGGREGATE(15,6,
(ROW('F &amp; B'!$B$2:$B$10815)-ROW('F &amp; B'!$B$2)+1)/
('F &amp; B'!$B$2:$B$10815=$A$48),
ROW()-47)
),
"")</f>
        <v/>
      </c>
    </row>
    <row r="198" spans="1:6">
      <c r="A198" s="386"/>
      <c r="B198" s="386"/>
      <c r="C198" s="192" t="str">
        <f>IFERROR(
INDEX('F &amp; B'!D$2:D$10815,
_xlfn.AGGREGATE(15,6,
(ROW('F &amp; B'!$B$2:$B$10815)-ROW('F &amp; B'!$B$2)+1)/
('F &amp; B'!$B$2:$B$10815=$A$48),
ROW()-47)
),
"")</f>
        <v/>
      </c>
      <c r="D198" s="180" t="str">
        <f>IFERROR(
INDEX('F &amp; B'!E$2:E$10815,
_xlfn.AGGREGATE(15,6,
(ROW('F &amp; B'!$B$2:$B$10815)-ROW('F &amp; B'!$B$2)+1)/
('F &amp; B'!$B$2:$B$10815=$A$48),
ROW()-47)
),
"")</f>
        <v/>
      </c>
      <c r="E198" s="7" t="str">
        <f>IFERROR(
INDEX('F &amp; B'!F$2:F$10815,
_xlfn.AGGREGATE(15,6,
(ROW('F &amp; B'!$B$2:$B$10815)-ROW('F &amp; B'!$B$2)+1)/
('F &amp; B'!$B$2:$B$10815=$A$48),
ROW()-47)
),
"")</f>
        <v/>
      </c>
      <c r="F198" s="186" t="str">
        <f>IFERROR(
INDEX('F &amp; B'!G$2:G$10815,
_xlfn.AGGREGATE(15,6,
(ROW('F &amp; B'!$B$2:$B$10815)-ROW('F &amp; B'!$B$2)+1)/
('F &amp; B'!$B$2:$B$10815=$A$48),
ROW()-47)
),
"")</f>
        <v/>
      </c>
    </row>
    <row r="199" spans="1:6">
      <c r="A199" s="386"/>
      <c r="B199" s="386"/>
      <c r="C199" s="192" t="str">
        <f>IFERROR(
INDEX('F &amp; B'!D$2:D$10815,
_xlfn.AGGREGATE(15,6,
(ROW('F &amp; B'!$B$2:$B$10815)-ROW('F &amp; B'!$B$2)+1)/
('F &amp; B'!$B$2:$B$10815=$A$48),
ROW()-47)
),
"")</f>
        <v/>
      </c>
      <c r="D199" s="180" t="str">
        <f>IFERROR(
INDEX('F &amp; B'!E$2:E$10815,
_xlfn.AGGREGATE(15,6,
(ROW('F &amp; B'!$B$2:$B$10815)-ROW('F &amp; B'!$B$2)+1)/
('F &amp; B'!$B$2:$B$10815=$A$48),
ROW()-47)
),
"")</f>
        <v/>
      </c>
      <c r="E199" s="7" t="str">
        <f>IFERROR(
INDEX('F &amp; B'!F$2:F$10815,
_xlfn.AGGREGATE(15,6,
(ROW('F &amp; B'!$B$2:$B$10815)-ROW('F &amp; B'!$B$2)+1)/
('F &amp; B'!$B$2:$B$10815=$A$48),
ROW()-47)
),
"")</f>
        <v/>
      </c>
      <c r="F199" s="186" t="str">
        <f>IFERROR(
INDEX('F &amp; B'!G$2:G$10815,
_xlfn.AGGREGATE(15,6,
(ROW('F &amp; B'!$B$2:$B$10815)-ROW('F &amp; B'!$B$2)+1)/
('F &amp; B'!$B$2:$B$10815=$A$48),
ROW()-47)
),
"")</f>
        <v/>
      </c>
    </row>
  </sheetData>
  <sheetProtection formatCells="0" formatColumns="0" formatRows="0" insertColumns="0" insertRows="0" insertHyperlinks="0" deleteColumns="0" deleteRows="0" sort="0" autoFilter="0" pivotTables="0"/>
  <mergeCells count="202">
    <mergeCell ref="C36:F36"/>
    <mergeCell ref="A197:B197"/>
    <mergeCell ref="A198:B198"/>
    <mergeCell ref="A199:B199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79:B179"/>
    <mergeCell ref="A180:B180"/>
    <mergeCell ref="A181:B181"/>
    <mergeCell ref="A182:B182"/>
    <mergeCell ref="A192:B192"/>
    <mergeCell ref="A193:B193"/>
    <mergeCell ref="A194:B194"/>
    <mergeCell ref="A195:B195"/>
    <mergeCell ref="A196:B196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55:B155"/>
    <mergeCell ref="A138:B138"/>
    <mergeCell ref="A139:B139"/>
    <mergeCell ref="A140:B140"/>
    <mergeCell ref="A165:B165"/>
    <mergeCell ref="A166:B166"/>
    <mergeCell ref="A167:B167"/>
    <mergeCell ref="A168:B168"/>
    <mergeCell ref="A169:B169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56:B156"/>
    <mergeCell ref="A44:F44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41:B141"/>
    <mergeCell ref="A142:B142"/>
    <mergeCell ref="A143:B143"/>
    <mergeCell ref="A144:B144"/>
    <mergeCell ref="A145:B145"/>
    <mergeCell ref="A146:B146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27:B127"/>
    <mergeCell ref="A128:B128"/>
    <mergeCell ref="A122:B122"/>
    <mergeCell ref="A123:B123"/>
    <mergeCell ref="A124:B124"/>
    <mergeCell ref="A125:B125"/>
    <mergeCell ref="A126:B126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72:B72"/>
    <mergeCell ref="A102:B102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56:B56"/>
    <mergeCell ref="A92:B92"/>
    <mergeCell ref="A93:B93"/>
    <mergeCell ref="A94:B94"/>
    <mergeCell ref="A95:B95"/>
    <mergeCell ref="A96:B96"/>
    <mergeCell ref="C27:E27"/>
    <mergeCell ref="A70:B70"/>
    <mergeCell ref="A71:B71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43:F43"/>
    <mergeCell ref="A73:B73"/>
    <mergeCell ref="A74:B74"/>
    <mergeCell ref="A75:B75"/>
    <mergeCell ref="A76:B76"/>
    <mergeCell ref="A67:B67"/>
    <mergeCell ref="A68:B68"/>
    <mergeCell ref="A69:B69"/>
    <mergeCell ref="A46:E46"/>
    <mergeCell ref="A45:F45"/>
    <mergeCell ref="A59:B59"/>
    <mergeCell ref="A65:B65"/>
    <mergeCell ref="A66:B66"/>
    <mergeCell ref="A60:B60"/>
    <mergeCell ref="A61:B61"/>
    <mergeCell ref="A62:B62"/>
    <mergeCell ref="A63:B63"/>
    <mergeCell ref="A64:B64"/>
    <mergeCell ref="A50:B50"/>
    <mergeCell ref="A51:B51"/>
    <mergeCell ref="A52:B52"/>
    <mergeCell ref="A53:B53"/>
    <mergeCell ref="A54:B54"/>
    <mergeCell ref="A55:B55"/>
    <mergeCell ref="C41:E41"/>
    <mergeCell ref="C42:F42"/>
    <mergeCell ref="B1:B42"/>
    <mergeCell ref="C2:F2"/>
    <mergeCell ref="C1:F1"/>
    <mergeCell ref="A49:B49"/>
    <mergeCell ref="A48:B48"/>
    <mergeCell ref="A47:B47"/>
    <mergeCell ref="A1:A2"/>
    <mergeCell ref="C3:E3"/>
    <mergeCell ref="C15:E15"/>
    <mergeCell ref="C16:E16"/>
    <mergeCell ref="C17:E17"/>
    <mergeCell ref="C20:E20"/>
    <mergeCell ref="C4:F4"/>
    <mergeCell ref="C13:F13"/>
    <mergeCell ref="C18:F18"/>
    <mergeCell ref="C21:E21"/>
    <mergeCell ref="C37:E37"/>
    <mergeCell ref="C38:E38"/>
    <mergeCell ref="C28:E28"/>
    <mergeCell ref="C32:E32"/>
    <mergeCell ref="C33:E33"/>
    <mergeCell ref="A4:A42"/>
    <mergeCell ref="C9:E9"/>
    <mergeCell ref="A57:B57"/>
    <mergeCell ref="A58:B58"/>
    <mergeCell ref="C31:E31"/>
    <mergeCell ref="C5:E5"/>
    <mergeCell ref="C14:E14"/>
    <mergeCell ref="C30:E30"/>
    <mergeCell ref="C6:E6"/>
    <mergeCell ref="C19:E19"/>
    <mergeCell ref="C29:E29"/>
    <mergeCell ref="C39:E39"/>
    <mergeCell ref="C23:E23"/>
    <mergeCell ref="C24:E24"/>
    <mergeCell ref="C25:E25"/>
    <mergeCell ref="C34:E34"/>
    <mergeCell ref="C35:E35"/>
    <mergeCell ref="C7:E7"/>
    <mergeCell ref="C8:E8"/>
    <mergeCell ref="C26:E26"/>
    <mergeCell ref="C10:E10"/>
    <mergeCell ref="C11:E11"/>
    <mergeCell ref="C12:E12"/>
    <mergeCell ref="C22:E22"/>
    <mergeCell ref="C40:E40"/>
  </mergeCells>
  <phoneticPr fontId="8" type="noConversion"/>
  <pageMargins left="0.7" right="0.7" top="0.75" bottom="0.75" header="0.3" footer="0.3"/>
  <pageSetup paperSize="9" scale="66" fitToHeight="0" orientation="portrait" r:id="rId1"/>
  <rowBreaks count="3" manualBreakCount="3">
    <brk id="42" max="5" man="1"/>
    <brk id="107" max="5" man="1"/>
    <brk id="178" max="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AD991"/>
  <sheetViews>
    <sheetView topLeftCell="A82" zoomScaleNormal="100" workbookViewId="0">
      <selection activeCell="Y98" sqref="Y98"/>
    </sheetView>
  </sheetViews>
  <sheetFormatPr defaultColWidth="14" defaultRowHeight="15" customHeight="1"/>
  <cols>
    <col min="1" max="1" width="9.5546875" bestFit="1" customWidth="1"/>
    <col min="2" max="2" width="6.6640625" hidden="1" customWidth="1"/>
    <col min="3" max="3" width="14.44140625" customWidth="1"/>
    <col min="4" max="4" width="39.5546875" customWidth="1"/>
    <col min="5" max="5" width="6" hidden="1" customWidth="1"/>
    <col min="6" max="6" width="12.44140625" hidden="1" customWidth="1"/>
    <col min="7" max="8" width="7.33203125" hidden="1" customWidth="1"/>
    <col min="9" max="9" width="9.6640625" hidden="1" customWidth="1"/>
    <col min="10" max="10" width="10" hidden="1" customWidth="1"/>
    <col min="11" max="11" width="7.5546875" hidden="1" customWidth="1"/>
    <col min="12" max="12" width="7.6640625" hidden="1" customWidth="1"/>
    <col min="13" max="13" width="9.5546875" hidden="1" customWidth="1"/>
    <col min="14" max="14" width="9.44140625" hidden="1" customWidth="1"/>
    <col min="15" max="15" width="6.5546875" hidden="1" customWidth="1"/>
    <col min="16" max="16" width="10.6640625" hidden="1" customWidth="1"/>
    <col min="17" max="17" width="10.44140625" hidden="1" customWidth="1"/>
    <col min="18" max="19" width="10.5546875" hidden="1" customWidth="1"/>
    <col min="20" max="20" width="12" hidden="1" customWidth="1"/>
    <col min="21" max="21" width="9.6640625" hidden="1" customWidth="1"/>
    <col min="22" max="22" width="15.33203125" hidden="1" customWidth="1"/>
    <col min="23" max="23" width="20.44140625" customWidth="1"/>
    <col min="24" max="24" width="17.6640625" style="130" bestFit="1" customWidth="1"/>
    <col min="25" max="25" width="19.33203125" style="146" bestFit="1" customWidth="1"/>
    <col min="26" max="26" width="12.5546875" style="190" bestFit="1" customWidth="1"/>
    <col min="27" max="27" width="19" style="124" bestFit="1" customWidth="1"/>
    <col min="28" max="30" width="12" bestFit="1" customWidth="1"/>
  </cols>
  <sheetData>
    <row r="1" spans="1:30" ht="21.75" customHeight="1">
      <c r="A1" s="19" t="s">
        <v>464</v>
      </c>
      <c r="B1" s="20" t="s">
        <v>465</v>
      </c>
      <c r="C1" s="20" t="s">
        <v>466</v>
      </c>
      <c r="D1" s="20" t="s">
        <v>467</v>
      </c>
      <c r="E1" s="20" t="s">
        <v>468</v>
      </c>
      <c r="F1" s="20" t="s">
        <v>469</v>
      </c>
      <c r="G1" s="20" t="s">
        <v>470</v>
      </c>
      <c r="H1" s="20" t="s">
        <v>471</v>
      </c>
      <c r="I1" s="20" t="s">
        <v>472</v>
      </c>
      <c r="J1" s="20" t="s">
        <v>473</v>
      </c>
      <c r="K1" s="20" t="s">
        <v>474</v>
      </c>
      <c r="L1" s="20" t="s">
        <v>475</v>
      </c>
      <c r="M1" s="20" t="s">
        <v>476</v>
      </c>
      <c r="N1" s="20" t="s">
        <v>477</v>
      </c>
      <c r="O1" s="20" t="s">
        <v>478</v>
      </c>
      <c r="P1" s="20" t="s">
        <v>479</v>
      </c>
      <c r="Q1" s="20" t="s">
        <v>480</v>
      </c>
      <c r="R1" s="20" t="s">
        <v>481</v>
      </c>
      <c r="S1" s="20" t="s">
        <v>482</v>
      </c>
      <c r="T1" s="20" t="s">
        <v>483</v>
      </c>
      <c r="U1" s="20" t="s">
        <v>484</v>
      </c>
      <c r="V1" s="20" t="s">
        <v>485</v>
      </c>
      <c r="W1" s="20" t="s">
        <v>486</v>
      </c>
      <c r="X1" s="125" t="s">
        <v>487</v>
      </c>
      <c r="Y1" s="125" t="s">
        <v>488</v>
      </c>
      <c r="Z1" s="211" t="s">
        <v>489</v>
      </c>
      <c r="AA1" s="119" t="s">
        <v>490</v>
      </c>
      <c r="AB1" s="20" t="s">
        <v>744</v>
      </c>
      <c r="AC1" s="20" t="s">
        <v>491</v>
      </c>
      <c r="AD1" s="21" t="s">
        <v>492</v>
      </c>
    </row>
    <row r="2" spans="1:30" s="8" customFormat="1" ht="15.75" customHeight="1">
      <c r="A2" s="218">
        <v>1</v>
      </c>
      <c r="B2" s="219" t="s">
        <v>493</v>
      </c>
      <c r="C2" s="220" t="str">
        <f>MEMBERS!B5</f>
        <v>HCFM-AH001</v>
      </c>
      <c r="D2" s="220" t="str">
        <f>VLOOKUP(C2,MEMBERS!B:C,2, )</f>
        <v>ADMIRAL AHMED HAYAT</v>
      </c>
      <c r="E2" s="22"/>
      <c r="F2" s="22"/>
      <c r="G2" s="22"/>
      <c r="H2" s="22"/>
      <c r="I2" s="22"/>
      <c r="J2" s="22"/>
      <c r="K2" s="22"/>
      <c r="L2" s="221" t="s">
        <v>494</v>
      </c>
      <c r="M2" s="22"/>
      <c r="N2" s="221"/>
      <c r="O2" s="22"/>
      <c r="P2" s="221"/>
      <c r="Q2" s="222"/>
      <c r="R2" s="222"/>
      <c r="S2" s="222"/>
      <c r="T2" s="222"/>
      <c r="U2" s="222"/>
      <c r="V2" s="222"/>
      <c r="W2" s="223">
        <f>VLOOKUP(C2,'data base '!B:AA,26, )</f>
        <v>35232.5</v>
      </c>
      <c r="X2" s="223">
        <f>VLOOKUP(C2,'data base '!B:AD,27, )</f>
        <v>3523.25</v>
      </c>
      <c r="Y2" s="264"/>
      <c r="Z2" s="265"/>
      <c r="AA2" s="224">
        <f>W2-Y2</f>
        <v>35232.5</v>
      </c>
      <c r="AB2" s="151"/>
      <c r="AC2" s="22"/>
      <c r="AD2" s="101"/>
    </row>
    <row r="3" spans="1:30" s="8" customFormat="1" ht="15.75" customHeight="1">
      <c r="A3" s="218">
        <v>2</v>
      </c>
      <c r="B3" s="219" t="s">
        <v>493</v>
      </c>
      <c r="C3" s="220" t="str">
        <f>MEMBERS!B6</f>
        <v>HCFM-0502</v>
      </c>
      <c r="D3" s="220" t="str">
        <f>VLOOKUP(C3,MEMBERS!B:C,2, )</f>
        <v>MR. JABIR SHAHZAD</v>
      </c>
      <c r="E3" s="22"/>
      <c r="F3" s="22"/>
      <c r="G3" s="22"/>
      <c r="H3" s="22"/>
      <c r="I3" s="22"/>
      <c r="J3" s="22"/>
      <c r="K3" s="22"/>
      <c r="L3" s="221" t="s">
        <v>494</v>
      </c>
      <c r="M3" s="22"/>
      <c r="N3" s="221"/>
      <c r="O3" s="22"/>
      <c r="P3" s="221"/>
      <c r="Q3" s="222"/>
      <c r="R3" s="222"/>
      <c r="S3" s="222"/>
      <c r="T3" s="222"/>
      <c r="U3" s="222"/>
      <c r="V3" s="222"/>
      <c r="W3" s="223">
        <f>VLOOKUP(C3,'data base '!B:AA,26, )</f>
        <v>23742.5</v>
      </c>
      <c r="X3" s="223">
        <f>VLOOKUP(C3,'data base '!B:AD,27, )</f>
        <v>2374.25</v>
      </c>
      <c r="Y3" s="264"/>
      <c r="Z3" s="265"/>
      <c r="AA3" s="224">
        <f t="shared" ref="AA3:AA66" si="0">W3-Y3</f>
        <v>23742.5</v>
      </c>
      <c r="AB3" s="22"/>
      <c r="AC3" s="22"/>
      <c r="AD3" s="101"/>
    </row>
    <row r="4" spans="1:30" s="8" customFormat="1" ht="15.75" customHeight="1">
      <c r="A4" s="218">
        <v>3</v>
      </c>
      <c r="B4" s="219" t="s">
        <v>493</v>
      </c>
      <c r="C4" s="220" t="str">
        <f>MEMBERS!B7</f>
        <v>HCFM-0503</v>
      </c>
      <c r="D4" s="220" t="str">
        <f>VLOOKUP(C4,MEMBERS!B:C,2, )</f>
        <v>MR.GHULAM NABI OTHI</v>
      </c>
      <c r="E4" s="22"/>
      <c r="F4" s="22"/>
      <c r="G4" s="22"/>
      <c r="H4" s="22"/>
      <c r="I4" s="22"/>
      <c r="J4" s="22"/>
      <c r="K4" s="22"/>
      <c r="L4" s="221" t="s">
        <v>494</v>
      </c>
      <c r="M4" s="22"/>
      <c r="N4" s="221"/>
      <c r="O4" s="22"/>
      <c r="P4" s="221"/>
      <c r="Q4" s="222"/>
      <c r="R4" s="222"/>
      <c r="S4" s="222"/>
      <c r="T4" s="222"/>
      <c r="U4" s="222"/>
      <c r="V4" s="222"/>
      <c r="W4" s="223">
        <f>VLOOKUP(C4,'data base '!B:AA,26, )</f>
        <v>72464.7</v>
      </c>
      <c r="X4" s="223">
        <f>VLOOKUP(C4,'data base '!B:AD,27, )</f>
        <v>7246.47</v>
      </c>
      <c r="Y4" s="264"/>
      <c r="Z4" s="265"/>
      <c r="AA4" s="224">
        <f t="shared" si="0"/>
        <v>72464.7</v>
      </c>
      <c r="AB4" s="22"/>
      <c r="AC4" s="22"/>
      <c r="AD4" s="101"/>
    </row>
    <row r="5" spans="1:30" s="8" customFormat="1" ht="15.75" customHeight="1">
      <c r="A5" s="218">
        <v>4</v>
      </c>
      <c r="B5" s="219" t="s">
        <v>493</v>
      </c>
      <c r="C5" s="220" t="str">
        <f>MEMBERS!B8</f>
        <v>HCFM-0504</v>
      </c>
      <c r="D5" s="220" t="str">
        <f>VLOOKUP(C5,MEMBERS!B:C,2, )</f>
        <v>MR.BILAL AHMED</v>
      </c>
      <c r="E5" s="22"/>
      <c r="F5" s="22"/>
      <c r="G5" s="22"/>
      <c r="H5" s="22"/>
      <c r="I5" s="22"/>
      <c r="J5" s="22"/>
      <c r="K5" s="22"/>
      <c r="L5" s="221" t="s">
        <v>494</v>
      </c>
      <c r="M5" s="22"/>
      <c r="N5" s="221"/>
      <c r="O5" s="22"/>
      <c r="P5" s="221"/>
      <c r="Q5" s="222"/>
      <c r="R5" s="222"/>
      <c r="S5" s="222"/>
      <c r="T5" s="222"/>
      <c r="U5" s="222"/>
      <c r="V5" s="222"/>
      <c r="W5" s="223">
        <f>VLOOKUP(C5,'data base '!B:AA,26, )</f>
        <v>15032.5</v>
      </c>
      <c r="X5" s="223">
        <f>VLOOKUP(C5,'data base '!B:AD,27, )</f>
        <v>1503.25</v>
      </c>
      <c r="Y5" s="264"/>
      <c r="Z5" s="265"/>
      <c r="AA5" s="224">
        <f t="shared" si="0"/>
        <v>15032.5</v>
      </c>
      <c r="AB5" s="22"/>
      <c r="AC5" s="22"/>
      <c r="AD5" s="101"/>
    </row>
    <row r="6" spans="1:30" s="8" customFormat="1" ht="15.75" customHeight="1">
      <c r="A6" s="218">
        <v>5</v>
      </c>
      <c r="B6" s="219" t="s">
        <v>493</v>
      </c>
      <c r="C6" s="220" t="str">
        <f>MEMBERS!B9</f>
        <v>HCFM-0506</v>
      </c>
      <c r="D6" s="220" t="str">
        <f>VLOOKUP(C6,MEMBERS!B:C,2, )</f>
        <v>MR.MUHAMMAD ARIF</v>
      </c>
      <c r="E6" s="23"/>
      <c r="F6" s="23"/>
      <c r="G6" s="23"/>
      <c r="H6" s="23"/>
      <c r="I6" s="23"/>
      <c r="J6" s="23"/>
      <c r="K6" s="23"/>
      <c r="L6" s="221" t="s">
        <v>494</v>
      </c>
      <c r="M6" s="23"/>
      <c r="N6" s="225"/>
      <c r="O6" s="23"/>
      <c r="P6" s="23"/>
      <c r="Q6" s="225"/>
      <c r="R6" s="225"/>
      <c r="S6" s="225"/>
      <c r="T6" s="225"/>
      <c r="U6" s="225"/>
      <c r="V6" s="23"/>
      <c r="W6" s="223">
        <f>VLOOKUP(C6,'data base '!B:AA,26, )</f>
        <v>44829.55</v>
      </c>
      <c r="X6" s="223">
        <f>VLOOKUP(C6,'data base '!B:AD,27, )</f>
        <v>3635.5550000000003</v>
      </c>
      <c r="Y6" s="264"/>
      <c r="Z6" s="265"/>
      <c r="AA6" s="224">
        <f t="shared" si="0"/>
        <v>44829.55</v>
      </c>
      <c r="AB6" s="23"/>
      <c r="AC6" s="23"/>
      <c r="AD6" s="102"/>
    </row>
    <row r="7" spans="1:30" s="8" customFormat="1" ht="15.75" customHeight="1">
      <c r="A7" s="218">
        <v>6</v>
      </c>
      <c r="B7" s="219" t="s">
        <v>493</v>
      </c>
      <c r="C7" s="220" t="str">
        <f>MEMBERS!B10</f>
        <v>HCFM-0507</v>
      </c>
      <c r="D7" s="220" t="str">
        <f>VLOOKUP(C7,MEMBERS!B:C,2, )</f>
        <v>MR.SYED TAHIR ABBAS</v>
      </c>
      <c r="E7" s="23"/>
      <c r="F7" s="23"/>
      <c r="G7" s="23"/>
      <c r="H7" s="23"/>
      <c r="I7" s="23"/>
      <c r="J7" s="23"/>
      <c r="K7" s="23"/>
      <c r="L7" s="221" t="s">
        <v>494</v>
      </c>
      <c r="M7" s="23"/>
      <c r="N7" s="225"/>
      <c r="O7" s="23"/>
      <c r="P7" s="23"/>
      <c r="Q7" s="225"/>
      <c r="R7" s="225"/>
      <c r="S7" s="225"/>
      <c r="T7" s="225"/>
      <c r="U7" s="225"/>
      <c r="V7" s="23"/>
      <c r="W7" s="223">
        <f>VLOOKUP(C7,'data base '!B:AA,26, )</f>
        <v>55030</v>
      </c>
      <c r="X7" s="223">
        <f>VLOOKUP(C7,'data base '!B:AD,27, )</f>
        <v>1068</v>
      </c>
      <c r="Y7" s="264"/>
      <c r="Z7" s="265"/>
      <c r="AA7" s="224">
        <f t="shared" si="0"/>
        <v>55030</v>
      </c>
      <c r="AB7" s="23"/>
      <c r="AC7" s="23"/>
      <c r="AD7" s="102"/>
    </row>
    <row r="8" spans="1:30" s="8" customFormat="1" ht="15.75" customHeight="1">
      <c r="A8" s="218">
        <v>7</v>
      </c>
      <c r="B8" s="219" t="s">
        <v>493</v>
      </c>
      <c r="C8" s="220" t="str">
        <f>MEMBERS!B11</f>
        <v>HCFM-0508</v>
      </c>
      <c r="D8" s="220" t="str">
        <f>VLOOKUP(C8,MEMBERS!B:C,2, )</f>
        <v>MR.SHIRAZ AHMED</v>
      </c>
      <c r="E8" s="23"/>
      <c r="F8" s="23"/>
      <c r="G8" s="23"/>
      <c r="H8" s="23"/>
      <c r="I8" s="23"/>
      <c r="J8" s="23"/>
      <c r="K8" s="23"/>
      <c r="L8" s="221" t="s">
        <v>494</v>
      </c>
      <c r="M8" s="23"/>
      <c r="N8" s="225"/>
      <c r="O8" s="23"/>
      <c r="P8" s="23"/>
      <c r="Q8" s="225"/>
      <c r="R8" s="225"/>
      <c r="S8" s="225"/>
      <c r="T8" s="225"/>
      <c r="U8" s="225"/>
      <c r="V8" s="23"/>
      <c r="W8" s="223">
        <f>VLOOKUP(C8,'data base '!B:AA,26, )</f>
        <v>10500</v>
      </c>
      <c r="X8" s="223">
        <f>VLOOKUP(C8,'data base '!B:AD,27, )</f>
        <v>1050</v>
      </c>
      <c r="Y8" s="264"/>
      <c r="Z8" s="265"/>
      <c r="AA8" s="224">
        <f t="shared" si="0"/>
        <v>10500</v>
      </c>
      <c r="AB8" s="23"/>
      <c r="AC8" s="23"/>
      <c r="AD8" s="102"/>
    </row>
    <row r="9" spans="1:30" s="8" customFormat="1" ht="15.75" customHeight="1">
      <c r="A9" s="218">
        <v>8</v>
      </c>
      <c r="B9" s="219" t="s">
        <v>493</v>
      </c>
      <c r="C9" s="220" t="str">
        <f>MEMBERS!B12</f>
        <v>HCFM-0509</v>
      </c>
      <c r="D9" s="220" t="str">
        <f>VLOOKUP(C9,MEMBERS!B:C,2, )</f>
        <v>MR.SYED ABDULLAH ALI</v>
      </c>
      <c r="E9" s="23"/>
      <c r="F9" s="23"/>
      <c r="G9" s="23"/>
      <c r="H9" s="23"/>
      <c r="I9" s="23"/>
      <c r="J9" s="23"/>
      <c r="K9" s="23"/>
      <c r="L9" s="221" t="s">
        <v>494</v>
      </c>
      <c r="M9" s="23"/>
      <c r="N9" s="225"/>
      <c r="O9" s="23"/>
      <c r="P9" s="23"/>
      <c r="Q9" s="225"/>
      <c r="R9" s="225"/>
      <c r="S9" s="225"/>
      <c r="T9" s="225"/>
      <c r="U9" s="225"/>
      <c r="V9" s="23"/>
      <c r="W9" s="223">
        <f>VLOOKUP(C9,'data base '!B:AA,26, )</f>
        <v>9095</v>
      </c>
      <c r="X9" s="223">
        <f>VLOOKUP(C9,'data base '!B:AD,27, )</f>
        <v>909.5</v>
      </c>
      <c r="Y9" s="264"/>
      <c r="Z9" s="265"/>
      <c r="AA9" s="224">
        <f t="shared" si="0"/>
        <v>9095</v>
      </c>
      <c r="AB9" s="23"/>
      <c r="AC9" s="23"/>
      <c r="AD9" s="102"/>
    </row>
    <row r="10" spans="1:30" s="8" customFormat="1" ht="15.75" customHeight="1">
      <c r="A10" s="218">
        <v>9</v>
      </c>
      <c r="B10" s="219" t="s">
        <v>493</v>
      </c>
      <c r="C10" s="220" t="str">
        <f>MEMBERS!B13</f>
        <v>HCFM-0510</v>
      </c>
      <c r="D10" s="220" t="str">
        <f>VLOOKUP(C10,MEMBERS!B:C,2, )</f>
        <v>MR.MUHAMMAD RIZWAN</v>
      </c>
      <c r="E10" s="23"/>
      <c r="F10" s="23"/>
      <c r="G10" s="23"/>
      <c r="H10" s="23"/>
      <c r="I10" s="23"/>
      <c r="J10" s="23"/>
      <c r="K10" s="23"/>
      <c r="L10" s="221" t="s">
        <v>494</v>
      </c>
      <c r="M10" s="23"/>
      <c r="N10" s="225"/>
      <c r="O10" s="23"/>
      <c r="P10" s="23"/>
      <c r="Q10" s="225"/>
      <c r="R10" s="225"/>
      <c r="S10" s="225"/>
      <c r="T10" s="225"/>
      <c r="U10" s="225"/>
      <c r="V10" s="23"/>
      <c r="W10" s="223">
        <f>VLOOKUP(C10,'data base '!B:AA,26, )</f>
        <v>28051</v>
      </c>
      <c r="X10" s="223">
        <f>VLOOKUP(C10,'data base '!B:AD,27, )</f>
        <v>1012.5</v>
      </c>
      <c r="Y10" s="264"/>
      <c r="Z10" s="265"/>
      <c r="AA10" s="224">
        <f t="shared" si="0"/>
        <v>28051</v>
      </c>
      <c r="AB10" s="24"/>
      <c r="AC10" s="24"/>
      <c r="AD10" s="102"/>
    </row>
    <row r="11" spans="1:30" s="8" customFormat="1" ht="15.75" customHeight="1">
      <c r="A11" s="218">
        <v>10</v>
      </c>
      <c r="B11" s="219" t="s">
        <v>493</v>
      </c>
      <c r="C11" s="220" t="str">
        <f>MEMBERS!B14</f>
        <v>HCFM-0511</v>
      </c>
      <c r="D11" s="220" t="str">
        <f>VLOOKUP(C11,MEMBERS!B:C,2, )</f>
        <v>MR.TALHAR AHMED</v>
      </c>
      <c r="E11" s="23"/>
      <c r="F11" s="23"/>
      <c r="G11" s="23"/>
      <c r="H11" s="23"/>
      <c r="I11" s="23"/>
      <c r="J11" s="23"/>
      <c r="K11" s="23"/>
      <c r="L11" s="221" t="s">
        <v>494</v>
      </c>
      <c r="M11" s="23"/>
      <c r="N11" s="225"/>
      <c r="O11" s="23"/>
      <c r="P11" s="23"/>
      <c r="Q11" s="225"/>
      <c r="R11" s="225"/>
      <c r="S11" s="225"/>
      <c r="T11" s="225"/>
      <c r="U11" s="225"/>
      <c r="V11" s="23"/>
      <c r="W11" s="223">
        <f>VLOOKUP(C11,'data base '!B:AA,26, )</f>
        <v>7000</v>
      </c>
      <c r="X11" s="223">
        <f>VLOOKUP(C11,'data base '!B:AD,27, )</f>
        <v>700</v>
      </c>
      <c r="Y11" s="264"/>
      <c r="Z11" s="265"/>
      <c r="AA11" s="224">
        <f t="shared" si="0"/>
        <v>7000</v>
      </c>
      <c r="AB11" s="23"/>
      <c r="AC11" s="23"/>
      <c r="AD11" s="102"/>
    </row>
    <row r="12" spans="1:30" s="8" customFormat="1" ht="15.75" customHeight="1">
      <c r="A12" s="218">
        <v>11</v>
      </c>
      <c r="B12" s="219" t="s">
        <v>493</v>
      </c>
      <c r="C12" s="220" t="str">
        <f>MEMBERS!B15</f>
        <v>HCFM-0512</v>
      </c>
      <c r="D12" s="220" t="str">
        <f>VLOOKUP(C12,MEMBERS!B:C,2, )</f>
        <v>MR.ZEESHAN IQBAL</v>
      </c>
      <c r="E12" s="23"/>
      <c r="F12" s="23"/>
      <c r="G12" s="23"/>
      <c r="H12" s="23"/>
      <c r="I12" s="23"/>
      <c r="J12" s="23"/>
      <c r="K12" s="23"/>
      <c r="L12" s="221" t="s">
        <v>494</v>
      </c>
      <c r="M12" s="23"/>
      <c r="N12" s="225"/>
      <c r="O12" s="23"/>
      <c r="P12" s="23"/>
      <c r="Q12" s="225"/>
      <c r="R12" s="225"/>
      <c r="S12" s="225"/>
      <c r="T12" s="225"/>
      <c r="U12" s="225"/>
      <c r="V12" s="23"/>
      <c r="W12" s="223">
        <f>VLOOKUP(C12,'data base '!B:AA,26, )</f>
        <v>30498.5</v>
      </c>
      <c r="X12" s="223">
        <f>VLOOKUP(C12,'data base '!B:AD,27, )</f>
        <v>2732.25</v>
      </c>
      <c r="Y12" s="264"/>
      <c r="Z12" s="265"/>
      <c r="AA12" s="224">
        <f t="shared" si="0"/>
        <v>30498.5</v>
      </c>
      <c r="AB12" s="23"/>
      <c r="AC12" s="23"/>
      <c r="AD12" s="102"/>
    </row>
    <row r="13" spans="1:30" s="8" customFormat="1" ht="15.75" customHeight="1">
      <c r="A13" s="218">
        <v>12</v>
      </c>
      <c r="B13" s="219" t="s">
        <v>493</v>
      </c>
      <c r="C13" s="220" t="str">
        <f>MEMBERS!B16</f>
        <v>HCFM-0513</v>
      </c>
      <c r="D13" s="220" t="str">
        <f>VLOOKUP(C13,MEMBERS!B:C,2, )</f>
        <v>MR.SAJJAD ALI</v>
      </c>
      <c r="E13" s="23"/>
      <c r="F13" s="23"/>
      <c r="G13" s="23"/>
      <c r="H13" s="23"/>
      <c r="I13" s="23"/>
      <c r="J13" s="23"/>
      <c r="K13" s="23"/>
      <c r="L13" s="221" t="s">
        <v>494</v>
      </c>
      <c r="M13" s="23"/>
      <c r="N13" s="225"/>
      <c r="O13" s="23"/>
      <c r="P13" s="23"/>
      <c r="Q13" s="225"/>
      <c r="R13" s="225"/>
      <c r="S13" s="225"/>
      <c r="T13" s="225"/>
      <c r="U13" s="225"/>
      <c r="V13" s="23"/>
      <c r="W13" s="223">
        <f>VLOOKUP(C13,'data base '!B:AA,26, )</f>
        <v>46194.05</v>
      </c>
      <c r="X13" s="223">
        <f>VLOOKUP(C13,'data base '!B:AD,27, )</f>
        <v>4619.4050000000007</v>
      </c>
      <c r="Y13" s="264"/>
      <c r="Z13" s="265"/>
      <c r="AA13" s="224">
        <f t="shared" si="0"/>
        <v>46194.05</v>
      </c>
      <c r="AB13" s="23"/>
      <c r="AC13" s="23"/>
      <c r="AD13" s="102"/>
    </row>
    <row r="14" spans="1:30" s="8" customFormat="1" ht="15.75" customHeight="1">
      <c r="A14" s="218">
        <v>13</v>
      </c>
      <c r="B14" s="219" t="s">
        <v>493</v>
      </c>
      <c r="C14" s="220" t="str">
        <f>MEMBERS!B17</f>
        <v>HCFM-0514</v>
      </c>
      <c r="D14" s="220" t="str">
        <f>VLOOKUP(C14,MEMBERS!B:C,2, )</f>
        <v>MR.DILEEP KUMAR</v>
      </c>
      <c r="E14" s="23"/>
      <c r="F14" s="23"/>
      <c r="G14" s="23"/>
      <c r="H14" s="23"/>
      <c r="I14" s="23"/>
      <c r="J14" s="23"/>
      <c r="K14" s="23"/>
      <c r="L14" s="221" t="s">
        <v>494</v>
      </c>
      <c r="M14" s="23"/>
      <c r="N14" s="225"/>
      <c r="O14" s="23"/>
      <c r="P14" s="23"/>
      <c r="Q14" s="225"/>
      <c r="R14" s="225"/>
      <c r="S14" s="225"/>
      <c r="T14" s="225"/>
      <c r="U14" s="225"/>
      <c r="V14" s="23"/>
      <c r="W14" s="223">
        <f>VLOOKUP(C14,'data base '!B:AA,26, )</f>
        <v>63937.5</v>
      </c>
      <c r="X14" s="223">
        <f>VLOOKUP(C14,'data base '!B:AD,27, )</f>
        <v>5190.75</v>
      </c>
      <c r="Y14" s="264"/>
      <c r="Z14" s="265"/>
      <c r="AA14" s="224">
        <f t="shared" si="0"/>
        <v>63937.5</v>
      </c>
      <c r="AB14" s="23"/>
      <c r="AC14" s="23"/>
      <c r="AD14" s="102"/>
    </row>
    <row r="15" spans="1:30" s="8" customFormat="1" ht="15.75" customHeight="1">
      <c r="A15" s="218">
        <v>14</v>
      </c>
      <c r="B15" s="226" t="s">
        <v>493</v>
      </c>
      <c r="C15" s="220" t="str">
        <f>MEMBERS!B18</f>
        <v>HCFM-0515</v>
      </c>
      <c r="D15" s="220" t="str">
        <f>VLOOKUP(C15,MEMBERS!B:C,2, )</f>
        <v>MR.TARIQUE ZUBAIR</v>
      </c>
      <c r="E15" s="226"/>
      <c r="F15" s="226"/>
      <c r="G15" s="226"/>
      <c r="H15" s="226"/>
      <c r="I15" s="226"/>
      <c r="J15" s="226"/>
      <c r="K15" s="226"/>
      <c r="L15" s="226" t="s">
        <v>494</v>
      </c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3">
        <f>VLOOKUP(C15,'data base '!B:AA,26, )</f>
        <v>38714</v>
      </c>
      <c r="X15" s="223">
        <f>VLOOKUP(C15,'data base '!B:AD,27, )</f>
        <v>3871.4</v>
      </c>
      <c r="Y15" s="264"/>
      <c r="Z15" s="265"/>
      <c r="AA15" s="227">
        <f t="shared" si="0"/>
        <v>38714</v>
      </c>
      <c r="AB15" s="226"/>
      <c r="AC15" s="226"/>
      <c r="AD15" s="228"/>
    </row>
    <row r="16" spans="1:30" s="8" customFormat="1" ht="15.75" customHeight="1">
      <c r="A16" s="218">
        <v>15</v>
      </c>
      <c r="B16" s="219" t="s">
        <v>493</v>
      </c>
      <c r="C16" s="220" t="str">
        <f>MEMBERS!B19</f>
        <v>HCFM-0516</v>
      </c>
      <c r="D16" s="220" t="str">
        <f>VLOOKUP(C16,MEMBERS!B:C,2, )</f>
        <v>MR.ATIF SHAFQAT</v>
      </c>
      <c r="E16" s="23"/>
      <c r="F16" s="23"/>
      <c r="G16" s="23"/>
      <c r="H16" s="23"/>
      <c r="I16" s="23"/>
      <c r="J16" s="23"/>
      <c r="K16" s="23"/>
      <c r="L16" s="221" t="s">
        <v>494</v>
      </c>
      <c r="M16" s="23"/>
      <c r="N16" s="225"/>
      <c r="O16" s="23"/>
      <c r="P16" s="23"/>
      <c r="Q16" s="225"/>
      <c r="R16" s="225"/>
      <c r="S16" s="225"/>
      <c r="T16" s="225"/>
      <c r="U16" s="225"/>
      <c r="V16" s="23"/>
      <c r="W16" s="223">
        <f>VLOOKUP(C16,'data base '!B:AA,26, )</f>
        <v>59320.5</v>
      </c>
      <c r="X16" s="223">
        <f>VLOOKUP(C16,'data base '!B:AD,27, )</f>
        <v>1216.55</v>
      </c>
      <c r="Y16" s="264"/>
      <c r="Z16" s="265"/>
      <c r="AA16" s="224">
        <f t="shared" si="0"/>
        <v>59320.5</v>
      </c>
      <c r="AB16" s="23"/>
      <c r="AC16" s="23"/>
      <c r="AD16" s="102"/>
    </row>
    <row r="17" spans="1:30" s="8" customFormat="1" ht="15.75" customHeight="1">
      <c r="A17" s="218">
        <v>16</v>
      </c>
      <c r="B17" s="219" t="s">
        <v>493</v>
      </c>
      <c r="C17" s="220" t="str">
        <f>MEMBERS!B20</f>
        <v>HCFM-0517</v>
      </c>
      <c r="D17" s="220" t="str">
        <f>VLOOKUP(C17,MEMBERS!B:C,2, )</f>
        <v>DR.ATHESHAM UL HAQ RANA</v>
      </c>
      <c r="E17" s="23"/>
      <c r="F17" s="23"/>
      <c r="G17" s="23"/>
      <c r="H17" s="23"/>
      <c r="I17" s="23"/>
      <c r="J17" s="23"/>
      <c r="K17" s="23"/>
      <c r="L17" s="221" t="s">
        <v>494</v>
      </c>
      <c r="M17" s="23"/>
      <c r="N17" s="225"/>
      <c r="O17" s="23"/>
      <c r="P17" s="23"/>
      <c r="Q17" s="225"/>
      <c r="R17" s="225"/>
      <c r="S17" s="225"/>
      <c r="T17" s="225"/>
      <c r="U17" s="225"/>
      <c r="V17" s="23"/>
      <c r="W17" s="223">
        <f>VLOOKUP(C17,'data base '!B:AA,26, )</f>
        <v>44300</v>
      </c>
      <c r="X17" s="223">
        <f>VLOOKUP(C17,'data base '!B:AD,27, )</f>
        <v>700</v>
      </c>
      <c r="Y17" s="264"/>
      <c r="Z17" s="265"/>
      <c r="AA17" s="224">
        <f t="shared" si="0"/>
        <v>44300</v>
      </c>
      <c r="AB17" s="23"/>
      <c r="AC17" s="23"/>
      <c r="AD17" s="102"/>
    </row>
    <row r="18" spans="1:30" s="8" customFormat="1" ht="15.75" customHeight="1">
      <c r="A18" s="218">
        <v>17</v>
      </c>
      <c r="B18" s="219" t="s">
        <v>493</v>
      </c>
      <c r="C18" s="220" t="str">
        <f>MEMBERS!B21</f>
        <v>HCFM-0518</v>
      </c>
      <c r="D18" s="220" t="str">
        <f>VLOOKUP(C18,MEMBERS!B:C,2, )</f>
        <v>DR.SANTOSH KUMAR</v>
      </c>
      <c r="E18" s="23"/>
      <c r="F18" s="23"/>
      <c r="G18" s="23"/>
      <c r="H18" s="23"/>
      <c r="I18" s="23"/>
      <c r="J18" s="23"/>
      <c r="K18" s="23"/>
      <c r="L18" s="221" t="s">
        <v>494</v>
      </c>
      <c r="M18" s="23"/>
      <c r="N18" s="225"/>
      <c r="O18" s="23"/>
      <c r="P18" s="23"/>
      <c r="Q18" s="225"/>
      <c r="R18" s="225"/>
      <c r="S18" s="225"/>
      <c r="T18" s="225"/>
      <c r="U18" s="225"/>
      <c r="V18" s="23"/>
      <c r="W18" s="223">
        <f>VLOOKUP(C18,'data base '!B:AA,26, )</f>
        <v>9276</v>
      </c>
      <c r="X18" s="223">
        <f>VLOOKUP(C18,'data base '!B:AD,27, )</f>
        <v>820</v>
      </c>
      <c r="Y18" s="264"/>
      <c r="Z18" s="265"/>
      <c r="AA18" s="224">
        <f t="shared" si="0"/>
        <v>9276</v>
      </c>
      <c r="AB18" s="23"/>
      <c r="AC18" s="23"/>
      <c r="AD18" s="102"/>
    </row>
    <row r="19" spans="1:30" s="8" customFormat="1" ht="15.75" customHeight="1">
      <c r="A19" s="218">
        <v>18</v>
      </c>
      <c r="B19" s="219" t="s">
        <v>493</v>
      </c>
      <c r="C19" s="220" t="str">
        <f>MEMBERS!B22</f>
        <v>HCFM-0519</v>
      </c>
      <c r="D19" s="220" t="str">
        <f>VLOOKUP(C19,MEMBERS!B:C,2, )</f>
        <v>DR.NAZEER HUSSAIN KALHORO</v>
      </c>
      <c r="E19" s="23"/>
      <c r="F19" s="23"/>
      <c r="G19" s="23"/>
      <c r="H19" s="23"/>
      <c r="I19" s="23"/>
      <c r="J19" s="23"/>
      <c r="K19" s="23"/>
      <c r="L19" s="221" t="s">
        <v>494</v>
      </c>
      <c r="M19" s="23"/>
      <c r="N19" s="225"/>
      <c r="O19" s="23"/>
      <c r="P19" s="23"/>
      <c r="Q19" s="225"/>
      <c r="R19" s="225"/>
      <c r="S19" s="225"/>
      <c r="T19" s="225"/>
      <c r="U19" s="225"/>
      <c r="V19" s="23"/>
      <c r="W19" s="223">
        <f>VLOOKUP(C19,'data base '!B:AA,26, )</f>
        <v>55088.75</v>
      </c>
      <c r="X19" s="223">
        <f>VLOOKUP(C19,'data base '!B:AD,27, )</f>
        <v>5508.875</v>
      </c>
      <c r="Y19" s="264"/>
      <c r="Z19" s="265"/>
      <c r="AA19" s="224">
        <f t="shared" si="0"/>
        <v>55088.75</v>
      </c>
      <c r="AB19" s="23"/>
      <c r="AC19" s="23"/>
      <c r="AD19" s="102"/>
    </row>
    <row r="20" spans="1:30" s="8" customFormat="1" ht="15.75" customHeight="1">
      <c r="A20" s="218">
        <v>19</v>
      </c>
      <c r="B20" s="219" t="s">
        <v>493</v>
      </c>
      <c r="C20" s="220" t="str">
        <f>MEMBERS!B23</f>
        <v>HCFM-0520</v>
      </c>
      <c r="D20" s="220" t="str">
        <f>VLOOKUP(C20,MEMBERS!B:C,2, )</f>
        <v>MR.NIZAM UDDIN NIZAMANI</v>
      </c>
      <c r="E20" s="23"/>
      <c r="F20" s="23"/>
      <c r="G20" s="23"/>
      <c r="H20" s="23"/>
      <c r="I20" s="23"/>
      <c r="J20" s="23"/>
      <c r="K20" s="23"/>
      <c r="L20" s="221" t="s">
        <v>494</v>
      </c>
      <c r="M20" s="23"/>
      <c r="N20" s="225"/>
      <c r="O20" s="23"/>
      <c r="P20" s="23"/>
      <c r="Q20" s="225"/>
      <c r="R20" s="225"/>
      <c r="S20" s="225"/>
      <c r="T20" s="225"/>
      <c r="U20" s="225"/>
      <c r="V20" s="23"/>
      <c r="W20" s="223">
        <f>VLOOKUP(C20,'data base '!B:AA,26, )</f>
        <v>119769</v>
      </c>
      <c r="X20" s="223">
        <f>VLOOKUP(C20,'data base '!B:AD,27, )</f>
        <v>11976.900000000001</v>
      </c>
      <c r="Y20" s="264"/>
      <c r="Z20" s="265"/>
      <c r="AA20" s="224">
        <f t="shared" si="0"/>
        <v>119769</v>
      </c>
      <c r="AB20" s="23"/>
      <c r="AC20" s="23"/>
      <c r="AD20" s="102"/>
    </row>
    <row r="21" spans="1:30" s="8" customFormat="1" ht="15.75" customHeight="1">
      <c r="A21" s="218">
        <v>20</v>
      </c>
      <c r="B21" s="229" t="s">
        <v>493</v>
      </c>
      <c r="C21" s="220" t="str">
        <f>MEMBERS!B24</f>
        <v>HCFM-0521</v>
      </c>
      <c r="D21" s="220" t="str">
        <f>VLOOKUP(C21,MEMBERS!B:C,2, )</f>
        <v>MR.HAFEEZ AHMED SIYAL</v>
      </c>
      <c r="E21" s="23"/>
      <c r="F21" s="23"/>
      <c r="G21" s="23"/>
      <c r="H21" s="23"/>
      <c r="I21" s="23"/>
      <c r="J21" s="23"/>
      <c r="K21" s="23"/>
      <c r="L21" s="221" t="s">
        <v>494</v>
      </c>
      <c r="M21" s="23"/>
      <c r="N21" s="225"/>
      <c r="O21" s="23"/>
      <c r="P21" s="23"/>
      <c r="Q21" s="225"/>
      <c r="R21" s="225"/>
      <c r="S21" s="225"/>
      <c r="T21" s="225"/>
      <c r="U21" s="225"/>
      <c r="V21" s="23"/>
      <c r="W21" s="223">
        <f>VLOOKUP(C21,'data base '!B:AA,26, )</f>
        <v>27862.75</v>
      </c>
      <c r="X21" s="223">
        <f>VLOOKUP(C21,'data base '!B:AD,27, )</f>
        <v>2786.2750000000001</v>
      </c>
      <c r="Y21" s="264"/>
      <c r="Z21" s="265"/>
      <c r="AA21" s="224">
        <f t="shared" si="0"/>
        <v>27862.75</v>
      </c>
      <c r="AB21" s="23"/>
      <c r="AC21" s="23"/>
      <c r="AD21" s="102"/>
    </row>
    <row r="22" spans="1:30" s="8" customFormat="1" ht="15.75" customHeight="1">
      <c r="A22" s="218">
        <v>21</v>
      </c>
      <c r="B22" s="219" t="s">
        <v>493</v>
      </c>
      <c r="C22" s="220" t="str">
        <f>MEMBERS!B25</f>
        <v>HCFM-0522</v>
      </c>
      <c r="D22" s="220" t="str">
        <f>VLOOKUP(C22,MEMBERS!B:C,2, )</f>
        <v>MR.IQBAL AHMED MALLAH</v>
      </c>
      <c r="E22" s="23"/>
      <c r="F22" s="23"/>
      <c r="G22" s="23"/>
      <c r="H22" s="23"/>
      <c r="I22" s="23"/>
      <c r="J22" s="23"/>
      <c r="K22" s="23"/>
      <c r="L22" s="221" t="s">
        <v>494</v>
      </c>
      <c r="M22" s="23"/>
      <c r="N22" s="225"/>
      <c r="O22" s="23"/>
      <c r="P22" s="23"/>
      <c r="Q22" s="225"/>
      <c r="R22" s="225"/>
      <c r="S22" s="225"/>
      <c r="T22" s="225"/>
      <c r="U22" s="225"/>
      <c r="V22" s="23"/>
      <c r="W22" s="223">
        <f>VLOOKUP(C22,'data base '!B:AA,26, )</f>
        <v>36045.1</v>
      </c>
      <c r="X22" s="223">
        <f>VLOOKUP(C22,'data base '!B:AD,27, )</f>
        <v>3604.51</v>
      </c>
      <c r="Y22" s="264"/>
      <c r="Z22" s="265"/>
      <c r="AA22" s="224">
        <f t="shared" si="0"/>
        <v>36045.1</v>
      </c>
      <c r="AB22" s="23"/>
      <c r="AC22" s="23"/>
      <c r="AD22" s="102"/>
    </row>
    <row r="23" spans="1:30" s="8" customFormat="1" ht="15.75" customHeight="1">
      <c r="A23" s="218">
        <v>22</v>
      </c>
      <c r="B23" s="219" t="s">
        <v>493</v>
      </c>
      <c r="C23" s="220" t="str">
        <f>MEMBERS!B26</f>
        <v>HCFM-0523</v>
      </c>
      <c r="D23" s="220" t="str">
        <f>VLOOKUP(C23,MEMBERS!B:C,2, )</f>
        <v>MR.KANYO LAL</v>
      </c>
      <c r="E23" s="23"/>
      <c r="F23" s="23"/>
      <c r="G23" s="23"/>
      <c r="H23" s="23"/>
      <c r="I23" s="23"/>
      <c r="J23" s="23"/>
      <c r="K23" s="23"/>
      <c r="L23" s="221" t="s">
        <v>494</v>
      </c>
      <c r="M23" s="23"/>
      <c r="N23" s="225"/>
      <c r="O23" s="23"/>
      <c r="P23" s="23"/>
      <c r="Q23" s="225"/>
      <c r="R23" s="225"/>
      <c r="S23" s="225"/>
      <c r="T23" s="225"/>
      <c r="U23" s="225"/>
      <c r="V23" s="23"/>
      <c r="W23" s="223">
        <f>VLOOKUP(C23,'data base '!B:AA,26, )</f>
        <v>28880</v>
      </c>
      <c r="X23" s="223">
        <f>VLOOKUP(C23,'data base '!B:AD,27, )</f>
        <v>1459</v>
      </c>
      <c r="Y23" s="264"/>
      <c r="Z23" s="265"/>
      <c r="AA23" s="224">
        <f t="shared" si="0"/>
        <v>28880</v>
      </c>
      <c r="AB23" s="23"/>
      <c r="AC23" s="23"/>
      <c r="AD23" s="102"/>
    </row>
    <row r="24" spans="1:30" s="8" customFormat="1" ht="15.75" customHeight="1">
      <c r="A24" s="218">
        <v>23</v>
      </c>
      <c r="B24" s="219" t="s">
        <v>493</v>
      </c>
      <c r="C24" s="220" t="str">
        <f>MEMBERS!B27</f>
        <v>HCFM-0524</v>
      </c>
      <c r="D24" s="220" t="str">
        <f>VLOOKUP(C24,MEMBERS!B:C,2, )</f>
        <v>MR.MANOJ KUMAR</v>
      </c>
      <c r="E24" s="23"/>
      <c r="F24" s="23"/>
      <c r="G24" s="23"/>
      <c r="H24" s="23"/>
      <c r="I24" s="23"/>
      <c r="J24" s="23"/>
      <c r="K24" s="23"/>
      <c r="L24" s="221" t="s">
        <v>494</v>
      </c>
      <c r="M24" s="23"/>
      <c r="N24" s="225"/>
      <c r="O24" s="23"/>
      <c r="P24" s="23"/>
      <c r="Q24" s="225"/>
      <c r="R24" s="225"/>
      <c r="S24" s="225"/>
      <c r="T24" s="225"/>
      <c r="U24" s="225"/>
      <c r="V24" s="23"/>
      <c r="W24" s="223">
        <f>VLOOKUP(C24,'data base '!B:AA,26, )</f>
        <v>42489.5</v>
      </c>
      <c r="X24" s="223">
        <f>VLOOKUP(C24,'data base '!B:AD,27, )</f>
        <v>4248.95</v>
      </c>
      <c r="Y24" s="264"/>
      <c r="Z24" s="265"/>
      <c r="AA24" s="224">
        <f t="shared" si="0"/>
        <v>42489.5</v>
      </c>
      <c r="AB24" s="23"/>
      <c r="AC24" s="23"/>
      <c r="AD24" s="102"/>
    </row>
    <row r="25" spans="1:30" s="8" customFormat="1" ht="17.25" customHeight="1">
      <c r="A25" s="218">
        <v>24</v>
      </c>
      <c r="B25" s="219" t="s">
        <v>493</v>
      </c>
      <c r="C25" s="220" t="str">
        <f>MEMBERS!B28</f>
        <v>HCFM-0525</v>
      </c>
      <c r="D25" s="220" t="str">
        <f>VLOOKUP(C25,MEMBERS!B:C,2, )</f>
        <v>DR.SAJJAD AHMED SOLANGI</v>
      </c>
      <c r="E25" s="23"/>
      <c r="F25" s="23"/>
      <c r="G25" s="23"/>
      <c r="H25" s="23"/>
      <c r="I25" s="23"/>
      <c r="J25" s="23"/>
      <c r="K25" s="23"/>
      <c r="L25" s="221" t="s">
        <v>494</v>
      </c>
      <c r="M25" s="23"/>
      <c r="N25" s="225"/>
      <c r="O25" s="23"/>
      <c r="P25" s="23"/>
      <c r="Q25" s="225"/>
      <c r="R25" s="225"/>
      <c r="S25" s="225"/>
      <c r="T25" s="225"/>
      <c r="U25" s="225"/>
      <c r="V25" s="23"/>
      <c r="W25" s="223">
        <f>VLOOKUP(C25,'data base '!B:AA,26, )</f>
        <v>14095.5</v>
      </c>
      <c r="X25" s="223">
        <f>VLOOKUP(C25,'data base '!B:AD,27, )</f>
        <v>1409.5500000000002</v>
      </c>
      <c r="Y25" s="264"/>
      <c r="Z25" s="265"/>
      <c r="AA25" s="224">
        <f t="shared" si="0"/>
        <v>14095.5</v>
      </c>
      <c r="AB25" s="23"/>
      <c r="AC25" s="23"/>
      <c r="AD25" s="102"/>
    </row>
    <row r="26" spans="1:30" s="8" customFormat="1" ht="15.75" customHeight="1">
      <c r="A26" s="218">
        <v>25</v>
      </c>
      <c r="B26" s="219" t="s">
        <v>493</v>
      </c>
      <c r="C26" s="220" t="str">
        <f>MEMBERS!B29</f>
        <v>HCFM-0526</v>
      </c>
      <c r="D26" s="220" t="str">
        <f>VLOOKUP(C26,MEMBERS!B:C,2, )</f>
        <v>MR.MUIED AHMED DURRANI</v>
      </c>
      <c r="E26" s="23"/>
      <c r="F26" s="23"/>
      <c r="G26" s="23"/>
      <c r="H26" s="23"/>
      <c r="I26" s="23"/>
      <c r="J26" s="23"/>
      <c r="K26" s="23"/>
      <c r="L26" s="221" t="s">
        <v>494</v>
      </c>
      <c r="M26" s="23"/>
      <c r="N26" s="225"/>
      <c r="O26" s="23"/>
      <c r="P26" s="23"/>
      <c r="Q26" s="225"/>
      <c r="R26" s="225"/>
      <c r="S26" s="225"/>
      <c r="T26" s="225"/>
      <c r="U26" s="225"/>
      <c r="V26" s="23"/>
      <c r="W26" s="223">
        <f>VLOOKUP(C26,'data base '!B:AA,26, )</f>
        <v>20121.25</v>
      </c>
      <c r="X26" s="223">
        <f>VLOOKUP(C26,'data base '!B:AD,27, )</f>
        <v>2012.125</v>
      </c>
      <c r="Y26" s="264"/>
      <c r="Z26" s="265"/>
      <c r="AA26" s="224">
        <f t="shared" si="0"/>
        <v>20121.25</v>
      </c>
      <c r="AB26" s="23"/>
      <c r="AC26" s="23"/>
      <c r="AD26" s="102"/>
    </row>
    <row r="27" spans="1:30" s="8" customFormat="1" ht="15.75" customHeight="1">
      <c r="A27" s="218">
        <v>26</v>
      </c>
      <c r="B27" s="219" t="s">
        <v>493</v>
      </c>
      <c r="C27" s="220" t="str">
        <f>MEMBERS!B30</f>
        <v>HCFM-0527</v>
      </c>
      <c r="D27" s="220" t="str">
        <f>VLOOKUP(C27,MEMBERS!B:C,2, )</f>
        <v>MR.SAEED AHMED</v>
      </c>
      <c r="E27" s="23"/>
      <c r="F27" s="23"/>
      <c r="G27" s="23"/>
      <c r="H27" s="23"/>
      <c r="I27" s="23"/>
      <c r="J27" s="23"/>
      <c r="K27" s="23"/>
      <c r="L27" s="221" t="s">
        <v>494</v>
      </c>
      <c r="M27" s="23"/>
      <c r="N27" s="225"/>
      <c r="O27" s="23"/>
      <c r="P27" s="23"/>
      <c r="Q27" s="225"/>
      <c r="R27" s="225"/>
      <c r="S27" s="225"/>
      <c r="T27" s="225"/>
      <c r="U27" s="225"/>
      <c r="V27" s="23"/>
      <c r="W27" s="223">
        <f>VLOOKUP(C27,'data base '!B:AA,26, )</f>
        <v>15847</v>
      </c>
      <c r="X27" s="223">
        <f>VLOOKUP(C27,'data base '!B:AD,27, )</f>
        <v>700</v>
      </c>
      <c r="Y27" s="264"/>
      <c r="Z27" s="265"/>
      <c r="AA27" s="224">
        <f t="shared" si="0"/>
        <v>15847</v>
      </c>
      <c r="AB27" s="23"/>
      <c r="AC27" s="23"/>
      <c r="AD27" s="102"/>
    </row>
    <row r="28" spans="1:30" s="8" customFormat="1" ht="15.75" customHeight="1">
      <c r="A28" s="218">
        <v>27</v>
      </c>
      <c r="B28" s="219" t="s">
        <v>493</v>
      </c>
      <c r="C28" s="220" t="str">
        <f>MEMBERS!B31</f>
        <v>HCFM-0528</v>
      </c>
      <c r="D28" s="220" t="str">
        <f>VLOOKUP(C28,MEMBERS!B:C,2, )</f>
        <v>MR.VIKASH KUMAR</v>
      </c>
      <c r="E28" s="23"/>
      <c r="F28" s="23"/>
      <c r="G28" s="23"/>
      <c r="H28" s="23"/>
      <c r="I28" s="23"/>
      <c r="J28" s="23"/>
      <c r="K28" s="23"/>
      <c r="L28" s="221" t="s">
        <v>494</v>
      </c>
      <c r="M28" s="23"/>
      <c r="N28" s="225"/>
      <c r="O28" s="23"/>
      <c r="P28" s="23"/>
      <c r="Q28" s="225"/>
      <c r="R28" s="225"/>
      <c r="S28" s="225"/>
      <c r="T28" s="225"/>
      <c r="U28" s="225"/>
      <c r="V28" s="23"/>
      <c r="W28" s="223">
        <f>VLOOKUP(C28,'data base '!B:AA,26, )</f>
        <v>29852</v>
      </c>
      <c r="X28" s="223">
        <f>VLOOKUP(C28,'data base '!B:AD,27, )</f>
        <v>700</v>
      </c>
      <c r="Y28" s="264"/>
      <c r="Z28" s="265"/>
      <c r="AA28" s="224">
        <f t="shared" si="0"/>
        <v>29852</v>
      </c>
      <c r="AB28" s="23"/>
      <c r="AC28" s="23"/>
      <c r="AD28" s="102"/>
    </row>
    <row r="29" spans="1:30" s="8" customFormat="1" ht="15.75" customHeight="1">
      <c r="A29" s="218">
        <v>28</v>
      </c>
      <c r="B29" s="219" t="s">
        <v>493</v>
      </c>
      <c r="C29" s="220" t="str">
        <f>MEMBERS!B32</f>
        <v>HCFM-0529</v>
      </c>
      <c r="D29" s="220" t="str">
        <f>VLOOKUP(C29,MEMBERS!B:C,2, )</f>
        <v>DR.UMER QAZI</v>
      </c>
      <c r="E29" s="23"/>
      <c r="F29" s="23"/>
      <c r="G29" s="23"/>
      <c r="H29" s="23"/>
      <c r="I29" s="23"/>
      <c r="J29" s="23"/>
      <c r="K29" s="23"/>
      <c r="L29" s="221" t="s">
        <v>494</v>
      </c>
      <c r="M29" s="23"/>
      <c r="N29" s="225"/>
      <c r="O29" s="23"/>
      <c r="P29" s="23"/>
      <c r="Q29" s="225"/>
      <c r="R29" s="225"/>
      <c r="S29" s="225"/>
      <c r="T29" s="225"/>
      <c r="U29" s="225"/>
      <c r="V29" s="23"/>
      <c r="W29" s="223">
        <f>VLOOKUP(C29,'data base '!B:AA,26, )</f>
        <v>65491</v>
      </c>
      <c r="X29" s="223">
        <f>VLOOKUP(C29,'data base '!B:AD,27, )</f>
        <v>1923.1000000000001</v>
      </c>
      <c r="Y29" s="264"/>
      <c r="Z29" s="265"/>
      <c r="AA29" s="224">
        <f t="shared" si="0"/>
        <v>65491</v>
      </c>
      <c r="AB29" s="23"/>
      <c r="AC29" s="23"/>
      <c r="AD29" s="102"/>
    </row>
    <row r="30" spans="1:30" s="8" customFormat="1" ht="15.75" customHeight="1">
      <c r="A30" s="218">
        <v>29</v>
      </c>
      <c r="B30" s="219" t="s">
        <v>493</v>
      </c>
      <c r="C30" s="220" t="str">
        <f>MEMBERS!B33</f>
        <v>HCFM-0530</v>
      </c>
      <c r="D30" s="220" t="str">
        <f>VLOOKUP(C30,MEMBERS!B:C,2, )</f>
        <v>MR.MUHAMMAD HANIF</v>
      </c>
      <c r="E30" s="23"/>
      <c r="F30" s="23"/>
      <c r="G30" s="23"/>
      <c r="H30" s="23"/>
      <c r="I30" s="23"/>
      <c r="J30" s="23"/>
      <c r="K30" s="23"/>
      <c r="L30" s="221" t="s">
        <v>494</v>
      </c>
      <c r="M30" s="23"/>
      <c r="N30" s="225"/>
      <c r="O30" s="23"/>
      <c r="P30" s="23"/>
      <c r="Q30" s="225"/>
      <c r="R30" s="225"/>
      <c r="S30" s="225"/>
      <c r="T30" s="225"/>
      <c r="U30" s="225"/>
      <c r="V30" s="23"/>
      <c r="W30" s="223">
        <f>VLOOKUP(C30,'data base '!B:AA,26, )</f>
        <v>70825</v>
      </c>
      <c r="X30" s="223">
        <f>VLOOKUP(C30,'data base '!B:AD,27, )</f>
        <v>3247.5</v>
      </c>
      <c r="Y30" s="264"/>
      <c r="Z30" s="265"/>
      <c r="AA30" s="224">
        <f t="shared" si="0"/>
        <v>70825</v>
      </c>
      <c r="AB30" s="23"/>
      <c r="AC30" s="23"/>
      <c r="AD30" s="102"/>
    </row>
    <row r="31" spans="1:30" s="8" customFormat="1" ht="15.75" customHeight="1">
      <c r="A31" s="218">
        <v>30</v>
      </c>
      <c r="B31" s="219" t="s">
        <v>493</v>
      </c>
      <c r="C31" s="220" t="str">
        <f>MEMBERS!B34</f>
        <v>HCFM-0532</v>
      </c>
      <c r="D31" s="220" t="str">
        <f>VLOOKUP(C31,MEMBERS!B:C,2, )</f>
        <v>MR.KHALID JAVED</v>
      </c>
      <c r="E31" s="23"/>
      <c r="F31" s="23"/>
      <c r="G31" s="23"/>
      <c r="H31" s="23"/>
      <c r="I31" s="23"/>
      <c r="J31" s="23"/>
      <c r="K31" s="23"/>
      <c r="L31" s="221" t="s">
        <v>494</v>
      </c>
      <c r="M31" s="23"/>
      <c r="N31" s="225"/>
      <c r="O31" s="23"/>
      <c r="P31" s="23"/>
      <c r="Q31" s="225"/>
      <c r="R31" s="225"/>
      <c r="S31" s="225"/>
      <c r="T31" s="225"/>
      <c r="U31" s="225"/>
      <c r="V31" s="23"/>
      <c r="W31" s="223">
        <f>VLOOKUP(C31,'data base '!B:AA,26, )</f>
        <v>14302.5</v>
      </c>
      <c r="X31" s="223">
        <f>VLOOKUP(C31,'data base '!B:AD,27, )</f>
        <v>1430.25</v>
      </c>
      <c r="Y31" s="264"/>
      <c r="Z31" s="265"/>
      <c r="AA31" s="224">
        <f t="shared" si="0"/>
        <v>14302.5</v>
      </c>
      <c r="AB31" s="23"/>
      <c r="AC31" s="23"/>
      <c r="AD31" s="102"/>
    </row>
    <row r="32" spans="1:30" s="8" customFormat="1" ht="15.75" customHeight="1">
      <c r="A32" s="218">
        <v>31</v>
      </c>
      <c r="B32" s="219" t="s">
        <v>493</v>
      </c>
      <c r="C32" s="220" t="str">
        <f>MEMBERS!B35</f>
        <v>HCFM-0533</v>
      </c>
      <c r="D32" s="220" t="str">
        <f>VLOOKUP(C32,MEMBERS!B:C,2, )</f>
        <v>MR.ZULQARNAIN</v>
      </c>
      <c r="E32" s="23"/>
      <c r="F32" s="23"/>
      <c r="G32" s="23"/>
      <c r="H32" s="23"/>
      <c r="I32" s="23"/>
      <c r="J32" s="23"/>
      <c r="K32" s="23"/>
      <c r="L32" s="221" t="s">
        <v>494</v>
      </c>
      <c r="M32" s="23"/>
      <c r="N32" s="225"/>
      <c r="O32" s="23"/>
      <c r="P32" s="23"/>
      <c r="Q32" s="225"/>
      <c r="R32" s="225"/>
      <c r="S32" s="225"/>
      <c r="T32" s="225"/>
      <c r="U32" s="225"/>
      <c r="V32" s="23"/>
      <c r="W32" s="223">
        <f>VLOOKUP(C32,'data base '!B:AA,26, )</f>
        <v>26670</v>
      </c>
      <c r="X32" s="223">
        <f>VLOOKUP(C32,'data base '!B:AD,27, )</f>
        <v>2667</v>
      </c>
      <c r="Y32" s="264"/>
      <c r="Z32" s="265"/>
      <c r="AA32" s="224">
        <f t="shared" si="0"/>
        <v>26670</v>
      </c>
      <c r="AB32" s="23"/>
      <c r="AC32" s="23"/>
      <c r="AD32" s="102"/>
    </row>
    <row r="33" spans="1:30" s="8" customFormat="1" ht="15.75" customHeight="1">
      <c r="A33" s="218">
        <v>32</v>
      </c>
      <c r="B33" s="219" t="s">
        <v>493</v>
      </c>
      <c r="C33" s="220" t="str">
        <f>MEMBERS!B36</f>
        <v>HCFM-0534</v>
      </c>
      <c r="D33" s="220" t="str">
        <f>VLOOKUP(C33,MEMBERS!B:C,2, )</f>
        <v>MR.PIR MUJEEB JAN SARHANDI</v>
      </c>
      <c r="E33" s="23"/>
      <c r="F33" s="23"/>
      <c r="G33" s="23"/>
      <c r="H33" s="23"/>
      <c r="I33" s="23"/>
      <c r="J33" s="23"/>
      <c r="K33" s="23"/>
      <c r="L33" s="221" t="s">
        <v>494</v>
      </c>
      <c r="M33" s="23"/>
      <c r="N33" s="225"/>
      <c r="O33" s="23"/>
      <c r="P33" s="23"/>
      <c r="Q33" s="225"/>
      <c r="R33" s="225"/>
      <c r="S33" s="225"/>
      <c r="T33" s="225"/>
      <c r="U33" s="225"/>
      <c r="V33" s="23"/>
      <c r="W33" s="223">
        <f>VLOOKUP(C33,'data base '!B:AA,26, )</f>
        <v>29320.85</v>
      </c>
      <c r="X33" s="223">
        <f>VLOOKUP(C33,'data base '!B:AD,27, )</f>
        <v>1700.885</v>
      </c>
      <c r="Y33" s="264"/>
      <c r="Z33" s="265"/>
      <c r="AA33" s="224">
        <f t="shared" si="0"/>
        <v>29320.85</v>
      </c>
      <c r="AB33" s="23"/>
      <c r="AC33" s="23"/>
      <c r="AD33" s="102"/>
    </row>
    <row r="34" spans="1:30" s="8" customFormat="1" ht="15.75" customHeight="1">
      <c r="A34" s="218">
        <v>33</v>
      </c>
      <c r="B34" s="219" t="s">
        <v>493</v>
      </c>
      <c r="C34" s="220" t="str">
        <f>MEMBERS!B37</f>
        <v>HCFM-0535</v>
      </c>
      <c r="D34" s="220" t="str">
        <f>VLOOKUP(C34,MEMBERS!B:C,2, )</f>
        <v>MR.MUHAMMAD ASIF</v>
      </c>
      <c r="E34" s="23"/>
      <c r="F34" s="23"/>
      <c r="G34" s="23"/>
      <c r="H34" s="23"/>
      <c r="I34" s="23"/>
      <c r="J34" s="23"/>
      <c r="K34" s="23"/>
      <c r="L34" s="221" t="s">
        <v>494</v>
      </c>
      <c r="M34" s="23"/>
      <c r="N34" s="225"/>
      <c r="O34" s="23"/>
      <c r="P34" s="23"/>
      <c r="Q34" s="225"/>
      <c r="R34" s="225"/>
      <c r="S34" s="225"/>
      <c r="T34" s="225"/>
      <c r="U34" s="225"/>
      <c r="V34" s="23"/>
      <c r="W34" s="223">
        <f>VLOOKUP(C34,'data base '!B:AA,26, )</f>
        <v>17870</v>
      </c>
      <c r="X34" s="223">
        <f>VLOOKUP(C34,'data base '!B:AD,27, )</f>
        <v>700</v>
      </c>
      <c r="Y34" s="264"/>
      <c r="Z34" s="265"/>
      <c r="AA34" s="224">
        <f t="shared" si="0"/>
        <v>17870</v>
      </c>
      <c r="AB34" s="25"/>
      <c r="AC34" s="25"/>
      <c r="AD34" s="102"/>
    </row>
    <row r="35" spans="1:30" s="8" customFormat="1" ht="15.75" customHeight="1">
      <c r="A35" s="218">
        <v>34</v>
      </c>
      <c r="B35" s="219" t="s">
        <v>493</v>
      </c>
      <c r="C35" s="220" t="str">
        <f>MEMBERS!B38</f>
        <v>HCFM-0536</v>
      </c>
      <c r="D35" s="220" t="str">
        <f>VLOOKUP(C35,MEMBERS!B:C,2, )</f>
        <v>MR.ASHOK KUMAR</v>
      </c>
      <c r="E35" s="23"/>
      <c r="F35" s="23"/>
      <c r="G35" s="23"/>
      <c r="H35" s="23"/>
      <c r="I35" s="23"/>
      <c r="J35" s="23"/>
      <c r="K35" s="23"/>
      <c r="L35" s="221" t="s">
        <v>494</v>
      </c>
      <c r="M35" s="23"/>
      <c r="N35" s="225"/>
      <c r="O35" s="23"/>
      <c r="P35" s="23"/>
      <c r="Q35" s="225"/>
      <c r="R35" s="225"/>
      <c r="S35" s="225"/>
      <c r="T35" s="225"/>
      <c r="U35" s="225"/>
      <c r="V35" s="23"/>
      <c r="W35" s="223">
        <f>VLOOKUP(C35,'data base '!B:AA,26, )</f>
        <v>18140</v>
      </c>
      <c r="X35" s="223">
        <f>VLOOKUP(C35,'data base '!B:AD,27, )</f>
        <v>1814</v>
      </c>
      <c r="Y35" s="264"/>
      <c r="Z35" s="265"/>
      <c r="AA35" s="224">
        <f t="shared" si="0"/>
        <v>18140</v>
      </c>
      <c r="AB35" s="23"/>
      <c r="AC35" s="23"/>
      <c r="AD35" s="102"/>
    </row>
    <row r="36" spans="1:30" s="8" customFormat="1" ht="15.75" customHeight="1">
      <c r="A36" s="218">
        <v>35</v>
      </c>
      <c r="B36" s="219" t="s">
        <v>493</v>
      </c>
      <c r="C36" s="220" t="str">
        <f>MEMBERS!B39</f>
        <v>HCFM-0538</v>
      </c>
      <c r="D36" s="220" t="str">
        <f>VLOOKUP(C36,MEMBERS!B:C,2, )</f>
        <v>MR.MUHAMMAD ZAIN</v>
      </c>
      <c r="E36" s="23"/>
      <c r="F36" s="23"/>
      <c r="G36" s="23"/>
      <c r="H36" s="23"/>
      <c r="I36" s="23"/>
      <c r="J36" s="23"/>
      <c r="K36" s="23"/>
      <c r="L36" s="221" t="s">
        <v>494</v>
      </c>
      <c r="M36" s="23"/>
      <c r="N36" s="225"/>
      <c r="O36" s="23"/>
      <c r="P36" s="23"/>
      <c r="Q36" s="225"/>
      <c r="R36" s="225"/>
      <c r="S36" s="225"/>
      <c r="T36" s="225"/>
      <c r="U36" s="225"/>
      <c r="V36" s="23"/>
      <c r="W36" s="223">
        <f>VLOOKUP(C36,'data base '!B:AA,26, )</f>
        <v>7600</v>
      </c>
      <c r="X36" s="223">
        <f>VLOOKUP(C36,'data base '!B:AD,27, )</f>
        <v>760</v>
      </c>
      <c r="Y36" s="264"/>
      <c r="Z36" s="265"/>
      <c r="AA36" s="224">
        <f t="shared" si="0"/>
        <v>7600</v>
      </c>
      <c r="AB36" s="23"/>
      <c r="AC36" s="23"/>
      <c r="AD36" s="102"/>
    </row>
    <row r="37" spans="1:30" s="8" customFormat="1" ht="15.75" customHeight="1">
      <c r="A37" s="218">
        <v>36</v>
      </c>
      <c r="B37" s="219" t="s">
        <v>493</v>
      </c>
      <c r="C37" s="220" t="str">
        <f>MEMBERS!B40</f>
        <v>HCFM-0539</v>
      </c>
      <c r="D37" s="220" t="str">
        <f>VLOOKUP(C37,MEMBERS!B:C,2, )</f>
        <v>MR.QAMARUZZAMAN</v>
      </c>
      <c r="E37" s="23"/>
      <c r="F37" s="23"/>
      <c r="G37" s="23"/>
      <c r="H37" s="23"/>
      <c r="I37" s="23"/>
      <c r="J37" s="23"/>
      <c r="K37" s="23"/>
      <c r="L37" s="221" t="s">
        <v>494</v>
      </c>
      <c r="M37" s="23"/>
      <c r="N37" s="225"/>
      <c r="O37" s="23"/>
      <c r="P37" s="23"/>
      <c r="Q37" s="225"/>
      <c r="R37" s="225"/>
      <c r="S37" s="225"/>
      <c r="T37" s="225"/>
      <c r="U37" s="225"/>
      <c r="V37" s="23"/>
      <c r="W37" s="223">
        <f>VLOOKUP(C37,'data base '!B:AA,26, )</f>
        <v>18327.5</v>
      </c>
      <c r="X37" s="223">
        <f>VLOOKUP(C37,'data base '!B:AD,27, )</f>
        <v>1832.75</v>
      </c>
      <c r="Y37" s="264"/>
      <c r="Z37" s="265"/>
      <c r="AA37" s="224">
        <f t="shared" si="0"/>
        <v>18327.5</v>
      </c>
      <c r="AB37" s="23"/>
      <c r="AC37" s="23"/>
      <c r="AD37" s="102"/>
    </row>
    <row r="38" spans="1:30" s="8" customFormat="1" ht="15.75" customHeight="1">
      <c r="A38" s="218">
        <v>37</v>
      </c>
      <c r="B38" s="219" t="s">
        <v>493</v>
      </c>
      <c r="C38" s="220" t="str">
        <f>MEMBERS!B41</f>
        <v>HCFM-0540</v>
      </c>
      <c r="D38" s="220" t="str">
        <f>VLOOKUP(C38,MEMBERS!B:C,2, )</f>
        <v>MR.MUHAMMAD SALIQ SIDDIQUI</v>
      </c>
      <c r="E38" s="23"/>
      <c r="F38" s="23"/>
      <c r="G38" s="23"/>
      <c r="H38" s="23"/>
      <c r="I38" s="23"/>
      <c r="J38" s="23"/>
      <c r="K38" s="23"/>
      <c r="L38" s="221" t="s">
        <v>494</v>
      </c>
      <c r="M38" s="23"/>
      <c r="N38" s="225"/>
      <c r="O38" s="23"/>
      <c r="P38" s="23"/>
      <c r="Q38" s="225"/>
      <c r="R38" s="225"/>
      <c r="S38" s="225"/>
      <c r="T38" s="225"/>
      <c r="U38" s="225"/>
      <c r="V38" s="23"/>
      <c r="W38" s="223">
        <f>VLOOKUP(C38,'data base '!B:AA,26, )</f>
        <v>47868.5</v>
      </c>
      <c r="X38" s="223">
        <f>VLOOKUP(C38,'data base '!B:AD,27, )</f>
        <v>1160.75</v>
      </c>
      <c r="Y38" s="264"/>
      <c r="Z38" s="265"/>
      <c r="AA38" s="224">
        <f t="shared" si="0"/>
        <v>47868.5</v>
      </c>
      <c r="AB38" s="23"/>
      <c r="AC38" s="23"/>
      <c r="AD38" s="102"/>
    </row>
    <row r="39" spans="1:30" s="8" customFormat="1" ht="15.75" customHeight="1">
      <c r="A39" s="218">
        <v>38</v>
      </c>
      <c r="B39" s="219" t="s">
        <v>493</v>
      </c>
      <c r="C39" s="220" t="str">
        <f>MEMBERS!B42</f>
        <v>HCFM-0541</v>
      </c>
      <c r="D39" s="220" t="str">
        <f>VLOOKUP(C39,MEMBERS!B:C,2, )</f>
        <v>MR.SHAN ELAHI SEHGAL</v>
      </c>
      <c r="E39" s="23"/>
      <c r="F39" s="23"/>
      <c r="G39" s="23"/>
      <c r="H39" s="23"/>
      <c r="I39" s="23"/>
      <c r="J39" s="23"/>
      <c r="K39" s="23"/>
      <c r="L39" s="221" t="s">
        <v>494</v>
      </c>
      <c r="M39" s="23"/>
      <c r="N39" s="225"/>
      <c r="O39" s="23"/>
      <c r="P39" s="23"/>
      <c r="Q39" s="225"/>
      <c r="R39" s="225"/>
      <c r="S39" s="225"/>
      <c r="T39" s="225"/>
      <c r="U39" s="225"/>
      <c r="V39" s="23"/>
      <c r="W39" s="223">
        <f>VLOOKUP(C39,'data base '!B:AA,26, )</f>
        <v>58635.1</v>
      </c>
      <c r="X39" s="223">
        <f>VLOOKUP(C39,'data base '!B:AD,27, )</f>
        <v>5863.51</v>
      </c>
      <c r="Y39" s="264"/>
      <c r="Z39" s="265"/>
      <c r="AA39" s="224">
        <f t="shared" si="0"/>
        <v>58635.1</v>
      </c>
      <c r="AB39" s="23"/>
      <c r="AC39" s="23"/>
      <c r="AD39" s="102"/>
    </row>
    <row r="40" spans="1:30" s="8" customFormat="1" ht="15.75" customHeight="1">
      <c r="A40" s="218">
        <v>39</v>
      </c>
      <c r="B40" s="219" t="s">
        <v>493</v>
      </c>
      <c r="C40" s="220" t="str">
        <f>MEMBERS!B43</f>
        <v>HCFM-0542</v>
      </c>
      <c r="D40" s="220" t="str">
        <f>VLOOKUP(C40,MEMBERS!B:C,2, )</f>
        <v>MR.HANIF AHSAN ZUBEDI</v>
      </c>
      <c r="E40" s="23"/>
      <c r="F40" s="23"/>
      <c r="G40" s="23"/>
      <c r="H40" s="23"/>
      <c r="I40" s="23"/>
      <c r="J40" s="23"/>
      <c r="K40" s="23"/>
      <c r="L40" s="221" t="s">
        <v>494</v>
      </c>
      <c r="M40" s="23"/>
      <c r="N40" s="225"/>
      <c r="O40" s="23"/>
      <c r="P40" s="23"/>
      <c r="Q40" s="225"/>
      <c r="R40" s="225"/>
      <c r="S40" s="225"/>
      <c r="T40" s="225"/>
      <c r="U40" s="225"/>
      <c r="V40" s="23"/>
      <c r="W40" s="223">
        <f>VLOOKUP(C40,'data base '!B:AA,26, )</f>
        <v>88561.25</v>
      </c>
      <c r="X40" s="223">
        <f>VLOOKUP(C40,'data base '!B:AD,27, )</f>
        <v>8856.125</v>
      </c>
      <c r="Y40" s="264"/>
      <c r="Z40" s="265"/>
      <c r="AA40" s="224">
        <f t="shared" si="0"/>
        <v>88561.25</v>
      </c>
      <c r="AB40" s="23"/>
      <c r="AC40" s="23"/>
      <c r="AD40" s="102"/>
    </row>
    <row r="41" spans="1:30" s="8" customFormat="1" ht="15.75" customHeight="1">
      <c r="A41" s="218">
        <v>40</v>
      </c>
      <c r="B41" s="219" t="s">
        <v>493</v>
      </c>
      <c r="C41" s="220" t="str">
        <f>MEMBERS!B44</f>
        <v>HCFM-0543</v>
      </c>
      <c r="D41" s="220" t="str">
        <f>VLOOKUP(C41,MEMBERS!B:C,2, )</f>
        <v>MR.MUHAMMAD ATIF USMANI</v>
      </c>
      <c r="E41" s="23"/>
      <c r="F41" s="23"/>
      <c r="G41" s="23"/>
      <c r="H41" s="23"/>
      <c r="I41" s="23"/>
      <c r="J41" s="23"/>
      <c r="K41" s="23"/>
      <c r="L41" s="221" t="s">
        <v>494</v>
      </c>
      <c r="M41" s="23"/>
      <c r="N41" s="225"/>
      <c r="O41" s="23"/>
      <c r="P41" s="23"/>
      <c r="Q41" s="225"/>
      <c r="R41" s="225"/>
      <c r="S41" s="225"/>
      <c r="T41" s="225"/>
      <c r="U41" s="225"/>
      <c r="V41" s="23"/>
      <c r="W41" s="223">
        <f>VLOOKUP(C41,'data base '!B:AA,26, )</f>
        <v>14606</v>
      </c>
      <c r="X41" s="223">
        <f>VLOOKUP(C41,'data base '!B:AD,27, )</f>
        <v>1460.6000000000001</v>
      </c>
      <c r="Y41" s="264"/>
      <c r="Z41" s="265"/>
      <c r="AA41" s="224">
        <f t="shared" si="0"/>
        <v>14606</v>
      </c>
      <c r="AB41" s="23"/>
      <c r="AC41" s="23"/>
      <c r="AD41" s="102"/>
    </row>
    <row r="42" spans="1:30" s="8" customFormat="1" ht="15.75" customHeight="1">
      <c r="A42" s="218">
        <v>41</v>
      </c>
      <c r="B42" s="219" t="s">
        <v>493</v>
      </c>
      <c r="C42" s="220" t="str">
        <f>MEMBERS!B45</f>
        <v>HCFM-0544</v>
      </c>
      <c r="D42" s="220" t="str">
        <f>VLOOKUP(C42,MEMBERS!B:C,2, )</f>
        <v>MR.MOHAMMAD ASHRAF SHAIKH</v>
      </c>
      <c r="E42" s="23"/>
      <c r="F42" s="23"/>
      <c r="G42" s="23"/>
      <c r="H42" s="23"/>
      <c r="I42" s="23"/>
      <c r="J42" s="23"/>
      <c r="K42" s="23"/>
      <c r="L42" s="221" t="s">
        <v>494</v>
      </c>
      <c r="M42" s="23"/>
      <c r="N42" s="225"/>
      <c r="O42" s="23"/>
      <c r="P42" s="23"/>
      <c r="Q42" s="225"/>
      <c r="R42" s="225"/>
      <c r="S42" s="225"/>
      <c r="T42" s="225"/>
      <c r="U42" s="225"/>
      <c r="V42" s="23"/>
      <c r="W42" s="223">
        <f>VLOOKUP(C42,'data base '!B:AA,26, )</f>
        <v>66850</v>
      </c>
      <c r="X42" s="223">
        <f>VLOOKUP(C42,'data base '!B:AD,27, )</f>
        <v>790</v>
      </c>
      <c r="Y42" s="264"/>
      <c r="Z42" s="265"/>
      <c r="AA42" s="224">
        <f t="shared" si="0"/>
        <v>66850</v>
      </c>
      <c r="AB42" s="23"/>
      <c r="AC42" s="23"/>
      <c r="AD42" s="102"/>
    </row>
    <row r="43" spans="1:30" s="8" customFormat="1" ht="15.75" customHeight="1">
      <c r="A43" s="218">
        <v>42</v>
      </c>
      <c r="B43" s="219"/>
      <c r="C43" s="220" t="str">
        <f>MEMBERS!B46</f>
        <v>HCFM-0545</v>
      </c>
      <c r="D43" s="220" t="str">
        <f>VLOOKUP(C43,MEMBERS!B:C,2, )</f>
        <v>MR. HASAN KARIM</v>
      </c>
      <c r="E43" s="23"/>
      <c r="F43" s="23"/>
      <c r="G43" s="23"/>
      <c r="H43" s="23"/>
      <c r="I43" s="23"/>
      <c r="J43" s="23"/>
      <c r="K43" s="23"/>
      <c r="L43" s="221"/>
      <c r="M43" s="23"/>
      <c r="N43" s="225"/>
      <c r="O43" s="23"/>
      <c r="P43" s="23"/>
      <c r="Q43" s="225"/>
      <c r="R43" s="225"/>
      <c r="S43" s="225"/>
      <c r="T43" s="225"/>
      <c r="U43" s="225"/>
      <c r="V43" s="23"/>
      <c r="W43" s="223">
        <f>VLOOKUP(C43,'data base '!B:AA,26, )</f>
        <v>67046.3</v>
      </c>
      <c r="X43" s="223">
        <f>VLOOKUP(C43,'data base '!B:AD,27, )</f>
        <v>6704.630000000001</v>
      </c>
      <c r="Y43" s="264"/>
      <c r="Z43" s="265"/>
      <c r="AA43" s="224">
        <f t="shared" si="0"/>
        <v>67046.3</v>
      </c>
      <c r="AB43" s="23"/>
      <c r="AC43" s="23"/>
      <c r="AD43" s="102"/>
    </row>
    <row r="44" spans="1:30" s="8" customFormat="1" ht="15.75" customHeight="1">
      <c r="A44" s="218">
        <v>43</v>
      </c>
      <c r="B44" s="219" t="s">
        <v>493</v>
      </c>
      <c r="C44" s="220" t="str">
        <f>MEMBERS!B47</f>
        <v>HCFM-0546</v>
      </c>
      <c r="D44" s="220" t="str">
        <f>VLOOKUP(C44,MEMBERS!B:C,2, )</f>
        <v>MR.ATHER TARIQ</v>
      </c>
      <c r="E44" s="23"/>
      <c r="F44" s="23"/>
      <c r="G44" s="23"/>
      <c r="H44" s="23"/>
      <c r="I44" s="23"/>
      <c r="J44" s="23"/>
      <c r="K44" s="23"/>
      <c r="L44" s="221" t="s">
        <v>494</v>
      </c>
      <c r="M44" s="23"/>
      <c r="N44" s="225"/>
      <c r="O44" s="23"/>
      <c r="P44" s="23"/>
      <c r="Q44" s="225"/>
      <c r="R44" s="225"/>
      <c r="S44" s="225"/>
      <c r="T44" s="225"/>
      <c r="U44" s="225"/>
      <c r="V44" s="23"/>
      <c r="W44" s="223">
        <f>VLOOKUP(C44,'data base '!B:AA,26, )</f>
        <v>7300</v>
      </c>
      <c r="X44" s="223">
        <f>VLOOKUP(C44,'data base '!B:AD,27, )</f>
        <v>730</v>
      </c>
      <c r="Y44" s="264"/>
      <c r="Z44" s="265"/>
      <c r="AA44" s="230">
        <f t="shared" si="0"/>
        <v>7300</v>
      </c>
      <c r="AB44" s="23"/>
      <c r="AC44" s="23"/>
      <c r="AD44" s="102"/>
    </row>
    <row r="45" spans="1:30" s="8" customFormat="1" ht="15.75" customHeight="1">
      <c r="A45" s="218">
        <v>44</v>
      </c>
      <c r="B45" s="219" t="s">
        <v>493</v>
      </c>
      <c r="C45" s="220" t="str">
        <f>MEMBERS!B48</f>
        <v>HCFM-0547</v>
      </c>
      <c r="D45" s="220" t="str">
        <f>VLOOKUP(C45,MEMBERS!B:C,2, )</f>
        <v>MR.GOBIND RAM</v>
      </c>
      <c r="E45" s="23"/>
      <c r="F45" s="23"/>
      <c r="G45" s="23"/>
      <c r="H45" s="23"/>
      <c r="I45" s="23"/>
      <c r="J45" s="23"/>
      <c r="K45" s="23"/>
      <c r="L45" s="221" t="s">
        <v>494</v>
      </c>
      <c r="M45" s="23"/>
      <c r="N45" s="225"/>
      <c r="O45" s="23"/>
      <c r="P45" s="23"/>
      <c r="Q45" s="225"/>
      <c r="R45" s="225"/>
      <c r="S45" s="225"/>
      <c r="T45" s="225"/>
      <c r="U45" s="225"/>
      <c r="V45" s="23"/>
      <c r="W45" s="223">
        <f>VLOOKUP(C45,'data base '!B:AA,26, )</f>
        <v>40021</v>
      </c>
      <c r="X45" s="223">
        <f>VLOOKUP(C45,'data base '!B:AD,27, )</f>
        <v>700</v>
      </c>
      <c r="Y45" s="264"/>
      <c r="Z45" s="265"/>
      <c r="AA45" s="224">
        <f t="shared" si="0"/>
        <v>40021</v>
      </c>
      <c r="AB45" s="23"/>
      <c r="AC45" s="23"/>
      <c r="AD45" s="102"/>
    </row>
    <row r="46" spans="1:30" s="8" customFormat="1" ht="15.75" customHeight="1">
      <c r="A46" s="218">
        <v>45</v>
      </c>
      <c r="B46" s="219" t="s">
        <v>493</v>
      </c>
      <c r="C46" s="220" t="str">
        <f>MEMBERS!B49</f>
        <v>HCFM-0548</v>
      </c>
      <c r="D46" s="220" t="str">
        <f>VLOOKUP(C46,MEMBERS!B:C,2, )</f>
        <v>MR.ZAIN FAROOQ</v>
      </c>
      <c r="E46" s="23"/>
      <c r="F46" s="23"/>
      <c r="G46" s="23"/>
      <c r="H46" s="23"/>
      <c r="I46" s="23"/>
      <c r="J46" s="23"/>
      <c r="K46" s="23"/>
      <c r="L46" s="221" t="s">
        <v>494</v>
      </c>
      <c r="M46" s="23"/>
      <c r="N46" s="225"/>
      <c r="O46" s="23"/>
      <c r="P46" s="23"/>
      <c r="Q46" s="225"/>
      <c r="R46" s="225"/>
      <c r="S46" s="225"/>
      <c r="T46" s="225"/>
      <c r="U46" s="225"/>
      <c r="V46" s="23"/>
      <c r="W46" s="223">
        <f>VLOOKUP(C46,'data base '!B:AA,26, )</f>
        <v>26160</v>
      </c>
      <c r="X46" s="223">
        <f>VLOOKUP(C46,'data base '!B:AD,27, )</f>
        <v>2616</v>
      </c>
      <c r="Y46" s="264"/>
      <c r="Z46" s="265"/>
      <c r="AA46" s="224">
        <f t="shared" si="0"/>
        <v>26160</v>
      </c>
      <c r="AB46" s="23"/>
      <c r="AC46" s="23"/>
      <c r="AD46" s="102"/>
    </row>
    <row r="47" spans="1:30" s="8" customFormat="1" ht="15.75" customHeight="1">
      <c r="A47" s="218">
        <v>46</v>
      </c>
      <c r="B47" s="219" t="s">
        <v>493</v>
      </c>
      <c r="C47" s="220" t="str">
        <f>MEMBERS!B50</f>
        <v>HCFM-0549</v>
      </c>
      <c r="D47" s="220" t="str">
        <f>VLOOKUP(C47,MEMBERS!B:C,2, )</f>
        <v>MR.WAQAR UDDIN</v>
      </c>
      <c r="E47" s="23"/>
      <c r="F47" s="23"/>
      <c r="G47" s="23"/>
      <c r="H47" s="23"/>
      <c r="I47" s="23"/>
      <c r="J47" s="23"/>
      <c r="K47" s="23"/>
      <c r="L47" s="221" t="s">
        <v>494</v>
      </c>
      <c r="M47" s="23"/>
      <c r="N47" s="225"/>
      <c r="O47" s="23"/>
      <c r="P47" s="23"/>
      <c r="Q47" s="225"/>
      <c r="R47" s="225"/>
      <c r="S47" s="225"/>
      <c r="T47" s="225"/>
      <c r="U47" s="225"/>
      <c r="V47" s="23"/>
      <c r="W47" s="223">
        <f>VLOOKUP(C47,'data base '!B:AA,26, )</f>
        <v>36901.050000000003</v>
      </c>
      <c r="X47" s="223">
        <f>VLOOKUP(C47,'data base '!B:AD,27, )</f>
        <v>2787.8050000000003</v>
      </c>
      <c r="Y47" s="264"/>
      <c r="Z47" s="265"/>
      <c r="AA47" s="224">
        <f t="shared" si="0"/>
        <v>36901.050000000003</v>
      </c>
      <c r="AB47" s="23"/>
      <c r="AC47" s="23"/>
      <c r="AD47" s="102"/>
    </row>
    <row r="48" spans="1:30" s="8" customFormat="1" ht="15.75" customHeight="1">
      <c r="A48" s="218">
        <v>47</v>
      </c>
      <c r="B48" s="219" t="s">
        <v>493</v>
      </c>
      <c r="C48" s="220" t="str">
        <f>MEMBERS!B51</f>
        <v>HCFM-0551</v>
      </c>
      <c r="D48" s="220" t="str">
        <f>VLOOKUP(C48,MEMBERS!B:C,2, )</f>
        <v>MR.ASIF ALI</v>
      </c>
      <c r="E48" s="23"/>
      <c r="F48" s="23"/>
      <c r="G48" s="23"/>
      <c r="H48" s="23"/>
      <c r="I48" s="23"/>
      <c r="J48" s="23"/>
      <c r="K48" s="23"/>
      <c r="L48" s="221" t="s">
        <v>494</v>
      </c>
      <c r="M48" s="23"/>
      <c r="N48" s="225"/>
      <c r="O48" s="23"/>
      <c r="P48" s="23"/>
      <c r="Q48" s="225"/>
      <c r="R48" s="225"/>
      <c r="S48" s="225"/>
      <c r="T48" s="225"/>
      <c r="U48" s="225"/>
      <c r="V48" s="23"/>
      <c r="W48" s="223">
        <f>VLOOKUP(C48,'data base '!B:AA,26, )</f>
        <v>41277.5</v>
      </c>
      <c r="X48" s="223">
        <f>VLOOKUP(C48,'data base '!B:AD,27, )</f>
        <v>4127.75</v>
      </c>
      <c r="Y48" s="264"/>
      <c r="Z48" s="265"/>
      <c r="AA48" s="224">
        <f t="shared" si="0"/>
        <v>41277.5</v>
      </c>
      <c r="AB48" s="23"/>
      <c r="AC48" s="23"/>
      <c r="AD48" s="102"/>
    </row>
    <row r="49" spans="1:30" s="8" customFormat="1" ht="15.75" customHeight="1">
      <c r="A49" s="218">
        <v>48</v>
      </c>
      <c r="B49" s="219" t="s">
        <v>493</v>
      </c>
      <c r="C49" s="220" t="str">
        <f>MEMBERS!B52</f>
        <v>HCFM-0553</v>
      </c>
      <c r="D49" s="220" t="str">
        <f>VLOOKUP(C49,MEMBERS!B:C,2, )</f>
        <v>MR.FAISAL MERCHANT</v>
      </c>
      <c r="E49" s="23"/>
      <c r="F49" s="23"/>
      <c r="G49" s="23"/>
      <c r="H49" s="23"/>
      <c r="I49" s="23"/>
      <c r="J49" s="23"/>
      <c r="K49" s="23"/>
      <c r="L49" s="221" t="s">
        <v>494</v>
      </c>
      <c r="M49" s="23"/>
      <c r="N49" s="225"/>
      <c r="O49" s="23"/>
      <c r="P49" s="23"/>
      <c r="Q49" s="225"/>
      <c r="R49" s="225"/>
      <c r="S49" s="225"/>
      <c r="T49" s="225"/>
      <c r="U49" s="225"/>
      <c r="V49" s="23"/>
      <c r="W49" s="223">
        <f>VLOOKUP(C49,'data base '!B:AA,26, )</f>
        <v>31207.5</v>
      </c>
      <c r="X49" s="223">
        <f>VLOOKUP(C49,'data base '!B:AD,27, )</f>
        <v>3120.75</v>
      </c>
      <c r="Y49" s="264"/>
      <c r="Z49" s="265"/>
      <c r="AA49" s="224">
        <f t="shared" si="0"/>
        <v>31207.5</v>
      </c>
      <c r="AB49" s="23"/>
      <c r="AC49" s="23"/>
      <c r="AD49" s="102"/>
    </row>
    <row r="50" spans="1:30" s="8" customFormat="1" ht="15.75" customHeight="1">
      <c r="A50" s="218">
        <v>49</v>
      </c>
      <c r="B50" s="219" t="s">
        <v>493</v>
      </c>
      <c r="C50" s="220" t="str">
        <f>MEMBERS!B53</f>
        <v>HCFM-0554</v>
      </c>
      <c r="D50" s="220" t="str">
        <f>VLOOKUP(C50,MEMBERS!B:C,2, )</f>
        <v>MR.IMRAN WAZEER</v>
      </c>
      <c r="E50" s="23"/>
      <c r="F50" s="23"/>
      <c r="G50" s="23"/>
      <c r="H50" s="23"/>
      <c r="I50" s="23"/>
      <c r="J50" s="23"/>
      <c r="K50" s="23"/>
      <c r="L50" s="221" t="s">
        <v>494</v>
      </c>
      <c r="M50" s="23"/>
      <c r="N50" s="225"/>
      <c r="O50" s="23"/>
      <c r="P50" s="23"/>
      <c r="Q50" s="225"/>
      <c r="R50" s="225"/>
      <c r="S50" s="225"/>
      <c r="T50" s="225"/>
      <c r="U50" s="225"/>
      <c r="V50" s="23"/>
      <c r="W50" s="223">
        <f>VLOOKUP(C50,'data base '!B:AA,26, )</f>
        <v>38182.85</v>
      </c>
      <c r="X50" s="223">
        <f>VLOOKUP(C50,'data base '!B:AD,27, )</f>
        <v>3818.2849999999999</v>
      </c>
      <c r="Y50" s="264"/>
      <c r="Z50" s="265"/>
      <c r="AA50" s="224">
        <f t="shared" si="0"/>
        <v>38182.85</v>
      </c>
      <c r="AB50" s="23"/>
      <c r="AC50" s="23"/>
      <c r="AD50" s="102"/>
    </row>
    <row r="51" spans="1:30" s="8" customFormat="1" ht="15.75" customHeight="1">
      <c r="A51" s="218">
        <v>50</v>
      </c>
      <c r="B51" s="219" t="s">
        <v>493</v>
      </c>
      <c r="C51" s="220" t="str">
        <f>MEMBERS!B54</f>
        <v>HCFM-0556</v>
      </c>
      <c r="D51" s="220" t="str">
        <f>VLOOKUP(C51,MEMBERS!B:C,2, )</f>
        <v>MR.SYED SALMAN RAZA</v>
      </c>
      <c r="E51" s="23"/>
      <c r="F51" s="23"/>
      <c r="G51" s="23"/>
      <c r="H51" s="23"/>
      <c r="I51" s="23"/>
      <c r="J51" s="23"/>
      <c r="K51" s="23"/>
      <c r="L51" s="221" t="s">
        <v>494</v>
      </c>
      <c r="M51" s="23"/>
      <c r="N51" s="225"/>
      <c r="O51" s="23"/>
      <c r="P51" s="23"/>
      <c r="Q51" s="225"/>
      <c r="R51" s="225"/>
      <c r="S51" s="225"/>
      <c r="T51" s="225"/>
      <c r="U51" s="225"/>
      <c r="V51" s="23"/>
      <c r="W51" s="223">
        <f>VLOOKUP(C51,'data base '!B:AA,26, )</f>
        <v>11005</v>
      </c>
      <c r="X51" s="223">
        <f>VLOOKUP(C51,'data base '!B:AD,27, )</f>
        <v>1100.5</v>
      </c>
      <c r="Y51" s="264"/>
      <c r="Z51" s="265"/>
      <c r="AA51" s="224">
        <f t="shared" si="0"/>
        <v>11005</v>
      </c>
      <c r="AB51" s="23"/>
      <c r="AC51" s="23"/>
      <c r="AD51" s="102"/>
    </row>
    <row r="52" spans="1:30" s="8" customFormat="1" ht="15.75" customHeight="1">
      <c r="A52" s="218">
        <v>51</v>
      </c>
      <c r="B52" s="219" t="s">
        <v>493</v>
      </c>
      <c r="C52" s="220" t="str">
        <f>MEMBERS!B55</f>
        <v>HCFM-0557</v>
      </c>
      <c r="D52" s="220" t="str">
        <f>VLOOKUP(C52,MEMBERS!B:C,2, )</f>
        <v>MR.KHADIM HUSSAIN</v>
      </c>
      <c r="E52" s="23"/>
      <c r="F52" s="23"/>
      <c r="G52" s="23"/>
      <c r="H52" s="23"/>
      <c r="I52" s="23"/>
      <c r="J52" s="23"/>
      <c r="K52" s="23"/>
      <c r="L52" s="221" t="s">
        <v>494</v>
      </c>
      <c r="M52" s="23"/>
      <c r="N52" s="225"/>
      <c r="O52" s="23"/>
      <c r="P52" s="23"/>
      <c r="Q52" s="225"/>
      <c r="R52" s="225"/>
      <c r="S52" s="225"/>
      <c r="T52" s="225"/>
      <c r="U52" s="225"/>
      <c r="V52" s="23"/>
      <c r="W52" s="223">
        <f>VLOOKUP(C52,'data base '!B:AA,26, )</f>
        <v>36437.5</v>
      </c>
      <c r="X52" s="223">
        <f>VLOOKUP(C52,'data base '!B:AD,27, )</f>
        <v>2626.25</v>
      </c>
      <c r="Y52" s="264"/>
      <c r="Z52" s="265"/>
      <c r="AA52" s="224">
        <f>W52-Y52</f>
        <v>36437.5</v>
      </c>
      <c r="AB52" s="23"/>
      <c r="AC52" s="23"/>
      <c r="AD52" s="102"/>
    </row>
    <row r="53" spans="1:30" s="8" customFormat="1" ht="15.75" customHeight="1">
      <c r="A53" s="218">
        <v>52</v>
      </c>
      <c r="B53" s="219" t="s">
        <v>493</v>
      </c>
      <c r="C53" s="220" t="str">
        <f>MEMBERS!B56</f>
        <v>HCFM-0558</v>
      </c>
      <c r="D53" s="220" t="str">
        <f>VLOOKUP(C53,MEMBERS!B:C,2, )</f>
        <v>MUHAMMAD EBRAHIM TIWANA</v>
      </c>
      <c r="E53" s="23"/>
      <c r="F53" s="23"/>
      <c r="G53" s="23"/>
      <c r="H53" s="23"/>
      <c r="I53" s="23"/>
      <c r="J53" s="23"/>
      <c r="K53" s="23"/>
      <c r="L53" s="221" t="s">
        <v>494</v>
      </c>
      <c r="M53" s="23"/>
      <c r="N53" s="225"/>
      <c r="O53" s="23"/>
      <c r="P53" s="23"/>
      <c r="Q53" s="225"/>
      <c r="R53" s="225"/>
      <c r="S53" s="225"/>
      <c r="T53" s="225"/>
      <c r="U53" s="225"/>
      <c r="V53" s="23"/>
      <c r="W53" s="223">
        <f>VLOOKUP(C53,'data base '!B:AA,26, )</f>
        <v>49848.5</v>
      </c>
      <c r="X53" s="223">
        <f>VLOOKUP(C53,'data base '!B:AD,27, )</f>
        <v>3038.8500000000004</v>
      </c>
      <c r="Y53" s="264"/>
      <c r="Z53" s="265"/>
      <c r="AA53" s="224">
        <f t="shared" si="0"/>
        <v>49848.5</v>
      </c>
      <c r="AB53" s="23"/>
      <c r="AC53" s="23"/>
      <c r="AD53" s="102"/>
    </row>
    <row r="54" spans="1:30" s="8" customFormat="1" ht="15.75" customHeight="1">
      <c r="A54" s="218">
        <v>53</v>
      </c>
      <c r="B54" s="219" t="s">
        <v>493</v>
      </c>
      <c r="C54" s="220" t="str">
        <f>MEMBERS!B57</f>
        <v>HCFM-0559</v>
      </c>
      <c r="D54" s="220" t="str">
        <f>VLOOKUP(C54,MEMBERS!B:C,2, )</f>
        <v>MR.SYED HAMID SHAH</v>
      </c>
      <c r="E54" s="23"/>
      <c r="F54" s="23"/>
      <c r="G54" s="23"/>
      <c r="H54" s="23"/>
      <c r="I54" s="23"/>
      <c r="J54" s="23"/>
      <c r="K54" s="23"/>
      <c r="L54" s="221" t="s">
        <v>494</v>
      </c>
      <c r="M54" s="23"/>
      <c r="N54" s="225"/>
      <c r="O54" s="23"/>
      <c r="P54" s="23"/>
      <c r="Q54" s="225"/>
      <c r="R54" s="225"/>
      <c r="S54" s="225"/>
      <c r="T54" s="225"/>
      <c r="U54" s="225"/>
      <c r="V54" s="23"/>
      <c r="W54" s="223">
        <f>VLOOKUP(C54,'data base '!B:AA,26, )</f>
        <v>12175</v>
      </c>
      <c r="X54" s="223">
        <f>VLOOKUP(C54,'data base '!B:AD,27, )</f>
        <v>1217.5</v>
      </c>
      <c r="Y54" s="264"/>
      <c r="Z54" s="265"/>
      <c r="AA54" s="224">
        <f t="shared" si="0"/>
        <v>12175</v>
      </c>
      <c r="AB54" s="23"/>
      <c r="AC54" s="23"/>
      <c r="AD54" s="102"/>
    </row>
    <row r="55" spans="1:30" s="8" customFormat="1" ht="15.75" customHeight="1">
      <c r="A55" s="218">
        <v>54</v>
      </c>
      <c r="B55" s="231" t="s">
        <v>493</v>
      </c>
      <c r="C55" s="220" t="str">
        <f>MEMBERS!B58</f>
        <v>HCFM-0581</v>
      </c>
      <c r="D55" s="220" t="str">
        <f>VLOOKUP(C55,MEMBERS!B:C,2, )</f>
        <v>BRIG DR. GHULAM MEHDI (Retd)</v>
      </c>
      <c r="E55" s="110"/>
      <c r="F55" s="110"/>
      <c r="G55" s="110"/>
      <c r="H55" s="110"/>
      <c r="I55" s="110"/>
      <c r="J55" s="110"/>
      <c r="K55" s="110"/>
      <c r="L55" s="233" t="s">
        <v>494</v>
      </c>
      <c r="M55" s="110"/>
      <c r="N55" s="234"/>
      <c r="O55" s="110"/>
      <c r="P55" s="110"/>
      <c r="Q55" s="234"/>
      <c r="R55" s="234"/>
      <c r="S55" s="234"/>
      <c r="T55" s="234"/>
      <c r="U55" s="234"/>
      <c r="V55" s="110"/>
      <c r="W55" s="223">
        <f>VLOOKUP(C55,'data base '!B:AA,26, )</f>
        <v>40752.5</v>
      </c>
      <c r="X55" s="223">
        <f>VLOOKUP(C55,'data base '!B:AD,27, )</f>
        <v>4075.25</v>
      </c>
      <c r="Y55" s="264"/>
      <c r="Z55" s="265"/>
      <c r="AA55" s="227">
        <f t="shared" si="0"/>
        <v>40752.5</v>
      </c>
      <c r="AB55" s="110"/>
      <c r="AC55" s="110"/>
      <c r="AD55" s="111"/>
    </row>
    <row r="56" spans="1:30" s="8" customFormat="1" ht="15.75" customHeight="1">
      <c r="A56" s="218">
        <v>55</v>
      </c>
      <c r="B56" s="231" t="s">
        <v>493</v>
      </c>
      <c r="C56" s="220" t="str">
        <f>MEMBERS!B59</f>
        <v>HCFM-0583</v>
      </c>
      <c r="D56" s="220" t="str">
        <f>VLOOKUP(C56,MEMBERS!B:C,2, )</f>
        <v>MR.CAREL HEDRIK BURGER</v>
      </c>
      <c r="E56" s="232"/>
      <c r="F56" s="232"/>
      <c r="G56" s="232"/>
      <c r="H56" s="232"/>
      <c r="I56" s="232"/>
      <c r="J56" s="232"/>
      <c r="K56" s="232"/>
      <c r="L56" s="232" t="s">
        <v>494</v>
      </c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23">
        <f>VLOOKUP(C56,'data base '!B:AA,26, )</f>
        <v>162002.5</v>
      </c>
      <c r="X56" s="223">
        <f>VLOOKUP(C56,'data base '!B:AD,27, )</f>
        <v>16200.25</v>
      </c>
      <c r="Y56" s="264"/>
      <c r="Z56" s="265"/>
      <c r="AA56" s="227">
        <f t="shared" si="0"/>
        <v>162002.5</v>
      </c>
      <c r="AB56" s="110"/>
      <c r="AC56" s="110"/>
      <c r="AD56" s="111"/>
    </row>
    <row r="57" spans="1:30" s="8" customFormat="1" ht="15.75" customHeight="1">
      <c r="A57" s="218">
        <v>56</v>
      </c>
      <c r="B57" s="231" t="s">
        <v>493</v>
      </c>
      <c r="C57" s="220" t="str">
        <f>MEMBERS!B60</f>
        <v>HCFM-0585</v>
      </c>
      <c r="D57" s="220" t="str">
        <f>VLOOKUP(C57,MEMBERS!B:C,2, )</f>
        <v>DGM AMJAD ALI SHAIKH</v>
      </c>
      <c r="E57" s="110"/>
      <c r="F57" s="110"/>
      <c r="G57" s="110"/>
      <c r="H57" s="110"/>
      <c r="I57" s="110"/>
      <c r="J57" s="110"/>
      <c r="K57" s="110"/>
      <c r="L57" s="233" t="s">
        <v>494</v>
      </c>
      <c r="M57" s="110"/>
      <c r="N57" s="234"/>
      <c r="O57" s="110"/>
      <c r="P57" s="110"/>
      <c r="Q57" s="234"/>
      <c r="R57" s="234"/>
      <c r="S57" s="234"/>
      <c r="T57" s="234"/>
      <c r="U57" s="234"/>
      <c r="V57" s="110"/>
      <c r="W57" s="223">
        <f>VLOOKUP(C57,'data base '!B:AA,26, )</f>
        <v>55780</v>
      </c>
      <c r="X57" s="223">
        <f>VLOOKUP(C57,'data base '!B:AD,27, )</f>
        <v>1512</v>
      </c>
      <c r="Y57" s="264"/>
      <c r="Z57" s="265"/>
      <c r="AA57" s="227">
        <f t="shared" si="0"/>
        <v>55780</v>
      </c>
      <c r="AB57" s="110"/>
      <c r="AC57" s="110"/>
      <c r="AD57" s="111"/>
    </row>
    <row r="58" spans="1:30" s="8" customFormat="1" ht="15.75" customHeight="1">
      <c r="A58" s="218">
        <v>57</v>
      </c>
      <c r="B58" s="231" t="s">
        <v>493</v>
      </c>
      <c r="C58" s="220" t="str">
        <f>MEMBERS!B61</f>
        <v>HCFM-0586</v>
      </c>
      <c r="D58" s="220" t="str">
        <f>VLOOKUP(C58,MEMBERS!B:C,2, )</f>
        <v>MR.SYED MURTAZA ALI</v>
      </c>
      <c r="E58" s="110"/>
      <c r="F58" s="110"/>
      <c r="G58" s="110"/>
      <c r="H58" s="110"/>
      <c r="I58" s="110"/>
      <c r="J58" s="110"/>
      <c r="K58" s="110"/>
      <c r="L58" s="233" t="s">
        <v>494</v>
      </c>
      <c r="M58" s="110"/>
      <c r="N58" s="234"/>
      <c r="O58" s="110"/>
      <c r="P58" s="110"/>
      <c r="Q58" s="234"/>
      <c r="R58" s="234"/>
      <c r="S58" s="234"/>
      <c r="T58" s="234"/>
      <c r="U58" s="234"/>
      <c r="V58" s="110"/>
      <c r="W58" s="223">
        <f>VLOOKUP(C58,'data base '!B:AA,26, )</f>
        <v>15535</v>
      </c>
      <c r="X58" s="223">
        <f>VLOOKUP(C58,'data base '!B:AD,27, )</f>
        <v>1553.5</v>
      </c>
      <c r="Y58" s="264"/>
      <c r="Z58" s="265"/>
      <c r="AA58" s="227">
        <f t="shared" si="0"/>
        <v>15535</v>
      </c>
      <c r="AB58" s="110"/>
      <c r="AC58" s="110"/>
      <c r="AD58" s="111"/>
    </row>
    <row r="59" spans="1:30" s="8" customFormat="1" ht="15.75" customHeight="1">
      <c r="A59" s="218">
        <v>58</v>
      </c>
      <c r="B59" s="231" t="s">
        <v>493</v>
      </c>
      <c r="C59" s="220" t="str">
        <f>MEMBERS!B62</f>
        <v>HCFM-0587</v>
      </c>
      <c r="D59" s="220" t="str">
        <f>VLOOKUP(C59,MEMBERS!B:C,2, )</f>
        <v>COL. AKBER RAO</v>
      </c>
      <c r="E59" s="110"/>
      <c r="F59" s="110"/>
      <c r="G59" s="110"/>
      <c r="H59" s="110"/>
      <c r="I59" s="110"/>
      <c r="J59" s="110"/>
      <c r="K59" s="110"/>
      <c r="L59" s="233" t="s">
        <v>494</v>
      </c>
      <c r="M59" s="110"/>
      <c r="N59" s="234"/>
      <c r="O59" s="110"/>
      <c r="P59" s="110"/>
      <c r="Q59" s="234"/>
      <c r="R59" s="234"/>
      <c r="S59" s="234"/>
      <c r="T59" s="234"/>
      <c r="U59" s="234"/>
      <c r="V59" s="110"/>
      <c r="W59" s="223">
        <f>VLOOKUP(C59,'data base '!B:AA,26, )</f>
        <v>45200</v>
      </c>
      <c r="X59" s="223">
        <f>VLOOKUP(C59,'data base '!B:AD,27, )</f>
        <v>700</v>
      </c>
      <c r="Y59" s="264"/>
      <c r="Z59" s="265"/>
      <c r="AA59" s="227">
        <f t="shared" si="0"/>
        <v>45200</v>
      </c>
      <c r="AB59" s="110"/>
      <c r="AC59" s="110"/>
      <c r="AD59" s="111"/>
    </row>
    <row r="60" spans="1:30" s="8" customFormat="1" ht="15.75" customHeight="1">
      <c r="A60" s="218">
        <v>59</v>
      </c>
      <c r="B60" s="231" t="s">
        <v>493</v>
      </c>
      <c r="C60" s="220" t="str">
        <f>MEMBERS!B63</f>
        <v>HCFM-0588</v>
      </c>
      <c r="D60" s="220" t="str">
        <f>VLOOKUP(C60,MEMBERS!B:C,2, )</f>
        <v>ZULFIQAR AHMED MEMON</v>
      </c>
      <c r="E60" s="110"/>
      <c r="F60" s="110"/>
      <c r="G60" s="110"/>
      <c r="H60" s="110"/>
      <c r="I60" s="110"/>
      <c r="J60" s="110"/>
      <c r="K60" s="110"/>
      <c r="L60" s="233" t="s">
        <v>494</v>
      </c>
      <c r="M60" s="110"/>
      <c r="N60" s="234"/>
      <c r="O60" s="110"/>
      <c r="P60" s="110"/>
      <c r="Q60" s="234"/>
      <c r="R60" s="234"/>
      <c r="S60" s="234"/>
      <c r="T60" s="234"/>
      <c r="U60" s="234"/>
      <c r="V60" s="110"/>
      <c r="W60" s="223">
        <f>VLOOKUP(C60,'data base '!B:AA,26, )</f>
        <v>32567.5</v>
      </c>
      <c r="X60" s="223">
        <f>VLOOKUP(C60,'data base '!B:AD,27, )</f>
        <v>3256.75</v>
      </c>
      <c r="Y60" s="264"/>
      <c r="Z60" s="265"/>
      <c r="AA60" s="227">
        <f t="shared" si="0"/>
        <v>32567.5</v>
      </c>
      <c r="AB60" s="110"/>
      <c r="AC60" s="110"/>
      <c r="AD60" s="111"/>
    </row>
    <row r="61" spans="1:30" s="8" customFormat="1" ht="15.75" customHeight="1">
      <c r="A61" s="218">
        <v>60</v>
      </c>
      <c r="B61" s="231" t="s">
        <v>493</v>
      </c>
      <c r="C61" s="220" t="str">
        <f>MEMBERS!B64</f>
        <v>HCFM-0589</v>
      </c>
      <c r="D61" s="220" t="str">
        <f>VLOOKUP(C61,MEMBERS!B:C,2, )</f>
        <v>DGM.REHAN TARIQ</v>
      </c>
      <c r="E61" s="110"/>
      <c r="F61" s="110"/>
      <c r="G61" s="110"/>
      <c r="H61" s="110"/>
      <c r="I61" s="110"/>
      <c r="J61" s="110"/>
      <c r="K61" s="110"/>
      <c r="L61" s="233" t="s">
        <v>494</v>
      </c>
      <c r="M61" s="110"/>
      <c r="N61" s="234"/>
      <c r="O61" s="110"/>
      <c r="P61" s="110"/>
      <c r="Q61" s="234"/>
      <c r="R61" s="234"/>
      <c r="S61" s="234"/>
      <c r="T61" s="234"/>
      <c r="U61" s="234"/>
      <c r="V61" s="110"/>
      <c r="W61" s="223">
        <f>VLOOKUP(C61,'data base '!B:AA,26, )</f>
        <v>22942</v>
      </c>
      <c r="X61" s="223">
        <f>VLOOKUP(C61,'data base '!B:AD,27, )</f>
        <v>1988</v>
      </c>
      <c r="Y61" s="264"/>
      <c r="Z61" s="265"/>
      <c r="AA61" s="227">
        <f t="shared" si="0"/>
        <v>22942</v>
      </c>
      <c r="AB61" s="110"/>
      <c r="AC61" s="110"/>
      <c r="AD61" s="111"/>
    </row>
    <row r="62" spans="1:30" s="8" customFormat="1" ht="15.75" customHeight="1">
      <c r="A62" s="218">
        <v>61</v>
      </c>
      <c r="B62" s="231" t="s">
        <v>493</v>
      </c>
      <c r="C62" s="220" t="str">
        <f>MEMBERS!B65</f>
        <v>HCFM-0591</v>
      </c>
      <c r="D62" s="220" t="str">
        <f>VLOOKUP(C62,MEMBERS!B:C,2, )</f>
        <v>COL.AMIR RAZA</v>
      </c>
      <c r="E62" s="110"/>
      <c r="F62" s="110"/>
      <c r="G62" s="110"/>
      <c r="H62" s="110"/>
      <c r="I62" s="110"/>
      <c r="J62" s="110"/>
      <c r="K62" s="110"/>
      <c r="L62" s="233" t="s">
        <v>494</v>
      </c>
      <c r="M62" s="110"/>
      <c r="N62" s="234"/>
      <c r="O62" s="110"/>
      <c r="P62" s="110"/>
      <c r="Q62" s="234"/>
      <c r="R62" s="234"/>
      <c r="S62" s="234"/>
      <c r="T62" s="234"/>
      <c r="U62" s="234"/>
      <c r="V62" s="110"/>
      <c r="W62" s="223">
        <f>VLOOKUP(C62,'data base '!B:AA,26, )</f>
        <v>47317.2</v>
      </c>
      <c r="X62" s="223">
        <f>VLOOKUP(C62,'data base '!B:AD,27, )</f>
        <v>1547.3200000000002</v>
      </c>
      <c r="Y62" s="264"/>
      <c r="Z62" s="265"/>
      <c r="AA62" s="227">
        <f t="shared" si="0"/>
        <v>47317.2</v>
      </c>
      <c r="AB62" s="110"/>
      <c r="AC62" s="110"/>
      <c r="AD62" s="111"/>
    </row>
    <row r="63" spans="1:30" s="8" customFormat="1" ht="15.75" customHeight="1">
      <c r="A63" s="218">
        <v>62</v>
      </c>
      <c r="B63" s="231" t="s">
        <v>493</v>
      </c>
      <c r="C63" s="220" t="str">
        <f>MEMBERS!B66</f>
        <v>HCFM-0593</v>
      </c>
      <c r="D63" s="220" t="str">
        <f>VLOOKUP(C63,MEMBERS!B:C,2, )</f>
        <v>CAPT.HAMID UZ ZAFAR</v>
      </c>
      <c r="E63" s="110"/>
      <c r="F63" s="110"/>
      <c r="G63" s="110"/>
      <c r="H63" s="110"/>
      <c r="I63" s="110"/>
      <c r="J63" s="110"/>
      <c r="K63" s="110"/>
      <c r="L63" s="233" t="s">
        <v>494</v>
      </c>
      <c r="M63" s="110"/>
      <c r="N63" s="234"/>
      <c r="O63" s="110"/>
      <c r="P63" s="110"/>
      <c r="Q63" s="234"/>
      <c r="R63" s="234"/>
      <c r="S63" s="234"/>
      <c r="T63" s="234"/>
      <c r="U63" s="234"/>
      <c r="V63" s="110"/>
      <c r="W63" s="223">
        <f>VLOOKUP(C63,'data base '!B:AA,26, )</f>
        <v>17100</v>
      </c>
      <c r="X63" s="223">
        <f>VLOOKUP(C63,'data base '!B:AD,27, )</f>
        <v>1710</v>
      </c>
      <c r="Y63" s="264"/>
      <c r="Z63" s="265"/>
      <c r="AA63" s="227">
        <f t="shared" si="0"/>
        <v>17100</v>
      </c>
      <c r="AB63" s="112"/>
      <c r="AC63" s="110"/>
      <c r="AD63" s="111"/>
    </row>
    <row r="64" spans="1:30" s="8" customFormat="1" ht="15.75" customHeight="1">
      <c r="A64" s="218">
        <v>63</v>
      </c>
      <c r="B64" s="231" t="s">
        <v>493</v>
      </c>
      <c r="C64" s="220" t="str">
        <f>MEMBERS!B67</f>
        <v>HCFM-0595</v>
      </c>
      <c r="D64" s="220" t="str">
        <f>VLOOKUP(C64,MEMBERS!B:C,2, )</f>
        <v>BRIG.KHALID MEHMOOD</v>
      </c>
      <c r="E64" s="110"/>
      <c r="F64" s="110"/>
      <c r="G64" s="110"/>
      <c r="H64" s="110"/>
      <c r="I64" s="110"/>
      <c r="J64" s="110"/>
      <c r="K64" s="110"/>
      <c r="L64" s="233" t="s">
        <v>494</v>
      </c>
      <c r="M64" s="110"/>
      <c r="N64" s="234"/>
      <c r="O64" s="110"/>
      <c r="P64" s="110"/>
      <c r="Q64" s="234"/>
      <c r="R64" s="234"/>
      <c r="S64" s="234"/>
      <c r="T64" s="234"/>
      <c r="U64" s="234"/>
      <c r="V64" s="110"/>
      <c r="W64" s="223">
        <f>VLOOKUP(C64,'data base '!B:AA,26, )</f>
        <v>73658.600000000006</v>
      </c>
      <c r="X64" s="223">
        <f>VLOOKUP(C64,'data base '!B:AD,27, )</f>
        <v>7365.8600000000006</v>
      </c>
      <c r="Y64" s="264"/>
      <c r="Z64" s="265"/>
      <c r="AA64" s="227">
        <f t="shared" si="0"/>
        <v>73658.600000000006</v>
      </c>
      <c r="AB64" s="110"/>
      <c r="AC64" s="110"/>
      <c r="AD64" s="111"/>
    </row>
    <row r="65" spans="1:30" s="8" customFormat="1" ht="15.75" customHeight="1">
      <c r="A65" s="218">
        <v>64</v>
      </c>
      <c r="B65" s="231" t="s">
        <v>493</v>
      </c>
      <c r="C65" s="220" t="str">
        <f>MEMBERS!B68</f>
        <v>HCFM-0596</v>
      </c>
      <c r="D65" s="220" t="str">
        <f>VLOOKUP(C65,MEMBERS!B:C,2, )</f>
        <v>DGM AZFAR ALI</v>
      </c>
      <c r="E65" s="110"/>
      <c r="F65" s="110"/>
      <c r="G65" s="110"/>
      <c r="H65" s="110"/>
      <c r="I65" s="110"/>
      <c r="J65" s="110"/>
      <c r="K65" s="110"/>
      <c r="L65" s="233" t="s">
        <v>494</v>
      </c>
      <c r="M65" s="110"/>
      <c r="N65" s="234"/>
      <c r="O65" s="110"/>
      <c r="P65" s="110"/>
      <c r="Q65" s="234"/>
      <c r="R65" s="234"/>
      <c r="S65" s="234"/>
      <c r="T65" s="234"/>
      <c r="U65" s="234"/>
      <c r="V65" s="110"/>
      <c r="W65" s="223">
        <f>VLOOKUP(C65,'data base '!B:AA,26, )</f>
        <v>34298.75</v>
      </c>
      <c r="X65" s="223">
        <f>VLOOKUP(C65,'data base '!B:AD,27, )</f>
        <v>3429.875</v>
      </c>
      <c r="Y65" s="264"/>
      <c r="Z65" s="265"/>
      <c r="AA65" s="227">
        <f t="shared" si="0"/>
        <v>34298.75</v>
      </c>
      <c r="AB65" s="110"/>
      <c r="AC65" s="110"/>
      <c r="AD65" s="111"/>
    </row>
    <row r="66" spans="1:30" s="8" customFormat="1" ht="15.75" customHeight="1">
      <c r="A66" s="218">
        <v>65</v>
      </c>
      <c r="B66" s="231" t="s">
        <v>493</v>
      </c>
      <c r="C66" s="220" t="str">
        <f>MEMBERS!B69</f>
        <v>HCFM-0597</v>
      </c>
      <c r="D66" s="220" t="str">
        <f>VLOOKUP(C66,MEMBERS!B:C,2, )</f>
        <v>GM GHULAM DASTAGEER</v>
      </c>
      <c r="E66" s="110"/>
      <c r="F66" s="110"/>
      <c r="G66" s="110"/>
      <c r="H66" s="110"/>
      <c r="I66" s="110"/>
      <c r="J66" s="110"/>
      <c r="K66" s="110"/>
      <c r="L66" s="233" t="s">
        <v>494</v>
      </c>
      <c r="M66" s="110"/>
      <c r="N66" s="234"/>
      <c r="O66" s="110"/>
      <c r="P66" s="110"/>
      <c r="Q66" s="234"/>
      <c r="R66" s="234"/>
      <c r="S66" s="234"/>
      <c r="T66" s="234"/>
      <c r="U66" s="234"/>
      <c r="V66" s="110"/>
      <c r="W66" s="223">
        <f>VLOOKUP(C66,'data base '!B:AA,26, )</f>
        <v>14122.5</v>
      </c>
      <c r="X66" s="223">
        <f>VLOOKUP(C66,'data base '!B:AD,27, )</f>
        <v>1412.25</v>
      </c>
      <c r="Y66" s="264"/>
      <c r="Z66" s="265"/>
      <c r="AA66" s="227">
        <f t="shared" si="0"/>
        <v>14122.5</v>
      </c>
      <c r="AB66" s="112">
        <f>W66-Y66</f>
        <v>14122.5</v>
      </c>
      <c r="AC66" s="110"/>
      <c r="AD66" s="111"/>
    </row>
    <row r="67" spans="1:30" s="8" customFormat="1" ht="15.75" customHeight="1">
      <c r="A67" s="218">
        <v>66</v>
      </c>
      <c r="B67" s="231" t="s">
        <v>493</v>
      </c>
      <c r="C67" s="220" t="str">
        <f>MEMBERS!B70</f>
        <v>HCFM-0598</v>
      </c>
      <c r="D67" s="220" t="str">
        <f>VLOOKUP(C67,MEMBERS!B:C,2, )</f>
        <v>DGM FATIMA ZAHID</v>
      </c>
      <c r="E67" s="110"/>
      <c r="F67" s="110"/>
      <c r="G67" s="110"/>
      <c r="H67" s="110"/>
      <c r="I67" s="110"/>
      <c r="J67" s="110"/>
      <c r="K67" s="110"/>
      <c r="L67" s="233" t="s">
        <v>494</v>
      </c>
      <c r="M67" s="110"/>
      <c r="N67" s="234"/>
      <c r="O67" s="110"/>
      <c r="P67" s="110"/>
      <c r="Q67" s="234"/>
      <c r="R67" s="234"/>
      <c r="S67" s="234"/>
      <c r="T67" s="234"/>
      <c r="U67" s="234"/>
      <c r="V67" s="110"/>
      <c r="W67" s="223">
        <f>VLOOKUP(C67,'data base '!B:AA,26, )</f>
        <v>48216.25</v>
      </c>
      <c r="X67" s="223">
        <f>VLOOKUP(C67,'data base '!B:AD,27, )</f>
        <v>4821.625</v>
      </c>
      <c r="Y67" s="264"/>
      <c r="Z67" s="265"/>
      <c r="AA67" s="227">
        <f t="shared" ref="AA67:AA119" si="1">W67-Y67</f>
        <v>48216.25</v>
      </c>
      <c r="AB67" s="110"/>
      <c r="AC67" s="110"/>
      <c r="AD67" s="111"/>
    </row>
    <row r="68" spans="1:30" s="8" customFormat="1" ht="15.75" customHeight="1">
      <c r="A68" s="218">
        <v>67</v>
      </c>
      <c r="B68" s="231" t="s">
        <v>493</v>
      </c>
      <c r="C68" s="220" t="str">
        <f>MEMBERS!B71</f>
        <v>HCFM-0599</v>
      </c>
      <c r="D68" s="220" t="str">
        <f>VLOOKUP(C68,MEMBERS!B:C,2, )</f>
        <v>CDR.RAZA REHMAN</v>
      </c>
      <c r="E68" s="110"/>
      <c r="F68" s="110"/>
      <c r="G68" s="110"/>
      <c r="H68" s="110"/>
      <c r="I68" s="110"/>
      <c r="J68" s="110"/>
      <c r="K68" s="110"/>
      <c r="L68" s="233" t="s">
        <v>494</v>
      </c>
      <c r="M68" s="110"/>
      <c r="N68" s="234"/>
      <c r="O68" s="110"/>
      <c r="P68" s="110"/>
      <c r="Q68" s="234"/>
      <c r="R68" s="234"/>
      <c r="S68" s="234"/>
      <c r="T68" s="234"/>
      <c r="U68" s="234"/>
      <c r="V68" s="110"/>
      <c r="W68" s="223">
        <f>VLOOKUP(C68,'data base '!B:AA,26, )</f>
        <v>7000</v>
      </c>
      <c r="X68" s="223">
        <f>VLOOKUP(C68,'data base '!B:AD,27, )</f>
        <v>700</v>
      </c>
      <c r="Y68" s="264"/>
      <c r="Z68" s="265"/>
      <c r="AA68" s="227">
        <f t="shared" si="1"/>
        <v>7000</v>
      </c>
      <c r="AB68" s="110"/>
      <c r="AC68" s="110"/>
      <c r="AD68" s="111"/>
    </row>
    <row r="69" spans="1:30" s="8" customFormat="1" ht="15.75" customHeight="1">
      <c r="A69" s="218">
        <v>68</v>
      </c>
      <c r="B69" s="219" t="s">
        <v>493</v>
      </c>
      <c r="C69" s="220" t="str">
        <f>MEMBERS!B72</f>
        <v>HCFM-0600</v>
      </c>
      <c r="D69" s="220" t="str">
        <f>VLOOKUP(C69,MEMBERS!B:C,2, )</f>
        <v>DR.FAKHRUNISSA WAHEED</v>
      </c>
      <c r="E69" s="23"/>
      <c r="F69" s="23"/>
      <c r="G69" s="23"/>
      <c r="H69" s="23"/>
      <c r="I69" s="23"/>
      <c r="J69" s="23"/>
      <c r="K69" s="23"/>
      <c r="L69" s="221" t="s">
        <v>494</v>
      </c>
      <c r="M69" s="23"/>
      <c r="N69" s="225"/>
      <c r="O69" s="23"/>
      <c r="P69" s="23"/>
      <c r="Q69" s="225"/>
      <c r="R69" s="225"/>
      <c r="S69" s="225"/>
      <c r="T69" s="225"/>
      <c r="U69" s="225"/>
      <c r="V69" s="23"/>
      <c r="W69" s="223">
        <f>VLOOKUP(C69,'data base '!B:AA,26, )</f>
        <v>40223.5</v>
      </c>
      <c r="X69" s="223">
        <f>VLOOKUP(C69,'data base '!B:AD,27, )</f>
        <v>4022.3500000000004</v>
      </c>
      <c r="Y69" s="264"/>
      <c r="Z69" s="265"/>
      <c r="AA69" s="224">
        <f t="shared" si="1"/>
        <v>40223.5</v>
      </c>
      <c r="AB69" s="23"/>
      <c r="AC69" s="23"/>
      <c r="AD69" s="102"/>
    </row>
    <row r="70" spans="1:30" s="8" customFormat="1" ht="15.75" customHeight="1">
      <c r="A70" s="218">
        <v>69</v>
      </c>
      <c r="B70" s="231" t="s">
        <v>493</v>
      </c>
      <c r="C70" s="220" t="str">
        <f>MEMBERS!B73</f>
        <v>HCFM-0601</v>
      </c>
      <c r="D70" s="220" t="str">
        <f>VLOOKUP(C70,MEMBERS!B:C,2, )</f>
        <v>GM HAROON RASHEED</v>
      </c>
      <c r="E70" s="110"/>
      <c r="F70" s="110"/>
      <c r="G70" s="110"/>
      <c r="H70" s="110"/>
      <c r="I70" s="110"/>
      <c r="J70" s="110"/>
      <c r="K70" s="110"/>
      <c r="L70" s="233" t="s">
        <v>494</v>
      </c>
      <c r="M70" s="110"/>
      <c r="N70" s="234"/>
      <c r="O70" s="110"/>
      <c r="P70" s="110"/>
      <c r="Q70" s="234"/>
      <c r="R70" s="234"/>
      <c r="S70" s="234"/>
      <c r="T70" s="234"/>
      <c r="U70" s="234"/>
      <c r="V70" s="110"/>
      <c r="W70" s="223">
        <f>VLOOKUP(C70,'data base '!B:AA,26, )</f>
        <v>29524</v>
      </c>
      <c r="X70" s="223">
        <f>VLOOKUP(C70,'data base '!B:AD,27, )</f>
        <v>715</v>
      </c>
      <c r="Y70" s="264"/>
      <c r="Z70" s="265"/>
      <c r="AA70" s="227">
        <f t="shared" si="1"/>
        <v>29524</v>
      </c>
      <c r="AB70" s="110"/>
      <c r="AC70" s="110"/>
      <c r="AD70" s="111"/>
    </row>
    <row r="71" spans="1:30" s="8" customFormat="1" ht="15.75" customHeight="1">
      <c r="A71" s="218">
        <v>71</v>
      </c>
      <c r="B71" s="231" t="s">
        <v>493</v>
      </c>
      <c r="C71" s="220" t="str">
        <f>MEMBERS!B74</f>
        <v>HCFM-0603</v>
      </c>
      <c r="D71" s="220" t="str">
        <f>VLOOKUP(C71,MEMBERS!B:C,2, )</f>
        <v>CAPT.ZAHID AWAN</v>
      </c>
      <c r="E71" s="110"/>
      <c r="F71" s="110"/>
      <c r="G71" s="110"/>
      <c r="H71" s="110"/>
      <c r="I71" s="110"/>
      <c r="J71" s="110"/>
      <c r="K71" s="110"/>
      <c r="L71" s="233" t="s">
        <v>494</v>
      </c>
      <c r="M71" s="110"/>
      <c r="N71" s="234"/>
      <c r="O71" s="110"/>
      <c r="P71" s="110"/>
      <c r="Q71" s="234"/>
      <c r="R71" s="234"/>
      <c r="S71" s="234"/>
      <c r="T71" s="234"/>
      <c r="U71" s="234"/>
      <c r="V71" s="110"/>
      <c r="W71" s="223">
        <f>VLOOKUP(C71,'data base '!B:AA,26, )</f>
        <v>7000</v>
      </c>
      <c r="X71" s="223">
        <f>VLOOKUP(C71,'data base '!B:AD,27, )</f>
        <v>700</v>
      </c>
      <c r="Y71" s="264"/>
      <c r="Z71" s="265"/>
      <c r="AA71" s="227">
        <f t="shared" si="1"/>
        <v>7000</v>
      </c>
      <c r="AB71" s="110"/>
      <c r="AC71" s="110"/>
      <c r="AD71" s="111"/>
    </row>
    <row r="72" spans="1:30" s="8" customFormat="1" ht="15.75" customHeight="1">
      <c r="A72" s="218">
        <v>72</v>
      </c>
      <c r="B72" s="231" t="s">
        <v>493</v>
      </c>
      <c r="C72" s="220" t="str">
        <f>MEMBERS!B75</f>
        <v>HCFM-0605</v>
      </c>
      <c r="D72" s="220" t="str">
        <f>VLOOKUP(C72,MEMBERS!B:C,2, )</f>
        <v>DR.QURATULAIN RAZI</v>
      </c>
      <c r="E72" s="110"/>
      <c r="F72" s="110"/>
      <c r="G72" s="110"/>
      <c r="H72" s="110"/>
      <c r="I72" s="110"/>
      <c r="J72" s="110"/>
      <c r="K72" s="110"/>
      <c r="L72" s="233" t="s">
        <v>494</v>
      </c>
      <c r="M72" s="110"/>
      <c r="N72" s="234"/>
      <c r="O72" s="110"/>
      <c r="P72" s="110"/>
      <c r="Q72" s="234"/>
      <c r="R72" s="234"/>
      <c r="S72" s="234"/>
      <c r="T72" s="234"/>
      <c r="U72" s="234"/>
      <c r="V72" s="110"/>
      <c r="W72" s="223">
        <f>VLOOKUP(C72,'data base '!B:AA,26, )</f>
        <v>7000</v>
      </c>
      <c r="X72" s="223">
        <f>VLOOKUP(C72,'data base '!B:AD,27, )</f>
        <v>700</v>
      </c>
      <c r="Y72" s="264"/>
      <c r="Z72" s="265"/>
      <c r="AA72" s="227">
        <f t="shared" si="1"/>
        <v>7000</v>
      </c>
      <c r="AB72" s="110"/>
      <c r="AC72" s="110"/>
      <c r="AD72" s="111"/>
    </row>
    <row r="73" spans="1:30" s="8" customFormat="1" ht="15.75" customHeight="1">
      <c r="A73" s="218">
        <v>73</v>
      </c>
      <c r="B73" s="231" t="s">
        <v>493</v>
      </c>
      <c r="C73" s="220" t="str">
        <f>MEMBERS!B76</f>
        <v>HCFM-0606</v>
      </c>
      <c r="D73" s="220" t="str">
        <f>VLOOKUP(C73,MEMBERS!B:C,2, )</f>
        <v>DR.FAREYA</v>
      </c>
      <c r="E73" s="110"/>
      <c r="F73" s="110"/>
      <c r="G73" s="110"/>
      <c r="H73" s="110"/>
      <c r="I73" s="110"/>
      <c r="J73" s="110"/>
      <c r="K73" s="110"/>
      <c r="L73" s="233" t="s">
        <v>494</v>
      </c>
      <c r="M73" s="110"/>
      <c r="N73" s="234"/>
      <c r="O73" s="110"/>
      <c r="P73" s="110"/>
      <c r="Q73" s="234"/>
      <c r="R73" s="234"/>
      <c r="S73" s="234"/>
      <c r="T73" s="234"/>
      <c r="U73" s="234"/>
      <c r="V73" s="110"/>
      <c r="W73" s="223">
        <f>VLOOKUP(C73,'data base '!B:AA,26, )</f>
        <v>67000</v>
      </c>
      <c r="X73" s="223">
        <f>VLOOKUP(C73,'data base '!B:AD,27, )</f>
        <v>700</v>
      </c>
      <c r="Y73" s="264"/>
      <c r="Z73" s="265"/>
      <c r="AA73" s="227">
        <f t="shared" si="1"/>
        <v>67000</v>
      </c>
      <c r="AB73" s="110"/>
      <c r="AC73" s="110"/>
      <c r="AD73" s="111"/>
    </row>
    <row r="74" spans="1:30" s="8" customFormat="1" ht="15.75" customHeight="1">
      <c r="A74" s="218">
        <v>74</v>
      </c>
      <c r="B74" s="231" t="s">
        <v>493</v>
      </c>
      <c r="C74" s="220" t="str">
        <f>MEMBERS!B77</f>
        <v>HCFM-0607</v>
      </c>
      <c r="D74" s="220" t="str">
        <f>VLOOKUP(C74,MEMBERS!B:C,2, )</f>
        <v>DIR. ZIA UR REHMAN KHAN</v>
      </c>
      <c r="E74" s="110"/>
      <c r="F74" s="110"/>
      <c r="G74" s="110"/>
      <c r="H74" s="110"/>
      <c r="I74" s="110"/>
      <c r="J74" s="110"/>
      <c r="K74" s="110"/>
      <c r="L74" s="233" t="s">
        <v>494</v>
      </c>
      <c r="M74" s="110"/>
      <c r="N74" s="234"/>
      <c r="O74" s="110"/>
      <c r="P74" s="110"/>
      <c r="Q74" s="234"/>
      <c r="R74" s="234"/>
      <c r="S74" s="234"/>
      <c r="T74" s="234"/>
      <c r="U74" s="234"/>
      <c r="V74" s="110"/>
      <c r="W74" s="223">
        <f>VLOOKUP(C74,'data base '!B:AA,26, )</f>
        <v>24700</v>
      </c>
      <c r="X74" s="223">
        <f>VLOOKUP(C74,'data base '!B:AD,27, )</f>
        <v>700</v>
      </c>
      <c r="Y74" s="264"/>
      <c r="Z74" s="265"/>
      <c r="AA74" s="227">
        <f t="shared" si="1"/>
        <v>24700</v>
      </c>
      <c r="AB74" s="110"/>
      <c r="AC74" s="110"/>
      <c r="AD74" s="111"/>
    </row>
    <row r="75" spans="1:30" s="8" customFormat="1" ht="15.75" customHeight="1">
      <c r="A75" s="218">
        <v>75</v>
      </c>
      <c r="B75" s="231" t="s">
        <v>493</v>
      </c>
      <c r="C75" s="220" t="str">
        <f>MEMBERS!B78</f>
        <v>HCFM-0608</v>
      </c>
      <c r="D75" s="220" t="str">
        <f>VLOOKUP(C75,MEMBERS!B:C,2, )</f>
        <v>SGM MUHAMMAD YAQOOB</v>
      </c>
      <c r="E75" s="110"/>
      <c r="F75" s="110"/>
      <c r="G75" s="110"/>
      <c r="H75" s="110"/>
      <c r="I75" s="110"/>
      <c r="J75" s="110"/>
      <c r="K75" s="110"/>
      <c r="L75" s="233" t="s">
        <v>494</v>
      </c>
      <c r="M75" s="110"/>
      <c r="N75" s="234"/>
      <c r="O75" s="110"/>
      <c r="P75" s="110"/>
      <c r="Q75" s="234"/>
      <c r="R75" s="234"/>
      <c r="S75" s="234"/>
      <c r="T75" s="234"/>
      <c r="U75" s="234"/>
      <c r="V75" s="110"/>
      <c r="W75" s="223">
        <f>VLOOKUP(C75,'data base '!B:AA,26, )</f>
        <v>67000</v>
      </c>
      <c r="X75" s="223">
        <f>VLOOKUP(C75,'data base '!B:AD,27, )</f>
        <v>700</v>
      </c>
      <c r="Y75" s="264"/>
      <c r="Z75" s="265"/>
      <c r="AA75" s="227">
        <f t="shared" si="1"/>
        <v>67000</v>
      </c>
      <c r="AB75" s="110"/>
      <c r="AC75" s="110"/>
      <c r="AD75" s="111"/>
    </row>
    <row r="76" spans="1:30" s="8" customFormat="1" ht="15.75" customHeight="1">
      <c r="A76" s="218">
        <v>76</v>
      </c>
      <c r="B76" s="231" t="s">
        <v>493</v>
      </c>
      <c r="C76" s="220" t="str">
        <f>MEMBERS!B79</f>
        <v>HCFM-0609</v>
      </c>
      <c r="D76" s="220" t="str">
        <f>VLOOKUP(C76,MEMBERS!B:C,2, )</f>
        <v>DR.NASEEM MUNSHI</v>
      </c>
      <c r="E76" s="110"/>
      <c r="F76" s="110"/>
      <c r="G76" s="110"/>
      <c r="H76" s="110"/>
      <c r="I76" s="110"/>
      <c r="J76" s="110"/>
      <c r="K76" s="110"/>
      <c r="L76" s="233" t="s">
        <v>494</v>
      </c>
      <c r="M76" s="110"/>
      <c r="N76" s="234"/>
      <c r="O76" s="110"/>
      <c r="P76" s="110"/>
      <c r="Q76" s="234"/>
      <c r="R76" s="234"/>
      <c r="S76" s="234"/>
      <c r="T76" s="234"/>
      <c r="U76" s="234"/>
      <c r="V76" s="110"/>
      <c r="W76" s="223">
        <f>VLOOKUP(C76,'data base '!B:AA,26, )</f>
        <v>35282.5</v>
      </c>
      <c r="X76" s="223">
        <f>VLOOKUP(C76,'data base '!B:AD,27, )</f>
        <v>3528.25</v>
      </c>
      <c r="Y76" s="264"/>
      <c r="Z76" s="265"/>
      <c r="AA76" s="227">
        <f t="shared" si="1"/>
        <v>35282.5</v>
      </c>
      <c r="AB76" s="110"/>
      <c r="AC76" s="110"/>
      <c r="AD76" s="111"/>
    </row>
    <row r="77" spans="1:30" s="8" customFormat="1" ht="15.75" customHeight="1">
      <c r="A77" s="218">
        <v>77</v>
      </c>
      <c r="B77" s="219" t="s">
        <v>493</v>
      </c>
      <c r="C77" s="220" t="str">
        <f>MEMBERS!B80</f>
        <v>HCFM-0638</v>
      </c>
      <c r="D77" s="220" t="str">
        <f>VLOOKUP(C77,MEMBERS!B:C,2, )</f>
        <v>RIAZ FAZAL</v>
      </c>
      <c r="E77" s="235"/>
      <c r="F77" s="235"/>
      <c r="G77" s="235"/>
      <c r="H77" s="235"/>
      <c r="I77" s="235"/>
      <c r="J77" s="235"/>
      <c r="K77" s="235"/>
      <c r="L77" s="221" t="s">
        <v>494</v>
      </c>
      <c r="M77" s="23"/>
      <c r="N77" s="225"/>
      <c r="O77" s="23"/>
      <c r="P77" s="23"/>
      <c r="Q77" s="225"/>
      <c r="R77" s="225"/>
      <c r="S77" s="225"/>
      <c r="T77" s="225"/>
      <c r="U77" s="225"/>
      <c r="V77" s="23"/>
      <c r="W77" s="223">
        <f>VLOOKUP(C77,'data base '!B:AA,26, )</f>
        <v>21720</v>
      </c>
      <c r="X77" s="223">
        <f>VLOOKUP(C77,'data base '!B:AD,27, )</f>
        <v>2172</v>
      </c>
      <c r="Y77" s="264"/>
      <c r="Z77" s="265"/>
      <c r="AA77" s="224">
        <f t="shared" si="1"/>
        <v>21720</v>
      </c>
      <c r="AB77" s="23"/>
      <c r="AC77" s="23"/>
      <c r="AD77" s="102"/>
    </row>
    <row r="78" spans="1:30" s="8" customFormat="1" ht="15.75" customHeight="1">
      <c r="A78" s="218">
        <v>78</v>
      </c>
      <c r="B78" s="219" t="s">
        <v>493</v>
      </c>
      <c r="C78" s="220" t="str">
        <f>MEMBERS!B81</f>
        <v>HCFM-0639</v>
      </c>
      <c r="D78" s="220" t="str">
        <f>VLOOKUP(C78,MEMBERS!B:C,2, )</f>
        <v>HUSSAIN WAJID</v>
      </c>
      <c r="E78" s="235"/>
      <c r="F78" s="235"/>
      <c r="G78" s="235"/>
      <c r="H78" s="235"/>
      <c r="I78" s="235"/>
      <c r="J78" s="235"/>
      <c r="K78" s="235"/>
      <c r="L78" s="221" t="s">
        <v>494</v>
      </c>
      <c r="M78" s="23"/>
      <c r="N78" s="225"/>
      <c r="O78" s="23"/>
      <c r="P78" s="23"/>
      <c r="Q78" s="225"/>
      <c r="R78" s="225"/>
      <c r="S78" s="225"/>
      <c r="T78" s="225"/>
      <c r="U78" s="225"/>
      <c r="V78" s="23"/>
      <c r="W78" s="223">
        <f>VLOOKUP(C78,'data base '!B:AA,26, )</f>
        <v>11173.75</v>
      </c>
      <c r="X78" s="223">
        <f>VLOOKUP(C78,'data base '!B:AD,27, )</f>
        <v>1117.375</v>
      </c>
      <c r="Y78" s="264"/>
      <c r="Z78" s="265"/>
      <c r="AA78" s="224">
        <f t="shared" si="1"/>
        <v>11173.75</v>
      </c>
      <c r="AB78" s="23"/>
      <c r="AC78" s="23"/>
      <c r="AD78" s="102"/>
    </row>
    <row r="79" spans="1:30" s="8" customFormat="1" ht="15.75" customHeight="1">
      <c r="A79" s="218">
        <v>79</v>
      </c>
      <c r="B79" s="219" t="s">
        <v>493</v>
      </c>
      <c r="C79" s="220" t="str">
        <f>MEMBERS!B82</f>
        <v>HCFM-0640</v>
      </c>
      <c r="D79" s="220" t="str">
        <f>VLOOKUP(C79,MEMBERS!B:C,2, )</f>
        <v>MUKHTIAR AHMED SHAR</v>
      </c>
      <c r="E79" s="235"/>
      <c r="F79" s="235"/>
      <c r="G79" s="235"/>
      <c r="H79" s="235"/>
      <c r="I79" s="235"/>
      <c r="J79" s="235"/>
      <c r="K79" s="235"/>
      <c r="L79" s="221" t="s">
        <v>494</v>
      </c>
      <c r="M79" s="23"/>
      <c r="N79" s="225"/>
      <c r="O79" s="23"/>
      <c r="P79" s="23"/>
      <c r="Q79" s="225"/>
      <c r="R79" s="225"/>
      <c r="S79" s="225"/>
      <c r="T79" s="225"/>
      <c r="U79" s="225"/>
      <c r="V79" s="23"/>
      <c r="W79" s="223">
        <f>VLOOKUP(C79,'data base '!B:AA,26, )</f>
        <v>51951</v>
      </c>
      <c r="X79" s="223">
        <f>VLOOKUP(C79,'data base '!B:AD,27, )</f>
        <v>700</v>
      </c>
      <c r="Y79" s="264"/>
      <c r="Z79" s="265"/>
      <c r="AA79" s="224">
        <f t="shared" si="1"/>
        <v>51951</v>
      </c>
      <c r="AB79" s="23"/>
      <c r="AC79" s="23"/>
      <c r="AD79" s="102"/>
    </row>
    <row r="80" spans="1:30" s="8" customFormat="1" ht="15.75" customHeight="1">
      <c r="A80" s="218">
        <v>80</v>
      </c>
      <c r="B80" s="219" t="s">
        <v>493</v>
      </c>
      <c r="C80" s="220" t="str">
        <f>MEMBERS!B83</f>
        <v>HCFM-0641</v>
      </c>
      <c r="D80" s="220" t="str">
        <f>VLOOKUP(C80,MEMBERS!B:C,2, )</f>
        <v>AAMIR RASOOL</v>
      </c>
      <c r="E80" s="235"/>
      <c r="F80" s="235"/>
      <c r="G80" s="235"/>
      <c r="H80" s="235"/>
      <c r="I80" s="235"/>
      <c r="J80" s="235"/>
      <c r="K80" s="235"/>
      <c r="L80" s="221" t="s">
        <v>494</v>
      </c>
      <c r="M80" s="23"/>
      <c r="N80" s="225"/>
      <c r="O80" s="23"/>
      <c r="P80" s="23"/>
      <c r="Q80" s="225"/>
      <c r="R80" s="225"/>
      <c r="S80" s="225"/>
      <c r="T80" s="225"/>
      <c r="U80" s="225"/>
      <c r="V80" s="23"/>
      <c r="W80" s="223">
        <f>VLOOKUP(C80,'data base '!B:AA,26, )</f>
        <v>68481.5</v>
      </c>
      <c r="X80" s="223">
        <f>VLOOKUP(C80,'data base '!B:AD,27, )</f>
        <v>6848.1500000000005</v>
      </c>
      <c r="Y80" s="264"/>
      <c r="Z80" s="265"/>
      <c r="AA80" s="224">
        <f t="shared" si="1"/>
        <v>68481.5</v>
      </c>
      <c r="AB80" s="23"/>
      <c r="AC80" s="23"/>
      <c r="AD80" s="102"/>
    </row>
    <row r="81" spans="1:30" s="8" customFormat="1" ht="15.75" customHeight="1">
      <c r="A81" s="218">
        <v>81</v>
      </c>
      <c r="B81" s="219" t="s">
        <v>493</v>
      </c>
      <c r="C81" s="220" t="str">
        <f>MEMBERS!B84</f>
        <v>HCFM-0642</v>
      </c>
      <c r="D81" s="220" t="str">
        <f>VLOOKUP(C81,MEMBERS!B:C,2, )</f>
        <v>ASIF ASHFAQ</v>
      </c>
      <c r="E81" s="235"/>
      <c r="F81" s="235"/>
      <c r="G81" s="235"/>
      <c r="H81" s="235"/>
      <c r="I81" s="235"/>
      <c r="J81" s="235"/>
      <c r="K81" s="235"/>
      <c r="L81" s="221" t="s">
        <v>494</v>
      </c>
      <c r="M81" s="23"/>
      <c r="N81" s="225"/>
      <c r="O81" s="23"/>
      <c r="P81" s="23"/>
      <c r="Q81" s="225"/>
      <c r="R81" s="225"/>
      <c r="S81" s="225"/>
      <c r="T81" s="225"/>
      <c r="U81" s="225"/>
      <c r="V81" s="23"/>
      <c r="W81" s="223">
        <f>VLOOKUP(C81,'data base '!B:AA,26, )</f>
        <v>296970</v>
      </c>
      <c r="X81" s="223">
        <f>VLOOKUP(C81,'data base '!B:AD,27, )</f>
        <v>29697</v>
      </c>
      <c r="Y81" s="264"/>
      <c r="Z81" s="265"/>
      <c r="AA81" s="224">
        <f t="shared" si="1"/>
        <v>296970</v>
      </c>
      <c r="AB81" s="23"/>
      <c r="AC81" s="23"/>
      <c r="AD81" s="102"/>
    </row>
    <row r="82" spans="1:30" s="8" customFormat="1" ht="15.75" customHeight="1">
      <c r="A82" s="218">
        <v>82</v>
      </c>
      <c r="B82" s="231" t="s">
        <v>493</v>
      </c>
      <c r="C82" s="220" t="str">
        <f>MEMBERS!B85</f>
        <v>HCFM-0644</v>
      </c>
      <c r="D82" s="220" t="str">
        <f>VLOOKUP(C82,MEMBERS!B:C,2, )</f>
        <v>SABA AHSAN</v>
      </c>
      <c r="E82" s="236"/>
      <c r="F82" s="236"/>
      <c r="G82" s="236"/>
      <c r="H82" s="236"/>
      <c r="I82" s="236"/>
      <c r="J82" s="236"/>
      <c r="K82" s="236"/>
      <c r="L82" s="233" t="s">
        <v>494</v>
      </c>
      <c r="M82" s="110"/>
      <c r="N82" s="234"/>
      <c r="O82" s="110"/>
      <c r="P82" s="110"/>
      <c r="Q82" s="234"/>
      <c r="R82" s="234"/>
      <c r="S82" s="234"/>
      <c r="T82" s="234"/>
      <c r="U82" s="234"/>
      <c r="V82" s="110"/>
      <c r="W82" s="223">
        <f>VLOOKUP(C82,'data base '!B:AA,26, )</f>
        <v>44084</v>
      </c>
      <c r="X82" s="223">
        <f>VLOOKUP(C82,'data base '!B:AD,27, )</f>
        <v>2997.1000000000004</v>
      </c>
      <c r="Y82" s="264"/>
      <c r="Z82" s="265"/>
      <c r="AA82" s="227">
        <f t="shared" si="1"/>
        <v>44084</v>
      </c>
      <c r="AB82" s="110"/>
      <c r="AC82" s="110"/>
      <c r="AD82" s="111"/>
    </row>
    <row r="83" spans="1:30" s="8" customFormat="1" ht="15.75" customHeight="1">
      <c r="A83" s="218">
        <v>83</v>
      </c>
      <c r="B83" s="219" t="s">
        <v>493</v>
      </c>
      <c r="C83" s="220" t="str">
        <f>MEMBERS!B86</f>
        <v>HCFM-0645</v>
      </c>
      <c r="D83" s="220" t="str">
        <f>VLOOKUP(C83,MEMBERS!B:C,2, )</f>
        <v>MUNEER AHMED</v>
      </c>
      <c r="E83" s="235"/>
      <c r="F83" s="235"/>
      <c r="G83" s="235"/>
      <c r="H83" s="235"/>
      <c r="I83" s="235"/>
      <c r="J83" s="235"/>
      <c r="K83" s="235"/>
      <c r="L83" s="221" t="s">
        <v>494</v>
      </c>
      <c r="M83" s="23"/>
      <c r="N83" s="225"/>
      <c r="O83" s="23"/>
      <c r="P83" s="23"/>
      <c r="Q83" s="225"/>
      <c r="R83" s="225"/>
      <c r="S83" s="225"/>
      <c r="T83" s="225"/>
      <c r="U83" s="225"/>
      <c r="V83" s="23"/>
      <c r="W83" s="223">
        <f>VLOOKUP(C83,'data base '!B:AA,26, )</f>
        <v>7000</v>
      </c>
      <c r="X83" s="223">
        <f>VLOOKUP(C83,'data base '!B:AD,27, )</f>
        <v>700</v>
      </c>
      <c r="Y83" s="264"/>
      <c r="Z83" s="265"/>
      <c r="AA83" s="224">
        <f t="shared" si="1"/>
        <v>7000</v>
      </c>
      <c r="AB83" s="23"/>
      <c r="AC83" s="23"/>
      <c r="AD83" s="102"/>
    </row>
    <row r="84" spans="1:30" s="8" customFormat="1" ht="15.75" customHeight="1">
      <c r="A84" s="218">
        <v>84</v>
      </c>
      <c r="B84" s="219" t="s">
        <v>493</v>
      </c>
      <c r="C84" s="220" t="str">
        <f>MEMBERS!B87</f>
        <v>HCFM-0646</v>
      </c>
      <c r="D84" s="220" t="str">
        <f>VLOOKUP(C84,MEMBERS!B:C,2, )</f>
        <v>BAHRIA INTERNATIONAL HOSPITAL</v>
      </c>
      <c r="E84" s="235"/>
      <c r="F84" s="235"/>
      <c r="G84" s="235"/>
      <c r="H84" s="235"/>
      <c r="I84" s="235"/>
      <c r="J84" s="235"/>
      <c r="K84" s="235"/>
      <c r="L84" s="221" t="s">
        <v>494</v>
      </c>
      <c r="M84" s="23"/>
      <c r="N84" s="225"/>
      <c r="O84" s="23"/>
      <c r="P84" s="23"/>
      <c r="Q84" s="225"/>
      <c r="R84" s="225"/>
      <c r="S84" s="225"/>
      <c r="T84" s="225"/>
      <c r="U84" s="225"/>
      <c r="V84" s="23"/>
      <c r="W84" s="223">
        <f>VLOOKUP(C84,'data base '!B:AA,26, )</f>
        <v>94400</v>
      </c>
      <c r="X84" s="223">
        <f>VLOOKUP(C84,'data base '!B:AD,27, )</f>
        <v>9440</v>
      </c>
      <c r="Y84" s="264"/>
      <c r="Z84" s="265"/>
      <c r="AA84" s="224">
        <f t="shared" si="1"/>
        <v>94400</v>
      </c>
      <c r="AB84" s="23"/>
      <c r="AC84" s="23"/>
      <c r="AD84" s="102"/>
    </row>
    <row r="85" spans="1:30" s="8" customFormat="1" ht="15.75" customHeight="1">
      <c r="A85" s="218">
        <v>85</v>
      </c>
      <c r="B85" s="219" t="s">
        <v>493</v>
      </c>
      <c r="C85" s="220" t="str">
        <f>MEMBERS!B88</f>
        <v>HCFM-0647</v>
      </c>
      <c r="D85" s="220" t="str">
        <f>VLOOKUP(C85,MEMBERS!B:C,2, )</f>
        <v>IMRAN AHMED</v>
      </c>
      <c r="E85" s="235"/>
      <c r="F85" s="235"/>
      <c r="G85" s="235"/>
      <c r="H85" s="235"/>
      <c r="I85" s="235"/>
      <c r="J85" s="235"/>
      <c r="K85" s="235"/>
      <c r="L85" s="221" t="s">
        <v>494</v>
      </c>
      <c r="M85" s="23"/>
      <c r="N85" s="225"/>
      <c r="O85" s="23"/>
      <c r="P85" s="23"/>
      <c r="Q85" s="225"/>
      <c r="R85" s="225"/>
      <c r="S85" s="225"/>
      <c r="T85" s="225"/>
      <c r="U85" s="225"/>
      <c r="V85" s="23"/>
      <c r="W85" s="223">
        <f>VLOOKUP(C85,'data base '!B:AA,26, )</f>
        <v>22225</v>
      </c>
      <c r="X85" s="223">
        <f>VLOOKUP(C85,'data base '!B:AD,27, )</f>
        <v>700</v>
      </c>
      <c r="Y85" s="264"/>
      <c r="Z85" s="265"/>
      <c r="AA85" s="224">
        <f t="shared" si="1"/>
        <v>22225</v>
      </c>
      <c r="AB85" s="23"/>
      <c r="AC85" s="23"/>
      <c r="AD85" s="102"/>
    </row>
    <row r="86" spans="1:30" s="8" customFormat="1" ht="15.75" customHeight="1">
      <c r="A86" s="218">
        <v>86</v>
      </c>
      <c r="B86" s="219" t="s">
        <v>493</v>
      </c>
      <c r="C86" s="220" t="str">
        <f>MEMBERS!B89</f>
        <v>HCFM-0648</v>
      </c>
      <c r="D86" s="220" t="str">
        <f>VLOOKUP(C86,MEMBERS!B:C,2, )</f>
        <v>AYSM MIRZA</v>
      </c>
      <c r="E86" s="235"/>
      <c r="F86" s="235"/>
      <c r="G86" s="235"/>
      <c r="H86" s="235"/>
      <c r="I86" s="235"/>
      <c r="J86" s="235"/>
      <c r="K86" s="235"/>
      <c r="L86" s="221" t="s">
        <v>494</v>
      </c>
      <c r="M86" s="23"/>
      <c r="N86" s="225"/>
      <c r="O86" s="23"/>
      <c r="P86" s="23"/>
      <c r="Q86" s="225"/>
      <c r="R86" s="225"/>
      <c r="S86" s="225"/>
      <c r="T86" s="225"/>
      <c r="U86" s="225"/>
      <c r="V86" s="23"/>
      <c r="W86" s="223">
        <f>VLOOKUP(C86,'data base '!B:AA,26, )</f>
        <v>43747.1</v>
      </c>
      <c r="X86" s="223">
        <f>VLOOKUP(C86,'data base '!B:AD,27, )</f>
        <v>3582.11</v>
      </c>
      <c r="Y86" s="264"/>
      <c r="Z86" s="265"/>
      <c r="AA86" s="224">
        <f t="shared" si="1"/>
        <v>43747.1</v>
      </c>
      <c r="AB86" s="23"/>
      <c r="AC86" s="23"/>
      <c r="AD86" s="102"/>
    </row>
    <row r="87" spans="1:30" s="8" customFormat="1" ht="14.4">
      <c r="A87" s="218">
        <v>87</v>
      </c>
      <c r="B87" s="219" t="s">
        <v>493</v>
      </c>
      <c r="C87" s="220" t="str">
        <f>MEMBERS!B90</f>
        <v>HCFM-0649</v>
      </c>
      <c r="D87" s="220" t="str">
        <f>VLOOKUP(C87,MEMBERS!B:C,2, )</f>
        <v>IFTIKHAR SHAH</v>
      </c>
      <c r="E87" s="235"/>
      <c r="F87" s="235"/>
      <c r="G87" s="235"/>
      <c r="H87" s="235"/>
      <c r="I87" s="235"/>
      <c r="J87" s="235"/>
      <c r="K87" s="235"/>
      <c r="L87" s="221" t="s">
        <v>494</v>
      </c>
      <c r="M87" s="23"/>
      <c r="N87" s="225"/>
      <c r="O87" s="23"/>
      <c r="P87" s="23"/>
      <c r="Q87" s="225"/>
      <c r="R87" s="225"/>
      <c r="S87" s="225"/>
      <c r="T87" s="225"/>
      <c r="U87" s="225"/>
      <c r="V87" s="23"/>
      <c r="W87" s="223">
        <f>VLOOKUP(C87,'data base '!B:AA,26, )</f>
        <v>94630</v>
      </c>
      <c r="X87" s="223">
        <f>VLOOKUP(C87,'data base '!B:AD,27, )</f>
        <v>9463</v>
      </c>
      <c r="Y87" s="264"/>
      <c r="Z87" s="265"/>
      <c r="AA87" s="224">
        <f t="shared" si="1"/>
        <v>94630</v>
      </c>
      <c r="AB87" s="23" t="s">
        <v>755</v>
      </c>
      <c r="AC87" s="23"/>
      <c r="AD87" s="102"/>
    </row>
    <row r="88" spans="1:30" s="8" customFormat="1" ht="15.75" customHeight="1">
      <c r="A88" s="218">
        <v>88</v>
      </c>
      <c r="B88" s="219" t="s">
        <v>493</v>
      </c>
      <c r="C88" s="220" t="str">
        <f>MEMBERS!B91</f>
        <v>HCFM-0650</v>
      </c>
      <c r="D88" s="220" t="str">
        <f>VLOOKUP(C88,MEMBERS!B:C,2, )</f>
        <v>KHURRAM FIRDOUS</v>
      </c>
      <c r="E88" s="235"/>
      <c r="F88" s="235"/>
      <c r="G88" s="235"/>
      <c r="H88" s="235"/>
      <c r="I88" s="235"/>
      <c r="J88" s="235"/>
      <c r="K88" s="235"/>
      <c r="L88" s="237" t="s">
        <v>494</v>
      </c>
      <c r="M88" s="103"/>
      <c r="N88" s="238"/>
      <c r="O88" s="103"/>
      <c r="P88" s="103"/>
      <c r="Q88" s="238"/>
      <c r="R88" s="238"/>
      <c r="S88" s="238"/>
      <c r="T88" s="238"/>
      <c r="U88" s="238"/>
      <c r="V88" s="103"/>
      <c r="W88" s="223">
        <f>VLOOKUP(C88,'data base '!B:AA,26, )</f>
        <v>36072.5</v>
      </c>
      <c r="X88" s="223">
        <f>VLOOKUP(C88,'data base '!B:AD,27, )</f>
        <v>3398.75</v>
      </c>
      <c r="Y88" s="264"/>
      <c r="Z88" s="265"/>
      <c r="AA88" s="224">
        <f t="shared" si="1"/>
        <v>36072.5</v>
      </c>
      <c r="AB88" s="103"/>
      <c r="AC88" s="103"/>
      <c r="AD88" s="104"/>
    </row>
    <row r="89" spans="1:30" s="8" customFormat="1" ht="15.75" customHeight="1">
      <c r="A89" s="218">
        <v>89</v>
      </c>
      <c r="B89" s="219" t="s">
        <v>493</v>
      </c>
      <c r="C89" s="220" t="str">
        <f>MEMBERS!B92</f>
        <v>HCFM-0651</v>
      </c>
      <c r="D89" s="220" t="str">
        <f>VLOOKUP(C89,MEMBERS!B:C,2, )</f>
        <v>ALI LEGHARI</v>
      </c>
      <c r="E89" s="23"/>
      <c r="F89" s="23"/>
      <c r="G89" s="23"/>
      <c r="H89" s="23"/>
      <c r="I89" s="23"/>
      <c r="J89" s="23"/>
      <c r="K89" s="23"/>
      <c r="L89" s="23"/>
      <c r="M89" s="23"/>
      <c r="N89" s="225"/>
      <c r="O89" s="23"/>
      <c r="P89" s="23"/>
      <c r="Q89" s="225"/>
      <c r="R89" s="225"/>
      <c r="S89" s="225"/>
      <c r="T89" s="225"/>
      <c r="U89" s="225"/>
      <c r="V89" s="23"/>
      <c r="W89" s="223">
        <f>VLOOKUP(C89,'data base '!B:AA,26, )</f>
        <v>564057.5</v>
      </c>
      <c r="X89" s="223">
        <f>VLOOKUP(C89,'data base '!B:AD,27, )</f>
        <v>56405.75</v>
      </c>
      <c r="Y89" s="264"/>
      <c r="Z89" s="265"/>
      <c r="AA89" s="224">
        <f t="shared" si="1"/>
        <v>564057.5</v>
      </c>
      <c r="AB89" s="23"/>
      <c r="AC89" s="23"/>
      <c r="AD89" s="102"/>
    </row>
    <row r="90" spans="1:30" s="8" customFormat="1" ht="15.75" customHeight="1">
      <c r="A90" s="218">
        <v>90</v>
      </c>
      <c r="B90" s="219" t="s">
        <v>493</v>
      </c>
      <c r="C90" s="220" t="str">
        <f>MEMBERS!B93</f>
        <v>HCFM-0652</v>
      </c>
      <c r="D90" s="220" t="str">
        <f>VLOOKUP(C90,MEMBERS!B:C,2, )</f>
        <v>Dr. AZAD ALI</v>
      </c>
      <c r="E90" s="23"/>
      <c r="F90" s="23"/>
      <c r="G90" s="23"/>
      <c r="H90" s="23"/>
      <c r="I90" s="23"/>
      <c r="J90" s="23"/>
      <c r="K90" s="23"/>
      <c r="L90" s="23"/>
      <c r="M90" s="23"/>
      <c r="N90" s="225"/>
      <c r="O90" s="23"/>
      <c r="P90" s="23"/>
      <c r="Q90" s="225"/>
      <c r="R90" s="225"/>
      <c r="S90" s="225"/>
      <c r="T90" s="225"/>
      <c r="U90" s="225"/>
      <c r="V90" s="23"/>
      <c r="W90" s="223">
        <f>VLOOKUP(C90,'data base '!B:AA,26, )</f>
        <v>38471</v>
      </c>
      <c r="X90" s="223">
        <f>VLOOKUP(C90,'data base '!B:AD,27, )</f>
        <v>700</v>
      </c>
      <c r="Y90" s="264"/>
      <c r="Z90" s="265"/>
      <c r="AA90" s="224">
        <f t="shared" si="1"/>
        <v>38471</v>
      </c>
      <c r="AB90" s="23"/>
      <c r="AC90" s="23"/>
      <c r="AD90" s="102"/>
    </row>
    <row r="91" spans="1:30" s="8" customFormat="1" ht="15.75" customHeight="1">
      <c r="A91" s="218">
        <v>91</v>
      </c>
      <c r="B91" s="219" t="s">
        <v>493</v>
      </c>
      <c r="C91" s="220" t="str">
        <f>MEMBERS!B94</f>
        <v>HCFM-0653</v>
      </c>
      <c r="D91" s="220" t="str">
        <f>VLOOKUP(C91,MEMBERS!B:C,2, )</f>
        <v>AMEER MUHAMMAD</v>
      </c>
      <c r="E91" s="23"/>
      <c r="F91" s="23"/>
      <c r="G91" s="23"/>
      <c r="H91" s="23"/>
      <c r="I91" s="23"/>
      <c r="J91" s="23"/>
      <c r="K91" s="23"/>
      <c r="L91" s="23"/>
      <c r="M91" s="23"/>
      <c r="N91" s="225"/>
      <c r="O91" s="23"/>
      <c r="P91" s="23"/>
      <c r="Q91" s="225"/>
      <c r="R91" s="225"/>
      <c r="S91" s="225"/>
      <c r="T91" s="225"/>
      <c r="U91" s="225"/>
      <c r="V91" s="23"/>
      <c r="W91" s="223">
        <f>VLOOKUP(C91,'data base '!B:AA,26, )</f>
        <v>7000</v>
      </c>
      <c r="X91" s="223">
        <f>VLOOKUP(C91,'data base '!B:AD,27, )</f>
        <v>700</v>
      </c>
      <c r="Y91" s="264"/>
      <c r="Z91" s="265"/>
      <c r="AA91" s="224">
        <f t="shared" si="1"/>
        <v>7000</v>
      </c>
      <c r="AB91" s="23"/>
      <c r="AC91" s="23"/>
      <c r="AD91" s="102"/>
    </row>
    <row r="92" spans="1:30" s="8" customFormat="1" ht="15.75" customHeight="1">
      <c r="A92" s="218">
        <v>92</v>
      </c>
      <c r="B92" s="219" t="s">
        <v>493</v>
      </c>
      <c r="C92" s="220" t="str">
        <f>MEMBERS!B95</f>
        <v>HCFM-0654</v>
      </c>
      <c r="D92" s="220" t="str">
        <f>VLOOKUP(C92,MEMBERS!B:C,2, )</f>
        <v>SYED JIBRAN MUSHTAQ</v>
      </c>
      <c r="E92" s="23"/>
      <c r="F92" s="23"/>
      <c r="G92" s="23"/>
      <c r="H92" s="23"/>
      <c r="I92" s="23"/>
      <c r="J92" s="23"/>
      <c r="K92" s="23"/>
      <c r="L92" s="23"/>
      <c r="M92" s="23"/>
      <c r="N92" s="225"/>
      <c r="O92" s="23"/>
      <c r="P92" s="23"/>
      <c r="Q92" s="225"/>
      <c r="R92" s="225"/>
      <c r="S92" s="225"/>
      <c r="T92" s="225"/>
      <c r="U92" s="225"/>
      <c r="V92" s="23"/>
      <c r="W92" s="223">
        <f>VLOOKUP(C92,'data base '!B:AA,26, )</f>
        <v>60375.5</v>
      </c>
      <c r="X92" s="223">
        <f>VLOOKUP(C92,'data base '!B:AD,27, )</f>
        <v>6037.55</v>
      </c>
      <c r="Y92" s="264"/>
      <c r="Z92" s="265"/>
      <c r="AA92" s="224">
        <f t="shared" si="1"/>
        <v>60375.5</v>
      </c>
      <c r="AB92" s="23"/>
      <c r="AC92" s="23"/>
      <c r="AD92" s="102"/>
    </row>
    <row r="93" spans="1:30" s="8" customFormat="1" ht="15.75" customHeight="1">
      <c r="A93" s="218">
        <v>93</v>
      </c>
      <c r="B93" s="219" t="s">
        <v>493</v>
      </c>
      <c r="C93" s="220" t="str">
        <f>MEMBERS!B96</f>
        <v>HCFM-0655</v>
      </c>
      <c r="D93" s="220" t="str">
        <f>VLOOKUP(C93,MEMBERS!B:C,2, )</f>
        <v>SADDAM HUSSAIN</v>
      </c>
      <c r="E93" s="23"/>
      <c r="F93" s="23"/>
      <c r="G93" s="23"/>
      <c r="H93" s="23"/>
      <c r="I93" s="23"/>
      <c r="J93" s="23"/>
      <c r="K93" s="23"/>
      <c r="L93" s="23"/>
      <c r="M93" s="23"/>
      <c r="N93" s="225"/>
      <c r="O93" s="23"/>
      <c r="P93" s="23"/>
      <c r="Q93" s="225"/>
      <c r="R93" s="225"/>
      <c r="S93" s="225"/>
      <c r="T93" s="225"/>
      <c r="U93" s="225"/>
      <c r="V93" s="23"/>
      <c r="W93" s="223">
        <f>VLOOKUP(C93,'data base '!B:AA,26, )</f>
        <v>12015</v>
      </c>
      <c r="X93" s="223">
        <f>VLOOKUP(C93,'data base '!B:AD,27, )</f>
        <v>1201.5</v>
      </c>
      <c r="Y93" s="264"/>
      <c r="Z93" s="265"/>
      <c r="AA93" s="224">
        <f t="shared" si="1"/>
        <v>12015</v>
      </c>
      <c r="AB93" s="23"/>
      <c r="AC93" s="23"/>
      <c r="AD93" s="102"/>
    </row>
    <row r="94" spans="1:30" s="8" customFormat="1" ht="15.75" customHeight="1">
      <c r="A94" s="218">
        <v>94</v>
      </c>
      <c r="B94" s="219" t="s">
        <v>493</v>
      </c>
      <c r="C94" s="220" t="str">
        <f>MEMBERS!B97</f>
        <v>HCFM-0656</v>
      </c>
      <c r="D94" s="220" t="str">
        <f>VLOOKUP(C94,MEMBERS!B:C,2, )</f>
        <v>ZAIB UR REHMAN</v>
      </c>
      <c r="E94" s="23"/>
      <c r="F94" s="23"/>
      <c r="G94" s="23"/>
      <c r="H94" s="23"/>
      <c r="I94" s="23"/>
      <c r="J94" s="23"/>
      <c r="K94" s="23"/>
      <c r="L94" s="23"/>
      <c r="M94" s="23"/>
      <c r="N94" s="225"/>
      <c r="O94" s="23"/>
      <c r="P94" s="23"/>
      <c r="Q94" s="225"/>
      <c r="R94" s="225"/>
      <c r="S94" s="225"/>
      <c r="T94" s="225"/>
      <c r="U94" s="225"/>
      <c r="V94" s="23"/>
      <c r="W94" s="223">
        <f>VLOOKUP(C94,'data base '!B:AA,26, )</f>
        <v>17775.5</v>
      </c>
      <c r="X94" s="223">
        <f>VLOOKUP(C94,'data base '!B:AD,27, )</f>
        <v>1777.5500000000002</v>
      </c>
      <c r="Y94" s="264"/>
      <c r="Z94" s="265"/>
      <c r="AA94" s="224">
        <f t="shared" si="1"/>
        <v>17775.5</v>
      </c>
      <c r="AB94" s="23"/>
      <c r="AC94" s="23"/>
      <c r="AD94" s="102"/>
    </row>
    <row r="95" spans="1:30" s="8" customFormat="1" ht="15.75" customHeight="1">
      <c r="A95" s="218">
        <v>95</v>
      </c>
      <c r="B95" s="219" t="s">
        <v>493</v>
      </c>
      <c r="C95" s="220" t="str">
        <f>MEMBERS!B98</f>
        <v>HCFM-0657</v>
      </c>
      <c r="D95" s="220" t="str">
        <f>VLOOKUP(C95,MEMBERS!B:C,2, )</f>
        <v>NASIR ABBAS</v>
      </c>
      <c r="E95" s="23"/>
      <c r="F95" s="23"/>
      <c r="G95" s="23"/>
      <c r="H95" s="23"/>
      <c r="I95" s="23"/>
      <c r="J95" s="23"/>
      <c r="K95" s="23"/>
      <c r="L95" s="23"/>
      <c r="M95" s="23"/>
      <c r="N95" s="225"/>
      <c r="O95" s="23"/>
      <c r="P95" s="23"/>
      <c r="Q95" s="225"/>
      <c r="R95" s="225"/>
      <c r="S95" s="225"/>
      <c r="T95" s="225"/>
      <c r="U95" s="225"/>
      <c r="V95" s="23"/>
      <c r="W95" s="223">
        <f>VLOOKUP(C95,'data base '!B:AA,26, )</f>
        <v>76797.5</v>
      </c>
      <c r="X95" s="223">
        <f>VLOOKUP(C95,'data base '!B:AD,27, )</f>
        <v>7679.75</v>
      </c>
      <c r="Y95" s="264"/>
      <c r="Z95" s="265"/>
      <c r="AA95" s="224">
        <f t="shared" si="1"/>
        <v>76797.5</v>
      </c>
      <c r="AB95" s="23"/>
      <c r="AC95" s="23"/>
      <c r="AD95" s="102"/>
    </row>
    <row r="96" spans="1:30" s="8" customFormat="1" ht="15.75" customHeight="1">
      <c r="A96" s="218">
        <v>96</v>
      </c>
      <c r="B96" s="219" t="s">
        <v>493</v>
      </c>
      <c r="C96" s="220" t="str">
        <f>MEMBERS!B99</f>
        <v>HCFM-0658</v>
      </c>
      <c r="D96" s="220" t="str">
        <f>VLOOKUP(C96,MEMBERS!B:C,2, )</f>
        <v>MUSHTAQ AHMED MEMON</v>
      </c>
      <c r="E96" s="23"/>
      <c r="F96" s="23"/>
      <c r="G96" s="23"/>
      <c r="H96" s="23"/>
      <c r="I96" s="23"/>
      <c r="J96" s="23"/>
      <c r="K96" s="23"/>
      <c r="L96" s="23"/>
      <c r="M96" s="23"/>
      <c r="N96" s="225"/>
      <c r="O96" s="23"/>
      <c r="P96" s="23"/>
      <c r="Q96" s="225"/>
      <c r="R96" s="225"/>
      <c r="S96" s="225"/>
      <c r="T96" s="225"/>
      <c r="U96" s="225"/>
      <c r="V96" s="23"/>
      <c r="W96" s="223">
        <f>VLOOKUP(C96,'data base '!B:AA,26, )</f>
        <v>67000</v>
      </c>
      <c r="X96" s="223">
        <f>VLOOKUP(C96,'data base '!B:AD,27, )</f>
        <v>700</v>
      </c>
      <c r="Y96" s="264"/>
      <c r="Z96" s="265"/>
      <c r="AA96" s="224">
        <f t="shared" si="1"/>
        <v>67000</v>
      </c>
      <c r="AB96" s="23"/>
      <c r="AC96" s="23"/>
      <c r="AD96" s="102"/>
    </row>
    <row r="97" spans="1:30" s="8" customFormat="1" ht="15.75" customHeight="1">
      <c r="A97" s="218">
        <v>97</v>
      </c>
      <c r="B97" s="219" t="s">
        <v>493</v>
      </c>
      <c r="C97" s="220" t="str">
        <f>MEMBERS!B100</f>
        <v>HCFM-0659</v>
      </c>
      <c r="D97" s="220" t="str">
        <f>VLOOKUP(C97,MEMBERS!B:C,2, )</f>
        <v>Heritage club</v>
      </c>
      <c r="E97" s="23"/>
      <c r="F97" s="23"/>
      <c r="G97" s="23"/>
      <c r="H97" s="23"/>
      <c r="I97" s="23"/>
      <c r="J97" s="23"/>
      <c r="K97" s="23"/>
      <c r="L97" s="23"/>
      <c r="M97" s="23"/>
      <c r="N97" s="225"/>
      <c r="O97" s="23"/>
      <c r="P97" s="23"/>
      <c r="Q97" s="225"/>
      <c r="R97" s="225"/>
      <c r="S97" s="225"/>
      <c r="T97" s="225"/>
      <c r="U97" s="225"/>
      <c r="V97" s="23"/>
      <c r="W97" s="223">
        <f>VLOOKUP(C97,'data base '!B:AA,26, )</f>
        <v>4078338.75</v>
      </c>
      <c r="X97" s="223">
        <f>VLOOKUP(C97,'data base '!B:AD,27, )</f>
        <v>407833.875</v>
      </c>
      <c r="Y97" s="264">
        <f>9292+12000+2220000+1522240</f>
        <v>3763532</v>
      </c>
      <c r="Z97" s="265"/>
      <c r="AA97" s="224">
        <f t="shared" si="1"/>
        <v>314806.75</v>
      </c>
      <c r="AB97" s="23"/>
      <c r="AC97" s="23"/>
      <c r="AD97" s="102"/>
    </row>
    <row r="98" spans="1:30" s="8" customFormat="1" ht="15.75" customHeight="1">
      <c r="A98" s="218">
        <v>98</v>
      </c>
      <c r="B98" s="219" t="s">
        <v>493</v>
      </c>
      <c r="C98" s="220" t="str">
        <f>MEMBERS!B101</f>
        <v>HCFM-0661</v>
      </c>
      <c r="D98" s="220" t="str">
        <f>VLOOKUP(C98,MEMBERS!B:C,2, )</f>
        <v xml:space="preserve">ARSLAN KHAN ABRO </v>
      </c>
      <c r="E98" s="23"/>
      <c r="F98" s="23"/>
      <c r="G98" s="23"/>
      <c r="H98" s="23"/>
      <c r="I98" s="23"/>
      <c r="J98" s="23"/>
      <c r="K98" s="23"/>
      <c r="L98" s="23"/>
      <c r="M98" s="23"/>
      <c r="N98" s="225"/>
      <c r="O98" s="23"/>
      <c r="P98" s="23"/>
      <c r="Q98" s="225"/>
      <c r="R98" s="225"/>
      <c r="S98" s="225"/>
      <c r="T98" s="225"/>
      <c r="U98" s="225"/>
      <c r="V98" s="23"/>
      <c r="W98" s="223">
        <f>VLOOKUP(C98,'data base '!B:AA,26, )</f>
        <v>43838.75</v>
      </c>
      <c r="X98" s="223">
        <f>VLOOKUP(C98,'data base '!B:AD,27, )</f>
        <v>1323.875</v>
      </c>
      <c r="Y98" s="264"/>
      <c r="Z98" s="265"/>
      <c r="AA98" s="224">
        <f t="shared" si="1"/>
        <v>43838.75</v>
      </c>
      <c r="AB98" s="23"/>
      <c r="AC98" s="23"/>
      <c r="AD98" s="102"/>
    </row>
    <row r="99" spans="1:30" s="9" customFormat="1" ht="14.4">
      <c r="A99" s="218">
        <v>99</v>
      </c>
      <c r="B99" s="219" t="s">
        <v>493</v>
      </c>
      <c r="C99" s="220" t="str">
        <f>MEMBERS!B102</f>
        <v>HCFM-0663</v>
      </c>
      <c r="D99" s="220" t="str">
        <f>VLOOKUP(C99,MEMBERS!B:C,2, )</f>
        <v xml:space="preserve">JAM FEROZ </v>
      </c>
      <c r="E99" s="23"/>
      <c r="F99" s="23"/>
      <c r="G99" s="23"/>
      <c r="H99" s="23"/>
      <c r="I99" s="23"/>
      <c r="J99" s="23"/>
      <c r="K99" s="23"/>
      <c r="L99" s="23"/>
      <c r="M99" s="23"/>
      <c r="N99" s="225"/>
      <c r="O99" s="23"/>
      <c r="P99" s="23"/>
      <c r="Q99" s="225"/>
      <c r="R99" s="225"/>
      <c r="S99" s="225"/>
      <c r="T99" s="225"/>
      <c r="U99" s="225"/>
      <c r="V99" s="23"/>
      <c r="W99" s="223">
        <f>VLOOKUP(C99,'data base '!B:AA,26, )</f>
        <v>47882.5</v>
      </c>
      <c r="X99" s="223">
        <f>VLOOKUP(C99,'data base '!B:AD,27, )</f>
        <v>4788.25</v>
      </c>
      <c r="Y99" s="264"/>
      <c r="Z99" s="265"/>
      <c r="AA99" s="224">
        <f t="shared" si="1"/>
        <v>47882.5</v>
      </c>
      <c r="AB99" s="23"/>
      <c r="AC99" s="23"/>
      <c r="AD99" s="102"/>
    </row>
    <row r="100" spans="1:30" s="9" customFormat="1" ht="14.4">
      <c r="A100" s="218">
        <v>100</v>
      </c>
      <c r="B100" s="219" t="s">
        <v>493</v>
      </c>
      <c r="C100" s="220" t="str">
        <f>MEMBERS!B103</f>
        <v>HCFM-0664</v>
      </c>
      <c r="D100" s="220" t="str">
        <f>VLOOKUP(C100,MEMBERS!B:C,2, )</f>
        <v>SHAHBAZ AHMED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25"/>
      <c r="O100" s="23"/>
      <c r="P100" s="23"/>
      <c r="Q100" s="225"/>
      <c r="R100" s="225"/>
      <c r="S100" s="225"/>
      <c r="T100" s="225"/>
      <c r="U100" s="225"/>
      <c r="V100" s="23"/>
      <c r="W100" s="223">
        <f>VLOOKUP(C100,'data base '!B:AA,26, )</f>
        <v>62951.35</v>
      </c>
      <c r="X100" s="223">
        <f>VLOOKUP(C100,'data base '!B:AD,27, )</f>
        <v>6295.1350000000002</v>
      </c>
      <c r="Y100" s="264"/>
      <c r="Z100" s="265"/>
      <c r="AA100" s="230">
        <f t="shared" si="1"/>
        <v>62951.35</v>
      </c>
      <c r="AB100" s="23"/>
      <c r="AC100" s="23"/>
      <c r="AD100" s="102"/>
    </row>
    <row r="101" spans="1:30" s="9" customFormat="1" ht="14.4">
      <c r="A101" s="218">
        <v>101</v>
      </c>
      <c r="B101" s="219" t="s">
        <v>493</v>
      </c>
      <c r="C101" s="220" t="str">
        <f>MEMBERS!B104</f>
        <v>HCFM-0665</v>
      </c>
      <c r="D101" s="220" t="str">
        <f>VLOOKUP(C101,MEMBERS!B:C,2, )</f>
        <v>KAZI NAZEER AHMED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25"/>
      <c r="O101" s="23"/>
      <c r="P101" s="23"/>
      <c r="Q101" s="225"/>
      <c r="R101" s="225"/>
      <c r="S101" s="225"/>
      <c r="T101" s="225"/>
      <c r="U101" s="225"/>
      <c r="V101" s="23"/>
      <c r="W101" s="223">
        <f>VLOOKUP(C101,'data base '!B:AA,26, )</f>
        <v>7000</v>
      </c>
      <c r="X101" s="223">
        <f>VLOOKUP(C101,'data base '!B:AD,27, )</f>
        <v>700</v>
      </c>
      <c r="Y101" s="264"/>
      <c r="Z101" s="265"/>
      <c r="AA101" s="224">
        <f t="shared" si="1"/>
        <v>7000</v>
      </c>
      <c r="AB101" s="23"/>
      <c r="AC101" s="23"/>
      <c r="AD101" s="102"/>
    </row>
    <row r="102" spans="1:30" s="9" customFormat="1" ht="14.4">
      <c r="A102" s="218">
        <v>102</v>
      </c>
      <c r="B102" s="219"/>
      <c r="C102" s="220" t="str">
        <f>MEMBERS!B105</f>
        <v>HCFM-0666</v>
      </c>
      <c r="D102" s="220" t="str">
        <f>VLOOKUP(C102,MEMBERS!B:C,2, )</f>
        <v>MR FAHAD MUMTAZ</v>
      </c>
      <c r="E102" s="23"/>
      <c r="F102" s="23"/>
      <c r="G102" s="23"/>
      <c r="H102" s="23"/>
      <c r="I102" s="23"/>
      <c r="J102" s="23"/>
      <c r="K102" s="23"/>
      <c r="L102" s="23"/>
      <c r="M102" s="23"/>
      <c r="N102" s="225"/>
      <c r="O102" s="23"/>
      <c r="P102" s="23"/>
      <c r="Q102" s="225"/>
      <c r="R102" s="225"/>
      <c r="S102" s="225"/>
      <c r="T102" s="225"/>
      <c r="U102" s="225"/>
      <c r="V102" s="23"/>
      <c r="W102" s="223">
        <f>VLOOKUP(C102,'data base '!B:AA,26, )</f>
        <v>7000</v>
      </c>
      <c r="X102" s="223">
        <f>VLOOKUP(C102,'data base '!B:AD,27, )</f>
        <v>700</v>
      </c>
      <c r="Y102" s="264"/>
      <c r="Z102" s="265"/>
      <c r="AA102" s="224">
        <f t="shared" si="1"/>
        <v>7000</v>
      </c>
      <c r="AB102" s="23"/>
      <c r="AC102" s="23"/>
      <c r="AD102" s="102"/>
    </row>
    <row r="103" spans="1:30" s="9" customFormat="1" ht="14.4">
      <c r="A103" s="218">
        <v>103</v>
      </c>
      <c r="B103" s="219"/>
      <c r="C103" s="220" t="str">
        <f>MEMBERS!B106</f>
        <v>HCFM-0667</v>
      </c>
      <c r="D103" s="220" t="str">
        <f>VLOOKUP(C103,MEMBERS!B:C,2, )</f>
        <v>MR. FAYAZ ALI SOOMRO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25"/>
      <c r="O103" s="23"/>
      <c r="P103" s="23"/>
      <c r="Q103" s="225"/>
      <c r="R103" s="225"/>
      <c r="S103" s="225"/>
      <c r="T103" s="225"/>
      <c r="U103" s="225"/>
      <c r="V103" s="23"/>
      <c r="W103" s="223">
        <f>VLOOKUP(C103,'data base '!B:AA,26, )</f>
        <v>17591.349999999999</v>
      </c>
      <c r="X103" s="223">
        <f>VLOOKUP(C103,'data base '!B:AD,27, )</f>
        <v>1759.135</v>
      </c>
      <c r="Y103" s="264"/>
      <c r="Z103" s="265"/>
      <c r="AA103" s="224">
        <f t="shared" si="1"/>
        <v>17591.349999999999</v>
      </c>
      <c r="AB103" s="23"/>
      <c r="AC103" s="23"/>
      <c r="AD103" s="102"/>
    </row>
    <row r="104" spans="1:30" s="9" customFormat="1" ht="14.4">
      <c r="A104" s="218">
        <v>104</v>
      </c>
      <c r="B104" s="219"/>
      <c r="C104" s="220" t="str">
        <f>MEMBERS!B107</f>
        <v>HCFM-0668</v>
      </c>
      <c r="D104" s="220" t="str">
        <f>VLOOKUP(C104,MEMBERS!B:C,2, )</f>
        <v>MR. KASHIF SAEED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25"/>
      <c r="O104" s="23"/>
      <c r="P104" s="23"/>
      <c r="Q104" s="225"/>
      <c r="R104" s="225"/>
      <c r="S104" s="225"/>
      <c r="T104" s="225"/>
      <c r="U104" s="225"/>
      <c r="V104" s="23"/>
      <c r="W104" s="223">
        <f>VLOOKUP(C104,'data base '!B:AA,26, )</f>
        <v>38660</v>
      </c>
      <c r="X104" s="223">
        <f>VLOOKUP(C104,'data base '!B:AD,27, )</f>
        <v>3866</v>
      </c>
      <c r="Y104" s="264"/>
      <c r="Z104" s="265"/>
      <c r="AA104" s="224">
        <f t="shared" si="1"/>
        <v>38660</v>
      </c>
      <c r="AB104" s="23"/>
      <c r="AC104" s="23"/>
      <c r="AD104" s="102"/>
    </row>
    <row r="105" spans="1:30" s="9" customFormat="1" ht="14.4">
      <c r="A105" s="218">
        <v>105</v>
      </c>
      <c r="B105" s="219"/>
      <c r="C105" s="220" t="str">
        <f>MEMBERS!B108</f>
        <v>HCFM-0669</v>
      </c>
      <c r="D105" s="220" t="str">
        <f>VLOOKUP(C105,MEMBERS!B:C,2, )</f>
        <v>MR . SYED RAHAT HUSSAIN ZAIDI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25"/>
      <c r="O105" s="23"/>
      <c r="P105" s="23"/>
      <c r="Q105" s="225"/>
      <c r="R105" s="225"/>
      <c r="S105" s="225"/>
      <c r="T105" s="225"/>
      <c r="U105" s="225"/>
      <c r="V105" s="23"/>
      <c r="W105" s="223">
        <f>VLOOKUP(C105,'data base '!B:AA,26, )</f>
        <v>106037.5</v>
      </c>
      <c r="X105" s="223">
        <f>VLOOKUP(C105,'data base '!B:AD,27, )</f>
        <v>10603.75</v>
      </c>
      <c r="Y105" s="264"/>
      <c r="Z105" s="265"/>
      <c r="AA105" s="224">
        <f t="shared" si="1"/>
        <v>106037.5</v>
      </c>
      <c r="AB105" s="23"/>
      <c r="AC105" s="23"/>
      <c r="AD105" s="102"/>
    </row>
    <row r="106" spans="1:30" s="9" customFormat="1" ht="14.4">
      <c r="A106" s="218">
        <v>106</v>
      </c>
      <c r="B106" s="219"/>
      <c r="C106" s="220" t="str">
        <f>MEMBERS!B109</f>
        <v>HCFM-0670</v>
      </c>
      <c r="D106" s="220" t="str">
        <f>VLOOKUP(C106,MEMBERS!B:C,2, )</f>
        <v>MR. TEHSEEN FAIZ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25"/>
      <c r="O106" s="23"/>
      <c r="P106" s="23"/>
      <c r="Q106" s="225"/>
      <c r="R106" s="225"/>
      <c r="S106" s="225"/>
      <c r="T106" s="225"/>
      <c r="U106" s="225"/>
      <c r="V106" s="23"/>
      <c r="W106" s="223">
        <f>VLOOKUP(C106,'data base '!B:AA,26, )</f>
        <v>54541.85</v>
      </c>
      <c r="X106" s="223">
        <f>VLOOKUP(C106,'data base '!B:AD,27, )</f>
        <v>3193.585</v>
      </c>
      <c r="Y106" s="264"/>
      <c r="Z106" s="265"/>
      <c r="AA106" s="224">
        <f t="shared" si="1"/>
        <v>54541.85</v>
      </c>
      <c r="AB106" s="23"/>
      <c r="AC106" s="23"/>
      <c r="AD106" s="102"/>
    </row>
    <row r="107" spans="1:30" s="150" customFormat="1" ht="14.4">
      <c r="A107" s="239">
        <v>107</v>
      </c>
      <c r="B107" s="219"/>
      <c r="C107" s="220" t="str">
        <f>MEMBERS!B110</f>
        <v>HCFM-0671</v>
      </c>
      <c r="D107" s="220" t="str">
        <f>VLOOKUP(C107,MEMBERS!B:C,2, )</f>
        <v>MRS. HASSAN RAFI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25"/>
      <c r="O107" s="23"/>
      <c r="P107" s="23"/>
      <c r="Q107" s="225"/>
      <c r="R107" s="225"/>
      <c r="S107" s="225"/>
      <c r="T107" s="225"/>
      <c r="U107" s="225"/>
      <c r="V107" s="23"/>
      <c r="W107" s="223">
        <f>VLOOKUP(C107,'data base '!B:AA,26, )</f>
        <v>0</v>
      </c>
      <c r="X107" s="223">
        <f>VLOOKUP(C107,'data base '!B:AD,27, )</f>
        <v>0</v>
      </c>
      <c r="Y107" s="264"/>
      <c r="Z107" s="265"/>
      <c r="AA107" s="240">
        <f t="shared" si="1"/>
        <v>0</v>
      </c>
      <c r="AB107" s="148"/>
      <c r="AC107" s="148"/>
      <c r="AD107" s="149"/>
    </row>
    <row r="108" spans="1:30" s="9" customFormat="1" ht="14.4">
      <c r="A108" s="218">
        <v>108</v>
      </c>
      <c r="B108" s="219"/>
      <c r="C108" s="220" t="str">
        <f>MEMBERS!B111</f>
        <v>HCFM-0672</v>
      </c>
      <c r="D108" s="220" t="str">
        <f>VLOOKUP(C108,MEMBERS!B:C,2, )</f>
        <v>MRS RIFFAT ZULFIQAR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25"/>
      <c r="O108" s="23"/>
      <c r="P108" s="23"/>
      <c r="Q108" s="225"/>
      <c r="R108" s="225"/>
      <c r="S108" s="225"/>
      <c r="T108" s="225"/>
      <c r="U108" s="225"/>
      <c r="V108" s="23"/>
      <c r="W108" s="223">
        <f>VLOOKUP(C108,'data base '!B:AA,26, )</f>
        <v>95672</v>
      </c>
      <c r="X108" s="223">
        <f>VLOOKUP(C108,'data base '!B:AD,27, )</f>
        <v>9567.2000000000007</v>
      </c>
      <c r="Y108" s="264"/>
      <c r="Z108" s="265"/>
      <c r="AA108" s="224">
        <f t="shared" si="1"/>
        <v>95672</v>
      </c>
      <c r="AB108" s="23"/>
      <c r="AC108" s="23"/>
      <c r="AD108" s="102"/>
    </row>
    <row r="109" spans="1:30" s="9" customFormat="1" ht="14.4">
      <c r="A109" s="218">
        <v>109</v>
      </c>
      <c r="B109" s="219"/>
      <c r="C109" s="220" t="str">
        <f>MEMBERS!B112</f>
        <v>HCFM-0673</v>
      </c>
      <c r="D109" s="220" t="str">
        <f>VLOOKUP(C109,MEMBERS!B:C,2, )</f>
        <v>MR. AKSHAY RAJ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25"/>
      <c r="O109" s="23"/>
      <c r="P109" s="23"/>
      <c r="Q109" s="225"/>
      <c r="R109" s="225"/>
      <c r="S109" s="225"/>
      <c r="T109" s="225"/>
      <c r="U109" s="225"/>
      <c r="V109" s="23"/>
      <c r="W109" s="223">
        <f>VLOOKUP(C109,'data base '!B:AA,26, )</f>
        <v>67682.5</v>
      </c>
      <c r="X109" s="223">
        <f>VLOOKUP(C109,'data base '!B:AD,27, )</f>
        <v>1223.25</v>
      </c>
      <c r="Y109" s="264"/>
      <c r="Z109" s="265"/>
      <c r="AA109" s="224">
        <f t="shared" si="1"/>
        <v>67682.5</v>
      </c>
      <c r="AB109" s="23"/>
      <c r="AC109" s="23"/>
      <c r="AD109" s="102"/>
    </row>
    <row r="110" spans="1:30" s="9" customFormat="1" ht="14.4">
      <c r="A110" s="218">
        <v>110</v>
      </c>
      <c r="B110" s="219"/>
      <c r="C110" s="220" t="str">
        <f>MEMBERS!B113</f>
        <v>HCFM-0674</v>
      </c>
      <c r="D110" s="220" t="str">
        <f>VLOOKUP(C110,MEMBERS!B:C,2, )</f>
        <v>MR. RAJESH KUMAR CHAWLA</v>
      </c>
      <c r="E110" s="23"/>
      <c r="F110" s="23"/>
      <c r="G110" s="23"/>
      <c r="H110" s="23"/>
      <c r="I110" s="23"/>
      <c r="J110" s="23"/>
      <c r="K110" s="23"/>
      <c r="L110" s="23"/>
      <c r="M110" s="23"/>
      <c r="N110" s="225"/>
      <c r="O110" s="23"/>
      <c r="P110" s="23"/>
      <c r="Q110" s="225"/>
      <c r="R110" s="225"/>
      <c r="S110" s="225"/>
      <c r="T110" s="225"/>
      <c r="U110" s="225"/>
      <c r="V110" s="23"/>
      <c r="W110" s="223">
        <f>VLOOKUP(C110,'data base '!B:AA,26, )</f>
        <v>21951</v>
      </c>
      <c r="X110" s="223">
        <f>VLOOKUP(C110,'data base '!B:AD,27, )</f>
        <v>838</v>
      </c>
      <c r="Y110" s="264"/>
      <c r="Z110" s="265"/>
      <c r="AA110" s="224">
        <f t="shared" si="1"/>
        <v>21951</v>
      </c>
      <c r="AB110" s="23"/>
      <c r="AC110" s="23"/>
      <c r="AD110" s="102"/>
    </row>
    <row r="111" spans="1:30" s="9" customFormat="1" ht="14.4">
      <c r="A111" s="218">
        <v>111</v>
      </c>
      <c r="B111" s="219"/>
      <c r="C111" s="220" t="str">
        <f>MEMBERS!B114</f>
        <v>HCFM-0676</v>
      </c>
      <c r="D111" s="220" t="str">
        <f>VLOOKUP(C111,MEMBERS!B:C,2, )</f>
        <v>MR. SAMEER MALIK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25"/>
      <c r="O111" s="23"/>
      <c r="P111" s="23"/>
      <c r="Q111" s="225"/>
      <c r="R111" s="225"/>
      <c r="S111" s="225"/>
      <c r="T111" s="225"/>
      <c r="U111" s="225"/>
      <c r="V111" s="23"/>
      <c r="W111" s="223">
        <f>VLOOKUP(C111,'data base '!B:AA,26, )</f>
        <v>67000</v>
      </c>
      <c r="X111" s="223">
        <f>VLOOKUP(C111,'data base '!B:AD,27, )</f>
        <v>700</v>
      </c>
      <c r="Y111" s="264"/>
      <c r="Z111" s="265"/>
      <c r="AA111" s="224">
        <f t="shared" si="1"/>
        <v>67000</v>
      </c>
      <c r="AB111" s="23"/>
      <c r="AC111" s="23"/>
      <c r="AD111" s="102"/>
    </row>
    <row r="112" spans="1:30" s="9" customFormat="1" ht="14.4">
      <c r="A112" s="218">
        <v>112</v>
      </c>
      <c r="B112" s="219"/>
      <c r="C112" s="220" t="str">
        <f>MEMBERS!B115</f>
        <v>HCFM-0677</v>
      </c>
      <c r="D112" s="220" t="str">
        <f>VLOOKUP(C112,MEMBERS!B:C,2, )</f>
        <v>MR. MUNAWAR HUSSAIN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25"/>
      <c r="O112" s="23"/>
      <c r="P112" s="23"/>
      <c r="Q112" s="225"/>
      <c r="R112" s="225"/>
      <c r="S112" s="225"/>
      <c r="T112" s="225"/>
      <c r="U112" s="225"/>
      <c r="V112" s="23"/>
      <c r="W112" s="223">
        <f>VLOOKUP(C112,'data base '!B:AA,26, )</f>
        <v>21302.5</v>
      </c>
      <c r="X112" s="223">
        <f>VLOOKUP(C112,'data base '!B:AD,27, )</f>
        <v>2130.25</v>
      </c>
      <c r="Y112" s="264"/>
      <c r="Z112" s="265"/>
      <c r="AA112" s="224">
        <f t="shared" si="1"/>
        <v>21302.5</v>
      </c>
      <c r="AB112" s="23"/>
      <c r="AC112" s="23"/>
      <c r="AD112" s="102"/>
    </row>
    <row r="113" spans="1:30" s="9" customFormat="1" ht="14.4">
      <c r="A113" s="218">
        <v>113</v>
      </c>
      <c r="B113" s="219"/>
      <c r="C113" s="220" t="str">
        <f>MEMBERS!B116</f>
        <v>HCFM-0678</v>
      </c>
      <c r="D113" s="220" t="str">
        <f>VLOOKUP(C113,MEMBERS!B:C,2, )</f>
        <v>MR. AIJAZ ALI BALOCH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25"/>
      <c r="O113" s="23"/>
      <c r="P113" s="23"/>
      <c r="Q113" s="225"/>
      <c r="R113" s="225"/>
      <c r="S113" s="225"/>
      <c r="T113" s="225"/>
      <c r="U113" s="225"/>
      <c r="V113" s="23"/>
      <c r="W113" s="223">
        <f>VLOOKUP(C113,'data base '!B:AA,26, )</f>
        <v>72990.05</v>
      </c>
      <c r="X113" s="223">
        <f>VLOOKUP(C113,'data base '!B:AD,27, )</f>
        <v>7299.005000000001</v>
      </c>
      <c r="Y113" s="264"/>
      <c r="Z113" s="265"/>
      <c r="AA113" s="224">
        <f t="shared" si="1"/>
        <v>72990.05</v>
      </c>
      <c r="AB113" s="23"/>
      <c r="AC113" s="23"/>
      <c r="AD113" s="102"/>
    </row>
    <row r="114" spans="1:30" s="9" customFormat="1" ht="14.4">
      <c r="A114" s="218">
        <v>114</v>
      </c>
      <c r="B114" s="219"/>
      <c r="C114" s="220" t="str">
        <f>MEMBERS!B117</f>
        <v>HCFM-0679</v>
      </c>
      <c r="D114" s="220" t="str">
        <f>VLOOKUP(C114,MEMBERS!B:C,2, )</f>
        <v>MR. ANEEL ZAHOOR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25"/>
      <c r="O114" s="23"/>
      <c r="P114" s="23"/>
      <c r="Q114" s="225"/>
      <c r="R114" s="225"/>
      <c r="S114" s="225"/>
      <c r="T114" s="225"/>
      <c r="U114" s="225"/>
      <c r="V114" s="23"/>
      <c r="W114" s="223">
        <f>VLOOKUP(C114,'data base '!B:AA,26, )</f>
        <v>91423.35</v>
      </c>
      <c r="X114" s="223">
        <f>VLOOKUP(C114,'data base '!B:AD,27, )</f>
        <v>9142.3350000000009</v>
      </c>
      <c r="Y114" s="264"/>
      <c r="Z114" s="265"/>
      <c r="AA114" s="224">
        <f t="shared" si="1"/>
        <v>91423.35</v>
      </c>
      <c r="AB114" s="23"/>
      <c r="AC114" s="23"/>
      <c r="AD114" s="102"/>
    </row>
    <row r="115" spans="1:30" s="9" customFormat="1" ht="14.4">
      <c r="A115" s="218">
        <v>115</v>
      </c>
      <c r="B115" s="219"/>
      <c r="C115" s="220" t="str">
        <f>MEMBERS!B118</f>
        <v>HCFM-0680</v>
      </c>
      <c r="D115" s="220" t="str">
        <f>VLOOKUP(C115,MEMBERS!B:C,2, )</f>
        <v>MR. AYAZ JAMRO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25"/>
      <c r="O115" s="23"/>
      <c r="P115" s="23"/>
      <c r="Q115" s="225"/>
      <c r="R115" s="225"/>
      <c r="S115" s="225"/>
      <c r="T115" s="225"/>
      <c r="U115" s="225"/>
      <c r="V115" s="23"/>
      <c r="W115" s="223">
        <f>VLOOKUP(C115,'data base '!B:AA,26, )</f>
        <v>22135.5</v>
      </c>
      <c r="X115" s="223">
        <f>VLOOKUP(C115,'data base '!B:AD,27, )</f>
        <v>2213.5500000000002</v>
      </c>
      <c r="Y115" s="264"/>
      <c r="Z115" s="265"/>
      <c r="AA115" s="224">
        <f t="shared" si="1"/>
        <v>22135.5</v>
      </c>
      <c r="AB115" s="23"/>
      <c r="AC115" s="23"/>
      <c r="AD115" s="102"/>
    </row>
    <row r="116" spans="1:30" s="9" customFormat="1" ht="14.4">
      <c r="A116" s="218">
        <v>116</v>
      </c>
      <c r="B116" s="219"/>
      <c r="C116" s="220" t="str">
        <f>MEMBERS!B119</f>
        <v>HCFM-0681</v>
      </c>
      <c r="D116" s="220" t="str">
        <f>VLOOKUP(C116,MEMBERS!B:C,2, )</f>
        <v>BAHRIA ADVENTURE LAND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25"/>
      <c r="O116" s="23"/>
      <c r="P116" s="23"/>
      <c r="Q116" s="225"/>
      <c r="R116" s="225"/>
      <c r="S116" s="225"/>
      <c r="T116" s="225"/>
      <c r="U116" s="225"/>
      <c r="V116" s="23"/>
      <c r="W116" s="223">
        <f>VLOOKUP(C116,'data base '!B:AA,26, )</f>
        <v>0</v>
      </c>
      <c r="X116" s="223">
        <f>VLOOKUP(C116,'data base '!B:AD,27, )</f>
        <v>0</v>
      </c>
      <c r="Y116" s="264"/>
      <c r="Z116" s="265"/>
      <c r="AA116" s="224">
        <f t="shared" si="1"/>
        <v>0</v>
      </c>
      <c r="AB116" s="23"/>
      <c r="AC116" s="23"/>
      <c r="AD116" s="102"/>
    </row>
    <row r="117" spans="1:30" s="9" customFormat="1" ht="14.4">
      <c r="A117" s="218">
        <v>117</v>
      </c>
      <c r="B117" s="219"/>
      <c r="C117" s="220" t="str">
        <f>MEMBERS!B120</f>
        <v>HCFM-0682</v>
      </c>
      <c r="D117" s="220" t="str">
        <f>VLOOKUP(C117,MEMBERS!B:C,2, )</f>
        <v>MR. ZAHIR REHMAN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25"/>
      <c r="O117" s="23"/>
      <c r="P117" s="23"/>
      <c r="Q117" s="225"/>
      <c r="R117" s="225"/>
      <c r="S117" s="225"/>
      <c r="T117" s="225"/>
      <c r="U117" s="225"/>
      <c r="V117" s="23"/>
      <c r="W117" s="223">
        <f>VLOOKUP(C117,'data base '!B:AA,26, )</f>
        <v>36445</v>
      </c>
      <c r="X117" s="223">
        <f>VLOOKUP(C117,'data base '!B:AD,27, )</f>
        <v>3644.5</v>
      </c>
      <c r="Y117" s="264"/>
      <c r="Z117" s="265"/>
      <c r="AA117" s="224">
        <f t="shared" si="1"/>
        <v>36445</v>
      </c>
      <c r="AB117" s="23"/>
      <c r="AC117" s="23"/>
      <c r="AD117" s="102"/>
    </row>
    <row r="118" spans="1:30" s="9" customFormat="1" ht="14.4">
      <c r="A118" s="218">
        <v>118</v>
      </c>
      <c r="B118" s="219"/>
      <c r="C118" s="220" t="str">
        <f>MEMBERS!B121</f>
        <v>HCFM-0683</v>
      </c>
      <c r="D118" s="220" t="str">
        <f>VLOOKUP(C118,MEMBERS!B:C,2, )</f>
        <v>MR. YASIR RASHEED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25"/>
      <c r="O118" s="23"/>
      <c r="P118" s="23"/>
      <c r="Q118" s="225"/>
      <c r="R118" s="225"/>
      <c r="S118" s="225"/>
      <c r="T118" s="225"/>
      <c r="U118" s="225"/>
      <c r="V118" s="23"/>
      <c r="W118" s="223">
        <f>VLOOKUP(C118,'data base '!B:AA,26, )</f>
        <v>14897.5</v>
      </c>
      <c r="X118" s="223">
        <f>VLOOKUP(C118,'data base '!B:AD,27, )</f>
        <v>1489.75</v>
      </c>
      <c r="Y118" s="264"/>
      <c r="Z118" s="265"/>
      <c r="AA118" s="224">
        <f t="shared" si="1"/>
        <v>14897.5</v>
      </c>
      <c r="AB118" s="23"/>
      <c r="AC118" s="23"/>
      <c r="AD118" s="102"/>
    </row>
    <row r="119" spans="1:30" s="9" customFormat="1" ht="14.4">
      <c r="A119" s="218">
        <v>119</v>
      </c>
      <c r="B119" s="219"/>
      <c r="C119" s="220" t="str">
        <f>MEMBERS!B122</f>
        <v>HCFM-0684</v>
      </c>
      <c r="D119" s="220" t="str">
        <f>VLOOKUP(C119,MEMBERS!B:C,2, )</f>
        <v>MR. ZAMIR ALI SHAH</v>
      </c>
      <c r="E119" s="23"/>
      <c r="F119" s="23"/>
      <c r="G119" s="23"/>
      <c r="H119" s="23"/>
      <c r="I119" s="23"/>
      <c r="J119" s="23"/>
      <c r="K119" s="23"/>
      <c r="L119" s="23"/>
      <c r="M119" s="23"/>
      <c r="N119" s="225"/>
      <c r="O119" s="23"/>
      <c r="P119" s="23"/>
      <c r="Q119" s="225"/>
      <c r="R119" s="225"/>
      <c r="S119" s="225"/>
      <c r="T119" s="225"/>
      <c r="U119" s="225"/>
      <c r="V119" s="23"/>
      <c r="W119" s="223">
        <f>VLOOKUP(C119,'data base '!B:AA,26, )</f>
        <v>159553.4</v>
      </c>
      <c r="X119" s="223">
        <f>VLOOKUP(C119,'data base '!B:AD,27, )</f>
        <v>15955.34</v>
      </c>
      <c r="Y119" s="264"/>
      <c r="Z119" s="265"/>
      <c r="AA119" s="224">
        <f t="shared" si="1"/>
        <v>159553.4</v>
      </c>
      <c r="AB119" s="23"/>
      <c r="AC119" s="23"/>
      <c r="AD119" s="102"/>
    </row>
    <row r="120" spans="1:30" s="9" customFormat="1" ht="14.4">
      <c r="A120" s="218">
        <v>120</v>
      </c>
      <c r="B120" s="219"/>
      <c r="C120" s="220" t="str">
        <f>MEMBERS!B123</f>
        <v>HCFM-0685</v>
      </c>
      <c r="D120" s="220" t="str">
        <f>VLOOKUP(C120,MEMBERS!B:C,2, )</f>
        <v>MR. KHURRAM SHAHZAD MEMON</v>
      </c>
      <c r="E120" s="23"/>
      <c r="F120" s="23"/>
      <c r="G120" s="23"/>
      <c r="H120" s="23"/>
      <c r="I120" s="23"/>
      <c r="J120" s="23"/>
      <c r="K120" s="23"/>
      <c r="L120" s="23"/>
      <c r="M120" s="23"/>
      <c r="N120" s="225"/>
      <c r="O120" s="23"/>
      <c r="P120" s="23"/>
      <c r="Q120" s="225"/>
      <c r="R120" s="225"/>
      <c r="S120" s="225"/>
      <c r="T120" s="225"/>
      <c r="U120" s="225"/>
      <c r="V120" s="23"/>
      <c r="W120" s="223">
        <f>VLOOKUP(C120,'data base '!B:AA,26, )</f>
        <v>37000</v>
      </c>
      <c r="X120" s="223">
        <f>VLOOKUP(C120,'data base '!B:AD,27, )</f>
        <v>700</v>
      </c>
      <c r="Y120" s="264"/>
      <c r="Z120" s="265"/>
      <c r="AA120" s="224">
        <f t="shared" ref="AA120:AA122" si="2">W120-Y120</f>
        <v>37000</v>
      </c>
      <c r="AB120" s="23"/>
      <c r="AC120" s="23"/>
      <c r="AD120" s="102"/>
    </row>
    <row r="121" spans="1:30" s="9" customFormat="1" ht="14.4">
      <c r="A121" s="218">
        <v>121</v>
      </c>
      <c r="B121" s="219"/>
      <c r="C121" s="220" t="str">
        <f>MEMBERS!B124</f>
        <v>HCFM-0686</v>
      </c>
      <c r="D121" s="220" t="str">
        <f>VLOOKUP(C121,MEMBERS!B:C,2, )</f>
        <v>MR. GHULAM MUSTAFA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25"/>
      <c r="O121" s="23"/>
      <c r="P121" s="23"/>
      <c r="Q121" s="225"/>
      <c r="R121" s="225"/>
      <c r="S121" s="225"/>
      <c r="T121" s="225"/>
      <c r="U121" s="225"/>
      <c r="V121" s="23"/>
      <c r="W121" s="223">
        <f>VLOOKUP(C121,'data base '!B:AA,26, )</f>
        <v>67808.350000000006</v>
      </c>
      <c r="X121" s="223">
        <f>VLOOKUP(C121,'data base '!B:AD,27, )</f>
        <v>6780.8350000000009</v>
      </c>
      <c r="Y121" s="264"/>
      <c r="Z121" s="265"/>
      <c r="AA121" s="224">
        <f t="shared" si="2"/>
        <v>67808.350000000006</v>
      </c>
      <c r="AB121" s="23"/>
      <c r="AC121" s="23"/>
      <c r="AD121" s="102"/>
    </row>
    <row r="122" spans="1:30" s="9" customFormat="1" ht="14.4">
      <c r="A122" s="218">
        <v>122</v>
      </c>
      <c r="B122" s="219"/>
      <c r="C122" s="220" t="str">
        <f>MEMBERS!B125</f>
        <v>HCFM-0687</v>
      </c>
      <c r="D122" s="220" t="str">
        <f>VLOOKUP(C122,MEMBERS!B:C,2, )</f>
        <v>MR. IKRAMULLAH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25"/>
      <c r="O122" s="23"/>
      <c r="P122" s="23"/>
      <c r="Q122" s="225"/>
      <c r="R122" s="225"/>
      <c r="S122" s="225"/>
      <c r="T122" s="225"/>
      <c r="U122" s="225"/>
      <c r="V122" s="23"/>
      <c r="W122" s="223">
        <f>VLOOKUP(C122,'data base '!B:AA,26, )</f>
        <v>7000</v>
      </c>
      <c r="X122" s="223">
        <f>VLOOKUP(C122,'data base '!B:AD,27, )</f>
        <v>700</v>
      </c>
      <c r="Y122" s="264"/>
      <c r="Z122" s="265"/>
      <c r="AA122" s="224">
        <f t="shared" si="2"/>
        <v>7000</v>
      </c>
      <c r="AB122" s="23"/>
      <c r="AC122" s="23"/>
      <c r="AD122" s="102"/>
    </row>
    <row r="123" spans="1:30" s="8" customFormat="1" ht="15.75" customHeight="1" thickBot="1">
      <c r="A123" s="241"/>
      <c r="B123" s="242"/>
      <c r="C123" s="220" t="s">
        <v>756</v>
      </c>
      <c r="D123" s="220" t="s">
        <v>1090</v>
      </c>
      <c r="E123" s="132"/>
      <c r="F123" s="132"/>
      <c r="G123" s="132"/>
      <c r="H123" s="132"/>
      <c r="I123" s="132"/>
      <c r="J123" s="132"/>
      <c r="K123" s="132"/>
      <c r="L123" s="132"/>
      <c r="M123" s="132"/>
      <c r="N123" s="243"/>
      <c r="O123" s="132"/>
      <c r="P123" s="132"/>
      <c r="Q123" s="243"/>
      <c r="R123" s="243"/>
      <c r="S123" s="243"/>
      <c r="T123" s="243"/>
      <c r="U123" s="243"/>
      <c r="V123" s="132"/>
      <c r="W123" s="223">
        <f>VLOOKUP(C123,'data base '!B:AA,26, )</f>
        <v>276700</v>
      </c>
      <c r="X123" s="223">
        <f>VLOOKUP(C123,'data base '!B:AD,27, )</f>
        <v>27670</v>
      </c>
      <c r="Y123" s="264"/>
      <c r="Z123" s="265"/>
      <c r="AA123" s="244"/>
      <c r="AB123" s="132"/>
      <c r="AC123" s="132"/>
      <c r="AD123" s="133"/>
    </row>
    <row r="124" spans="1:30" ht="15.75" customHeight="1" thickBot="1">
      <c r="A124" s="454"/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54"/>
      <c r="P124" s="454"/>
      <c r="Q124" s="454"/>
      <c r="R124" s="454"/>
      <c r="S124" s="454"/>
      <c r="T124" s="454"/>
      <c r="U124" s="454"/>
      <c r="V124" s="454"/>
      <c r="W124" s="454"/>
      <c r="X124" s="454"/>
      <c r="Y124" s="454"/>
      <c r="Z124" s="454"/>
      <c r="AA124" s="454"/>
      <c r="AB124" s="454"/>
      <c r="AC124" s="454"/>
      <c r="AD124" s="454"/>
    </row>
    <row r="125" spans="1:30" ht="15.75" customHeight="1" thickBot="1">
      <c r="A125" s="455" t="s">
        <v>673</v>
      </c>
      <c r="B125" s="456"/>
      <c r="C125" s="456"/>
      <c r="D125" s="457"/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8"/>
      <c r="W125" s="29">
        <f>SUM(W2:W123)</f>
        <v>9979471.9000000004</v>
      </c>
      <c r="X125" s="126">
        <f>SUM(X2:X123)</f>
        <v>882547.58999999985</v>
      </c>
      <c r="Y125" s="142">
        <f>SUM(Y2:Y123)</f>
        <v>3763532</v>
      </c>
      <c r="Z125" s="212"/>
      <c r="AA125" s="120">
        <f>SUMIF(AA2:AA123, "&lt;=0")</f>
        <v>0</v>
      </c>
      <c r="AB125" s="105"/>
      <c r="AC125" s="5"/>
      <c r="AD125" s="5"/>
    </row>
    <row r="126" spans="1:30" ht="15.75" customHeight="1" thickBot="1">
      <c r="A126" s="30"/>
      <c r="B126" s="31"/>
      <c r="C126" s="32"/>
      <c r="D126" s="33"/>
      <c r="E126" s="34"/>
      <c r="F126" s="34"/>
      <c r="G126" s="34"/>
      <c r="H126" s="34"/>
      <c r="I126" s="34"/>
      <c r="J126" s="34"/>
      <c r="K126" s="34"/>
      <c r="L126" s="34"/>
      <c r="M126" s="34"/>
      <c r="N126" s="35"/>
      <c r="O126" s="34"/>
      <c r="P126" s="34"/>
      <c r="Q126" s="35"/>
      <c r="R126" s="35"/>
      <c r="S126" s="35"/>
      <c r="T126" s="35"/>
      <c r="U126" s="35"/>
      <c r="V126" s="34"/>
      <c r="W126" s="36"/>
      <c r="X126" s="127"/>
      <c r="Y126" s="143"/>
      <c r="Z126" s="213"/>
      <c r="AA126" s="120">
        <f>SUMIF(AA2:AA123, "&gt;=0")</f>
        <v>5939239.8999999994</v>
      </c>
      <c r="AB126" s="5"/>
      <c r="AC126" s="105"/>
      <c r="AD126" s="5"/>
    </row>
    <row r="127" spans="1:30" ht="15.75" customHeight="1" thickBot="1">
      <c r="A127" s="37"/>
      <c r="B127" s="38"/>
      <c r="C127" s="35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5"/>
      <c r="O127" s="34"/>
      <c r="P127" s="34"/>
      <c r="Q127" s="35"/>
      <c r="R127" s="35"/>
      <c r="S127" s="35"/>
      <c r="T127" s="35"/>
      <c r="U127" s="35"/>
      <c r="V127" s="39"/>
      <c r="W127" s="40" t="s">
        <v>745</v>
      </c>
      <c r="X127" s="128" t="s">
        <v>674</v>
      </c>
      <c r="Y127" s="144" t="s">
        <v>675</v>
      </c>
      <c r="Z127" s="213"/>
      <c r="AA127" s="121">
        <f>SUM(AA2:AA123)</f>
        <v>5939239.8999999994</v>
      </c>
      <c r="AB127" s="5"/>
      <c r="AC127" s="5"/>
      <c r="AD127" s="5"/>
    </row>
    <row r="128" spans="1:30" ht="15.75" customHeight="1" thickBot="1">
      <c r="A128" s="37"/>
      <c r="B128" s="38"/>
      <c r="C128" s="35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5"/>
      <c r="O128" s="34"/>
      <c r="P128" s="34"/>
      <c r="Q128" s="35"/>
      <c r="R128" s="35"/>
      <c r="S128" s="35"/>
      <c r="T128" s="35"/>
      <c r="U128" s="35"/>
      <c r="V128" s="39"/>
      <c r="W128" s="40">
        <f>COUNT(W2:W123)</f>
        <v>122</v>
      </c>
      <c r="X128" s="128">
        <f>W128-Y128</f>
        <v>121</v>
      </c>
      <c r="Y128" s="144">
        <f>COUNT(Y2:Y123)</f>
        <v>1</v>
      </c>
      <c r="Z128" s="213"/>
      <c r="AA128" s="121"/>
      <c r="AB128" s="5"/>
      <c r="AC128" s="5"/>
      <c r="AD128" s="5"/>
    </row>
    <row r="129" spans="1:30" ht="15.75" customHeight="1" thickBot="1">
      <c r="A129" s="37"/>
      <c r="B129" s="38"/>
      <c r="C129" s="35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2"/>
      <c r="O129" s="41"/>
      <c r="P129" s="41"/>
      <c r="Q129" s="42"/>
      <c r="R129" s="42"/>
      <c r="S129" s="42"/>
      <c r="T129" s="42"/>
      <c r="U129" s="42"/>
      <c r="V129" s="41"/>
      <c r="W129" s="36"/>
      <c r="X129" s="129"/>
      <c r="Y129" s="143"/>
      <c r="Z129" s="213"/>
      <c r="AA129" s="121"/>
      <c r="AB129" s="106"/>
      <c r="AC129" s="5"/>
      <c r="AD129" s="5"/>
    </row>
    <row r="130" spans="1:30" ht="15.75" customHeight="1">
      <c r="A130" s="448" t="s">
        <v>746</v>
      </c>
      <c r="B130" s="449"/>
      <c r="C130" s="449"/>
      <c r="D130" s="450"/>
      <c r="E130" s="43"/>
      <c r="F130" s="43"/>
      <c r="G130" s="43"/>
      <c r="H130" s="43"/>
      <c r="I130" s="43"/>
      <c r="J130" s="43"/>
      <c r="K130" s="43"/>
      <c r="L130" s="43"/>
      <c r="M130" s="43"/>
      <c r="N130" s="44"/>
      <c r="O130" s="43"/>
      <c r="P130" s="43"/>
      <c r="Q130" s="44"/>
      <c r="R130" s="44"/>
      <c r="S130" s="44"/>
      <c r="T130" s="44"/>
      <c r="U130" s="44"/>
      <c r="V130" s="43"/>
      <c r="W130" s="45">
        <f>SUM(W2:W123)</f>
        <v>9979471.9000000004</v>
      </c>
      <c r="X130" s="458">
        <f>(W131/W130)</f>
        <v>0.37712737083813019</v>
      </c>
      <c r="Y130" s="461" t="s">
        <v>747</v>
      </c>
      <c r="Z130" s="214"/>
      <c r="AA130" s="122">
        <f>W125-W97</f>
        <v>5901133.1500000004</v>
      </c>
      <c r="AB130" s="5" t="s">
        <v>982</v>
      </c>
      <c r="AC130" s="5"/>
      <c r="AD130" s="5"/>
    </row>
    <row r="131" spans="1:30" ht="15.75" customHeight="1">
      <c r="A131" s="451" t="s">
        <v>748</v>
      </c>
      <c r="B131" s="452"/>
      <c r="C131" s="452"/>
      <c r="D131" s="453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6"/>
      <c r="P131" s="46"/>
      <c r="Q131" s="47"/>
      <c r="R131" s="47"/>
      <c r="S131" s="47"/>
      <c r="T131" s="47"/>
      <c r="U131" s="47"/>
      <c r="V131" s="46"/>
      <c r="W131" s="48">
        <f>Y125</f>
        <v>3763532</v>
      </c>
      <c r="X131" s="459"/>
      <c r="Y131" s="462"/>
      <c r="Z131" s="214"/>
      <c r="AA131" s="122">
        <f>X125-X97</f>
        <v>474713.71499999985</v>
      </c>
      <c r="AB131" s="5" t="s">
        <v>983</v>
      </c>
      <c r="AC131" s="5"/>
      <c r="AD131" s="5"/>
    </row>
    <row r="132" spans="1:30" ht="15.75" customHeight="1">
      <c r="A132" s="451" t="s">
        <v>978</v>
      </c>
      <c r="B132" s="452"/>
      <c r="C132" s="452"/>
      <c r="D132" s="453"/>
      <c r="E132" s="107"/>
      <c r="F132" s="107"/>
      <c r="G132" s="107"/>
      <c r="H132" s="107"/>
      <c r="I132" s="107"/>
      <c r="J132" s="107"/>
      <c r="K132" s="107"/>
      <c r="L132" s="107"/>
      <c r="M132" s="107"/>
      <c r="N132" s="108"/>
      <c r="O132" s="107"/>
      <c r="P132" s="107"/>
      <c r="Q132" s="108"/>
      <c r="R132" s="108"/>
      <c r="S132" s="108"/>
      <c r="T132" s="108"/>
      <c r="U132" s="108"/>
      <c r="V132" s="107"/>
      <c r="W132" s="109">
        <f>AA125</f>
        <v>0</v>
      </c>
      <c r="X132" s="459"/>
      <c r="Y132" s="462"/>
      <c r="Z132" s="214"/>
      <c r="AA132" s="122">
        <f>AA131-AA130</f>
        <v>-5426419.4350000005</v>
      </c>
      <c r="AB132" s="5" t="s">
        <v>984</v>
      </c>
      <c r="AC132" s="5"/>
      <c r="AD132" s="5"/>
    </row>
    <row r="133" spans="1:30" ht="15.75" customHeight="1" thickBot="1">
      <c r="A133" s="464" t="s">
        <v>749</v>
      </c>
      <c r="B133" s="465"/>
      <c r="C133" s="465"/>
      <c r="D133" s="466"/>
      <c r="E133" s="49"/>
      <c r="F133" s="49"/>
      <c r="G133" s="49"/>
      <c r="H133" s="49"/>
      <c r="I133" s="49"/>
      <c r="J133" s="49"/>
      <c r="K133" s="49"/>
      <c r="L133" s="49"/>
      <c r="M133" s="49"/>
      <c r="N133" s="50"/>
      <c r="O133" s="49"/>
      <c r="P133" s="49"/>
      <c r="Q133" s="50"/>
      <c r="R133" s="50"/>
      <c r="S133" s="50"/>
      <c r="T133" s="50"/>
      <c r="U133" s="50"/>
      <c r="V133" s="49"/>
      <c r="W133" s="51">
        <f>W130-W131+W132</f>
        <v>6215939.9000000004</v>
      </c>
      <c r="X133" s="460"/>
      <c r="Y133" s="463"/>
      <c r="Z133" s="214"/>
      <c r="AA133" s="122"/>
      <c r="AB133" s="106"/>
      <c r="AC133" s="5"/>
      <c r="AD133" s="5"/>
    </row>
    <row r="134" spans="1:30" ht="15.75" customHeight="1">
      <c r="A134" s="4"/>
      <c r="B134" s="4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5"/>
      <c r="P134" s="5"/>
      <c r="Q134" s="6"/>
      <c r="R134" s="6"/>
      <c r="S134" s="6"/>
      <c r="T134" s="6"/>
      <c r="U134" s="6"/>
      <c r="V134" s="5"/>
      <c r="W134" s="6"/>
      <c r="Y134" s="118"/>
      <c r="Z134" s="215"/>
      <c r="AA134" s="123"/>
      <c r="AB134" s="5"/>
      <c r="AC134" s="5"/>
      <c r="AD134" s="5"/>
    </row>
    <row r="135" spans="1:30" ht="15.75" customHeight="1">
      <c r="A135" s="1"/>
      <c r="B135" s="1"/>
      <c r="C135" s="2"/>
      <c r="D135" s="3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6"/>
      <c r="X135" s="131"/>
      <c r="Y135" s="145"/>
      <c r="Z135" s="216"/>
    </row>
    <row r="136" spans="1:30" ht="15.75" customHeight="1">
      <c r="A136" s="447" t="s">
        <v>985</v>
      </c>
      <c r="B136" s="447"/>
      <c r="C136" s="447"/>
      <c r="D136" s="447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40747</v>
      </c>
      <c r="X136" s="131"/>
      <c r="Y136" s="217">
        <v>4280927.2475000005</v>
      </c>
      <c r="Z136" s="216"/>
    </row>
    <row r="137" spans="1:30" ht="15.75" customHeight="1">
      <c r="A137" s="447" t="s">
        <v>986</v>
      </c>
      <c r="B137" s="447"/>
      <c r="C137" s="447"/>
      <c r="D137" s="447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16">
        <f>AA125+W136</f>
        <v>40747</v>
      </c>
      <c r="X137" s="131"/>
      <c r="Y137" s="145"/>
      <c r="Z137" s="216"/>
    </row>
    <row r="138" spans="1:30" ht="15.75" customHeight="1">
      <c r="A138" s="1"/>
      <c r="B138" s="1"/>
      <c r="C138" s="2"/>
      <c r="D138" s="3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31"/>
      <c r="Y138" s="145">
        <f>W125-Y136</f>
        <v>5698544.6524999999</v>
      </c>
      <c r="Z138" s="216"/>
    </row>
    <row r="139" spans="1:30" ht="15.75" customHeight="1">
      <c r="A139" s="1"/>
      <c r="B139" s="1"/>
      <c r="C139" s="2"/>
      <c r="D139" s="3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31"/>
      <c r="Y139" s="145"/>
      <c r="Z139" s="216"/>
    </row>
    <row r="140" spans="1:30" ht="15.75" customHeight="1">
      <c r="A140" s="1"/>
      <c r="B140" s="1"/>
      <c r="C140" s="2"/>
      <c r="D140" s="3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31"/>
      <c r="Y140" s="145"/>
      <c r="Z140" s="216"/>
    </row>
    <row r="141" spans="1:30" ht="15.75" customHeight="1">
      <c r="A141" s="1"/>
      <c r="B141" s="1"/>
      <c r="C141" s="2"/>
      <c r="D141" s="3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31"/>
      <c r="Y141" s="145"/>
      <c r="Z141" s="216"/>
    </row>
    <row r="142" spans="1:30" ht="15.75" customHeight="1">
      <c r="A142" s="1"/>
      <c r="B142" s="1"/>
      <c r="C142" s="2"/>
      <c r="D142" s="3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31"/>
      <c r="Y142" s="145"/>
      <c r="Z142" s="216"/>
    </row>
    <row r="143" spans="1:30" ht="15.75" customHeight="1">
      <c r="A143" s="1"/>
      <c r="B143" s="1"/>
      <c r="C143" s="2"/>
      <c r="D143" s="3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31"/>
      <c r="Y143" s="145"/>
      <c r="Z143" s="216"/>
    </row>
    <row r="144" spans="1:30" ht="15.75" customHeight="1">
      <c r="A144" s="1"/>
      <c r="B144" s="1"/>
      <c r="C144" s="2"/>
      <c r="D144" s="3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31"/>
      <c r="Y144" s="145"/>
      <c r="Z144" s="216"/>
    </row>
    <row r="145" spans="1:26" ht="15.75" customHeight="1">
      <c r="A145" s="1"/>
      <c r="B145" s="1"/>
      <c r="C145" s="2"/>
      <c r="D145" s="3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31"/>
      <c r="Y145" s="145"/>
      <c r="Z145" s="216"/>
    </row>
    <row r="146" spans="1:26" ht="15.75" customHeight="1">
      <c r="A146" s="1"/>
      <c r="B146" s="1"/>
      <c r="C146" s="2"/>
      <c r="D146" s="3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31"/>
      <c r="Y146" s="145"/>
      <c r="Z146" s="216"/>
    </row>
    <row r="147" spans="1:26" ht="15.75" customHeight="1">
      <c r="A147" s="1"/>
      <c r="B147" s="1"/>
      <c r="C147" s="2"/>
      <c r="D147" s="3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31"/>
      <c r="Y147" s="145"/>
      <c r="Z147" s="216"/>
    </row>
    <row r="148" spans="1:26" ht="15.75" customHeight="1">
      <c r="A148" s="1"/>
      <c r="B148" s="1"/>
      <c r="C148" s="2"/>
      <c r="D148" s="3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31"/>
      <c r="Y148" s="145"/>
      <c r="Z148" s="216"/>
    </row>
    <row r="149" spans="1:26" ht="15.75" customHeight="1">
      <c r="A149" s="1"/>
      <c r="B149" s="1"/>
      <c r="C149" s="2"/>
      <c r="D149" s="3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31"/>
      <c r="Y149" s="145"/>
      <c r="Z149" s="216"/>
    </row>
    <row r="150" spans="1:26" ht="15.75" customHeight="1">
      <c r="A150" s="1"/>
      <c r="B150" s="1"/>
      <c r="C150" s="2"/>
      <c r="D150" s="3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31"/>
      <c r="Y150" s="145"/>
      <c r="Z150" s="216"/>
    </row>
    <row r="151" spans="1:26" ht="15.75" customHeight="1">
      <c r="A151" s="1"/>
      <c r="B151" s="1"/>
      <c r="C151" s="2"/>
      <c r="D151" s="3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31"/>
      <c r="Y151" s="145"/>
      <c r="Z151" s="216"/>
    </row>
    <row r="152" spans="1:26" ht="15.75" customHeight="1">
      <c r="A152" s="1"/>
      <c r="B152" s="1"/>
      <c r="C152" s="2"/>
      <c r="D152" s="3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31"/>
      <c r="Y152" s="145"/>
      <c r="Z152" s="216"/>
    </row>
    <row r="153" spans="1:26" ht="15.75" customHeight="1">
      <c r="A153" s="1"/>
      <c r="B153" s="1"/>
      <c r="C153" s="2"/>
      <c r="D153" s="3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31"/>
      <c r="Y153" s="145"/>
      <c r="Z153" s="216"/>
    </row>
    <row r="154" spans="1:26" ht="15.75" customHeight="1">
      <c r="A154" s="1"/>
      <c r="B154" s="1"/>
      <c r="C154" s="2"/>
      <c r="D154" s="3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31"/>
      <c r="Y154" s="145"/>
      <c r="Z154" s="216"/>
    </row>
    <row r="155" spans="1:26" ht="15.75" customHeight="1">
      <c r="A155" s="1"/>
      <c r="B155" s="1"/>
      <c r="C155" s="2"/>
      <c r="D155" s="3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31"/>
      <c r="Y155" s="145"/>
      <c r="Z155" s="216"/>
    </row>
    <row r="156" spans="1:26" ht="15.75" customHeight="1">
      <c r="A156" s="1"/>
      <c r="B156" s="1"/>
      <c r="C156" s="2"/>
      <c r="D156" s="3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31"/>
      <c r="Y156" s="145"/>
      <c r="Z156" s="216"/>
    </row>
    <row r="157" spans="1:26" ht="15.75" customHeight="1">
      <c r="A157" s="1"/>
      <c r="B157" s="1"/>
      <c r="C157" s="2"/>
      <c r="D157" s="3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31"/>
      <c r="Y157" s="145"/>
      <c r="Z157" s="216"/>
    </row>
    <row r="158" spans="1:26" ht="15.75" customHeight="1">
      <c r="A158" s="1"/>
      <c r="B158" s="1"/>
      <c r="C158" s="2"/>
      <c r="D158" s="3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31"/>
      <c r="Y158" s="145"/>
      <c r="Z158" s="216"/>
    </row>
    <row r="159" spans="1:26" ht="15.75" customHeight="1">
      <c r="A159" s="1"/>
      <c r="B159" s="1"/>
      <c r="C159" s="2"/>
      <c r="D159" s="3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31"/>
      <c r="Y159" s="145"/>
      <c r="Z159" s="216"/>
    </row>
    <row r="160" spans="1:26" ht="15.75" customHeight="1">
      <c r="A160" s="1"/>
      <c r="B160" s="1"/>
      <c r="C160" s="2"/>
      <c r="D160" s="3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31"/>
      <c r="Y160" s="145"/>
      <c r="Z160" s="216"/>
    </row>
    <row r="161" spans="1:26" ht="15.75" customHeight="1">
      <c r="A161" s="1"/>
      <c r="B161" s="1"/>
      <c r="C161" s="2"/>
      <c r="D161" s="3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31"/>
      <c r="Y161" s="145"/>
      <c r="Z161" s="216"/>
    </row>
    <row r="162" spans="1:26" ht="15.75" customHeight="1">
      <c r="A162" s="1"/>
      <c r="B162" s="1"/>
      <c r="C162" s="2"/>
      <c r="D162" s="3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31"/>
      <c r="Y162" s="145"/>
      <c r="Z162" s="216"/>
    </row>
    <row r="163" spans="1:26" ht="15.75" customHeight="1">
      <c r="A163" s="1"/>
      <c r="B163" s="1"/>
      <c r="C163" s="2"/>
      <c r="D163" s="3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31"/>
      <c r="Y163" s="145"/>
      <c r="Z163" s="216"/>
    </row>
    <row r="164" spans="1:26" ht="15.75" customHeight="1">
      <c r="A164" s="1"/>
      <c r="B164" s="1"/>
      <c r="C164" s="2"/>
      <c r="D164" s="3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31"/>
      <c r="Y164" s="145"/>
      <c r="Z164" s="216"/>
    </row>
    <row r="165" spans="1:26" ht="15.75" customHeight="1">
      <c r="A165" s="1"/>
      <c r="B165" s="1"/>
      <c r="C165" s="2"/>
      <c r="D165" s="3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31"/>
      <c r="Y165" s="145"/>
      <c r="Z165" s="216"/>
    </row>
    <row r="166" spans="1:26" ht="15.75" customHeight="1">
      <c r="A166" s="1"/>
      <c r="B166" s="1"/>
      <c r="C166" s="2"/>
      <c r="D166" s="3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31"/>
      <c r="Y166" s="145"/>
      <c r="Z166" s="216"/>
    </row>
    <row r="167" spans="1:26" ht="15.75" customHeight="1">
      <c r="A167" s="1"/>
      <c r="B167" s="1"/>
      <c r="C167" s="2"/>
      <c r="D167" s="3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31"/>
      <c r="Y167" s="145"/>
      <c r="Z167" s="216"/>
    </row>
    <row r="168" spans="1:26" ht="15.75" customHeight="1">
      <c r="A168" s="1"/>
      <c r="B168" s="1"/>
      <c r="C168" s="2"/>
      <c r="D168" s="3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31"/>
      <c r="Y168" s="145"/>
      <c r="Z168" s="216"/>
    </row>
    <row r="169" spans="1:26" ht="15.75" customHeight="1">
      <c r="A169" s="1"/>
      <c r="B169" s="1"/>
      <c r="C169" s="2"/>
      <c r="D169" s="3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31"/>
      <c r="Y169" s="145"/>
      <c r="Z169" s="216"/>
    </row>
    <row r="170" spans="1:26" ht="15.75" customHeight="1">
      <c r="A170" s="1"/>
      <c r="B170" s="1"/>
      <c r="C170" s="2"/>
      <c r="D170" s="3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31"/>
      <c r="Y170" s="145"/>
      <c r="Z170" s="216"/>
    </row>
    <row r="171" spans="1:26" ht="15.75" customHeight="1">
      <c r="A171" s="1"/>
      <c r="B171" s="1"/>
      <c r="C171" s="2"/>
      <c r="D171" s="3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31"/>
      <c r="Y171" s="145"/>
      <c r="Z171" s="216"/>
    </row>
    <row r="172" spans="1:26" ht="15.75" customHeight="1">
      <c r="A172" s="1"/>
      <c r="B172" s="1"/>
      <c r="C172" s="2"/>
      <c r="D172" s="3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31"/>
      <c r="Y172" s="145"/>
      <c r="Z172" s="216"/>
    </row>
    <row r="173" spans="1:26" ht="15.75" customHeight="1">
      <c r="A173" s="1"/>
      <c r="B173" s="1"/>
      <c r="C173" s="2"/>
      <c r="D173" s="3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31"/>
      <c r="Y173" s="145"/>
      <c r="Z173" s="216"/>
    </row>
    <row r="174" spans="1:26" ht="15.75" customHeight="1">
      <c r="A174" s="1"/>
      <c r="B174" s="1"/>
      <c r="C174" s="2"/>
      <c r="D174" s="3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31"/>
      <c r="Y174" s="145"/>
      <c r="Z174" s="216"/>
    </row>
    <row r="175" spans="1:26" ht="15.75" customHeight="1">
      <c r="A175" s="1"/>
      <c r="B175" s="1"/>
      <c r="C175" s="2"/>
      <c r="D175" s="3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31"/>
      <c r="Y175" s="145"/>
      <c r="Z175" s="216"/>
    </row>
    <row r="176" spans="1:26" ht="15.75" customHeight="1">
      <c r="A176" s="1"/>
      <c r="B176" s="1"/>
      <c r="C176" s="2"/>
      <c r="D176" s="3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31"/>
      <c r="Y176" s="145"/>
      <c r="Z176" s="216"/>
    </row>
    <row r="177" spans="1:26" ht="15.75" customHeight="1">
      <c r="A177" s="1"/>
      <c r="B177" s="1"/>
      <c r="C177" s="2"/>
      <c r="D177" s="3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31"/>
      <c r="Y177" s="145"/>
      <c r="Z177" s="216"/>
    </row>
    <row r="178" spans="1:26" ht="15.75" customHeight="1">
      <c r="A178" s="1"/>
      <c r="B178" s="1"/>
      <c r="C178" s="2"/>
      <c r="D178" s="3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31"/>
      <c r="Y178" s="145"/>
      <c r="Z178" s="216"/>
    </row>
    <row r="179" spans="1:26" ht="15.75" customHeight="1">
      <c r="A179" s="1"/>
      <c r="B179" s="1"/>
      <c r="C179" s="2"/>
      <c r="D179" s="3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31"/>
      <c r="Y179" s="145"/>
      <c r="Z179" s="216"/>
    </row>
    <row r="180" spans="1:26" ht="15.75" customHeight="1">
      <c r="A180" s="1"/>
      <c r="B180" s="1"/>
      <c r="C180" s="2"/>
      <c r="D180" s="3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31"/>
      <c r="Y180" s="145"/>
      <c r="Z180" s="216"/>
    </row>
    <row r="181" spans="1:26" ht="15.75" customHeight="1">
      <c r="A181" s="1"/>
      <c r="B181" s="1"/>
      <c r="C181" s="2"/>
      <c r="D181" s="3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31"/>
      <c r="Y181" s="145"/>
      <c r="Z181" s="216"/>
    </row>
    <row r="182" spans="1:26" ht="15.75" customHeight="1">
      <c r="A182" s="1"/>
      <c r="B182" s="1"/>
      <c r="C182" s="2"/>
      <c r="D182" s="3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31"/>
      <c r="Y182" s="145"/>
      <c r="Z182" s="216"/>
    </row>
    <row r="183" spans="1:26" ht="15.75" customHeight="1">
      <c r="A183" s="1"/>
      <c r="B183" s="1"/>
      <c r="C183" s="2"/>
      <c r="D183" s="3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31"/>
      <c r="Y183" s="145"/>
      <c r="Z183" s="216"/>
    </row>
    <row r="184" spans="1:26" ht="15.75" customHeight="1">
      <c r="A184" s="1"/>
      <c r="B184" s="1"/>
      <c r="C184" s="2"/>
      <c r="D184" s="3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31"/>
      <c r="Y184" s="145"/>
      <c r="Z184" s="216"/>
    </row>
    <row r="185" spans="1:26" ht="15.75" customHeight="1">
      <c r="A185" s="1"/>
      <c r="B185" s="1"/>
      <c r="C185" s="2"/>
      <c r="D185" s="3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31"/>
      <c r="Y185" s="145"/>
      <c r="Z185" s="216"/>
    </row>
    <row r="186" spans="1:26" ht="15.75" customHeight="1">
      <c r="A186" s="1"/>
      <c r="B186" s="1"/>
      <c r="C186" s="2"/>
      <c r="D186" s="3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31"/>
      <c r="Y186" s="145"/>
      <c r="Z186" s="216"/>
    </row>
    <row r="187" spans="1:26" ht="15.75" customHeight="1">
      <c r="A187" s="1"/>
      <c r="B187" s="1"/>
      <c r="C187" s="2"/>
      <c r="D187" s="3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31"/>
      <c r="Y187" s="145"/>
      <c r="Z187" s="216"/>
    </row>
    <row r="188" spans="1:26" ht="15.75" customHeight="1">
      <c r="A188" s="1"/>
      <c r="B188" s="1"/>
      <c r="C188" s="2"/>
      <c r="D188" s="3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31"/>
      <c r="Y188" s="145"/>
      <c r="Z188" s="216"/>
    </row>
    <row r="189" spans="1:26" ht="15.75" customHeight="1">
      <c r="A189" s="1"/>
      <c r="B189" s="1"/>
      <c r="C189" s="2"/>
      <c r="D189" s="3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31"/>
      <c r="Y189" s="145"/>
      <c r="Z189" s="216"/>
    </row>
    <row r="190" spans="1:26" ht="15.75" customHeight="1">
      <c r="A190" s="1"/>
      <c r="B190" s="1"/>
      <c r="C190" s="2"/>
      <c r="D190" s="3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31"/>
      <c r="Y190" s="145"/>
      <c r="Z190" s="216"/>
    </row>
    <row r="191" spans="1:26" ht="15.75" customHeight="1">
      <c r="A191" s="1"/>
      <c r="B191" s="1"/>
      <c r="C191" s="2"/>
      <c r="D191" s="3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31"/>
      <c r="Y191" s="145"/>
      <c r="Z191" s="216"/>
    </row>
    <row r="192" spans="1:26" ht="15.75" customHeight="1">
      <c r="A192" s="1"/>
      <c r="B192" s="1"/>
      <c r="C192" s="2"/>
      <c r="D192" s="3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31"/>
      <c r="Y192" s="145"/>
      <c r="Z192" s="216"/>
    </row>
    <row r="193" spans="1:26" ht="15.75" customHeight="1">
      <c r="A193" s="1"/>
      <c r="B193" s="1"/>
      <c r="C193" s="2"/>
      <c r="D193" s="3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31"/>
      <c r="Y193" s="145"/>
      <c r="Z193" s="216"/>
    </row>
    <row r="194" spans="1:26" ht="15.75" customHeight="1">
      <c r="A194" s="1"/>
      <c r="B194" s="1"/>
      <c r="C194" s="2"/>
      <c r="D194" s="3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31"/>
      <c r="Y194" s="145"/>
      <c r="Z194" s="216"/>
    </row>
    <row r="195" spans="1:26" ht="15.75" customHeight="1">
      <c r="A195" s="1"/>
      <c r="B195" s="1"/>
      <c r="C195" s="2"/>
      <c r="D195" s="3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31"/>
      <c r="Y195" s="145"/>
      <c r="Z195" s="216"/>
    </row>
    <row r="196" spans="1:26" ht="15.75" customHeight="1">
      <c r="A196" s="1"/>
      <c r="B196" s="1"/>
      <c r="C196" s="2"/>
      <c r="D196" s="3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31"/>
      <c r="Y196" s="145"/>
      <c r="Z196" s="216"/>
    </row>
    <row r="197" spans="1:26" ht="15.75" customHeight="1">
      <c r="A197" s="1"/>
      <c r="B197" s="1"/>
      <c r="C197" s="2"/>
      <c r="D197" s="3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31"/>
      <c r="Y197" s="145"/>
      <c r="Z197" s="216"/>
    </row>
    <row r="198" spans="1:26" ht="15.75" customHeight="1">
      <c r="A198" s="1"/>
      <c r="B198" s="1"/>
      <c r="C198" s="2"/>
      <c r="D198" s="3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31"/>
      <c r="Y198" s="145"/>
      <c r="Z198" s="216"/>
    </row>
    <row r="199" spans="1:26" ht="15.75" customHeight="1">
      <c r="A199" s="1"/>
      <c r="B199" s="1"/>
      <c r="C199" s="2"/>
      <c r="D199" s="3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31"/>
      <c r="Y199" s="145"/>
      <c r="Z199" s="216"/>
    </row>
    <row r="200" spans="1:26" ht="15.75" customHeight="1">
      <c r="A200" s="1"/>
      <c r="B200" s="1"/>
      <c r="C200" s="2"/>
      <c r="D200" s="3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31"/>
      <c r="Y200" s="145"/>
      <c r="Z200" s="216"/>
    </row>
    <row r="201" spans="1:26" ht="15.75" customHeight="1">
      <c r="A201" s="1"/>
      <c r="B201" s="1"/>
      <c r="C201" s="2"/>
      <c r="D201" s="3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31"/>
      <c r="Y201" s="145"/>
      <c r="Z201" s="216"/>
    </row>
    <row r="202" spans="1:26" ht="15.75" customHeight="1">
      <c r="A202" s="1"/>
      <c r="B202" s="1"/>
      <c r="C202" s="2"/>
      <c r="D202" s="3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31"/>
      <c r="Y202" s="145"/>
      <c r="Z202" s="216"/>
    </row>
    <row r="203" spans="1:26" ht="15.75" customHeight="1">
      <c r="A203" s="1"/>
      <c r="B203" s="1"/>
      <c r="C203" s="2"/>
      <c r="D203" s="3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31"/>
      <c r="Y203" s="145"/>
      <c r="Z203" s="216"/>
    </row>
    <row r="204" spans="1:26" ht="15.75" customHeight="1">
      <c r="A204" s="1"/>
      <c r="B204" s="1"/>
      <c r="C204" s="2"/>
      <c r="D204" s="3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31"/>
      <c r="Y204" s="145"/>
      <c r="Z204" s="216"/>
    </row>
    <row r="205" spans="1:26" ht="15.75" customHeight="1">
      <c r="A205" s="1"/>
      <c r="B205" s="1"/>
      <c r="C205" s="2"/>
      <c r="D205" s="3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31"/>
      <c r="Y205" s="145"/>
      <c r="Z205" s="216"/>
    </row>
    <row r="206" spans="1:26" ht="15.75" customHeight="1">
      <c r="A206" s="1"/>
      <c r="B206" s="1"/>
      <c r="C206" s="2"/>
      <c r="D206" s="3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31"/>
      <c r="Y206" s="145"/>
      <c r="Z206" s="216"/>
    </row>
    <row r="207" spans="1:26" ht="15.75" customHeight="1">
      <c r="A207" s="1"/>
      <c r="B207" s="1"/>
      <c r="C207" s="2"/>
      <c r="D207" s="3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31"/>
      <c r="Y207" s="145"/>
      <c r="Z207" s="216"/>
    </row>
    <row r="208" spans="1:26" ht="15.75" customHeight="1">
      <c r="A208" s="1"/>
      <c r="B208" s="1"/>
      <c r="C208" s="2"/>
      <c r="D208" s="3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31"/>
      <c r="Y208" s="145"/>
      <c r="Z208" s="216"/>
    </row>
    <row r="209" spans="1:26" ht="15.75" customHeight="1">
      <c r="A209" s="1"/>
      <c r="B209" s="1"/>
      <c r="C209" s="2"/>
      <c r="D209" s="3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31"/>
      <c r="Y209" s="145"/>
      <c r="Z209" s="216"/>
    </row>
    <row r="210" spans="1:26" ht="15.75" customHeight="1">
      <c r="A210" s="1"/>
      <c r="B210" s="1"/>
      <c r="C210" s="2"/>
      <c r="D210" s="3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31"/>
      <c r="Y210" s="145"/>
      <c r="Z210" s="216"/>
    </row>
    <row r="211" spans="1:26" ht="15.75" customHeight="1">
      <c r="A211" s="1"/>
      <c r="B211" s="1"/>
      <c r="C211" s="2"/>
      <c r="D211" s="3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31"/>
      <c r="Y211" s="145"/>
      <c r="Z211" s="216"/>
    </row>
    <row r="212" spans="1:26" ht="15.75" customHeight="1"/>
    <row r="213" spans="1:26" ht="15.75" customHeight="1"/>
    <row r="214" spans="1:26" ht="15.75" customHeight="1"/>
    <row r="215" spans="1:26" ht="15.75" customHeight="1"/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A1:AD123" xr:uid="{00000000-0009-0000-0000-000007000000}"/>
  <mergeCells count="10">
    <mergeCell ref="A136:D136"/>
    <mergeCell ref="A137:D137"/>
    <mergeCell ref="A130:D130"/>
    <mergeCell ref="A131:D131"/>
    <mergeCell ref="A124:AD124"/>
    <mergeCell ref="A125:D125"/>
    <mergeCell ref="X130:X133"/>
    <mergeCell ref="Y130:Y133"/>
    <mergeCell ref="A132:D132"/>
    <mergeCell ref="A133:D133"/>
  </mergeCells>
  <phoneticPr fontId="8" type="noConversion"/>
  <pageMargins left="0.7" right="0.7" top="0.75" bottom="0.75" header="0" footer="0"/>
  <pageSetup paperSize="9" scale="4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4848-1544-46B5-AC22-CA59F3BF1D9C}">
  <sheetPr codeName="Sheet8"/>
  <dimension ref="A1:B1"/>
  <sheetViews>
    <sheetView zoomScale="115" zoomScaleNormal="115" workbookViewId="0">
      <selection activeCell="M23" sqref="M23"/>
    </sheetView>
  </sheetViews>
  <sheetFormatPr defaultRowHeight="14.4"/>
  <cols>
    <col min="1" max="1" width="11.88671875" customWidth="1"/>
    <col min="2" max="2" width="22.109375" customWidth="1"/>
  </cols>
  <sheetData>
    <row r="1" spans="1:2" ht="18">
      <c r="A1" s="321"/>
      <c r="B1" s="32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EC7"/>
  <sheetViews>
    <sheetView zoomScale="130" zoomScaleNormal="130" workbookViewId="0">
      <selection activeCell="E28" sqref="E28"/>
    </sheetView>
  </sheetViews>
  <sheetFormatPr defaultRowHeight="14.4"/>
  <cols>
    <col min="2" max="2" width="10.6640625" bestFit="1" customWidth="1"/>
    <col min="3" max="3" width="24" customWidth="1"/>
    <col min="4" max="4" width="28.44140625" bestFit="1" customWidth="1"/>
    <col min="5" max="5" width="13.33203125" bestFit="1" customWidth="1"/>
    <col min="6" max="6" width="60.6640625" bestFit="1" customWidth="1"/>
    <col min="7" max="7" width="12.6640625" customWidth="1"/>
  </cols>
  <sheetData>
    <row r="1" spans="1:16357" ht="15" customHeight="1">
      <c r="A1" s="467" t="s">
        <v>695</v>
      </c>
      <c r="B1" s="468"/>
      <c r="C1" s="468"/>
      <c r="D1" s="468"/>
      <c r="E1" s="468"/>
      <c r="F1" s="468"/>
      <c r="G1" s="468"/>
      <c r="H1" s="468"/>
    </row>
    <row r="2" spans="1:16357" ht="15" thickBot="1">
      <c r="A2" s="469"/>
      <c r="B2" s="470"/>
      <c r="C2" s="470"/>
      <c r="D2" s="470"/>
      <c r="E2" s="470"/>
      <c r="F2" s="470"/>
      <c r="G2" s="470"/>
      <c r="H2" s="470"/>
    </row>
    <row r="3" spans="1:16357" s="11" customFormat="1" ht="29.4" thickBot="1">
      <c r="A3" s="10" t="s">
        <v>696</v>
      </c>
      <c r="B3" s="10" t="s">
        <v>697</v>
      </c>
      <c r="C3" s="10" t="s">
        <v>698</v>
      </c>
      <c r="D3" s="10" t="s">
        <v>699</v>
      </c>
      <c r="E3" s="10" t="s">
        <v>700</v>
      </c>
      <c r="F3" s="10" t="s">
        <v>701</v>
      </c>
      <c r="G3" s="10" t="s">
        <v>702</v>
      </c>
      <c r="H3" s="10" t="s">
        <v>459</v>
      </c>
    </row>
    <row r="4" spans="1:16357">
      <c r="A4" s="12">
        <v>1</v>
      </c>
      <c r="B4" s="12" t="s">
        <v>292</v>
      </c>
      <c r="C4" s="13" t="s">
        <v>293</v>
      </c>
      <c r="D4" s="14" t="s">
        <v>294</v>
      </c>
      <c r="E4" s="12">
        <v>3645037342</v>
      </c>
      <c r="F4" s="13" t="s">
        <v>295</v>
      </c>
      <c r="G4" s="12" t="s">
        <v>703</v>
      </c>
      <c r="H4" s="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</row>
    <row r="5" spans="1:16357">
      <c r="A5" s="12">
        <v>2</v>
      </c>
      <c r="B5" s="15" t="s">
        <v>338</v>
      </c>
      <c r="C5" s="16" t="s">
        <v>339</v>
      </c>
      <c r="D5" s="14" t="s">
        <v>340</v>
      </c>
      <c r="E5" s="12">
        <v>3312155555</v>
      </c>
      <c r="F5" s="13" t="s">
        <v>341</v>
      </c>
      <c r="G5" s="12" t="s">
        <v>703</v>
      </c>
      <c r="H5" s="1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</row>
    <row r="6" spans="1:16357">
      <c r="A6" s="12">
        <v>3</v>
      </c>
      <c r="B6" s="15" t="s">
        <v>169</v>
      </c>
      <c r="C6" s="16" t="s">
        <v>170</v>
      </c>
      <c r="D6" s="14" t="s">
        <v>171</v>
      </c>
      <c r="E6" s="12">
        <v>3444443091</v>
      </c>
      <c r="F6" s="13" t="s">
        <v>172</v>
      </c>
      <c r="G6" s="12" t="s">
        <v>976</v>
      </c>
      <c r="H6" s="13">
        <v>172636</v>
      </c>
      <c r="R6" s="99"/>
    </row>
    <row r="7" spans="1:16357">
      <c r="A7" s="12">
        <v>70</v>
      </c>
      <c r="B7" s="15" t="s">
        <v>333</v>
      </c>
      <c r="C7" s="16" t="s">
        <v>334</v>
      </c>
      <c r="D7" s="14" t="s">
        <v>335</v>
      </c>
      <c r="E7" s="12" t="s">
        <v>336</v>
      </c>
      <c r="F7" s="13" t="s">
        <v>337</v>
      </c>
      <c r="G7" s="12" t="s">
        <v>1078</v>
      </c>
      <c r="H7" s="13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MEMBERS</vt:lpstr>
      <vt:lpstr>data base </vt:lpstr>
      <vt:lpstr>FIXED AMOUNT</vt:lpstr>
      <vt:lpstr>FACILITIES</vt:lpstr>
      <vt:lpstr>F &amp; B</vt:lpstr>
      <vt:lpstr>menu list</vt:lpstr>
      <vt:lpstr>EXTRACT</vt:lpstr>
      <vt:lpstr>REPORT</vt:lpstr>
      <vt:lpstr>CARD SALE</vt:lpstr>
      <vt:lpstr>BILL</vt:lpstr>
      <vt:lpstr>MIS</vt:lpstr>
      <vt:lpstr>recovery report</vt:lpstr>
      <vt:lpstr>LEFT MEMBERS</vt:lpstr>
      <vt:lpstr>BILL!Print_Area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Hafiz</dc:creator>
  <cp:lastModifiedBy>M.Ibrahim Feroz</cp:lastModifiedBy>
  <cp:lastPrinted>2025-12-26T06:11:35Z</cp:lastPrinted>
  <dcterms:created xsi:type="dcterms:W3CDTF">2024-09-27T00:34:05Z</dcterms:created>
  <dcterms:modified xsi:type="dcterms:W3CDTF">2025-12-27T10:37:59Z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5507c77af22948588084e5e73d2f03ae</vt:lpwstr>
  </property>
</Properties>
</file>