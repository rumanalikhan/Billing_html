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billing_html\doc\heritage\"/>
    </mc:Choice>
  </mc:AlternateContent>
  <bookViews>
    <workbookView xWindow="0" yWindow="0" windowWidth="28800" windowHeight="13590" tabRatio="858" activeTab="4"/>
  </bookViews>
  <sheets>
    <sheet name="CONTACT DETAILS" sheetId="32" r:id="rId1"/>
    <sheet name="MEMBERS" sheetId="1" r:id="rId2"/>
    <sheet name="data base " sheetId="29" r:id="rId3"/>
    <sheet name="FIXED AMOUNT" sheetId="22" r:id="rId4"/>
    <sheet name="FACILITIES" sheetId="2" r:id="rId5"/>
    <sheet name="F &amp; B" sheetId="3" r:id="rId6"/>
    <sheet name="menu list" sheetId="4" r:id="rId7"/>
    <sheet name="EXTRACT" sheetId="30" r:id="rId8"/>
    <sheet name="REPORT" sheetId="31" r:id="rId9"/>
    <sheet name="CARD SALE" sheetId="17" r:id="rId10"/>
    <sheet name="BILL" sheetId="5" r:id="rId11"/>
    <sheet name="MIS" sheetId="6" r:id="rId12"/>
    <sheet name="recovery report" sheetId="16" r:id="rId13"/>
    <sheet name="LEFT MEMBERS" sheetId="7" r:id="rId14"/>
  </sheets>
  <definedNames>
    <definedName name="_xlnm._FilterDatabase" localSheetId="10" hidden="1">BILL!$A$45:$F$48</definedName>
    <definedName name="_xlnm._FilterDatabase" localSheetId="9" hidden="1">'CARD SALE'!$A$4:$I$4</definedName>
    <definedName name="_xlnm._FilterDatabase" localSheetId="2" hidden="1">'data base '!$A$1:$AE$124</definedName>
    <definedName name="_xlnm._FilterDatabase" localSheetId="5" hidden="1">'F &amp; B'!$A$1:$L$1446</definedName>
    <definedName name="_xlnm._FilterDatabase" localSheetId="4" hidden="1">FACILITIES!$A$1:$U$349</definedName>
    <definedName name="_xlnm._FilterDatabase" localSheetId="3" hidden="1">'FIXED AMOUNT'!$A$1:$V$1</definedName>
    <definedName name="_xlnm._FilterDatabase" localSheetId="1" hidden="1">MEMBERS!$A$4:$F$119</definedName>
    <definedName name="_xlnm._FilterDatabase" localSheetId="6" hidden="1">'menu list'!$B$1:$C$1</definedName>
    <definedName name="_xlnm._FilterDatabase" localSheetId="11" hidden="1">MIS!$A$1:$AD$123</definedName>
    <definedName name="_xlnm.Print_Area" localSheetId="10">BILL!$A$1:$F$199</definedName>
  </definedNames>
  <calcPr calcId="162913"/>
  <pivotCaches>
    <pivotCache cacheId="0" r:id="rId15"/>
    <pivotCache cacheId="1" r:id="rId16"/>
  </pivotCaches>
</workbook>
</file>

<file path=xl/calcChain.xml><?xml version="1.0" encoding="utf-8"?>
<calcChain xmlns="http://schemas.openxmlformats.org/spreadsheetml/2006/main">
  <c r="N390" i="2" l="1"/>
  <c r="N388" i="2"/>
  <c r="N387" i="2"/>
  <c r="N386" i="2"/>
  <c r="S373" i="2"/>
  <c r="R373" i="2"/>
  <c r="R363" i="2" l="1"/>
  <c r="Q363" i="2"/>
  <c r="P363" i="2"/>
  <c r="C1440" i="3" l="1"/>
  <c r="C1441" i="3"/>
  <c r="C1433" i="3"/>
  <c r="C1434" i="3"/>
  <c r="C1435" i="3"/>
  <c r="C1436" i="3"/>
  <c r="C1437" i="3"/>
  <c r="C1438" i="3"/>
  <c r="C1425" i="3"/>
  <c r="C1426" i="3"/>
  <c r="C1427" i="3"/>
  <c r="C1428" i="3"/>
  <c r="C1429" i="3"/>
  <c r="C1430" i="3"/>
  <c r="C1431" i="3"/>
  <c r="C1421" i="3"/>
  <c r="C1416" i="3"/>
  <c r="C1417" i="3"/>
  <c r="C1418" i="3"/>
  <c r="C1419" i="3"/>
  <c r="A1422" i="3"/>
  <c r="C1422" i="3"/>
  <c r="G1422" i="3"/>
  <c r="H1422" i="3" s="1"/>
  <c r="A1423" i="3"/>
  <c r="C1423" i="3"/>
  <c r="G1423" i="3"/>
  <c r="H1423" i="3" s="1"/>
  <c r="A1424" i="3"/>
  <c r="C1424" i="3"/>
  <c r="G1424" i="3"/>
  <c r="H1424" i="3" s="1"/>
  <c r="A1425" i="3"/>
  <c r="G1425" i="3"/>
  <c r="H1425" i="3" s="1"/>
  <c r="A1426" i="3"/>
  <c r="G1426" i="3"/>
  <c r="H1426" i="3" s="1"/>
  <c r="A1427" i="3"/>
  <c r="G1427" i="3"/>
  <c r="H1427" i="3" s="1"/>
  <c r="A1428" i="3"/>
  <c r="G1428" i="3"/>
  <c r="H1428" i="3" s="1"/>
  <c r="I1428" i="3" s="1"/>
  <c r="A1429" i="3"/>
  <c r="G1429" i="3"/>
  <c r="H1429" i="3" s="1"/>
  <c r="A1430" i="3"/>
  <c r="G1430" i="3"/>
  <c r="H1430" i="3" s="1"/>
  <c r="A1431" i="3"/>
  <c r="G1431" i="3"/>
  <c r="H1431" i="3" s="1"/>
  <c r="A1432" i="3"/>
  <c r="C1432" i="3"/>
  <c r="G1432" i="3"/>
  <c r="H1432" i="3" s="1"/>
  <c r="A1433" i="3"/>
  <c r="G1433" i="3"/>
  <c r="H1433" i="3" s="1"/>
  <c r="A1434" i="3"/>
  <c r="G1434" i="3"/>
  <c r="A1435" i="3"/>
  <c r="G1435" i="3"/>
  <c r="H1435" i="3" s="1"/>
  <c r="A1436" i="3"/>
  <c r="G1436" i="3"/>
  <c r="H1436" i="3" s="1"/>
  <c r="I1436" i="3" s="1"/>
  <c r="A1437" i="3"/>
  <c r="G1437" i="3"/>
  <c r="H1437" i="3" s="1"/>
  <c r="A1438" i="3"/>
  <c r="G1438" i="3"/>
  <c r="H1438" i="3" s="1"/>
  <c r="A1439" i="3"/>
  <c r="C1439" i="3"/>
  <c r="G1439" i="3"/>
  <c r="H1439" i="3" s="1"/>
  <c r="A1440" i="3"/>
  <c r="G1440" i="3"/>
  <c r="H1440" i="3" s="1"/>
  <c r="A1441" i="3"/>
  <c r="G1441" i="3"/>
  <c r="H1441" i="3" s="1"/>
  <c r="A1442" i="3"/>
  <c r="C1442" i="3"/>
  <c r="G1442" i="3"/>
  <c r="H1442" i="3" s="1"/>
  <c r="A1416" i="3"/>
  <c r="G1416" i="3"/>
  <c r="H1416" i="3" s="1"/>
  <c r="A1417" i="3"/>
  <c r="G1417" i="3"/>
  <c r="H1417" i="3" s="1"/>
  <c r="A1418" i="3"/>
  <c r="G1418" i="3"/>
  <c r="H1418" i="3" s="1"/>
  <c r="A1419" i="3"/>
  <c r="G1419" i="3"/>
  <c r="H1419" i="3" s="1"/>
  <c r="A1420" i="3"/>
  <c r="C1420" i="3"/>
  <c r="G1420" i="3"/>
  <c r="H1420" i="3" s="1"/>
  <c r="A1421" i="3"/>
  <c r="G1421" i="3"/>
  <c r="H1421" i="3" s="1"/>
  <c r="A1443" i="3"/>
  <c r="C1443" i="3"/>
  <c r="G1443" i="3"/>
  <c r="H1443" i="3" s="1"/>
  <c r="A1444" i="3"/>
  <c r="C1444" i="3"/>
  <c r="G1444" i="3"/>
  <c r="H1444" i="3" s="1"/>
  <c r="I1444" i="3" s="1"/>
  <c r="I1442" i="3" l="1"/>
  <c r="I1437" i="3"/>
  <c r="H1434" i="3"/>
  <c r="I1434" i="3" s="1"/>
  <c r="I1429" i="3"/>
  <c r="I1426" i="3"/>
  <c r="I1440" i="3"/>
  <c r="I1432" i="3"/>
  <c r="I1424" i="3"/>
  <c r="I1435" i="3"/>
  <c r="I1427" i="3"/>
  <c r="I1438" i="3"/>
  <c r="I1430" i="3"/>
  <c r="I1422" i="3"/>
  <c r="I1441" i="3"/>
  <c r="I1433" i="3"/>
  <c r="I1425" i="3"/>
  <c r="I1439" i="3"/>
  <c r="I1431" i="3"/>
  <c r="I1423" i="3"/>
  <c r="I1420" i="3"/>
  <c r="I1443" i="3"/>
  <c r="I1418" i="3"/>
  <c r="I1421" i="3"/>
  <c r="I1416" i="3"/>
  <c r="I1419" i="3"/>
  <c r="I1417" i="3"/>
  <c r="V22" i="31" l="1"/>
  <c r="V23" i="31"/>
  <c r="V24" i="31"/>
  <c r="V25" i="31"/>
  <c r="V26" i="31"/>
  <c r="V27" i="31"/>
  <c r="V28" i="31"/>
  <c r="V29" i="31"/>
  <c r="V30" i="31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3" i="4"/>
  <c r="D30" i="31"/>
  <c r="E30" i="31"/>
  <c r="F30" i="31"/>
  <c r="G30" i="31"/>
  <c r="H30" i="31"/>
  <c r="I30" i="31"/>
  <c r="J30" i="31"/>
  <c r="K30" i="31"/>
  <c r="L30" i="31"/>
  <c r="M30" i="31"/>
  <c r="N30" i="31"/>
  <c r="O30" i="31"/>
  <c r="P30" i="31"/>
  <c r="Q30" i="31"/>
  <c r="R30" i="31"/>
  <c r="S30" i="31"/>
  <c r="T30" i="31"/>
  <c r="C30" i="31"/>
  <c r="T28" i="31"/>
  <c r="T29" i="31"/>
  <c r="F318" i="2"/>
  <c r="F334" i="2"/>
  <c r="K330" i="2"/>
  <c r="F343" i="2"/>
  <c r="E344" i="2"/>
  <c r="U344" i="2" s="1"/>
  <c r="E343" i="2"/>
  <c r="E342" i="2"/>
  <c r="J342" i="2"/>
  <c r="J341" i="2"/>
  <c r="U341" i="2" s="1"/>
  <c r="J340" i="2"/>
  <c r="U340" i="2" s="1"/>
  <c r="J339" i="2"/>
  <c r="U339" i="2" s="1"/>
  <c r="O338" i="2"/>
  <c r="E335" i="2"/>
  <c r="U335" i="2" s="1"/>
  <c r="J332" i="2"/>
  <c r="U332" i="2" s="1"/>
  <c r="J331" i="2"/>
  <c r="U331" i="2" s="1"/>
  <c r="H329" i="2"/>
  <c r="U329" i="2" s="1"/>
  <c r="A329" i="2"/>
  <c r="C329" i="2"/>
  <c r="A330" i="2"/>
  <c r="C330" i="2"/>
  <c r="U330" i="2"/>
  <c r="A331" i="2"/>
  <c r="C331" i="2"/>
  <c r="A332" i="2"/>
  <c r="C332" i="2"/>
  <c r="A333" i="2"/>
  <c r="C333" i="2"/>
  <c r="U333" i="2"/>
  <c r="A334" i="2"/>
  <c r="C334" i="2"/>
  <c r="U334" i="2"/>
  <c r="A335" i="2"/>
  <c r="C335" i="2"/>
  <c r="A336" i="2"/>
  <c r="U336" i="2"/>
  <c r="A337" i="2"/>
  <c r="C337" i="2"/>
  <c r="U337" i="2"/>
  <c r="A338" i="2"/>
  <c r="C338" i="2"/>
  <c r="U338" i="2"/>
  <c r="A339" i="2"/>
  <c r="C339" i="2"/>
  <c r="A340" i="2"/>
  <c r="C340" i="2"/>
  <c r="A341" i="2"/>
  <c r="C341" i="2"/>
  <c r="A342" i="2"/>
  <c r="C342" i="2"/>
  <c r="A343" i="2"/>
  <c r="C343" i="2"/>
  <c r="A344" i="2"/>
  <c r="C344" i="2"/>
  <c r="A345" i="2"/>
  <c r="C345" i="2"/>
  <c r="U345" i="2"/>
  <c r="A346" i="2"/>
  <c r="C346" i="2"/>
  <c r="U346" i="2"/>
  <c r="Y97" i="6"/>
  <c r="C1413" i="3"/>
  <c r="C1414" i="3"/>
  <c r="C1410" i="3"/>
  <c r="C1411" i="3"/>
  <c r="C1406" i="3"/>
  <c r="C1407" i="3"/>
  <c r="C1408" i="3"/>
  <c r="C1402" i="3"/>
  <c r="C1403" i="3"/>
  <c r="C1404" i="3"/>
  <c r="C1399" i="3"/>
  <c r="C1400" i="3"/>
  <c r="C1397" i="3"/>
  <c r="C1390" i="3"/>
  <c r="C1391" i="3"/>
  <c r="C1392" i="3"/>
  <c r="C1393" i="3"/>
  <c r="C1394" i="3"/>
  <c r="C1395" i="3"/>
  <c r="C1388" i="3"/>
  <c r="C1382" i="3"/>
  <c r="C1383" i="3"/>
  <c r="C1384" i="3"/>
  <c r="C1385" i="3"/>
  <c r="C1386" i="3"/>
  <c r="C1380" i="3"/>
  <c r="C1373" i="3"/>
  <c r="C1374" i="3"/>
  <c r="C1375" i="3"/>
  <c r="C1376" i="3"/>
  <c r="C1377" i="3"/>
  <c r="C1369" i="3"/>
  <c r="C1370" i="3"/>
  <c r="C1371" i="3"/>
  <c r="C1366" i="3"/>
  <c r="C1367" i="3"/>
  <c r="C1364" i="3"/>
  <c r="C1361" i="3"/>
  <c r="C1362" i="3"/>
  <c r="C1358" i="3"/>
  <c r="C1359" i="3"/>
  <c r="C1355" i="3"/>
  <c r="C1356" i="3"/>
  <c r="C1349" i="3"/>
  <c r="C1350" i="3"/>
  <c r="C1351" i="3"/>
  <c r="C1352" i="3"/>
  <c r="C1353" i="3"/>
  <c r="C1341" i="3"/>
  <c r="C1342" i="3"/>
  <c r="C1343" i="3"/>
  <c r="C1344" i="3"/>
  <c r="C1345" i="3"/>
  <c r="C1346" i="3"/>
  <c r="C134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A1328" i="3"/>
  <c r="G1328" i="3"/>
  <c r="H1328" i="3" s="1"/>
  <c r="A1329" i="3"/>
  <c r="G1329" i="3"/>
  <c r="H1329" i="3" s="1"/>
  <c r="A1330" i="3"/>
  <c r="G1330" i="3"/>
  <c r="H1330" i="3" s="1"/>
  <c r="I1330" i="3" s="1"/>
  <c r="A1331" i="3"/>
  <c r="G1331" i="3"/>
  <c r="H1331" i="3" s="1"/>
  <c r="A1332" i="3"/>
  <c r="G1332" i="3"/>
  <c r="A1333" i="3"/>
  <c r="G1333" i="3"/>
  <c r="H1333" i="3" s="1"/>
  <c r="A1334" i="3"/>
  <c r="G1334" i="3"/>
  <c r="H1334" i="3" s="1"/>
  <c r="A1335" i="3"/>
  <c r="G1335" i="3"/>
  <c r="H1335" i="3" s="1"/>
  <c r="I1335" i="3" s="1"/>
  <c r="A1336" i="3"/>
  <c r="G1336" i="3"/>
  <c r="H1336" i="3" s="1"/>
  <c r="A1337" i="3"/>
  <c r="G1337" i="3"/>
  <c r="H1337" i="3" s="1"/>
  <c r="A1338" i="3"/>
  <c r="G1338" i="3"/>
  <c r="H1338" i="3" s="1"/>
  <c r="I1338" i="3" s="1"/>
  <c r="A1339" i="3"/>
  <c r="G1339" i="3"/>
  <c r="H1339" i="3" s="1"/>
  <c r="A1340" i="3"/>
  <c r="C1340" i="3"/>
  <c r="G1340" i="3"/>
  <c r="A1341" i="3"/>
  <c r="G1341" i="3"/>
  <c r="H1341" i="3" s="1"/>
  <c r="A1342" i="3"/>
  <c r="G1342" i="3"/>
  <c r="H1342" i="3" s="1"/>
  <c r="A1343" i="3"/>
  <c r="G1343" i="3"/>
  <c r="H1343" i="3" s="1"/>
  <c r="I1343" i="3" s="1"/>
  <c r="A1344" i="3"/>
  <c r="G1344" i="3"/>
  <c r="H1344" i="3" s="1"/>
  <c r="A1345" i="3"/>
  <c r="G1345" i="3"/>
  <c r="H1345" i="3" s="1"/>
  <c r="A1346" i="3"/>
  <c r="G1346" i="3"/>
  <c r="H1346" i="3" s="1"/>
  <c r="I1346" i="3" s="1"/>
  <c r="A1347" i="3"/>
  <c r="G1347" i="3"/>
  <c r="H1347" i="3" s="1"/>
  <c r="A1348" i="3"/>
  <c r="C1348" i="3"/>
  <c r="G1348" i="3"/>
  <c r="A1349" i="3"/>
  <c r="G1349" i="3"/>
  <c r="H1349" i="3" s="1"/>
  <c r="A1350" i="3"/>
  <c r="G1350" i="3"/>
  <c r="H1350" i="3" s="1"/>
  <c r="A1351" i="3"/>
  <c r="G1351" i="3"/>
  <c r="H1351" i="3" s="1"/>
  <c r="I1351" i="3" s="1"/>
  <c r="A1352" i="3"/>
  <c r="G1352" i="3"/>
  <c r="H1352" i="3" s="1"/>
  <c r="I1352" i="3" s="1"/>
  <c r="A1353" i="3"/>
  <c r="G1353" i="3"/>
  <c r="H1353" i="3" s="1"/>
  <c r="A1354" i="3"/>
  <c r="C1354" i="3"/>
  <c r="G1354" i="3"/>
  <c r="H1354" i="3" s="1"/>
  <c r="I1354" i="3" s="1"/>
  <c r="A1355" i="3"/>
  <c r="G1355" i="3"/>
  <c r="H1355" i="3" s="1"/>
  <c r="A1356" i="3"/>
  <c r="G1356" i="3"/>
  <c r="A1357" i="3"/>
  <c r="C1357" i="3"/>
  <c r="G1357" i="3"/>
  <c r="H1357" i="3" s="1"/>
  <c r="A1358" i="3"/>
  <c r="G1358" i="3"/>
  <c r="H1358" i="3" s="1"/>
  <c r="A1359" i="3"/>
  <c r="G1359" i="3"/>
  <c r="H1359" i="3" s="1"/>
  <c r="I1359" i="3" s="1"/>
  <c r="A1360" i="3"/>
  <c r="C1360" i="3"/>
  <c r="G1360" i="3"/>
  <c r="H1360" i="3" s="1"/>
  <c r="I1360" i="3" s="1"/>
  <c r="A1361" i="3"/>
  <c r="G1361" i="3"/>
  <c r="H1361" i="3" s="1"/>
  <c r="A1362" i="3"/>
  <c r="G1362" i="3"/>
  <c r="H1362" i="3" s="1"/>
  <c r="I1362" i="3" s="1"/>
  <c r="A1363" i="3"/>
  <c r="C1363" i="3"/>
  <c r="G1363" i="3"/>
  <c r="H1363" i="3" s="1"/>
  <c r="A1364" i="3"/>
  <c r="G1364" i="3"/>
  <c r="A1365" i="3"/>
  <c r="C1365" i="3"/>
  <c r="G1365" i="3"/>
  <c r="H1365" i="3" s="1"/>
  <c r="A1366" i="3"/>
  <c r="G1366" i="3"/>
  <c r="H1366" i="3" s="1"/>
  <c r="A1367" i="3"/>
  <c r="G1367" i="3"/>
  <c r="H1367" i="3" s="1"/>
  <c r="I1367" i="3" s="1"/>
  <c r="A1368" i="3"/>
  <c r="C1368" i="3"/>
  <c r="G1368" i="3"/>
  <c r="H1368" i="3" s="1"/>
  <c r="I1368" i="3" s="1"/>
  <c r="A1369" i="3"/>
  <c r="G1369" i="3"/>
  <c r="H1369" i="3" s="1"/>
  <c r="A1370" i="3"/>
  <c r="G1370" i="3"/>
  <c r="H1370" i="3" s="1"/>
  <c r="I1370" i="3" s="1"/>
  <c r="A1371" i="3"/>
  <c r="G1371" i="3"/>
  <c r="H1371" i="3" s="1"/>
  <c r="A1372" i="3"/>
  <c r="C1372" i="3"/>
  <c r="G1372" i="3"/>
  <c r="A1373" i="3"/>
  <c r="G1373" i="3"/>
  <c r="A1374" i="3"/>
  <c r="G1374" i="3"/>
  <c r="H1374" i="3" s="1"/>
  <c r="A1375" i="3"/>
  <c r="G1375" i="3"/>
  <c r="H1375" i="3" s="1"/>
  <c r="I1375" i="3" s="1"/>
  <c r="A1376" i="3"/>
  <c r="G1376" i="3"/>
  <c r="H1376" i="3" s="1"/>
  <c r="I1376" i="3" s="1"/>
  <c r="A1377" i="3"/>
  <c r="G1377" i="3"/>
  <c r="H1377" i="3" s="1"/>
  <c r="A1378" i="3"/>
  <c r="C1378" i="3"/>
  <c r="G1378" i="3"/>
  <c r="H1378" i="3" s="1"/>
  <c r="I1378" i="3" s="1"/>
  <c r="A1379" i="3"/>
  <c r="C1379" i="3"/>
  <c r="G1379" i="3"/>
  <c r="H1379" i="3" s="1"/>
  <c r="A1380" i="3"/>
  <c r="G1380" i="3"/>
  <c r="A1381" i="3"/>
  <c r="C1381" i="3"/>
  <c r="G1381" i="3"/>
  <c r="H1381" i="3" s="1"/>
  <c r="A1382" i="3"/>
  <c r="G1382" i="3"/>
  <c r="H1382" i="3" s="1"/>
  <c r="A1383" i="3"/>
  <c r="G1383" i="3"/>
  <c r="H1383" i="3" s="1"/>
  <c r="I1383" i="3" s="1"/>
  <c r="A1384" i="3"/>
  <c r="G1384" i="3"/>
  <c r="H1384" i="3" s="1"/>
  <c r="I1384" i="3" s="1"/>
  <c r="A1385" i="3"/>
  <c r="G1385" i="3"/>
  <c r="H1385" i="3" s="1"/>
  <c r="I1385" i="3" s="1"/>
  <c r="A1386" i="3"/>
  <c r="G1386" i="3"/>
  <c r="H1386" i="3" s="1"/>
  <c r="I1386" i="3" s="1"/>
  <c r="A1387" i="3"/>
  <c r="C1387" i="3"/>
  <c r="G1387" i="3"/>
  <c r="H1387" i="3" s="1"/>
  <c r="A1388" i="3"/>
  <c r="G1388" i="3"/>
  <c r="A1389" i="3"/>
  <c r="C1389" i="3"/>
  <c r="G1389" i="3"/>
  <c r="A1390" i="3"/>
  <c r="G1390" i="3"/>
  <c r="H1390" i="3" s="1"/>
  <c r="A1391" i="3"/>
  <c r="G1391" i="3"/>
  <c r="H1391" i="3" s="1"/>
  <c r="I1391" i="3" s="1"/>
  <c r="A1392" i="3"/>
  <c r="G1392" i="3"/>
  <c r="H1392" i="3" s="1"/>
  <c r="I1392" i="3" s="1"/>
  <c r="A1393" i="3"/>
  <c r="G1393" i="3"/>
  <c r="H1393" i="3" s="1"/>
  <c r="I1393" i="3" s="1"/>
  <c r="A1394" i="3"/>
  <c r="G1394" i="3"/>
  <c r="H1394" i="3" s="1"/>
  <c r="I1394" i="3" s="1"/>
  <c r="A1395" i="3"/>
  <c r="G1395" i="3"/>
  <c r="H1395" i="3" s="1"/>
  <c r="A1396" i="3"/>
  <c r="C1396" i="3"/>
  <c r="G1396" i="3"/>
  <c r="A1397" i="3"/>
  <c r="G1397" i="3"/>
  <c r="H1397" i="3" s="1"/>
  <c r="A1398" i="3"/>
  <c r="C1398" i="3"/>
  <c r="G1398" i="3"/>
  <c r="H1398" i="3" s="1"/>
  <c r="A1399" i="3"/>
  <c r="G1399" i="3"/>
  <c r="H1399" i="3" s="1"/>
  <c r="I1399" i="3" s="1"/>
  <c r="A1400" i="3"/>
  <c r="G1400" i="3"/>
  <c r="H1400" i="3" s="1"/>
  <c r="I1400" i="3" s="1"/>
  <c r="A1401" i="3"/>
  <c r="C1401" i="3"/>
  <c r="G1401" i="3"/>
  <c r="H1401" i="3" s="1"/>
  <c r="A1402" i="3"/>
  <c r="G1402" i="3"/>
  <c r="H1402" i="3" s="1"/>
  <c r="I1402" i="3" s="1"/>
  <c r="A1403" i="3"/>
  <c r="G1403" i="3"/>
  <c r="H1403" i="3" s="1"/>
  <c r="A1404" i="3"/>
  <c r="G1404" i="3"/>
  <c r="A1405" i="3"/>
  <c r="C1405" i="3"/>
  <c r="G1405" i="3"/>
  <c r="A1406" i="3"/>
  <c r="G1406" i="3"/>
  <c r="H1406" i="3" s="1"/>
  <c r="A1407" i="3"/>
  <c r="G1407" i="3"/>
  <c r="H1407" i="3" s="1"/>
  <c r="I1407" i="3" s="1"/>
  <c r="A1408" i="3"/>
  <c r="G1408" i="3"/>
  <c r="H1408" i="3" s="1"/>
  <c r="I1408" i="3" s="1"/>
  <c r="A1409" i="3"/>
  <c r="C1409" i="3"/>
  <c r="G1409" i="3"/>
  <c r="H1409" i="3" s="1"/>
  <c r="A1410" i="3"/>
  <c r="G1410" i="3"/>
  <c r="H1410" i="3" s="1"/>
  <c r="I1410" i="3" s="1"/>
  <c r="A1411" i="3"/>
  <c r="G1411" i="3"/>
  <c r="H1411" i="3" s="1"/>
  <c r="A1412" i="3"/>
  <c r="C1412" i="3"/>
  <c r="G1412" i="3"/>
  <c r="A1413" i="3"/>
  <c r="G1413" i="3"/>
  <c r="H1413" i="3" s="1"/>
  <c r="A1414" i="3"/>
  <c r="G1414" i="3"/>
  <c r="H1414" i="3" s="1"/>
  <c r="A1415" i="3"/>
  <c r="C1415" i="3"/>
  <c r="G1415" i="3"/>
  <c r="H1415" i="3" s="1"/>
  <c r="I1415" i="3" s="1"/>
  <c r="C1319" i="3"/>
  <c r="C1320" i="3"/>
  <c r="C1321" i="3"/>
  <c r="C1322" i="3"/>
  <c r="C1323" i="3"/>
  <c r="C1324" i="3"/>
  <c r="C1325" i="3"/>
  <c r="C1326" i="3"/>
  <c r="C1316" i="3"/>
  <c r="C1313" i="3"/>
  <c r="C1314" i="3"/>
  <c r="C1301" i="3"/>
  <c r="C1302" i="3"/>
  <c r="C1303" i="3"/>
  <c r="C1304" i="3"/>
  <c r="C1305" i="3"/>
  <c r="C1306" i="3"/>
  <c r="C1307" i="3"/>
  <c r="C1308" i="3"/>
  <c r="C1309" i="3"/>
  <c r="C1310" i="3"/>
  <c r="C1311" i="3"/>
  <c r="C1295" i="3"/>
  <c r="C1296" i="3"/>
  <c r="C1297" i="3"/>
  <c r="C1298" i="3"/>
  <c r="C1299" i="3"/>
  <c r="C1292" i="3"/>
  <c r="C1293" i="3"/>
  <c r="C1283" i="3"/>
  <c r="C1284" i="3"/>
  <c r="C1285" i="3"/>
  <c r="C1286" i="3"/>
  <c r="C1287" i="3"/>
  <c r="C1288" i="3"/>
  <c r="C1289" i="3"/>
  <c r="C1290" i="3"/>
  <c r="C1276" i="3"/>
  <c r="C1277" i="3"/>
  <c r="C1278" i="3"/>
  <c r="C1279" i="3"/>
  <c r="C1280" i="3"/>
  <c r="C1281" i="3"/>
  <c r="C1274" i="3"/>
  <c r="C1269" i="3"/>
  <c r="C1270" i="3"/>
  <c r="C1271" i="3"/>
  <c r="C1272" i="3"/>
  <c r="C1273" i="3"/>
  <c r="A1269" i="3"/>
  <c r="G1269" i="3"/>
  <c r="H1269" i="3" s="1"/>
  <c r="A1270" i="3"/>
  <c r="G1270" i="3"/>
  <c r="H1270" i="3" s="1"/>
  <c r="A1271" i="3"/>
  <c r="G1271" i="3"/>
  <c r="H1271" i="3" s="1"/>
  <c r="I1271" i="3" s="1"/>
  <c r="A1272" i="3"/>
  <c r="G1272" i="3"/>
  <c r="A1273" i="3"/>
  <c r="G1273" i="3"/>
  <c r="H1273" i="3" s="1"/>
  <c r="A1274" i="3"/>
  <c r="G1274" i="3"/>
  <c r="H1274" i="3" s="1"/>
  <c r="I1274" i="3" s="1"/>
  <c r="A1275" i="3"/>
  <c r="C1275" i="3"/>
  <c r="G1275" i="3"/>
  <c r="H1275" i="3" s="1"/>
  <c r="I1275" i="3" s="1"/>
  <c r="A1276" i="3"/>
  <c r="G1276" i="3"/>
  <c r="H1276" i="3" s="1"/>
  <c r="A1277" i="3"/>
  <c r="G1277" i="3"/>
  <c r="H1277" i="3" s="1"/>
  <c r="A1278" i="3"/>
  <c r="G1278" i="3"/>
  <c r="H1278" i="3" s="1"/>
  <c r="I1278" i="3" s="1"/>
  <c r="A1279" i="3"/>
  <c r="G1279" i="3"/>
  <c r="H1279" i="3" s="1"/>
  <c r="A1280" i="3"/>
  <c r="G1280" i="3"/>
  <c r="A1281" i="3"/>
  <c r="G1281" i="3"/>
  <c r="H1281" i="3" s="1"/>
  <c r="A1282" i="3"/>
  <c r="C1282" i="3"/>
  <c r="G1282" i="3"/>
  <c r="H1282" i="3" s="1"/>
  <c r="I1282" i="3" s="1"/>
  <c r="A1283" i="3"/>
  <c r="G1283" i="3"/>
  <c r="H1283" i="3" s="1"/>
  <c r="I1283" i="3" s="1"/>
  <c r="A1284" i="3"/>
  <c r="G1284" i="3"/>
  <c r="H1284" i="3" s="1"/>
  <c r="A1285" i="3"/>
  <c r="G1285" i="3"/>
  <c r="H1285" i="3" s="1"/>
  <c r="A1286" i="3"/>
  <c r="G1286" i="3"/>
  <c r="H1286" i="3" s="1"/>
  <c r="I1286" i="3" s="1"/>
  <c r="A1287" i="3"/>
  <c r="G1287" i="3"/>
  <c r="H1287" i="3" s="1"/>
  <c r="A1288" i="3"/>
  <c r="G1288" i="3"/>
  <c r="A1289" i="3"/>
  <c r="G1289" i="3"/>
  <c r="H1289" i="3" s="1"/>
  <c r="A1290" i="3"/>
  <c r="G1290" i="3"/>
  <c r="H1290" i="3" s="1"/>
  <c r="I1290" i="3" s="1"/>
  <c r="A1291" i="3"/>
  <c r="C1291" i="3"/>
  <c r="G1291" i="3"/>
  <c r="H1291" i="3" s="1"/>
  <c r="I1291" i="3" s="1"/>
  <c r="A1292" i="3"/>
  <c r="G1292" i="3"/>
  <c r="H1292" i="3" s="1"/>
  <c r="A1293" i="3"/>
  <c r="G1293" i="3"/>
  <c r="H1293" i="3" s="1"/>
  <c r="I1293" i="3" s="1"/>
  <c r="A1294" i="3"/>
  <c r="C1294" i="3"/>
  <c r="G1294" i="3"/>
  <c r="H1294" i="3" s="1"/>
  <c r="I1294" i="3" s="1"/>
  <c r="A1295" i="3"/>
  <c r="G1295" i="3"/>
  <c r="H1295" i="3" s="1"/>
  <c r="A1296" i="3"/>
  <c r="G1296" i="3"/>
  <c r="A1297" i="3"/>
  <c r="G1297" i="3"/>
  <c r="H1297" i="3" s="1"/>
  <c r="A1298" i="3"/>
  <c r="G1298" i="3"/>
  <c r="A1299" i="3"/>
  <c r="G1299" i="3"/>
  <c r="H1299" i="3" s="1"/>
  <c r="I1299" i="3" s="1"/>
  <c r="A1300" i="3"/>
  <c r="C1300" i="3"/>
  <c r="G1300" i="3"/>
  <c r="H1300" i="3" s="1"/>
  <c r="A1301" i="3"/>
  <c r="G1301" i="3"/>
  <c r="H1301" i="3" s="1"/>
  <c r="I1301" i="3" s="1"/>
  <c r="A1302" i="3"/>
  <c r="G1302" i="3"/>
  <c r="H1302" i="3" s="1"/>
  <c r="I1302" i="3" s="1"/>
  <c r="A1303" i="3"/>
  <c r="G1303" i="3"/>
  <c r="H1303" i="3" s="1"/>
  <c r="A1304" i="3"/>
  <c r="G1304" i="3"/>
  <c r="A1305" i="3"/>
  <c r="G1305" i="3"/>
  <c r="H1305" i="3" s="1"/>
  <c r="A1306" i="3"/>
  <c r="G1306" i="3"/>
  <c r="H1306" i="3" s="1"/>
  <c r="I1306" i="3" s="1"/>
  <c r="A1307" i="3"/>
  <c r="G1307" i="3"/>
  <c r="H1307" i="3" s="1"/>
  <c r="I1307" i="3" s="1"/>
  <c r="A1308" i="3"/>
  <c r="G1308" i="3"/>
  <c r="H1308" i="3" s="1"/>
  <c r="A1309" i="3"/>
  <c r="G1309" i="3"/>
  <c r="H1309" i="3" s="1"/>
  <c r="I1309" i="3" s="1"/>
  <c r="A1310" i="3"/>
  <c r="G1310" i="3"/>
  <c r="H1310" i="3" s="1"/>
  <c r="I1310" i="3" s="1"/>
  <c r="A1311" i="3"/>
  <c r="G1311" i="3"/>
  <c r="H1311" i="3" s="1"/>
  <c r="A1312" i="3"/>
  <c r="C1312" i="3"/>
  <c r="G1312" i="3"/>
  <c r="A1313" i="3"/>
  <c r="G1313" i="3"/>
  <c r="A1314" i="3"/>
  <c r="G1314" i="3"/>
  <c r="I1314" i="3" s="1"/>
  <c r="A1315" i="3"/>
  <c r="C1315" i="3"/>
  <c r="G1315" i="3"/>
  <c r="H1315" i="3" s="1"/>
  <c r="I1315" i="3" s="1"/>
  <c r="A1316" i="3"/>
  <c r="G1316" i="3"/>
  <c r="H1316" i="3" s="1"/>
  <c r="A1317" i="3"/>
  <c r="C1317" i="3"/>
  <c r="G1317" i="3"/>
  <c r="H1317" i="3" s="1"/>
  <c r="I1317" i="3" s="1"/>
  <c r="A1318" i="3"/>
  <c r="C1318" i="3"/>
  <c r="G1318" i="3"/>
  <c r="H1318" i="3" s="1"/>
  <c r="I1318" i="3" s="1"/>
  <c r="A1319" i="3"/>
  <c r="G1319" i="3"/>
  <c r="H1319" i="3" s="1"/>
  <c r="A1320" i="3"/>
  <c r="G1320" i="3"/>
  <c r="A1321" i="3"/>
  <c r="G1321" i="3"/>
  <c r="H1321" i="3" s="1"/>
  <c r="A1322" i="3"/>
  <c r="G1322" i="3"/>
  <c r="H1322" i="3" s="1"/>
  <c r="I1322" i="3" s="1"/>
  <c r="A1323" i="3"/>
  <c r="G1323" i="3"/>
  <c r="H1323" i="3" s="1"/>
  <c r="I1323" i="3" s="1"/>
  <c r="A1324" i="3"/>
  <c r="G1324" i="3"/>
  <c r="H1324" i="3" s="1"/>
  <c r="A1325" i="3"/>
  <c r="G1325" i="3"/>
  <c r="H1325" i="3" s="1"/>
  <c r="I1325" i="3" s="1"/>
  <c r="A1326" i="3"/>
  <c r="G1326" i="3"/>
  <c r="H1326" i="3" s="1"/>
  <c r="I1326" i="3" s="1"/>
  <c r="A1327" i="3"/>
  <c r="C1327" i="3"/>
  <c r="G1327" i="3"/>
  <c r="H1327" i="3" s="1"/>
  <c r="A1445" i="3"/>
  <c r="C1445" i="3"/>
  <c r="G1445" i="3"/>
  <c r="H1445" i="3" s="1"/>
  <c r="T27" i="31"/>
  <c r="E325" i="2"/>
  <c r="E324" i="2"/>
  <c r="E326" i="2"/>
  <c r="C325" i="2"/>
  <c r="F320" i="2"/>
  <c r="J317" i="2"/>
  <c r="J316" i="2"/>
  <c r="J315" i="2"/>
  <c r="C316" i="2"/>
  <c r="U342" i="2" l="1"/>
  <c r="U343" i="2"/>
  <c r="I1377" i="3"/>
  <c r="I1409" i="3"/>
  <c r="I1398" i="3"/>
  <c r="I1366" i="3"/>
  <c r="I1361" i="3"/>
  <c r="I1357" i="3"/>
  <c r="I1413" i="3"/>
  <c r="I1381" i="3"/>
  <c r="I1350" i="3"/>
  <c r="I1406" i="3"/>
  <c r="I1401" i="3"/>
  <c r="I1390" i="3"/>
  <c r="I1374" i="3"/>
  <c r="I1369" i="3"/>
  <c r="I1397" i="3"/>
  <c r="I1365" i="3"/>
  <c r="I1358" i="3"/>
  <c r="I1353" i="3"/>
  <c r="I1414" i="3"/>
  <c r="H1405" i="3"/>
  <c r="I1405" i="3" s="1"/>
  <c r="H1389" i="3"/>
  <c r="I1389" i="3" s="1"/>
  <c r="I1382" i="3"/>
  <c r="H1373" i="3"/>
  <c r="I1373" i="3" s="1"/>
  <c r="I1345" i="3"/>
  <c r="I1342" i="3"/>
  <c r="I1337" i="3"/>
  <c r="I1334" i="3"/>
  <c r="H1412" i="3"/>
  <c r="I1412" i="3" s="1"/>
  <c r="H1404" i="3"/>
  <c r="I1404" i="3" s="1"/>
  <c r="H1396" i="3"/>
  <c r="I1396" i="3" s="1"/>
  <c r="H1388" i="3"/>
  <c r="I1388" i="3" s="1"/>
  <c r="H1380" i="3"/>
  <c r="I1380" i="3" s="1"/>
  <c r="H1372" i="3"/>
  <c r="I1372" i="3" s="1"/>
  <c r="H1364" i="3"/>
  <c r="I1364" i="3" s="1"/>
  <c r="H1356" i="3"/>
  <c r="I1356" i="3" s="1"/>
  <c r="H1348" i="3"/>
  <c r="I1348" i="3" s="1"/>
  <c r="H1340" i="3"/>
  <c r="I1340" i="3" s="1"/>
  <c r="H1332" i="3"/>
  <c r="I1332" i="3" s="1"/>
  <c r="I1349" i="3"/>
  <c r="I1341" i="3"/>
  <c r="I1333" i="3"/>
  <c r="I1344" i="3"/>
  <c r="I1336" i="3"/>
  <c r="I1328" i="3"/>
  <c r="I1411" i="3"/>
  <c r="I1403" i="3"/>
  <c r="I1395" i="3"/>
  <c r="I1387" i="3"/>
  <c r="I1379" i="3"/>
  <c r="I1371" i="3"/>
  <c r="I1363" i="3"/>
  <c r="I1355" i="3"/>
  <c r="I1347" i="3"/>
  <c r="I1339" i="3"/>
  <c r="I1331" i="3"/>
  <c r="I1329" i="3"/>
  <c r="H1298" i="3"/>
  <c r="I1298" i="3" s="1"/>
  <c r="H1320" i="3"/>
  <c r="I1320" i="3" s="1"/>
  <c r="I1312" i="3"/>
  <c r="H1304" i="3"/>
  <c r="I1304" i="3" s="1"/>
  <c r="H1296" i="3"/>
  <c r="I1296" i="3" s="1"/>
  <c r="H1288" i="3"/>
  <c r="I1288" i="3" s="1"/>
  <c r="H1280" i="3"/>
  <c r="I1280" i="3" s="1"/>
  <c r="H1272" i="3"/>
  <c r="I1272" i="3" s="1"/>
  <c r="I1321" i="3"/>
  <c r="I1313" i="3"/>
  <c r="I1305" i="3"/>
  <c r="I1297" i="3"/>
  <c r="I1289" i="3"/>
  <c r="I1281" i="3"/>
  <c r="I1273" i="3"/>
  <c r="I1445" i="3"/>
  <c r="I1324" i="3"/>
  <c r="I1316" i="3"/>
  <c r="I1308" i="3"/>
  <c r="I1300" i="3"/>
  <c r="I1292" i="3"/>
  <c r="I1284" i="3"/>
  <c r="I1276" i="3"/>
  <c r="I1269" i="3"/>
  <c r="I1327" i="3"/>
  <c r="I1319" i="3"/>
  <c r="I1311" i="3"/>
  <c r="I1303" i="3"/>
  <c r="I1295" i="3"/>
  <c r="I1287" i="3"/>
  <c r="I1279" i="3"/>
  <c r="I1285" i="3"/>
  <c r="I1277" i="3"/>
  <c r="I1270" i="3"/>
  <c r="A313" i="2"/>
  <c r="C313" i="2"/>
  <c r="U313" i="2"/>
  <c r="A314" i="2"/>
  <c r="C314" i="2"/>
  <c r="U314" i="2"/>
  <c r="A315" i="2"/>
  <c r="C315" i="2"/>
  <c r="U315" i="2"/>
  <c r="A316" i="2"/>
  <c r="U316" i="2"/>
  <c r="A317" i="2"/>
  <c r="C317" i="2"/>
  <c r="U317" i="2"/>
  <c r="A318" i="2"/>
  <c r="C318" i="2"/>
  <c r="U318" i="2"/>
  <c r="A319" i="2"/>
  <c r="C319" i="2"/>
  <c r="U319" i="2"/>
  <c r="A320" i="2"/>
  <c r="C320" i="2"/>
  <c r="U320" i="2"/>
  <c r="A321" i="2"/>
  <c r="C321" i="2"/>
  <c r="U321" i="2"/>
  <c r="A322" i="2"/>
  <c r="C322" i="2"/>
  <c r="U322" i="2"/>
  <c r="A323" i="2"/>
  <c r="C323" i="2"/>
  <c r="U323" i="2"/>
  <c r="A324" i="2"/>
  <c r="C324" i="2"/>
  <c r="U324" i="2"/>
  <c r="A325" i="2"/>
  <c r="U325" i="2"/>
  <c r="A326" i="2"/>
  <c r="C326" i="2"/>
  <c r="U326" i="2"/>
  <c r="A327" i="2"/>
  <c r="C327" i="2"/>
  <c r="U327" i="2"/>
  <c r="A328" i="2"/>
  <c r="U328" i="2"/>
  <c r="C1258" i="3" l="1"/>
  <c r="C1259" i="3"/>
  <c r="C1260" i="3"/>
  <c r="C1261" i="3"/>
  <c r="C1262" i="3"/>
  <c r="C1263" i="3"/>
  <c r="C1264" i="3"/>
  <c r="C1265" i="3"/>
  <c r="C1266" i="3"/>
  <c r="C1256" i="3"/>
  <c r="C1253" i="3"/>
  <c r="C1254" i="3"/>
  <c r="A1253" i="3"/>
  <c r="G1253" i="3"/>
  <c r="H1253" i="3" s="1"/>
  <c r="A1254" i="3"/>
  <c r="G1254" i="3"/>
  <c r="H1254" i="3" s="1"/>
  <c r="A1255" i="3"/>
  <c r="C1255" i="3"/>
  <c r="G1255" i="3"/>
  <c r="H1255" i="3" s="1"/>
  <c r="I1255" i="3" s="1"/>
  <c r="A1256" i="3"/>
  <c r="G1256" i="3"/>
  <c r="H1256" i="3" s="1"/>
  <c r="A1257" i="3"/>
  <c r="C1257" i="3"/>
  <c r="G1257" i="3"/>
  <c r="A1258" i="3"/>
  <c r="G1258" i="3"/>
  <c r="H1258" i="3" s="1"/>
  <c r="A1259" i="3"/>
  <c r="G1259" i="3"/>
  <c r="H1259" i="3" s="1"/>
  <c r="A1260" i="3"/>
  <c r="G1260" i="3"/>
  <c r="H1260" i="3" s="1"/>
  <c r="I1260" i="3" s="1"/>
  <c r="A1261" i="3"/>
  <c r="G1261" i="3"/>
  <c r="H1261" i="3" s="1"/>
  <c r="A1262" i="3"/>
  <c r="G1262" i="3"/>
  <c r="H1262" i="3" s="1"/>
  <c r="A1263" i="3"/>
  <c r="G1263" i="3"/>
  <c r="H1263" i="3" s="1"/>
  <c r="I1263" i="3" s="1"/>
  <c r="A1264" i="3"/>
  <c r="G1264" i="3"/>
  <c r="H1264" i="3" s="1"/>
  <c r="A1265" i="3"/>
  <c r="G1265" i="3"/>
  <c r="A1266" i="3"/>
  <c r="G1266" i="3"/>
  <c r="H1266" i="3" s="1"/>
  <c r="A1267" i="3"/>
  <c r="C1267" i="3"/>
  <c r="G1267" i="3"/>
  <c r="H1267" i="3" s="1"/>
  <c r="A1268" i="3"/>
  <c r="C1268" i="3"/>
  <c r="G1268" i="3"/>
  <c r="H1268" i="3" s="1"/>
  <c r="I1268" i="3" s="1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33" i="3"/>
  <c r="C1234" i="3"/>
  <c r="C1235" i="3"/>
  <c r="C1236" i="3"/>
  <c r="C1237" i="3"/>
  <c r="C1223" i="3"/>
  <c r="C1224" i="3"/>
  <c r="C1225" i="3"/>
  <c r="C1226" i="3"/>
  <c r="C1227" i="3"/>
  <c r="C1228" i="3"/>
  <c r="C1229" i="3"/>
  <c r="C1230" i="3"/>
  <c r="C1231" i="3"/>
  <c r="A1223" i="3"/>
  <c r="G1223" i="3"/>
  <c r="A1224" i="3"/>
  <c r="G1224" i="3"/>
  <c r="A1225" i="3"/>
  <c r="G1225" i="3"/>
  <c r="A1226" i="3"/>
  <c r="G1226" i="3"/>
  <c r="A1227" i="3"/>
  <c r="G1227" i="3"/>
  <c r="A1228" i="3"/>
  <c r="G1228" i="3"/>
  <c r="A1229" i="3"/>
  <c r="G1229" i="3"/>
  <c r="H1229" i="3" s="1"/>
  <c r="A1230" i="3"/>
  <c r="G1230" i="3"/>
  <c r="A1231" i="3"/>
  <c r="G1231" i="3"/>
  <c r="A1232" i="3"/>
  <c r="C1232" i="3"/>
  <c r="G1232" i="3"/>
  <c r="H1232" i="3" s="1"/>
  <c r="A1233" i="3"/>
  <c r="G1233" i="3"/>
  <c r="H1233" i="3" s="1"/>
  <c r="A1234" i="3"/>
  <c r="G1234" i="3"/>
  <c r="H1234" i="3" s="1"/>
  <c r="A1235" i="3"/>
  <c r="G1235" i="3"/>
  <c r="H1235" i="3" s="1"/>
  <c r="A1236" i="3"/>
  <c r="G1236" i="3"/>
  <c r="H1236" i="3" s="1"/>
  <c r="A1237" i="3"/>
  <c r="G1237" i="3"/>
  <c r="H1237" i="3" s="1"/>
  <c r="A1238" i="3"/>
  <c r="C1238" i="3"/>
  <c r="G1238" i="3"/>
  <c r="H1238" i="3" s="1"/>
  <c r="A1239" i="3"/>
  <c r="G1239" i="3"/>
  <c r="H1239" i="3" s="1"/>
  <c r="A1240" i="3"/>
  <c r="G1240" i="3"/>
  <c r="H1240" i="3" s="1"/>
  <c r="A1241" i="3"/>
  <c r="G1241" i="3"/>
  <c r="H1241" i="3" s="1"/>
  <c r="A1242" i="3"/>
  <c r="G1242" i="3"/>
  <c r="H1242" i="3" s="1"/>
  <c r="A1243" i="3"/>
  <c r="G1243" i="3"/>
  <c r="H1243" i="3" s="1"/>
  <c r="A1244" i="3"/>
  <c r="G1244" i="3"/>
  <c r="H1244" i="3" s="1"/>
  <c r="A1245" i="3"/>
  <c r="G1245" i="3"/>
  <c r="H1245" i="3" s="1"/>
  <c r="A1246" i="3"/>
  <c r="G1246" i="3"/>
  <c r="H1246" i="3" s="1"/>
  <c r="A1247" i="3"/>
  <c r="G1247" i="3"/>
  <c r="H1247" i="3" s="1"/>
  <c r="A1248" i="3"/>
  <c r="G1248" i="3"/>
  <c r="H1248" i="3" s="1"/>
  <c r="A1249" i="3"/>
  <c r="G1249" i="3"/>
  <c r="H1249" i="3" s="1"/>
  <c r="A1250" i="3"/>
  <c r="G1250" i="3"/>
  <c r="H1250" i="3" s="1"/>
  <c r="A1251" i="3"/>
  <c r="G1251" i="3"/>
  <c r="H1251" i="3" s="1"/>
  <c r="A1252" i="3"/>
  <c r="C1252" i="3"/>
  <c r="G1252" i="3"/>
  <c r="H660" i="3"/>
  <c r="I660" i="3" s="1"/>
  <c r="H661" i="3"/>
  <c r="I661" i="3" s="1"/>
  <c r="H715" i="3"/>
  <c r="I715" i="3" s="1"/>
  <c r="H773" i="3"/>
  <c r="I773" i="3" s="1"/>
  <c r="H774" i="3"/>
  <c r="I774" i="3" s="1"/>
  <c r="H817" i="3"/>
  <c r="I817" i="3" s="1"/>
  <c r="H978" i="3"/>
  <c r="I978" i="3" s="1"/>
  <c r="H1183" i="3"/>
  <c r="I1183" i="3" s="1"/>
  <c r="H1185" i="3"/>
  <c r="I1185" i="3" s="1"/>
  <c r="H473" i="3"/>
  <c r="I473" i="3" s="1"/>
  <c r="H192" i="3"/>
  <c r="I192" i="3" s="1"/>
  <c r="H1265" i="3" l="1"/>
  <c r="I1265" i="3" s="1"/>
  <c r="H1257" i="3"/>
  <c r="I1257" i="3" s="1"/>
  <c r="I1266" i="3"/>
  <c r="I1258" i="3"/>
  <c r="I1261" i="3"/>
  <c r="I1253" i="3"/>
  <c r="I1264" i="3"/>
  <c r="I1256" i="3"/>
  <c r="I1267" i="3"/>
  <c r="I1259" i="3"/>
  <c r="I1262" i="3"/>
  <c r="I1254" i="3"/>
  <c r="H1231" i="3"/>
  <c r="I1231" i="3" s="1"/>
  <c r="H1227" i="3"/>
  <c r="I1227" i="3" s="1"/>
  <c r="H1223" i="3"/>
  <c r="I1223" i="3" s="1"/>
  <c r="H1230" i="3"/>
  <c r="I1230" i="3" s="1"/>
  <c r="H1226" i="3"/>
  <c r="I1226" i="3" s="1"/>
  <c r="H1252" i="3"/>
  <c r="I1252" i="3" s="1"/>
  <c r="H1225" i="3"/>
  <c r="I1225" i="3" s="1"/>
  <c r="H1228" i="3"/>
  <c r="I1228" i="3" s="1"/>
  <c r="H1224" i="3"/>
  <c r="I1224" i="3" s="1"/>
  <c r="I1229" i="3"/>
  <c r="I1251" i="3"/>
  <c r="I1250" i="3"/>
  <c r="I1249" i="3"/>
  <c r="I1248" i="3"/>
  <c r="I1247" i="3"/>
  <c r="I1246" i="3"/>
  <c r="I1245" i="3"/>
  <c r="I1244" i="3"/>
  <c r="I1243" i="3"/>
  <c r="I1242" i="3"/>
  <c r="I1241" i="3"/>
  <c r="I1240" i="3"/>
  <c r="I1239" i="3"/>
  <c r="I1238" i="3"/>
  <c r="I1237" i="3"/>
  <c r="I1236" i="3"/>
  <c r="I1235" i="3"/>
  <c r="I1234" i="3"/>
  <c r="I1233" i="3"/>
  <c r="I1232" i="3"/>
  <c r="T24" i="31"/>
  <c r="T25" i="31"/>
  <c r="T26" i="31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5" i="17"/>
  <c r="E311" i="2"/>
  <c r="U311" i="2" s="1"/>
  <c r="F309" i="2"/>
  <c r="U309" i="2" s="1"/>
  <c r="J306" i="2"/>
  <c r="U306" i="2" s="1"/>
  <c r="J304" i="2"/>
  <c r="A305" i="2"/>
  <c r="C305" i="2"/>
  <c r="U305" i="2"/>
  <c r="A306" i="2"/>
  <c r="C306" i="2"/>
  <c r="A307" i="2"/>
  <c r="C307" i="2"/>
  <c r="U307" i="2"/>
  <c r="A308" i="2"/>
  <c r="C308" i="2"/>
  <c r="U308" i="2"/>
  <c r="A309" i="2"/>
  <c r="C309" i="2"/>
  <c r="A310" i="2"/>
  <c r="C310" i="2"/>
  <c r="U310" i="2"/>
  <c r="A311" i="2"/>
  <c r="C311" i="2"/>
  <c r="A312" i="2"/>
  <c r="C312" i="2"/>
  <c r="U312" i="2"/>
  <c r="A347" i="2"/>
  <c r="C347" i="2"/>
  <c r="U347" i="2"/>
  <c r="A348" i="2"/>
  <c r="C348" i="2"/>
  <c r="U348" i="2"/>
  <c r="C1213" i="3" l="1"/>
  <c r="C1214" i="3"/>
  <c r="C1215" i="3"/>
  <c r="C1216" i="3"/>
  <c r="C1217" i="3"/>
  <c r="C1218" i="3"/>
  <c r="C1219" i="3"/>
  <c r="C1220" i="3"/>
  <c r="C1221" i="3"/>
  <c r="A1214" i="3"/>
  <c r="G1214" i="3"/>
  <c r="A1215" i="3"/>
  <c r="G1215" i="3"/>
  <c r="A1216" i="3"/>
  <c r="G1216" i="3"/>
  <c r="A1217" i="3"/>
  <c r="G1217" i="3"/>
  <c r="A1218" i="3"/>
  <c r="G1218" i="3"/>
  <c r="A1219" i="3"/>
  <c r="G1219" i="3"/>
  <c r="A1220" i="3"/>
  <c r="G1220" i="3"/>
  <c r="A1221" i="3"/>
  <c r="G1221" i="3"/>
  <c r="A1222" i="3"/>
  <c r="C1222" i="3"/>
  <c r="G1222" i="3"/>
  <c r="C1208" i="3"/>
  <c r="C1209" i="3"/>
  <c r="C1210" i="3"/>
  <c r="C1211" i="3"/>
  <c r="C1205" i="3"/>
  <c r="C1200" i="3"/>
  <c r="C1201" i="3"/>
  <c r="C1202" i="3"/>
  <c r="C1203" i="3"/>
  <c r="C1198" i="3"/>
  <c r="C1196" i="3"/>
  <c r="C1191" i="3"/>
  <c r="C1192" i="3"/>
  <c r="C1193" i="3"/>
  <c r="C1194" i="3"/>
  <c r="C1187" i="3"/>
  <c r="C1188" i="3"/>
  <c r="C1189" i="3"/>
  <c r="C1184" i="3"/>
  <c r="C1185" i="3"/>
  <c r="A1186" i="3"/>
  <c r="C1186" i="3"/>
  <c r="G1186" i="3"/>
  <c r="A1187" i="3"/>
  <c r="G1187" i="3"/>
  <c r="A1188" i="3"/>
  <c r="G1188" i="3"/>
  <c r="A1189" i="3"/>
  <c r="G1189" i="3"/>
  <c r="A1190" i="3"/>
  <c r="C1190" i="3"/>
  <c r="G1190" i="3"/>
  <c r="A1191" i="3"/>
  <c r="G1191" i="3"/>
  <c r="A1192" i="3"/>
  <c r="G1192" i="3"/>
  <c r="A1193" i="3"/>
  <c r="G1193" i="3"/>
  <c r="A1194" i="3"/>
  <c r="G1194" i="3"/>
  <c r="A1195" i="3"/>
  <c r="C1195" i="3"/>
  <c r="G1195" i="3"/>
  <c r="A1196" i="3"/>
  <c r="G1196" i="3"/>
  <c r="A1197" i="3"/>
  <c r="C1197" i="3"/>
  <c r="G1197" i="3"/>
  <c r="A1198" i="3"/>
  <c r="G1198" i="3"/>
  <c r="A1199" i="3"/>
  <c r="C1199" i="3"/>
  <c r="G1199" i="3"/>
  <c r="A1200" i="3"/>
  <c r="G1200" i="3"/>
  <c r="A1201" i="3"/>
  <c r="G1201" i="3"/>
  <c r="A1202" i="3"/>
  <c r="G1202" i="3"/>
  <c r="A1203" i="3"/>
  <c r="G1203" i="3"/>
  <c r="A1204" i="3"/>
  <c r="C1204" i="3"/>
  <c r="G1204" i="3"/>
  <c r="A1205" i="3"/>
  <c r="G1205" i="3"/>
  <c r="A1206" i="3"/>
  <c r="C1206" i="3"/>
  <c r="G1206" i="3"/>
  <c r="A1207" i="3"/>
  <c r="C1207" i="3"/>
  <c r="G1207" i="3"/>
  <c r="A1208" i="3"/>
  <c r="G1208" i="3"/>
  <c r="A1209" i="3"/>
  <c r="G1209" i="3"/>
  <c r="A1210" i="3"/>
  <c r="G1210" i="3"/>
  <c r="A1211" i="3"/>
  <c r="G1211" i="3"/>
  <c r="A1212" i="3"/>
  <c r="C1212" i="3"/>
  <c r="G1212" i="3"/>
  <c r="A1213" i="3"/>
  <c r="G1213" i="3"/>
  <c r="A1184" i="3"/>
  <c r="G1184" i="3"/>
  <c r="A1185" i="3"/>
  <c r="T23" i="31"/>
  <c r="I6" i="22"/>
  <c r="I3" i="22"/>
  <c r="I4" i="22"/>
  <c r="I5" i="22"/>
  <c r="I7" i="22"/>
  <c r="I8" i="22"/>
  <c r="I9" i="22"/>
  <c r="I10" i="22"/>
  <c r="I11" i="22"/>
  <c r="I13" i="22"/>
  <c r="I14" i="22"/>
  <c r="I15" i="22"/>
  <c r="I16" i="22"/>
  <c r="I17" i="22"/>
  <c r="I18" i="22"/>
  <c r="I20" i="22"/>
  <c r="I22" i="22"/>
  <c r="I23" i="22"/>
  <c r="I24" i="22"/>
  <c r="I25" i="22"/>
  <c r="I27" i="22"/>
  <c r="I28" i="22"/>
  <c r="I29" i="22"/>
  <c r="I31" i="22"/>
  <c r="I32" i="22"/>
  <c r="I33" i="22"/>
  <c r="I34" i="22"/>
  <c r="I35" i="22"/>
  <c r="I36" i="22"/>
  <c r="I37" i="22"/>
  <c r="I38" i="22"/>
  <c r="I39" i="22"/>
  <c r="I41" i="22"/>
  <c r="I42" i="22"/>
  <c r="I43" i="22"/>
  <c r="I44" i="22"/>
  <c r="I45" i="22"/>
  <c r="I47" i="22"/>
  <c r="I48" i="22"/>
  <c r="I49" i="22"/>
  <c r="I50" i="22"/>
  <c r="I51" i="22"/>
  <c r="I52" i="22"/>
  <c r="I54" i="22"/>
  <c r="I55" i="22"/>
  <c r="I56" i="22"/>
  <c r="I57" i="22"/>
  <c r="I58" i="22"/>
  <c r="I59" i="22"/>
  <c r="I60" i="22"/>
  <c r="I61" i="22"/>
  <c r="I62" i="22"/>
  <c r="I64" i="22"/>
  <c r="I66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9" i="22"/>
  <c r="I110" i="22"/>
  <c r="I111" i="22"/>
  <c r="I112" i="22"/>
  <c r="I113" i="22"/>
  <c r="I114" i="22"/>
  <c r="I116" i="22"/>
  <c r="I117" i="22"/>
  <c r="I118" i="22"/>
  <c r="I119" i="22"/>
  <c r="I120" i="22"/>
  <c r="I122" i="22"/>
  <c r="I2" i="22"/>
  <c r="O2" i="22"/>
  <c r="A304" i="2"/>
  <c r="C304" i="2"/>
  <c r="U304" i="2"/>
  <c r="G1182" i="3"/>
  <c r="C250" i="2"/>
  <c r="F254" i="2"/>
  <c r="J284" i="2"/>
  <c r="U284" i="2" s="1"/>
  <c r="J298" i="2"/>
  <c r="J295" i="2"/>
  <c r="G296" i="2"/>
  <c r="J296" i="2"/>
  <c r="E298" i="2"/>
  <c r="E297" i="2"/>
  <c r="U297" i="2" s="1"/>
  <c r="E296" i="2"/>
  <c r="H296" i="2"/>
  <c r="O296" i="2"/>
  <c r="O295" i="2"/>
  <c r="A295" i="2"/>
  <c r="C295" i="2"/>
  <c r="A296" i="2"/>
  <c r="C296" i="2"/>
  <c r="A297" i="2"/>
  <c r="C297" i="2"/>
  <c r="A298" i="2"/>
  <c r="C298" i="2"/>
  <c r="A299" i="2"/>
  <c r="C299" i="2"/>
  <c r="U299" i="2"/>
  <c r="A300" i="2"/>
  <c r="C300" i="2"/>
  <c r="U300" i="2"/>
  <c r="A301" i="2"/>
  <c r="C301" i="2"/>
  <c r="U301" i="2"/>
  <c r="A302" i="2"/>
  <c r="C302" i="2"/>
  <c r="U302" i="2"/>
  <c r="A303" i="2"/>
  <c r="C303" i="2"/>
  <c r="U303" i="2"/>
  <c r="E293" i="2"/>
  <c r="U293" i="2" s="1"/>
  <c r="E292" i="2"/>
  <c r="U292" i="2" s="1"/>
  <c r="E291" i="2"/>
  <c r="U291" i="2" s="1"/>
  <c r="E290" i="2"/>
  <c r="U290" i="2" s="1"/>
  <c r="J289" i="2"/>
  <c r="U289" i="2" s="1"/>
  <c r="J288" i="2"/>
  <c r="U288" i="2" s="1"/>
  <c r="J278" i="2"/>
  <c r="U278" i="2" s="1"/>
  <c r="J277" i="2"/>
  <c r="U277" i="2" s="1"/>
  <c r="J276" i="2"/>
  <c r="U276" i="2" s="1"/>
  <c r="F275" i="2"/>
  <c r="F271" i="2"/>
  <c r="U271" i="2" s="1"/>
  <c r="E270" i="2"/>
  <c r="U270" i="2" s="1"/>
  <c r="E269" i="2"/>
  <c r="U269" i="2" s="1"/>
  <c r="A268" i="2"/>
  <c r="C268" i="2"/>
  <c r="U268" i="2"/>
  <c r="A269" i="2"/>
  <c r="C269" i="2"/>
  <c r="A270" i="2"/>
  <c r="C270" i="2"/>
  <c r="A271" i="2"/>
  <c r="C271" i="2"/>
  <c r="A272" i="2"/>
  <c r="C272" i="2"/>
  <c r="U272" i="2"/>
  <c r="A273" i="2"/>
  <c r="C273" i="2"/>
  <c r="U273" i="2"/>
  <c r="A274" i="2"/>
  <c r="C274" i="2"/>
  <c r="U274" i="2"/>
  <c r="A275" i="2"/>
  <c r="C275" i="2"/>
  <c r="U275" i="2"/>
  <c r="A276" i="2"/>
  <c r="C276" i="2"/>
  <c r="A277" i="2"/>
  <c r="C277" i="2"/>
  <c r="A278" i="2"/>
  <c r="C278" i="2"/>
  <c r="A279" i="2"/>
  <c r="U279" i="2"/>
  <c r="A280" i="2"/>
  <c r="C280" i="2"/>
  <c r="U280" i="2"/>
  <c r="A281" i="2"/>
  <c r="C281" i="2"/>
  <c r="U281" i="2"/>
  <c r="A282" i="2"/>
  <c r="C282" i="2"/>
  <c r="U282" i="2"/>
  <c r="A283" i="2"/>
  <c r="C283" i="2"/>
  <c r="U283" i="2"/>
  <c r="A284" i="2"/>
  <c r="C284" i="2"/>
  <c r="A285" i="2"/>
  <c r="C285" i="2"/>
  <c r="U285" i="2"/>
  <c r="A286" i="2"/>
  <c r="C286" i="2"/>
  <c r="U286" i="2"/>
  <c r="A287" i="2"/>
  <c r="C287" i="2"/>
  <c r="U287" i="2"/>
  <c r="A288" i="2"/>
  <c r="C288" i="2"/>
  <c r="A289" i="2"/>
  <c r="C289" i="2"/>
  <c r="A290" i="2"/>
  <c r="C290" i="2"/>
  <c r="A291" i="2"/>
  <c r="C291" i="2"/>
  <c r="A292" i="2"/>
  <c r="C292" i="2"/>
  <c r="A293" i="2"/>
  <c r="C293" i="2"/>
  <c r="A294" i="2"/>
  <c r="U294" i="2"/>
  <c r="C1182" i="3"/>
  <c r="C1181" i="3"/>
  <c r="C1178" i="3"/>
  <c r="C1179" i="3"/>
  <c r="C1180" i="3"/>
  <c r="C1175" i="3"/>
  <c r="C1176" i="3"/>
  <c r="C1172" i="3"/>
  <c r="C1173" i="3"/>
  <c r="C1168" i="3"/>
  <c r="C1169" i="3"/>
  <c r="C1170" i="3"/>
  <c r="C1162" i="3"/>
  <c r="C1163" i="3"/>
  <c r="C1164" i="3"/>
  <c r="C1165" i="3"/>
  <c r="C1166" i="3"/>
  <c r="A1162" i="3"/>
  <c r="G1162" i="3"/>
  <c r="A1163" i="3"/>
  <c r="G1163" i="3"/>
  <c r="A1164" i="3"/>
  <c r="G1164" i="3"/>
  <c r="A1165" i="3"/>
  <c r="G1165" i="3"/>
  <c r="A1166" i="3"/>
  <c r="G1166" i="3"/>
  <c r="A1167" i="3"/>
  <c r="C1167" i="3"/>
  <c r="G1167" i="3"/>
  <c r="A1168" i="3"/>
  <c r="G1168" i="3"/>
  <c r="A1169" i="3"/>
  <c r="G1169" i="3"/>
  <c r="A1170" i="3"/>
  <c r="G1170" i="3"/>
  <c r="A1171" i="3"/>
  <c r="C1171" i="3"/>
  <c r="G1171" i="3"/>
  <c r="A1172" i="3"/>
  <c r="G1172" i="3"/>
  <c r="A1173" i="3"/>
  <c r="G1173" i="3"/>
  <c r="A1174" i="3"/>
  <c r="C1174" i="3"/>
  <c r="G1174" i="3"/>
  <c r="A1175" i="3"/>
  <c r="G1175" i="3"/>
  <c r="A1176" i="3"/>
  <c r="G1176" i="3"/>
  <c r="A1177" i="3"/>
  <c r="C1177" i="3"/>
  <c r="G1177" i="3"/>
  <c r="A1178" i="3"/>
  <c r="G1178" i="3"/>
  <c r="A1179" i="3"/>
  <c r="G1179" i="3"/>
  <c r="A1180" i="3"/>
  <c r="G1180" i="3"/>
  <c r="A1181" i="3"/>
  <c r="G1181" i="3"/>
  <c r="A1182" i="3"/>
  <c r="A1183" i="3"/>
  <c r="C1183" i="3"/>
  <c r="C1159" i="3"/>
  <c r="C1160" i="3"/>
  <c r="C1154" i="3"/>
  <c r="C1155" i="3"/>
  <c r="C1156" i="3"/>
  <c r="C1157" i="3"/>
  <c r="C1148" i="3"/>
  <c r="C1149" i="3"/>
  <c r="C1150" i="3"/>
  <c r="C1151" i="3"/>
  <c r="C1152" i="3"/>
  <c r="C1141" i="3"/>
  <c r="C1142" i="3"/>
  <c r="C1143" i="3"/>
  <c r="C1144" i="3"/>
  <c r="C1145" i="3"/>
  <c r="C1138" i="3"/>
  <c r="C1139" i="3"/>
  <c r="C1130" i="3"/>
  <c r="C1131" i="3"/>
  <c r="C1132" i="3"/>
  <c r="C1133" i="3"/>
  <c r="C1134" i="3"/>
  <c r="C1135" i="3"/>
  <c r="C1136" i="3"/>
  <c r="C1126" i="3"/>
  <c r="C1127" i="3"/>
  <c r="C1128" i="3"/>
  <c r="C1121" i="3"/>
  <c r="C1122" i="3"/>
  <c r="C1123" i="3"/>
  <c r="C1124" i="3"/>
  <c r="C1119" i="3"/>
  <c r="C1117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00" i="3"/>
  <c r="C1101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85" i="3"/>
  <c r="C1082" i="3"/>
  <c r="C1083" i="3"/>
  <c r="C1076" i="3"/>
  <c r="C1077" i="3"/>
  <c r="C1078" i="3"/>
  <c r="C1079" i="3"/>
  <c r="C1080" i="3"/>
  <c r="C1072" i="3"/>
  <c r="C1073" i="3"/>
  <c r="C1074" i="3"/>
  <c r="C1064" i="3"/>
  <c r="C1065" i="3"/>
  <c r="C1066" i="3"/>
  <c r="C1067" i="3"/>
  <c r="C1068" i="3"/>
  <c r="C1069" i="3"/>
  <c r="C1070" i="3"/>
  <c r="A1064" i="3"/>
  <c r="G1064" i="3"/>
  <c r="A1065" i="3"/>
  <c r="G1065" i="3"/>
  <c r="A1066" i="3"/>
  <c r="G1066" i="3"/>
  <c r="A1067" i="3"/>
  <c r="G1067" i="3"/>
  <c r="A1068" i="3"/>
  <c r="G1068" i="3"/>
  <c r="A1069" i="3"/>
  <c r="G1069" i="3"/>
  <c r="A1070" i="3"/>
  <c r="G1070" i="3"/>
  <c r="A1071" i="3"/>
  <c r="C1071" i="3"/>
  <c r="G1071" i="3"/>
  <c r="A1072" i="3"/>
  <c r="G1072" i="3"/>
  <c r="A1073" i="3"/>
  <c r="G1073" i="3"/>
  <c r="A1074" i="3"/>
  <c r="G1074" i="3"/>
  <c r="A1075" i="3"/>
  <c r="C1075" i="3"/>
  <c r="G1075" i="3"/>
  <c r="A1076" i="3"/>
  <c r="G1076" i="3"/>
  <c r="A1077" i="3"/>
  <c r="G1077" i="3"/>
  <c r="A1078" i="3"/>
  <c r="G1078" i="3"/>
  <c r="A1079" i="3"/>
  <c r="G1079" i="3"/>
  <c r="A1080" i="3"/>
  <c r="G1080" i="3"/>
  <c r="A1081" i="3"/>
  <c r="C1081" i="3"/>
  <c r="G1081" i="3"/>
  <c r="A1082" i="3"/>
  <c r="G1082" i="3"/>
  <c r="A1083" i="3"/>
  <c r="G1083" i="3"/>
  <c r="A1084" i="3"/>
  <c r="C1084" i="3"/>
  <c r="G1084" i="3"/>
  <c r="A1085" i="3"/>
  <c r="G1085" i="3"/>
  <c r="A1086" i="3"/>
  <c r="C1086" i="3"/>
  <c r="G1086" i="3"/>
  <c r="A1087" i="3"/>
  <c r="G1087" i="3"/>
  <c r="A1088" i="3"/>
  <c r="G1088" i="3"/>
  <c r="A1089" i="3"/>
  <c r="G1089" i="3"/>
  <c r="A1090" i="3"/>
  <c r="G1090" i="3"/>
  <c r="A1091" i="3"/>
  <c r="G1091" i="3"/>
  <c r="A1092" i="3"/>
  <c r="G1092" i="3"/>
  <c r="A1093" i="3"/>
  <c r="G1093" i="3"/>
  <c r="A1094" i="3"/>
  <c r="G1094" i="3"/>
  <c r="A1095" i="3"/>
  <c r="G1095" i="3"/>
  <c r="A1096" i="3"/>
  <c r="G1096" i="3"/>
  <c r="A1097" i="3"/>
  <c r="G1097" i="3"/>
  <c r="A1098" i="3"/>
  <c r="G1098" i="3"/>
  <c r="A1099" i="3"/>
  <c r="C1099" i="3"/>
  <c r="G1099" i="3"/>
  <c r="A1100" i="3"/>
  <c r="G1100" i="3"/>
  <c r="A1101" i="3"/>
  <c r="G1101" i="3"/>
  <c r="A1102" i="3"/>
  <c r="C1102" i="3"/>
  <c r="G1102" i="3"/>
  <c r="A1103" i="3"/>
  <c r="C1103" i="3"/>
  <c r="G1103" i="3"/>
  <c r="A1104" i="3"/>
  <c r="G1104" i="3"/>
  <c r="A1105" i="3"/>
  <c r="G1105" i="3"/>
  <c r="A1106" i="3"/>
  <c r="G1106" i="3"/>
  <c r="A1107" i="3"/>
  <c r="G1107" i="3"/>
  <c r="A1108" i="3"/>
  <c r="G1108" i="3"/>
  <c r="A1109" i="3"/>
  <c r="G1109" i="3"/>
  <c r="A1110" i="3"/>
  <c r="G1110" i="3"/>
  <c r="A1111" i="3"/>
  <c r="G1111" i="3"/>
  <c r="A1112" i="3"/>
  <c r="G1112" i="3"/>
  <c r="A1113" i="3"/>
  <c r="G1113" i="3"/>
  <c r="A1114" i="3"/>
  <c r="G1114" i="3"/>
  <c r="A1115" i="3"/>
  <c r="G1115" i="3"/>
  <c r="A1116" i="3"/>
  <c r="C1116" i="3"/>
  <c r="G1116" i="3"/>
  <c r="A1117" i="3"/>
  <c r="G1117" i="3"/>
  <c r="A1118" i="3"/>
  <c r="C1118" i="3"/>
  <c r="G1118" i="3"/>
  <c r="A1119" i="3"/>
  <c r="G1119" i="3"/>
  <c r="A1120" i="3"/>
  <c r="C1120" i="3"/>
  <c r="G1120" i="3"/>
  <c r="A1121" i="3"/>
  <c r="G1121" i="3"/>
  <c r="A1122" i="3"/>
  <c r="G1122" i="3"/>
  <c r="A1123" i="3"/>
  <c r="G1123" i="3"/>
  <c r="A1124" i="3"/>
  <c r="G1124" i="3"/>
  <c r="A1125" i="3"/>
  <c r="C1125" i="3"/>
  <c r="G1125" i="3"/>
  <c r="A1126" i="3"/>
  <c r="G1126" i="3"/>
  <c r="A1127" i="3"/>
  <c r="G1127" i="3"/>
  <c r="A1128" i="3"/>
  <c r="G1128" i="3"/>
  <c r="A1129" i="3"/>
  <c r="C1129" i="3"/>
  <c r="G1129" i="3"/>
  <c r="A1130" i="3"/>
  <c r="G1130" i="3"/>
  <c r="A1131" i="3"/>
  <c r="G1131" i="3"/>
  <c r="A1132" i="3"/>
  <c r="G1132" i="3"/>
  <c r="A1133" i="3"/>
  <c r="G1133" i="3"/>
  <c r="A1134" i="3"/>
  <c r="G1134" i="3"/>
  <c r="A1135" i="3"/>
  <c r="G1135" i="3"/>
  <c r="A1136" i="3"/>
  <c r="G1136" i="3"/>
  <c r="A1137" i="3"/>
  <c r="C1137" i="3"/>
  <c r="G1137" i="3"/>
  <c r="A1138" i="3"/>
  <c r="G1138" i="3"/>
  <c r="A1139" i="3"/>
  <c r="G1139" i="3"/>
  <c r="A1140" i="3"/>
  <c r="C1140" i="3"/>
  <c r="G1140" i="3"/>
  <c r="A1141" i="3"/>
  <c r="G1141" i="3"/>
  <c r="A1142" i="3"/>
  <c r="G1142" i="3"/>
  <c r="A1143" i="3"/>
  <c r="G1143" i="3"/>
  <c r="A1144" i="3"/>
  <c r="G1144" i="3"/>
  <c r="A1145" i="3"/>
  <c r="G1145" i="3"/>
  <c r="A1146" i="3"/>
  <c r="C1146" i="3"/>
  <c r="G1146" i="3"/>
  <c r="A1147" i="3"/>
  <c r="C1147" i="3"/>
  <c r="G1147" i="3"/>
  <c r="A1148" i="3"/>
  <c r="G1148" i="3"/>
  <c r="A1149" i="3"/>
  <c r="G1149" i="3"/>
  <c r="A1150" i="3"/>
  <c r="G1150" i="3"/>
  <c r="A1151" i="3"/>
  <c r="G1151" i="3"/>
  <c r="A1152" i="3"/>
  <c r="G1152" i="3"/>
  <c r="A1153" i="3"/>
  <c r="C1153" i="3"/>
  <c r="G1153" i="3"/>
  <c r="A1154" i="3"/>
  <c r="G1154" i="3"/>
  <c r="A1155" i="3"/>
  <c r="G1155" i="3"/>
  <c r="A1156" i="3"/>
  <c r="G1156" i="3"/>
  <c r="A1157" i="3"/>
  <c r="G1157" i="3"/>
  <c r="A1158" i="3"/>
  <c r="C1158" i="3"/>
  <c r="G1158" i="3"/>
  <c r="A1159" i="3"/>
  <c r="G1159" i="3"/>
  <c r="A1160" i="3"/>
  <c r="G1160" i="3"/>
  <c r="A1161" i="3"/>
  <c r="C1161" i="3"/>
  <c r="G1161" i="3"/>
  <c r="C1062" i="3"/>
  <c r="C1058" i="3"/>
  <c r="C1059" i="3"/>
  <c r="C1060" i="3"/>
  <c r="C1055" i="3"/>
  <c r="C1056" i="3"/>
  <c r="C1051" i="3"/>
  <c r="C1048" i="3"/>
  <c r="C1049" i="3"/>
  <c r="C1045" i="3"/>
  <c r="C1046" i="3"/>
  <c r="C1043" i="3"/>
  <c r="H1173" i="3" l="1"/>
  <c r="I1173" i="3" s="1"/>
  <c r="H1166" i="3"/>
  <c r="I1166" i="3" s="1"/>
  <c r="H1162" i="3"/>
  <c r="I1162" i="3" s="1"/>
  <c r="H1212" i="3"/>
  <c r="I1212" i="3" s="1"/>
  <c r="H1202" i="3"/>
  <c r="I1202" i="3" s="1"/>
  <c r="H1195" i="3"/>
  <c r="I1195" i="3" s="1"/>
  <c r="I1188" i="3"/>
  <c r="H1159" i="3"/>
  <c r="I1159" i="3" s="1"/>
  <c r="H1152" i="3"/>
  <c r="I1152" i="3" s="1"/>
  <c r="H1148" i="3"/>
  <c r="I1148" i="3" s="1"/>
  <c r="H1145" i="3"/>
  <c r="I1145" i="3" s="1"/>
  <c r="H1141" i="3"/>
  <c r="I1141" i="3" s="1"/>
  <c r="H1134" i="3"/>
  <c r="I1134" i="3" s="1"/>
  <c r="H1130" i="3"/>
  <c r="I1130" i="3" s="1"/>
  <c r="H1123" i="3"/>
  <c r="I1123" i="3" s="1"/>
  <c r="H1116" i="3"/>
  <c r="I1116" i="3" s="1"/>
  <c r="H1098" i="3"/>
  <c r="I1098" i="3" s="1"/>
  <c r="H1094" i="3"/>
  <c r="I1094" i="3" s="1"/>
  <c r="H1090" i="3"/>
  <c r="I1090" i="3" s="1"/>
  <c r="H1086" i="3"/>
  <c r="I1086" i="3" s="1"/>
  <c r="H1083" i="3"/>
  <c r="I1083" i="3" s="1"/>
  <c r="H1072" i="3"/>
  <c r="I1072" i="3" s="1"/>
  <c r="H1155" i="3"/>
  <c r="I1155" i="3" s="1"/>
  <c r="H1137" i="3"/>
  <c r="I1137" i="3" s="1"/>
  <c r="H1126" i="3"/>
  <c r="I1126" i="3" s="1"/>
  <c r="H1119" i="3"/>
  <c r="I1119" i="3" s="1"/>
  <c r="H1112" i="3"/>
  <c r="I1112" i="3" s="1"/>
  <c r="H1108" i="3"/>
  <c r="I1108" i="3" s="1"/>
  <c r="H1104" i="3"/>
  <c r="I1104" i="3" s="1"/>
  <c r="H1101" i="3"/>
  <c r="I1101" i="3" s="1"/>
  <c r="H1079" i="3"/>
  <c r="I1079" i="3" s="1"/>
  <c r="H1075" i="3"/>
  <c r="I1075" i="3" s="1"/>
  <c r="H1068" i="3"/>
  <c r="I1068" i="3" s="1"/>
  <c r="H1064" i="3"/>
  <c r="I1064" i="3" s="1"/>
  <c r="H1175" i="3"/>
  <c r="I1175" i="3" s="1"/>
  <c r="H1168" i="3"/>
  <c r="I1168" i="3" s="1"/>
  <c r="H1158" i="3"/>
  <c r="I1158" i="3" s="1"/>
  <c r="H1151" i="3"/>
  <c r="I1151" i="3" s="1"/>
  <c r="H1147" i="3"/>
  <c r="I1147" i="3" s="1"/>
  <c r="H1144" i="3"/>
  <c r="I1144" i="3" s="1"/>
  <c r="H1140" i="3"/>
  <c r="I1140" i="3" s="1"/>
  <c r="H1133" i="3"/>
  <c r="I1133" i="3" s="1"/>
  <c r="H1129" i="3"/>
  <c r="I1129" i="3" s="1"/>
  <c r="H1122" i="3"/>
  <c r="I1122" i="3" s="1"/>
  <c r="H1097" i="3"/>
  <c r="I1097" i="3" s="1"/>
  <c r="H1093" i="3"/>
  <c r="I1093" i="3" s="1"/>
  <c r="H1089" i="3"/>
  <c r="I1089" i="3" s="1"/>
  <c r="H1082" i="3"/>
  <c r="I1082" i="3" s="1"/>
  <c r="H1071" i="3"/>
  <c r="I1071" i="3" s="1"/>
  <c r="H1161" i="3"/>
  <c r="I1161" i="3" s="1"/>
  <c r="H1154" i="3"/>
  <c r="I1154" i="3" s="1"/>
  <c r="H1125" i="3"/>
  <c r="I1125" i="3" s="1"/>
  <c r="H1118" i="3"/>
  <c r="I1118" i="3" s="1"/>
  <c r="H1115" i="3"/>
  <c r="I1115" i="3" s="1"/>
  <c r="H1111" i="3"/>
  <c r="I1111" i="3" s="1"/>
  <c r="H1107" i="3"/>
  <c r="I1107" i="3" s="1"/>
  <c r="H1103" i="3"/>
  <c r="I1103" i="3" s="1"/>
  <c r="H1100" i="3"/>
  <c r="I1100" i="3" s="1"/>
  <c r="H1085" i="3"/>
  <c r="I1085" i="3" s="1"/>
  <c r="H1078" i="3"/>
  <c r="I1078" i="3" s="1"/>
  <c r="H1067" i="3"/>
  <c r="I1067" i="3" s="1"/>
  <c r="H1150" i="3"/>
  <c r="I1150" i="3" s="1"/>
  <c r="H1143" i="3"/>
  <c r="I1143" i="3" s="1"/>
  <c r="H1136" i="3"/>
  <c r="I1136" i="3" s="1"/>
  <c r="H1132" i="3"/>
  <c r="I1132" i="3" s="1"/>
  <c r="H1121" i="3"/>
  <c r="I1121" i="3" s="1"/>
  <c r="H1096" i="3"/>
  <c r="I1096" i="3" s="1"/>
  <c r="H1092" i="3"/>
  <c r="I1092" i="3" s="1"/>
  <c r="H1088" i="3"/>
  <c r="I1088" i="3" s="1"/>
  <c r="H1081" i="3"/>
  <c r="I1081" i="3" s="1"/>
  <c r="H1074" i="3"/>
  <c r="I1074" i="3" s="1"/>
  <c r="H1157" i="3"/>
  <c r="I1157" i="3" s="1"/>
  <c r="H1153" i="3"/>
  <c r="I1153" i="3" s="1"/>
  <c r="H1146" i="3"/>
  <c r="I1146" i="3" s="1"/>
  <c r="H1139" i="3"/>
  <c r="I1139" i="3" s="1"/>
  <c r="H1128" i="3"/>
  <c r="I1128" i="3" s="1"/>
  <c r="H1114" i="3"/>
  <c r="I1114" i="3" s="1"/>
  <c r="H1110" i="3"/>
  <c r="I1110" i="3" s="1"/>
  <c r="H1106" i="3"/>
  <c r="I1106" i="3" s="1"/>
  <c r="H1099" i="3"/>
  <c r="I1099" i="3" s="1"/>
  <c r="H1084" i="3"/>
  <c r="I1084" i="3" s="1"/>
  <c r="H1077" i="3"/>
  <c r="I1077" i="3" s="1"/>
  <c r="H1070" i="3"/>
  <c r="I1070" i="3" s="1"/>
  <c r="H1066" i="3"/>
  <c r="I1066" i="3" s="1"/>
  <c r="H1170" i="3"/>
  <c r="I1170" i="3" s="1"/>
  <c r="H1160" i="3"/>
  <c r="I1160" i="3" s="1"/>
  <c r="H1149" i="3"/>
  <c r="I1149" i="3" s="1"/>
  <c r="H1142" i="3"/>
  <c r="I1142" i="3" s="1"/>
  <c r="H1135" i="3"/>
  <c r="I1135" i="3" s="1"/>
  <c r="H1131" i="3"/>
  <c r="I1131" i="3" s="1"/>
  <c r="H1124" i="3"/>
  <c r="I1124" i="3" s="1"/>
  <c r="H1120" i="3"/>
  <c r="I1120" i="3" s="1"/>
  <c r="H1117" i="3"/>
  <c r="I1117" i="3" s="1"/>
  <c r="H1102" i="3"/>
  <c r="I1102" i="3" s="1"/>
  <c r="H1095" i="3"/>
  <c r="I1095" i="3" s="1"/>
  <c r="H1091" i="3"/>
  <c r="I1091" i="3" s="1"/>
  <c r="H1087" i="3"/>
  <c r="I1087" i="3" s="1"/>
  <c r="H1073" i="3"/>
  <c r="I1073" i="3" s="1"/>
  <c r="H1180" i="3"/>
  <c r="I1180" i="3" s="1"/>
  <c r="H1156" i="3"/>
  <c r="I1156" i="3" s="1"/>
  <c r="H1138" i="3"/>
  <c r="I1138" i="3" s="1"/>
  <c r="H1127" i="3"/>
  <c r="I1127" i="3" s="1"/>
  <c r="H1113" i="3"/>
  <c r="I1113" i="3" s="1"/>
  <c r="H1109" i="3"/>
  <c r="I1109" i="3" s="1"/>
  <c r="H1105" i="3"/>
  <c r="I1105" i="3" s="1"/>
  <c r="H1080" i="3"/>
  <c r="I1080" i="3" s="1"/>
  <c r="H1076" i="3"/>
  <c r="I1076" i="3" s="1"/>
  <c r="H1069" i="3"/>
  <c r="I1069" i="3" s="1"/>
  <c r="H1065" i="3"/>
  <c r="I1065" i="3" s="1"/>
  <c r="H1176" i="3"/>
  <c r="I1176" i="3" s="1"/>
  <c r="H1169" i="3"/>
  <c r="I1169" i="3" s="1"/>
  <c r="H1208" i="3"/>
  <c r="I1208" i="3" s="1"/>
  <c r="H1205" i="3"/>
  <c r="I1205" i="3" s="1"/>
  <c r="H1198" i="3"/>
  <c r="I1198" i="3" s="1"/>
  <c r="H1191" i="3"/>
  <c r="I1191" i="3" s="1"/>
  <c r="H1220" i="3"/>
  <c r="I1220" i="3" s="1"/>
  <c r="H1216" i="3"/>
  <c r="I1216" i="3" s="1"/>
  <c r="H1179" i="3"/>
  <c r="I1179" i="3" s="1"/>
  <c r="H1172" i="3"/>
  <c r="I1172" i="3" s="1"/>
  <c r="H1165" i="3"/>
  <c r="I1165" i="3" s="1"/>
  <c r="H1201" i="3"/>
  <c r="I1201" i="3" s="1"/>
  <c r="I1187" i="3"/>
  <c r="H1211" i="3"/>
  <c r="I1211" i="3" s="1"/>
  <c r="H1207" i="3"/>
  <c r="I1207" i="3" s="1"/>
  <c r="H1204" i="3"/>
  <c r="I1204" i="3" s="1"/>
  <c r="H1197" i="3"/>
  <c r="I1197" i="3" s="1"/>
  <c r="H1194" i="3"/>
  <c r="I1194" i="3" s="1"/>
  <c r="H1190" i="3"/>
  <c r="I1190" i="3" s="1"/>
  <c r="H1219" i="3"/>
  <c r="I1219" i="3" s="1"/>
  <c r="H1215" i="3"/>
  <c r="I1215" i="3" s="1"/>
  <c r="H1178" i="3"/>
  <c r="I1178" i="3" s="1"/>
  <c r="H1171" i="3"/>
  <c r="I1171" i="3" s="1"/>
  <c r="H1164" i="3"/>
  <c r="I1164" i="3" s="1"/>
  <c r="H1184" i="3"/>
  <c r="I1184" i="3" s="1"/>
  <c r="H1200" i="3"/>
  <c r="I1200" i="3" s="1"/>
  <c r="I1186" i="3"/>
  <c r="H1222" i="3"/>
  <c r="I1222" i="3" s="1"/>
  <c r="H1174" i="3"/>
  <c r="I1174" i="3" s="1"/>
  <c r="H1167" i="3"/>
  <c r="I1167" i="3" s="1"/>
  <c r="H1210" i="3"/>
  <c r="I1210" i="3" s="1"/>
  <c r="H1193" i="3"/>
  <c r="I1193" i="3" s="1"/>
  <c r="H1218" i="3"/>
  <c r="I1218" i="3" s="1"/>
  <c r="H1214" i="3"/>
  <c r="I1214" i="3" s="1"/>
  <c r="H1181" i="3"/>
  <c r="I1181" i="3" s="1"/>
  <c r="H1177" i="3"/>
  <c r="I1177" i="3" s="1"/>
  <c r="H1163" i="3"/>
  <c r="I1163" i="3" s="1"/>
  <c r="H1182" i="3"/>
  <c r="I1182" i="3" s="1"/>
  <c r="H1213" i="3"/>
  <c r="I1213" i="3" s="1"/>
  <c r="H1206" i="3"/>
  <c r="I1206" i="3" s="1"/>
  <c r="H1203" i="3"/>
  <c r="I1203" i="3" s="1"/>
  <c r="H1199" i="3"/>
  <c r="I1199" i="3" s="1"/>
  <c r="H1196" i="3"/>
  <c r="I1196" i="3" s="1"/>
  <c r="I1189" i="3"/>
  <c r="H1209" i="3"/>
  <c r="I1209" i="3" s="1"/>
  <c r="H1192" i="3"/>
  <c r="I1192" i="3" s="1"/>
  <c r="H1221" i="3"/>
  <c r="I1221" i="3" s="1"/>
  <c r="H1217" i="3"/>
  <c r="I1217" i="3" s="1"/>
  <c r="U298" i="2"/>
  <c r="U295" i="2"/>
  <c r="U296" i="2"/>
  <c r="C1036" i="3"/>
  <c r="C1037" i="3"/>
  <c r="C1038" i="3"/>
  <c r="C1039" i="3"/>
  <c r="C1040" i="3"/>
  <c r="C1041" i="3"/>
  <c r="G1033" i="3"/>
  <c r="C1029" i="3"/>
  <c r="C1030" i="3"/>
  <c r="C1031" i="3"/>
  <c r="C1032" i="3"/>
  <c r="C1033" i="3"/>
  <c r="C1034" i="3"/>
  <c r="C1026" i="3"/>
  <c r="C1027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07" i="3"/>
  <c r="C1008" i="3"/>
  <c r="C1002" i="3"/>
  <c r="C1003" i="3"/>
  <c r="C1004" i="3"/>
  <c r="C1005" i="3"/>
  <c r="C998" i="3"/>
  <c r="C999" i="3"/>
  <c r="C1000" i="3"/>
  <c r="C991" i="3"/>
  <c r="C992" i="3"/>
  <c r="C993" i="3"/>
  <c r="C994" i="3"/>
  <c r="C995" i="3"/>
  <c r="C996" i="3"/>
  <c r="C984" i="3"/>
  <c r="C985" i="3"/>
  <c r="C986" i="3"/>
  <c r="C987" i="3"/>
  <c r="C988" i="3"/>
  <c r="C989" i="3"/>
  <c r="C981" i="3"/>
  <c r="C982" i="3"/>
  <c r="C976" i="3"/>
  <c r="C977" i="3"/>
  <c r="C972" i="3"/>
  <c r="C973" i="3"/>
  <c r="C974" i="3"/>
  <c r="C967" i="3"/>
  <c r="C968" i="3"/>
  <c r="C969" i="3"/>
  <c r="C970" i="3"/>
  <c r="C962" i="3"/>
  <c r="C963" i="3"/>
  <c r="C964" i="3"/>
  <c r="C965" i="3"/>
  <c r="C954" i="3"/>
  <c r="C955" i="3"/>
  <c r="C956" i="3"/>
  <c r="C957" i="3"/>
  <c r="C958" i="3"/>
  <c r="C959" i="3"/>
  <c r="C960" i="3"/>
  <c r="C945" i="3"/>
  <c r="C946" i="3"/>
  <c r="C947" i="3"/>
  <c r="C948" i="3"/>
  <c r="C949" i="3"/>
  <c r="C950" i="3"/>
  <c r="C951" i="3"/>
  <c r="C952" i="3"/>
  <c r="C943" i="3"/>
  <c r="A941" i="3"/>
  <c r="C941" i="3"/>
  <c r="G941" i="3"/>
  <c r="A942" i="3"/>
  <c r="C942" i="3"/>
  <c r="G942" i="3"/>
  <c r="A943" i="3"/>
  <c r="G943" i="3"/>
  <c r="A944" i="3"/>
  <c r="C944" i="3"/>
  <c r="G944" i="3"/>
  <c r="A945" i="3"/>
  <c r="G945" i="3"/>
  <c r="A946" i="3"/>
  <c r="G946" i="3"/>
  <c r="A947" i="3"/>
  <c r="G947" i="3"/>
  <c r="A948" i="3"/>
  <c r="G948" i="3"/>
  <c r="A949" i="3"/>
  <c r="G949" i="3"/>
  <c r="A950" i="3"/>
  <c r="G950" i="3"/>
  <c r="A951" i="3"/>
  <c r="G951" i="3"/>
  <c r="A952" i="3"/>
  <c r="G952" i="3"/>
  <c r="A953" i="3"/>
  <c r="C953" i="3"/>
  <c r="G953" i="3"/>
  <c r="A954" i="3"/>
  <c r="G954" i="3"/>
  <c r="A955" i="3"/>
  <c r="G955" i="3"/>
  <c r="A956" i="3"/>
  <c r="G956" i="3"/>
  <c r="A957" i="3"/>
  <c r="G957" i="3"/>
  <c r="A958" i="3"/>
  <c r="G958" i="3"/>
  <c r="A959" i="3"/>
  <c r="G959" i="3"/>
  <c r="A960" i="3"/>
  <c r="G960" i="3"/>
  <c r="A961" i="3"/>
  <c r="C961" i="3"/>
  <c r="G961" i="3"/>
  <c r="A962" i="3"/>
  <c r="G962" i="3"/>
  <c r="A963" i="3"/>
  <c r="G963" i="3"/>
  <c r="A964" i="3"/>
  <c r="G964" i="3"/>
  <c r="A965" i="3"/>
  <c r="G965" i="3"/>
  <c r="A966" i="3"/>
  <c r="C966" i="3"/>
  <c r="G966" i="3"/>
  <c r="A967" i="3"/>
  <c r="G967" i="3"/>
  <c r="A968" i="3"/>
  <c r="G968" i="3"/>
  <c r="A969" i="3"/>
  <c r="G969" i="3"/>
  <c r="A970" i="3"/>
  <c r="G970" i="3"/>
  <c r="A971" i="3"/>
  <c r="C971" i="3"/>
  <c r="G971" i="3"/>
  <c r="A972" i="3"/>
  <c r="G972" i="3"/>
  <c r="A973" i="3"/>
  <c r="G973" i="3"/>
  <c r="A974" i="3"/>
  <c r="G974" i="3"/>
  <c r="A975" i="3"/>
  <c r="C975" i="3"/>
  <c r="G975" i="3"/>
  <c r="A976" i="3"/>
  <c r="G976" i="3"/>
  <c r="A977" i="3"/>
  <c r="G977" i="3"/>
  <c r="A978" i="3"/>
  <c r="C978" i="3"/>
  <c r="A979" i="3"/>
  <c r="C979" i="3"/>
  <c r="G979" i="3"/>
  <c r="A980" i="3"/>
  <c r="C980" i="3"/>
  <c r="G980" i="3"/>
  <c r="A981" i="3"/>
  <c r="G981" i="3"/>
  <c r="A982" i="3"/>
  <c r="G982" i="3"/>
  <c r="A983" i="3"/>
  <c r="C983" i="3"/>
  <c r="G983" i="3"/>
  <c r="A984" i="3"/>
  <c r="G984" i="3"/>
  <c r="A985" i="3"/>
  <c r="G985" i="3"/>
  <c r="A986" i="3"/>
  <c r="G986" i="3"/>
  <c r="A987" i="3"/>
  <c r="G987" i="3"/>
  <c r="A988" i="3"/>
  <c r="G988" i="3"/>
  <c r="A989" i="3"/>
  <c r="G989" i="3"/>
  <c r="A990" i="3"/>
  <c r="C990" i="3"/>
  <c r="G990" i="3"/>
  <c r="A991" i="3"/>
  <c r="G991" i="3"/>
  <c r="A992" i="3"/>
  <c r="G992" i="3"/>
  <c r="A993" i="3"/>
  <c r="G993" i="3"/>
  <c r="A994" i="3"/>
  <c r="G994" i="3"/>
  <c r="A995" i="3"/>
  <c r="G995" i="3"/>
  <c r="A996" i="3"/>
  <c r="G996" i="3"/>
  <c r="A997" i="3"/>
  <c r="C997" i="3"/>
  <c r="G997" i="3"/>
  <c r="A998" i="3"/>
  <c r="G998" i="3"/>
  <c r="A999" i="3"/>
  <c r="G999" i="3"/>
  <c r="A1000" i="3"/>
  <c r="G1000" i="3"/>
  <c r="A1001" i="3"/>
  <c r="C1001" i="3"/>
  <c r="G1001" i="3"/>
  <c r="A1002" i="3"/>
  <c r="G1002" i="3"/>
  <c r="A1003" i="3"/>
  <c r="G1003" i="3"/>
  <c r="A1004" i="3"/>
  <c r="G1004" i="3"/>
  <c r="A1005" i="3"/>
  <c r="G1005" i="3"/>
  <c r="A1006" i="3"/>
  <c r="C1006" i="3"/>
  <c r="G1006" i="3"/>
  <c r="A1007" i="3"/>
  <c r="G1007" i="3"/>
  <c r="A1008" i="3"/>
  <c r="G1008" i="3"/>
  <c r="A1009" i="3"/>
  <c r="C1009" i="3"/>
  <c r="G1009" i="3"/>
  <c r="A1010" i="3"/>
  <c r="G1010" i="3"/>
  <c r="A1011" i="3"/>
  <c r="G1011" i="3"/>
  <c r="A1012" i="3"/>
  <c r="G1012" i="3"/>
  <c r="A1013" i="3"/>
  <c r="G1013" i="3"/>
  <c r="A1014" i="3"/>
  <c r="G1014" i="3"/>
  <c r="A1015" i="3"/>
  <c r="G1015" i="3"/>
  <c r="A1016" i="3"/>
  <c r="G1016" i="3"/>
  <c r="A1017" i="3"/>
  <c r="G1017" i="3"/>
  <c r="A1018" i="3"/>
  <c r="G1018" i="3"/>
  <c r="A1019" i="3"/>
  <c r="G1019" i="3"/>
  <c r="A1020" i="3"/>
  <c r="G1020" i="3"/>
  <c r="A1021" i="3"/>
  <c r="G1021" i="3"/>
  <c r="A1022" i="3"/>
  <c r="G1022" i="3"/>
  <c r="A1023" i="3"/>
  <c r="G1023" i="3"/>
  <c r="A1024" i="3"/>
  <c r="G1024" i="3"/>
  <c r="A1025" i="3"/>
  <c r="C1025" i="3"/>
  <c r="G1025" i="3"/>
  <c r="A1026" i="3"/>
  <c r="G1026" i="3"/>
  <c r="A1027" i="3"/>
  <c r="G1027" i="3"/>
  <c r="A1028" i="3"/>
  <c r="C1028" i="3"/>
  <c r="G1028" i="3"/>
  <c r="A1029" i="3"/>
  <c r="G1029" i="3"/>
  <c r="A1030" i="3"/>
  <c r="G1030" i="3"/>
  <c r="A1031" i="3"/>
  <c r="G1031" i="3"/>
  <c r="A1032" i="3"/>
  <c r="G1032" i="3"/>
  <c r="A1033" i="3"/>
  <c r="A1034" i="3"/>
  <c r="G1034" i="3"/>
  <c r="A1035" i="3"/>
  <c r="C1035" i="3"/>
  <c r="G1035" i="3"/>
  <c r="A1036" i="3"/>
  <c r="G1036" i="3"/>
  <c r="A1037" i="3"/>
  <c r="G1037" i="3"/>
  <c r="A1038" i="3"/>
  <c r="G1038" i="3"/>
  <c r="A1039" i="3"/>
  <c r="G1039" i="3"/>
  <c r="A1040" i="3"/>
  <c r="G1040" i="3"/>
  <c r="A1041" i="3"/>
  <c r="G1041" i="3"/>
  <c r="A1042" i="3"/>
  <c r="C1042" i="3"/>
  <c r="G1042" i="3"/>
  <c r="A1043" i="3"/>
  <c r="G1043" i="3"/>
  <c r="A1044" i="3"/>
  <c r="C1044" i="3"/>
  <c r="G1044" i="3"/>
  <c r="A1045" i="3"/>
  <c r="G1045" i="3"/>
  <c r="A1046" i="3"/>
  <c r="G1046" i="3"/>
  <c r="A1047" i="3"/>
  <c r="C1047" i="3"/>
  <c r="G1047" i="3"/>
  <c r="A1048" i="3"/>
  <c r="G1048" i="3"/>
  <c r="A1049" i="3"/>
  <c r="G1049" i="3"/>
  <c r="A1050" i="3"/>
  <c r="C1050" i="3"/>
  <c r="G1050" i="3"/>
  <c r="A1051" i="3"/>
  <c r="G1051" i="3"/>
  <c r="A1052" i="3"/>
  <c r="C1052" i="3"/>
  <c r="G1052" i="3"/>
  <c r="A1053" i="3"/>
  <c r="C1053" i="3"/>
  <c r="G1053" i="3"/>
  <c r="A1054" i="3"/>
  <c r="C1054" i="3"/>
  <c r="G1054" i="3"/>
  <c r="A1055" i="3"/>
  <c r="G1055" i="3"/>
  <c r="A1056" i="3"/>
  <c r="G1056" i="3"/>
  <c r="A1057" i="3"/>
  <c r="C1057" i="3"/>
  <c r="G1057" i="3"/>
  <c r="A1058" i="3"/>
  <c r="G1058" i="3"/>
  <c r="A1059" i="3"/>
  <c r="G1059" i="3"/>
  <c r="A1060" i="3"/>
  <c r="G1060" i="3"/>
  <c r="A1061" i="3"/>
  <c r="C1061" i="3"/>
  <c r="G1061" i="3"/>
  <c r="A1062" i="3"/>
  <c r="G1062" i="3"/>
  <c r="A1063" i="3"/>
  <c r="C1063" i="3"/>
  <c r="G1063" i="3"/>
  <c r="T22" i="31"/>
  <c r="J266" i="2"/>
  <c r="U266" i="2" s="1"/>
  <c r="J265" i="2"/>
  <c r="U265" i="2" s="1"/>
  <c r="A265" i="2"/>
  <c r="C265" i="2"/>
  <c r="A266" i="2"/>
  <c r="C266" i="2"/>
  <c r="A267" i="2"/>
  <c r="C267" i="2"/>
  <c r="U267" i="2"/>
  <c r="C932" i="3"/>
  <c r="C933" i="3"/>
  <c r="C934" i="3"/>
  <c r="C935" i="3"/>
  <c r="C936" i="3"/>
  <c r="C937" i="3"/>
  <c r="C938" i="3"/>
  <c r="C939" i="3"/>
  <c r="C929" i="3"/>
  <c r="C930" i="3"/>
  <c r="C924" i="3"/>
  <c r="C925" i="3"/>
  <c r="C926" i="3"/>
  <c r="C927" i="3"/>
  <c r="C922" i="3"/>
  <c r="C923" i="3"/>
  <c r="C911" i="3"/>
  <c r="C912" i="3"/>
  <c r="C913" i="3"/>
  <c r="C914" i="3"/>
  <c r="C915" i="3"/>
  <c r="C916" i="3"/>
  <c r="C917" i="3"/>
  <c r="C918" i="3"/>
  <c r="C919" i="3"/>
  <c r="C920" i="3"/>
  <c r="C907" i="3"/>
  <c r="C908" i="3"/>
  <c r="C909" i="3"/>
  <c r="C910" i="3"/>
  <c r="A907" i="3"/>
  <c r="G907" i="3"/>
  <c r="A908" i="3"/>
  <c r="G908" i="3"/>
  <c r="A909" i="3"/>
  <c r="G909" i="3"/>
  <c r="A910" i="3"/>
  <c r="G910" i="3"/>
  <c r="A911" i="3"/>
  <c r="G911" i="3"/>
  <c r="A912" i="3"/>
  <c r="G912" i="3"/>
  <c r="A913" i="3"/>
  <c r="G913" i="3"/>
  <c r="A914" i="3"/>
  <c r="G914" i="3"/>
  <c r="A915" i="3"/>
  <c r="G915" i="3"/>
  <c r="A916" i="3"/>
  <c r="G916" i="3"/>
  <c r="A917" i="3"/>
  <c r="G917" i="3"/>
  <c r="A918" i="3"/>
  <c r="G918" i="3"/>
  <c r="A919" i="3"/>
  <c r="G919" i="3"/>
  <c r="A920" i="3"/>
  <c r="G920" i="3"/>
  <c r="A921" i="3"/>
  <c r="C921" i="3"/>
  <c r="G921" i="3"/>
  <c r="A922" i="3"/>
  <c r="G922" i="3"/>
  <c r="A923" i="3"/>
  <c r="G923" i="3"/>
  <c r="A924" i="3"/>
  <c r="G924" i="3"/>
  <c r="A925" i="3"/>
  <c r="G925" i="3"/>
  <c r="A926" i="3"/>
  <c r="G926" i="3"/>
  <c r="A927" i="3"/>
  <c r="G927" i="3"/>
  <c r="A928" i="3"/>
  <c r="C928" i="3"/>
  <c r="G928" i="3"/>
  <c r="A929" i="3"/>
  <c r="G929" i="3"/>
  <c r="A930" i="3"/>
  <c r="G930" i="3"/>
  <c r="A931" i="3"/>
  <c r="C931" i="3"/>
  <c r="G931" i="3"/>
  <c r="A932" i="3"/>
  <c r="G932" i="3"/>
  <c r="A933" i="3"/>
  <c r="G933" i="3"/>
  <c r="A934" i="3"/>
  <c r="G934" i="3"/>
  <c r="A935" i="3"/>
  <c r="G935" i="3"/>
  <c r="A936" i="3"/>
  <c r="G936" i="3"/>
  <c r="A937" i="3"/>
  <c r="G937" i="3"/>
  <c r="A938" i="3"/>
  <c r="G938" i="3"/>
  <c r="A939" i="3"/>
  <c r="G939" i="3"/>
  <c r="A940" i="3"/>
  <c r="C940" i="3"/>
  <c r="G940" i="3"/>
  <c r="Y3" i="29"/>
  <c r="Y4" i="29"/>
  <c r="Y5" i="29"/>
  <c r="Y6" i="29"/>
  <c r="Y7" i="29"/>
  <c r="Y8" i="29"/>
  <c r="Y9" i="29"/>
  <c r="Y10" i="29"/>
  <c r="Y11" i="29"/>
  <c r="Y12" i="29"/>
  <c r="Y13" i="29"/>
  <c r="Y14" i="29"/>
  <c r="Y15" i="29"/>
  <c r="Y16" i="29"/>
  <c r="Y17" i="29"/>
  <c r="Y18" i="29"/>
  <c r="Y19" i="29"/>
  <c r="Y20" i="29"/>
  <c r="Y21" i="29"/>
  <c r="Y22" i="29"/>
  <c r="Y23" i="29"/>
  <c r="Y24" i="29"/>
  <c r="Y25" i="29"/>
  <c r="Y26" i="29"/>
  <c r="Y27" i="29"/>
  <c r="Y28" i="29"/>
  <c r="Y29" i="29"/>
  <c r="Y30" i="29"/>
  <c r="Y31" i="29"/>
  <c r="Y32" i="29"/>
  <c r="Y33" i="29"/>
  <c r="Y34" i="29"/>
  <c r="Y35" i="29"/>
  <c r="Y36" i="29"/>
  <c r="Y37" i="29"/>
  <c r="Y38" i="29"/>
  <c r="Y39" i="29"/>
  <c r="Y40" i="29"/>
  <c r="Y41" i="29"/>
  <c r="Y42" i="29"/>
  <c r="Y43" i="29"/>
  <c r="Y44" i="29"/>
  <c r="Y45" i="29"/>
  <c r="Y46" i="29"/>
  <c r="Y47" i="29"/>
  <c r="Y48" i="29"/>
  <c r="Y49" i="29"/>
  <c r="Y50" i="29"/>
  <c r="Y51" i="29"/>
  <c r="Y52" i="29"/>
  <c r="Y53" i="29"/>
  <c r="Y54" i="29"/>
  <c r="Y55" i="29"/>
  <c r="Y56" i="29"/>
  <c r="Y57" i="29"/>
  <c r="Y58" i="29"/>
  <c r="Y59" i="29"/>
  <c r="Y60" i="29"/>
  <c r="Y61" i="29"/>
  <c r="Y62" i="29"/>
  <c r="Y63" i="29"/>
  <c r="Y64" i="29"/>
  <c r="Y65" i="29"/>
  <c r="Y66" i="29"/>
  <c r="Y67" i="29"/>
  <c r="Y68" i="29"/>
  <c r="Y69" i="29"/>
  <c r="Y70" i="29"/>
  <c r="Y71" i="29"/>
  <c r="Y72" i="29"/>
  <c r="Y73" i="29"/>
  <c r="Y74" i="29"/>
  <c r="Y75" i="29"/>
  <c r="Y76" i="29"/>
  <c r="Y77" i="29"/>
  <c r="Y78" i="29"/>
  <c r="Y79" i="29"/>
  <c r="Y80" i="29"/>
  <c r="Y81" i="29"/>
  <c r="Y82" i="29"/>
  <c r="Y83" i="29"/>
  <c r="Y84" i="29"/>
  <c r="Y85" i="29"/>
  <c r="Y86" i="29"/>
  <c r="Y87" i="29"/>
  <c r="Y88" i="29"/>
  <c r="Y89" i="29"/>
  <c r="Y90" i="29"/>
  <c r="Y91" i="29"/>
  <c r="Y92" i="29"/>
  <c r="Y93" i="29"/>
  <c r="Y94" i="29"/>
  <c r="Y95" i="29"/>
  <c r="Y96" i="29"/>
  <c r="Y97" i="29"/>
  <c r="Y98" i="29"/>
  <c r="Y99" i="29"/>
  <c r="Y100" i="29"/>
  <c r="Y101" i="29"/>
  <c r="Y102" i="29"/>
  <c r="Y103" i="29"/>
  <c r="Y104" i="29"/>
  <c r="Y105" i="29"/>
  <c r="Y106" i="29"/>
  <c r="Y107" i="29"/>
  <c r="Y108" i="29"/>
  <c r="Y109" i="29"/>
  <c r="Y110" i="29"/>
  <c r="Y111" i="29"/>
  <c r="Y112" i="29"/>
  <c r="Y113" i="29"/>
  <c r="Y114" i="29"/>
  <c r="Y115" i="29"/>
  <c r="Y116" i="29"/>
  <c r="Y117" i="29"/>
  <c r="Y118" i="29"/>
  <c r="Y119" i="29"/>
  <c r="Y120" i="29"/>
  <c r="Y121" i="29"/>
  <c r="Y122" i="29"/>
  <c r="Y123" i="29"/>
  <c r="X3" i="29"/>
  <c r="X4" i="29"/>
  <c r="X5" i="29"/>
  <c r="X6" i="29"/>
  <c r="X7" i="29"/>
  <c r="X8" i="29"/>
  <c r="X9" i="29"/>
  <c r="X10" i="29"/>
  <c r="X11" i="29"/>
  <c r="X12" i="29"/>
  <c r="X13" i="29"/>
  <c r="X14" i="29"/>
  <c r="X15" i="29"/>
  <c r="X16" i="29"/>
  <c r="X17" i="29"/>
  <c r="X18" i="29"/>
  <c r="X19" i="29"/>
  <c r="X20" i="29"/>
  <c r="X21" i="29"/>
  <c r="X22" i="29"/>
  <c r="X23" i="29"/>
  <c r="X24" i="29"/>
  <c r="X25" i="29"/>
  <c r="X26" i="29"/>
  <c r="X27" i="29"/>
  <c r="X28" i="29"/>
  <c r="X29" i="29"/>
  <c r="X30" i="29"/>
  <c r="X31" i="29"/>
  <c r="X32" i="29"/>
  <c r="X33" i="29"/>
  <c r="X34" i="29"/>
  <c r="X35" i="29"/>
  <c r="X36" i="29"/>
  <c r="X37" i="29"/>
  <c r="X38" i="29"/>
  <c r="X39" i="29"/>
  <c r="X40" i="29"/>
  <c r="X41" i="29"/>
  <c r="X42" i="29"/>
  <c r="X43" i="29"/>
  <c r="X44" i="29"/>
  <c r="X45" i="29"/>
  <c r="X46" i="29"/>
  <c r="X47" i="29"/>
  <c r="X48" i="29"/>
  <c r="X49" i="29"/>
  <c r="X50" i="29"/>
  <c r="X51" i="29"/>
  <c r="X52" i="29"/>
  <c r="X53" i="29"/>
  <c r="X54" i="29"/>
  <c r="X55" i="29"/>
  <c r="X56" i="29"/>
  <c r="X57" i="29"/>
  <c r="X58" i="29"/>
  <c r="X59" i="29"/>
  <c r="X60" i="29"/>
  <c r="X61" i="29"/>
  <c r="X62" i="29"/>
  <c r="X63" i="29"/>
  <c r="X64" i="29"/>
  <c r="X65" i="29"/>
  <c r="X66" i="29"/>
  <c r="X67" i="29"/>
  <c r="X68" i="29"/>
  <c r="X69" i="29"/>
  <c r="X70" i="29"/>
  <c r="X71" i="29"/>
  <c r="X72" i="29"/>
  <c r="X73" i="29"/>
  <c r="X74" i="29"/>
  <c r="X75" i="29"/>
  <c r="X76" i="29"/>
  <c r="X77" i="29"/>
  <c r="X78" i="29"/>
  <c r="X79" i="29"/>
  <c r="X80" i="29"/>
  <c r="X81" i="29"/>
  <c r="X82" i="29"/>
  <c r="X83" i="29"/>
  <c r="X84" i="29"/>
  <c r="X85" i="29"/>
  <c r="X86" i="29"/>
  <c r="X87" i="29"/>
  <c r="X88" i="29"/>
  <c r="X89" i="29"/>
  <c r="X90" i="29"/>
  <c r="X91" i="29"/>
  <c r="X92" i="29"/>
  <c r="X93" i="29"/>
  <c r="X94" i="29"/>
  <c r="X95" i="29"/>
  <c r="X96" i="29"/>
  <c r="X97" i="29"/>
  <c r="X98" i="29"/>
  <c r="X99" i="29"/>
  <c r="X100" i="29"/>
  <c r="X101" i="29"/>
  <c r="X102" i="29"/>
  <c r="X103" i="29"/>
  <c r="X104" i="29"/>
  <c r="X105" i="29"/>
  <c r="X106" i="29"/>
  <c r="X107" i="29"/>
  <c r="X108" i="29"/>
  <c r="X109" i="29"/>
  <c r="X110" i="29"/>
  <c r="X111" i="29"/>
  <c r="X112" i="29"/>
  <c r="X113" i="29"/>
  <c r="X114" i="29"/>
  <c r="X115" i="29"/>
  <c r="X2" i="29"/>
  <c r="T208" i="2"/>
  <c r="C208" i="2"/>
  <c r="A208" i="2"/>
  <c r="T207" i="2"/>
  <c r="C207" i="2"/>
  <c r="A207" i="2"/>
  <c r="U206" i="2"/>
  <c r="C206" i="2"/>
  <c r="A206" i="2"/>
  <c r="T205" i="2"/>
  <c r="C205" i="2"/>
  <c r="A205" i="2"/>
  <c r="T204" i="2"/>
  <c r="C204" i="2"/>
  <c r="A204" i="2"/>
  <c r="T203" i="2"/>
  <c r="C203" i="2"/>
  <c r="A203" i="2"/>
  <c r="T202" i="2"/>
  <c r="C202" i="2"/>
  <c r="A202" i="2"/>
  <c r="T201" i="2"/>
  <c r="C201" i="2"/>
  <c r="A201" i="2"/>
  <c r="T200" i="2"/>
  <c r="C200" i="2"/>
  <c r="A200" i="2"/>
  <c r="T199" i="2"/>
  <c r="C199" i="2"/>
  <c r="A199" i="2"/>
  <c r="T198" i="2"/>
  <c r="C198" i="2"/>
  <c r="A198" i="2"/>
  <c r="T197" i="2"/>
  <c r="C197" i="2"/>
  <c r="A197" i="2"/>
  <c r="U196" i="2"/>
  <c r="C196" i="2"/>
  <c r="A196" i="2"/>
  <c r="U195" i="2"/>
  <c r="C195" i="2"/>
  <c r="A195" i="2"/>
  <c r="T194" i="2"/>
  <c r="C194" i="2"/>
  <c r="A194" i="2"/>
  <c r="T193" i="2"/>
  <c r="C193" i="2"/>
  <c r="A193" i="2"/>
  <c r="T192" i="2"/>
  <c r="C192" i="2"/>
  <c r="A192" i="2"/>
  <c r="T5" i="31"/>
  <c r="T21" i="31"/>
  <c r="V21" i="31" s="1"/>
  <c r="G349" i="2"/>
  <c r="H349" i="2"/>
  <c r="I349" i="2"/>
  <c r="L349" i="2"/>
  <c r="M349" i="2"/>
  <c r="N349" i="2"/>
  <c r="P349" i="2"/>
  <c r="Q349" i="2"/>
  <c r="R349" i="2"/>
  <c r="S349" i="2"/>
  <c r="J263" i="2"/>
  <c r="U263" i="2" s="1"/>
  <c r="J262" i="2"/>
  <c r="U262" i="2" s="1"/>
  <c r="K254" i="2"/>
  <c r="U254" i="2" s="1"/>
  <c r="K253" i="2"/>
  <c r="U253" i="2" s="1"/>
  <c r="K252" i="2"/>
  <c r="U252" i="2" s="1"/>
  <c r="C254" i="2"/>
  <c r="A254" i="2"/>
  <c r="C253" i="2"/>
  <c r="A253" i="2"/>
  <c r="C252" i="2"/>
  <c r="A252" i="2"/>
  <c r="F258" i="2"/>
  <c r="U258" i="2" s="1"/>
  <c r="F260" i="2"/>
  <c r="U260" i="2" s="1"/>
  <c r="A257" i="2"/>
  <c r="C257" i="2"/>
  <c r="U257" i="2"/>
  <c r="A258" i="2"/>
  <c r="C258" i="2"/>
  <c r="A259" i="2"/>
  <c r="C259" i="2"/>
  <c r="U259" i="2"/>
  <c r="A260" i="2"/>
  <c r="C260" i="2"/>
  <c r="A261" i="2"/>
  <c r="C261" i="2"/>
  <c r="U261" i="2"/>
  <c r="A262" i="2"/>
  <c r="C262" i="2"/>
  <c r="A263" i="2"/>
  <c r="C263" i="2"/>
  <c r="A264" i="2"/>
  <c r="C264" i="2"/>
  <c r="U264" i="2"/>
  <c r="K251" i="2"/>
  <c r="U251" i="2" s="1"/>
  <c r="O250" i="2"/>
  <c r="U250" i="2" s="1"/>
  <c r="A896" i="3"/>
  <c r="C896" i="3"/>
  <c r="G896" i="3"/>
  <c r="A897" i="3"/>
  <c r="C897" i="3"/>
  <c r="G897" i="3"/>
  <c r="C899" i="3"/>
  <c r="C900" i="3"/>
  <c r="C901" i="3"/>
  <c r="C902" i="3"/>
  <c r="C903" i="3"/>
  <c r="C904" i="3"/>
  <c r="C905" i="3"/>
  <c r="A899" i="3"/>
  <c r="G899" i="3"/>
  <c r="A900" i="3"/>
  <c r="G900" i="3"/>
  <c r="A901" i="3"/>
  <c r="G901" i="3"/>
  <c r="A902" i="3"/>
  <c r="G902" i="3"/>
  <c r="A903" i="3"/>
  <c r="G903" i="3"/>
  <c r="A904" i="3"/>
  <c r="G904" i="3"/>
  <c r="A905" i="3"/>
  <c r="G905" i="3"/>
  <c r="A906" i="3"/>
  <c r="C906" i="3"/>
  <c r="G906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A884" i="3"/>
  <c r="G884" i="3"/>
  <c r="A885" i="3"/>
  <c r="G885" i="3"/>
  <c r="A886" i="3"/>
  <c r="G886" i="3"/>
  <c r="A887" i="3"/>
  <c r="G887" i="3"/>
  <c r="A888" i="3"/>
  <c r="G888" i="3"/>
  <c r="A889" i="3"/>
  <c r="G889" i="3"/>
  <c r="A890" i="3"/>
  <c r="G890" i="3"/>
  <c r="A891" i="3"/>
  <c r="G891" i="3"/>
  <c r="A892" i="3"/>
  <c r="G892" i="3"/>
  <c r="A893" i="3"/>
  <c r="G893" i="3"/>
  <c r="A894" i="3"/>
  <c r="G894" i="3"/>
  <c r="A895" i="3"/>
  <c r="G895" i="3"/>
  <c r="A898" i="3"/>
  <c r="C898" i="3"/>
  <c r="G898" i="3"/>
  <c r="C877" i="3"/>
  <c r="C878" i="3"/>
  <c r="C879" i="3"/>
  <c r="C880" i="3"/>
  <c r="C881" i="3"/>
  <c r="C882" i="3"/>
  <c r="C874" i="3"/>
  <c r="C875" i="3"/>
  <c r="A873" i="3"/>
  <c r="C873" i="3"/>
  <c r="G873" i="3"/>
  <c r="A874" i="3"/>
  <c r="G874" i="3"/>
  <c r="A875" i="3"/>
  <c r="G875" i="3"/>
  <c r="A876" i="3"/>
  <c r="C876" i="3"/>
  <c r="G876" i="3"/>
  <c r="A877" i="3"/>
  <c r="G877" i="3"/>
  <c r="A878" i="3"/>
  <c r="G878" i="3"/>
  <c r="A879" i="3"/>
  <c r="G879" i="3"/>
  <c r="A880" i="3"/>
  <c r="G880" i="3"/>
  <c r="A881" i="3"/>
  <c r="G881" i="3"/>
  <c r="A882" i="3"/>
  <c r="G882" i="3"/>
  <c r="A883" i="3"/>
  <c r="G883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55" i="3"/>
  <c r="C856" i="3"/>
  <c r="C851" i="3"/>
  <c r="C852" i="3"/>
  <c r="A851" i="3"/>
  <c r="G851" i="3"/>
  <c r="A852" i="3"/>
  <c r="G852" i="3"/>
  <c r="A853" i="3"/>
  <c r="C853" i="3"/>
  <c r="G853" i="3"/>
  <c r="A854" i="3"/>
  <c r="C854" i="3"/>
  <c r="G854" i="3"/>
  <c r="A855" i="3"/>
  <c r="G855" i="3"/>
  <c r="A856" i="3"/>
  <c r="G856" i="3"/>
  <c r="A857" i="3"/>
  <c r="C857" i="3"/>
  <c r="G857" i="3"/>
  <c r="A858" i="3"/>
  <c r="G858" i="3"/>
  <c r="A859" i="3"/>
  <c r="G859" i="3"/>
  <c r="A860" i="3"/>
  <c r="G860" i="3"/>
  <c r="A861" i="3"/>
  <c r="G861" i="3"/>
  <c r="A862" i="3"/>
  <c r="G862" i="3"/>
  <c r="A863" i="3"/>
  <c r="G863" i="3"/>
  <c r="A864" i="3"/>
  <c r="G864" i="3"/>
  <c r="A865" i="3"/>
  <c r="G865" i="3"/>
  <c r="A866" i="3"/>
  <c r="G866" i="3"/>
  <c r="A867" i="3"/>
  <c r="G867" i="3"/>
  <c r="A868" i="3"/>
  <c r="G868" i="3"/>
  <c r="A869" i="3"/>
  <c r="G869" i="3"/>
  <c r="A870" i="3"/>
  <c r="G870" i="3"/>
  <c r="A871" i="3"/>
  <c r="G871" i="3"/>
  <c r="A872" i="3"/>
  <c r="C872" i="3"/>
  <c r="G872" i="3"/>
  <c r="T11" i="31"/>
  <c r="T19" i="31"/>
  <c r="V19" i="31" s="1"/>
  <c r="T20" i="31"/>
  <c r="V20" i="31" s="1"/>
  <c r="E248" i="2"/>
  <c r="U248" i="2" s="1"/>
  <c r="F239" i="2"/>
  <c r="U239" i="2" s="1"/>
  <c r="K230" i="2"/>
  <c r="A231" i="2"/>
  <c r="C231" i="2"/>
  <c r="U231" i="2"/>
  <c r="A232" i="2"/>
  <c r="C232" i="2"/>
  <c r="U232" i="2"/>
  <c r="A233" i="2"/>
  <c r="C233" i="2"/>
  <c r="U233" i="2"/>
  <c r="A234" i="2"/>
  <c r="C234" i="2"/>
  <c r="U234" i="2"/>
  <c r="A235" i="2"/>
  <c r="C235" i="2"/>
  <c r="U235" i="2"/>
  <c r="A236" i="2"/>
  <c r="C236" i="2"/>
  <c r="U236" i="2"/>
  <c r="A237" i="2"/>
  <c r="C237" i="2"/>
  <c r="U237" i="2"/>
  <c r="A238" i="2"/>
  <c r="U238" i="2"/>
  <c r="A239" i="2"/>
  <c r="C239" i="2"/>
  <c r="A240" i="2"/>
  <c r="C240" i="2"/>
  <c r="U240" i="2"/>
  <c r="A241" i="2"/>
  <c r="C241" i="2"/>
  <c r="U241" i="2"/>
  <c r="A242" i="2"/>
  <c r="C242" i="2"/>
  <c r="U242" i="2"/>
  <c r="A243" i="2"/>
  <c r="C243" i="2"/>
  <c r="U243" i="2"/>
  <c r="A244" i="2"/>
  <c r="C244" i="2"/>
  <c r="U244" i="2"/>
  <c r="A245" i="2"/>
  <c r="C245" i="2"/>
  <c r="U245" i="2"/>
  <c r="A246" i="2"/>
  <c r="C246" i="2"/>
  <c r="U246" i="2"/>
  <c r="A247" i="2"/>
  <c r="C247" i="2"/>
  <c r="U247" i="2"/>
  <c r="A248" i="2"/>
  <c r="C248" i="2"/>
  <c r="A249" i="2"/>
  <c r="C249" i="2"/>
  <c r="U249" i="2"/>
  <c r="A250" i="2"/>
  <c r="A251" i="2"/>
  <c r="A255" i="2"/>
  <c r="C255" i="2"/>
  <c r="U255" i="2"/>
  <c r="A256" i="2"/>
  <c r="C256" i="2"/>
  <c r="U256" i="2"/>
  <c r="C849" i="3"/>
  <c r="C847" i="3"/>
  <c r="C841" i="3"/>
  <c r="C842" i="3"/>
  <c r="C843" i="3"/>
  <c r="C844" i="3"/>
  <c r="C845" i="3"/>
  <c r="C836" i="3"/>
  <c r="C837" i="3"/>
  <c r="C838" i="3"/>
  <c r="C839" i="3"/>
  <c r="C824" i="3"/>
  <c r="C825" i="3"/>
  <c r="C826" i="3"/>
  <c r="C827" i="3"/>
  <c r="C828" i="3"/>
  <c r="C829" i="3"/>
  <c r="C830" i="3"/>
  <c r="C831" i="3"/>
  <c r="C832" i="3"/>
  <c r="C833" i="3"/>
  <c r="C834" i="3"/>
  <c r="A825" i="3"/>
  <c r="G825" i="3"/>
  <c r="A826" i="3"/>
  <c r="G826" i="3"/>
  <c r="A827" i="3"/>
  <c r="G827" i="3"/>
  <c r="A828" i="3"/>
  <c r="G828" i="3"/>
  <c r="A829" i="3"/>
  <c r="G829" i="3"/>
  <c r="A830" i="3"/>
  <c r="G830" i="3"/>
  <c r="A831" i="3"/>
  <c r="G831" i="3"/>
  <c r="A832" i="3"/>
  <c r="G832" i="3"/>
  <c r="A833" i="3"/>
  <c r="G833" i="3"/>
  <c r="A834" i="3"/>
  <c r="G834" i="3"/>
  <c r="A835" i="3"/>
  <c r="C835" i="3"/>
  <c r="G835" i="3"/>
  <c r="A836" i="3"/>
  <c r="G836" i="3"/>
  <c r="A837" i="3"/>
  <c r="G837" i="3"/>
  <c r="A838" i="3"/>
  <c r="G838" i="3"/>
  <c r="A839" i="3"/>
  <c r="G839" i="3"/>
  <c r="A840" i="3"/>
  <c r="C840" i="3"/>
  <c r="G840" i="3"/>
  <c r="A841" i="3"/>
  <c r="G841" i="3"/>
  <c r="A842" i="3"/>
  <c r="G842" i="3"/>
  <c r="A843" i="3"/>
  <c r="G843" i="3"/>
  <c r="A844" i="3"/>
  <c r="G844" i="3"/>
  <c r="A845" i="3"/>
  <c r="G845" i="3"/>
  <c r="A846" i="3"/>
  <c r="C846" i="3"/>
  <c r="G846" i="3"/>
  <c r="A847" i="3"/>
  <c r="G847" i="3"/>
  <c r="A848" i="3"/>
  <c r="C848" i="3"/>
  <c r="G848" i="3"/>
  <c r="A849" i="3"/>
  <c r="G849" i="3"/>
  <c r="A850" i="3"/>
  <c r="C850" i="3"/>
  <c r="G850" i="3"/>
  <c r="C822" i="3"/>
  <c r="C819" i="3"/>
  <c r="C820" i="3"/>
  <c r="C816" i="3"/>
  <c r="A816" i="3"/>
  <c r="G816" i="3"/>
  <c r="A817" i="3"/>
  <c r="C817" i="3"/>
  <c r="A818" i="3"/>
  <c r="C818" i="3"/>
  <c r="G818" i="3"/>
  <c r="A819" i="3"/>
  <c r="G819" i="3"/>
  <c r="A820" i="3"/>
  <c r="G820" i="3"/>
  <c r="A821" i="3"/>
  <c r="C821" i="3"/>
  <c r="G821" i="3"/>
  <c r="A822" i="3"/>
  <c r="G822" i="3"/>
  <c r="A823" i="3"/>
  <c r="C823" i="3"/>
  <c r="G823" i="3"/>
  <c r="A824" i="3"/>
  <c r="G824" i="3"/>
  <c r="G815" i="3"/>
  <c r="C815" i="3"/>
  <c r="A815" i="3"/>
  <c r="C813" i="3"/>
  <c r="C814" i="3"/>
  <c r="G814" i="3"/>
  <c r="A814" i="3"/>
  <c r="H815" i="3" l="1"/>
  <c r="I815" i="3" s="1"/>
  <c r="H821" i="3"/>
  <c r="I821" i="3" s="1"/>
  <c r="I837" i="3"/>
  <c r="H871" i="3"/>
  <c r="I871" i="3" s="1"/>
  <c r="H867" i="3"/>
  <c r="I867" i="3" s="1"/>
  <c r="H863" i="3"/>
  <c r="I863" i="3" s="1"/>
  <c r="H859" i="3"/>
  <c r="I859" i="3" s="1"/>
  <c r="H875" i="3"/>
  <c r="I875" i="3" s="1"/>
  <c r="H892" i="3"/>
  <c r="I892" i="3" s="1"/>
  <c r="H888" i="3"/>
  <c r="I888" i="3" s="1"/>
  <c r="H884" i="3"/>
  <c r="I884" i="3" s="1"/>
  <c r="H902" i="3"/>
  <c r="I902" i="3" s="1"/>
  <c r="H938" i="3"/>
  <c r="I938" i="3" s="1"/>
  <c r="H934" i="3"/>
  <c r="I934" i="3" s="1"/>
  <c r="H927" i="3"/>
  <c r="I927" i="3" s="1"/>
  <c r="H923" i="3"/>
  <c r="I923" i="3" s="1"/>
  <c r="H1061" i="3"/>
  <c r="I1061" i="3" s="1"/>
  <c r="H1054" i="3"/>
  <c r="I1054" i="3" s="1"/>
  <c r="H1048" i="3"/>
  <c r="I1048" i="3" s="1"/>
  <c r="H1034" i="3"/>
  <c r="I1034" i="3" s="1"/>
  <c r="H1026" i="3"/>
  <c r="I1026" i="3" s="1"/>
  <c r="H1007" i="3"/>
  <c r="I1007" i="3" s="1"/>
  <c r="H1000" i="3"/>
  <c r="I1000" i="3" s="1"/>
  <c r="H989" i="3"/>
  <c r="I989" i="3" s="1"/>
  <c r="H985" i="3"/>
  <c r="I985" i="3" s="1"/>
  <c r="H971" i="3"/>
  <c r="I971" i="3" s="1"/>
  <c r="H964" i="3"/>
  <c r="I964" i="3" s="1"/>
  <c r="H824" i="3"/>
  <c r="I824" i="3" s="1"/>
  <c r="H844" i="3"/>
  <c r="I844" i="3" s="1"/>
  <c r="H840" i="3"/>
  <c r="I840" i="3" s="1"/>
  <c r="H833" i="3"/>
  <c r="I833" i="3" s="1"/>
  <c r="H829" i="3"/>
  <c r="I829" i="3" s="1"/>
  <c r="H825" i="3"/>
  <c r="I825" i="3" s="1"/>
  <c r="H855" i="3"/>
  <c r="I855" i="3" s="1"/>
  <c r="H852" i="3"/>
  <c r="I852" i="3" s="1"/>
  <c r="H882" i="3"/>
  <c r="I882" i="3" s="1"/>
  <c r="H878" i="3"/>
  <c r="I878" i="3" s="1"/>
  <c r="H930" i="3"/>
  <c r="I930" i="3" s="1"/>
  <c r="H919" i="3"/>
  <c r="I919" i="3" s="1"/>
  <c r="H915" i="3"/>
  <c r="I915" i="3" s="1"/>
  <c r="H911" i="3"/>
  <c r="I911" i="3" s="1"/>
  <c r="H907" i="3"/>
  <c r="I907" i="3" s="1"/>
  <c r="H1057" i="3"/>
  <c r="I1057" i="3" s="1"/>
  <c r="H1051" i="3"/>
  <c r="I1051" i="3" s="1"/>
  <c r="H1044" i="3"/>
  <c r="I1044" i="3" s="1"/>
  <c r="H1041" i="3"/>
  <c r="I1041" i="3" s="1"/>
  <c r="H1037" i="3"/>
  <c r="I1037" i="3" s="1"/>
  <c r="H1029" i="3"/>
  <c r="I1029" i="3" s="1"/>
  <c r="H1022" i="3"/>
  <c r="I1022" i="3" s="1"/>
  <c r="H1018" i="3"/>
  <c r="I1018" i="3" s="1"/>
  <c r="H1014" i="3"/>
  <c r="I1014" i="3" s="1"/>
  <c r="H1010" i="3"/>
  <c r="I1010" i="3" s="1"/>
  <c r="H1003" i="3"/>
  <c r="I1003" i="3" s="1"/>
  <c r="H996" i="3"/>
  <c r="I996" i="3" s="1"/>
  <c r="H992" i="3"/>
  <c r="I992" i="3" s="1"/>
  <c r="H850" i="3"/>
  <c r="I850" i="3" s="1"/>
  <c r="H847" i="3"/>
  <c r="I847" i="3" s="1"/>
  <c r="I836" i="3"/>
  <c r="H870" i="3"/>
  <c r="I870" i="3" s="1"/>
  <c r="H866" i="3"/>
  <c r="I866" i="3" s="1"/>
  <c r="H862" i="3"/>
  <c r="I862" i="3" s="1"/>
  <c r="H858" i="3"/>
  <c r="I858" i="3" s="1"/>
  <c r="H874" i="3"/>
  <c r="I874" i="3" s="1"/>
  <c r="H895" i="3"/>
  <c r="I895" i="3" s="1"/>
  <c r="H891" i="3"/>
  <c r="I891" i="3" s="1"/>
  <c r="H887" i="3"/>
  <c r="I887" i="3" s="1"/>
  <c r="H905" i="3"/>
  <c r="I905" i="3" s="1"/>
  <c r="H901" i="3"/>
  <c r="I901" i="3" s="1"/>
  <c r="H896" i="3"/>
  <c r="I896" i="3" s="1"/>
  <c r="H937" i="3"/>
  <c r="I937" i="3" s="1"/>
  <c r="H933" i="3"/>
  <c r="I933" i="3" s="1"/>
  <c r="H926" i="3"/>
  <c r="I926" i="3" s="1"/>
  <c r="H922" i="3"/>
  <c r="I922" i="3" s="1"/>
  <c r="H1047" i="3"/>
  <c r="I1047" i="3" s="1"/>
  <c r="H1025" i="3"/>
  <c r="I1025" i="3" s="1"/>
  <c r="H1006" i="3"/>
  <c r="I1006" i="3" s="1"/>
  <c r="H999" i="3"/>
  <c r="I999" i="3" s="1"/>
  <c r="H988" i="3"/>
  <c r="I988" i="3" s="1"/>
  <c r="H984" i="3"/>
  <c r="I984" i="3" s="1"/>
  <c r="H974" i="3"/>
  <c r="I974" i="3" s="1"/>
  <c r="H963" i="3"/>
  <c r="I963" i="3" s="1"/>
  <c r="H952" i="3"/>
  <c r="I952" i="3" s="1"/>
  <c r="H948" i="3"/>
  <c r="I948" i="3" s="1"/>
  <c r="H814" i="3"/>
  <c r="I814" i="3" s="1"/>
  <c r="H823" i="3"/>
  <c r="I823" i="3" s="1"/>
  <c r="H820" i="3"/>
  <c r="I820" i="3" s="1"/>
  <c r="H843" i="3"/>
  <c r="I843" i="3" s="1"/>
  <c r="H832" i="3"/>
  <c r="I832" i="3" s="1"/>
  <c r="H828" i="3"/>
  <c r="I828" i="3" s="1"/>
  <c r="H854" i="3"/>
  <c r="I854" i="3" s="1"/>
  <c r="H851" i="3"/>
  <c r="I851" i="3" s="1"/>
  <c r="H881" i="3"/>
  <c r="I881" i="3" s="1"/>
  <c r="H877" i="3"/>
  <c r="I877" i="3" s="1"/>
  <c r="H940" i="3"/>
  <c r="I940" i="3" s="1"/>
  <c r="H929" i="3"/>
  <c r="I929" i="3" s="1"/>
  <c r="H918" i="3"/>
  <c r="I918" i="3" s="1"/>
  <c r="H914" i="3"/>
  <c r="I914" i="3" s="1"/>
  <c r="H910" i="3"/>
  <c r="I910" i="3" s="1"/>
  <c r="H1063" i="3"/>
  <c r="I1063" i="3" s="1"/>
  <c r="H1060" i="3"/>
  <c r="I1060" i="3" s="1"/>
  <c r="H1053" i="3"/>
  <c r="I1053" i="3" s="1"/>
  <c r="H1050" i="3"/>
  <c r="I1050" i="3" s="1"/>
  <c r="H1040" i="3"/>
  <c r="I1040" i="3" s="1"/>
  <c r="H1036" i="3"/>
  <c r="I1036" i="3" s="1"/>
  <c r="H1032" i="3"/>
  <c r="I1032" i="3" s="1"/>
  <c r="H1028" i="3"/>
  <c r="I1028" i="3" s="1"/>
  <c r="H1021" i="3"/>
  <c r="I1021" i="3" s="1"/>
  <c r="H1017" i="3"/>
  <c r="I1017" i="3" s="1"/>
  <c r="H1013" i="3"/>
  <c r="I1013" i="3" s="1"/>
  <c r="H1009" i="3"/>
  <c r="I1009" i="3" s="1"/>
  <c r="H1002" i="3"/>
  <c r="I1002" i="3" s="1"/>
  <c r="H995" i="3"/>
  <c r="I995" i="3" s="1"/>
  <c r="H991" i="3"/>
  <c r="I991" i="3" s="1"/>
  <c r="H980" i="3"/>
  <c r="I980" i="3" s="1"/>
  <c r="H977" i="3"/>
  <c r="I977" i="3" s="1"/>
  <c r="H816" i="3"/>
  <c r="I816" i="3" s="1"/>
  <c r="H846" i="3"/>
  <c r="I846" i="3" s="1"/>
  <c r="I839" i="3"/>
  <c r="I835" i="3"/>
  <c r="H869" i="3"/>
  <c r="I869" i="3" s="1"/>
  <c r="H865" i="3"/>
  <c r="I865" i="3" s="1"/>
  <c r="H861" i="3"/>
  <c r="I861" i="3" s="1"/>
  <c r="H857" i="3"/>
  <c r="I857" i="3" s="1"/>
  <c r="H873" i="3"/>
  <c r="I873" i="3" s="1"/>
  <c r="H894" i="3"/>
  <c r="I894" i="3" s="1"/>
  <c r="H890" i="3"/>
  <c r="I890" i="3" s="1"/>
  <c r="H886" i="3"/>
  <c r="I886" i="3" s="1"/>
  <c r="H904" i="3"/>
  <c r="I904" i="3" s="1"/>
  <c r="H900" i="3"/>
  <c r="I900" i="3" s="1"/>
  <c r="H936" i="3"/>
  <c r="I936" i="3" s="1"/>
  <c r="H932" i="3"/>
  <c r="I932" i="3" s="1"/>
  <c r="H925" i="3"/>
  <c r="I925" i="3" s="1"/>
  <c r="H921" i="3"/>
  <c r="I921" i="3" s="1"/>
  <c r="H1056" i="3"/>
  <c r="I1056" i="3" s="1"/>
  <c r="H1043" i="3"/>
  <c r="I1043" i="3" s="1"/>
  <c r="H998" i="3"/>
  <c r="I998" i="3" s="1"/>
  <c r="H987" i="3"/>
  <c r="I987" i="3" s="1"/>
  <c r="H983" i="3"/>
  <c r="I983" i="3" s="1"/>
  <c r="H973" i="3"/>
  <c r="I973" i="3" s="1"/>
  <c r="H962" i="3"/>
  <c r="I962" i="3" s="1"/>
  <c r="H951" i="3"/>
  <c r="I951" i="3" s="1"/>
  <c r="H947" i="3"/>
  <c r="I947" i="3" s="1"/>
  <c r="H819" i="3"/>
  <c r="I819" i="3" s="1"/>
  <c r="H849" i="3"/>
  <c r="I849" i="3" s="1"/>
  <c r="H842" i="3"/>
  <c r="I842" i="3" s="1"/>
  <c r="H831" i="3"/>
  <c r="I831" i="3" s="1"/>
  <c r="H827" i="3"/>
  <c r="I827" i="3" s="1"/>
  <c r="H872" i="3"/>
  <c r="I872" i="3" s="1"/>
  <c r="H880" i="3"/>
  <c r="I880" i="3" s="1"/>
  <c r="H876" i="3"/>
  <c r="I876" i="3" s="1"/>
  <c r="H928" i="3"/>
  <c r="I928" i="3" s="1"/>
  <c r="H917" i="3"/>
  <c r="I917" i="3" s="1"/>
  <c r="H913" i="3"/>
  <c r="I913" i="3" s="1"/>
  <c r="H909" i="3"/>
  <c r="I909" i="3" s="1"/>
  <c r="H1059" i="3"/>
  <c r="I1059" i="3" s="1"/>
  <c r="H1046" i="3"/>
  <c r="I1046" i="3" s="1"/>
  <c r="H1039" i="3"/>
  <c r="I1039" i="3" s="1"/>
  <c r="H1035" i="3"/>
  <c r="I1035" i="3" s="1"/>
  <c r="H1031" i="3"/>
  <c r="I1031" i="3" s="1"/>
  <c r="H1024" i="3"/>
  <c r="I1024" i="3" s="1"/>
  <c r="H1020" i="3"/>
  <c r="I1020" i="3" s="1"/>
  <c r="H1016" i="3"/>
  <c r="I1016" i="3" s="1"/>
  <c r="H1012" i="3"/>
  <c r="I1012" i="3" s="1"/>
  <c r="H1005" i="3"/>
  <c r="I1005" i="3" s="1"/>
  <c r="H1001" i="3"/>
  <c r="I1001" i="3" s="1"/>
  <c r="H822" i="3"/>
  <c r="I822" i="3" s="1"/>
  <c r="I838" i="3"/>
  <c r="H868" i="3"/>
  <c r="I868" i="3" s="1"/>
  <c r="H864" i="3"/>
  <c r="I864" i="3" s="1"/>
  <c r="H860" i="3"/>
  <c r="I860" i="3" s="1"/>
  <c r="H853" i="3"/>
  <c r="I853" i="3" s="1"/>
  <c r="H893" i="3"/>
  <c r="I893" i="3" s="1"/>
  <c r="H889" i="3"/>
  <c r="I889" i="3" s="1"/>
  <c r="H885" i="3"/>
  <c r="I885" i="3" s="1"/>
  <c r="H903" i="3"/>
  <c r="I903" i="3" s="1"/>
  <c r="H899" i="3"/>
  <c r="I899" i="3" s="1"/>
  <c r="H939" i="3"/>
  <c r="I939" i="3" s="1"/>
  <c r="H935" i="3"/>
  <c r="I935" i="3" s="1"/>
  <c r="H931" i="3"/>
  <c r="I931" i="3" s="1"/>
  <c r="H924" i="3"/>
  <c r="I924" i="3" s="1"/>
  <c r="H1062" i="3"/>
  <c r="I1062" i="3" s="1"/>
  <c r="H1055" i="3"/>
  <c r="I1055" i="3" s="1"/>
  <c r="H1052" i="3"/>
  <c r="I1052" i="3" s="1"/>
  <c r="H1049" i="3"/>
  <c r="I1049" i="3" s="1"/>
  <c r="H1042" i="3"/>
  <c r="I1042" i="3" s="1"/>
  <c r="H1027" i="3"/>
  <c r="I1027" i="3" s="1"/>
  <c r="H1008" i="3"/>
  <c r="I1008" i="3" s="1"/>
  <c r="H997" i="3"/>
  <c r="I997" i="3" s="1"/>
  <c r="H986" i="3"/>
  <c r="I986" i="3" s="1"/>
  <c r="H979" i="3"/>
  <c r="I979" i="3" s="1"/>
  <c r="H972" i="3"/>
  <c r="I972" i="3" s="1"/>
  <c r="H965" i="3"/>
  <c r="I965" i="3" s="1"/>
  <c r="H961" i="3"/>
  <c r="I961" i="3" s="1"/>
  <c r="H950" i="3"/>
  <c r="I950" i="3" s="1"/>
  <c r="H946" i="3"/>
  <c r="I946" i="3" s="1"/>
  <c r="H818" i="3"/>
  <c r="I818" i="3" s="1"/>
  <c r="H848" i="3"/>
  <c r="I848" i="3" s="1"/>
  <c r="H845" i="3"/>
  <c r="I845" i="3" s="1"/>
  <c r="H841" i="3"/>
  <c r="I841" i="3" s="1"/>
  <c r="H834" i="3"/>
  <c r="I834" i="3" s="1"/>
  <c r="H830" i="3"/>
  <c r="I830" i="3" s="1"/>
  <c r="H826" i="3"/>
  <c r="I826" i="3" s="1"/>
  <c r="H856" i="3"/>
  <c r="I856" i="3" s="1"/>
  <c r="H883" i="3"/>
  <c r="I883" i="3" s="1"/>
  <c r="H879" i="3"/>
  <c r="I879" i="3" s="1"/>
  <c r="H898" i="3"/>
  <c r="I898" i="3" s="1"/>
  <c r="H906" i="3"/>
  <c r="I906" i="3" s="1"/>
  <c r="H897" i="3"/>
  <c r="I897" i="3" s="1"/>
  <c r="H920" i="3"/>
  <c r="I920" i="3" s="1"/>
  <c r="H916" i="3"/>
  <c r="I916" i="3" s="1"/>
  <c r="H912" i="3"/>
  <c r="I912" i="3" s="1"/>
  <c r="H908" i="3"/>
  <c r="I908" i="3" s="1"/>
  <c r="H1058" i="3"/>
  <c r="I1058" i="3" s="1"/>
  <c r="H1045" i="3"/>
  <c r="I1045" i="3" s="1"/>
  <c r="H1038" i="3"/>
  <c r="I1038" i="3" s="1"/>
  <c r="H1030" i="3"/>
  <c r="I1030" i="3" s="1"/>
  <c r="H1023" i="3"/>
  <c r="I1023" i="3" s="1"/>
  <c r="H1019" i="3"/>
  <c r="I1019" i="3" s="1"/>
  <c r="H1015" i="3"/>
  <c r="I1015" i="3" s="1"/>
  <c r="H1011" i="3"/>
  <c r="I1011" i="3" s="1"/>
  <c r="H1004" i="3"/>
  <c r="I1004" i="3" s="1"/>
  <c r="H993" i="3"/>
  <c r="I993" i="3" s="1"/>
  <c r="H982" i="3"/>
  <c r="I982" i="3" s="1"/>
  <c r="H975" i="3"/>
  <c r="I975" i="3" s="1"/>
  <c r="I968" i="3"/>
  <c r="H957" i="3"/>
  <c r="I957" i="3" s="1"/>
  <c r="H953" i="3"/>
  <c r="I953" i="3" s="1"/>
  <c r="H942" i="3"/>
  <c r="I942" i="3" s="1"/>
  <c r="H949" i="3"/>
  <c r="I949" i="3" s="1"/>
  <c r="H945" i="3"/>
  <c r="I945" i="3" s="1"/>
  <c r="H1033" i="3"/>
  <c r="I1033" i="3" s="1"/>
  <c r="H981" i="3"/>
  <c r="I981" i="3" s="1"/>
  <c r="I967" i="3"/>
  <c r="H960" i="3"/>
  <c r="I960" i="3" s="1"/>
  <c r="H956" i="3"/>
  <c r="I956" i="3" s="1"/>
  <c r="H944" i="3"/>
  <c r="I944" i="3" s="1"/>
  <c r="H941" i="3"/>
  <c r="I941" i="3" s="1"/>
  <c r="I970" i="3"/>
  <c r="I966" i="3"/>
  <c r="H959" i="3"/>
  <c r="I959" i="3" s="1"/>
  <c r="H955" i="3"/>
  <c r="I955" i="3" s="1"/>
  <c r="H994" i="3"/>
  <c r="I994" i="3" s="1"/>
  <c r="H990" i="3"/>
  <c r="I990" i="3" s="1"/>
  <c r="H976" i="3"/>
  <c r="I976" i="3" s="1"/>
  <c r="I969" i="3"/>
  <c r="H958" i="3"/>
  <c r="I958" i="3" s="1"/>
  <c r="H954" i="3"/>
  <c r="I954" i="3" s="1"/>
  <c r="H943" i="3"/>
  <c r="I943" i="3" s="1"/>
  <c r="U199" i="2"/>
  <c r="I115" i="22"/>
  <c r="U207" i="2"/>
  <c r="I108" i="22"/>
  <c r="U194" i="2"/>
  <c r="I63" i="22"/>
  <c r="U202" i="2"/>
  <c r="I65" i="22"/>
  <c r="U197" i="2"/>
  <c r="I67" i="22"/>
  <c r="U205" i="2"/>
  <c r="I26" i="22"/>
  <c r="U192" i="2"/>
  <c r="I46" i="22"/>
  <c r="T349" i="2"/>
  <c r="U200" i="2"/>
  <c r="I12" i="22"/>
  <c r="U208" i="2"/>
  <c r="I121" i="22"/>
  <c r="U203" i="2"/>
  <c r="I19" i="22"/>
  <c r="U198" i="2"/>
  <c r="I53" i="22"/>
  <c r="U193" i="2"/>
  <c r="I21" i="22"/>
  <c r="U201" i="2"/>
  <c r="I30" i="22"/>
  <c r="U204" i="2"/>
  <c r="I40" i="22"/>
  <c r="A159" i="2"/>
  <c r="C159" i="2"/>
  <c r="U159" i="2"/>
  <c r="I123" i="22" l="1"/>
  <c r="T17" i="31"/>
  <c r="V17" i="31" s="1"/>
  <c r="T18" i="31"/>
  <c r="V18" i="31" s="1"/>
  <c r="U226" i="2"/>
  <c r="U214" i="2"/>
  <c r="A176" i="2"/>
  <c r="C176" i="2"/>
  <c r="A177" i="2"/>
  <c r="C177" i="2"/>
  <c r="A178" i="2"/>
  <c r="C178" i="2"/>
  <c r="U216" i="2"/>
  <c r="A179" i="2"/>
  <c r="C179" i="2"/>
  <c r="U217" i="2"/>
  <c r="A180" i="2"/>
  <c r="C180" i="2"/>
  <c r="A181" i="2"/>
  <c r="C181" i="2"/>
  <c r="A182" i="2"/>
  <c r="C182" i="2"/>
  <c r="A183" i="2"/>
  <c r="C183" i="2"/>
  <c r="A184" i="2"/>
  <c r="C184" i="2"/>
  <c r="A185" i="2"/>
  <c r="C185" i="2"/>
  <c r="A186" i="2"/>
  <c r="C186" i="2"/>
  <c r="A187" i="2"/>
  <c r="C187" i="2"/>
  <c r="A188" i="2"/>
  <c r="C188" i="2"/>
  <c r="A189" i="2"/>
  <c r="C189" i="2"/>
  <c r="A190" i="2"/>
  <c r="A191" i="2"/>
  <c r="A230" i="2"/>
  <c r="C230" i="2"/>
  <c r="U230" i="2"/>
  <c r="C812" i="3"/>
  <c r="C806" i="3"/>
  <c r="C807" i="3"/>
  <c r="C808" i="3"/>
  <c r="C809" i="3"/>
  <c r="C810" i="3"/>
  <c r="C803" i="3"/>
  <c r="C804" i="3"/>
  <c r="C801" i="3"/>
  <c r="C797" i="3"/>
  <c r="C798" i="3"/>
  <c r="C799" i="3"/>
  <c r="C792" i="3"/>
  <c r="C793" i="3"/>
  <c r="C794" i="3"/>
  <c r="C795" i="3"/>
  <c r="C789" i="3"/>
  <c r="C790" i="3"/>
  <c r="C784" i="3"/>
  <c r="C785" i="3"/>
  <c r="C786" i="3"/>
  <c r="C787" i="3"/>
  <c r="C780" i="3"/>
  <c r="C781" i="3"/>
  <c r="C782" i="3"/>
  <c r="C776" i="3"/>
  <c r="C777" i="3"/>
  <c r="C778" i="3"/>
  <c r="C774" i="3"/>
  <c r="C772" i="3"/>
  <c r="C767" i="3"/>
  <c r="C768" i="3"/>
  <c r="C769" i="3"/>
  <c r="C770" i="3"/>
  <c r="C765" i="3"/>
  <c r="C762" i="3"/>
  <c r="C758" i="3"/>
  <c r="C759" i="3"/>
  <c r="C750" i="3"/>
  <c r="C751" i="3"/>
  <c r="C752" i="3"/>
  <c r="C753" i="3"/>
  <c r="C754" i="3"/>
  <c r="C755" i="3"/>
  <c r="C756" i="3"/>
  <c r="C744" i="3"/>
  <c r="C745" i="3"/>
  <c r="C746" i="3"/>
  <c r="C747" i="3"/>
  <c r="C741" i="3"/>
  <c r="C742" i="3"/>
  <c r="C739" i="3"/>
  <c r="A725" i="3"/>
  <c r="C725" i="3"/>
  <c r="G725" i="3"/>
  <c r="C727" i="3"/>
  <c r="C728" i="3"/>
  <c r="C729" i="3"/>
  <c r="C730" i="3"/>
  <c r="C731" i="3"/>
  <c r="C732" i="3"/>
  <c r="C733" i="3"/>
  <c r="C734" i="3"/>
  <c r="C735" i="3"/>
  <c r="C736" i="3"/>
  <c r="C721" i="3"/>
  <c r="C722" i="3"/>
  <c r="C723" i="3"/>
  <c r="C724" i="3"/>
  <c r="C716" i="3"/>
  <c r="C717" i="3"/>
  <c r="C718" i="3"/>
  <c r="C719" i="3"/>
  <c r="C712" i="3"/>
  <c r="C713" i="3"/>
  <c r="C714" i="3"/>
  <c r="C710" i="3"/>
  <c r="C708" i="3"/>
  <c r="C703" i="3"/>
  <c r="C698" i="3"/>
  <c r="C699" i="3"/>
  <c r="C700" i="3"/>
  <c r="C692" i="3"/>
  <c r="C693" i="3"/>
  <c r="C694" i="3"/>
  <c r="C695" i="3"/>
  <c r="C696" i="3"/>
  <c r="C681" i="3"/>
  <c r="C682" i="3"/>
  <c r="C683" i="3"/>
  <c r="C684" i="3"/>
  <c r="C685" i="3"/>
  <c r="C686" i="3"/>
  <c r="C687" i="3"/>
  <c r="C688" i="3"/>
  <c r="C689" i="3"/>
  <c r="C690" i="3"/>
  <c r="C679" i="3"/>
  <c r="C674" i="3"/>
  <c r="C675" i="3"/>
  <c r="C676" i="3"/>
  <c r="C677" i="3"/>
  <c r="C671" i="3"/>
  <c r="C672" i="3"/>
  <c r="C668" i="3"/>
  <c r="C669" i="3"/>
  <c r="C665" i="3"/>
  <c r="C666" i="3"/>
  <c r="C661" i="3"/>
  <c r="C662" i="3"/>
  <c r="C663" i="3"/>
  <c r="C657" i="3"/>
  <c r="C658" i="3"/>
  <c r="C659" i="3"/>
  <c r="C653" i="3"/>
  <c r="C654" i="3"/>
  <c r="C655" i="3"/>
  <c r="C650" i="3"/>
  <c r="C651" i="3"/>
  <c r="C647" i="3"/>
  <c r="C648" i="3"/>
  <c r="C641" i="3"/>
  <c r="C642" i="3"/>
  <c r="C643" i="3"/>
  <c r="C644" i="3"/>
  <c r="C645" i="3"/>
  <c r="C638" i="3"/>
  <c r="C639" i="3"/>
  <c r="C633" i="3"/>
  <c r="C634" i="3"/>
  <c r="C635" i="3"/>
  <c r="C636" i="3"/>
  <c r="C631" i="3"/>
  <c r="C628" i="3"/>
  <c r="C629" i="3"/>
  <c r="C625" i="3"/>
  <c r="C626" i="3"/>
  <c r="C621" i="3"/>
  <c r="C622" i="3"/>
  <c r="C623" i="3"/>
  <c r="A621" i="3"/>
  <c r="G621" i="3"/>
  <c r="A622" i="3"/>
  <c r="G622" i="3"/>
  <c r="A623" i="3"/>
  <c r="G623" i="3"/>
  <c r="A624" i="3"/>
  <c r="C624" i="3"/>
  <c r="G624" i="3"/>
  <c r="A625" i="3"/>
  <c r="G625" i="3"/>
  <c r="A626" i="3"/>
  <c r="G626" i="3"/>
  <c r="A627" i="3"/>
  <c r="C627" i="3"/>
  <c r="G627" i="3"/>
  <c r="A628" i="3"/>
  <c r="G628" i="3"/>
  <c r="A629" i="3"/>
  <c r="G629" i="3"/>
  <c r="A630" i="3"/>
  <c r="C630" i="3"/>
  <c r="G630" i="3"/>
  <c r="A631" i="3"/>
  <c r="G631" i="3"/>
  <c r="A632" i="3"/>
  <c r="C632" i="3"/>
  <c r="G632" i="3"/>
  <c r="A633" i="3"/>
  <c r="G633" i="3"/>
  <c r="A634" i="3"/>
  <c r="G634" i="3"/>
  <c r="A635" i="3"/>
  <c r="G635" i="3"/>
  <c r="A636" i="3"/>
  <c r="G636" i="3"/>
  <c r="A637" i="3"/>
  <c r="C637" i="3"/>
  <c r="G637" i="3"/>
  <c r="A638" i="3"/>
  <c r="G638" i="3"/>
  <c r="A639" i="3"/>
  <c r="G639" i="3"/>
  <c r="A640" i="3"/>
  <c r="C640" i="3"/>
  <c r="G640" i="3"/>
  <c r="A641" i="3"/>
  <c r="G641" i="3"/>
  <c r="A642" i="3"/>
  <c r="G642" i="3"/>
  <c r="A643" i="3"/>
  <c r="G643" i="3"/>
  <c r="A644" i="3"/>
  <c r="G644" i="3"/>
  <c r="A645" i="3"/>
  <c r="G645" i="3"/>
  <c r="A646" i="3"/>
  <c r="C646" i="3"/>
  <c r="G646" i="3"/>
  <c r="A647" i="3"/>
  <c r="G647" i="3"/>
  <c r="A648" i="3"/>
  <c r="G648" i="3"/>
  <c r="A649" i="3"/>
  <c r="C649" i="3"/>
  <c r="G649" i="3"/>
  <c r="A650" i="3"/>
  <c r="G650" i="3"/>
  <c r="A651" i="3"/>
  <c r="G651" i="3"/>
  <c r="A652" i="3"/>
  <c r="C652" i="3"/>
  <c r="G652" i="3"/>
  <c r="A653" i="3"/>
  <c r="G653" i="3"/>
  <c r="A654" i="3"/>
  <c r="G654" i="3"/>
  <c r="A655" i="3"/>
  <c r="G655" i="3"/>
  <c r="A656" i="3"/>
  <c r="C656" i="3"/>
  <c r="G656" i="3"/>
  <c r="A657" i="3"/>
  <c r="G657" i="3"/>
  <c r="A658" i="3"/>
  <c r="G658" i="3"/>
  <c r="A659" i="3"/>
  <c r="G659" i="3"/>
  <c r="A660" i="3"/>
  <c r="C660" i="3"/>
  <c r="A661" i="3"/>
  <c r="A662" i="3"/>
  <c r="G662" i="3"/>
  <c r="A663" i="3"/>
  <c r="G663" i="3"/>
  <c r="A664" i="3"/>
  <c r="C664" i="3"/>
  <c r="G664" i="3"/>
  <c r="A665" i="3"/>
  <c r="G665" i="3"/>
  <c r="A666" i="3"/>
  <c r="G666" i="3"/>
  <c r="A667" i="3"/>
  <c r="C667" i="3"/>
  <c r="G667" i="3"/>
  <c r="A668" i="3"/>
  <c r="G668" i="3"/>
  <c r="A669" i="3"/>
  <c r="G669" i="3"/>
  <c r="A670" i="3"/>
  <c r="C670" i="3"/>
  <c r="G670" i="3"/>
  <c r="A671" i="3"/>
  <c r="G671" i="3"/>
  <c r="A672" i="3"/>
  <c r="G672" i="3"/>
  <c r="A673" i="3"/>
  <c r="C673" i="3"/>
  <c r="G673" i="3"/>
  <c r="A674" i="3"/>
  <c r="G674" i="3"/>
  <c r="A675" i="3"/>
  <c r="G675" i="3"/>
  <c r="A676" i="3"/>
  <c r="G676" i="3"/>
  <c r="A677" i="3"/>
  <c r="G677" i="3"/>
  <c r="A678" i="3"/>
  <c r="C678" i="3"/>
  <c r="G678" i="3"/>
  <c r="A679" i="3"/>
  <c r="G679" i="3"/>
  <c r="A680" i="3"/>
  <c r="C680" i="3"/>
  <c r="G680" i="3"/>
  <c r="A681" i="3"/>
  <c r="G681" i="3"/>
  <c r="A682" i="3"/>
  <c r="G682" i="3"/>
  <c r="A683" i="3"/>
  <c r="G683" i="3"/>
  <c r="A684" i="3"/>
  <c r="G684" i="3"/>
  <c r="A685" i="3"/>
  <c r="G685" i="3"/>
  <c r="A686" i="3"/>
  <c r="G686" i="3"/>
  <c r="A687" i="3"/>
  <c r="G687" i="3"/>
  <c r="A688" i="3"/>
  <c r="G688" i="3"/>
  <c r="A689" i="3"/>
  <c r="G689" i="3"/>
  <c r="A690" i="3"/>
  <c r="G690" i="3"/>
  <c r="A691" i="3"/>
  <c r="C691" i="3"/>
  <c r="G691" i="3"/>
  <c r="A692" i="3"/>
  <c r="G692" i="3"/>
  <c r="A693" i="3"/>
  <c r="G693" i="3"/>
  <c r="A694" i="3"/>
  <c r="G694" i="3"/>
  <c r="A695" i="3"/>
  <c r="G695" i="3"/>
  <c r="A696" i="3"/>
  <c r="G696" i="3"/>
  <c r="A697" i="3"/>
  <c r="C697" i="3"/>
  <c r="G697" i="3"/>
  <c r="A698" i="3"/>
  <c r="G698" i="3"/>
  <c r="A699" i="3"/>
  <c r="G699" i="3"/>
  <c r="A700" i="3"/>
  <c r="G700" i="3"/>
  <c r="A701" i="3"/>
  <c r="C701" i="3"/>
  <c r="G701" i="3"/>
  <c r="A702" i="3"/>
  <c r="C702" i="3"/>
  <c r="G702" i="3"/>
  <c r="A703" i="3"/>
  <c r="G703" i="3"/>
  <c r="A704" i="3"/>
  <c r="C704" i="3"/>
  <c r="G704" i="3"/>
  <c r="A705" i="3"/>
  <c r="C705" i="3"/>
  <c r="G705" i="3"/>
  <c r="A706" i="3"/>
  <c r="C706" i="3"/>
  <c r="G706" i="3"/>
  <c r="A707" i="3"/>
  <c r="C707" i="3"/>
  <c r="G707" i="3"/>
  <c r="A708" i="3"/>
  <c r="G708" i="3"/>
  <c r="A709" i="3"/>
  <c r="C709" i="3"/>
  <c r="G709" i="3"/>
  <c r="A710" i="3"/>
  <c r="G710" i="3"/>
  <c r="A711" i="3"/>
  <c r="C711" i="3"/>
  <c r="G711" i="3"/>
  <c r="A712" i="3"/>
  <c r="G712" i="3"/>
  <c r="A713" i="3"/>
  <c r="G713" i="3"/>
  <c r="A714" i="3"/>
  <c r="G714" i="3"/>
  <c r="A715" i="3"/>
  <c r="C715" i="3"/>
  <c r="A716" i="3"/>
  <c r="G716" i="3"/>
  <c r="A717" i="3"/>
  <c r="G717" i="3"/>
  <c r="A718" i="3"/>
  <c r="G718" i="3"/>
  <c r="A719" i="3"/>
  <c r="G719" i="3"/>
  <c r="A720" i="3"/>
  <c r="C720" i="3"/>
  <c r="G720" i="3"/>
  <c r="A721" i="3"/>
  <c r="G721" i="3"/>
  <c r="A722" i="3"/>
  <c r="G722" i="3"/>
  <c r="A723" i="3"/>
  <c r="G723" i="3"/>
  <c r="A724" i="3"/>
  <c r="G724" i="3"/>
  <c r="A726" i="3"/>
  <c r="C726" i="3"/>
  <c r="G726" i="3"/>
  <c r="A727" i="3"/>
  <c r="G727" i="3"/>
  <c r="A728" i="3"/>
  <c r="G728" i="3"/>
  <c r="A729" i="3"/>
  <c r="G729" i="3"/>
  <c r="A730" i="3"/>
  <c r="G730" i="3"/>
  <c r="A731" i="3"/>
  <c r="G731" i="3"/>
  <c r="A732" i="3"/>
  <c r="G732" i="3"/>
  <c r="A733" i="3"/>
  <c r="G733" i="3"/>
  <c r="A734" i="3"/>
  <c r="G734" i="3"/>
  <c r="A735" i="3"/>
  <c r="G735" i="3"/>
  <c r="A736" i="3"/>
  <c r="G736" i="3"/>
  <c r="A737" i="3"/>
  <c r="C737" i="3"/>
  <c r="G737" i="3"/>
  <c r="A738" i="3"/>
  <c r="C738" i="3"/>
  <c r="G738" i="3"/>
  <c r="A739" i="3"/>
  <c r="G739" i="3"/>
  <c r="A740" i="3"/>
  <c r="C740" i="3"/>
  <c r="G740" i="3"/>
  <c r="A741" i="3"/>
  <c r="G741" i="3"/>
  <c r="A742" i="3"/>
  <c r="G742" i="3"/>
  <c r="A743" i="3"/>
  <c r="C743" i="3"/>
  <c r="G743" i="3"/>
  <c r="A744" i="3"/>
  <c r="G744" i="3"/>
  <c r="A745" i="3"/>
  <c r="G745" i="3"/>
  <c r="A746" i="3"/>
  <c r="G746" i="3"/>
  <c r="A747" i="3"/>
  <c r="G747" i="3"/>
  <c r="A748" i="3"/>
  <c r="C748" i="3"/>
  <c r="G748" i="3"/>
  <c r="A749" i="3"/>
  <c r="C749" i="3"/>
  <c r="G749" i="3"/>
  <c r="A750" i="3"/>
  <c r="G750" i="3"/>
  <c r="A751" i="3"/>
  <c r="G751" i="3"/>
  <c r="A752" i="3"/>
  <c r="G752" i="3"/>
  <c r="A753" i="3"/>
  <c r="G753" i="3"/>
  <c r="A754" i="3"/>
  <c r="G754" i="3"/>
  <c r="A755" i="3"/>
  <c r="G755" i="3"/>
  <c r="A756" i="3"/>
  <c r="G756" i="3"/>
  <c r="A757" i="3"/>
  <c r="C757" i="3"/>
  <c r="G757" i="3"/>
  <c r="A758" i="3"/>
  <c r="G758" i="3"/>
  <c r="A759" i="3"/>
  <c r="G759" i="3"/>
  <c r="A760" i="3"/>
  <c r="C760" i="3"/>
  <c r="G760" i="3"/>
  <c r="A761" i="3"/>
  <c r="C761" i="3"/>
  <c r="G761" i="3"/>
  <c r="A762" i="3"/>
  <c r="G762" i="3"/>
  <c r="A763" i="3"/>
  <c r="C763" i="3"/>
  <c r="G763" i="3"/>
  <c r="A764" i="3"/>
  <c r="C764" i="3"/>
  <c r="G764" i="3"/>
  <c r="A765" i="3"/>
  <c r="G765" i="3"/>
  <c r="A766" i="3"/>
  <c r="C766" i="3"/>
  <c r="G766" i="3"/>
  <c r="A767" i="3"/>
  <c r="G767" i="3"/>
  <c r="A768" i="3"/>
  <c r="G768" i="3"/>
  <c r="A769" i="3"/>
  <c r="G769" i="3"/>
  <c r="A770" i="3"/>
  <c r="G770" i="3"/>
  <c r="A771" i="3"/>
  <c r="C771" i="3"/>
  <c r="G771" i="3"/>
  <c r="A772" i="3"/>
  <c r="G772" i="3"/>
  <c r="A773" i="3"/>
  <c r="C773" i="3"/>
  <c r="A774" i="3"/>
  <c r="A775" i="3"/>
  <c r="C775" i="3"/>
  <c r="G775" i="3"/>
  <c r="A776" i="3"/>
  <c r="G776" i="3"/>
  <c r="A777" i="3"/>
  <c r="G777" i="3"/>
  <c r="A778" i="3"/>
  <c r="G778" i="3"/>
  <c r="A779" i="3"/>
  <c r="C779" i="3"/>
  <c r="G779" i="3"/>
  <c r="A780" i="3"/>
  <c r="G780" i="3"/>
  <c r="A781" i="3"/>
  <c r="G781" i="3"/>
  <c r="A782" i="3"/>
  <c r="G782" i="3"/>
  <c r="A783" i="3"/>
  <c r="C783" i="3"/>
  <c r="G783" i="3"/>
  <c r="A784" i="3"/>
  <c r="G784" i="3"/>
  <c r="A785" i="3"/>
  <c r="G785" i="3"/>
  <c r="A786" i="3"/>
  <c r="G786" i="3"/>
  <c r="A787" i="3"/>
  <c r="G787" i="3"/>
  <c r="A788" i="3"/>
  <c r="C788" i="3"/>
  <c r="G788" i="3"/>
  <c r="A789" i="3"/>
  <c r="G789" i="3"/>
  <c r="A790" i="3"/>
  <c r="G790" i="3"/>
  <c r="A791" i="3"/>
  <c r="C791" i="3"/>
  <c r="G791" i="3"/>
  <c r="A792" i="3"/>
  <c r="G792" i="3"/>
  <c r="A793" i="3"/>
  <c r="G793" i="3"/>
  <c r="A794" i="3"/>
  <c r="G794" i="3"/>
  <c r="A795" i="3"/>
  <c r="G795" i="3"/>
  <c r="A796" i="3"/>
  <c r="C796" i="3"/>
  <c r="G796" i="3"/>
  <c r="A797" i="3"/>
  <c r="G797" i="3"/>
  <c r="A798" i="3"/>
  <c r="G798" i="3"/>
  <c r="A799" i="3"/>
  <c r="G799" i="3"/>
  <c r="A800" i="3"/>
  <c r="C800" i="3"/>
  <c r="G800" i="3"/>
  <c r="A801" i="3"/>
  <c r="G801" i="3"/>
  <c r="A802" i="3"/>
  <c r="C802" i="3"/>
  <c r="G802" i="3"/>
  <c r="A803" i="3"/>
  <c r="G803" i="3"/>
  <c r="A804" i="3"/>
  <c r="G804" i="3"/>
  <c r="A805" i="3"/>
  <c r="C805" i="3"/>
  <c r="G805" i="3"/>
  <c r="A806" i="3"/>
  <c r="G806" i="3"/>
  <c r="A807" i="3"/>
  <c r="G807" i="3"/>
  <c r="A808" i="3"/>
  <c r="G808" i="3"/>
  <c r="A809" i="3"/>
  <c r="G809" i="3"/>
  <c r="A810" i="3"/>
  <c r="G810" i="3"/>
  <c r="A811" i="3"/>
  <c r="C811" i="3"/>
  <c r="G811" i="3"/>
  <c r="A812" i="3"/>
  <c r="G812" i="3"/>
  <c r="A813" i="3"/>
  <c r="G813" i="3"/>
  <c r="K125" i="2"/>
  <c r="F133" i="2"/>
  <c r="U133" i="2" s="1"/>
  <c r="J210" i="2"/>
  <c r="U176" i="2" s="1"/>
  <c r="E229" i="2"/>
  <c r="U212" i="2" s="1"/>
  <c r="E228" i="2"/>
  <c r="U211" i="2" s="1"/>
  <c r="E227" i="2"/>
  <c r="U227" i="2" s="1"/>
  <c r="E218" i="2"/>
  <c r="U184" i="2" s="1"/>
  <c r="E223" i="2"/>
  <c r="J225" i="2"/>
  <c r="U191" i="2" s="1"/>
  <c r="J224" i="2"/>
  <c r="U190" i="2" s="1"/>
  <c r="J223" i="2"/>
  <c r="J222" i="2"/>
  <c r="J221" i="2"/>
  <c r="U187" i="2" s="1"/>
  <c r="J220" i="2"/>
  <c r="U186" i="2" s="1"/>
  <c r="J219" i="2"/>
  <c r="U185" i="2" s="1"/>
  <c r="F215" i="2"/>
  <c r="U181" i="2" s="1"/>
  <c r="O209" i="2"/>
  <c r="U175" i="2" s="1"/>
  <c r="E174" i="2"/>
  <c r="U174" i="2" s="1"/>
  <c r="J173" i="2"/>
  <c r="U173" i="2" s="1"/>
  <c r="J172" i="2"/>
  <c r="U172" i="2" s="1"/>
  <c r="J171" i="2"/>
  <c r="U171" i="2" s="1"/>
  <c r="J170" i="2"/>
  <c r="U170" i="2" s="1"/>
  <c r="E169" i="2"/>
  <c r="U169" i="2" s="1"/>
  <c r="F161" i="2"/>
  <c r="U161" i="2" s="1"/>
  <c r="A162" i="2"/>
  <c r="C162" i="2"/>
  <c r="U162" i="2"/>
  <c r="A163" i="2"/>
  <c r="C163" i="2"/>
  <c r="U163" i="2"/>
  <c r="A164" i="2"/>
  <c r="C164" i="2"/>
  <c r="U164" i="2"/>
  <c r="A165" i="2"/>
  <c r="C165" i="2"/>
  <c r="U165" i="2"/>
  <c r="A166" i="2"/>
  <c r="C166" i="2"/>
  <c r="U166" i="2"/>
  <c r="A167" i="2"/>
  <c r="C167" i="2"/>
  <c r="U167" i="2"/>
  <c r="A168" i="2"/>
  <c r="C168" i="2"/>
  <c r="U168" i="2"/>
  <c r="A169" i="2"/>
  <c r="C169" i="2"/>
  <c r="A170" i="2"/>
  <c r="C170" i="2"/>
  <c r="A171" i="2"/>
  <c r="C171" i="2"/>
  <c r="A172" i="2"/>
  <c r="C172" i="2"/>
  <c r="A173" i="2"/>
  <c r="C173" i="2"/>
  <c r="A174" i="2"/>
  <c r="C174" i="2"/>
  <c r="A209" i="2"/>
  <c r="C209" i="2"/>
  <c r="A210" i="2"/>
  <c r="C210" i="2"/>
  <c r="A211" i="2"/>
  <c r="U177" i="2"/>
  <c r="A212" i="2"/>
  <c r="U178" i="2"/>
  <c r="A213" i="2"/>
  <c r="C213" i="2"/>
  <c r="U179" i="2"/>
  <c r="A214" i="2"/>
  <c r="C214" i="2"/>
  <c r="U180" i="2"/>
  <c r="A215" i="2"/>
  <c r="C215" i="2"/>
  <c r="A216" i="2"/>
  <c r="C216" i="2"/>
  <c r="U182" i="2"/>
  <c r="A217" i="2"/>
  <c r="C217" i="2"/>
  <c r="U183" i="2"/>
  <c r="A218" i="2"/>
  <c r="C218" i="2"/>
  <c r="A219" i="2"/>
  <c r="C219" i="2"/>
  <c r="A220" i="2"/>
  <c r="C220" i="2"/>
  <c r="A221" i="2"/>
  <c r="C221" i="2"/>
  <c r="A222" i="2"/>
  <c r="C222" i="2"/>
  <c r="U188" i="2"/>
  <c r="A223" i="2"/>
  <c r="C223" i="2"/>
  <c r="A224" i="2"/>
  <c r="C224" i="2"/>
  <c r="A225" i="2"/>
  <c r="C225" i="2"/>
  <c r="A226" i="2"/>
  <c r="C226" i="2"/>
  <c r="A227" i="2"/>
  <c r="C227" i="2"/>
  <c r="A228" i="2"/>
  <c r="C228" i="2"/>
  <c r="A229" i="2"/>
  <c r="C229" i="2"/>
  <c r="A175" i="2"/>
  <c r="C175" i="2"/>
  <c r="T7" i="31"/>
  <c r="V7" i="31" s="1"/>
  <c r="T6" i="31"/>
  <c r="V5" i="31"/>
  <c r="T8" i="31"/>
  <c r="V8" i="31" s="1"/>
  <c r="T9" i="31"/>
  <c r="V9" i="31" s="1"/>
  <c r="T10" i="31"/>
  <c r="V10" i="31" s="1"/>
  <c r="V11" i="31"/>
  <c r="T12" i="31"/>
  <c r="V12" i="31" s="1"/>
  <c r="T13" i="31"/>
  <c r="V13" i="31" s="1"/>
  <c r="T14" i="31"/>
  <c r="V14" i="31" s="1"/>
  <c r="T15" i="31"/>
  <c r="V15" i="31" s="1"/>
  <c r="T16" i="31"/>
  <c r="V16" i="31" s="1"/>
  <c r="Z123" i="29"/>
  <c r="Y2" i="29"/>
  <c r="Y124" i="29" s="1"/>
  <c r="C615" i="3"/>
  <c r="C616" i="3"/>
  <c r="C617" i="3"/>
  <c r="C618" i="3"/>
  <c r="C619" i="3"/>
  <c r="A614" i="3"/>
  <c r="C614" i="3"/>
  <c r="G614" i="3"/>
  <c r="A615" i="3"/>
  <c r="G615" i="3"/>
  <c r="A616" i="3"/>
  <c r="G616" i="3"/>
  <c r="A617" i="3"/>
  <c r="G617" i="3"/>
  <c r="A618" i="3"/>
  <c r="G618" i="3"/>
  <c r="A619" i="3"/>
  <c r="G619" i="3"/>
  <c r="A620" i="3"/>
  <c r="C620" i="3"/>
  <c r="G620" i="3"/>
  <c r="C602" i="3"/>
  <c r="C603" i="3"/>
  <c r="C604" i="3"/>
  <c r="C605" i="3"/>
  <c r="C606" i="3"/>
  <c r="C607" i="3"/>
  <c r="C608" i="3"/>
  <c r="C609" i="3"/>
  <c r="C610" i="3"/>
  <c r="C611" i="3"/>
  <c r="C612" i="3"/>
  <c r="A601" i="3"/>
  <c r="C601" i="3"/>
  <c r="G601" i="3"/>
  <c r="A602" i="3"/>
  <c r="G602" i="3"/>
  <c r="A603" i="3"/>
  <c r="G603" i="3"/>
  <c r="A604" i="3"/>
  <c r="G604" i="3"/>
  <c r="A605" i="3"/>
  <c r="G605" i="3"/>
  <c r="A606" i="3"/>
  <c r="G606" i="3"/>
  <c r="A607" i="3"/>
  <c r="G607" i="3"/>
  <c r="A608" i="3"/>
  <c r="G608" i="3"/>
  <c r="A609" i="3"/>
  <c r="G609" i="3"/>
  <c r="A610" i="3"/>
  <c r="G610" i="3"/>
  <c r="A611" i="3"/>
  <c r="G611" i="3"/>
  <c r="A612" i="3"/>
  <c r="G612" i="3"/>
  <c r="A613" i="3"/>
  <c r="C613" i="3"/>
  <c r="G613" i="3"/>
  <c r="C591" i="3"/>
  <c r="C592" i="3"/>
  <c r="C593" i="3"/>
  <c r="C594" i="3"/>
  <c r="C595" i="3"/>
  <c r="C596" i="3"/>
  <c r="C597" i="3"/>
  <c r="C598" i="3"/>
  <c r="C599" i="3"/>
  <c r="C585" i="3"/>
  <c r="C586" i="3"/>
  <c r="C587" i="3"/>
  <c r="C588" i="3"/>
  <c r="C58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A571" i="3"/>
  <c r="G571" i="3"/>
  <c r="A572" i="3"/>
  <c r="G572" i="3"/>
  <c r="A573" i="3"/>
  <c r="G573" i="3"/>
  <c r="A574" i="3"/>
  <c r="G574" i="3"/>
  <c r="A575" i="3"/>
  <c r="G575" i="3"/>
  <c r="A576" i="3"/>
  <c r="G576" i="3"/>
  <c r="A577" i="3"/>
  <c r="G577" i="3"/>
  <c r="A578" i="3"/>
  <c r="G578" i="3"/>
  <c r="A579" i="3"/>
  <c r="G579" i="3"/>
  <c r="A580" i="3"/>
  <c r="G580" i="3"/>
  <c r="A581" i="3"/>
  <c r="G581" i="3"/>
  <c r="A582" i="3"/>
  <c r="G582" i="3"/>
  <c r="A583" i="3"/>
  <c r="G583" i="3"/>
  <c r="A584" i="3"/>
  <c r="C584" i="3"/>
  <c r="G584" i="3"/>
  <c r="A585" i="3"/>
  <c r="G585" i="3"/>
  <c r="A586" i="3"/>
  <c r="G586" i="3"/>
  <c r="A587" i="3"/>
  <c r="G587" i="3"/>
  <c r="A588" i="3"/>
  <c r="G588" i="3"/>
  <c r="A589" i="3"/>
  <c r="G589" i="3"/>
  <c r="A590" i="3"/>
  <c r="C590" i="3"/>
  <c r="G590" i="3"/>
  <c r="A591" i="3"/>
  <c r="G591" i="3"/>
  <c r="A592" i="3"/>
  <c r="G592" i="3"/>
  <c r="A593" i="3"/>
  <c r="G593" i="3"/>
  <c r="A594" i="3"/>
  <c r="G594" i="3"/>
  <c r="A595" i="3"/>
  <c r="G595" i="3"/>
  <c r="A596" i="3"/>
  <c r="G596" i="3"/>
  <c r="A597" i="3"/>
  <c r="G597" i="3"/>
  <c r="A598" i="3"/>
  <c r="G598" i="3"/>
  <c r="A599" i="3"/>
  <c r="G599" i="3"/>
  <c r="C567" i="3"/>
  <c r="C568" i="3"/>
  <c r="C569" i="3"/>
  <c r="C557" i="3"/>
  <c r="C558" i="3"/>
  <c r="C559" i="3"/>
  <c r="C560" i="3"/>
  <c r="C561" i="3"/>
  <c r="C562" i="3"/>
  <c r="C563" i="3"/>
  <c r="C564" i="3"/>
  <c r="C565" i="3"/>
  <c r="A557" i="3"/>
  <c r="G557" i="3"/>
  <c r="A558" i="3"/>
  <c r="G558" i="3"/>
  <c r="A559" i="3"/>
  <c r="G559" i="3"/>
  <c r="A560" i="3"/>
  <c r="G560" i="3"/>
  <c r="A561" i="3"/>
  <c r="G561" i="3"/>
  <c r="A562" i="3"/>
  <c r="G562" i="3"/>
  <c r="A563" i="3"/>
  <c r="G563" i="3"/>
  <c r="A564" i="3"/>
  <c r="G564" i="3"/>
  <c r="A565" i="3"/>
  <c r="G565" i="3"/>
  <c r="A566" i="3"/>
  <c r="C566" i="3"/>
  <c r="G566" i="3"/>
  <c r="A567" i="3"/>
  <c r="G567" i="3"/>
  <c r="A568" i="3"/>
  <c r="G568" i="3"/>
  <c r="A569" i="3"/>
  <c r="G569" i="3"/>
  <c r="A570" i="3"/>
  <c r="G570" i="3"/>
  <c r="A600" i="3"/>
  <c r="C600" i="3"/>
  <c r="G600" i="3"/>
  <c r="C547" i="3"/>
  <c r="C548" i="3"/>
  <c r="C549" i="3"/>
  <c r="C550" i="3"/>
  <c r="C551" i="3"/>
  <c r="C552" i="3"/>
  <c r="C553" i="3"/>
  <c r="C554" i="3"/>
  <c r="C555" i="3"/>
  <c r="C544" i="3"/>
  <c r="C541" i="3"/>
  <c r="C542" i="3"/>
  <c r="C538" i="3"/>
  <c r="C536" i="3"/>
  <c r="C533" i="3"/>
  <c r="C534" i="3"/>
  <c r="C523" i="3"/>
  <c r="C524" i="3"/>
  <c r="C525" i="3"/>
  <c r="C526" i="3"/>
  <c r="C527" i="3"/>
  <c r="C528" i="3"/>
  <c r="C529" i="3"/>
  <c r="C530" i="3"/>
  <c r="C531" i="3"/>
  <c r="A523" i="3"/>
  <c r="G523" i="3"/>
  <c r="A524" i="3"/>
  <c r="G524" i="3"/>
  <c r="A525" i="3"/>
  <c r="G525" i="3"/>
  <c r="A526" i="3"/>
  <c r="G526" i="3"/>
  <c r="A527" i="3"/>
  <c r="G527" i="3"/>
  <c r="A528" i="3"/>
  <c r="G528" i="3"/>
  <c r="A529" i="3"/>
  <c r="G529" i="3"/>
  <c r="A530" i="3"/>
  <c r="G530" i="3"/>
  <c r="A531" i="3"/>
  <c r="G531" i="3"/>
  <c r="A532" i="3"/>
  <c r="C532" i="3"/>
  <c r="G532" i="3"/>
  <c r="A533" i="3"/>
  <c r="G533" i="3"/>
  <c r="A534" i="3"/>
  <c r="G534" i="3"/>
  <c r="A535" i="3"/>
  <c r="C535" i="3"/>
  <c r="G535" i="3"/>
  <c r="A536" i="3"/>
  <c r="G536" i="3"/>
  <c r="A537" i="3"/>
  <c r="C537" i="3"/>
  <c r="G537" i="3"/>
  <c r="A538" i="3"/>
  <c r="G538" i="3"/>
  <c r="A539" i="3"/>
  <c r="C539" i="3"/>
  <c r="G539" i="3"/>
  <c r="A540" i="3"/>
  <c r="C540" i="3"/>
  <c r="G540" i="3"/>
  <c r="A541" i="3"/>
  <c r="G541" i="3"/>
  <c r="A542" i="3"/>
  <c r="G542" i="3"/>
  <c r="A543" i="3"/>
  <c r="C543" i="3"/>
  <c r="G543" i="3"/>
  <c r="A544" i="3"/>
  <c r="G544" i="3"/>
  <c r="A545" i="3"/>
  <c r="C545" i="3"/>
  <c r="G545" i="3"/>
  <c r="A546" i="3"/>
  <c r="C546" i="3"/>
  <c r="G546" i="3"/>
  <c r="A547" i="3"/>
  <c r="G547" i="3"/>
  <c r="A548" i="3"/>
  <c r="G548" i="3"/>
  <c r="A549" i="3"/>
  <c r="G549" i="3"/>
  <c r="A550" i="3"/>
  <c r="G550" i="3"/>
  <c r="A551" i="3"/>
  <c r="G551" i="3"/>
  <c r="A552" i="3"/>
  <c r="G552" i="3"/>
  <c r="A553" i="3"/>
  <c r="G553" i="3"/>
  <c r="A554" i="3"/>
  <c r="G554" i="3"/>
  <c r="A555" i="3"/>
  <c r="G555" i="3"/>
  <c r="A556" i="3"/>
  <c r="C556" i="3"/>
  <c r="G556" i="3"/>
  <c r="U3" i="2"/>
  <c r="U4" i="2"/>
  <c r="U5" i="2"/>
  <c r="U8" i="2"/>
  <c r="U9" i="2"/>
  <c r="U11" i="2"/>
  <c r="U12" i="2"/>
  <c r="U16" i="2"/>
  <c r="U17" i="2"/>
  <c r="U18" i="2"/>
  <c r="U20" i="2"/>
  <c r="U21" i="2"/>
  <c r="U22" i="2"/>
  <c r="U23" i="2"/>
  <c r="U24" i="2"/>
  <c r="U25" i="2"/>
  <c r="U26" i="2"/>
  <c r="U27" i="2"/>
  <c r="U28" i="2"/>
  <c r="U29" i="2"/>
  <c r="U31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51" i="2"/>
  <c r="U57" i="2"/>
  <c r="U59" i="2"/>
  <c r="U60" i="2"/>
  <c r="U62" i="2"/>
  <c r="U63" i="2"/>
  <c r="U67" i="2"/>
  <c r="U69" i="2"/>
  <c r="U70" i="2"/>
  <c r="U76" i="2"/>
  <c r="U80" i="2"/>
  <c r="U81" i="2"/>
  <c r="U83" i="2"/>
  <c r="U89" i="2"/>
  <c r="U90" i="2"/>
  <c r="U92" i="2"/>
  <c r="U94" i="2"/>
  <c r="U95" i="2"/>
  <c r="U96" i="2"/>
  <c r="U97" i="2"/>
  <c r="U98" i="2"/>
  <c r="U99" i="2"/>
  <c r="U101" i="2"/>
  <c r="U102" i="2"/>
  <c r="U103" i="2"/>
  <c r="U104" i="2"/>
  <c r="U105" i="2"/>
  <c r="U106" i="2"/>
  <c r="U107" i="2"/>
  <c r="U109" i="2"/>
  <c r="U110" i="2"/>
  <c r="U112" i="2"/>
  <c r="U113" i="2"/>
  <c r="U114" i="2"/>
  <c r="U116" i="2"/>
  <c r="U117" i="2"/>
  <c r="U118" i="2"/>
  <c r="U119" i="2"/>
  <c r="U120" i="2"/>
  <c r="U121" i="2"/>
  <c r="U122" i="2"/>
  <c r="U123" i="2"/>
  <c r="U124" i="2"/>
  <c r="U131" i="2"/>
  <c r="U134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4" i="2"/>
  <c r="U157" i="2"/>
  <c r="U158" i="2"/>
  <c r="U160" i="2"/>
  <c r="A150" i="2"/>
  <c r="C150" i="2"/>
  <c r="F156" i="2"/>
  <c r="U156" i="2" s="1"/>
  <c r="E155" i="2"/>
  <c r="U155" i="2" s="1"/>
  <c r="J153" i="2"/>
  <c r="U153" i="2" s="1"/>
  <c r="J152" i="2"/>
  <c r="U152" i="2" s="1"/>
  <c r="J151" i="2"/>
  <c r="U151" i="2" s="1"/>
  <c r="A139" i="2"/>
  <c r="C139" i="2"/>
  <c r="A140" i="2"/>
  <c r="C140" i="2"/>
  <c r="A141" i="2"/>
  <c r="C141" i="2"/>
  <c r="A142" i="2"/>
  <c r="C142" i="2"/>
  <c r="A143" i="2"/>
  <c r="C143" i="2"/>
  <c r="A144" i="2"/>
  <c r="C144" i="2"/>
  <c r="A145" i="2"/>
  <c r="C145" i="2"/>
  <c r="A146" i="2"/>
  <c r="C146" i="2"/>
  <c r="A147" i="2"/>
  <c r="C147" i="2"/>
  <c r="A148" i="2"/>
  <c r="C148" i="2"/>
  <c r="A149" i="2"/>
  <c r="C149" i="2"/>
  <c r="A151" i="2"/>
  <c r="C151" i="2"/>
  <c r="A152" i="2"/>
  <c r="C152" i="2"/>
  <c r="A153" i="2"/>
  <c r="C153" i="2"/>
  <c r="A154" i="2"/>
  <c r="C154" i="2"/>
  <c r="A155" i="2"/>
  <c r="C155" i="2"/>
  <c r="A156" i="2"/>
  <c r="C156" i="2"/>
  <c r="A157" i="2"/>
  <c r="C157" i="2"/>
  <c r="A158" i="2"/>
  <c r="C158" i="2"/>
  <c r="A160" i="2"/>
  <c r="C160" i="2"/>
  <c r="A161" i="2"/>
  <c r="C161" i="2"/>
  <c r="F135" i="2"/>
  <c r="U135" i="2" s="1"/>
  <c r="F132" i="2"/>
  <c r="U132" i="2" s="1"/>
  <c r="F130" i="2"/>
  <c r="U130" i="2" s="1"/>
  <c r="K129" i="2"/>
  <c r="U129" i="2" s="1"/>
  <c r="K128" i="2"/>
  <c r="U128" i="2" s="1"/>
  <c r="K127" i="2"/>
  <c r="U127" i="2" s="1"/>
  <c r="K126" i="2"/>
  <c r="U126" i="2" s="1"/>
  <c r="H31" i="31" l="1"/>
  <c r="H534" i="3"/>
  <c r="I534" i="3" s="1"/>
  <c r="H579" i="3"/>
  <c r="I579" i="3" s="1"/>
  <c r="H789" i="3"/>
  <c r="I789" i="3" s="1"/>
  <c r="H750" i="3"/>
  <c r="I750" i="3" s="1"/>
  <c r="H717" i="3"/>
  <c r="I717" i="3" s="1"/>
  <c r="H553" i="3"/>
  <c r="I553" i="3" s="1"/>
  <c r="H552" i="3"/>
  <c r="I552" i="3" s="1"/>
  <c r="I541" i="3"/>
  <c r="H558" i="3"/>
  <c r="I558" i="3" s="1"/>
  <c r="H599" i="3"/>
  <c r="I599" i="3" s="1"/>
  <c r="H591" i="3"/>
  <c r="I591" i="3" s="1"/>
  <c r="H572" i="3"/>
  <c r="I572" i="3" s="1"/>
  <c r="H555" i="3"/>
  <c r="I555" i="3" s="1"/>
  <c r="H551" i="3"/>
  <c r="I551" i="3" s="1"/>
  <c r="H547" i="3"/>
  <c r="I547" i="3" s="1"/>
  <c r="H544" i="3"/>
  <c r="I544" i="3" s="1"/>
  <c r="H531" i="3"/>
  <c r="I531" i="3" s="1"/>
  <c r="H527" i="3"/>
  <c r="I527" i="3" s="1"/>
  <c r="H523" i="3"/>
  <c r="I523" i="3" s="1"/>
  <c r="H569" i="3"/>
  <c r="I569" i="3" s="1"/>
  <c r="H587" i="3"/>
  <c r="I587" i="3" s="1"/>
  <c r="H609" i="3"/>
  <c r="I609" i="3" s="1"/>
  <c r="H605" i="3"/>
  <c r="I605" i="3" s="1"/>
  <c r="H601" i="3"/>
  <c r="I601" i="3" s="1"/>
  <c r="H807" i="3"/>
  <c r="I807" i="3" s="1"/>
  <c r="H800" i="3"/>
  <c r="I800" i="3" s="1"/>
  <c r="H793" i="3"/>
  <c r="I793" i="3" s="1"/>
  <c r="H786" i="3"/>
  <c r="I786" i="3" s="1"/>
  <c r="H775" i="3"/>
  <c r="I775" i="3" s="1"/>
  <c r="H771" i="3"/>
  <c r="I771" i="3" s="1"/>
  <c r="H764" i="3"/>
  <c r="I764" i="3" s="1"/>
  <c r="H761" i="3"/>
  <c r="I761" i="3" s="1"/>
  <c r="I758" i="3"/>
  <c r="H740" i="3"/>
  <c r="I740" i="3" s="1"/>
  <c r="H737" i="3"/>
  <c r="I737" i="3" s="1"/>
  <c r="H721" i="3"/>
  <c r="I721" i="3" s="1"/>
  <c r="H710" i="3"/>
  <c r="I710" i="3" s="1"/>
  <c r="H704" i="3"/>
  <c r="I704" i="3" s="1"/>
  <c r="H701" i="3"/>
  <c r="I701" i="3" s="1"/>
  <c r="H694" i="3"/>
  <c r="I694" i="3" s="1"/>
  <c r="H679" i="3"/>
  <c r="I679" i="3" s="1"/>
  <c r="H672" i="3"/>
  <c r="I672" i="3" s="1"/>
  <c r="H665" i="3"/>
  <c r="I665" i="3" s="1"/>
  <c r="H657" i="3"/>
  <c r="I657" i="3" s="1"/>
  <c r="H650" i="3"/>
  <c r="I650" i="3" s="1"/>
  <c r="H643" i="3"/>
  <c r="I643" i="3" s="1"/>
  <c r="H636" i="3"/>
  <c r="I636" i="3" s="1"/>
  <c r="H632" i="3"/>
  <c r="I632" i="3" s="1"/>
  <c r="H629" i="3"/>
  <c r="I629" i="3" s="1"/>
  <c r="H622" i="3"/>
  <c r="I622" i="3" s="1"/>
  <c r="H686" i="3"/>
  <c r="I686" i="3" s="1"/>
  <c r="H682" i="3"/>
  <c r="I682" i="3" s="1"/>
  <c r="H675" i="3"/>
  <c r="I675" i="3" s="1"/>
  <c r="H668" i="3"/>
  <c r="I668" i="3" s="1"/>
  <c r="H653" i="3"/>
  <c r="I653" i="3" s="1"/>
  <c r="H646" i="3"/>
  <c r="I646" i="3" s="1"/>
  <c r="H639" i="3"/>
  <c r="I639" i="3" s="1"/>
  <c r="H625" i="3"/>
  <c r="I625" i="3" s="1"/>
  <c r="H725" i="3"/>
  <c r="I725" i="3" s="1"/>
  <c r="H590" i="3"/>
  <c r="I590" i="3" s="1"/>
  <c r="H615" i="3"/>
  <c r="I615" i="3" s="1"/>
  <c r="H782" i="3"/>
  <c r="I782" i="3" s="1"/>
  <c r="H690" i="3"/>
  <c r="I690" i="3" s="1"/>
  <c r="H550" i="3"/>
  <c r="I550" i="3" s="1"/>
  <c r="H543" i="3"/>
  <c r="I543" i="3" s="1"/>
  <c r="H530" i="3"/>
  <c r="I530" i="3" s="1"/>
  <c r="H526" i="3"/>
  <c r="I526" i="3" s="1"/>
  <c r="H568" i="3"/>
  <c r="I568" i="3" s="1"/>
  <c r="H586" i="3"/>
  <c r="I586" i="3" s="1"/>
  <c r="H612" i="3"/>
  <c r="I612" i="3" s="1"/>
  <c r="H608" i="3"/>
  <c r="I608" i="3" s="1"/>
  <c r="H604" i="3"/>
  <c r="I604" i="3" s="1"/>
  <c r="H810" i="3"/>
  <c r="I810" i="3" s="1"/>
  <c r="H806" i="3"/>
  <c r="I806" i="3" s="1"/>
  <c r="H792" i="3"/>
  <c r="I792" i="3" s="1"/>
  <c r="H785" i="3"/>
  <c r="I785" i="3" s="1"/>
  <c r="H778" i="3"/>
  <c r="I778" i="3" s="1"/>
  <c r="I757" i="3"/>
  <c r="H724" i="3"/>
  <c r="I724" i="3" s="1"/>
  <c r="H720" i="3"/>
  <c r="I720" i="3" s="1"/>
  <c r="H709" i="3"/>
  <c r="I709" i="3" s="1"/>
  <c r="H706" i="3"/>
  <c r="I706" i="3" s="1"/>
  <c r="H693" i="3"/>
  <c r="I693" i="3" s="1"/>
  <c r="H678" i="3"/>
  <c r="I678" i="3" s="1"/>
  <c r="H671" i="3"/>
  <c r="I671" i="3" s="1"/>
  <c r="H664" i="3"/>
  <c r="I664" i="3" s="1"/>
  <c r="H656" i="3"/>
  <c r="I656" i="3" s="1"/>
  <c r="H649" i="3"/>
  <c r="I649" i="3" s="1"/>
  <c r="H642" i="3"/>
  <c r="I642" i="3" s="1"/>
  <c r="H635" i="3"/>
  <c r="I635" i="3" s="1"/>
  <c r="H628" i="3"/>
  <c r="I628" i="3" s="1"/>
  <c r="H621" i="3"/>
  <c r="I621" i="3" s="1"/>
  <c r="H537" i="3"/>
  <c r="I537" i="3" s="1"/>
  <c r="H565" i="3"/>
  <c r="I565" i="3" s="1"/>
  <c r="H583" i="3"/>
  <c r="I583" i="3" s="1"/>
  <c r="H767" i="3"/>
  <c r="I767" i="3" s="1"/>
  <c r="H743" i="3"/>
  <c r="I743" i="3" s="1"/>
  <c r="H554" i="3"/>
  <c r="I554" i="3" s="1"/>
  <c r="H546" i="3"/>
  <c r="I546" i="3" s="1"/>
  <c r="H533" i="3"/>
  <c r="I533" i="3" s="1"/>
  <c r="H600" i="3"/>
  <c r="I600" i="3" s="1"/>
  <c r="H564" i="3"/>
  <c r="I564" i="3" s="1"/>
  <c r="H560" i="3"/>
  <c r="I560" i="3" s="1"/>
  <c r="H597" i="3"/>
  <c r="I597" i="3" s="1"/>
  <c r="H593" i="3"/>
  <c r="I593" i="3" s="1"/>
  <c r="H582" i="3"/>
  <c r="I582" i="3" s="1"/>
  <c r="H578" i="3"/>
  <c r="I578" i="3" s="1"/>
  <c r="H574" i="3"/>
  <c r="I574" i="3" s="1"/>
  <c r="H618" i="3"/>
  <c r="I618" i="3" s="1"/>
  <c r="H614" i="3"/>
  <c r="I614" i="3" s="1"/>
  <c r="H813" i="3"/>
  <c r="I813" i="3" s="1"/>
  <c r="H802" i="3"/>
  <c r="I802" i="3" s="1"/>
  <c r="H799" i="3"/>
  <c r="I799" i="3" s="1"/>
  <c r="H788" i="3"/>
  <c r="I788" i="3" s="1"/>
  <c r="H781" i="3"/>
  <c r="I781" i="3" s="1"/>
  <c r="H770" i="3"/>
  <c r="I770" i="3" s="1"/>
  <c r="H766" i="3"/>
  <c r="I766" i="3" s="1"/>
  <c r="H763" i="3"/>
  <c r="I763" i="3" s="1"/>
  <c r="H760" i="3"/>
  <c r="I760" i="3" s="1"/>
  <c r="H753" i="3"/>
  <c r="I753" i="3" s="1"/>
  <c r="H749" i="3"/>
  <c r="I749" i="3" s="1"/>
  <c r="H746" i="3"/>
  <c r="I746" i="3" s="1"/>
  <c r="H739" i="3"/>
  <c r="I739" i="3" s="1"/>
  <c r="H736" i="3"/>
  <c r="I736" i="3" s="1"/>
  <c r="H732" i="3"/>
  <c r="I732" i="3" s="1"/>
  <c r="H728" i="3"/>
  <c r="I728" i="3" s="1"/>
  <c r="H716" i="3"/>
  <c r="I716" i="3" s="1"/>
  <c r="H712" i="3"/>
  <c r="I712" i="3" s="1"/>
  <c r="H703" i="3"/>
  <c r="I703" i="3" s="1"/>
  <c r="H700" i="3"/>
  <c r="I700" i="3" s="1"/>
  <c r="H689" i="3"/>
  <c r="I689" i="3" s="1"/>
  <c r="H685" i="3"/>
  <c r="I685" i="3" s="1"/>
  <c r="H681" i="3"/>
  <c r="I681" i="3" s="1"/>
  <c r="H674" i="3"/>
  <c r="I674" i="3" s="1"/>
  <c r="H667" i="3"/>
  <c r="I667" i="3" s="1"/>
  <c r="H652" i="3"/>
  <c r="I652" i="3" s="1"/>
  <c r="H638" i="3"/>
  <c r="I638" i="3" s="1"/>
  <c r="H631" i="3"/>
  <c r="I631" i="3" s="1"/>
  <c r="H624" i="3"/>
  <c r="I624" i="3" s="1"/>
  <c r="H561" i="3"/>
  <c r="I561" i="3" s="1"/>
  <c r="H571" i="3"/>
  <c r="I571" i="3" s="1"/>
  <c r="H619" i="3"/>
  <c r="I619" i="3" s="1"/>
  <c r="H796" i="3"/>
  <c r="I796" i="3" s="1"/>
  <c r="H754" i="3"/>
  <c r="I754" i="3" s="1"/>
  <c r="H733" i="3"/>
  <c r="I733" i="3" s="1"/>
  <c r="H549" i="3"/>
  <c r="I549" i="3" s="1"/>
  <c r="H529" i="3"/>
  <c r="I529" i="3" s="1"/>
  <c r="H567" i="3"/>
  <c r="I567" i="3" s="1"/>
  <c r="H589" i="3"/>
  <c r="I589" i="3" s="1"/>
  <c r="H585" i="3"/>
  <c r="I585" i="3" s="1"/>
  <c r="H611" i="3"/>
  <c r="I611" i="3" s="1"/>
  <c r="H607" i="3"/>
  <c r="I607" i="3" s="1"/>
  <c r="H603" i="3"/>
  <c r="I603" i="3" s="1"/>
  <c r="H809" i="3"/>
  <c r="I809" i="3" s="1"/>
  <c r="H805" i="3"/>
  <c r="I805" i="3" s="1"/>
  <c r="H795" i="3"/>
  <c r="I795" i="3" s="1"/>
  <c r="H791" i="3"/>
  <c r="I791" i="3" s="1"/>
  <c r="H784" i="3"/>
  <c r="I784" i="3" s="1"/>
  <c r="H777" i="3"/>
  <c r="I777" i="3" s="1"/>
  <c r="H742" i="3"/>
  <c r="I742" i="3" s="1"/>
  <c r="H723" i="3"/>
  <c r="I723" i="3" s="1"/>
  <c r="H696" i="3"/>
  <c r="I696" i="3" s="1"/>
  <c r="H692" i="3"/>
  <c r="I692" i="3" s="1"/>
  <c r="H670" i="3"/>
  <c r="I670" i="3" s="1"/>
  <c r="H659" i="3"/>
  <c r="I659" i="3" s="1"/>
  <c r="H645" i="3"/>
  <c r="I645" i="3" s="1"/>
  <c r="H641" i="3"/>
  <c r="I641" i="3" s="1"/>
  <c r="H634" i="3"/>
  <c r="I634" i="3" s="1"/>
  <c r="H627" i="3"/>
  <c r="I627" i="3" s="1"/>
  <c r="H598" i="3"/>
  <c r="I598" i="3" s="1"/>
  <c r="H803" i="3"/>
  <c r="I803" i="3" s="1"/>
  <c r="H747" i="3"/>
  <c r="I747" i="3" s="1"/>
  <c r="H713" i="3"/>
  <c r="I713" i="3" s="1"/>
  <c r="H525" i="3"/>
  <c r="I525" i="3" s="1"/>
  <c r="I542" i="3"/>
  <c r="H532" i="3"/>
  <c r="I532" i="3" s="1"/>
  <c r="H563" i="3"/>
  <c r="I563" i="3" s="1"/>
  <c r="H559" i="3"/>
  <c r="I559" i="3" s="1"/>
  <c r="H596" i="3"/>
  <c r="I596" i="3" s="1"/>
  <c r="H592" i="3"/>
  <c r="I592" i="3" s="1"/>
  <c r="H581" i="3"/>
  <c r="I581" i="3" s="1"/>
  <c r="H577" i="3"/>
  <c r="I577" i="3" s="1"/>
  <c r="H573" i="3"/>
  <c r="I573" i="3" s="1"/>
  <c r="H617" i="3"/>
  <c r="I617" i="3" s="1"/>
  <c r="H812" i="3"/>
  <c r="I812" i="3" s="1"/>
  <c r="H798" i="3"/>
  <c r="I798" i="3" s="1"/>
  <c r="H780" i="3"/>
  <c r="I780" i="3" s="1"/>
  <c r="H769" i="3"/>
  <c r="I769" i="3" s="1"/>
  <c r="H756" i="3"/>
  <c r="I756" i="3" s="1"/>
  <c r="H752" i="3"/>
  <c r="I752" i="3" s="1"/>
  <c r="H745" i="3"/>
  <c r="I745" i="3" s="1"/>
  <c r="H738" i="3"/>
  <c r="I738" i="3" s="1"/>
  <c r="H735" i="3"/>
  <c r="I735" i="3" s="1"/>
  <c r="H731" i="3"/>
  <c r="I731" i="3" s="1"/>
  <c r="H727" i="3"/>
  <c r="I727" i="3" s="1"/>
  <c r="H719" i="3"/>
  <c r="I719" i="3" s="1"/>
  <c r="H711" i="3"/>
  <c r="I711" i="3" s="1"/>
  <c r="H708" i="3"/>
  <c r="I708" i="3" s="1"/>
  <c r="H705" i="3"/>
  <c r="I705" i="3" s="1"/>
  <c r="H702" i="3"/>
  <c r="I702" i="3" s="1"/>
  <c r="H699" i="3"/>
  <c r="I699" i="3" s="1"/>
  <c r="H688" i="3"/>
  <c r="I688" i="3" s="1"/>
  <c r="H684" i="3"/>
  <c r="I684" i="3" s="1"/>
  <c r="H680" i="3"/>
  <c r="I680" i="3" s="1"/>
  <c r="H677" i="3"/>
  <c r="I677" i="3" s="1"/>
  <c r="H673" i="3"/>
  <c r="I673" i="3" s="1"/>
  <c r="H663" i="3"/>
  <c r="I663" i="3" s="1"/>
  <c r="H655" i="3"/>
  <c r="I655" i="3" s="1"/>
  <c r="H648" i="3"/>
  <c r="I648" i="3" s="1"/>
  <c r="H637" i="3"/>
  <c r="I637" i="3" s="1"/>
  <c r="H630" i="3"/>
  <c r="I630" i="3" s="1"/>
  <c r="H557" i="3"/>
  <c r="I557" i="3" s="1"/>
  <c r="H575" i="3"/>
  <c r="I575" i="3" s="1"/>
  <c r="H539" i="3"/>
  <c r="I539" i="3" s="1"/>
  <c r="H545" i="3"/>
  <c r="I545" i="3" s="1"/>
  <c r="H548" i="3"/>
  <c r="I548" i="3" s="1"/>
  <c r="H535" i="3"/>
  <c r="I535" i="3" s="1"/>
  <c r="H528" i="3"/>
  <c r="I528" i="3" s="1"/>
  <c r="H524" i="3"/>
  <c r="I524" i="3" s="1"/>
  <c r="H570" i="3"/>
  <c r="I570" i="3" s="1"/>
  <c r="H566" i="3"/>
  <c r="I566" i="3" s="1"/>
  <c r="H588" i="3"/>
  <c r="I588" i="3" s="1"/>
  <c r="H584" i="3"/>
  <c r="I584" i="3" s="1"/>
  <c r="H610" i="3"/>
  <c r="I610" i="3" s="1"/>
  <c r="H606" i="3"/>
  <c r="I606" i="3" s="1"/>
  <c r="H602" i="3"/>
  <c r="I602" i="3" s="1"/>
  <c r="H620" i="3"/>
  <c r="I620" i="3" s="1"/>
  <c r="H808" i="3"/>
  <c r="I808" i="3" s="1"/>
  <c r="H801" i="3"/>
  <c r="I801" i="3" s="1"/>
  <c r="H794" i="3"/>
  <c r="I794" i="3" s="1"/>
  <c r="H787" i="3"/>
  <c r="I787" i="3" s="1"/>
  <c r="H783" i="3"/>
  <c r="I783" i="3" s="1"/>
  <c r="H776" i="3"/>
  <c r="I776" i="3" s="1"/>
  <c r="H772" i="3"/>
  <c r="I772" i="3" s="1"/>
  <c r="H765" i="3"/>
  <c r="I765" i="3" s="1"/>
  <c r="H762" i="3"/>
  <c r="I762" i="3" s="1"/>
  <c r="I759" i="3"/>
  <c r="H748" i="3"/>
  <c r="I748" i="3" s="1"/>
  <c r="H741" i="3"/>
  <c r="I741" i="3" s="1"/>
  <c r="H722" i="3"/>
  <c r="I722" i="3" s="1"/>
  <c r="H695" i="3"/>
  <c r="I695" i="3" s="1"/>
  <c r="H691" i="3"/>
  <c r="I691" i="3" s="1"/>
  <c r="H666" i="3"/>
  <c r="I666" i="3" s="1"/>
  <c r="H658" i="3"/>
  <c r="I658" i="3" s="1"/>
  <c r="H651" i="3"/>
  <c r="I651" i="3" s="1"/>
  <c r="H644" i="3"/>
  <c r="I644" i="3" s="1"/>
  <c r="H640" i="3"/>
  <c r="I640" i="3" s="1"/>
  <c r="H633" i="3"/>
  <c r="I633" i="3" s="1"/>
  <c r="H623" i="3"/>
  <c r="I623" i="3" s="1"/>
  <c r="I540" i="3"/>
  <c r="H594" i="3"/>
  <c r="I594" i="3" s="1"/>
  <c r="H729" i="3"/>
  <c r="I729" i="3" s="1"/>
  <c r="H697" i="3"/>
  <c r="I697" i="3" s="1"/>
  <c r="H536" i="3"/>
  <c r="I536" i="3" s="1"/>
  <c r="H556" i="3"/>
  <c r="I556" i="3" s="1"/>
  <c r="H538" i="3"/>
  <c r="I538" i="3" s="1"/>
  <c r="H562" i="3"/>
  <c r="I562" i="3" s="1"/>
  <c r="H595" i="3"/>
  <c r="I595" i="3" s="1"/>
  <c r="H580" i="3"/>
  <c r="I580" i="3" s="1"/>
  <c r="H576" i="3"/>
  <c r="I576" i="3" s="1"/>
  <c r="H613" i="3"/>
  <c r="I613" i="3" s="1"/>
  <c r="H616" i="3"/>
  <c r="I616" i="3" s="1"/>
  <c r="H811" i="3"/>
  <c r="I811" i="3" s="1"/>
  <c r="H804" i="3"/>
  <c r="I804" i="3" s="1"/>
  <c r="H797" i="3"/>
  <c r="I797" i="3" s="1"/>
  <c r="H790" i="3"/>
  <c r="I790" i="3" s="1"/>
  <c r="H779" i="3"/>
  <c r="I779" i="3" s="1"/>
  <c r="H768" i="3"/>
  <c r="I768" i="3" s="1"/>
  <c r="H755" i="3"/>
  <c r="I755" i="3" s="1"/>
  <c r="H751" i="3"/>
  <c r="I751" i="3" s="1"/>
  <c r="H744" i="3"/>
  <c r="I744" i="3" s="1"/>
  <c r="H734" i="3"/>
  <c r="I734" i="3" s="1"/>
  <c r="H730" i="3"/>
  <c r="I730" i="3" s="1"/>
  <c r="H726" i="3"/>
  <c r="I726" i="3" s="1"/>
  <c r="H718" i="3"/>
  <c r="I718" i="3" s="1"/>
  <c r="H714" i="3"/>
  <c r="I714" i="3" s="1"/>
  <c r="H707" i="3"/>
  <c r="I707" i="3" s="1"/>
  <c r="H698" i="3"/>
  <c r="I698" i="3" s="1"/>
  <c r="H687" i="3"/>
  <c r="I687" i="3" s="1"/>
  <c r="H683" i="3"/>
  <c r="I683" i="3" s="1"/>
  <c r="H676" i="3"/>
  <c r="I676" i="3" s="1"/>
  <c r="H669" i="3"/>
  <c r="I669" i="3" s="1"/>
  <c r="H662" i="3"/>
  <c r="I662" i="3" s="1"/>
  <c r="H654" i="3"/>
  <c r="I654" i="3" s="1"/>
  <c r="H647" i="3"/>
  <c r="I647" i="3" s="1"/>
  <c r="H626" i="3"/>
  <c r="I626" i="3" s="1"/>
  <c r="K349" i="2"/>
  <c r="V6" i="31"/>
  <c r="U213" i="2"/>
  <c r="U209" i="2"/>
  <c r="U229" i="2"/>
  <c r="U225" i="2"/>
  <c r="U223" i="2"/>
  <c r="U224" i="2"/>
  <c r="U215" i="2"/>
  <c r="U218" i="2"/>
  <c r="U221" i="2"/>
  <c r="U219" i="2"/>
  <c r="U228" i="2"/>
  <c r="U220" i="2"/>
  <c r="U210" i="2"/>
  <c r="U222" i="2"/>
  <c r="O20" i="22"/>
  <c r="U189" i="2"/>
  <c r="J125" i="2"/>
  <c r="U125" i="2" s="1"/>
  <c r="A124" i="2"/>
  <c r="C124" i="2"/>
  <c r="A125" i="2"/>
  <c r="C125" i="2"/>
  <c r="A126" i="2"/>
  <c r="C126" i="2"/>
  <c r="A127" i="2"/>
  <c r="C127" i="2"/>
  <c r="A128" i="2"/>
  <c r="C128" i="2"/>
  <c r="A129" i="2"/>
  <c r="C129" i="2"/>
  <c r="A130" i="2"/>
  <c r="C130" i="2"/>
  <c r="A131" i="2"/>
  <c r="C131" i="2"/>
  <c r="A132" i="2"/>
  <c r="C132" i="2"/>
  <c r="A133" i="2"/>
  <c r="C133" i="2"/>
  <c r="A134" i="2"/>
  <c r="C134" i="2"/>
  <c r="A135" i="2"/>
  <c r="C135" i="2"/>
  <c r="A136" i="2"/>
  <c r="C136" i="2"/>
  <c r="A137" i="2"/>
  <c r="C137" i="2"/>
  <c r="A138" i="2"/>
  <c r="C138" i="2"/>
  <c r="F115" i="2"/>
  <c r="U115" i="2" s="1"/>
  <c r="F111" i="2"/>
  <c r="U111" i="2" s="1"/>
  <c r="E108" i="2"/>
  <c r="U108" i="2" s="1"/>
  <c r="C518" i="3"/>
  <c r="C519" i="3"/>
  <c r="C520" i="3"/>
  <c r="C521" i="3"/>
  <c r="A518" i="3"/>
  <c r="G518" i="3"/>
  <c r="A519" i="3"/>
  <c r="G519" i="3"/>
  <c r="A520" i="3"/>
  <c r="G520" i="3"/>
  <c r="A521" i="3"/>
  <c r="G521" i="3"/>
  <c r="A522" i="3"/>
  <c r="C522" i="3"/>
  <c r="G522" i="3"/>
  <c r="C512" i="3"/>
  <c r="C513" i="3"/>
  <c r="C514" i="3"/>
  <c r="C515" i="3"/>
  <c r="C516" i="3"/>
  <c r="C510" i="3"/>
  <c r="C507" i="3"/>
  <c r="C508" i="3"/>
  <c r="C504" i="3"/>
  <c r="C505" i="3"/>
  <c r="C501" i="3"/>
  <c r="C499" i="3"/>
  <c r="C496" i="3"/>
  <c r="C489" i="3"/>
  <c r="C490" i="3"/>
  <c r="C491" i="3"/>
  <c r="C492" i="3"/>
  <c r="C493" i="3"/>
  <c r="C494" i="3"/>
  <c r="C485" i="3"/>
  <c r="C486" i="3"/>
  <c r="C487" i="3"/>
  <c r="C483" i="3"/>
  <c r="C480" i="3"/>
  <c r="C475" i="3"/>
  <c r="C476" i="3"/>
  <c r="C477" i="3"/>
  <c r="C478" i="3"/>
  <c r="C473" i="3"/>
  <c r="A477" i="3"/>
  <c r="G477" i="3"/>
  <c r="A478" i="3"/>
  <c r="G478" i="3"/>
  <c r="A479" i="3"/>
  <c r="C479" i="3"/>
  <c r="G479" i="3"/>
  <c r="A480" i="3"/>
  <c r="G480" i="3"/>
  <c r="A481" i="3"/>
  <c r="C481" i="3"/>
  <c r="G481" i="3"/>
  <c r="A482" i="3"/>
  <c r="C482" i="3"/>
  <c r="G482" i="3"/>
  <c r="A483" i="3"/>
  <c r="G483" i="3"/>
  <c r="A484" i="3"/>
  <c r="C484" i="3"/>
  <c r="G484" i="3"/>
  <c r="A485" i="3"/>
  <c r="G485" i="3"/>
  <c r="A486" i="3"/>
  <c r="G486" i="3"/>
  <c r="A487" i="3"/>
  <c r="G487" i="3"/>
  <c r="A488" i="3"/>
  <c r="C488" i="3"/>
  <c r="G488" i="3"/>
  <c r="A489" i="3"/>
  <c r="G489" i="3"/>
  <c r="A490" i="3"/>
  <c r="G490" i="3"/>
  <c r="A491" i="3"/>
  <c r="G491" i="3"/>
  <c r="A492" i="3"/>
  <c r="G492" i="3"/>
  <c r="A493" i="3"/>
  <c r="G493" i="3"/>
  <c r="A494" i="3"/>
  <c r="G494" i="3"/>
  <c r="A495" i="3"/>
  <c r="C495" i="3"/>
  <c r="G495" i="3"/>
  <c r="A496" i="3"/>
  <c r="G496" i="3"/>
  <c r="A497" i="3"/>
  <c r="C497" i="3"/>
  <c r="G497" i="3"/>
  <c r="A498" i="3"/>
  <c r="C498" i="3"/>
  <c r="G498" i="3"/>
  <c r="A499" i="3"/>
  <c r="G499" i="3"/>
  <c r="A500" i="3"/>
  <c r="C500" i="3"/>
  <c r="G500" i="3"/>
  <c r="A501" i="3"/>
  <c r="G501" i="3"/>
  <c r="A502" i="3"/>
  <c r="C502" i="3"/>
  <c r="G502" i="3"/>
  <c r="A474" i="3"/>
  <c r="C474" i="3"/>
  <c r="G474" i="3"/>
  <c r="A475" i="3"/>
  <c r="G475" i="3"/>
  <c r="A476" i="3"/>
  <c r="G476" i="3"/>
  <c r="A503" i="3"/>
  <c r="C503" i="3"/>
  <c r="G503" i="3"/>
  <c r="A504" i="3"/>
  <c r="G504" i="3"/>
  <c r="A505" i="3"/>
  <c r="G505" i="3"/>
  <c r="A506" i="3"/>
  <c r="C506" i="3"/>
  <c r="G506" i="3"/>
  <c r="A507" i="3"/>
  <c r="G507" i="3"/>
  <c r="A508" i="3"/>
  <c r="G508" i="3"/>
  <c r="A509" i="3"/>
  <c r="C509" i="3"/>
  <c r="G509" i="3"/>
  <c r="A510" i="3"/>
  <c r="G510" i="3"/>
  <c r="A511" i="3"/>
  <c r="C511" i="3"/>
  <c r="G511" i="3"/>
  <c r="A512" i="3"/>
  <c r="G512" i="3"/>
  <c r="A513" i="3"/>
  <c r="G513" i="3"/>
  <c r="A514" i="3"/>
  <c r="G514" i="3"/>
  <c r="A515" i="3"/>
  <c r="G515" i="3"/>
  <c r="A516" i="3"/>
  <c r="G516" i="3"/>
  <c r="A517" i="3"/>
  <c r="C517" i="3"/>
  <c r="G517" i="3"/>
  <c r="A107" i="2"/>
  <c r="C107" i="2"/>
  <c r="A108" i="2"/>
  <c r="C108" i="2"/>
  <c r="A109" i="2"/>
  <c r="C109" i="2"/>
  <c r="A110" i="2"/>
  <c r="C110" i="2"/>
  <c r="A111" i="2"/>
  <c r="C111" i="2"/>
  <c r="A112" i="2"/>
  <c r="C112" i="2"/>
  <c r="A113" i="2"/>
  <c r="C113" i="2"/>
  <c r="A114" i="2"/>
  <c r="C114" i="2"/>
  <c r="A115" i="2"/>
  <c r="C115" i="2"/>
  <c r="A116" i="2"/>
  <c r="C116" i="2"/>
  <c r="A117" i="2"/>
  <c r="C117" i="2"/>
  <c r="A118" i="2"/>
  <c r="C118" i="2"/>
  <c r="A119" i="2"/>
  <c r="C119" i="2"/>
  <c r="A120" i="2"/>
  <c r="C120" i="2"/>
  <c r="A121" i="2"/>
  <c r="C121" i="2"/>
  <c r="A122" i="2"/>
  <c r="C122" i="2"/>
  <c r="A123" i="2"/>
  <c r="C123" i="2"/>
  <c r="C472" i="3"/>
  <c r="C468" i="3"/>
  <c r="C469" i="3"/>
  <c r="C470" i="3"/>
  <c r="C463" i="3"/>
  <c r="C464" i="3"/>
  <c r="C465" i="3"/>
  <c r="C466" i="3"/>
  <c r="A464" i="3"/>
  <c r="G464" i="3"/>
  <c r="A465" i="3"/>
  <c r="G465" i="3"/>
  <c r="A466" i="3"/>
  <c r="G466" i="3"/>
  <c r="A467" i="3"/>
  <c r="C467" i="3"/>
  <c r="G467" i="3"/>
  <c r="A468" i="3"/>
  <c r="G468" i="3"/>
  <c r="A469" i="3"/>
  <c r="G469" i="3"/>
  <c r="A470" i="3"/>
  <c r="G470" i="3"/>
  <c r="A471" i="3"/>
  <c r="C471" i="3"/>
  <c r="G471" i="3"/>
  <c r="A472" i="3"/>
  <c r="G472" i="3"/>
  <c r="C460" i="3"/>
  <c r="C456" i="3"/>
  <c r="C457" i="3"/>
  <c r="C454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34" i="3"/>
  <c r="C435" i="3"/>
  <c r="C436" i="3"/>
  <c r="C437" i="3"/>
  <c r="C438" i="3"/>
  <c r="A434" i="3"/>
  <c r="G434" i="3"/>
  <c r="A435" i="3"/>
  <c r="G435" i="3"/>
  <c r="A436" i="3"/>
  <c r="G436" i="3"/>
  <c r="A437" i="3"/>
  <c r="G437" i="3"/>
  <c r="A438" i="3"/>
  <c r="G438" i="3"/>
  <c r="A439" i="3"/>
  <c r="C439" i="3"/>
  <c r="G439" i="3"/>
  <c r="A440" i="3"/>
  <c r="G440" i="3"/>
  <c r="A441" i="3"/>
  <c r="G441" i="3"/>
  <c r="A442" i="3"/>
  <c r="G442" i="3"/>
  <c r="A443" i="3"/>
  <c r="G443" i="3"/>
  <c r="A444" i="3"/>
  <c r="G444" i="3"/>
  <c r="A445" i="3"/>
  <c r="G445" i="3"/>
  <c r="A446" i="3"/>
  <c r="G446" i="3"/>
  <c r="A447" i="3"/>
  <c r="G447" i="3"/>
  <c r="A448" i="3"/>
  <c r="G448" i="3"/>
  <c r="A449" i="3"/>
  <c r="G449" i="3"/>
  <c r="A450" i="3"/>
  <c r="G450" i="3"/>
  <c r="A451" i="3"/>
  <c r="G451" i="3"/>
  <c r="A452" i="3"/>
  <c r="G452" i="3"/>
  <c r="A453" i="3"/>
  <c r="C453" i="3"/>
  <c r="G453" i="3"/>
  <c r="A454" i="3"/>
  <c r="G454" i="3"/>
  <c r="A455" i="3"/>
  <c r="C455" i="3"/>
  <c r="G455" i="3"/>
  <c r="A456" i="3"/>
  <c r="G456" i="3"/>
  <c r="A457" i="3"/>
  <c r="G457" i="3"/>
  <c r="A458" i="3"/>
  <c r="C458" i="3"/>
  <c r="G458" i="3"/>
  <c r="A459" i="3"/>
  <c r="C459" i="3"/>
  <c r="G459" i="3"/>
  <c r="A460" i="3"/>
  <c r="G460" i="3"/>
  <c r="A461" i="3"/>
  <c r="C461" i="3"/>
  <c r="G461" i="3"/>
  <c r="A462" i="3"/>
  <c r="C462" i="3"/>
  <c r="G462" i="3"/>
  <c r="A463" i="3"/>
  <c r="G463" i="3"/>
  <c r="A473" i="3"/>
  <c r="F100" i="2"/>
  <c r="U100" i="2" s="1"/>
  <c r="A96" i="2"/>
  <c r="C96" i="2"/>
  <c r="A97" i="2"/>
  <c r="C97" i="2"/>
  <c r="A98" i="2"/>
  <c r="C98" i="2"/>
  <c r="A99" i="2"/>
  <c r="C99" i="2"/>
  <c r="A100" i="2"/>
  <c r="C100" i="2"/>
  <c r="A101" i="2"/>
  <c r="C101" i="2"/>
  <c r="A102" i="2"/>
  <c r="C102" i="2"/>
  <c r="A103" i="2"/>
  <c r="C103" i="2"/>
  <c r="A104" i="2"/>
  <c r="C104" i="2"/>
  <c r="A105" i="2"/>
  <c r="C105" i="2"/>
  <c r="A106" i="2"/>
  <c r="C106" i="2"/>
  <c r="C425" i="3"/>
  <c r="C426" i="3"/>
  <c r="C427" i="3"/>
  <c r="C428" i="3"/>
  <c r="C429" i="3"/>
  <c r="C430" i="3"/>
  <c r="C431" i="3"/>
  <c r="C432" i="3"/>
  <c r="C419" i="3"/>
  <c r="C420" i="3"/>
  <c r="C421" i="3"/>
  <c r="C422" i="3"/>
  <c r="C410" i="3"/>
  <c r="C411" i="3"/>
  <c r="C412" i="3"/>
  <c r="C413" i="3"/>
  <c r="C414" i="3"/>
  <c r="C415" i="3"/>
  <c r="C416" i="3"/>
  <c r="C407" i="3"/>
  <c r="C408" i="3"/>
  <c r="C401" i="3"/>
  <c r="C402" i="3"/>
  <c r="C403" i="3"/>
  <c r="C404" i="3"/>
  <c r="C405" i="3"/>
  <c r="A402" i="3"/>
  <c r="G402" i="3"/>
  <c r="A403" i="3"/>
  <c r="G403" i="3"/>
  <c r="A404" i="3"/>
  <c r="G404" i="3"/>
  <c r="A405" i="3"/>
  <c r="G405" i="3"/>
  <c r="A406" i="3"/>
  <c r="C406" i="3"/>
  <c r="G406" i="3"/>
  <c r="A407" i="3"/>
  <c r="G407" i="3"/>
  <c r="A408" i="3"/>
  <c r="G408" i="3"/>
  <c r="A409" i="3"/>
  <c r="C409" i="3"/>
  <c r="G409" i="3"/>
  <c r="A410" i="3"/>
  <c r="G410" i="3"/>
  <c r="A411" i="3"/>
  <c r="G411" i="3"/>
  <c r="A412" i="3"/>
  <c r="G412" i="3"/>
  <c r="A413" i="3"/>
  <c r="G413" i="3"/>
  <c r="A414" i="3"/>
  <c r="G414" i="3"/>
  <c r="A415" i="3"/>
  <c r="G415" i="3"/>
  <c r="A416" i="3"/>
  <c r="G416" i="3"/>
  <c r="A417" i="3"/>
  <c r="C417" i="3"/>
  <c r="G417" i="3"/>
  <c r="A418" i="3"/>
  <c r="C418" i="3"/>
  <c r="G418" i="3"/>
  <c r="A419" i="3"/>
  <c r="G419" i="3"/>
  <c r="A420" i="3"/>
  <c r="G420" i="3"/>
  <c r="A421" i="3"/>
  <c r="G421" i="3"/>
  <c r="A422" i="3"/>
  <c r="G422" i="3"/>
  <c r="A423" i="3"/>
  <c r="C423" i="3"/>
  <c r="G423" i="3"/>
  <c r="A424" i="3"/>
  <c r="C424" i="3"/>
  <c r="G424" i="3"/>
  <c r="A425" i="3"/>
  <c r="G425" i="3"/>
  <c r="A426" i="3"/>
  <c r="G426" i="3"/>
  <c r="A427" i="3"/>
  <c r="G427" i="3"/>
  <c r="A428" i="3"/>
  <c r="G428" i="3"/>
  <c r="A429" i="3"/>
  <c r="G429" i="3"/>
  <c r="A430" i="3"/>
  <c r="G430" i="3"/>
  <c r="A431" i="3"/>
  <c r="G431" i="3"/>
  <c r="A432" i="3"/>
  <c r="G432" i="3"/>
  <c r="A433" i="3"/>
  <c r="C433" i="3"/>
  <c r="G433" i="3"/>
  <c r="A401" i="3"/>
  <c r="G401" i="3"/>
  <c r="E71" i="2"/>
  <c r="J68" i="2"/>
  <c r="J65" i="2"/>
  <c r="U65" i="2" s="1"/>
  <c r="J64" i="2"/>
  <c r="U64" i="2" s="1"/>
  <c r="J87" i="2"/>
  <c r="U87" i="2" s="1"/>
  <c r="E84" i="2"/>
  <c r="J84" i="2"/>
  <c r="E82" i="2"/>
  <c r="J82" i="2"/>
  <c r="E93" i="2"/>
  <c r="U93" i="2" s="1"/>
  <c r="C95" i="2"/>
  <c r="A95" i="2"/>
  <c r="A94" i="2"/>
  <c r="C93" i="2"/>
  <c r="A93" i="2"/>
  <c r="F91" i="2"/>
  <c r="U91" i="2" s="1"/>
  <c r="A91" i="2"/>
  <c r="C91" i="2"/>
  <c r="A92" i="2"/>
  <c r="C92" i="2"/>
  <c r="J88" i="2"/>
  <c r="U88" i="2" s="1"/>
  <c r="J86" i="2"/>
  <c r="U86" i="2" s="1"/>
  <c r="J85" i="2"/>
  <c r="U85" i="2" s="1"/>
  <c r="O79" i="2"/>
  <c r="U79" i="2" s="1"/>
  <c r="E77" i="2"/>
  <c r="U77" i="2" s="1"/>
  <c r="E78" i="2"/>
  <c r="U78" i="2" s="1"/>
  <c r="J75" i="2"/>
  <c r="U75" i="2" s="1"/>
  <c r="J74" i="2"/>
  <c r="U74" i="2" s="1"/>
  <c r="J73" i="2"/>
  <c r="U73" i="2" s="1"/>
  <c r="J72" i="2"/>
  <c r="U72" i="2" s="1"/>
  <c r="J71" i="2"/>
  <c r="I6" i="29" s="1"/>
  <c r="A72" i="2"/>
  <c r="C72" i="2"/>
  <c r="A73" i="2"/>
  <c r="C73" i="2"/>
  <c r="A74" i="2"/>
  <c r="C74" i="2"/>
  <c r="A75" i="2"/>
  <c r="C75" i="2"/>
  <c r="A76" i="2"/>
  <c r="A77" i="2"/>
  <c r="C77" i="2"/>
  <c r="A78" i="2"/>
  <c r="C78" i="2"/>
  <c r="A79" i="2"/>
  <c r="C79" i="2"/>
  <c r="A80" i="2"/>
  <c r="A81" i="2"/>
  <c r="C81" i="2"/>
  <c r="A82" i="2"/>
  <c r="C82" i="2"/>
  <c r="A83" i="2"/>
  <c r="C83" i="2"/>
  <c r="A84" i="2"/>
  <c r="C84" i="2"/>
  <c r="A85" i="2"/>
  <c r="C85" i="2"/>
  <c r="A86" i="2"/>
  <c r="C86" i="2"/>
  <c r="A87" i="2"/>
  <c r="F68" i="2"/>
  <c r="F66" i="2"/>
  <c r="U66" i="2" s="1"/>
  <c r="E53" i="2"/>
  <c r="F61" i="2"/>
  <c r="U61" i="2" s="1"/>
  <c r="F58" i="2"/>
  <c r="U58" i="2" s="1"/>
  <c r="F56" i="2"/>
  <c r="U56" i="2" s="1"/>
  <c r="E55" i="2"/>
  <c r="U55" i="2" s="1"/>
  <c r="J54" i="2"/>
  <c r="U54" i="2" s="1"/>
  <c r="J53" i="2"/>
  <c r="J52" i="2"/>
  <c r="U52" i="2" s="1"/>
  <c r="A53" i="2"/>
  <c r="C53" i="2"/>
  <c r="A54" i="2"/>
  <c r="C54" i="2"/>
  <c r="A55" i="2"/>
  <c r="C55" i="2"/>
  <c r="A56" i="2"/>
  <c r="C56" i="2"/>
  <c r="A57" i="2"/>
  <c r="C57" i="2"/>
  <c r="A58" i="2"/>
  <c r="C58" i="2"/>
  <c r="A59" i="2"/>
  <c r="C59" i="2"/>
  <c r="A60" i="2"/>
  <c r="C60" i="2"/>
  <c r="A61" i="2"/>
  <c r="C61" i="2"/>
  <c r="A62" i="2"/>
  <c r="C62" i="2"/>
  <c r="A63" i="2"/>
  <c r="A64" i="2"/>
  <c r="C64" i="2"/>
  <c r="A65" i="2"/>
  <c r="C65" i="2"/>
  <c r="A66" i="2"/>
  <c r="C66" i="2"/>
  <c r="A67" i="2"/>
  <c r="C67" i="2"/>
  <c r="A68" i="2"/>
  <c r="C68" i="2"/>
  <c r="A69" i="2"/>
  <c r="C69" i="2"/>
  <c r="A70" i="2"/>
  <c r="C70" i="2"/>
  <c r="A71" i="2"/>
  <c r="C71" i="2"/>
  <c r="A88" i="2"/>
  <c r="C88" i="2"/>
  <c r="A89" i="2"/>
  <c r="C89" i="2"/>
  <c r="A90" i="2"/>
  <c r="C90" i="2"/>
  <c r="H423" i="3" l="1"/>
  <c r="I423" i="3" s="1"/>
  <c r="H416" i="3"/>
  <c r="I416" i="3" s="1"/>
  <c r="H451" i="3"/>
  <c r="I451" i="3" s="1"/>
  <c r="H424" i="3"/>
  <c r="I424" i="3" s="1"/>
  <c r="H410" i="3"/>
  <c r="I410" i="3" s="1"/>
  <c r="H431" i="3"/>
  <c r="I431" i="3" s="1"/>
  <c r="H427" i="3"/>
  <c r="I427" i="3" s="1"/>
  <c r="H420" i="3"/>
  <c r="I420" i="3" s="1"/>
  <c r="H413" i="3"/>
  <c r="I413" i="3" s="1"/>
  <c r="H409" i="3"/>
  <c r="I409" i="3" s="1"/>
  <c r="H402" i="3"/>
  <c r="I402" i="3" s="1"/>
  <c r="I455" i="3"/>
  <c r="H452" i="3"/>
  <c r="I452" i="3" s="1"/>
  <c r="H448" i="3"/>
  <c r="I448" i="3" s="1"/>
  <c r="H444" i="3"/>
  <c r="I444" i="3" s="1"/>
  <c r="H440" i="3"/>
  <c r="I440" i="3" s="1"/>
  <c r="H467" i="3"/>
  <c r="I467" i="3" s="1"/>
  <c r="H515" i="3"/>
  <c r="I515" i="3" s="1"/>
  <c r="H511" i="3"/>
  <c r="I511" i="3" s="1"/>
  <c r="H508" i="3"/>
  <c r="I508" i="3" s="1"/>
  <c r="H475" i="3"/>
  <c r="I475" i="3" s="1"/>
  <c r="H501" i="3"/>
  <c r="I501" i="3" s="1"/>
  <c r="H491" i="3"/>
  <c r="I491" i="3" s="1"/>
  <c r="H522" i="3"/>
  <c r="I522" i="3" s="1"/>
  <c r="H461" i="3"/>
  <c r="I461" i="3" s="1"/>
  <c r="H504" i="3"/>
  <c r="I504" i="3" s="1"/>
  <c r="H487" i="3"/>
  <c r="I487" i="3" s="1"/>
  <c r="H477" i="3"/>
  <c r="I477" i="3" s="1"/>
  <c r="H518" i="3"/>
  <c r="I518" i="3" s="1"/>
  <c r="H436" i="3"/>
  <c r="I436" i="3" s="1"/>
  <c r="H447" i="3"/>
  <c r="I447" i="3" s="1"/>
  <c r="H474" i="3"/>
  <c r="I474" i="3" s="1"/>
  <c r="H497" i="3"/>
  <c r="I497" i="3" s="1"/>
  <c r="H490" i="3"/>
  <c r="I490" i="3" s="1"/>
  <c r="H480" i="3"/>
  <c r="I480" i="3" s="1"/>
  <c r="H433" i="3"/>
  <c r="I433" i="3" s="1"/>
  <c r="H454" i="3"/>
  <c r="I454" i="3" s="1"/>
  <c r="H435" i="3"/>
  <c r="I435" i="3" s="1"/>
  <c r="H466" i="3"/>
  <c r="I466" i="3" s="1"/>
  <c r="H517" i="3"/>
  <c r="I517" i="3" s="1"/>
  <c r="H510" i="3"/>
  <c r="I510" i="3" s="1"/>
  <c r="H503" i="3"/>
  <c r="I503" i="3" s="1"/>
  <c r="H486" i="3"/>
  <c r="I486" i="3" s="1"/>
  <c r="H521" i="3"/>
  <c r="I521" i="3" s="1"/>
  <c r="H458" i="3"/>
  <c r="I458" i="3" s="1"/>
  <c r="H419" i="3"/>
  <c r="I419" i="3" s="1"/>
  <c r="H443" i="3"/>
  <c r="I443" i="3" s="1"/>
  <c r="H470" i="3"/>
  <c r="I470" i="3" s="1"/>
  <c r="H514" i="3"/>
  <c r="I514" i="3" s="1"/>
  <c r="H500" i="3"/>
  <c r="I500" i="3" s="1"/>
  <c r="H494" i="3"/>
  <c r="I494" i="3" s="1"/>
  <c r="H483" i="3"/>
  <c r="I483" i="3" s="1"/>
  <c r="H408" i="3"/>
  <c r="I408" i="3" s="1"/>
  <c r="H429" i="3"/>
  <c r="I429" i="3" s="1"/>
  <c r="H425" i="3"/>
  <c r="I425" i="3" s="1"/>
  <c r="H422" i="3"/>
  <c r="I422" i="3" s="1"/>
  <c r="H418" i="3"/>
  <c r="I418" i="3" s="1"/>
  <c r="H415" i="3"/>
  <c r="I415" i="3" s="1"/>
  <c r="H411" i="3"/>
  <c r="I411" i="3" s="1"/>
  <c r="H404" i="3"/>
  <c r="I404" i="3" s="1"/>
  <c r="H463" i="3"/>
  <c r="I463" i="3" s="1"/>
  <c r="H460" i="3"/>
  <c r="I460" i="3" s="1"/>
  <c r="I457" i="3"/>
  <c r="H450" i="3"/>
  <c r="I450" i="3" s="1"/>
  <c r="H446" i="3"/>
  <c r="I446" i="3" s="1"/>
  <c r="H442" i="3"/>
  <c r="I442" i="3" s="1"/>
  <c r="H469" i="3"/>
  <c r="I469" i="3" s="1"/>
  <c r="H513" i="3"/>
  <c r="I513" i="3" s="1"/>
  <c r="H506" i="3"/>
  <c r="I506" i="3" s="1"/>
  <c r="H493" i="3"/>
  <c r="I493" i="3" s="1"/>
  <c r="H489" i="3"/>
  <c r="I489" i="3" s="1"/>
  <c r="H482" i="3"/>
  <c r="I482" i="3" s="1"/>
  <c r="H479" i="3"/>
  <c r="I479" i="3" s="1"/>
  <c r="H430" i="3"/>
  <c r="I430" i="3" s="1"/>
  <c r="H405" i="3"/>
  <c r="I405" i="3" s="1"/>
  <c r="H407" i="3"/>
  <c r="I407" i="3" s="1"/>
  <c r="H453" i="3"/>
  <c r="I453" i="3" s="1"/>
  <c r="H438" i="3"/>
  <c r="I438" i="3" s="1"/>
  <c r="H434" i="3"/>
  <c r="I434" i="3" s="1"/>
  <c r="H472" i="3"/>
  <c r="I472" i="3" s="1"/>
  <c r="H465" i="3"/>
  <c r="I465" i="3" s="1"/>
  <c r="H509" i="3"/>
  <c r="I509" i="3" s="1"/>
  <c r="H502" i="3"/>
  <c r="I502" i="3" s="1"/>
  <c r="H499" i="3"/>
  <c r="I499" i="3" s="1"/>
  <c r="H496" i="3"/>
  <c r="I496" i="3" s="1"/>
  <c r="H485" i="3"/>
  <c r="I485" i="3" s="1"/>
  <c r="H520" i="3"/>
  <c r="I520" i="3" s="1"/>
  <c r="H426" i="3"/>
  <c r="I426" i="3" s="1"/>
  <c r="H439" i="3"/>
  <c r="I439" i="3" s="1"/>
  <c r="H507" i="3"/>
  <c r="I507" i="3" s="1"/>
  <c r="H432" i="3"/>
  <c r="I432" i="3" s="1"/>
  <c r="H421" i="3"/>
  <c r="I421" i="3" s="1"/>
  <c r="H403" i="3"/>
  <c r="I403" i="3" s="1"/>
  <c r="H462" i="3"/>
  <c r="I462" i="3" s="1"/>
  <c r="H459" i="3"/>
  <c r="I459" i="3" s="1"/>
  <c r="I456" i="3"/>
  <c r="H449" i="3"/>
  <c r="I449" i="3" s="1"/>
  <c r="H445" i="3"/>
  <c r="I445" i="3" s="1"/>
  <c r="H441" i="3"/>
  <c r="I441" i="3" s="1"/>
  <c r="H468" i="3"/>
  <c r="I468" i="3" s="1"/>
  <c r="H516" i="3"/>
  <c r="I516" i="3" s="1"/>
  <c r="H512" i="3"/>
  <c r="I512" i="3" s="1"/>
  <c r="H476" i="3"/>
  <c r="I476" i="3" s="1"/>
  <c r="H492" i="3"/>
  <c r="I492" i="3" s="1"/>
  <c r="H488" i="3"/>
  <c r="I488" i="3" s="1"/>
  <c r="H401" i="3"/>
  <c r="I401" i="3" s="1"/>
  <c r="H412" i="3"/>
  <c r="I412" i="3" s="1"/>
  <c r="H428" i="3"/>
  <c r="I428" i="3" s="1"/>
  <c r="H414" i="3"/>
  <c r="I414" i="3" s="1"/>
  <c r="H417" i="3"/>
  <c r="I417" i="3" s="1"/>
  <c r="H406" i="3"/>
  <c r="I406" i="3" s="1"/>
  <c r="H437" i="3"/>
  <c r="I437" i="3" s="1"/>
  <c r="H471" i="3"/>
  <c r="I471" i="3" s="1"/>
  <c r="H464" i="3"/>
  <c r="I464" i="3" s="1"/>
  <c r="H505" i="3"/>
  <c r="I505" i="3" s="1"/>
  <c r="H498" i="3"/>
  <c r="I498" i="3" s="1"/>
  <c r="H495" i="3"/>
  <c r="I495" i="3" s="1"/>
  <c r="H484" i="3"/>
  <c r="I484" i="3" s="1"/>
  <c r="H481" i="3"/>
  <c r="I481" i="3" s="1"/>
  <c r="H478" i="3"/>
  <c r="I478" i="3" s="1"/>
  <c r="H519" i="3"/>
  <c r="I519" i="3" s="1"/>
  <c r="U53" i="2"/>
  <c r="U84" i="2"/>
  <c r="U71" i="2"/>
  <c r="U82" i="2"/>
  <c r="U68" i="2"/>
  <c r="O50" i="2"/>
  <c r="O349" i="2" s="1"/>
  <c r="J49" i="2"/>
  <c r="U49" i="2" s="1"/>
  <c r="J48" i="2"/>
  <c r="C398" i="3"/>
  <c r="C399" i="3"/>
  <c r="C395" i="3"/>
  <c r="C396" i="3"/>
  <c r="C393" i="3"/>
  <c r="C391" i="3"/>
  <c r="C386" i="3"/>
  <c r="C387" i="3"/>
  <c r="C388" i="3"/>
  <c r="C389" i="3"/>
  <c r="E383" i="3"/>
  <c r="G383" i="3" s="1"/>
  <c r="E382" i="3"/>
  <c r="G382" i="3" s="1"/>
  <c r="C383" i="3"/>
  <c r="C384" i="3"/>
  <c r="C381" i="3"/>
  <c r="C377" i="3"/>
  <c r="C378" i="3"/>
  <c r="C379" i="3"/>
  <c r="C373" i="3"/>
  <c r="C374" i="3"/>
  <c r="C375" i="3"/>
  <c r="C370" i="3"/>
  <c r="C371" i="3"/>
  <c r="C366" i="3"/>
  <c r="C367" i="3"/>
  <c r="C368" i="3"/>
  <c r="C363" i="3"/>
  <c r="C362" i="3"/>
  <c r="C360" i="3"/>
  <c r="C361" i="3"/>
  <c r="A360" i="3"/>
  <c r="G360" i="3"/>
  <c r="A361" i="3"/>
  <c r="G361" i="3"/>
  <c r="A362" i="3"/>
  <c r="A363" i="3"/>
  <c r="A364" i="3"/>
  <c r="C364" i="3"/>
  <c r="A365" i="3"/>
  <c r="C365" i="3"/>
  <c r="G365" i="3"/>
  <c r="A366" i="3"/>
  <c r="G366" i="3"/>
  <c r="A367" i="3"/>
  <c r="G367" i="3"/>
  <c r="A368" i="3"/>
  <c r="G368" i="3"/>
  <c r="A369" i="3"/>
  <c r="C369" i="3"/>
  <c r="G369" i="3"/>
  <c r="A370" i="3"/>
  <c r="G370" i="3"/>
  <c r="A371" i="3"/>
  <c r="G371" i="3"/>
  <c r="A372" i="3"/>
  <c r="C372" i="3"/>
  <c r="G372" i="3"/>
  <c r="A373" i="3"/>
  <c r="G373" i="3"/>
  <c r="A374" i="3"/>
  <c r="G374" i="3"/>
  <c r="A375" i="3"/>
  <c r="G375" i="3"/>
  <c r="A376" i="3"/>
  <c r="C376" i="3"/>
  <c r="G376" i="3"/>
  <c r="A377" i="3"/>
  <c r="G377" i="3"/>
  <c r="A378" i="3"/>
  <c r="G378" i="3"/>
  <c r="A379" i="3"/>
  <c r="G379" i="3"/>
  <c r="A380" i="3"/>
  <c r="C380" i="3"/>
  <c r="G380" i="3"/>
  <c r="A381" i="3"/>
  <c r="G381" i="3"/>
  <c r="A382" i="3"/>
  <c r="C382" i="3"/>
  <c r="A383" i="3"/>
  <c r="A384" i="3"/>
  <c r="G384" i="3"/>
  <c r="A385" i="3"/>
  <c r="C385" i="3"/>
  <c r="G385" i="3"/>
  <c r="A386" i="3"/>
  <c r="G386" i="3"/>
  <c r="A387" i="3"/>
  <c r="G387" i="3"/>
  <c r="A388" i="3"/>
  <c r="G388" i="3"/>
  <c r="A389" i="3"/>
  <c r="G389" i="3"/>
  <c r="A390" i="3"/>
  <c r="C390" i="3"/>
  <c r="G390" i="3"/>
  <c r="A391" i="3"/>
  <c r="G391" i="3"/>
  <c r="A392" i="3"/>
  <c r="C392" i="3"/>
  <c r="G392" i="3"/>
  <c r="A393" i="3"/>
  <c r="G393" i="3"/>
  <c r="A394" i="3"/>
  <c r="C394" i="3"/>
  <c r="G394" i="3"/>
  <c r="A395" i="3"/>
  <c r="G395" i="3"/>
  <c r="A396" i="3"/>
  <c r="G396" i="3"/>
  <c r="A397" i="3"/>
  <c r="C397" i="3"/>
  <c r="G397" i="3"/>
  <c r="A398" i="3"/>
  <c r="G398" i="3"/>
  <c r="A399" i="3"/>
  <c r="G399" i="3"/>
  <c r="A400" i="3"/>
  <c r="C400" i="3"/>
  <c r="G400" i="3"/>
  <c r="A359" i="3"/>
  <c r="C359" i="3"/>
  <c r="G359" i="3"/>
  <c r="C356" i="3"/>
  <c r="C357" i="3"/>
  <c r="C358" i="3"/>
  <c r="C351" i="3"/>
  <c r="C352" i="3"/>
  <c r="C353" i="3"/>
  <c r="C354" i="3"/>
  <c r="C342" i="3"/>
  <c r="C343" i="3"/>
  <c r="C344" i="3"/>
  <c r="C345" i="3"/>
  <c r="C346" i="3"/>
  <c r="C347" i="3"/>
  <c r="C348" i="3"/>
  <c r="C349" i="3"/>
  <c r="C338" i="3"/>
  <c r="C339" i="3"/>
  <c r="C335" i="3"/>
  <c r="C336" i="3"/>
  <c r="C333" i="3"/>
  <c r="C330" i="3"/>
  <c r="C331" i="3"/>
  <c r="A330" i="3"/>
  <c r="G330" i="3"/>
  <c r="A331" i="3"/>
  <c r="G331" i="3"/>
  <c r="A332" i="3"/>
  <c r="C332" i="3"/>
  <c r="G332" i="3"/>
  <c r="A333" i="3"/>
  <c r="G333" i="3"/>
  <c r="A334" i="3"/>
  <c r="C334" i="3"/>
  <c r="G334" i="3"/>
  <c r="A335" i="3"/>
  <c r="G335" i="3"/>
  <c r="A336" i="3"/>
  <c r="G336" i="3"/>
  <c r="A337" i="3"/>
  <c r="C337" i="3"/>
  <c r="G337" i="3"/>
  <c r="A338" i="3"/>
  <c r="G338" i="3"/>
  <c r="A339" i="3"/>
  <c r="G339" i="3"/>
  <c r="A340" i="3"/>
  <c r="C340" i="3"/>
  <c r="G340" i="3"/>
  <c r="A341" i="3"/>
  <c r="C341" i="3"/>
  <c r="G341" i="3"/>
  <c r="A342" i="3"/>
  <c r="G342" i="3"/>
  <c r="G329" i="3"/>
  <c r="C329" i="3"/>
  <c r="A329" i="3"/>
  <c r="C322" i="3"/>
  <c r="C323" i="3"/>
  <c r="C324" i="3"/>
  <c r="C325" i="3"/>
  <c r="C326" i="3"/>
  <c r="C327" i="3"/>
  <c r="C328" i="3"/>
  <c r="C317" i="3"/>
  <c r="C318" i="3"/>
  <c r="C319" i="3"/>
  <c r="C320" i="3"/>
  <c r="C306" i="3"/>
  <c r="C307" i="3"/>
  <c r="C308" i="3"/>
  <c r="C309" i="3"/>
  <c r="C310" i="3"/>
  <c r="C311" i="3"/>
  <c r="C312" i="3"/>
  <c r="C313" i="3"/>
  <c r="C314" i="3"/>
  <c r="C315" i="3"/>
  <c r="C300" i="3"/>
  <c r="C301" i="3"/>
  <c r="C302" i="3"/>
  <c r="C303" i="3"/>
  <c r="C294" i="3"/>
  <c r="C295" i="3"/>
  <c r="C296" i="3"/>
  <c r="C297" i="3"/>
  <c r="C298" i="3"/>
  <c r="C287" i="3"/>
  <c r="C288" i="3"/>
  <c r="C289" i="3"/>
  <c r="C290" i="3"/>
  <c r="C291" i="3"/>
  <c r="C292" i="3"/>
  <c r="C282" i="3"/>
  <c r="C283" i="3"/>
  <c r="C284" i="3"/>
  <c r="C285" i="3"/>
  <c r="C276" i="3"/>
  <c r="C277" i="3"/>
  <c r="C278" i="3"/>
  <c r="C279" i="3"/>
  <c r="C280" i="3"/>
  <c r="C271" i="3"/>
  <c r="C272" i="3"/>
  <c r="C273" i="3"/>
  <c r="C274" i="3"/>
  <c r="C265" i="3"/>
  <c r="C266" i="3"/>
  <c r="C267" i="3"/>
  <c r="C268" i="3"/>
  <c r="C269" i="3"/>
  <c r="C259" i="3"/>
  <c r="C260" i="3"/>
  <c r="C261" i="3"/>
  <c r="C262" i="3"/>
  <c r="C263" i="3"/>
  <c r="C255" i="3"/>
  <c r="C256" i="3"/>
  <c r="C257" i="3"/>
  <c r="C250" i="3"/>
  <c r="C251" i="3"/>
  <c r="C252" i="3"/>
  <c r="C253" i="3"/>
  <c r="C246" i="3"/>
  <c r="C247" i="3"/>
  <c r="C248" i="3"/>
  <c r="C249" i="3"/>
  <c r="C241" i="3"/>
  <c r="C242" i="3"/>
  <c r="C243" i="3"/>
  <c r="C244" i="3"/>
  <c r="C239" i="3"/>
  <c r="C231" i="3"/>
  <c r="C232" i="3"/>
  <c r="C233" i="3"/>
  <c r="C234" i="3"/>
  <c r="C235" i="3"/>
  <c r="C227" i="3"/>
  <c r="C225" i="3"/>
  <c r="C222" i="3"/>
  <c r="C216" i="3"/>
  <c r="C217" i="3"/>
  <c r="C218" i="3"/>
  <c r="C219" i="3"/>
  <c r="C220" i="3"/>
  <c r="C214" i="3"/>
  <c r="C212" i="3"/>
  <c r="C206" i="3"/>
  <c r="C207" i="3"/>
  <c r="C208" i="3"/>
  <c r="C202" i="3"/>
  <c r="C203" i="3"/>
  <c r="C204" i="3"/>
  <c r="A197" i="3"/>
  <c r="C197" i="3"/>
  <c r="A198" i="3"/>
  <c r="C198" i="3"/>
  <c r="A199" i="3"/>
  <c r="C199" i="3"/>
  <c r="C192" i="3"/>
  <c r="C193" i="3"/>
  <c r="C194" i="3"/>
  <c r="C195" i="3"/>
  <c r="C184" i="3"/>
  <c r="C185" i="3"/>
  <c r="C186" i="3"/>
  <c r="C187" i="3"/>
  <c r="C188" i="3"/>
  <c r="C189" i="3"/>
  <c r="C190" i="3"/>
  <c r="C181" i="3"/>
  <c r="C182" i="3"/>
  <c r="C174" i="3"/>
  <c r="C175" i="3"/>
  <c r="C176" i="3"/>
  <c r="C177" i="3"/>
  <c r="C178" i="3"/>
  <c r="C179" i="3"/>
  <c r="C172" i="3"/>
  <c r="C167" i="3"/>
  <c r="C168" i="3"/>
  <c r="C169" i="3"/>
  <c r="C170" i="3"/>
  <c r="C160" i="3"/>
  <c r="C161" i="3"/>
  <c r="C162" i="3"/>
  <c r="C163" i="3"/>
  <c r="C164" i="3"/>
  <c r="C165" i="3"/>
  <c r="C155" i="3"/>
  <c r="C156" i="3"/>
  <c r="C157" i="3"/>
  <c r="C158" i="3"/>
  <c r="A155" i="3"/>
  <c r="G155" i="3"/>
  <c r="A156" i="3"/>
  <c r="G156" i="3"/>
  <c r="A157" i="3"/>
  <c r="G157" i="3"/>
  <c r="A158" i="3"/>
  <c r="G158" i="3"/>
  <c r="A159" i="3"/>
  <c r="C159" i="3"/>
  <c r="G159" i="3"/>
  <c r="A160" i="3"/>
  <c r="G160" i="3"/>
  <c r="A161" i="3"/>
  <c r="G161" i="3"/>
  <c r="A162" i="3"/>
  <c r="G162" i="3"/>
  <c r="A163" i="3"/>
  <c r="G163" i="3"/>
  <c r="A164" i="3"/>
  <c r="G164" i="3"/>
  <c r="A165" i="3"/>
  <c r="G165" i="3"/>
  <c r="A166" i="3"/>
  <c r="C166" i="3"/>
  <c r="G166" i="3"/>
  <c r="A167" i="3"/>
  <c r="G167" i="3"/>
  <c r="A168" i="3"/>
  <c r="G168" i="3"/>
  <c r="A169" i="3"/>
  <c r="G169" i="3"/>
  <c r="A170" i="3"/>
  <c r="G170" i="3"/>
  <c r="A171" i="3"/>
  <c r="C171" i="3"/>
  <c r="G171" i="3"/>
  <c r="A172" i="3"/>
  <c r="G172" i="3"/>
  <c r="A173" i="3"/>
  <c r="C173" i="3"/>
  <c r="G173" i="3"/>
  <c r="A174" i="3"/>
  <c r="G174" i="3"/>
  <c r="A175" i="3"/>
  <c r="G175" i="3"/>
  <c r="A176" i="3"/>
  <c r="G176" i="3"/>
  <c r="A177" i="3"/>
  <c r="G177" i="3"/>
  <c r="A178" i="3"/>
  <c r="G178" i="3"/>
  <c r="A179" i="3"/>
  <c r="G179" i="3"/>
  <c r="A180" i="3"/>
  <c r="C180" i="3"/>
  <c r="G180" i="3"/>
  <c r="A181" i="3"/>
  <c r="G181" i="3"/>
  <c r="A182" i="3"/>
  <c r="G182" i="3"/>
  <c r="A183" i="3"/>
  <c r="C183" i="3"/>
  <c r="G183" i="3"/>
  <c r="A184" i="3"/>
  <c r="G184" i="3"/>
  <c r="A185" i="3"/>
  <c r="G185" i="3"/>
  <c r="A186" i="3"/>
  <c r="G186" i="3"/>
  <c r="A187" i="3"/>
  <c r="G187" i="3"/>
  <c r="A188" i="3"/>
  <c r="G188" i="3"/>
  <c r="A189" i="3"/>
  <c r="G189" i="3"/>
  <c r="A190" i="3"/>
  <c r="G190" i="3"/>
  <c r="A191" i="3"/>
  <c r="C191" i="3"/>
  <c r="G191" i="3"/>
  <c r="A192" i="3"/>
  <c r="A193" i="3"/>
  <c r="G193" i="3"/>
  <c r="A194" i="3"/>
  <c r="G194" i="3"/>
  <c r="A195" i="3"/>
  <c r="G195" i="3"/>
  <c r="A196" i="3"/>
  <c r="C196" i="3"/>
  <c r="G196" i="3"/>
  <c r="G197" i="3"/>
  <c r="G198" i="3"/>
  <c r="G199" i="3"/>
  <c r="A200" i="3"/>
  <c r="C200" i="3"/>
  <c r="G200" i="3"/>
  <c r="A201" i="3"/>
  <c r="C201" i="3"/>
  <c r="G201" i="3"/>
  <c r="A202" i="3"/>
  <c r="G202" i="3"/>
  <c r="A203" i="3"/>
  <c r="G203" i="3"/>
  <c r="A204" i="3"/>
  <c r="G204" i="3"/>
  <c r="A205" i="3"/>
  <c r="C205" i="3"/>
  <c r="G205" i="3"/>
  <c r="A206" i="3"/>
  <c r="G206" i="3"/>
  <c r="A207" i="3"/>
  <c r="G207" i="3"/>
  <c r="A208" i="3"/>
  <c r="G208" i="3"/>
  <c r="A209" i="3"/>
  <c r="C209" i="3"/>
  <c r="G209" i="3"/>
  <c r="A210" i="3"/>
  <c r="C210" i="3"/>
  <c r="G210" i="3"/>
  <c r="A211" i="3"/>
  <c r="C211" i="3"/>
  <c r="G211" i="3"/>
  <c r="A212" i="3"/>
  <c r="G212" i="3"/>
  <c r="A213" i="3"/>
  <c r="C213" i="3"/>
  <c r="G213" i="3"/>
  <c r="A214" i="3"/>
  <c r="G214" i="3"/>
  <c r="A215" i="3"/>
  <c r="C215" i="3"/>
  <c r="G215" i="3"/>
  <c r="A216" i="3"/>
  <c r="G216" i="3"/>
  <c r="A217" i="3"/>
  <c r="G217" i="3"/>
  <c r="A218" i="3"/>
  <c r="G218" i="3"/>
  <c r="A219" i="3"/>
  <c r="G219" i="3"/>
  <c r="A220" i="3"/>
  <c r="G220" i="3"/>
  <c r="A221" i="3"/>
  <c r="C221" i="3"/>
  <c r="G221" i="3"/>
  <c r="A222" i="3"/>
  <c r="G222" i="3"/>
  <c r="A223" i="3"/>
  <c r="C223" i="3"/>
  <c r="G223" i="3"/>
  <c r="A224" i="3"/>
  <c r="C224" i="3"/>
  <c r="G224" i="3"/>
  <c r="A225" i="3"/>
  <c r="G225" i="3"/>
  <c r="A226" i="3"/>
  <c r="C226" i="3"/>
  <c r="G226" i="3"/>
  <c r="A227" i="3"/>
  <c r="G227" i="3"/>
  <c r="A228" i="3"/>
  <c r="C228" i="3"/>
  <c r="G228" i="3"/>
  <c r="A229" i="3"/>
  <c r="C229" i="3"/>
  <c r="G229" i="3"/>
  <c r="A230" i="3"/>
  <c r="C230" i="3"/>
  <c r="G230" i="3"/>
  <c r="A231" i="3"/>
  <c r="G231" i="3"/>
  <c r="A232" i="3"/>
  <c r="G232" i="3"/>
  <c r="A233" i="3"/>
  <c r="G233" i="3"/>
  <c r="A234" i="3"/>
  <c r="G234" i="3"/>
  <c r="A235" i="3"/>
  <c r="G235" i="3"/>
  <c r="A236" i="3"/>
  <c r="C236" i="3"/>
  <c r="G236" i="3"/>
  <c r="A237" i="3"/>
  <c r="C237" i="3"/>
  <c r="G237" i="3"/>
  <c r="A238" i="3"/>
  <c r="C238" i="3"/>
  <c r="G238" i="3"/>
  <c r="A239" i="3"/>
  <c r="G239" i="3"/>
  <c r="A240" i="3"/>
  <c r="C240" i="3"/>
  <c r="G240" i="3"/>
  <c r="A241" i="3"/>
  <c r="G241" i="3"/>
  <c r="A242" i="3"/>
  <c r="G242" i="3"/>
  <c r="A243" i="3"/>
  <c r="G243" i="3"/>
  <c r="A244" i="3"/>
  <c r="G244" i="3"/>
  <c r="A245" i="3"/>
  <c r="C245" i="3"/>
  <c r="G245" i="3"/>
  <c r="A246" i="3"/>
  <c r="G246" i="3"/>
  <c r="A247" i="3"/>
  <c r="G247" i="3"/>
  <c r="A248" i="3"/>
  <c r="G248" i="3"/>
  <c r="A249" i="3"/>
  <c r="G249" i="3"/>
  <c r="A250" i="3"/>
  <c r="G250" i="3"/>
  <c r="A251" i="3"/>
  <c r="G251" i="3"/>
  <c r="A252" i="3"/>
  <c r="G252" i="3"/>
  <c r="A253" i="3"/>
  <c r="G253" i="3"/>
  <c r="A254" i="3"/>
  <c r="C254" i="3"/>
  <c r="G254" i="3"/>
  <c r="A255" i="3"/>
  <c r="G255" i="3"/>
  <c r="A256" i="3"/>
  <c r="G256" i="3"/>
  <c r="A257" i="3"/>
  <c r="G257" i="3"/>
  <c r="A258" i="3"/>
  <c r="C258" i="3"/>
  <c r="G258" i="3"/>
  <c r="A259" i="3"/>
  <c r="G259" i="3"/>
  <c r="A260" i="3"/>
  <c r="G260" i="3"/>
  <c r="A261" i="3"/>
  <c r="G261" i="3"/>
  <c r="A262" i="3"/>
  <c r="G262" i="3"/>
  <c r="A263" i="3"/>
  <c r="G263" i="3"/>
  <c r="A264" i="3"/>
  <c r="C264" i="3"/>
  <c r="G264" i="3"/>
  <c r="A265" i="3"/>
  <c r="G265" i="3"/>
  <c r="A266" i="3"/>
  <c r="G266" i="3"/>
  <c r="A267" i="3"/>
  <c r="G267" i="3"/>
  <c r="A268" i="3"/>
  <c r="G268" i="3"/>
  <c r="A269" i="3"/>
  <c r="G269" i="3"/>
  <c r="A270" i="3"/>
  <c r="C270" i="3"/>
  <c r="G270" i="3"/>
  <c r="A271" i="3"/>
  <c r="G271" i="3"/>
  <c r="A272" i="3"/>
  <c r="G272" i="3"/>
  <c r="A273" i="3"/>
  <c r="G273" i="3"/>
  <c r="A274" i="3"/>
  <c r="G274" i="3"/>
  <c r="A275" i="3"/>
  <c r="C275" i="3"/>
  <c r="G275" i="3"/>
  <c r="A276" i="3"/>
  <c r="G276" i="3"/>
  <c r="A277" i="3"/>
  <c r="G277" i="3"/>
  <c r="A278" i="3"/>
  <c r="G278" i="3"/>
  <c r="A279" i="3"/>
  <c r="G279" i="3"/>
  <c r="A280" i="3"/>
  <c r="G280" i="3"/>
  <c r="A281" i="3"/>
  <c r="C281" i="3"/>
  <c r="G281" i="3"/>
  <c r="A282" i="3"/>
  <c r="G282" i="3"/>
  <c r="A283" i="3"/>
  <c r="G283" i="3"/>
  <c r="A284" i="3"/>
  <c r="G284" i="3"/>
  <c r="A285" i="3"/>
  <c r="G285" i="3"/>
  <c r="A286" i="3"/>
  <c r="C286" i="3"/>
  <c r="G286" i="3"/>
  <c r="A287" i="3"/>
  <c r="G287" i="3"/>
  <c r="A288" i="3"/>
  <c r="G288" i="3"/>
  <c r="A289" i="3"/>
  <c r="G289" i="3"/>
  <c r="A290" i="3"/>
  <c r="G290" i="3"/>
  <c r="A291" i="3"/>
  <c r="G291" i="3"/>
  <c r="A292" i="3"/>
  <c r="G292" i="3"/>
  <c r="A293" i="3"/>
  <c r="C293" i="3"/>
  <c r="G293" i="3"/>
  <c r="A294" i="3"/>
  <c r="G294" i="3"/>
  <c r="A295" i="3"/>
  <c r="G295" i="3"/>
  <c r="A296" i="3"/>
  <c r="G296" i="3"/>
  <c r="A297" i="3"/>
  <c r="G297" i="3"/>
  <c r="A298" i="3"/>
  <c r="G298" i="3"/>
  <c r="A299" i="3"/>
  <c r="C299" i="3"/>
  <c r="G299" i="3"/>
  <c r="A300" i="3"/>
  <c r="G300" i="3"/>
  <c r="A301" i="3"/>
  <c r="G301" i="3"/>
  <c r="A302" i="3"/>
  <c r="G302" i="3"/>
  <c r="A303" i="3"/>
  <c r="G303" i="3"/>
  <c r="A304" i="3"/>
  <c r="C304" i="3"/>
  <c r="G304" i="3"/>
  <c r="A305" i="3"/>
  <c r="C305" i="3"/>
  <c r="G305" i="3"/>
  <c r="A306" i="3"/>
  <c r="G306" i="3"/>
  <c r="A307" i="3"/>
  <c r="G307" i="3"/>
  <c r="A308" i="3"/>
  <c r="G308" i="3"/>
  <c r="A309" i="3"/>
  <c r="G309" i="3"/>
  <c r="A310" i="3"/>
  <c r="G310" i="3"/>
  <c r="A311" i="3"/>
  <c r="G311" i="3"/>
  <c r="A312" i="3"/>
  <c r="G312" i="3"/>
  <c r="A313" i="3"/>
  <c r="G313" i="3"/>
  <c r="A314" i="3"/>
  <c r="G314" i="3"/>
  <c r="A315" i="3"/>
  <c r="G315" i="3"/>
  <c r="A316" i="3"/>
  <c r="C316" i="3"/>
  <c r="G316" i="3"/>
  <c r="A317" i="3"/>
  <c r="G317" i="3"/>
  <c r="A318" i="3"/>
  <c r="G318" i="3"/>
  <c r="A319" i="3"/>
  <c r="G319" i="3"/>
  <c r="A320" i="3"/>
  <c r="G320" i="3"/>
  <c r="A321" i="3"/>
  <c r="C321" i="3"/>
  <c r="G321" i="3"/>
  <c r="A322" i="3"/>
  <c r="G322" i="3"/>
  <c r="A323" i="3"/>
  <c r="G323" i="3"/>
  <c r="A324" i="3"/>
  <c r="G324" i="3"/>
  <c r="A325" i="3"/>
  <c r="G325" i="3"/>
  <c r="A326" i="3"/>
  <c r="G326" i="3"/>
  <c r="A327" i="3"/>
  <c r="G327" i="3"/>
  <c r="A328" i="3"/>
  <c r="G328" i="3"/>
  <c r="A343" i="3"/>
  <c r="G343" i="3"/>
  <c r="A344" i="3"/>
  <c r="G344" i="3"/>
  <c r="A345" i="3"/>
  <c r="G345" i="3"/>
  <c r="A346" i="3"/>
  <c r="G346" i="3"/>
  <c r="A347" i="3"/>
  <c r="G347" i="3"/>
  <c r="A348" i="3"/>
  <c r="G348" i="3"/>
  <c r="A349" i="3"/>
  <c r="G349" i="3"/>
  <c r="A350" i="3"/>
  <c r="C350" i="3"/>
  <c r="G350" i="3"/>
  <c r="A351" i="3"/>
  <c r="G351" i="3"/>
  <c r="A352" i="3"/>
  <c r="G352" i="3"/>
  <c r="A353" i="3"/>
  <c r="G353" i="3"/>
  <c r="A354" i="3"/>
  <c r="G354" i="3"/>
  <c r="A355" i="3"/>
  <c r="C355" i="3"/>
  <c r="G355" i="3"/>
  <c r="A356" i="3"/>
  <c r="G356" i="3"/>
  <c r="A357" i="3"/>
  <c r="G357" i="3"/>
  <c r="A358" i="3"/>
  <c r="G358" i="3"/>
  <c r="A37" i="2"/>
  <c r="C37" i="2"/>
  <c r="A38" i="2"/>
  <c r="C38" i="2"/>
  <c r="A39" i="2"/>
  <c r="C39" i="2"/>
  <c r="A40" i="2"/>
  <c r="C40" i="2"/>
  <c r="A41" i="2"/>
  <c r="C41" i="2"/>
  <c r="A42" i="2"/>
  <c r="C42" i="2"/>
  <c r="A43" i="2"/>
  <c r="C43" i="2"/>
  <c r="A44" i="2"/>
  <c r="C44" i="2"/>
  <c r="A45" i="2"/>
  <c r="C45" i="2"/>
  <c r="A46" i="2"/>
  <c r="C46" i="2"/>
  <c r="A47" i="2"/>
  <c r="C47" i="2"/>
  <c r="A48" i="2"/>
  <c r="C48" i="2"/>
  <c r="A49" i="2"/>
  <c r="C49" i="2"/>
  <c r="A50" i="2"/>
  <c r="C50" i="2"/>
  <c r="A51" i="2"/>
  <c r="C51" i="2"/>
  <c r="A52" i="2"/>
  <c r="C52" i="2"/>
  <c r="F33" i="2"/>
  <c r="U33" i="2" s="1"/>
  <c r="F32" i="2"/>
  <c r="U32" i="2" s="1"/>
  <c r="F30" i="2"/>
  <c r="U30" i="2" s="1"/>
  <c r="C151" i="3"/>
  <c r="C152" i="3"/>
  <c r="C153" i="3"/>
  <c r="C149" i="3"/>
  <c r="C143" i="3"/>
  <c r="C144" i="3"/>
  <c r="C145" i="3"/>
  <c r="C146" i="3"/>
  <c r="C147" i="3"/>
  <c r="C141" i="3"/>
  <c r="C138" i="3"/>
  <c r="C139" i="3"/>
  <c r="C134" i="3"/>
  <c r="C135" i="3"/>
  <c r="C136" i="3"/>
  <c r="A135" i="3"/>
  <c r="G135" i="3"/>
  <c r="A136" i="3"/>
  <c r="G136" i="3"/>
  <c r="A137" i="3"/>
  <c r="C137" i="3"/>
  <c r="G137" i="3"/>
  <c r="A138" i="3"/>
  <c r="G138" i="3"/>
  <c r="A139" i="3"/>
  <c r="G139" i="3"/>
  <c r="A140" i="3"/>
  <c r="C140" i="3"/>
  <c r="G140" i="3"/>
  <c r="A141" i="3"/>
  <c r="G141" i="3"/>
  <c r="A142" i="3"/>
  <c r="C142" i="3"/>
  <c r="G142" i="3"/>
  <c r="A143" i="3"/>
  <c r="G143" i="3"/>
  <c r="A144" i="3"/>
  <c r="G144" i="3"/>
  <c r="A145" i="3"/>
  <c r="G145" i="3"/>
  <c r="A146" i="3"/>
  <c r="G146" i="3"/>
  <c r="A147" i="3"/>
  <c r="G147" i="3"/>
  <c r="A148" i="3"/>
  <c r="C148" i="3"/>
  <c r="G148" i="3"/>
  <c r="A149" i="3"/>
  <c r="G149" i="3"/>
  <c r="A150" i="3"/>
  <c r="C150" i="3"/>
  <c r="G150" i="3"/>
  <c r="A151" i="3"/>
  <c r="G151" i="3"/>
  <c r="A152" i="3"/>
  <c r="G152" i="3"/>
  <c r="A153" i="3"/>
  <c r="G153" i="3"/>
  <c r="C130" i="3"/>
  <c r="C131" i="3"/>
  <c r="C132" i="3"/>
  <c r="C120" i="3"/>
  <c r="C121" i="3"/>
  <c r="C122" i="3"/>
  <c r="C123" i="3"/>
  <c r="C124" i="3"/>
  <c r="C125" i="3"/>
  <c r="C126" i="3"/>
  <c r="C127" i="3"/>
  <c r="C128" i="3"/>
  <c r="C112" i="3"/>
  <c r="C113" i="3"/>
  <c r="C114" i="3"/>
  <c r="C115" i="3"/>
  <c r="C116" i="3"/>
  <c r="C117" i="3"/>
  <c r="C118" i="3"/>
  <c r="A112" i="3"/>
  <c r="G112" i="3"/>
  <c r="A113" i="3"/>
  <c r="G113" i="3"/>
  <c r="A114" i="3"/>
  <c r="G114" i="3"/>
  <c r="A115" i="3"/>
  <c r="G115" i="3"/>
  <c r="A116" i="3"/>
  <c r="G116" i="3"/>
  <c r="A117" i="3"/>
  <c r="G117" i="3"/>
  <c r="A118" i="3"/>
  <c r="G118" i="3"/>
  <c r="A119" i="3"/>
  <c r="C119" i="3"/>
  <c r="G119" i="3"/>
  <c r="A120" i="3"/>
  <c r="G120" i="3"/>
  <c r="A121" i="3"/>
  <c r="G121" i="3"/>
  <c r="A122" i="3"/>
  <c r="G122" i="3"/>
  <c r="A123" i="3"/>
  <c r="G123" i="3"/>
  <c r="A124" i="3"/>
  <c r="G124" i="3"/>
  <c r="A125" i="3"/>
  <c r="G125" i="3"/>
  <c r="A126" i="3"/>
  <c r="G126" i="3"/>
  <c r="A127" i="3"/>
  <c r="G127" i="3"/>
  <c r="A128" i="3"/>
  <c r="G128" i="3"/>
  <c r="A129" i="3"/>
  <c r="C129" i="3"/>
  <c r="G129" i="3"/>
  <c r="A130" i="3"/>
  <c r="G130" i="3"/>
  <c r="A131" i="3"/>
  <c r="G131" i="3"/>
  <c r="A132" i="3"/>
  <c r="G132" i="3"/>
  <c r="A133" i="3"/>
  <c r="C133" i="3"/>
  <c r="G133" i="3"/>
  <c r="A134" i="3"/>
  <c r="G134" i="3"/>
  <c r="A154" i="3"/>
  <c r="C154" i="3"/>
  <c r="G154" i="3"/>
  <c r="F28" i="5"/>
  <c r="J123" i="22"/>
  <c r="K123" i="22"/>
  <c r="L123" i="22"/>
  <c r="M123" i="22"/>
  <c r="N123" i="22"/>
  <c r="H143" i="3" l="1"/>
  <c r="I143" i="3" s="1"/>
  <c r="H350" i="3"/>
  <c r="I350" i="3" s="1"/>
  <c r="H247" i="3"/>
  <c r="I247" i="3" s="1"/>
  <c r="H130" i="3"/>
  <c r="I130" i="3" s="1"/>
  <c r="H115" i="3"/>
  <c r="I115" i="3" s="1"/>
  <c r="H140" i="3"/>
  <c r="I140" i="3" s="1"/>
  <c r="H358" i="3"/>
  <c r="I358" i="3" s="1"/>
  <c r="H347" i="3"/>
  <c r="I347" i="3" s="1"/>
  <c r="H343" i="3"/>
  <c r="I343" i="3" s="1"/>
  <c r="H325" i="3"/>
  <c r="I325" i="3" s="1"/>
  <c r="H321" i="3"/>
  <c r="I321" i="3" s="1"/>
  <c r="H314" i="3"/>
  <c r="I314" i="3" s="1"/>
  <c r="H310" i="3"/>
  <c r="I310" i="3" s="1"/>
  <c r="H306" i="3"/>
  <c r="I306" i="3" s="1"/>
  <c r="H303" i="3"/>
  <c r="I303" i="3" s="1"/>
  <c r="H299" i="3"/>
  <c r="I299" i="3" s="1"/>
  <c r="H292" i="3"/>
  <c r="I292" i="3" s="1"/>
  <c r="H288" i="3"/>
  <c r="I288" i="3" s="1"/>
  <c r="H277" i="3"/>
  <c r="I277" i="3" s="1"/>
  <c r="H266" i="3"/>
  <c r="I266" i="3" s="1"/>
  <c r="H255" i="3"/>
  <c r="I255" i="3" s="1"/>
  <c r="H244" i="3"/>
  <c r="I244" i="3" s="1"/>
  <c r="H240" i="3"/>
  <c r="I240" i="3" s="1"/>
  <c r="H237" i="3"/>
  <c r="I237" i="3" s="1"/>
  <c r="H234" i="3"/>
  <c r="I234" i="3" s="1"/>
  <c r="H230" i="3"/>
  <c r="I230" i="3" s="1"/>
  <c r="H224" i="3"/>
  <c r="I224" i="3" s="1"/>
  <c r="H221" i="3"/>
  <c r="I221" i="3" s="1"/>
  <c r="H214" i="3"/>
  <c r="I214" i="3" s="1"/>
  <c r="H208" i="3"/>
  <c r="I208" i="3" s="1"/>
  <c r="H196" i="3"/>
  <c r="I196" i="3" s="1"/>
  <c r="H181" i="3"/>
  <c r="I181" i="3" s="1"/>
  <c r="H163" i="3"/>
  <c r="I163" i="3" s="1"/>
  <c r="H159" i="3"/>
  <c r="I159" i="3" s="1"/>
  <c r="H341" i="3"/>
  <c r="I341" i="3" s="1"/>
  <c r="H338" i="3"/>
  <c r="I338" i="3" s="1"/>
  <c r="H396" i="3"/>
  <c r="I396" i="3" s="1"/>
  <c r="H378" i="3"/>
  <c r="I378" i="3" s="1"/>
  <c r="H371" i="3"/>
  <c r="I371" i="3" s="1"/>
  <c r="H170" i="3"/>
  <c r="I170" i="3" s="1"/>
  <c r="H334" i="3"/>
  <c r="I334" i="3" s="1"/>
  <c r="H331" i="3"/>
  <c r="I331" i="3" s="1"/>
  <c r="H399" i="3"/>
  <c r="I399" i="3" s="1"/>
  <c r="H392" i="3"/>
  <c r="I392" i="3" s="1"/>
  <c r="H389" i="3"/>
  <c r="I389" i="3" s="1"/>
  <c r="H385" i="3"/>
  <c r="I385" i="3" s="1"/>
  <c r="H381" i="3"/>
  <c r="I381" i="3" s="1"/>
  <c r="H374" i="3"/>
  <c r="I374" i="3" s="1"/>
  <c r="H367" i="3"/>
  <c r="I367" i="3" s="1"/>
  <c r="H317" i="3"/>
  <c r="I317" i="3" s="1"/>
  <c r="H273" i="3"/>
  <c r="I273" i="3" s="1"/>
  <c r="H166" i="3"/>
  <c r="I166" i="3" s="1"/>
  <c r="H129" i="3"/>
  <c r="I129" i="3" s="1"/>
  <c r="H114" i="3"/>
  <c r="I114" i="3" s="1"/>
  <c r="H136" i="3"/>
  <c r="I136" i="3" s="1"/>
  <c r="H357" i="3"/>
  <c r="I357" i="3" s="1"/>
  <c r="H346" i="3"/>
  <c r="I346" i="3" s="1"/>
  <c r="H328" i="3"/>
  <c r="I328" i="3" s="1"/>
  <c r="H324" i="3"/>
  <c r="I324" i="3" s="1"/>
  <c r="H313" i="3"/>
  <c r="I313" i="3" s="1"/>
  <c r="H309" i="3"/>
  <c r="I309" i="3" s="1"/>
  <c r="H305" i="3"/>
  <c r="I305" i="3" s="1"/>
  <c r="H302" i="3"/>
  <c r="I302" i="3" s="1"/>
  <c r="H291" i="3"/>
  <c r="I291" i="3" s="1"/>
  <c r="H287" i="3"/>
  <c r="I287" i="3" s="1"/>
  <c r="H280" i="3"/>
  <c r="I280" i="3" s="1"/>
  <c r="H276" i="3"/>
  <c r="I276" i="3" s="1"/>
  <c r="H269" i="3"/>
  <c r="I269" i="3" s="1"/>
  <c r="H265" i="3"/>
  <c r="I265" i="3" s="1"/>
  <c r="H254" i="3"/>
  <c r="I254" i="3" s="1"/>
  <c r="H243" i="3"/>
  <c r="I243" i="3" s="1"/>
  <c r="H233" i="3"/>
  <c r="I233" i="3" s="1"/>
  <c r="H213" i="3"/>
  <c r="I213" i="3" s="1"/>
  <c r="H210" i="3"/>
  <c r="I210" i="3" s="1"/>
  <c r="H207" i="3"/>
  <c r="I207" i="3" s="1"/>
  <c r="H200" i="3"/>
  <c r="I200" i="3" s="1"/>
  <c r="H191" i="3"/>
  <c r="I191" i="3" s="1"/>
  <c r="H180" i="3"/>
  <c r="I180" i="3" s="1"/>
  <c r="H162" i="3"/>
  <c r="I162" i="3" s="1"/>
  <c r="H337" i="3"/>
  <c r="I337" i="3" s="1"/>
  <c r="H395" i="3"/>
  <c r="I395" i="3" s="1"/>
  <c r="H377" i="3"/>
  <c r="I377" i="3" s="1"/>
  <c r="H370" i="3"/>
  <c r="I370" i="3" s="1"/>
  <c r="H382" i="3"/>
  <c r="I382" i="3" s="1"/>
  <c r="H126" i="3"/>
  <c r="I126" i="3" s="1"/>
  <c r="H295" i="3"/>
  <c r="I295" i="3" s="1"/>
  <c r="H258" i="3"/>
  <c r="I258" i="3" s="1"/>
  <c r="H184" i="3"/>
  <c r="I184" i="3" s="1"/>
  <c r="H121" i="3"/>
  <c r="I121" i="3" s="1"/>
  <c r="H146" i="3"/>
  <c r="I146" i="3" s="1"/>
  <c r="H139" i="3"/>
  <c r="I139" i="3" s="1"/>
  <c r="H353" i="3"/>
  <c r="I353" i="3" s="1"/>
  <c r="H320" i="3"/>
  <c r="I320" i="3" s="1"/>
  <c r="H316" i="3"/>
  <c r="I316" i="3" s="1"/>
  <c r="H298" i="3"/>
  <c r="I298" i="3" s="1"/>
  <c r="H294" i="3"/>
  <c r="I294" i="3" s="1"/>
  <c r="H283" i="3"/>
  <c r="I283" i="3" s="1"/>
  <c r="H272" i="3"/>
  <c r="I272" i="3" s="1"/>
  <c r="H261" i="3"/>
  <c r="I261" i="3" s="1"/>
  <c r="H250" i="3"/>
  <c r="I250" i="3" s="1"/>
  <c r="H246" i="3"/>
  <c r="I246" i="3" s="1"/>
  <c r="H239" i="3"/>
  <c r="I239" i="3" s="1"/>
  <c r="H236" i="3"/>
  <c r="I236" i="3" s="1"/>
  <c r="H229" i="3"/>
  <c r="I229" i="3" s="1"/>
  <c r="H226" i="3"/>
  <c r="I226" i="3" s="1"/>
  <c r="H223" i="3"/>
  <c r="I223" i="3" s="1"/>
  <c r="H220" i="3"/>
  <c r="I220" i="3" s="1"/>
  <c r="H216" i="3"/>
  <c r="I216" i="3" s="1"/>
  <c r="H203" i="3"/>
  <c r="I203" i="3" s="1"/>
  <c r="H195" i="3"/>
  <c r="I195" i="3" s="1"/>
  <c r="H187" i="3"/>
  <c r="I187" i="3" s="1"/>
  <c r="H183" i="3"/>
  <c r="I183" i="3" s="1"/>
  <c r="H176" i="3"/>
  <c r="I176" i="3" s="1"/>
  <c r="H169" i="3"/>
  <c r="I169" i="3" s="1"/>
  <c r="H158" i="3"/>
  <c r="I158" i="3" s="1"/>
  <c r="H340" i="3"/>
  <c r="I340" i="3" s="1"/>
  <c r="H330" i="3"/>
  <c r="I330" i="3" s="1"/>
  <c r="H359" i="3"/>
  <c r="I359" i="3" s="1"/>
  <c r="H398" i="3"/>
  <c r="I398" i="3" s="1"/>
  <c r="H388" i="3"/>
  <c r="I388" i="3" s="1"/>
  <c r="H380" i="3"/>
  <c r="I380" i="3" s="1"/>
  <c r="H373" i="3"/>
  <c r="I373" i="3" s="1"/>
  <c r="H366" i="3"/>
  <c r="I366" i="3" s="1"/>
  <c r="H383" i="3"/>
  <c r="I383" i="3" s="1"/>
  <c r="H122" i="3"/>
  <c r="I122" i="3" s="1"/>
  <c r="I150" i="3"/>
  <c r="H354" i="3"/>
  <c r="I354" i="3" s="1"/>
  <c r="H262" i="3"/>
  <c r="I262" i="3" s="1"/>
  <c r="H217" i="3"/>
  <c r="I217" i="3" s="1"/>
  <c r="H177" i="3"/>
  <c r="I177" i="3" s="1"/>
  <c r="H125" i="3"/>
  <c r="I125" i="3" s="1"/>
  <c r="I153" i="3"/>
  <c r="H142" i="3"/>
  <c r="I142" i="3" s="1"/>
  <c r="H154" i="3"/>
  <c r="I154" i="3" s="1"/>
  <c r="H132" i="3"/>
  <c r="I132" i="3" s="1"/>
  <c r="H117" i="3"/>
  <c r="I117" i="3" s="1"/>
  <c r="H113" i="3"/>
  <c r="I113" i="3" s="1"/>
  <c r="H149" i="3"/>
  <c r="I149" i="3" s="1"/>
  <c r="H135" i="3"/>
  <c r="I135" i="3" s="1"/>
  <c r="H356" i="3"/>
  <c r="I356" i="3" s="1"/>
  <c r="H349" i="3"/>
  <c r="I349" i="3" s="1"/>
  <c r="H345" i="3"/>
  <c r="I345" i="3" s="1"/>
  <c r="H327" i="3"/>
  <c r="I327" i="3" s="1"/>
  <c r="H323" i="3"/>
  <c r="I323" i="3" s="1"/>
  <c r="H312" i="3"/>
  <c r="I312" i="3" s="1"/>
  <c r="H308" i="3"/>
  <c r="I308" i="3" s="1"/>
  <c r="H301" i="3"/>
  <c r="I301" i="3" s="1"/>
  <c r="H290" i="3"/>
  <c r="I290" i="3" s="1"/>
  <c r="H286" i="3"/>
  <c r="I286" i="3" s="1"/>
  <c r="H279" i="3"/>
  <c r="I279" i="3" s="1"/>
  <c r="H275" i="3"/>
  <c r="I275" i="3" s="1"/>
  <c r="H268" i="3"/>
  <c r="I268" i="3" s="1"/>
  <c r="H264" i="3"/>
  <c r="I264" i="3" s="1"/>
  <c r="H257" i="3"/>
  <c r="I257" i="3" s="1"/>
  <c r="H242" i="3"/>
  <c r="I242" i="3" s="1"/>
  <c r="H232" i="3"/>
  <c r="I232" i="3" s="1"/>
  <c r="H206" i="3"/>
  <c r="I206" i="3" s="1"/>
  <c r="H172" i="3"/>
  <c r="I172" i="3" s="1"/>
  <c r="H165" i="3"/>
  <c r="I165" i="3" s="1"/>
  <c r="H161" i="3"/>
  <c r="I161" i="3" s="1"/>
  <c r="H333" i="3"/>
  <c r="I333" i="3" s="1"/>
  <c r="H394" i="3"/>
  <c r="I394" i="3" s="1"/>
  <c r="H391" i="3"/>
  <c r="I391" i="3" s="1"/>
  <c r="H384" i="3"/>
  <c r="I384" i="3" s="1"/>
  <c r="H376" i="3"/>
  <c r="I376" i="3" s="1"/>
  <c r="H369" i="3"/>
  <c r="I369" i="3" s="1"/>
  <c r="H361" i="3"/>
  <c r="I361" i="3" s="1"/>
  <c r="H251" i="3"/>
  <c r="I251" i="3" s="1"/>
  <c r="H155" i="3"/>
  <c r="I155" i="3" s="1"/>
  <c r="H118" i="3"/>
  <c r="I118" i="3" s="1"/>
  <c r="H128" i="3"/>
  <c r="I128" i="3" s="1"/>
  <c r="H138" i="3"/>
  <c r="I138" i="3" s="1"/>
  <c r="H352" i="3"/>
  <c r="I352" i="3" s="1"/>
  <c r="H319" i="3"/>
  <c r="I319" i="3" s="1"/>
  <c r="H304" i="3"/>
  <c r="I304" i="3" s="1"/>
  <c r="H297" i="3"/>
  <c r="I297" i="3" s="1"/>
  <c r="H293" i="3"/>
  <c r="I293" i="3" s="1"/>
  <c r="H282" i="3"/>
  <c r="I282" i="3" s="1"/>
  <c r="H271" i="3"/>
  <c r="I271" i="3" s="1"/>
  <c r="H260" i="3"/>
  <c r="I260" i="3" s="1"/>
  <c r="H253" i="3"/>
  <c r="I253" i="3" s="1"/>
  <c r="H249" i="3"/>
  <c r="I249" i="3" s="1"/>
  <c r="H245" i="3"/>
  <c r="I245" i="3" s="1"/>
  <c r="H238" i="3"/>
  <c r="I238" i="3" s="1"/>
  <c r="H219" i="3"/>
  <c r="I219" i="3" s="1"/>
  <c r="H215" i="3"/>
  <c r="I215" i="3" s="1"/>
  <c r="H212" i="3"/>
  <c r="I212" i="3" s="1"/>
  <c r="H209" i="3"/>
  <c r="I209" i="3" s="1"/>
  <c r="H202" i="3"/>
  <c r="I202" i="3" s="1"/>
  <c r="H199" i="3"/>
  <c r="I199" i="3" s="1"/>
  <c r="H194" i="3"/>
  <c r="I194" i="3" s="1"/>
  <c r="H190" i="3"/>
  <c r="I190" i="3" s="1"/>
  <c r="H186" i="3"/>
  <c r="I186" i="3" s="1"/>
  <c r="H179" i="3"/>
  <c r="I179" i="3" s="1"/>
  <c r="H175" i="3"/>
  <c r="I175" i="3" s="1"/>
  <c r="H168" i="3"/>
  <c r="I168" i="3" s="1"/>
  <c r="H157" i="3"/>
  <c r="I157" i="3" s="1"/>
  <c r="H329" i="3"/>
  <c r="I329" i="3" s="1"/>
  <c r="H336" i="3"/>
  <c r="I336" i="3" s="1"/>
  <c r="H397" i="3"/>
  <c r="I397" i="3" s="1"/>
  <c r="H387" i="3"/>
  <c r="I387" i="3" s="1"/>
  <c r="H372" i="3"/>
  <c r="I372" i="3" s="1"/>
  <c r="H365" i="3"/>
  <c r="I365" i="3" s="1"/>
  <c r="H133" i="3"/>
  <c r="I133" i="3" s="1"/>
  <c r="H147" i="3"/>
  <c r="I147" i="3" s="1"/>
  <c r="H227" i="3"/>
  <c r="I227" i="3" s="1"/>
  <c r="H188" i="3"/>
  <c r="I188" i="3" s="1"/>
  <c r="H120" i="3"/>
  <c r="I120" i="3" s="1"/>
  <c r="H145" i="3"/>
  <c r="I145" i="3" s="1"/>
  <c r="H116" i="3"/>
  <c r="I116" i="3" s="1"/>
  <c r="H112" i="3"/>
  <c r="I112" i="3" s="1"/>
  <c r="H148" i="3"/>
  <c r="I148" i="3" s="1"/>
  <c r="H141" i="3"/>
  <c r="I141" i="3" s="1"/>
  <c r="H355" i="3"/>
  <c r="I355" i="3" s="1"/>
  <c r="H348" i="3"/>
  <c r="I348" i="3" s="1"/>
  <c r="H344" i="3"/>
  <c r="I344" i="3" s="1"/>
  <c r="H326" i="3"/>
  <c r="I326" i="3" s="1"/>
  <c r="H322" i="3"/>
  <c r="I322" i="3" s="1"/>
  <c r="H315" i="3"/>
  <c r="I315" i="3" s="1"/>
  <c r="H311" i="3"/>
  <c r="I311" i="3" s="1"/>
  <c r="H307" i="3"/>
  <c r="I307" i="3" s="1"/>
  <c r="H300" i="3"/>
  <c r="I300" i="3" s="1"/>
  <c r="H289" i="3"/>
  <c r="I289" i="3" s="1"/>
  <c r="H278" i="3"/>
  <c r="I278" i="3" s="1"/>
  <c r="H267" i="3"/>
  <c r="I267" i="3" s="1"/>
  <c r="H256" i="3"/>
  <c r="I256" i="3" s="1"/>
  <c r="H241" i="3"/>
  <c r="I241" i="3" s="1"/>
  <c r="H235" i="3"/>
  <c r="I235" i="3" s="1"/>
  <c r="H231" i="3"/>
  <c r="I231" i="3" s="1"/>
  <c r="H228" i="3"/>
  <c r="I228" i="3" s="1"/>
  <c r="H225" i="3"/>
  <c r="I225" i="3" s="1"/>
  <c r="H222" i="3"/>
  <c r="I222" i="3" s="1"/>
  <c r="H205" i="3"/>
  <c r="I205" i="3" s="1"/>
  <c r="H198" i="3"/>
  <c r="I198" i="3" s="1"/>
  <c r="H182" i="3"/>
  <c r="I182" i="3" s="1"/>
  <c r="H171" i="3"/>
  <c r="I171" i="3" s="1"/>
  <c r="H164" i="3"/>
  <c r="I164" i="3" s="1"/>
  <c r="H160" i="3"/>
  <c r="I160" i="3" s="1"/>
  <c r="H342" i="3"/>
  <c r="I342" i="3" s="1"/>
  <c r="H339" i="3"/>
  <c r="I339" i="3" s="1"/>
  <c r="H332" i="3"/>
  <c r="I332" i="3" s="1"/>
  <c r="H400" i="3"/>
  <c r="I400" i="3" s="1"/>
  <c r="H390" i="3"/>
  <c r="I390" i="3" s="1"/>
  <c r="H379" i="3"/>
  <c r="I379" i="3" s="1"/>
  <c r="H360" i="3"/>
  <c r="I360" i="3" s="1"/>
  <c r="H284" i="3"/>
  <c r="I284" i="3" s="1"/>
  <c r="H204" i="3"/>
  <c r="I204" i="3" s="1"/>
  <c r="H173" i="3"/>
  <c r="I173" i="3" s="1"/>
  <c r="H124" i="3"/>
  <c r="I124" i="3" s="1"/>
  <c r="I152" i="3"/>
  <c r="H131" i="3"/>
  <c r="I131" i="3" s="1"/>
  <c r="H134" i="3"/>
  <c r="I134" i="3" s="1"/>
  <c r="H127" i="3"/>
  <c r="I127" i="3" s="1"/>
  <c r="H123" i="3"/>
  <c r="I123" i="3" s="1"/>
  <c r="H119" i="3"/>
  <c r="I119" i="3" s="1"/>
  <c r="I151" i="3"/>
  <c r="H144" i="3"/>
  <c r="I144" i="3" s="1"/>
  <c r="H137" i="3"/>
  <c r="I137" i="3" s="1"/>
  <c r="H351" i="3"/>
  <c r="I351" i="3" s="1"/>
  <c r="H318" i="3"/>
  <c r="I318" i="3" s="1"/>
  <c r="H296" i="3"/>
  <c r="I296" i="3" s="1"/>
  <c r="H285" i="3"/>
  <c r="I285" i="3" s="1"/>
  <c r="H281" i="3"/>
  <c r="I281" i="3" s="1"/>
  <c r="H274" i="3"/>
  <c r="I274" i="3" s="1"/>
  <c r="H270" i="3"/>
  <c r="I270" i="3" s="1"/>
  <c r="H263" i="3"/>
  <c r="I263" i="3" s="1"/>
  <c r="H259" i="3"/>
  <c r="I259" i="3" s="1"/>
  <c r="H252" i="3"/>
  <c r="I252" i="3" s="1"/>
  <c r="H248" i="3"/>
  <c r="I248" i="3" s="1"/>
  <c r="H218" i="3"/>
  <c r="I218" i="3" s="1"/>
  <c r="H211" i="3"/>
  <c r="I211" i="3" s="1"/>
  <c r="H201" i="3"/>
  <c r="I201" i="3" s="1"/>
  <c r="H197" i="3"/>
  <c r="I197" i="3" s="1"/>
  <c r="H193" i="3"/>
  <c r="I193" i="3" s="1"/>
  <c r="H189" i="3"/>
  <c r="I189" i="3" s="1"/>
  <c r="H185" i="3"/>
  <c r="I185" i="3" s="1"/>
  <c r="H178" i="3"/>
  <c r="I178" i="3" s="1"/>
  <c r="H174" i="3"/>
  <c r="I174" i="3" s="1"/>
  <c r="H167" i="3"/>
  <c r="I167" i="3" s="1"/>
  <c r="H156" i="3"/>
  <c r="I156" i="3" s="1"/>
  <c r="H335" i="3"/>
  <c r="I335" i="3" s="1"/>
  <c r="H393" i="3"/>
  <c r="I393" i="3" s="1"/>
  <c r="H386" i="3"/>
  <c r="I386" i="3" s="1"/>
  <c r="H375" i="3"/>
  <c r="I375" i="3" s="1"/>
  <c r="H368" i="3"/>
  <c r="I368" i="3" s="1"/>
  <c r="J349" i="2"/>
  <c r="U48" i="2"/>
  <c r="U50" i="2"/>
  <c r="S3" i="29"/>
  <c r="S4" i="29"/>
  <c r="S5" i="29"/>
  <c r="S6" i="29"/>
  <c r="S7" i="29"/>
  <c r="S8" i="29"/>
  <c r="S9" i="29"/>
  <c r="S10" i="29"/>
  <c r="S11" i="29"/>
  <c r="S12" i="29"/>
  <c r="S13" i="29"/>
  <c r="S14" i="29"/>
  <c r="S15" i="29"/>
  <c r="S16" i="29"/>
  <c r="S17" i="29"/>
  <c r="S18" i="29"/>
  <c r="S19" i="29"/>
  <c r="S20" i="29"/>
  <c r="S21" i="29"/>
  <c r="S22" i="29"/>
  <c r="S23" i="29"/>
  <c r="S24" i="29"/>
  <c r="S25" i="29"/>
  <c r="S26" i="29"/>
  <c r="S27" i="29"/>
  <c r="S28" i="29"/>
  <c r="S29" i="29"/>
  <c r="S30" i="29"/>
  <c r="S31" i="29"/>
  <c r="S32" i="29"/>
  <c r="S33" i="29"/>
  <c r="S34" i="29"/>
  <c r="S35" i="29"/>
  <c r="S36" i="29"/>
  <c r="S37" i="29"/>
  <c r="S38" i="29"/>
  <c r="S39" i="29"/>
  <c r="S40" i="29"/>
  <c r="S41" i="29"/>
  <c r="S42" i="29"/>
  <c r="S43" i="29"/>
  <c r="S44" i="29"/>
  <c r="S45" i="29"/>
  <c r="S46" i="29"/>
  <c r="S47" i="29"/>
  <c r="S48" i="29"/>
  <c r="S49" i="29"/>
  <c r="S50" i="29"/>
  <c r="S51" i="29"/>
  <c r="S52" i="29"/>
  <c r="S53" i="29"/>
  <c r="S54" i="29"/>
  <c r="S55" i="29"/>
  <c r="S56" i="29"/>
  <c r="S57" i="29"/>
  <c r="S58" i="29"/>
  <c r="S59" i="29"/>
  <c r="S60" i="29"/>
  <c r="S61" i="29"/>
  <c r="S62" i="29"/>
  <c r="S63" i="29"/>
  <c r="S64" i="29"/>
  <c r="S65" i="29"/>
  <c r="S66" i="29"/>
  <c r="S67" i="29"/>
  <c r="S68" i="29"/>
  <c r="S69" i="29"/>
  <c r="S70" i="29"/>
  <c r="S71" i="29"/>
  <c r="S72" i="29"/>
  <c r="S73" i="29"/>
  <c r="S74" i="29"/>
  <c r="S75" i="29"/>
  <c r="S76" i="29"/>
  <c r="S77" i="29"/>
  <c r="S78" i="29"/>
  <c r="S79" i="29"/>
  <c r="S80" i="29"/>
  <c r="S81" i="29"/>
  <c r="S82" i="29"/>
  <c r="S83" i="29"/>
  <c r="S84" i="29"/>
  <c r="S85" i="29"/>
  <c r="S86" i="29"/>
  <c r="S87" i="29"/>
  <c r="S88" i="29"/>
  <c r="S89" i="29"/>
  <c r="S90" i="29"/>
  <c r="S91" i="29"/>
  <c r="S92" i="29"/>
  <c r="S93" i="29"/>
  <c r="S94" i="29"/>
  <c r="S95" i="29"/>
  <c r="S96" i="29"/>
  <c r="S97" i="29"/>
  <c r="S98" i="29"/>
  <c r="S99" i="29"/>
  <c r="S100" i="29"/>
  <c r="S101" i="29"/>
  <c r="S102" i="29"/>
  <c r="S103" i="29"/>
  <c r="S104" i="29"/>
  <c r="S105" i="29"/>
  <c r="S106" i="29"/>
  <c r="S107" i="29"/>
  <c r="S108" i="29"/>
  <c r="S109" i="29"/>
  <c r="S110" i="29"/>
  <c r="S111" i="29"/>
  <c r="S112" i="29"/>
  <c r="S113" i="29"/>
  <c r="S114" i="29"/>
  <c r="S115" i="29"/>
  <c r="S116" i="29"/>
  <c r="S117" i="29"/>
  <c r="S118" i="29"/>
  <c r="S119" i="29"/>
  <c r="S120" i="29"/>
  <c r="S121" i="29"/>
  <c r="S122" i="29"/>
  <c r="S123" i="29"/>
  <c r="S2" i="29"/>
  <c r="R3" i="29"/>
  <c r="R4" i="29"/>
  <c r="R5" i="29"/>
  <c r="R6" i="29"/>
  <c r="R7" i="29"/>
  <c r="R8" i="29"/>
  <c r="R9" i="29"/>
  <c r="R10" i="29"/>
  <c r="R11" i="29"/>
  <c r="R12" i="29"/>
  <c r="R13" i="29"/>
  <c r="R14" i="29"/>
  <c r="R15" i="29"/>
  <c r="R16" i="29"/>
  <c r="R17" i="29"/>
  <c r="R18" i="29"/>
  <c r="R19" i="29"/>
  <c r="R20" i="29"/>
  <c r="R21" i="29"/>
  <c r="R22" i="29"/>
  <c r="R23" i="29"/>
  <c r="R24" i="29"/>
  <c r="R25" i="29"/>
  <c r="R26" i="29"/>
  <c r="R27" i="29"/>
  <c r="R28" i="29"/>
  <c r="R29" i="29"/>
  <c r="R30" i="29"/>
  <c r="R31" i="29"/>
  <c r="R32" i="29"/>
  <c r="R33" i="29"/>
  <c r="R34" i="29"/>
  <c r="R35" i="29"/>
  <c r="R36" i="29"/>
  <c r="R37" i="29"/>
  <c r="R38" i="29"/>
  <c r="R39" i="29"/>
  <c r="R40" i="29"/>
  <c r="R41" i="29"/>
  <c r="R42" i="29"/>
  <c r="R43" i="29"/>
  <c r="R44" i="29"/>
  <c r="R45" i="29"/>
  <c r="R46" i="29"/>
  <c r="R47" i="29"/>
  <c r="R48" i="29"/>
  <c r="R49" i="29"/>
  <c r="R50" i="29"/>
  <c r="R51" i="29"/>
  <c r="R52" i="29"/>
  <c r="R53" i="29"/>
  <c r="R54" i="29"/>
  <c r="R55" i="29"/>
  <c r="R56" i="29"/>
  <c r="R57" i="29"/>
  <c r="R58" i="29"/>
  <c r="R59" i="29"/>
  <c r="R60" i="29"/>
  <c r="R61" i="29"/>
  <c r="R62" i="29"/>
  <c r="R63" i="29"/>
  <c r="R64" i="29"/>
  <c r="R65" i="29"/>
  <c r="R66" i="29"/>
  <c r="R67" i="29"/>
  <c r="R68" i="29"/>
  <c r="R69" i="29"/>
  <c r="R70" i="29"/>
  <c r="R71" i="29"/>
  <c r="R72" i="29"/>
  <c r="R73" i="29"/>
  <c r="R74" i="29"/>
  <c r="R75" i="29"/>
  <c r="R76" i="29"/>
  <c r="R77" i="29"/>
  <c r="R78" i="29"/>
  <c r="R79" i="29"/>
  <c r="R80" i="29"/>
  <c r="R81" i="29"/>
  <c r="R82" i="29"/>
  <c r="R83" i="29"/>
  <c r="R84" i="29"/>
  <c r="R85" i="29"/>
  <c r="R86" i="29"/>
  <c r="R87" i="29"/>
  <c r="R88" i="29"/>
  <c r="R89" i="29"/>
  <c r="R90" i="29"/>
  <c r="R91" i="29"/>
  <c r="R92" i="29"/>
  <c r="R93" i="29"/>
  <c r="R94" i="29"/>
  <c r="R95" i="29"/>
  <c r="R96" i="29"/>
  <c r="R97" i="29"/>
  <c r="R98" i="29"/>
  <c r="R99" i="29"/>
  <c r="R100" i="29"/>
  <c r="R101" i="29"/>
  <c r="R102" i="29"/>
  <c r="R103" i="29"/>
  <c r="R104" i="29"/>
  <c r="R105" i="29"/>
  <c r="R106" i="29"/>
  <c r="R107" i="29"/>
  <c r="R108" i="29"/>
  <c r="R109" i="29"/>
  <c r="R110" i="29"/>
  <c r="R111" i="29"/>
  <c r="R112" i="29"/>
  <c r="R113" i="29"/>
  <c r="R114" i="29"/>
  <c r="R115" i="29"/>
  <c r="R116" i="29"/>
  <c r="R117" i="29"/>
  <c r="R118" i="29"/>
  <c r="R119" i="29"/>
  <c r="R120" i="29"/>
  <c r="R121" i="29"/>
  <c r="R122" i="29"/>
  <c r="R123" i="29"/>
  <c r="R2" i="29"/>
  <c r="F9" i="5" l="1"/>
  <c r="F8" i="5"/>
  <c r="A26" i="2" l="1"/>
  <c r="C26" i="2"/>
  <c r="A27" i="2"/>
  <c r="C27" i="2"/>
  <c r="A28" i="2"/>
  <c r="C28" i="2"/>
  <c r="A29" i="2"/>
  <c r="C29" i="2"/>
  <c r="A30" i="2"/>
  <c r="C30" i="2"/>
  <c r="A31" i="2"/>
  <c r="C31" i="2"/>
  <c r="A32" i="2"/>
  <c r="C32" i="2"/>
  <c r="A33" i="2"/>
  <c r="C33" i="2"/>
  <c r="A34" i="2"/>
  <c r="C34" i="2"/>
  <c r="A35" i="2"/>
  <c r="C35" i="2"/>
  <c r="A36" i="2"/>
  <c r="C36" i="2"/>
  <c r="C107" i="3" l="1"/>
  <c r="C108" i="3"/>
  <c r="C109" i="3"/>
  <c r="C110" i="3"/>
  <c r="C105" i="3"/>
  <c r="C102" i="3"/>
  <c r="C103" i="3"/>
  <c r="C98" i="3"/>
  <c r="C96" i="3"/>
  <c r="C93" i="3"/>
  <c r="C94" i="3"/>
  <c r="C81" i="3"/>
  <c r="C82" i="3"/>
  <c r="C83" i="3"/>
  <c r="C84" i="3"/>
  <c r="C85" i="3"/>
  <c r="C86" i="3"/>
  <c r="C87" i="3"/>
  <c r="C88" i="3"/>
  <c r="C89" i="3"/>
  <c r="A78" i="3"/>
  <c r="C78" i="3"/>
  <c r="A79" i="3"/>
  <c r="C79" i="3"/>
  <c r="C75" i="3"/>
  <c r="C76" i="3"/>
  <c r="A75" i="3"/>
  <c r="G75" i="3"/>
  <c r="A76" i="3"/>
  <c r="G76" i="3"/>
  <c r="A77" i="3"/>
  <c r="C77" i="3"/>
  <c r="G77" i="3"/>
  <c r="G78" i="3"/>
  <c r="G79" i="3"/>
  <c r="A80" i="3"/>
  <c r="C80" i="3"/>
  <c r="G80" i="3"/>
  <c r="A81" i="3"/>
  <c r="G81" i="3"/>
  <c r="A82" i="3"/>
  <c r="G82" i="3"/>
  <c r="A83" i="3"/>
  <c r="G83" i="3"/>
  <c r="A84" i="3"/>
  <c r="G84" i="3"/>
  <c r="A85" i="3"/>
  <c r="G85" i="3"/>
  <c r="A86" i="3"/>
  <c r="G86" i="3"/>
  <c r="A87" i="3"/>
  <c r="G87" i="3"/>
  <c r="A88" i="3"/>
  <c r="G88" i="3"/>
  <c r="A89" i="3"/>
  <c r="G89" i="3"/>
  <c r="A90" i="3"/>
  <c r="C90" i="3"/>
  <c r="G90" i="3"/>
  <c r="A91" i="3"/>
  <c r="C91" i="3"/>
  <c r="G91" i="3"/>
  <c r="A92" i="3"/>
  <c r="C92" i="3"/>
  <c r="G92" i="3"/>
  <c r="A93" i="3"/>
  <c r="G93" i="3"/>
  <c r="A94" i="3"/>
  <c r="G94" i="3"/>
  <c r="A95" i="3"/>
  <c r="C95" i="3"/>
  <c r="G95" i="3"/>
  <c r="A96" i="3"/>
  <c r="G96" i="3"/>
  <c r="A97" i="3"/>
  <c r="C97" i="3"/>
  <c r="G97" i="3"/>
  <c r="A98" i="3"/>
  <c r="G98" i="3"/>
  <c r="A99" i="3"/>
  <c r="C99" i="3"/>
  <c r="G99" i="3"/>
  <c r="A100" i="3"/>
  <c r="C100" i="3"/>
  <c r="G100" i="3"/>
  <c r="A101" i="3"/>
  <c r="C101" i="3"/>
  <c r="G101" i="3"/>
  <c r="A102" i="3"/>
  <c r="G102" i="3"/>
  <c r="A103" i="3"/>
  <c r="G103" i="3"/>
  <c r="A104" i="3"/>
  <c r="C104" i="3"/>
  <c r="G104" i="3"/>
  <c r="A105" i="3"/>
  <c r="G105" i="3"/>
  <c r="A106" i="3"/>
  <c r="C106" i="3"/>
  <c r="G106" i="3"/>
  <c r="A107" i="3"/>
  <c r="G107" i="3"/>
  <c r="A108" i="3"/>
  <c r="G108" i="3"/>
  <c r="A109" i="3"/>
  <c r="G109" i="3"/>
  <c r="A110" i="3"/>
  <c r="G110" i="3"/>
  <c r="A111" i="3"/>
  <c r="C111" i="3"/>
  <c r="G111" i="3"/>
  <c r="C70" i="3"/>
  <c r="C71" i="3"/>
  <c r="C72" i="3"/>
  <c r="C73" i="3"/>
  <c r="C68" i="3"/>
  <c r="H96" i="3" l="1"/>
  <c r="I96" i="3" s="1"/>
  <c r="H92" i="3"/>
  <c r="I92" i="3" s="1"/>
  <c r="H108" i="3"/>
  <c r="I108" i="3" s="1"/>
  <c r="I101" i="3"/>
  <c r="H95" i="3"/>
  <c r="I95" i="3" s="1"/>
  <c r="H89" i="3"/>
  <c r="I89" i="3" s="1"/>
  <c r="H85" i="3"/>
  <c r="I85" i="3" s="1"/>
  <c r="H81" i="3"/>
  <c r="I81" i="3" s="1"/>
  <c r="H98" i="3"/>
  <c r="I98" i="3" s="1"/>
  <c r="H99" i="3"/>
  <c r="I99" i="3" s="1"/>
  <c r="H111" i="3"/>
  <c r="I111" i="3" s="1"/>
  <c r="H107" i="3"/>
  <c r="I107" i="3" s="1"/>
  <c r="H91" i="3"/>
  <c r="I91" i="3" s="1"/>
  <c r="H88" i="3"/>
  <c r="I88" i="3" s="1"/>
  <c r="H84" i="3"/>
  <c r="I84" i="3" s="1"/>
  <c r="H80" i="3"/>
  <c r="I80" i="3" s="1"/>
  <c r="H76" i="3"/>
  <c r="I76" i="3" s="1"/>
  <c r="H100" i="3"/>
  <c r="I100" i="3" s="1"/>
  <c r="H109" i="3"/>
  <c r="I109" i="3" s="1"/>
  <c r="H86" i="3"/>
  <c r="I86" i="3" s="1"/>
  <c r="H104" i="3"/>
  <c r="I104" i="3" s="1"/>
  <c r="H94" i="3"/>
  <c r="I94" i="3" s="1"/>
  <c r="H110" i="3"/>
  <c r="I110" i="3" s="1"/>
  <c r="H106" i="3"/>
  <c r="I106" i="3" s="1"/>
  <c r="I103" i="3"/>
  <c r="H87" i="3"/>
  <c r="I87" i="3" s="1"/>
  <c r="H83" i="3"/>
  <c r="I83" i="3" s="1"/>
  <c r="H75" i="3"/>
  <c r="I75" i="3" s="1"/>
  <c r="I102" i="3"/>
  <c r="H97" i="3"/>
  <c r="I97" i="3" s="1"/>
  <c r="H93" i="3"/>
  <c r="I93" i="3" s="1"/>
  <c r="H90" i="3"/>
  <c r="I90" i="3" s="1"/>
  <c r="H79" i="3"/>
  <c r="I79" i="3" s="1"/>
  <c r="H82" i="3"/>
  <c r="I82" i="3" s="1"/>
  <c r="H78" i="3"/>
  <c r="I78" i="3" s="1"/>
  <c r="H105" i="3"/>
  <c r="I105" i="3" s="1"/>
  <c r="H77" i="3"/>
  <c r="I77" i="3" s="1"/>
  <c r="F19" i="2"/>
  <c r="U19" i="2" s="1"/>
  <c r="F15" i="2"/>
  <c r="U15" i="2" s="1"/>
  <c r="F14" i="2"/>
  <c r="U14" i="2" s="1"/>
  <c r="F13" i="2"/>
  <c r="U13" i="2" s="1"/>
  <c r="A21" i="2"/>
  <c r="C21" i="2"/>
  <c r="A22" i="2"/>
  <c r="C22" i="2"/>
  <c r="A23" i="2"/>
  <c r="C23" i="2"/>
  <c r="A24" i="2"/>
  <c r="C24" i="2"/>
  <c r="A25" i="2"/>
  <c r="C25" i="2"/>
  <c r="E10" i="2"/>
  <c r="U10" i="2" s="1"/>
  <c r="A10" i="2"/>
  <c r="C10" i="2"/>
  <c r="A11" i="2"/>
  <c r="C11" i="2"/>
  <c r="A12" i="2"/>
  <c r="C12" i="2"/>
  <c r="A13" i="2"/>
  <c r="C13" i="2"/>
  <c r="A14" i="2"/>
  <c r="C14" i="2"/>
  <c r="A15" i="2"/>
  <c r="C15" i="2"/>
  <c r="A16" i="2"/>
  <c r="C16" i="2"/>
  <c r="A17" i="2"/>
  <c r="C17" i="2"/>
  <c r="A18" i="2"/>
  <c r="C18" i="2"/>
  <c r="A19" i="2"/>
  <c r="C19" i="2"/>
  <c r="F7" i="2"/>
  <c r="U7" i="2" s="1"/>
  <c r="F6" i="2"/>
  <c r="E2" i="2"/>
  <c r="A3" i="2"/>
  <c r="C3" i="2"/>
  <c r="A4" i="2"/>
  <c r="C4" i="2"/>
  <c r="A5" i="2"/>
  <c r="C5" i="2"/>
  <c r="A6" i="2"/>
  <c r="C6" i="2"/>
  <c r="A7" i="2"/>
  <c r="C7" i="2"/>
  <c r="A8" i="2"/>
  <c r="C8" i="2"/>
  <c r="A9" i="2"/>
  <c r="C9" i="2"/>
  <c r="A20" i="2"/>
  <c r="C20" i="2"/>
  <c r="E349" i="2" l="1"/>
  <c r="F349" i="2"/>
  <c r="U2" i="2"/>
  <c r="U6" i="2"/>
  <c r="C66" i="3"/>
  <c r="C63" i="3"/>
  <c r="C64" i="3"/>
  <c r="A61" i="3"/>
  <c r="C61" i="3"/>
  <c r="G61" i="3"/>
  <c r="A62" i="3"/>
  <c r="C62" i="3"/>
  <c r="G62" i="3"/>
  <c r="A63" i="3"/>
  <c r="G63" i="3"/>
  <c r="A64" i="3"/>
  <c r="G64" i="3"/>
  <c r="A65" i="3"/>
  <c r="C65" i="3"/>
  <c r="A66" i="3"/>
  <c r="A67" i="3"/>
  <c r="C67" i="3"/>
  <c r="G67" i="3"/>
  <c r="A68" i="3"/>
  <c r="G68" i="3"/>
  <c r="A69" i="3"/>
  <c r="C69" i="3"/>
  <c r="G69" i="3"/>
  <c r="A70" i="3"/>
  <c r="G70" i="3"/>
  <c r="A71" i="3"/>
  <c r="G71" i="3"/>
  <c r="A72" i="3"/>
  <c r="G72" i="3"/>
  <c r="A73" i="3"/>
  <c r="G73" i="3"/>
  <c r="A74" i="3"/>
  <c r="C74" i="3"/>
  <c r="G74" i="3"/>
  <c r="C55" i="3"/>
  <c r="C56" i="3"/>
  <c r="C57" i="3"/>
  <c r="C58" i="3"/>
  <c r="C59" i="3"/>
  <c r="C49" i="3"/>
  <c r="C50" i="3"/>
  <c r="C51" i="3"/>
  <c r="C52" i="3"/>
  <c r="A47" i="3"/>
  <c r="C47" i="3"/>
  <c r="G47" i="3"/>
  <c r="A48" i="3"/>
  <c r="C48" i="3"/>
  <c r="G48" i="3"/>
  <c r="A49" i="3"/>
  <c r="G49" i="3"/>
  <c r="A50" i="3"/>
  <c r="G50" i="3"/>
  <c r="A51" i="3"/>
  <c r="G51" i="3"/>
  <c r="A52" i="3"/>
  <c r="G52" i="3"/>
  <c r="A53" i="3"/>
  <c r="C53" i="3"/>
  <c r="G53" i="3"/>
  <c r="A54" i="3"/>
  <c r="C54" i="3"/>
  <c r="G54" i="3"/>
  <c r="A55" i="3"/>
  <c r="G55" i="3"/>
  <c r="A56" i="3"/>
  <c r="G56" i="3"/>
  <c r="A57" i="3"/>
  <c r="G57" i="3"/>
  <c r="A58" i="3"/>
  <c r="G58" i="3"/>
  <c r="A59" i="3"/>
  <c r="G59" i="3"/>
  <c r="A60" i="3"/>
  <c r="C60" i="3"/>
  <c r="G60" i="3"/>
  <c r="C35" i="3"/>
  <c r="C36" i="3"/>
  <c r="C37" i="3"/>
  <c r="C38" i="3"/>
  <c r="C39" i="3"/>
  <c r="C40" i="3"/>
  <c r="C41" i="3"/>
  <c r="C42" i="3"/>
  <c r="C43" i="3"/>
  <c r="C44" i="3"/>
  <c r="C45" i="3"/>
  <c r="C28" i="3"/>
  <c r="C29" i="3"/>
  <c r="C30" i="3"/>
  <c r="C31" i="3"/>
  <c r="C32" i="3"/>
  <c r="C33" i="3"/>
  <c r="C27" i="3"/>
  <c r="A28" i="3"/>
  <c r="G28" i="3"/>
  <c r="A29" i="3"/>
  <c r="G29" i="3"/>
  <c r="A30" i="3"/>
  <c r="G30" i="3"/>
  <c r="A31" i="3"/>
  <c r="G31" i="3"/>
  <c r="A32" i="3"/>
  <c r="G32" i="3"/>
  <c r="A33" i="3"/>
  <c r="G33" i="3"/>
  <c r="A34" i="3"/>
  <c r="C34" i="3"/>
  <c r="G34" i="3"/>
  <c r="A35" i="3"/>
  <c r="G35" i="3"/>
  <c r="A36" i="3"/>
  <c r="G36" i="3"/>
  <c r="A37" i="3"/>
  <c r="G37" i="3"/>
  <c r="A38" i="3"/>
  <c r="G38" i="3"/>
  <c r="A39" i="3"/>
  <c r="G39" i="3"/>
  <c r="A40" i="3"/>
  <c r="G40" i="3"/>
  <c r="A41" i="3"/>
  <c r="G41" i="3"/>
  <c r="A42" i="3"/>
  <c r="G42" i="3"/>
  <c r="A43" i="3"/>
  <c r="G43" i="3"/>
  <c r="A44" i="3"/>
  <c r="G44" i="3"/>
  <c r="A45" i="3"/>
  <c r="G45" i="3"/>
  <c r="A46" i="3"/>
  <c r="C46" i="3"/>
  <c r="G46" i="3"/>
  <c r="C17" i="3"/>
  <c r="C18" i="3"/>
  <c r="C19" i="3"/>
  <c r="C20" i="3"/>
  <c r="C21" i="3"/>
  <c r="C22" i="3"/>
  <c r="C23" i="3"/>
  <c r="C24" i="3"/>
  <c r="C25" i="3"/>
  <c r="A12" i="3"/>
  <c r="C12" i="3"/>
  <c r="A13" i="3"/>
  <c r="C13" i="3"/>
  <c r="A14" i="3"/>
  <c r="C14" i="3"/>
  <c r="C5" i="3"/>
  <c r="C6" i="3"/>
  <c r="C7" i="3"/>
  <c r="C8" i="3"/>
  <c r="C9" i="3"/>
  <c r="C10" i="3"/>
  <c r="C4" i="3"/>
  <c r="C3" i="3"/>
  <c r="A3" i="3"/>
  <c r="G3" i="3"/>
  <c r="A4" i="3"/>
  <c r="G4" i="3"/>
  <c r="A5" i="3"/>
  <c r="G5" i="3"/>
  <c r="A6" i="3"/>
  <c r="G6" i="3"/>
  <c r="A7" i="3"/>
  <c r="G7" i="3"/>
  <c r="A8" i="3"/>
  <c r="G8" i="3"/>
  <c r="A9" i="3"/>
  <c r="G9" i="3"/>
  <c r="A10" i="3"/>
  <c r="G10" i="3"/>
  <c r="A11" i="3"/>
  <c r="C11" i="3"/>
  <c r="G11" i="3"/>
  <c r="G12" i="3"/>
  <c r="G13" i="3"/>
  <c r="G14" i="3"/>
  <c r="A15" i="3"/>
  <c r="C15" i="3"/>
  <c r="G15" i="3"/>
  <c r="A16" i="3"/>
  <c r="C16" i="3"/>
  <c r="G16" i="3"/>
  <c r="A17" i="3"/>
  <c r="G17" i="3"/>
  <c r="A18" i="3"/>
  <c r="G18" i="3"/>
  <c r="A19" i="3"/>
  <c r="G19" i="3"/>
  <c r="A20" i="3"/>
  <c r="G20" i="3"/>
  <c r="A21" i="3"/>
  <c r="G21" i="3"/>
  <c r="A22" i="3"/>
  <c r="G22" i="3"/>
  <c r="A23" i="3"/>
  <c r="G23" i="3"/>
  <c r="A24" i="3"/>
  <c r="G24" i="3"/>
  <c r="A25" i="3"/>
  <c r="G25" i="3"/>
  <c r="A26" i="3"/>
  <c r="C26" i="3"/>
  <c r="G26" i="3"/>
  <c r="A27" i="3"/>
  <c r="G27" i="3"/>
  <c r="U123" i="22"/>
  <c r="P123" i="22"/>
  <c r="Q123" i="22"/>
  <c r="R123" i="22"/>
  <c r="S123" i="22"/>
  <c r="G123" i="22"/>
  <c r="C3" i="6"/>
  <c r="D3" i="6" s="1"/>
  <c r="C4" i="6"/>
  <c r="D4" i="6" s="1"/>
  <c r="C5" i="6"/>
  <c r="C6" i="6"/>
  <c r="D6" i="6" s="1"/>
  <c r="C7" i="6"/>
  <c r="D7" i="6" s="1"/>
  <c r="C8" i="6"/>
  <c r="C9" i="6"/>
  <c r="D9" i="6" s="1"/>
  <c r="C10" i="6"/>
  <c r="C11" i="6"/>
  <c r="D11" i="6" s="1"/>
  <c r="C12" i="6"/>
  <c r="C13" i="6"/>
  <c r="C14" i="6"/>
  <c r="C15" i="6"/>
  <c r="D15" i="6" s="1"/>
  <c r="C16" i="6"/>
  <c r="C17" i="6"/>
  <c r="D17" i="6" s="1"/>
  <c r="C18" i="6"/>
  <c r="C19" i="6"/>
  <c r="C20" i="6"/>
  <c r="D20" i="6" s="1"/>
  <c r="C21" i="6"/>
  <c r="C22" i="6"/>
  <c r="D22" i="6" s="1"/>
  <c r="C23" i="6"/>
  <c r="D23" i="6" s="1"/>
  <c r="C24" i="6"/>
  <c r="C25" i="6"/>
  <c r="D25" i="6" s="1"/>
  <c r="C26" i="6"/>
  <c r="C27" i="6"/>
  <c r="D27" i="6" s="1"/>
  <c r="C28" i="6"/>
  <c r="D28" i="6" s="1"/>
  <c r="C29" i="6"/>
  <c r="C30" i="6"/>
  <c r="D30" i="6" s="1"/>
  <c r="C31" i="6"/>
  <c r="D31" i="6" s="1"/>
  <c r="C32" i="6"/>
  <c r="C33" i="6"/>
  <c r="D33" i="6" s="1"/>
  <c r="C34" i="6"/>
  <c r="C35" i="6"/>
  <c r="D35" i="6" s="1"/>
  <c r="C36" i="6"/>
  <c r="C37" i="6"/>
  <c r="C38" i="6"/>
  <c r="D38" i="6" s="1"/>
  <c r="C39" i="6"/>
  <c r="C40" i="6"/>
  <c r="C41" i="6"/>
  <c r="D41" i="6" s="1"/>
  <c r="C42" i="6"/>
  <c r="C43" i="6"/>
  <c r="D43" i="6" s="1"/>
  <c r="C44" i="6"/>
  <c r="D44" i="6" s="1"/>
  <c r="C45" i="6"/>
  <c r="C46" i="6"/>
  <c r="D46" i="6" s="1"/>
  <c r="C47" i="6"/>
  <c r="D47" i="6" s="1"/>
  <c r="C48" i="6"/>
  <c r="C49" i="6"/>
  <c r="D49" i="6" s="1"/>
  <c r="C50" i="6"/>
  <c r="C51" i="6"/>
  <c r="D51" i="6" s="1"/>
  <c r="C52" i="6"/>
  <c r="D52" i="6" s="1"/>
  <c r="C53" i="6"/>
  <c r="C54" i="6"/>
  <c r="D54" i="6" s="1"/>
  <c r="C55" i="6"/>
  <c r="D55" i="6" s="1"/>
  <c r="C56" i="6"/>
  <c r="C57" i="6"/>
  <c r="D57" i="6" s="1"/>
  <c r="C58" i="6"/>
  <c r="C59" i="6"/>
  <c r="D59" i="6" s="1"/>
  <c r="C60" i="6"/>
  <c r="C61" i="6"/>
  <c r="C62" i="6"/>
  <c r="D62" i="6" s="1"/>
  <c r="C63" i="6"/>
  <c r="D63" i="6" s="1"/>
  <c r="C64" i="6"/>
  <c r="C65" i="6"/>
  <c r="D65" i="6" s="1"/>
  <c r="C66" i="6"/>
  <c r="C67" i="6"/>
  <c r="D67" i="6" s="1"/>
  <c r="C68" i="6"/>
  <c r="D68" i="6" s="1"/>
  <c r="C69" i="6"/>
  <c r="C70" i="6"/>
  <c r="D70" i="6" s="1"/>
  <c r="C71" i="6"/>
  <c r="D71" i="6" s="1"/>
  <c r="C72" i="6"/>
  <c r="C73" i="6"/>
  <c r="D73" i="6" s="1"/>
  <c r="C74" i="6"/>
  <c r="C75" i="6"/>
  <c r="D75" i="6" s="1"/>
  <c r="C76" i="6"/>
  <c r="C77" i="6"/>
  <c r="C78" i="6"/>
  <c r="C79" i="6"/>
  <c r="D79" i="6" s="1"/>
  <c r="C80" i="6"/>
  <c r="C81" i="6"/>
  <c r="D81" i="6" s="1"/>
  <c r="C82" i="6"/>
  <c r="C83" i="6"/>
  <c r="D83" i="6" s="1"/>
  <c r="C84" i="6"/>
  <c r="D84" i="6" s="1"/>
  <c r="C85" i="6"/>
  <c r="C86" i="6"/>
  <c r="D86" i="6" s="1"/>
  <c r="C87" i="6"/>
  <c r="D87" i="6" s="1"/>
  <c r="C88" i="6"/>
  <c r="C89" i="6"/>
  <c r="D89" i="6" s="1"/>
  <c r="C90" i="6"/>
  <c r="C91" i="6"/>
  <c r="D91" i="6" s="1"/>
  <c r="C92" i="6"/>
  <c r="D92" i="6" s="1"/>
  <c r="C93" i="6"/>
  <c r="C94" i="6"/>
  <c r="D94" i="6" s="1"/>
  <c r="C95" i="6"/>
  <c r="C96" i="6"/>
  <c r="C97" i="6"/>
  <c r="D97" i="6" s="1"/>
  <c r="C98" i="6"/>
  <c r="C99" i="6"/>
  <c r="D99" i="6" s="1"/>
  <c r="C100" i="6"/>
  <c r="C101" i="6"/>
  <c r="C102" i="6"/>
  <c r="D102" i="6" s="1"/>
  <c r="C103" i="6"/>
  <c r="D103" i="6" s="1"/>
  <c r="C104" i="6"/>
  <c r="C105" i="6"/>
  <c r="D105" i="6" s="1"/>
  <c r="C106" i="6"/>
  <c r="C107" i="6"/>
  <c r="D107" i="6" s="1"/>
  <c r="C108" i="6"/>
  <c r="D108" i="6" s="1"/>
  <c r="C109" i="6"/>
  <c r="C110" i="6"/>
  <c r="D110" i="6" s="1"/>
  <c r="C111" i="6"/>
  <c r="D111" i="6" s="1"/>
  <c r="C112" i="6"/>
  <c r="C113" i="6"/>
  <c r="D113" i="6" s="1"/>
  <c r="C114" i="6"/>
  <c r="C115" i="6"/>
  <c r="D115" i="6" s="1"/>
  <c r="C116" i="6"/>
  <c r="C117" i="6"/>
  <c r="C118" i="6"/>
  <c r="C119" i="6"/>
  <c r="D119" i="6" s="1"/>
  <c r="C120" i="6"/>
  <c r="C121" i="6"/>
  <c r="D121" i="6" s="1"/>
  <c r="C122" i="6"/>
  <c r="C2" i="6"/>
  <c r="D2" i="6" s="1"/>
  <c r="D5" i="6"/>
  <c r="D8" i="6"/>
  <c r="D10" i="6"/>
  <c r="D12" i="6"/>
  <c r="D13" i="6"/>
  <c r="D14" i="6"/>
  <c r="D16" i="6"/>
  <c r="D18" i="6"/>
  <c r="D19" i="6"/>
  <c r="D21" i="6"/>
  <c r="D24" i="6"/>
  <c r="D26" i="6"/>
  <c r="D29" i="6"/>
  <c r="D32" i="6"/>
  <c r="D34" i="6"/>
  <c r="D36" i="6"/>
  <c r="D37" i="6"/>
  <c r="D39" i="6"/>
  <c r="D40" i="6"/>
  <c r="D42" i="6"/>
  <c r="D45" i="6"/>
  <c r="D48" i="6"/>
  <c r="D50" i="6"/>
  <c r="D53" i="6"/>
  <c r="D56" i="6"/>
  <c r="D58" i="6"/>
  <c r="D60" i="6"/>
  <c r="D61" i="6"/>
  <c r="D64" i="6"/>
  <c r="D66" i="6"/>
  <c r="D69" i="6"/>
  <c r="D72" i="6"/>
  <c r="D74" i="6"/>
  <c r="D76" i="6"/>
  <c r="D77" i="6"/>
  <c r="D78" i="6"/>
  <c r="D80" i="6"/>
  <c r="D82" i="6"/>
  <c r="D85" i="6"/>
  <c r="D88" i="6"/>
  <c r="D90" i="6"/>
  <c r="D93" i="6"/>
  <c r="D95" i="6"/>
  <c r="D96" i="6"/>
  <c r="D98" i="6"/>
  <c r="D100" i="6"/>
  <c r="D101" i="6"/>
  <c r="D104" i="6"/>
  <c r="D106" i="6"/>
  <c r="D109" i="6"/>
  <c r="D112" i="6"/>
  <c r="D114" i="6"/>
  <c r="D116" i="6"/>
  <c r="D117" i="6"/>
  <c r="D118" i="6"/>
  <c r="D120" i="6"/>
  <c r="D122" i="6"/>
  <c r="F3" i="5"/>
  <c r="F32" i="5"/>
  <c r="X117" i="29"/>
  <c r="X118" i="29"/>
  <c r="X119" i="29"/>
  <c r="X120" i="29"/>
  <c r="X121" i="29"/>
  <c r="X122" i="29"/>
  <c r="X123" i="29"/>
  <c r="V2" i="29"/>
  <c r="X124" i="29" l="1"/>
  <c r="H21" i="3"/>
  <c r="I21" i="3" s="1"/>
  <c r="H9" i="3"/>
  <c r="I9" i="3" s="1"/>
  <c r="H24" i="3"/>
  <c r="I24" i="3" s="1"/>
  <c r="H20" i="3"/>
  <c r="I20" i="3" s="1"/>
  <c r="H16" i="3"/>
  <c r="I16" i="3" s="1"/>
  <c r="H12" i="3"/>
  <c r="I12" i="3" s="1"/>
  <c r="H8" i="3"/>
  <c r="I8" i="3" s="1"/>
  <c r="H4" i="3"/>
  <c r="I4" i="3" s="1"/>
  <c r="H44" i="3"/>
  <c r="I44" i="3" s="1"/>
  <c r="H40" i="3"/>
  <c r="I40" i="3" s="1"/>
  <c r="H36" i="3"/>
  <c r="I36" i="3" s="1"/>
  <c r="H59" i="3"/>
  <c r="I59" i="3" s="1"/>
  <c r="H55" i="3"/>
  <c r="I55" i="3" s="1"/>
  <c r="H52" i="3"/>
  <c r="I52" i="3" s="1"/>
  <c r="H48" i="3"/>
  <c r="I48" i="3" s="1"/>
  <c r="H70" i="3"/>
  <c r="I70" i="3" s="1"/>
  <c r="H28" i="3"/>
  <c r="I28" i="3" s="1"/>
  <c r="I63" i="3"/>
  <c r="H19" i="3"/>
  <c r="I19" i="3" s="1"/>
  <c r="H7" i="3"/>
  <c r="I7" i="3" s="1"/>
  <c r="H3" i="3"/>
  <c r="I3" i="3" s="1"/>
  <c r="H43" i="3"/>
  <c r="I43" i="3" s="1"/>
  <c r="H39" i="3"/>
  <c r="I39" i="3" s="1"/>
  <c r="H35" i="3"/>
  <c r="I35" i="3" s="1"/>
  <c r="H58" i="3"/>
  <c r="I58" i="3" s="1"/>
  <c r="H54" i="3"/>
  <c r="I54" i="3" s="1"/>
  <c r="H51" i="3"/>
  <c r="I51" i="3" s="1"/>
  <c r="H73" i="3"/>
  <c r="I73" i="3" s="1"/>
  <c r="H69" i="3"/>
  <c r="I69" i="3" s="1"/>
  <c r="H66" i="3"/>
  <c r="I66" i="3" s="1"/>
  <c r="H11" i="3"/>
  <c r="I11" i="3" s="1"/>
  <c r="H32" i="3"/>
  <c r="I32" i="3" s="1"/>
  <c r="H26" i="3"/>
  <c r="I26" i="3" s="1"/>
  <c r="H31" i="3"/>
  <c r="I31" i="3" s="1"/>
  <c r="H47" i="3"/>
  <c r="I47" i="3" s="1"/>
  <c r="I62" i="3"/>
  <c r="H23" i="3"/>
  <c r="I23" i="3" s="1"/>
  <c r="H15" i="3"/>
  <c r="I15" i="3" s="1"/>
  <c r="H22" i="3"/>
  <c r="I22" i="3" s="1"/>
  <c r="H18" i="3"/>
  <c r="I18" i="3" s="1"/>
  <c r="H10" i="3"/>
  <c r="I10" i="3" s="1"/>
  <c r="H6" i="3"/>
  <c r="I6" i="3" s="1"/>
  <c r="H42" i="3"/>
  <c r="I42" i="3" s="1"/>
  <c r="H38" i="3"/>
  <c r="I38" i="3" s="1"/>
  <c r="H34" i="3"/>
  <c r="I34" i="3" s="1"/>
  <c r="H57" i="3"/>
  <c r="I57" i="3" s="1"/>
  <c r="H50" i="3"/>
  <c r="I50" i="3" s="1"/>
  <c r="H72" i="3"/>
  <c r="I72" i="3" s="1"/>
  <c r="H65" i="3"/>
  <c r="I65" i="3" s="1"/>
  <c r="H27" i="3"/>
  <c r="I27" i="3" s="1"/>
  <c r="H46" i="3"/>
  <c r="I46" i="3" s="1"/>
  <c r="H30" i="3"/>
  <c r="I30" i="3" s="1"/>
  <c r="I60" i="3"/>
  <c r="H53" i="3"/>
  <c r="I53" i="3" s="1"/>
  <c r="H68" i="3"/>
  <c r="I68" i="3" s="1"/>
  <c r="H25" i="3"/>
  <c r="I25" i="3" s="1"/>
  <c r="H14" i="3"/>
  <c r="I14" i="3" s="1"/>
  <c r="H5" i="3"/>
  <c r="I5" i="3" s="1"/>
  <c r="H45" i="3"/>
  <c r="I45" i="3" s="1"/>
  <c r="H41" i="3"/>
  <c r="I41" i="3" s="1"/>
  <c r="H37" i="3"/>
  <c r="I37" i="3" s="1"/>
  <c r="H56" i="3"/>
  <c r="I56" i="3" s="1"/>
  <c r="H49" i="3"/>
  <c r="I49" i="3" s="1"/>
  <c r="H71" i="3"/>
  <c r="I71" i="3" s="1"/>
  <c r="H61" i="3"/>
  <c r="I61" i="3" s="1"/>
  <c r="H17" i="3"/>
  <c r="I17" i="3" s="1"/>
  <c r="H13" i="3"/>
  <c r="I13" i="3" s="1"/>
  <c r="H33" i="3"/>
  <c r="I33" i="3" s="1"/>
  <c r="H29" i="3"/>
  <c r="I29" i="3" s="1"/>
  <c r="H74" i="3"/>
  <c r="I74" i="3" s="1"/>
  <c r="H67" i="3"/>
  <c r="I67" i="3" s="1"/>
  <c r="I64" i="3"/>
  <c r="U349" i="2"/>
  <c r="F16" i="5"/>
  <c r="F15" i="5"/>
  <c r="V3" i="29"/>
  <c r="V4" i="29"/>
  <c r="V5" i="29"/>
  <c r="V6" i="29"/>
  <c r="V7" i="29"/>
  <c r="V8" i="29"/>
  <c r="V9" i="29"/>
  <c r="V10" i="29"/>
  <c r="V11" i="29"/>
  <c r="V12" i="29"/>
  <c r="V13" i="29"/>
  <c r="V14" i="29"/>
  <c r="V15" i="29"/>
  <c r="V16" i="29"/>
  <c r="V17" i="29"/>
  <c r="V18" i="29"/>
  <c r="V19" i="29"/>
  <c r="V20" i="29"/>
  <c r="V21" i="29"/>
  <c r="V22" i="29"/>
  <c r="V23" i="29"/>
  <c r="V24" i="29"/>
  <c r="V25" i="29"/>
  <c r="V26" i="29"/>
  <c r="V27" i="29"/>
  <c r="V28" i="29"/>
  <c r="V29" i="29"/>
  <c r="V30" i="29"/>
  <c r="V31" i="29"/>
  <c r="V32" i="29"/>
  <c r="V33" i="29"/>
  <c r="V34" i="29"/>
  <c r="V35" i="29"/>
  <c r="V36" i="29"/>
  <c r="V37" i="29"/>
  <c r="V38" i="29"/>
  <c r="V39" i="29"/>
  <c r="V40" i="29"/>
  <c r="V41" i="29"/>
  <c r="V42" i="29"/>
  <c r="V43" i="29"/>
  <c r="V44" i="29"/>
  <c r="V45" i="29"/>
  <c r="V46" i="29"/>
  <c r="V47" i="29"/>
  <c r="V48" i="29"/>
  <c r="V49" i="29"/>
  <c r="V50" i="29"/>
  <c r="V51" i="29"/>
  <c r="V52" i="29"/>
  <c r="V53" i="29"/>
  <c r="V54" i="29"/>
  <c r="V55" i="29"/>
  <c r="V56" i="29"/>
  <c r="V57" i="29"/>
  <c r="V58" i="29"/>
  <c r="V59" i="29"/>
  <c r="V60" i="29"/>
  <c r="V61" i="29"/>
  <c r="V62" i="29"/>
  <c r="V63" i="29"/>
  <c r="V64" i="29"/>
  <c r="V65" i="29"/>
  <c r="V66" i="29"/>
  <c r="V67" i="29"/>
  <c r="V68" i="29"/>
  <c r="V69" i="29"/>
  <c r="V70" i="29"/>
  <c r="V71" i="29"/>
  <c r="V72" i="29"/>
  <c r="V73" i="29"/>
  <c r="V74" i="29"/>
  <c r="V75" i="29"/>
  <c r="V76" i="29"/>
  <c r="V77" i="29"/>
  <c r="V78" i="29"/>
  <c r="V79" i="29"/>
  <c r="V80" i="29"/>
  <c r="V81" i="29"/>
  <c r="V82" i="29"/>
  <c r="V83" i="29"/>
  <c r="V84" i="29"/>
  <c r="V85" i="29"/>
  <c r="V86" i="29"/>
  <c r="V87" i="29"/>
  <c r="V88" i="29"/>
  <c r="V89" i="29"/>
  <c r="V90" i="29"/>
  <c r="V91" i="29"/>
  <c r="V92" i="29"/>
  <c r="V93" i="29"/>
  <c r="V94" i="29"/>
  <c r="V95" i="29"/>
  <c r="V96" i="29"/>
  <c r="V97" i="29"/>
  <c r="V98" i="29"/>
  <c r="V99" i="29"/>
  <c r="V100" i="29"/>
  <c r="V101" i="29"/>
  <c r="V102" i="29"/>
  <c r="V103" i="29"/>
  <c r="V104" i="29"/>
  <c r="V105" i="29"/>
  <c r="V106" i="29"/>
  <c r="V107" i="29"/>
  <c r="V108" i="29"/>
  <c r="V109" i="29"/>
  <c r="V110" i="29"/>
  <c r="V111" i="29"/>
  <c r="V112" i="29"/>
  <c r="V113" i="29"/>
  <c r="V114" i="29"/>
  <c r="V115" i="29"/>
  <c r="V116" i="29"/>
  <c r="V117" i="29"/>
  <c r="V118" i="29"/>
  <c r="V119" i="29"/>
  <c r="V120" i="29"/>
  <c r="V121" i="29"/>
  <c r="V122" i="29"/>
  <c r="V123" i="29"/>
  <c r="F14" i="5"/>
  <c r="Q3" i="29"/>
  <c r="Q4" i="29"/>
  <c r="Q5" i="29"/>
  <c r="Q6" i="29"/>
  <c r="Q7" i="29"/>
  <c r="Q8" i="29"/>
  <c r="Q9" i="29"/>
  <c r="Q10" i="29"/>
  <c r="Q11" i="29"/>
  <c r="Q12" i="29"/>
  <c r="Q13" i="29"/>
  <c r="Q14" i="29"/>
  <c r="Q15" i="29"/>
  <c r="Q16" i="29"/>
  <c r="Q17" i="29"/>
  <c r="Q18" i="29"/>
  <c r="Q19" i="29"/>
  <c r="Q20" i="29"/>
  <c r="Q21" i="29"/>
  <c r="Q22" i="29"/>
  <c r="Q23" i="29"/>
  <c r="Q24" i="29"/>
  <c r="Q25" i="29"/>
  <c r="Q26" i="29"/>
  <c r="Q27" i="29"/>
  <c r="Q28" i="29"/>
  <c r="Q29" i="29"/>
  <c r="Q30" i="29"/>
  <c r="Q31" i="29"/>
  <c r="Q32" i="29"/>
  <c r="Q33" i="29"/>
  <c r="Q34" i="29"/>
  <c r="Q35" i="29"/>
  <c r="Q36" i="29"/>
  <c r="Q37" i="29"/>
  <c r="Q38" i="29"/>
  <c r="Q39" i="29"/>
  <c r="Q40" i="29"/>
  <c r="Q41" i="29"/>
  <c r="Q42" i="29"/>
  <c r="Q43" i="29"/>
  <c r="Q44" i="29"/>
  <c r="Q45" i="29"/>
  <c r="Q46" i="29"/>
  <c r="Q47" i="29"/>
  <c r="Q48" i="29"/>
  <c r="Q49" i="29"/>
  <c r="Q50" i="29"/>
  <c r="Q51" i="29"/>
  <c r="Q52" i="29"/>
  <c r="Q53" i="29"/>
  <c r="Q54" i="29"/>
  <c r="Q55" i="29"/>
  <c r="Q56" i="29"/>
  <c r="Q57" i="29"/>
  <c r="Q58" i="29"/>
  <c r="Q59" i="29"/>
  <c r="Q60" i="29"/>
  <c r="Q61" i="29"/>
  <c r="Q62" i="29"/>
  <c r="Q63" i="29"/>
  <c r="Q64" i="29"/>
  <c r="Q65" i="29"/>
  <c r="Q66" i="29"/>
  <c r="Q67" i="29"/>
  <c r="Q68" i="29"/>
  <c r="Q69" i="29"/>
  <c r="Q70" i="29"/>
  <c r="Q71" i="29"/>
  <c r="Q72" i="29"/>
  <c r="Q73" i="29"/>
  <c r="Q74" i="29"/>
  <c r="Q75" i="29"/>
  <c r="Q76" i="29"/>
  <c r="Q77" i="29"/>
  <c r="Q78" i="29"/>
  <c r="Q79" i="29"/>
  <c r="Q80" i="29"/>
  <c r="Q81" i="29"/>
  <c r="Q82" i="29"/>
  <c r="Q83" i="29"/>
  <c r="Q84" i="29"/>
  <c r="Q85" i="29"/>
  <c r="Q86" i="29"/>
  <c r="Q87" i="29"/>
  <c r="Q88" i="29"/>
  <c r="Q89" i="29"/>
  <c r="Q90" i="29"/>
  <c r="Q91" i="29"/>
  <c r="Q92" i="29"/>
  <c r="Q93" i="29"/>
  <c r="Q94" i="29"/>
  <c r="Q95" i="29"/>
  <c r="Q96" i="29"/>
  <c r="Q97" i="29"/>
  <c r="Q98" i="29"/>
  <c r="Q99" i="29"/>
  <c r="Q100" i="29"/>
  <c r="Q101" i="29"/>
  <c r="Q102" i="29"/>
  <c r="Q103" i="29"/>
  <c r="Q104" i="29"/>
  <c r="Q105" i="29"/>
  <c r="Q106" i="29"/>
  <c r="Q107" i="29"/>
  <c r="Q108" i="29"/>
  <c r="Q109" i="29"/>
  <c r="Q110" i="29"/>
  <c r="Q111" i="29"/>
  <c r="Q112" i="29"/>
  <c r="Q113" i="29"/>
  <c r="Q114" i="29"/>
  <c r="Q115" i="29"/>
  <c r="Q116" i="29"/>
  <c r="Q117" i="29"/>
  <c r="Q118" i="29"/>
  <c r="Q119" i="29"/>
  <c r="Q120" i="29"/>
  <c r="Q121" i="29"/>
  <c r="Q122" i="29"/>
  <c r="Q123" i="29"/>
  <c r="Q2" i="29"/>
  <c r="P3" i="29"/>
  <c r="P4" i="29"/>
  <c r="P5" i="29"/>
  <c r="P6" i="29"/>
  <c r="P7" i="29"/>
  <c r="P8" i="29"/>
  <c r="P9" i="29"/>
  <c r="P10" i="29"/>
  <c r="P11" i="29"/>
  <c r="P12" i="29"/>
  <c r="P13" i="29"/>
  <c r="P14" i="29"/>
  <c r="P15" i="29"/>
  <c r="P16" i="29"/>
  <c r="P17" i="29"/>
  <c r="P18" i="29"/>
  <c r="P19" i="29"/>
  <c r="P20" i="29"/>
  <c r="P21" i="29"/>
  <c r="P22" i="29"/>
  <c r="P23" i="29"/>
  <c r="P24" i="29"/>
  <c r="P25" i="29"/>
  <c r="P26" i="29"/>
  <c r="P27" i="29"/>
  <c r="P28" i="29"/>
  <c r="P29" i="29"/>
  <c r="P30" i="29"/>
  <c r="P31" i="29"/>
  <c r="P32" i="29"/>
  <c r="P33" i="29"/>
  <c r="P34" i="29"/>
  <c r="P35" i="29"/>
  <c r="P36" i="29"/>
  <c r="P37" i="29"/>
  <c r="P38" i="29"/>
  <c r="P39" i="29"/>
  <c r="P40" i="29"/>
  <c r="P41" i="29"/>
  <c r="P42" i="29"/>
  <c r="P43" i="29"/>
  <c r="P44" i="29"/>
  <c r="P45" i="29"/>
  <c r="P46" i="29"/>
  <c r="P47" i="29"/>
  <c r="P48" i="29"/>
  <c r="P49" i="29"/>
  <c r="P50" i="29"/>
  <c r="P51" i="29"/>
  <c r="P52" i="29"/>
  <c r="P53" i="29"/>
  <c r="P54" i="29"/>
  <c r="P55" i="29"/>
  <c r="P56" i="29"/>
  <c r="P57" i="29"/>
  <c r="P58" i="29"/>
  <c r="P59" i="29"/>
  <c r="P60" i="29"/>
  <c r="P61" i="29"/>
  <c r="P62" i="29"/>
  <c r="P63" i="29"/>
  <c r="P64" i="29"/>
  <c r="P65" i="29"/>
  <c r="P66" i="29"/>
  <c r="P67" i="29"/>
  <c r="P68" i="29"/>
  <c r="P69" i="29"/>
  <c r="P70" i="29"/>
  <c r="P71" i="29"/>
  <c r="P72" i="29"/>
  <c r="P73" i="29"/>
  <c r="P74" i="29"/>
  <c r="P75" i="29"/>
  <c r="P76" i="29"/>
  <c r="P77" i="29"/>
  <c r="P78" i="29"/>
  <c r="P79" i="29"/>
  <c r="P80" i="29"/>
  <c r="P81" i="29"/>
  <c r="P82" i="29"/>
  <c r="P83" i="29"/>
  <c r="P84" i="29"/>
  <c r="P85" i="29"/>
  <c r="P86" i="29"/>
  <c r="P87" i="29"/>
  <c r="P88" i="29"/>
  <c r="P89" i="29"/>
  <c r="P90" i="29"/>
  <c r="P91" i="29"/>
  <c r="P92" i="29"/>
  <c r="P93" i="29"/>
  <c r="P94" i="29"/>
  <c r="P95" i="29"/>
  <c r="P96" i="29"/>
  <c r="P97" i="29"/>
  <c r="P98" i="29"/>
  <c r="P99" i="29"/>
  <c r="P100" i="29"/>
  <c r="P101" i="29"/>
  <c r="P102" i="29"/>
  <c r="P103" i="29"/>
  <c r="P104" i="29"/>
  <c r="P105" i="29"/>
  <c r="P106" i="29"/>
  <c r="P107" i="29"/>
  <c r="P108" i="29"/>
  <c r="P109" i="29"/>
  <c r="P110" i="29"/>
  <c r="P111" i="29"/>
  <c r="P112" i="29"/>
  <c r="P113" i="29"/>
  <c r="P114" i="29"/>
  <c r="P115" i="29"/>
  <c r="P116" i="29"/>
  <c r="P117" i="29"/>
  <c r="P118" i="29"/>
  <c r="P119" i="29"/>
  <c r="P120" i="29"/>
  <c r="P121" i="29"/>
  <c r="P122" i="29"/>
  <c r="P123" i="29"/>
  <c r="P2" i="29"/>
  <c r="O3" i="29"/>
  <c r="O4" i="29"/>
  <c r="O5" i="29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O21" i="29"/>
  <c r="O22" i="29"/>
  <c r="O23" i="29"/>
  <c r="O24" i="29"/>
  <c r="O25" i="29"/>
  <c r="O26" i="29"/>
  <c r="O27" i="29"/>
  <c r="O28" i="29"/>
  <c r="O29" i="29"/>
  <c r="O30" i="29"/>
  <c r="O31" i="29"/>
  <c r="O32" i="29"/>
  <c r="O33" i="29"/>
  <c r="O34" i="29"/>
  <c r="O35" i="29"/>
  <c r="O36" i="29"/>
  <c r="O37" i="29"/>
  <c r="O38" i="29"/>
  <c r="O39" i="29"/>
  <c r="O40" i="29"/>
  <c r="O41" i="29"/>
  <c r="O42" i="29"/>
  <c r="O43" i="29"/>
  <c r="O44" i="29"/>
  <c r="O45" i="29"/>
  <c r="O46" i="29"/>
  <c r="O47" i="29"/>
  <c r="O48" i="29"/>
  <c r="O49" i="29"/>
  <c r="O50" i="29"/>
  <c r="O51" i="29"/>
  <c r="O52" i="29"/>
  <c r="O53" i="29"/>
  <c r="O54" i="29"/>
  <c r="O55" i="29"/>
  <c r="O56" i="29"/>
  <c r="O57" i="29"/>
  <c r="O58" i="29"/>
  <c r="O59" i="29"/>
  <c r="O60" i="29"/>
  <c r="O61" i="29"/>
  <c r="O62" i="29"/>
  <c r="O63" i="29"/>
  <c r="O64" i="29"/>
  <c r="O65" i="29"/>
  <c r="O66" i="29"/>
  <c r="O67" i="29"/>
  <c r="O68" i="29"/>
  <c r="O69" i="29"/>
  <c r="O70" i="29"/>
  <c r="O71" i="29"/>
  <c r="O72" i="29"/>
  <c r="O73" i="29"/>
  <c r="O74" i="29"/>
  <c r="O75" i="29"/>
  <c r="O76" i="29"/>
  <c r="O77" i="29"/>
  <c r="O78" i="29"/>
  <c r="O79" i="29"/>
  <c r="O80" i="29"/>
  <c r="O81" i="29"/>
  <c r="O82" i="29"/>
  <c r="O83" i="29"/>
  <c r="O84" i="29"/>
  <c r="O85" i="29"/>
  <c r="O86" i="29"/>
  <c r="O87" i="29"/>
  <c r="O88" i="29"/>
  <c r="O89" i="29"/>
  <c r="O90" i="29"/>
  <c r="O91" i="29"/>
  <c r="O92" i="29"/>
  <c r="O93" i="29"/>
  <c r="O94" i="29"/>
  <c r="O95" i="29"/>
  <c r="O96" i="29"/>
  <c r="O97" i="29"/>
  <c r="O98" i="29"/>
  <c r="O99" i="29"/>
  <c r="O100" i="29"/>
  <c r="O101" i="29"/>
  <c r="O102" i="29"/>
  <c r="O103" i="29"/>
  <c r="O104" i="29"/>
  <c r="O105" i="29"/>
  <c r="O106" i="29"/>
  <c r="O107" i="29"/>
  <c r="O108" i="29"/>
  <c r="O109" i="29"/>
  <c r="O110" i="29"/>
  <c r="O111" i="29"/>
  <c r="O112" i="29"/>
  <c r="O113" i="29"/>
  <c r="O114" i="29"/>
  <c r="O115" i="29"/>
  <c r="O116" i="29"/>
  <c r="O117" i="29"/>
  <c r="O118" i="29"/>
  <c r="O119" i="29"/>
  <c r="O120" i="29"/>
  <c r="O121" i="29"/>
  <c r="O122" i="29"/>
  <c r="O123" i="29"/>
  <c r="O2" i="29"/>
  <c r="N3" i="29"/>
  <c r="N4" i="29"/>
  <c r="N5" i="29"/>
  <c r="N7" i="29"/>
  <c r="N11" i="29"/>
  <c r="N12" i="29"/>
  <c r="N13" i="29"/>
  <c r="N14" i="29"/>
  <c r="N15" i="29"/>
  <c r="N16" i="29"/>
  <c r="N17" i="29"/>
  <c r="N18" i="29"/>
  <c r="N19" i="29"/>
  <c r="N20" i="29"/>
  <c r="N21" i="29"/>
  <c r="N22" i="29"/>
  <c r="N23" i="29"/>
  <c r="N24" i="29"/>
  <c r="N25" i="29"/>
  <c r="N26" i="29"/>
  <c r="N27" i="29"/>
  <c r="N28" i="29"/>
  <c r="N29" i="29"/>
  <c r="N30" i="29"/>
  <c r="N31" i="29"/>
  <c r="N32" i="29"/>
  <c r="N33" i="29"/>
  <c r="N36" i="29"/>
  <c r="N37" i="29"/>
  <c r="N38" i="29"/>
  <c r="N39" i="29"/>
  <c r="N40" i="29"/>
  <c r="N41" i="29"/>
  <c r="N42" i="29"/>
  <c r="N43" i="29"/>
  <c r="N44" i="29"/>
  <c r="N45" i="29"/>
  <c r="N46" i="29"/>
  <c r="N47" i="29"/>
  <c r="N48" i="29"/>
  <c r="N49" i="29"/>
  <c r="N50" i="29"/>
  <c r="N51" i="29"/>
  <c r="N52" i="29"/>
  <c r="N53" i="29"/>
  <c r="N54" i="29"/>
  <c r="N55" i="29"/>
  <c r="N56" i="29"/>
  <c r="N57" i="29"/>
  <c r="N58" i="29"/>
  <c r="N59" i="29"/>
  <c r="N60" i="29"/>
  <c r="N61" i="29"/>
  <c r="N62" i="29"/>
  <c r="N63" i="29"/>
  <c r="N64" i="29"/>
  <c r="N65" i="29"/>
  <c r="N66" i="29"/>
  <c r="N67" i="29"/>
  <c r="N68" i="29"/>
  <c r="N69" i="29"/>
  <c r="N71" i="29"/>
  <c r="N72" i="29"/>
  <c r="N73" i="29"/>
  <c r="N74" i="29"/>
  <c r="N75" i="29"/>
  <c r="N76" i="29"/>
  <c r="N77" i="29"/>
  <c r="N78" i="29"/>
  <c r="N79" i="29"/>
  <c r="N80" i="29"/>
  <c r="N81" i="29"/>
  <c r="N82" i="29"/>
  <c r="N83" i="29"/>
  <c r="N84" i="29"/>
  <c r="N85" i="29"/>
  <c r="N86" i="29"/>
  <c r="N87" i="29"/>
  <c r="N88" i="29"/>
  <c r="N89" i="29"/>
  <c r="N90" i="29"/>
  <c r="N91" i="29"/>
  <c r="N92" i="29"/>
  <c r="N93" i="29"/>
  <c r="N94" i="29"/>
  <c r="N95" i="29"/>
  <c r="N96" i="29"/>
  <c r="N97" i="29"/>
  <c r="N98" i="29"/>
  <c r="N99" i="29"/>
  <c r="N100" i="29"/>
  <c r="N101" i="29"/>
  <c r="N102" i="29"/>
  <c r="N103" i="29"/>
  <c r="N104" i="29"/>
  <c r="N105" i="29"/>
  <c r="N106" i="29"/>
  <c r="N107" i="29"/>
  <c r="N108" i="29"/>
  <c r="N109" i="29"/>
  <c r="N110" i="29"/>
  <c r="N111" i="29"/>
  <c r="N112" i="29"/>
  <c r="N113" i="29"/>
  <c r="N114" i="29"/>
  <c r="N115" i="29"/>
  <c r="N116" i="29"/>
  <c r="N117" i="29"/>
  <c r="N118" i="29"/>
  <c r="N119" i="29"/>
  <c r="N120" i="29"/>
  <c r="N121" i="29"/>
  <c r="N122" i="29"/>
  <c r="N123" i="29"/>
  <c r="N2" i="29"/>
  <c r="M3" i="29"/>
  <c r="M4" i="29"/>
  <c r="M5" i="29"/>
  <c r="M6" i="29"/>
  <c r="M7" i="29"/>
  <c r="M8" i="29"/>
  <c r="M9" i="29"/>
  <c r="M10" i="29"/>
  <c r="M11" i="29"/>
  <c r="M12" i="29"/>
  <c r="M13" i="29"/>
  <c r="M14" i="29"/>
  <c r="M15" i="29"/>
  <c r="M16" i="29"/>
  <c r="M17" i="29"/>
  <c r="M18" i="29"/>
  <c r="M19" i="29"/>
  <c r="M20" i="29"/>
  <c r="M21" i="29"/>
  <c r="M22" i="29"/>
  <c r="M23" i="29"/>
  <c r="M24" i="29"/>
  <c r="M25" i="29"/>
  <c r="M26" i="29"/>
  <c r="M27" i="29"/>
  <c r="M28" i="29"/>
  <c r="M29" i="29"/>
  <c r="M30" i="29"/>
  <c r="M31" i="29"/>
  <c r="M32" i="29"/>
  <c r="M33" i="29"/>
  <c r="M34" i="29"/>
  <c r="M35" i="29"/>
  <c r="M36" i="29"/>
  <c r="M37" i="29"/>
  <c r="M38" i="29"/>
  <c r="M39" i="29"/>
  <c r="M40" i="29"/>
  <c r="M41" i="29"/>
  <c r="M42" i="29"/>
  <c r="M43" i="29"/>
  <c r="M44" i="29"/>
  <c r="M45" i="29"/>
  <c r="M46" i="29"/>
  <c r="M47" i="29"/>
  <c r="M48" i="29"/>
  <c r="M49" i="29"/>
  <c r="M50" i="29"/>
  <c r="M51" i="29"/>
  <c r="M52" i="29"/>
  <c r="M53" i="29"/>
  <c r="M54" i="29"/>
  <c r="M55" i="29"/>
  <c r="M56" i="29"/>
  <c r="M57" i="29"/>
  <c r="M58" i="29"/>
  <c r="M59" i="29"/>
  <c r="M60" i="29"/>
  <c r="M61" i="29"/>
  <c r="M62" i="29"/>
  <c r="M63" i="29"/>
  <c r="M64" i="29"/>
  <c r="M65" i="29"/>
  <c r="M66" i="29"/>
  <c r="M67" i="29"/>
  <c r="M68" i="29"/>
  <c r="M69" i="29"/>
  <c r="M70" i="29"/>
  <c r="M71" i="29"/>
  <c r="M72" i="29"/>
  <c r="M73" i="29"/>
  <c r="M74" i="29"/>
  <c r="M75" i="29"/>
  <c r="M76" i="29"/>
  <c r="M77" i="29"/>
  <c r="M78" i="29"/>
  <c r="M79" i="29"/>
  <c r="M80" i="29"/>
  <c r="M81" i="29"/>
  <c r="M82" i="29"/>
  <c r="M83" i="29"/>
  <c r="M84" i="29"/>
  <c r="M85" i="29"/>
  <c r="M86" i="29"/>
  <c r="M87" i="29"/>
  <c r="M88" i="29"/>
  <c r="M89" i="29"/>
  <c r="M90" i="29"/>
  <c r="M91" i="29"/>
  <c r="M92" i="29"/>
  <c r="M93" i="29"/>
  <c r="M94" i="29"/>
  <c r="M95" i="29"/>
  <c r="M9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1" i="29"/>
  <c r="M112" i="29"/>
  <c r="M113" i="29"/>
  <c r="M114" i="29"/>
  <c r="M115" i="29"/>
  <c r="M116" i="29"/>
  <c r="M117" i="29"/>
  <c r="M118" i="29"/>
  <c r="M119" i="29"/>
  <c r="M120" i="29"/>
  <c r="M121" i="29"/>
  <c r="M122" i="29"/>
  <c r="M123" i="29"/>
  <c r="M2" i="29"/>
  <c r="L3" i="29"/>
  <c r="L4" i="29"/>
  <c r="L5" i="29"/>
  <c r="L6" i="29"/>
  <c r="L7" i="29"/>
  <c r="L8" i="29"/>
  <c r="L9" i="29"/>
  <c r="L10" i="29"/>
  <c r="L11" i="29"/>
  <c r="L12" i="29"/>
  <c r="L13" i="29"/>
  <c r="L14" i="29"/>
  <c r="L15" i="29"/>
  <c r="L16" i="29"/>
  <c r="L17" i="29"/>
  <c r="L18" i="29"/>
  <c r="L19" i="29"/>
  <c r="L20" i="29"/>
  <c r="L21" i="29"/>
  <c r="L22" i="29"/>
  <c r="L23" i="29"/>
  <c r="L24" i="29"/>
  <c r="L25" i="29"/>
  <c r="L26" i="29"/>
  <c r="L27" i="29"/>
  <c r="L28" i="29"/>
  <c r="L29" i="29"/>
  <c r="L30" i="29"/>
  <c r="L31" i="29"/>
  <c r="L32" i="29"/>
  <c r="L33" i="29"/>
  <c r="L34" i="29"/>
  <c r="L35" i="29"/>
  <c r="L36" i="29"/>
  <c r="L37" i="29"/>
  <c r="L38" i="29"/>
  <c r="L39" i="29"/>
  <c r="L40" i="29"/>
  <c r="L41" i="29"/>
  <c r="L42" i="29"/>
  <c r="L43" i="29"/>
  <c r="L44" i="29"/>
  <c r="L45" i="29"/>
  <c r="L46" i="29"/>
  <c r="L47" i="29"/>
  <c r="L48" i="29"/>
  <c r="L49" i="29"/>
  <c r="L50" i="29"/>
  <c r="L51" i="29"/>
  <c r="L52" i="29"/>
  <c r="L53" i="29"/>
  <c r="L54" i="29"/>
  <c r="L55" i="29"/>
  <c r="L56" i="29"/>
  <c r="L57" i="29"/>
  <c r="L58" i="29"/>
  <c r="L59" i="29"/>
  <c r="L60" i="29"/>
  <c r="L61" i="29"/>
  <c r="L62" i="29"/>
  <c r="L63" i="29"/>
  <c r="L64" i="29"/>
  <c r="L65" i="29"/>
  <c r="L66" i="29"/>
  <c r="L67" i="29"/>
  <c r="L68" i="29"/>
  <c r="L69" i="29"/>
  <c r="L70" i="29"/>
  <c r="L71" i="29"/>
  <c r="L72" i="29"/>
  <c r="L73" i="29"/>
  <c r="L74" i="29"/>
  <c r="L75" i="29"/>
  <c r="L76" i="29"/>
  <c r="L77" i="29"/>
  <c r="L78" i="29"/>
  <c r="L79" i="29"/>
  <c r="L80" i="29"/>
  <c r="L81" i="29"/>
  <c r="L82" i="29"/>
  <c r="L83" i="29"/>
  <c r="L84" i="29"/>
  <c r="L85" i="29"/>
  <c r="L86" i="29"/>
  <c r="L87" i="29"/>
  <c r="L88" i="29"/>
  <c r="L89" i="29"/>
  <c r="L90" i="29"/>
  <c r="L91" i="29"/>
  <c r="L92" i="29"/>
  <c r="L93" i="29"/>
  <c r="L94" i="29"/>
  <c r="L95" i="29"/>
  <c r="L96" i="29"/>
  <c r="L97" i="29"/>
  <c r="L98" i="29"/>
  <c r="L99" i="29"/>
  <c r="L100" i="29"/>
  <c r="L101" i="29"/>
  <c r="L102" i="29"/>
  <c r="L103" i="29"/>
  <c r="L104" i="29"/>
  <c r="L105" i="29"/>
  <c r="L106" i="29"/>
  <c r="L107" i="29"/>
  <c r="L108" i="29"/>
  <c r="L109" i="29"/>
  <c r="L110" i="29"/>
  <c r="L111" i="29"/>
  <c r="L112" i="29"/>
  <c r="L113" i="29"/>
  <c r="L114" i="29"/>
  <c r="L115" i="29"/>
  <c r="L116" i="29"/>
  <c r="L118" i="29"/>
  <c r="L119" i="29"/>
  <c r="L120" i="29"/>
  <c r="L122" i="29"/>
  <c r="L123" i="29"/>
  <c r="L2" i="29"/>
  <c r="K3" i="29"/>
  <c r="K4" i="29"/>
  <c r="K5" i="29"/>
  <c r="K6" i="29"/>
  <c r="K7" i="29"/>
  <c r="K8" i="29"/>
  <c r="K9" i="29"/>
  <c r="K10" i="29"/>
  <c r="K11" i="29"/>
  <c r="K12" i="29"/>
  <c r="K13" i="29"/>
  <c r="K14" i="29"/>
  <c r="K15" i="29"/>
  <c r="K16" i="29"/>
  <c r="K17" i="29"/>
  <c r="K18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K32" i="29"/>
  <c r="K33" i="29"/>
  <c r="K34" i="29"/>
  <c r="K35" i="29"/>
  <c r="K36" i="29"/>
  <c r="K37" i="29"/>
  <c r="K38" i="29"/>
  <c r="K39" i="29"/>
  <c r="K40" i="29"/>
  <c r="K41" i="29"/>
  <c r="K42" i="29"/>
  <c r="K43" i="29"/>
  <c r="K44" i="29"/>
  <c r="K45" i="29"/>
  <c r="K46" i="29"/>
  <c r="K47" i="29"/>
  <c r="K48" i="29"/>
  <c r="K49" i="29"/>
  <c r="K50" i="29"/>
  <c r="K51" i="29"/>
  <c r="K52" i="29"/>
  <c r="K53" i="29"/>
  <c r="K54" i="29"/>
  <c r="K55" i="29"/>
  <c r="K56" i="29"/>
  <c r="K57" i="29"/>
  <c r="K58" i="29"/>
  <c r="K59" i="29"/>
  <c r="K60" i="29"/>
  <c r="K61" i="29"/>
  <c r="K62" i="29"/>
  <c r="K63" i="29"/>
  <c r="K64" i="29"/>
  <c r="K65" i="29"/>
  <c r="K66" i="29"/>
  <c r="K67" i="29"/>
  <c r="K68" i="29"/>
  <c r="K69" i="29"/>
  <c r="K70" i="29"/>
  <c r="K71" i="29"/>
  <c r="K72" i="29"/>
  <c r="K73" i="29"/>
  <c r="K74" i="29"/>
  <c r="K75" i="29"/>
  <c r="K76" i="29"/>
  <c r="K77" i="29"/>
  <c r="K78" i="29"/>
  <c r="K79" i="29"/>
  <c r="K80" i="29"/>
  <c r="K81" i="29"/>
  <c r="K82" i="29"/>
  <c r="K83" i="29"/>
  <c r="K84" i="29"/>
  <c r="K85" i="29"/>
  <c r="K86" i="29"/>
  <c r="K87" i="29"/>
  <c r="K88" i="29"/>
  <c r="K89" i="29"/>
  <c r="K90" i="29"/>
  <c r="K91" i="29"/>
  <c r="K92" i="29"/>
  <c r="K93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K117" i="29"/>
  <c r="K118" i="29"/>
  <c r="K119" i="29"/>
  <c r="K120" i="29"/>
  <c r="K121" i="29"/>
  <c r="K122" i="29"/>
  <c r="K123" i="29"/>
  <c r="K2" i="29"/>
  <c r="T7" i="29"/>
  <c r="U7" i="29" s="1"/>
  <c r="T8" i="29"/>
  <c r="U8" i="29" s="1"/>
  <c r="T10" i="29"/>
  <c r="U10" i="29" s="1"/>
  <c r="T16" i="29"/>
  <c r="U16" i="29" s="1"/>
  <c r="T23" i="29"/>
  <c r="U23" i="29" s="1"/>
  <c r="T24" i="29"/>
  <c r="U24" i="29" s="1"/>
  <c r="T28" i="29"/>
  <c r="U28" i="29" s="1"/>
  <c r="T30" i="29"/>
  <c r="U30" i="29" s="1"/>
  <c r="T31" i="29"/>
  <c r="U31" i="29" s="1"/>
  <c r="T37" i="29"/>
  <c r="U37" i="29" s="1"/>
  <c r="T38" i="29"/>
  <c r="U38" i="29" s="1"/>
  <c r="T39" i="29"/>
  <c r="U39" i="29" s="1"/>
  <c r="T42" i="29"/>
  <c r="U42" i="29" s="1"/>
  <c r="T45" i="29"/>
  <c r="U45" i="29" s="1"/>
  <c r="T52" i="29"/>
  <c r="U52" i="29" s="1"/>
  <c r="T53" i="29"/>
  <c r="U53" i="29" s="1"/>
  <c r="T57" i="29"/>
  <c r="U57" i="29" s="1"/>
  <c r="T67" i="29"/>
  <c r="U67" i="29" s="1"/>
  <c r="T68" i="29"/>
  <c r="U68" i="29" s="1"/>
  <c r="T73" i="29"/>
  <c r="U73" i="29" s="1"/>
  <c r="T75" i="29"/>
  <c r="U75" i="29" s="1"/>
  <c r="T79" i="29"/>
  <c r="U79" i="29" s="1"/>
  <c r="T85" i="29"/>
  <c r="U85" i="29" s="1"/>
  <c r="T89" i="29"/>
  <c r="U89" i="29" s="1"/>
  <c r="T91" i="29"/>
  <c r="U91" i="29" s="1"/>
  <c r="T94" i="29"/>
  <c r="U94" i="29" s="1"/>
  <c r="T96" i="29"/>
  <c r="U96" i="29" s="1"/>
  <c r="T101" i="29"/>
  <c r="U101" i="29" s="1"/>
  <c r="T102" i="29"/>
  <c r="U102" i="29" s="1"/>
  <c r="T105" i="29"/>
  <c r="U105" i="29" s="1"/>
  <c r="T107" i="29"/>
  <c r="T109" i="29"/>
  <c r="U109" i="29" s="1"/>
  <c r="T111" i="29"/>
  <c r="U111" i="29" s="1"/>
  <c r="T120" i="29"/>
  <c r="U120" i="29" s="1"/>
  <c r="J3" i="29"/>
  <c r="J4" i="29"/>
  <c r="J5" i="29"/>
  <c r="J6" i="29"/>
  <c r="J7" i="29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37" i="29"/>
  <c r="J38" i="29"/>
  <c r="J39" i="29"/>
  <c r="J40" i="29"/>
  <c r="J41" i="29"/>
  <c r="J42" i="29"/>
  <c r="J43" i="29"/>
  <c r="J44" i="29"/>
  <c r="J45" i="29"/>
  <c r="J46" i="29"/>
  <c r="J47" i="29"/>
  <c r="J48" i="29"/>
  <c r="J49" i="29"/>
  <c r="J50" i="29"/>
  <c r="J51" i="29"/>
  <c r="J52" i="29"/>
  <c r="J53" i="29"/>
  <c r="J54" i="29"/>
  <c r="J55" i="29"/>
  <c r="J56" i="29"/>
  <c r="J57" i="29"/>
  <c r="J58" i="29"/>
  <c r="J59" i="29"/>
  <c r="J60" i="29"/>
  <c r="J61" i="29"/>
  <c r="J62" i="29"/>
  <c r="J63" i="29"/>
  <c r="J64" i="29"/>
  <c r="J65" i="29"/>
  <c r="J66" i="29"/>
  <c r="J67" i="29"/>
  <c r="J68" i="29"/>
  <c r="J69" i="29"/>
  <c r="J70" i="29"/>
  <c r="J71" i="29"/>
  <c r="J73" i="29"/>
  <c r="J74" i="29"/>
  <c r="J75" i="29"/>
  <c r="J77" i="29"/>
  <c r="J78" i="29"/>
  <c r="J79" i="29"/>
  <c r="J80" i="29"/>
  <c r="J81" i="29"/>
  <c r="J82" i="29"/>
  <c r="J83" i="29"/>
  <c r="J84" i="29"/>
  <c r="J85" i="29"/>
  <c r="J86" i="29"/>
  <c r="J87" i="29"/>
  <c r="J88" i="29"/>
  <c r="J89" i="29"/>
  <c r="J90" i="29"/>
  <c r="J91" i="29"/>
  <c r="J92" i="29"/>
  <c r="J93" i="29"/>
  <c r="J94" i="29"/>
  <c r="J95" i="29"/>
  <c r="J96" i="29"/>
  <c r="J97" i="29"/>
  <c r="J98" i="29"/>
  <c r="J99" i="29"/>
  <c r="J100" i="29"/>
  <c r="J101" i="29"/>
  <c r="J102" i="29"/>
  <c r="J103" i="29"/>
  <c r="J104" i="29"/>
  <c r="J105" i="29"/>
  <c r="J107" i="29"/>
  <c r="J108" i="29"/>
  <c r="J109" i="29"/>
  <c r="J110" i="29"/>
  <c r="J111" i="29"/>
  <c r="J112" i="29"/>
  <c r="J113" i="29"/>
  <c r="J114" i="29"/>
  <c r="J115" i="29"/>
  <c r="J116" i="29"/>
  <c r="J117" i="29"/>
  <c r="J118" i="29"/>
  <c r="J119" i="29"/>
  <c r="J120" i="29"/>
  <c r="J121" i="29"/>
  <c r="J122" i="29"/>
  <c r="J123" i="29"/>
  <c r="J2" i="29"/>
  <c r="I4" i="29"/>
  <c r="I5" i="29"/>
  <c r="I7" i="29"/>
  <c r="I9" i="29"/>
  <c r="I10" i="29"/>
  <c r="I11" i="29"/>
  <c r="I12" i="29"/>
  <c r="I13" i="29"/>
  <c r="I14" i="29"/>
  <c r="I16" i="29"/>
  <c r="I17" i="29"/>
  <c r="I18" i="29"/>
  <c r="I19" i="29"/>
  <c r="I20" i="29"/>
  <c r="I21" i="29"/>
  <c r="I23" i="29"/>
  <c r="I25" i="29"/>
  <c r="I27" i="29"/>
  <c r="I28" i="29"/>
  <c r="I29" i="29"/>
  <c r="I31" i="29"/>
  <c r="I32" i="29"/>
  <c r="I33" i="29"/>
  <c r="I38" i="29"/>
  <c r="I39" i="29"/>
  <c r="I41" i="29"/>
  <c r="I42" i="29"/>
  <c r="I43" i="29"/>
  <c r="I45" i="29"/>
  <c r="I46" i="29"/>
  <c r="I47" i="29"/>
  <c r="I49" i="29"/>
  <c r="I51" i="29"/>
  <c r="I52" i="29"/>
  <c r="I53" i="29"/>
  <c r="I54" i="29"/>
  <c r="I55" i="29"/>
  <c r="I57" i="29"/>
  <c r="I58" i="29"/>
  <c r="I59" i="29"/>
  <c r="I61" i="29"/>
  <c r="I62" i="29"/>
  <c r="I63" i="29"/>
  <c r="I64" i="29"/>
  <c r="I65" i="29"/>
  <c r="I67" i="29"/>
  <c r="I69" i="29"/>
  <c r="I70" i="29"/>
  <c r="I71" i="29"/>
  <c r="I72" i="29"/>
  <c r="I73" i="29"/>
  <c r="I75" i="29"/>
  <c r="I76" i="29"/>
  <c r="I77" i="29"/>
  <c r="I78" i="29"/>
  <c r="I79" i="29"/>
  <c r="I81" i="29"/>
  <c r="I82" i="29"/>
  <c r="I83" i="29"/>
  <c r="I84" i="29"/>
  <c r="I85" i="29"/>
  <c r="I86" i="29"/>
  <c r="I87" i="29"/>
  <c r="I89" i="29"/>
  <c r="I90" i="29"/>
  <c r="I91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7" i="29"/>
  <c r="I108" i="29"/>
  <c r="I109" i="29"/>
  <c r="I110" i="29"/>
  <c r="I111" i="29"/>
  <c r="I112" i="29"/>
  <c r="I113" i="29"/>
  <c r="I116" i="29"/>
  <c r="I120" i="29"/>
  <c r="I122" i="29"/>
  <c r="I123" i="29"/>
  <c r="I2" i="29"/>
  <c r="H3" i="29"/>
  <c r="H4" i="29"/>
  <c r="H5" i="29"/>
  <c r="H6" i="29"/>
  <c r="H7" i="29"/>
  <c r="H8" i="29"/>
  <c r="H9" i="29"/>
  <c r="H10" i="29"/>
  <c r="H11" i="29"/>
  <c r="H12" i="29"/>
  <c r="H13" i="29"/>
  <c r="H14" i="29"/>
  <c r="H15" i="29"/>
  <c r="H16" i="29"/>
  <c r="H17" i="29"/>
  <c r="H18" i="29"/>
  <c r="H19" i="29"/>
  <c r="H20" i="29"/>
  <c r="H21" i="29"/>
  <c r="H22" i="29"/>
  <c r="H23" i="29"/>
  <c r="H24" i="29"/>
  <c r="H25" i="29"/>
  <c r="H26" i="29"/>
  <c r="H27" i="29"/>
  <c r="H28" i="29"/>
  <c r="H29" i="29"/>
  <c r="H30" i="29"/>
  <c r="H31" i="29"/>
  <c r="H32" i="29"/>
  <c r="H33" i="29"/>
  <c r="H34" i="29"/>
  <c r="H35" i="29"/>
  <c r="H36" i="29"/>
  <c r="H37" i="29"/>
  <c r="H38" i="29"/>
  <c r="H39" i="29"/>
  <c r="H40" i="29"/>
  <c r="H41" i="29"/>
  <c r="H42" i="29"/>
  <c r="H43" i="29"/>
  <c r="H44" i="29"/>
  <c r="H45" i="29"/>
  <c r="H46" i="29"/>
  <c r="H47" i="29"/>
  <c r="H48" i="29"/>
  <c r="H49" i="29"/>
  <c r="H50" i="29"/>
  <c r="H51" i="29"/>
  <c r="H52" i="29"/>
  <c r="H53" i="29"/>
  <c r="H54" i="29"/>
  <c r="H55" i="29"/>
  <c r="H56" i="29"/>
  <c r="H57" i="29"/>
  <c r="H58" i="29"/>
  <c r="H59" i="29"/>
  <c r="H60" i="29"/>
  <c r="H61" i="29"/>
  <c r="H62" i="29"/>
  <c r="H63" i="29"/>
  <c r="H64" i="29"/>
  <c r="H65" i="29"/>
  <c r="H66" i="29"/>
  <c r="H67" i="29"/>
  <c r="H68" i="29"/>
  <c r="H70" i="29"/>
  <c r="H71" i="29"/>
  <c r="H72" i="29"/>
  <c r="H73" i="29"/>
  <c r="H74" i="29"/>
  <c r="H75" i="29"/>
  <c r="H76" i="29"/>
  <c r="H77" i="29"/>
  <c r="H79" i="29"/>
  <c r="H80" i="29"/>
  <c r="H81" i="29"/>
  <c r="H82" i="29"/>
  <c r="H83" i="29"/>
  <c r="H84" i="29"/>
  <c r="H85" i="29"/>
  <c r="H86" i="29"/>
  <c r="H87" i="29"/>
  <c r="H89" i="29"/>
  <c r="H90" i="29"/>
  <c r="H91" i="29"/>
  <c r="H92" i="29"/>
  <c r="H93" i="29"/>
  <c r="H94" i="29"/>
  <c r="H95" i="29"/>
  <c r="H96" i="29"/>
  <c r="H97" i="29"/>
  <c r="H98" i="29"/>
  <c r="H99" i="29"/>
  <c r="H100" i="29"/>
  <c r="H101" i="29"/>
  <c r="H102" i="29"/>
  <c r="H103" i="29"/>
  <c r="H104" i="29"/>
  <c r="H105" i="29"/>
  <c r="H106" i="29"/>
  <c r="H107" i="29"/>
  <c r="H109" i="29"/>
  <c r="H110" i="29"/>
  <c r="H111" i="29"/>
  <c r="H112" i="29"/>
  <c r="H113" i="29"/>
  <c r="H114" i="29"/>
  <c r="H115" i="29"/>
  <c r="H116" i="29"/>
  <c r="H117" i="29"/>
  <c r="H118" i="29"/>
  <c r="H119" i="29"/>
  <c r="H120" i="29"/>
  <c r="H121" i="29"/>
  <c r="H122" i="29"/>
  <c r="H123" i="29"/>
  <c r="H2" i="29"/>
  <c r="G2" i="29"/>
  <c r="G3" i="29"/>
  <c r="G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3" i="29"/>
  <c r="G34" i="29"/>
  <c r="G35" i="29"/>
  <c r="G36" i="29"/>
  <c r="G37" i="29"/>
  <c r="G38" i="29"/>
  <c r="G39" i="29"/>
  <c r="G40" i="29"/>
  <c r="G41" i="29"/>
  <c r="G42" i="29"/>
  <c r="G43" i="29"/>
  <c r="G44" i="29"/>
  <c r="G45" i="29"/>
  <c r="G46" i="29"/>
  <c r="G47" i="29"/>
  <c r="G48" i="29"/>
  <c r="G49" i="29"/>
  <c r="G51" i="29"/>
  <c r="G52" i="29"/>
  <c r="G53" i="29"/>
  <c r="G54" i="29"/>
  <c r="G55" i="29"/>
  <c r="G56" i="29"/>
  <c r="G57" i="29"/>
  <c r="G58" i="29"/>
  <c r="G59" i="29"/>
  <c r="G60" i="29"/>
  <c r="G61" i="29"/>
  <c r="G62" i="29"/>
  <c r="G63" i="29"/>
  <c r="G64" i="29"/>
  <c r="G65" i="29"/>
  <c r="G66" i="29"/>
  <c r="G67" i="29"/>
  <c r="G68" i="29"/>
  <c r="G69" i="29"/>
  <c r="G70" i="29"/>
  <c r="G71" i="29"/>
  <c r="G72" i="29"/>
  <c r="G73" i="29"/>
  <c r="G74" i="29"/>
  <c r="G75" i="29"/>
  <c r="G76" i="29"/>
  <c r="G77" i="29"/>
  <c r="G78" i="29"/>
  <c r="G79" i="29"/>
  <c r="G80" i="29"/>
  <c r="G81" i="29"/>
  <c r="G82" i="29"/>
  <c r="G83" i="29"/>
  <c r="G84" i="29"/>
  <c r="G85" i="29"/>
  <c r="G86" i="29"/>
  <c r="G87" i="29"/>
  <c r="G88" i="29"/>
  <c r="G89" i="29"/>
  <c r="G90" i="29"/>
  <c r="G91" i="29"/>
  <c r="G92" i="29"/>
  <c r="G93" i="29"/>
  <c r="G94" i="29"/>
  <c r="G95" i="29"/>
  <c r="G96" i="29"/>
  <c r="G97" i="29"/>
  <c r="G98" i="29"/>
  <c r="G99" i="29"/>
  <c r="G100" i="29"/>
  <c r="G101" i="29"/>
  <c r="G102" i="29"/>
  <c r="G103" i="29"/>
  <c r="G104" i="29"/>
  <c r="G105" i="29"/>
  <c r="G106" i="29"/>
  <c r="G107" i="29"/>
  <c r="G108" i="29"/>
  <c r="G109" i="29"/>
  <c r="G110" i="29"/>
  <c r="G111" i="29"/>
  <c r="G112" i="29"/>
  <c r="G113" i="29"/>
  <c r="G114" i="29"/>
  <c r="G116" i="29"/>
  <c r="G117" i="29"/>
  <c r="G118" i="29"/>
  <c r="G119" i="29"/>
  <c r="G120" i="29"/>
  <c r="G121" i="29"/>
  <c r="G122" i="29"/>
  <c r="G123" i="29"/>
  <c r="F4" i="29"/>
  <c r="F5" i="29"/>
  <c r="F6" i="29"/>
  <c r="F7" i="29"/>
  <c r="F8" i="29"/>
  <c r="F9" i="29"/>
  <c r="F10" i="29"/>
  <c r="F11" i="29"/>
  <c r="F12" i="29"/>
  <c r="F13" i="29"/>
  <c r="F14" i="29"/>
  <c r="F15" i="29"/>
  <c r="F16" i="29"/>
  <c r="F17" i="29"/>
  <c r="F18" i="29"/>
  <c r="F19" i="29"/>
  <c r="F20" i="29"/>
  <c r="F22" i="29"/>
  <c r="F23" i="29"/>
  <c r="F24" i="29"/>
  <c r="F26" i="29"/>
  <c r="F27" i="29"/>
  <c r="F28" i="29"/>
  <c r="F30" i="29"/>
  <c r="F31" i="29"/>
  <c r="F32" i="29"/>
  <c r="F34" i="29"/>
  <c r="F35" i="29"/>
  <c r="F37" i="29"/>
  <c r="F38" i="29"/>
  <c r="F39" i="29"/>
  <c r="F41" i="29"/>
  <c r="F42" i="29"/>
  <c r="F43" i="29"/>
  <c r="F44" i="29"/>
  <c r="F45" i="29"/>
  <c r="F46" i="29"/>
  <c r="F47" i="29"/>
  <c r="F48" i="29"/>
  <c r="F49" i="29"/>
  <c r="F50" i="29"/>
  <c r="F52" i="29"/>
  <c r="F53" i="29"/>
  <c r="F54" i="29"/>
  <c r="F55" i="29"/>
  <c r="F56" i="29"/>
  <c r="F57" i="29"/>
  <c r="F58" i="29"/>
  <c r="F59" i="29"/>
  <c r="F61" i="29"/>
  <c r="F62" i="29"/>
  <c r="F63" i="29"/>
  <c r="F64" i="29"/>
  <c r="F65" i="29"/>
  <c r="F66" i="29"/>
  <c r="F67" i="29"/>
  <c r="F68" i="29"/>
  <c r="F69" i="29"/>
  <c r="F70" i="29"/>
  <c r="F71" i="29"/>
  <c r="F72" i="29"/>
  <c r="F73" i="29"/>
  <c r="F74" i="29"/>
  <c r="F75" i="29"/>
  <c r="F76" i="29"/>
  <c r="F77" i="29"/>
  <c r="F78" i="29"/>
  <c r="F79" i="29"/>
  <c r="F80" i="29"/>
  <c r="F81" i="29"/>
  <c r="F82" i="29"/>
  <c r="F83" i="29"/>
  <c r="F84" i="29"/>
  <c r="F85" i="29"/>
  <c r="F87" i="29"/>
  <c r="F88" i="29"/>
  <c r="F89" i="29"/>
  <c r="F90" i="29"/>
  <c r="F91" i="29"/>
  <c r="F92" i="29"/>
  <c r="F93" i="29"/>
  <c r="F94" i="29"/>
  <c r="F95" i="29"/>
  <c r="F96" i="29"/>
  <c r="F97" i="29"/>
  <c r="F98" i="29"/>
  <c r="F99" i="29"/>
  <c r="F100" i="29"/>
  <c r="F101" i="29"/>
  <c r="F102" i="29"/>
  <c r="F103" i="29"/>
  <c r="F104" i="29"/>
  <c r="F105" i="29"/>
  <c r="F106" i="29"/>
  <c r="F107" i="29"/>
  <c r="F108" i="29"/>
  <c r="F109" i="29"/>
  <c r="F111" i="29"/>
  <c r="F112" i="29"/>
  <c r="F113" i="29"/>
  <c r="F114" i="29"/>
  <c r="F115" i="29"/>
  <c r="F116" i="29"/>
  <c r="F119" i="29"/>
  <c r="F120" i="29"/>
  <c r="F122" i="29"/>
  <c r="F123" i="29"/>
  <c r="F2" i="29"/>
  <c r="E4" i="29"/>
  <c r="E5" i="29"/>
  <c r="E6" i="29"/>
  <c r="E7" i="29"/>
  <c r="E8" i="29"/>
  <c r="E9" i="29"/>
  <c r="E11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4" i="29"/>
  <c r="E35" i="29"/>
  <c r="E36" i="29"/>
  <c r="E37" i="29"/>
  <c r="E38" i="29"/>
  <c r="E39" i="29"/>
  <c r="E40" i="29"/>
  <c r="E42" i="29"/>
  <c r="E43" i="29"/>
  <c r="E45" i="29"/>
  <c r="E47" i="29"/>
  <c r="E48" i="29"/>
  <c r="E49" i="29"/>
  <c r="E50" i="29"/>
  <c r="E51" i="29"/>
  <c r="E53" i="29"/>
  <c r="E54" i="29"/>
  <c r="E57" i="29"/>
  <c r="E59" i="29"/>
  <c r="E60" i="29"/>
  <c r="E61" i="29"/>
  <c r="E62" i="29"/>
  <c r="E63" i="29"/>
  <c r="E64" i="29"/>
  <c r="E65" i="29"/>
  <c r="E67" i="29"/>
  <c r="E68" i="29"/>
  <c r="E71" i="29"/>
  <c r="E72" i="29"/>
  <c r="E73" i="29"/>
  <c r="E74" i="29"/>
  <c r="E75" i="29"/>
  <c r="E76" i="29"/>
  <c r="E77" i="29"/>
  <c r="E78" i="29"/>
  <c r="E79" i="29"/>
  <c r="E80" i="29"/>
  <c r="E83" i="29"/>
  <c r="E84" i="29"/>
  <c r="E85" i="29"/>
  <c r="E86" i="29"/>
  <c r="E87" i="29"/>
  <c r="E88" i="29"/>
  <c r="E89" i="29"/>
  <c r="E90" i="29"/>
  <c r="E91" i="29"/>
  <c r="E92" i="29"/>
  <c r="E93" i="29"/>
  <c r="E94" i="29"/>
  <c r="E96" i="29"/>
  <c r="E97" i="29"/>
  <c r="E98" i="29"/>
  <c r="E99" i="29"/>
  <c r="E101" i="29"/>
  <c r="E102" i="29"/>
  <c r="E103" i="29"/>
  <c r="E104" i="29"/>
  <c r="E105" i="29"/>
  <c r="E106" i="29"/>
  <c r="E107" i="29"/>
  <c r="E108" i="29"/>
  <c r="E109" i="29"/>
  <c r="E110" i="29"/>
  <c r="E111" i="29"/>
  <c r="E112" i="29"/>
  <c r="E113" i="29"/>
  <c r="E114" i="29"/>
  <c r="E115" i="29"/>
  <c r="E116" i="29"/>
  <c r="E117" i="29"/>
  <c r="E119" i="29"/>
  <c r="E120" i="29"/>
  <c r="E121" i="29"/>
  <c r="E122" i="29"/>
  <c r="E123" i="29"/>
  <c r="E2" i="29"/>
  <c r="D4" i="29"/>
  <c r="D5" i="29"/>
  <c r="D6" i="29"/>
  <c r="D7" i="29"/>
  <c r="D8" i="29"/>
  <c r="D9" i="29"/>
  <c r="D10" i="29"/>
  <c r="D11" i="29"/>
  <c r="D12" i="29"/>
  <c r="D13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27" i="29"/>
  <c r="D28" i="29"/>
  <c r="D31" i="29"/>
  <c r="D33" i="29"/>
  <c r="D34" i="29"/>
  <c r="D35" i="29"/>
  <c r="D36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D51" i="29"/>
  <c r="D52" i="29"/>
  <c r="D53" i="29"/>
  <c r="D54" i="29"/>
  <c r="D57" i="29"/>
  <c r="D58" i="29"/>
  <c r="D59" i="29"/>
  <c r="D60" i="29"/>
  <c r="D61" i="29"/>
  <c r="D62" i="29"/>
  <c r="D63" i="29"/>
  <c r="D64" i="29"/>
  <c r="D65" i="29"/>
  <c r="D66" i="29"/>
  <c r="D67" i="29"/>
  <c r="D68" i="29"/>
  <c r="D69" i="29"/>
  <c r="D71" i="29"/>
  <c r="D72" i="29"/>
  <c r="D73" i="29"/>
  <c r="D74" i="29"/>
  <c r="D75" i="29"/>
  <c r="D76" i="29"/>
  <c r="D77" i="29"/>
  <c r="D78" i="29"/>
  <c r="D79" i="29"/>
  <c r="D80" i="29"/>
  <c r="D81" i="29"/>
  <c r="D82" i="29"/>
  <c r="D83" i="29"/>
  <c r="D84" i="29"/>
  <c r="D85" i="29"/>
  <c r="D86" i="29"/>
  <c r="D87" i="29"/>
  <c r="D88" i="29"/>
  <c r="D89" i="29"/>
  <c r="D90" i="29"/>
  <c r="D91" i="29"/>
  <c r="D92" i="29"/>
  <c r="D93" i="29"/>
  <c r="D94" i="29"/>
  <c r="D95" i="29"/>
  <c r="D96" i="29"/>
  <c r="D97" i="29"/>
  <c r="D98" i="29"/>
  <c r="D99" i="29"/>
  <c r="D100" i="29"/>
  <c r="D101" i="29"/>
  <c r="D102" i="29"/>
  <c r="D103" i="29"/>
  <c r="D105" i="29"/>
  <c r="D107" i="29"/>
  <c r="D108" i="29"/>
  <c r="D109" i="29"/>
  <c r="D110" i="29"/>
  <c r="D111" i="29"/>
  <c r="D113" i="29"/>
  <c r="D115" i="29"/>
  <c r="D116" i="29"/>
  <c r="D120" i="29"/>
  <c r="D122" i="29"/>
  <c r="D123" i="29"/>
  <c r="D2" i="29"/>
  <c r="F21" i="5"/>
  <c r="F22" i="5"/>
  <c r="F24" i="5"/>
  <c r="F20" i="5"/>
  <c r="F17" i="5" l="1"/>
  <c r="V124" i="29"/>
  <c r="P124" i="29"/>
  <c r="R124" i="29"/>
  <c r="Q124" i="29"/>
  <c r="O124" i="29"/>
  <c r="M124" i="29"/>
  <c r="K124" i="29"/>
  <c r="F30" i="5" l="1"/>
  <c r="N34" i="29" l="1"/>
  <c r="E123" i="22" l="1"/>
  <c r="T71" i="29" l="1"/>
  <c r="U71" i="29" s="1"/>
  <c r="J106" i="29" l="1"/>
  <c r="E41" i="29"/>
  <c r="E12" i="29"/>
  <c r="N9" i="29"/>
  <c r="E69" i="29"/>
  <c r="E44" i="29"/>
  <c r="E56" i="29"/>
  <c r="I114" i="29"/>
  <c r="T19" i="29"/>
  <c r="U19" i="29" s="1"/>
  <c r="T64" i="29"/>
  <c r="U64" i="29" s="1"/>
  <c r="T25" i="29"/>
  <c r="U25" i="29" s="1"/>
  <c r="T76" i="29"/>
  <c r="U76" i="29" s="1"/>
  <c r="T63" i="29" l="1"/>
  <c r="U63" i="29" s="1"/>
  <c r="D114" i="29"/>
  <c r="T90" i="29" l="1"/>
  <c r="U90" i="29" s="1"/>
  <c r="D30" i="29"/>
  <c r="D3" i="29"/>
  <c r="A2" i="3"/>
  <c r="A2" i="2"/>
  <c r="D121" i="29"/>
  <c r="I35" i="29"/>
  <c r="F29" i="29"/>
  <c r="N8" i="29"/>
  <c r="F21" i="29"/>
  <c r="I66" i="29"/>
  <c r="I68" i="29"/>
  <c r="T59" i="29" l="1"/>
  <c r="U59" i="29" s="1"/>
  <c r="T17" i="29"/>
  <c r="U17" i="29" s="1"/>
  <c r="T14" i="29"/>
  <c r="U14" i="29" s="1"/>
  <c r="T77" i="29"/>
  <c r="U77" i="29" s="1"/>
  <c r="T32" i="29"/>
  <c r="U32" i="29" s="1"/>
  <c r="T62" i="29"/>
  <c r="U62" i="29" s="1"/>
  <c r="E33" i="29"/>
  <c r="D32" i="29"/>
  <c r="E46" i="29"/>
  <c r="D117" i="29"/>
  <c r="D112" i="29"/>
  <c r="I24" i="29"/>
  <c r="E55" i="29"/>
  <c r="E95" i="29"/>
  <c r="I30" i="29"/>
  <c r="N6" i="29"/>
  <c r="D14" i="29"/>
  <c r="D118" i="29"/>
  <c r="F25" i="29"/>
  <c r="J72" i="29"/>
  <c r="D29" i="29"/>
  <c r="F51" i="29"/>
  <c r="J76" i="29"/>
  <c r="D37" i="29"/>
  <c r="D119" i="29"/>
  <c r="G115" i="29"/>
  <c r="I37" i="29"/>
  <c r="I3" i="29"/>
  <c r="I92" i="29"/>
  <c r="F3" i="29"/>
  <c r="N70" i="29"/>
  <c r="D56" i="29"/>
  <c r="D70" i="29"/>
  <c r="I56" i="29"/>
  <c r="I50" i="29"/>
  <c r="F60" i="29" l="1"/>
  <c r="G50" i="29"/>
  <c r="I48" i="29"/>
  <c r="N10" i="29"/>
  <c r="D55" i="29"/>
  <c r="I74" i="29"/>
  <c r="F86" i="29"/>
  <c r="I40" i="29"/>
  <c r="H69" i="29"/>
  <c r="I8" i="29"/>
  <c r="F33" i="29"/>
  <c r="T29" i="29"/>
  <c r="U29" i="29" s="1"/>
  <c r="F37" i="5"/>
  <c r="T41" i="29"/>
  <c r="U41" i="29" s="1"/>
  <c r="T27" i="29"/>
  <c r="U27" i="29" s="1"/>
  <c r="T46" i="29"/>
  <c r="U46" i="29" s="1"/>
  <c r="T26" i="29"/>
  <c r="U26" i="29" s="1"/>
  <c r="T100" i="29"/>
  <c r="U100" i="29" s="1"/>
  <c r="T55" i="29"/>
  <c r="U55" i="29" s="1"/>
  <c r="T70" i="29" l="1"/>
  <c r="U70" i="29" s="1"/>
  <c r="T35" i="29"/>
  <c r="U35" i="29" s="1"/>
  <c r="T2" i="29"/>
  <c r="U2" i="29" s="1"/>
  <c r="T56" i="29"/>
  <c r="U56" i="29" s="1"/>
  <c r="T33" i="29"/>
  <c r="U33" i="29" s="1"/>
  <c r="T83" i="29"/>
  <c r="U83" i="29" s="1"/>
  <c r="T116" i="29"/>
  <c r="T74" i="29"/>
  <c r="U74" i="29" s="1"/>
  <c r="T61" i="29"/>
  <c r="U61" i="29" s="1"/>
  <c r="T44" i="29"/>
  <c r="U44" i="29" s="1"/>
  <c r="T93" i="29"/>
  <c r="U93" i="29" s="1"/>
  <c r="T40" i="29"/>
  <c r="U40" i="29" s="1"/>
  <c r="T49" i="29"/>
  <c r="U49" i="29" s="1"/>
  <c r="T48" i="29"/>
  <c r="U48" i="29" s="1"/>
  <c r="T118" i="29"/>
  <c r="U118" i="29" s="1"/>
  <c r="T108" i="29"/>
  <c r="U108" i="29" s="1"/>
  <c r="T50" i="29"/>
  <c r="U50" i="29" s="1"/>
  <c r="T66" i="29"/>
  <c r="U66" i="29" s="1"/>
  <c r="T65" i="29"/>
  <c r="U65" i="29" s="1"/>
  <c r="T12" i="29"/>
  <c r="U12" i="29" s="1"/>
  <c r="T78" i="29"/>
  <c r="U78" i="29" s="1"/>
  <c r="T122" i="29"/>
  <c r="U122" i="29" s="1"/>
  <c r="T115" i="29"/>
  <c r="U115" i="29" s="1"/>
  <c r="T99" i="29"/>
  <c r="U99" i="29" s="1"/>
  <c r="T47" i="29"/>
  <c r="U47" i="29" s="1"/>
  <c r="T5" i="29"/>
  <c r="U5" i="29" s="1"/>
  <c r="T98" i="29"/>
  <c r="U98" i="29" s="1"/>
  <c r="T112" i="29"/>
  <c r="U112" i="29" s="1"/>
  <c r="T6" i="29"/>
  <c r="U6" i="29" s="1"/>
  <c r="T69" i="29"/>
  <c r="U69" i="29" s="1"/>
  <c r="T54" i="29"/>
  <c r="U54" i="29" s="1"/>
  <c r="T86" i="29"/>
  <c r="U86" i="29" s="1"/>
  <c r="T11" i="29"/>
  <c r="U11" i="29" s="1"/>
  <c r="T18" i="29"/>
  <c r="U18" i="29" s="1"/>
  <c r="G124" i="29"/>
  <c r="C2" i="3"/>
  <c r="I22" i="29"/>
  <c r="E118" i="29"/>
  <c r="F117" i="29"/>
  <c r="F121" i="29"/>
  <c r="I117" i="29"/>
  <c r="I88" i="29"/>
  <c r="H88" i="29"/>
  <c r="D106" i="29"/>
  <c r="F36" i="29"/>
  <c r="F118" i="29"/>
  <c r="I36" i="29"/>
  <c r="I118" i="29"/>
  <c r="I106" i="29"/>
  <c r="D104" i="29"/>
  <c r="H2" i="22" l="1"/>
  <c r="V2" i="22" s="1"/>
  <c r="Z2" i="29" s="1"/>
  <c r="T4" i="29"/>
  <c r="U4" i="29" s="1"/>
  <c r="T3" i="29"/>
  <c r="U3" i="29" s="1"/>
  <c r="L121" i="29"/>
  <c r="E100" i="29"/>
  <c r="D124" i="29"/>
  <c r="I44" i="29"/>
  <c r="H78" i="29"/>
  <c r="H108" i="29"/>
  <c r="L117" i="29"/>
  <c r="I80" i="29"/>
  <c r="I115" i="29"/>
  <c r="F110" i="29"/>
  <c r="E70" i="29"/>
  <c r="I15" i="29"/>
  <c r="E52" i="29"/>
  <c r="I119" i="29"/>
  <c r="J22" i="29"/>
  <c r="J124" i="29" s="1"/>
  <c r="I60" i="29"/>
  <c r="E58" i="29"/>
  <c r="N35" i="29"/>
  <c r="I34" i="29"/>
  <c r="E3" i="29"/>
  <c r="I121" i="29"/>
  <c r="I26" i="29"/>
  <c r="L124" i="29" l="1"/>
  <c r="I124" i="29"/>
  <c r="E82" i="29"/>
  <c r="F40" i="29"/>
  <c r="H124" i="29"/>
  <c r="N124" i="29"/>
  <c r="E81" i="29"/>
  <c r="C2" i="2"/>
  <c r="C107" i="22"/>
  <c r="C106" i="22"/>
  <c r="C105" i="22"/>
  <c r="C104" i="22"/>
  <c r="C103" i="22"/>
  <c r="T21" i="29"/>
  <c r="U21" i="29" s="1"/>
  <c r="W4" i="29" l="1"/>
  <c r="W12" i="29"/>
  <c r="W28" i="29"/>
  <c r="W44" i="29"/>
  <c r="W52" i="29"/>
  <c r="W68" i="29"/>
  <c r="W76" i="29"/>
  <c r="W100" i="29"/>
  <c r="W108" i="29"/>
  <c r="W116" i="29"/>
  <c r="W2" i="29"/>
  <c r="W18" i="29"/>
  <c r="W5" i="29"/>
  <c r="W21" i="29"/>
  <c r="W29" i="29"/>
  <c r="W37" i="29"/>
  <c r="W45" i="29"/>
  <c r="W53" i="29"/>
  <c r="W61" i="29"/>
  <c r="W69" i="29"/>
  <c r="W77" i="29"/>
  <c r="W85" i="29"/>
  <c r="W93" i="29"/>
  <c r="W101" i="29"/>
  <c r="W109" i="29"/>
  <c r="W26" i="29"/>
  <c r="W74" i="29"/>
  <c r="W122" i="29"/>
  <c r="W27" i="29"/>
  <c r="W67" i="29"/>
  <c r="W107" i="29"/>
  <c r="W6" i="29"/>
  <c r="W14" i="29"/>
  <c r="W30" i="29"/>
  <c r="W38" i="29"/>
  <c r="W46" i="29"/>
  <c r="W54" i="29"/>
  <c r="W62" i="29"/>
  <c r="W70" i="29"/>
  <c r="W78" i="29"/>
  <c r="W86" i="29"/>
  <c r="W94" i="29"/>
  <c r="W102" i="29"/>
  <c r="W118" i="29"/>
  <c r="W3" i="29"/>
  <c r="W99" i="29"/>
  <c r="W7" i="29"/>
  <c r="W23" i="29"/>
  <c r="W31" i="29"/>
  <c r="W39" i="29"/>
  <c r="W47" i="29"/>
  <c r="W55" i="29"/>
  <c r="W63" i="29"/>
  <c r="W71" i="29"/>
  <c r="W79" i="29"/>
  <c r="W111" i="29"/>
  <c r="W42" i="29"/>
  <c r="W35" i="29"/>
  <c r="W83" i="29"/>
  <c r="W8" i="29"/>
  <c r="W16" i="29"/>
  <c r="W24" i="29"/>
  <c r="W32" i="29"/>
  <c r="W40" i="29"/>
  <c r="W48" i="29"/>
  <c r="W56" i="29"/>
  <c r="W64" i="29"/>
  <c r="W96" i="29"/>
  <c r="W112" i="29"/>
  <c r="W120" i="29"/>
  <c r="W50" i="29"/>
  <c r="W98" i="29"/>
  <c r="W11" i="29"/>
  <c r="W75" i="29"/>
  <c r="W115" i="29"/>
  <c r="W17" i="29"/>
  <c r="W25" i="29"/>
  <c r="W33" i="29"/>
  <c r="W41" i="29"/>
  <c r="W49" i="29"/>
  <c r="W57" i="29"/>
  <c r="W65" i="29"/>
  <c r="W73" i="29"/>
  <c r="W89" i="29"/>
  <c r="W105" i="29"/>
  <c r="W90" i="29"/>
  <c r="W19" i="29"/>
  <c r="W59" i="29"/>
  <c r="W91" i="29"/>
  <c r="F124" i="29"/>
  <c r="E66" i="29"/>
  <c r="E10" i="29"/>
  <c r="T121" i="29"/>
  <c r="U121" i="29" s="1"/>
  <c r="AA2" i="29" l="1"/>
  <c r="W2" i="6" s="1"/>
  <c r="AB40" i="29"/>
  <c r="X40" i="6" s="1"/>
  <c r="AB8" i="29"/>
  <c r="X8" i="6" s="1"/>
  <c r="AB118" i="29"/>
  <c r="X118" i="6" s="1"/>
  <c r="AB93" i="29"/>
  <c r="X93" i="6" s="1"/>
  <c r="AB29" i="29"/>
  <c r="X29" i="6" s="1"/>
  <c r="AB2" i="29"/>
  <c r="X2" i="6" s="1"/>
  <c r="AB19" i="29"/>
  <c r="X19" i="6" s="1"/>
  <c r="AB89" i="29"/>
  <c r="X89" i="6" s="1"/>
  <c r="AB25" i="29"/>
  <c r="X25" i="6" s="1"/>
  <c r="AB50" i="29"/>
  <c r="X50" i="6" s="1"/>
  <c r="AB64" i="29"/>
  <c r="X64" i="6" s="1"/>
  <c r="AB83" i="29"/>
  <c r="X83" i="6" s="1"/>
  <c r="AB23" i="29"/>
  <c r="X23" i="6" s="1"/>
  <c r="AB46" i="29"/>
  <c r="X46" i="6" s="1"/>
  <c r="AB27" i="29"/>
  <c r="X27" i="6" s="1"/>
  <c r="AB85" i="29"/>
  <c r="X85" i="6" s="1"/>
  <c r="AB21" i="29"/>
  <c r="X21" i="6" s="1"/>
  <c r="AB116" i="29"/>
  <c r="X116" i="6" s="1"/>
  <c r="AB52" i="29"/>
  <c r="X52" i="6" s="1"/>
  <c r="AB33" i="29"/>
  <c r="X33" i="6" s="1"/>
  <c r="AB31" i="29"/>
  <c r="X31" i="6" s="1"/>
  <c r="AB67" i="29"/>
  <c r="X67" i="6" s="1"/>
  <c r="AB17" i="29"/>
  <c r="X17" i="6" s="1"/>
  <c r="AB120" i="29"/>
  <c r="X120" i="6" s="1"/>
  <c r="AB56" i="29"/>
  <c r="X56" i="6" s="1"/>
  <c r="AB35" i="29"/>
  <c r="X35" i="6" s="1"/>
  <c r="AB79" i="29"/>
  <c r="X79" i="6" s="1"/>
  <c r="AB102" i="29"/>
  <c r="X102" i="6" s="1"/>
  <c r="AB38" i="29"/>
  <c r="X38" i="6" s="1"/>
  <c r="AB122" i="29"/>
  <c r="X122" i="6" s="1"/>
  <c r="AB77" i="29"/>
  <c r="X77" i="6" s="1"/>
  <c r="AB108" i="29"/>
  <c r="X108" i="6" s="1"/>
  <c r="AB44" i="29"/>
  <c r="X44" i="6" s="1"/>
  <c r="AB59" i="29"/>
  <c r="X59" i="6" s="1"/>
  <c r="AB98" i="29"/>
  <c r="X98" i="6" s="1"/>
  <c r="AB54" i="29"/>
  <c r="X54" i="6" s="1"/>
  <c r="AB90" i="29"/>
  <c r="X90" i="6" s="1"/>
  <c r="AB73" i="29"/>
  <c r="X73" i="6" s="1"/>
  <c r="AB112" i="29"/>
  <c r="X112" i="6" s="1"/>
  <c r="AB48" i="29"/>
  <c r="X48" i="6" s="1"/>
  <c r="AB71" i="29"/>
  <c r="X71" i="6" s="1"/>
  <c r="AB7" i="29"/>
  <c r="X7" i="6" s="1"/>
  <c r="AB94" i="29"/>
  <c r="X94" i="6" s="1"/>
  <c r="AB30" i="29"/>
  <c r="X30" i="6" s="1"/>
  <c r="AB74" i="29"/>
  <c r="X74" i="6" s="1"/>
  <c r="AB69" i="29"/>
  <c r="X69" i="6" s="1"/>
  <c r="AB5" i="29"/>
  <c r="X5" i="6" s="1"/>
  <c r="AB100" i="29"/>
  <c r="X100" i="6" s="1"/>
  <c r="AB65" i="29"/>
  <c r="X65" i="6" s="1"/>
  <c r="AB42" i="29"/>
  <c r="X42" i="6" s="1"/>
  <c r="AB99" i="29"/>
  <c r="X99" i="6" s="1"/>
  <c r="AB86" i="29"/>
  <c r="X86" i="6" s="1"/>
  <c r="AB26" i="29"/>
  <c r="X26" i="6" s="1"/>
  <c r="AB61" i="29"/>
  <c r="X61" i="6" s="1"/>
  <c r="AB28" i="29"/>
  <c r="X28" i="6" s="1"/>
  <c r="AB115" i="29"/>
  <c r="X115" i="6" s="1"/>
  <c r="AB63" i="29"/>
  <c r="X63" i="6" s="1"/>
  <c r="AB57" i="29"/>
  <c r="X57" i="6" s="1"/>
  <c r="AB75" i="29"/>
  <c r="X75" i="6" s="1"/>
  <c r="AB96" i="29"/>
  <c r="X96" i="6" s="1"/>
  <c r="AB32" i="29"/>
  <c r="X32" i="6" s="1"/>
  <c r="AB55" i="29"/>
  <c r="X55" i="6" s="1"/>
  <c r="AB3" i="29"/>
  <c r="X3" i="6" s="1"/>
  <c r="AB78" i="29"/>
  <c r="X78" i="6" s="1"/>
  <c r="AB14" i="29"/>
  <c r="X14" i="6" s="1"/>
  <c r="AB53" i="29"/>
  <c r="X53" i="6" s="1"/>
  <c r="AB49" i="29"/>
  <c r="X49" i="6" s="1"/>
  <c r="AB24" i="29"/>
  <c r="X24" i="6" s="1"/>
  <c r="AB47" i="29"/>
  <c r="X47" i="6" s="1"/>
  <c r="AB70" i="29"/>
  <c r="X70" i="6" s="1"/>
  <c r="AB6" i="29"/>
  <c r="X6" i="6" s="1"/>
  <c r="AB109" i="29"/>
  <c r="X109" i="6" s="1"/>
  <c r="AB45" i="29"/>
  <c r="X45" i="6" s="1"/>
  <c r="AB76" i="29"/>
  <c r="X76" i="6" s="1"/>
  <c r="AB12" i="29"/>
  <c r="X12" i="6" s="1"/>
  <c r="AB111" i="29"/>
  <c r="X111" i="6" s="1"/>
  <c r="AB91" i="29"/>
  <c r="X91" i="6" s="1"/>
  <c r="AB105" i="29"/>
  <c r="X105" i="6" s="1"/>
  <c r="AB41" i="29"/>
  <c r="X41" i="6" s="1"/>
  <c r="AB11" i="29"/>
  <c r="X11" i="6" s="1"/>
  <c r="AB16" i="29"/>
  <c r="X16" i="6" s="1"/>
  <c r="AB39" i="29"/>
  <c r="X39" i="6" s="1"/>
  <c r="AB62" i="29"/>
  <c r="X62" i="6" s="1"/>
  <c r="AB107" i="29"/>
  <c r="X107" i="6" s="1"/>
  <c r="AB101" i="29"/>
  <c r="X101" i="6" s="1"/>
  <c r="AB37" i="29"/>
  <c r="X37" i="6" s="1"/>
  <c r="AB18" i="29"/>
  <c r="X18" i="6" s="1"/>
  <c r="AB68" i="29"/>
  <c r="X68" i="6" s="1"/>
  <c r="AB4" i="29"/>
  <c r="X4" i="6" s="1"/>
  <c r="W121" i="29"/>
  <c r="W66" i="29"/>
  <c r="W10" i="29"/>
  <c r="E124" i="29"/>
  <c r="F31" i="5"/>
  <c r="F29" i="5"/>
  <c r="F27" i="5"/>
  <c r="F26" i="5"/>
  <c r="F25" i="5"/>
  <c r="F23" i="5"/>
  <c r="AD2" i="29" l="1"/>
  <c r="AB66" i="29"/>
  <c r="X66" i="6" s="1"/>
  <c r="AB10" i="29"/>
  <c r="X10" i="6" s="1"/>
  <c r="AB121" i="29"/>
  <c r="X121" i="6" s="1"/>
  <c r="T117" i="29" l="1"/>
  <c r="T114" i="29"/>
  <c r="T113" i="29" l="1"/>
  <c r="U114" i="29"/>
  <c r="W114" i="29" s="1"/>
  <c r="U117" i="29"/>
  <c r="W117" i="29" s="1"/>
  <c r="AB117" i="29" l="1"/>
  <c r="X117" i="6" s="1"/>
  <c r="AB114" i="29"/>
  <c r="X114" i="6" s="1"/>
  <c r="U113" i="29"/>
  <c r="W113" i="29" s="1"/>
  <c r="AB113" i="29" l="1"/>
  <c r="X113" i="6" s="1"/>
  <c r="T110" i="29"/>
  <c r="U110" i="29" l="1"/>
  <c r="W110" i="29" s="1"/>
  <c r="AB110" i="29" l="1"/>
  <c r="X110" i="6" s="1"/>
  <c r="T43" i="29"/>
  <c r="T60" i="29"/>
  <c r="U60" i="29" l="1"/>
  <c r="W60" i="29" s="1"/>
  <c r="T58" i="29"/>
  <c r="T51" i="29"/>
  <c r="U43" i="29"/>
  <c r="W43" i="29" s="1"/>
  <c r="Y128" i="6"/>
  <c r="AB43" i="29" l="1"/>
  <c r="X43" i="6" s="1"/>
  <c r="AB60" i="29"/>
  <c r="X60" i="6" s="1"/>
  <c r="U51" i="29"/>
  <c r="W51" i="29" s="1"/>
  <c r="U58" i="29"/>
  <c r="W58" i="29" s="1"/>
  <c r="Y125" i="6"/>
  <c r="W131" i="6" s="1"/>
  <c r="AB58" i="29" l="1"/>
  <c r="X58" i="6" s="1"/>
  <c r="AB51" i="29"/>
  <c r="X51" i="6" s="1"/>
  <c r="A48" i="5" l="1"/>
  <c r="C48" i="5" s="1"/>
  <c r="C49" i="5" l="1"/>
  <c r="C51" i="5"/>
  <c r="C53" i="5"/>
  <c r="C55" i="5"/>
  <c r="C57" i="5"/>
  <c r="C59" i="5"/>
  <c r="C61" i="5"/>
  <c r="C63" i="5"/>
  <c r="C65" i="5"/>
  <c r="C67" i="5"/>
  <c r="C69" i="5"/>
  <c r="C71" i="5"/>
  <c r="C73" i="5"/>
  <c r="C75" i="5"/>
  <c r="C77" i="5"/>
  <c r="C79" i="5"/>
  <c r="C81" i="5"/>
  <c r="C83" i="5"/>
  <c r="C85" i="5"/>
  <c r="C87" i="5"/>
  <c r="C89" i="5"/>
  <c r="C91" i="5"/>
  <c r="C93" i="5"/>
  <c r="C95" i="5"/>
  <c r="C97" i="5"/>
  <c r="C99" i="5"/>
  <c r="C101" i="5"/>
  <c r="C103" i="5"/>
  <c r="C105" i="5"/>
  <c r="C107" i="5"/>
  <c r="C109" i="5"/>
  <c r="C111" i="5"/>
  <c r="C113" i="5"/>
  <c r="C115" i="5"/>
  <c r="C117" i="5"/>
  <c r="C119" i="5"/>
  <c r="C121" i="5"/>
  <c r="C123" i="5"/>
  <c r="C125" i="5"/>
  <c r="C127" i="5"/>
  <c r="C129" i="5"/>
  <c r="C131" i="5"/>
  <c r="C133" i="5"/>
  <c r="C135" i="5"/>
  <c r="C137" i="5"/>
  <c r="C139" i="5"/>
  <c r="C141" i="5"/>
  <c r="C143" i="5"/>
  <c r="C145" i="5"/>
  <c r="C147" i="5"/>
  <c r="C149" i="5"/>
  <c r="C151" i="5"/>
  <c r="C153" i="5"/>
  <c r="C155" i="5"/>
  <c r="C157" i="5"/>
  <c r="C159" i="5"/>
  <c r="C161" i="5"/>
  <c r="C163" i="5"/>
  <c r="C165" i="5"/>
  <c r="C167" i="5"/>
  <c r="C169" i="5"/>
  <c r="C171" i="5"/>
  <c r="C173" i="5"/>
  <c r="C175" i="5"/>
  <c r="C177" i="5"/>
  <c r="C179" i="5"/>
  <c r="C181" i="5"/>
  <c r="C183" i="5"/>
  <c r="C185" i="5"/>
  <c r="C187" i="5"/>
  <c r="C189" i="5"/>
  <c r="C191" i="5"/>
  <c r="C193" i="5"/>
  <c r="C195" i="5"/>
  <c r="C197" i="5"/>
  <c r="C199" i="5"/>
  <c r="E193" i="5"/>
  <c r="D49" i="5"/>
  <c r="D51" i="5"/>
  <c r="D53" i="5"/>
  <c r="D55" i="5"/>
  <c r="D57" i="5"/>
  <c r="D59" i="5"/>
  <c r="D61" i="5"/>
  <c r="D63" i="5"/>
  <c r="D65" i="5"/>
  <c r="D67" i="5"/>
  <c r="D69" i="5"/>
  <c r="D71" i="5"/>
  <c r="D73" i="5"/>
  <c r="D75" i="5"/>
  <c r="D77" i="5"/>
  <c r="D79" i="5"/>
  <c r="D81" i="5"/>
  <c r="D83" i="5"/>
  <c r="D85" i="5"/>
  <c r="D87" i="5"/>
  <c r="D89" i="5"/>
  <c r="D91" i="5"/>
  <c r="D93" i="5"/>
  <c r="D95" i="5"/>
  <c r="D97" i="5"/>
  <c r="D99" i="5"/>
  <c r="D101" i="5"/>
  <c r="D103" i="5"/>
  <c r="D105" i="5"/>
  <c r="D107" i="5"/>
  <c r="D109" i="5"/>
  <c r="D111" i="5"/>
  <c r="D113" i="5"/>
  <c r="D115" i="5"/>
  <c r="D117" i="5"/>
  <c r="D119" i="5"/>
  <c r="D121" i="5"/>
  <c r="D123" i="5"/>
  <c r="D125" i="5"/>
  <c r="D127" i="5"/>
  <c r="D129" i="5"/>
  <c r="D131" i="5"/>
  <c r="D133" i="5"/>
  <c r="D135" i="5"/>
  <c r="D137" i="5"/>
  <c r="D139" i="5"/>
  <c r="D141" i="5"/>
  <c r="D143" i="5"/>
  <c r="D145" i="5"/>
  <c r="D147" i="5"/>
  <c r="D149" i="5"/>
  <c r="D151" i="5"/>
  <c r="D153" i="5"/>
  <c r="D155" i="5"/>
  <c r="D157" i="5"/>
  <c r="D159" i="5"/>
  <c r="D161" i="5"/>
  <c r="D163" i="5"/>
  <c r="D165" i="5"/>
  <c r="D167" i="5"/>
  <c r="D169" i="5"/>
  <c r="D171" i="5"/>
  <c r="D173" i="5"/>
  <c r="D175" i="5"/>
  <c r="D177" i="5"/>
  <c r="D179" i="5"/>
  <c r="D181" i="5"/>
  <c r="D183" i="5"/>
  <c r="D185" i="5"/>
  <c r="D187" i="5"/>
  <c r="D189" i="5"/>
  <c r="D191" i="5"/>
  <c r="D193" i="5"/>
  <c r="D195" i="5"/>
  <c r="D197" i="5"/>
  <c r="D199" i="5"/>
  <c r="E199" i="5"/>
  <c r="E49" i="5"/>
  <c r="E51" i="5"/>
  <c r="E53" i="5"/>
  <c r="E55" i="5"/>
  <c r="E57" i="5"/>
  <c r="E59" i="5"/>
  <c r="E61" i="5"/>
  <c r="E63" i="5"/>
  <c r="E65" i="5"/>
  <c r="E67" i="5"/>
  <c r="E69" i="5"/>
  <c r="E71" i="5"/>
  <c r="E73" i="5"/>
  <c r="E75" i="5"/>
  <c r="E77" i="5"/>
  <c r="E79" i="5"/>
  <c r="E81" i="5"/>
  <c r="E83" i="5"/>
  <c r="E85" i="5"/>
  <c r="E87" i="5"/>
  <c r="E89" i="5"/>
  <c r="E91" i="5"/>
  <c r="E93" i="5"/>
  <c r="E95" i="5"/>
  <c r="E97" i="5"/>
  <c r="E99" i="5"/>
  <c r="E101" i="5"/>
  <c r="E103" i="5"/>
  <c r="E105" i="5"/>
  <c r="E107" i="5"/>
  <c r="E109" i="5"/>
  <c r="E111" i="5"/>
  <c r="E113" i="5"/>
  <c r="E115" i="5"/>
  <c r="E117" i="5"/>
  <c r="E119" i="5"/>
  <c r="E121" i="5"/>
  <c r="E123" i="5"/>
  <c r="E125" i="5"/>
  <c r="E127" i="5"/>
  <c r="E129" i="5"/>
  <c r="E131" i="5"/>
  <c r="E133" i="5"/>
  <c r="E135" i="5"/>
  <c r="E137" i="5"/>
  <c r="E139" i="5"/>
  <c r="E141" i="5"/>
  <c r="E143" i="5"/>
  <c r="E145" i="5"/>
  <c r="E147" i="5"/>
  <c r="E149" i="5"/>
  <c r="E151" i="5"/>
  <c r="E153" i="5"/>
  <c r="E155" i="5"/>
  <c r="E157" i="5"/>
  <c r="E159" i="5"/>
  <c r="E161" i="5"/>
  <c r="E163" i="5"/>
  <c r="E165" i="5"/>
  <c r="E167" i="5"/>
  <c r="E169" i="5"/>
  <c r="E171" i="5"/>
  <c r="E173" i="5"/>
  <c r="E175" i="5"/>
  <c r="E177" i="5"/>
  <c r="E179" i="5"/>
  <c r="E181" i="5"/>
  <c r="E183" i="5"/>
  <c r="E185" i="5"/>
  <c r="E187" i="5"/>
  <c r="E189" i="5"/>
  <c r="E191" i="5"/>
  <c r="F49" i="5"/>
  <c r="F51" i="5"/>
  <c r="F53" i="5"/>
  <c r="F55" i="5"/>
  <c r="F57" i="5"/>
  <c r="F59" i="5"/>
  <c r="F61" i="5"/>
  <c r="F63" i="5"/>
  <c r="F65" i="5"/>
  <c r="F67" i="5"/>
  <c r="F69" i="5"/>
  <c r="F71" i="5"/>
  <c r="F73" i="5"/>
  <c r="F75" i="5"/>
  <c r="F77" i="5"/>
  <c r="F79" i="5"/>
  <c r="F81" i="5"/>
  <c r="F83" i="5"/>
  <c r="F85" i="5"/>
  <c r="F87" i="5"/>
  <c r="F89" i="5"/>
  <c r="F91" i="5"/>
  <c r="F93" i="5"/>
  <c r="F95" i="5"/>
  <c r="F97" i="5"/>
  <c r="F99" i="5"/>
  <c r="F101" i="5"/>
  <c r="F103" i="5"/>
  <c r="F105" i="5"/>
  <c r="F107" i="5"/>
  <c r="F109" i="5"/>
  <c r="F111" i="5"/>
  <c r="F113" i="5"/>
  <c r="F115" i="5"/>
  <c r="F117" i="5"/>
  <c r="F119" i="5"/>
  <c r="F121" i="5"/>
  <c r="F123" i="5"/>
  <c r="F125" i="5"/>
  <c r="F127" i="5"/>
  <c r="F129" i="5"/>
  <c r="F131" i="5"/>
  <c r="F133" i="5"/>
  <c r="F135" i="5"/>
  <c r="F137" i="5"/>
  <c r="F139" i="5"/>
  <c r="F141" i="5"/>
  <c r="F143" i="5"/>
  <c r="F145" i="5"/>
  <c r="F147" i="5"/>
  <c r="F149" i="5"/>
  <c r="F151" i="5"/>
  <c r="F153" i="5"/>
  <c r="F155" i="5"/>
  <c r="F157" i="5"/>
  <c r="F159" i="5"/>
  <c r="F161" i="5"/>
  <c r="F163" i="5"/>
  <c r="F165" i="5"/>
  <c r="F167" i="5"/>
  <c r="F169" i="5"/>
  <c r="F171" i="5"/>
  <c r="F173" i="5"/>
  <c r="F175" i="5"/>
  <c r="F177" i="5"/>
  <c r="F179" i="5"/>
  <c r="F181" i="5"/>
  <c r="F183" i="5"/>
  <c r="F185" i="5"/>
  <c r="F187" i="5"/>
  <c r="F189" i="5"/>
  <c r="F191" i="5"/>
  <c r="F193" i="5"/>
  <c r="F195" i="5"/>
  <c r="F197" i="5"/>
  <c r="F199" i="5"/>
  <c r="C50" i="5"/>
  <c r="C52" i="5"/>
  <c r="C54" i="5"/>
  <c r="C56" i="5"/>
  <c r="C58" i="5"/>
  <c r="C60" i="5"/>
  <c r="C62" i="5"/>
  <c r="C64" i="5"/>
  <c r="C66" i="5"/>
  <c r="C68" i="5"/>
  <c r="C70" i="5"/>
  <c r="C72" i="5"/>
  <c r="C74" i="5"/>
  <c r="C76" i="5"/>
  <c r="C78" i="5"/>
  <c r="C80" i="5"/>
  <c r="C82" i="5"/>
  <c r="C84" i="5"/>
  <c r="C86" i="5"/>
  <c r="C88" i="5"/>
  <c r="C90" i="5"/>
  <c r="C92" i="5"/>
  <c r="C94" i="5"/>
  <c r="C96" i="5"/>
  <c r="C98" i="5"/>
  <c r="C100" i="5"/>
  <c r="C102" i="5"/>
  <c r="C104" i="5"/>
  <c r="C106" i="5"/>
  <c r="C108" i="5"/>
  <c r="C110" i="5"/>
  <c r="C112" i="5"/>
  <c r="C114" i="5"/>
  <c r="C116" i="5"/>
  <c r="C118" i="5"/>
  <c r="C120" i="5"/>
  <c r="C122" i="5"/>
  <c r="C124" i="5"/>
  <c r="C126" i="5"/>
  <c r="C128" i="5"/>
  <c r="C130" i="5"/>
  <c r="C132" i="5"/>
  <c r="C134" i="5"/>
  <c r="C136" i="5"/>
  <c r="C138" i="5"/>
  <c r="C140" i="5"/>
  <c r="C142" i="5"/>
  <c r="C144" i="5"/>
  <c r="C146" i="5"/>
  <c r="C148" i="5"/>
  <c r="C150" i="5"/>
  <c r="C152" i="5"/>
  <c r="C154" i="5"/>
  <c r="C156" i="5"/>
  <c r="C158" i="5"/>
  <c r="C160" i="5"/>
  <c r="C162" i="5"/>
  <c r="C164" i="5"/>
  <c r="C166" i="5"/>
  <c r="C168" i="5"/>
  <c r="C170" i="5"/>
  <c r="C172" i="5"/>
  <c r="C174" i="5"/>
  <c r="C176" i="5"/>
  <c r="C178" i="5"/>
  <c r="C180" i="5"/>
  <c r="C182" i="5"/>
  <c r="C184" i="5"/>
  <c r="C186" i="5"/>
  <c r="C188" i="5"/>
  <c r="C190" i="5"/>
  <c r="C192" i="5"/>
  <c r="C194" i="5"/>
  <c r="C196" i="5"/>
  <c r="C198" i="5"/>
  <c r="F48" i="5"/>
  <c r="D48" i="5"/>
  <c r="E195" i="5"/>
  <c r="D50" i="5"/>
  <c r="D52" i="5"/>
  <c r="D54" i="5"/>
  <c r="D56" i="5"/>
  <c r="D58" i="5"/>
  <c r="D60" i="5"/>
  <c r="D62" i="5"/>
  <c r="D64" i="5"/>
  <c r="D66" i="5"/>
  <c r="D68" i="5"/>
  <c r="D70" i="5"/>
  <c r="D72" i="5"/>
  <c r="D74" i="5"/>
  <c r="D76" i="5"/>
  <c r="D78" i="5"/>
  <c r="D80" i="5"/>
  <c r="D82" i="5"/>
  <c r="D84" i="5"/>
  <c r="D86" i="5"/>
  <c r="D88" i="5"/>
  <c r="D90" i="5"/>
  <c r="D92" i="5"/>
  <c r="D94" i="5"/>
  <c r="D96" i="5"/>
  <c r="D98" i="5"/>
  <c r="D100" i="5"/>
  <c r="D102" i="5"/>
  <c r="D104" i="5"/>
  <c r="D106" i="5"/>
  <c r="D108" i="5"/>
  <c r="D110" i="5"/>
  <c r="D112" i="5"/>
  <c r="D114" i="5"/>
  <c r="D116" i="5"/>
  <c r="D118" i="5"/>
  <c r="D120" i="5"/>
  <c r="D122" i="5"/>
  <c r="D124" i="5"/>
  <c r="D126" i="5"/>
  <c r="D128" i="5"/>
  <c r="D130" i="5"/>
  <c r="D132" i="5"/>
  <c r="D134" i="5"/>
  <c r="D136" i="5"/>
  <c r="D138" i="5"/>
  <c r="D140" i="5"/>
  <c r="D142" i="5"/>
  <c r="D144" i="5"/>
  <c r="D146" i="5"/>
  <c r="D148" i="5"/>
  <c r="D150" i="5"/>
  <c r="D152" i="5"/>
  <c r="D154" i="5"/>
  <c r="D156" i="5"/>
  <c r="D158" i="5"/>
  <c r="D160" i="5"/>
  <c r="D162" i="5"/>
  <c r="D164" i="5"/>
  <c r="D166" i="5"/>
  <c r="D168" i="5"/>
  <c r="D170" i="5"/>
  <c r="D172" i="5"/>
  <c r="D174" i="5"/>
  <c r="D176" i="5"/>
  <c r="D178" i="5"/>
  <c r="D180" i="5"/>
  <c r="D182" i="5"/>
  <c r="D184" i="5"/>
  <c r="D186" i="5"/>
  <c r="D188" i="5"/>
  <c r="D190" i="5"/>
  <c r="D192" i="5"/>
  <c r="D194" i="5"/>
  <c r="D196" i="5"/>
  <c r="D198" i="5"/>
  <c r="E48" i="5"/>
  <c r="E198" i="5"/>
  <c r="E50" i="5"/>
  <c r="E52" i="5"/>
  <c r="E54" i="5"/>
  <c r="E56" i="5"/>
  <c r="E58" i="5"/>
  <c r="E60" i="5"/>
  <c r="E62" i="5"/>
  <c r="E64" i="5"/>
  <c r="E66" i="5"/>
  <c r="E68" i="5"/>
  <c r="E70" i="5"/>
  <c r="E72" i="5"/>
  <c r="E74" i="5"/>
  <c r="E76" i="5"/>
  <c r="E78" i="5"/>
  <c r="E80" i="5"/>
  <c r="E82" i="5"/>
  <c r="E84" i="5"/>
  <c r="E86" i="5"/>
  <c r="E88" i="5"/>
  <c r="E90" i="5"/>
  <c r="E92" i="5"/>
  <c r="E94" i="5"/>
  <c r="E96" i="5"/>
  <c r="E98" i="5"/>
  <c r="E100" i="5"/>
  <c r="E102" i="5"/>
  <c r="E104" i="5"/>
  <c r="E106" i="5"/>
  <c r="E108" i="5"/>
  <c r="E110" i="5"/>
  <c r="E112" i="5"/>
  <c r="E114" i="5"/>
  <c r="E116" i="5"/>
  <c r="E118" i="5"/>
  <c r="E120" i="5"/>
  <c r="E122" i="5"/>
  <c r="E124" i="5"/>
  <c r="E126" i="5"/>
  <c r="E128" i="5"/>
  <c r="E130" i="5"/>
  <c r="E132" i="5"/>
  <c r="E134" i="5"/>
  <c r="E136" i="5"/>
  <c r="E138" i="5"/>
  <c r="E140" i="5"/>
  <c r="E142" i="5"/>
  <c r="E144" i="5"/>
  <c r="E146" i="5"/>
  <c r="E148" i="5"/>
  <c r="E150" i="5"/>
  <c r="E152" i="5"/>
  <c r="E154" i="5"/>
  <c r="E156" i="5"/>
  <c r="E158" i="5"/>
  <c r="E160" i="5"/>
  <c r="E162" i="5"/>
  <c r="E164" i="5"/>
  <c r="E166" i="5"/>
  <c r="E168" i="5"/>
  <c r="E170" i="5"/>
  <c r="E172" i="5"/>
  <c r="E174" i="5"/>
  <c r="E176" i="5"/>
  <c r="E178" i="5"/>
  <c r="E180" i="5"/>
  <c r="E182" i="5"/>
  <c r="E184" i="5"/>
  <c r="E186" i="5"/>
  <c r="E188" i="5"/>
  <c r="E190" i="5"/>
  <c r="E192" i="5"/>
  <c r="E194" i="5"/>
  <c r="E196" i="5"/>
  <c r="F198" i="5"/>
  <c r="F50" i="5"/>
  <c r="F52" i="5"/>
  <c r="F54" i="5"/>
  <c r="F56" i="5"/>
  <c r="F58" i="5"/>
  <c r="F60" i="5"/>
  <c r="F62" i="5"/>
  <c r="F64" i="5"/>
  <c r="F66" i="5"/>
  <c r="F68" i="5"/>
  <c r="F70" i="5"/>
  <c r="F72" i="5"/>
  <c r="F74" i="5"/>
  <c r="F76" i="5"/>
  <c r="F78" i="5"/>
  <c r="F80" i="5"/>
  <c r="F82" i="5"/>
  <c r="F84" i="5"/>
  <c r="F86" i="5"/>
  <c r="F88" i="5"/>
  <c r="F90" i="5"/>
  <c r="F92" i="5"/>
  <c r="F94" i="5"/>
  <c r="F96" i="5"/>
  <c r="F98" i="5"/>
  <c r="F100" i="5"/>
  <c r="F102" i="5"/>
  <c r="F104" i="5"/>
  <c r="F106" i="5"/>
  <c r="F108" i="5"/>
  <c r="F110" i="5"/>
  <c r="F112" i="5"/>
  <c r="F114" i="5"/>
  <c r="F116" i="5"/>
  <c r="F118" i="5"/>
  <c r="F120" i="5"/>
  <c r="F122" i="5"/>
  <c r="F124" i="5"/>
  <c r="F126" i="5"/>
  <c r="F128" i="5"/>
  <c r="F130" i="5"/>
  <c r="F132" i="5"/>
  <c r="F134" i="5"/>
  <c r="F136" i="5"/>
  <c r="F138" i="5"/>
  <c r="F140" i="5"/>
  <c r="F142" i="5"/>
  <c r="F144" i="5"/>
  <c r="F146" i="5"/>
  <c r="F148" i="5"/>
  <c r="F150" i="5"/>
  <c r="F152" i="5"/>
  <c r="F154" i="5"/>
  <c r="F156" i="5"/>
  <c r="F158" i="5"/>
  <c r="F160" i="5"/>
  <c r="F162" i="5"/>
  <c r="F164" i="5"/>
  <c r="F166" i="5"/>
  <c r="F168" i="5"/>
  <c r="F170" i="5"/>
  <c r="F172" i="5"/>
  <c r="F174" i="5"/>
  <c r="F176" i="5"/>
  <c r="F178" i="5"/>
  <c r="F180" i="5"/>
  <c r="F182" i="5"/>
  <c r="F184" i="5"/>
  <c r="F186" i="5"/>
  <c r="F188" i="5"/>
  <c r="F190" i="5"/>
  <c r="F192" i="5"/>
  <c r="F194" i="5"/>
  <c r="F196" i="5"/>
  <c r="E197" i="5"/>
  <c r="T82" i="29" l="1"/>
  <c r="T20" i="29"/>
  <c r="T22" i="29" l="1"/>
  <c r="U82" i="29"/>
  <c r="W82" i="29" s="1"/>
  <c r="U20" i="29"/>
  <c r="W20" i="29" s="1"/>
  <c r="T80" i="29"/>
  <c r="AB82" i="29" l="1"/>
  <c r="X82" i="6" s="1"/>
  <c r="AB20" i="29"/>
  <c r="X20" i="6" s="1"/>
  <c r="U22" i="29"/>
  <c r="W22" i="29" s="1"/>
  <c r="F19" i="5"/>
  <c r="T15" i="29"/>
  <c r="U80" i="29"/>
  <c r="W80" i="29" s="1"/>
  <c r="AB80" i="29" l="1"/>
  <c r="X80" i="6" s="1"/>
  <c r="AB22" i="29"/>
  <c r="X22" i="6" s="1"/>
  <c r="U15" i="29"/>
  <c r="W15" i="29" s="1"/>
  <c r="F34" i="5"/>
  <c r="F33" i="5"/>
  <c r="T104" i="29"/>
  <c r="T103" i="29"/>
  <c r="T97" i="29"/>
  <c r="T92" i="29"/>
  <c r="T88" i="29"/>
  <c r="T81" i="29"/>
  <c r="T72" i="29"/>
  <c r="G2" i="3"/>
  <c r="G1446" i="3" s="1"/>
  <c r="U97" i="29" l="1"/>
  <c r="W97" i="29" s="1"/>
  <c r="AB97" i="29" s="1"/>
  <c r="X97" i="6" s="1"/>
  <c r="H2" i="3"/>
  <c r="H1446" i="3" s="1"/>
  <c r="T119" i="29"/>
  <c r="U119" i="29" s="1"/>
  <c r="W119" i="29" s="1"/>
  <c r="AB15" i="29"/>
  <c r="X15" i="6" s="1"/>
  <c r="T13" i="29"/>
  <c r="U13" i="29" s="1"/>
  <c r="W13" i="29" s="1"/>
  <c r="T123" i="29"/>
  <c r="T9" i="29"/>
  <c r="U9" i="29" s="1"/>
  <c r="W9" i="29" s="1"/>
  <c r="T95" i="29"/>
  <c r="U95" i="29" s="1"/>
  <c r="W95" i="29" s="1"/>
  <c r="T106" i="29"/>
  <c r="U106" i="29" s="1"/>
  <c r="W106" i="29" s="1"/>
  <c r="U72" i="29"/>
  <c r="W72" i="29" s="1"/>
  <c r="T36" i="29"/>
  <c r="U92" i="29"/>
  <c r="W92" i="29" s="1"/>
  <c r="T34" i="29"/>
  <c r="U88" i="29"/>
  <c r="W88" i="29" s="1"/>
  <c r="U81" i="29"/>
  <c r="W81" i="29" s="1"/>
  <c r="F35" i="5"/>
  <c r="F11" i="5" s="1"/>
  <c r="F6" i="5" s="1"/>
  <c r="T84" i="29"/>
  <c r="W84" i="29" s="1"/>
  <c r="T87" i="29"/>
  <c r="U103" i="29"/>
  <c r="W103" i="29" s="1"/>
  <c r="U104" i="29"/>
  <c r="W104" i="29" s="1"/>
  <c r="AA2" i="6"/>
  <c r="I2" i="3" l="1"/>
  <c r="I1446" i="3" s="1"/>
  <c r="AB13" i="29"/>
  <c r="X13" i="6" s="1"/>
  <c r="AB72" i="29"/>
  <c r="X72" i="6" s="1"/>
  <c r="AB119" i="29"/>
  <c r="X119" i="6" s="1"/>
  <c r="AB104" i="29"/>
  <c r="X104" i="6" s="1"/>
  <c r="AB92" i="29"/>
  <c r="X92" i="6" s="1"/>
  <c r="AB106" i="29"/>
  <c r="X106" i="6" s="1"/>
  <c r="AB84" i="29"/>
  <c r="X84" i="6" s="1"/>
  <c r="AB95" i="29"/>
  <c r="X95" i="6" s="1"/>
  <c r="AB9" i="29"/>
  <c r="X9" i="6" s="1"/>
  <c r="AB103" i="29"/>
  <c r="X103" i="6" s="1"/>
  <c r="AB81" i="29"/>
  <c r="X81" i="6" s="1"/>
  <c r="AB88" i="29"/>
  <c r="X88" i="6" s="1"/>
  <c r="U123" i="29"/>
  <c r="W123" i="29" s="1"/>
  <c r="U34" i="29"/>
  <c r="W34" i="29" s="1"/>
  <c r="U87" i="29"/>
  <c r="W87" i="29" s="1"/>
  <c r="U36" i="29"/>
  <c r="W36" i="29" s="1"/>
  <c r="T124" i="29"/>
  <c r="AA123" i="29" l="1"/>
  <c r="W123" i="6" s="1"/>
  <c r="AB36" i="29"/>
  <c r="X36" i="6" s="1"/>
  <c r="AB87" i="29"/>
  <c r="X87" i="6" s="1"/>
  <c r="AB34" i="29"/>
  <c r="X34" i="6" s="1"/>
  <c r="AB123" i="29"/>
  <c r="X123" i="6" s="1"/>
  <c r="U124" i="29"/>
  <c r="H32" i="31" s="1"/>
  <c r="W124" i="29"/>
  <c r="AB124" i="29" l="1"/>
  <c r="O33" i="22" l="1"/>
  <c r="O15" i="22"/>
  <c r="O35" i="22"/>
  <c r="O46" i="22"/>
  <c r="O10" i="22"/>
  <c r="O93" i="22"/>
  <c r="O29" i="22"/>
  <c r="O90" i="22"/>
  <c r="O8" i="22"/>
  <c r="H8" i="22" s="1"/>
  <c r="V8" i="22" s="1"/>
  <c r="Z8" i="29" s="1"/>
  <c r="O111" i="22"/>
  <c r="O106" i="22"/>
  <c r="O89" i="22"/>
  <c r="O87" i="22"/>
  <c r="O103" i="22"/>
  <c r="O100" i="22"/>
  <c r="O115" i="22"/>
  <c r="O88" i="22"/>
  <c r="O6" i="22"/>
  <c r="O51" i="22"/>
  <c r="O78" i="22"/>
  <c r="O117" i="22"/>
  <c r="O67" i="22"/>
  <c r="O41" i="22"/>
  <c r="O36" i="22"/>
  <c r="O16" i="22"/>
  <c r="O122" i="22"/>
  <c r="O83" i="22"/>
  <c r="O92" i="22"/>
  <c r="O12" i="22"/>
  <c r="O94" i="22"/>
  <c r="O56" i="22"/>
  <c r="O68" i="22"/>
  <c r="O70" i="22"/>
  <c r="O107" i="22"/>
  <c r="O99" i="22"/>
  <c r="O54" i="22"/>
  <c r="O57" i="22"/>
  <c r="O91" i="22"/>
  <c r="O32" i="22"/>
  <c r="O23" i="22"/>
  <c r="O61" i="22"/>
  <c r="O109" i="22"/>
  <c r="O79" i="22"/>
  <c r="O80" i="22"/>
  <c r="O97" i="22"/>
  <c r="H97" i="22" s="1"/>
  <c r="V97" i="22" s="1"/>
  <c r="Z97" i="29" s="1"/>
  <c r="O62" i="22"/>
  <c r="O105" i="22"/>
  <c r="O102" i="22"/>
  <c r="O53" i="22"/>
  <c r="O4" i="22"/>
  <c r="O86" i="22"/>
  <c r="O65" i="22"/>
  <c r="O14" i="22"/>
  <c r="O44" i="22"/>
  <c r="H44" i="22" s="1"/>
  <c r="V44" i="22" s="1"/>
  <c r="Z44" i="29" s="1"/>
  <c r="O38" i="22"/>
  <c r="O9" i="22"/>
  <c r="O118" i="22"/>
  <c r="O84" i="22"/>
  <c r="O71" i="22"/>
  <c r="O119" i="22"/>
  <c r="O63" i="22"/>
  <c r="O95" i="22"/>
  <c r="O40" i="22"/>
  <c r="O22" i="22"/>
  <c r="H22" i="22" s="1"/>
  <c r="V22" i="22" s="1"/>
  <c r="Z22" i="29" s="1"/>
  <c r="O85" i="22"/>
  <c r="O72" i="22"/>
  <c r="O120" i="22"/>
  <c r="O59" i="22"/>
  <c r="O47" i="22"/>
  <c r="O48" i="22"/>
  <c r="O3" i="22"/>
  <c r="O73" i="22"/>
  <c r="O81" i="22"/>
  <c r="O64" i="22"/>
  <c r="H64" i="22" s="1"/>
  <c r="V64" i="22" s="1"/>
  <c r="Z64" i="29" s="1"/>
  <c r="O104" i="22"/>
  <c r="O98" i="22"/>
  <c r="O50" i="22"/>
  <c r="O49" i="22"/>
  <c r="O11" i="22"/>
  <c r="O116" i="22"/>
  <c r="H116" i="22" s="1"/>
  <c r="V116" i="22" s="1"/>
  <c r="Z116" i="29" s="1"/>
  <c r="O5" i="22"/>
  <c r="O114" i="22"/>
  <c r="O77" i="22"/>
  <c r="O110" i="22"/>
  <c r="O55" i="22"/>
  <c r="O74" i="22"/>
  <c r="O13" i="22"/>
  <c r="O112" i="22"/>
  <c r="O96" i="22"/>
  <c r="O31" i="22"/>
  <c r="O43" i="22"/>
  <c r="O37" i="22"/>
  <c r="O27" i="22"/>
  <c r="O24" i="22"/>
  <c r="O18" i="22"/>
  <c r="O42" i="22"/>
  <c r="O25" i="22"/>
  <c r="O21" i="22"/>
  <c r="O101" i="22"/>
  <c r="O82" i="22"/>
  <c r="O121" i="22"/>
  <c r="O60" i="22"/>
  <c r="O108" i="22"/>
  <c r="O76" i="22"/>
  <c r="O75" i="22"/>
  <c r="O7" i="22"/>
  <c r="O52" i="22"/>
  <c r="O39" i="22"/>
  <c r="O26" i="22"/>
  <c r="H26" i="22" s="1"/>
  <c r="O66" i="22"/>
  <c r="O58" i="22"/>
  <c r="O113" i="22"/>
  <c r="O69" i="22"/>
  <c r="O19" i="22"/>
  <c r="O45" i="22"/>
  <c r="O28" i="22"/>
  <c r="O30" i="22"/>
  <c r="O34" i="22"/>
  <c r="O17" i="22"/>
  <c r="AA44" i="29" l="1"/>
  <c r="W44" i="6" s="1"/>
  <c r="AA44" i="6" s="1"/>
  <c r="AA97" i="29"/>
  <c r="W97" i="6" s="1"/>
  <c r="AA97" i="6" s="1"/>
  <c r="AA64" i="29"/>
  <c r="W64" i="6" s="1"/>
  <c r="AA64" i="6" s="1"/>
  <c r="AA116" i="29"/>
  <c r="W116" i="6" s="1"/>
  <c r="AA116" i="6" s="1"/>
  <c r="AA22" i="29"/>
  <c r="W22" i="6" s="1"/>
  <c r="AA22" i="6" s="1"/>
  <c r="AA8" i="29"/>
  <c r="W8" i="6" s="1"/>
  <c r="AA8" i="6" s="1"/>
  <c r="H3" i="22"/>
  <c r="V3" i="22" s="1"/>
  <c r="O123" i="22"/>
  <c r="H123" i="22" s="1"/>
  <c r="H75" i="22"/>
  <c r="V75" i="22" s="1"/>
  <c r="Z75" i="29" s="1"/>
  <c r="H108" i="22"/>
  <c r="V108" i="22" s="1"/>
  <c r="Z108" i="29" s="1"/>
  <c r="H11" i="22"/>
  <c r="V11" i="22" s="1"/>
  <c r="Z11" i="29" s="1"/>
  <c r="H40" i="22"/>
  <c r="V40" i="22" s="1"/>
  <c r="Z40" i="29" s="1"/>
  <c r="H20" i="22"/>
  <c r="V20" i="22" s="1"/>
  <c r="Z20" i="29" s="1"/>
  <c r="H102" i="22"/>
  <c r="V102" i="22" s="1"/>
  <c r="Z102" i="29" s="1"/>
  <c r="H23" i="22"/>
  <c r="V23" i="22" s="1"/>
  <c r="Z23" i="29" s="1"/>
  <c r="H68" i="22"/>
  <c r="V68" i="22" s="1"/>
  <c r="Z68" i="29" s="1"/>
  <c r="H36" i="22"/>
  <c r="V36" i="22" s="1"/>
  <c r="Z36" i="29" s="1"/>
  <c r="H115" i="22"/>
  <c r="V115" i="22" s="1"/>
  <c r="Z115" i="29" s="1"/>
  <c r="H90" i="22"/>
  <c r="V90" i="22" s="1"/>
  <c r="Z90" i="29" s="1"/>
  <c r="H58" i="22"/>
  <c r="V58" i="22" s="1"/>
  <c r="Z58" i="29" s="1"/>
  <c r="H13" i="22"/>
  <c r="V13" i="22" s="1"/>
  <c r="Z13" i="29" s="1"/>
  <c r="H34" i="22"/>
  <c r="V34" i="22" s="1"/>
  <c r="Z34" i="29" s="1"/>
  <c r="H66" i="22"/>
  <c r="V66" i="22" s="1"/>
  <c r="Z66" i="29" s="1"/>
  <c r="H60" i="22"/>
  <c r="V60" i="22" s="1"/>
  <c r="Z60" i="29" s="1"/>
  <c r="H24" i="22"/>
  <c r="V24" i="22" s="1"/>
  <c r="Z24" i="29" s="1"/>
  <c r="H74" i="22"/>
  <c r="V74" i="22" s="1"/>
  <c r="Z74" i="29" s="1"/>
  <c r="H49" i="22"/>
  <c r="V49" i="22" s="1"/>
  <c r="Z49" i="29" s="1"/>
  <c r="H48" i="22"/>
  <c r="V48" i="22" s="1"/>
  <c r="Z48" i="29" s="1"/>
  <c r="H95" i="22"/>
  <c r="V95" i="22" s="1"/>
  <c r="Z95" i="29" s="1"/>
  <c r="H38" i="22"/>
  <c r="V38" i="22" s="1"/>
  <c r="Z38" i="29" s="1"/>
  <c r="H105" i="22"/>
  <c r="V105" i="22" s="1"/>
  <c r="Z105" i="29" s="1"/>
  <c r="H32" i="22"/>
  <c r="V32" i="22" s="1"/>
  <c r="Z32" i="29" s="1"/>
  <c r="H56" i="22"/>
  <c r="V56" i="22" s="1"/>
  <c r="Z56" i="29" s="1"/>
  <c r="H41" i="22"/>
  <c r="V41" i="22" s="1"/>
  <c r="Z41" i="29" s="1"/>
  <c r="H100" i="22"/>
  <c r="V100" i="22" s="1"/>
  <c r="Z100" i="29" s="1"/>
  <c r="H29" i="22"/>
  <c r="V29" i="22" s="1"/>
  <c r="Z29" i="29" s="1"/>
  <c r="H17" i="22"/>
  <c r="V17" i="22" s="1"/>
  <c r="Z17" i="29" s="1"/>
  <c r="H18" i="22"/>
  <c r="V18" i="22" s="1"/>
  <c r="Z18" i="29" s="1"/>
  <c r="H30" i="22"/>
  <c r="V30" i="22" s="1"/>
  <c r="Z30" i="29" s="1"/>
  <c r="V26" i="22"/>
  <c r="Z26" i="29" s="1"/>
  <c r="H121" i="22"/>
  <c r="V121" i="22" s="1"/>
  <c r="Z121" i="29" s="1"/>
  <c r="H27" i="22"/>
  <c r="V27" i="22" s="1"/>
  <c r="Z27" i="29" s="1"/>
  <c r="H55" i="22"/>
  <c r="V55" i="22" s="1"/>
  <c r="Z55" i="29" s="1"/>
  <c r="H50" i="22"/>
  <c r="V50" i="22" s="1"/>
  <c r="Z50" i="29" s="1"/>
  <c r="H47" i="22"/>
  <c r="V47" i="22" s="1"/>
  <c r="Z47" i="29" s="1"/>
  <c r="H63" i="22"/>
  <c r="V63" i="22" s="1"/>
  <c r="Z63" i="29" s="1"/>
  <c r="H62" i="22"/>
  <c r="V62" i="22" s="1"/>
  <c r="Z62" i="29" s="1"/>
  <c r="H91" i="22"/>
  <c r="V91" i="22" s="1"/>
  <c r="Z91" i="29" s="1"/>
  <c r="H94" i="22"/>
  <c r="V94" i="22" s="1"/>
  <c r="Z94" i="29" s="1"/>
  <c r="H67" i="22"/>
  <c r="V67" i="22" s="1"/>
  <c r="Z67" i="29" s="1"/>
  <c r="H103" i="22"/>
  <c r="V103" i="22" s="1"/>
  <c r="Z103" i="29" s="1"/>
  <c r="H93" i="22"/>
  <c r="V93" i="22" s="1"/>
  <c r="Z93" i="29" s="1"/>
  <c r="H39" i="22"/>
  <c r="V39" i="22" s="1"/>
  <c r="Z39" i="29" s="1"/>
  <c r="H82" i="22"/>
  <c r="V82" i="22" s="1"/>
  <c r="Z82" i="29" s="1"/>
  <c r="H37" i="22"/>
  <c r="V37" i="22" s="1"/>
  <c r="Z37" i="29" s="1"/>
  <c r="H110" i="22"/>
  <c r="V110" i="22" s="1"/>
  <c r="Z110" i="29" s="1"/>
  <c r="H98" i="22"/>
  <c r="V98" i="22" s="1"/>
  <c r="Z98" i="29" s="1"/>
  <c r="H59" i="22"/>
  <c r="V59" i="22" s="1"/>
  <c r="Z59" i="29" s="1"/>
  <c r="H119" i="22"/>
  <c r="V119" i="22" s="1"/>
  <c r="Z119" i="29" s="1"/>
  <c r="H14" i="22"/>
  <c r="V14" i="22" s="1"/>
  <c r="Z14" i="29" s="1"/>
  <c r="H57" i="22"/>
  <c r="V57" i="22" s="1"/>
  <c r="Z57" i="29" s="1"/>
  <c r="H12" i="22"/>
  <c r="V12" i="22" s="1"/>
  <c r="Z12" i="29" s="1"/>
  <c r="H117" i="22"/>
  <c r="V117" i="22" s="1"/>
  <c r="Z117" i="29" s="1"/>
  <c r="H87" i="22"/>
  <c r="V87" i="22" s="1"/>
  <c r="Z87" i="29" s="1"/>
  <c r="H10" i="22"/>
  <c r="V10" i="22" s="1"/>
  <c r="Z10" i="29" s="1"/>
  <c r="H52" i="22"/>
  <c r="V52" i="22" s="1"/>
  <c r="Z52" i="29" s="1"/>
  <c r="H43" i="22"/>
  <c r="V43" i="22" s="1"/>
  <c r="Z43" i="29" s="1"/>
  <c r="H77" i="22"/>
  <c r="V77" i="22" s="1"/>
  <c r="Z77" i="29" s="1"/>
  <c r="H104" i="22"/>
  <c r="V104" i="22" s="1"/>
  <c r="Z104" i="29" s="1"/>
  <c r="H120" i="22"/>
  <c r="V120" i="22" s="1"/>
  <c r="Z120" i="29" s="1"/>
  <c r="H71" i="22"/>
  <c r="V71" i="22" s="1"/>
  <c r="Z71" i="29" s="1"/>
  <c r="H65" i="22"/>
  <c r="V65" i="22" s="1"/>
  <c r="Z65" i="29" s="1"/>
  <c r="H80" i="22"/>
  <c r="V80" i="22" s="1"/>
  <c r="Z80" i="29" s="1"/>
  <c r="H54" i="22"/>
  <c r="V54" i="22" s="1"/>
  <c r="Z54" i="29" s="1"/>
  <c r="H92" i="22"/>
  <c r="V92" i="22" s="1"/>
  <c r="Z92" i="29" s="1"/>
  <c r="H78" i="22"/>
  <c r="V78" i="22" s="1"/>
  <c r="Z78" i="29" s="1"/>
  <c r="H89" i="22"/>
  <c r="V89" i="22" s="1"/>
  <c r="Z89" i="29" s="1"/>
  <c r="H46" i="22"/>
  <c r="V46" i="22" s="1"/>
  <c r="Z46" i="29" s="1"/>
  <c r="H28" i="22"/>
  <c r="V28" i="22" s="1"/>
  <c r="Z28" i="29" s="1"/>
  <c r="H45" i="22"/>
  <c r="V45" i="22" s="1"/>
  <c r="Z45" i="29" s="1"/>
  <c r="H101" i="22"/>
  <c r="V101" i="22" s="1"/>
  <c r="Z101" i="29" s="1"/>
  <c r="H19" i="22"/>
  <c r="V19" i="22" s="1"/>
  <c r="Z19" i="29" s="1"/>
  <c r="H7" i="22"/>
  <c r="V7" i="22" s="1"/>
  <c r="Z7" i="29" s="1"/>
  <c r="H21" i="22"/>
  <c r="V21" i="22" s="1"/>
  <c r="Z21" i="29" s="1"/>
  <c r="H31" i="22"/>
  <c r="V31" i="22" s="1"/>
  <c r="Z31" i="29" s="1"/>
  <c r="H114" i="22"/>
  <c r="V114" i="22" s="1"/>
  <c r="Z114" i="29" s="1"/>
  <c r="H72" i="22"/>
  <c r="V72" i="22" s="1"/>
  <c r="Z72" i="29" s="1"/>
  <c r="H84" i="22"/>
  <c r="V84" i="22" s="1"/>
  <c r="Z84" i="29" s="1"/>
  <c r="H86" i="22"/>
  <c r="V86" i="22" s="1"/>
  <c r="Z86" i="29" s="1"/>
  <c r="H79" i="22"/>
  <c r="V79" i="22" s="1"/>
  <c r="Z79" i="29" s="1"/>
  <c r="H99" i="22"/>
  <c r="V99" i="22" s="1"/>
  <c r="Z99" i="29" s="1"/>
  <c r="H83" i="22"/>
  <c r="V83" i="22" s="1"/>
  <c r="Z83" i="29" s="1"/>
  <c r="H51" i="22"/>
  <c r="V51" i="22" s="1"/>
  <c r="Z51" i="29" s="1"/>
  <c r="H106" i="22"/>
  <c r="V106" i="22" s="1"/>
  <c r="Z106" i="29" s="1"/>
  <c r="H35" i="22"/>
  <c r="V35" i="22" s="1"/>
  <c r="Z35" i="29" s="1"/>
  <c r="H25" i="22"/>
  <c r="V25" i="22" s="1"/>
  <c r="Z25" i="29" s="1"/>
  <c r="H5" i="22"/>
  <c r="V5" i="22" s="1"/>
  <c r="Z5" i="29" s="1"/>
  <c r="AA5" i="29" s="1"/>
  <c r="W5" i="6" s="1"/>
  <c r="H81" i="22"/>
  <c r="V81" i="22" s="1"/>
  <c r="Z81" i="29" s="1"/>
  <c r="H85" i="22"/>
  <c r="V85" i="22" s="1"/>
  <c r="Z85" i="29" s="1"/>
  <c r="H118" i="22"/>
  <c r="V118" i="22" s="1"/>
  <c r="Z118" i="29" s="1"/>
  <c r="H4" i="22"/>
  <c r="V4" i="22" s="1"/>
  <c r="Z4" i="29" s="1"/>
  <c r="AA4" i="29" s="1"/>
  <c r="W4" i="6" s="1"/>
  <c r="H109" i="22"/>
  <c r="V109" i="22" s="1"/>
  <c r="Z109" i="29" s="1"/>
  <c r="H107" i="22"/>
  <c r="V107" i="22" s="1"/>
  <c r="Z107" i="29" s="1"/>
  <c r="H122" i="22"/>
  <c r="V122" i="22" s="1"/>
  <c r="Z122" i="29" s="1"/>
  <c r="H6" i="22"/>
  <c r="V6" i="22" s="1"/>
  <c r="Z6" i="29" s="1"/>
  <c r="H111" i="22"/>
  <c r="V111" i="22" s="1"/>
  <c r="Z111" i="29" s="1"/>
  <c r="H15" i="22"/>
  <c r="V15" i="22" s="1"/>
  <c r="Z15" i="29" s="1"/>
  <c r="H69" i="22"/>
  <c r="V69" i="22" s="1"/>
  <c r="Z69" i="29" s="1"/>
  <c r="H96" i="22"/>
  <c r="V96" i="22" s="1"/>
  <c r="Z96" i="29" s="1"/>
  <c r="H113" i="22"/>
  <c r="V113" i="22" s="1"/>
  <c r="Z113" i="29" s="1"/>
  <c r="H76" i="22"/>
  <c r="V76" i="22" s="1"/>
  <c r="Z76" i="29" s="1"/>
  <c r="H42" i="22"/>
  <c r="V42" i="22" s="1"/>
  <c r="Z42" i="29" s="1"/>
  <c r="H112" i="22"/>
  <c r="V112" i="22" s="1"/>
  <c r="Z112" i="29" s="1"/>
  <c r="H73" i="22"/>
  <c r="V73" i="22" s="1"/>
  <c r="Z73" i="29" s="1"/>
  <c r="H9" i="22"/>
  <c r="V9" i="22" s="1"/>
  <c r="Z9" i="29" s="1"/>
  <c r="H53" i="22"/>
  <c r="V53" i="22" s="1"/>
  <c r="Z53" i="29" s="1"/>
  <c r="H61" i="22"/>
  <c r="V61" i="22" s="1"/>
  <c r="Z61" i="29" s="1"/>
  <c r="H70" i="22"/>
  <c r="V70" i="22" s="1"/>
  <c r="Z70" i="29" s="1"/>
  <c r="H16" i="22"/>
  <c r="V16" i="22" s="1"/>
  <c r="Z16" i="29" s="1"/>
  <c r="H88" i="22"/>
  <c r="V88" i="22" s="1"/>
  <c r="Z88" i="29" s="1"/>
  <c r="H33" i="22"/>
  <c r="V33" i="22" s="1"/>
  <c r="Z33" i="29" s="1"/>
  <c r="F46" i="5"/>
  <c r="AA81" i="29" l="1"/>
  <c r="W81" i="6" s="1"/>
  <c r="AA81" i="6" s="1"/>
  <c r="AA67" i="29"/>
  <c r="W67" i="6" s="1"/>
  <c r="AA67" i="6" s="1"/>
  <c r="AA112" i="29"/>
  <c r="W112" i="6" s="1"/>
  <c r="AA112" i="6" s="1"/>
  <c r="AA6" i="29"/>
  <c r="W6" i="6" s="1"/>
  <c r="AA6" i="6" s="1"/>
  <c r="AA5" i="6"/>
  <c r="AA86" i="29"/>
  <c r="W86" i="6" s="1"/>
  <c r="AA86" i="6" s="1"/>
  <c r="AA101" i="29"/>
  <c r="W101" i="6" s="1"/>
  <c r="AA101" i="6" s="1"/>
  <c r="AA80" i="29"/>
  <c r="W80" i="6" s="1"/>
  <c r="AA80" i="6" s="1"/>
  <c r="AA10" i="29"/>
  <c r="W10" i="6" s="1"/>
  <c r="AA10" i="6" s="1"/>
  <c r="AA98" i="29"/>
  <c r="W98" i="6" s="1"/>
  <c r="AA98" i="6" s="1"/>
  <c r="AA94" i="29"/>
  <c r="W94" i="6" s="1"/>
  <c r="AA94" i="6" s="1"/>
  <c r="AA121" i="29"/>
  <c r="W121" i="6" s="1"/>
  <c r="AA56" i="29"/>
  <c r="W56" i="6" s="1"/>
  <c r="AA56" i="6" s="1"/>
  <c r="AA24" i="29"/>
  <c r="W24" i="6" s="1"/>
  <c r="AA24" i="6" s="1"/>
  <c r="AA36" i="29"/>
  <c r="W36" i="6" s="1"/>
  <c r="AA36" i="6" s="1"/>
  <c r="AA75" i="29"/>
  <c r="W75" i="6" s="1"/>
  <c r="AA75" i="6" s="1"/>
  <c r="AD116" i="29"/>
  <c r="AA19" i="29"/>
  <c r="W19" i="6" s="1"/>
  <c r="AA19" i="6" s="1"/>
  <c r="AA41" i="29"/>
  <c r="W41" i="6" s="1"/>
  <c r="AA41" i="6" s="1"/>
  <c r="AA42" i="29"/>
  <c r="W42" i="6" s="1"/>
  <c r="AA42" i="6" s="1"/>
  <c r="AA122" i="29"/>
  <c r="W122" i="6" s="1"/>
  <c r="AA25" i="29"/>
  <c r="W25" i="6" s="1"/>
  <c r="AA25" i="6" s="1"/>
  <c r="AA84" i="29"/>
  <c r="W84" i="6" s="1"/>
  <c r="AA84" i="6" s="1"/>
  <c r="AA45" i="29"/>
  <c r="W45" i="6" s="1"/>
  <c r="AA45" i="6" s="1"/>
  <c r="AA65" i="29"/>
  <c r="W65" i="6" s="1"/>
  <c r="AA65" i="6" s="1"/>
  <c r="AA87" i="29"/>
  <c r="W87" i="6" s="1"/>
  <c r="AA87" i="6" s="1"/>
  <c r="AA110" i="29"/>
  <c r="W110" i="6" s="1"/>
  <c r="AA110" i="6" s="1"/>
  <c r="AA91" i="29"/>
  <c r="W91" i="6" s="1"/>
  <c r="AA91" i="6" s="1"/>
  <c r="AA26" i="29"/>
  <c r="W26" i="6" s="1"/>
  <c r="AA26" i="6" s="1"/>
  <c r="AA32" i="29"/>
  <c r="W32" i="6" s="1"/>
  <c r="AA32" i="6" s="1"/>
  <c r="AA60" i="29"/>
  <c r="W60" i="6" s="1"/>
  <c r="AA60" i="6" s="1"/>
  <c r="AA68" i="29"/>
  <c r="W68" i="6" s="1"/>
  <c r="AA68" i="6" s="1"/>
  <c r="AA111" i="29"/>
  <c r="W111" i="6" s="1"/>
  <c r="AA111" i="6" s="1"/>
  <c r="AA59" i="29"/>
  <c r="W59" i="6" s="1"/>
  <c r="AA59" i="6" s="1"/>
  <c r="AA108" i="29"/>
  <c r="W108" i="6" s="1"/>
  <c r="AA108" i="6" s="1"/>
  <c r="AA16" i="29"/>
  <c r="W16" i="6" s="1"/>
  <c r="AA16" i="6" s="1"/>
  <c r="AA76" i="29"/>
  <c r="W76" i="6" s="1"/>
  <c r="AA76" i="6" s="1"/>
  <c r="AA107" i="29"/>
  <c r="W107" i="6" s="1"/>
  <c r="AA107" i="6" s="1"/>
  <c r="AA35" i="29"/>
  <c r="W35" i="6" s="1"/>
  <c r="AA35" i="6" s="1"/>
  <c r="AA72" i="29"/>
  <c r="W72" i="6" s="1"/>
  <c r="AA72" i="6" s="1"/>
  <c r="AA28" i="29"/>
  <c r="W28" i="6" s="1"/>
  <c r="AA28" i="6" s="1"/>
  <c r="AA71" i="29"/>
  <c r="W71" i="6" s="1"/>
  <c r="AA71" i="6" s="1"/>
  <c r="AA117" i="29"/>
  <c r="W117" i="6" s="1"/>
  <c r="AA117" i="6" s="1"/>
  <c r="AA37" i="29"/>
  <c r="W37" i="6" s="1"/>
  <c r="AA37" i="6" s="1"/>
  <c r="AA62" i="29"/>
  <c r="W62" i="6" s="1"/>
  <c r="AA62" i="6" s="1"/>
  <c r="AA30" i="29"/>
  <c r="W30" i="6" s="1"/>
  <c r="AA30" i="6" s="1"/>
  <c r="AA105" i="29"/>
  <c r="W105" i="6" s="1"/>
  <c r="AA105" i="6" s="1"/>
  <c r="AA66" i="29"/>
  <c r="W66" i="6" s="1"/>
  <c r="AA23" i="29"/>
  <c r="W23" i="6" s="1"/>
  <c r="AA23" i="6" s="1"/>
  <c r="Z3" i="29"/>
  <c r="Z124" i="29" s="1"/>
  <c r="H34" i="31" s="1"/>
  <c r="V123" i="22"/>
  <c r="V124" i="22"/>
  <c r="AD64" i="29"/>
  <c r="AA79" i="29"/>
  <c r="W79" i="6" s="1"/>
  <c r="AA79" i="6" s="1"/>
  <c r="AA27" i="29"/>
  <c r="W27" i="6" s="1"/>
  <c r="AA27" i="6" s="1"/>
  <c r="AA33" i="29"/>
  <c r="W33" i="6" s="1"/>
  <c r="AA33" i="6" s="1"/>
  <c r="AA113" i="29"/>
  <c r="W113" i="6" s="1"/>
  <c r="AA113" i="6" s="1"/>
  <c r="AA109" i="29"/>
  <c r="W109" i="6" s="1"/>
  <c r="AA109" i="6" s="1"/>
  <c r="AA106" i="29"/>
  <c r="W106" i="6" s="1"/>
  <c r="AA106" i="6" s="1"/>
  <c r="AA114" i="29"/>
  <c r="W114" i="6" s="1"/>
  <c r="AA114" i="6" s="1"/>
  <c r="AA46" i="29"/>
  <c r="W46" i="6" s="1"/>
  <c r="AA46" i="6" s="1"/>
  <c r="AA120" i="29"/>
  <c r="W120" i="6" s="1"/>
  <c r="AA120" i="6" s="1"/>
  <c r="AA12" i="29"/>
  <c r="W12" i="6" s="1"/>
  <c r="AA12" i="6" s="1"/>
  <c r="AA82" i="29"/>
  <c r="W82" i="6" s="1"/>
  <c r="AA82" i="6" s="1"/>
  <c r="AA63" i="29"/>
  <c r="W63" i="6" s="1"/>
  <c r="AA63" i="6" s="1"/>
  <c r="AA18" i="29"/>
  <c r="W18" i="6" s="1"/>
  <c r="AA18" i="6" s="1"/>
  <c r="AA38" i="29"/>
  <c r="W38" i="6" s="1"/>
  <c r="AA38" i="6" s="1"/>
  <c r="AA34" i="29"/>
  <c r="W34" i="6" s="1"/>
  <c r="AA34" i="6" s="1"/>
  <c r="AA102" i="29"/>
  <c r="W102" i="6" s="1"/>
  <c r="AA102" i="6" s="1"/>
  <c r="AA54" i="29"/>
  <c r="W54" i="6" s="1"/>
  <c r="AA54" i="6" s="1"/>
  <c r="AA74" i="29"/>
  <c r="W74" i="6" s="1"/>
  <c r="AA74" i="6" s="1"/>
  <c r="AA70" i="29"/>
  <c r="W70" i="6" s="1"/>
  <c r="AA70" i="6" s="1"/>
  <c r="AA61" i="29"/>
  <c r="W61" i="6" s="1"/>
  <c r="AA61" i="6" s="1"/>
  <c r="AA96" i="29"/>
  <c r="W96" i="6" s="1"/>
  <c r="AA96" i="6" s="1"/>
  <c r="AA4" i="6"/>
  <c r="AA51" i="29"/>
  <c r="W51" i="6" s="1"/>
  <c r="AA51" i="6" s="1"/>
  <c r="AA31" i="29"/>
  <c r="W31" i="6" s="1"/>
  <c r="AA31" i="6" s="1"/>
  <c r="AA89" i="29"/>
  <c r="W89" i="6" s="1"/>
  <c r="AA89" i="6" s="1"/>
  <c r="AA104" i="29"/>
  <c r="W104" i="6" s="1"/>
  <c r="AA104" i="6" s="1"/>
  <c r="AA57" i="29"/>
  <c r="W57" i="6" s="1"/>
  <c r="AA57" i="6" s="1"/>
  <c r="AA39" i="29"/>
  <c r="W39" i="6" s="1"/>
  <c r="AA39" i="6" s="1"/>
  <c r="AA47" i="29"/>
  <c r="W47" i="6" s="1"/>
  <c r="AA47" i="6" s="1"/>
  <c r="AA17" i="29"/>
  <c r="W17" i="6" s="1"/>
  <c r="AA17" i="6" s="1"/>
  <c r="AA95" i="29"/>
  <c r="W95" i="6" s="1"/>
  <c r="AA95" i="6" s="1"/>
  <c r="AA13" i="29"/>
  <c r="W13" i="6" s="1"/>
  <c r="AA13" i="6" s="1"/>
  <c r="AA20" i="29"/>
  <c r="W20" i="6" s="1"/>
  <c r="AA20" i="6" s="1"/>
  <c r="AD8" i="29"/>
  <c r="AD97" i="29"/>
  <c r="AA73" i="29"/>
  <c r="W73" i="6" s="1"/>
  <c r="AA73" i="6" s="1"/>
  <c r="AA53" i="29"/>
  <c r="W53" i="6" s="1"/>
  <c r="AA53" i="6" s="1"/>
  <c r="AA69" i="29"/>
  <c r="W69" i="6" s="1"/>
  <c r="AA69" i="6" s="1"/>
  <c r="AA118" i="29"/>
  <c r="W118" i="6" s="1"/>
  <c r="AA118" i="6" s="1"/>
  <c r="AA83" i="29"/>
  <c r="W83" i="6" s="1"/>
  <c r="AA83" i="6" s="1"/>
  <c r="AA21" i="29"/>
  <c r="W21" i="6" s="1"/>
  <c r="AA21" i="6" s="1"/>
  <c r="AA78" i="29"/>
  <c r="W78" i="6" s="1"/>
  <c r="AA78" i="6" s="1"/>
  <c r="AA77" i="29"/>
  <c r="W77" i="6" s="1"/>
  <c r="AA77" i="6" s="1"/>
  <c r="AA14" i="29"/>
  <c r="W14" i="6" s="1"/>
  <c r="AA14" i="6" s="1"/>
  <c r="AA93" i="29"/>
  <c r="W93" i="6" s="1"/>
  <c r="AA93" i="6" s="1"/>
  <c r="AA50" i="29"/>
  <c r="W50" i="6" s="1"/>
  <c r="AA50" i="6" s="1"/>
  <c r="AA29" i="29"/>
  <c r="W29" i="6" s="1"/>
  <c r="AA29" i="6" s="1"/>
  <c r="AA48" i="29"/>
  <c r="W48" i="6" s="1"/>
  <c r="AA48" i="6" s="1"/>
  <c r="AA58" i="29"/>
  <c r="W58" i="6" s="1"/>
  <c r="AA58" i="6" s="1"/>
  <c r="AA40" i="29"/>
  <c r="W40" i="6" s="1"/>
  <c r="AA40" i="6" s="1"/>
  <c r="AA52" i="29"/>
  <c r="W52" i="6" s="1"/>
  <c r="AA52" i="6" s="1"/>
  <c r="AA115" i="29"/>
  <c r="W115" i="6" s="1"/>
  <c r="AA115" i="6" s="1"/>
  <c r="AA88" i="29"/>
  <c r="W88" i="6" s="1"/>
  <c r="AA88" i="6" s="1"/>
  <c r="AA9" i="29"/>
  <c r="W9" i="6" s="1"/>
  <c r="AA9" i="6" s="1"/>
  <c r="AA15" i="29"/>
  <c r="W15" i="6" s="1"/>
  <c r="AA15" i="6" s="1"/>
  <c r="AA85" i="29"/>
  <c r="W85" i="6" s="1"/>
  <c r="AA85" i="6" s="1"/>
  <c r="AA99" i="29"/>
  <c r="W99" i="6" s="1"/>
  <c r="AA99" i="6" s="1"/>
  <c r="AA7" i="29"/>
  <c r="W7" i="6" s="1"/>
  <c r="AA7" i="6" s="1"/>
  <c r="AA92" i="29"/>
  <c r="W92" i="6" s="1"/>
  <c r="AA92" i="6" s="1"/>
  <c r="AA43" i="29"/>
  <c r="W43" i="6" s="1"/>
  <c r="AA43" i="6" s="1"/>
  <c r="AA119" i="29"/>
  <c r="W119" i="6" s="1"/>
  <c r="AA119" i="6" s="1"/>
  <c r="AA103" i="29"/>
  <c r="W103" i="6" s="1"/>
  <c r="AA103" i="6" s="1"/>
  <c r="AA55" i="29"/>
  <c r="W55" i="6" s="1"/>
  <c r="AA55" i="6" s="1"/>
  <c r="AA100" i="29"/>
  <c r="W100" i="6" s="1"/>
  <c r="AA100" i="6" s="1"/>
  <c r="AA49" i="29"/>
  <c r="W49" i="6" s="1"/>
  <c r="AA49" i="6" s="1"/>
  <c r="AA90" i="29"/>
  <c r="W90" i="6" s="1"/>
  <c r="AA90" i="6" s="1"/>
  <c r="AA11" i="29"/>
  <c r="W11" i="6" s="1"/>
  <c r="AA11" i="6" s="1"/>
  <c r="AD22" i="29"/>
  <c r="AD44" i="29"/>
  <c r="F38" i="5"/>
  <c r="F39" i="5" s="1"/>
  <c r="F10" i="5" s="1"/>
  <c r="F5" i="5" s="1"/>
  <c r="AD45" i="29" l="1"/>
  <c r="AD43" i="29"/>
  <c r="AD49" i="29"/>
  <c r="AD119" i="29"/>
  <c r="AD99" i="29"/>
  <c r="AD88" i="29"/>
  <c r="AD58" i="29"/>
  <c r="AD93" i="29"/>
  <c r="AD21" i="29"/>
  <c r="AD53" i="29"/>
  <c r="AD20" i="29"/>
  <c r="AD47" i="29"/>
  <c r="AD89" i="29"/>
  <c r="AD96" i="29"/>
  <c r="AD54" i="29"/>
  <c r="AD18" i="29"/>
  <c r="AD120" i="29"/>
  <c r="AD109" i="29"/>
  <c r="AD79" i="29"/>
  <c r="AA66" i="6"/>
  <c r="AB66" i="6"/>
  <c r="AD16" i="29"/>
  <c r="AD91" i="29"/>
  <c r="AD121" i="29"/>
  <c r="AD14" i="29"/>
  <c r="AD73" i="29"/>
  <c r="AD31" i="29"/>
  <c r="AD61" i="29"/>
  <c r="AD63" i="29"/>
  <c r="AD46" i="29"/>
  <c r="AD113" i="29"/>
  <c r="AD72" i="29"/>
  <c r="AD42" i="29"/>
  <c r="AD115" i="29"/>
  <c r="AD13" i="29"/>
  <c r="AD105" i="29"/>
  <c r="AD117" i="29"/>
  <c r="AD35" i="29"/>
  <c r="AD108" i="29"/>
  <c r="AD60" i="29"/>
  <c r="AD110" i="29"/>
  <c r="AD84" i="29"/>
  <c r="AD41" i="29"/>
  <c r="AD36" i="29"/>
  <c r="AD94" i="29"/>
  <c r="AD101" i="29"/>
  <c r="AD112" i="29"/>
  <c r="AD6" i="29"/>
  <c r="AD11" i="29"/>
  <c r="AD55" i="29"/>
  <c r="AD92" i="29"/>
  <c r="AD52" i="29"/>
  <c r="AD29" i="29"/>
  <c r="AD77" i="29"/>
  <c r="AD118" i="29"/>
  <c r="AD95" i="29"/>
  <c r="AD57" i="29"/>
  <c r="AD51" i="29"/>
  <c r="AD70" i="29"/>
  <c r="AD34" i="29"/>
  <c r="AD82" i="29"/>
  <c r="AD114" i="29"/>
  <c r="AD33" i="29"/>
  <c r="AD66" i="29"/>
  <c r="AD68" i="29"/>
  <c r="AD80" i="29"/>
  <c r="AD100" i="29"/>
  <c r="AD48" i="29"/>
  <c r="AD83" i="29"/>
  <c r="AD102" i="29"/>
  <c r="AA3" i="29"/>
  <c r="W3" i="6" s="1"/>
  <c r="AD30" i="29"/>
  <c r="AD71" i="29"/>
  <c r="AD107" i="29"/>
  <c r="AD59" i="29"/>
  <c r="AD32" i="29"/>
  <c r="AD87" i="29"/>
  <c r="AD25" i="29"/>
  <c r="AD19" i="29"/>
  <c r="AD24" i="29"/>
  <c r="AD98" i="29"/>
  <c r="AD86" i="29"/>
  <c r="AD67" i="29"/>
  <c r="AD90" i="29"/>
  <c r="AD103" i="29"/>
  <c r="AD7" i="29"/>
  <c r="AD9" i="29"/>
  <c r="AD40" i="29"/>
  <c r="AD50" i="29"/>
  <c r="AD78" i="29"/>
  <c r="AD69" i="29"/>
  <c r="AD17" i="29"/>
  <c r="AD104" i="29"/>
  <c r="AD4" i="29"/>
  <c r="AD74" i="29"/>
  <c r="AD38" i="29"/>
  <c r="AD12" i="29"/>
  <c r="AD106" i="29"/>
  <c r="AD27" i="29"/>
  <c r="AD37" i="29"/>
  <c r="AD75" i="29"/>
  <c r="AD85" i="29"/>
  <c r="AD39" i="29"/>
  <c r="AD23" i="29"/>
  <c r="AD62" i="29"/>
  <c r="AD28" i="29"/>
  <c r="AD76" i="29"/>
  <c r="AD111" i="29"/>
  <c r="AD26" i="29"/>
  <c r="AD65" i="29"/>
  <c r="AD122" i="29"/>
  <c r="AD56" i="29"/>
  <c r="AD10" i="29"/>
  <c r="AD5" i="29"/>
  <c r="AD81" i="29"/>
  <c r="AA121" i="6"/>
  <c r="AA122" i="6"/>
  <c r="F7" i="5" l="1"/>
  <c r="F41" i="5" s="1"/>
  <c r="F40" i="5"/>
  <c r="AA3" i="6"/>
  <c r="AA127" i="6" s="1"/>
  <c r="W125" i="6"/>
  <c r="AA130" i="6" s="1"/>
  <c r="W128" i="6"/>
  <c r="X128" i="6" s="1"/>
  <c r="AD3" i="29"/>
  <c r="AD124" i="29" s="1"/>
  <c r="X125" i="6"/>
  <c r="AA131" i="6" s="1"/>
  <c r="AA124" i="29"/>
  <c r="W130" i="6"/>
  <c r="X130" i="6" s="1"/>
  <c r="AA125" i="6" l="1"/>
  <c r="W132" i="6" s="1"/>
  <c r="AA126" i="6"/>
  <c r="AE124" i="29"/>
  <c r="Y138" i="6"/>
  <c r="AA132" i="6"/>
  <c r="W133" i="6" l="1"/>
  <c r="W137" i="6"/>
</calcChain>
</file>

<file path=xl/comments1.xml><?xml version="1.0" encoding="utf-8"?>
<comments xmlns="http://schemas.openxmlformats.org/spreadsheetml/2006/main">
  <authors>
    <author>Ash</author>
  </authors>
  <commentList>
    <comment ref="I71" authorId="0" shapeId="0">
      <text>
        <r>
          <rPr>
            <b/>
            <sz val="9"/>
            <color indexed="81"/>
            <rFont val="Tahoma"/>
            <family val="2"/>
          </rPr>
          <t>3500 CHARGED PER PERSON 
3500*142=497000 
71*150=10650 FOR MINERAL WATER LARGE
207*150=31050 FOR SOFT DRINKS
TOTAL 31050+10650=41700
15% TAX=47955
TOTAL AMOUNT RECEIVED= 47955+497000=544955
PAID 520,000 ON CASH  31/OCT/2025
PAID 25000 ON CARD
INVOICE NO: 000079
BATCHNO: 000012
ON 23/OCT/2025</t>
        </r>
      </text>
    </comment>
  </commentList>
</comments>
</file>

<file path=xl/comments2.xml><?xml version="1.0" encoding="utf-8"?>
<comments xmlns="http://schemas.openxmlformats.org/spreadsheetml/2006/main">
  <authors>
    <author>Ash</author>
  </authors>
  <commentList>
    <comment ref="O51" authorId="0" shapeId="0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INVOICE: 163
BT NO: 19
</t>
        </r>
      </text>
    </comment>
    <comment ref="O63" authorId="0" shapeId="0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INV:164
BTC:19
</t>
        </r>
      </text>
    </comment>
    <comment ref="J76" authorId="0" shapeId="0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INV:166
BATC:19</t>
        </r>
      </text>
    </comment>
    <comment ref="E77" authorId="0" shapeId="0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INV:165
BATC:19</t>
        </r>
      </text>
    </comment>
    <comment ref="P80" authorId="0" shapeId="0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IN: 168
BT: 19</t>
        </r>
      </text>
    </comment>
    <comment ref="P105" authorId="0" shapeId="0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INV: 170
BATCH: 19</t>
        </r>
      </text>
    </comment>
    <comment ref="T207" authorId="0" shapeId="0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CASH NOT RECEIVED
CASH ON DANISH 
40K
</t>
        </r>
      </text>
    </comment>
    <comment ref="P211" authorId="0" shapeId="0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REMIANING ON SIR TARIQ 5000
</t>
        </r>
      </text>
    </comment>
    <comment ref="T228" authorId="0" shapeId="0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CASH NOT RECEIVED
CASH ON DANISH 
40K
</t>
        </r>
      </text>
    </comment>
    <comment ref="O250" authorId="0" shapeId="0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IN:179
BATHC:20
</t>
        </r>
      </text>
    </comment>
    <comment ref="K252" authorId="0" shapeId="0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IN:181
BATCH: 20
</t>
        </r>
      </text>
    </comment>
    <comment ref="O264" authorId="0" shapeId="0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CARD PAYMENT
</t>
        </r>
      </text>
    </comment>
    <comment ref="P279" authorId="0" shapeId="0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94" authorId="0" shapeId="0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PAID THROW ONLINE ON 21-12-2025
</t>
        </r>
      </text>
    </comment>
    <comment ref="J312" authorId="0" shapeId="0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INV 188
BTCH:20
</t>
        </r>
      </text>
    </comment>
    <comment ref="P314" authorId="0" shapeId="0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INV:189
BTC:20
</t>
        </r>
      </text>
    </comment>
    <comment ref="J315" authorId="0" shapeId="0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ONLINE PAY 0N 23/12/2025
</t>
        </r>
      </text>
    </comment>
    <comment ref="E326" authorId="0" shapeId="0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ONLINE PAY 0N 23/12/2025
</t>
        </r>
      </text>
    </comment>
    <comment ref="S327" authorId="0" shapeId="0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PAID ISL: 
22200000
</t>
        </r>
      </text>
    </comment>
    <comment ref="P328" authorId="0" shapeId="0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INVOICE 190
BTCJ: 20
</t>
        </r>
      </text>
    </comment>
    <comment ref="P336" authorId="0" shapeId="0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PAID ONLINE 25/12/2025
</t>
        </r>
      </text>
    </comment>
    <comment ref="S346" authorId="0" shapeId="0">
      <text>
        <r>
          <rPr>
            <b/>
            <sz val="9"/>
            <color indexed="81"/>
            <rFont val="Tahoma"/>
            <family val="2"/>
          </rPr>
          <t>Ash:</t>
        </r>
        <r>
          <rPr>
            <sz val="9"/>
            <color indexed="81"/>
            <rFont val="Tahoma"/>
            <family val="2"/>
          </rPr>
          <t xml:space="preserve">
CASH PAID
</t>
        </r>
      </text>
    </comment>
  </commentList>
</comments>
</file>

<file path=xl/sharedStrings.xml><?xml version="1.0" encoding="utf-8"?>
<sst xmlns="http://schemas.openxmlformats.org/spreadsheetml/2006/main" count="5435" uniqueCount="1292">
  <si>
    <t>S.no</t>
  </si>
  <si>
    <t>Membership number</t>
  </si>
  <si>
    <t>Name</t>
  </si>
  <si>
    <t>Email Address</t>
  </si>
  <si>
    <t>Contact Number</t>
  </si>
  <si>
    <t>Address</t>
  </si>
  <si>
    <t>Gym</t>
  </si>
  <si>
    <t>HCFM-AH001</t>
  </si>
  <si>
    <t>ADMIRAL AHMED HAYAT</t>
  </si>
  <si>
    <t>ahmadhayat.btic@gmail.com</t>
  </si>
  <si>
    <t>HCFM-0502</t>
  </si>
  <si>
    <t>MR. JABIR SHAHZAD</t>
  </si>
  <si>
    <t>Jabirshah@hotmil.com</t>
  </si>
  <si>
    <t>03452430072</t>
  </si>
  <si>
    <t>Appt# 76, Tower 04, Precinct-19, Bahria Town Karachi</t>
  </si>
  <si>
    <t>HCFM-0503</t>
  </si>
  <si>
    <t>MR.GHULAM NABI OTHI</t>
  </si>
  <si>
    <t>Alirazaothi@gmail.com</t>
  </si>
  <si>
    <t>03002237405</t>
  </si>
  <si>
    <t>Villa # 689, Street# 11, Iqbal Villa, Preccinct-02, Bahria Town Karachi</t>
  </si>
  <si>
    <t>HCFM-0504</t>
  </si>
  <si>
    <t>MR.BILAL AHMED</t>
  </si>
  <si>
    <t>bilalak061@gmail.com</t>
  </si>
  <si>
    <t>03468214340</t>
  </si>
  <si>
    <t>Quaid Villa# 118, Street# 03, Precinct-02, Bahria Town Karachi</t>
  </si>
  <si>
    <t>HCFM-0506</t>
  </si>
  <si>
    <t>MR.MUHAMMAD ARIF</t>
  </si>
  <si>
    <t>03212669061</t>
  </si>
  <si>
    <t>Appt#114, Tower 22, Precinct-19, Bahria Town Karachi</t>
  </si>
  <si>
    <t>HCFM-0507</t>
  </si>
  <si>
    <t>MR.SYED TAHIR ABBAS</t>
  </si>
  <si>
    <t>Syed.tahir.abbas@hotmail.com</t>
  </si>
  <si>
    <t>03218202201</t>
  </si>
  <si>
    <t>Villa# 2509, Street # 60, Precinct- 27, Bahria Town Karachi</t>
  </si>
  <si>
    <t>HCFM-0508</t>
  </si>
  <si>
    <t>MR.SHIRAZ AHMED</t>
  </si>
  <si>
    <t>sh-ahmed@hotmail.com</t>
  </si>
  <si>
    <t>03452362138</t>
  </si>
  <si>
    <t>Apt# 107, 4th Floor , Tower 11, Precinct -19, Bahria Town Karachi</t>
  </si>
  <si>
    <t>HCFM-0509</t>
  </si>
  <si>
    <t>MR.SYED ABDULLAH ALI</t>
  </si>
  <si>
    <t>Syedabdullchali89@gmil.com</t>
  </si>
  <si>
    <t>03339049974</t>
  </si>
  <si>
    <t>Villa# 7546, Street# 23, Road-01, Precinct-16, Bahria Town Karachi</t>
  </si>
  <si>
    <t>HCFM-0510</t>
  </si>
  <si>
    <t>MR.MUHAMMAD RIZWAN</t>
  </si>
  <si>
    <t>meshgroup193@gmail.com</t>
  </si>
  <si>
    <t>03212245690</t>
  </si>
  <si>
    <t>Villa# 536, Street# 15, Road-07, Precinct-04, Bahria Town Karachi</t>
  </si>
  <si>
    <t>HCFM-0511</t>
  </si>
  <si>
    <t>MR.TALHAR AHMED</t>
  </si>
  <si>
    <t>Talharshaikh4@gmail.com</t>
  </si>
  <si>
    <t>03333653690</t>
  </si>
  <si>
    <t>Appt# 104, 4th Floor, TOWER-11, Precinct-19, Bahria Town Karachi</t>
  </si>
  <si>
    <t>HCFM-0512</t>
  </si>
  <si>
    <t>MR.ZEESHAN IQBAL</t>
  </si>
  <si>
    <t>zchamdia@gmail.com</t>
  </si>
  <si>
    <t>03222409333</t>
  </si>
  <si>
    <t>Appt # 113, Tower 04, Precinct-19, Bahria Town Karachi</t>
  </si>
  <si>
    <t>HCFM-0513</t>
  </si>
  <si>
    <t>MR.SAJJAD ALI</t>
  </si>
  <si>
    <t>Sajjad.Kazi.isra@gmail.com</t>
  </si>
  <si>
    <t>03003012497</t>
  </si>
  <si>
    <t>Villa# 06, Road-01, Precinct-04, Bahria Town Karachi</t>
  </si>
  <si>
    <t>HCFM-0514</t>
  </si>
  <si>
    <t>MR.DILEEP KUMAR</t>
  </si>
  <si>
    <t>dgomani@yahoo.com</t>
  </si>
  <si>
    <t>03332655987</t>
  </si>
  <si>
    <t>House# A-50, Palm Enclave Housing Society, Bypass Hyderabad</t>
  </si>
  <si>
    <t>HCFM-0515</t>
  </si>
  <si>
    <t>MR.TARIQUE ZUBAIR</t>
  </si>
  <si>
    <t>tariq.zubair@btkarachi.com</t>
  </si>
  <si>
    <t>03003895969</t>
  </si>
  <si>
    <t>HCFM-0516</t>
  </si>
  <si>
    <t>MR.ATIF SHAFQAT</t>
  </si>
  <si>
    <t>Shafqatatif@hotmail.com</t>
  </si>
  <si>
    <t>03364407555</t>
  </si>
  <si>
    <t>Quaid Villa# 184, Street# 05, Precinct-02, Bahria Town Karchi</t>
  </si>
  <si>
    <t>HCFM-0517</t>
  </si>
  <si>
    <t>DR.ATHESHAM UL HAQ RANA</t>
  </si>
  <si>
    <t>ahaqrana111@icloud.com</t>
  </si>
  <si>
    <t>03009318597</t>
  </si>
  <si>
    <t>Villa# 728, Street # 11, Road-4, Precinct-10A, Bahria Town Karachi</t>
  </si>
  <si>
    <t>HCFM-0518</t>
  </si>
  <si>
    <t>DR.SANTOSH KUMAR</t>
  </si>
  <si>
    <t>drsantoshpamnani@gmail.com</t>
  </si>
  <si>
    <t>03212014843</t>
  </si>
  <si>
    <t>Appt # 91, Tower 22, Precinct- 19, Bahria Town Karachi</t>
  </si>
  <si>
    <t>HCFM-0519</t>
  </si>
  <si>
    <t>DR.NAZEER HUSSAIN KALHORO</t>
  </si>
  <si>
    <t>drnazeerhussain@hotmail.com</t>
  </si>
  <si>
    <t>03114605474</t>
  </si>
  <si>
    <t>Villa# 756, Street 23 , Precinct- 01, Bahria Town Karachi</t>
  </si>
  <si>
    <t>HCFM-0520</t>
  </si>
  <si>
    <t>MR.NIZAM UDDIN NIZAMANI</t>
  </si>
  <si>
    <t>nizambaloch@gmail.com</t>
  </si>
  <si>
    <t>03452220862</t>
  </si>
  <si>
    <t>Villa # 211, Street # 01, Precinct-11-A, Bahria Town Karachi</t>
  </si>
  <si>
    <t>HCFM-0521</t>
  </si>
  <si>
    <t>MR.HAFEEZ AHMED SIYAL</t>
  </si>
  <si>
    <t>hafeezsiyal09@gmail.com</t>
  </si>
  <si>
    <t>03008379253</t>
  </si>
  <si>
    <t>Villa#1990, Road-15, Precinct-12, Ali Block, Bahria Town Karchi</t>
  </si>
  <si>
    <t>HCFM-0522</t>
  </si>
  <si>
    <t>MR.IQBAL AHMED MALLAH</t>
  </si>
  <si>
    <t>Iqbalahmed.Mallah@hotmail.com</t>
  </si>
  <si>
    <t>03009249097</t>
  </si>
  <si>
    <t>Villa#1642, Loop Road,  Precinct  10-A, Bahria Town Karachi.</t>
  </si>
  <si>
    <t>HCFM-0523</t>
  </si>
  <si>
    <t>MR.KANYO LAL</t>
  </si>
  <si>
    <t>Kanyolal.Mandhwani@gmail.com</t>
  </si>
  <si>
    <t>03335414613</t>
  </si>
  <si>
    <t>Pent House # 02, 5th Floor Mustafa Arcade, SMCH- Block-A Karachi</t>
  </si>
  <si>
    <t>HCFM-0524</t>
  </si>
  <si>
    <t>MR.MANOJ KUMAR</t>
  </si>
  <si>
    <t>Mkvedani@gmil.com</t>
  </si>
  <si>
    <t>03332881142</t>
  </si>
  <si>
    <t>Appt # 96, Tower 08, Precinct - 19, Bahria Town Karachi</t>
  </si>
  <si>
    <t>HCFM-0525</t>
  </si>
  <si>
    <t>DR.SAJJAD AHMED SOLANGI</t>
  </si>
  <si>
    <t>Solangisajjad1977@gmail.com</t>
  </si>
  <si>
    <t>03272102384</t>
  </si>
  <si>
    <t>Villa # 230, Street # 03, Precinct - 10-A, Bahria Town Karachi</t>
  </si>
  <si>
    <t>HCFM-0526</t>
  </si>
  <si>
    <t>MR.MUIED AHMED DURRANI</t>
  </si>
  <si>
    <t>Muied@outlook.com</t>
  </si>
  <si>
    <t>03462885409</t>
  </si>
  <si>
    <t>Villa # 1012 , Street # 13 , Precinct-31 , Bahria Town Karachi</t>
  </si>
  <si>
    <t>HCFM-0527</t>
  </si>
  <si>
    <t>MR.SAEED AHMED</t>
  </si>
  <si>
    <t>Sanoorhafsa123@gmail.com</t>
  </si>
  <si>
    <t>03212112153</t>
  </si>
  <si>
    <t>Villa # 05, Street # 31, Precinct-35, Sportcity, Bahria Town Karachi</t>
  </si>
  <si>
    <t>HCFM-0528</t>
  </si>
  <si>
    <t>MR.VIKASH KUMAR</t>
  </si>
  <si>
    <t>Kokrejavicky@yhoo.com</t>
  </si>
  <si>
    <t>03333647747</t>
  </si>
  <si>
    <t>Villa # 604, Street # 12, Precinct-11-A, Bahria Town Karachi</t>
  </si>
  <si>
    <t>HCFM-0529</t>
  </si>
  <si>
    <t>DR.UMER QAZI</t>
  </si>
  <si>
    <t>docuk1982@yahoo.com</t>
  </si>
  <si>
    <t>03361853609</t>
  </si>
  <si>
    <t>HCFM-0530</t>
  </si>
  <si>
    <t>MR.MUHAMMAD HANIF</t>
  </si>
  <si>
    <t>haneef_pk@hotmail.com</t>
  </si>
  <si>
    <t>Villa# 105, Loop Road, Precinct-06, Bahria Town Karachi</t>
  </si>
  <si>
    <t>HCFM-0532</t>
  </si>
  <si>
    <t>MR.KHALID JAVED</t>
  </si>
  <si>
    <t>khalid.javed@omsltd.net</t>
  </si>
  <si>
    <t>03458437686</t>
  </si>
  <si>
    <t>Villa# 1575, Street # 23, Precinct-08, Bahria Town Karachi</t>
  </si>
  <si>
    <t>HCFM-0533</t>
  </si>
  <si>
    <t>MR.ZULQARNAIN</t>
  </si>
  <si>
    <t>zulqarnainhabib@gmail.com</t>
  </si>
  <si>
    <t>Villa # 594, Street # 19, Precinct # 01, Bahria Town Karachi</t>
  </si>
  <si>
    <t>HCFM-0534</t>
  </si>
  <si>
    <t>MR.PIR MUJEEB JAN SARHANDI</t>
  </si>
  <si>
    <t>hamzajan1996@hotmail.com</t>
  </si>
  <si>
    <t>03003029453</t>
  </si>
  <si>
    <t>Appt # 118, 5th Floor, Tower# 15, Bahria Town Karachi</t>
  </si>
  <si>
    <t>HCFM-0535</t>
  </si>
  <si>
    <t>MR.MUHAMMAD ASIF</t>
  </si>
  <si>
    <t>03002901230</t>
  </si>
  <si>
    <t>Villa# 164, Precinct # 02, Quaid Block, Bahria Town Karachi</t>
  </si>
  <si>
    <t>HCFM-0536</t>
  </si>
  <si>
    <t>MR.ASHOK KUMAR</t>
  </si>
  <si>
    <t>arta_ashoka@hotmail.com</t>
  </si>
  <si>
    <t>03332638079</t>
  </si>
  <si>
    <t>Quaid Villa # 141, Street # 4, Precinct # 02, Bahria Town Karachi</t>
  </si>
  <si>
    <t>HCFM-0537</t>
  </si>
  <si>
    <t>MR.TARIQ SALEEM</t>
  </si>
  <si>
    <t>Tariqalvi846@gmail.com</t>
  </si>
  <si>
    <t>Appt # 106, 5th Floor , Tower# 06, Precinct-19, Bahria Town Karachi</t>
  </si>
  <si>
    <t>HCFM-0538</t>
  </si>
  <si>
    <t>MR.MUHAMMAD ZAIN</t>
  </si>
  <si>
    <t>03212106668</t>
  </si>
  <si>
    <t>Villa# 0236, Street 06, Precinct #02, Quaid Block, Bahria Town Karachi</t>
  </si>
  <si>
    <t>HCFM-0539</t>
  </si>
  <si>
    <t>MR.QAMARUZZAMAN</t>
  </si>
  <si>
    <t>Qamar@ezzaintl.com</t>
  </si>
  <si>
    <t>03008269322</t>
  </si>
  <si>
    <t xml:space="preserve"> A2 3/30 Flat C4 , 3rd Floor , Nazimabad # 2 , Awan-e-Hashim ,  Karachi</t>
  </si>
  <si>
    <t>HCFM-0540</t>
  </si>
  <si>
    <t>MR.MUHAMMAD SALIQ SIDDIQUI</t>
  </si>
  <si>
    <t>ssiddiqi2@yahoo.com</t>
  </si>
  <si>
    <t>030021333997</t>
  </si>
  <si>
    <t>Dolmen Arcade, Block 3 , B.Y.J.C.H.S, Appt #609, Bahadurabad, Karachi</t>
  </si>
  <si>
    <t>HCFM-0541</t>
  </si>
  <si>
    <t>MR.SHAN ELAHI SEHGAL</t>
  </si>
  <si>
    <t>Shanelahisehgal@hotmail.com</t>
  </si>
  <si>
    <t>03367890911</t>
  </si>
  <si>
    <t>Villa# 1567, Precinct #10-A, Bahria Town Karachi</t>
  </si>
  <si>
    <t>HCFM-0542</t>
  </si>
  <si>
    <t>MR.HANIF AHSAN ZUBEDI</t>
  </si>
  <si>
    <t>Haneefahsan@hotmail.com</t>
  </si>
  <si>
    <t>03332624474</t>
  </si>
  <si>
    <t>Appt # 149, Tower # 24, Precinct-19, Bahria Town Karachi</t>
  </si>
  <si>
    <t>HCFM-0543</t>
  </si>
  <si>
    <t>MR.MUHAMMAD ATIF USMANI</t>
  </si>
  <si>
    <t>ma.usmani@live.com</t>
  </si>
  <si>
    <t>03009382539</t>
  </si>
  <si>
    <t>Quaid Villa # 184 , Street # 5 , Precinct -2 , Bahria Town Karachi</t>
  </si>
  <si>
    <t>HCFM-0544</t>
  </si>
  <si>
    <t>MR.MOHAMMAD ASHRAF SHAIKH</t>
  </si>
  <si>
    <t>ashrafsheikh@hotmail.com</t>
  </si>
  <si>
    <t>03332604818</t>
  </si>
  <si>
    <t>Villa# 712, Street # 22, Precinct # 04, Bahria Town Karachi</t>
  </si>
  <si>
    <t>HCFM-0546</t>
  </si>
  <si>
    <t>MR.ATHER TARIQ</t>
  </si>
  <si>
    <t>athar.tariq@logistics-leaders.com</t>
  </si>
  <si>
    <t>03232316561</t>
  </si>
  <si>
    <t>Appt # 55, Tower# 23, Precinct# 19, Bahria Town Karachi</t>
  </si>
  <si>
    <t>HCFM-0547</t>
  </si>
  <si>
    <t>MR.GOBIND RAM</t>
  </si>
  <si>
    <t>gobind.lund@nbp.com.pk</t>
  </si>
  <si>
    <t>03003300006</t>
  </si>
  <si>
    <t>Appt # 602, Paradise Residency, Ferere Town, Clifton Karachi</t>
  </si>
  <si>
    <t>HCFM-0548</t>
  </si>
  <si>
    <t>MR.ZAIN FAROOQ</t>
  </si>
  <si>
    <t>zainfarooq@hotmail.com</t>
  </si>
  <si>
    <t xml:space="preserve">Appt # 04 , Tower # 7 , Precinct 19 , Bahria Town Karachi </t>
  </si>
  <si>
    <t>HCFM-0549</t>
  </si>
  <si>
    <t>MR.WAQAR UDDIN</t>
  </si>
  <si>
    <t>sadaat_waqar@yahoo.com</t>
  </si>
  <si>
    <t>03333498034</t>
  </si>
  <si>
    <t>Quaid Villa # 107 , Street # 3 , Precicnt-2 , Bahria Town Karachi</t>
  </si>
  <si>
    <t>HCFM-0551</t>
  </si>
  <si>
    <t>MR.ASIF ALI</t>
  </si>
  <si>
    <t>03000910659</t>
  </si>
  <si>
    <t>Villa# 620, Road-06, Precinct-08, Bahria Town Karachi</t>
  </si>
  <si>
    <t>HCFM-0553</t>
  </si>
  <si>
    <t>MR.FAISAL MERCHANT</t>
  </si>
  <si>
    <t>faisalmerchant@yahoo.com</t>
  </si>
  <si>
    <t>03342467497</t>
  </si>
  <si>
    <t>Villa # 919, Street # 30 ,  Precinct -4 , Bahria Town Keachi</t>
  </si>
  <si>
    <t>HCFM-0554</t>
  </si>
  <si>
    <t>MR.IMRAN WAZEER</t>
  </si>
  <si>
    <t>imranwazeerpk@gmail.com</t>
  </si>
  <si>
    <t>03018383404</t>
  </si>
  <si>
    <t xml:space="preserve">Villa # 295 , Street # 5 , Precicnt -8 ,  Bahria Town Karachi </t>
  </si>
  <si>
    <t>HCFM-0556</t>
  </si>
  <si>
    <t>MR.SYED SALMAN RAZA</t>
  </si>
  <si>
    <t>03055555646</t>
  </si>
  <si>
    <t xml:space="preserve">Villa # 1008 , Road # 10 , Precinct 4 Bahria Town Karachi </t>
  </si>
  <si>
    <t>HCFM-0557</t>
  </si>
  <si>
    <t>MR.KHADIM HUSSAIN</t>
  </si>
  <si>
    <t>khadim2016@icloud.com</t>
  </si>
  <si>
    <t>03332124863</t>
  </si>
  <si>
    <t>Villa # 122 , Street # 3 , Precicnt -29 , Bahria Town Karachi</t>
  </si>
  <si>
    <t>HCFM-0558</t>
  </si>
  <si>
    <t>MUHAMMAD EBRAHIM TIWANA</t>
  </si>
  <si>
    <t>ebrahim.nsps@gmail.com</t>
  </si>
  <si>
    <t>03463308767</t>
  </si>
  <si>
    <t>Villa # 4032 , Road 1 , Precicnt # 1 , Bahria Town Karachi</t>
  </si>
  <si>
    <t>HCFM-0559</t>
  </si>
  <si>
    <t>MR.SYED HAMID SHAH</t>
  </si>
  <si>
    <t>03005006020</t>
  </si>
  <si>
    <t>Quaid Villa #122, Street # 3, Precinct-2, Bahria Town Karachi</t>
  </si>
  <si>
    <t>HCFM-0581</t>
  </si>
  <si>
    <t>Brig Dr Ghulam Mehdi (Retd)</t>
  </si>
  <si>
    <t>Mehdighulam1@gmail.com</t>
  </si>
  <si>
    <t>03214751278</t>
  </si>
  <si>
    <t>Quaid Villa # 150 , Street # 4 , Precicnt -2 , Bahria Town Karachi</t>
  </si>
  <si>
    <t>HCFM-0583</t>
  </si>
  <si>
    <t>MR.CAREL HEDRIK BURGER</t>
  </si>
  <si>
    <t>Callie.hendrik@btkarachi.com</t>
  </si>
  <si>
    <t>03458207222</t>
  </si>
  <si>
    <t>Villa # 03 , Street # 09, Precinct- 35, Sportcity, Bahria Town Karachi</t>
  </si>
  <si>
    <t>HCFM-0585</t>
  </si>
  <si>
    <t>DGM AMJAD ALI SHAIKH</t>
  </si>
  <si>
    <t>engr.amjadalishaikh@gmail.com</t>
  </si>
  <si>
    <t>03333851445</t>
  </si>
  <si>
    <t>Iqbal Villa # 866 , Street # 17 , Precicnt-2 Bahria Town Karachi</t>
  </si>
  <si>
    <t>HCFM-0586</t>
  </si>
  <si>
    <t>MR.SYED MURTAZA ALI</t>
  </si>
  <si>
    <t>mrtali@yahoo.com</t>
  </si>
  <si>
    <t>03312469273</t>
  </si>
  <si>
    <t xml:space="preserve">Villa # 1590 , Loop Road , Precicnt- 10 A , Bhaira Town Karachi </t>
  </si>
  <si>
    <t>HCFM-0587</t>
  </si>
  <si>
    <t>akbar_rao@yahoo.com</t>
  </si>
  <si>
    <t>03212220808</t>
  </si>
  <si>
    <t>Villa # 641 , Sector D , Askari 10 , Lahore Cantt</t>
  </si>
  <si>
    <t>HCFM-0588</t>
  </si>
  <si>
    <t>ZULFIQAR AHMED MEMON</t>
  </si>
  <si>
    <t>zulfitim@gmail.com</t>
  </si>
  <si>
    <t>03002347550</t>
  </si>
  <si>
    <t>Quaid Villa # 569 , Road # 2 , Precicnt -2 , Bahria Town Karachi</t>
  </si>
  <si>
    <t>HCFM-0589</t>
  </si>
  <si>
    <t>DGM.REHAN TARIQ</t>
  </si>
  <si>
    <t>rehan.tariq@btkarachi.com</t>
  </si>
  <si>
    <t>03003516987</t>
  </si>
  <si>
    <t>Villa # 828 , Street # 12 , Precicnt -10 A , Bahria Town Karachi</t>
  </si>
  <si>
    <t>HCFM-0590</t>
  </si>
  <si>
    <t>DGM.FAISAL AHMED</t>
  </si>
  <si>
    <t>faisal.ahmed@btkarachi.com</t>
  </si>
  <si>
    <t>Iqbal Villa # 822 , Strret # 17 , Precicnt -2 , Bahira Town Karachi</t>
  </si>
  <si>
    <t>HCFM-0591</t>
  </si>
  <si>
    <t>COL.AMIR RAZA</t>
  </si>
  <si>
    <t xml:space="preserve">amir.raza@bahriaadventureland.com </t>
  </si>
  <si>
    <t>03215880200</t>
  </si>
  <si>
    <t xml:space="preserve">Villa # 26 , Road 1 , Sportcity , Bahria Town Karachi </t>
  </si>
  <si>
    <t>HCFM-0593</t>
  </si>
  <si>
    <t>CAPT.HAMID UZ ZAFAR</t>
  </si>
  <si>
    <t>huzaffar@btkarachi.com</t>
  </si>
  <si>
    <t>03332394721</t>
  </si>
  <si>
    <t xml:space="preserve">H # 126-H  , Model Town , Lahore </t>
  </si>
  <si>
    <t>HCFM-0595</t>
  </si>
  <si>
    <t>BRIG.KHALID MEHMOOD</t>
  </si>
  <si>
    <t>HCFM-0596</t>
  </si>
  <si>
    <t>DGM AZFAR ALI</t>
  </si>
  <si>
    <t>azfar.ali@btkarachi.com</t>
  </si>
  <si>
    <t>Iqbal Villa # 863 , Street # 17 , Precicnt -2 , Bahria Town Karachi</t>
  </si>
  <si>
    <t>HCFM-0597</t>
  </si>
  <si>
    <t>GM GHULAM DASTAGEER</t>
  </si>
  <si>
    <t>g.dastageer@btkarachi.com</t>
  </si>
  <si>
    <t>HCFM-0598</t>
  </si>
  <si>
    <t>DGM FATIMA ZAHID</t>
  </si>
  <si>
    <t>fatima.zahid@btkarachi.com</t>
  </si>
  <si>
    <t>03455276997</t>
  </si>
  <si>
    <t>HCFM-0599</t>
  </si>
  <si>
    <t>CDR.RAZA REHMAN</t>
  </si>
  <si>
    <t>raza.rehman@btkarachi.com</t>
  </si>
  <si>
    <t xml:space="preserve">Villa # 1197 , Street # 18 ,  Precicnt -8 , Bhaira Town Karachi </t>
  </si>
  <si>
    <t>HCFM-0600</t>
  </si>
  <si>
    <t>DR.FAKHRUNISSA WAHEED</t>
  </si>
  <si>
    <t>drfakhrunisa@gmail.com</t>
  </si>
  <si>
    <t>03002666888</t>
  </si>
  <si>
    <t xml:space="preserve">Villa # 354 , Street # 8 , Quaid Block , Bahria Town Karachi </t>
  </si>
  <si>
    <t>HCFM-0601</t>
  </si>
  <si>
    <t>GM HAROON RASHEED</t>
  </si>
  <si>
    <t>haroonrasheedbahria@gmail.com</t>
  </si>
  <si>
    <t>03332167222</t>
  </si>
  <si>
    <t>Quaid Villa # 437 , Road -01 , Precinct # 02 , Bahria Town Karachi</t>
  </si>
  <si>
    <t>HCFM-0602</t>
  </si>
  <si>
    <t>GM IRAM HAIDER MANGI</t>
  </si>
  <si>
    <t>mangi.haider@gmail.com</t>
  </si>
  <si>
    <t>03048338024</t>
  </si>
  <si>
    <t>Quaid Villa # 558, Road -02 , Precinct -02 , Bahria Town Karachi</t>
  </si>
  <si>
    <t>HCFM-0604</t>
  </si>
  <si>
    <t>GM YASIR HUSSAIN</t>
  </si>
  <si>
    <t>yasir.hussain@bitcon.com</t>
  </si>
  <si>
    <t>Quaid Villa # 522, Quaid Block , Bahria Town Karachi</t>
  </si>
  <si>
    <t>HCFM-0663</t>
  </si>
  <si>
    <t>CAPT.ZAHID AWAN</t>
  </si>
  <si>
    <t>zahid.awan@btkarachi.com</t>
  </si>
  <si>
    <t xml:space="preserve">H # D-27 , Street # B-50 , NHS Phase 4 , Karsaz , Karachi </t>
  </si>
  <si>
    <t>HCFM-0605</t>
  </si>
  <si>
    <t>DR.QURATULAIN RAZI</t>
  </si>
  <si>
    <t>docburni@gmail.com</t>
  </si>
  <si>
    <t>Quaid Villa # 518, Street# 10-B, Precinct- 02, Bahria Town Karachi</t>
  </si>
  <si>
    <t>HCFM-0606</t>
  </si>
  <si>
    <t>DR.FAREYA</t>
  </si>
  <si>
    <t xml:space="preserve">M 21/1/1 , Phase-7 , Ittehad DHA </t>
  </si>
  <si>
    <t>HCFM-0607</t>
  </si>
  <si>
    <t>zia.khan@btkarachi.com</t>
  </si>
  <si>
    <t xml:space="preserve">SUH 425 , Street # 4 , Sector-B , Askari 5 , Malir Cant , Karachi </t>
  </si>
  <si>
    <t>HCFM-0608</t>
  </si>
  <si>
    <t>yaqoob.awan@btkarachi.com</t>
  </si>
  <si>
    <t xml:space="preserve">Quaid Villa # 551 , Road -2 , Precicnt # 2 , Bahria Town Karachi </t>
  </si>
  <si>
    <t>HCFM-0609</t>
  </si>
  <si>
    <t>DR.NASEEM MUNSHI</t>
  </si>
  <si>
    <t>naseemmunshi@hotmail.com</t>
  </si>
  <si>
    <t>Date</t>
  </si>
  <si>
    <t>Bowling Alley</t>
  </si>
  <si>
    <t>Family Pool</t>
  </si>
  <si>
    <t>Squash Court</t>
  </si>
  <si>
    <t>Ladies Pool</t>
  </si>
  <si>
    <t>Amusement Arcade</t>
  </si>
  <si>
    <t>Cinema</t>
  </si>
  <si>
    <t>Cigar Lounge</t>
  </si>
  <si>
    <t>Pool Lockers</t>
  </si>
  <si>
    <t>SPA</t>
  </si>
  <si>
    <t>NAME</t>
  </si>
  <si>
    <t>HCFM-0642</t>
  </si>
  <si>
    <t>HCFM-0641</t>
  </si>
  <si>
    <t>HCFM-0639</t>
  </si>
  <si>
    <t>HCFM-0650</t>
  </si>
  <si>
    <t>HCFM-0640</t>
  </si>
  <si>
    <t>HCFM-0644</t>
  </si>
  <si>
    <t>HUSSAIN WAJID</t>
  </si>
  <si>
    <t>MUKHTIAR AHMED SHAR</t>
  </si>
  <si>
    <t>ASIF ASHFAQ</t>
  </si>
  <si>
    <t>SABA AHSAN</t>
  </si>
  <si>
    <t>HCFM-0647</t>
  </si>
  <si>
    <t>IMRAN AHMED</t>
  </si>
  <si>
    <t>HCFM-0648</t>
  </si>
  <si>
    <t>AYSM MIRZA</t>
  </si>
  <si>
    <t>IFTIKHAR SHAH</t>
  </si>
  <si>
    <t>HCFM-0649</t>
  </si>
  <si>
    <t>KHURRAM FIRDOUS</t>
  </si>
  <si>
    <t>HCFM-0638</t>
  </si>
  <si>
    <t>RIAZ FAZAL</t>
  </si>
  <si>
    <t>AAMIR RASOOL</t>
  </si>
  <si>
    <t>HCFM-0645</t>
  </si>
  <si>
    <t>MUNEER AHMED</t>
  </si>
  <si>
    <t>HCFM-0646</t>
  </si>
  <si>
    <t>BAHRIA INTERNATIONAL HOSPITAL</t>
  </si>
  <si>
    <t>DUE DATE</t>
  </si>
  <si>
    <t>FIXED CHARGES</t>
  </si>
  <si>
    <t>SPORTS SUBSCRIPTION</t>
  </si>
  <si>
    <t>USAGE CHARGES</t>
  </si>
  <si>
    <t>BOWLING ALLEY</t>
  </si>
  <si>
    <t>SQUASH COURT</t>
  </si>
  <si>
    <t>CINEMA</t>
  </si>
  <si>
    <t>SUB TOTAL</t>
  </si>
  <si>
    <t xml:space="preserve">SERVICES TAX (SST)    </t>
  </si>
  <si>
    <t>TOTAL USAGE CHARGES INCLUDING SST</t>
  </si>
  <si>
    <t>MINIMUM CHARGE FOR THE CURRENT HALF YEAR (FYI)</t>
  </si>
  <si>
    <t>USAGE CHARGE FOR THE CURRENT HALF YEAR (FYI)</t>
  </si>
  <si>
    <t>REMAINING CHARGE FOR THE CURRENT HALF YEAR (FYI)</t>
  </si>
  <si>
    <t>HERITAGE CLUB</t>
  </si>
  <si>
    <t>FOOD &amp; BEVERAGES</t>
  </si>
  <si>
    <t>GYM</t>
  </si>
  <si>
    <t>Monthly sub</t>
  </si>
  <si>
    <t>AMOUNT</t>
  </si>
  <si>
    <t>REMAINING MANDATORY DINE IN CHARGE</t>
  </si>
  <si>
    <t>SUMMARY</t>
  </si>
  <si>
    <t>maszone1980@gmail.com</t>
  </si>
  <si>
    <t>HCFM-0656</t>
  </si>
  <si>
    <t>ZAIB UR REHMAN</t>
  </si>
  <si>
    <t>HCFM-0655</t>
  </si>
  <si>
    <t>HCFM-0653</t>
  </si>
  <si>
    <t>AMEER MUHAMMAD</t>
  </si>
  <si>
    <t>SADDAM HUSSAIN</t>
  </si>
  <si>
    <t>HCFM-0652</t>
  </si>
  <si>
    <t>Dr. AZAD ALI</t>
  </si>
  <si>
    <t>HCFM-0657</t>
  </si>
  <si>
    <t>NASIR ABBAS</t>
  </si>
  <si>
    <t>HCFM-0651</t>
  </si>
  <si>
    <t>ALI LEGHARI</t>
  </si>
  <si>
    <t>HCFM-0654</t>
  </si>
  <si>
    <t>SYED JIBRAN MUSHTAQ</t>
  </si>
  <si>
    <t>HCFM-0658</t>
  </si>
  <si>
    <t>MUSHTAQ AHMED MEMON</t>
  </si>
  <si>
    <t>Vanue Charges</t>
  </si>
  <si>
    <t>MEMBERSHIP ID</t>
  </si>
  <si>
    <t>DATE</t>
  </si>
  <si>
    <t>QTY.</t>
  </si>
  <si>
    <t>FOOD ORDER</t>
  </si>
  <si>
    <t>PLAIN NAAN</t>
  </si>
  <si>
    <t>MINERAL WATER LARGE</t>
  </si>
  <si>
    <t>RAITA</t>
  </si>
  <si>
    <t>SOFT DRINKS</t>
  </si>
  <si>
    <t>ROGHNI NAAN</t>
  </si>
  <si>
    <t>APPLE JUICE</t>
  </si>
  <si>
    <t>SGM MUHAMMAD YAQOOB</t>
  </si>
  <si>
    <t>HCFM-0603</t>
  </si>
  <si>
    <t>GINGER COOKIES</t>
  </si>
  <si>
    <t>HCFM-0661</t>
  </si>
  <si>
    <t>Heritage club</t>
  </si>
  <si>
    <t>CHOCOLATE COOKIES</t>
  </si>
  <si>
    <t>STRAWBERRY CHEESE PASTRY</t>
  </si>
  <si>
    <t>RED VELVET PASTRY</t>
  </si>
  <si>
    <t xml:space="preserve">ARSLAN KHAN ABRO </t>
  </si>
  <si>
    <t>HCFM-0659</t>
  </si>
  <si>
    <t>CHOCOLATE SHAKE</t>
  </si>
  <si>
    <t>FAMILY POOL</t>
  </si>
  <si>
    <t>LADIES POOL</t>
  </si>
  <si>
    <t xml:space="preserve">TOTAL DUE    </t>
  </si>
  <si>
    <t>ARREARS</t>
  </si>
  <si>
    <t>TOTAL AMOUNT AFTER DUE DATE</t>
  </si>
  <si>
    <t>AMOUNT BEFORE DUE DATE</t>
  </si>
  <si>
    <t>AMOUNT AFTER DUE DATE</t>
  </si>
  <si>
    <t>DIR. ZIA UR REHMAN KHAN</t>
  </si>
  <si>
    <t>Sr. Number</t>
  </si>
  <si>
    <t>CUST_CODE</t>
  </si>
  <si>
    <t>BUYER_CODE</t>
  </si>
  <si>
    <t>BUYER_NAME</t>
  </si>
  <si>
    <t>BUYER_ADDRESS</t>
  </si>
  <si>
    <t>BUYER_EMAIL</t>
  </si>
  <si>
    <t>BUYER_TELEPHONE</t>
  </si>
  <si>
    <t>BUYER_MOBILE</t>
  </si>
  <si>
    <t>COMPANY_REGION</t>
  </si>
  <si>
    <t>LAST_CHANGE_USER</t>
  </si>
  <si>
    <t>LAST_CHANGE_DATE</t>
  </si>
  <si>
    <t>STATUS</t>
  </si>
  <si>
    <t>REGION_CODE</t>
  </si>
  <si>
    <t>CLASS</t>
  </si>
  <si>
    <t>PROGRAM</t>
  </si>
  <si>
    <t>VOUCHER_NO</t>
  </si>
  <si>
    <t>FEE_PERIOD_FROM</t>
  </si>
  <si>
    <t>FEE_PERIOD_TO</t>
  </si>
  <si>
    <t>ISSUE_DATE</t>
  </si>
  <si>
    <t>DUE_DATE</t>
  </si>
  <si>
    <t>VALIDITY_DATE</t>
  </si>
  <si>
    <t>VALUE_DATE</t>
  </si>
  <si>
    <t>AMOUNT_BEFORE_DUE</t>
  </si>
  <si>
    <t>AMOUNT_AFTER_DUE</t>
  </si>
  <si>
    <t>AMOUNT_PAID</t>
  </si>
  <si>
    <t>PAYMENT DATE</t>
  </si>
  <si>
    <t>OUTSTANDING</t>
  </si>
  <si>
    <t>MISC DETAIL 4</t>
  </si>
  <si>
    <t>MISC DETAIL 5</t>
  </si>
  <si>
    <t>PLHRPLHCC</t>
  </si>
  <si>
    <t>A</t>
  </si>
  <si>
    <t>COL. AKBER RAO</t>
  </si>
  <si>
    <t>PRAWN MASALA</t>
  </si>
  <si>
    <t>PLAIN FRIES</t>
  </si>
  <si>
    <t>MIX TEA</t>
  </si>
  <si>
    <t>MINERAL WATER SMALL</t>
  </si>
  <si>
    <t>CLUB SANDWICH</t>
  </si>
  <si>
    <t>BEEF BOTI</t>
  </si>
  <si>
    <t>MINT LEMONADE</t>
  </si>
  <si>
    <t>FISH N CHIPS</t>
  </si>
  <si>
    <t>GARLIC NAAN</t>
  </si>
  <si>
    <t xml:space="preserve">HERITAGE CLUB </t>
  </si>
  <si>
    <t>ZEERA RICE</t>
  </si>
  <si>
    <t>AGAVE NECTAR</t>
  </si>
  <si>
    <t>ALMOND CAKE</t>
  </si>
  <si>
    <t>ALMOND COOKIES</t>
  </si>
  <si>
    <t>ALOO SAMOSA</t>
  </si>
  <si>
    <t>AMERICAN ALMOND BROWNE</t>
  </si>
  <si>
    <t>APPLE PIE</t>
  </si>
  <si>
    <t>APPLE PIE HOT SAUCE</t>
  </si>
  <si>
    <t>APTICOT PUDDING</t>
  </si>
  <si>
    <t>ASSORTED COOKIES</t>
  </si>
  <si>
    <t>ASSORTED PASTRY</t>
  </si>
  <si>
    <t>BANTI COOKIES</t>
  </si>
  <si>
    <t>BASBOUSA</t>
  </si>
  <si>
    <t>BEEF BURGER</t>
  </si>
  <si>
    <t>BEEF LASAGNA</t>
  </si>
  <si>
    <t>BEEF NIHARI</t>
  </si>
  <si>
    <t>BEEF SEEKH KABAB</t>
  </si>
  <si>
    <t>BLACK FOREST</t>
  </si>
  <si>
    <t>BLACK FOREST CAKE</t>
  </si>
  <si>
    <t>BLACK FOREST PASTRY</t>
  </si>
  <si>
    <t>BLACK LABEL DOUBLE</t>
  </si>
  <si>
    <t>BLACK TEA</t>
  </si>
  <si>
    <t>BLUE BERRY CHEESE CAKE</t>
  </si>
  <si>
    <t>BLUEBERRY CHEESE PASTRY</t>
  </si>
  <si>
    <t>BOMBAY CAKE</t>
  </si>
  <si>
    <t>BREAK FAST</t>
  </si>
  <si>
    <t>BROWN BREAD</t>
  </si>
  <si>
    <t>BROWNE</t>
  </si>
  <si>
    <t>BUFFET BRUNCH KIDS</t>
  </si>
  <si>
    <t>BUN</t>
  </si>
  <si>
    <t>BUTTER CHICKEN</t>
  </si>
  <si>
    <t>BUTTER NAAN</t>
  </si>
  <si>
    <t>CAKE PLATE</t>
  </si>
  <si>
    <t>CHEESE NAAN</t>
  </si>
  <si>
    <t>CHILI DRY RICE</t>
  </si>
  <si>
    <t>CHIP COOKIES</t>
  </si>
  <si>
    <t>CHOCOLATE</t>
  </si>
  <si>
    <t>CHOCOLATE BISCUIT</t>
  </si>
  <si>
    <t>CHOCOLATE FUDGE CAKE</t>
  </si>
  <si>
    <t>CHOCOLATE MOUSSE</t>
  </si>
  <si>
    <t>CHOCOLATE PASTRY</t>
  </si>
  <si>
    <t>CIGAR</t>
  </si>
  <si>
    <t>COCONUT COOKIES</t>
  </si>
  <si>
    <t>COLD COFFEE</t>
  </si>
  <si>
    <t>COLESLAW</t>
  </si>
  <si>
    <t>COVER CHARGES</t>
  </si>
  <si>
    <t>CROISSANT ROLL</t>
  </si>
  <si>
    <t>DAIRY MILK CAKE</t>
  </si>
  <si>
    <t>DAL</t>
  </si>
  <si>
    <t>DANISH PASTRY</t>
  </si>
  <si>
    <t>DARK DELIGHT</t>
  </si>
  <si>
    <t>DARK DELISH</t>
  </si>
  <si>
    <t>DOUGHNUTS</t>
  </si>
  <si>
    <t>DRY BEEF CHILLI</t>
  </si>
  <si>
    <t>EGG FRIED RICE</t>
  </si>
  <si>
    <t>FISH GREEN MASALA</t>
  </si>
  <si>
    <t>FRIES</t>
  </si>
  <si>
    <t>FRUIT CAKE</t>
  </si>
  <si>
    <t>FRUIT CAKE 2 POUND</t>
  </si>
  <si>
    <t>FUDGE BROWNE</t>
  </si>
  <si>
    <t>FUDGE PASTRY</t>
  </si>
  <si>
    <t>GERMAN ROULADEN</t>
  </si>
  <si>
    <t>GRAPE BLISS</t>
  </si>
  <si>
    <t>GREEN OF MASHROOMS</t>
  </si>
  <si>
    <t>GREEN TEA</t>
  </si>
  <si>
    <t>HARI MIRCH MASALA</t>
  </si>
  <si>
    <t>HC SPECIAL BURGER</t>
  </si>
  <si>
    <t>HEINKEN BEER</t>
  </si>
  <si>
    <t>HOT COFFEE</t>
  </si>
  <si>
    <t>J DANIEL DOUBLE</t>
  </si>
  <si>
    <t>J DANIEL SINGLE</t>
  </si>
  <si>
    <t>JAM COOKIES</t>
  </si>
  <si>
    <t>JELLY PUDDING SLICE</t>
  </si>
  <si>
    <t>KABULI PULAO</t>
  </si>
  <si>
    <t>KITKAT CAKE</t>
  </si>
  <si>
    <t>KUNAFA</t>
  </si>
  <si>
    <t>LASSI</t>
  </si>
  <si>
    <t>LATTE COFFEE</t>
  </si>
  <si>
    <t>LEMON SOUFFLE</t>
  </si>
  <si>
    <t>LEMON TART</t>
  </si>
  <si>
    <t>LOTUS CAKE</t>
  </si>
  <si>
    <t>LOTUS PASTRY</t>
  </si>
  <si>
    <t>MALT BREW</t>
  </si>
  <si>
    <t>MARBLE COOKIES</t>
  </si>
  <si>
    <t>MEDIUM PRAWN</t>
  </si>
  <si>
    <t>MILK SHAKE</t>
  </si>
  <si>
    <t>MINI SAMOSA</t>
  </si>
  <si>
    <t>MIX NIMCO</t>
  </si>
  <si>
    <t>MOCHO JAWA</t>
  </si>
  <si>
    <t>MUTTON AGRA KARAHI</t>
  </si>
  <si>
    <t>MUTTON BIRYANI</t>
  </si>
  <si>
    <t>MUTTON PULAO</t>
  </si>
  <si>
    <t>ORANGE JUICE</t>
  </si>
  <si>
    <t>OREO CAKE</t>
  </si>
  <si>
    <t>OREO PASTRY</t>
  </si>
  <si>
    <t>PASTA</t>
  </si>
  <si>
    <t>PEG BALLANTINES SINGLE</t>
  </si>
  <si>
    <t>PEPPER STEAK</t>
  </si>
  <si>
    <t>PINA COLADA</t>
  </si>
  <si>
    <t>PINEAPPLE</t>
  </si>
  <si>
    <t>PINEAPPLE CAKE</t>
  </si>
  <si>
    <t>PINEAPPLE JUICE</t>
  </si>
  <si>
    <t>PINEAPPLE PASTRY</t>
  </si>
  <si>
    <t>PLAIN CAKE</t>
  </si>
  <si>
    <t>PLAIN CAKE 2 POUND</t>
  </si>
  <si>
    <t>PLAIN COOKIES</t>
  </si>
  <si>
    <t>PLATER AFTAR</t>
  </si>
  <si>
    <t>POTATO CUTTLETS</t>
  </si>
  <si>
    <t>RAISIN COOKIES</t>
  </si>
  <si>
    <t>RED VELVET CAKE</t>
  </si>
  <si>
    <t>RUSSIAN SALAD</t>
  </si>
  <si>
    <t>SHRIMP COCTAIL</t>
  </si>
  <si>
    <t>SODA</t>
  </si>
  <si>
    <t>SODA WATER</t>
  </si>
  <si>
    <t>SOUFFLE</t>
  </si>
  <si>
    <t>STRAWBERRY CHEESE CAKE</t>
  </si>
  <si>
    <t>TANDOORI PARATHA</t>
  </si>
  <si>
    <t>TAWA PARATHA</t>
  </si>
  <si>
    <t>THREE MILK CAKE</t>
  </si>
  <si>
    <t>TIRAMISU</t>
  </si>
  <si>
    <t>TIRAMISU CAKE</t>
  </si>
  <si>
    <t>VEGETABLES PATTIES</t>
  </si>
  <si>
    <t>VODKA SINGLE</t>
  </si>
  <si>
    <t>WHITE POP CORNS</t>
  </si>
  <si>
    <t>WONTON SOUP</t>
  </si>
  <si>
    <t>YOUGART TART</t>
  </si>
  <si>
    <t>ZEERA COOKIES</t>
  </si>
  <si>
    <t>ZINGER BURGER</t>
  </si>
  <si>
    <t>PLAIN POPCORN</t>
  </si>
  <si>
    <t>BUFFET LUNCH</t>
  </si>
  <si>
    <t>DAIRY MILK PASTRY</t>
  </si>
  <si>
    <t>ENTRY</t>
  </si>
  <si>
    <t>FISH</t>
  </si>
  <si>
    <t>MEXICON FRIED FISH</t>
  </si>
  <si>
    <t>TEA</t>
  </si>
  <si>
    <t>SUNDAY BRUNCH</t>
  </si>
  <si>
    <t>EID BUFFET</t>
  </si>
  <si>
    <t>BLACK COFFEE</t>
  </si>
  <si>
    <t>FRIED PRAWN</t>
  </si>
  <si>
    <t>BLACK LABEL SINGLE</t>
  </si>
  <si>
    <t>MURREE BEER</t>
  </si>
  <si>
    <t>MARLBORO</t>
  </si>
  <si>
    <t>HCFM-0665</t>
  </si>
  <si>
    <t xml:space="preserve">JAM FEROZ </t>
  </si>
  <si>
    <t>HCFM-0664</t>
  </si>
  <si>
    <t>SHAHBAZ AHMED</t>
  </si>
  <si>
    <t>KAZI NAZEER AHMED</t>
  </si>
  <si>
    <t>HOT N SOUR SOUP</t>
  </si>
  <si>
    <t>PEG VODKA SINGLE</t>
  </si>
  <si>
    <t>PEG VODKA DOUBLE</t>
  </si>
  <si>
    <t>GREY GROOSE VODKA SINGLE</t>
  </si>
  <si>
    <t>GREY GROOSE VODKA DOUBLE</t>
  </si>
  <si>
    <t>MIX KHEER</t>
  </si>
  <si>
    <t>SUNDAY BRUNCH KIDS</t>
  </si>
  <si>
    <t>CHOCOLATE ECLAIR</t>
  </si>
  <si>
    <t>TIL MIL JHENGA</t>
  </si>
  <si>
    <t>HOT GARLIC PRAWNS</t>
  </si>
  <si>
    <t>COOKIES PLATE</t>
  </si>
  <si>
    <t>CREAM OF MASHROOM SOUP</t>
  </si>
  <si>
    <t>CREAM BRULE</t>
  </si>
  <si>
    <t>CREAM CARAMEL</t>
  </si>
  <si>
    <t>FULL CREAM CARAMEL</t>
  </si>
  <si>
    <t>CHEESE CAKE</t>
  </si>
  <si>
    <t>PLAIN COOKIES 500GM</t>
  </si>
  <si>
    <t>JAM COOKIES 500GM</t>
  </si>
  <si>
    <t>LEMON COOKIES 500GM</t>
  </si>
  <si>
    <t>CHOCO CHOCI</t>
  </si>
  <si>
    <t>GRAND TOTAL</t>
  </si>
  <si>
    <t>UNPAID MBR</t>
  </si>
  <si>
    <t>PAID MEMBERS</t>
  </si>
  <si>
    <t>ibadexportsolution@gmail.com</t>
  </si>
  <si>
    <t>hussain@fmcbrake.com.pk</t>
  </si>
  <si>
    <t>alkarimmotors@hotmail.com</t>
  </si>
  <si>
    <t>asiftextile@hotmail.com</t>
  </si>
  <si>
    <t>aleenaahsan@hotmail.com</t>
  </si>
  <si>
    <t>engr.muneerkhan@gmail.com</t>
  </si>
  <si>
    <t>muhammad.ibrahim@btkhospital.com</t>
  </si>
  <si>
    <t>imail.1999@gmail.com</t>
  </si>
  <si>
    <t>asym1480@gmail.com</t>
  </si>
  <si>
    <t>iftikharshah54@yahoo.com</t>
  </si>
  <si>
    <t>Khurramchandiwala@gmail.com</t>
  </si>
  <si>
    <t>azadlashari.09@gmail.com</t>
  </si>
  <si>
    <t>ameer.mohammad@gbtrader.org</t>
  </si>
  <si>
    <t>jibrangilani@gmail.com</t>
  </si>
  <si>
    <t>schandio1624@gmail.com</t>
  </si>
  <si>
    <t>abumousa701@gmail.com</t>
  </si>
  <si>
    <t>nasir.abbas@nbp.com.pk</t>
  </si>
  <si>
    <t>a.amemon@yahoo.com</t>
  </si>
  <si>
    <t>abroarslan69@gmail.com</t>
  </si>
  <si>
    <t>LEFT MEMBERS DETAILS</t>
  </si>
  <si>
    <t>S.NO</t>
  </si>
  <si>
    <t>MBR ID</t>
  </si>
  <si>
    <t>MBR. NAME</t>
  </si>
  <si>
    <t>EMAIL ID</t>
  </si>
  <si>
    <t>CONTACT NUMBER</t>
  </si>
  <si>
    <t>ADDRESS</t>
  </si>
  <si>
    <t>LAST MONTH &amp; YEAR</t>
  </si>
  <si>
    <t>MARCH,2025</t>
  </si>
  <si>
    <t>BOIL EGG</t>
  </si>
  <si>
    <t>ASSORTED COOKIES 500GM</t>
  </si>
  <si>
    <t>SCRAMBLED EGG</t>
  </si>
  <si>
    <t>MASHROOM CHEESE OMELETTE</t>
  </si>
  <si>
    <t>ALMOND COOKIES 500GM</t>
  </si>
  <si>
    <t>SIMPLE CAKE</t>
  </si>
  <si>
    <t>CHICKEN SCHNITZEL</t>
  </si>
  <si>
    <t>THAI CASHEW NUT CHICKEN</t>
  </si>
  <si>
    <t>BROWN BREAD LOAF</t>
  </si>
  <si>
    <t>PANE CAKE</t>
  </si>
  <si>
    <t>MUTTON HANDI</t>
  </si>
  <si>
    <t>SEASONAL FRESH JUICE</t>
  </si>
  <si>
    <t>CHEESE PASTRY</t>
  </si>
  <si>
    <t>SCRAMBLED EGG WITH SAUSAGES</t>
  </si>
  <si>
    <t>SWEET N SOUR CHICKEN</t>
  </si>
  <si>
    <t>FRIED EGG WITH SALTED SPANICH</t>
  </si>
  <si>
    <t>PORIDGE</t>
  </si>
  <si>
    <t>YOGURT</t>
  </si>
  <si>
    <t>WATER MELON JUICE</t>
  </si>
  <si>
    <t>SEASONAL VEGETABLE MASALA</t>
  </si>
  <si>
    <t>HC SPECIAL DAAL MASALA</t>
  </si>
  <si>
    <t>MUTTON STEW</t>
  </si>
  <si>
    <t>MUGHLAI HANDI</t>
  </si>
  <si>
    <t>MURGH HARI MIRCH HANDI</t>
  </si>
  <si>
    <t>LAHORI KARAHI</t>
  </si>
  <si>
    <t>PESHAWARI KARAHI</t>
  </si>
  <si>
    <t>MAKHANI KARAHI</t>
  </si>
  <si>
    <t>THAI TAMARIND FISH</t>
  </si>
  <si>
    <t>CORNFLAKES WITH MILK</t>
  </si>
  <si>
    <t>PEANUT AND NIMCO</t>
  </si>
  <si>
    <t>BANANA SHAKE</t>
  </si>
  <si>
    <t>STRAWBERRY SHAKE</t>
  </si>
  <si>
    <t>FRUIT YOGURT</t>
  </si>
  <si>
    <t>BEEF IN OYSTER SOUCE</t>
  </si>
  <si>
    <t>VEGETABLES CUTTLETS</t>
  </si>
  <si>
    <t>MIX VEGETABLES</t>
  </si>
  <si>
    <t>HC SPECIAL MUTTON KARAHI</t>
  </si>
  <si>
    <t>VANUE CHARGES</t>
  </si>
  <si>
    <t>BLUE BERRY SMOOTHY</t>
  </si>
  <si>
    <t>MONTHLY SUBSCRIPTION</t>
  </si>
  <si>
    <t>AFTER DUE DATE OUTSTANDING</t>
  </si>
  <si>
    <t xml:space="preserve">TOTAL MEMBERS </t>
  </si>
  <si>
    <t>TOTAL BILLING AMOUNT</t>
  </si>
  <si>
    <t>RECOVERY</t>
  </si>
  <si>
    <t>TOTAL AMOUNT RECOVERD</t>
  </si>
  <si>
    <t xml:space="preserve">REMAINING AMOUNT </t>
  </si>
  <si>
    <t>LATE PAYMENT SURCHARGE</t>
  </si>
  <si>
    <t>TOTAL AMOUNT  Rs.</t>
  </si>
  <si>
    <r>
      <rPr>
        <b/>
        <sz val="12"/>
        <color rgb="FF0000FF"/>
        <rFont val="Times New Roman"/>
        <family val="1"/>
      </rPr>
      <t xml:space="preserve">BANK INFORMATION
</t>
    </r>
    <r>
      <rPr>
        <b/>
        <sz val="10"/>
        <rFont val="Times New Roman"/>
        <family val="1"/>
      </rPr>
      <t>A/C TITLE : PARKLANE HOTELS &amp; RESORTS PVT LTD HERITAGE CLUB 
BANK : UBL   A/C NO : 0339-310426415</t>
    </r>
  </si>
  <si>
    <t>HCFM-0666</t>
  </si>
  <si>
    <t>MR FAHAD MUMTAZ</t>
  </si>
  <si>
    <t xml:space="preserve">ADVANCED PAID </t>
  </si>
  <si>
    <t>HCFM-0</t>
  </si>
  <si>
    <t>PARTY CHARGES</t>
  </si>
  <si>
    <t>MEMBERS INFORMATION DATA BASE</t>
  </si>
  <si>
    <t>MBR Number</t>
  </si>
  <si>
    <t>S.n</t>
  </si>
  <si>
    <t>HCFM-0667</t>
  </si>
  <si>
    <t>HCFM-0668</t>
  </si>
  <si>
    <t>MR. FAYAZ ALI SOOMRO</t>
  </si>
  <si>
    <t>MR. KASHIF SAEED</t>
  </si>
  <si>
    <t>CHICKEN BIRYANI</t>
  </si>
  <si>
    <t>CHICKEN BURGER</t>
  </si>
  <si>
    <t>CHICKEN CREAM</t>
  </si>
  <si>
    <t>CHICKEN FINGER</t>
  </si>
  <si>
    <t>CHICKEN FRIED RICE</t>
  </si>
  <si>
    <t>CHICKEN HANDI</t>
  </si>
  <si>
    <t>CHICKEN JALFREZI</t>
  </si>
  <si>
    <t>CHICKEN KARAHI</t>
  </si>
  <si>
    <t>CHICKEN MANCHURIAN</t>
  </si>
  <si>
    <t>CHICKEN MASALA RICE</t>
  </si>
  <si>
    <t>CHICKEN PATTIES</t>
  </si>
  <si>
    <t>CHICKEN QUICHE</t>
  </si>
  <si>
    <t>CHICKEN SALAD</t>
  </si>
  <si>
    <t>CHICKEN SEEKH KABAB</t>
  </si>
  <si>
    <t>CHICKEN SHAHSLIK BBQ</t>
  </si>
  <si>
    <t>CHICKEN SHASHLIK</t>
  </si>
  <si>
    <t>CHICKEN SHASHLIK RICE</t>
  </si>
  <si>
    <t>CHICKEN STEAK</t>
  </si>
  <si>
    <t>CHICKEN WITH EGG FRIED RICE</t>
  </si>
  <si>
    <t>CHICKEN CHEESE BURGER</t>
  </si>
  <si>
    <t>CHICKEN CHOWMEIN</t>
  </si>
  <si>
    <t>MALAI BOTI</t>
  </si>
  <si>
    <t>MADRASI HANDI</t>
  </si>
  <si>
    <t>EGG SANDWICH</t>
  </si>
  <si>
    <t>LAM CHOPS</t>
  </si>
  <si>
    <t>THREE STORY HIGH</t>
  </si>
  <si>
    <t>ICE CREAM SINGLE SCOOP</t>
  </si>
  <si>
    <t>BEHARI BOTI</t>
  </si>
  <si>
    <t>FRESH GARDEN SALAD</t>
  </si>
  <si>
    <t>PADEL COURT</t>
  </si>
  <si>
    <t>HCFM-0545</t>
  </si>
  <si>
    <t>MR. HASAN KARIM</t>
  </si>
  <si>
    <t>hasan@nasraschool.edu.pk</t>
  </si>
  <si>
    <t>B/28, Block "C" North nazimabad, Hyderi.</t>
  </si>
  <si>
    <t>HC BUTTERFLY PRAWNS</t>
  </si>
  <si>
    <t>MALAYSIAN CHICKEN SATAY</t>
  </si>
  <si>
    <t>CHICKEN STRIPS</t>
  </si>
  <si>
    <t>PIZZA FRIES FULL</t>
  </si>
  <si>
    <t>PIZZA FRIES HALF</t>
  </si>
  <si>
    <t>BBQ LOADED FRIES HALF</t>
  </si>
  <si>
    <t>BBQ LOADED FRIES FULL</t>
  </si>
  <si>
    <t>HC SPECIAL CAESAR SALAD</t>
  </si>
  <si>
    <t>GREEK SALAD</t>
  </si>
  <si>
    <t>BLACKENED GRILLED PRAWN SALAD</t>
  </si>
  <si>
    <t>WAIKIKI SALAD</t>
  </si>
  <si>
    <t>AKBERI BOTI TIKKA</t>
  </si>
  <si>
    <t>AMBERI FISH TIKKA</t>
  </si>
  <si>
    <t>AMERICAN CHOPSUEY</t>
  </si>
  <si>
    <t>APPLE PIE ALA MODE</t>
  </si>
  <si>
    <t>BEN 10 NUGGETS 12 PCS</t>
  </si>
  <si>
    <t>BEN 10 NUGGETS 6 PCS</t>
  </si>
  <si>
    <t>BLACKENED GRILLED PRAWN</t>
  </si>
  <si>
    <t>BLT</t>
  </si>
  <si>
    <t>BLUE MAX BURGER</t>
  </si>
  <si>
    <t>BUFFET PARTY</t>
  </si>
  <si>
    <t xml:space="preserve"> FOR ASHOK KUMAR</t>
  </si>
  <si>
    <t>CAPPUCCINO COFFEE</t>
  </si>
  <si>
    <t>CHANDAN KABAB</t>
  </si>
  <si>
    <t>CHICKEN CAESAR SALAD</t>
  </si>
  <si>
    <t>CHICKEN KARAHI (RED/WHITE/GREEN)</t>
  </si>
  <si>
    <t>CHICKEN LOLLIPOP WINGS</t>
  </si>
  <si>
    <t>CHICKEN PESHAWARI KARAHI</t>
  </si>
  <si>
    <t>CHICKEN ROSTED OATS SOUP</t>
  </si>
  <si>
    <t>CHICKEN ROULADE</t>
  </si>
  <si>
    <t>CHICKEN SCHEZWAN</t>
  </si>
  <si>
    <t>CHICKEN TIKKA</t>
  </si>
  <si>
    <t>CHICKEN WINGS</t>
  </si>
  <si>
    <t>CHINESE CORN SOUP</t>
  </si>
  <si>
    <t>CHINESE SZECHUAN SOUP</t>
  </si>
  <si>
    <t>CINDERELLA'S DREAM</t>
  </si>
  <si>
    <t>CLASSIC TARRAGON</t>
  </si>
  <si>
    <t>COFFEE CAPPUCINO</t>
  </si>
  <si>
    <t>COLD SANDWICH</t>
  </si>
  <si>
    <t>COUPLE CAFE</t>
  </si>
  <si>
    <t>CREAM OF CHICKEN SOUP</t>
  </si>
  <si>
    <t>D FRESH COLADA</t>
  </si>
  <si>
    <t>DECAFFEINATED COFFEE</t>
  </si>
  <si>
    <t>DHAGA KABAB</t>
  </si>
  <si>
    <t>ESPRESSO COFFEE</t>
  </si>
  <si>
    <t>FETTUCINE ALFREDO</t>
  </si>
  <si>
    <t>FILLET MIGNON</t>
  </si>
  <si>
    <t>FINGER FISH N CHIPS</t>
  </si>
  <si>
    <t>FRESH FRUIT DAIQUIRI</t>
  </si>
  <si>
    <t>FRESH LEM</t>
  </si>
  <si>
    <t>FULL CHICKEN QUICHE</t>
  </si>
  <si>
    <t>GHOSHT E LAZIZ</t>
  </si>
  <si>
    <t>GOURMET BURGER</t>
  </si>
  <si>
    <t>GRILLED CHICKEN ROASTED</t>
  </si>
  <si>
    <t>GRILLED CHICKEN SANDWICH</t>
  </si>
  <si>
    <t>GRILLED CHICKEN WITH PINEAPPLE SAUCE</t>
  </si>
  <si>
    <t>GRILLED SANDWICH WITH FRIES</t>
  </si>
  <si>
    <t>HC SPECIAL BEEF</t>
  </si>
  <si>
    <t>HC SPECIAL CARAMEL PUDDING</t>
  </si>
  <si>
    <t>HC SPECIAL CHICKEN POPCORN</t>
  </si>
  <si>
    <t>HC SPECIAL DAAL MAKHNI</t>
  </si>
  <si>
    <t>HC SPECIAL FRIED RICE</t>
  </si>
  <si>
    <t>HC SPECIAL TIKKA</t>
  </si>
  <si>
    <t>HENCHI CANE BEER</t>
  </si>
  <si>
    <t>F</t>
  </si>
  <si>
    <t>ICE</t>
  </si>
  <si>
    <t>JASMINE TEA</t>
  </si>
  <si>
    <t>KACHUMBER SALAD</t>
  </si>
  <si>
    <t>KALONGI NAAN</t>
  </si>
  <si>
    <t>MAKHANI HANDI</t>
  </si>
  <si>
    <t>MAMA MIA BURGER</t>
  </si>
  <si>
    <t>MEDITERRANEAN GRILLED FISH</t>
  </si>
  <si>
    <t>MICKEY MOUSE BURGER</t>
  </si>
  <si>
    <t>MIX FRUIT SALAD</t>
  </si>
  <si>
    <t>MOCHA CHINO COFFEE</t>
  </si>
  <si>
    <t>MURGH MASALA BIRYANI FULL</t>
  </si>
  <si>
    <t>MURGH MASALA BIRYANI HALF</t>
  </si>
  <si>
    <t>MUTTON SHINWARI KARAHI</t>
  </si>
  <si>
    <t>NAWABI KABAB</t>
  </si>
  <si>
    <t>OREO SHAKE</t>
  </si>
  <si>
    <t>PANEER RESHMI HANDI</t>
  </si>
  <si>
    <t>PENNE ARABIATA</t>
  </si>
  <si>
    <t>PENNE CARBONARA</t>
  </si>
  <si>
    <t>PHILLY STEAK SANDWICH</t>
  </si>
  <si>
    <t>POACHED CHICKEN VEGETABLES</t>
  </si>
  <si>
    <t>PRAWN OREGANATA</t>
  </si>
  <si>
    <t>prown tempr</t>
  </si>
  <si>
    <t>PURI PARATHA</t>
  </si>
  <si>
    <t>RAJASTANI BOTI</t>
  </si>
  <si>
    <t>RESHMI BEEF SEEKH KABAB</t>
  </si>
  <si>
    <t>RESHMI SEEKH</t>
  </si>
  <si>
    <t>ROAST CHICKEN SANDWICH</t>
  </si>
  <si>
    <t>ROASTED TOMATO SOUP</t>
  </si>
  <si>
    <t>SEAFOOD ALA PINEAPPLE</t>
  </si>
  <si>
    <t>SEASONAL FRUIT SALAD</t>
  </si>
  <si>
    <t>SEPRATE RICE</t>
  </si>
  <si>
    <t>SHAHI KHEER</t>
  </si>
  <si>
    <t>SHAHJAHANI BIRYANI FULL</t>
  </si>
  <si>
    <t>SHAHJAHANI BIRYANI HALF</t>
  </si>
  <si>
    <t>SINGAPOREAN FRIED RICE</t>
  </si>
  <si>
    <t>SODA WATER CAN</t>
  </si>
  <si>
    <t>SOUTHERN FRIED FISH N CHIPS</t>
  </si>
  <si>
    <t>SPECIAL BREAST LEG TIKKA</t>
  </si>
  <si>
    <t>SPECIAL CHICKEN POPCORN</t>
  </si>
  <si>
    <t>SPICY HONEY CHICKEN WINGS</t>
  </si>
  <si>
    <t>SPICY THAI NOODLES</t>
  </si>
  <si>
    <t>TAMARIND FISH</t>
  </si>
  <si>
    <t>TENDERLOIN STEAK</t>
  </si>
  <si>
    <t>THAI BEEF STIR FRY</t>
  </si>
  <si>
    <t>THAI SESAME CHICKEN</t>
  </si>
  <si>
    <t>TURKISH KABAB</t>
  </si>
  <si>
    <t>VEGETABLE FRIED RICE</t>
  </si>
  <si>
    <t>VENAL CHARGE</t>
  </si>
  <si>
    <t>VIRGIN MOJITO</t>
  </si>
  <si>
    <t>WHITE RICE</t>
  </si>
  <si>
    <t>PEACH JUICE</t>
  </si>
  <si>
    <t>RESHMI SEEKH KABAB</t>
  </si>
  <si>
    <t>AMERICANO</t>
  </si>
  <si>
    <t>COFFEE CRUNCH CAKE</t>
  </si>
  <si>
    <t>COFFEE CRUNCH PASTRY</t>
  </si>
  <si>
    <t>FRIED EGG WITH SAUSAGES</t>
  </si>
  <si>
    <t>MURG HARYALI BOTI TIKKA</t>
  </si>
  <si>
    <t>PAKISTANI OMELETTE</t>
  </si>
  <si>
    <t>BEEF CHEESE BURGER</t>
  </si>
  <si>
    <t>CHINESE FRIED RICE</t>
  </si>
  <si>
    <t>ESPRESSO COFFEE DOUBLE</t>
  </si>
  <si>
    <t>PEACH MOJITO</t>
  </si>
  <si>
    <t>ICE CREAM DOUBLE SCOOP</t>
  </si>
  <si>
    <t>ICE CREAM TRIPLE SCOOP</t>
  </si>
  <si>
    <t>MANGO JUICE</t>
  </si>
  <si>
    <t>RED SNAPPER FISH</t>
  </si>
  <si>
    <t>TAMBOLA BUFFET</t>
  </si>
  <si>
    <t>GUEST BUFFET</t>
  </si>
  <si>
    <t>CHILD GUEST BUFFET</t>
  </si>
  <si>
    <t>TAMBOLA BUFFET KIDS</t>
  </si>
  <si>
    <t>LADIES SALON</t>
  </si>
  <si>
    <t>CHILDERN PLAY AREA</t>
  </si>
  <si>
    <t>WHITE BREAD LOAF</t>
  </si>
  <si>
    <t>CHIVAS SINGLE PEG</t>
  </si>
  <si>
    <t>SMIRNOFF VODKA SINGLE PEG</t>
  </si>
  <si>
    <t>SHISH TAOUK</t>
  </si>
  <si>
    <t>MINI CAKE</t>
  </si>
  <si>
    <t>LAWA CAKE</t>
  </si>
  <si>
    <t>ALOO PATTIES</t>
  </si>
  <si>
    <t>Detail of food &amp; BEVERAGES</t>
  </si>
  <si>
    <t>RED VINE</t>
  </si>
  <si>
    <t xml:space="preserve"> </t>
  </si>
  <si>
    <t>BLUE BERRY CHOCOLATE CAKE</t>
  </si>
  <si>
    <t>HCFM-0669</t>
  </si>
  <si>
    <t>HCFM-0670</t>
  </si>
  <si>
    <t>MR . SYED RAHAT HUSSAIN ZAIDI</t>
  </si>
  <si>
    <t>MR. TEHSEEN FAIZ</t>
  </si>
  <si>
    <t>DAM QEEMA</t>
  </si>
  <si>
    <t>HCFM-0671</t>
  </si>
  <si>
    <t>MRS. HASSAN RAFI</t>
  </si>
  <si>
    <t>MINI DOUGHNUTS</t>
  </si>
  <si>
    <t>CHICKEN PIE</t>
  </si>
  <si>
    <t>hammadasif801@gmail.com</t>
  </si>
  <si>
    <t>asifali.sbp@gmail.com</t>
  </si>
  <si>
    <t>hamid.forecast@gmail.com</t>
  </si>
  <si>
    <t>syed.rahat.hunain.zaidi@gmail.com</t>
  </si>
  <si>
    <t>miantehseenfaiz@gmail.com</t>
  </si>
  <si>
    <t>jamferoz@gmail.com</t>
  </si>
  <si>
    <t>shahbazahmedijaz88@gmail.com</t>
  </si>
  <si>
    <t>kznayz@gmail.com</t>
  </si>
  <si>
    <t>falisoomro@secmc.com.pk</t>
  </si>
  <si>
    <t>mksaeed79@hotmail.com</t>
  </si>
  <si>
    <t>zuraaco_z@gmail.com</t>
  </si>
  <si>
    <t>fareyausmani@gmail.com</t>
  </si>
  <si>
    <t>alileghari1994@gmail.com</t>
  </si>
  <si>
    <t>mukhtarshar@gmail.com</t>
  </si>
  <si>
    <t>salman4raza@msn.com</t>
  </si>
  <si>
    <t>1(301)370-4286</t>
  </si>
  <si>
    <t>CHOCO MOUSSE PASTRY</t>
  </si>
  <si>
    <t>VANILLA SLICE CAKE</t>
  </si>
  <si>
    <t>CHEESE OMELETTE</t>
  </si>
  <si>
    <t>DANHILL LIGHT</t>
  </si>
  <si>
    <t>APRIL,2025</t>
  </si>
  <si>
    <t>EVENTS</t>
  </si>
  <si>
    <t>ADVANCED PAYMENT</t>
  </si>
  <si>
    <t>HC Chambers</t>
  </si>
  <si>
    <t>BRIG DR. GHULAM MEHDI (Retd)</t>
  </si>
  <si>
    <t>khalid.mahmood@btkarachi.com</t>
  </si>
  <si>
    <t>GRAND TOTAL WITH OUT HERITAGE BILL</t>
  </si>
  <si>
    <t>TOTLA PAYMENT AFTER DUE DATE</t>
  </si>
  <si>
    <t>TOTAL CHARGE AFTER DUE DATE</t>
  </si>
  <si>
    <t>PREVIOUS ADVANCE AMOUNT</t>
  </si>
  <si>
    <t>THIS MONTH ADVANCE AMOUNT</t>
  </si>
  <si>
    <t>TOTAL DININ</t>
  </si>
  <si>
    <t>Mandatory Charges</t>
  </si>
  <si>
    <t>BUNTIES COOKIES</t>
  </si>
  <si>
    <t>BAKARKHANI</t>
  </si>
  <si>
    <t>CHOCOLATE JAM COOKIES</t>
  </si>
  <si>
    <t>DAAL MAKHANI</t>
  </si>
  <si>
    <t>REMAINING</t>
  </si>
  <si>
    <t>EID DINNER DAY 2</t>
  </si>
  <si>
    <t>KARELA COOKIES</t>
  </si>
  <si>
    <t>STEAMED FISH</t>
  </si>
  <si>
    <t>PRAWN TEMPURA</t>
  </si>
  <si>
    <t>NESTLE JUICE GLASS</t>
  </si>
  <si>
    <t>MURREE VODKA DOUBLE</t>
  </si>
  <si>
    <t>BUFFET PARTY PER HEAD</t>
  </si>
  <si>
    <t>JACK DANIEL FULL BOTTLE</t>
  </si>
  <si>
    <t>HC CHAMBER</t>
  </si>
  <si>
    <t>BALLANTINES SINGLE PEG</t>
  </si>
  <si>
    <t>HCFM-0672</t>
  </si>
  <si>
    <t>HCFM-0673</t>
  </si>
  <si>
    <t>HCFM-0674</t>
  </si>
  <si>
    <t>MRS RIFFAT ZULFIQAR</t>
  </si>
  <si>
    <t>MR. RAJESH KUMAR CHAWLA</t>
  </si>
  <si>
    <t>MR. AKSHAY RAJ</t>
  </si>
  <si>
    <t>FRIED CALAMARI</t>
  </si>
  <si>
    <t>MUTTON KARAHI (RED/WHITE/GREEN)</t>
  </si>
  <si>
    <t>CORKAGE</t>
  </si>
  <si>
    <t xml:space="preserve">BUFFET PARTY PER HEAD </t>
  </si>
  <si>
    <t>HCFM-0676</t>
  </si>
  <si>
    <t>MR. SAMEER MALIK</t>
  </si>
  <si>
    <t>4 POUND CAKE</t>
  </si>
  <si>
    <t xml:space="preserve">SUNDAY BRUNCH </t>
  </si>
  <si>
    <t xml:space="preserve">SUNDAY BRUNCH KIDS </t>
  </si>
  <si>
    <t>BREAK DOWN OF MANDATORY CHARGES</t>
  </si>
  <si>
    <t>HCFM-0677</t>
  </si>
  <si>
    <t>HCFM-0678</t>
  </si>
  <si>
    <t>MR. MUNAWAR HUSSAIN</t>
  </si>
  <si>
    <t>MR. AIJAZ ALI BALOCH</t>
  </si>
  <si>
    <t>HCFM-0679</t>
  </si>
  <si>
    <t>BAHRIA ADVENTURE LAND</t>
  </si>
  <si>
    <t>balochai@yahoo.com</t>
  </si>
  <si>
    <t>PARTY BUFFET DINNER</t>
  </si>
  <si>
    <t>MANGO CHUNSA 1KG</t>
  </si>
  <si>
    <t>MANGO FAJRI 1KG</t>
  </si>
  <si>
    <t>MANGO LAL BADSHAH 1KG</t>
  </si>
  <si>
    <t>MANGO COOLER</t>
  </si>
  <si>
    <t>MANGO ANWAR RATOL 1KG</t>
  </si>
  <si>
    <t>MANGO CHESSE CAKE</t>
  </si>
  <si>
    <t>CINNAMON ROLL</t>
  </si>
  <si>
    <t>LOTAS DOUGHNUT</t>
  </si>
  <si>
    <t>CUP CAKE MUFFIN</t>
  </si>
  <si>
    <t>GRILLED CHICKEN MASHROOM SAUCE</t>
  </si>
  <si>
    <t>FRUIT CAKE  2 POUND</t>
  </si>
  <si>
    <t>HCFM-0680</t>
  </si>
  <si>
    <t>HCFM-0681</t>
  </si>
  <si>
    <t>MR. ANEEL ZAHOOR</t>
  </si>
  <si>
    <t>PARTY BRUNCH</t>
  </si>
  <si>
    <t>DOUBLE BLACK LABEL BOTTLE</t>
  </si>
  <si>
    <t>BLUE SAFAIR VODKA DOUBLE PEG</t>
  </si>
  <si>
    <t xml:space="preserve">AUGUST </t>
  </si>
  <si>
    <t>SEPTEMBER</t>
  </si>
  <si>
    <t>JULY</t>
  </si>
  <si>
    <t>OCTUBER</t>
  </si>
  <si>
    <t xml:space="preserve">NOVEMBER </t>
  </si>
  <si>
    <t>550000 party amount135000</t>
  </si>
  <si>
    <t>HCFM-0682</t>
  </si>
  <si>
    <t>HCFM-0683</t>
  </si>
  <si>
    <t>HCFM-0684</t>
  </si>
  <si>
    <t>HCFM-0685</t>
  </si>
  <si>
    <t>MR. ZAHIR REHMAN</t>
  </si>
  <si>
    <t>MUTTON AFGHANI BOTI</t>
  </si>
  <si>
    <t>CHICKEN DYNAMITE</t>
  </si>
  <si>
    <t>QAWALI BUFFET DINNER</t>
  </si>
  <si>
    <t>QAWALI BUFFET DINNER CHILD</t>
  </si>
  <si>
    <t>MR. YASIR RASHEED</t>
  </si>
  <si>
    <t>QAWALI BUFFET DINNER GUEST</t>
  </si>
  <si>
    <t>BUFFET DINNER PARTY</t>
  </si>
  <si>
    <t>CHICKEN SHINWARI KARAHI</t>
  </si>
  <si>
    <t>PINEAPPLE CAKE 2 POUND</t>
  </si>
  <si>
    <t>BRUNCH WITHOUT BOOKING</t>
  </si>
  <si>
    <t>BRUNCH WITHOUT BOOKING KIDS</t>
  </si>
  <si>
    <t>TAMBOLA BUFFET DINNER</t>
  </si>
  <si>
    <t>TAMBOLA KIDS BUFFET</t>
  </si>
  <si>
    <t>MR. IKRAMULLAH</t>
  </si>
  <si>
    <t>MR. ZAMIR ALI SHAH</t>
  </si>
  <si>
    <t>MR. AYAZ JAMRO</t>
  </si>
  <si>
    <t>CHINESE VODKA DOUBLE PEG</t>
  </si>
  <si>
    <t>HCFM-0686</t>
  </si>
  <si>
    <t>HCFM-0687</t>
  </si>
  <si>
    <t xml:space="preserve">instalment plan </t>
  </si>
  <si>
    <t>MR. GHULAM MUSTAFA</t>
  </si>
  <si>
    <t>MR. KHURRAM SHAHZAD MEMON</t>
  </si>
  <si>
    <t>JULY,2025</t>
  </si>
  <si>
    <t>PAYABLE AMOUNT FOR THE MONTH OF OCTOBER</t>
  </si>
  <si>
    <t>15th NOVEMBER 2025</t>
  </si>
  <si>
    <t>BILL MONTH: OCTOBER  2025</t>
  </si>
  <si>
    <t>For the month of OCTOBER 2025</t>
  </si>
  <si>
    <t xml:space="preserve">HERITAGE CLUB
BAHRIA TOWN KARACHI  </t>
  </si>
  <si>
    <t xml:space="preserve">DATE </t>
  </si>
  <si>
    <t xml:space="preserve">INVOICE NUMBER </t>
  </si>
  <si>
    <t>BATCH NO</t>
  </si>
  <si>
    <t>MEMBER SHIP ID /GUEST</t>
  </si>
  <si>
    <t>TOMBOLA BUFFET</t>
  </si>
  <si>
    <t>TOTAL</t>
  </si>
  <si>
    <t>CASH</t>
  </si>
  <si>
    <t>Total</t>
  </si>
  <si>
    <t>KASHMIRI PULAO</t>
  </si>
  <si>
    <t>CHINESSE VODKA DOUBLE PEG</t>
  </si>
  <si>
    <t>OCTOBER FEST BRUNCH</t>
  </si>
  <si>
    <t>DOUBLE CUT LAMB CHOPS</t>
  </si>
  <si>
    <t>TIKKA BOTI</t>
  </si>
  <si>
    <t>Padel Court</t>
  </si>
  <si>
    <t>Ladies Saloon</t>
  </si>
  <si>
    <t>Gym Sub</t>
  </si>
  <si>
    <t>PARTY</t>
  </si>
  <si>
    <t>OTHERS (POOL LOCKER)</t>
  </si>
  <si>
    <t xml:space="preserve">MBR ID </t>
  </si>
  <si>
    <t>MBR NAME</t>
  </si>
  <si>
    <t>TOTAL BILLED AMOUNT</t>
  </si>
  <si>
    <t>VANU CHARGES</t>
  </si>
  <si>
    <t>s.no</t>
  </si>
  <si>
    <t xml:space="preserve">product name </t>
  </si>
  <si>
    <t>price</t>
  </si>
  <si>
    <t>categories</t>
  </si>
  <si>
    <t>(Italian, Mexican, Chinese), the style of service (fast food, casual dining, fine dining), and the meal structure (appetizers, main courses, desserts, drinks</t>
  </si>
  <si>
    <t>Party Charges nov</t>
  </si>
  <si>
    <t>Party Charges july</t>
  </si>
  <si>
    <t>Party Charges Aug</t>
  </si>
  <si>
    <t>Party Charges sep</t>
  </si>
  <si>
    <t>BLACK LABEL SINGLE WL</t>
  </si>
  <si>
    <t>Row Labels</t>
  </si>
  <si>
    <t>Grand Total</t>
  </si>
  <si>
    <t>Sum of AMOUNT</t>
  </si>
  <si>
    <t>Sum of Bowling Alley</t>
  </si>
  <si>
    <t>Sum of Gym</t>
  </si>
  <si>
    <t>Sum of Family Pool</t>
  </si>
  <si>
    <t>Sum of Squash Court</t>
  </si>
  <si>
    <t>Sum of Ladies Pool</t>
  </si>
  <si>
    <t>Sum of Amusement Arcade</t>
  </si>
  <si>
    <t>Sum of Cinema</t>
  </si>
  <si>
    <t>Sum of Cigar Lounge</t>
  </si>
  <si>
    <t>Sum of Pool Lockers</t>
  </si>
  <si>
    <t>Sum of SPA</t>
  </si>
  <si>
    <t>Sum of Padel Court</t>
  </si>
  <si>
    <t>Sum of Ladies Saloon</t>
  </si>
  <si>
    <t>Sum of HC Chambers</t>
  </si>
  <si>
    <t>Sum of Gym Sub</t>
  </si>
  <si>
    <t xml:space="preserve">BAHRIA HERITAGE CLUB </t>
  </si>
  <si>
    <t>DAILY SALE REPORT</t>
  </si>
  <si>
    <t xml:space="preserve"> Bowling Alley</t>
  </si>
  <si>
    <t xml:space="preserve"> Gym</t>
  </si>
  <si>
    <t xml:space="preserve"> Family Pool</t>
  </si>
  <si>
    <t xml:space="preserve"> Squash Court</t>
  </si>
  <si>
    <t xml:space="preserve"> Ladies Pool</t>
  </si>
  <si>
    <t xml:space="preserve"> Cinema</t>
  </si>
  <si>
    <t xml:space="preserve"> Cigar launge</t>
  </si>
  <si>
    <t xml:space="preserve"> Pool Lockers</t>
  </si>
  <si>
    <t xml:space="preserve"> SPA</t>
  </si>
  <si>
    <t xml:space="preserve"> Padel Court</t>
  </si>
  <si>
    <t xml:space="preserve"> Ladies Saloon</t>
  </si>
  <si>
    <t xml:space="preserve"> HC Chambers</t>
  </si>
  <si>
    <t xml:space="preserve"> Gym Sub</t>
  </si>
  <si>
    <t xml:space="preserve"> Vanue Charges</t>
  </si>
  <si>
    <t>Party Charges</t>
  </si>
  <si>
    <t>Food And beverages</t>
  </si>
  <si>
    <t xml:space="preserve">TOTAL SALE </t>
  </si>
  <si>
    <t>15 % SST ON ONLY F&amp; B</t>
  </si>
  <si>
    <t xml:space="preserve">TOTAL MONTHLY CHARGES </t>
  </si>
  <si>
    <t xml:space="preserve">GRAND TOTAL </t>
  </si>
  <si>
    <t>DECEMBER</t>
  </si>
  <si>
    <t>Party Charges OCT</t>
  </si>
  <si>
    <t>Party Charges NOV</t>
  </si>
  <si>
    <t>AREARS</t>
  </si>
  <si>
    <t>ADVANCD PAID</t>
  </si>
  <si>
    <t>-</t>
  </si>
  <si>
    <t>ADVANCED</t>
  </si>
  <si>
    <t>ADVANCED PAID</t>
  </si>
  <si>
    <t>POMFRAT</t>
  </si>
  <si>
    <t>JAMBO PRAWN</t>
  </si>
  <si>
    <t>DASI QUIL BBQ</t>
  </si>
  <si>
    <t>PARTRIGE</t>
  </si>
  <si>
    <t>VENSION</t>
  </si>
  <si>
    <t>GAJAR HALWA</t>
  </si>
  <si>
    <t>DASI DUCK</t>
  </si>
  <si>
    <t>CHICKEN BOTI</t>
  </si>
  <si>
    <t>COFFEE</t>
  </si>
  <si>
    <t xml:space="preserve">TAMBOLA </t>
  </si>
  <si>
    <t>CARD</t>
  </si>
  <si>
    <t>PAID THROUGH CARD</t>
  </si>
  <si>
    <t>INV: 169</t>
  </si>
  <si>
    <t>BATHC: 19</t>
  </si>
  <si>
    <t>CHOCOLATE CAKE 1 POUND</t>
  </si>
  <si>
    <t>INV:</t>
  </si>
  <si>
    <t>BCT:</t>
  </si>
  <si>
    <t>MANDATORY CHARGES</t>
  </si>
  <si>
    <t>Sum of Vanue Charges</t>
  </si>
  <si>
    <t>Sum of PARTY CHARGES</t>
  </si>
  <si>
    <t>cash</t>
  </si>
  <si>
    <t>THREE HORSE BEER</t>
  </si>
  <si>
    <t>JD SINGLE</t>
  </si>
  <si>
    <t>CHIVAS SINGLE</t>
  </si>
  <si>
    <t>DOUBLE CUT LAM CHOPS</t>
  </si>
  <si>
    <t>CARD PAID</t>
  </si>
  <si>
    <t>MISTAKE IN TOTAL</t>
  </si>
  <si>
    <t>CREAM OF MASHROOMS</t>
  </si>
  <si>
    <t>SAUSAGES</t>
  </si>
  <si>
    <t>BUFFET BRUNCH</t>
  </si>
  <si>
    <t>BUFFET DINNER</t>
  </si>
  <si>
    <t>SIGNATURE LAUNGE</t>
  </si>
  <si>
    <t>DRY CHICKEN CHILLI</t>
  </si>
  <si>
    <t>000146</t>
  </si>
  <si>
    <t>000147</t>
  </si>
  <si>
    <t>000149</t>
  </si>
  <si>
    <t>000151</t>
  </si>
  <si>
    <t>000152</t>
  </si>
  <si>
    <t>000153</t>
  </si>
  <si>
    <t>000157</t>
  </si>
  <si>
    <t>000158</t>
  </si>
  <si>
    <t>000159</t>
  </si>
  <si>
    <t>000177</t>
  </si>
  <si>
    <t>000176</t>
  </si>
  <si>
    <t>000175</t>
  </si>
  <si>
    <t>000174</t>
  </si>
  <si>
    <t>000172</t>
  </si>
  <si>
    <t>000171</t>
  </si>
  <si>
    <t>000170</t>
  </si>
  <si>
    <t>000169</t>
  </si>
  <si>
    <t>000168</t>
  </si>
  <si>
    <t>000166</t>
  </si>
  <si>
    <t>000165</t>
  </si>
  <si>
    <t>000164</t>
  </si>
  <si>
    <t>000163</t>
  </si>
  <si>
    <t>000018</t>
  </si>
  <si>
    <t>000019</t>
  </si>
  <si>
    <t>transaction_amount</t>
  </si>
  <si>
    <t>mdr_deducted</t>
  </si>
  <si>
    <t>fed_deducted</t>
  </si>
  <si>
    <t>net_payout_amount</t>
  </si>
  <si>
    <t>facility</t>
  </si>
  <si>
    <t>name</t>
  </si>
  <si>
    <t>PADDLE</t>
  </si>
  <si>
    <t>SALOON</t>
  </si>
  <si>
    <t>KIDS PLAY ARE</t>
  </si>
  <si>
    <t>yasir awan</t>
  </si>
  <si>
    <t>GUEST</t>
  </si>
  <si>
    <t>AAYAT ZUBAIR</t>
  </si>
  <si>
    <t>SHAHBAZ</t>
  </si>
  <si>
    <t>sst 15%</t>
  </si>
  <si>
    <t>Sum of sst 15%</t>
  </si>
  <si>
    <t xml:space="preserve">(SST)    </t>
  </si>
  <si>
    <t>ISL BUFFET</t>
  </si>
  <si>
    <t>AMERICAN COFFEE</t>
  </si>
  <si>
    <t>BUFFET</t>
  </si>
  <si>
    <t>PAID VIA ONLINE AND PAYORDER</t>
  </si>
  <si>
    <t>AKBARI BOTI TIKKA</t>
  </si>
  <si>
    <t xml:space="preserve">BUFFET DINNER </t>
  </si>
  <si>
    <t xml:space="preserve">BUFFET DINNER KIDS </t>
  </si>
  <si>
    <t>FROM 1ST-DEC-2025, TILL 25TH-DEC-2025.</t>
  </si>
  <si>
    <t>EXTRA PAID</t>
  </si>
  <si>
    <t>POINT OF SALES (POS)</t>
  </si>
  <si>
    <t>COL-V</t>
  </si>
  <si>
    <t>COL=Q</t>
  </si>
  <si>
    <t>COL-L</t>
  </si>
  <si>
    <t>TOT:V+Q+L</t>
  </si>
  <si>
    <t>COL-T (SHEET F&amp;B)</t>
  </si>
  <si>
    <t>COL-M (SHEET FACILITIES)</t>
  </si>
  <si>
    <t>IBRAHIM</t>
  </si>
  <si>
    <t>DANISH</t>
  </si>
  <si>
    <t>EXT</t>
  </si>
  <si>
    <t>4305/4226</t>
  </si>
  <si>
    <t>CELL</t>
  </si>
  <si>
    <t>VARCHAR2</t>
  </si>
  <si>
    <t>HC_MEMBER</t>
  </si>
  <si>
    <t>TABLE</t>
  </si>
  <si>
    <t>COLUMN</t>
  </si>
  <si>
    <t>TYPE</t>
  </si>
  <si>
    <t>WIDTH</t>
  </si>
  <si>
    <t>MEMBR_ID</t>
  </si>
  <si>
    <t>MEMBR_NAME</t>
  </si>
  <si>
    <t>MEMBR_CONTACT</t>
  </si>
  <si>
    <t>MEMBR_ADDRESS</t>
  </si>
  <si>
    <t>MEMBR_EMAIL</t>
  </si>
  <si>
    <t>FC_CODE</t>
  </si>
  <si>
    <t>FC_DESCRIP</t>
  </si>
  <si>
    <t>MEMBER</t>
  </si>
  <si>
    <t>PM</t>
  </si>
  <si>
    <t>Member ID</t>
  </si>
  <si>
    <t>Facility</t>
  </si>
  <si>
    <t>Member</t>
  </si>
  <si>
    <t>Guest</t>
  </si>
  <si>
    <t>Total Amount</t>
  </si>
  <si>
    <t>Save</t>
  </si>
  <si>
    <t>Cancel</t>
  </si>
  <si>
    <t>date</t>
  </si>
  <si>
    <t>Item Detail</t>
  </si>
  <si>
    <t>quantity</t>
  </si>
  <si>
    <t>Tax</t>
  </si>
  <si>
    <t>Net Amount</t>
  </si>
  <si>
    <t>Gross Amount</t>
  </si>
  <si>
    <t>Arrears</t>
  </si>
  <si>
    <t>Arrears / Advance</t>
  </si>
  <si>
    <t>F &amp; B</t>
  </si>
  <si>
    <t>Monthly Bill</t>
  </si>
  <si>
    <t>Advances</t>
  </si>
  <si>
    <t>Paid Same Day</t>
  </si>
  <si>
    <t>Net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</si>
</sst>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dd\-mmm\-yyyy"/>
    <numFmt numFmtId="165" formatCode="[$-409]d/mmm/yy;@"/>
    <numFmt numFmtId="166" formatCode="_(* #,##0_);_(* \(#,##0\);_(* &quot;-&quot;??_);_(@_)"/>
    <numFmt numFmtId="167" formatCode="[$-F800]dddd\,\ mmmm\ dd\,\ yyyy"/>
    <numFmt numFmtId="168" formatCode="d/m/yyyy"/>
    <numFmt numFmtId="169" formatCode="d\-mm\-yyyy"/>
    <numFmt numFmtId="170" formatCode="[$-F800]dd\,\ mm\ dd\,\ yyyy"/>
  </numFmts>
  <fonts count="64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463C1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2"/>
      <color rgb="FF000000"/>
      <name val="Arial"/>
      <family val="2"/>
    </font>
    <font>
      <sz val="6"/>
      <name val="Yu Gothic"/>
      <family val="2"/>
      <charset val="128"/>
    </font>
    <font>
      <sz val="8"/>
      <name val="Calibri"/>
      <family val="2"/>
    </font>
    <font>
      <sz val="11"/>
      <name val="Calibri"/>
      <family val="2"/>
    </font>
    <font>
      <b/>
      <sz val="12"/>
      <name val="Times New Roman"/>
      <family val="1"/>
    </font>
    <font>
      <b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FF0000"/>
      <name val="Calibri"/>
      <family val="2"/>
    </font>
    <font>
      <b/>
      <sz val="14"/>
      <color theme="0"/>
      <name val="Times New Roman"/>
      <family val="1"/>
    </font>
    <font>
      <sz val="18"/>
      <color theme="2"/>
      <name val="Algerian"/>
      <family val="5"/>
    </font>
    <font>
      <sz val="11"/>
      <color theme="2"/>
      <name val="Calibri"/>
      <family val="2"/>
    </font>
    <font>
      <sz val="11"/>
      <name val="Calibri"/>
      <family val="2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5" tint="-0.499984740745262"/>
      <name val="Times New Roman"/>
      <family val="1"/>
    </font>
    <font>
      <b/>
      <sz val="2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FF"/>
      <name val="Times New Roman"/>
      <family val="1"/>
    </font>
    <font>
      <b/>
      <sz val="10"/>
      <name val="Times New Roman"/>
      <family val="1"/>
    </font>
    <font>
      <sz val="11"/>
      <color theme="1"/>
      <name val="Algerian"/>
      <family val="5"/>
    </font>
    <font>
      <sz val="12"/>
      <name val="Times New Roman"/>
      <family val="1"/>
    </font>
    <font>
      <sz val="14"/>
      <name val="Calibri"/>
      <family val="2"/>
    </font>
    <font>
      <sz val="22"/>
      <name val="Algerian"/>
      <family val="5"/>
    </font>
    <font>
      <sz val="48"/>
      <name val="Algerian"/>
      <family val="5"/>
    </font>
    <font>
      <b/>
      <sz val="16"/>
      <name val="Algerian"/>
      <family val="5"/>
    </font>
    <font>
      <sz val="22"/>
      <color theme="1"/>
      <name val="Algerian"/>
      <family val="5"/>
    </font>
    <font>
      <b/>
      <sz val="12"/>
      <color rgb="FFFF0000"/>
      <name val="Times New Roman"/>
      <family val="1"/>
    </font>
    <font>
      <b/>
      <i/>
      <sz val="12"/>
      <name val="Times New Roman"/>
      <family val="1"/>
    </font>
    <font>
      <sz val="16"/>
      <color theme="1"/>
      <name val="Algerian"/>
      <family val="5"/>
    </font>
    <font>
      <sz val="12"/>
      <color rgb="FFFF0000"/>
      <name val="Times New Roman"/>
      <family val="1"/>
    </font>
    <font>
      <sz val="14"/>
      <color theme="1"/>
      <name val="Times New Roman"/>
      <family val="1"/>
    </font>
    <font>
      <sz val="11"/>
      <color rgb="FFFF0000"/>
      <name val="Times New Roman"/>
      <family val="1"/>
    </font>
    <font>
      <b/>
      <sz val="14"/>
      <color theme="2"/>
      <name val="Times New Roman"/>
      <family val="1"/>
    </font>
    <font>
      <b/>
      <sz val="10"/>
      <color theme="2"/>
      <name val="Times New Roman"/>
      <family val="1"/>
    </font>
    <font>
      <sz val="10"/>
      <name val="Times New Roman"/>
      <family val="1"/>
    </font>
    <font>
      <b/>
      <sz val="9"/>
      <color indexed="81"/>
      <name val="Tahoma"/>
      <family val="2"/>
    </font>
    <font>
      <sz val="8"/>
      <name val="Calibri"/>
      <family val="2"/>
    </font>
    <font>
      <sz val="11"/>
      <color rgb="FF000000"/>
      <name val="Times New Roman"/>
      <family val="1"/>
    </font>
    <font>
      <sz val="28"/>
      <color theme="0"/>
      <name val="Calibri"/>
      <family val="2"/>
    </font>
    <font>
      <sz val="20"/>
      <color theme="0"/>
      <name val="Calibri"/>
      <family val="2"/>
    </font>
    <font>
      <b/>
      <sz val="16"/>
      <name val="Calibri"/>
      <family val="2"/>
    </font>
    <font>
      <sz val="20"/>
      <name val="Calibri"/>
      <family val="2"/>
    </font>
    <font>
      <b/>
      <sz val="20"/>
      <name val="Calibri"/>
      <family val="2"/>
    </font>
    <font>
      <sz val="9"/>
      <color indexed="81"/>
      <name val="Tahoma"/>
      <family val="2"/>
    </font>
    <font>
      <b/>
      <sz val="10"/>
      <color rgb="FFFFFF0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ajor"/>
    </font>
    <font>
      <sz val="10"/>
      <name val="Calibri"/>
      <family val="2"/>
      <scheme val="major"/>
    </font>
    <font>
      <sz val="10"/>
      <color rgb="FF000000"/>
      <name val="Calibri"/>
      <family val="2"/>
      <scheme val="major"/>
    </font>
    <font>
      <sz val="16"/>
      <name val="Algerian"/>
      <family val="5"/>
    </font>
    <font>
      <b/>
      <sz val="11"/>
      <color rgb="FFFF0000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-0.249977111117893"/>
        <bgColor rgb="FFDEEAF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-0.249977111117893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0"/>
      </left>
      <right style="medium">
        <color theme="1"/>
      </right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5">
    <xf numFmtId="0" fontId="0" fillId="0" borderId="0">
      <alignment vertical="center"/>
    </xf>
    <xf numFmtId="0" fontId="3" fillId="0" borderId="0">
      <protection locked="0"/>
    </xf>
    <xf numFmtId="43" fontId="9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0"/>
  </cellStyleXfs>
  <cellXfs count="483">
    <xf numFmtId="0" fontId="0" fillId="0" borderId="0" xfId="0">
      <alignment vertical="center"/>
    </xf>
    <xf numFmtId="0" fontId="6" fillId="0" borderId="0" xfId="0" applyFont="1" applyAlignme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16" fillId="3" borderId="1" xfId="0" applyFont="1" applyFill="1" applyBorder="1" applyAlignment="1">
      <alignment horizontal="left" vertical="center" wrapText="1"/>
    </xf>
    <xf numFmtId="0" fontId="9" fillId="0" borderId="0" xfId="0" applyFont="1">
      <alignment vertical="center"/>
    </xf>
    <xf numFmtId="0" fontId="9" fillId="0" borderId="0" xfId="0" applyFont="1" applyAlignment="1"/>
    <xf numFmtId="0" fontId="20" fillId="1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13" borderId="23" xfId="0" applyFont="1" applyFill="1" applyBorder="1" applyAlignment="1">
      <alignment horizontal="center" vertical="center"/>
    </xf>
    <xf numFmtId="0" fontId="9" fillId="13" borderId="23" xfId="0" applyFont="1" applyFill="1" applyBorder="1">
      <alignment vertical="center"/>
    </xf>
    <xf numFmtId="0" fontId="9" fillId="13" borderId="23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/>
    </xf>
    <xf numFmtId="0" fontId="9" fillId="13" borderId="1" xfId="0" applyFont="1" applyFill="1" applyBorder="1">
      <alignment vertical="center"/>
    </xf>
    <xf numFmtId="0" fontId="4" fillId="6" borderId="0" xfId="0" applyFont="1" applyFill="1" applyAlignment="1"/>
    <xf numFmtId="0" fontId="4" fillId="6" borderId="0" xfId="0" applyFont="1" applyFill="1" applyAlignment="1">
      <alignment horizontal="right" vertical="center"/>
    </xf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0" fontId="23" fillId="0" borderId="1" xfId="0" applyFont="1" applyBorder="1" applyAlignment="1"/>
    <xf numFmtId="0" fontId="24" fillId="0" borderId="1" xfId="0" applyFont="1" applyBorder="1" applyAlignment="1"/>
    <xf numFmtId="0" fontId="24" fillId="0" borderId="1" xfId="0" applyFont="1" applyBorder="1" applyAlignment="1">
      <alignment horizontal="right" wrapText="1"/>
    </xf>
    <xf numFmtId="0" fontId="24" fillId="0" borderId="1" xfId="0" applyFont="1" applyBorder="1" applyAlignment="1">
      <alignment horizontal="center" wrapText="1"/>
    </xf>
    <xf numFmtId="166" fontId="13" fillId="0" borderId="47" xfId="0" applyNumberFormat="1" applyFont="1" applyBorder="1" applyAlignment="1"/>
    <xf numFmtId="166" fontId="13" fillId="0" borderId="48" xfId="0" applyNumberFormat="1" applyFont="1" applyBorder="1" applyAlignment="1"/>
    <xf numFmtId="166" fontId="13" fillId="0" borderId="49" xfId="0" applyNumberFormat="1" applyFont="1" applyBorder="1" applyAlignment="1"/>
    <xf numFmtId="166" fontId="13" fillId="8" borderId="50" xfId="0" applyNumberFormat="1" applyFont="1" applyFill="1" applyBorder="1" applyAlignment="1"/>
    <xf numFmtId="0" fontId="24" fillId="0" borderId="52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/>
    </xf>
    <xf numFmtId="0" fontId="24" fillId="0" borderId="34" xfId="0" applyFont="1" applyBorder="1" applyAlignment="1"/>
    <xf numFmtId="0" fontId="24" fillId="0" borderId="35" xfId="0" applyFont="1" applyBorder="1" applyAlignment="1"/>
    <xf numFmtId="0" fontId="24" fillId="0" borderId="35" xfId="0" applyFont="1" applyBorder="1" applyAlignment="1">
      <alignment horizontal="center"/>
    </xf>
    <xf numFmtId="0" fontId="24" fillId="0" borderId="36" xfId="0" applyFont="1" applyBorder="1" applyAlignment="1">
      <alignment horizontal="center"/>
    </xf>
    <xf numFmtId="0" fontId="24" fillId="0" borderId="54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37" xfId="0" applyFont="1" applyBorder="1" applyAlignment="1"/>
    <xf numFmtId="0" fontId="10" fillId="8" borderId="33" xfId="0" applyFont="1" applyFill="1" applyBorder="1" applyAlignment="1">
      <alignment horizontal="center"/>
    </xf>
    <xf numFmtId="0" fontId="24" fillId="0" borderId="40" xfId="0" applyFont="1" applyBorder="1" applyAlignment="1"/>
    <xf numFmtId="0" fontId="24" fillId="0" borderId="40" xfId="0" applyFont="1" applyBorder="1" applyAlignment="1">
      <alignment horizontal="center"/>
    </xf>
    <xf numFmtId="0" fontId="26" fillId="0" borderId="32" xfId="0" applyFont="1" applyBorder="1" applyAlignment="1"/>
    <xf numFmtId="0" fontId="26" fillId="0" borderId="32" xfId="0" applyFont="1" applyBorder="1" applyAlignment="1">
      <alignment horizontal="center"/>
    </xf>
    <xf numFmtId="166" fontId="13" fillId="8" borderId="41" xfId="0" applyNumberFormat="1" applyFont="1" applyFill="1" applyBorder="1" applyAlignment="1"/>
    <xf numFmtId="0" fontId="26" fillId="0" borderId="35" xfId="0" applyFont="1" applyBorder="1" applyAlignment="1"/>
    <xf numFmtId="0" fontId="26" fillId="0" borderId="35" xfId="0" applyFont="1" applyBorder="1" applyAlignment="1">
      <alignment horizontal="center"/>
    </xf>
    <xf numFmtId="166" fontId="13" fillId="2" borderId="39" xfId="0" applyNumberFormat="1" applyFont="1" applyFill="1" applyBorder="1" applyAlignment="1"/>
    <xf numFmtId="0" fontId="26" fillId="0" borderId="64" xfId="0" applyFont="1" applyBorder="1" applyAlignment="1"/>
    <xf numFmtId="0" fontId="26" fillId="0" borderId="64" xfId="0" applyFont="1" applyBorder="1" applyAlignment="1">
      <alignment horizontal="center"/>
    </xf>
    <xf numFmtId="166" fontId="13" fillId="9" borderId="65" xfId="0" applyNumberFormat="1" applyFont="1" applyFill="1" applyBorder="1" applyAlignment="1"/>
    <xf numFmtId="43" fontId="31" fillId="0" borderId="12" xfId="2" applyFont="1" applyBorder="1" applyAlignment="1">
      <alignment horizontal="right" vertical="center" wrapText="1"/>
    </xf>
    <xf numFmtId="166" fontId="16" fillId="0" borderId="12" xfId="2" applyNumberFormat="1" applyFont="1" applyBorder="1" applyAlignment="1">
      <alignment horizontal="right" vertical="center"/>
    </xf>
    <xf numFmtId="166" fontId="16" fillId="0" borderId="12" xfId="2" quotePrefix="1" applyNumberFormat="1" applyFont="1" applyBorder="1" applyAlignment="1">
      <alignment horizontal="right" vertical="center"/>
    </xf>
    <xf numFmtId="43" fontId="15" fillId="0" borderId="1" xfId="2" applyFont="1" applyFill="1" applyBorder="1" applyAlignment="1">
      <alignment horizontal="center"/>
    </xf>
    <xf numFmtId="0" fontId="34" fillId="0" borderId="0" xfId="0" applyFont="1" applyAlignment="1">
      <alignment wrapText="1"/>
    </xf>
    <xf numFmtId="0" fontId="10" fillId="17" borderId="20" xfId="0" applyFont="1" applyFill="1" applyBorder="1" applyAlignment="1">
      <alignment horizontal="center" vertical="center"/>
    </xf>
    <xf numFmtId="0" fontId="10" fillId="17" borderId="20" xfId="0" applyFont="1" applyFill="1" applyBorder="1" applyAlignment="1">
      <alignment horizontal="left" vertical="center"/>
    </xf>
    <xf numFmtId="0" fontId="10" fillId="17" borderId="25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left" vertical="center"/>
    </xf>
    <xf numFmtId="0" fontId="10" fillId="17" borderId="12" xfId="0" applyFont="1" applyFill="1" applyBorder="1" applyAlignment="1">
      <alignment horizontal="left" vertical="center"/>
    </xf>
    <xf numFmtId="0" fontId="10" fillId="17" borderId="1" xfId="0" applyFont="1" applyFill="1" applyBorder="1" applyAlignment="1">
      <alignment horizontal="center"/>
    </xf>
    <xf numFmtId="0" fontId="10" fillId="17" borderId="12" xfId="0" applyFont="1" applyFill="1" applyBorder="1" applyAlignment="1"/>
    <xf numFmtId="0" fontId="33" fillId="17" borderId="12" xfId="0" applyFont="1" applyFill="1" applyBorder="1" applyAlignment="1">
      <alignment horizontal="center" vertical="center"/>
    </xf>
    <xf numFmtId="0" fontId="33" fillId="17" borderId="12" xfId="0" applyFont="1" applyFill="1" applyBorder="1" applyAlignment="1"/>
    <xf numFmtId="0" fontId="33" fillId="17" borderId="1" xfId="0" applyFont="1" applyFill="1" applyBorder="1">
      <alignment vertical="center"/>
    </xf>
    <xf numFmtId="0" fontId="33" fillId="17" borderId="12" xfId="0" applyFont="1" applyFill="1" applyBorder="1">
      <alignment vertical="center"/>
    </xf>
    <xf numFmtId="0" fontId="14" fillId="5" borderId="0" xfId="4" applyFont="1" applyFill="1" applyAlignment="1">
      <alignment vertical="center"/>
    </xf>
    <xf numFmtId="0" fontId="32" fillId="15" borderId="1" xfId="0" applyFont="1" applyFill="1" applyBorder="1" applyAlignment="1">
      <alignment horizontal="center" vertical="center" wrapText="1"/>
    </xf>
    <xf numFmtId="0" fontId="4" fillId="6" borderId="0" xfId="0" applyFont="1" applyFill="1">
      <alignment vertical="center"/>
    </xf>
    <xf numFmtId="0" fontId="37" fillId="16" borderId="30" xfId="0" applyFont="1" applyFill="1" applyBorder="1" applyAlignment="1">
      <alignment horizontal="center" vertical="center" wrapText="1"/>
    </xf>
    <xf numFmtId="0" fontId="37" fillId="16" borderId="7" xfId="0" applyFont="1" applyFill="1" applyBorder="1" applyAlignment="1">
      <alignment horizontal="center" vertical="center" wrapText="1"/>
    </xf>
    <xf numFmtId="0" fontId="37" fillId="16" borderId="8" xfId="0" applyFont="1" applyFill="1" applyBorder="1" applyAlignment="1">
      <alignment horizontal="center" vertical="center" wrapText="1"/>
    </xf>
    <xf numFmtId="0" fontId="37" fillId="16" borderId="17" xfId="0" applyFont="1" applyFill="1" applyBorder="1" applyAlignment="1">
      <alignment horizontal="center" vertical="center" wrapText="1"/>
    </xf>
    <xf numFmtId="0" fontId="33" fillId="17" borderId="1" xfId="1" applyFont="1" applyFill="1" applyBorder="1" applyAlignment="1">
      <alignment horizontal="center"/>
      <protection locked="0"/>
    </xf>
    <xf numFmtId="0" fontId="33" fillId="17" borderId="20" xfId="1" applyFont="1" applyFill="1" applyBorder="1" applyAlignment="1">
      <alignment horizontal="center"/>
      <protection locked="0"/>
    </xf>
    <xf numFmtId="0" fontId="40" fillId="17" borderId="20" xfId="0" applyFont="1" applyFill="1" applyBorder="1" applyAlignment="1">
      <alignment horizontal="center" vertical="center"/>
    </xf>
    <xf numFmtId="0" fontId="40" fillId="17" borderId="1" xfId="0" quotePrefix="1" applyFont="1" applyFill="1" applyBorder="1" applyAlignment="1">
      <alignment horizontal="center" vertical="center"/>
    </xf>
    <xf numFmtId="0" fontId="40" fillId="17" borderId="1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left" vertical="center"/>
    </xf>
    <xf numFmtId="0" fontId="33" fillId="19" borderId="1" xfId="1" applyFont="1" applyFill="1" applyBorder="1" applyAlignment="1">
      <alignment horizontal="center"/>
      <protection locked="0"/>
    </xf>
    <xf numFmtId="0" fontId="40" fillId="19" borderId="1" xfId="0" applyFont="1" applyFill="1" applyBorder="1" applyAlignment="1">
      <alignment horizontal="center" vertical="center"/>
    </xf>
    <xf numFmtId="0" fontId="10" fillId="19" borderId="12" xfId="0" applyFont="1" applyFill="1" applyBorder="1" applyAlignment="1"/>
    <xf numFmtId="0" fontId="40" fillId="19" borderId="1" xfId="0" quotePrefix="1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/>
    </xf>
    <xf numFmtId="0" fontId="10" fillId="19" borderId="12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left" vertical="center"/>
    </xf>
    <xf numFmtId="0" fontId="33" fillId="14" borderId="1" xfId="1" applyFont="1" applyFill="1" applyBorder="1" applyAlignment="1">
      <alignment horizontal="center"/>
      <protection locked="0"/>
    </xf>
    <xf numFmtId="0" fontId="40" fillId="14" borderId="1" xfId="0" applyFont="1" applyFill="1" applyBorder="1" applyAlignment="1">
      <alignment horizontal="center" vertical="center"/>
    </xf>
    <xf numFmtId="0" fontId="10" fillId="14" borderId="12" xfId="0" applyFont="1" applyFill="1" applyBorder="1" applyAlignment="1"/>
    <xf numFmtId="0" fontId="10" fillId="19" borderId="12" xfId="0" applyFont="1" applyFill="1" applyBorder="1">
      <alignment vertical="center"/>
    </xf>
    <xf numFmtId="0" fontId="10" fillId="17" borderId="12" xfId="0" applyFont="1" applyFill="1" applyBorder="1">
      <alignment vertical="center"/>
    </xf>
    <xf numFmtId="166" fontId="0" fillId="0" borderId="0" xfId="0" applyNumberFormat="1">
      <alignment vertical="center"/>
    </xf>
    <xf numFmtId="166" fontId="41" fillId="15" borderId="1" xfId="2" applyNumberFormat="1" applyFont="1" applyFill="1" applyBorder="1" applyAlignment="1">
      <alignment horizontal="left" vertical="center" wrapText="1"/>
    </xf>
    <xf numFmtId="0" fontId="23" fillId="0" borderId="12" xfId="0" applyFont="1" applyBorder="1" applyAlignment="1"/>
    <xf numFmtId="0" fontId="24" fillId="0" borderId="12" xfId="0" applyFont="1" applyBorder="1" applyAlignment="1"/>
    <xf numFmtId="0" fontId="24" fillId="0" borderId="3" xfId="0" applyFont="1" applyBorder="1" applyAlignment="1"/>
    <xf numFmtId="0" fontId="24" fillId="0" borderId="31" xfId="0" applyFont="1" applyBorder="1" applyAlignment="1"/>
    <xf numFmtId="43" fontId="0" fillId="0" borderId="0" xfId="0" applyNumberFormat="1" applyAlignment="1"/>
    <xf numFmtId="166" fontId="0" fillId="0" borderId="0" xfId="0" applyNumberFormat="1" applyAlignment="1"/>
    <xf numFmtId="0" fontId="26" fillId="0" borderId="40" xfId="0" applyFont="1" applyBorder="1" applyAlignment="1"/>
    <xf numFmtId="0" fontId="26" fillId="0" borderId="40" xfId="0" applyFont="1" applyBorder="1" applyAlignment="1">
      <alignment horizontal="center"/>
    </xf>
    <xf numFmtId="166" fontId="13" fillId="2" borderId="73" xfId="0" applyNumberFormat="1" applyFont="1" applyFill="1" applyBorder="1" applyAlignment="1"/>
    <xf numFmtId="0" fontId="24" fillId="20" borderId="1" xfId="0" applyFont="1" applyFill="1" applyBorder="1" applyAlignment="1"/>
    <xf numFmtId="0" fontId="24" fillId="20" borderId="12" xfId="0" applyFont="1" applyFill="1" applyBorder="1" applyAlignment="1"/>
    <xf numFmtId="43" fontId="24" fillId="20" borderId="1" xfId="0" applyNumberFormat="1" applyFont="1" applyFill="1" applyBorder="1" applyAlignment="1"/>
    <xf numFmtId="0" fontId="39" fillId="19" borderId="1" xfId="0" applyFont="1" applyFill="1" applyBorder="1" applyAlignment="1">
      <alignment horizontal="center" vertical="center"/>
    </xf>
    <xf numFmtId="0" fontId="39" fillId="19" borderId="1" xfId="0" applyFont="1" applyFill="1" applyBorder="1" applyAlignment="1">
      <alignment horizontal="left" vertical="center"/>
    </xf>
    <xf numFmtId="0" fontId="42" fillId="19" borderId="1" xfId="1" applyFont="1" applyFill="1" applyBorder="1" applyAlignment="1">
      <alignment horizontal="center"/>
      <protection locked="0"/>
    </xf>
    <xf numFmtId="166" fontId="6" fillId="0" borderId="0" xfId="0" applyNumberFormat="1" applyFont="1" applyAlignment="1"/>
    <xf numFmtId="43" fontId="12" fillId="0" borderId="12" xfId="2" applyFont="1" applyBorder="1" applyAlignment="1">
      <alignment horizontal="center" vertical="center" wrapText="1"/>
    </xf>
    <xf numFmtId="166" fontId="0" fillId="0" borderId="0" xfId="2" applyNumberFormat="1" applyFont="1" applyAlignment="1"/>
    <xf numFmtId="43" fontId="22" fillId="0" borderId="20" xfId="2" applyFont="1" applyBorder="1" applyAlignment="1">
      <alignment horizontal="center" vertical="center" wrapText="1"/>
    </xf>
    <xf numFmtId="43" fontId="13" fillId="2" borderId="51" xfId="2" applyFont="1" applyFill="1" applyBorder="1" applyAlignment="1"/>
    <xf numFmtId="43" fontId="24" fillId="0" borderId="0" xfId="2" applyFont="1" applyAlignment="1"/>
    <xf numFmtId="43" fontId="27" fillId="0" borderId="0" xfId="2" applyFont="1" applyAlignment="1">
      <alignment vertical="center"/>
    </xf>
    <xf numFmtId="43" fontId="0" fillId="0" borderId="0" xfId="2" applyFont="1" applyAlignment="1"/>
    <xf numFmtId="43" fontId="0" fillId="0" borderId="0" xfId="2" applyFont="1" applyAlignment="1">
      <alignment vertical="center"/>
    </xf>
    <xf numFmtId="166" fontId="22" fillId="0" borderId="20" xfId="2" applyNumberFormat="1" applyFont="1" applyBorder="1" applyAlignment="1">
      <alignment horizontal="center" vertical="center" wrapText="1"/>
    </xf>
    <xf numFmtId="166" fontId="13" fillId="0" borderId="50" xfId="2" applyNumberFormat="1" applyFont="1" applyBorder="1" applyAlignment="1">
      <alignment horizontal="center" vertical="center"/>
    </xf>
    <xf numFmtId="166" fontId="24" fillId="0" borderId="36" xfId="2" applyNumberFormat="1" applyFont="1" applyBorder="1" applyAlignment="1">
      <alignment horizontal="center" vertical="center"/>
    </xf>
    <xf numFmtId="166" fontId="10" fillId="9" borderId="33" xfId="2" applyNumberFormat="1" applyFont="1" applyFill="1" applyBorder="1" applyAlignment="1">
      <alignment horizontal="center" vertical="center"/>
    </xf>
    <xf numFmtId="166" fontId="24" fillId="0" borderId="34" xfId="2" applyNumberFormat="1" applyFont="1" applyBorder="1" applyAlignment="1">
      <alignment horizontal="center" vertical="center"/>
    </xf>
    <xf numFmtId="166" fontId="0" fillId="0" borderId="0" xfId="2" applyNumberFormat="1" applyFont="1" applyAlignment="1">
      <alignment horizontal="center" vertical="center"/>
    </xf>
    <xf numFmtId="166" fontId="6" fillId="0" borderId="0" xfId="2" applyNumberFormat="1" applyFont="1" applyAlignment="1">
      <alignment horizontal="center" vertical="center"/>
    </xf>
    <xf numFmtId="0" fontId="24" fillId="0" borderId="6" xfId="0" applyFont="1" applyBorder="1" applyAlignment="1"/>
    <xf numFmtId="0" fontId="24" fillId="0" borderId="14" xfId="0" applyFont="1" applyBorder="1" applyAlignment="1"/>
    <xf numFmtId="166" fontId="16" fillId="0" borderId="31" xfId="2" applyNumberFormat="1" applyFont="1" applyBorder="1" applyAlignment="1">
      <alignment horizontal="right" vertical="center"/>
    </xf>
    <xf numFmtId="166" fontId="16" fillId="0" borderId="83" xfId="2" applyNumberFormat="1" applyFont="1" applyBorder="1" applyAlignment="1">
      <alignment horizontal="right" vertical="center"/>
    </xf>
    <xf numFmtId="0" fontId="16" fillId="0" borderId="31" xfId="0" applyFont="1" applyBorder="1" applyAlignment="1">
      <alignment horizontal="center" vertical="center"/>
    </xf>
    <xf numFmtId="0" fontId="29" fillId="0" borderId="14" xfId="0" applyFont="1" applyBorder="1" applyAlignment="1" applyProtection="1">
      <alignment horizontal="center" vertical="center"/>
      <protection locked="0"/>
    </xf>
    <xf numFmtId="166" fontId="16" fillId="0" borderId="14" xfId="2" applyNumberFormat="1" applyFont="1" applyBorder="1" applyAlignment="1">
      <alignment horizontal="right" vertical="center"/>
    </xf>
    <xf numFmtId="43" fontId="12" fillId="0" borderId="14" xfId="2" applyFont="1" applyBorder="1" applyAlignment="1">
      <alignment horizontal="center" vertical="center" wrapText="1"/>
    </xf>
    <xf numFmtId="0" fontId="12" fillId="15" borderId="86" xfId="0" applyFont="1" applyFill="1" applyBorder="1" applyAlignment="1" applyProtection="1">
      <alignment horizontal="center" vertical="center" wrapText="1"/>
      <protection locked="0"/>
    </xf>
    <xf numFmtId="0" fontId="9" fillId="14" borderId="0" xfId="0" applyFont="1" applyFill="1">
      <alignment vertical="center"/>
    </xf>
    <xf numFmtId="166" fontId="13" fillId="2" borderId="51" xfId="2" applyNumberFormat="1" applyFont="1" applyFill="1" applyBorder="1" applyAlignment="1"/>
    <xf numFmtId="166" fontId="24" fillId="0" borderId="53" xfId="2" applyNumberFormat="1" applyFont="1" applyBorder="1" applyAlignment="1"/>
    <xf numFmtId="166" fontId="10" fillId="2" borderId="55" xfId="2" applyNumberFormat="1" applyFont="1" applyFill="1" applyBorder="1" applyAlignment="1"/>
    <xf numFmtId="166" fontId="6" fillId="0" borderId="0" xfId="2" applyNumberFormat="1" applyFont="1" applyAlignment="1"/>
    <xf numFmtId="166" fontId="0" fillId="0" borderId="0" xfId="2" applyNumberFormat="1" applyFont="1" applyAlignment="1">
      <alignment vertical="center"/>
    </xf>
    <xf numFmtId="0" fontId="9" fillId="17" borderId="1" xfId="0" applyFont="1" applyFill="1" applyBorder="1">
      <alignment vertical="center"/>
    </xf>
    <xf numFmtId="0" fontId="44" fillId="0" borderId="1" xfId="0" applyFont="1" applyBorder="1" applyAlignment="1"/>
    <xf numFmtId="0" fontId="44" fillId="0" borderId="12" xfId="0" applyFont="1" applyBorder="1" applyAlignment="1"/>
    <xf numFmtId="0" fontId="17" fillId="0" borderId="0" xfId="0" applyFont="1" applyAlignment="1"/>
    <xf numFmtId="14" fontId="23" fillId="0" borderId="1" xfId="0" applyNumberFormat="1" applyFont="1" applyBorder="1" applyAlignment="1"/>
    <xf numFmtId="0" fontId="9" fillId="17" borderId="28" xfId="0" applyFont="1" applyFill="1" applyBorder="1">
      <alignment vertical="center"/>
    </xf>
    <xf numFmtId="0" fontId="14" fillId="23" borderId="1" xfId="0" applyFont="1" applyFill="1" applyBorder="1">
      <alignment vertical="center"/>
    </xf>
    <xf numFmtId="166" fontId="14" fillId="23" borderId="1" xfId="2" applyNumberFormat="1" applyFont="1" applyFill="1" applyBorder="1" applyAlignment="1">
      <alignment vertical="center"/>
    </xf>
    <xf numFmtId="166" fontId="16" fillId="23" borderId="1" xfId="2" applyNumberFormat="1" applyFont="1" applyFill="1" applyBorder="1" applyAlignment="1">
      <alignment horizontal="center"/>
    </xf>
    <xf numFmtId="166" fontId="16" fillId="23" borderId="1" xfId="2" applyNumberFormat="1" applyFont="1" applyFill="1" applyBorder="1" applyAlignment="1">
      <alignment horizontal="center" vertical="center"/>
    </xf>
    <xf numFmtId="0" fontId="11" fillId="23" borderId="0" xfId="0" applyFont="1" applyFill="1" applyAlignment="1">
      <alignment horizontal="center" vertical="center" wrapText="1"/>
    </xf>
    <xf numFmtId="0" fontId="14" fillId="23" borderId="0" xfId="0" applyFont="1" applyFill="1">
      <alignment vertical="center"/>
    </xf>
    <xf numFmtId="166" fontId="14" fillId="23" borderId="0" xfId="2" applyNumberFormat="1" applyFont="1" applyFill="1" applyAlignment="1">
      <alignment vertical="center"/>
    </xf>
    <xf numFmtId="166" fontId="16" fillId="23" borderId="0" xfId="2" applyNumberFormat="1" applyFont="1" applyFill="1" applyAlignment="1">
      <alignment horizontal="center"/>
    </xf>
    <xf numFmtId="166" fontId="16" fillId="23" borderId="0" xfId="2" applyNumberFormat="1" applyFont="1" applyFill="1" applyAlignment="1">
      <alignment horizontal="center" vertical="center"/>
    </xf>
    <xf numFmtId="168" fontId="14" fillId="23" borderId="1" xfId="0" applyNumberFormat="1" applyFont="1" applyFill="1" applyBorder="1">
      <alignment vertical="center"/>
    </xf>
    <xf numFmtId="0" fontId="45" fillId="22" borderId="1" xfId="0" applyFont="1" applyFill="1" applyBorder="1" applyAlignment="1">
      <alignment horizontal="center" vertical="center" wrapText="1"/>
    </xf>
    <xf numFmtId="0" fontId="18" fillId="22" borderId="1" xfId="0" applyFont="1" applyFill="1" applyBorder="1" applyAlignment="1">
      <alignment horizontal="center" vertical="center" wrapText="1"/>
    </xf>
    <xf numFmtId="164" fontId="18" fillId="22" borderId="1" xfId="0" applyNumberFormat="1" applyFont="1" applyFill="1" applyBorder="1" applyAlignment="1">
      <alignment horizontal="center" vertical="center" wrapText="1"/>
    </xf>
    <xf numFmtId="166" fontId="18" fillId="22" borderId="1" xfId="2" applyNumberFormat="1" applyFont="1" applyFill="1" applyBorder="1" applyAlignment="1">
      <alignment horizontal="center" vertical="center" wrapText="1"/>
    </xf>
    <xf numFmtId="0" fontId="47" fillId="0" borderId="0" xfId="0" applyFont="1">
      <alignment vertical="center"/>
    </xf>
    <xf numFmtId="166" fontId="29" fillId="3" borderId="1" xfId="2" applyNumberFormat="1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29" fillId="3" borderId="1" xfId="0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left" vertical="center" wrapText="1"/>
    </xf>
    <xf numFmtId="166" fontId="47" fillId="3" borderId="0" xfId="2" applyNumberFormat="1" applyFont="1" applyFill="1" applyAlignment="1">
      <alignment horizontal="center" vertical="center"/>
    </xf>
    <xf numFmtId="0" fontId="46" fillId="4" borderId="9" xfId="0" applyFont="1" applyFill="1" applyBorder="1" applyAlignment="1">
      <alignment horizontal="center" vertical="center" wrapText="1"/>
    </xf>
    <xf numFmtId="166" fontId="46" fillId="4" borderId="9" xfId="2" applyNumberFormat="1" applyFont="1" applyFill="1" applyBorder="1" applyAlignment="1">
      <alignment horizontal="center" vertical="center" wrapText="1"/>
    </xf>
    <xf numFmtId="0" fontId="47" fillId="3" borderId="0" xfId="0" applyFont="1" applyFill="1" applyAlignment="1">
      <alignment horizontal="center" vertical="center"/>
    </xf>
    <xf numFmtId="0" fontId="47" fillId="3" borderId="0" xfId="0" applyFont="1" applyFill="1" applyAlignment="1">
      <alignment horizontal="left" vertical="center"/>
    </xf>
    <xf numFmtId="0" fontId="46" fillId="4" borderId="9" xfId="2" applyNumberFormat="1" applyFont="1" applyFill="1" applyBorder="1" applyAlignment="1">
      <alignment horizontal="center" vertical="center" wrapText="1"/>
    </xf>
    <xf numFmtId="0" fontId="29" fillId="3" borderId="1" xfId="2" applyNumberFormat="1" applyFont="1" applyFill="1" applyBorder="1" applyAlignment="1">
      <alignment horizontal="center" vertical="center" wrapText="1"/>
    </xf>
    <xf numFmtId="0" fontId="31" fillId="3" borderId="0" xfId="2" applyNumberFormat="1" applyFont="1" applyFill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47" fillId="3" borderId="66" xfId="0" applyFont="1" applyFill="1" applyBorder="1" applyAlignment="1">
      <alignment horizontal="left" vertical="center"/>
    </xf>
    <xf numFmtId="0" fontId="47" fillId="3" borderId="66" xfId="0" applyFont="1" applyFill="1" applyBorder="1" applyAlignment="1">
      <alignment horizontal="center" vertical="center"/>
    </xf>
    <xf numFmtId="0" fontId="31" fillId="3" borderId="66" xfId="2" applyNumberFormat="1" applyFont="1" applyFill="1" applyBorder="1" applyAlignment="1">
      <alignment horizontal="center" vertical="center"/>
    </xf>
    <xf numFmtId="0" fontId="31" fillId="3" borderId="67" xfId="0" applyFont="1" applyFill="1" applyBorder="1" applyAlignment="1">
      <alignment horizontal="left" vertical="center"/>
    </xf>
    <xf numFmtId="0" fontId="4" fillId="6" borderId="0" xfId="0" applyFont="1" applyFill="1" applyAlignment="1">
      <alignment horizontal="left"/>
    </xf>
    <xf numFmtId="166" fontId="16" fillId="3" borderId="1" xfId="2" applyNumberFormat="1" applyFont="1" applyFill="1" applyBorder="1" applyAlignment="1">
      <alignment horizontal="center" vertical="center" wrapText="1"/>
    </xf>
    <xf numFmtId="0" fontId="46" fillId="4" borderId="72" xfId="0" applyFont="1" applyFill="1" applyBorder="1" applyAlignment="1">
      <alignment horizontal="left" vertical="center" wrapText="1"/>
    </xf>
    <xf numFmtId="166" fontId="29" fillId="3" borderId="67" xfId="2" applyNumberFormat="1" applyFont="1" applyFill="1" applyBorder="1" applyAlignment="1">
      <alignment horizontal="center" vertical="center" wrapText="1"/>
    </xf>
    <xf numFmtId="0" fontId="47" fillId="0" borderId="18" xfId="0" applyFont="1" applyBorder="1" applyAlignment="1">
      <alignment horizontal="center" vertical="center"/>
    </xf>
    <xf numFmtId="168" fontId="0" fillId="0" borderId="0" xfId="0" applyNumberFormat="1">
      <alignment vertical="center"/>
    </xf>
    <xf numFmtId="168" fontId="29" fillId="3" borderId="1" xfId="0" applyNumberFormat="1" applyFont="1" applyFill="1" applyBorder="1" applyAlignment="1">
      <alignment horizontal="center" vertical="center" wrapText="1"/>
    </xf>
    <xf numFmtId="15" fontId="16" fillId="3" borderId="1" xfId="0" applyNumberFormat="1" applyFont="1" applyFill="1" applyBorder="1" applyAlignment="1">
      <alignment horizontal="center" vertical="center" wrapText="1"/>
    </xf>
    <xf numFmtId="0" fontId="10" fillId="10" borderId="20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center"/>
    </xf>
    <xf numFmtId="0" fontId="33" fillId="10" borderId="1" xfId="1" applyFont="1" applyFill="1" applyBorder="1" applyAlignment="1">
      <alignment horizontal="center"/>
      <protection locked="0"/>
    </xf>
    <xf numFmtId="0" fontId="40" fillId="10" borderId="1" xfId="0" applyFont="1" applyFill="1" applyBorder="1" applyAlignment="1">
      <alignment horizontal="center" vertical="center"/>
    </xf>
    <xf numFmtId="0" fontId="33" fillId="10" borderId="1" xfId="0" applyFont="1" applyFill="1" applyBorder="1">
      <alignment vertical="center"/>
    </xf>
    <xf numFmtId="0" fontId="9" fillId="10" borderId="0" xfId="0" applyFont="1" applyFill="1">
      <alignment vertical="center"/>
    </xf>
    <xf numFmtId="166" fontId="16" fillId="0" borderId="0" xfId="2" applyNumberFormat="1" applyFont="1" applyFill="1" applyAlignment="1">
      <alignment horizontal="center" vertical="center"/>
    </xf>
    <xf numFmtId="0" fontId="0" fillId="20" borderId="1" xfId="0" applyFill="1" applyBorder="1" applyAlignment="1">
      <alignment horizontal="center" vertical="center" wrapText="1"/>
    </xf>
    <xf numFmtId="166" fontId="0" fillId="20" borderId="1" xfId="0" applyNumberForma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center" vertical="center" wrapText="1"/>
    </xf>
    <xf numFmtId="15" fontId="0" fillId="0" borderId="0" xfId="2" applyNumberFormat="1" applyFont="1" applyAlignment="1">
      <alignment vertical="center"/>
    </xf>
    <xf numFmtId="43" fontId="9" fillId="20" borderId="1" xfId="2" applyFont="1" applyFill="1" applyBorder="1" applyAlignment="1">
      <alignment horizontal="center" vertical="center" wrapText="1"/>
    </xf>
    <xf numFmtId="43" fontId="0" fillId="20" borderId="1" xfId="2" applyFont="1" applyFill="1" applyBorder="1" applyAlignment="1">
      <alignment horizontal="center" vertical="center" wrapText="1"/>
    </xf>
    <xf numFmtId="43" fontId="9" fillId="0" borderId="0" xfId="2" applyFont="1" applyAlignment="1">
      <alignment vertical="center"/>
    </xf>
    <xf numFmtId="43" fontId="0" fillId="0" borderId="0" xfId="0" applyNumberFormat="1">
      <alignment vertical="center"/>
    </xf>
    <xf numFmtId="166" fontId="9" fillId="20" borderId="1" xfId="0" applyNumberFormat="1" applyFont="1" applyFill="1" applyBorder="1" applyAlignment="1">
      <alignment horizontal="center" vertical="center" wrapText="1"/>
    </xf>
    <xf numFmtId="166" fontId="0" fillId="0" borderId="0" xfId="2" applyNumberFormat="1" applyFont="1" applyFill="1" applyAlignment="1">
      <alignment vertical="center"/>
    </xf>
    <xf numFmtId="168" fontId="22" fillId="0" borderId="20" xfId="0" applyNumberFormat="1" applyFont="1" applyBorder="1" applyAlignment="1">
      <alignment horizontal="center" vertical="center" wrapText="1"/>
    </xf>
    <xf numFmtId="168" fontId="13" fillId="2" borderId="51" xfId="0" applyNumberFormat="1" applyFont="1" applyFill="1" applyBorder="1" applyAlignment="1"/>
    <xf numFmtId="168" fontId="24" fillId="0" borderId="0" xfId="0" applyNumberFormat="1" applyFont="1" applyAlignment="1">
      <alignment horizontal="right"/>
    </xf>
    <xf numFmtId="168" fontId="27" fillId="0" borderId="0" xfId="0" applyNumberFormat="1" applyFont="1">
      <alignment vertical="center"/>
    </xf>
    <xf numFmtId="168" fontId="0" fillId="0" borderId="0" xfId="0" applyNumberFormat="1" applyAlignment="1">
      <alignment horizontal="right"/>
    </xf>
    <xf numFmtId="168" fontId="6" fillId="0" borderId="0" xfId="0" applyNumberFormat="1" applyFont="1" applyAlignment="1"/>
    <xf numFmtId="43" fontId="6" fillId="0" borderId="0" xfId="2" applyFont="1" applyAlignment="1"/>
    <xf numFmtId="0" fontId="23" fillId="0" borderId="21" xfId="0" applyFont="1" applyBorder="1" applyAlignment="1">
      <alignment horizontal="center" vertical="center"/>
    </xf>
    <xf numFmtId="0" fontId="50" fillId="0" borderId="1" xfId="0" applyFont="1" applyBorder="1" applyAlignment="1">
      <alignment horizontal="left" vertical="top"/>
    </xf>
    <xf numFmtId="0" fontId="23" fillId="0" borderId="1" xfId="0" applyFont="1" applyBorder="1" applyAlignment="1">
      <alignment horizontal="left"/>
    </xf>
    <xf numFmtId="0" fontId="23" fillId="0" borderId="1" xfId="0" applyFont="1" applyBorder="1" applyAlignment="1">
      <alignment horizontal="center"/>
    </xf>
    <xf numFmtId="165" fontId="23" fillId="0" borderId="1" xfId="0" applyNumberFormat="1" applyFont="1" applyBorder="1" applyAlignment="1">
      <alignment horizontal="center"/>
    </xf>
    <xf numFmtId="43" fontId="23" fillId="0" borderId="1" xfId="2" applyFont="1" applyFill="1" applyBorder="1" applyAlignment="1">
      <alignment horizontal="center"/>
    </xf>
    <xf numFmtId="43" fontId="23" fillId="0" borderId="1" xfId="2" applyFont="1" applyBorder="1" applyAlignment="1"/>
    <xf numFmtId="0" fontId="24" fillId="0" borderId="1" xfId="0" applyFont="1" applyBorder="1" applyAlignment="1">
      <alignment horizontal="center"/>
    </xf>
    <xf numFmtId="0" fontId="23" fillId="20" borderId="1" xfId="0" applyFont="1" applyFill="1" applyBorder="1" applyAlignment="1">
      <alignment horizontal="center" vertical="center"/>
    </xf>
    <xf numFmtId="43" fontId="23" fillId="20" borderId="1" xfId="2" applyFont="1" applyFill="1" applyBorder="1" applyAlignment="1"/>
    <xf numFmtId="0" fontId="23" fillId="20" borderId="12" xfId="0" applyFont="1" applyFill="1" applyBorder="1" applyAlignment="1">
      <alignment horizontal="center" vertical="center"/>
    </xf>
    <xf numFmtId="0" fontId="50" fillId="21" borderId="1" xfId="0" applyFont="1" applyFill="1" applyBorder="1" applyAlignment="1">
      <alignment horizontal="left" vertical="top"/>
    </xf>
    <xf numFmtId="43" fontId="23" fillId="0" borderId="1" xfId="2" applyFont="1" applyFill="1" applyBorder="1" applyAlignment="1"/>
    <xf numFmtId="0" fontId="50" fillId="20" borderId="1" xfId="0" applyFont="1" applyFill="1" applyBorder="1" applyAlignment="1">
      <alignment horizontal="left" vertical="top"/>
    </xf>
    <xf numFmtId="0" fontId="23" fillId="20" borderId="1" xfId="0" applyFont="1" applyFill="1" applyBorder="1" applyAlignment="1">
      <alignment horizontal="left"/>
    </xf>
    <xf numFmtId="0" fontId="23" fillId="20" borderId="1" xfId="0" applyFont="1" applyFill="1" applyBorder="1" applyAlignment="1">
      <alignment horizontal="center"/>
    </xf>
    <xf numFmtId="0" fontId="24" fillId="20" borderId="1" xfId="0" applyFont="1" applyFill="1" applyBorder="1" applyAlignment="1">
      <alignment horizontal="center"/>
    </xf>
    <xf numFmtId="0" fontId="24" fillId="0" borderId="0" xfId="0" applyFont="1" applyAlignment="1"/>
    <xf numFmtId="0" fontId="24" fillId="20" borderId="0" xfId="0" applyFont="1" applyFill="1" applyAlignment="1"/>
    <xf numFmtId="0" fontId="23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44" fillId="0" borderId="21" xfId="0" applyFont="1" applyBorder="1" applyAlignment="1">
      <alignment horizontal="center" vertical="center"/>
    </xf>
    <xf numFmtId="43" fontId="44" fillId="0" borderId="1" xfId="2" applyFont="1" applyBorder="1" applyAlignment="1"/>
    <xf numFmtId="0" fontId="23" fillId="0" borderId="22" xfId="0" applyFont="1" applyBorder="1" applyAlignment="1">
      <alignment horizontal="center" vertical="center"/>
    </xf>
    <xf numFmtId="0" fontId="50" fillId="0" borderId="6" xfId="0" applyFont="1" applyBorder="1" applyAlignment="1">
      <alignment horizontal="left" vertical="top"/>
    </xf>
    <xf numFmtId="0" fontId="24" fillId="0" borderId="6" xfId="0" applyFont="1" applyBorder="1" applyAlignment="1">
      <alignment horizontal="center"/>
    </xf>
    <xf numFmtId="43" fontId="23" fillId="0" borderId="6" xfId="2" applyFont="1" applyBorder="1" applyAlignment="1"/>
    <xf numFmtId="0" fontId="0" fillId="24" borderId="1" xfId="0" applyFill="1" applyBorder="1">
      <alignment vertical="center"/>
    </xf>
    <xf numFmtId="0" fontId="11" fillId="0" borderId="0" xfId="0" applyFont="1" applyAlignment="1">
      <alignment horizontal="center" vertical="center" wrapText="1"/>
    </xf>
    <xf numFmtId="0" fontId="14" fillId="0" borderId="0" xfId="0" applyFont="1">
      <alignment vertical="center"/>
    </xf>
    <xf numFmtId="0" fontId="16" fillId="0" borderId="0" xfId="0" applyFont="1" applyAlignment="1"/>
    <xf numFmtId="166" fontId="14" fillId="0" borderId="0" xfId="2" applyNumberFormat="1" applyFont="1" applyFill="1" applyAlignment="1">
      <alignment vertical="center"/>
    </xf>
    <xf numFmtId="166" fontId="14" fillId="0" borderId="0" xfId="2" applyNumberFormat="1" applyFont="1" applyFill="1" applyAlignment="1">
      <alignment horizontal="center" vertical="center"/>
    </xf>
    <xf numFmtId="0" fontId="14" fillId="0" borderId="29" xfId="0" applyFont="1" applyBorder="1">
      <alignment vertical="center"/>
    </xf>
    <xf numFmtId="0" fontId="12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169" fontId="12" fillId="3" borderId="0" xfId="0" applyNumberFormat="1" applyFont="1" applyFill="1" applyAlignment="1">
      <alignment horizontal="center" vertical="center"/>
    </xf>
    <xf numFmtId="43" fontId="12" fillId="3" borderId="0" xfId="2" applyFont="1" applyFill="1" applyBorder="1" applyAlignment="1">
      <alignment horizontal="center" vertical="center"/>
    </xf>
    <xf numFmtId="166" fontId="12" fillId="3" borderId="0" xfId="2" applyNumberFormat="1" applyFont="1" applyFill="1" applyBorder="1" applyAlignment="1">
      <alignment horizontal="center" vertical="center"/>
    </xf>
    <xf numFmtId="166" fontId="12" fillId="3" borderId="0" xfId="2" applyNumberFormat="1" applyFont="1" applyFill="1" applyBorder="1" applyAlignment="1">
      <alignment horizontal="center"/>
    </xf>
    <xf numFmtId="0" fontId="11" fillId="3" borderId="88" xfId="0" applyFont="1" applyFill="1" applyBorder="1" applyAlignment="1">
      <alignment horizontal="center" vertical="center" wrapText="1"/>
    </xf>
    <xf numFmtId="0" fontId="11" fillId="3" borderId="79" xfId="0" applyFont="1" applyFill="1" applyBorder="1" applyAlignment="1">
      <alignment horizontal="center" vertical="center" wrapText="1"/>
    </xf>
    <xf numFmtId="164" fontId="11" fillId="3" borderId="79" xfId="0" applyNumberFormat="1" applyFont="1" applyFill="1" applyBorder="1" applyAlignment="1">
      <alignment horizontal="center" vertical="center" wrapText="1"/>
    </xf>
    <xf numFmtId="0" fontId="16" fillId="3" borderId="89" xfId="0" applyFont="1" applyFill="1" applyBorder="1" applyAlignment="1">
      <alignment horizontal="center" vertical="center"/>
    </xf>
    <xf numFmtId="0" fontId="16" fillId="3" borderId="2" xfId="0" applyFont="1" applyFill="1" applyBorder="1">
      <alignment vertical="center"/>
    </xf>
    <xf numFmtId="0" fontId="16" fillId="3" borderId="68" xfId="0" applyFont="1" applyFill="1" applyBorder="1">
      <alignment vertical="center"/>
    </xf>
    <xf numFmtId="166" fontId="23" fillId="0" borderId="1" xfId="2" applyNumberFormat="1" applyFont="1" applyFill="1" applyBorder="1" applyAlignment="1"/>
    <xf numFmtId="168" fontId="23" fillId="0" borderId="1" xfId="0" applyNumberFormat="1" applyFont="1" applyBorder="1" applyAlignment="1">
      <alignment horizontal="right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3" fillId="20" borderId="0" xfId="0" applyFont="1" applyFill="1" applyAlignment="1">
      <alignment horizontal="center" vertical="center" wrapText="1"/>
    </xf>
    <xf numFmtId="167" fontId="53" fillId="20" borderId="0" xfId="0" applyNumberFormat="1" applyFont="1" applyFill="1" applyAlignment="1">
      <alignment horizontal="center" vertical="center" wrapText="1"/>
    </xf>
    <xf numFmtId="166" fontId="53" fillId="20" borderId="0" xfId="2" applyNumberFormat="1" applyFont="1" applyFill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170" fontId="54" fillId="0" borderId="0" xfId="0" applyNumberFormat="1" applyFont="1" applyAlignment="1">
      <alignment horizontal="right" vertical="center"/>
    </xf>
    <xf numFmtId="166" fontId="54" fillId="0" borderId="0" xfId="2" applyNumberFormat="1" applyFont="1" applyAlignment="1">
      <alignment vertical="center"/>
    </xf>
    <xf numFmtId="0" fontId="53" fillId="20" borderId="0" xfId="0" applyFont="1" applyFill="1" applyAlignment="1">
      <alignment horizontal="center"/>
    </xf>
    <xf numFmtId="167" fontId="55" fillId="20" borderId="0" xfId="0" applyNumberFormat="1" applyFont="1" applyFill="1" applyAlignment="1">
      <alignment horizontal="right" vertical="center"/>
    </xf>
    <xf numFmtId="166" fontId="55" fillId="20" borderId="0" xfId="2" applyNumberFormat="1" applyFont="1" applyFill="1" applyAlignment="1">
      <alignment vertical="center"/>
    </xf>
    <xf numFmtId="167" fontId="54" fillId="0" borderId="0" xfId="0" applyNumberFormat="1" applyFont="1">
      <alignment vertical="center"/>
    </xf>
    <xf numFmtId="0" fontId="54" fillId="0" borderId="0" xfId="0" applyFont="1">
      <alignment vertical="center"/>
    </xf>
    <xf numFmtId="166" fontId="55" fillId="0" borderId="0" xfId="2" applyNumberFormat="1" applyFont="1" applyFill="1" applyAlignment="1">
      <alignment vertical="center"/>
    </xf>
    <xf numFmtId="167" fontId="0" fillId="0" borderId="0" xfId="0" applyNumberFormat="1">
      <alignment vertical="center"/>
    </xf>
    <xf numFmtId="166" fontId="18" fillId="22" borderId="88" xfId="2" applyNumberFormat="1" applyFont="1" applyFill="1" applyBorder="1" applyAlignment="1">
      <alignment horizontal="center" vertical="center" wrapText="1"/>
    </xf>
    <xf numFmtId="166" fontId="11" fillId="3" borderId="15" xfId="2" applyNumberFormat="1" applyFont="1" applyFill="1" applyBorder="1" applyAlignment="1">
      <alignment horizontal="center" vertical="center" wrapText="1"/>
    </xf>
    <xf numFmtId="166" fontId="11" fillId="3" borderId="10" xfId="2" applyNumberFormat="1" applyFont="1" applyFill="1" applyBorder="1" applyAlignment="1">
      <alignment horizontal="center" vertical="center" wrapText="1"/>
    </xf>
    <xf numFmtId="166" fontId="11" fillId="3" borderId="11" xfId="2" applyNumberFormat="1" applyFont="1" applyFill="1" applyBorder="1" applyAlignment="1">
      <alignment horizontal="center" vertical="center" wrapText="1"/>
    </xf>
    <xf numFmtId="43" fontId="12" fillId="3" borderId="13" xfId="2" applyFont="1" applyFill="1" applyBorder="1" applyAlignment="1">
      <alignment horizontal="center" vertical="center"/>
    </xf>
    <xf numFmtId="166" fontId="12" fillId="3" borderId="16" xfId="2" applyNumberFormat="1" applyFont="1" applyFill="1" applyBorder="1" applyAlignment="1">
      <alignment horizontal="center" vertical="center"/>
    </xf>
    <xf numFmtId="166" fontId="16" fillId="3" borderId="77" xfId="2" applyNumberFormat="1" applyFont="1" applyFill="1" applyBorder="1" applyAlignment="1">
      <alignment vertical="center"/>
    </xf>
    <xf numFmtId="166" fontId="16" fillId="3" borderId="70" xfId="2" applyNumberFormat="1" applyFont="1" applyFill="1" applyBorder="1" applyAlignment="1">
      <alignment vertical="center"/>
    </xf>
    <xf numFmtId="166" fontId="16" fillId="3" borderId="90" xfId="2" applyNumberFormat="1" applyFont="1" applyFill="1" applyBorder="1" applyAlignment="1">
      <alignment vertical="center"/>
    </xf>
    <xf numFmtId="166" fontId="12" fillId="3" borderId="13" xfId="2" applyNumberFormat="1" applyFont="1" applyFill="1" applyBorder="1" applyAlignment="1">
      <alignment horizontal="center" vertical="center"/>
    </xf>
    <xf numFmtId="166" fontId="12" fillId="3" borderId="16" xfId="2" applyNumberFormat="1" applyFont="1" applyFill="1" applyBorder="1" applyAlignment="1">
      <alignment horizontal="center"/>
    </xf>
    <xf numFmtId="166" fontId="14" fillId="25" borderId="1" xfId="2" applyNumberFormat="1" applyFont="1" applyFill="1" applyBorder="1" applyAlignment="1">
      <alignment vertical="center"/>
    </xf>
    <xf numFmtId="0" fontId="54" fillId="0" borderId="0" xfId="0" applyFont="1" applyAlignment="1">
      <alignment horizontal="left" vertical="top"/>
    </xf>
    <xf numFmtId="166" fontId="55" fillId="0" borderId="0" xfId="2" applyNumberFormat="1" applyFont="1" applyFill="1" applyAlignment="1">
      <alignment horizontal="left" vertical="top"/>
    </xf>
    <xf numFmtId="166" fontId="55" fillId="0" borderId="0" xfId="2" applyNumberFormat="1" applyFont="1" applyFill="1" applyAlignment="1">
      <alignment horizontal="left" vertical="center"/>
    </xf>
    <xf numFmtId="166" fontId="55" fillId="20" borderId="0" xfId="2" applyNumberFormat="1" applyFont="1" applyFill="1" applyAlignment="1">
      <alignment horizontal="left" vertical="center"/>
    </xf>
    <xf numFmtId="0" fontId="57" fillId="2" borderId="2" xfId="4" applyFont="1" applyFill="1" applyBorder="1" applyAlignment="1">
      <alignment vertical="center"/>
    </xf>
    <xf numFmtId="0" fontId="57" fillId="2" borderId="68" xfId="4" applyFont="1" applyFill="1" applyBorder="1" applyAlignment="1">
      <alignment vertical="center" wrapText="1"/>
    </xf>
    <xf numFmtId="0" fontId="57" fillId="2" borderId="28" xfId="4" applyFont="1" applyFill="1" applyBorder="1" applyAlignment="1">
      <alignment vertical="center" wrapText="1"/>
    </xf>
    <xf numFmtId="0" fontId="31" fillId="0" borderId="0" xfId="0" applyFont="1" applyAlignment="1"/>
    <xf numFmtId="0" fontId="57" fillId="2" borderId="1" xfId="4" applyFont="1" applyFill="1" applyBorder="1" applyAlignment="1">
      <alignment vertical="center" wrapText="1"/>
    </xf>
    <xf numFmtId="0" fontId="57" fillId="2" borderId="1" xfId="4" applyFont="1" applyFill="1" applyBorder="1" applyAlignment="1">
      <alignment vertical="center"/>
    </xf>
    <xf numFmtId="0" fontId="58" fillId="0" borderId="27" xfId="4" applyFont="1" applyBorder="1" applyAlignment="1">
      <alignment horizontal="left" vertical="center" wrapText="1"/>
    </xf>
    <xf numFmtId="0" fontId="24" fillId="0" borderId="0" xfId="0" applyFont="1" applyAlignment="1" applyProtection="1">
      <protection locked="0"/>
    </xf>
    <xf numFmtId="0" fontId="58" fillId="0" borderId="0" xfId="4" applyFont="1"/>
    <xf numFmtId="0" fontId="23" fillId="0" borderId="0" xfId="4" applyFont="1"/>
    <xf numFmtId="0" fontId="31" fillId="0" borderId="0" xfId="4" applyFont="1" applyAlignment="1">
      <alignment vertical="center"/>
    </xf>
    <xf numFmtId="0" fontId="29" fillId="0" borderId="67" xfId="4" applyFont="1" applyBorder="1" applyAlignment="1">
      <alignment horizontal="left" vertical="center" wrapText="1"/>
    </xf>
    <xf numFmtId="0" fontId="23" fillId="0" borderId="0" xfId="0" applyFont="1" applyAlignment="1"/>
    <xf numFmtId="0" fontId="29" fillId="0" borderId="1" xfId="0" applyFont="1" applyBorder="1" applyAlignment="1">
      <alignment horizontal="left" vertical="center" wrapText="1"/>
    </xf>
    <xf numFmtId="166" fontId="24" fillId="0" borderId="0" xfId="2" applyNumberFormat="1" applyFont="1" applyAlignment="1"/>
    <xf numFmtId="166" fontId="14" fillId="24" borderId="1" xfId="2" applyNumberFormat="1" applyFont="1" applyFill="1" applyBorder="1" applyAlignment="1">
      <alignment vertical="center"/>
    </xf>
    <xf numFmtId="0" fontId="29" fillId="24" borderId="1" xfId="0" applyFont="1" applyFill="1" applyBorder="1" applyAlignment="1">
      <alignment horizontal="center" vertical="center" wrapText="1"/>
    </xf>
    <xf numFmtId="0" fontId="29" fillId="24" borderId="1" xfId="0" applyFont="1" applyFill="1" applyBorder="1" applyAlignment="1">
      <alignment horizontal="left" vertical="center" wrapText="1"/>
    </xf>
    <xf numFmtId="168" fontId="29" fillId="24" borderId="1" xfId="0" applyNumberFormat="1" applyFont="1" applyFill="1" applyBorder="1" applyAlignment="1">
      <alignment horizontal="center" vertical="center" wrapText="1"/>
    </xf>
    <xf numFmtId="0" fontId="29" fillId="24" borderId="1" xfId="2" applyNumberFormat="1" applyFont="1" applyFill="1" applyBorder="1" applyAlignment="1">
      <alignment horizontal="center" vertical="center" wrapText="1"/>
    </xf>
    <xf numFmtId="166" fontId="29" fillId="24" borderId="1" xfId="2" applyNumberFormat="1" applyFont="1" applyFill="1" applyBorder="1" applyAlignment="1">
      <alignment horizontal="center" vertical="center" wrapText="1"/>
    </xf>
    <xf numFmtId="168" fontId="29" fillId="6" borderId="1" xfId="0" applyNumberFormat="1" applyFont="1" applyFill="1" applyBorder="1" applyAlignment="1">
      <alignment horizontal="center" vertical="center" wrapText="1"/>
    </xf>
    <xf numFmtId="166" fontId="16" fillId="24" borderId="1" xfId="2" applyNumberFormat="1" applyFont="1" applyFill="1" applyBorder="1" applyAlignment="1">
      <alignment horizontal="center" vertical="center"/>
    </xf>
    <xf numFmtId="166" fontId="54" fillId="0" borderId="0" xfId="0" applyNumberFormat="1" applyFont="1">
      <alignment vertical="center"/>
    </xf>
    <xf numFmtId="0" fontId="43" fillId="0" borderId="0" xfId="0" applyFont="1" applyAlignment="1">
      <alignment horizontal="center" vertical="center"/>
    </xf>
    <xf numFmtId="0" fontId="29" fillId="25" borderId="1" xfId="0" applyFont="1" applyFill="1" applyBorder="1" applyAlignment="1">
      <alignment horizontal="left" vertical="center" wrapText="1"/>
    </xf>
    <xf numFmtId="168" fontId="29" fillId="25" borderId="1" xfId="0" applyNumberFormat="1" applyFont="1" applyFill="1" applyBorder="1" applyAlignment="1">
      <alignment horizontal="center" vertical="center" wrapText="1"/>
    </xf>
    <xf numFmtId="0" fontId="29" fillId="25" borderId="1" xfId="2" applyNumberFormat="1" applyFont="1" applyFill="1" applyBorder="1" applyAlignment="1">
      <alignment horizontal="center" vertical="center" wrapText="1"/>
    </xf>
    <xf numFmtId="166" fontId="29" fillId="25" borderId="1" xfId="2" applyNumberFormat="1" applyFont="1" applyFill="1" applyBorder="1" applyAlignment="1">
      <alignment horizontal="center" vertical="center" wrapText="1"/>
    </xf>
    <xf numFmtId="168" fontId="29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6" fontId="55" fillId="0" borderId="0" xfId="2" applyNumberFormat="1" applyFont="1" applyFill="1" applyAlignment="1">
      <alignment horizontal="center" vertical="center"/>
    </xf>
    <xf numFmtId="166" fontId="55" fillId="20" borderId="0" xfId="2" applyNumberFormat="1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24" borderId="91" xfId="0" applyFill="1" applyBorder="1">
      <alignment vertical="center"/>
    </xf>
    <xf numFmtId="168" fontId="0" fillId="24" borderId="1" xfId="0" applyNumberFormat="1" applyFill="1" applyBorder="1">
      <alignment vertical="center"/>
    </xf>
    <xf numFmtId="168" fontId="0" fillId="0" borderId="0" xfId="0" applyNumberFormat="1" applyAlignment="1"/>
    <xf numFmtId="166" fontId="29" fillId="25" borderId="0" xfId="2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left" vertical="center"/>
    </xf>
    <xf numFmtId="166" fontId="46" fillId="4" borderId="92" xfId="2" applyNumberFormat="1" applyFont="1" applyFill="1" applyBorder="1" applyAlignment="1">
      <alignment horizontal="center" vertical="center" wrapText="1"/>
    </xf>
    <xf numFmtId="166" fontId="29" fillId="3" borderId="2" xfId="2" applyNumberFormat="1" applyFont="1" applyFill="1" applyBorder="1" applyAlignment="1">
      <alignment horizontal="center" vertical="center" wrapText="1"/>
    </xf>
    <xf numFmtId="166" fontId="29" fillId="3" borderId="66" xfId="2" applyNumberFormat="1" applyFont="1" applyFill="1" applyBorder="1" applyAlignment="1">
      <alignment horizontal="center" vertical="center" wrapText="1"/>
    </xf>
    <xf numFmtId="166" fontId="29" fillId="24" borderId="28" xfId="2" applyNumberFormat="1" applyFont="1" applyFill="1" applyBorder="1" applyAlignment="1">
      <alignment horizontal="center" vertical="center" wrapText="1"/>
    </xf>
    <xf numFmtId="166" fontId="29" fillId="25" borderId="28" xfId="2" applyNumberFormat="1" applyFont="1" applyFill="1" applyBorder="1" applyAlignment="1">
      <alignment horizontal="center" vertical="center" wrapText="1"/>
    </xf>
    <xf numFmtId="0" fontId="46" fillId="4" borderId="1" xfId="0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left" vertical="center" wrapText="1"/>
    </xf>
    <xf numFmtId="0" fontId="29" fillId="3" borderId="2" xfId="0" applyFont="1" applyFill="1" applyBorder="1" applyAlignment="1">
      <alignment horizontal="center" vertical="center" wrapText="1"/>
    </xf>
    <xf numFmtId="0" fontId="29" fillId="3" borderId="28" xfId="0" applyFont="1" applyFill="1" applyBorder="1" applyAlignment="1">
      <alignment horizontal="left" vertical="center" wrapText="1"/>
    </xf>
    <xf numFmtId="166" fontId="14" fillId="26" borderId="1" xfId="2" applyNumberFormat="1" applyFont="1" applyFill="1" applyBorder="1" applyAlignment="1">
      <alignment vertical="center"/>
    </xf>
    <xf numFmtId="0" fontId="14" fillId="26" borderId="1" xfId="0" applyFont="1" applyFill="1" applyBorder="1">
      <alignment vertical="center"/>
    </xf>
    <xf numFmtId="166" fontId="29" fillId="25" borderId="2" xfId="2" applyNumberFormat="1" applyFont="1" applyFill="1" applyBorder="1" applyAlignment="1">
      <alignment horizontal="center" vertical="center" wrapText="1"/>
    </xf>
    <xf numFmtId="166" fontId="16" fillId="27" borderId="1" xfId="2" applyNumberFormat="1" applyFont="1" applyFill="1" applyBorder="1" applyAlignment="1">
      <alignment horizontal="center" vertical="center"/>
    </xf>
    <xf numFmtId="166" fontId="14" fillId="27" borderId="1" xfId="2" applyNumberFormat="1" applyFont="1" applyFill="1" applyBorder="1" applyAlignment="1">
      <alignment vertical="center"/>
    </xf>
    <xf numFmtId="0" fontId="59" fillId="0" borderId="1" xfId="4" applyFont="1" applyBorder="1" applyAlignment="1">
      <alignment horizontal="center" vertical="center"/>
    </xf>
    <xf numFmtId="0" fontId="59" fillId="0" borderId="1" xfId="4" applyFont="1" applyBorder="1" applyAlignment="1">
      <alignment horizontal="left" vertical="center" wrapText="1"/>
    </xf>
    <xf numFmtId="166" fontId="59" fillId="0" borderId="1" xfId="2" applyNumberFormat="1" applyFont="1" applyFill="1" applyBorder="1" applyAlignment="1">
      <alignment horizontal="center" vertical="center" wrapText="1"/>
    </xf>
    <xf numFmtId="166" fontId="59" fillId="0" borderId="1" xfId="2" applyNumberFormat="1" applyFont="1" applyFill="1" applyBorder="1" applyAlignment="1">
      <alignment horizontal="center"/>
    </xf>
    <xf numFmtId="0" fontId="60" fillId="0" borderId="1" xfId="4" applyFont="1" applyBorder="1" applyAlignment="1">
      <alignment horizontal="left" vertical="center"/>
    </xf>
    <xf numFmtId="166" fontId="60" fillId="0" borderId="1" xfId="2" applyNumberFormat="1" applyFont="1" applyFill="1" applyBorder="1" applyAlignment="1">
      <alignment horizontal="center" vertical="center"/>
    </xf>
    <xf numFmtId="0" fontId="59" fillId="0" borderId="1" xfId="4" applyFont="1" applyBorder="1" applyAlignment="1">
      <alignment horizontal="left"/>
    </xf>
    <xf numFmtId="0" fontId="59" fillId="0" borderId="1" xfId="4" applyFont="1" applyBorder="1" applyAlignment="1">
      <alignment horizontal="left" vertical="center"/>
    </xf>
    <xf numFmtId="0" fontId="59" fillId="0" borderId="1" xfId="4" applyFont="1" applyBorder="1" applyAlignment="1">
      <alignment horizontal="left" wrapText="1"/>
    </xf>
    <xf numFmtId="166" fontId="59" fillId="0" borderId="1" xfId="2" applyNumberFormat="1" applyFont="1" applyFill="1" applyBorder="1" applyAlignment="1">
      <alignment horizontal="center" vertical="center"/>
    </xf>
    <xf numFmtId="0" fontId="61" fillId="0" borderId="1" xfId="0" applyFont="1" applyBorder="1" applyAlignment="1">
      <alignment horizontal="left" vertical="center" wrapText="1"/>
    </xf>
    <xf numFmtId="166" fontId="60" fillId="0" borderId="1" xfId="2" applyNumberFormat="1" applyFont="1" applyFill="1" applyBorder="1" applyAlignment="1"/>
    <xf numFmtId="0" fontId="61" fillId="3" borderId="1" xfId="0" applyFont="1" applyFill="1" applyBorder="1" applyAlignment="1">
      <alignment horizontal="left" vertical="center" wrapText="1"/>
    </xf>
    <xf numFmtId="0" fontId="47" fillId="0" borderId="0" xfId="0" applyFont="1" applyAlignment="1"/>
    <xf numFmtId="0" fontId="60" fillId="0" borderId="1" xfId="0" applyFont="1" applyBorder="1" applyAlignment="1"/>
    <xf numFmtId="166" fontId="60" fillId="0" borderId="1" xfId="2" applyNumberFormat="1" applyFont="1" applyBorder="1" applyAlignment="1"/>
    <xf numFmtId="166" fontId="16" fillId="25" borderId="1" xfId="2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5" fillId="0" borderId="0" xfId="0" applyFont="1" applyFill="1" applyBorder="1" applyAlignment="1">
      <alignment horizontal="left" vertical="center"/>
    </xf>
    <xf numFmtId="0" fontId="9" fillId="0" borderId="0" xfId="0" applyFont="1" applyAlignment="1">
      <alignment horizontal="left"/>
    </xf>
    <xf numFmtId="0" fontId="9" fillId="14" borderId="0" xfId="0" applyFont="1" applyFill="1" applyAlignment="1">
      <alignment horizontal="left" vertical="center"/>
    </xf>
    <xf numFmtId="0" fontId="33" fillId="0" borderId="0" xfId="0" applyFont="1" applyFill="1" applyBorder="1" applyAlignment="1">
      <alignment horizontal="left" vertical="center"/>
    </xf>
    <xf numFmtId="0" fontId="33" fillId="0" borderId="0" xfId="0" applyFont="1" applyFill="1" applyBorder="1" applyAlignment="1">
      <alignment horizontal="left"/>
    </xf>
    <xf numFmtId="0" fontId="9" fillId="10" borderId="0" xfId="0" applyFont="1" applyFill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62" fillId="0" borderId="0" xfId="0" applyFont="1" applyFill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6" fillId="18" borderId="15" xfId="0" applyFont="1" applyFill="1" applyBorder="1" applyAlignment="1">
      <alignment horizontal="center" vertical="center"/>
    </xf>
    <xf numFmtId="0" fontId="36" fillId="18" borderId="10" xfId="0" applyFont="1" applyFill="1" applyBorder="1" applyAlignment="1">
      <alignment horizontal="center" vertical="center"/>
    </xf>
    <xf numFmtId="0" fontId="36" fillId="18" borderId="11" xfId="0" applyFont="1" applyFill="1" applyBorder="1" applyAlignment="1">
      <alignment horizontal="center" vertical="center"/>
    </xf>
    <xf numFmtId="0" fontId="36" fillId="18" borderId="4" xfId="0" applyFont="1" applyFill="1" applyBorder="1" applyAlignment="1">
      <alignment horizontal="center" vertical="center"/>
    </xf>
    <xf numFmtId="0" fontId="36" fillId="18" borderId="42" xfId="0" applyFont="1" applyFill="1" applyBorder="1" applyAlignment="1">
      <alignment horizontal="center" vertical="center"/>
    </xf>
    <xf numFmtId="0" fontId="36" fillId="18" borderId="71" xfId="0" applyFont="1" applyFill="1" applyBorder="1" applyAlignment="1">
      <alignment horizontal="center" vertical="center"/>
    </xf>
    <xf numFmtId="0" fontId="35" fillId="18" borderId="18" xfId="0" applyFont="1" applyFill="1" applyBorder="1" applyAlignment="1">
      <alignment horizontal="center" vertical="center"/>
    </xf>
    <xf numFmtId="0" fontId="35" fillId="18" borderId="66" xfId="0" applyFont="1" applyFill="1" applyBorder="1" applyAlignment="1">
      <alignment horizontal="center" vertical="center"/>
    </xf>
    <xf numFmtId="0" fontId="35" fillId="18" borderId="67" xfId="0" applyFont="1" applyFill="1" applyBorder="1" applyAlignment="1">
      <alignment horizontal="center" vertical="center"/>
    </xf>
    <xf numFmtId="0" fontId="9" fillId="18" borderId="15" xfId="0" applyFont="1" applyFill="1" applyBorder="1" applyAlignment="1">
      <alignment horizontal="center" vertical="center"/>
    </xf>
    <xf numFmtId="0" fontId="9" fillId="18" borderId="11" xfId="0" applyFont="1" applyFill="1" applyBorder="1" applyAlignment="1">
      <alignment horizontal="center" vertical="center"/>
    </xf>
    <xf numFmtId="0" fontId="9" fillId="18" borderId="13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9" fillId="18" borderId="4" xfId="0" applyFont="1" applyFill="1" applyBorder="1" applyAlignment="1">
      <alignment horizontal="center" vertical="center"/>
    </xf>
    <xf numFmtId="0" fontId="9" fillId="18" borderId="71" xfId="0" applyFont="1" applyFill="1" applyBorder="1" applyAlignment="1">
      <alignment horizontal="center" vertical="center"/>
    </xf>
    <xf numFmtId="0" fontId="51" fillId="4" borderId="0" xfId="0" applyFont="1" applyFill="1" applyAlignment="1">
      <alignment horizontal="center" vertical="center"/>
    </xf>
    <xf numFmtId="0" fontId="52" fillId="4" borderId="0" xfId="0" applyFont="1" applyFill="1" applyAlignment="1">
      <alignment horizontal="center" vertical="center"/>
    </xf>
    <xf numFmtId="0" fontId="10" fillId="15" borderId="19" xfId="0" applyFont="1" applyFill="1" applyBorder="1" applyAlignment="1">
      <alignment horizontal="center" vertical="center" wrapText="1"/>
    </xf>
    <xf numFmtId="0" fontId="10" fillId="15" borderId="20" xfId="0" applyFont="1" applyFill="1" applyBorder="1" applyAlignment="1">
      <alignment horizontal="center" vertical="center" wrapText="1"/>
    </xf>
    <xf numFmtId="0" fontId="10" fillId="15" borderId="25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38" fillId="15" borderId="1" xfId="0" applyFont="1" applyFill="1" applyBorder="1" applyAlignment="1">
      <alignment horizontal="center" vertical="center" wrapText="1"/>
    </xf>
    <xf numFmtId="0" fontId="31" fillId="0" borderId="76" xfId="0" applyFont="1" applyBorder="1" applyAlignment="1">
      <alignment horizontal="left" vertical="center"/>
    </xf>
    <xf numFmtId="0" fontId="31" fillId="0" borderId="68" xfId="0" applyFont="1" applyBorder="1" applyAlignment="1">
      <alignment horizontal="left" vertical="center"/>
    </xf>
    <xf numFmtId="0" fontId="31" fillId="0" borderId="28" xfId="0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5" fillId="0" borderId="74" xfId="0" applyFont="1" applyBorder="1" applyAlignment="1" applyProtection="1">
      <alignment horizontal="center" vertical="top" wrapText="1"/>
      <protection locked="0"/>
    </xf>
    <xf numFmtId="14" fontId="41" fillId="15" borderId="1" xfId="0" applyNumberFormat="1" applyFont="1" applyFill="1" applyBorder="1" applyAlignment="1">
      <alignment horizontal="right" vertical="center" wrapText="1"/>
    </xf>
    <xf numFmtId="0" fontId="41" fillId="15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28" xfId="0" applyFont="1" applyFill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84" xfId="0" applyFont="1" applyBorder="1" applyAlignment="1">
      <alignment horizontal="center" vertical="center" wrapText="1"/>
    </xf>
    <xf numFmtId="0" fontId="12" fillId="15" borderId="18" xfId="0" applyFont="1" applyFill="1" applyBorder="1" applyAlignment="1" applyProtection="1">
      <alignment horizontal="center" vertical="center" wrapText="1"/>
      <protection locked="0"/>
    </xf>
    <xf numFmtId="0" fontId="12" fillId="15" borderId="66" xfId="0" applyFont="1" applyFill="1" applyBorder="1" applyAlignment="1" applyProtection="1">
      <alignment horizontal="center" vertical="center" wrapText="1"/>
      <protection locked="0"/>
    </xf>
    <xf numFmtId="0" fontId="12" fillId="15" borderId="67" xfId="0" applyFont="1" applyFill="1" applyBorder="1" applyAlignment="1" applyProtection="1">
      <alignment horizontal="center" vertical="center" wrapText="1"/>
      <protection locked="0"/>
    </xf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2" xfId="0" applyFont="1" applyBorder="1" applyAlignment="1">
      <alignment horizontal="center"/>
    </xf>
    <xf numFmtId="0" fontId="29" fillId="0" borderId="76" xfId="0" applyFont="1" applyBorder="1" applyAlignment="1">
      <alignment horizontal="center" vertical="center" wrapText="1"/>
    </xf>
    <xf numFmtId="0" fontId="29" fillId="0" borderId="68" xfId="0" applyFont="1" applyBorder="1" applyAlignment="1">
      <alignment horizontal="center" vertical="center" wrapText="1"/>
    </xf>
    <xf numFmtId="0" fontId="29" fillId="0" borderId="27" xfId="0" applyFont="1" applyBorder="1" applyAlignment="1">
      <alignment horizontal="center" vertical="center" wrapText="1"/>
    </xf>
    <xf numFmtId="0" fontId="28" fillId="15" borderId="75" xfId="0" applyFont="1" applyFill="1" applyBorder="1" applyAlignment="1">
      <alignment horizontal="center" vertical="center" wrapText="1"/>
    </xf>
    <xf numFmtId="0" fontId="28" fillId="15" borderId="69" xfId="0" applyFont="1" applyFill="1" applyBorder="1" applyAlignment="1">
      <alignment horizontal="center" vertical="center" wrapText="1"/>
    </xf>
    <xf numFmtId="0" fontId="28" fillId="15" borderId="26" xfId="0" applyFont="1" applyFill="1" applyBorder="1" applyAlignment="1">
      <alignment horizontal="center" vertical="center" wrapText="1"/>
    </xf>
    <xf numFmtId="0" fontId="32" fillId="15" borderId="1" xfId="0" applyFont="1" applyFill="1" applyBorder="1" applyAlignment="1">
      <alignment horizontal="center" vertical="center" wrapText="1"/>
    </xf>
    <xf numFmtId="0" fontId="4" fillId="6" borderId="85" xfId="0" applyFont="1" applyFill="1" applyBorder="1" applyAlignment="1">
      <alignment horizontal="center"/>
    </xf>
    <xf numFmtId="0" fontId="4" fillId="6" borderId="86" xfId="0" applyFont="1" applyFill="1" applyBorder="1" applyAlignment="1">
      <alignment horizontal="center"/>
    </xf>
    <xf numFmtId="0" fontId="16" fillId="0" borderId="77" xfId="0" applyFont="1" applyBorder="1" applyAlignment="1" applyProtection="1">
      <alignment horizontal="center" vertical="center"/>
      <protection locked="0"/>
    </xf>
    <xf numFmtId="0" fontId="16" fillId="0" borderId="70" xfId="0" applyFont="1" applyBorder="1" applyAlignment="1" applyProtection="1">
      <alignment horizontal="center" vertical="center"/>
      <protection locked="0"/>
    </xf>
    <xf numFmtId="0" fontId="16" fillId="0" borderId="84" xfId="0" applyFont="1" applyBorder="1" applyAlignment="1" applyProtection="1">
      <alignment horizontal="center" vertical="center"/>
      <protection locked="0"/>
    </xf>
    <xf numFmtId="0" fontId="31" fillId="0" borderId="76" xfId="0" applyFont="1" applyBorder="1" applyAlignment="1">
      <alignment horizontal="left" vertical="center" wrapText="1"/>
    </xf>
    <xf numFmtId="0" fontId="31" fillId="0" borderId="68" xfId="0" applyFont="1" applyBorder="1" applyAlignment="1">
      <alignment horizontal="left" vertical="center" wrapText="1"/>
    </xf>
    <xf numFmtId="0" fontId="31" fillId="0" borderId="28" xfId="0" applyFont="1" applyBorder="1" applyAlignment="1">
      <alignment horizontal="left" vertical="center" wrapText="1"/>
    </xf>
    <xf numFmtId="0" fontId="31" fillId="0" borderId="77" xfId="0" applyFont="1" applyBorder="1" applyAlignment="1">
      <alignment horizontal="left" vertical="center" wrapText="1"/>
    </xf>
    <xf numFmtId="0" fontId="31" fillId="0" borderId="70" xfId="0" applyFont="1" applyBorder="1" applyAlignment="1">
      <alignment horizontal="left" vertical="center" wrapText="1"/>
    </xf>
    <xf numFmtId="0" fontId="31" fillId="0" borderId="84" xfId="0" applyFont="1" applyBorder="1" applyAlignment="1">
      <alignment horizontal="left" vertical="center" wrapText="1"/>
    </xf>
    <xf numFmtId="0" fontId="10" fillId="15" borderId="75" xfId="0" applyFont="1" applyFill="1" applyBorder="1" applyAlignment="1">
      <alignment horizontal="center" vertical="center" wrapText="1"/>
    </xf>
    <xf numFmtId="0" fontId="10" fillId="15" borderId="69" xfId="0" applyFont="1" applyFill="1" applyBorder="1" applyAlignment="1">
      <alignment horizontal="center" vertical="center" wrapText="1"/>
    </xf>
    <xf numFmtId="0" fontId="10" fillId="15" borderId="26" xfId="0" applyFont="1" applyFill="1" applyBorder="1" applyAlignment="1">
      <alignment horizontal="center" vertical="center" wrapText="1"/>
    </xf>
    <xf numFmtId="0" fontId="29" fillId="0" borderId="81" xfId="0" applyFont="1" applyBorder="1" applyAlignment="1">
      <alignment horizontal="left" vertical="center"/>
    </xf>
    <xf numFmtId="0" fontId="29" fillId="0" borderId="74" xfId="0" applyFont="1" applyBorder="1" applyAlignment="1">
      <alignment horizontal="left" vertical="center"/>
    </xf>
    <xf numFmtId="0" fontId="29" fillId="0" borderId="82" xfId="0" applyFont="1" applyBorder="1" applyAlignment="1">
      <alignment horizontal="left" vertical="center"/>
    </xf>
    <xf numFmtId="0" fontId="29" fillId="0" borderId="76" xfId="0" applyFont="1" applyBorder="1" applyAlignment="1">
      <alignment horizontal="left" vertical="center"/>
    </xf>
    <xf numFmtId="0" fontId="29" fillId="0" borderId="68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12" fillId="6" borderId="87" xfId="0" applyFont="1" applyFill="1" applyBorder="1" applyAlignment="1" applyProtection="1">
      <alignment horizontal="center" vertical="center" wrapText="1"/>
      <protection locked="0"/>
    </xf>
    <xf numFmtId="0" fontId="12" fillId="6" borderId="43" xfId="0" applyFont="1" applyFill="1" applyBorder="1" applyAlignment="1" applyProtection="1">
      <alignment horizontal="center" vertical="center" wrapText="1"/>
      <protection locked="0"/>
    </xf>
    <xf numFmtId="0" fontId="12" fillId="6" borderId="24" xfId="0" applyFont="1" applyFill="1" applyBorder="1" applyAlignment="1" applyProtection="1">
      <alignment horizontal="center" vertical="center" wrapText="1"/>
      <protection locked="0"/>
    </xf>
    <xf numFmtId="0" fontId="31" fillId="0" borderId="76" xfId="0" applyFont="1" applyBorder="1" applyAlignment="1" applyProtection="1">
      <alignment horizontal="left" vertical="center" wrapText="1"/>
      <protection locked="0"/>
    </xf>
    <xf numFmtId="0" fontId="31" fillId="0" borderId="68" xfId="0" applyFont="1" applyBorder="1" applyAlignment="1" applyProtection="1">
      <alignment horizontal="left" vertical="center" wrapText="1"/>
      <protection locked="0"/>
    </xf>
    <xf numFmtId="0" fontId="31" fillId="0" borderId="28" xfId="0" applyFont="1" applyBorder="1" applyAlignment="1" applyProtection="1">
      <alignment horizontal="left" vertical="center" wrapText="1"/>
      <protection locked="0"/>
    </xf>
    <xf numFmtId="0" fontId="29" fillId="0" borderId="78" xfId="0" applyFont="1" applyBorder="1" applyAlignment="1">
      <alignment horizontal="left" vertical="center"/>
    </xf>
    <xf numFmtId="0" fontId="29" fillId="0" borderId="79" xfId="0" applyFont="1" applyBorder="1" applyAlignment="1">
      <alignment horizontal="left" vertical="center"/>
    </xf>
    <xf numFmtId="0" fontId="29" fillId="0" borderId="80" xfId="0" applyFont="1" applyBorder="1" applyAlignment="1">
      <alignment horizontal="left" vertical="center"/>
    </xf>
    <xf numFmtId="0" fontId="12" fillId="0" borderId="76" xfId="0" applyFont="1" applyBorder="1" applyAlignment="1">
      <alignment horizontal="center" vertical="center" wrapText="1"/>
    </xf>
    <xf numFmtId="0" fontId="12" fillId="0" borderId="68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5" fillId="7" borderId="56" xfId="0" applyFont="1" applyFill="1" applyBorder="1" applyAlignment="1">
      <alignment horizontal="center"/>
    </xf>
    <xf numFmtId="0" fontId="25" fillId="7" borderId="57" xfId="0" applyFont="1" applyFill="1" applyBorder="1" applyAlignment="1">
      <alignment horizontal="center"/>
    </xf>
    <xf numFmtId="0" fontId="25" fillId="7" borderId="58" xfId="0" applyFont="1" applyFill="1" applyBorder="1" applyAlignment="1">
      <alignment horizontal="center"/>
    </xf>
    <xf numFmtId="0" fontId="25" fillId="7" borderId="59" xfId="0" applyFont="1" applyFill="1" applyBorder="1" applyAlignment="1">
      <alignment horizontal="center"/>
    </xf>
    <xf numFmtId="0" fontId="25" fillId="7" borderId="60" xfId="0" applyFont="1" applyFill="1" applyBorder="1" applyAlignment="1">
      <alignment horizontal="center"/>
    </xf>
    <xf numFmtId="0" fontId="25" fillId="7" borderId="38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166" fontId="25" fillId="7" borderId="44" xfId="0" applyNumberFormat="1" applyFont="1" applyFill="1" applyBorder="1" applyAlignment="1">
      <alignment horizontal="center"/>
    </xf>
    <xf numFmtId="166" fontId="25" fillId="7" borderId="45" xfId="0" applyNumberFormat="1" applyFont="1" applyFill="1" applyBorder="1" applyAlignment="1">
      <alignment horizontal="center"/>
    </xf>
    <xf numFmtId="166" fontId="25" fillId="7" borderId="46" xfId="0" applyNumberFormat="1" applyFont="1" applyFill="1" applyBorder="1" applyAlignment="1">
      <alignment horizontal="center"/>
    </xf>
    <xf numFmtId="9" fontId="27" fillId="14" borderId="15" xfId="3" applyFont="1" applyFill="1" applyBorder="1" applyAlignment="1">
      <alignment horizontal="center" vertical="center"/>
    </xf>
    <xf numFmtId="9" fontId="27" fillId="14" borderId="13" xfId="3" applyFont="1" applyFill="1" applyBorder="1" applyAlignment="1">
      <alignment horizontal="center" vertical="center"/>
    </xf>
    <xf numFmtId="9" fontId="27" fillId="14" borderId="4" xfId="3" applyFont="1" applyFill="1" applyBorder="1" applyAlignment="1">
      <alignment horizontal="center" vertical="center"/>
    </xf>
    <xf numFmtId="166" fontId="27" fillId="14" borderId="17" xfId="2" applyNumberFormat="1" applyFont="1" applyFill="1" applyBorder="1" applyAlignment="1">
      <alignment horizontal="center" vertical="center"/>
    </xf>
    <xf numFmtId="166" fontId="27" fillId="14" borderId="43" xfId="2" applyNumberFormat="1" applyFont="1" applyFill="1" applyBorder="1" applyAlignment="1">
      <alignment horizontal="center" vertical="center"/>
    </xf>
    <xf numFmtId="166" fontId="27" fillId="14" borderId="24" xfId="2" applyNumberFormat="1" applyFont="1" applyFill="1" applyBorder="1" applyAlignment="1">
      <alignment horizontal="center" vertical="center"/>
    </xf>
    <xf numFmtId="0" fontId="25" fillId="7" borderId="61" xfId="0" applyFont="1" applyFill="1" applyBorder="1" applyAlignment="1">
      <alignment horizontal="center"/>
    </xf>
    <xf numFmtId="0" fontId="25" fillId="7" borderId="62" xfId="0" applyFont="1" applyFill="1" applyBorder="1" applyAlignment="1">
      <alignment horizontal="center"/>
    </xf>
    <xf numFmtId="0" fontId="25" fillId="7" borderId="63" xfId="0" applyFont="1" applyFill="1" applyBorder="1" applyAlignment="1">
      <alignment horizontal="center"/>
    </xf>
    <xf numFmtId="0" fontId="19" fillId="11" borderId="13" xfId="0" applyFont="1" applyFill="1" applyBorder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19" fillId="11" borderId="4" xfId="0" applyFont="1" applyFill="1" applyBorder="1" applyAlignment="1">
      <alignment horizontal="center" vertical="center"/>
    </xf>
    <xf numFmtId="0" fontId="19" fillId="11" borderId="42" xfId="0" applyFont="1" applyFill="1" applyBorder="1" applyAlignment="1">
      <alignment horizontal="center" vertical="center"/>
    </xf>
    <xf numFmtId="0" fontId="63" fillId="23" borderId="0" xfId="0" applyFont="1" applyFill="1">
      <alignment vertical="center"/>
    </xf>
    <xf numFmtId="15" fontId="14" fillId="23" borderId="0" xfId="2" applyNumberFormat="1" applyFont="1" applyFill="1" applyAlignment="1">
      <alignment vertical="center"/>
    </xf>
  </cellXfs>
  <cellStyles count="5">
    <cellStyle name="Comma" xfId="2" builtinId="3"/>
    <cellStyle name="Hyperlink" xfId="1"/>
    <cellStyle name="Normal" xfId="0" builtinId="0"/>
    <cellStyle name="Normal 2" xfId="4"/>
    <cellStyle name="Percent" xfId="3" builtinId="5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wrapText="1"/>
    </dxf>
    <dxf>
      <alignment wrapText="1"/>
    </dxf>
  </dxfs>
  <tableStyles count="0" defaultTableStyle="TableStyleMedium2" defaultPivotStyle="PivotStyleLight16"/>
  <colors>
    <mruColors>
      <color rgb="FF000000"/>
      <color rgb="FF0011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26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4.jpeg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108690</xdr:colOff>
      <xdr:row>0</xdr:row>
      <xdr:rowOff>61257</xdr:rowOff>
    </xdr:from>
    <xdr:to>
      <xdr:col>0</xdr:col>
      <xdr:colOff>1289915</xdr:colOff>
      <xdr:row>1</xdr:row>
      <xdr:rowOff>741735</xdr:rowOff>
    </xdr:to>
    <xdr:pic>
      <xdr:nvPicPr>
        <xdr:cNvPr id="2" name="image1.png" descr=" 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411249" y="61257"/>
          <a:ext cx="1181225" cy="117353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 editAs="oneCell">
    <xdr:from>
      <xdr:col>0</xdr:col>
      <xdr:colOff>25101</xdr:colOff>
      <xdr:row>14</xdr:row>
      <xdr:rowOff>268825</xdr:rowOff>
    </xdr:from>
    <xdr:to>
      <xdr:col>0</xdr:col>
      <xdr:colOff>1348740</xdr:colOff>
      <xdr:row>23</xdr:row>
      <xdr:rowOff>268824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36E365-6C90-95BA-4BF6-834C617CB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1" y="4650325"/>
          <a:ext cx="1323639" cy="2505807"/>
        </a:xfrm>
        <a:prstGeom prst="rect">
          <a:avLst/>
        </a:prstGeom>
      </xdr:spPr>
    </xdr:pic>
    <xdr:clientData/>
  </xdr:twoCellAnchor>
  <xdr:twoCellAnchor editAs="oneCell">
    <xdr:from>
      <xdr:col>0</xdr:col>
      <xdr:colOff>14654</xdr:colOff>
      <xdr:row>3</xdr:row>
      <xdr:rowOff>256879</xdr:rowOff>
    </xdr:from>
    <xdr:to>
      <xdr:col>0</xdr:col>
      <xdr:colOff>1337844</xdr:colOff>
      <xdr:row>12</xdr:row>
      <xdr:rowOff>148879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BAED72E-2832-B5F6-2C2A-76488AE30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4" y="1854148"/>
          <a:ext cx="1323190" cy="2397808"/>
        </a:xfrm>
        <a:prstGeom prst="rect">
          <a:avLst/>
        </a:prstGeom>
      </xdr:spPr>
    </xdr:pic>
    <xdr:clientData/>
  </xdr:twoCellAnchor>
  <xdr:twoCellAnchor editAs="oneCell">
    <xdr:from>
      <xdr:col>0</xdr:col>
      <xdr:colOff>24315</xdr:colOff>
      <xdr:row>25</xdr:row>
      <xdr:rowOff>100666</xdr:rowOff>
    </xdr:from>
    <xdr:to>
      <xdr:col>0</xdr:col>
      <xdr:colOff>1349712</xdr:colOff>
      <xdr:row>32</xdr:row>
      <xdr:rowOff>197612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45F629C-DFC6-2228-F208-888183EA9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15" y="7544820"/>
          <a:ext cx="1325397" cy="204590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h" refreshedDate="46017.464861574073" createdVersion="8" refreshedVersion="8" minRefreshableVersion="3" recordCount="1419">
  <cacheSource type="worksheet">
    <worksheetSource ref="A1:H1048576" sheet="F &amp; B"/>
  </cacheSource>
  <cacheFields count="8">
    <cacheField name="S.NO" numFmtId="0">
      <sharedItems containsBlank="1" containsMixedTypes="1" containsNumber="1" containsInteger="1" minValue="1" maxValue="1414"/>
    </cacheField>
    <cacheField name="MEMBERSHIP ID" numFmtId="0">
      <sharedItems containsBlank="1"/>
    </cacheField>
    <cacheField name="NAME" numFmtId="0">
      <sharedItems containsBlank="1"/>
    </cacheField>
    <cacheField name="DATE" numFmtId="0">
      <sharedItems containsNonDate="0" containsDate="1" containsString="0" containsBlank="1" minDate="2025-12-01T00:00:00" maxDate="2025-12-26T00:00:00" count="26">
        <d v="2025-12-01T00:00:00"/>
        <d v="2025-12-02T00:00:00"/>
        <d v="2025-12-04T00:00:00"/>
        <d v="2025-12-03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m/>
      </sharedItems>
    </cacheField>
    <cacheField name="QTY." numFmtId="0">
      <sharedItems containsString="0" containsBlank="1" containsNumber="1" containsInteger="1" minValue="1" maxValue="757"/>
    </cacheField>
    <cacheField name="FOOD ORDER" numFmtId="0">
      <sharedItems containsBlank="1"/>
    </cacheField>
    <cacheField name="AMOUNT" numFmtId="166">
      <sharedItems containsBlank="1" containsMixedTypes="1" containsNumber="1" containsInteger="1" minValue="0" maxValue="5319274"/>
    </cacheField>
    <cacheField name="sst 15%" numFmtId="166">
      <sharedItems containsString="0" containsBlank="1" containsNumber="1" minValue="0" maxValue="784571.100000000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sh" refreshedDate="46017.464889467592" createdVersion="8" refreshedVersion="8" minRefreshableVersion="3" recordCount="1618">
  <cacheSource type="worksheet">
    <worksheetSource ref="A1:U1048576" sheet="FACILITIES"/>
  </cacheSource>
  <cacheFields count="21">
    <cacheField name="S.no" numFmtId="0">
      <sharedItems containsBlank="1" containsMixedTypes="1" containsNumber="1" containsInteger="1" minValue="1" maxValue="344"/>
    </cacheField>
    <cacheField name="Membership number" numFmtId="0">
      <sharedItems containsBlank="1" count="80">
        <s v="HCFM-0684"/>
        <s v="HCFM-0526"/>
        <s v="HCFM-0515"/>
        <s v="HCFM-0597"/>
        <s v="HCFM-0512"/>
        <s v="HCFM-0548"/>
        <s v="HCFM-0609"/>
        <s v="HCFM-0586"/>
        <s v="HCFM-0596"/>
        <s v="HCFM-0664"/>
        <s v="HCFM-0642"/>
        <s v="HCFM-0657"/>
        <s v="HCFM-0534"/>
        <s v="HCFM-0502"/>
        <s v="HCFM-0509"/>
        <s v="HCFM-0543"/>
        <s v="HCFM-0524"/>
        <s v="HCFM-0644"/>
        <s v="HCFM-0648"/>
        <s v="HCFM-0518"/>
        <s v="HCFM-0542"/>
        <s v="HCFM-0654"/>
        <s v="HCFM-0650"/>
        <s v="HCFM-0641"/>
        <s v="HCFM-0510"/>
        <s v="HCFM-0554"/>
        <s v="HCFM-0"/>
        <s v="HCFM-0506"/>
        <s v="HCFM-0682"/>
        <s v="HCFM-0516"/>
        <s v="HCFM-0656"/>
        <s v="HCFM-0508"/>
        <s v="HCFM-0670"/>
        <s v="HCFM-0545"/>
        <s v="HCFM-0683"/>
        <s v="HCFM-0556"/>
        <s v="HCFM-0519"/>
        <s v="HCFM-0521"/>
        <s v="HCFM-0655"/>
        <s v="HCFM-0513"/>
        <s v="HCFM-0638"/>
        <s v="HCFM-0639"/>
        <s v="HCFM-0536"/>
        <s v="HCFM-0659"/>
        <s v="HCFM-0583"/>
        <s v="HCFM-0503"/>
        <s v="HCFM-0668"/>
        <s v="HCFM-0667"/>
        <s v="HCFM-0539"/>
        <s v="HCFM-0680"/>
        <s v="HCFM-0671"/>
        <s v="HCFM-0686"/>
        <s v="HCFM-0674"/>
        <s v="HCFM-0514"/>
        <s v="HCFM-0520"/>
        <s v="HCFM-0593"/>
        <s v="HCFM-0598"/>
        <s v="HCFM-0558"/>
        <s v="HCFM-0530"/>
        <s v="HCFM-0672"/>
        <s v="HCFM-0533"/>
        <s v="HCFM-0504"/>
        <s v="HCFM-0541"/>
        <s v="HCFM-0678"/>
        <s v="HCFM-0679"/>
        <s v="HCFM-0544"/>
        <s v="HCFM-0588"/>
        <s v="HCFM-0546"/>
        <s v="HCFM-0549"/>
        <s v="HCFM-0669"/>
        <s v="HCFM-0540"/>
        <s v="HCFM-0585"/>
        <s v="HCFM-0601"/>
        <s v="HCFM-0651"/>
        <s v="HCFM-0522"/>
        <s v="HCFM-0677"/>
        <s v="HCFM-0529"/>
        <s v="HCFM-0551"/>
        <s v="HCFM-0538"/>
        <m/>
      </sharedItems>
    </cacheField>
    <cacheField name="Name" numFmtId="0">
      <sharedItems containsBlank="1"/>
    </cacheField>
    <cacheField name="Date" numFmtId="0">
      <sharedItems containsNonDate="0" containsDate="1" containsString="0" containsBlank="1" minDate="2025-11-01T00:00:00" maxDate="2025-12-26T00:00:00" count="28"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m/>
        <d v="2025-11-01T00:00:00" u="1"/>
        <d v="2025-11-02T00:00:00" u="1"/>
      </sharedItems>
    </cacheField>
    <cacheField name="Bowling Alley" numFmtId="0">
      <sharedItems containsString="0" containsBlank="1" containsNumber="1" containsInteger="1" minValue="0" maxValue="89100"/>
    </cacheField>
    <cacheField name="Gym" numFmtId="0">
      <sharedItems containsString="0" containsBlank="1" containsNumber="1" containsInteger="1" minValue="0" maxValue="34050"/>
    </cacheField>
    <cacheField name="Family Pool" numFmtId="0">
      <sharedItems containsString="0" containsBlank="1" containsNumber="1" containsInteger="1" minValue="0" maxValue="1500"/>
    </cacheField>
    <cacheField name="Squash Court" numFmtId="166">
      <sharedItems containsString="0" containsBlank="1" containsNumber="1" containsInteger="1" minValue="0" maxValue="7500"/>
    </cacheField>
    <cacheField name="Ladies Pool" numFmtId="166">
      <sharedItems containsString="0" containsBlank="1" containsNumber="1" containsInteger="1" minValue="0" maxValue="300"/>
    </cacheField>
    <cacheField name="Amusement Arcade" numFmtId="166">
      <sharedItems containsString="0" containsBlank="1" containsNumber="1" containsInteger="1" minValue="0" maxValue="109100"/>
    </cacheField>
    <cacheField name="Cinema" numFmtId="166">
      <sharedItems containsString="0" containsBlank="1" containsNumber="1" containsInteger="1" minValue="0" maxValue="17000"/>
    </cacheField>
    <cacheField name="Cigar Lounge" numFmtId="166">
      <sharedItems containsString="0" containsBlank="1" containsNumber="1" containsInteger="1" minValue="0" maxValue="0"/>
    </cacheField>
    <cacheField name="Pool Lockers" numFmtId="166">
      <sharedItems containsString="0" containsBlank="1" containsNumber="1" containsInteger="1" minValue="0" maxValue="200"/>
    </cacheField>
    <cacheField name="SPA" numFmtId="166">
      <sharedItems containsString="0" containsBlank="1" containsNumber="1" containsInteger="1" minValue="0" maxValue="3000"/>
    </cacheField>
    <cacheField name="Padel Court" numFmtId="166">
      <sharedItems containsString="0" containsBlank="1" containsNumber="1" containsInteger="1" minValue="0" maxValue="78450"/>
    </cacheField>
    <cacheField name="Ladies Saloon" numFmtId="166">
      <sharedItems containsString="0" containsBlank="1" containsNumber="1" containsInteger="1" minValue="0" maxValue="261400"/>
    </cacheField>
    <cacheField name="HC Chambers" numFmtId="166">
      <sharedItems containsString="0" containsBlank="1" containsNumber="1" containsInteger="1" minValue="0" maxValue="0"/>
    </cacheField>
    <cacheField name="Gym Sub" numFmtId="166">
      <sharedItems containsString="0" containsBlank="1" containsNumber="1" containsInteger="1" minValue="0" maxValue="0"/>
    </cacheField>
    <cacheField name="Vanue Charges" numFmtId="166">
      <sharedItems containsString="0" containsBlank="1" containsNumber="1" containsInteger="1" minValue="0" maxValue="635000"/>
    </cacheField>
    <cacheField name="PARTY CHARGES" numFmtId="166">
      <sharedItems containsString="0" containsBlank="1" containsNumber="1" containsInteger="1" minValue="0" maxValue="508000"/>
    </cacheField>
    <cacheField name="TOTAL" numFmtId="166">
      <sharedItems containsString="0" containsBlank="1" containsNumber="1" containsInteger="1" minValue="0" maxValue="1744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9">
  <r>
    <n v="1"/>
    <s v="HCFM-0684"/>
    <s v="MR. ZAMIR ALI SHAH"/>
    <x v="0"/>
    <n v="8"/>
    <s v="SODA WATER CAN"/>
    <n v="1600"/>
    <n v="240"/>
  </r>
  <r>
    <n v="2"/>
    <s v="HCFM-0684"/>
    <s v="MR. ZAMIR ALI SHAH"/>
    <x v="0"/>
    <n v="4"/>
    <s v="CORKAGE"/>
    <n v="4000"/>
    <n v="600"/>
  </r>
  <r>
    <n v="3"/>
    <s v="HCFM-0684"/>
    <s v="MR. ZAMIR ALI SHAH"/>
    <x v="0"/>
    <n v="1"/>
    <s v="PRAWN TEMPURA"/>
    <n v="2000"/>
    <n v="300"/>
  </r>
  <r>
    <n v="4"/>
    <s v="HCFM-0684"/>
    <s v="MR. ZAMIR ALI SHAH"/>
    <x v="0"/>
    <n v="1"/>
    <s v="CHICKEN ROULADE"/>
    <n v="850"/>
    <n v="127.5"/>
  </r>
  <r>
    <n v="5"/>
    <s v="HCFM-0684"/>
    <s v="MR. ZAMIR ALI SHAH"/>
    <x v="0"/>
    <n v="1"/>
    <s v="HC SPECIAL MUTTON KARAHI"/>
    <n v="1800"/>
    <n v="270"/>
  </r>
  <r>
    <n v="6"/>
    <s v="HCFM-0684"/>
    <s v="MR. ZAMIR ALI SHAH"/>
    <x v="0"/>
    <n v="1"/>
    <s v="DRY BEEF CHILLI"/>
    <n v="999"/>
    <n v="149.85"/>
  </r>
  <r>
    <n v="7"/>
    <s v="HCFM-0684"/>
    <s v="MR. ZAMIR ALI SHAH"/>
    <x v="0"/>
    <n v="1"/>
    <s v="RAITA"/>
    <n v="200"/>
    <n v="30"/>
  </r>
  <r>
    <n v="8"/>
    <s v="HCFM-0684"/>
    <s v="MR. ZAMIR ALI SHAH"/>
    <x v="0"/>
    <n v="1"/>
    <s v="FRESH GARDEN SALAD"/>
    <n v="800"/>
    <n v="120"/>
  </r>
  <r>
    <n v="9"/>
    <s v="HCFM-0684"/>
    <s v="MR. ZAMIR ALI SHAH"/>
    <x v="0"/>
    <n v="1"/>
    <s v="MINERAL WATER LARGE"/>
    <n v="150"/>
    <n v="22.5"/>
  </r>
  <r>
    <n v="10"/>
    <s v="HCFM-0503"/>
    <s v="MR.GHULAM NABI OTHI"/>
    <x v="0"/>
    <n v="1"/>
    <s v="SPECIAL CHICKEN POPCORN"/>
    <n v="500"/>
    <n v="75"/>
  </r>
  <r>
    <n v="11"/>
    <s v="HCFM-0503"/>
    <s v="MR.GHULAM NABI OTHI"/>
    <x v="0"/>
    <n v="1"/>
    <s v="CREAM OF MASHROOM SOUP"/>
    <n v="400"/>
    <n v="60"/>
  </r>
  <r>
    <n v="12"/>
    <s v="HCFM-0503"/>
    <s v="MR.GHULAM NABI OTHI"/>
    <x v="0"/>
    <n v="1"/>
    <s v="RAITA"/>
    <n v="200"/>
    <n v="30"/>
  </r>
  <r>
    <n v="13"/>
    <s v="HCFM-0503"/>
    <s v="MR.GHULAM NABI OTHI"/>
    <x v="0"/>
    <n v="1"/>
    <s v="MINERAL WATER LARGE"/>
    <n v="150"/>
    <n v="22.5"/>
  </r>
  <r>
    <n v="14"/>
    <s v="HCFM-0534"/>
    <s v="MR.PIR MUJEEB JAN SARHANDI"/>
    <x v="0"/>
    <n v="2"/>
    <s v="MIX TEA"/>
    <n v="400"/>
    <n v="60"/>
  </r>
  <r>
    <n v="15"/>
    <s v="HCFM-0525"/>
    <s v="DR.SAJJAD AHMED SOLANGI"/>
    <x v="0"/>
    <n v="4"/>
    <s v="HOT N SOUR SOUP"/>
    <n v="1400"/>
    <n v="210"/>
  </r>
  <r>
    <n v="16"/>
    <s v="HCFM-0525"/>
    <s v="DR.SAJJAD AHMED SOLANGI"/>
    <x v="0"/>
    <n v="1"/>
    <s v="CHINESE CORN SOUP"/>
    <n v="250"/>
    <n v="37.5"/>
  </r>
  <r>
    <n v="17"/>
    <s v="HCFM-0525"/>
    <s v="DR.SAJJAD AHMED SOLANGI"/>
    <x v="0"/>
    <n v="1"/>
    <s v="HC SPECIAL MUTTON KARAHI"/>
    <n v="1800"/>
    <n v="270"/>
  </r>
  <r>
    <n v="18"/>
    <s v="HCFM-0525"/>
    <s v="DR.SAJJAD AHMED SOLANGI"/>
    <x v="0"/>
    <n v="1"/>
    <s v="RAITA"/>
    <n v="200"/>
    <n v="30"/>
  </r>
  <r>
    <n v="19"/>
    <s v="HCFM-0525"/>
    <s v="DR.SAJJAD AHMED SOLANGI"/>
    <x v="0"/>
    <n v="1"/>
    <s v="FRESH GARDEN SALAD"/>
    <n v="800"/>
    <n v="120"/>
  </r>
  <r>
    <n v="20"/>
    <s v="HCFM-0525"/>
    <s v="DR.SAJJAD AHMED SOLANGI"/>
    <x v="0"/>
    <n v="6"/>
    <s v="PLAIN NAAN"/>
    <n v="420"/>
    <n v="63"/>
  </r>
  <r>
    <n v="21"/>
    <s v="HCFM-0525"/>
    <s v="DR.SAJJAD AHMED SOLANGI"/>
    <x v="0"/>
    <n v="1"/>
    <s v="MINERAL WATER LARGE"/>
    <n v="150"/>
    <n v="22.5"/>
  </r>
  <r>
    <n v="22"/>
    <s v="HCFM-0525"/>
    <s v="DR.SAJJAD AHMED SOLANGI"/>
    <x v="0"/>
    <n v="1"/>
    <s v="MIX TEA"/>
    <n v="200"/>
    <n v="30"/>
  </r>
  <r>
    <n v="23"/>
    <s v="HCFM-0525"/>
    <s v="DR.SAJJAD AHMED SOLANGI"/>
    <x v="0"/>
    <n v="1"/>
    <s v="SOFT DRINKS"/>
    <n v="150"/>
    <n v="22.5"/>
  </r>
  <r>
    <n v="24"/>
    <s v="HCFM-0525"/>
    <s v="DR.SAJJAD AHMED SOLANGI"/>
    <x v="0"/>
    <n v="1"/>
    <s v="CHICKEN SHASHLIK RICE"/>
    <n v="800"/>
    <n v="120"/>
  </r>
  <r>
    <n v="25"/>
    <s v="HCFM-0522"/>
    <s v="MR.IQBAL AHMED MALLAH"/>
    <x v="1"/>
    <n v="4"/>
    <s v="BLACK LABEL SINGLE WL"/>
    <n v="4000"/>
    <n v="600"/>
  </r>
  <r>
    <n v="26"/>
    <s v="HCFM-0522"/>
    <s v="MR.IQBAL AHMED MALLAH"/>
    <x v="1"/>
    <n v="1"/>
    <s v="FINGER FISH N CHIPS"/>
    <n v="1250"/>
    <n v="187.5"/>
  </r>
  <r>
    <n v="27"/>
    <s v="HCFM-0522"/>
    <s v="MR.IQBAL AHMED MALLAH"/>
    <x v="1"/>
    <n v="1"/>
    <s v="SHISH TAOUK"/>
    <n v="1200"/>
    <n v="180"/>
  </r>
  <r>
    <n v="28"/>
    <s v="HCFM-0522"/>
    <s v="MR.IQBAL AHMED MALLAH"/>
    <x v="1"/>
    <n v="1"/>
    <s v="RESHMI SEEKH KABAB"/>
    <n v="999"/>
    <n v="149.85"/>
  </r>
  <r>
    <n v="29"/>
    <s v="HCFM-0522"/>
    <s v="MR.IQBAL AHMED MALLAH"/>
    <x v="1"/>
    <n v="1"/>
    <s v="MINERAL WATER LARGE"/>
    <n v="150"/>
    <n v="22.5"/>
  </r>
  <r>
    <n v="30"/>
    <s v="HCFM-0522"/>
    <s v="MR.IQBAL AHMED MALLAH"/>
    <x v="1"/>
    <n v="1"/>
    <s v="MIX TEA"/>
    <n v="200"/>
    <n v="30"/>
  </r>
  <r>
    <n v="31"/>
    <s v="HCFM-0522"/>
    <s v="MR.IQBAL AHMED MALLAH"/>
    <x v="1"/>
    <n v="1"/>
    <s v="SOFT DRINKS"/>
    <n v="150"/>
    <n v="22.5"/>
  </r>
  <r>
    <n v="32"/>
    <s v="HCFM-0522"/>
    <s v="MR.IQBAL AHMED MALLAH"/>
    <x v="1"/>
    <n v="3"/>
    <s v="PLAIN NAAN"/>
    <n v="210"/>
    <n v="31.5"/>
  </r>
  <r>
    <n v="33"/>
    <s v="HCFM-0523"/>
    <s v="MR.KANYO LAL"/>
    <x v="1"/>
    <n v="2"/>
    <s v="MINERAL WATER LARGE"/>
    <n v="300"/>
    <n v="45"/>
  </r>
  <r>
    <n v="34"/>
    <s v="HCFM-0523"/>
    <s v="MR.KANYO LAL"/>
    <x v="1"/>
    <n v="1"/>
    <s v="MUGHLAI HANDI"/>
    <n v="1300"/>
    <n v="195"/>
  </r>
  <r>
    <n v="35"/>
    <s v="HCFM-0523"/>
    <s v="MR.KANYO LAL"/>
    <x v="1"/>
    <n v="1"/>
    <s v="CHICKEN PESHAWARI KARAHI"/>
    <n v="900"/>
    <n v="135"/>
  </r>
  <r>
    <n v="36"/>
    <s v="HCFM-0523"/>
    <s v="MR.KANYO LAL"/>
    <x v="1"/>
    <n v="2"/>
    <s v="CHINESE FRIED RICE"/>
    <n v="800"/>
    <n v="120"/>
  </r>
  <r>
    <n v="37"/>
    <s v="HCFM-0523"/>
    <s v="MR.KANYO LAL"/>
    <x v="1"/>
    <n v="2"/>
    <s v="FRESH GARDEN SALAD"/>
    <n v="1600"/>
    <n v="240"/>
  </r>
  <r>
    <n v="38"/>
    <s v="HCFM-0523"/>
    <s v="MR.KANYO LAL"/>
    <x v="1"/>
    <n v="2"/>
    <s v="GARLIC NAAN"/>
    <n v="260"/>
    <n v="39"/>
  </r>
  <r>
    <n v="39"/>
    <s v="HCFM-0523"/>
    <s v="MR.KANYO LAL"/>
    <x v="1"/>
    <n v="2"/>
    <s v="ROGHNI NAAN"/>
    <n v="300"/>
    <n v="45"/>
  </r>
  <r>
    <n v="40"/>
    <s v="HCFM-0523"/>
    <s v="MR.KANYO LAL"/>
    <x v="1"/>
    <n v="2"/>
    <s v="PLAIN NAAN"/>
    <n v="140"/>
    <n v="21"/>
  </r>
  <r>
    <n v="41"/>
    <s v="HCFM-0523"/>
    <s v="MR.KANYO LAL"/>
    <x v="1"/>
    <n v="2"/>
    <s v="SOFT DRINKS"/>
    <n v="300"/>
    <n v="45"/>
  </r>
  <r>
    <n v="42"/>
    <s v="HCFM-0523"/>
    <s v="MR.KANYO LAL"/>
    <x v="1"/>
    <n v="1"/>
    <s v="GREEN TEA"/>
    <n v="150"/>
    <n v="22.5"/>
  </r>
  <r>
    <n v="43"/>
    <s v="HCFM-0523"/>
    <s v="MR.KANYO LAL"/>
    <x v="1"/>
    <n v="1"/>
    <s v="CREAM CARAMEL"/>
    <n v="350"/>
    <n v="52.5"/>
  </r>
  <r>
    <n v="44"/>
    <s v="HCFM-0523"/>
    <s v="MR.KANYO LAL"/>
    <x v="1"/>
    <n v="1"/>
    <s v="RAITA"/>
    <n v="200"/>
    <n v="30"/>
  </r>
  <r>
    <n v="45"/>
    <s v="HCFM-0684"/>
    <s v="MR. ZAMIR ALI SHAH"/>
    <x v="1"/>
    <n v="1"/>
    <s v="CHINESE SZECHUAN SOUP"/>
    <n v="350"/>
    <n v="52.5"/>
  </r>
  <r>
    <n v="46"/>
    <s v="HCFM-0684"/>
    <s v="MR. ZAMIR ALI SHAH"/>
    <x v="1"/>
    <n v="1"/>
    <s v="MINERAL WATER SMALL"/>
    <n v="100"/>
    <n v="15"/>
  </r>
  <r>
    <n v="47"/>
    <s v="HCFM-0673"/>
    <s v="MR. AKSHAY RAJ"/>
    <x v="1"/>
    <n v="10"/>
    <s v="MINERAL WATER SMALL"/>
    <n v="1000"/>
    <n v="150"/>
  </r>
  <r>
    <n v="48"/>
    <s v="HCFM-0673"/>
    <s v="MR. AKSHAY RAJ"/>
    <x v="1"/>
    <n v="6"/>
    <s v="COFFEE CAPPUCINO"/>
    <n v="2100"/>
    <n v="315"/>
  </r>
  <r>
    <n v="49"/>
    <s v="HCFM-0673"/>
    <s v="MR. AKSHAY RAJ"/>
    <x v="1"/>
    <n v="3"/>
    <s v="GREEN TEA"/>
    <n v="450"/>
    <n v="67.5"/>
  </r>
  <r>
    <n v="50"/>
    <s v="HCFM-0673"/>
    <s v="MR. AKSHAY RAJ"/>
    <x v="1"/>
    <n v="1"/>
    <s v="MIX TEA"/>
    <n v="200"/>
    <n v="30"/>
  </r>
  <r>
    <n v="51"/>
    <s v="HCFM-0673"/>
    <s v="MR. AKSHAY RAJ"/>
    <x v="1"/>
    <n v="2"/>
    <s v="ASSORTED COOKIES"/>
    <n v="800"/>
    <n v="120"/>
  </r>
  <r>
    <n v="52"/>
    <s v="HCFM-0679"/>
    <s v="MR. ANEEL ZAHOOR"/>
    <x v="1"/>
    <n v="2"/>
    <s v="ZINGER BURGER"/>
    <n v="1400"/>
    <n v="210"/>
  </r>
  <r>
    <n v="53"/>
    <s v="HCFM-0596"/>
    <s v="DGM AZFAR ALI"/>
    <x v="1"/>
    <n v="1"/>
    <s v="CHINESE CORN SOUP"/>
    <n v="250"/>
    <n v="37.5"/>
  </r>
  <r>
    <n v="54"/>
    <s v="HCFM-0596"/>
    <s v="DGM AZFAR ALI"/>
    <x v="1"/>
    <n v="1"/>
    <s v="CLUB SANDWICH"/>
    <n v="1250"/>
    <n v="187.5"/>
  </r>
  <r>
    <n v="55"/>
    <s v="HCFM-0596"/>
    <s v="DGM AZFAR ALI"/>
    <x v="1"/>
    <n v="1"/>
    <s v="PLAIN FRIES"/>
    <n v="250"/>
    <n v="37.5"/>
  </r>
  <r>
    <n v="56"/>
    <s v="HCFM-0596"/>
    <s v="DGM AZFAR ALI"/>
    <x v="1"/>
    <n v="2"/>
    <s v="MIX TEA"/>
    <n v="400"/>
    <n v="60"/>
  </r>
  <r>
    <n v="57"/>
    <s v="HCFM-0596"/>
    <s v="DGM AZFAR ALI"/>
    <x v="1"/>
    <n v="3"/>
    <s v="CHICKEN PATTIES"/>
    <n v="300"/>
    <n v="45"/>
  </r>
  <r>
    <n v="58"/>
    <s v="HCFM-0596"/>
    <s v="DGM AZFAR ALI"/>
    <x v="1"/>
    <n v="1"/>
    <s v="MINERAL WATER LARGE"/>
    <n v="150"/>
    <n v="22.5"/>
  </r>
  <r>
    <n v="59"/>
    <s v="HCFM-0646"/>
    <s v="BAHRIA INTERNATIONAL HOSPITAL"/>
    <x v="1"/>
    <n v="8"/>
    <s v="ASSORTED COOKIES"/>
    <n v="3200"/>
    <m/>
  </r>
  <r>
    <n v="60"/>
    <s v="HCFM-0668"/>
    <s v="MR. KASHIF SAEED"/>
    <x v="1"/>
    <n v="1"/>
    <s v="CLUB SANDWICH"/>
    <n v="1250"/>
    <n v="187.5"/>
  </r>
  <r>
    <n v="61"/>
    <s v="HCFM-0646"/>
    <s v="BAHRIA INTERNATIONAL HOSPITAL"/>
    <x v="1"/>
    <n v="25"/>
    <s v="CHICKEN PATTIES"/>
    <n v="2500"/>
    <m/>
  </r>
  <r>
    <n v="62"/>
    <s v="HCFM-0646"/>
    <s v="BAHRIA INTERNATIONAL HOSPITAL"/>
    <x v="1"/>
    <n v="10"/>
    <s v="DOUGHNUTS"/>
    <n v="1500"/>
    <m/>
  </r>
  <r>
    <n v="63"/>
    <s v="HCFM-0646"/>
    <s v="BAHRIA INTERNATIONAL HOSPITAL"/>
    <x v="1"/>
    <n v="9"/>
    <s v="ASSORTED PASTRY"/>
    <n v="2250"/>
    <m/>
  </r>
  <r>
    <n v="64"/>
    <s v="HCFM-0515"/>
    <s v="MR.TARIQUE ZUBAIR"/>
    <x v="1"/>
    <n v="1"/>
    <s v="GRILLED CHICKEN SANDWICH"/>
    <n v="575"/>
    <n v="86.25"/>
  </r>
  <r>
    <n v="65"/>
    <s v="HCFM-0515"/>
    <s v="MR.TARIQUE ZUBAIR"/>
    <x v="1"/>
    <n v="4"/>
    <s v="PLAIN NAAN"/>
    <n v="280"/>
    <n v="42"/>
  </r>
  <r>
    <n v="66"/>
    <s v="HCFM-0641"/>
    <s v="AAMIR RASOOL"/>
    <x v="2"/>
    <n v="1"/>
    <s v="MINERAL WATER LARGE"/>
    <n v="150"/>
    <n v="22.5"/>
  </r>
  <r>
    <n v="67"/>
    <s v="HCFM-0641"/>
    <s v="AAMIR RASOOL"/>
    <x v="2"/>
    <n v="1"/>
    <s v="PINA COLADA"/>
    <n v="450"/>
    <n v="67.5"/>
  </r>
  <r>
    <n v="68"/>
    <s v="HCFM-0559"/>
    <s v="MR.SYED HAMID SHAH"/>
    <x v="2"/>
    <n v="1"/>
    <s v="CHICKEN ROULADE"/>
    <n v="850"/>
    <n v="127.5"/>
  </r>
  <r>
    <n v="69"/>
    <s v="HCFM-0559"/>
    <s v="MR.SYED HAMID SHAH"/>
    <x v="2"/>
    <n v="1"/>
    <s v="MINERAL WATER LARGE"/>
    <n v="150"/>
    <n v="22.5"/>
  </r>
  <r>
    <n v="70"/>
    <s v="HCFM-0559"/>
    <s v="MR.SYED HAMID SHAH"/>
    <x v="2"/>
    <n v="1"/>
    <s v="CHICKEN DYNAMITE"/>
    <n v="850"/>
    <n v="127.5"/>
  </r>
  <r>
    <n v="71"/>
    <s v="HCFM-0559"/>
    <s v="MR.SYED HAMID SHAH"/>
    <x v="2"/>
    <n v="1"/>
    <s v="CLUB SANDWICH"/>
    <n v="1250"/>
    <n v="187.5"/>
  </r>
  <r>
    <n v="72"/>
    <s v="HCFM-0559"/>
    <s v="MR.SYED HAMID SHAH"/>
    <x v="2"/>
    <n v="4"/>
    <s v="MINT LEMONADE"/>
    <n v="1400"/>
    <n v="210"/>
  </r>
  <r>
    <n v="73"/>
    <s v="HCFM-0656"/>
    <s v="ZAIB UR REHMAN"/>
    <x v="2"/>
    <n v="1"/>
    <s v="CHICKEN KARAHI"/>
    <n v="900"/>
    <n v="135"/>
  </r>
  <r>
    <n v="74"/>
    <s v="HCFM-0656"/>
    <s v="ZAIB UR REHMAN"/>
    <x v="2"/>
    <n v="6"/>
    <s v="PLAIN NAAN"/>
    <n v="420"/>
    <n v="63"/>
  </r>
  <r>
    <n v="75"/>
    <s v="HCFM-0656"/>
    <s v="ZAIB UR REHMAN"/>
    <x v="2"/>
    <n v="3"/>
    <s v="MEDITERRANEAN GRILLED FISH"/>
    <n v="3300"/>
    <n v="495"/>
  </r>
  <r>
    <n v="76"/>
    <s v="HCFM-0541"/>
    <s v="MR.SHAN ELAHI SEHGAL"/>
    <x v="2"/>
    <n v="1"/>
    <s v="SEPRATE RICE"/>
    <n v="300"/>
    <n v="45"/>
  </r>
  <r>
    <n v="77"/>
    <s v="HCFM-0541"/>
    <s v="MR.SHAN ELAHI SEHGAL"/>
    <x v="2"/>
    <n v="1"/>
    <s v="CHICKEN PATTIES"/>
    <n v="100"/>
    <n v="15"/>
  </r>
  <r>
    <n v="78"/>
    <s v="HCFM-0541"/>
    <s v="MR.SHAN ELAHI SEHGAL"/>
    <x v="2"/>
    <n v="1"/>
    <s v="MINERAL WATER SMALL"/>
    <n v="100"/>
    <n v="15"/>
  </r>
  <r>
    <n v="79"/>
    <s v="HCFM-0654"/>
    <s v="SYED JIBRAN MUSHTAQ"/>
    <x v="2"/>
    <n v="1"/>
    <s v="HOT N SOUR SOUP"/>
    <n v="350"/>
    <n v="52.5"/>
  </r>
  <r>
    <n v="80"/>
    <s v="HCFM-0654"/>
    <s v="SYED JIBRAN MUSHTAQ"/>
    <x v="2"/>
    <n v="3"/>
    <s v="PANE CAKE"/>
    <n v="1350"/>
    <n v="202.5"/>
  </r>
  <r>
    <n v="81"/>
    <s v="HCFM-0654"/>
    <s v="SYED JIBRAN MUSHTAQ"/>
    <x v="2"/>
    <n v="1"/>
    <s v="CLUB SANDWICH"/>
    <n v="1250"/>
    <n v="187.5"/>
  </r>
  <r>
    <n v="82"/>
    <s v="HCFM-0654"/>
    <s v="SYED JIBRAN MUSHTAQ"/>
    <x v="2"/>
    <n v="2"/>
    <s v="MINT LEMONADE"/>
    <n v="700"/>
    <n v="105"/>
  </r>
  <r>
    <n v="83"/>
    <s v="HCFM-0654"/>
    <s v="SYED JIBRAN MUSHTAQ"/>
    <x v="2"/>
    <n v="1"/>
    <s v="PANEER RESHMI HANDI"/>
    <n v="1000"/>
    <n v="150"/>
  </r>
  <r>
    <n v="84"/>
    <s v="HCFM-0654"/>
    <s v="SYED JIBRAN MUSHTAQ"/>
    <x v="2"/>
    <n v="3"/>
    <s v="PLAIN NAAN"/>
    <n v="210"/>
    <n v="31.5"/>
  </r>
  <r>
    <n v="85"/>
    <s v="HCFM-0654"/>
    <s v="SYED JIBRAN MUSHTAQ"/>
    <x v="2"/>
    <n v="1"/>
    <s v="THAI SESAME CHICKEN"/>
    <n v="1200"/>
    <n v="180"/>
  </r>
  <r>
    <n v="86"/>
    <s v="HCFM-0654"/>
    <s v="SYED JIBRAN MUSHTAQ"/>
    <x v="2"/>
    <n v="2"/>
    <s v="MINERAL WATER LARGE"/>
    <n v="300"/>
    <n v="45"/>
  </r>
  <r>
    <n v="87"/>
    <s v="HCFM-0654"/>
    <s v="SYED JIBRAN MUSHTAQ"/>
    <x v="2"/>
    <n v="1"/>
    <s v="PLAIN FRIES"/>
    <n v="250"/>
    <n v="37.5"/>
  </r>
  <r>
    <n v="88"/>
    <s v="HCFM-0654"/>
    <s v="SYED JIBRAN MUSHTAQ"/>
    <x v="2"/>
    <n v="1"/>
    <s v="VEGETABLE FRIED RICE"/>
    <n v="300"/>
    <n v="45"/>
  </r>
  <r>
    <n v="89"/>
    <s v="HCFM-0654"/>
    <s v="SYED JIBRAN MUSHTAQ"/>
    <x v="2"/>
    <n v="4"/>
    <s v="MINERAL WATER SMALL"/>
    <n v="400"/>
    <n v="60"/>
  </r>
  <r>
    <n v="90"/>
    <s v="HCFM-0543"/>
    <s v="MR.MUHAMMAD ATIF USMANI"/>
    <x v="3"/>
    <n v="2"/>
    <s v="HOT N SOUR SOUP"/>
    <n v="700"/>
    <n v="105"/>
  </r>
  <r>
    <n v="91"/>
    <s v="HCFM-0659"/>
    <s v="Heritage club"/>
    <x v="3"/>
    <n v="4"/>
    <s v="COFFEE CAPPUCINO"/>
    <n v="1400"/>
    <n v="210"/>
  </r>
  <r>
    <n v="92"/>
    <s v="HCFM-0659"/>
    <s v="Heritage club"/>
    <x v="3"/>
    <n v="2"/>
    <s v="CLUB SANDWICH"/>
    <n v="2500"/>
    <n v="375"/>
  </r>
  <r>
    <n v="93"/>
    <s v="HCFM-0659"/>
    <s v="Heritage club"/>
    <x v="3"/>
    <n v="1"/>
    <s v="MIX TEA"/>
    <n v="200"/>
    <n v="30"/>
  </r>
  <r>
    <n v="94"/>
    <s v="HCFM-0644"/>
    <s v="SABA AHSAN"/>
    <x v="3"/>
    <n v="1"/>
    <s v="CLUB SANDWICH"/>
    <n v="1250"/>
    <n v="187.5"/>
  </r>
  <r>
    <n v="95"/>
    <s v="HCFM-0644"/>
    <s v="SABA AHSAN"/>
    <x v="3"/>
    <n v="1"/>
    <s v="MINERAL WATER SMALL"/>
    <n v="100"/>
    <n v="15"/>
  </r>
  <r>
    <n v="96"/>
    <s v="HCFM-0677"/>
    <s v="MR. MUNAWAR HUSSAIN"/>
    <x v="3"/>
    <n v="1"/>
    <s v="COFFEE CAPPUCINO"/>
    <n v="350"/>
    <n v="52.5"/>
  </r>
  <r>
    <n v="97"/>
    <s v="HCFM-0677"/>
    <s v="MR. MUNAWAR HUSSAIN"/>
    <x v="3"/>
    <n v="1"/>
    <s v="CHIP COOKIES"/>
    <n v="200"/>
    <n v="30"/>
  </r>
  <r>
    <n v="98"/>
    <s v="HCFM-0638"/>
    <s v="RIAZ FAZAL"/>
    <x v="3"/>
    <n v="1"/>
    <s v="CLUB SANDWICH"/>
    <n v="1250"/>
    <n v="187.5"/>
  </r>
  <r>
    <n v="99"/>
    <s v="HCFM-0581"/>
    <s v="BRIG DR. GHULAM MEHDI (Retd)"/>
    <x v="3"/>
    <n v="1"/>
    <s v="ASSORTED COOKIES"/>
    <n v="400"/>
    <n v="60"/>
  </r>
  <r>
    <n v="100"/>
    <s v="HCFM-0646"/>
    <s v="BAHRIA INTERNATIONAL HOSPITAL"/>
    <x v="3"/>
    <n v="30"/>
    <s v="CHICKEN PATTIES"/>
    <n v="3000"/>
    <m/>
  </r>
  <r>
    <n v="101"/>
    <s v="HCFM-0646"/>
    <s v="BAHRIA INTERNATIONAL HOSPITAL"/>
    <x v="3"/>
    <n v="16"/>
    <s v="ASSORTED PASTRY"/>
    <n v="4000"/>
    <m/>
  </r>
  <r>
    <n v="102"/>
    <s v="HCFM-0646"/>
    <s v="BAHRIA INTERNATIONAL HOSPITAL"/>
    <x v="3"/>
    <n v="10"/>
    <s v="DOUGHNUTS"/>
    <n v="1500"/>
    <m/>
  </r>
  <r>
    <n v="103"/>
    <s v="HCFM-0641"/>
    <s v="AAMIR RASOOL"/>
    <x v="3"/>
    <n v="5"/>
    <s v="HOT N SOUR SOUP"/>
    <n v="1750"/>
    <n v="262.5"/>
  </r>
  <r>
    <n v="104"/>
    <s v="HCFM-0641"/>
    <s v="AAMIR RASOOL"/>
    <x v="3"/>
    <n v="2"/>
    <s v="MINERAL WATER LARGE"/>
    <n v="300"/>
    <n v="45"/>
  </r>
  <r>
    <n v="105"/>
    <s v="HCFM-0661"/>
    <s v="ARSLAN KHAN ABRO "/>
    <x v="3"/>
    <n v="1"/>
    <s v="CLUB SANDWICH"/>
    <n v="1250"/>
    <n v="187.5"/>
  </r>
  <r>
    <n v="106"/>
    <s v="HCFM-0661"/>
    <s v="ARSLAN KHAN ABRO "/>
    <x v="3"/>
    <n v="4"/>
    <s v="MIX TEA"/>
    <n v="800"/>
    <n v="120"/>
  </r>
  <r>
    <n v="107"/>
    <s v="HCFM-0661"/>
    <s v="ARSLAN KHAN ABRO "/>
    <x v="3"/>
    <n v="2"/>
    <s v="MINERAL WATER LARGE"/>
    <n v="300"/>
    <n v="45"/>
  </r>
  <r>
    <n v="108"/>
    <s v="HCFM-0661"/>
    <s v="ARSLAN KHAN ABRO "/>
    <x v="3"/>
    <n v="1"/>
    <s v="HC SPECIAL CHICKEN POPCORN"/>
    <n v="500"/>
    <n v="75"/>
  </r>
  <r>
    <n v="109"/>
    <s v="HCFM-0661"/>
    <s v="ARSLAN KHAN ABRO "/>
    <x v="3"/>
    <n v="2"/>
    <s v="PLAIN COOKIES"/>
    <n v="800"/>
    <n v="120"/>
  </r>
  <r>
    <n v="110"/>
    <s v="HCFM-0650"/>
    <s v="KHURRAM FIRDOUS"/>
    <x v="4"/>
    <n v="4"/>
    <s v="MINERAL WATER SMALL"/>
    <n v="400"/>
    <n v="60"/>
  </r>
  <r>
    <n v="111"/>
    <s v="HCFM-0650"/>
    <s v="KHURRAM FIRDOUS"/>
    <x v="4"/>
    <n v="1"/>
    <s v="MINERAL WATER LARGE"/>
    <n v="150"/>
    <n v="22.5"/>
  </r>
  <r>
    <n v="112"/>
    <s v="HCFM-0650"/>
    <s v="KHURRAM FIRDOUS"/>
    <x v="4"/>
    <n v="3"/>
    <s v="HOT N SOUR SOUP"/>
    <n v="1050"/>
    <n v="157.5"/>
  </r>
  <r>
    <n v="113"/>
    <s v="HCFM-0650"/>
    <s v="KHURRAM FIRDOUS"/>
    <x v="4"/>
    <n v="1"/>
    <s v="MADRASI HANDI"/>
    <n v="900"/>
    <n v="135"/>
  </r>
  <r>
    <n v="114"/>
    <s v="HCFM-0650"/>
    <s v="KHURRAM FIRDOUS"/>
    <x v="4"/>
    <n v="2"/>
    <s v="SHISH TAOUK"/>
    <n v="2400"/>
    <n v="360"/>
  </r>
  <r>
    <n v="115"/>
    <s v="HCFM-0650"/>
    <s v="KHURRAM FIRDOUS"/>
    <x v="4"/>
    <n v="3"/>
    <s v="GARLIC NAAN"/>
    <n v="390"/>
    <n v="58.5"/>
  </r>
  <r>
    <n v="116"/>
    <s v="HCFM-0650"/>
    <s v="KHURRAM FIRDOUS"/>
    <x v="4"/>
    <n v="3"/>
    <s v="PLAIN NAAN"/>
    <n v="210"/>
    <n v="31.5"/>
  </r>
  <r>
    <n v="117"/>
    <s v="HCFM-0650"/>
    <s v="KHURRAM FIRDOUS"/>
    <x v="4"/>
    <n v="1"/>
    <s v="CHICKEN CHOWMEIN"/>
    <n v="950"/>
    <n v="142.5"/>
  </r>
  <r>
    <n v="118"/>
    <s v="HCFM-0649"/>
    <s v="IFTIKHAR SHAH"/>
    <x v="4"/>
    <n v="2"/>
    <s v="HC SPECIAL MUTTON KARAHI"/>
    <n v="3600"/>
    <n v="540"/>
  </r>
  <r>
    <n v="119"/>
    <s v="HCFM-0649"/>
    <s v="IFTIKHAR SHAH"/>
    <x v="4"/>
    <n v="1"/>
    <s v="MIX VEGETABLES"/>
    <n v="400"/>
    <n v="60"/>
  </r>
  <r>
    <n v="120"/>
    <s v="HCFM-0649"/>
    <s v="IFTIKHAR SHAH"/>
    <x v="4"/>
    <n v="1"/>
    <s v="RAITA"/>
    <n v="200"/>
    <n v="30"/>
  </r>
  <r>
    <n v="121"/>
    <s v="HCFM-0649"/>
    <s v="IFTIKHAR SHAH"/>
    <x v="4"/>
    <n v="1"/>
    <s v="KACHUMBER SALAD"/>
    <n v="500"/>
    <n v="75"/>
  </r>
  <r>
    <n v="122"/>
    <s v="HCFM-0649"/>
    <s v="IFTIKHAR SHAH"/>
    <x v="4"/>
    <n v="1"/>
    <s v="MINERAL WATER LARGE"/>
    <n v="150"/>
    <n v="22.5"/>
  </r>
  <r>
    <n v="123"/>
    <s v="HCFM-0649"/>
    <s v="IFTIKHAR SHAH"/>
    <x v="4"/>
    <n v="2"/>
    <s v="PLAIN NAAN"/>
    <n v="140"/>
    <n v="21"/>
  </r>
  <r>
    <n v="124"/>
    <s v="HCFM-0649"/>
    <s v="IFTIKHAR SHAH"/>
    <x v="4"/>
    <n v="2"/>
    <s v="ROGHNI NAAN"/>
    <n v="300"/>
    <n v="45"/>
  </r>
  <r>
    <n v="125"/>
    <s v="HCFM-0649"/>
    <s v="IFTIKHAR SHAH"/>
    <x v="4"/>
    <n v="2"/>
    <s v="GARLIC NAAN"/>
    <n v="260"/>
    <n v="39"/>
  </r>
  <r>
    <n v="126"/>
    <s v="HCFM-0649"/>
    <s v="IFTIKHAR SHAH"/>
    <x v="4"/>
    <n v="3"/>
    <s v="FRESH LEM"/>
    <n v="600"/>
    <n v="90"/>
  </r>
  <r>
    <n v="127"/>
    <s v="HCFM-0649"/>
    <s v="IFTIKHAR SHAH"/>
    <x v="4"/>
    <n v="3"/>
    <s v="MIX TEA"/>
    <n v="600"/>
    <n v="90"/>
  </r>
  <r>
    <n v="128"/>
    <s v="HCFM-0541"/>
    <s v="MR.SHAN ELAHI SEHGAL"/>
    <x v="4"/>
    <n v="1"/>
    <s v="MINERAL WATER SMALL"/>
    <n v="100"/>
    <n v="15"/>
  </r>
  <r>
    <n v="129"/>
    <s v="HCFM-0541"/>
    <s v="MR.SHAN ELAHI SEHGAL"/>
    <x v="4"/>
    <n v="1"/>
    <s v="MIX VEGETABLES"/>
    <n v="400"/>
    <n v="60"/>
  </r>
  <r>
    <n v="130"/>
    <s v="HCFM-0541"/>
    <s v="MR.SHAN ELAHI SEHGAL"/>
    <x v="4"/>
    <n v="2"/>
    <s v="PLAIN NAAN"/>
    <n v="140"/>
    <n v="21"/>
  </r>
  <r>
    <n v="131"/>
    <s v="HCFM-0541"/>
    <s v="MR.SHAN ELAHI SEHGAL"/>
    <x v="4"/>
    <n v="1"/>
    <s v="MIX TEA"/>
    <n v="200"/>
    <n v="30"/>
  </r>
  <r>
    <n v="132"/>
    <s v="HCFM-0679"/>
    <s v="MR. ANEEL ZAHOOR"/>
    <x v="4"/>
    <n v="1"/>
    <s v="PLAIN COOKIES"/>
    <n v="400"/>
    <n v="60"/>
  </r>
  <r>
    <n v="133"/>
    <s v="HCFM-0679"/>
    <s v="MR. ANEEL ZAHOOR"/>
    <x v="4"/>
    <n v="2"/>
    <s v="MINERAL WATER SMALL"/>
    <n v="200"/>
    <n v="30"/>
  </r>
  <r>
    <n v="134"/>
    <s v="HCFM-0679"/>
    <s v="MR. ANEEL ZAHOOR"/>
    <x v="4"/>
    <n v="2"/>
    <s v="ZINGER BURGER"/>
    <n v="1400"/>
    <n v="210"/>
  </r>
  <r>
    <n v="135"/>
    <s v="HCFM-0679"/>
    <s v="MR. ANEEL ZAHOOR"/>
    <x v="4"/>
    <n v="2"/>
    <s v="MIX TEA"/>
    <n v="400"/>
    <n v="60"/>
  </r>
  <r>
    <n v="136"/>
    <s v="HCFM-0648"/>
    <s v="AYSM MIRZA"/>
    <x v="4"/>
    <n v="3"/>
    <s v="SOFT DRINKS"/>
    <n v="450"/>
    <n v="67.5"/>
  </r>
  <r>
    <n v="137"/>
    <s v="HCFM-0648"/>
    <s v="AYSM MIRZA"/>
    <x v="4"/>
    <n v="2"/>
    <s v="ZINGER BURGER"/>
    <n v="1400"/>
    <n v="210"/>
  </r>
  <r>
    <n v="138"/>
    <s v="HCFM-0648"/>
    <s v="AYSM MIRZA"/>
    <x v="4"/>
    <n v="1"/>
    <s v="CHICKEN CHEESE BURGER"/>
    <n v="750"/>
    <n v="112.5"/>
  </r>
  <r>
    <n v="139"/>
    <s v="HCFM-0586"/>
    <s v="MR.SYED MURTAZA ALI"/>
    <x v="4"/>
    <n v="1"/>
    <s v="PASTA"/>
    <n v="1200"/>
    <n v="180"/>
  </r>
  <r>
    <n v="140"/>
    <s v="HCFM-0586"/>
    <s v="MR.SYED MURTAZA ALI"/>
    <x v="4"/>
    <n v="1"/>
    <s v="SOFT DRINKS"/>
    <n v="150"/>
    <n v="22.5"/>
  </r>
  <r>
    <n v="141"/>
    <s v="HCFM-0641"/>
    <s v="AAMIR RASOOL"/>
    <x v="4"/>
    <n v="3"/>
    <s v="CHICKEN BURGER"/>
    <n v="1650"/>
    <n v="247.5"/>
  </r>
  <r>
    <n v="142"/>
    <s v="HCFM-0641"/>
    <s v="AAMIR RASOOL"/>
    <x v="4"/>
    <n v="2"/>
    <s v="HC SPECIAL CHICKEN POPCORN"/>
    <n v="1000"/>
    <n v="150"/>
  </r>
  <r>
    <n v="143"/>
    <s v="HCFM-0641"/>
    <s v="AAMIR RASOOL"/>
    <x v="4"/>
    <n v="1"/>
    <s v="FETTUCINE ALFREDO"/>
    <n v="900"/>
    <n v="135"/>
  </r>
  <r>
    <n v="144"/>
    <s v="HCFM-0641"/>
    <s v="AAMIR RASOOL"/>
    <x v="4"/>
    <n v="2"/>
    <s v="MINERAL WATER SMALL"/>
    <n v="200"/>
    <n v="30"/>
  </r>
  <r>
    <n v="145"/>
    <s v="HCFM-0641"/>
    <s v="AAMIR RASOOL"/>
    <x v="4"/>
    <n v="1"/>
    <s v="MINERAL WATER LARGE"/>
    <n v="150"/>
    <n v="22.5"/>
  </r>
  <r>
    <n v="146"/>
    <s v="HCFM-0641"/>
    <s v="AAMIR RASOOL"/>
    <x v="4"/>
    <n v="4"/>
    <s v="SOFT DRINKS"/>
    <n v="600"/>
    <n v="90"/>
  </r>
  <r>
    <n v="147"/>
    <s v="HCFM-0510"/>
    <s v="MR.MUHAMMAD RIZWAN"/>
    <x v="4"/>
    <n v="2"/>
    <s v="MIX TEA"/>
    <n v="400"/>
    <n v="60"/>
  </r>
  <r>
    <n v="148"/>
    <s v="HCFM-0510"/>
    <s v="MR.MUHAMMAD RIZWAN"/>
    <x v="4"/>
    <n v="1"/>
    <s v="MINERAL WATER SMALL"/>
    <n v="100"/>
    <n v="15"/>
  </r>
  <r>
    <n v="149"/>
    <s v="HCFM-0646"/>
    <s v="BAHRIA INTERNATIONAL HOSPITAL"/>
    <x v="4"/>
    <n v="8"/>
    <s v="PLAIN COOKIES"/>
    <n v="3200"/>
    <m/>
  </r>
  <r>
    <n v="150"/>
    <s v="HCFM-0646"/>
    <s v="BAHRIA INTERNATIONAL HOSPITAL"/>
    <x v="4"/>
    <n v="30"/>
    <s v="CHICKEN PATTIES"/>
    <n v="3000"/>
    <m/>
  </r>
  <r>
    <n v="151"/>
    <s v="HCFM-0646"/>
    <s v="BAHRIA INTERNATIONAL HOSPITAL"/>
    <x v="4"/>
    <n v="15"/>
    <s v="ASSORTED PASTRY"/>
    <n v="3750"/>
    <m/>
  </r>
  <r>
    <n v="152"/>
    <s v="HCFM-0646"/>
    <s v="BAHRIA INTERNATIONAL HOSPITAL"/>
    <x v="4"/>
    <n v="6"/>
    <s v="DOUGHNUTS"/>
    <n v="900"/>
    <m/>
  </r>
  <r>
    <n v="153"/>
    <s v="HCFM-0581"/>
    <s v="BRIG DR. GHULAM MEHDI (Retd)"/>
    <x v="5"/>
    <n v="2"/>
    <s v="POMFRAT"/>
    <n v="2000"/>
    <n v="300"/>
  </r>
  <r>
    <n v="154"/>
    <s v="HCFM-0581"/>
    <s v="BRIG DR. GHULAM MEHDI (Retd)"/>
    <x v="5"/>
    <n v="2"/>
    <s v="JAMBO PRAWN"/>
    <n v="3600"/>
    <n v="540"/>
  </r>
  <r>
    <n v="155"/>
    <s v="HCFM-0581"/>
    <s v="BRIG DR. GHULAM MEHDI (Retd)"/>
    <x v="5"/>
    <n v="1"/>
    <s v="VENSION"/>
    <n v="1800"/>
    <n v="270"/>
  </r>
  <r>
    <n v="156"/>
    <s v="HCFM-0581"/>
    <s v="BRIG DR. GHULAM MEHDI (Retd)"/>
    <x v="5"/>
    <n v="1"/>
    <s v="PEANUT AND NIMCO"/>
    <n v="300"/>
    <n v="45"/>
  </r>
  <r>
    <n v="157"/>
    <s v="HCFM-0581"/>
    <s v="BRIG DR. GHULAM MEHDI (Retd)"/>
    <x v="5"/>
    <n v="2"/>
    <s v="MINERAL WATER SMALL"/>
    <n v="200"/>
    <n v="30"/>
  </r>
  <r>
    <n v="158"/>
    <s v="HCFM-0657"/>
    <s v="NASIR ABBAS"/>
    <x v="5"/>
    <n v="3"/>
    <s v="DASI QUIL BBQ"/>
    <n v="3300"/>
    <n v="495"/>
  </r>
  <r>
    <n v="159"/>
    <s v="HCFM-0657"/>
    <s v="NASIR ABBAS"/>
    <x v="5"/>
    <n v="3"/>
    <s v="PARTRIGE"/>
    <n v="4200"/>
    <n v="630"/>
  </r>
  <r>
    <n v="160"/>
    <s v="HCFM-0657"/>
    <s v="NASIR ABBAS"/>
    <x v="5"/>
    <n v="3"/>
    <s v="JAMBO PRAWN"/>
    <n v="5400"/>
    <n v="810"/>
  </r>
  <r>
    <n v="161"/>
    <s v="HCFM-0657"/>
    <s v="NASIR ABBAS"/>
    <x v="5"/>
    <n v="2"/>
    <s v="POMFRAT"/>
    <n v="2000"/>
    <n v="300"/>
  </r>
  <r>
    <n v="162"/>
    <s v="HCFM-0657"/>
    <s v="NASIR ABBAS"/>
    <x v="5"/>
    <n v="3"/>
    <s v="VENSION"/>
    <n v="5400"/>
    <n v="810"/>
  </r>
  <r>
    <n v="163"/>
    <s v="HCFM-0657"/>
    <s v="NASIR ABBAS"/>
    <x v="5"/>
    <n v="1"/>
    <s v="MINERAL WATER LARGE"/>
    <n v="150"/>
    <n v="22.5"/>
  </r>
  <r>
    <n v="164"/>
    <s v="HCFM-0657"/>
    <s v="NASIR ABBAS"/>
    <x v="5"/>
    <n v="3"/>
    <s v="GAJAR HALWA"/>
    <n v="1350"/>
    <n v="202.5"/>
  </r>
  <r>
    <n v="165"/>
    <s v="HCFM-0654"/>
    <s v="SYED JIBRAN MUSHTAQ"/>
    <x v="5"/>
    <n v="2"/>
    <s v="MINERAL WATER SMALL"/>
    <n v="200"/>
    <n v="30"/>
  </r>
  <r>
    <n v="166"/>
    <s v="HCFM-0654"/>
    <s v="SYED JIBRAN MUSHTAQ"/>
    <x v="5"/>
    <n v="2"/>
    <s v="VENSION"/>
    <n v="3600"/>
    <n v="540"/>
  </r>
  <r>
    <n v="167"/>
    <s v="HCFM-0654"/>
    <s v="SYED JIBRAN MUSHTAQ"/>
    <x v="5"/>
    <n v="2"/>
    <s v="DASI QUIL BBQ"/>
    <n v="2200"/>
    <n v="330"/>
  </r>
  <r>
    <n v="168"/>
    <s v="HCFM-0654"/>
    <s v="SYED JIBRAN MUSHTAQ"/>
    <x v="5"/>
    <n v="1"/>
    <s v="PLAIN FRIES"/>
    <n v="250"/>
    <n v="37.5"/>
  </r>
  <r>
    <n v="169"/>
    <s v="HCFM-0654"/>
    <s v="SYED JIBRAN MUSHTAQ"/>
    <x v="5"/>
    <n v="2"/>
    <s v="GAJAR HALWA"/>
    <n v="900"/>
    <n v="135"/>
  </r>
  <r>
    <n v="170"/>
    <s v="HCFM-0543"/>
    <s v="MR.MUHAMMAD ATIF USMANI"/>
    <x v="5"/>
    <n v="1"/>
    <s v="VENSION"/>
    <n v="1800"/>
    <n v="270"/>
  </r>
  <r>
    <n v="171"/>
    <s v="HCFM-0543"/>
    <s v="MR.MUHAMMAD ATIF USMANI"/>
    <x v="5"/>
    <n v="1"/>
    <s v="DASI QUIL BBQ"/>
    <n v="1100"/>
    <n v="165"/>
  </r>
  <r>
    <n v="172"/>
    <s v="HCFM-0553"/>
    <s v="MR.FAISAL MERCHANT"/>
    <x v="5"/>
    <n v="4"/>
    <s v="VENSION"/>
    <n v="7200"/>
    <n v="1080"/>
  </r>
  <r>
    <n v="173"/>
    <s v="HCFM-0553"/>
    <s v="MR.FAISAL MERCHANT"/>
    <x v="5"/>
    <n v="2"/>
    <s v="POMFRAT"/>
    <n v="2000"/>
    <n v="300"/>
  </r>
  <r>
    <n v="174"/>
    <s v="HCFM-0553"/>
    <s v="MR.FAISAL MERCHANT"/>
    <x v="5"/>
    <n v="2"/>
    <s v="JAMBO PRAWN"/>
    <n v="3600"/>
    <n v="540"/>
  </r>
  <r>
    <n v="175"/>
    <s v="HCFM-0553"/>
    <s v="MR.FAISAL MERCHANT"/>
    <x v="5"/>
    <n v="1"/>
    <s v="DASI DUCK"/>
    <n v="2000"/>
    <n v="300"/>
  </r>
  <r>
    <n v="176"/>
    <s v="HCFM-0553"/>
    <s v="MR.FAISAL MERCHANT"/>
    <x v="5"/>
    <n v="4"/>
    <s v="DASI QUIL BBQ"/>
    <n v="4400"/>
    <n v="660"/>
  </r>
  <r>
    <n v="177"/>
    <s v="HCFM-0553"/>
    <s v="MR.FAISAL MERCHANT"/>
    <x v="5"/>
    <n v="5"/>
    <s v="MINERAL WATER SMALL"/>
    <n v="500"/>
    <n v="75"/>
  </r>
  <r>
    <n v="178"/>
    <s v="HCFM-0553"/>
    <s v="MR.FAISAL MERCHANT"/>
    <x v="5"/>
    <n v="3"/>
    <s v="GAJAR HALWA"/>
    <n v="1350"/>
    <n v="202.5"/>
  </r>
  <r>
    <n v="179"/>
    <s v="HCFM-0503"/>
    <s v="MR.GHULAM NABI OTHI"/>
    <x v="5"/>
    <n v="1"/>
    <s v="MINERAL WATER LARGE"/>
    <n v="150"/>
    <n v="22.5"/>
  </r>
  <r>
    <n v="180"/>
    <s v="HCFM-0503"/>
    <s v="MR.GHULAM NABI OTHI"/>
    <x v="5"/>
    <n v="1"/>
    <s v="BEEF BOTI"/>
    <n v="1200"/>
    <n v="180"/>
  </r>
  <r>
    <n v="181"/>
    <s v="HCFM-0503"/>
    <s v="MR.GHULAM NABI OTHI"/>
    <x v="5"/>
    <n v="1"/>
    <s v="PLAIN NAAN"/>
    <n v="70"/>
    <n v="10.5"/>
  </r>
  <r>
    <n v="182"/>
    <s v="HCFM-0515"/>
    <s v="MR.TARIQUE ZUBAIR"/>
    <x v="5"/>
    <n v="1"/>
    <s v="DASI DUCK"/>
    <n v="2000"/>
    <n v="300"/>
  </r>
  <r>
    <n v="183"/>
    <s v="HCFM-0515"/>
    <s v="MR.TARIQUE ZUBAIR"/>
    <x v="5"/>
    <n v="2"/>
    <s v="PARTRIGE"/>
    <n v="2800"/>
    <n v="420"/>
  </r>
  <r>
    <n v="184"/>
    <s v="HCFM-0515"/>
    <s v="MR.TARIQUE ZUBAIR"/>
    <x v="5"/>
    <n v="2"/>
    <s v="CHICKEN BOTI"/>
    <n v="1600"/>
    <n v="240"/>
  </r>
  <r>
    <n v="185"/>
    <s v="HCFM-0515"/>
    <s v="MR.TARIQUE ZUBAIR"/>
    <x v="5"/>
    <n v="2"/>
    <s v="POMFRAT"/>
    <n v="2000"/>
    <n v="300"/>
  </r>
  <r>
    <n v="186"/>
    <s v="HCFM-0515"/>
    <s v="MR.TARIQUE ZUBAIR"/>
    <x v="5"/>
    <n v="2"/>
    <s v="VENSION"/>
    <n v="3600"/>
    <n v="540"/>
  </r>
  <r>
    <n v="187"/>
    <s v="HCFM-0515"/>
    <s v="MR.TARIQUE ZUBAIR"/>
    <x v="5"/>
    <n v="4"/>
    <s v="PLAIN NAAN"/>
    <n v="280"/>
    <n v="42"/>
  </r>
  <r>
    <n v="188"/>
    <s v="HCFM-0515"/>
    <s v="MR.TARIQUE ZUBAIR"/>
    <x v="5"/>
    <n v="6"/>
    <s v="SOFT DRINKS"/>
    <n v="900"/>
    <n v="135"/>
  </r>
  <r>
    <n v="189"/>
    <s v="HCFM-0515"/>
    <s v="MR.TARIQUE ZUBAIR"/>
    <x v="5"/>
    <n v="3"/>
    <s v="COFFEE"/>
    <n v="1650"/>
    <n v="247.5"/>
  </r>
  <r>
    <n v="190"/>
    <s v="HCFM-0542"/>
    <s v="MR.HANIF AHSAN ZUBEDI"/>
    <x v="5"/>
    <n v="1"/>
    <s v="MALAI BOTI"/>
    <n v="1150"/>
    <n v="172.5"/>
  </r>
  <r>
    <n v="191"/>
    <s v="HCFM-0542"/>
    <s v="MR.HANIF AHSAN ZUBEDI"/>
    <x v="5"/>
    <n v="1"/>
    <s v="BEEF BOTI"/>
    <n v="900"/>
    <n v="135"/>
  </r>
  <r>
    <n v="192"/>
    <s v="HCFM-0542"/>
    <s v="MR.HANIF AHSAN ZUBEDI"/>
    <x v="5"/>
    <n v="1"/>
    <s v="BEEF SEEKH KABAB"/>
    <n v="1200"/>
    <n v="180"/>
  </r>
  <r>
    <n v="193"/>
    <s v="HCFM-0542"/>
    <s v="MR.HANIF AHSAN ZUBEDI"/>
    <x v="5"/>
    <n v="2"/>
    <s v="MINERAL WATER SMALL"/>
    <n v="200"/>
    <n v="30"/>
  </r>
  <r>
    <n v="194"/>
    <s v="HCFM-0542"/>
    <s v="MR.HANIF AHSAN ZUBEDI"/>
    <x v="5"/>
    <n v="2"/>
    <s v="SOFT DRINKS"/>
    <n v="300"/>
    <n v="45"/>
  </r>
  <r>
    <n v="195"/>
    <s v="HCFM-0522"/>
    <s v="MR.IQBAL AHMED MALLAH"/>
    <x v="5"/>
    <n v="1"/>
    <s v="BEEF SEEKH KABAB"/>
    <n v="1200"/>
    <n v="180"/>
  </r>
  <r>
    <n v="196"/>
    <s v="HCFM-0522"/>
    <s v="MR.IQBAL AHMED MALLAH"/>
    <x v="5"/>
    <n v="2"/>
    <s v="POMFRAT"/>
    <n v="2000"/>
    <n v="300"/>
  </r>
  <r>
    <n v="197"/>
    <s v="HCFM-0522"/>
    <s v="MR.IQBAL AHMED MALLAH"/>
    <x v="5"/>
    <n v="2"/>
    <s v="MINERAL WATER LARGE"/>
    <n v="300"/>
    <n v="45"/>
  </r>
  <r>
    <n v="198"/>
    <s v="HCFM-0522"/>
    <s v="MR.IQBAL AHMED MALLAH"/>
    <x v="5"/>
    <n v="2"/>
    <s v="PLAIN NAAN"/>
    <n v="140"/>
    <n v="21"/>
  </r>
  <r>
    <n v="199"/>
    <s v="HCFM-0668"/>
    <s v="MR. KASHIF SAEED"/>
    <x v="5"/>
    <n v="1"/>
    <s v="CLUB SANDWICH"/>
    <n v="1250"/>
    <n v="187.5"/>
  </r>
  <r>
    <n v="200"/>
    <s v="HCFM-0598"/>
    <s v="DGM FATIMA ZAHID"/>
    <x v="5"/>
    <n v="2"/>
    <s v="LATTE COFFEE"/>
    <n v="700"/>
    <n v="105"/>
  </r>
  <r>
    <n v="201"/>
    <s v="HCFM-0598"/>
    <s v="DGM FATIMA ZAHID"/>
    <x v="5"/>
    <n v="1"/>
    <s v="MIX TEA"/>
    <n v="200"/>
    <n v="30"/>
  </r>
  <r>
    <n v="202"/>
    <s v="HCFM-0598"/>
    <s v="DGM FATIMA ZAHID"/>
    <x v="5"/>
    <n v="2"/>
    <s v="PANE CAKE"/>
    <n v="900"/>
    <n v="135"/>
  </r>
  <r>
    <n v="203"/>
    <s v="HCFM-0598"/>
    <s v="DGM FATIMA ZAHID"/>
    <x v="5"/>
    <n v="2"/>
    <s v="MINERAL WATER SMALL"/>
    <n v="200"/>
    <n v="30"/>
  </r>
  <r>
    <n v="204"/>
    <s v="HCFM-0597"/>
    <s v="GM GHULAM DASTAGEER"/>
    <x v="5"/>
    <n v="1"/>
    <s v="MASHROOM CHEESE OMELETTE"/>
    <n v="450"/>
    <n v="67.5"/>
  </r>
  <r>
    <n v="205"/>
    <s v="HCFM-0597"/>
    <s v="GM GHULAM DASTAGEER"/>
    <x v="5"/>
    <n v="1"/>
    <s v="TAWA PARATHA"/>
    <n v="150"/>
    <n v="22.5"/>
  </r>
  <r>
    <n v="206"/>
    <s v="HCFM-0597"/>
    <s v="GM GHULAM DASTAGEER"/>
    <x v="5"/>
    <n v="1"/>
    <s v="MINERAL WATER SMALL"/>
    <n v="100"/>
    <n v="15"/>
  </r>
  <r>
    <n v="207"/>
    <s v="HCFM-0597"/>
    <s v="GM GHULAM DASTAGEER"/>
    <x v="5"/>
    <n v="1"/>
    <s v="MIX TEA"/>
    <n v="200"/>
    <n v="30"/>
  </r>
  <r>
    <n v="208"/>
    <s v="HCFM-0522"/>
    <s v="MR.IQBAL AHMED MALLAH"/>
    <x v="5"/>
    <n v="3"/>
    <s v="CORKAGE"/>
    <n v="3000"/>
    <n v="450"/>
  </r>
  <r>
    <n v="209"/>
    <s v="HCFM-0686"/>
    <s v="MR. GHULAM MUSTAFA"/>
    <x v="5"/>
    <n v="2"/>
    <s v="CORKAGE"/>
    <n v="2000"/>
    <n v="300"/>
  </r>
  <r>
    <n v="210"/>
    <s v="HCFM-0503"/>
    <s v="MR.GHULAM NABI OTHI"/>
    <x v="5"/>
    <n v="7"/>
    <s v="VODKA SINGLE"/>
    <n v="3850"/>
    <n v="577.5"/>
  </r>
  <r>
    <n v="211"/>
    <s v="HCFM-0503"/>
    <s v="MR.GHULAM NABI OTHI"/>
    <x v="5"/>
    <n v="3"/>
    <s v="MURREE BEER"/>
    <n v="3000"/>
    <n v="450"/>
  </r>
  <r>
    <n v="212"/>
    <s v="HCFM-0641"/>
    <s v="AAMIR RASOOL"/>
    <x v="5"/>
    <n v="4"/>
    <s v="BLACK LABEL SINGLE"/>
    <n v="3200"/>
    <n v="480"/>
  </r>
  <r>
    <n v="213"/>
    <s v="HCFM-0641"/>
    <s v="AAMIR RASOOL"/>
    <x v="5"/>
    <n v="2"/>
    <s v="PEANUT AND NIMCO"/>
    <n v="600"/>
    <n v="90"/>
  </r>
  <r>
    <n v="214"/>
    <s v="HCFM-0664"/>
    <s v="SHAHBAZ AHMED"/>
    <x v="5"/>
    <n v="1"/>
    <s v="MINERAL WATER LARGE"/>
    <n v="150"/>
    <n v="22.5"/>
  </r>
  <r>
    <n v="215"/>
    <s v="HCFM-0664"/>
    <s v="SHAHBAZ AHMED"/>
    <x v="5"/>
    <n v="2"/>
    <s v="CHICKEN ROULADE"/>
    <n v="1700"/>
    <n v="255"/>
  </r>
  <r>
    <n v="216"/>
    <s v="HCFM-0664"/>
    <s v="SHAHBAZ AHMED"/>
    <x v="5"/>
    <n v="2"/>
    <s v="PLAIN POPCORN"/>
    <n v="1000"/>
    <n v="150"/>
  </r>
  <r>
    <n v="217"/>
    <s v="HCFM-0664"/>
    <s v="SHAHBAZ AHMED"/>
    <x v="5"/>
    <n v="2"/>
    <s v="GRILLED CHICKEN SANDWICH"/>
    <n v="1150"/>
    <n v="172.5"/>
  </r>
  <r>
    <n v="218"/>
    <s v="HCFM-0664"/>
    <s v="SHAHBAZ AHMED"/>
    <x v="5"/>
    <n v="2"/>
    <s v="COFFEE CAPPUCINO"/>
    <n v="700"/>
    <n v="105"/>
  </r>
  <r>
    <n v="219"/>
    <s v="HCFM-0664"/>
    <s v="SHAHBAZ AHMED"/>
    <x v="5"/>
    <n v="4"/>
    <s v="MIX TEA"/>
    <n v="800"/>
    <n v="120"/>
  </r>
  <r>
    <n v="220"/>
    <s v="HCFM-0644"/>
    <s v="SABA AHSAN"/>
    <x v="5"/>
    <n v="2"/>
    <s v="CLUB SANDWICH"/>
    <n v="2500"/>
    <n v="375"/>
  </r>
  <r>
    <n v="221"/>
    <s v="HCFM-0644"/>
    <s v="SABA AHSAN"/>
    <x v="5"/>
    <n v="2"/>
    <s v="MIX TEA"/>
    <n v="400"/>
    <n v="60"/>
  </r>
  <r>
    <n v="222"/>
    <s v="HCFM-0656"/>
    <s v="ZAIB UR REHMAN"/>
    <x v="5"/>
    <n v="1"/>
    <s v="MINERAL WATER SMALL"/>
    <n v="100"/>
    <n v="15"/>
  </r>
  <r>
    <n v="223"/>
    <s v="HCFM-0545"/>
    <s v="MR. HASAN KARIM"/>
    <x v="5"/>
    <n v="1"/>
    <s v="MINERAL WATER SMALL"/>
    <n v="100"/>
    <n v="15"/>
  </r>
  <r>
    <n v="224"/>
    <s v="HCFM-0545"/>
    <s v="MR. HASAN KARIM"/>
    <x v="5"/>
    <n v="1"/>
    <s v="HOT N SOUR SOUP"/>
    <n v="350"/>
    <n v="52.5"/>
  </r>
  <r>
    <n v="225"/>
    <s v="HCFM-0554"/>
    <s v="MR.IMRAN WAZEER"/>
    <x v="5"/>
    <n v="1"/>
    <s v="MINERAL WATER SMALL"/>
    <n v="100"/>
    <n v="15"/>
  </r>
  <r>
    <n v="226"/>
    <s v="HCFM-0554"/>
    <s v="MR.IMRAN WAZEER"/>
    <x v="5"/>
    <n v="2"/>
    <s v="PLAIN FRIES"/>
    <n v="500"/>
    <n v="75"/>
  </r>
  <r>
    <n v="227"/>
    <s v="HCFM-0596"/>
    <s v="DGM AZFAR ALI"/>
    <x v="5"/>
    <n v="1"/>
    <s v="MINERAL WATER SMALL"/>
    <n v="100"/>
    <n v="15"/>
  </r>
  <r>
    <n v="228"/>
    <s v="HCFM-0656"/>
    <s v="ZAIB UR REHMAN"/>
    <x v="5"/>
    <n v="1"/>
    <s v="MINERAL WATER LARGE"/>
    <n v="150"/>
    <n v="22.5"/>
  </r>
  <r>
    <n v="229"/>
    <s v="HCFM-0516"/>
    <s v="MR.ATIF SHAFQAT"/>
    <x v="5"/>
    <n v="2"/>
    <s v="SOFT DRINKS"/>
    <n v="300"/>
    <n v="45"/>
  </r>
  <r>
    <n v="230"/>
    <s v="HCFM-0516"/>
    <s v="MR.ATIF SHAFQAT"/>
    <x v="5"/>
    <n v="1"/>
    <s v="CHICKEN PESHAWARI KARAHI"/>
    <n v="900"/>
    <n v="135"/>
  </r>
  <r>
    <n v="231"/>
    <s v="HCFM-0516"/>
    <s v="MR.ATIF SHAFQAT"/>
    <x v="5"/>
    <n v="2"/>
    <s v="GRILLED CHICKEN SANDWICH"/>
    <n v="1150"/>
    <n v="172.5"/>
  </r>
  <r>
    <n v="232"/>
    <s v="HCFM-0516"/>
    <s v="MR.ATIF SHAFQAT"/>
    <x v="5"/>
    <n v="1"/>
    <s v="CLUB SANDWICH"/>
    <n v="1250"/>
    <n v="187.5"/>
  </r>
  <r>
    <n v="233"/>
    <s v="HCFM-0516"/>
    <s v="MR.ATIF SHAFQAT"/>
    <x v="5"/>
    <n v="1"/>
    <s v="PLAIN NAAN"/>
    <n v="70"/>
    <n v="10.5"/>
  </r>
  <r>
    <n v="234"/>
    <s v="HCFM-0516"/>
    <s v="MR.ATIF SHAFQAT"/>
    <x v="5"/>
    <n v="2"/>
    <s v="ROGHNI NAAN"/>
    <n v="300"/>
    <n v="45"/>
  </r>
  <r>
    <n v="235"/>
    <s v="HCFM-0684"/>
    <s v="MR. ZAMIR ALI SHAH"/>
    <x v="5"/>
    <n v="1"/>
    <s v="MINERAL WATER LARGE"/>
    <n v="150"/>
    <n v="22.5"/>
  </r>
  <r>
    <n v="236"/>
    <s v="HCFM-0541"/>
    <s v="MR.SHAN ELAHI SEHGAL"/>
    <x v="5"/>
    <n v="1"/>
    <s v="PLAIN FRIES"/>
    <n v="250"/>
    <n v="37.5"/>
  </r>
  <r>
    <n v="237"/>
    <s v="HCFM-0554"/>
    <s v="MR.IMRAN WAZEER"/>
    <x v="5"/>
    <n v="1"/>
    <s v="PLAIN FRIES"/>
    <n v="250"/>
    <n v="37.5"/>
  </r>
  <r>
    <n v="238"/>
    <s v="HCFM-0554"/>
    <s v="MR.IMRAN WAZEER"/>
    <x v="5"/>
    <n v="1"/>
    <s v="SOFT DRINKS"/>
    <n v="150"/>
    <n v="22.5"/>
  </r>
  <r>
    <n v="239"/>
    <s v="HCFM-0670"/>
    <s v="MR. TEHSEEN FAIZ"/>
    <x v="5"/>
    <n v="1"/>
    <s v="ZINGER BURGER"/>
    <n v="700"/>
    <n v="105"/>
  </r>
  <r>
    <n v="240"/>
    <s v="HCFM-0670"/>
    <s v="MR. TEHSEEN FAIZ"/>
    <x v="5"/>
    <n v="1"/>
    <s v="PASTA"/>
    <n v="1200"/>
    <n v="180"/>
  </r>
  <r>
    <n v="241"/>
    <s v="HCFM-0670"/>
    <s v="MR. TEHSEEN FAIZ"/>
    <x v="5"/>
    <n v="1"/>
    <s v="CLUB SANDWICH"/>
    <n v="1250"/>
    <n v="187.5"/>
  </r>
  <r>
    <n v="242"/>
    <s v="HCFM-0670"/>
    <s v="MR. TEHSEEN FAIZ"/>
    <x v="5"/>
    <n v="1"/>
    <s v="MINERAL WATER LARGE"/>
    <n v="150"/>
    <n v="22.5"/>
  </r>
  <r>
    <n v="243"/>
    <s v="HCFM-0670"/>
    <s v="MR. TEHSEEN FAIZ"/>
    <x v="5"/>
    <n v="3"/>
    <s v="SOFT DRINKS"/>
    <n v="450"/>
    <n v="67.5"/>
  </r>
  <r>
    <n v="244"/>
    <s v="HCFM-0682"/>
    <s v="MR. ZAHIR REHMAN"/>
    <x v="5"/>
    <n v="5"/>
    <s v="MINERAL WATER SMALL"/>
    <n v="500"/>
    <n v="75"/>
  </r>
  <r>
    <n v="245"/>
    <s v="HCFM-0682"/>
    <s v="MR. ZAHIR REHMAN"/>
    <x v="5"/>
    <n v="2"/>
    <s v="PIZZA FRIES FULL"/>
    <n v="1000"/>
    <n v="150"/>
  </r>
  <r>
    <n v="246"/>
    <s v="HCFM-0682"/>
    <s v="MR. ZAHIR REHMAN"/>
    <x v="5"/>
    <n v="3"/>
    <s v="CHICKEN FRIED RICE"/>
    <n v="1650"/>
    <n v="247.5"/>
  </r>
  <r>
    <n v="247"/>
    <s v="HCFM-0682"/>
    <s v="MR. ZAHIR REHMAN"/>
    <x v="5"/>
    <n v="1"/>
    <s v="SINGAPOREAN FRIED RICE"/>
    <n v="1000"/>
    <n v="150"/>
  </r>
  <r>
    <n v="248"/>
    <s v="HCFM-0682"/>
    <s v="MR. ZAHIR REHMAN"/>
    <x v="5"/>
    <n v="3"/>
    <s v="CHICKEN BURGER"/>
    <n v="1650"/>
    <n v="247.5"/>
  </r>
  <r>
    <n v="249"/>
    <s v="HCFM-0682"/>
    <s v="MR. ZAHIR REHMAN"/>
    <x v="5"/>
    <n v="4"/>
    <s v="DASI QUIL BBQ"/>
    <n v="4400"/>
    <n v="660"/>
  </r>
  <r>
    <n v="250"/>
    <s v="HCFM-0682"/>
    <s v="MR. ZAHIR REHMAN"/>
    <x v="5"/>
    <n v="1"/>
    <s v="DASI DUCK"/>
    <n v="2000"/>
    <n v="300"/>
  </r>
  <r>
    <n v="251"/>
    <s v="HCFM-0682"/>
    <s v="MR. ZAHIR REHMAN"/>
    <x v="5"/>
    <n v="4"/>
    <s v="JAMBO PRAWN"/>
    <n v="7200"/>
    <n v="1080"/>
  </r>
  <r>
    <n v="252"/>
    <s v="HCFM-0682"/>
    <s v="MR. ZAHIR REHMAN"/>
    <x v="5"/>
    <n v="1"/>
    <s v="POMFRAT"/>
    <n v="1000"/>
    <n v="150"/>
  </r>
  <r>
    <n v="253"/>
    <s v="HCFM-0668"/>
    <s v="MR. KASHIF SAEED"/>
    <x v="5"/>
    <n v="3"/>
    <s v="MINERAL WATER SMALL"/>
    <n v="300"/>
    <n v="45"/>
  </r>
  <r>
    <n v="254"/>
    <s v="HCFM-0668"/>
    <s v="MR. KASHIF SAEED"/>
    <x v="5"/>
    <n v="1"/>
    <s v="CHICKEN BOTI"/>
    <n v="800"/>
    <n v="120"/>
  </r>
  <r>
    <n v="255"/>
    <s v="HCFM-0668"/>
    <s v="MR. KASHIF SAEED"/>
    <x v="5"/>
    <n v="2"/>
    <s v="JAMBO PRAWN"/>
    <n v="3600"/>
    <n v="540"/>
  </r>
  <r>
    <n v="256"/>
    <s v="HCFM-0668"/>
    <s v="MR. KASHIF SAEED"/>
    <x v="5"/>
    <n v="1"/>
    <s v="POMFRAT"/>
    <n v="1000"/>
    <n v="150"/>
  </r>
  <r>
    <n v="257"/>
    <s v="HCFM-0519"/>
    <s v="DR.NAZEER HUSSAIN KALHORO"/>
    <x v="5"/>
    <n v="2"/>
    <s v="POMFRAT"/>
    <n v="2000"/>
    <n v="300"/>
  </r>
  <r>
    <n v="258"/>
    <s v="HCFM-0519"/>
    <s v="DR.NAZEER HUSSAIN KALHORO"/>
    <x v="5"/>
    <n v="1"/>
    <s v="MINERAL WATER LARGE"/>
    <n v="150"/>
    <n v="22.5"/>
  </r>
  <r>
    <n v="259"/>
    <s v="HCFM-0519"/>
    <s v="DR.NAZEER HUSSAIN KALHORO"/>
    <x v="5"/>
    <n v="2"/>
    <s v="PARTRIGE"/>
    <n v="2800"/>
    <n v="420"/>
  </r>
  <r>
    <n v="260"/>
    <s v="HCFM-0519"/>
    <s v="DR.NAZEER HUSSAIN KALHORO"/>
    <x v="5"/>
    <n v="1"/>
    <s v="MALAI BOTI"/>
    <n v="1150"/>
    <n v="172.5"/>
  </r>
  <r>
    <n v="261"/>
    <s v="HCFM-0519"/>
    <s v="DR.NAZEER HUSSAIN KALHORO"/>
    <x v="5"/>
    <n v="1"/>
    <s v="JAMBO PRAWN"/>
    <n v="1800"/>
    <n v="270"/>
  </r>
  <r>
    <n v="262"/>
    <s v="HCFM-0519"/>
    <s v="DR.NAZEER HUSSAIN KALHORO"/>
    <x v="5"/>
    <n v="2"/>
    <s v="DASI QUIL BBQ"/>
    <n v="2200"/>
    <n v="330"/>
  </r>
  <r>
    <n v="263"/>
    <s v="HCFM-0641"/>
    <s v="AAMIR RASOOL"/>
    <x v="5"/>
    <n v="4"/>
    <s v="POMFRAT"/>
    <n v="4000"/>
    <n v="600"/>
  </r>
  <r>
    <n v="264"/>
    <s v="HCFM-0641"/>
    <s v="AAMIR RASOOL"/>
    <x v="5"/>
    <n v="2"/>
    <s v="MINERAL WATER LARGE"/>
    <n v="300"/>
    <n v="45"/>
  </r>
  <r>
    <n v="265"/>
    <s v="HCFM-0641"/>
    <s v="AAMIR RASOOL"/>
    <x v="5"/>
    <n v="3"/>
    <s v="PARTRIGE"/>
    <n v="4200"/>
    <n v="630"/>
  </r>
  <r>
    <n v="266"/>
    <s v="HCFM-0641"/>
    <s v="AAMIR RASOOL"/>
    <x v="5"/>
    <n v="4"/>
    <s v="DASI QUIL BBQ"/>
    <n v="4400"/>
    <n v="660"/>
  </r>
  <r>
    <n v="267"/>
    <s v="HCFM-0641"/>
    <s v="AAMIR RASOOL"/>
    <x v="5"/>
    <n v="2"/>
    <s v="SOFT DRINKS"/>
    <n v="300"/>
    <n v="45"/>
  </r>
  <r>
    <n v="268"/>
    <s v="HCFM-0641"/>
    <s v="AAMIR RASOOL"/>
    <x v="5"/>
    <n v="2"/>
    <s v="VENSION"/>
    <n v="3600"/>
    <n v="540"/>
  </r>
  <r>
    <n v="269"/>
    <s v="HCFM-0533"/>
    <s v="MR.ZULQARNAIN"/>
    <x v="5"/>
    <n v="4"/>
    <s v="BEEF BOTI"/>
    <n v="4800"/>
    <n v="720"/>
  </r>
  <r>
    <n v="270"/>
    <s v="HCFM-0533"/>
    <s v="MR.ZULQARNAIN"/>
    <x v="5"/>
    <n v="4"/>
    <s v="CHICKEN BOTI"/>
    <n v="3200"/>
    <n v="480"/>
  </r>
  <r>
    <n v="271"/>
    <s v="HCFM-0533"/>
    <s v="MR.ZULQARNAIN"/>
    <x v="5"/>
    <n v="3"/>
    <s v="JAMBO PRAWN"/>
    <n v="5400"/>
    <n v="810"/>
  </r>
  <r>
    <n v="272"/>
    <s v="HCFM-0533"/>
    <s v="MR.ZULQARNAIN"/>
    <x v="5"/>
    <n v="6"/>
    <s v="MINERAL WATER SMALL"/>
    <n v="600"/>
    <n v="90"/>
  </r>
  <r>
    <n v="273"/>
    <s v="HCFM-0533"/>
    <s v="MR.ZULQARNAIN"/>
    <x v="5"/>
    <n v="1"/>
    <s v="VENSION"/>
    <n v="1800"/>
    <n v="270"/>
  </r>
  <r>
    <n v="274"/>
    <s v="HCFM-0664"/>
    <s v="SHAHBAZ AHMED"/>
    <x v="5"/>
    <n v="2"/>
    <s v="JAMBO PRAWN"/>
    <n v="3600"/>
    <n v="540"/>
  </r>
  <r>
    <n v="275"/>
    <s v="HCFM-0664"/>
    <s v="SHAHBAZ AHMED"/>
    <x v="5"/>
    <n v="1"/>
    <s v="CHICKEN BOTI"/>
    <n v="800"/>
    <n v="120"/>
  </r>
  <r>
    <n v="276"/>
    <s v="HCFM-0664"/>
    <s v="SHAHBAZ AHMED"/>
    <x v="5"/>
    <n v="1"/>
    <s v="POMFRAT"/>
    <n v="1000"/>
    <n v="150"/>
  </r>
  <r>
    <n v="277"/>
    <s v="HCFM-0664"/>
    <s v="SHAHBAZ AHMED"/>
    <x v="5"/>
    <n v="1"/>
    <s v="BEEF BOTI"/>
    <n v="1200"/>
    <n v="180"/>
  </r>
  <r>
    <n v="278"/>
    <s v="HCFM-0664"/>
    <s v="SHAHBAZ AHMED"/>
    <x v="5"/>
    <n v="1"/>
    <s v="DASI QUIL BBQ"/>
    <n v="1100"/>
    <n v="165"/>
  </r>
  <r>
    <n v="279"/>
    <s v="HCFM-0664"/>
    <s v="SHAHBAZ AHMED"/>
    <x v="5"/>
    <n v="4"/>
    <s v="SOFT DRINKS"/>
    <n v="600"/>
    <n v="90"/>
  </r>
  <r>
    <n v="280"/>
    <s v="HCFM-0589"/>
    <s v="DGM.REHAN TARIQ"/>
    <x v="5"/>
    <n v="1"/>
    <s v="JAMBO PRAWN"/>
    <n v="1800"/>
    <n v="270"/>
  </r>
  <r>
    <n v="281"/>
    <s v="HCFM-0589"/>
    <s v="DGM.REHAN TARIQ"/>
    <x v="5"/>
    <n v="1"/>
    <s v="CHICKEN BOTI"/>
    <n v="800"/>
    <n v="120"/>
  </r>
  <r>
    <n v="282"/>
    <s v="HCFM-0589"/>
    <s v="DGM.REHAN TARIQ"/>
    <x v="5"/>
    <n v="1"/>
    <s v="POMFRAT"/>
    <n v="1000"/>
    <n v="150"/>
  </r>
  <r>
    <n v="283"/>
    <s v="HCFM-0589"/>
    <s v="DGM.REHAN TARIQ"/>
    <x v="5"/>
    <n v="2"/>
    <s v="TAWA PARATHA"/>
    <n v="300"/>
    <n v="45"/>
  </r>
  <r>
    <n v="284"/>
    <s v="HCFM-0589"/>
    <s v="DGM.REHAN TARIQ"/>
    <x v="5"/>
    <n v="1"/>
    <s v="SOFT DRINKS"/>
    <n v="150"/>
    <n v="22.5"/>
  </r>
  <r>
    <n v="285"/>
    <s v="HCFM-0541"/>
    <s v="MR.SHAN ELAHI SEHGAL"/>
    <x v="5"/>
    <n v="2"/>
    <s v="JAMBO PRAWN"/>
    <n v="3600"/>
    <n v="540"/>
  </r>
  <r>
    <n v="286"/>
    <s v="HCFM-0541"/>
    <s v="MR.SHAN ELAHI SEHGAL"/>
    <x v="5"/>
    <n v="4"/>
    <s v="CHICKEN BOTI"/>
    <n v="3200"/>
    <n v="480"/>
  </r>
  <r>
    <n v="287"/>
    <s v="HCFM-0541"/>
    <s v="MR.SHAN ELAHI SEHGAL"/>
    <x v="5"/>
    <n v="1"/>
    <s v="POMFRAT"/>
    <n v="1000"/>
    <n v="150"/>
  </r>
  <r>
    <n v="288"/>
    <s v="HCFM-0541"/>
    <s v="MR.SHAN ELAHI SEHGAL"/>
    <x v="5"/>
    <n v="1"/>
    <s v="BEEF BOTI"/>
    <n v="1200"/>
    <n v="180"/>
  </r>
  <r>
    <n v="289"/>
    <s v="HCFM-0541"/>
    <s v="MR.SHAN ELAHI SEHGAL"/>
    <x v="5"/>
    <n v="3"/>
    <s v="PLAIN NAAN"/>
    <n v="210"/>
    <n v="31.5"/>
  </r>
  <r>
    <n v="290"/>
    <s v="HCFM-0541"/>
    <s v="MR.SHAN ELAHI SEHGAL"/>
    <x v="5"/>
    <n v="3"/>
    <s v="MINERAL WATER SMALL"/>
    <n v="300"/>
    <n v="45"/>
  </r>
  <r>
    <n v="291"/>
    <s v="HCFM-0541"/>
    <s v="MR.SHAN ELAHI SEHGAL"/>
    <x v="5"/>
    <n v="2"/>
    <s v="GAJAR HALWA"/>
    <n v="900"/>
    <n v="135"/>
  </r>
  <r>
    <n v="292"/>
    <s v="HCFM-0686"/>
    <s v="MR. GHULAM MUSTAFA"/>
    <x v="5"/>
    <n v="1"/>
    <s v="MINERAL WATER LARGE"/>
    <n v="150"/>
    <n v="22.5"/>
  </r>
  <r>
    <n v="293"/>
    <s v="HCFM-0686"/>
    <s v="MR. GHULAM MUSTAFA"/>
    <x v="5"/>
    <n v="2"/>
    <s v="VENSION"/>
    <n v="3600"/>
    <n v="540"/>
  </r>
  <r>
    <n v="294"/>
    <s v="HCFM-0686"/>
    <s v="MR. GHULAM MUSTAFA"/>
    <x v="5"/>
    <n v="4"/>
    <s v="DASI QUIL BBQ"/>
    <n v="4400"/>
    <n v="660"/>
  </r>
  <r>
    <n v="295"/>
    <s v="HCFM-0686"/>
    <s v="MR. GHULAM MUSTAFA"/>
    <x v="5"/>
    <n v="4"/>
    <s v="BEEF BOTI"/>
    <n v="4800"/>
    <n v="720"/>
  </r>
  <r>
    <n v="296"/>
    <s v="HCFM-0686"/>
    <s v="MR. GHULAM MUSTAFA"/>
    <x v="5"/>
    <n v="4"/>
    <s v="PLAIN NAAN"/>
    <n v="280"/>
    <n v="42"/>
  </r>
  <r>
    <n v="297"/>
    <s v="HCFM-0686"/>
    <s v="MR. GHULAM MUSTAFA"/>
    <x v="5"/>
    <n v="1"/>
    <s v="GAJAR HALWA"/>
    <n v="450"/>
    <n v="67.5"/>
  </r>
  <r>
    <n v="298"/>
    <s v="HCFM-0686"/>
    <s v="MR. GHULAM MUSTAFA"/>
    <x v="5"/>
    <n v="1"/>
    <s v="POMFRAT"/>
    <n v="1000"/>
    <n v="150"/>
  </r>
  <r>
    <n v="299"/>
    <s v="HCFM-0686"/>
    <s v="MR. GHULAM MUSTAFA"/>
    <x v="5"/>
    <n v="1"/>
    <s v="VENSION"/>
    <n v="1800"/>
    <n v="270"/>
  </r>
  <r>
    <n v="300"/>
    <s v="HCFM-0686"/>
    <s v="MR. GHULAM MUSTAFA"/>
    <x v="5"/>
    <n v="1"/>
    <s v="CHICKEN BOTI"/>
    <n v="800"/>
    <n v="120"/>
  </r>
  <r>
    <n v="301"/>
    <s v="HCFM-0686"/>
    <s v="MR. GHULAM MUSTAFA"/>
    <x v="5"/>
    <n v="1"/>
    <s v="JAMBO PRAWN"/>
    <n v="1800"/>
    <n v="270"/>
  </r>
  <r>
    <n v="302"/>
    <s v="HCFM-0686"/>
    <s v="MR. GHULAM MUSTAFA"/>
    <x v="5"/>
    <n v="2"/>
    <s v="MINERAL WATER SMALL"/>
    <n v="200"/>
    <n v="30"/>
  </r>
  <r>
    <n v="303"/>
    <s v="HCFM-0684"/>
    <s v="MR. ZAMIR ALI SHAH"/>
    <x v="6"/>
    <n v="3"/>
    <s v="CORKAGE"/>
    <n v="3000"/>
    <n v="450"/>
  </r>
  <r>
    <n v="304"/>
    <s v="HCFM-0557"/>
    <s v="MR.KHADIM HUSSAIN"/>
    <x v="6"/>
    <n v="2"/>
    <s v="MINERAL WATER LARGE"/>
    <n v="300"/>
    <n v="45"/>
  </r>
  <r>
    <n v="305"/>
    <s v="HCFM-0557"/>
    <s v="MR.KHADIM HUSSAIN"/>
    <x v="6"/>
    <n v="4"/>
    <s v="HOT N SOUR SOUP"/>
    <n v="1400"/>
    <n v="210"/>
  </r>
  <r>
    <n v="306"/>
    <s v="HCFM-0557"/>
    <s v="MR.KHADIM HUSSAIN"/>
    <x v="6"/>
    <n v="4"/>
    <s v="CHINESE SZECHUAN SOUP"/>
    <n v="1400"/>
    <n v="210"/>
  </r>
  <r>
    <n v="307"/>
    <s v="HCFM-0557"/>
    <s v="MR.KHADIM HUSSAIN"/>
    <x v="6"/>
    <n v="1"/>
    <s v="VEGETABLE FRIED RICE"/>
    <n v="300"/>
    <n v="45"/>
  </r>
  <r>
    <n v="308"/>
    <s v="HCFM-0557"/>
    <s v="MR.KHADIM HUSSAIN"/>
    <x v="6"/>
    <n v="1"/>
    <s v="PASTA"/>
    <n v="1200"/>
    <n v="180"/>
  </r>
  <r>
    <n v="309"/>
    <s v="HCFM-0557"/>
    <s v="MR.KHADIM HUSSAIN"/>
    <x v="6"/>
    <n v="1"/>
    <s v="CHICKEN TIKKA"/>
    <n v="600"/>
    <n v="90"/>
  </r>
  <r>
    <n v="310"/>
    <s v="HCFM-0557"/>
    <s v="MR.KHADIM HUSSAIN"/>
    <x v="6"/>
    <n v="1"/>
    <s v="MALAI BOTI"/>
    <n v="1150"/>
    <n v="172.5"/>
  </r>
  <r>
    <n v="311"/>
    <s v="HCFM-0557"/>
    <s v="MR.KHADIM HUSSAIN"/>
    <x v="6"/>
    <n v="1"/>
    <s v="BEEF SEEKH KABAB"/>
    <n v="1200"/>
    <n v="180"/>
  </r>
  <r>
    <n v="312"/>
    <s v="HCFM-0557"/>
    <s v="MR.KHADIM HUSSAIN"/>
    <x v="6"/>
    <n v="1"/>
    <s v="SHISH TAOUK"/>
    <n v="1200"/>
    <n v="180"/>
  </r>
  <r>
    <n v="313"/>
    <s v="HCFM-0557"/>
    <s v="MR.KHADIM HUSSAIN"/>
    <x v="6"/>
    <n v="6"/>
    <s v="PURI PARATHA"/>
    <n v="900"/>
    <n v="135"/>
  </r>
  <r>
    <n v="314"/>
    <s v="HCFM-0557"/>
    <s v="MR.KHADIM HUSSAIN"/>
    <x v="6"/>
    <n v="7"/>
    <s v="SOFT DRINKS"/>
    <n v="1050"/>
    <n v="157.5"/>
  </r>
  <r>
    <n v="315"/>
    <s v="HCFM-0512"/>
    <s v="MR.ZEESHAN IQBAL"/>
    <x v="6"/>
    <n v="1"/>
    <s v="MALAI BOTI"/>
    <n v="1150"/>
    <n v="172.5"/>
  </r>
  <r>
    <n v="316"/>
    <s v="HCFM-0512"/>
    <s v="MR.ZEESHAN IQBAL"/>
    <x v="6"/>
    <n v="1"/>
    <s v="PIZZA FRIES FULL"/>
    <n v="500"/>
    <n v="75"/>
  </r>
  <r>
    <n v="317"/>
    <s v="HCFM-0512"/>
    <s v="MR.ZEESHAN IQBAL"/>
    <x v="6"/>
    <n v="1"/>
    <s v="CLUB SANDWICH"/>
    <n v="1250"/>
    <n v="187.5"/>
  </r>
  <r>
    <n v="318"/>
    <s v="HCFM-0512"/>
    <s v="MR.ZEESHAN IQBAL"/>
    <x v="6"/>
    <n v="1"/>
    <s v="TENDERLOIN STEAK"/>
    <n v="1400"/>
    <n v="210"/>
  </r>
  <r>
    <n v="319"/>
    <s v="HCFM-0512"/>
    <s v="MR.ZEESHAN IQBAL"/>
    <x v="6"/>
    <n v="1"/>
    <s v="PASTA"/>
    <n v="1200"/>
    <n v="180"/>
  </r>
  <r>
    <n v="320"/>
    <s v="HCFM-0684"/>
    <s v="MR. ZAMIR ALI SHAH"/>
    <x v="6"/>
    <n v="3"/>
    <s v="CHINESE SZECHUAN SOUP"/>
    <n v="1050"/>
    <n v="157.5"/>
  </r>
  <r>
    <n v="321"/>
    <s v="HCFM-0684"/>
    <s v="MR. ZAMIR ALI SHAH"/>
    <x v="6"/>
    <n v="3"/>
    <s v="CHICKEN DYNAMITE"/>
    <n v="2550"/>
    <n v="382.5"/>
  </r>
  <r>
    <n v="322"/>
    <s v="HCFM-0684"/>
    <s v="MR. ZAMIR ALI SHAH"/>
    <x v="6"/>
    <n v="2"/>
    <s v="MINERAL WATER LARGE"/>
    <n v="300"/>
    <n v="45"/>
  </r>
  <r>
    <n v="323"/>
    <s v="HCFM-0684"/>
    <s v="MR. ZAMIR ALI SHAH"/>
    <x v="6"/>
    <n v="1"/>
    <s v="CHICKEN KARAHI"/>
    <n v="900"/>
    <n v="135"/>
  </r>
  <r>
    <n v="324"/>
    <s v="HCFM-0684"/>
    <s v="MR. ZAMIR ALI SHAH"/>
    <x v="6"/>
    <n v="4"/>
    <s v="ZINGER BURGER"/>
    <n v="2800"/>
    <n v="420"/>
  </r>
  <r>
    <n v="325"/>
    <s v="HCFM-0684"/>
    <s v="MR. ZAMIR ALI SHAH"/>
    <x v="6"/>
    <n v="3"/>
    <s v="GARLIC NAAN"/>
    <n v="390"/>
    <n v="58.5"/>
  </r>
  <r>
    <n v="326"/>
    <s v="HCFM-0684"/>
    <s v="MR. ZAMIR ALI SHAH"/>
    <x v="6"/>
    <n v="1"/>
    <s v="GAJAR HALWA"/>
    <n v="450"/>
    <n v="67.5"/>
  </r>
  <r>
    <n v="327"/>
    <s v="HCFM-0684"/>
    <s v="MR. ZAMIR ALI SHAH"/>
    <x v="6"/>
    <n v="1"/>
    <s v="SOFT DRINKS"/>
    <n v="150"/>
    <n v="22.5"/>
  </r>
  <r>
    <n v="328"/>
    <s v="HCFM-0556"/>
    <s v="MR.SYED SALMAN RAZA"/>
    <x v="6"/>
    <n v="1"/>
    <s v="BEEF CHEESE BURGER"/>
    <n v="750"/>
    <n v="112.5"/>
  </r>
  <r>
    <n v="329"/>
    <s v="HCFM-0556"/>
    <s v="MR.SYED SALMAN RAZA"/>
    <x v="6"/>
    <n v="1"/>
    <s v="CHICKEN CHOWMEIN"/>
    <n v="950"/>
    <n v="142.5"/>
  </r>
  <r>
    <n v="330"/>
    <s v="HCFM-0556"/>
    <s v="MR.SYED SALMAN RAZA"/>
    <x v="6"/>
    <n v="1"/>
    <s v="CHICKEN HANDI"/>
    <n v="1000"/>
    <n v="150"/>
  </r>
  <r>
    <n v="331"/>
    <s v="HCFM-0545"/>
    <s v="MR. HASAN KARIM"/>
    <x v="6"/>
    <n v="1"/>
    <s v="COFFEE CAPPUCINO"/>
    <n v="350"/>
    <n v="52.5"/>
  </r>
  <r>
    <n v="332"/>
    <s v="HCFM-0545"/>
    <s v="MR. HASAN KARIM"/>
    <x v="6"/>
    <n v="1"/>
    <s v="CHICKEN PATTIES"/>
    <n v="100"/>
    <n v="15"/>
  </r>
  <r>
    <n v="333"/>
    <s v="HCFM-0583"/>
    <s v="MR.CAREL HEDRIK BURGER"/>
    <x v="6"/>
    <n v="2"/>
    <s v="PIZZA FRIES FULL"/>
    <n v="1000"/>
    <n v="150"/>
  </r>
  <r>
    <n v="334"/>
    <s v="HCFM-0583"/>
    <s v="MR.CAREL HEDRIK BURGER"/>
    <x v="6"/>
    <n v="1"/>
    <s v="ZINGER BURGER"/>
    <n v="700"/>
    <n v="105"/>
  </r>
  <r>
    <n v="335"/>
    <s v="HCFM-0583"/>
    <s v="MR.CAREL HEDRIK BURGER"/>
    <x v="6"/>
    <n v="2"/>
    <s v="SOFT DRINKS"/>
    <n v="300"/>
    <n v="45"/>
  </r>
  <r>
    <n v="336"/>
    <s v="HCFM-0542"/>
    <s v="MR.HANIF AHSAN ZUBEDI"/>
    <x v="6"/>
    <n v="3"/>
    <s v="MINERAL WATER SMALL"/>
    <n v="300"/>
    <n v="45"/>
  </r>
  <r>
    <n v="337"/>
    <s v="HCFM-0542"/>
    <s v="MR.HANIF AHSAN ZUBEDI"/>
    <x v="6"/>
    <n v="1"/>
    <s v="MIX TEA"/>
    <n v="200"/>
    <n v="30"/>
  </r>
  <r>
    <n v="338"/>
    <s v="HCFM-0542"/>
    <s v="MR.HANIF AHSAN ZUBEDI"/>
    <x v="6"/>
    <n v="2"/>
    <s v="MINERAL WATER SMALL"/>
    <n v="200"/>
    <n v="30"/>
  </r>
  <r>
    <n v="339"/>
    <s v="HCFM-0504"/>
    <s v="MR.BILAL AHMED"/>
    <x v="6"/>
    <n v="1"/>
    <s v="PIZZA FRIES FULL"/>
    <n v="500"/>
    <n v="75"/>
  </r>
  <r>
    <n v="340"/>
    <s v="HCFM-0663"/>
    <s v="JAM FEROZ "/>
    <x v="6"/>
    <n v="1"/>
    <s v="HOT N SOUR SOUP"/>
    <n v="350"/>
    <n v="52.5"/>
  </r>
  <r>
    <n v="341"/>
    <s v="HCFM-0663"/>
    <s v="JAM FEROZ "/>
    <x v="6"/>
    <n v="1"/>
    <s v="SHISH TAOUK"/>
    <n v="1200"/>
    <n v="180"/>
  </r>
  <r>
    <n v="342"/>
    <s v="HCFM-0663"/>
    <s v="JAM FEROZ "/>
    <x v="6"/>
    <n v="1"/>
    <s v="HC SPECIAL CHICKEN POPCORN"/>
    <n v="500"/>
    <n v="75"/>
  </r>
  <r>
    <n v="343"/>
    <s v="HCFM-0663"/>
    <s v="JAM FEROZ "/>
    <x v="6"/>
    <n v="1"/>
    <s v="HC SPECIAL MUTTON KARAHI"/>
    <n v="1800"/>
    <n v="270"/>
  </r>
  <r>
    <n v="344"/>
    <s v="HCFM-0663"/>
    <s v="JAM FEROZ "/>
    <x v="6"/>
    <n v="1"/>
    <s v="CHICKEN SHASHLIK RICE"/>
    <n v="800"/>
    <n v="120"/>
  </r>
  <r>
    <n v="345"/>
    <s v="HCFM-0663"/>
    <s v="JAM FEROZ "/>
    <x v="6"/>
    <n v="1"/>
    <s v="MINERAL WATER LARGE"/>
    <n v="150"/>
    <n v="22.5"/>
  </r>
  <r>
    <n v="346"/>
    <s v="HCFM-0663"/>
    <s v="JAM FEROZ "/>
    <x v="6"/>
    <n v="3"/>
    <s v="PLAIN NAAN"/>
    <n v="210"/>
    <n v="31.5"/>
  </r>
  <r>
    <n v="347"/>
    <s v="HCFM-0663"/>
    <s v="JAM FEROZ "/>
    <x v="6"/>
    <n v="1"/>
    <s v="ROGHNI NAAN"/>
    <n v="150"/>
    <n v="22.5"/>
  </r>
  <r>
    <n v="348"/>
    <s v="HCFM-0663"/>
    <s v="JAM FEROZ "/>
    <x v="6"/>
    <n v="1"/>
    <s v="RAITA"/>
    <n v="200"/>
    <n v="30"/>
  </r>
  <r>
    <n v="349"/>
    <s v="HCFM-0683"/>
    <s v="MR. YASIR RASHEED"/>
    <x v="6"/>
    <n v="1"/>
    <s v="BEEF CHEESE BURGER"/>
    <n v="750"/>
    <n v="112.5"/>
  </r>
  <r>
    <n v="350"/>
    <s v="HCFM-0683"/>
    <s v="MR. YASIR RASHEED"/>
    <x v="6"/>
    <n v="1"/>
    <s v="ZINGER BURGER"/>
    <n v="700"/>
    <n v="105"/>
  </r>
  <r>
    <n v="351"/>
    <s v="HCFM-0683"/>
    <s v="MR. YASIR RASHEED"/>
    <x v="6"/>
    <n v="2"/>
    <s v="PLAIN FRIES"/>
    <n v="500"/>
    <n v="75"/>
  </r>
  <r>
    <n v="352"/>
    <s v="HCFM-0683"/>
    <s v="MR. YASIR RASHEED"/>
    <x v="6"/>
    <n v="2"/>
    <s v="GREEN TEA"/>
    <n v="300"/>
    <n v="45"/>
  </r>
  <r>
    <n v="353"/>
    <s v="HCFM-0683"/>
    <s v="MR. YASIR RASHEED"/>
    <x v="6"/>
    <n v="2"/>
    <s v="MINERAL WATER SMALL"/>
    <n v="200"/>
    <n v="30"/>
  </r>
  <r>
    <n v="354"/>
    <s v="HCFM-0684"/>
    <s v="MR. ZAMIR ALI SHAH"/>
    <x v="6"/>
    <n v="2"/>
    <s v="MINERAL WATER LARGE"/>
    <n v="300"/>
    <n v="45"/>
  </r>
  <r>
    <n v="355"/>
    <s v="HCFM-0684"/>
    <s v="MR. ZAMIR ALI SHAH"/>
    <x v="6"/>
    <n v="2"/>
    <s v="SPECIAL CHICKEN POPCORN"/>
    <n v="1000"/>
    <n v="150"/>
  </r>
  <r>
    <n v="356"/>
    <s v="HCFM-0684"/>
    <s v="MR. ZAMIR ALI SHAH"/>
    <x v="6"/>
    <n v="2"/>
    <s v="CLUB SANDWICH"/>
    <n v="2500"/>
    <n v="375"/>
  </r>
  <r>
    <n v="357"/>
    <s v="HCFM-0684"/>
    <s v="MR. ZAMIR ALI SHAH"/>
    <x v="6"/>
    <n v="2"/>
    <s v="CHICKEN DYNAMITE"/>
    <n v="1700"/>
    <n v="255"/>
  </r>
  <r>
    <n v="358"/>
    <s v="HCFM-0654"/>
    <s v="SYED JIBRAN MUSHTAQ"/>
    <x v="6"/>
    <n v="3"/>
    <s v="MINERAL WATER SMALL"/>
    <n v="300"/>
    <n v="45"/>
  </r>
  <r>
    <n v="359"/>
    <s v="HCFM-0654"/>
    <s v="SYED JIBRAN MUSHTAQ"/>
    <x v="6"/>
    <n v="1"/>
    <s v="MINERAL WATER LARGE"/>
    <n v="150"/>
    <n v="22.5"/>
  </r>
  <r>
    <n v="360"/>
    <s v="HCFM-0654"/>
    <s v="SYED JIBRAN MUSHTAQ"/>
    <x v="6"/>
    <n v="1"/>
    <s v="PLAIN FRIES"/>
    <n v="250"/>
    <n v="37.5"/>
  </r>
  <r>
    <n v="361"/>
    <s v="HCFM-0654"/>
    <s v="SYED JIBRAN MUSHTAQ"/>
    <x v="6"/>
    <n v="6"/>
    <s v="DOUGHNUTS"/>
    <s v="TAMBOLA "/>
    <m/>
  </r>
  <r>
    <n v="362"/>
    <s v="HCFM-0654"/>
    <s v="SYED JIBRAN MUSHTAQ"/>
    <x v="6"/>
    <n v="4"/>
    <s v="SUNDAY BRUNCH"/>
    <s v="TAMBOLA "/>
    <m/>
  </r>
  <r>
    <n v="363"/>
    <s v="HCFM-0586"/>
    <s v="MR.SYED MURTAZA ALI"/>
    <x v="6"/>
    <n v="2"/>
    <s v="SUNDAY BRUNCH"/>
    <s v="TAMBOLA "/>
    <m/>
  </r>
  <r>
    <n v="364"/>
    <s v="HCFM-0583"/>
    <s v="MR.CAREL HEDRIK BURGER"/>
    <x v="6"/>
    <n v="8"/>
    <s v="SUNDAY BRUNCH "/>
    <n v="14800"/>
    <n v="2220"/>
  </r>
  <r>
    <n v="365"/>
    <s v="HCFM-0583"/>
    <s v="MR.CAREL HEDRIK BURGER"/>
    <x v="6"/>
    <n v="2"/>
    <s v="MINERAL WATER LARGE"/>
    <n v="300"/>
    <n v="45"/>
  </r>
  <r>
    <n v="366"/>
    <s v="HCFM-0583"/>
    <s v="MR.CAREL HEDRIK BURGER"/>
    <x v="6"/>
    <n v="4"/>
    <s v="LASSI"/>
    <n v="1200"/>
    <n v="180"/>
  </r>
  <r>
    <n v="367"/>
    <s v="HCFM-0583"/>
    <s v="MR.CAREL HEDRIK BURGER"/>
    <x v="6"/>
    <n v="2"/>
    <s v="COFFEE CAPPUCINO"/>
    <n v="700"/>
    <n v="105"/>
  </r>
  <r>
    <n v="368"/>
    <s v="HCFM-0588"/>
    <s v="ZULFIQAR AHMED MEMON"/>
    <x v="6"/>
    <n v="8"/>
    <s v="SUNDAY BRUNCH "/>
    <n v="14800"/>
    <n v="2220"/>
  </r>
  <r>
    <n v="369"/>
    <s v="HCFM-0588"/>
    <s v="ZULFIQAR AHMED MEMON"/>
    <x v="6"/>
    <n v="2"/>
    <s v="MINERAL WATER LARGE"/>
    <n v="300"/>
    <n v="45"/>
  </r>
  <r>
    <n v="370"/>
    <s v="HCFM-0588"/>
    <s v="ZULFIQAR AHMED MEMON"/>
    <x v="6"/>
    <n v="4"/>
    <s v="LASSI"/>
    <n v="1200"/>
    <n v="180"/>
  </r>
  <r>
    <n v="371"/>
    <s v="HCFM-0586"/>
    <s v="MR.SYED MURTAZA ALI"/>
    <x v="6"/>
    <n v="1"/>
    <s v="SUNDAY BRUNCH"/>
    <n v="1550"/>
    <n v="232.5"/>
  </r>
  <r>
    <n v="372"/>
    <s v="HCFM-0586"/>
    <s v="MR.SYED MURTAZA ALI"/>
    <x v="6"/>
    <n v="1"/>
    <s v="MINERAL WATER LARGE"/>
    <n v="150"/>
    <n v="22.5"/>
  </r>
  <r>
    <n v="373"/>
    <s v="HCFM-0586"/>
    <s v="MR.SYED MURTAZA ALI"/>
    <x v="6"/>
    <n v="2"/>
    <s v="LASSI"/>
    <n v="600"/>
    <n v="90"/>
  </r>
  <r>
    <n v="374"/>
    <s v="HCFM-0586"/>
    <s v="MR.SYED MURTAZA ALI"/>
    <x v="6"/>
    <n v="1"/>
    <s v="BLACK COFFEE"/>
    <n v="300"/>
    <n v="45"/>
  </r>
  <r>
    <n v="375"/>
    <s v="HCFM-0657"/>
    <s v="NASIR ABBAS"/>
    <x v="6"/>
    <n v="7"/>
    <s v="SUNDAY BRUNCH"/>
    <n v="10850"/>
    <n v="1627.5"/>
  </r>
  <r>
    <n v="376"/>
    <s v="HCFM-0657"/>
    <s v="NASIR ABBAS"/>
    <x v="6"/>
    <n v="1"/>
    <s v="MINERAL WATER LARGE"/>
    <n v="150"/>
    <n v="22.5"/>
  </r>
  <r>
    <n v="377"/>
    <s v="HCFM-0657"/>
    <s v="NASIR ABBAS"/>
    <x v="6"/>
    <n v="5"/>
    <s v="LASSI"/>
    <n v="1500"/>
    <n v="225"/>
  </r>
  <r>
    <n v="378"/>
    <s v="HCFM-0657"/>
    <s v="NASIR ABBAS"/>
    <x v="6"/>
    <n v="2"/>
    <s v="SOFT DRINKS"/>
    <n v="300"/>
    <n v="45"/>
  </r>
  <r>
    <n v="379"/>
    <s v="HCFM-0532"/>
    <s v="MR.KHALID JAVED"/>
    <x v="6"/>
    <n v="4"/>
    <s v="SUNDAY BRUNCH"/>
    <n v="6200"/>
    <n v="930"/>
  </r>
  <r>
    <n v="380"/>
    <s v="HCFM-0532"/>
    <s v="MR.KHALID JAVED"/>
    <x v="6"/>
    <n v="1"/>
    <s v="MINERAL WATER LARGE"/>
    <n v="150"/>
    <n v="22.5"/>
  </r>
  <r>
    <n v="381"/>
    <s v="HCFM-0542"/>
    <s v="MR.HANIF AHSAN ZUBEDI"/>
    <x v="6"/>
    <n v="14"/>
    <s v="SUNDAY BRUNCH"/>
    <n v="21700"/>
    <n v="3255"/>
  </r>
  <r>
    <n v="382"/>
    <s v="HCFM-0542"/>
    <s v="MR.HANIF AHSAN ZUBEDI"/>
    <x v="6"/>
    <n v="4"/>
    <s v="MINERAL WATER LARGE"/>
    <n v="600"/>
    <n v="90"/>
  </r>
  <r>
    <n v="383"/>
    <s v="HCFM-0542"/>
    <s v="MR.HANIF AHSAN ZUBEDI"/>
    <x v="6"/>
    <n v="5"/>
    <s v="SUNDAY BRUNCH KIDS"/>
    <n v="3875"/>
    <n v="581.25"/>
  </r>
  <r>
    <n v="384"/>
    <s v="HCFM-0519"/>
    <s v="DR.NAZEER HUSSAIN KALHORO"/>
    <x v="6"/>
    <n v="5"/>
    <s v="SUNDAY BRUNCH "/>
    <n v="9250"/>
    <n v="1387.5"/>
  </r>
  <r>
    <n v="385"/>
    <s v="HCFM-0519"/>
    <s v="DR.NAZEER HUSSAIN KALHORO"/>
    <x v="6"/>
    <n v="1"/>
    <s v="MINERAL WATER LARGE"/>
    <n v="150"/>
    <n v="22.5"/>
  </r>
  <r>
    <n v="386"/>
    <s v="HCFM-0519"/>
    <s v="DR.NAZEER HUSSAIN KALHORO"/>
    <x v="6"/>
    <n v="1"/>
    <s v="MINERAL WATER SMALL"/>
    <n v="100"/>
    <n v="15"/>
  </r>
  <r>
    <n v="387"/>
    <s v="HCFM-0519"/>
    <s v="DR.NAZEER HUSSAIN KALHORO"/>
    <x v="6"/>
    <n v="2"/>
    <s v="SOFT DRINKS"/>
    <n v="300"/>
    <n v="45"/>
  </r>
  <r>
    <n v="388"/>
    <s v="HCFM-0519"/>
    <s v="DR.NAZEER HUSSAIN KALHORO"/>
    <x v="6"/>
    <n v="1"/>
    <s v="SUNDAY BRUNCH KIDS "/>
    <n v="925"/>
    <n v="138.75"/>
  </r>
  <r>
    <n v="389"/>
    <s v="HCFM-0545"/>
    <s v="MR. HASAN KARIM"/>
    <x v="6"/>
    <n v="2"/>
    <s v="SUNDAY BRUNCH "/>
    <n v="3700"/>
    <n v="555"/>
  </r>
  <r>
    <n v="390"/>
    <s v="HCFM-0545"/>
    <s v="MR. HASAN KARIM"/>
    <x v="6"/>
    <n v="1"/>
    <s v="LASSI"/>
    <n v="300"/>
    <n v="45"/>
  </r>
  <r>
    <n v="391"/>
    <s v="HCFM-0589"/>
    <s v="DGM.REHAN TARIQ"/>
    <x v="6"/>
    <n v="2"/>
    <s v="SUNDAY BRUNCH "/>
    <n v="3700"/>
    <n v="555"/>
  </r>
  <r>
    <n v="392"/>
    <s v="HCFM-0589"/>
    <s v="DGM.REHAN TARIQ"/>
    <x v="6"/>
    <n v="2"/>
    <s v="MINERAL WATER SMALL"/>
    <n v="200"/>
    <n v="30"/>
  </r>
  <r>
    <n v="393"/>
    <s v="HCFM-0654"/>
    <s v="SYED JIBRAN MUSHTAQ"/>
    <x v="6"/>
    <n v="2"/>
    <s v="SUNDAY BRUNCH "/>
    <n v="3700"/>
    <n v="555"/>
  </r>
  <r>
    <n v="394"/>
    <s v="HCFM-0654"/>
    <s v="SYED JIBRAN MUSHTAQ"/>
    <x v="6"/>
    <n v="3"/>
    <s v="COFFEE CAPPUCINO"/>
    <n v="1050"/>
    <n v="157.5"/>
  </r>
  <r>
    <n v="395"/>
    <s v="HCFM-0654"/>
    <s v="SYED JIBRAN MUSHTAQ"/>
    <x v="6"/>
    <n v="2"/>
    <s v="MINERAL WATER SMALL"/>
    <n v="200"/>
    <n v="30"/>
  </r>
  <r>
    <n v="396"/>
    <s v="HCFM-0581"/>
    <s v="BRIG DR. GHULAM MEHDI (Retd)"/>
    <x v="6"/>
    <n v="2"/>
    <s v="SUNDAY BRUNCH "/>
    <n v="3700"/>
    <n v="555"/>
  </r>
  <r>
    <n v="397"/>
    <s v="HCFM-0581"/>
    <s v="BRIG DR. GHULAM MEHDI (Retd)"/>
    <x v="6"/>
    <n v="2"/>
    <s v="LASSI"/>
    <n v="600"/>
    <n v="90"/>
  </r>
  <r>
    <n v="398"/>
    <s v="HCFM-0581"/>
    <s v="BRIG DR. GHULAM MEHDI (Retd)"/>
    <x v="6"/>
    <n v="1"/>
    <s v="MINERAL WATER SMALL"/>
    <n v="100"/>
    <n v="15"/>
  </r>
  <r>
    <n v="399"/>
    <s v="HCFM-0655"/>
    <s v="SADDAM HUSSAIN"/>
    <x v="7"/>
    <n v="1"/>
    <s v="HOT N SOUR SOUP"/>
    <n v="350"/>
    <n v="52.5"/>
  </r>
  <r>
    <n v="400"/>
    <s v="HCFM-0655"/>
    <s v="SADDAM HUSSAIN"/>
    <x v="7"/>
    <n v="3"/>
    <s v="SPECIAL CHICKEN POPCORN"/>
    <n v="1500"/>
    <n v="225"/>
  </r>
  <r>
    <n v="401"/>
    <s v="HCFM-0655"/>
    <s v="SADDAM HUSSAIN"/>
    <x v="7"/>
    <n v="1"/>
    <s v="CLUB SANDWICH"/>
    <n v="1250"/>
    <n v="187.5"/>
  </r>
  <r>
    <n v="402"/>
    <s v="HCFM-0655"/>
    <s v="SADDAM HUSSAIN"/>
    <x v="7"/>
    <n v="2"/>
    <s v="PLAIN FRIES"/>
    <n v="500"/>
    <n v="75"/>
  </r>
  <r>
    <n v="403"/>
    <s v="HCFM-0655"/>
    <s v="SADDAM HUSSAIN"/>
    <x v="7"/>
    <n v="1"/>
    <s v="APPLE JUICE"/>
    <n v="200"/>
    <n v="30"/>
  </r>
  <r>
    <n v="404"/>
    <s v="HCFM-0655"/>
    <s v="SADDAM HUSSAIN"/>
    <x v="7"/>
    <n v="2"/>
    <s v="MINERAL WATER LARGE"/>
    <n v="300"/>
    <n v="45"/>
  </r>
  <r>
    <n v="405"/>
    <s v="HCFM-0503"/>
    <s v="MR.GHULAM NABI OTHI"/>
    <x v="7"/>
    <n v="1"/>
    <s v="MINERAL WATER LARGE"/>
    <n v="150"/>
    <n v="22.5"/>
  </r>
  <r>
    <n v="406"/>
    <s v="HCFM-0503"/>
    <s v="MR.GHULAM NABI OTHI"/>
    <x v="7"/>
    <n v="2"/>
    <s v="MINERAL WATER SMALL"/>
    <n v="200"/>
    <n v="30"/>
  </r>
  <r>
    <n v="407"/>
    <s v="HCFM-0503"/>
    <s v="MR.GHULAM NABI OTHI"/>
    <x v="7"/>
    <n v="2"/>
    <s v="PEANUT AND NIMCO"/>
    <n v="600"/>
    <n v="90"/>
  </r>
  <r>
    <n v="408"/>
    <s v="HCFM-0663"/>
    <s v="JAM FEROZ "/>
    <x v="7"/>
    <n v="2"/>
    <s v="MUTTON KARAHI (RED/WHITE/GREEN)"/>
    <n v="3600"/>
    <n v="540"/>
  </r>
  <r>
    <n v="409"/>
    <s v="HCFM-0663"/>
    <s v="JAM FEROZ "/>
    <x v="7"/>
    <n v="2"/>
    <s v="CHICKEN HANDI"/>
    <n v="2000"/>
    <n v="300"/>
  </r>
  <r>
    <n v="410"/>
    <s v="HCFM-0663"/>
    <s v="JAM FEROZ "/>
    <x v="7"/>
    <n v="5"/>
    <s v="PLAIN NAAN"/>
    <n v="350"/>
    <n v="52.5"/>
  </r>
  <r>
    <n v="411"/>
    <s v="HCFM-0663"/>
    <s v="JAM FEROZ "/>
    <x v="7"/>
    <n v="1"/>
    <s v="FRESH GARDEN SALAD"/>
    <n v="800"/>
    <n v="120"/>
  </r>
  <r>
    <n v="412"/>
    <s v="HCFM-0663"/>
    <s v="JAM FEROZ "/>
    <x v="7"/>
    <n v="1"/>
    <s v="RAITA"/>
    <n v="200"/>
    <n v="30"/>
  </r>
  <r>
    <n v="413"/>
    <s v="HCFM-0663"/>
    <s v="JAM FEROZ "/>
    <x v="7"/>
    <n v="2"/>
    <s v="CLUB SANDWICH"/>
    <n v="2500"/>
    <n v="375"/>
  </r>
  <r>
    <n v="414"/>
    <s v="HCFM-0663"/>
    <s v="JAM FEROZ "/>
    <x v="7"/>
    <n v="3"/>
    <s v="COFFEE CAPPUCINO"/>
    <n v="1050"/>
    <n v="157.5"/>
  </r>
  <r>
    <n v="415"/>
    <s v="HCFM-0663"/>
    <s v="JAM FEROZ "/>
    <x v="7"/>
    <n v="1"/>
    <s v="MINERAL WATER LARGE"/>
    <n v="150"/>
    <n v="22.5"/>
  </r>
  <r>
    <n v="416"/>
    <s v="HCFM-0515"/>
    <s v="MR.TARIQUE ZUBAIR"/>
    <x v="7"/>
    <n v="1"/>
    <s v="CHICKEN CHOWMEIN"/>
    <n v="950"/>
    <n v="142.5"/>
  </r>
  <r>
    <n v="417"/>
    <s v="HCFM-0680"/>
    <s v="MR. AYAZ JAMRO"/>
    <x v="7"/>
    <n v="1"/>
    <s v="MASHROOM CHEESE OMELETTE"/>
    <n v="450"/>
    <n v="67.5"/>
  </r>
  <r>
    <n v="418"/>
    <s v="HCFM-0680"/>
    <s v="MR. AYAZ JAMRO"/>
    <x v="7"/>
    <n v="1"/>
    <s v="GRILLED CHICKEN SANDWICH"/>
    <n v="575"/>
    <n v="86.25"/>
  </r>
  <r>
    <n v="419"/>
    <s v="HCFM-0680"/>
    <s v="MR. AYAZ JAMRO"/>
    <x v="7"/>
    <n v="1"/>
    <s v="TAWA PARATHA"/>
    <n v="150"/>
    <n v="22.5"/>
  </r>
  <r>
    <n v="420"/>
    <s v="HCFM-0680"/>
    <s v="MR. AYAZ JAMRO"/>
    <x v="7"/>
    <n v="1"/>
    <s v="MINERAL WATER SMALL"/>
    <n v="100"/>
    <n v="15"/>
  </r>
  <r>
    <n v="421"/>
    <s v="HCFM-0680"/>
    <s v="MR. AYAZ JAMRO"/>
    <x v="7"/>
    <n v="1"/>
    <s v="LATTE COFFEE"/>
    <n v="350"/>
    <n v="52.5"/>
  </r>
  <r>
    <n v="422"/>
    <s v="HCFM-0521"/>
    <s v="MR.HAFEEZ AHMED SIYAL"/>
    <x v="7"/>
    <n v="1"/>
    <s v="MINERAL WATER SMALL"/>
    <n v="100"/>
    <n v="15"/>
  </r>
  <r>
    <n v="423"/>
    <s v="HCFM-0600"/>
    <s v="DR.FAKHRUNISSA WAHEED"/>
    <x v="7"/>
    <n v="2"/>
    <s v="CREAM OF MASHROOM SOUP"/>
    <n v="800"/>
    <n v="120"/>
  </r>
  <r>
    <n v="424"/>
    <s v="HCFM-0600"/>
    <s v="DR.FAKHRUNISSA WAHEED"/>
    <x v="7"/>
    <n v="1"/>
    <s v="MAKHANI KARAHI"/>
    <n v="1000"/>
    <n v="150"/>
  </r>
  <r>
    <n v="425"/>
    <s v="HCFM-0600"/>
    <s v="DR.FAKHRUNISSA WAHEED"/>
    <x v="7"/>
    <n v="1"/>
    <s v="SINGAPOREAN FRIED RICE"/>
    <n v="1000"/>
    <n v="150"/>
  </r>
  <r>
    <n v="426"/>
    <s v="HCFM-0600"/>
    <s v="DR.FAKHRUNISSA WAHEED"/>
    <x v="7"/>
    <n v="1"/>
    <s v="PIZZA FRIES FULL"/>
    <n v="500"/>
    <n v="75"/>
  </r>
  <r>
    <n v="427"/>
    <s v="HCFM-0600"/>
    <s v="DR.FAKHRUNISSA WAHEED"/>
    <x v="7"/>
    <n v="3"/>
    <s v="TAWA PARATHA"/>
    <n v="450"/>
    <n v="67.5"/>
  </r>
  <r>
    <n v="428"/>
    <s v="HCFM-0600"/>
    <s v="DR.FAKHRUNISSA WAHEED"/>
    <x v="7"/>
    <n v="2"/>
    <s v="PLAIN NAAN"/>
    <n v="140"/>
    <n v="21"/>
  </r>
  <r>
    <n v="429"/>
    <s v="HCFM-0600"/>
    <s v="DR.FAKHRUNISSA WAHEED"/>
    <x v="7"/>
    <n v="1"/>
    <s v="MINERAL WATER LARGE"/>
    <n v="150"/>
    <n v="22.5"/>
  </r>
  <r>
    <n v="430"/>
    <s v="HCFM-0600"/>
    <s v="DR.FAKHRUNISSA WAHEED"/>
    <x v="7"/>
    <n v="1"/>
    <s v="PLAIN FRIES"/>
    <n v="250"/>
    <n v="37.5"/>
  </r>
  <r>
    <n v="431"/>
    <s v="HCFM-0600"/>
    <s v="DR.FAKHRUNISSA WAHEED"/>
    <x v="7"/>
    <n v="4"/>
    <s v="SOFT DRINKS"/>
    <n v="600"/>
    <n v="90"/>
  </r>
  <r>
    <n v="432"/>
    <s v="HCFM-0507"/>
    <s v="MR.SYED TAHIR ABBAS"/>
    <x v="8"/>
    <n v="2"/>
    <s v="MASHROOM CHEESE OMELETTE"/>
    <n v="900"/>
    <n v="135"/>
  </r>
  <r>
    <n v="433"/>
    <s v="HCFM-0507"/>
    <s v="MR.SYED TAHIR ABBAS"/>
    <x v="8"/>
    <n v="2"/>
    <s v="PAKISTANI OMELETTE"/>
    <n v="600"/>
    <n v="90"/>
  </r>
  <r>
    <n v="434"/>
    <s v="HCFM-0507"/>
    <s v="MR.SYED TAHIR ABBAS"/>
    <x v="8"/>
    <n v="3"/>
    <s v="TAWA PARATHA"/>
    <n v="450"/>
    <n v="67.5"/>
  </r>
  <r>
    <n v="435"/>
    <s v="HCFM-0507"/>
    <s v="MR.SYED TAHIR ABBAS"/>
    <x v="8"/>
    <n v="5"/>
    <s v="BROWN BREAD"/>
    <n v="300"/>
    <n v="45"/>
  </r>
  <r>
    <n v="436"/>
    <s v="HCFM-0507"/>
    <s v="MR.SYED TAHIR ABBAS"/>
    <x v="8"/>
    <n v="4"/>
    <s v="MIX TEA"/>
    <n v="800"/>
    <n v="120"/>
  </r>
  <r>
    <n v="437"/>
    <s v="HCFM-0507"/>
    <s v="MR.SYED TAHIR ABBAS"/>
    <x v="8"/>
    <n v="1"/>
    <s v="MINERAL WATER LARGE"/>
    <n v="150"/>
    <n v="22.5"/>
  </r>
  <r>
    <n v="438"/>
    <s v="HCFM-0664"/>
    <s v="SHAHBAZ AHMED"/>
    <x v="8"/>
    <n v="2"/>
    <s v="CHICKEN PESHAWARI KARAHI"/>
    <n v="1800"/>
    <n v="270"/>
  </r>
  <r>
    <n v="439"/>
    <s v="HCFM-0664"/>
    <s v="SHAHBAZ AHMED"/>
    <x v="8"/>
    <n v="2"/>
    <s v="MAKHANI KARAHI"/>
    <n v="2000"/>
    <n v="300"/>
  </r>
  <r>
    <n v="440"/>
    <s v="HCFM-0664"/>
    <s v="SHAHBAZ AHMED"/>
    <x v="8"/>
    <n v="1"/>
    <s v="VEGETABLE FRIED RICE"/>
    <n v="300"/>
    <n v="45"/>
  </r>
  <r>
    <n v="441"/>
    <s v="HCFM-0664"/>
    <s v="SHAHBAZ AHMED"/>
    <x v="8"/>
    <n v="1"/>
    <s v="SINGAPOREAN FRIED RICE"/>
    <n v="1000"/>
    <n v="150"/>
  </r>
  <r>
    <n v="442"/>
    <s v="HCFM-0664"/>
    <s v="SHAHBAZ AHMED"/>
    <x v="8"/>
    <n v="1"/>
    <s v="CHICKEN MANCHURIAN"/>
    <n v="800"/>
    <n v="120"/>
  </r>
  <r>
    <n v="443"/>
    <s v="HCFM-0664"/>
    <s v="SHAHBAZ AHMED"/>
    <x v="8"/>
    <n v="1"/>
    <s v="RESHMI SEEKH KABAB"/>
    <n v="999"/>
    <n v="149.85"/>
  </r>
  <r>
    <n v="444"/>
    <s v="HCFM-0664"/>
    <s v="SHAHBAZ AHMED"/>
    <x v="8"/>
    <n v="1"/>
    <s v="SHISH TAOUK"/>
    <n v="1200"/>
    <n v="180"/>
  </r>
  <r>
    <n v="445"/>
    <s v="HCFM-0664"/>
    <s v="SHAHBAZ AHMED"/>
    <x v="8"/>
    <n v="1"/>
    <s v="MALAI BOTI"/>
    <n v="1150"/>
    <n v="172.5"/>
  </r>
  <r>
    <n v="446"/>
    <s v="HCFM-0664"/>
    <s v="SHAHBAZ AHMED"/>
    <x v="8"/>
    <n v="1"/>
    <s v="CHICKEN TIKKA"/>
    <n v="600"/>
    <n v="90"/>
  </r>
  <r>
    <n v="447"/>
    <s v="HCFM-0664"/>
    <s v="SHAHBAZ AHMED"/>
    <x v="8"/>
    <n v="1"/>
    <s v="RAITA"/>
    <n v="200"/>
    <n v="30"/>
  </r>
  <r>
    <n v="448"/>
    <s v="HCFM-0664"/>
    <s v="SHAHBAZ AHMED"/>
    <x v="8"/>
    <n v="3"/>
    <s v="MINERAL WATER LARGE"/>
    <n v="450"/>
    <n v="67.5"/>
  </r>
  <r>
    <n v="449"/>
    <s v="HCFM-0664"/>
    <s v="SHAHBAZ AHMED"/>
    <x v="8"/>
    <n v="7"/>
    <s v="PLAIN NAAN"/>
    <n v="490"/>
    <n v="73.5"/>
  </r>
  <r>
    <n v="450"/>
    <s v="HCFM-0664"/>
    <s v="SHAHBAZ AHMED"/>
    <x v="8"/>
    <n v="7"/>
    <s v="ROGHNI NAAN"/>
    <n v="1050"/>
    <n v="157.5"/>
  </r>
  <r>
    <n v="451"/>
    <s v="HCFM-0664"/>
    <s v="SHAHBAZ AHMED"/>
    <x v="8"/>
    <n v="2"/>
    <s v="RUSSIAN SALAD"/>
    <n v="800"/>
    <n v="120"/>
  </r>
  <r>
    <n v="452"/>
    <s v="HCFM-0639"/>
    <s v="HUSSAIN WAJID"/>
    <x v="8"/>
    <n v="3"/>
    <s v="GRILLED CHICKEN SANDWICH"/>
    <n v="1725"/>
    <n v="258.75"/>
  </r>
  <r>
    <n v="453"/>
    <s v="HCFM-0639"/>
    <s v="HUSSAIN WAJID"/>
    <x v="8"/>
    <n v="4"/>
    <s v="SOFT DRINKS"/>
    <n v="600"/>
    <n v="90"/>
  </r>
  <r>
    <n v="454"/>
    <s v="HCFM-0646"/>
    <s v="BAHRIA INTERNATIONAL HOSPITAL"/>
    <x v="8"/>
    <n v="40"/>
    <s v="CHICKEN PATTIES"/>
    <n v="4000"/>
    <m/>
  </r>
  <r>
    <n v="455"/>
    <s v="HCFM-0646"/>
    <s v="BAHRIA INTERNATIONAL HOSPITAL"/>
    <x v="8"/>
    <n v="12"/>
    <s v="ASSORTED PASTRY"/>
    <n v="3000"/>
    <m/>
  </r>
  <r>
    <n v="456"/>
    <s v="HCFM-0646"/>
    <s v="BAHRIA INTERNATIONAL HOSPITAL"/>
    <x v="8"/>
    <n v="9"/>
    <s v="DOUGHNUTS"/>
    <n v="1350"/>
    <m/>
  </r>
  <r>
    <n v="457"/>
    <s v="HCFM-0638"/>
    <s v="RIAZ FAZAL"/>
    <x v="8"/>
    <n v="2"/>
    <s v="MINERAL WATER LARGE"/>
    <n v="300"/>
    <n v="45"/>
  </r>
  <r>
    <n v="458"/>
    <s v="HCFM-0659"/>
    <s v="Heritage club"/>
    <x v="8"/>
    <n v="1"/>
    <s v="MIX TEA"/>
    <n v="200"/>
    <n v="30"/>
  </r>
  <r>
    <n v="459"/>
    <s v="HCFM-0659"/>
    <s v="Heritage club"/>
    <x v="8"/>
    <n v="1"/>
    <s v="MINERAL WATER SMALL"/>
    <n v="100"/>
    <n v="15"/>
  </r>
  <r>
    <n v="460"/>
    <s v="HCFM-0638"/>
    <s v="RIAZ FAZAL"/>
    <x v="8"/>
    <n v="1"/>
    <s v="CLUB SANDWICH"/>
    <n v="1250"/>
    <n v="187.5"/>
  </r>
  <r>
    <n v="461"/>
    <s v="HCFM-0641"/>
    <s v="AAMIR RASOOL"/>
    <x v="8"/>
    <n v="2"/>
    <s v="CLUB SANDWICH"/>
    <n v="2500"/>
    <n v="375"/>
  </r>
  <r>
    <n v="462"/>
    <s v="HCFM-0641"/>
    <s v="AAMIR RASOOL"/>
    <x v="8"/>
    <n v="1"/>
    <s v="MINERAL WATER LARGE"/>
    <n v="150"/>
    <n v="22.5"/>
  </r>
  <r>
    <n v="463"/>
    <s v="HCFM-0641"/>
    <s v="AAMIR RASOOL"/>
    <x v="8"/>
    <n v="6"/>
    <s v="MIX TEA"/>
    <n v="1200"/>
    <n v="180"/>
  </r>
  <r>
    <n v="464"/>
    <s v="HCFM-0641"/>
    <s v="AAMIR RASOOL"/>
    <x v="8"/>
    <n v="2"/>
    <s v="CHICKEN DYNAMITE"/>
    <n v="1700"/>
    <n v="255"/>
  </r>
  <r>
    <n v="465"/>
    <s v="HCFM-0641"/>
    <s v="AAMIR RASOOL"/>
    <x v="8"/>
    <n v="2"/>
    <s v="HC SPECIAL CHICKEN POPCORN"/>
    <n v="1000"/>
    <n v="150"/>
  </r>
  <r>
    <n v="466"/>
    <s v="HCFM-0661"/>
    <s v="ARSLAN KHAN ABRO "/>
    <x v="8"/>
    <n v="2"/>
    <s v="MINERAL WATER LARGE"/>
    <n v="300"/>
    <n v="45"/>
  </r>
  <r>
    <n v="467"/>
    <s v="HCFM-0661"/>
    <s v="ARSLAN KHAN ABRO "/>
    <x v="8"/>
    <n v="1"/>
    <s v="CHICKEN STRIPS"/>
    <n v="700"/>
    <n v="105"/>
  </r>
  <r>
    <n v="468"/>
    <s v="HCFM-0661"/>
    <s v="ARSLAN KHAN ABRO "/>
    <x v="8"/>
    <n v="1"/>
    <s v="MIX TEA"/>
    <n v="200"/>
    <n v="30"/>
  </r>
  <r>
    <n v="469"/>
    <s v="HCFM-0661"/>
    <s v="ARSLAN KHAN ABRO "/>
    <x v="8"/>
    <n v="1"/>
    <s v="GRILLED CHICKEN SANDWICH"/>
    <n v="575"/>
    <n v="86.25"/>
  </r>
  <r>
    <n v="470"/>
    <s v="HCFM-0659"/>
    <s v="Heritage club"/>
    <x v="8"/>
    <n v="1"/>
    <s v="LATTE COFFEE"/>
    <n v="350"/>
    <n v="52.5"/>
  </r>
  <r>
    <n v="471"/>
    <s v="HCFM-0659"/>
    <s v="Heritage club"/>
    <x v="8"/>
    <n v="1"/>
    <s v="MINT LEMONADE"/>
    <n v="350"/>
    <n v="52.5"/>
  </r>
  <r>
    <n v="472"/>
    <s v="HCFM-0659"/>
    <s v="Heritage club"/>
    <x v="9"/>
    <n v="1"/>
    <s v="CHOCOLATE CAKE 1 POUND"/>
    <n v="0"/>
    <n v="0"/>
  </r>
  <r>
    <n v="473"/>
    <s v="HCFM-0648"/>
    <s v="AYSM MIRZA"/>
    <x v="9"/>
    <n v="1"/>
    <s v="MINERAL WATER SMALL"/>
    <n v="100"/>
    <n v="15"/>
  </r>
  <r>
    <n v="474"/>
    <s v="HCFM-0648"/>
    <s v="AYSM MIRZA"/>
    <x v="9"/>
    <n v="2"/>
    <s v="MIX TEA"/>
    <n v="400"/>
    <n v="60"/>
  </r>
  <r>
    <n v="475"/>
    <s v="HCFM-0648"/>
    <s v="AYSM MIRZA"/>
    <x v="9"/>
    <n v="2"/>
    <s v="PLAIN POPCORN"/>
    <n v="1000"/>
    <n v="150"/>
  </r>
  <r>
    <n v="476"/>
    <s v="HCFM-0648"/>
    <s v="AYSM MIRZA"/>
    <x v="9"/>
    <n v="4"/>
    <s v="ZINGER BURGER"/>
    <n v="2800"/>
    <n v="420"/>
  </r>
  <r>
    <n v="477"/>
    <s v="HCFM-0648"/>
    <s v="AYSM MIRZA"/>
    <x v="9"/>
    <n v="1"/>
    <s v="PASTA"/>
    <n v="1200"/>
    <n v="180"/>
  </r>
  <r>
    <n v="478"/>
    <s v="HCFM-0504"/>
    <s v="MR.BILAL AHMED"/>
    <x v="9"/>
    <n v="3"/>
    <s v="COFFEE CAPPUCINO"/>
    <n v="1050"/>
    <n v="157.5"/>
  </r>
  <r>
    <n v="479"/>
    <s v="HCFM-0504"/>
    <s v="MR.BILAL AHMED"/>
    <x v="9"/>
    <n v="1"/>
    <s v="MINERAL WATER LARGE"/>
    <n v="150"/>
    <n v="22.5"/>
  </r>
  <r>
    <n v="480"/>
    <s v="HCFM-0521"/>
    <s v="MR.HAFEEZ AHMED SIYAL"/>
    <x v="9"/>
    <n v="1"/>
    <s v="CHINESE SZECHUAN SOUP"/>
    <n v="350"/>
    <n v="52.5"/>
  </r>
  <r>
    <n v="481"/>
    <s v="HCFM-0659"/>
    <s v="Heritage club"/>
    <x v="9"/>
    <n v="2"/>
    <s v="PLAIN FRIES"/>
    <n v="500"/>
    <n v="75"/>
  </r>
  <r>
    <n v="482"/>
    <s v="HCFM-0659"/>
    <s v="Heritage club"/>
    <x v="9"/>
    <n v="1"/>
    <s v="PLAIN POPCORN"/>
    <n v="500"/>
    <n v="75"/>
  </r>
  <r>
    <n v="483"/>
    <s v="HCFM-0650"/>
    <s v="KHURRAM FIRDOUS"/>
    <x v="9"/>
    <n v="1"/>
    <s v="CLUB SANDWICH"/>
    <n v="1250"/>
    <n v="187.5"/>
  </r>
  <r>
    <n v="484"/>
    <s v="HCFM-0650"/>
    <s v="KHURRAM FIRDOUS"/>
    <x v="9"/>
    <n v="1"/>
    <s v="PLAIN POPCORN"/>
    <n v="500"/>
    <n v="75"/>
  </r>
  <r>
    <n v="485"/>
    <s v="HCFM-0650"/>
    <s v="KHURRAM FIRDOUS"/>
    <x v="9"/>
    <n v="1"/>
    <s v="PLAIN FRIES"/>
    <n v="250"/>
    <n v="37.5"/>
  </r>
  <r>
    <n v="486"/>
    <s v="HCFM-0650"/>
    <s v="KHURRAM FIRDOUS"/>
    <x v="9"/>
    <n v="1"/>
    <s v="MINERAL WATER LARGE"/>
    <n v="150"/>
    <n v="22.5"/>
  </r>
  <r>
    <n v="487"/>
    <s v="HCFM-0677"/>
    <s v="MR. MUNAWAR HUSSAIN"/>
    <x v="9"/>
    <n v="1"/>
    <s v="MINERAL WATER SMALL"/>
    <n v="100"/>
    <n v="15"/>
  </r>
  <r>
    <n v="488"/>
    <s v="HCFM-0677"/>
    <s v="MR. MUNAWAR HUSSAIN"/>
    <x v="9"/>
    <n v="1"/>
    <s v="HOT N SOUR SOUP"/>
    <n v="350"/>
    <n v="52.5"/>
  </r>
  <r>
    <n v="489"/>
    <s v="HCFM-0677"/>
    <s v="MR. MUNAWAR HUSSAIN"/>
    <x v="9"/>
    <n v="1"/>
    <s v="HC SPECIAL DAAL MAKHNI"/>
    <n v="500"/>
    <n v="75"/>
  </r>
  <r>
    <n v="490"/>
    <s v="HCFM-0677"/>
    <s v="MR. MUNAWAR HUSSAIN"/>
    <x v="9"/>
    <n v="1"/>
    <s v="GARLIC NAAN"/>
    <n v="130"/>
    <n v="19.5"/>
  </r>
  <r>
    <n v="491"/>
    <s v="HCFM-0677"/>
    <s v="MR. MUNAWAR HUSSAIN"/>
    <x v="9"/>
    <n v="1"/>
    <s v="SOFT DRINKS"/>
    <n v="150"/>
    <n v="22.5"/>
  </r>
  <r>
    <n v="492"/>
    <s v="HCFM-0677"/>
    <s v="MR. MUNAWAR HUSSAIN"/>
    <x v="9"/>
    <n v="1"/>
    <s v="RAITA"/>
    <n v="200"/>
    <n v="30"/>
  </r>
  <r>
    <n v="493"/>
    <s v="HCFM-0677"/>
    <s v="MR. MUNAWAR HUSSAIN"/>
    <x v="9"/>
    <n v="1"/>
    <s v="PLAIN NAAN"/>
    <n v="70"/>
    <n v="10.5"/>
  </r>
  <r>
    <n v="494"/>
    <s v="HCFM-0679"/>
    <s v="MR. ANEEL ZAHOOR"/>
    <x v="9"/>
    <n v="1"/>
    <s v="MINERAL WATER SMALL"/>
    <n v="100"/>
    <n v="15"/>
  </r>
  <r>
    <n v="495"/>
    <s v="HCFM-0679"/>
    <s v="MR. ANEEL ZAHOOR"/>
    <x v="9"/>
    <n v="1"/>
    <s v="ZINGER BURGER"/>
    <n v="700"/>
    <n v="105"/>
  </r>
  <r>
    <n v="496"/>
    <s v="HCFM-0521"/>
    <s v="MR.HAFEEZ AHMED SIYAL"/>
    <x v="9"/>
    <n v="1"/>
    <s v="MINERAL WATER SMALL"/>
    <n v="100"/>
    <n v="15"/>
  </r>
  <r>
    <n v="497"/>
    <s v="HCFM-0648"/>
    <s v="AYSM MIRZA"/>
    <x v="9"/>
    <n v="1"/>
    <s v="MINERAL WATER SMALL"/>
    <n v="100"/>
    <n v="15"/>
  </r>
  <r>
    <n v="498"/>
    <s v="HCFM-0648"/>
    <s v="AYSM MIRZA"/>
    <x v="9"/>
    <n v="1"/>
    <s v="SOFT DRINKS"/>
    <n v="150"/>
    <n v="22.5"/>
  </r>
  <r>
    <n v="499"/>
    <s v="HCFM-0515"/>
    <s v="MR.TARIQUE ZUBAIR"/>
    <x v="9"/>
    <n v="1"/>
    <s v="CLUB SANDWICH"/>
    <n v="1250"/>
    <n v="187.5"/>
  </r>
  <r>
    <n v="500"/>
    <s v="HCFM-0515"/>
    <s v="MR.TARIQUE ZUBAIR"/>
    <x v="9"/>
    <n v="2"/>
    <s v="SOFT DRINKS"/>
    <n v="300"/>
    <n v="45"/>
  </r>
  <r>
    <n v="501"/>
    <s v="HCFM-0664"/>
    <s v="SHAHBAZ AHMED"/>
    <x v="9"/>
    <n v="1"/>
    <s v="MINERAL WATER SMALL"/>
    <n v="100"/>
    <n v="15"/>
  </r>
  <r>
    <n v="502"/>
    <s v="HCFM-0644"/>
    <s v="SABA AHSAN"/>
    <x v="9"/>
    <n v="1"/>
    <s v="MINERAL WATER SMALL"/>
    <n v="100"/>
    <n v="15"/>
  </r>
  <r>
    <n v="503"/>
    <s v="HCFM-0644"/>
    <s v="SABA AHSAN"/>
    <x v="9"/>
    <n v="1"/>
    <s v="CLUB SANDWICH"/>
    <n v="1250"/>
    <n v="187.5"/>
  </r>
  <r>
    <n v="504"/>
    <s v="HCFM-0644"/>
    <s v="SABA AHSAN"/>
    <x v="9"/>
    <n v="1"/>
    <s v="COFFEE CAPPUCINO"/>
    <n v="350"/>
    <n v="52.5"/>
  </r>
  <r>
    <n v="505"/>
    <s v="HCFM-0536"/>
    <s v="MR.ASHOK KUMAR"/>
    <x v="9"/>
    <n v="3"/>
    <s v="ZINGER BURGER"/>
    <n v="2100"/>
    <n v="315"/>
  </r>
  <r>
    <n v="506"/>
    <s v="HCFM-0536"/>
    <s v="MR.ASHOK KUMAR"/>
    <x v="9"/>
    <n v="1"/>
    <s v="CLUB SANDWICH"/>
    <n v="1250"/>
    <n v="187.5"/>
  </r>
  <r>
    <n v="507"/>
    <s v="HCFM-0536"/>
    <s v="MR.ASHOK KUMAR"/>
    <x v="9"/>
    <n v="4"/>
    <s v="MINERAL WATER SMALL"/>
    <n v="400"/>
    <n v="60"/>
  </r>
  <r>
    <n v="508"/>
    <s v="HCFM-0509"/>
    <s v="MR.SYED ABDULLAH ALI"/>
    <x v="9"/>
    <n v="1"/>
    <s v="MINERAL WATER SMALL"/>
    <n v="100"/>
    <n v="15"/>
  </r>
  <r>
    <n v="509"/>
    <s v="HCFM-0509"/>
    <s v="MR.SYED ABDULLAH ALI"/>
    <x v="9"/>
    <n v="1"/>
    <s v="PLAIN FRIES"/>
    <n v="250"/>
    <n v="37.5"/>
  </r>
  <r>
    <n v="510"/>
    <s v="HCFM-0679"/>
    <s v="MR. ANEEL ZAHOOR"/>
    <x v="9"/>
    <n v="1"/>
    <s v="CHICKEN HANDI"/>
    <n v="1000"/>
    <n v="150"/>
  </r>
  <r>
    <n v="511"/>
    <s v="HCFM-0679"/>
    <s v="MR. ANEEL ZAHOOR"/>
    <x v="9"/>
    <n v="1"/>
    <s v="MEDITERRANEAN GRILLED FISH"/>
    <n v="1100"/>
    <n v="165"/>
  </r>
  <r>
    <n v="512"/>
    <s v="HCFM-0679"/>
    <s v="MR. ANEEL ZAHOOR"/>
    <x v="9"/>
    <n v="2"/>
    <s v="GARLIC NAAN"/>
    <n v="260"/>
    <n v="39"/>
  </r>
  <r>
    <n v="513"/>
    <s v="HCFM-0679"/>
    <s v="MR. ANEEL ZAHOOR"/>
    <x v="9"/>
    <n v="2"/>
    <s v="ROGHNI NAAN"/>
    <n v="300"/>
    <n v="45"/>
  </r>
  <r>
    <n v="514"/>
    <s v="HCFM-0679"/>
    <s v="MR. ANEEL ZAHOOR"/>
    <x v="9"/>
    <n v="1"/>
    <s v="MALAI BOTI"/>
    <n v="1150"/>
    <n v="172.5"/>
  </r>
  <r>
    <n v="515"/>
    <s v="HCFM-0679"/>
    <s v="MR. ANEEL ZAHOOR"/>
    <x v="9"/>
    <n v="1"/>
    <s v="RESHMI SEEKH KABAB"/>
    <n v="999"/>
    <n v="149.85"/>
  </r>
  <r>
    <n v="516"/>
    <s v="HCFM-0554"/>
    <s v="MR.IMRAN WAZEER"/>
    <x v="9"/>
    <n v="1"/>
    <s v="MINERAL WATER LARGE"/>
    <n v="150"/>
    <n v="22.5"/>
  </r>
  <r>
    <n v="517"/>
    <s v="HCFM-0554"/>
    <s v="MR.IMRAN WAZEER"/>
    <x v="9"/>
    <n v="1"/>
    <s v="CHICKEN STRIPS"/>
    <n v="700"/>
    <n v="105"/>
  </r>
  <r>
    <n v="518"/>
    <s v="HCFM-0554"/>
    <s v="MR.IMRAN WAZEER"/>
    <x v="9"/>
    <n v="2"/>
    <s v="PIZZA FRIES HALF"/>
    <n v="500"/>
    <n v="75"/>
  </r>
  <r>
    <n v="519"/>
    <s v="HCFM-0554"/>
    <s v="MR.IMRAN WAZEER"/>
    <x v="9"/>
    <n v="1"/>
    <s v="PLAIN FRIES"/>
    <n v="250"/>
    <n v="37.5"/>
  </r>
  <r>
    <n v="520"/>
    <s v="HCFM-0554"/>
    <s v="MR.IMRAN WAZEER"/>
    <x v="9"/>
    <n v="1"/>
    <s v="PLAIN POPCORN"/>
    <n v="500"/>
    <n v="75"/>
  </r>
  <r>
    <n v="521"/>
    <s v="HCFM-0503"/>
    <s v="MR.GHULAM NABI OTHI"/>
    <x v="10"/>
    <n v="1"/>
    <s v="FISH N CHIPS"/>
    <n v="1200"/>
    <n v="180"/>
  </r>
  <r>
    <n v="522"/>
    <s v="HCFM-0503"/>
    <s v="MR.GHULAM NABI OTHI"/>
    <x v="10"/>
    <n v="2"/>
    <s v="MINERAL WATER LARGE"/>
    <n v="300"/>
    <n v="45"/>
  </r>
  <r>
    <n v="523"/>
    <s v="HCFM-0503"/>
    <s v="MR.GHULAM NABI OTHI"/>
    <x v="10"/>
    <n v="2"/>
    <s v="RESHMI SEEKH KABAB"/>
    <n v="1998"/>
    <n v="299.7"/>
  </r>
  <r>
    <n v="524"/>
    <s v="HCFM-0503"/>
    <s v="MR.GHULAM NABI OTHI"/>
    <x v="10"/>
    <n v="1"/>
    <s v="MALAI BOTI"/>
    <n v="1150"/>
    <n v="172.5"/>
  </r>
  <r>
    <n v="525"/>
    <s v="HCFM-0503"/>
    <s v="MR.GHULAM NABI OTHI"/>
    <x v="10"/>
    <n v="1"/>
    <s v="CHICKEN HANDI"/>
    <n v="1000"/>
    <n v="150"/>
  </r>
  <r>
    <n v="526"/>
    <s v="HCFM-0503"/>
    <s v="MR.GHULAM NABI OTHI"/>
    <x v="10"/>
    <n v="2"/>
    <s v="SHISH TAOUK"/>
    <n v="2400"/>
    <n v="360"/>
  </r>
  <r>
    <n v="527"/>
    <s v="HCFM-0503"/>
    <s v="MR.GHULAM NABI OTHI"/>
    <x v="10"/>
    <n v="4"/>
    <s v="GARLIC NAAN"/>
    <n v="520"/>
    <n v="78"/>
  </r>
  <r>
    <n v="528"/>
    <s v="HCFM-0503"/>
    <s v="MR.GHULAM NABI OTHI"/>
    <x v="10"/>
    <n v="1"/>
    <s v="RAITA"/>
    <n v="200"/>
    <n v="30"/>
  </r>
  <r>
    <n v="529"/>
    <s v="HCFM-0503"/>
    <s v="MR.GHULAM NABI OTHI"/>
    <x v="10"/>
    <n v="2"/>
    <s v="PLAIN NAAN"/>
    <n v="140"/>
    <n v="21"/>
  </r>
  <r>
    <n v="530"/>
    <s v="HCFM-0503"/>
    <s v="MR.GHULAM NABI OTHI"/>
    <x v="10"/>
    <n v="3"/>
    <s v="MIX NIMCO"/>
    <n v="900"/>
    <n v="135"/>
  </r>
  <r>
    <n v="531"/>
    <s v="HCFM-0586"/>
    <s v="MR.SYED MURTAZA ALI"/>
    <x v="10"/>
    <n v="1"/>
    <s v="FETTUCINE ALFREDO"/>
    <n v="900"/>
    <n v="135"/>
  </r>
  <r>
    <n v="532"/>
    <s v="HCFM-0586"/>
    <s v="MR.SYED MURTAZA ALI"/>
    <x v="10"/>
    <n v="1"/>
    <s v="PIZZA FRIES HALF"/>
    <n v="250"/>
    <n v="37.5"/>
  </r>
  <r>
    <n v="533"/>
    <s v="HCFM-0586"/>
    <s v="MR.SYED MURTAZA ALI"/>
    <x v="10"/>
    <n v="1"/>
    <s v="SOFT DRINKS"/>
    <n v="150"/>
    <n v="22.5"/>
  </r>
  <r>
    <n v="534"/>
    <s v="HCFM-0583"/>
    <s v="MR.CAREL HEDRIK BURGER"/>
    <x v="10"/>
    <n v="2"/>
    <s v="TEA"/>
    <n v="400"/>
    <n v="60"/>
  </r>
  <r>
    <n v="535"/>
    <s v="HCFM-0583"/>
    <s v="MR.CAREL HEDRIK BURGER"/>
    <x v="10"/>
    <n v="1"/>
    <s v="CLUB SANDWICH"/>
    <n v="1250"/>
    <n v="187.5"/>
  </r>
  <r>
    <n v="536"/>
    <s v="HCFM-0515"/>
    <s v="MR.TARIQUE ZUBAIR"/>
    <x v="10"/>
    <n v="4"/>
    <s v="PLAIN NAAN"/>
    <n v="280"/>
    <n v="42"/>
  </r>
  <r>
    <n v="537"/>
    <s v="HCFM-0515"/>
    <s v="MR.TARIQUE ZUBAIR"/>
    <x v="10"/>
    <n v="1"/>
    <s v="SHISH TAOUK"/>
    <n v="1200"/>
    <n v="180"/>
  </r>
  <r>
    <n v="538"/>
    <s v="HCFM-0650"/>
    <s v="KHURRAM FIRDOUS"/>
    <x v="11"/>
    <n v="2"/>
    <s v="SOFT DRINKS"/>
    <n v="300"/>
    <n v="45"/>
  </r>
  <r>
    <n v="539"/>
    <s v="HCFM-0646"/>
    <s v="BAHRIA INTERNATIONAL HOSPITAL"/>
    <x v="11"/>
    <n v="30"/>
    <s v="CHICKEN PATTIES"/>
    <n v="3000"/>
    <m/>
  </r>
  <r>
    <n v="540"/>
    <s v="HCFM-0646"/>
    <s v="BAHRIA INTERNATIONAL HOSPITAL"/>
    <x v="11"/>
    <n v="11"/>
    <s v="ASSORTED PASTRY"/>
    <n v="2750"/>
    <m/>
  </r>
  <r>
    <n v="541"/>
    <s v="HCFM-0646"/>
    <s v="BAHRIA INTERNATIONAL HOSPITAL"/>
    <x v="11"/>
    <n v="8"/>
    <s v="ASSORTED COOKIES"/>
    <n v="3200"/>
    <m/>
  </r>
  <r>
    <n v="542"/>
    <s v="HCFM-0503"/>
    <s v="MR.GHULAM NABI OTHI"/>
    <x v="11"/>
    <n v="1"/>
    <s v="PEANUT AND NIMCO"/>
    <n v="300"/>
    <n v="45"/>
  </r>
  <r>
    <n v="543"/>
    <s v="HCFM-0503"/>
    <s v="MR.GHULAM NABI OTHI"/>
    <x v="11"/>
    <n v="16"/>
    <s v="VODKA SINGLE"/>
    <n v="8800"/>
    <n v="1320"/>
  </r>
  <r>
    <n v="544"/>
    <s v="HCFM-0586"/>
    <s v="MR.SYED MURTAZA ALI"/>
    <x v="11"/>
    <n v="2"/>
    <s v="CHINESE SZECHUAN SOUP"/>
    <n v="700"/>
    <n v="105"/>
  </r>
  <r>
    <n v="545"/>
    <s v="HCFM-0650"/>
    <s v="KHURRAM FIRDOUS"/>
    <x v="11"/>
    <n v="1"/>
    <s v="MINERAL WATER LARGE"/>
    <n v="150"/>
    <n v="22.5"/>
  </r>
  <r>
    <n v="546"/>
    <s v="HCFM-0650"/>
    <s v="KHURRAM FIRDOUS"/>
    <x v="11"/>
    <n v="1"/>
    <s v="CHICKEN PATTIES"/>
    <n v="100"/>
    <n v="15"/>
  </r>
  <r>
    <n v="547"/>
    <s v="HCFM-0650"/>
    <s v="KHURRAM FIRDOUS"/>
    <x v="11"/>
    <n v="1"/>
    <s v="MIX TEA"/>
    <n v="200"/>
    <n v="30"/>
  </r>
  <r>
    <n v="548"/>
    <s v="HCFM-0650"/>
    <s v="KHURRAM FIRDOUS"/>
    <x v="11"/>
    <n v="1"/>
    <s v="MADRASI HANDI"/>
    <n v="900"/>
    <n v="135"/>
  </r>
  <r>
    <n v="549"/>
    <s v="HCFM-0650"/>
    <s v="KHURRAM FIRDOUS"/>
    <x v="11"/>
    <n v="2"/>
    <s v="CLUB SANDWICH"/>
    <n v="2500"/>
    <n v="375"/>
  </r>
  <r>
    <n v="550"/>
    <s v="HCFM-0650"/>
    <s v="KHURRAM FIRDOUS"/>
    <x v="11"/>
    <n v="1"/>
    <s v="SPECIAL BREAST LEG TIKKA"/>
    <n v="800"/>
    <n v="120"/>
  </r>
  <r>
    <n v="551"/>
    <s v="HCFM-0650"/>
    <s v="KHURRAM FIRDOUS"/>
    <x v="11"/>
    <n v="1"/>
    <s v="PLAIN FRIES"/>
    <n v="250"/>
    <n v="37.5"/>
  </r>
  <r>
    <n v="552"/>
    <s v="HCFM-0650"/>
    <s v="KHURRAM FIRDOUS"/>
    <x v="11"/>
    <n v="2"/>
    <s v="TAWA PARATHA"/>
    <n v="300"/>
    <n v="45"/>
  </r>
  <r>
    <n v="553"/>
    <s v="HCFM-0650"/>
    <s v="KHURRAM FIRDOUS"/>
    <x v="11"/>
    <n v="1"/>
    <s v="MINERAL WATER LARGE"/>
    <n v="150"/>
    <n v="22.5"/>
  </r>
  <r>
    <n v="554"/>
    <s v="HCFM-0650"/>
    <s v="KHURRAM FIRDOUS"/>
    <x v="11"/>
    <n v="1"/>
    <s v="HOT N SOUR SOUP"/>
    <n v="350"/>
    <n v="52.5"/>
  </r>
  <r>
    <n v="555"/>
    <s v="HCFM-0524"/>
    <s v="MR.MANOJ KUMAR"/>
    <x v="11"/>
    <n v="2"/>
    <s v="HOT N SOUR SOUP"/>
    <n v="700"/>
    <n v="105"/>
  </r>
  <r>
    <n v="556"/>
    <s v="HCFM-0524"/>
    <s v="MR.MANOJ KUMAR"/>
    <x v="11"/>
    <n v="2"/>
    <s v="CLUB SANDWICH"/>
    <n v="2500"/>
    <n v="375"/>
  </r>
  <r>
    <n v="557"/>
    <s v="HCFM-0524"/>
    <s v="MR.MANOJ KUMAR"/>
    <x v="11"/>
    <n v="1"/>
    <s v="CHICKEN CHOWMEIN"/>
    <n v="950"/>
    <n v="142.5"/>
  </r>
  <r>
    <n v="558"/>
    <s v="HCFM-0524"/>
    <s v="MR.MANOJ KUMAR"/>
    <x v="11"/>
    <n v="1"/>
    <s v="MALAI BOTI"/>
    <n v="1150"/>
    <n v="172.5"/>
  </r>
  <r>
    <n v="559"/>
    <s v="HCFM-0524"/>
    <s v="MR.MANOJ KUMAR"/>
    <x v="11"/>
    <n v="2"/>
    <s v="HC SPECIAL TIKKA"/>
    <n v="1600"/>
    <n v="240"/>
  </r>
  <r>
    <n v="560"/>
    <s v="HCFM-0524"/>
    <s v="MR.MANOJ KUMAR"/>
    <x v="11"/>
    <n v="2"/>
    <s v="GARLIC NAAN"/>
    <n v="260"/>
    <n v="39"/>
  </r>
  <r>
    <n v="561"/>
    <s v="HCFM-0524"/>
    <s v="MR.MANOJ KUMAR"/>
    <x v="11"/>
    <n v="2"/>
    <s v="PLAIN NAAN"/>
    <n v="140"/>
    <n v="21"/>
  </r>
  <r>
    <n v="562"/>
    <s v="HCFM-0524"/>
    <s v="MR.MANOJ KUMAR"/>
    <x v="11"/>
    <n v="1"/>
    <s v="MINERAL WATER LARGE"/>
    <n v="150"/>
    <n v="22.5"/>
  </r>
  <r>
    <n v="563"/>
    <s v="HCFM-0524"/>
    <s v="MR.MANOJ KUMAR"/>
    <x v="11"/>
    <n v="10"/>
    <s v="SOFT DRINKS"/>
    <n v="1500"/>
    <n v="225"/>
  </r>
  <r>
    <n v="564"/>
    <s v="HCFM-0524"/>
    <s v="MR.MANOJ KUMAR"/>
    <x v="11"/>
    <n v="1"/>
    <s v="PLAIN FRIES"/>
    <n v="250"/>
    <n v="37.5"/>
  </r>
  <r>
    <n v="565"/>
    <s v="HCFM-0684"/>
    <s v="MR. ZAMIR ALI SHAH"/>
    <x v="11"/>
    <n v="2"/>
    <s v="GRILLED CHICKEN SANDWICH"/>
    <n v="1150"/>
    <n v="172.5"/>
  </r>
  <r>
    <n v="566"/>
    <s v="HCFM-0684"/>
    <s v="MR. ZAMIR ALI SHAH"/>
    <x v="11"/>
    <n v="2"/>
    <s v="FINGER FISH N CHIPS"/>
    <n v="2500"/>
    <n v="375"/>
  </r>
  <r>
    <n v="567"/>
    <s v="HCFM-0684"/>
    <s v="MR. ZAMIR ALI SHAH"/>
    <x v="11"/>
    <n v="2"/>
    <s v="MIX TEA"/>
    <n v="400"/>
    <n v="60"/>
  </r>
  <r>
    <n v="568"/>
    <s v="HCFM-0684"/>
    <s v="MR. ZAMIR ALI SHAH"/>
    <x v="11"/>
    <n v="1"/>
    <s v="MINERAL WATER LARGE"/>
    <n v="150"/>
    <n v="22.5"/>
  </r>
  <r>
    <n v="569"/>
    <s v="HCFM-0684"/>
    <s v="MR. ZAMIR ALI SHAH"/>
    <x v="11"/>
    <n v="2"/>
    <s v="CHICKEN PESHAWARI KARAHI"/>
    <n v="1800"/>
    <n v="270"/>
  </r>
  <r>
    <n v="570"/>
    <s v="HCFM-0684"/>
    <s v="MR. ZAMIR ALI SHAH"/>
    <x v="11"/>
    <n v="2"/>
    <s v="RESHMI SEEKH KABAB"/>
    <n v="1998"/>
    <n v="299.7"/>
  </r>
  <r>
    <n v="571"/>
    <s v="HCFM-0684"/>
    <s v="MR. ZAMIR ALI SHAH"/>
    <x v="11"/>
    <n v="1"/>
    <s v="MALAI BOTI"/>
    <n v="1150"/>
    <n v="172.5"/>
  </r>
  <r>
    <n v="572"/>
    <s v="HCFM-0684"/>
    <s v="MR. ZAMIR ALI SHAH"/>
    <x v="11"/>
    <n v="1"/>
    <s v="SHISH TAOUK"/>
    <n v="1200"/>
    <n v="180"/>
  </r>
  <r>
    <n v="573"/>
    <s v="HCFM-0684"/>
    <s v="MR. ZAMIR ALI SHAH"/>
    <x v="11"/>
    <n v="1"/>
    <s v="HC SPECIAL TIKKA"/>
    <n v="800"/>
    <n v="120"/>
  </r>
  <r>
    <n v="574"/>
    <s v="HCFM-0684"/>
    <s v="MR. ZAMIR ALI SHAH"/>
    <x v="11"/>
    <n v="1"/>
    <s v="SINGAPOREAN FRIED RICE"/>
    <n v="1000"/>
    <n v="150"/>
  </r>
  <r>
    <n v="575"/>
    <s v="HCFM-0684"/>
    <s v="MR. ZAMIR ALI SHAH"/>
    <x v="11"/>
    <n v="6"/>
    <s v="GARLIC NAAN"/>
    <n v="780"/>
    <n v="117"/>
  </r>
  <r>
    <n v="576"/>
    <s v="HCFM-0684"/>
    <s v="MR. ZAMIR ALI SHAH"/>
    <x v="11"/>
    <n v="3"/>
    <s v="ROGHNI NAAN"/>
    <n v="450"/>
    <n v="67.5"/>
  </r>
  <r>
    <n v="577"/>
    <s v="HCFM-0684"/>
    <s v="MR. ZAMIR ALI SHAH"/>
    <x v="11"/>
    <n v="5"/>
    <s v="PLAIN NAAN"/>
    <n v="350"/>
    <n v="52.5"/>
  </r>
  <r>
    <n v="578"/>
    <s v="HCFM-0684"/>
    <s v="MR. ZAMIR ALI SHAH"/>
    <x v="11"/>
    <n v="3"/>
    <s v="RAITA"/>
    <n v="600"/>
    <n v="90"/>
  </r>
  <r>
    <n v="579"/>
    <s v="HCFM-0684"/>
    <s v="MR. ZAMIR ALI SHAH"/>
    <x v="11"/>
    <n v="2"/>
    <s v="FRESH GARDEN SALAD"/>
    <n v="1600"/>
    <n v="240"/>
  </r>
  <r>
    <n v="580"/>
    <s v="HCFM-0684"/>
    <s v="MR. ZAMIR ALI SHAH"/>
    <x v="11"/>
    <n v="2"/>
    <s v="SOFT DRINKS"/>
    <n v="300"/>
    <n v="45"/>
  </r>
  <r>
    <n v="581"/>
    <s v="HCFM-0684"/>
    <s v="MR. ZAMIR ALI SHAH"/>
    <x v="11"/>
    <n v="2"/>
    <s v="MINERAL WATER LARGE"/>
    <n v="300"/>
    <n v="45"/>
  </r>
  <r>
    <n v="582"/>
    <s v="HCFM-0684"/>
    <s v="MR. ZAMIR ALI SHAH"/>
    <x v="11"/>
    <n v="1"/>
    <s v="PLAIN FRIES"/>
    <n v="250"/>
    <n v="37.5"/>
  </r>
  <r>
    <n v="583"/>
    <s v="HCFM-0526"/>
    <s v="MR.MUIED AHMED DURRANI"/>
    <x v="11"/>
    <n v="1"/>
    <s v="GRILLED CHICKEN SANDWICH"/>
    <n v="575"/>
    <n v="86.25"/>
  </r>
  <r>
    <n v="584"/>
    <s v="HCFM-0526"/>
    <s v="MR.MUIED AHMED DURRANI"/>
    <x v="11"/>
    <n v="1"/>
    <s v="FRESH GARDEN SALAD"/>
    <n v="800"/>
    <n v="120"/>
  </r>
  <r>
    <n v="585"/>
    <s v="HCFM-0526"/>
    <s v="MR.MUIED AHMED DURRANI"/>
    <x v="11"/>
    <n v="2"/>
    <s v="HOT N SOUR SOUP"/>
    <n v="700"/>
    <n v="105"/>
  </r>
  <r>
    <n v="586"/>
    <s v="HCFM-0526"/>
    <s v="MR.MUIED AHMED DURRANI"/>
    <x v="11"/>
    <n v="1"/>
    <s v="COFFEE CAPPUCINO"/>
    <n v="350"/>
    <n v="52.5"/>
  </r>
  <r>
    <n v="587"/>
    <s v="HCFM-0526"/>
    <s v="MR.MUIED AHMED DURRANI"/>
    <x v="11"/>
    <n v="2"/>
    <s v="MIX TEA"/>
    <n v="400"/>
    <n v="60"/>
  </r>
  <r>
    <n v="588"/>
    <s v="HCFM-0526"/>
    <s v="MR.MUIED AHMED DURRANI"/>
    <x v="11"/>
    <n v="1"/>
    <s v="MINERAL WATER LARGE"/>
    <n v="150"/>
    <n v="22.5"/>
  </r>
  <r>
    <n v="589"/>
    <s v="HCFM-0513"/>
    <s v="MR.SAJJAD ALI"/>
    <x v="11"/>
    <n v="1"/>
    <s v="CHICKEN KARAHI"/>
    <n v="900"/>
    <n v="135"/>
  </r>
  <r>
    <n v="590"/>
    <s v="HCFM-0513"/>
    <s v="MR.SAJJAD ALI"/>
    <x v="11"/>
    <n v="1"/>
    <s v="FINGER FISH N CHIPS"/>
    <n v="1250"/>
    <n v="187.5"/>
  </r>
  <r>
    <n v="591"/>
    <s v="HCFM-0513"/>
    <s v="MR.SAJJAD ALI"/>
    <x v="11"/>
    <n v="1"/>
    <s v="RESHMI SEEKH KABAB"/>
    <n v="999"/>
    <n v="149.85"/>
  </r>
  <r>
    <n v="592"/>
    <s v="HCFM-0513"/>
    <s v="MR.SAJJAD ALI"/>
    <x v="11"/>
    <n v="4"/>
    <s v="HC SPECIAL TIKKA"/>
    <n v="3200"/>
    <n v="480"/>
  </r>
  <r>
    <n v="593"/>
    <s v="HCFM-0513"/>
    <s v="MR.SAJJAD ALI"/>
    <x v="11"/>
    <n v="2"/>
    <s v="DAAL MAKHANI"/>
    <n v="1200"/>
    <n v="180"/>
  </r>
  <r>
    <n v="594"/>
    <s v="HCFM-0513"/>
    <s v="MR.SAJJAD ALI"/>
    <x v="11"/>
    <n v="8"/>
    <s v="ROGHNI NAAN"/>
    <n v="1200"/>
    <n v="180"/>
  </r>
  <r>
    <n v="595"/>
    <s v="HCFM-0513"/>
    <s v="MR.SAJJAD ALI"/>
    <x v="11"/>
    <n v="1"/>
    <s v="MINERAL WATER SMALL"/>
    <n v="100"/>
    <n v="15"/>
  </r>
  <r>
    <n v="596"/>
    <s v="HCFM-0513"/>
    <s v="MR.SAJJAD ALI"/>
    <x v="11"/>
    <n v="3"/>
    <s v="SOFT DRINKS"/>
    <n v="450"/>
    <n v="67.5"/>
  </r>
  <r>
    <n v="597"/>
    <s v="HCFM-0513"/>
    <s v="MR.SAJJAD ALI"/>
    <x v="11"/>
    <n v="1"/>
    <s v="RAITA"/>
    <n v="200"/>
    <n v="30"/>
  </r>
  <r>
    <n v="598"/>
    <s v="HCFM-0513"/>
    <s v="MR.SAJJAD ALI"/>
    <x v="11"/>
    <n v="1"/>
    <s v="FRESH GARDEN SALAD"/>
    <n v="800"/>
    <n v="120"/>
  </r>
  <r>
    <n v="599"/>
    <s v="HCFM-0668"/>
    <s v="MR. KASHIF SAEED"/>
    <x v="11"/>
    <n v="3"/>
    <s v="SOFT DRINKS"/>
    <n v="450"/>
    <n v="67.5"/>
  </r>
  <r>
    <n v="600"/>
    <s v="HCFM-0668"/>
    <s v="MR. KASHIF SAEED"/>
    <x v="11"/>
    <n v="1"/>
    <s v="TENDERLOIN STEAK"/>
    <n v="1400"/>
    <n v="210"/>
  </r>
  <r>
    <n v="601"/>
    <s v="HCFM-0668"/>
    <s v="MR. KASHIF SAEED"/>
    <x v="11"/>
    <n v="2"/>
    <s v="CHICKEN ROULADE"/>
    <n v="1700"/>
    <n v="255"/>
  </r>
  <r>
    <n v="602"/>
    <s v="HCFM-0668"/>
    <s v="MR. KASHIF SAEED"/>
    <x v="11"/>
    <n v="2"/>
    <s v="CHICKEN DYNAMITE"/>
    <n v="1700"/>
    <n v="255"/>
  </r>
  <r>
    <n v="603"/>
    <s v="HCFM-0668"/>
    <s v="MR. KASHIF SAEED"/>
    <x v="11"/>
    <n v="4"/>
    <s v="HOT N SOUR SOUP"/>
    <n v="1400"/>
    <n v="210"/>
  </r>
  <r>
    <n v="604"/>
    <s v="HCFM-0668"/>
    <s v="MR. KASHIF SAEED"/>
    <x v="11"/>
    <n v="1"/>
    <s v="BEEF SEEKH KABAB"/>
    <n v="1200"/>
    <n v="180"/>
  </r>
  <r>
    <n v="605"/>
    <s v="HCFM-0668"/>
    <s v="MR. KASHIF SAEED"/>
    <x v="11"/>
    <n v="1"/>
    <s v="CHANDAN KABAB"/>
    <n v="1500"/>
    <n v="225"/>
  </r>
  <r>
    <n v="606"/>
    <s v="HCFM-0668"/>
    <s v="MR. KASHIF SAEED"/>
    <x v="11"/>
    <n v="1"/>
    <s v="MALAI BOTI"/>
    <n v="1150"/>
    <n v="172.5"/>
  </r>
  <r>
    <n v="607"/>
    <s v="HCFM-0668"/>
    <s v="MR. KASHIF SAEED"/>
    <x v="11"/>
    <n v="2"/>
    <s v="HC SPECIAL CAESAR SALAD"/>
    <n v="1200"/>
    <n v="180"/>
  </r>
  <r>
    <n v="608"/>
    <s v="HCFM-0668"/>
    <s v="MR. KASHIF SAEED"/>
    <x v="11"/>
    <n v="5"/>
    <s v="GARLIC NAAN"/>
    <n v="650"/>
    <n v="97.5"/>
  </r>
  <r>
    <n v="609"/>
    <s v="HCFM-0668"/>
    <s v="MR. KASHIF SAEED"/>
    <x v="11"/>
    <n v="1"/>
    <s v="MINERAL WATER LARGE"/>
    <n v="150"/>
    <n v="22.5"/>
  </r>
  <r>
    <n v="610"/>
    <s v="HCFM-0668"/>
    <s v="MR. KASHIF SAEED"/>
    <x v="11"/>
    <n v="1"/>
    <s v="ASSORTED COOKIES"/>
    <n v="400"/>
    <n v="60"/>
  </r>
  <r>
    <n v="611"/>
    <s v="HCFM-0668"/>
    <s v="MR. KASHIF SAEED"/>
    <x v="11"/>
    <n v="2"/>
    <s v="MIX TEA"/>
    <n v="400"/>
    <n v="60"/>
  </r>
  <r>
    <n v="612"/>
    <s v="HCFM-0512"/>
    <s v="MR.ZEESHAN IQBAL"/>
    <x v="11"/>
    <n v="1"/>
    <s v="PIZZA FRIES HALF"/>
    <n v="250"/>
    <n v="37.5"/>
  </r>
  <r>
    <n v="613"/>
    <s v="HCFM-0670"/>
    <s v="MR. TEHSEEN FAIZ"/>
    <x v="11"/>
    <n v="1"/>
    <s v="HC SPECIAL FRIED RICE"/>
    <n v="300"/>
    <n v="45"/>
  </r>
  <r>
    <n v="614"/>
    <s v="HCFM-0670"/>
    <s v="MR. TEHSEEN FAIZ"/>
    <x v="11"/>
    <n v="1"/>
    <s v="RESHMI SEEKH KABAB"/>
    <n v="999"/>
    <n v="149.85"/>
  </r>
  <r>
    <n v="615"/>
    <s v="HCFM-0670"/>
    <s v="MR. TEHSEEN FAIZ"/>
    <x v="11"/>
    <n v="1"/>
    <s v="FISH N CHIPS"/>
    <n v="1200"/>
    <n v="180"/>
  </r>
  <r>
    <n v="616"/>
    <s v="HCFM-0670"/>
    <s v="MR. TEHSEEN FAIZ"/>
    <x v="11"/>
    <n v="1"/>
    <s v="SHISH TAOUK"/>
    <n v="1200"/>
    <n v="180"/>
  </r>
  <r>
    <n v="617"/>
    <s v="HCFM-0670"/>
    <s v="MR. TEHSEEN FAIZ"/>
    <x v="11"/>
    <n v="1"/>
    <s v="CHICKEN SHASHLIK"/>
    <n v="800"/>
    <n v="120"/>
  </r>
  <r>
    <n v="618"/>
    <s v="HCFM-0670"/>
    <s v="MR. TEHSEEN FAIZ"/>
    <x v="11"/>
    <n v="1"/>
    <s v="MALAI BOTI"/>
    <n v="1150"/>
    <n v="172.5"/>
  </r>
  <r>
    <n v="619"/>
    <s v="HCFM-0686"/>
    <s v="MR. GHULAM MUSTAFA"/>
    <x v="12"/>
    <n v="2"/>
    <s v="MINERAL WATER LARGE"/>
    <n v="300"/>
    <n v="45"/>
  </r>
  <r>
    <n v="620"/>
    <s v="HCFM-0686"/>
    <s v="MR. GHULAM MUSTAFA"/>
    <x v="12"/>
    <n v="3"/>
    <s v="SOFT DRINKS"/>
    <n v="450"/>
    <n v="67.5"/>
  </r>
  <r>
    <n v="621"/>
    <s v="HCFM-0686"/>
    <s v="MR. GHULAM MUSTAFA"/>
    <x v="12"/>
    <n v="4"/>
    <s v="THREE HORSE BEER"/>
    <n v="3200"/>
    <n v="480"/>
  </r>
  <r>
    <n v="622"/>
    <s v="HCFM-0686"/>
    <s v="MR. GHULAM MUSTAFA"/>
    <x v="12"/>
    <n v="4"/>
    <s v="PEANUT AND NIMCO"/>
    <n v="1200"/>
    <n v="180"/>
  </r>
  <r>
    <n v="623"/>
    <s v="HCFM-0674"/>
    <s v="MR. RAJESH KUMAR CHAWLA"/>
    <x v="12"/>
    <n v="2"/>
    <s v="MINERAL WATER LARGE"/>
    <n v="300"/>
    <n v="45"/>
  </r>
  <r>
    <n v="624"/>
    <s v="HCFM-0674"/>
    <s v="MR. RAJESH KUMAR CHAWLA"/>
    <x v="12"/>
    <n v="2"/>
    <s v="SOFT DRINKS"/>
    <n v="300"/>
    <n v="45"/>
  </r>
  <r>
    <n v="625"/>
    <s v="HCFM-0674"/>
    <s v="MR. RAJESH KUMAR CHAWLA"/>
    <x v="12"/>
    <n v="2"/>
    <s v="PEANUT AND NIMCO"/>
    <n v="600"/>
    <n v="90"/>
  </r>
  <r>
    <n v="626"/>
    <s v="HCFM-0683"/>
    <s v="MR. YASIR RASHEED"/>
    <x v="12"/>
    <n v="2"/>
    <s v="THREE HORSE BEER"/>
    <n v="1600"/>
    <n v="240"/>
  </r>
  <r>
    <n v="627"/>
    <s v="HCFM-0683"/>
    <s v="MR. YASIR RASHEED"/>
    <x v="12"/>
    <n v="3"/>
    <s v="MINERAL WATER SMALL"/>
    <n v="300"/>
    <n v="45"/>
  </r>
  <r>
    <n v="628"/>
    <s v="HCFM-0683"/>
    <s v="MR. YASIR RASHEED"/>
    <x v="12"/>
    <n v="2"/>
    <s v="SOFT DRINKS"/>
    <n v="300"/>
    <n v="45"/>
  </r>
  <r>
    <n v="629"/>
    <s v="HCFM-0659"/>
    <s v="Heritage club"/>
    <x v="12"/>
    <n v="5"/>
    <s v="MINERAL WATER LARGE"/>
    <n v="750"/>
    <n v="112.5"/>
  </r>
  <r>
    <n v="630"/>
    <s v="HCFM-0659"/>
    <s v="Heritage club"/>
    <x v="12"/>
    <n v="4"/>
    <s v="SOFT DRINKS"/>
    <n v="600"/>
    <n v="90"/>
  </r>
  <r>
    <n v="631"/>
    <s v="HCFM-0654"/>
    <s v="SYED JIBRAN MUSHTAQ"/>
    <x v="12"/>
    <n v="2"/>
    <s v="THREE HORSE BEER"/>
    <n v="1600"/>
    <n v="240"/>
  </r>
  <r>
    <n v="632"/>
    <s v="HCFM-0654"/>
    <s v="SYED JIBRAN MUSHTAQ"/>
    <x v="12"/>
    <n v="2"/>
    <s v="MINERAL WATER LARGE"/>
    <n v="300"/>
    <n v="45"/>
  </r>
  <r>
    <n v="633"/>
    <s v="HCFM-0654"/>
    <s v="SYED JIBRAN MUSHTAQ"/>
    <x v="12"/>
    <n v="3"/>
    <s v="MINERAL WATER SMALL"/>
    <n v="300"/>
    <n v="45"/>
  </r>
  <r>
    <n v="634"/>
    <s v="HCFM-0654"/>
    <s v="SYED JIBRAN MUSHTAQ"/>
    <x v="12"/>
    <n v="2"/>
    <s v="SOFT DRINKS"/>
    <n v="300"/>
    <n v="45"/>
  </r>
  <r>
    <n v="635"/>
    <s v="HCFM-0654"/>
    <s v="SYED JIBRAN MUSHTAQ"/>
    <x v="12"/>
    <n v="2"/>
    <s v="PEANUT AND NIMCO"/>
    <n v="600"/>
    <n v="90"/>
  </r>
  <r>
    <n v="636"/>
    <s v="HCFM-0519"/>
    <s v="DR.NAZEER HUSSAIN KALHORO"/>
    <x v="12"/>
    <n v="2"/>
    <s v="BLACK LABEL SINGLE"/>
    <n v="1600"/>
    <n v="240"/>
  </r>
  <r>
    <n v="637"/>
    <s v="HCFM-0519"/>
    <s v="DR.NAZEER HUSSAIN KALHORO"/>
    <x v="12"/>
    <n v="1"/>
    <s v="MINERAL WATER LARGE"/>
    <n v="150"/>
    <n v="22.5"/>
  </r>
  <r>
    <n v="638"/>
    <s v="HCFM-0519"/>
    <s v="DR.NAZEER HUSSAIN KALHORO"/>
    <x v="12"/>
    <n v="1"/>
    <s v="PEANUT AND NIMCO"/>
    <n v="300"/>
    <n v="45"/>
  </r>
  <r>
    <n v="639"/>
    <s v="HCFM-0514"/>
    <s v="MR.DILEEP KUMAR"/>
    <x v="12"/>
    <n v="33"/>
    <s v="JD SINGLE"/>
    <n v="33000"/>
    <n v="4950"/>
  </r>
  <r>
    <n v="640"/>
    <s v="HCFM-0514"/>
    <s v="MR.DILEEP KUMAR"/>
    <x v="12"/>
    <n v="2"/>
    <s v="MINERAL WATER LARGE"/>
    <n v="300"/>
    <n v="45"/>
  </r>
  <r>
    <n v="641"/>
    <s v="HCFM-0514"/>
    <s v="MR.DILEEP KUMAR"/>
    <x v="12"/>
    <n v="2"/>
    <s v="PEANUT AND NIMCO"/>
    <n v="600"/>
    <n v="90"/>
  </r>
  <r>
    <n v="642"/>
    <s v="HCFM-0514"/>
    <s v="MR.DILEEP KUMAR"/>
    <x v="12"/>
    <n v="1"/>
    <s v="MURREE BEER"/>
    <n v="1000"/>
    <n v="150"/>
  </r>
  <r>
    <n v="643"/>
    <s v="HCFM-0514"/>
    <s v="MR.DILEEP KUMAR"/>
    <x v="12"/>
    <n v="2"/>
    <s v="MINERAL WATER SMALL"/>
    <n v="200"/>
    <n v="30"/>
  </r>
  <r>
    <n v="644"/>
    <s v="HCFM-0514"/>
    <s v="MR.DILEEP KUMAR"/>
    <x v="12"/>
    <n v="2"/>
    <s v="MINERAL WATER LARGE"/>
    <n v="300"/>
    <n v="45"/>
  </r>
  <r>
    <n v="645"/>
    <s v="HCFM-0515"/>
    <s v="MR.TARIQUE ZUBAIR"/>
    <x v="12"/>
    <n v="2"/>
    <s v="GREY GROOSE VODKA SINGLE"/>
    <n v="1500"/>
    <n v="225"/>
  </r>
  <r>
    <n v="646"/>
    <s v="HCFM-0515"/>
    <s v="MR.TARIQUE ZUBAIR"/>
    <x v="12"/>
    <n v="4"/>
    <s v="BLACK LABEL SINGLE"/>
    <n v="3200"/>
    <n v="480"/>
  </r>
  <r>
    <n v="647"/>
    <s v="HCFM-0515"/>
    <s v="MR.TARIQUE ZUBAIR"/>
    <x v="12"/>
    <n v="3"/>
    <s v="SOFT DRINKS"/>
    <n v="450"/>
    <n v="67.5"/>
  </r>
  <r>
    <n v="648"/>
    <s v="HCFM-0536"/>
    <s v="MR.ASHOK KUMAR"/>
    <x v="12"/>
    <n v="1"/>
    <s v="PLAIN FRIES"/>
    <n v="250"/>
    <n v="37.5"/>
  </r>
  <r>
    <n v="649"/>
    <s v="HCFM-0536"/>
    <s v="MR.ASHOK KUMAR"/>
    <x v="12"/>
    <n v="5"/>
    <s v="MINERAL WATER SMALL"/>
    <n v="500"/>
    <n v="75"/>
  </r>
  <r>
    <n v="650"/>
    <s v="HCFM-0536"/>
    <s v="MR.ASHOK KUMAR"/>
    <x v="12"/>
    <n v="1"/>
    <s v="PEANUT AND NIMCO"/>
    <n v="300"/>
    <n v="45"/>
  </r>
  <r>
    <n v="651"/>
    <s v="HCFM-0644"/>
    <s v="SABA AHSAN"/>
    <x v="12"/>
    <n v="1"/>
    <s v="MASHROOM CHEESE OMELETTE"/>
    <n v="450"/>
    <n v="67.5"/>
  </r>
  <r>
    <n v="652"/>
    <s v="HCFM-0644"/>
    <s v="SABA AHSAN"/>
    <x v="12"/>
    <n v="1"/>
    <s v="FRIED EGG WITH SAUSAGES"/>
    <n v="390"/>
    <n v="58.5"/>
  </r>
  <r>
    <n v="653"/>
    <s v="HCFM-0644"/>
    <s v="SABA AHSAN"/>
    <x v="12"/>
    <n v="1"/>
    <s v="MIX TEA"/>
    <n v="200"/>
    <n v="30"/>
  </r>
  <r>
    <n v="654"/>
    <s v="HCFM-0644"/>
    <s v="SABA AHSAN"/>
    <x v="12"/>
    <n v="3"/>
    <s v="TAWA PARATHA"/>
    <n v="450"/>
    <n v="67.5"/>
  </r>
  <r>
    <n v="655"/>
    <s v="HCFM-0583"/>
    <s v="MR.CAREL HEDRIK BURGER"/>
    <x v="12"/>
    <n v="2"/>
    <s v="MASHROOM CHEESE OMELETTE"/>
    <n v="900"/>
    <n v="135"/>
  </r>
  <r>
    <n v="656"/>
    <s v="HCFM-0583"/>
    <s v="MR.CAREL HEDRIK BURGER"/>
    <x v="12"/>
    <n v="4"/>
    <s v="CROISSANT ROLL"/>
    <n v="600"/>
    <n v="90"/>
  </r>
  <r>
    <n v="657"/>
    <s v="HCFM-0583"/>
    <s v="MR.CAREL HEDRIK BURGER"/>
    <x v="12"/>
    <n v="2"/>
    <s v="COFFEE CAPPUCINO"/>
    <n v="700"/>
    <n v="105"/>
  </r>
  <r>
    <n v="658"/>
    <s v="HCFM-0583"/>
    <s v="MR.CAREL HEDRIK BURGER"/>
    <x v="12"/>
    <n v="1"/>
    <s v="MINERAL WATER SMALL"/>
    <n v="100"/>
    <n v="15"/>
  </r>
  <r>
    <n v="659"/>
    <s v="HCFM-0503"/>
    <s v="MR.GHULAM NABI OTHI"/>
    <x v="12"/>
    <n v="8"/>
    <s v="BLACK LABEL SINGLE"/>
    <n v="8000"/>
    <n v="1200"/>
  </r>
  <r>
    <n v="660"/>
    <s v="HCFM-0503"/>
    <s v="MR.GHULAM NABI OTHI"/>
    <x v="12"/>
    <n v="2"/>
    <s v="CHIVAS SINGLE"/>
    <n v="2000"/>
    <n v="300"/>
  </r>
  <r>
    <n v="661"/>
    <s v="HCFM-0503"/>
    <s v="MR.GHULAM NABI OTHI"/>
    <x v="12"/>
    <n v="1"/>
    <s v="MINERAL WATER LARGE"/>
    <n v="150"/>
    <n v="22.5"/>
  </r>
  <r>
    <n v="662"/>
    <s v="HCFM-0503"/>
    <s v="MR.GHULAM NABI OTHI"/>
    <x v="12"/>
    <n v="1"/>
    <s v="MINERAL WATER SMALL"/>
    <n v="100"/>
    <n v="15"/>
  </r>
  <r>
    <n v="663"/>
    <s v="HCFM-0670"/>
    <s v="MR. TEHSEEN FAIZ"/>
    <x v="12"/>
    <n v="1"/>
    <s v="CHICKEN CHOWMEIN"/>
    <n v="950"/>
    <n v="142.5"/>
  </r>
  <r>
    <n v="664"/>
    <s v="HCFM-0670"/>
    <s v="MR. TEHSEEN FAIZ"/>
    <x v="12"/>
    <n v="1"/>
    <s v="CLUB SANDWICH"/>
    <n v="1250"/>
    <n v="187.5"/>
  </r>
  <r>
    <n v="665"/>
    <s v="HCFM-0670"/>
    <s v="MR. TEHSEEN FAIZ"/>
    <x v="12"/>
    <n v="2"/>
    <s v="PIZZA FRIES HALF"/>
    <n v="500"/>
    <n v="75"/>
  </r>
  <r>
    <n v="666"/>
    <s v="HCFM-0503"/>
    <s v="MR.GHULAM NABI OTHI"/>
    <x v="12"/>
    <n v="2"/>
    <s v="MINERAL WATER LARGE"/>
    <n v="300"/>
    <n v="45"/>
  </r>
  <r>
    <n v="667"/>
    <s v="HCFM-0503"/>
    <s v="MR.GHULAM NABI OTHI"/>
    <x v="12"/>
    <n v="1"/>
    <s v="MALAI BOTI"/>
    <n v="1150"/>
    <n v="172.5"/>
  </r>
  <r>
    <n v="668"/>
    <s v="HCFM-0503"/>
    <s v="MR.GHULAM NABI OTHI"/>
    <x v="12"/>
    <n v="1"/>
    <s v="PEANUT AND NIMCO"/>
    <n v="300"/>
    <n v="45"/>
  </r>
  <r>
    <n v="669"/>
    <s v="HCFM-0520"/>
    <s v="MR.NIZAM UDDIN NIZAMANI"/>
    <x v="12"/>
    <n v="1"/>
    <s v="CHINESE SZECHUAN SOUP"/>
    <n v="350"/>
    <n v="52.5"/>
  </r>
  <r>
    <n v="670"/>
    <s v="HCFM-0520"/>
    <s v="MR.NIZAM UDDIN NIZAMANI"/>
    <x v="12"/>
    <n v="1"/>
    <s v="MINERAL WATER SMALL"/>
    <n v="100"/>
    <n v="15"/>
  </r>
  <r>
    <n v="671"/>
    <s v="HCFM-0520"/>
    <s v="MR.NIZAM UDDIN NIZAMANI"/>
    <x v="12"/>
    <n v="1"/>
    <s v="ZINGER BURGER"/>
    <n v="700"/>
    <n v="105"/>
  </r>
  <r>
    <n v="672"/>
    <s v="HCFM-0539"/>
    <s v="MR.QAMARUZZAMAN"/>
    <x v="12"/>
    <n v="3"/>
    <s v="CLUB SANDWICH"/>
    <n v="3750"/>
    <n v="562.5"/>
  </r>
  <r>
    <n v="673"/>
    <s v="HCFM-0539"/>
    <s v="MR.QAMARUZZAMAN"/>
    <x v="12"/>
    <n v="1"/>
    <s v="CHICKEN STRIPS"/>
    <n v="700"/>
    <n v="105"/>
  </r>
  <r>
    <n v="674"/>
    <s v="HCFM-0539"/>
    <s v="MR.QAMARUZZAMAN"/>
    <x v="12"/>
    <n v="4"/>
    <s v="ZINGER BURGER"/>
    <n v="2800"/>
    <n v="420"/>
  </r>
  <r>
    <n v="675"/>
    <s v="HCFM-0539"/>
    <s v="MR.QAMARUZZAMAN"/>
    <x v="12"/>
    <n v="3"/>
    <s v="SOFT DRINKS"/>
    <n v="450"/>
    <n v="67.5"/>
  </r>
  <r>
    <n v="676"/>
    <s v="HCFM-0539"/>
    <s v="MR.QAMARUZZAMAN"/>
    <x v="12"/>
    <n v="1"/>
    <s v="MINERAL WATER LARGE"/>
    <n v="150"/>
    <n v="22.5"/>
  </r>
  <r>
    <n v="677"/>
    <s v="HCFM-0545"/>
    <s v="MR. HASAN KARIM"/>
    <x v="12"/>
    <n v="1"/>
    <s v="MINERAL WATER SMALL"/>
    <n v="100"/>
    <n v="15"/>
  </r>
  <r>
    <n v="678"/>
    <s v="HCFM-0545"/>
    <s v="MR. HASAN KARIM"/>
    <x v="12"/>
    <n v="1"/>
    <s v="HOT N SOUR SOUP"/>
    <n v="350"/>
    <n v="52.5"/>
  </r>
  <r>
    <n v="679"/>
    <s v="HCFM-0642"/>
    <s v="ASIF ASHFAQ"/>
    <x v="12"/>
    <n v="4"/>
    <s v="SHAHJAHANI BIRYANI FULL"/>
    <n v="6000"/>
    <n v="900"/>
  </r>
  <r>
    <n v="680"/>
    <s v="HCFM-0642"/>
    <s v="ASIF ASHFAQ"/>
    <x v="12"/>
    <n v="4"/>
    <s v="HC SPECIAL MUTTON KARAHI"/>
    <n v="7200"/>
    <n v="1080"/>
  </r>
  <r>
    <n v="681"/>
    <s v="HCFM-0642"/>
    <s v="ASIF ASHFAQ"/>
    <x v="12"/>
    <n v="4"/>
    <s v="DOUBLE CUT LAM CHOPS"/>
    <n v="8000"/>
    <n v="1200"/>
  </r>
  <r>
    <n v="682"/>
    <s v="HCFM-0642"/>
    <s v="ASIF ASHFAQ"/>
    <x v="12"/>
    <n v="2"/>
    <s v="MALAI BOTI"/>
    <n v="2300"/>
    <n v="345"/>
  </r>
  <r>
    <n v="683"/>
    <s v="HCFM-0642"/>
    <s v="ASIF ASHFAQ"/>
    <x v="12"/>
    <n v="2"/>
    <s v="BEHARI BOTI"/>
    <n v="2400"/>
    <n v="360"/>
  </r>
  <r>
    <n v="684"/>
    <s v="HCFM-0642"/>
    <s v="ASIF ASHFAQ"/>
    <x v="12"/>
    <n v="2"/>
    <s v="CHANDAN KABAB"/>
    <n v="3000"/>
    <n v="450"/>
  </r>
  <r>
    <n v="685"/>
    <s v="HCFM-0642"/>
    <s v="ASIF ASHFAQ"/>
    <x v="12"/>
    <n v="4"/>
    <s v="RAITA"/>
    <n v="800"/>
    <n v="120"/>
  </r>
  <r>
    <n v="686"/>
    <s v="HCFM-0642"/>
    <s v="ASIF ASHFAQ"/>
    <x v="12"/>
    <n v="2"/>
    <s v="FRESH GARDEN SALAD"/>
    <n v="1600"/>
    <n v="240"/>
  </r>
  <r>
    <n v="687"/>
    <s v="HCFM-0642"/>
    <s v="ASIF ASHFAQ"/>
    <x v="12"/>
    <n v="4"/>
    <s v="MINERAL WATER LARGE"/>
    <n v="600"/>
    <n v="90"/>
  </r>
  <r>
    <n v="688"/>
    <s v="HCFM-0642"/>
    <s v="ASIF ASHFAQ"/>
    <x v="12"/>
    <n v="10"/>
    <s v="SOFT DRINKS"/>
    <n v="1500"/>
    <n v="225"/>
  </r>
  <r>
    <n v="689"/>
    <s v="HCFM-0642"/>
    <s v="ASIF ASHFAQ"/>
    <x v="12"/>
    <n v="15"/>
    <s v="GAJAR HALWA"/>
    <n v="6750"/>
    <n v="1012.5"/>
  </r>
  <r>
    <n v="690"/>
    <s v="HCFM-0649"/>
    <s v="IFTIKHAR SHAH"/>
    <x v="12"/>
    <n v="13"/>
    <s v="HC SPECIAL DAAL MASALA"/>
    <n v="5200"/>
    <n v="780"/>
  </r>
  <r>
    <n v="691"/>
    <s v="HCFM-0649"/>
    <s v="IFTIKHAR SHAH"/>
    <x v="12"/>
    <n v="50"/>
    <s v="ROGHNI NAAN"/>
    <n v="7500"/>
    <n v="1125"/>
  </r>
  <r>
    <n v="692"/>
    <s v="HCFM-0649"/>
    <s v="IFTIKHAR SHAH"/>
    <x v="12"/>
    <n v="20"/>
    <s v="MIX VEGETABLES"/>
    <n v="8000"/>
    <n v="1200"/>
  </r>
  <r>
    <n v="693"/>
    <s v="HCFM-0649"/>
    <s v="IFTIKHAR SHAH"/>
    <x v="12"/>
    <n v="27"/>
    <s v="GAJAR HALWA"/>
    <n v="12150"/>
    <n v="1822.5"/>
  </r>
  <r>
    <n v="694"/>
    <s v="HCFM-0649"/>
    <s v="IFTIKHAR SHAH"/>
    <x v="12"/>
    <n v="10"/>
    <s v="KABULI PULAO"/>
    <n v="15000"/>
    <n v="2250"/>
  </r>
  <r>
    <n v="695"/>
    <s v="HCFM-0649"/>
    <s v="IFTIKHAR SHAH"/>
    <x v="12"/>
    <n v="12"/>
    <s v="MUTTON KARAHI (RED/WHITE/GREEN)"/>
    <n v="21600"/>
    <n v="3240"/>
  </r>
  <r>
    <n v="696"/>
    <s v="HCFM-0514"/>
    <s v="MR.DILEEP KUMAR"/>
    <x v="12"/>
    <n v="1"/>
    <s v="SHISH TAOUK"/>
    <n v="1200"/>
    <n v="180"/>
  </r>
  <r>
    <n v="697"/>
    <s v="HCFM-0514"/>
    <s v="MR.DILEEP KUMAR"/>
    <x v="12"/>
    <n v="2"/>
    <s v="MINERAL WATER LARGE"/>
    <n v="300"/>
    <n v="45"/>
  </r>
  <r>
    <n v="698"/>
    <s v="HCFM-0514"/>
    <s v="MR.DILEEP KUMAR"/>
    <x v="12"/>
    <n v="1"/>
    <s v="MALAI BOTI"/>
    <n v="1150"/>
    <n v="172.5"/>
  </r>
  <r>
    <n v="699"/>
    <s v="HCFM-0514"/>
    <s v="MR.DILEEP KUMAR"/>
    <x v="12"/>
    <n v="2"/>
    <s v="PLAIN POPCORN"/>
    <n v="1000"/>
    <n v="150"/>
  </r>
  <r>
    <n v="700"/>
    <s v="HCFM-0656"/>
    <s v="ZAIB UR REHMAN"/>
    <x v="12"/>
    <n v="1"/>
    <s v="MINERAL WATER LARGE"/>
    <n v="150"/>
    <n v="22.5"/>
  </r>
  <r>
    <n v="701"/>
    <s v="HCFM-0503"/>
    <s v="MR.GHULAM NABI OTHI"/>
    <x v="12"/>
    <n v="1"/>
    <s v="SHISH TAOUK"/>
    <n v="1200"/>
    <n v="180"/>
  </r>
  <r>
    <n v="702"/>
    <s v="HCFM-0503"/>
    <s v="MR.GHULAM NABI OTHI"/>
    <x v="12"/>
    <n v="1"/>
    <s v="CORKAGE"/>
    <n v="1000"/>
    <n v="150"/>
  </r>
  <r>
    <n v="703"/>
    <s v="HCFM-0504"/>
    <s v="MR.BILAL AHMED"/>
    <x v="12"/>
    <n v="1"/>
    <s v="PIZZA FRIES HALF"/>
    <n v="250"/>
    <n v="37.5"/>
  </r>
  <r>
    <n v="704"/>
    <s v="HCFM-0542"/>
    <s v="MR.HANIF AHSAN ZUBEDI"/>
    <x v="12"/>
    <n v="2"/>
    <s v="MINERAL WATER SMALL"/>
    <n v="200"/>
    <n v="30"/>
  </r>
  <r>
    <n v="705"/>
    <s v="HCFM-0595"/>
    <s v="BRIG.KHALID MEHMOOD"/>
    <x v="12"/>
    <n v="6"/>
    <s v="RESHMI SEEKH KABAB"/>
    <n v="5994"/>
    <n v="899.1"/>
  </r>
  <r>
    <n v="706"/>
    <s v="HCFM-0521"/>
    <s v="MR.HAFEEZ AHMED SIYAL"/>
    <x v="12"/>
    <n v="2"/>
    <s v="MINERAL WATER SMALL"/>
    <n v="200"/>
    <n v="30"/>
  </r>
  <r>
    <n v="707"/>
    <s v="HCFM-0521"/>
    <s v="MR.HAFEEZ AHMED SIYAL"/>
    <x v="12"/>
    <n v="1"/>
    <s v="CHINESE SZECHUAN SOUP"/>
    <n v="350"/>
    <n v="52.5"/>
  </r>
  <r>
    <n v="708"/>
    <s v="HCFM-0654"/>
    <s v="SYED JIBRAN MUSHTAQ"/>
    <x v="12"/>
    <n v="1"/>
    <s v="CLUB SANDWICH"/>
    <n v="1250"/>
    <n v="187.5"/>
  </r>
  <r>
    <n v="709"/>
    <s v="HCFM-0654"/>
    <s v="SYED JIBRAN MUSHTAQ"/>
    <x v="12"/>
    <n v="1"/>
    <s v="MINERAL WATER SMALL"/>
    <n v="100"/>
    <n v="15"/>
  </r>
  <r>
    <n v="710"/>
    <s v="HCFM-0541"/>
    <s v="MR.SHAN ELAHI SEHGAL"/>
    <x v="12"/>
    <n v="1"/>
    <s v="MIX VEGETABLES"/>
    <n v="400"/>
    <n v="60"/>
  </r>
  <r>
    <n v="711"/>
    <s v="HCFM-0541"/>
    <s v="MR.SHAN ELAHI SEHGAL"/>
    <x v="12"/>
    <n v="1"/>
    <s v="MINERAL WATER SMALL"/>
    <n v="100"/>
    <n v="15"/>
  </r>
  <r>
    <n v="712"/>
    <s v="HCFM-0541"/>
    <s v="MR.SHAN ELAHI SEHGAL"/>
    <x v="12"/>
    <n v="2"/>
    <s v="PLAIN NAAN"/>
    <n v="140"/>
    <n v="21"/>
  </r>
  <r>
    <n v="713"/>
    <s v="HCFM-0541"/>
    <s v="MR.SHAN ELAHI SEHGAL"/>
    <x v="12"/>
    <n v="1"/>
    <s v="MIX TEA"/>
    <n v="200"/>
    <n v="30"/>
  </r>
  <r>
    <n v="714"/>
    <s v="HCFM-0659"/>
    <s v="Heritage club"/>
    <x v="12"/>
    <n v="1"/>
    <s v="VODKA SINGLE"/>
    <n v="1000"/>
    <n v="150"/>
  </r>
  <r>
    <n v="715"/>
    <s v="HCFM-0659"/>
    <s v="Heritage club"/>
    <x v="12"/>
    <n v="5"/>
    <s v="BLACK LABEL SINGLE"/>
    <n v="4000"/>
    <n v="600"/>
  </r>
  <r>
    <n v="716"/>
    <s v="HCFM-0659"/>
    <s v="Heritage club"/>
    <x v="12"/>
    <n v="7"/>
    <s v="MURREE BEER"/>
    <n v="7000"/>
    <n v="1050"/>
  </r>
  <r>
    <n v="717"/>
    <s v="HCFM-0659"/>
    <s v="Heritage club"/>
    <x v="12"/>
    <n v="10"/>
    <s v="MINERAL WATER LARGE"/>
    <n v="1500"/>
    <n v="225"/>
  </r>
  <r>
    <n v="718"/>
    <s v="HCFM-0659"/>
    <s v="Heritage club"/>
    <x v="12"/>
    <n v="5"/>
    <s v="MINERAL WATER SMALL"/>
    <n v="500"/>
    <n v="75"/>
  </r>
  <r>
    <n v="719"/>
    <s v="HCFM-0521"/>
    <s v="MR.HAFEEZ AHMED SIYAL"/>
    <x v="13"/>
    <n v="3"/>
    <s v="CREAM OF MASHROOM SOUP"/>
    <n v="1200"/>
    <n v="180"/>
  </r>
  <r>
    <n v="720"/>
    <s v="HCFM-0521"/>
    <s v="MR.HAFEEZ AHMED SIYAL"/>
    <x v="13"/>
    <n v="2"/>
    <s v="SOFT DRINKS"/>
    <n v="300"/>
    <n v="45"/>
  </r>
  <r>
    <n v="721"/>
    <s v="HCFM-0521"/>
    <s v="MR.HAFEEZ AHMED SIYAL"/>
    <x v="13"/>
    <n v="3"/>
    <s v="PLAIN NAAN"/>
    <n v="210"/>
    <n v="31.5"/>
  </r>
  <r>
    <n v="722"/>
    <s v="HCFM-0521"/>
    <s v="MR.HAFEEZ AHMED SIYAL"/>
    <x v="13"/>
    <n v="1"/>
    <s v="FRESH LEM"/>
    <n v="200"/>
    <n v="30"/>
  </r>
  <r>
    <n v="723"/>
    <s v="HCFM-0521"/>
    <s v="MR.HAFEEZ AHMED SIYAL"/>
    <x v="13"/>
    <n v="1"/>
    <s v="MAKHANI HANDI"/>
    <n v="1000"/>
    <n v="150"/>
  </r>
  <r>
    <n v="724"/>
    <s v="HCFM-0521"/>
    <s v="MR.HAFEEZ AHMED SIYAL"/>
    <x v="13"/>
    <n v="1"/>
    <s v="MINERAL WATER SMALL"/>
    <n v="100"/>
    <n v="15"/>
  </r>
  <r>
    <n v="725"/>
    <s v="HCFM-0530"/>
    <s v="MR.MUHAMMAD HANIF"/>
    <x v="13"/>
    <n v="2"/>
    <s v="CHICKEN TIKKA"/>
    <n v="1200"/>
    <n v="180"/>
  </r>
  <r>
    <n v="726"/>
    <s v="HCFM-0530"/>
    <s v="MR.MUHAMMAD HANIF"/>
    <x v="13"/>
    <n v="2"/>
    <s v="SHISH TAOUK"/>
    <n v="2400"/>
    <n v="360"/>
  </r>
  <r>
    <n v="727"/>
    <s v="HCFM-0530"/>
    <s v="MR.MUHAMMAD HANIF"/>
    <x v="13"/>
    <n v="3"/>
    <s v="MALAI BOTI"/>
    <n v="3450"/>
    <n v="517.5"/>
  </r>
  <r>
    <n v="728"/>
    <s v="HCFM-0530"/>
    <s v="MR.MUHAMMAD HANIF"/>
    <x v="13"/>
    <n v="3"/>
    <s v="BEEF SEEKH KABAB"/>
    <n v="3600"/>
    <n v="540"/>
  </r>
  <r>
    <n v="729"/>
    <s v="HCFM-0530"/>
    <s v="MR.MUHAMMAD HANIF"/>
    <x v="13"/>
    <n v="4"/>
    <s v="RAITA"/>
    <n v="800"/>
    <n v="120"/>
  </r>
  <r>
    <n v="730"/>
    <s v="HCFM-0530"/>
    <s v="MR.MUHAMMAD HANIF"/>
    <x v="13"/>
    <n v="2"/>
    <s v="FRESH GARDEN SALAD"/>
    <n v="1600"/>
    <n v="240"/>
  </r>
  <r>
    <n v="731"/>
    <s v="HCFM-0530"/>
    <s v="MR.MUHAMMAD HANIF"/>
    <x v="13"/>
    <n v="2"/>
    <s v="HC SPECIAL CAESAR SALAD"/>
    <n v="1200"/>
    <n v="180"/>
  </r>
  <r>
    <n v="732"/>
    <s v="HCFM-0530"/>
    <s v="MR.MUHAMMAD HANIF"/>
    <x v="13"/>
    <n v="8"/>
    <s v="TAWA PARATHA"/>
    <n v="1200"/>
    <n v="180"/>
  </r>
  <r>
    <n v="733"/>
    <s v="HCFM-0530"/>
    <s v="MR.MUHAMMAD HANIF"/>
    <x v="13"/>
    <n v="3"/>
    <s v="GARLIC NAAN"/>
    <n v="390"/>
    <n v="58.5"/>
  </r>
  <r>
    <n v="734"/>
    <s v="HCFM-0530"/>
    <s v="MR.MUHAMMAD HANIF"/>
    <x v="13"/>
    <n v="3"/>
    <s v="ROGHNI NAAN"/>
    <n v="450"/>
    <n v="67.5"/>
  </r>
  <r>
    <n v="735"/>
    <s v="HCFM-0530"/>
    <s v="MR.MUHAMMAD HANIF"/>
    <x v="13"/>
    <n v="3"/>
    <s v="PLAIN NAAN"/>
    <n v="210"/>
    <n v="31.5"/>
  </r>
  <r>
    <n v="736"/>
    <s v="HCFM-0596"/>
    <s v="DGM AZFAR ALI"/>
    <x v="13"/>
    <n v="1"/>
    <s v="MINERAL WATER SMALL"/>
    <n v="100"/>
    <n v="15"/>
  </r>
  <r>
    <n v="737"/>
    <s v="HCFM-0512"/>
    <s v="MR.ZEESHAN IQBAL"/>
    <x v="13"/>
    <n v="1"/>
    <s v="MINERAL WATER LARGE"/>
    <n v="150"/>
    <n v="22.5"/>
  </r>
  <r>
    <n v="738"/>
    <s v="HCFM-0512"/>
    <s v="MR.ZEESHAN IQBAL"/>
    <x v="13"/>
    <n v="1"/>
    <s v="PLAIN FRIES"/>
    <n v="250"/>
    <n v="37.5"/>
  </r>
  <r>
    <n v="739"/>
    <s v="HCFM-0558"/>
    <s v="MUHAMMAD EBRAHIM TIWANA"/>
    <x v="13"/>
    <n v="1"/>
    <s v="ASSORTED PASTRY"/>
    <n v="250"/>
    <n v="37.5"/>
  </r>
  <r>
    <n v="740"/>
    <s v="HCFM-0558"/>
    <s v="MUHAMMAD EBRAHIM TIWANA"/>
    <x v="13"/>
    <n v="1"/>
    <s v="ASSORTED COOKIES"/>
    <n v="400"/>
    <n v="60"/>
  </r>
  <r>
    <n v="741"/>
    <s v="HCFM-0558"/>
    <s v="MUHAMMAD EBRAHIM TIWANA"/>
    <x v="13"/>
    <n v="2"/>
    <s v="DOUGHNUTS"/>
    <n v="300"/>
    <n v="45"/>
  </r>
  <r>
    <n v="742"/>
    <s v="HCFM-0686"/>
    <s v="MR. GHULAM MUSTAFA"/>
    <x v="13"/>
    <n v="1"/>
    <s v="MINERAL WATER LARGE"/>
    <n v="150"/>
    <n v="22.5"/>
  </r>
  <r>
    <n v="743"/>
    <s v="HCFM-0686"/>
    <s v="MR. GHULAM MUSTAFA"/>
    <x v="13"/>
    <n v="1"/>
    <s v="CHINESE CORN SOUP"/>
    <n v="250"/>
    <n v="37.5"/>
  </r>
  <r>
    <n v="744"/>
    <s v="HCFM-0686"/>
    <s v="MR. GHULAM MUSTAFA"/>
    <x v="13"/>
    <n v="2"/>
    <s v="CHINESE SZECHUAN SOUP"/>
    <n v="700"/>
    <n v="105"/>
  </r>
  <r>
    <n v="745"/>
    <s v="HCFM-0686"/>
    <s v="MR. GHULAM MUSTAFA"/>
    <x v="13"/>
    <n v="1"/>
    <s v="SHISH TAOUK"/>
    <n v="1200"/>
    <n v="180"/>
  </r>
  <r>
    <n v="746"/>
    <s v="HCFM-0686"/>
    <s v="MR. GHULAM MUSTAFA"/>
    <x v="13"/>
    <n v="1"/>
    <s v="CHICKEN CHOWMEIN"/>
    <n v="950"/>
    <n v="142.5"/>
  </r>
  <r>
    <n v="747"/>
    <s v="HCFM-0679"/>
    <s v="MR. ANEEL ZAHOOR"/>
    <x v="13"/>
    <n v="1"/>
    <s v="MINERAL WATER SMALL"/>
    <n v="100"/>
    <n v="15"/>
  </r>
  <r>
    <n v="748"/>
    <s v="HCFM-0558"/>
    <s v="MUHAMMAD EBRAHIM TIWANA"/>
    <x v="13"/>
    <n v="4"/>
    <s v="CLUB SANDWICH"/>
    <n v="5000"/>
    <n v="750"/>
  </r>
  <r>
    <n v="749"/>
    <s v="HCFM-0558"/>
    <s v="MUHAMMAD EBRAHIM TIWANA"/>
    <x v="13"/>
    <n v="2"/>
    <s v="MALAI BOTI"/>
    <n v="2300"/>
    <n v="345"/>
  </r>
  <r>
    <n v="750"/>
    <s v="HCFM-0558"/>
    <s v="MUHAMMAD EBRAHIM TIWANA"/>
    <x v="13"/>
    <n v="1"/>
    <s v="SHISH TAOUK"/>
    <n v="1200"/>
    <n v="180"/>
  </r>
  <r>
    <n v="751"/>
    <s v="HCFM-0558"/>
    <s v="MUHAMMAD EBRAHIM TIWANA"/>
    <x v="13"/>
    <n v="1"/>
    <s v="CHICKEN KARAHI"/>
    <n v="900"/>
    <n v="135"/>
  </r>
  <r>
    <n v="752"/>
    <s v="HCFM-0558"/>
    <s v="MUHAMMAD EBRAHIM TIWANA"/>
    <x v="13"/>
    <n v="1"/>
    <s v="GRILLED CHICKEN ROASTED"/>
    <n v="850"/>
    <n v="127.5"/>
  </r>
  <r>
    <n v="753"/>
    <s v="HCFM-0558"/>
    <s v="MUHAMMAD EBRAHIM TIWANA"/>
    <x v="13"/>
    <n v="3"/>
    <s v="GARLIC NAAN"/>
    <n v="390"/>
    <n v="58.5"/>
  </r>
  <r>
    <n v="754"/>
    <s v="HCFM-0558"/>
    <s v="MUHAMMAD EBRAHIM TIWANA"/>
    <x v="13"/>
    <n v="1"/>
    <s v="MINERAL WATER SMALL"/>
    <n v="100"/>
    <n v="15"/>
  </r>
  <r>
    <n v="755"/>
    <s v="HCFM-0558"/>
    <s v="MUHAMMAD EBRAHIM TIWANA"/>
    <x v="13"/>
    <n v="2"/>
    <s v="SOFT DRINKS"/>
    <n v="300"/>
    <n v="45"/>
  </r>
  <r>
    <n v="756"/>
    <s v="HCFM-0646"/>
    <s v="BAHRIA INTERNATIONAL HOSPITAL"/>
    <x v="13"/>
    <n v="20"/>
    <s v="ASSORTED PASTRY"/>
    <n v="5000"/>
    <m/>
  </r>
  <r>
    <n v="757"/>
    <s v="HCFM-0646"/>
    <s v="BAHRIA INTERNATIONAL HOSPITAL"/>
    <x v="13"/>
    <n v="10"/>
    <s v="DOUGHNUTS"/>
    <n v="1500"/>
    <m/>
  </r>
  <r>
    <n v="758"/>
    <s v="HCFM-0646"/>
    <s v="BAHRIA INTERNATIONAL HOSPITAL"/>
    <x v="13"/>
    <n v="30"/>
    <s v="CHICKEN PATTIES"/>
    <n v="3000"/>
    <m/>
  </r>
  <r>
    <n v="759"/>
    <s v="HCFM-0542"/>
    <s v="MR.HANIF AHSAN ZUBEDI"/>
    <x v="13"/>
    <n v="1"/>
    <s v="MINERAL WATER SMALL"/>
    <n v="100"/>
    <n v="15"/>
  </r>
  <r>
    <n v="760"/>
    <s v="HCFM-0545"/>
    <s v="MR. HASAN KARIM"/>
    <x v="13"/>
    <n v="1"/>
    <s v="MINERAL WATER SMALL"/>
    <n v="100"/>
    <n v="15"/>
  </r>
  <r>
    <n v="761"/>
    <s v="HCFM-0545"/>
    <s v="MR. HASAN KARIM"/>
    <x v="13"/>
    <n v="2"/>
    <s v="MIX TEA"/>
    <n v="400"/>
    <n v="60"/>
  </r>
  <r>
    <n v="762"/>
    <s v="HCFM-0519"/>
    <s v="DR.NAZEER HUSSAIN KALHORO"/>
    <x v="13"/>
    <n v="2"/>
    <s v="MINERAL WATER SMALL"/>
    <n v="200"/>
    <n v="30"/>
  </r>
  <r>
    <n v="763"/>
    <s v="HCFM-0509"/>
    <s v="MR.SYED ABDULLAH ALI"/>
    <x v="13"/>
    <n v="4"/>
    <s v="MIX TEA"/>
    <n v="800"/>
    <n v="120"/>
  </r>
  <r>
    <n v="764"/>
    <s v="HCFM-0509"/>
    <s v="MR.SYED ABDULLAH ALI"/>
    <x v="13"/>
    <n v="1"/>
    <s v="MINERAL WATER LARGE"/>
    <n v="150"/>
    <n v="22.5"/>
  </r>
  <r>
    <n v="765"/>
    <s v="HCFM-0641"/>
    <s v="AAMIR RASOOL"/>
    <x v="13"/>
    <n v="1"/>
    <s v="CHICKEN DYNAMITE"/>
    <n v="850"/>
    <n v="127.5"/>
  </r>
  <r>
    <n v="766"/>
    <s v="HCFM-0641"/>
    <s v="AAMIR RASOOL"/>
    <x v="13"/>
    <n v="1"/>
    <s v="ZINGER BURGER"/>
    <n v="700"/>
    <n v="105"/>
  </r>
  <r>
    <n v="767"/>
    <s v="HCFM-0641"/>
    <s v="AAMIR RASOOL"/>
    <x v="13"/>
    <n v="2"/>
    <s v="SOFT DRINKS"/>
    <n v="300"/>
    <n v="45"/>
  </r>
  <r>
    <n v="768"/>
    <s v="HCFM-0641"/>
    <s v="AAMIR RASOOL"/>
    <x v="13"/>
    <n v="2"/>
    <s v="MINERAL WATER SMALL"/>
    <n v="200"/>
    <n v="30"/>
  </r>
  <r>
    <n v="769"/>
    <s v="HCFM-0641"/>
    <s v="AAMIR RASOOL"/>
    <x v="13"/>
    <n v="1"/>
    <s v="BBQ LOADED FRIES HALF"/>
    <n v="270"/>
    <n v="40.5"/>
  </r>
  <r>
    <n v="770"/>
    <s v="HCFM-0659"/>
    <s v="Heritage club"/>
    <x v="13"/>
    <n v="1"/>
    <s v="MIX TEA"/>
    <n v="200"/>
    <n v="30"/>
  </r>
  <r>
    <n v="771"/>
    <s v="HCFM-0659"/>
    <s v="Heritage club"/>
    <x v="13"/>
    <n v="1"/>
    <s v="MINERAL WATER SMALL"/>
    <n v="100"/>
    <n v="15"/>
  </r>
  <r>
    <n v="772"/>
    <s v="HCFM-0515"/>
    <s v="MR.TARIQUE ZUBAIR"/>
    <x v="13"/>
    <n v="1"/>
    <s v="CHICKEN HANDI"/>
    <n v="0"/>
    <n v="0"/>
  </r>
  <r>
    <n v="773"/>
    <s v="HCFM-0515"/>
    <s v="MR.TARIQUE ZUBAIR"/>
    <x v="13"/>
    <n v="4"/>
    <s v="PLAIN NAAN"/>
    <n v="0"/>
    <n v="0"/>
  </r>
  <r>
    <n v="774"/>
    <s v="HCFM-0542"/>
    <s v="MR.HANIF AHSAN ZUBEDI"/>
    <x v="13"/>
    <n v="8"/>
    <s v="SUNDAY BRUNCH"/>
    <n v="12400"/>
    <n v="1860"/>
  </r>
  <r>
    <n v="775"/>
    <s v="HCFM-0542"/>
    <s v="MR.HANIF AHSAN ZUBEDI"/>
    <x v="13"/>
    <n v="4"/>
    <s v="SUNDAY BRUNCH KIDS"/>
    <n v="3100"/>
    <n v="465"/>
  </r>
  <r>
    <n v="776"/>
    <s v="HCFM-0542"/>
    <s v="MR.HANIF AHSAN ZUBEDI"/>
    <x v="13"/>
    <n v="2"/>
    <s v="LASSI"/>
    <n v="600"/>
    <n v="90"/>
  </r>
  <r>
    <n v="777"/>
    <s v="HCFM-0542"/>
    <s v="MR.HANIF AHSAN ZUBEDI"/>
    <x v="13"/>
    <n v="2"/>
    <s v="MINERAL WATER LARGE"/>
    <n v="300"/>
    <n v="45"/>
  </r>
  <r>
    <n v="778"/>
    <s v="HCFM-0519"/>
    <s v="DR.NAZEER HUSSAIN KALHORO"/>
    <x v="13"/>
    <n v="5"/>
    <s v="SUNDAY BRUNCH "/>
    <n v="9250"/>
    <n v="1387.5"/>
  </r>
  <r>
    <n v="779"/>
    <s v="HCFM-0519"/>
    <s v="DR.NAZEER HUSSAIN KALHORO"/>
    <x v="13"/>
    <n v="2"/>
    <s v="SUNDAY BRUNCH KIDS "/>
    <n v="1850"/>
    <n v="277.5"/>
  </r>
  <r>
    <n v="780"/>
    <s v="HCFM-0519"/>
    <s v="DR.NAZEER HUSSAIN KALHORO"/>
    <x v="13"/>
    <n v="1"/>
    <s v="MINERAL WATER SMALL"/>
    <n v="100"/>
    <n v="15"/>
  </r>
  <r>
    <n v="781"/>
    <s v="HCFM-0519"/>
    <s v="DR.NAZEER HUSSAIN KALHORO"/>
    <x v="13"/>
    <n v="1"/>
    <s v="MINERAL WATER LARGE"/>
    <n v="150"/>
    <n v="22.5"/>
  </r>
  <r>
    <n v="782"/>
    <s v="HCFM-0596"/>
    <s v="DGM AZFAR ALI"/>
    <x v="13"/>
    <n v="6"/>
    <s v="SUNDAY BRUNCH"/>
    <n v="9300"/>
    <n v="1395"/>
  </r>
  <r>
    <n v="783"/>
    <s v="HCFM-0596"/>
    <s v="DGM AZFAR ALI"/>
    <x v="13"/>
    <n v="2"/>
    <s v="LASSI"/>
    <n v="600"/>
    <n v="90"/>
  </r>
  <r>
    <n v="784"/>
    <s v="HCFM-0596"/>
    <s v="DGM AZFAR ALI"/>
    <x v="13"/>
    <n v="3"/>
    <s v="MINERAL WATER LARGE"/>
    <n v="450"/>
    <n v="67.5"/>
  </r>
  <r>
    <n v="785"/>
    <s v="HCFM-0596"/>
    <s v="DGM AZFAR ALI"/>
    <x v="13"/>
    <n v="1"/>
    <s v="COFFEE CAPPUCINO"/>
    <n v="350"/>
    <n v="52.5"/>
  </r>
  <r>
    <n v="786"/>
    <s v="HCFM-0596"/>
    <s v="DGM AZFAR ALI"/>
    <x v="13"/>
    <n v="3"/>
    <s v="SUNDAY BRUNCH KIDS"/>
    <n v="2325"/>
    <n v="348.75"/>
  </r>
  <r>
    <n v="787"/>
    <s v="HCFM-0581"/>
    <s v="BRIG DR. GHULAM MEHDI (Retd)"/>
    <x v="13"/>
    <n v="3"/>
    <s v="SUNDAY BRUNCH"/>
    <n v="4650"/>
    <n v="697.5"/>
  </r>
  <r>
    <n v="788"/>
    <s v="HCFM-0581"/>
    <s v="BRIG DR. GHULAM MEHDI (Retd)"/>
    <x v="13"/>
    <n v="2"/>
    <s v="LASSI"/>
    <n v="600"/>
    <n v="90"/>
  </r>
  <r>
    <n v="789"/>
    <s v="HCFM-0581"/>
    <s v="BRIG DR. GHULAM MEHDI (Retd)"/>
    <x v="13"/>
    <n v="1"/>
    <s v="MINERAL WATER LARGE"/>
    <n v="150"/>
    <n v="22.5"/>
  </r>
  <r>
    <n v="790"/>
    <s v="HCFM-0583"/>
    <s v="MR.CAREL HEDRIK BURGER"/>
    <x v="13"/>
    <n v="8"/>
    <s v="SUNDAY BRUNCH "/>
    <n v="14800"/>
    <n v="2220"/>
  </r>
  <r>
    <n v="791"/>
    <s v="HCFM-0583"/>
    <s v="MR.CAREL HEDRIK BURGER"/>
    <x v="13"/>
    <n v="4"/>
    <s v="LASSI"/>
    <n v="1200"/>
    <n v="180"/>
  </r>
  <r>
    <n v="792"/>
    <s v="HCFM-0583"/>
    <s v="MR.CAREL HEDRIK BURGER"/>
    <x v="13"/>
    <n v="1"/>
    <s v="COFFEE CAPPUCINO"/>
    <n v="350"/>
    <n v="52.5"/>
  </r>
  <r>
    <n v="793"/>
    <s v="HCFM-0583"/>
    <s v="MR.CAREL HEDRIK BURGER"/>
    <x v="13"/>
    <n v="2"/>
    <s v="MINERAL WATER LARGE"/>
    <n v="300"/>
    <n v="45"/>
  </r>
  <r>
    <n v="794"/>
    <s v="HCFM-0583"/>
    <s v="MR.CAREL HEDRIK BURGER"/>
    <x v="13"/>
    <n v="5"/>
    <s v="SOFT DRINKS"/>
    <n v="750"/>
    <n v="112.5"/>
  </r>
  <r>
    <n v="795"/>
    <s v="HCFM-0598"/>
    <s v="DGM FATIMA ZAHID"/>
    <x v="13"/>
    <n v="4"/>
    <s v="SUNDAY BRUNCH "/>
    <n v="7400"/>
    <n v="1110"/>
  </r>
  <r>
    <n v="796"/>
    <s v="HCFM-0598"/>
    <s v="DGM FATIMA ZAHID"/>
    <x v="13"/>
    <n v="2"/>
    <s v="SUNDAY BRUNCH KIDS "/>
    <n v="1850"/>
    <n v="277.5"/>
  </r>
  <r>
    <n v="797"/>
    <s v="HCFM-0598"/>
    <s v="DGM FATIMA ZAHID"/>
    <x v="13"/>
    <n v="3"/>
    <s v="COFFEE CAPPUCINO"/>
    <n v="1050"/>
    <n v="157.5"/>
  </r>
  <r>
    <n v="798"/>
    <s v="HCFM-0598"/>
    <s v="DGM FATIMA ZAHID"/>
    <x v="13"/>
    <n v="1"/>
    <s v="MINERAL WATER LARGE"/>
    <n v="150"/>
    <n v="22.5"/>
  </r>
  <r>
    <n v="799"/>
    <s v="HCFM-0664"/>
    <s v="SHAHBAZ AHMED"/>
    <x v="13"/>
    <n v="2"/>
    <s v="SUNDAY BRUNCH "/>
    <n v="3700"/>
    <n v="555"/>
  </r>
  <r>
    <n v="800"/>
    <s v="HCFM-0664"/>
    <s v="SHAHBAZ AHMED"/>
    <x v="13"/>
    <n v="1"/>
    <s v="MINERAL WATER LARGE"/>
    <n v="150"/>
    <n v="22.5"/>
  </r>
  <r>
    <n v="801"/>
    <s v="HCFM-0554"/>
    <s v="MR.IMRAN WAZEER"/>
    <x v="13"/>
    <n v="3"/>
    <s v="SUNDAY BRUNCH"/>
    <n v="4650"/>
    <n v="697.5"/>
  </r>
  <r>
    <n v="802"/>
    <s v="HCFM-0554"/>
    <s v="MR.IMRAN WAZEER"/>
    <x v="13"/>
    <n v="1"/>
    <s v="MINERAL WATER LARGE"/>
    <n v="150"/>
    <n v="22.5"/>
  </r>
  <r>
    <n v="803"/>
    <s v="HCFM-0554"/>
    <s v="MR.IMRAN WAZEER"/>
    <x v="13"/>
    <n v="2"/>
    <s v="LASSI"/>
    <n v="600"/>
    <n v="90"/>
  </r>
  <r>
    <n v="804"/>
    <s v="HCFM-0672"/>
    <s v="MRS RIFFAT ZULFIQAR"/>
    <x v="13"/>
    <n v="11"/>
    <s v="SUNDAY BRUNCH"/>
    <n v="17050"/>
    <n v="2557.5"/>
  </r>
  <r>
    <n v="805"/>
    <s v="HCFM-0672"/>
    <s v="MRS RIFFAT ZULFIQAR"/>
    <x v="13"/>
    <n v="2"/>
    <s v="SUNDAY BRUNCH KIDS"/>
    <n v="1550"/>
    <n v="232.5"/>
  </r>
  <r>
    <n v="806"/>
    <s v="HCFM-0672"/>
    <s v="MRS RIFFAT ZULFIQAR"/>
    <x v="13"/>
    <n v="2"/>
    <s v="COFFEE CAPPUCINO"/>
    <n v="700"/>
    <n v="105"/>
  </r>
  <r>
    <n v="807"/>
    <s v="HCFM-0672"/>
    <s v="MRS RIFFAT ZULFIQAR"/>
    <x v="13"/>
    <n v="3"/>
    <s v="MINERAL WATER LARGE"/>
    <n v="450"/>
    <n v="67.5"/>
  </r>
  <r>
    <n v="808"/>
    <s v="HCFM-0672"/>
    <s v="MRS RIFFAT ZULFIQAR"/>
    <x v="13"/>
    <n v="2"/>
    <s v="LASSI"/>
    <n v="600"/>
    <n v="90"/>
  </r>
  <r>
    <n v="809"/>
    <s v="HCFM-0672"/>
    <s v="MRS RIFFAT ZULFIQAR"/>
    <x v="13"/>
    <n v="4"/>
    <s v="SOFT DRINKS"/>
    <n v="600"/>
    <n v="90"/>
  </r>
  <r>
    <n v="810"/>
    <s v="HCFM-0589"/>
    <s v="DGM.REHAN TARIQ"/>
    <x v="13"/>
    <n v="2"/>
    <s v="SUNDAY BRUNCH"/>
    <n v="3100"/>
    <n v="465"/>
  </r>
  <r>
    <n v="811"/>
    <s v="HCFM-0589"/>
    <s v="DGM.REHAN TARIQ"/>
    <x v="13"/>
    <n v="1"/>
    <s v="MINERAL WATER LARGE"/>
    <n v="150"/>
    <n v="22.5"/>
  </r>
  <r>
    <n v="812"/>
    <s v="HCFM-0583"/>
    <s v="MR.CAREL HEDRIK BURGER"/>
    <x v="14"/>
    <n v="2"/>
    <s v="PIZZA FRIES FULL"/>
    <n v="1000"/>
    <n v="150"/>
  </r>
  <r>
    <n v="813"/>
    <s v="HCFM-0583"/>
    <s v="MR.CAREL HEDRIK BURGER"/>
    <x v="14"/>
    <n v="3"/>
    <s v="SOFT DRINKS"/>
    <n v="450"/>
    <n v="67.5"/>
  </r>
  <r>
    <n v="814"/>
    <s v="HCFM-0536"/>
    <s v="MR.ASHOK KUMAR"/>
    <x v="14"/>
    <n v="1"/>
    <s v="MINERAL WATER LARGE"/>
    <n v="150"/>
    <n v="22.5"/>
  </r>
  <r>
    <n v="815"/>
    <s v="HCFM-0536"/>
    <s v="MR.ASHOK KUMAR"/>
    <x v="14"/>
    <n v="3"/>
    <s v="BLACK COFFEE"/>
    <n v="900"/>
    <n v="135"/>
  </r>
  <r>
    <n v="816"/>
    <s v="HCFM-0595"/>
    <s v="BRIG.KHALID MEHMOOD"/>
    <x v="14"/>
    <n v="1"/>
    <s v="ALMOND CAKE"/>
    <n v="1600"/>
    <n v="240"/>
  </r>
  <r>
    <n v="817"/>
    <s v="HCFM-0670"/>
    <s v="MR. TEHSEEN FAIZ"/>
    <x v="14"/>
    <n v="1"/>
    <s v="CLUB SANDWICH"/>
    <n v="1250"/>
    <n v="187.5"/>
  </r>
  <r>
    <n v="818"/>
    <s v="HCFM-0670"/>
    <s v="MR. TEHSEEN FAIZ"/>
    <x v="14"/>
    <n v="2"/>
    <s v="BBQ LOADED FRIES FULL"/>
    <n v="1080"/>
    <n v="162"/>
  </r>
  <r>
    <n v="819"/>
    <s v="HCFM-0670"/>
    <s v="MR. TEHSEEN FAIZ"/>
    <x v="14"/>
    <n v="1"/>
    <s v="MINERAL WATER LARGE"/>
    <n v="150"/>
    <n v="22.5"/>
  </r>
  <r>
    <n v="820"/>
    <s v="HCFM-0670"/>
    <s v="MR. TEHSEEN FAIZ"/>
    <x v="14"/>
    <n v="1"/>
    <s v="PLAIN POPCORN"/>
    <n v="500"/>
    <n v="75"/>
  </r>
  <r>
    <n v="821"/>
    <s v="HCFM-0670"/>
    <s v="MR. TEHSEEN FAIZ"/>
    <x v="14"/>
    <n v="2"/>
    <s v="SOFT DRINKS"/>
    <n v="300"/>
    <n v="45"/>
  </r>
  <r>
    <n v="822"/>
    <s v="HCFM-0554"/>
    <s v="MR.IMRAN WAZEER"/>
    <x v="15"/>
    <n v="1"/>
    <s v="MINERAL WATER LARGE"/>
    <n v="150"/>
    <n v="22.5"/>
  </r>
  <r>
    <n v="823"/>
    <s v="HCFM-0554"/>
    <s v="MR.IMRAN WAZEER"/>
    <x v="15"/>
    <n v="1"/>
    <s v="HC SPECIAL TIKKA"/>
    <n v="800"/>
    <n v="120"/>
  </r>
  <r>
    <n v="824"/>
    <s v="HCFM-0554"/>
    <s v="MR.IMRAN WAZEER"/>
    <x v="15"/>
    <n v="1"/>
    <s v="SPECIAL BREAST LEG TIKKA"/>
    <n v="800"/>
    <n v="120"/>
  </r>
  <r>
    <n v="825"/>
    <s v="HCFM-0554"/>
    <s v="MR.IMRAN WAZEER"/>
    <x v="15"/>
    <n v="1"/>
    <s v="VEGETABLE FRIED RICE"/>
    <n v="300"/>
    <n v="45"/>
  </r>
  <r>
    <n v="826"/>
    <s v="HCFM-0554"/>
    <s v="MR.IMRAN WAZEER"/>
    <x v="15"/>
    <n v="1"/>
    <s v="MALAI BOTI"/>
    <n v="1150"/>
    <n v="172.5"/>
  </r>
  <r>
    <n v="827"/>
    <s v="HCFM-0554"/>
    <s v="MR.IMRAN WAZEER"/>
    <x v="15"/>
    <n v="1"/>
    <s v="SHISH TAOUK"/>
    <n v="1200"/>
    <n v="180"/>
  </r>
  <r>
    <n v="828"/>
    <s v="HCFM-0554"/>
    <s v="MR.IMRAN WAZEER"/>
    <x v="15"/>
    <n v="1"/>
    <s v="RESHMI SEEKH KABAB"/>
    <n v="999"/>
    <n v="149.85"/>
  </r>
  <r>
    <n v="829"/>
    <s v="HCFM-0554"/>
    <s v="MR.IMRAN WAZEER"/>
    <x v="15"/>
    <n v="3"/>
    <s v="PLAIN NAAN"/>
    <n v="210"/>
    <n v="31.5"/>
  </r>
  <r>
    <n v="830"/>
    <s v="HCFM-0554"/>
    <s v="MR.IMRAN WAZEER"/>
    <x v="15"/>
    <n v="3"/>
    <s v="ROGHNI NAAN"/>
    <n v="450"/>
    <n v="67.5"/>
  </r>
  <r>
    <n v="831"/>
    <s v="HCFM-0554"/>
    <s v="MR.IMRAN WAZEER"/>
    <x v="15"/>
    <n v="1"/>
    <s v="CHICKEN HANDI"/>
    <n v="1000"/>
    <n v="150"/>
  </r>
  <r>
    <n v="832"/>
    <s v="HCFM-0554"/>
    <s v="MR.IMRAN WAZEER"/>
    <x v="15"/>
    <n v="1"/>
    <s v="MIX TEA"/>
    <n v="200"/>
    <n v="30"/>
  </r>
  <r>
    <n v="833"/>
    <s v="HCFM-0554"/>
    <s v="MR.IMRAN WAZEER"/>
    <x v="15"/>
    <n v="1"/>
    <s v="COFFEE CAPPUCINO"/>
    <n v="350"/>
    <n v="52.5"/>
  </r>
  <r>
    <n v="834"/>
    <s v="HCFM-0646"/>
    <s v="BAHRIA INTERNATIONAL HOSPITAL"/>
    <x v="15"/>
    <n v="21"/>
    <s v="ASSORTED PASTRY"/>
    <n v="5250"/>
    <m/>
  </r>
  <r>
    <n v="835"/>
    <s v="HCFM-0646"/>
    <s v="BAHRIA INTERNATIONAL HOSPITAL"/>
    <x v="15"/>
    <n v="6"/>
    <s v="CHOCOLATE ECLAIR"/>
    <n v="900"/>
    <m/>
  </r>
  <r>
    <n v="836"/>
    <s v="HCFM-0646"/>
    <s v="BAHRIA INTERNATIONAL HOSPITAL"/>
    <x v="15"/>
    <n v="30"/>
    <s v="CHICKEN PATTIES"/>
    <n v="3000"/>
    <m/>
  </r>
  <r>
    <n v="837"/>
    <s v="HCFM-0646"/>
    <s v="BAHRIA INTERNATIONAL HOSPITAL"/>
    <x v="15"/>
    <n v="15"/>
    <s v="DOUGHNUTS"/>
    <n v="2250"/>
    <m/>
  </r>
  <r>
    <n v="838"/>
    <s v="HCFM-0646"/>
    <s v="BAHRIA INTERNATIONAL HOSPITAL"/>
    <x v="15"/>
    <n v="6"/>
    <s v="ASSORTED COOKIES"/>
    <n v="2400"/>
    <m/>
  </r>
  <r>
    <n v="839"/>
    <s v="HCFM-0667"/>
    <s v="MR. FAYAZ ALI SOOMRO"/>
    <x v="15"/>
    <n v="4"/>
    <s v="SPECIAL BREAST LEG TIKKA"/>
    <n v="3200"/>
    <n v="480"/>
  </r>
  <r>
    <n v="840"/>
    <s v="HCFM-0667"/>
    <s v="MR. FAYAZ ALI SOOMRO"/>
    <x v="15"/>
    <n v="1"/>
    <s v="RESHMI SEEKH KABAB"/>
    <n v="999"/>
    <n v="149.85"/>
  </r>
  <r>
    <n v="841"/>
    <s v="HCFM-0667"/>
    <s v="MR. FAYAZ ALI SOOMRO"/>
    <x v="15"/>
    <n v="1"/>
    <s v="BEEF SEEKH KABAB"/>
    <n v="1200"/>
    <n v="180"/>
  </r>
  <r>
    <n v="842"/>
    <s v="HCFM-0667"/>
    <s v="MR. FAYAZ ALI SOOMRO"/>
    <x v="15"/>
    <n v="1"/>
    <s v="MALAI BOTI"/>
    <n v="1150"/>
    <n v="172.5"/>
  </r>
  <r>
    <n v="843"/>
    <s v="HCFM-0667"/>
    <s v="MR. FAYAZ ALI SOOMRO"/>
    <x v="15"/>
    <n v="1"/>
    <s v="SHISH TAOUK"/>
    <n v="1200"/>
    <n v="180"/>
  </r>
  <r>
    <n v="844"/>
    <s v="HCFM-0667"/>
    <s v="MR. FAYAZ ALI SOOMRO"/>
    <x v="15"/>
    <n v="1"/>
    <s v="BEEF BOTI"/>
    <n v="1200"/>
    <n v="180"/>
  </r>
  <r>
    <n v="845"/>
    <s v="HCFM-0504"/>
    <s v="MR.BILAL AHMED"/>
    <x v="15"/>
    <n v="2"/>
    <s v="MINERAL WATER SMALL"/>
    <n v="200"/>
    <n v="30"/>
  </r>
  <r>
    <n v="846"/>
    <s v="HCFM-0504"/>
    <s v="MR.BILAL AHMED"/>
    <x v="15"/>
    <n v="2"/>
    <s v="COFFEE CAPPUCINO"/>
    <n v="700"/>
    <n v="105"/>
  </r>
  <r>
    <n v="847"/>
    <s v="HCFM-0515"/>
    <s v="MR.TARIQUE ZUBAIR"/>
    <x v="15"/>
    <n v="1"/>
    <s v="CLUB SANDWICH"/>
    <n v="1250"/>
    <n v="187.5"/>
  </r>
  <r>
    <n v="848"/>
    <s v="HCFM-0515"/>
    <s v="MR.TARIQUE ZUBAIR"/>
    <x v="15"/>
    <n v="1"/>
    <s v="SOFT DRINKS"/>
    <n v="150"/>
    <n v="22.5"/>
  </r>
  <r>
    <n v="849"/>
    <s v="HCFM-0541"/>
    <s v="MR.SHAN ELAHI SEHGAL"/>
    <x v="16"/>
    <n v="1"/>
    <s v="CLUB SANDWICH"/>
    <n v="1250"/>
    <n v="187.5"/>
  </r>
  <r>
    <n v="850"/>
    <s v="HCFM-0541"/>
    <s v="MR.SHAN ELAHI SEHGAL"/>
    <x v="16"/>
    <n v="2"/>
    <s v="PLAIN POPCORN"/>
    <n v="1000"/>
    <n v="150"/>
  </r>
  <r>
    <n v="851"/>
    <s v="HCFM-0541"/>
    <s v="MR.SHAN ELAHI SEHGAL"/>
    <x v="16"/>
    <n v="2"/>
    <s v="SOFT DRINKS"/>
    <n v="300"/>
    <n v="45"/>
  </r>
  <r>
    <n v="852"/>
    <s v="HCFM-0548"/>
    <s v="MR.ZAIN FAROOQ"/>
    <x v="16"/>
    <n v="1"/>
    <s v="PLAIN POPCORN"/>
    <n v="500"/>
    <n v="75"/>
  </r>
  <r>
    <n v="853"/>
    <s v="HCFM-0554"/>
    <s v="MR.IMRAN WAZEER"/>
    <x v="16"/>
    <n v="1"/>
    <s v="PIZZA FRIES HALF"/>
    <n v="250"/>
    <n v="37.5"/>
  </r>
  <r>
    <n v="854"/>
    <s v="HCFM-0554"/>
    <s v="MR.IMRAN WAZEER"/>
    <x v="16"/>
    <n v="1"/>
    <s v="ZINGER BURGER"/>
    <n v="700"/>
    <n v="105"/>
  </r>
  <r>
    <n v="855"/>
    <s v="HCFM-0554"/>
    <s v="MR.IMRAN WAZEER"/>
    <x v="16"/>
    <n v="1"/>
    <s v="MINERAL WATER SMALL"/>
    <n v="100"/>
    <n v="15"/>
  </r>
  <r>
    <n v="856"/>
    <s v="HCFM-0686"/>
    <s v="MR. GHULAM MUSTAFA"/>
    <x v="16"/>
    <n v="1"/>
    <s v="CHICKEN STRIPS"/>
    <n v="700"/>
    <n v="105"/>
  </r>
  <r>
    <n v="857"/>
    <s v="HCFM-0686"/>
    <s v="MR. GHULAM MUSTAFA"/>
    <x v="16"/>
    <n v="1"/>
    <s v="HOT N SOUR SOUP"/>
    <n v="350"/>
    <n v="52.5"/>
  </r>
  <r>
    <n v="858"/>
    <s v="HCFM-0686"/>
    <s v="MR. GHULAM MUSTAFA"/>
    <x v="16"/>
    <n v="1"/>
    <s v="CHINESE CORN SOUP"/>
    <n v="250"/>
    <n v="37.5"/>
  </r>
  <r>
    <n v="859"/>
    <s v="HCFM-0686"/>
    <s v="MR. GHULAM MUSTAFA"/>
    <x v="16"/>
    <n v="1"/>
    <s v="PLAIN FRIES"/>
    <n v="250"/>
    <n v="37.5"/>
  </r>
  <r>
    <n v="860"/>
    <s v="HCFM-0686"/>
    <s v="MR. GHULAM MUSTAFA"/>
    <x v="16"/>
    <n v="1"/>
    <s v="CREAM OF MASHROOM SOUP"/>
    <n v="400"/>
    <n v="60"/>
  </r>
  <r>
    <n v="861"/>
    <s v="HCFM-0686"/>
    <s v="MR. GHULAM MUSTAFA"/>
    <x v="16"/>
    <n v="1"/>
    <s v="EGG FRIED RICE"/>
    <n v="300"/>
    <n v="45"/>
  </r>
  <r>
    <n v="862"/>
    <s v="HCFM-0686"/>
    <s v="MR. GHULAM MUSTAFA"/>
    <x v="16"/>
    <n v="1"/>
    <s v="BEEF BOTI"/>
    <n v="1200"/>
    <n v="180"/>
  </r>
  <r>
    <n v="863"/>
    <s v="HCFM-0686"/>
    <s v="MR. GHULAM MUSTAFA"/>
    <x v="16"/>
    <n v="1"/>
    <s v="RESHMI SEEKH KABAB"/>
    <n v="999"/>
    <n v="149.85"/>
  </r>
  <r>
    <n v="864"/>
    <s v="HCFM-0686"/>
    <s v="MR. GHULAM MUSTAFA"/>
    <x v="16"/>
    <n v="1"/>
    <s v="LAHORI KARAHI"/>
    <n v="900"/>
    <n v="135"/>
  </r>
  <r>
    <n v="865"/>
    <s v="HCFM-0686"/>
    <s v="MR. GHULAM MUSTAFA"/>
    <x v="16"/>
    <n v="1"/>
    <s v="HC SPECIAL DAAL MAKHNI"/>
    <n v="500"/>
    <n v="75"/>
  </r>
  <r>
    <n v="866"/>
    <s v="HCFM-0686"/>
    <s v="MR. GHULAM MUSTAFA"/>
    <x v="16"/>
    <n v="2"/>
    <s v="PLAIN NAAN"/>
    <n v="140"/>
    <n v="21"/>
  </r>
  <r>
    <n v="867"/>
    <s v="HCFM-0686"/>
    <s v="MR. GHULAM MUSTAFA"/>
    <x v="16"/>
    <n v="2"/>
    <s v="GARLIC NAAN"/>
    <n v="260"/>
    <n v="39"/>
  </r>
  <r>
    <n v="868"/>
    <s v="HCFM-0686"/>
    <s v="MR. GHULAM MUSTAFA"/>
    <x v="16"/>
    <n v="2"/>
    <s v="ROGHNI NAAN"/>
    <n v="300"/>
    <n v="45"/>
  </r>
  <r>
    <n v="869"/>
    <s v="HCFM-0686"/>
    <s v="MR. GHULAM MUSTAFA"/>
    <x v="16"/>
    <n v="1"/>
    <s v="MINERAL WATER LARGE"/>
    <n v="150"/>
    <n v="22.5"/>
  </r>
  <r>
    <n v="870"/>
    <s v="HCFM-0686"/>
    <s v="MR. GHULAM MUSTAFA"/>
    <x v="16"/>
    <n v="1"/>
    <s v="SOFT DRINKS"/>
    <n v="150"/>
    <n v="22.5"/>
  </r>
  <r>
    <n v="871"/>
    <s v="HCFM-0548"/>
    <s v="MR.ZAIN FAROOQ"/>
    <x v="16"/>
    <n v="2"/>
    <s v="HC SPECIAL CAESAR SALAD"/>
    <n v="1200"/>
    <n v="180"/>
  </r>
  <r>
    <n v="872"/>
    <s v="HCFM-0541"/>
    <s v="MR.SHAN ELAHI SEHGAL"/>
    <x v="16"/>
    <n v="1"/>
    <s v="MIX TEA"/>
    <n v="200"/>
    <n v="30"/>
  </r>
  <r>
    <n v="873"/>
    <s v="HCFM-0541"/>
    <s v="MR.SHAN ELAHI SEHGAL"/>
    <x v="16"/>
    <n v="1"/>
    <s v="MINERAL WATER SMALL"/>
    <n v="100"/>
    <n v="15"/>
  </r>
  <r>
    <n v="874"/>
    <s v="HCFM-0541"/>
    <s v="MR.SHAN ELAHI SEHGAL"/>
    <x v="16"/>
    <n v="2"/>
    <s v="CHICKEN PATTIES"/>
    <n v="200"/>
    <n v="30"/>
  </r>
  <r>
    <n v="875"/>
    <s v="HCFM-0678"/>
    <s v="MR. AIJAZ ALI BALOCH"/>
    <x v="16"/>
    <n v="5"/>
    <s v="PLAIN NAAN"/>
    <n v="350"/>
    <n v="52.5"/>
  </r>
  <r>
    <n v="876"/>
    <s v="HCFM-0678"/>
    <s v="MR. AIJAZ ALI BALOCH"/>
    <x v="16"/>
    <n v="1"/>
    <s v="MUTTON KARAHI (RED/WHITE/GREEN)"/>
    <n v="1800"/>
    <n v="270"/>
  </r>
  <r>
    <n v="877"/>
    <s v="HCFM-0678"/>
    <s v="MR. AIJAZ ALI BALOCH"/>
    <x v="16"/>
    <n v="2"/>
    <s v="ROGHNI NAAN"/>
    <n v="300"/>
    <n v="45"/>
  </r>
  <r>
    <n v="878"/>
    <s v="HCFM-0678"/>
    <s v="MR. AIJAZ ALI BALOCH"/>
    <x v="16"/>
    <n v="2"/>
    <s v="GARLIC NAAN"/>
    <n v="260"/>
    <n v="39"/>
  </r>
  <r>
    <n v="879"/>
    <s v="HCFM-0678"/>
    <s v="MR. AIJAZ ALI BALOCH"/>
    <x v="16"/>
    <n v="1"/>
    <s v="VEGETABLE FRIED RICE"/>
    <n v="300"/>
    <n v="45"/>
  </r>
  <r>
    <n v="880"/>
    <s v="HCFM-0678"/>
    <s v="MR. AIJAZ ALI BALOCH"/>
    <x v="16"/>
    <n v="4"/>
    <s v="MINT LEMONADE"/>
    <n v="1400"/>
    <n v="210"/>
  </r>
  <r>
    <n v="881"/>
    <s v="HCFM-0678"/>
    <s v="MR. AIJAZ ALI BALOCH"/>
    <x v="16"/>
    <n v="4"/>
    <s v="SOFT DRINKS"/>
    <n v="600"/>
    <n v="90"/>
  </r>
  <r>
    <n v="882"/>
    <s v="HCFM-0678"/>
    <s v="MR. AIJAZ ALI BALOCH"/>
    <x v="16"/>
    <n v="1"/>
    <s v="MINERAL WATER LARGE"/>
    <n v="150"/>
    <n v="22.5"/>
  </r>
  <r>
    <n v="883"/>
    <s v="HCFM-0678"/>
    <s v="MR. AIJAZ ALI BALOCH"/>
    <x v="16"/>
    <n v="1"/>
    <s v="MUTTON KARAHI (RED/WHITE/GREEN)"/>
    <n v="1800"/>
    <n v="270"/>
  </r>
  <r>
    <n v="884"/>
    <s v="HCFM-0678"/>
    <s v="MR. AIJAZ ALI BALOCH"/>
    <x v="16"/>
    <n v="1"/>
    <s v="BEEF SEEKH KABAB"/>
    <n v="1200"/>
    <n v="180"/>
  </r>
  <r>
    <n v="885"/>
    <s v="HCFM-0678"/>
    <s v="MR. AIJAZ ALI BALOCH"/>
    <x v="16"/>
    <n v="1"/>
    <s v="MALAI BOTI"/>
    <n v="1150"/>
    <n v="172.5"/>
  </r>
  <r>
    <n v="886"/>
    <s v="HCFM-0678"/>
    <s v="MR. AIJAZ ALI BALOCH"/>
    <x v="16"/>
    <n v="1"/>
    <s v="VEGETABLE FRIED RICE"/>
    <n v="300"/>
    <n v="45"/>
  </r>
  <r>
    <n v="887"/>
    <s v="HCFM-0678"/>
    <s v="MR. AIJAZ ALI BALOCH"/>
    <x v="16"/>
    <n v="1"/>
    <s v="CHICKEN CHOWMEIN"/>
    <n v="950"/>
    <n v="142.5"/>
  </r>
  <r>
    <n v="888"/>
    <s v="HCFM-0678"/>
    <s v="MR. AIJAZ ALI BALOCH"/>
    <x v="16"/>
    <n v="1"/>
    <s v="SHISH TAOUK"/>
    <n v="1200"/>
    <n v="180"/>
  </r>
  <r>
    <n v="889"/>
    <s v="HCFM-0678"/>
    <s v="MR. AIJAZ ALI BALOCH"/>
    <x v="16"/>
    <n v="1"/>
    <s v="RESHMI SEEKH KABAB"/>
    <n v="999"/>
    <n v="149.85"/>
  </r>
  <r>
    <n v="890"/>
    <s v="HCFM-0678"/>
    <s v="MR. AIJAZ ALI BALOCH"/>
    <x v="16"/>
    <n v="1"/>
    <s v="FRESH GARDEN SALAD"/>
    <n v="800"/>
    <n v="120"/>
  </r>
  <r>
    <n v="891"/>
    <s v="HCFM-0678"/>
    <s v="MR. AIJAZ ALI BALOCH"/>
    <x v="16"/>
    <n v="1"/>
    <s v="RAITA"/>
    <n v="200"/>
    <n v="30"/>
  </r>
  <r>
    <n v="892"/>
    <s v="HCFM-0678"/>
    <s v="MR. AIJAZ ALI BALOCH"/>
    <x v="16"/>
    <n v="1"/>
    <s v="HC SPECIAL TIKKA"/>
    <n v="800"/>
    <n v="120"/>
  </r>
  <r>
    <n v="893"/>
    <s v="HCFM-0678"/>
    <s v="MR. AIJAZ ALI BALOCH"/>
    <x v="16"/>
    <n v="2"/>
    <s v="CHICKEN DYNAMITE"/>
    <n v="1700"/>
    <n v="255"/>
  </r>
  <r>
    <n v="894"/>
    <s v="HCFM-0678"/>
    <s v="MR. AIJAZ ALI BALOCH"/>
    <x v="16"/>
    <n v="2"/>
    <s v="MINT LEMONADE"/>
    <n v="700"/>
    <n v="105"/>
  </r>
  <r>
    <n v="895"/>
    <s v="HCFM-0678"/>
    <s v="MR. AIJAZ ALI BALOCH"/>
    <x v="16"/>
    <n v="3"/>
    <s v="MINERAL WATER SMALL"/>
    <n v="300"/>
    <n v="45"/>
  </r>
  <r>
    <n v="896"/>
    <s v="HCFM-0678"/>
    <s v="MR. AIJAZ ALI BALOCH"/>
    <x v="16"/>
    <n v="14"/>
    <s v="CHIVAS SINGLE"/>
    <n v="14000"/>
    <n v="2100"/>
  </r>
  <r>
    <n v="897"/>
    <s v="HCFM-0677"/>
    <s v="MR. MUNAWAR HUSSAIN"/>
    <x v="16"/>
    <n v="1"/>
    <s v="MINERAL WATER LARGE"/>
    <n v="150"/>
    <n v="22.5"/>
  </r>
  <r>
    <n v="898"/>
    <s v="HCFM-0677"/>
    <s v="MR. MUNAWAR HUSSAIN"/>
    <x v="16"/>
    <n v="1"/>
    <s v="HOT N SOUR SOUP"/>
    <n v="350"/>
    <n v="52.5"/>
  </r>
  <r>
    <n v="899"/>
    <s v="HCFM-0677"/>
    <s v="MR. MUNAWAR HUSSAIN"/>
    <x v="16"/>
    <n v="1"/>
    <s v="CHINESE SZECHUAN SOUP"/>
    <n v="350"/>
    <n v="52.5"/>
  </r>
  <r>
    <n v="900"/>
    <s v="HCFM-0677"/>
    <s v="MR. MUNAWAR HUSSAIN"/>
    <x v="16"/>
    <n v="1"/>
    <s v="HC SPECIAL DAAL MASALA"/>
    <n v="400"/>
    <n v="60"/>
  </r>
  <r>
    <n v="901"/>
    <s v="HCFM-0677"/>
    <s v="MR. MUNAWAR HUSSAIN"/>
    <x v="16"/>
    <n v="1"/>
    <s v="PASTA"/>
    <n v="1200"/>
    <n v="180"/>
  </r>
  <r>
    <n v="902"/>
    <s v="HCFM-0677"/>
    <s v="MR. MUNAWAR HUSSAIN"/>
    <x v="16"/>
    <n v="1"/>
    <s v="PLAIN NAAN"/>
    <n v="70"/>
    <n v="10.5"/>
  </r>
  <r>
    <n v="903"/>
    <s v="HCFM-0677"/>
    <s v="MR. MUNAWAR HUSSAIN"/>
    <x v="16"/>
    <n v="1"/>
    <s v="GARLIC NAAN"/>
    <n v="130"/>
    <n v="19.5"/>
  </r>
  <r>
    <n v="904"/>
    <s v="HCFM-0677"/>
    <s v="MR. MUNAWAR HUSSAIN"/>
    <x v="16"/>
    <n v="1"/>
    <s v="COFFEE CAPPUCINO"/>
    <n v="350"/>
    <n v="52.5"/>
  </r>
  <r>
    <n v="905"/>
    <s v="HCFM-0679"/>
    <s v="MR. ANEEL ZAHOOR"/>
    <x v="17"/>
    <n v="3"/>
    <s v="ZINGER BURGER"/>
    <n v="2100"/>
    <n v="315"/>
  </r>
  <r>
    <n v="906"/>
    <s v="HCFM-0679"/>
    <s v="MR. ANEEL ZAHOOR"/>
    <x v="17"/>
    <n v="2"/>
    <s v="CHICKEN PATTIES"/>
    <n v="200"/>
    <n v="30"/>
  </r>
  <r>
    <n v="907"/>
    <s v="HCFM-0679"/>
    <s v="MR. ANEEL ZAHOOR"/>
    <x v="17"/>
    <n v="2"/>
    <s v="MIX TEA"/>
    <n v="400"/>
    <n v="60"/>
  </r>
  <r>
    <n v="908"/>
    <s v="HCFM-0679"/>
    <s v="MR. ANEEL ZAHOOR"/>
    <x v="17"/>
    <n v="2"/>
    <s v="SOFT DRINKS"/>
    <n v="300"/>
    <n v="45"/>
  </r>
  <r>
    <n v="909"/>
    <s v="HCFM-0679"/>
    <s v="MR. ANEEL ZAHOOR"/>
    <x v="17"/>
    <n v="1"/>
    <s v="MINERAL WATER SMALL"/>
    <n v="100"/>
    <n v="15"/>
  </r>
  <r>
    <n v="910"/>
    <s v="HCFM-0679"/>
    <s v="MR. ANEEL ZAHOOR"/>
    <x v="17"/>
    <n v="2"/>
    <s v="MINERAL WATER LARGE"/>
    <n v="300"/>
    <n v="45"/>
  </r>
  <r>
    <n v="911"/>
    <s v="HCFM-0679"/>
    <s v="MR. ANEEL ZAHOOR"/>
    <x v="17"/>
    <n v="1"/>
    <s v="HC SPECIAL MUTTON KARAHI"/>
    <n v="1800"/>
    <n v="270"/>
  </r>
  <r>
    <n v="912"/>
    <s v="HCFM-0679"/>
    <s v="MR. ANEEL ZAHOOR"/>
    <x v="17"/>
    <n v="1"/>
    <s v="CHICKEN KARAHI"/>
    <n v="900"/>
    <n v="135"/>
  </r>
  <r>
    <n v="913"/>
    <s v="HCFM-0679"/>
    <s v="MR. ANEEL ZAHOOR"/>
    <x v="17"/>
    <n v="1"/>
    <s v="SHISH TAOUK"/>
    <n v="1200"/>
    <n v="180"/>
  </r>
  <r>
    <n v="914"/>
    <s v="HCFM-0679"/>
    <s v="MR. ANEEL ZAHOOR"/>
    <x v="17"/>
    <n v="5"/>
    <s v="PLAIN NAAN"/>
    <n v="350"/>
    <n v="52.5"/>
  </r>
  <r>
    <n v="915"/>
    <s v="HCFM-0679"/>
    <s v="MR. ANEEL ZAHOOR"/>
    <x v="17"/>
    <n v="1"/>
    <s v="PLAIN FRIES"/>
    <n v="250"/>
    <n v="37.5"/>
  </r>
  <r>
    <n v="916"/>
    <s v="HCFM-0679"/>
    <s v="MR. ANEEL ZAHOOR"/>
    <x v="17"/>
    <n v="4"/>
    <s v="GARLIC NAAN"/>
    <n v="520"/>
    <n v="78"/>
  </r>
  <r>
    <n v="917"/>
    <s v="HCFM-0679"/>
    <s v="MR. ANEEL ZAHOOR"/>
    <x v="17"/>
    <n v="4"/>
    <s v="SOFT DRINKS"/>
    <n v="600"/>
    <n v="90"/>
  </r>
  <r>
    <n v="918"/>
    <s v="HCFM-0679"/>
    <s v="MR. ANEEL ZAHOOR"/>
    <x v="17"/>
    <n v="1"/>
    <s v="MINT LEMONADE"/>
    <n v="350"/>
    <n v="52.5"/>
  </r>
  <r>
    <n v="919"/>
    <s v="HCFM-0679"/>
    <s v="MR. ANEEL ZAHOOR"/>
    <x v="17"/>
    <n v="1"/>
    <s v="GRILLED CHICKEN ROASTED"/>
    <n v="850"/>
    <n v="127.5"/>
  </r>
  <r>
    <n v="920"/>
    <s v="HCFM-0684"/>
    <s v="MR. ZAMIR ALI SHAH"/>
    <x v="17"/>
    <n v="1"/>
    <s v="COFFEE CAPPUCINO"/>
    <n v="350"/>
    <n v="52.5"/>
  </r>
  <r>
    <n v="921"/>
    <s v="HCFM-0684"/>
    <s v="MR. ZAMIR ALI SHAH"/>
    <x v="17"/>
    <n v="1"/>
    <s v="CLUB SANDWICH"/>
    <n v="1250"/>
    <n v="187.5"/>
  </r>
  <r>
    <n v="922"/>
    <s v="HCFM-0684"/>
    <s v="MR. ZAMIR ALI SHAH"/>
    <x v="17"/>
    <n v="2"/>
    <s v="MINERAL WATER SMALL"/>
    <n v="200"/>
    <n v="30"/>
  </r>
  <r>
    <n v="923"/>
    <s v="HCFM-0684"/>
    <s v="MR. ZAMIR ALI SHAH"/>
    <x v="17"/>
    <n v="1"/>
    <s v="MIX TEA"/>
    <n v="200"/>
    <n v="30"/>
  </r>
  <r>
    <n v="924"/>
    <s v="HCFM-0684"/>
    <s v="MR. ZAMIR ALI SHAH"/>
    <x v="17"/>
    <n v="1"/>
    <s v="PLAIN POPCORN"/>
    <n v="500"/>
    <n v="75"/>
  </r>
  <r>
    <n v="925"/>
    <s v="HCFM-0684"/>
    <s v="MR. ZAMIR ALI SHAH"/>
    <x v="17"/>
    <n v="1"/>
    <s v="CHICKEN CHOWMEIN"/>
    <n v="950"/>
    <n v="142.5"/>
  </r>
  <r>
    <n v="926"/>
    <s v="HCFM-0684"/>
    <s v="MR. ZAMIR ALI SHAH"/>
    <x v="17"/>
    <n v="1"/>
    <s v="MINERAL WATER LARGE"/>
    <n v="150"/>
    <n v="22.5"/>
  </r>
  <r>
    <n v="927"/>
    <s v="HCFM-0648"/>
    <s v="AYSM MIRZA"/>
    <x v="17"/>
    <n v="2"/>
    <s v="BROWN BREAD"/>
    <n v="120"/>
    <n v="18"/>
  </r>
  <r>
    <n v="928"/>
    <s v="HCFM-0648"/>
    <s v="AYSM MIRZA"/>
    <x v="17"/>
    <n v="1"/>
    <s v="MASHROOM CHEESE OMELETTE"/>
    <n v="450"/>
    <n v="67.5"/>
  </r>
  <r>
    <n v="929"/>
    <s v="HCFM-0648"/>
    <s v="AYSM MIRZA"/>
    <x v="17"/>
    <n v="1"/>
    <s v="MIX TEA"/>
    <n v="200"/>
    <n v="30"/>
  </r>
  <r>
    <n v="930"/>
    <s v="HCFM-0541"/>
    <s v="MR.SHAN ELAHI SEHGAL"/>
    <x v="17"/>
    <n v="2"/>
    <s v="MINERAL WATER LARGE"/>
    <n v="300"/>
    <n v="45"/>
  </r>
  <r>
    <n v="931"/>
    <s v="HCFM-0541"/>
    <s v="MR.SHAN ELAHI SEHGAL"/>
    <x v="17"/>
    <n v="1"/>
    <s v="RESHMI SEEKH KABAB"/>
    <n v="999"/>
    <n v="149.85"/>
  </r>
  <r>
    <n v="932"/>
    <s v="HCFM-0541"/>
    <s v="MR.SHAN ELAHI SEHGAL"/>
    <x v="17"/>
    <n v="1"/>
    <s v="BEEF SEEKH KABAB"/>
    <n v="1200"/>
    <n v="180"/>
  </r>
  <r>
    <n v="933"/>
    <s v="HCFM-0541"/>
    <s v="MR.SHAN ELAHI SEHGAL"/>
    <x v="17"/>
    <n v="1"/>
    <s v="SHISH TAOUK"/>
    <n v="1200"/>
    <n v="180"/>
  </r>
  <r>
    <n v="934"/>
    <s v="HCFM-0541"/>
    <s v="MR.SHAN ELAHI SEHGAL"/>
    <x v="17"/>
    <n v="8"/>
    <s v="PLAIN NAAN"/>
    <n v="560"/>
    <n v="84"/>
  </r>
  <r>
    <n v="935"/>
    <s v="HCFM-0541"/>
    <s v="MR.SHAN ELAHI SEHGAL"/>
    <x v="17"/>
    <n v="1"/>
    <s v="CHINESE CORN SOUP"/>
    <n v="250"/>
    <n v="37.5"/>
  </r>
  <r>
    <n v="936"/>
    <s v="HCFM-0541"/>
    <s v="MR.SHAN ELAHI SEHGAL"/>
    <x v="17"/>
    <n v="1"/>
    <s v="CHINESE SZECHUAN SOUP"/>
    <n v="350"/>
    <n v="52.5"/>
  </r>
  <r>
    <n v="937"/>
    <s v="HCFM-0541"/>
    <s v="MR.SHAN ELAHI SEHGAL"/>
    <x v="17"/>
    <n v="1"/>
    <s v="SOFT DRINKS"/>
    <n v="150"/>
    <n v="22.5"/>
  </r>
  <r>
    <n v="938"/>
    <s v="HCFM-0541"/>
    <s v="MR.SHAN ELAHI SEHGAL"/>
    <x v="17"/>
    <n v="1"/>
    <s v="BEEF BOTI"/>
    <n v="1200"/>
    <n v="180"/>
  </r>
  <r>
    <n v="939"/>
    <s v="HCFM-0583"/>
    <s v="MR.CAREL HEDRIK BURGER"/>
    <x v="18"/>
    <n v="1"/>
    <s v="MIX TEA"/>
    <n v="200"/>
    <n v="30"/>
  </r>
  <r>
    <n v="940"/>
    <s v="HCFM-0541"/>
    <s v="MR.SHAN ELAHI SEHGAL"/>
    <x v="18"/>
    <n v="1"/>
    <s v="MIX TEA"/>
    <n v="200"/>
    <n v="30"/>
  </r>
  <r>
    <n v="941"/>
    <s v="HCFM-0586"/>
    <s v="MR.SYED MURTAZA ALI"/>
    <x v="18"/>
    <n v="1"/>
    <s v="ZINGER BURGER"/>
    <n v="700"/>
    <n v="105"/>
  </r>
  <r>
    <n v="942"/>
    <s v="HCFM-0586"/>
    <s v="MR.SYED MURTAZA ALI"/>
    <x v="18"/>
    <n v="1"/>
    <s v="PIZZA FRIES HALF"/>
    <n v="250"/>
    <n v="37.5"/>
  </r>
  <r>
    <n v="943"/>
    <s v="HCFM-0680"/>
    <s v="MR. AYAZ JAMRO"/>
    <x v="18"/>
    <n v="1"/>
    <s v="MINERAL WATER LARGE"/>
    <n v="150"/>
    <n v="22.5"/>
  </r>
  <r>
    <n v="944"/>
    <s v="HCFM-0680"/>
    <s v="MR. AYAZ JAMRO"/>
    <x v="18"/>
    <n v="1"/>
    <s v="CREAM OF MASHROOM SOUP"/>
    <n v="400"/>
    <n v="60"/>
  </r>
  <r>
    <n v="945"/>
    <s v="HCFM-0680"/>
    <s v="MR. AYAZ JAMRO"/>
    <x v="18"/>
    <n v="1"/>
    <s v="GRILLED CHICKEN SANDWICH"/>
    <n v="575"/>
    <n v="86.25"/>
  </r>
  <r>
    <n v="946"/>
    <s v="HCFM-0680"/>
    <s v="MR. AYAZ JAMRO"/>
    <x v="18"/>
    <n v="1"/>
    <s v="MADRASI HANDI"/>
    <n v="900"/>
    <n v="135"/>
  </r>
  <r>
    <n v="947"/>
    <s v="HCFM-0680"/>
    <s v="MR. AYAZ JAMRO"/>
    <x v="18"/>
    <n v="1"/>
    <s v="PASTA"/>
    <n v="1200"/>
    <n v="180"/>
  </r>
  <r>
    <n v="948"/>
    <s v="HCFM-0680"/>
    <s v="MR. AYAZ JAMRO"/>
    <x v="18"/>
    <n v="2"/>
    <s v="PLAIN NAAN"/>
    <n v="140"/>
    <n v="21"/>
  </r>
  <r>
    <n v="949"/>
    <s v="HCFM-0680"/>
    <s v="MR. AYAZ JAMRO"/>
    <x v="18"/>
    <n v="1"/>
    <s v="GARLIC NAAN"/>
    <n v="130"/>
    <n v="19.5"/>
  </r>
  <r>
    <n v="950"/>
    <s v="HCFM-0680"/>
    <s v="MR. AYAZ JAMRO"/>
    <x v="18"/>
    <n v="2"/>
    <s v="SOFT DRINKS"/>
    <n v="300"/>
    <n v="45"/>
  </r>
  <r>
    <n v="951"/>
    <s v="HCFM-0680"/>
    <s v="MR. AYAZ JAMRO"/>
    <x v="18"/>
    <n v="1"/>
    <s v="COFFEE CAPPUCINO"/>
    <n v="350"/>
    <n v="52.5"/>
  </r>
  <r>
    <n v="952"/>
    <s v="HCFM-0668"/>
    <s v="MR. KASHIF SAEED"/>
    <x v="18"/>
    <n v="1"/>
    <s v="CHICKEN ROULADE"/>
    <n v="850"/>
    <n v="127.5"/>
  </r>
  <r>
    <n v="953"/>
    <s v="HCFM-0668"/>
    <s v="MR. KASHIF SAEED"/>
    <x v="18"/>
    <n v="1"/>
    <s v="CHICKEN STRIPS"/>
    <n v="700"/>
    <n v="105"/>
  </r>
  <r>
    <n v="954"/>
    <s v="HCFM-0668"/>
    <s v="MR. KASHIF SAEED"/>
    <x v="18"/>
    <n v="1"/>
    <s v="SINGAPOREAN FRIED RICE"/>
    <n v="1000"/>
    <n v="150"/>
  </r>
  <r>
    <n v="955"/>
    <s v="HCFM-0668"/>
    <s v="MR. KASHIF SAEED"/>
    <x v="18"/>
    <n v="1"/>
    <s v="AMERICAN CHOPSUEY"/>
    <n v="950"/>
    <n v="142.5"/>
  </r>
  <r>
    <n v="956"/>
    <s v="HCFM-0668"/>
    <s v="MR. KASHIF SAEED"/>
    <x v="18"/>
    <n v="2"/>
    <s v="MINT LEMONADE"/>
    <n v="700"/>
    <n v="105"/>
  </r>
  <r>
    <n v="957"/>
    <s v="HCFM-0668"/>
    <s v="MR. KASHIF SAEED"/>
    <x v="18"/>
    <n v="1"/>
    <s v="SOFT DRINKS"/>
    <n v="150"/>
    <n v="22.5"/>
  </r>
  <r>
    <n v="958"/>
    <s v="HCFM-0668"/>
    <s v="MR. KASHIF SAEED"/>
    <x v="18"/>
    <n v="1"/>
    <s v="MINERAL WATER LARGE"/>
    <n v="150"/>
    <n v="22.5"/>
  </r>
  <r>
    <n v="959"/>
    <s v="HCFM-0668"/>
    <s v="MR. KASHIF SAEED"/>
    <x v="18"/>
    <n v="1"/>
    <s v="PLAIN COOKIES"/>
    <n v="400"/>
    <n v="60"/>
  </r>
  <r>
    <n v="960"/>
    <s v="HCFM-0588"/>
    <s v="ZULFIQAR AHMED MEMON"/>
    <x v="18"/>
    <n v="4"/>
    <s v="ZINGER BURGER"/>
    <n v="2800"/>
    <n v="420"/>
  </r>
  <r>
    <n v="961"/>
    <s v="HCFM-0588"/>
    <s v="ZULFIQAR AHMED MEMON"/>
    <x v="18"/>
    <n v="1"/>
    <s v="CLUB SANDWICH"/>
    <n v="1250"/>
    <n v="187.5"/>
  </r>
  <r>
    <n v="962"/>
    <s v="HCFM-0588"/>
    <s v="ZULFIQAR AHMED MEMON"/>
    <x v="18"/>
    <n v="2"/>
    <s v="PIZZA FRIES HALF"/>
    <n v="500"/>
    <n v="75"/>
  </r>
  <r>
    <n v="963"/>
    <s v="HCFM-0588"/>
    <s v="ZULFIQAR AHMED MEMON"/>
    <x v="18"/>
    <n v="1"/>
    <s v="MINERAL WATER LARGE"/>
    <n v="150"/>
    <n v="22.5"/>
  </r>
  <r>
    <n v="964"/>
    <s v="HCFM-0588"/>
    <s v="ZULFIQAR AHMED MEMON"/>
    <x v="18"/>
    <n v="3"/>
    <s v="SOFT DRINKS"/>
    <n v="450"/>
    <n v="67.5"/>
  </r>
  <r>
    <n v="965"/>
    <s v="HCFM-0646"/>
    <s v="BAHRIA INTERNATIONAL HOSPITAL"/>
    <x v="18"/>
    <n v="30"/>
    <s v="CHICKEN PATTIES"/>
    <n v="3000"/>
    <m/>
  </r>
  <r>
    <n v="966"/>
    <s v="HCFM-0646"/>
    <s v="BAHRIA INTERNATIONAL HOSPITAL"/>
    <x v="18"/>
    <n v="12"/>
    <s v="ASSORTED PASTRY"/>
    <n v="3000"/>
    <m/>
  </r>
  <r>
    <n v="967"/>
    <s v="HCFM-0646"/>
    <s v="BAHRIA INTERNATIONAL HOSPITAL"/>
    <x v="18"/>
    <n v="10"/>
    <s v="DOUGHNUTS"/>
    <n v="1500"/>
    <m/>
  </r>
  <r>
    <n v="968"/>
    <s v="HCFM-0646"/>
    <s v="BAHRIA INTERNATIONAL HOSPITAL"/>
    <x v="18"/>
    <n v="6"/>
    <s v="CHOCOLATE ECLAIR"/>
    <n v="900"/>
    <m/>
  </r>
  <r>
    <n v="969"/>
    <s v="HCFM-0646"/>
    <s v="BAHRIA INTERNATIONAL HOSPITAL"/>
    <x v="18"/>
    <n v="2"/>
    <s v="ASSORTED COOKIES 500GM"/>
    <n v="1600"/>
    <m/>
  </r>
  <r>
    <n v="970"/>
    <s v="HCFM-0521"/>
    <s v="MR.HAFEEZ AHMED SIYAL"/>
    <x v="18"/>
    <n v="4"/>
    <s v="CHINESE SZECHUAN SOUP"/>
    <n v="1400"/>
    <n v="210"/>
  </r>
  <r>
    <n v="971"/>
    <s v="HCFM-0521"/>
    <s v="MR.HAFEEZ AHMED SIYAL"/>
    <x v="18"/>
    <n v="1"/>
    <s v="HC SPECIAL CHICKEN POPCORN"/>
    <n v="500"/>
    <n v="75"/>
  </r>
  <r>
    <n v="972"/>
    <s v="HCFM-0521"/>
    <s v="MR.HAFEEZ AHMED SIYAL"/>
    <x v="18"/>
    <n v="1"/>
    <s v="PLAIN FRIES"/>
    <n v="250"/>
    <n v="37.5"/>
  </r>
  <r>
    <n v="973"/>
    <s v="HCFM-0521"/>
    <s v="MR.HAFEEZ AHMED SIYAL"/>
    <x v="18"/>
    <n v="1"/>
    <s v="MINERAL WATER SMALL"/>
    <n v="100"/>
    <n v="15"/>
  </r>
  <r>
    <n v="974"/>
    <s v="HCFM-0597"/>
    <s v="GM GHULAM DASTAGEER"/>
    <x v="18"/>
    <n v="1"/>
    <s v="HC SPECIAL CHICKEN POPCORN"/>
    <n v="500"/>
    <n v="75"/>
  </r>
  <r>
    <n v="975"/>
    <s v="HCFM-0597"/>
    <s v="GM GHULAM DASTAGEER"/>
    <x v="18"/>
    <n v="1"/>
    <s v="PLAIN FRIES"/>
    <n v="250"/>
    <n v="37.5"/>
  </r>
  <r>
    <n v="976"/>
    <s v="HCFM-0597"/>
    <s v="GM GHULAM DASTAGEER"/>
    <x v="18"/>
    <n v="1"/>
    <s v="MINERAL WATER SMALL"/>
    <n v="100"/>
    <n v="15"/>
  </r>
  <r>
    <n v="977"/>
    <s v="HCFM-0654"/>
    <s v="SYED JIBRAN MUSHTAQ"/>
    <x v="18"/>
    <n v="2"/>
    <s v="CREAM OF MASHROOMS"/>
    <n v="900"/>
    <n v="135"/>
  </r>
  <r>
    <n v="978"/>
    <s v="HCFM-0670"/>
    <s v="MR. TEHSEEN FAIZ"/>
    <x v="18"/>
    <n v="1"/>
    <s v="PLAIN FRIES"/>
    <n v="250"/>
    <n v="37.5"/>
  </r>
  <r>
    <n v="979"/>
    <s v="HCFM-0641"/>
    <s v="AAMIR RASOOL"/>
    <x v="18"/>
    <n v="1"/>
    <s v="CLUB SANDWICH"/>
    <n v="1250"/>
    <n v="187.5"/>
  </r>
  <r>
    <n v="980"/>
    <s v="HCFM-0641"/>
    <s v="AAMIR RASOOL"/>
    <x v="18"/>
    <n v="2"/>
    <s v="MIX TEA"/>
    <n v="400"/>
    <n v="60"/>
  </r>
  <r>
    <n v="981"/>
    <s v="HCFM-0641"/>
    <s v="AAMIR RASOOL"/>
    <x v="18"/>
    <n v="1"/>
    <s v="MINERAL WATER LARGE"/>
    <n v="150"/>
    <n v="22.5"/>
  </r>
  <r>
    <n v="982"/>
    <s v="HCFM-0657"/>
    <s v="NASIR ABBAS"/>
    <x v="19"/>
    <n v="2"/>
    <s v="PANE CAKE"/>
    <n v="900"/>
    <n v="135"/>
  </r>
  <r>
    <n v="983"/>
    <s v="HCFM-0657"/>
    <s v="NASIR ABBAS"/>
    <x v="19"/>
    <n v="5"/>
    <s v="PAKISTANI OMELETTE"/>
    <n v="1500"/>
    <n v="225"/>
  </r>
  <r>
    <n v="984"/>
    <s v="HCFM-0657"/>
    <s v="NASIR ABBAS"/>
    <x v="19"/>
    <n v="2"/>
    <s v="CHEESE OMELETTE"/>
    <n v="900"/>
    <n v="135"/>
  </r>
  <r>
    <n v="985"/>
    <s v="HCFM-0657"/>
    <s v="NASIR ABBAS"/>
    <x v="19"/>
    <n v="8"/>
    <s v="PURI PARATHA"/>
    <n v="1200"/>
    <n v="180"/>
  </r>
  <r>
    <n v="986"/>
    <s v="HCFM-0657"/>
    <s v="NASIR ABBAS"/>
    <x v="19"/>
    <n v="5"/>
    <s v="MIX TEA"/>
    <n v="1000"/>
    <n v="150"/>
  </r>
  <r>
    <n v="987"/>
    <s v="HCFM-0657"/>
    <s v="NASIR ABBAS"/>
    <x v="19"/>
    <n v="5"/>
    <s v="SAUSAGES"/>
    <n v="2000"/>
    <n v="300"/>
  </r>
  <r>
    <n v="988"/>
    <s v="HCFM-0657"/>
    <s v="NASIR ABBAS"/>
    <x v="19"/>
    <n v="1"/>
    <s v="MINERAL WATER LARGE"/>
    <n v="150"/>
    <n v="22.5"/>
  </r>
  <r>
    <n v="989"/>
    <s v="HCFM-0524"/>
    <s v="MR.MANOJ KUMAR"/>
    <x v="19"/>
    <n v="1"/>
    <s v="MINERAL WATER LARGE"/>
    <n v="150"/>
    <n v="22.5"/>
  </r>
  <r>
    <n v="990"/>
    <s v="HCFM-0524"/>
    <s v="MR.MANOJ KUMAR"/>
    <x v="19"/>
    <n v="1"/>
    <s v="HC BUTTERFLY PRAWNS"/>
    <n v="1700"/>
    <n v="255"/>
  </r>
  <r>
    <n v="991"/>
    <s v="HCFM-0524"/>
    <s v="MR.MANOJ KUMAR"/>
    <x v="19"/>
    <n v="1"/>
    <s v="CHICKEN KARAHI"/>
    <n v="900"/>
    <n v="135"/>
  </r>
  <r>
    <n v="992"/>
    <s v="HCFM-0524"/>
    <s v="MR.MANOJ KUMAR"/>
    <x v="19"/>
    <n v="1"/>
    <s v="FRESH GARDEN SALAD"/>
    <n v="800"/>
    <n v="120"/>
  </r>
  <r>
    <n v="993"/>
    <s v="HCFM-0524"/>
    <s v="MR.MANOJ KUMAR"/>
    <x v="19"/>
    <n v="2"/>
    <s v="PLAIN NAAN"/>
    <n v="140"/>
    <n v="21"/>
  </r>
  <r>
    <n v="994"/>
    <s v="HCFM-0524"/>
    <s v="MR.MANOJ KUMAR"/>
    <x v="19"/>
    <n v="2"/>
    <s v="GARLIC NAAN"/>
    <n v="260"/>
    <n v="39"/>
  </r>
  <r>
    <n v="995"/>
    <s v="HCFM-0524"/>
    <s v="MR.MANOJ KUMAR"/>
    <x v="19"/>
    <n v="1"/>
    <s v="RAITA"/>
    <n v="200"/>
    <n v="30"/>
  </r>
  <r>
    <n v="996"/>
    <s v="HCFM-0543"/>
    <s v="MR.MUHAMMAD ATIF USMANI"/>
    <x v="19"/>
    <n v="1"/>
    <s v="HOT N SOUR SOUP"/>
    <n v="350"/>
    <n v="52.5"/>
  </r>
  <r>
    <n v="997"/>
    <s v="HCFM-0543"/>
    <s v="MR.MUHAMMAD ATIF USMANI"/>
    <x v="19"/>
    <n v="1"/>
    <s v="SHISH TAOUK"/>
    <n v="1200"/>
    <n v="180"/>
  </r>
  <r>
    <n v="998"/>
    <s v="HCFM-0543"/>
    <s v="MR.MUHAMMAD ATIF USMANI"/>
    <x v="19"/>
    <n v="2"/>
    <s v="PLAIN NAAN"/>
    <n v="140"/>
    <n v="21"/>
  </r>
  <r>
    <n v="999"/>
    <s v="HCFM-0543"/>
    <s v="MR.MUHAMMAD ATIF USMANI"/>
    <x v="19"/>
    <n v="1"/>
    <s v="MINERAL WATER LARGE"/>
    <n v="150"/>
    <n v="22.5"/>
  </r>
  <r>
    <n v="1000"/>
    <s v="HCFM-0520"/>
    <s v="MR.NIZAM UDDIN NIZAMANI"/>
    <x v="19"/>
    <n v="1"/>
    <s v="CHINESE SZECHUAN SOUP"/>
    <n v="350"/>
    <n v="52.5"/>
  </r>
  <r>
    <n v="1001"/>
    <s v="HCFM-0520"/>
    <s v="MR.NIZAM UDDIN NIZAMANI"/>
    <x v="19"/>
    <n v="1"/>
    <s v="FRESH GARDEN SALAD"/>
    <n v="800"/>
    <n v="120"/>
  </r>
  <r>
    <n v="1002"/>
    <s v="HCFM-0520"/>
    <s v="MR.NIZAM UDDIN NIZAMANI"/>
    <x v="19"/>
    <n v="3"/>
    <s v="PLAIN NAAN"/>
    <n v="210"/>
    <n v="31.5"/>
  </r>
  <r>
    <n v="1003"/>
    <s v="HCFM-0520"/>
    <s v="MR.NIZAM UDDIN NIZAMANI"/>
    <x v="19"/>
    <n v="1"/>
    <s v="SHISH TAOUK"/>
    <n v="1200"/>
    <n v="180"/>
  </r>
  <r>
    <n v="1004"/>
    <s v="HCFM-0520"/>
    <s v="MR.NIZAM UDDIN NIZAMANI"/>
    <x v="19"/>
    <n v="1"/>
    <s v="RAITA"/>
    <n v="200"/>
    <n v="30"/>
  </r>
  <r>
    <n v="1005"/>
    <s v="HCFM-0654"/>
    <s v="SYED JIBRAN MUSHTAQ"/>
    <x v="19"/>
    <n v="1"/>
    <s v="CHICKEN KARAHI"/>
    <n v="900"/>
    <n v="135"/>
  </r>
  <r>
    <n v="1006"/>
    <s v="HCFM-0654"/>
    <s v="SYED JIBRAN MUSHTAQ"/>
    <x v="19"/>
    <n v="1"/>
    <s v="BEEF SEEKH KABAB"/>
    <n v="1200"/>
    <n v="180"/>
  </r>
  <r>
    <n v="1007"/>
    <s v="HCFM-0654"/>
    <s v="SYED JIBRAN MUSHTAQ"/>
    <x v="19"/>
    <n v="3"/>
    <s v="PLAIN NAAN"/>
    <n v="210"/>
    <n v="31.5"/>
  </r>
  <r>
    <n v="1008"/>
    <s v="HCFM-0678"/>
    <s v="MR. AIJAZ ALI BALOCH"/>
    <x v="19"/>
    <n v="2"/>
    <s v="MALAI BOTI"/>
    <n v="2300"/>
    <n v="345"/>
  </r>
  <r>
    <n v="1009"/>
    <s v="HCFM-0678"/>
    <s v="MR. AIJAZ ALI BALOCH"/>
    <x v="19"/>
    <n v="2"/>
    <s v="SHISH TAOUK"/>
    <n v="2400"/>
    <n v="360"/>
  </r>
  <r>
    <n v="1010"/>
    <s v="HCFM-0678"/>
    <s v="MR. AIJAZ ALI BALOCH"/>
    <x v="19"/>
    <n v="2"/>
    <s v="BEEF SEEKH KABAB"/>
    <n v="2400"/>
    <n v="360"/>
  </r>
  <r>
    <n v="1011"/>
    <s v="HCFM-0678"/>
    <s v="MR. AIJAZ ALI BALOCH"/>
    <x v="19"/>
    <n v="2"/>
    <s v="RESHMI SEEKH KABAB"/>
    <n v="1998"/>
    <n v="299.7"/>
  </r>
  <r>
    <n v="1012"/>
    <s v="HCFM-0678"/>
    <s v="MR. AIJAZ ALI BALOCH"/>
    <x v="19"/>
    <n v="1"/>
    <s v="MADRASI HANDI"/>
    <n v="900"/>
    <n v="135"/>
  </r>
  <r>
    <n v="1013"/>
    <s v="HCFM-0678"/>
    <s v="MR. AIJAZ ALI BALOCH"/>
    <x v="19"/>
    <n v="2"/>
    <s v="CHICKEN KARAHI"/>
    <n v="1800"/>
    <n v="270"/>
  </r>
  <r>
    <n v="1014"/>
    <s v="HCFM-0678"/>
    <s v="MR. AIJAZ ALI BALOCH"/>
    <x v="19"/>
    <n v="1"/>
    <s v="MUGHLAI HANDI"/>
    <n v="1300"/>
    <n v="195"/>
  </r>
  <r>
    <n v="1015"/>
    <s v="HCFM-0678"/>
    <s v="MR. AIJAZ ALI BALOCH"/>
    <x v="19"/>
    <n v="3"/>
    <s v="ZINGER BURGER"/>
    <n v="2100"/>
    <n v="315"/>
  </r>
  <r>
    <n v="1016"/>
    <s v="HCFM-0678"/>
    <s v="MR. AIJAZ ALI BALOCH"/>
    <x v="19"/>
    <n v="5"/>
    <s v="PLAIN NAAN"/>
    <n v="350"/>
    <n v="52.5"/>
  </r>
  <r>
    <n v="1017"/>
    <s v="HCFM-0678"/>
    <s v="MR. AIJAZ ALI BALOCH"/>
    <x v="19"/>
    <n v="5"/>
    <s v="GARLIC NAAN"/>
    <n v="650"/>
    <n v="97.5"/>
  </r>
  <r>
    <n v="1018"/>
    <s v="HCFM-0678"/>
    <s v="MR. AIJAZ ALI BALOCH"/>
    <x v="19"/>
    <n v="2"/>
    <s v="RAITA"/>
    <n v="400"/>
    <n v="60"/>
  </r>
  <r>
    <n v="1019"/>
    <s v="HCFM-0678"/>
    <s v="MR. AIJAZ ALI BALOCH"/>
    <x v="19"/>
    <n v="2"/>
    <s v="FRESH GARDEN SALAD"/>
    <n v="1600"/>
    <n v="240"/>
  </r>
  <r>
    <n v="1020"/>
    <s v="HCFM-0678"/>
    <s v="MR. AIJAZ ALI BALOCH"/>
    <x v="19"/>
    <n v="3"/>
    <s v="MINT LEMONADE"/>
    <n v="1050"/>
    <n v="157.5"/>
  </r>
  <r>
    <n v="1021"/>
    <s v="HCFM-0678"/>
    <s v="MR. AIJAZ ALI BALOCH"/>
    <x v="19"/>
    <n v="4"/>
    <s v="SOFT DRINKS"/>
    <n v="600"/>
    <n v="90"/>
  </r>
  <r>
    <n v="1022"/>
    <s v="HCFM-0678"/>
    <s v="MR. AIJAZ ALI BALOCH"/>
    <x v="19"/>
    <n v="2"/>
    <s v="MINERAL WATER LARGE"/>
    <n v="300"/>
    <n v="45"/>
  </r>
  <r>
    <n v="1023"/>
    <s v="HCFM-0678"/>
    <s v="MR. AIJAZ ALI BALOCH"/>
    <x v="19"/>
    <n v="4"/>
    <s v="PLAIN NAAN"/>
    <n v="280"/>
    <n v="42"/>
  </r>
  <r>
    <n v="1024"/>
    <s v="HCFM-0521"/>
    <s v="MR.HAFEEZ AHMED SIYAL"/>
    <x v="19"/>
    <n v="1"/>
    <s v="CLUB SANDWICH"/>
    <n v="1250"/>
    <n v="187.5"/>
  </r>
  <r>
    <n v="1025"/>
    <s v="HCFM-0521"/>
    <s v="MR.HAFEEZ AHMED SIYAL"/>
    <x v="19"/>
    <n v="3"/>
    <s v="CHINESE SZECHUAN SOUP"/>
    <n v="1050"/>
    <n v="157.5"/>
  </r>
  <r>
    <n v="1026"/>
    <s v="HCFM-0521"/>
    <s v="MR.HAFEEZ AHMED SIYAL"/>
    <x v="19"/>
    <n v="1"/>
    <s v="MINERAL WATER LARGE"/>
    <n v="150"/>
    <n v="22.5"/>
  </r>
  <r>
    <n v="1027"/>
    <s v="HCFM-0549"/>
    <s v="MR.WAQAR UDDIN"/>
    <x v="19"/>
    <n v="3"/>
    <s v="CHICKEN HANDI"/>
    <n v="3000"/>
    <n v="450"/>
  </r>
  <r>
    <n v="1028"/>
    <s v="HCFM-0549"/>
    <s v="MR.WAQAR UDDIN"/>
    <x v="19"/>
    <n v="3"/>
    <s v="HC SPECIAL MUTTON KARAHI"/>
    <n v="5400"/>
    <n v="810"/>
  </r>
  <r>
    <n v="1029"/>
    <s v="HCFM-0549"/>
    <s v="MR.WAQAR UDDIN"/>
    <x v="19"/>
    <n v="3"/>
    <s v="VEGETABLE FRIED RICE"/>
    <n v="900"/>
    <n v="135"/>
  </r>
  <r>
    <n v="1030"/>
    <s v="HCFM-0549"/>
    <s v="MR.WAQAR UDDIN"/>
    <x v="19"/>
    <n v="3"/>
    <s v="DRY BEEF CHILLI"/>
    <n v="2997"/>
    <n v="449.55"/>
  </r>
  <r>
    <n v="1031"/>
    <s v="HCFM-0549"/>
    <s v="MR.WAQAR UDDIN"/>
    <x v="19"/>
    <n v="3"/>
    <s v="MINERAL WATER LARGE"/>
    <n v="450"/>
    <n v="67.5"/>
  </r>
  <r>
    <n v="1032"/>
    <s v="HCFM-0549"/>
    <s v="MR.WAQAR UDDIN"/>
    <x v="19"/>
    <n v="2"/>
    <s v="FINGER FISH N CHIPS"/>
    <n v="2500"/>
    <n v="375"/>
  </r>
  <r>
    <n v="1033"/>
    <s v="HCFM-0549"/>
    <s v="MR.WAQAR UDDIN"/>
    <x v="19"/>
    <n v="8"/>
    <s v="PLAIN NAAN"/>
    <n v="560"/>
    <n v="84"/>
  </r>
  <r>
    <n v="1034"/>
    <s v="HCFM-0598"/>
    <s v="DGM FATIMA ZAHID"/>
    <x v="19"/>
    <n v="1"/>
    <s v="GRILLED CHICKEN SANDWICH"/>
    <n v="575"/>
    <n v="86.25"/>
  </r>
  <r>
    <n v="1035"/>
    <s v="HCFM-0598"/>
    <s v="DGM FATIMA ZAHID"/>
    <x v="19"/>
    <n v="1"/>
    <s v="FINGER FISH N CHIPS"/>
    <n v="1250"/>
    <n v="187.5"/>
  </r>
  <r>
    <n v="1036"/>
    <s v="HCFM-0598"/>
    <s v="DGM FATIMA ZAHID"/>
    <x v="19"/>
    <n v="2"/>
    <s v="PIZZA FRIES HALF"/>
    <n v="500"/>
    <n v="75"/>
  </r>
  <r>
    <n v="1037"/>
    <s v="HCFM-0598"/>
    <s v="DGM FATIMA ZAHID"/>
    <x v="19"/>
    <n v="1"/>
    <s v="PANE CAKE"/>
    <n v="450"/>
    <n v="67.5"/>
  </r>
  <r>
    <n v="1038"/>
    <s v="HCFM-0598"/>
    <s v="DGM FATIMA ZAHID"/>
    <x v="19"/>
    <n v="1"/>
    <s v="SOFT DRINKS"/>
    <n v="150"/>
    <n v="22.5"/>
  </r>
  <r>
    <n v="1039"/>
    <s v="HCFM-0598"/>
    <s v="DGM FATIMA ZAHID"/>
    <x v="19"/>
    <n v="2"/>
    <s v="COFFEE CAPPUCINO"/>
    <n v="700"/>
    <n v="105"/>
  </r>
  <r>
    <n v="1040"/>
    <s v="HCFM-0598"/>
    <s v="DGM FATIMA ZAHID"/>
    <x v="19"/>
    <n v="1"/>
    <s v="MIX TEA"/>
    <n v="200"/>
    <n v="30"/>
  </r>
  <r>
    <n v="1041"/>
    <s v="HCFM-0541"/>
    <s v="MR.SHAN ELAHI SEHGAL"/>
    <x v="19"/>
    <n v="1"/>
    <s v="MINERAL WATER LARGE"/>
    <n v="150"/>
    <n v="22.5"/>
  </r>
  <r>
    <n v="1042"/>
    <s v="HCFM-0541"/>
    <s v="MR.SHAN ELAHI SEHGAL"/>
    <x v="19"/>
    <n v="3"/>
    <s v="MIX TEA"/>
    <n v="600"/>
    <n v="90"/>
  </r>
  <r>
    <n v="1043"/>
    <s v="HCFM-0541"/>
    <s v="MR.SHAN ELAHI SEHGAL"/>
    <x v="19"/>
    <n v="2"/>
    <s v="CLUB SANDWICH"/>
    <n v="2500"/>
    <n v="375"/>
  </r>
  <r>
    <n v="1044"/>
    <s v="HCFM-0541"/>
    <s v="MR.SHAN ELAHI SEHGAL"/>
    <x v="19"/>
    <n v="1"/>
    <s v="MIX TEA"/>
    <n v="200"/>
    <n v="30"/>
  </r>
  <r>
    <n v="1045"/>
    <s v="HCFM-0541"/>
    <s v="MR.SHAN ELAHI SEHGAL"/>
    <x v="19"/>
    <n v="2"/>
    <s v="SOFT DRINKS"/>
    <n v="300"/>
    <n v="45"/>
  </r>
  <r>
    <n v="1046"/>
    <s v="HCFM-0641"/>
    <s v="AAMIR RASOOL"/>
    <x v="19"/>
    <n v="1"/>
    <s v="CLUB SANDWICH"/>
    <n v="1250"/>
    <n v="187.5"/>
  </r>
  <r>
    <n v="1047"/>
    <s v="HCFM-0641"/>
    <s v="AAMIR RASOOL"/>
    <x v="19"/>
    <n v="1"/>
    <s v="CHICKEN DYNAMITE"/>
    <n v="850"/>
    <n v="127.5"/>
  </r>
  <r>
    <n v="1048"/>
    <s v="HCFM-0641"/>
    <s v="AAMIR RASOOL"/>
    <x v="19"/>
    <n v="2"/>
    <s v="MINERAL WATER LARGE"/>
    <n v="300"/>
    <n v="45"/>
  </r>
  <r>
    <n v="1049"/>
    <s v="HCFM-0654"/>
    <s v="SYED JIBRAN MUSHTAQ"/>
    <x v="19"/>
    <n v="2"/>
    <s v="ZINGER BURGER"/>
    <n v="1400"/>
    <n v="210"/>
  </r>
  <r>
    <n v="1050"/>
    <s v="HCFM-0654"/>
    <s v="SYED JIBRAN MUSHTAQ"/>
    <x v="19"/>
    <n v="2"/>
    <s v="MINERAL WATER SMALL"/>
    <n v="200"/>
    <n v="30"/>
  </r>
  <r>
    <n v="1051"/>
    <s v="HCFM-0521"/>
    <s v="MR.HAFEEZ AHMED SIYAL"/>
    <x v="19"/>
    <n v="1"/>
    <s v="HC SPECIAL CHICKEN POPCORN"/>
    <n v="500"/>
    <n v="75"/>
  </r>
  <r>
    <n v="1052"/>
    <s v="HCFM-0684"/>
    <s v="MR. ZAMIR ALI SHAH"/>
    <x v="19"/>
    <n v="4"/>
    <s v="CORKAGE"/>
    <n v="4000"/>
    <n v="600"/>
  </r>
  <r>
    <n v="1053"/>
    <s v="HCFM-0545"/>
    <s v="MR. HASAN KARIM"/>
    <x v="19"/>
    <n v="2"/>
    <s v="MIX TEA"/>
    <n v="400"/>
    <n v="60"/>
  </r>
  <r>
    <n v="1054"/>
    <s v="HCFM-0545"/>
    <s v="MR. HASAN KARIM"/>
    <x v="19"/>
    <n v="1"/>
    <s v="PLAIN FRIES"/>
    <n v="250"/>
    <n v="37.5"/>
  </r>
  <r>
    <n v="1055"/>
    <s v="HCFM-0545"/>
    <s v="MR. HASAN KARIM"/>
    <x v="19"/>
    <n v="1"/>
    <s v="MINERAL WATER SMALL"/>
    <n v="100"/>
    <n v="15"/>
  </r>
  <r>
    <n v="1056"/>
    <s v="HCFM-0679"/>
    <s v="MR. ANEEL ZAHOOR"/>
    <x v="19"/>
    <n v="1"/>
    <s v="MINERAL WATER LARGE"/>
    <n v="150"/>
    <n v="22.5"/>
  </r>
  <r>
    <n v="1057"/>
    <s v="HCFM-0679"/>
    <s v="MR. ANEEL ZAHOOR"/>
    <x v="19"/>
    <n v="1"/>
    <s v="CLUB SANDWICH"/>
    <n v="1250"/>
    <n v="187.5"/>
  </r>
  <r>
    <n v="1058"/>
    <s v="HCFM-0679"/>
    <s v="MR. ANEEL ZAHOOR"/>
    <x v="19"/>
    <n v="1"/>
    <s v="MIX TEA"/>
    <n v="200"/>
    <n v="30"/>
  </r>
  <r>
    <n v="1059"/>
    <s v="HCFM-0679"/>
    <s v="MR. ANEEL ZAHOOR"/>
    <x v="19"/>
    <n v="2"/>
    <s v="SOFT DRINKS"/>
    <n v="300"/>
    <n v="45"/>
  </r>
  <r>
    <n v="1060"/>
    <s v="HCFM-0670"/>
    <s v="MR. TEHSEEN FAIZ"/>
    <x v="19"/>
    <n v="1"/>
    <s v="CLUB SANDWICH"/>
    <n v="1250"/>
    <n v="187.5"/>
  </r>
  <r>
    <n v="1061"/>
    <s v="HCFM-0670"/>
    <s v="MR. TEHSEEN FAIZ"/>
    <x v="19"/>
    <n v="1"/>
    <s v="PIZZA FRIES FULL"/>
    <n v="500"/>
    <n v="75"/>
  </r>
  <r>
    <n v="1062"/>
    <s v="HCFM-0641"/>
    <s v="AAMIR RASOOL"/>
    <x v="19"/>
    <n v="1"/>
    <s v="HC SPECIAL TIKKA"/>
    <n v="800"/>
    <n v="120"/>
  </r>
  <r>
    <n v="1063"/>
    <s v="HCFM-0641"/>
    <s v="AAMIR RASOOL"/>
    <x v="19"/>
    <n v="1"/>
    <s v="SHISH TAOUK"/>
    <n v="1200"/>
    <n v="180"/>
  </r>
  <r>
    <n v="1064"/>
    <s v="HCFM-0641"/>
    <s v="AAMIR RASOOL"/>
    <x v="19"/>
    <n v="1"/>
    <s v="MALAI BOTI"/>
    <n v="1150"/>
    <n v="172.5"/>
  </r>
  <r>
    <n v="1065"/>
    <s v="HCFM-0641"/>
    <s v="AAMIR RASOOL"/>
    <x v="19"/>
    <n v="1"/>
    <s v="MIX VEGETABLES"/>
    <n v="400"/>
    <n v="60"/>
  </r>
  <r>
    <n v="1066"/>
    <s v="HCFM-0641"/>
    <s v="AAMIR RASOOL"/>
    <x v="19"/>
    <n v="1"/>
    <s v="MUTTON KARAHI (RED/WHITE/GREEN)"/>
    <n v="1800"/>
    <n v="270"/>
  </r>
  <r>
    <n v="1067"/>
    <s v="HCFM-0641"/>
    <s v="AAMIR RASOOL"/>
    <x v="19"/>
    <n v="1"/>
    <s v="FRESH GARDEN SALAD"/>
    <n v="800"/>
    <n v="120"/>
  </r>
  <r>
    <n v="1068"/>
    <s v="HCFM-0641"/>
    <s v="AAMIR RASOOL"/>
    <x v="19"/>
    <n v="7"/>
    <s v="PLAIN NAAN"/>
    <n v="490"/>
    <n v="73.5"/>
  </r>
  <r>
    <n v="1069"/>
    <s v="HCFM-0641"/>
    <s v="AAMIR RASOOL"/>
    <x v="19"/>
    <n v="1"/>
    <s v="MINERAL WATER LARGE"/>
    <n v="150"/>
    <n v="22.5"/>
  </r>
  <r>
    <n v="1070"/>
    <s v="HCFM-0659"/>
    <s v="Heritage club"/>
    <x v="19"/>
    <n v="2"/>
    <s v="MINERAL WATER LARGE"/>
    <n v="300"/>
    <n v="45"/>
  </r>
  <r>
    <n v="1071"/>
    <s v="HCFM-0659"/>
    <s v="Heritage club"/>
    <x v="19"/>
    <n v="4"/>
    <s v="MIX TEA"/>
    <n v="800"/>
    <n v="120"/>
  </r>
  <r>
    <n v="1072"/>
    <s v="HCFM-0659"/>
    <s v="Heritage club"/>
    <x v="19"/>
    <n v="1"/>
    <s v="CHICKEN KARAHI"/>
    <n v="900"/>
    <n v="135"/>
  </r>
  <r>
    <n v="1073"/>
    <s v="HCFM-0659"/>
    <s v="Heritage club"/>
    <x v="19"/>
    <n v="5"/>
    <s v="PLAIN NAAN"/>
    <n v="350"/>
    <n v="52.5"/>
  </r>
  <r>
    <n v="1074"/>
    <s v="HCFM-0684"/>
    <s v="MR. ZAMIR ALI SHAH"/>
    <x v="19"/>
    <n v="3"/>
    <s v="MINERAL WATER LARGE"/>
    <n v="450"/>
    <n v="67.5"/>
  </r>
  <r>
    <n v="1075"/>
    <s v="HCFM-0684"/>
    <s v="MR. ZAMIR ALI SHAH"/>
    <x v="19"/>
    <n v="1"/>
    <s v="CHICKEN DYNAMITE"/>
    <n v="850"/>
    <n v="127.5"/>
  </r>
  <r>
    <n v="1076"/>
    <s v="HCFM-0684"/>
    <s v="MR. ZAMIR ALI SHAH"/>
    <x v="19"/>
    <n v="1"/>
    <s v="HC BUTTERFLY PRAWNS"/>
    <n v="1700"/>
    <n v="255"/>
  </r>
  <r>
    <n v="1077"/>
    <s v="HCFM-0684"/>
    <s v="MR. ZAMIR ALI SHAH"/>
    <x v="19"/>
    <n v="1"/>
    <s v="SHISH TAOUK"/>
    <n v="1200"/>
    <n v="180"/>
  </r>
  <r>
    <n v="1078"/>
    <s v="HCFM-0684"/>
    <s v="MR. ZAMIR ALI SHAH"/>
    <x v="19"/>
    <n v="1"/>
    <s v="BEEF BOTI"/>
    <n v="1200"/>
    <n v="180"/>
  </r>
  <r>
    <n v="1079"/>
    <s v="HCFM-0684"/>
    <s v="MR. ZAMIR ALI SHAH"/>
    <x v="19"/>
    <n v="2"/>
    <s v="MALAI BOTI"/>
    <n v="2300"/>
    <n v="345"/>
  </r>
  <r>
    <n v="1080"/>
    <s v="HCFM-0504"/>
    <s v="MR.BILAL AHMED"/>
    <x v="19"/>
    <n v="4"/>
    <s v="MIX TEA"/>
    <n v="800"/>
    <n v="120"/>
  </r>
  <r>
    <n v="1081"/>
    <s v="HCFM-0504"/>
    <s v="MR.BILAL AHMED"/>
    <x v="19"/>
    <n v="2"/>
    <s v="CLUB SANDWICH"/>
    <n v="2500"/>
    <n v="375"/>
  </r>
  <r>
    <n v="1082"/>
    <s v="HCFM-0504"/>
    <s v="MR.BILAL AHMED"/>
    <x v="19"/>
    <n v="4"/>
    <s v="MINERAL WATER SMALL"/>
    <n v="400"/>
    <n v="60"/>
  </r>
  <r>
    <n v="1083"/>
    <s v="HCFM-0545"/>
    <s v="MR. HASAN KARIM"/>
    <x v="19"/>
    <n v="1"/>
    <s v="MINERAL WATER SMALL"/>
    <n v="100"/>
    <n v="15"/>
  </r>
  <r>
    <n v="1084"/>
    <s v="HCFM-0545"/>
    <s v="MR. HASAN KARIM"/>
    <x v="19"/>
    <n v="1"/>
    <s v="HOT N SOUR SOUP"/>
    <n v="350"/>
    <n v="52.5"/>
  </r>
  <r>
    <n v="1085"/>
    <s v="HCFM-0506"/>
    <s v="MR.MUHAMMAD ARIF"/>
    <x v="19"/>
    <n v="1"/>
    <s v="MALAI BOTI"/>
    <n v="1150"/>
    <n v="172.5"/>
  </r>
  <r>
    <n v="1086"/>
    <s v="HCFM-0506"/>
    <s v="MR.MUHAMMAD ARIF"/>
    <x v="19"/>
    <n v="1"/>
    <s v="RESHMI SEEKH KABAB"/>
    <n v="999"/>
    <n v="149.85"/>
  </r>
  <r>
    <n v="1087"/>
    <s v="HCFM-0506"/>
    <s v="MR.MUHAMMAD ARIF"/>
    <x v="19"/>
    <n v="1"/>
    <s v="CHANDAN KABAB"/>
    <n v="1500"/>
    <n v="225"/>
  </r>
  <r>
    <n v="1088"/>
    <s v="HCFM-0506"/>
    <s v="MR.MUHAMMAD ARIF"/>
    <x v="19"/>
    <n v="1"/>
    <s v="SHISH TAOUK"/>
    <n v="1200"/>
    <n v="180"/>
  </r>
  <r>
    <n v="1089"/>
    <s v="HCFM-0506"/>
    <s v="MR.MUHAMMAD ARIF"/>
    <x v="19"/>
    <n v="1"/>
    <s v="CHICKEN HANDI"/>
    <n v="1000"/>
    <n v="150"/>
  </r>
  <r>
    <n v="1090"/>
    <s v="HCFM-0506"/>
    <s v="MR.MUHAMMAD ARIF"/>
    <x v="19"/>
    <n v="1"/>
    <s v="PIZZA FRIES FULL"/>
    <n v="500"/>
    <n v="75"/>
  </r>
  <r>
    <n v="1091"/>
    <s v="HCFM-0506"/>
    <s v="MR.MUHAMMAD ARIF"/>
    <x v="19"/>
    <n v="1"/>
    <s v="RAJASTANI BOTI"/>
    <n v="1050"/>
    <n v="157.5"/>
  </r>
  <r>
    <n v="1092"/>
    <s v="HCFM-0506"/>
    <s v="MR.MUHAMMAD ARIF"/>
    <x v="19"/>
    <n v="7"/>
    <s v="PLAIN NAAN"/>
    <n v="490"/>
    <n v="73.5"/>
  </r>
  <r>
    <n v="1093"/>
    <s v="HCFM-0506"/>
    <s v="MR.MUHAMMAD ARIF"/>
    <x v="19"/>
    <n v="1"/>
    <s v="FRESH GARDEN SALAD"/>
    <n v="800"/>
    <n v="120"/>
  </r>
  <r>
    <n v="1094"/>
    <s v="HCFM-0506"/>
    <s v="MR.MUHAMMAD ARIF"/>
    <x v="19"/>
    <n v="2"/>
    <s v="RAITA"/>
    <n v="400"/>
    <n v="60"/>
  </r>
  <r>
    <n v="1095"/>
    <s v="HCFM-0506"/>
    <s v="MR.MUHAMMAD ARIF"/>
    <x v="19"/>
    <n v="1"/>
    <s v="MINERAL WATER LARGE"/>
    <n v="150"/>
    <n v="22.5"/>
  </r>
  <r>
    <n v="1096"/>
    <s v="HCFM-0506"/>
    <s v="MR.MUHAMMAD ARIF"/>
    <x v="19"/>
    <n v="2"/>
    <s v="PLAIN NAAN"/>
    <n v="140"/>
    <n v="21"/>
  </r>
  <r>
    <n v="1097"/>
    <s v="HCFM-0506"/>
    <s v="MR.MUHAMMAD ARIF"/>
    <x v="19"/>
    <n v="6"/>
    <s v="COFFEE CAPPUCINO"/>
    <n v="2100"/>
    <n v="315"/>
  </r>
  <r>
    <n v="1098"/>
    <s v="HCFM-0545"/>
    <s v="MR. HASAN KARIM"/>
    <x v="19"/>
    <n v="1"/>
    <s v="GRILLED CHICKEN SANDWICH"/>
    <n v="575"/>
    <n v="86.25"/>
  </r>
  <r>
    <n v="1099"/>
    <s v="HCFM-0545"/>
    <s v="MR. HASAN KARIM"/>
    <x v="19"/>
    <n v="1"/>
    <s v="COFFEE CAPPUCINO"/>
    <n v="350"/>
    <n v="52.5"/>
  </r>
  <r>
    <n v="1100"/>
    <s v="HCFM-0545"/>
    <s v="MR. HASAN KARIM"/>
    <x v="19"/>
    <n v="1"/>
    <s v="MINERAL WATER SMALL"/>
    <n v="100"/>
    <n v="15"/>
  </r>
  <r>
    <n v="1101"/>
    <s v="HCFM-0540"/>
    <s v="MR.MUHAMMAD SALIQ SIDDIQUI"/>
    <x v="20"/>
    <n v="3"/>
    <s v="MINT LEMONADE"/>
    <n v="1050"/>
    <n v="157.5"/>
  </r>
  <r>
    <n v="1102"/>
    <s v="HCFM-0545"/>
    <s v="MR. HASAN KARIM"/>
    <x v="20"/>
    <n v="2"/>
    <s v="PLAIN FRIES"/>
    <n v="500"/>
    <n v="75"/>
  </r>
  <r>
    <n v="1103"/>
    <s v="HCFM-0545"/>
    <s v="MR. HASAN KARIM"/>
    <x v="20"/>
    <n v="1"/>
    <s v="FINGER FISH N CHIPS"/>
    <n v="1250"/>
    <n v="187.5"/>
  </r>
  <r>
    <n v="1104"/>
    <s v="HCFM-0545"/>
    <s v="MR. HASAN KARIM"/>
    <x v="20"/>
    <n v="2"/>
    <s v="CHICKEN KARAHI"/>
    <n v="1800"/>
    <n v="270"/>
  </r>
  <r>
    <n v="1105"/>
    <s v="HCFM-0545"/>
    <s v="MR. HASAN KARIM"/>
    <x v="20"/>
    <n v="1"/>
    <s v="CHILI DRY RICE"/>
    <n v="800"/>
    <n v="120"/>
  </r>
  <r>
    <n v="1106"/>
    <s v="HCFM-0545"/>
    <s v="MR. HASAN KARIM"/>
    <x v="20"/>
    <n v="1"/>
    <s v="SEASONAL VEGETABLE MASALA"/>
    <n v="400"/>
    <n v="60"/>
  </r>
  <r>
    <n v="1107"/>
    <s v="HCFM-0545"/>
    <s v="MR. HASAN KARIM"/>
    <x v="20"/>
    <n v="1"/>
    <s v="GARLIC NAAN"/>
    <n v="130"/>
    <n v="19.5"/>
  </r>
  <r>
    <n v="1108"/>
    <s v="HCFM-0545"/>
    <s v="MR. HASAN KARIM"/>
    <x v="20"/>
    <n v="8"/>
    <s v="PLAIN NAAN"/>
    <n v="560"/>
    <n v="84"/>
  </r>
  <r>
    <n v="1109"/>
    <s v="HCFM-0545"/>
    <s v="MR. HASAN KARIM"/>
    <x v="20"/>
    <n v="2"/>
    <s v="MINERAL WATER LARGE"/>
    <n v="300"/>
    <n v="45"/>
  </r>
  <r>
    <n v="1110"/>
    <s v="HCFM-0545"/>
    <s v="MR. HASAN KARIM"/>
    <x v="20"/>
    <n v="4"/>
    <s v="MINERAL WATER SMALL"/>
    <n v="400"/>
    <n v="60"/>
  </r>
  <r>
    <n v="1111"/>
    <s v="HCFM-0545"/>
    <s v="MR. HASAN KARIM"/>
    <x v="20"/>
    <n v="1"/>
    <s v="COFFEE CAPPUCINO"/>
    <n v="350"/>
    <n v="52.5"/>
  </r>
  <r>
    <n v="1112"/>
    <s v="HCFM-0545"/>
    <s v="MR. HASAN KARIM"/>
    <x v="20"/>
    <n v="1"/>
    <s v="CREAM CARAMEL"/>
    <n v="350"/>
    <n v="52.5"/>
  </r>
  <r>
    <n v="1113"/>
    <s v="HCFM-0545"/>
    <s v="MR. HASAN KARIM"/>
    <x v="20"/>
    <n v="3"/>
    <s v="FRESH LEM"/>
    <n v="600"/>
    <n v="90"/>
  </r>
  <r>
    <n v="1114"/>
    <s v="HCFM-0545"/>
    <s v="MR. HASAN KARIM"/>
    <x v="20"/>
    <n v="1"/>
    <s v="SOFT DRINKS"/>
    <n v="150"/>
    <n v="22.5"/>
  </r>
  <r>
    <n v="1115"/>
    <s v="HCFM-0642"/>
    <s v="ASIF ASHFAQ"/>
    <x v="20"/>
    <n v="2"/>
    <s v="MINERAL WATER LARGE"/>
    <n v="300"/>
    <n v="45"/>
  </r>
  <r>
    <n v="1116"/>
    <s v="HCFM-0642"/>
    <s v="ASIF ASHFAQ"/>
    <x v="20"/>
    <n v="1"/>
    <s v="MIX TEA"/>
    <n v="200"/>
    <n v="30"/>
  </r>
  <r>
    <n v="1117"/>
    <s v="HCFM-0609"/>
    <s v="DR.NASEEM MUNSHI"/>
    <x v="20"/>
    <n v="3"/>
    <s v="CLUB SANDWICH"/>
    <n v="3750"/>
    <n v="562.5"/>
  </r>
  <r>
    <n v="1118"/>
    <s v="HCFM-0609"/>
    <s v="DR.NASEEM MUNSHI"/>
    <x v="20"/>
    <n v="1"/>
    <s v="CHICKEN CHEESE BURGER"/>
    <n v="750"/>
    <n v="112.5"/>
  </r>
  <r>
    <n v="1119"/>
    <s v="HCFM-0669"/>
    <s v="MR . SYED RAHAT HUSSAIN ZAIDI"/>
    <x v="20"/>
    <n v="3"/>
    <s v="PASTA"/>
    <n v="3600"/>
    <n v="540"/>
  </r>
  <r>
    <n v="1120"/>
    <s v="HCFM-0669"/>
    <s v="MR . SYED RAHAT HUSSAIN ZAIDI"/>
    <x v="20"/>
    <n v="5"/>
    <s v="GRILLED CHICKEN SANDWICH"/>
    <n v="2875"/>
    <n v="431.25"/>
  </r>
  <r>
    <n v="1121"/>
    <s v="HCFM-0669"/>
    <s v="MR . SYED RAHAT HUSSAIN ZAIDI"/>
    <x v="20"/>
    <n v="33"/>
    <s v="PLAIN FRIES"/>
    <n v="8250"/>
    <n v="1237.5"/>
  </r>
  <r>
    <n v="1122"/>
    <s v="HCFM-0669"/>
    <s v="MR . SYED RAHAT HUSSAIN ZAIDI"/>
    <x v="20"/>
    <n v="20"/>
    <s v="MIX TEA"/>
    <n v="4000"/>
    <n v="600"/>
  </r>
  <r>
    <n v="1123"/>
    <s v="HCFM-0669"/>
    <s v="MR . SYED RAHAT HUSSAIN ZAIDI"/>
    <x v="20"/>
    <n v="4"/>
    <s v="SOFT DRINKS"/>
    <n v="600"/>
    <n v="90"/>
  </r>
  <r>
    <n v="1124"/>
    <s v="HCFM-0521"/>
    <s v="MR.HAFEEZ AHMED SIYAL"/>
    <x v="20"/>
    <n v="1"/>
    <s v="CHINESE SZECHUAN SOUP"/>
    <n v="350"/>
    <n v="52.5"/>
  </r>
  <r>
    <n v="1125"/>
    <s v="HCFM-0521"/>
    <s v="MR.HAFEEZ AHMED SIYAL"/>
    <x v="20"/>
    <n v="1"/>
    <s v="HC SPECIAL CHICKEN POPCORN"/>
    <n v="500"/>
    <n v="75"/>
  </r>
  <r>
    <n v="1126"/>
    <s v="HCFM-0521"/>
    <s v="MR.HAFEEZ AHMED SIYAL"/>
    <x v="20"/>
    <n v="1"/>
    <s v="GRILLED CHICKEN SANDWICH"/>
    <n v="575"/>
    <n v="86.25"/>
  </r>
  <r>
    <n v="1127"/>
    <s v="HCFM-0521"/>
    <s v="MR.HAFEEZ AHMED SIYAL"/>
    <x v="20"/>
    <n v="1"/>
    <s v="MINT LEMONADE"/>
    <n v="350"/>
    <n v="52.5"/>
  </r>
  <r>
    <n v="1128"/>
    <s v="HCFM-0591"/>
    <s v="COL.AMIR RAZA"/>
    <x v="20"/>
    <n v="1"/>
    <s v="MUTTON SHINWARI KARAHI"/>
    <n v="1800"/>
    <n v="270"/>
  </r>
  <r>
    <n v="1129"/>
    <s v="HCFM-0591"/>
    <s v="COL.AMIR RAZA"/>
    <x v="20"/>
    <n v="2"/>
    <s v="CHICKEN CHEESE BURGER"/>
    <n v="1500"/>
    <n v="225"/>
  </r>
  <r>
    <n v="1130"/>
    <s v="HCFM-0591"/>
    <s v="COL.AMIR RAZA"/>
    <x v="20"/>
    <n v="1"/>
    <s v="RESHMI SEEKH KABAB"/>
    <n v="999"/>
    <n v="149.85"/>
  </r>
  <r>
    <n v="1131"/>
    <s v="HCFM-0591"/>
    <s v="COL.AMIR RAZA"/>
    <x v="20"/>
    <n v="1"/>
    <s v="BEEF BOTI"/>
    <n v="1200"/>
    <n v="180"/>
  </r>
  <r>
    <n v="1132"/>
    <s v="HCFM-0591"/>
    <s v="COL.AMIR RAZA"/>
    <x v="20"/>
    <n v="1"/>
    <s v="DRY BEEF CHILLI"/>
    <n v="999"/>
    <n v="149.85"/>
  </r>
  <r>
    <n v="1133"/>
    <s v="HCFM-0591"/>
    <s v="COL.AMIR RAZA"/>
    <x v="20"/>
    <n v="6"/>
    <s v="PLAIN NAAN"/>
    <n v="420"/>
    <n v="63"/>
  </r>
  <r>
    <n v="1134"/>
    <s v="HCFM-0591"/>
    <s v="COL.AMIR RAZA"/>
    <x v="20"/>
    <n v="2"/>
    <s v="SOFT DRINKS"/>
    <n v="300"/>
    <n v="45"/>
  </r>
  <r>
    <n v="1135"/>
    <s v="HCFM-0591"/>
    <s v="COL.AMIR RAZA"/>
    <x v="20"/>
    <n v="1"/>
    <s v="MINERAL WATER LARGE"/>
    <n v="150"/>
    <n v="22.5"/>
  </r>
  <r>
    <n v="1136"/>
    <s v="HCFM-0536"/>
    <s v="MR.ASHOK KUMAR"/>
    <x v="20"/>
    <n v="1"/>
    <s v="MINERAL WATER LARGE"/>
    <n v="150"/>
    <n v="22.5"/>
  </r>
  <r>
    <n v="1137"/>
    <s v="HCFM-0536"/>
    <s v="MR.ASHOK KUMAR"/>
    <x v="20"/>
    <n v="1"/>
    <s v="MIX TEA"/>
    <n v="200"/>
    <n v="30"/>
  </r>
  <r>
    <n v="1138"/>
    <s v="HCFM-0536"/>
    <s v="MR.ASHOK KUMAR"/>
    <x v="20"/>
    <n v="4"/>
    <s v="LATTE COFFEE"/>
    <n v="1400"/>
    <n v="210"/>
  </r>
  <r>
    <n v="1139"/>
    <s v="HCFM-0684"/>
    <s v="MR. ZAMIR ALI SHAH"/>
    <x v="20"/>
    <n v="2"/>
    <s v="MINERAL WATER SMALL"/>
    <n v="200"/>
    <n v="30"/>
  </r>
  <r>
    <n v="1140"/>
    <s v="HCFM-0684"/>
    <s v="MR. ZAMIR ALI SHAH"/>
    <x v="20"/>
    <n v="1"/>
    <s v="MEDITERRANEAN GRILLED FISH"/>
    <n v="1100"/>
    <n v="165"/>
  </r>
  <r>
    <n v="1141"/>
    <s v="HCFM-0684"/>
    <s v="MR. ZAMIR ALI SHAH"/>
    <x v="20"/>
    <n v="1"/>
    <s v="MUTTON KARAHI (RED/WHITE/GREEN)"/>
    <n v="1800"/>
    <n v="270"/>
  </r>
  <r>
    <n v="1142"/>
    <s v="HCFM-0684"/>
    <s v="MR. ZAMIR ALI SHAH"/>
    <x v="20"/>
    <n v="2"/>
    <s v="GARLIC NAAN"/>
    <n v="260"/>
    <n v="39"/>
  </r>
  <r>
    <n v="1143"/>
    <s v="HCFM-0684"/>
    <s v="MR. ZAMIR ALI SHAH"/>
    <x v="20"/>
    <n v="2"/>
    <s v="PLAIN NAAN"/>
    <n v="140"/>
    <n v="21"/>
  </r>
  <r>
    <n v="1144"/>
    <s v="HCFM-0684"/>
    <s v="MR. ZAMIR ALI SHAH"/>
    <x v="20"/>
    <n v="2"/>
    <s v="CREAM CARAMEL"/>
    <n v="700"/>
    <n v="105"/>
  </r>
  <r>
    <n v="1145"/>
    <s v="HCFM-0545"/>
    <s v="MR. HASAN KARIM"/>
    <x v="20"/>
    <n v="1"/>
    <s v="MINERAL WATER SMALL"/>
    <n v="100"/>
    <n v="15"/>
  </r>
  <r>
    <n v="1146"/>
    <s v="HCFM-0672"/>
    <s v="MRS RIFFAT ZULFIQAR"/>
    <x v="20"/>
    <n v="2"/>
    <s v="CREAM OF MASHROOM SOUP"/>
    <n v="800"/>
    <n v="120"/>
  </r>
  <r>
    <n v="1147"/>
    <s v="HCFM-0672"/>
    <s v="MRS RIFFAT ZULFIQAR"/>
    <x v="20"/>
    <n v="1"/>
    <s v="MUTTON SHINWARI KARAHI"/>
    <n v="1800"/>
    <n v="270"/>
  </r>
  <r>
    <n v="1148"/>
    <s v="HCFM-0672"/>
    <s v="MRS RIFFAT ZULFIQAR"/>
    <x v="20"/>
    <n v="1"/>
    <s v="SHISH TAOUK"/>
    <n v="1200"/>
    <n v="180"/>
  </r>
  <r>
    <n v="1149"/>
    <s v="HCFM-0672"/>
    <s v="MRS RIFFAT ZULFIQAR"/>
    <x v="20"/>
    <n v="2"/>
    <s v="GARLIC NAAN"/>
    <n v="260"/>
    <n v="39"/>
  </r>
  <r>
    <n v="1150"/>
    <s v="HCFM-0672"/>
    <s v="MRS RIFFAT ZULFIQAR"/>
    <x v="20"/>
    <n v="1"/>
    <s v="PLAIN NAAN"/>
    <n v="70"/>
    <n v="10.5"/>
  </r>
  <r>
    <n v="1151"/>
    <s v="HCFM-0672"/>
    <s v="MRS RIFFAT ZULFIQAR"/>
    <x v="20"/>
    <n v="2"/>
    <s v="MINERAL WATER SMALL"/>
    <n v="200"/>
    <n v="30"/>
  </r>
  <r>
    <n v="1152"/>
    <s v="HCFM-0585"/>
    <s v="DGM AMJAD ALI SHAIKH"/>
    <x v="20"/>
    <n v="1"/>
    <s v="MINERAL WATER SMALL"/>
    <n v="100"/>
    <n v="15"/>
  </r>
  <r>
    <n v="1153"/>
    <s v="HCFM-0585"/>
    <s v="DGM AMJAD ALI SHAIKH"/>
    <x v="20"/>
    <n v="1"/>
    <s v="SINGAPOREAN FRIED RICE"/>
    <n v="1000"/>
    <n v="150"/>
  </r>
  <r>
    <n v="1154"/>
    <s v="HCFM-0585"/>
    <s v="DGM AMJAD ALI SHAIKH"/>
    <x v="20"/>
    <n v="1"/>
    <s v="CHICKEN ROULADE"/>
    <n v="850"/>
    <n v="127.5"/>
  </r>
  <r>
    <n v="1155"/>
    <s v="HCFM-0585"/>
    <s v="DGM AMJAD ALI SHAIKH"/>
    <x v="20"/>
    <n v="1"/>
    <s v="CLUB SANDWICH"/>
    <n v="1250"/>
    <n v="187.5"/>
  </r>
  <r>
    <n v="1156"/>
    <s v="HCFM-0585"/>
    <s v="DGM AMJAD ALI SHAIKH"/>
    <x v="20"/>
    <n v="1"/>
    <s v="HC SPECIAL MUTTON KARAHI"/>
    <n v="1800"/>
    <n v="270"/>
  </r>
  <r>
    <n v="1157"/>
    <s v="HCFM-0642"/>
    <s v="ASIF ASHFAQ"/>
    <x v="20"/>
    <n v="50"/>
    <s v="BUFFET BRUNCH"/>
    <n v="190000"/>
    <n v="28500"/>
  </r>
  <r>
    <n v="1158"/>
    <s v="HCFM-0642"/>
    <s v="ASIF ASHFAQ"/>
    <x v="20"/>
    <n v="13"/>
    <s v="MINERAL WATER LARGE"/>
    <n v="1950"/>
    <n v="292.5"/>
  </r>
  <r>
    <n v="1159"/>
    <s v="HCFM-0642"/>
    <s v="ASIF ASHFAQ"/>
    <x v="20"/>
    <n v="48"/>
    <s v="SOFT DRINKS"/>
    <n v="7200"/>
    <n v="1080"/>
  </r>
  <r>
    <n v="1160"/>
    <s v="HCFM-0669"/>
    <s v="MR . SYED RAHAT HUSSAIN ZAIDI"/>
    <x v="20"/>
    <n v="22"/>
    <s v="SUNDAY BRUNCH"/>
    <n v="34100"/>
    <n v="5115"/>
  </r>
  <r>
    <n v="1161"/>
    <s v="HCFM-0669"/>
    <s v="MR . SYED RAHAT HUSSAIN ZAIDI"/>
    <x v="20"/>
    <n v="5"/>
    <s v="SUNDAY BRUNCH KIDS"/>
    <n v="3875"/>
    <n v="581.25"/>
  </r>
  <r>
    <n v="1162"/>
    <s v="HCFM-0669"/>
    <s v="MR . SYED RAHAT HUSSAIN ZAIDI"/>
    <x v="20"/>
    <n v="7"/>
    <s v="MINERAL WATER LARGE"/>
    <n v="1050"/>
    <n v="157.5"/>
  </r>
  <r>
    <n v="1163"/>
    <s v="HCFM-0669"/>
    <s v="MR . SYED RAHAT HUSSAIN ZAIDI"/>
    <x v="20"/>
    <n v="4"/>
    <s v="MINT LEMONADE"/>
    <n v="1400"/>
    <n v="210"/>
  </r>
  <r>
    <n v="1164"/>
    <s v="HCFM-0669"/>
    <s v="MR . SYED RAHAT HUSSAIN ZAIDI"/>
    <x v="20"/>
    <n v="7"/>
    <s v="COFFEE CAPPUCINO"/>
    <n v="2450"/>
    <n v="367.5"/>
  </r>
  <r>
    <n v="1165"/>
    <s v="HCFM-0669"/>
    <s v="MR . SYED RAHAT HUSSAIN ZAIDI"/>
    <x v="20"/>
    <n v="7"/>
    <s v="SOFT DRINKS"/>
    <n v="1050"/>
    <n v="157.5"/>
  </r>
  <r>
    <n v="1166"/>
    <s v="HCFM-0541"/>
    <s v="MR.SHAN ELAHI SEHGAL"/>
    <x v="20"/>
    <n v="9"/>
    <s v="SUNDAY BRUNCH"/>
    <n v="13950"/>
    <n v="2092.5"/>
  </r>
  <r>
    <n v="1167"/>
    <s v="HCFM-0541"/>
    <s v="MR.SHAN ELAHI SEHGAL"/>
    <x v="20"/>
    <n v="2"/>
    <s v="MINERAL WATER LARGE"/>
    <n v="300"/>
    <n v="45"/>
  </r>
  <r>
    <n v="1168"/>
    <s v="HCFM-0541"/>
    <s v="MR.SHAN ELAHI SEHGAL"/>
    <x v="20"/>
    <n v="1"/>
    <s v="MINT LEMONADE"/>
    <n v="350"/>
    <n v="52.5"/>
  </r>
  <r>
    <n v="1169"/>
    <s v="HCFM-0541"/>
    <s v="MR.SHAN ELAHI SEHGAL"/>
    <x v="20"/>
    <n v="1"/>
    <s v="SUNDAY BRUNCH KIDS"/>
    <n v="775"/>
    <n v="116.25"/>
  </r>
  <r>
    <n v="1170"/>
    <s v="HCFM-0513"/>
    <s v="MR.SAJJAD ALI"/>
    <x v="20"/>
    <n v="1"/>
    <s v="MINERAL WATER LARGE"/>
    <n v="150"/>
    <n v="22.5"/>
  </r>
  <r>
    <n v="1171"/>
    <s v="HCFM-0513"/>
    <s v="MR.SAJJAD ALI"/>
    <x v="20"/>
    <n v="1"/>
    <s v="CLUB SANDWICH"/>
    <n v="1250"/>
    <n v="187.5"/>
  </r>
  <r>
    <n v="1172"/>
    <s v="HCFM-0513"/>
    <s v="MR.SAJJAD ALI"/>
    <x v="20"/>
    <n v="1"/>
    <s v="FINGER FISH N CHIPS"/>
    <n v="1250"/>
    <n v="187.5"/>
  </r>
  <r>
    <n v="1173"/>
    <s v="HCFM-0581"/>
    <s v="BRIG DR. GHULAM MEHDI (Retd)"/>
    <x v="20"/>
    <n v="3"/>
    <s v="SUNDAY BRUNCH"/>
    <n v="4650"/>
    <n v="697.5"/>
  </r>
  <r>
    <n v="1174"/>
    <s v="HCFM-0581"/>
    <s v="BRIG DR. GHULAM MEHDI (Retd)"/>
    <x v="20"/>
    <n v="1"/>
    <s v="MINERAL WATER LARGE"/>
    <n v="150"/>
    <n v="22.5"/>
  </r>
  <r>
    <n v="1175"/>
    <s v="HCFM-0581"/>
    <s v="BRIG DR. GHULAM MEHDI (Retd)"/>
    <x v="20"/>
    <n v="2"/>
    <s v="LASSI"/>
    <n v="600"/>
    <n v="90"/>
  </r>
  <r>
    <n v="1176"/>
    <s v="HCFM-0672"/>
    <s v="MRS RIFFAT ZULFIQAR"/>
    <x v="20"/>
    <n v="7"/>
    <s v="SUNDAY BRUNCH"/>
    <n v="10850"/>
    <n v="1627.5"/>
  </r>
  <r>
    <n v="1177"/>
    <s v="HCFM-0672"/>
    <s v="MRS RIFFAT ZULFIQAR"/>
    <x v="20"/>
    <n v="2"/>
    <s v="MINERAL WATER LARGE"/>
    <n v="300"/>
    <n v="45"/>
  </r>
  <r>
    <n v="1178"/>
    <s v="HCFM-0672"/>
    <s v="MRS RIFFAT ZULFIQAR"/>
    <x v="20"/>
    <n v="2"/>
    <s v="LASSI"/>
    <n v="600"/>
    <n v="90"/>
  </r>
  <r>
    <n v="1179"/>
    <s v="HCFM-0672"/>
    <s v="MRS RIFFAT ZULFIQAR"/>
    <x v="20"/>
    <n v="1"/>
    <s v="COFFEE CAPPUCINO"/>
    <n v="350"/>
    <n v="52.5"/>
  </r>
  <r>
    <n v="1180"/>
    <s v="HCFM-0651"/>
    <s v="ALI LEGHARI"/>
    <x v="20"/>
    <n v="48"/>
    <s v="MINERAL WATER LARGE"/>
    <n v="7200"/>
    <n v="1080"/>
  </r>
  <r>
    <n v="1181"/>
    <s v="HCFM-0651"/>
    <s v="ALI LEGHARI"/>
    <x v="20"/>
    <n v="242"/>
    <s v="SOFT DRINKS"/>
    <n v="36300"/>
    <n v="5445"/>
  </r>
  <r>
    <n v="1182"/>
    <s v="HCFM-0520"/>
    <s v="MR.NIZAM UDDIN NIZAMANI"/>
    <x v="21"/>
    <n v="35"/>
    <s v="BUFFET DINNER"/>
    <n v="87500"/>
    <n v="13125"/>
  </r>
  <r>
    <n v="1183"/>
    <s v="HCFM-0520"/>
    <s v="MR.NIZAM UDDIN NIZAMANI"/>
    <x v="21"/>
    <n v="46"/>
    <s v="SOFT DRINKS"/>
    <n v="6900"/>
    <n v="1035"/>
  </r>
  <r>
    <n v="1184"/>
    <s v="HCFM-0520"/>
    <s v="MR.NIZAM UDDIN NIZAMANI"/>
    <x v="21"/>
    <n v="34"/>
    <s v="MINERAL WATER SMALL"/>
    <n v="3400"/>
    <n v="510"/>
  </r>
  <r>
    <n v="1185"/>
    <s v="HCFM-0520"/>
    <s v="MR.NIZAM UDDIN NIZAMANI"/>
    <x v="21"/>
    <n v="1"/>
    <s v="SIGNATURE LAUNGE"/>
    <n v="5000"/>
    <n v="750"/>
  </r>
  <r>
    <n v="1186"/>
    <s v="HCFM-0646"/>
    <s v="BAHRIA INTERNATIONAL HOSPITAL"/>
    <x v="21"/>
    <n v="16"/>
    <s v="ASSORTED PASTRY"/>
    <n v="4000"/>
    <m/>
  </r>
  <r>
    <n v="1187"/>
    <s v="HCFM-0646"/>
    <s v="BAHRIA INTERNATIONAL HOSPITAL"/>
    <x v="21"/>
    <n v="10"/>
    <s v="DOUGHNUTS"/>
    <n v="1500"/>
    <m/>
  </r>
  <r>
    <n v="1188"/>
    <s v="HCFM-0646"/>
    <s v="BAHRIA INTERNATIONAL HOSPITAL"/>
    <x v="21"/>
    <n v="6"/>
    <s v="CHOCOLATE ECLAIR"/>
    <n v="900"/>
    <m/>
  </r>
  <r>
    <n v="1189"/>
    <s v="HCFM-0646"/>
    <s v="BAHRIA INTERNATIONAL HOSPITAL"/>
    <x v="21"/>
    <n v="30"/>
    <s v="CHICKEN PATTIES"/>
    <n v="3000"/>
    <m/>
  </r>
  <r>
    <n v="1190"/>
    <s v="HCFM-0684"/>
    <s v="MR. ZAMIR ALI SHAH"/>
    <x v="21"/>
    <n v="3"/>
    <s v="FINGER FISH N CHIPS"/>
    <n v="3750"/>
    <n v="562.5"/>
  </r>
  <r>
    <n v="1191"/>
    <s v="HCFM-0684"/>
    <s v="MR. ZAMIR ALI SHAH"/>
    <x v="21"/>
    <n v="2"/>
    <s v="CLUB SANDWICH"/>
    <n v="2500"/>
    <n v="375"/>
  </r>
  <r>
    <n v="1192"/>
    <s v="HCFM-0684"/>
    <s v="MR. ZAMIR ALI SHAH"/>
    <x v="21"/>
    <n v="1"/>
    <s v="MINERAL WATER LARGE"/>
    <n v="150"/>
    <n v="22.5"/>
  </r>
  <r>
    <n v="1193"/>
    <s v="HCFM-0684"/>
    <s v="MR. ZAMIR ALI SHAH"/>
    <x v="21"/>
    <n v="3"/>
    <s v="MIX TEA"/>
    <n v="600"/>
    <n v="90"/>
  </r>
  <r>
    <n v="1194"/>
    <s v="HCFM-0684"/>
    <s v="MR. ZAMIR ALI SHAH"/>
    <x v="21"/>
    <n v="2"/>
    <s v="MINERAL WATER SMALL"/>
    <n v="200"/>
    <n v="30"/>
  </r>
  <r>
    <n v="1195"/>
    <s v="HCFM-0585"/>
    <s v="DGM AMJAD ALI SHAIKH"/>
    <x v="21"/>
    <n v="1"/>
    <s v="SHAHJAHANI BIRYANI HALF"/>
    <n v="950"/>
    <n v="142.5"/>
  </r>
  <r>
    <n v="1196"/>
    <s v="HCFM-0585"/>
    <s v="DGM AMJAD ALI SHAIKH"/>
    <x v="21"/>
    <n v="1"/>
    <s v="GRILLED CHICKEN ROASTED"/>
    <n v="850"/>
    <n v="127.5"/>
  </r>
  <r>
    <n v="1197"/>
    <s v="HCFM-0541"/>
    <s v="MR.SHAN ELAHI SEHGAL"/>
    <x v="21"/>
    <n v="1"/>
    <s v="PLAIN FRIES"/>
    <n v="250"/>
    <n v="37.5"/>
  </r>
  <r>
    <n v="1198"/>
    <s v="HCFM-0541"/>
    <s v="MR.SHAN ELAHI SEHGAL"/>
    <x v="21"/>
    <n v="1"/>
    <s v="MINERAL WATER SMALL"/>
    <n v="100"/>
    <n v="15"/>
  </r>
  <r>
    <n v="1199"/>
    <s v="HCFM-0684"/>
    <s v="MR. ZAMIR ALI SHAH"/>
    <x v="21"/>
    <n v="12"/>
    <s v="SOFT DRINKS"/>
    <n v="1800"/>
    <n v="270"/>
  </r>
  <r>
    <n v="1200"/>
    <s v="HCFM-0684"/>
    <s v="MR. ZAMIR ALI SHAH"/>
    <x v="21"/>
    <n v="2"/>
    <s v="CHICKEN BURGER"/>
    <n v="1100"/>
    <n v="165"/>
  </r>
  <r>
    <n v="1201"/>
    <s v="HCFM-0684"/>
    <s v="MR. ZAMIR ALI SHAH"/>
    <x v="21"/>
    <n v="2"/>
    <s v="ZINGER BURGER"/>
    <n v="1400"/>
    <n v="210"/>
  </r>
  <r>
    <n v="1202"/>
    <s v="HCFM-0684"/>
    <s v="MR. ZAMIR ALI SHAH"/>
    <x v="21"/>
    <n v="1"/>
    <s v="BEEF BURGER"/>
    <n v="999"/>
    <n v="149.85"/>
  </r>
  <r>
    <n v="1203"/>
    <s v="HCFM-0684"/>
    <s v="MR. ZAMIR ALI SHAH"/>
    <x v="21"/>
    <n v="1"/>
    <s v="MINERAL WATER LARGE"/>
    <n v="150"/>
    <n v="22.5"/>
  </r>
  <r>
    <n v="1204"/>
    <s v="HCFM-0650"/>
    <s v="KHURRAM FIRDOUS"/>
    <x v="21"/>
    <n v="1"/>
    <s v="CLUB SANDWICH"/>
    <n v="1250"/>
    <n v="187.5"/>
  </r>
  <r>
    <n v="1205"/>
    <s v="HCFM-0650"/>
    <s v="KHURRAM FIRDOUS"/>
    <x v="21"/>
    <n v="2"/>
    <s v="MIX TEA"/>
    <n v="400"/>
    <n v="60"/>
  </r>
  <r>
    <n v="1206"/>
    <s v="HCFM-0521"/>
    <s v="MR.HAFEEZ AHMED SIYAL"/>
    <x v="21"/>
    <n v="1"/>
    <s v="MINERAL WATER SMALL"/>
    <n v="100"/>
    <n v="15"/>
  </r>
  <r>
    <n v="1207"/>
    <s v="HCFM-0684"/>
    <s v="MR. ZAMIR ALI SHAH"/>
    <x v="21"/>
    <n v="2"/>
    <s v="CLUB SANDWICH"/>
    <n v="2500"/>
    <n v="375"/>
  </r>
  <r>
    <n v="1208"/>
    <s v="HCFM-0684"/>
    <s v="MR. ZAMIR ALI SHAH"/>
    <x v="21"/>
    <n v="3"/>
    <s v="ZINGER BURGER"/>
    <n v="2100"/>
    <n v="315"/>
  </r>
  <r>
    <n v="1209"/>
    <s v="HCFM-0684"/>
    <s v="MR. ZAMIR ALI SHAH"/>
    <x v="21"/>
    <n v="1"/>
    <s v="PIZZA FRIES HALF"/>
    <n v="250"/>
    <n v="37.5"/>
  </r>
  <r>
    <n v="1210"/>
    <s v="HCFM-0684"/>
    <s v="MR. ZAMIR ALI SHAH"/>
    <x v="21"/>
    <n v="6"/>
    <s v="SOFT DRINKS"/>
    <n v="900"/>
    <n v="135"/>
  </r>
  <r>
    <n v="1211"/>
    <s v="HCFM-0684"/>
    <s v="MR. ZAMIR ALI SHAH"/>
    <x v="21"/>
    <n v="1"/>
    <s v="MINERAL WATER LARGE"/>
    <n v="150"/>
    <n v="22.5"/>
  </r>
  <r>
    <n v="1212"/>
    <s v="HCFM-0648"/>
    <s v="AYSM MIRZA"/>
    <x v="21"/>
    <n v="2"/>
    <s v="MALAI BOTI"/>
    <n v="2300"/>
    <n v="345"/>
  </r>
  <r>
    <n v="1213"/>
    <s v="HCFM-0648"/>
    <s v="AYSM MIRZA"/>
    <x v="21"/>
    <n v="2"/>
    <s v="SHISH TAOUK"/>
    <n v="2400"/>
    <n v="360"/>
  </r>
  <r>
    <n v="1214"/>
    <s v="HCFM-0648"/>
    <s v="AYSM MIRZA"/>
    <x v="21"/>
    <n v="2"/>
    <s v="CHICKEN KARAHI"/>
    <n v="1800"/>
    <n v="270"/>
  </r>
  <r>
    <n v="1215"/>
    <s v="HCFM-0648"/>
    <s v="AYSM MIRZA"/>
    <x v="21"/>
    <n v="2"/>
    <s v="DRY CHICKEN CHILLI"/>
    <n v="1998"/>
    <n v="299.7"/>
  </r>
  <r>
    <n v="1216"/>
    <s v="HCFM-0648"/>
    <s v="AYSM MIRZA"/>
    <x v="21"/>
    <n v="1"/>
    <s v="CHICKEN BURGER"/>
    <n v="550"/>
    <n v="82.5"/>
  </r>
  <r>
    <n v="1217"/>
    <s v="HCFM-0648"/>
    <s v="AYSM MIRZA"/>
    <x v="21"/>
    <n v="1"/>
    <s v="PIZZA FRIES FULL"/>
    <n v="500"/>
    <n v="75"/>
  </r>
  <r>
    <n v="1218"/>
    <s v="HCFM-0648"/>
    <s v="AYSM MIRZA"/>
    <x v="21"/>
    <n v="2"/>
    <s v="PLAIN POPCORN"/>
    <n v="1000"/>
    <n v="150"/>
  </r>
  <r>
    <n v="1219"/>
    <s v="HCFM-0648"/>
    <s v="AYSM MIRZA"/>
    <x v="21"/>
    <n v="2"/>
    <s v="MINERAL WATER LARGE"/>
    <n v="300"/>
    <n v="45"/>
  </r>
  <r>
    <n v="1220"/>
    <s v="HCFM-0648"/>
    <s v="AYSM MIRZA"/>
    <x v="21"/>
    <n v="4"/>
    <s v="PEACH MOJITO"/>
    <n v="1596"/>
    <n v="239.4"/>
  </r>
  <r>
    <n v="1221"/>
    <s v="HCFM-0648"/>
    <s v="AYSM MIRZA"/>
    <x v="21"/>
    <n v="1"/>
    <s v="SOFT DRINKS"/>
    <n v="150"/>
    <n v="22.5"/>
  </r>
  <r>
    <n v="1222"/>
    <s v="HCFM-0595"/>
    <s v="BRIG.KHALID MEHMOOD"/>
    <x v="22"/>
    <n v="20"/>
    <s v="HOT N SOUR SOUP"/>
    <n v="7000"/>
    <n v="1050"/>
  </r>
  <r>
    <n v="1223"/>
    <s v="HCFM-0595"/>
    <s v="BRIG.KHALID MEHMOOD"/>
    <x v="22"/>
    <n v="7"/>
    <s v="EGG FRIED RICE"/>
    <n v="2100"/>
    <n v="315"/>
  </r>
  <r>
    <n v="1224"/>
    <s v="HCFM-0595"/>
    <s v="BRIG.KHALID MEHMOOD"/>
    <x v="22"/>
    <n v="7"/>
    <s v="VEGETABLE FRIED RICE"/>
    <n v="2100"/>
    <n v="315"/>
  </r>
  <r>
    <n v="1225"/>
    <s v="HCFM-0595"/>
    <s v="BRIG.KHALID MEHMOOD"/>
    <x v="22"/>
    <n v="7"/>
    <s v="CHICKEN CHOWMEIN"/>
    <n v="6650"/>
    <n v="997.5"/>
  </r>
  <r>
    <n v="1226"/>
    <s v="HCFM-0595"/>
    <s v="BRIG.KHALID MEHMOOD"/>
    <x v="22"/>
    <n v="8"/>
    <s v="THAI CASHEW NUT CHICKEN"/>
    <n v="6800"/>
    <n v="1020"/>
  </r>
  <r>
    <n v="1227"/>
    <s v="HCFM-0595"/>
    <s v="BRIG.KHALID MEHMOOD"/>
    <x v="22"/>
    <n v="7"/>
    <s v="SWEET N SOUR CHICKEN"/>
    <n v="5600"/>
    <n v="840"/>
  </r>
  <r>
    <n v="1228"/>
    <s v="HCFM-0595"/>
    <s v="BRIG.KHALID MEHMOOD"/>
    <x v="22"/>
    <n v="8"/>
    <s v="AMBERI FISH TIKKA"/>
    <n v="11600"/>
    <n v="1740"/>
  </r>
  <r>
    <n v="1229"/>
    <s v="HCFM-0595"/>
    <s v="BRIG.KHALID MEHMOOD"/>
    <x v="22"/>
    <n v="21"/>
    <s v="ICE CREAM DOUBLE SCOOP"/>
    <n v="4620"/>
    <n v="693"/>
  </r>
  <r>
    <n v="1230"/>
    <s v="HCFM-0595"/>
    <s v="BRIG.KHALID MEHMOOD"/>
    <x v="22"/>
    <n v="6"/>
    <s v="MINERAL WATER LARGE"/>
    <n v="900"/>
    <n v="135"/>
  </r>
  <r>
    <n v="1231"/>
    <s v="HCFM-0595"/>
    <s v="BRIG.KHALID MEHMOOD"/>
    <x v="22"/>
    <n v="20"/>
    <s v="SOFT DRINKS"/>
    <n v="3000"/>
    <n v="450"/>
  </r>
  <r>
    <n v="1232"/>
    <s v="HCFM-0659"/>
    <s v="Heritage club"/>
    <x v="22"/>
    <n v="2"/>
    <s v="MINERAL WATER LARGE"/>
    <n v="300"/>
    <n v="45"/>
  </r>
  <r>
    <n v="1233"/>
    <s v="HCFM-0659"/>
    <s v="Heritage club"/>
    <x v="22"/>
    <n v="1"/>
    <s v="CLUB SANDWICH"/>
    <n v="1250"/>
    <n v="187.5"/>
  </r>
  <r>
    <n v="1234"/>
    <s v="HCFM-0659"/>
    <s v="Heritage club"/>
    <x v="22"/>
    <n v="2"/>
    <s v="LATTE COFFEE"/>
    <n v="700"/>
    <n v="105"/>
  </r>
  <r>
    <n v="1235"/>
    <s v="HCFM-0659"/>
    <s v="Heritage club"/>
    <x v="22"/>
    <n v="1"/>
    <s v="GRILLED CHICKEN SANDWICH"/>
    <n v="575"/>
    <n v="86.25"/>
  </r>
  <r>
    <n v="1236"/>
    <s v="HCFM-0659"/>
    <s v="Heritage club"/>
    <x v="22"/>
    <n v="4"/>
    <s v="CREAM OF MASHROOM SOUP"/>
    <n v="1600"/>
    <n v="240"/>
  </r>
  <r>
    <n v="1237"/>
    <s v="HCFM-0659"/>
    <s v="Heritage club"/>
    <x v="22"/>
    <n v="1"/>
    <s v="HOT N SOUR SOUP"/>
    <n v="350"/>
    <n v="52.5"/>
  </r>
  <r>
    <n v="1238"/>
    <s v="HCFM-0524"/>
    <s v="MR.MANOJ KUMAR"/>
    <x v="22"/>
    <n v="2"/>
    <s v="MINERAL WATER LARGE"/>
    <n v="300"/>
    <n v="45"/>
  </r>
  <r>
    <n v="1239"/>
    <s v="HCFM-0524"/>
    <s v="MR.MANOJ KUMAR"/>
    <x v="22"/>
    <n v="3"/>
    <s v="VEGETABLE FRIED RICE"/>
    <n v="900"/>
    <n v="135"/>
  </r>
  <r>
    <n v="1240"/>
    <s v="HCFM-0524"/>
    <s v="MR.MANOJ KUMAR"/>
    <x v="22"/>
    <n v="1"/>
    <s v="CHICKEN PESHAWARI KARAHI"/>
    <n v="900"/>
    <n v="135"/>
  </r>
  <r>
    <n v="1241"/>
    <s v="HCFM-0524"/>
    <s v="MR.MANOJ KUMAR"/>
    <x v="22"/>
    <n v="1"/>
    <s v="LAHORI KARAHI"/>
    <n v="900"/>
    <n v="135"/>
  </r>
  <r>
    <n v="1242"/>
    <s v="HCFM-0524"/>
    <s v="MR.MANOJ KUMAR"/>
    <x v="22"/>
    <n v="1"/>
    <s v="DAAL MAKHANI"/>
    <n v="600"/>
    <n v="90"/>
  </r>
  <r>
    <n v="1243"/>
    <s v="HCFM-0524"/>
    <s v="MR.MANOJ KUMAR"/>
    <x v="22"/>
    <n v="10"/>
    <s v="SOFT DRINKS"/>
    <n v="1500"/>
    <n v="225"/>
  </r>
  <r>
    <n v="1244"/>
    <s v="HCFM-0524"/>
    <s v="MR.MANOJ KUMAR"/>
    <x v="22"/>
    <n v="1"/>
    <s v="PASTA"/>
    <n v="1200"/>
    <n v="180"/>
  </r>
  <r>
    <n v="1245"/>
    <s v="HCFM-0524"/>
    <s v="MR.MANOJ KUMAR"/>
    <x v="22"/>
    <n v="2"/>
    <s v="CLUB SANDWICH"/>
    <n v="2500"/>
    <n v="375"/>
  </r>
  <r>
    <n v="1246"/>
    <s v="HCFM-0524"/>
    <s v="MR.MANOJ KUMAR"/>
    <x v="22"/>
    <n v="1"/>
    <s v="SHISH TAOUK"/>
    <n v="1200"/>
    <n v="180"/>
  </r>
  <r>
    <n v="1247"/>
    <s v="HCFM-0524"/>
    <s v="MR.MANOJ KUMAR"/>
    <x v="22"/>
    <n v="2"/>
    <s v="PLAIN NAAN"/>
    <n v="140"/>
    <n v="21"/>
  </r>
  <r>
    <n v="1248"/>
    <s v="HCFM-0524"/>
    <s v="MR.MANOJ KUMAR"/>
    <x v="22"/>
    <n v="1"/>
    <s v="RAITA"/>
    <n v="200"/>
    <n v="30"/>
  </r>
  <r>
    <n v="1249"/>
    <s v="HCFM-0524"/>
    <s v="MR.MANOJ KUMAR"/>
    <x v="22"/>
    <n v="1"/>
    <s v="FRESH GARDEN SALAD"/>
    <n v="800"/>
    <n v="120"/>
  </r>
  <r>
    <n v="1250"/>
    <s v="HCFM-0524"/>
    <s v="MR.MANOJ KUMAR"/>
    <x v="22"/>
    <n v="7"/>
    <s v="PLAIN NAAN"/>
    <n v="490"/>
    <n v="73.5"/>
  </r>
  <r>
    <n v="1251"/>
    <s v="HCFM-0524"/>
    <s v="MR.MANOJ KUMAR"/>
    <x v="22"/>
    <n v="5"/>
    <s v="ROGHNI NAAN"/>
    <n v="750"/>
    <n v="112.5"/>
  </r>
  <r>
    <n v="1252"/>
    <s v="HCFM-0541"/>
    <s v="MR.SHAN ELAHI SEHGAL"/>
    <x v="22"/>
    <n v="1"/>
    <s v="ZINGER BURGER"/>
    <n v="700"/>
    <n v="105"/>
  </r>
  <r>
    <n v="1253"/>
    <s v="HCFM-0541"/>
    <s v="MR.SHAN ELAHI SEHGAL"/>
    <x v="22"/>
    <n v="1"/>
    <s v="MIX TEA"/>
    <n v="200"/>
    <n v="30"/>
  </r>
  <r>
    <n v="1254"/>
    <s v="HCFM-0541"/>
    <s v="MR.SHAN ELAHI SEHGAL"/>
    <x v="22"/>
    <n v="1"/>
    <s v="MINERAL WATER SMALL"/>
    <n v="100"/>
    <n v="15"/>
  </r>
  <r>
    <n v="1255"/>
    <s v="HCFM-0677"/>
    <s v="MR. MUNAWAR HUSSAIN"/>
    <x v="22"/>
    <n v="2"/>
    <s v="COFFEE CAPPUCINO"/>
    <n v="700"/>
    <n v="105"/>
  </r>
  <r>
    <n v="1256"/>
    <s v="HCFM-0677"/>
    <s v="MR. MUNAWAR HUSSAIN"/>
    <x v="22"/>
    <n v="1"/>
    <s v="MINERAL WATER SMALL"/>
    <n v="100"/>
    <n v="15"/>
  </r>
  <r>
    <n v="1257"/>
    <s v="HCFM-0522"/>
    <s v="MR.IQBAL AHMED MALLAH"/>
    <x v="22"/>
    <n v="2"/>
    <s v="MINERAL WATER LARGE"/>
    <n v="300"/>
    <n v="45"/>
  </r>
  <r>
    <n v="1258"/>
    <s v="HCFM-0522"/>
    <s v="MR.IQBAL AHMED MALLAH"/>
    <x v="22"/>
    <n v="1"/>
    <s v="CLUB SANDWICH"/>
    <n v="1250"/>
    <n v="187.5"/>
  </r>
  <r>
    <n v="1259"/>
    <s v="HCFM-0522"/>
    <s v="MR.IQBAL AHMED MALLAH"/>
    <x v="22"/>
    <n v="2"/>
    <s v="HC SPECIAL CHICKEN POPCORN"/>
    <n v="1000"/>
    <n v="150"/>
  </r>
  <r>
    <n v="1260"/>
    <s v="HCFM-0522"/>
    <s v="MR.IQBAL AHMED MALLAH"/>
    <x v="22"/>
    <n v="2"/>
    <s v="PIZZA FRIES FULL"/>
    <n v="1000"/>
    <n v="150"/>
  </r>
  <r>
    <n v="1261"/>
    <s v="HCFM-0522"/>
    <s v="MR.IQBAL AHMED MALLAH"/>
    <x v="22"/>
    <n v="1"/>
    <s v="PASTA"/>
    <n v="1200"/>
    <n v="180"/>
  </r>
  <r>
    <n v="1262"/>
    <s v="HCFM-0522"/>
    <s v="MR.IQBAL AHMED MALLAH"/>
    <x v="22"/>
    <n v="1"/>
    <s v="GRILLED CHICKEN SANDWICH"/>
    <n v="575"/>
    <n v="86.25"/>
  </r>
  <r>
    <n v="1263"/>
    <s v="HCFM-0522"/>
    <s v="MR.IQBAL AHMED MALLAH"/>
    <x v="22"/>
    <n v="1"/>
    <s v="PLAIN FRIES"/>
    <n v="250"/>
    <n v="37.5"/>
  </r>
  <r>
    <n v="1264"/>
    <s v="HCFM-0522"/>
    <s v="MR.IQBAL AHMED MALLAH"/>
    <x v="22"/>
    <n v="1"/>
    <s v="ZINGER BURGER"/>
    <n v="700"/>
    <n v="105"/>
  </r>
  <r>
    <n v="1265"/>
    <s v="HCFM-0522"/>
    <s v="MR.IQBAL AHMED MALLAH"/>
    <x v="22"/>
    <n v="1"/>
    <s v="MIX TEA"/>
    <n v="200"/>
    <n v="30"/>
  </r>
  <r>
    <n v="1266"/>
    <s v="HCFM-0522"/>
    <s v="MR.IQBAL AHMED MALLAH"/>
    <x v="22"/>
    <n v="8"/>
    <s v="SOFT DRINKS"/>
    <n v="1200"/>
    <n v="180"/>
  </r>
  <r>
    <n v="1267"/>
    <s v="HCFM-0677"/>
    <s v="MR. MUNAWAR HUSSAIN"/>
    <x v="22"/>
    <n v="2"/>
    <s v="MINT LEMONADE"/>
    <n v="700"/>
    <n v="105"/>
  </r>
  <r>
    <n v="1268"/>
    <s v="HCFM-0659"/>
    <s v="Heritage club"/>
    <x v="23"/>
    <n v="757"/>
    <s v="ISL BUFFET"/>
    <n v="3028000"/>
    <n v="454200"/>
  </r>
  <r>
    <n v="1269"/>
    <s v="HCFM-0659"/>
    <s v="Heritage club"/>
    <x v="23"/>
    <n v="15"/>
    <s v="MINERAL WATER SMALL"/>
    <n v="1500"/>
    <n v="225"/>
  </r>
  <r>
    <n v="1270"/>
    <s v="HCFM-0659"/>
    <s v="Heritage club"/>
    <x v="23"/>
    <n v="18"/>
    <s v="MINERAL WATER LARGE"/>
    <n v="2700"/>
    <n v="405"/>
  </r>
  <r>
    <n v="1271"/>
    <s v="HCFM-0659"/>
    <s v="Heritage club"/>
    <x v="23"/>
    <n v="5"/>
    <s v="AMERICAN COFFEE"/>
    <n v="1500"/>
    <n v="225"/>
  </r>
  <r>
    <n v="1272"/>
    <s v="HCFM-0659"/>
    <s v="Heritage club"/>
    <x v="23"/>
    <n v="3"/>
    <s v="BLACK COFFEE"/>
    <n v="900"/>
    <n v="135"/>
  </r>
  <r>
    <n v="1273"/>
    <s v="HCFM-0659"/>
    <s v="Heritage club"/>
    <x v="23"/>
    <n v="7"/>
    <s v="COFFEE CAPPUCINO"/>
    <n v="2450"/>
    <n v="367.5"/>
  </r>
  <r>
    <n v="1274"/>
    <s v="HCFM-0659"/>
    <s v="Heritage club"/>
    <x v="23"/>
    <n v="91"/>
    <s v="BUFFET"/>
    <n v="45500"/>
    <n v="6825"/>
  </r>
  <r>
    <n v="1275"/>
    <s v="HCFM-0664"/>
    <s v="SHAHBAZ AHMED"/>
    <x v="23"/>
    <n v="1"/>
    <s v="CHICKEN KARAHI"/>
    <n v="900"/>
    <n v="135"/>
  </r>
  <r>
    <n v="1276"/>
    <s v="HCFM-0664"/>
    <s v="SHAHBAZ AHMED"/>
    <x v="23"/>
    <n v="1"/>
    <s v="HC SPECIAL MUTTON KARAHI"/>
    <n v="1800"/>
    <n v="270"/>
  </r>
  <r>
    <n v="1277"/>
    <s v="HCFM-0664"/>
    <s v="SHAHBAZ AHMED"/>
    <x v="23"/>
    <n v="2"/>
    <s v="HC SPECIAL TIKKA"/>
    <n v="1600"/>
    <n v="240"/>
  </r>
  <r>
    <n v="1278"/>
    <s v="HCFM-0664"/>
    <s v="SHAHBAZ AHMED"/>
    <x v="23"/>
    <n v="4"/>
    <s v="ROGHNI NAAN"/>
    <n v="600"/>
    <n v="90"/>
  </r>
  <r>
    <n v="1279"/>
    <s v="HCFM-0664"/>
    <s v="SHAHBAZ AHMED"/>
    <x v="23"/>
    <n v="3"/>
    <s v="PLAIN NAAN"/>
    <n v="210"/>
    <n v="31.5"/>
  </r>
  <r>
    <n v="1280"/>
    <s v="HCFM-0664"/>
    <s v="SHAHBAZ AHMED"/>
    <x v="23"/>
    <n v="9"/>
    <s v="SOFT DRINKS"/>
    <n v="1350"/>
    <n v="202.5"/>
  </r>
  <r>
    <n v="1281"/>
    <s v="HCFM-0664"/>
    <s v="SHAHBAZ AHMED"/>
    <x v="23"/>
    <n v="2"/>
    <s v="MINERAL WATER LARGE"/>
    <n v="300"/>
    <n v="45"/>
  </r>
  <r>
    <n v="1282"/>
    <s v="HCFM-0506"/>
    <s v="MR.MUHAMMAD ARIF"/>
    <x v="23"/>
    <n v="2"/>
    <s v="MINERAL WATER LARGE"/>
    <n v="300"/>
    <n v="45"/>
  </r>
  <r>
    <n v="1283"/>
    <s v="HCFM-0506"/>
    <s v="MR.MUHAMMAD ARIF"/>
    <x v="23"/>
    <n v="1"/>
    <s v="SINGAPOREAN FRIED RICE"/>
    <n v="1000"/>
    <n v="150"/>
  </r>
  <r>
    <n v="1284"/>
    <s v="HCFM-0506"/>
    <s v="MR.MUHAMMAD ARIF"/>
    <x v="23"/>
    <n v="1"/>
    <s v="DRY CHICKEN CHILLI"/>
    <n v="999"/>
    <n v="149.85"/>
  </r>
  <r>
    <n v="1285"/>
    <s v="HCFM-0506"/>
    <s v="MR.MUHAMMAD ARIF"/>
    <x v="23"/>
    <n v="1"/>
    <s v="CHINESE SZECHUAN SOUP"/>
    <n v="350"/>
    <n v="52.5"/>
  </r>
  <r>
    <n v="1286"/>
    <s v="HCFM-0506"/>
    <s v="MR.MUHAMMAD ARIF"/>
    <x v="23"/>
    <n v="1"/>
    <s v="MAMA MIA BURGER"/>
    <n v="750"/>
    <n v="112.5"/>
  </r>
  <r>
    <n v="1287"/>
    <s v="HCFM-0506"/>
    <s v="MR.MUHAMMAD ARIF"/>
    <x v="23"/>
    <n v="2"/>
    <s v="CREAM OF MASHROOM SOUP"/>
    <n v="800"/>
    <n v="120"/>
  </r>
  <r>
    <n v="1288"/>
    <s v="HCFM-0506"/>
    <s v="MR.MUHAMMAD ARIF"/>
    <x v="23"/>
    <n v="1"/>
    <s v="MAKHANI HANDI"/>
    <n v="1000"/>
    <n v="150"/>
  </r>
  <r>
    <n v="1289"/>
    <s v="HCFM-0506"/>
    <s v="MR.MUHAMMAD ARIF"/>
    <x v="23"/>
    <n v="2"/>
    <s v="GARLIC NAAN"/>
    <n v="260"/>
    <n v="39"/>
  </r>
  <r>
    <n v="1290"/>
    <s v="HCFM-0506"/>
    <s v="MR.MUHAMMAD ARIF"/>
    <x v="23"/>
    <n v="1"/>
    <s v="PLAIN NAAN"/>
    <n v="70"/>
    <n v="10.5"/>
  </r>
  <r>
    <n v="1291"/>
    <s v="HCFM-0542"/>
    <s v="MR.HANIF AHSAN ZUBEDI"/>
    <x v="23"/>
    <n v="1"/>
    <s v="PLAIN POPCORN"/>
    <n v="500"/>
    <n v="75"/>
  </r>
  <r>
    <n v="1292"/>
    <s v="HCFM-0542"/>
    <s v="MR.HANIF AHSAN ZUBEDI"/>
    <x v="23"/>
    <n v="1"/>
    <s v="MINT LEMONADE"/>
    <n v="350"/>
    <n v="52.5"/>
  </r>
  <r>
    <n v="1293"/>
    <s v="HCFM-0542"/>
    <s v="MR.HANIF AHSAN ZUBEDI"/>
    <x v="23"/>
    <n v="2"/>
    <s v="MIX TEA"/>
    <n v="400"/>
    <n v="60"/>
  </r>
  <r>
    <n v="1294"/>
    <s v="HCFM-0534"/>
    <s v="MR.PIR MUJEEB JAN SARHANDI"/>
    <x v="23"/>
    <n v="1"/>
    <s v="HC SPECIAL MUTTON KARAHI"/>
    <n v="1800"/>
    <n v="270"/>
  </r>
  <r>
    <n v="1295"/>
    <s v="HCFM-0534"/>
    <s v="MR.PIR MUJEEB JAN SARHANDI"/>
    <x v="23"/>
    <n v="1"/>
    <s v="FINGER FISH N CHIPS"/>
    <n v="1250"/>
    <n v="187.5"/>
  </r>
  <r>
    <n v="1296"/>
    <s v="HCFM-0534"/>
    <s v="MR.PIR MUJEEB JAN SARHANDI"/>
    <x v="23"/>
    <n v="1"/>
    <s v="DRY BEEF CHILLI"/>
    <n v="999"/>
    <n v="149.85"/>
  </r>
  <r>
    <n v="1297"/>
    <s v="HCFM-0534"/>
    <s v="MR.PIR MUJEEB JAN SARHANDI"/>
    <x v="23"/>
    <n v="5"/>
    <s v="PLAIN NAAN"/>
    <n v="350"/>
    <n v="52.5"/>
  </r>
  <r>
    <n v="1298"/>
    <s v="HCFM-0534"/>
    <s v="MR.PIR MUJEEB JAN SARHANDI"/>
    <x v="23"/>
    <n v="3"/>
    <s v="SOFT DRINKS"/>
    <n v="450"/>
    <n v="67.5"/>
  </r>
  <r>
    <n v="1299"/>
    <s v="HCFM-0534"/>
    <s v="MR.PIR MUJEEB JAN SARHANDI"/>
    <x v="23"/>
    <n v="1"/>
    <s v="MINERAL WATER LARGE"/>
    <n v="150"/>
    <n v="22.5"/>
  </r>
  <r>
    <n v="1300"/>
    <s v="HCFM-0502"/>
    <s v="MR. JABIR SHAHZAD"/>
    <x v="23"/>
    <n v="1"/>
    <s v="WAIKIKI SALAD"/>
    <n v="800"/>
    <n v="120"/>
  </r>
  <r>
    <n v="1301"/>
    <s v="HCFM-0502"/>
    <s v="MR. JABIR SHAHZAD"/>
    <x v="23"/>
    <n v="2"/>
    <s v="ZINGER BURGER"/>
    <n v="1400"/>
    <n v="210"/>
  </r>
  <r>
    <n v="1302"/>
    <s v="HCFM-0502"/>
    <s v="MR. JABIR SHAHZAD"/>
    <x v="23"/>
    <n v="1"/>
    <s v="CLUB SANDWICH"/>
    <n v="1250"/>
    <n v="187.5"/>
  </r>
  <r>
    <n v="1303"/>
    <s v="HCFM-0502"/>
    <s v="MR. JABIR SHAHZAD"/>
    <x v="23"/>
    <n v="1"/>
    <s v="CHICKEN CHOWMEIN"/>
    <n v="950"/>
    <n v="142.5"/>
  </r>
  <r>
    <n v="1304"/>
    <s v="HCFM-0502"/>
    <s v="MR. JABIR SHAHZAD"/>
    <x v="23"/>
    <n v="1"/>
    <s v="FINGER FISH N CHIPS"/>
    <n v="1250"/>
    <n v="187.5"/>
  </r>
  <r>
    <n v="1305"/>
    <s v="HCFM-0502"/>
    <s v="MR. JABIR SHAHZAD"/>
    <x v="23"/>
    <n v="1"/>
    <s v="CHICKEN HANDI"/>
    <n v="1000"/>
    <n v="150"/>
  </r>
  <r>
    <n v="1306"/>
    <s v="HCFM-0502"/>
    <s v="MR. JABIR SHAHZAD"/>
    <x v="23"/>
    <n v="2"/>
    <s v="MALAI BOTI"/>
    <n v="2300"/>
    <n v="345"/>
  </r>
  <r>
    <n v="1307"/>
    <s v="HCFM-0502"/>
    <s v="MR. JABIR SHAHZAD"/>
    <x v="23"/>
    <n v="1"/>
    <s v="SHISH TAOUK"/>
    <n v="1200"/>
    <n v="180"/>
  </r>
  <r>
    <n v="1308"/>
    <s v="HCFM-0502"/>
    <s v="MR. JABIR SHAHZAD"/>
    <x v="23"/>
    <n v="1"/>
    <s v="AKBARI BOTI TIKKA"/>
    <n v="600"/>
    <n v="90"/>
  </r>
  <r>
    <n v="1309"/>
    <s v="HCFM-0502"/>
    <s v="MR. JABIR SHAHZAD"/>
    <x v="23"/>
    <n v="10"/>
    <s v="PURI PARATHA"/>
    <n v="1500"/>
    <n v="225"/>
  </r>
  <r>
    <n v="1310"/>
    <s v="HCFM-0502"/>
    <s v="MR. JABIR SHAHZAD"/>
    <x v="23"/>
    <n v="2"/>
    <s v="RAITA"/>
    <n v="400"/>
    <n v="60"/>
  </r>
  <r>
    <n v="1311"/>
    <s v="HCFM-0502"/>
    <s v="MR. JABIR SHAHZAD"/>
    <x v="23"/>
    <n v="2"/>
    <s v="MINERAL WATER LARGE"/>
    <n v="300"/>
    <n v="45"/>
  </r>
  <r>
    <n v="1312"/>
    <s v="HCFM-0646"/>
    <s v="BAHRIA INTERNATIONAL HOSPITAL"/>
    <x v="23"/>
    <n v="10"/>
    <s v="ASSORTED PASTRY"/>
    <n v="2500"/>
    <n v="375"/>
  </r>
  <r>
    <n v="1313"/>
    <s v="HCFM-0646"/>
    <s v="BAHRIA INTERNATIONAL HOSPITAL"/>
    <x v="23"/>
    <n v="10"/>
    <s v="DOUGHNUTS"/>
    <n v="1500"/>
    <n v="225"/>
  </r>
  <r>
    <n v="1314"/>
    <s v="HCFM-0646"/>
    <s v="BAHRIA INTERNATIONAL HOSPITAL"/>
    <x v="23"/>
    <n v="4"/>
    <s v="ASSORTED COOKIES"/>
    <n v="1600"/>
    <n v="240"/>
  </r>
  <r>
    <n v="1315"/>
    <s v="HCFM-0656"/>
    <s v="ZAIB UR REHMAN"/>
    <x v="23"/>
    <n v="1"/>
    <s v="MIX TEA"/>
    <n v="200"/>
    <n v="30"/>
  </r>
  <r>
    <n v="1316"/>
    <s v="HCFM-0656"/>
    <s v="ZAIB UR REHMAN"/>
    <x v="23"/>
    <n v="1"/>
    <s v="GREEN TEA"/>
    <n v="150"/>
    <n v="22.5"/>
  </r>
  <r>
    <n v="1317"/>
    <s v="HCFM-0677"/>
    <s v="MR. MUNAWAR HUSSAIN"/>
    <x v="23"/>
    <n v="2"/>
    <s v="BLACK COFFEE"/>
    <n v="600"/>
    <n v="90"/>
  </r>
  <r>
    <n v="1318"/>
    <s v="HCFM-0663"/>
    <s v="JAM FEROZ "/>
    <x v="23"/>
    <n v="1"/>
    <s v="MINERAL WATER LARGE"/>
    <n v="150"/>
    <n v="22.5"/>
  </r>
  <r>
    <n v="1319"/>
    <s v="HCFM-0663"/>
    <s v="JAM FEROZ "/>
    <x v="23"/>
    <n v="1"/>
    <s v="CLUB SANDWICH"/>
    <n v="1250"/>
    <n v="187.5"/>
  </r>
  <r>
    <n v="1320"/>
    <s v="HCFM-0663"/>
    <s v="JAM FEROZ "/>
    <x v="23"/>
    <n v="3"/>
    <s v="COFFEE CAPPUCINO"/>
    <n v="1050"/>
    <n v="157.5"/>
  </r>
  <r>
    <n v="1321"/>
    <s v="HCFM-0663"/>
    <s v="JAM FEROZ "/>
    <x v="23"/>
    <n v="4"/>
    <s v="CHICKEN HANDI"/>
    <n v="4000"/>
    <n v="600"/>
  </r>
  <r>
    <n v="1322"/>
    <s v="HCFM-0663"/>
    <s v="JAM FEROZ "/>
    <x v="23"/>
    <n v="2"/>
    <s v="SHISH TAOUK"/>
    <n v="2400"/>
    <n v="360"/>
  </r>
  <r>
    <n v="1323"/>
    <s v="HCFM-0663"/>
    <s v="JAM FEROZ "/>
    <x v="23"/>
    <n v="2"/>
    <s v="FINGER FISH N CHIPS"/>
    <n v="2500"/>
    <n v="375"/>
  </r>
  <r>
    <n v="1324"/>
    <s v="HCFM-0663"/>
    <s v="JAM FEROZ "/>
    <x v="23"/>
    <n v="3"/>
    <s v="PLAIN NAAN"/>
    <n v="210"/>
    <n v="31.5"/>
  </r>
  <r>
    <n v="1325"/>
    <s v="HCFM-0663"/>
    <s v="JAM FEROZ "/>
    <x v="23"/>
    <n v="6"/>
    <s v="GARLIC NAAN"/>
    <n v="780"/>
    <n v="117"/>
  </r>
  <r>
    <n v="1326"/>
    <s v="HCFM-0663"/>
    <s v="JAM FEROZ "/>
    <x v="23"/>
    <n v="4"/>
    <s v="HC SPECIAL MUTTON KARAHI"/>
    <n v="7200"/>
    <n v="1080"/>
  </r>
  <r>
    <n v="1327"/>
    <s v="HCFM-0545"/>
    <s v="MR. HASAN KARIM"/>
    <x v="24"/>
    <n v="3"/>
    <s v="FINGER FISH N CHIPS"/>
    <n v="3750"/>
    <n v="562.5"/>
  </r>
  <r>
    <n v="1328"/>
    <s v="HCFM-0545"/>
    <s v="MR. HASAN KARIM"/>
    <x v="24"/>
    <n v="4"/>
    <s v="PLAIN FRIES"/>
    <n v="1000"/>
    <n v="150"/>
  </r>
  <r>
    <n v="1329"/>
    <s v="HCFM-0545"/>
    <s v="MR. HASAN KARIM"/>
    <x v="24"/>
    <n v="4"/>
    <s v="CHICKEN KARAHI"/>
    <n v="3600"/>
    <n v="540"/>
  </r>
  <r>
    <n v="1330"/>
    <s v="HCFM-0545"/>
    <s v="MR. HASAN KARIM"/>
    <x v="24"/>
    <n v="3"/>
    <s v="DRY BEEF CHILLI"/>
    <n v="2997"/>
    <n v="449.55"/>
  </r>
  <r>
    <n v="1331"/>
    <s v="HCFM-0545"/>
    <s v="MR. HASAN KARIM"/>
    <x v="24"/>
    <n v="3"/>
    <s v="CHICKEN CHOWMEIN"/>
    <n v="2850"/>
    <n v="427.5"/>
  </r>
  <r>
    <n v="1332"/>
    <s v="HCFM-0545"/>
    <s v="MR. HASAN KARIM"/>
    <x v="24"/>
    <n v="2"/>
    <s v="RAITA"/>
    <n v="400"/>
    <n v="60"/>
  </r>
  <r>
    <n v="1333"/>
    <s v="HCFM-0545"/>
    <s v="MR. HASAN KARIM"/>
    <x v="24"/>
    <n v="1"/>
    <s v="PASTA"/>
    <n v="1200"/>
    <n v="180"/>
  </r>
  <r>
    <n v="1334"/>
    <s v="HCFM-0545"/>
    <s v="MR. HASAN KARIM"/>
    <x v="24"/>
    <n v="8"/>
    <s v="GARLIC NAAN"/>
    <n v="1040"/>
    <n v="156"/>
  </r>
  <r>
    <n v="1335"/>
    <s v="HCFM-0545"/>
    <s v="MR. HASAN KARIM"/>
    <x v="24"/>
    <n v="8"/>
    <s v="PLAIN NAAN"/>
    <n v="560"/>
    <n v="84"/>
  </r>
  <r>
    <n v="1336"/>
    <s v="HCFM-0545"/>
    <s v="MR. HASAN KARIM"/>
    <x v="24"/>
    <n v="9"/>
    <s v="SOFT DRINKS"/>
    <n v="1350"/>
    <n v="202.5"/>
  </r>
  <r>
    <n v="1337"/>
    <s v="HCFM-0545"/>
    <s v="MR. HASAN KARIM"/>
    <x v="24"/>
    <n v="3"/>
    <s v="MINERAL WATER LARGE"/>
    <n v="450"/>
    <n v="67.5"/>
  </r>
  <r>
    <n v="1338"/>
    <s v="HCFM-0545"/>
    <s v="MR. HASAN KARIM"/>
    <x v="24"/>
    <n v="2"/>
    <s v="MINERAL WATER SMALL"/>
    <n v="200"/>
    <n v="30"/>
  </r>
  <r>
    <n v="1339"/>
    <s v="HCFM-0545"/>
    <s v="MR. HASAN KARIM"/>
    <x v="24"/>
    <n v="2"/>
    <s v="FRESH GARDEN SALAD"/>
    <n v="1600"/>
    <n v="240"/>
  </r>
  <r>
    <n v="1340"/>
    <s v="HCFM-0600"/>
    <s v="DR.FAKHRUNISSA WAHEED"/>
    <x v="24"/>
    <n v="7"/>
    <s v="BUFFET DINNER "/>
    <n v="17500"/>
    <n v="2625"/>
  </r>
  <r>
    <n v="1341"/>
    <s v="HCFM-0600"/>
    <s v="DR.FAKHRUNISSA WAHEED"/>
    <x v="24"/>
    <n v="1"/>
    <s v="BUFFET DINNER KIDS "/>
    <n v="1250"/>
    <n v="187.5"/>
  </r>
  <r>
    <n v="1342"/>
    <s v="HCFM-0600"/>
    <s v="DR.FAKHRUNISSA WAHEED"/>
    <x v="24"/>
    <n v="2"/>
    <s v="MINERAL WATER LARGE"/>
    <n v="300"/>
    <n v="45"/>
  </r>
  <r>
    <n v="1343"/>
    <s v="HCFM-0600"/>
    <s v="DR.FAKHRUNISSA WAHEED"/>
    <x v="24"/>
    <n v="6"/>
    <s v="MINT LEMONADE"/>
    <n v="2100"/>
    <n v="315"/>
  </r>
  <r>
    <n v="1344"/>
    <s v="HCFM-0600"/>
    <s v="DR.FAKHRUNISSA WAHEED"/>
    <x v="24"/>
    <n v="4"/>
    <s v="COFFEE CAPPUCINO"/>
    <n v="1400"/>
    <n v="210"/>
  </r>
  <r>
    <n v="1345"/>
    <s v="HCFM-0600"/>
    <s v="DR.FAKHRUNISSA WAHEED"/>
    <x v="24"/>
    <n v="3"/>
    <s v="MIX TEA"/>
    <n v="600"/>
    <n v="90"/>
  </r>
  <r>
    <n v="1346"/>
    <s v="HCFM-0600"/>
    <s v="DR.FAKHRUNISSA WAHEED"/>
    <x v="24"/>
    <n v="4"/>
    <s v="MINERAL WATER SMALL"/>
    <n v="400"/>
    <n v="60"/>
  </r>
  <r>
    <n v="1347"/>
    <s v="HCFM-0600"/>
    <s v="DR.FAKHRUNISSA WAHEED"/>
    <x v="24"/>
    <n v="3"/>
    <s v="SOFT DRINKS"/>
    <n v="450"/>
    <n v="67.5"/>
  </r>
  <r>
    <n v="1348"/>
    <s v="HCFM-0583"/>
    <s v="MR.CAREL HEDRIK BURGER"/>
    <x v="24"/>
    <n v="12"/>
    <s v="BUFFET DINNER "/>
    <n v="30000"/>
    <n v="4500"/>
  </r>
  <r>
    <n v="1349"/>
    <s v="HCFM-0583"/>
    <s v="MR.CAREL HEDRIK BURGER"/>
    <x v="24"/>
    <n v="8"/>
    <s v="MINERAL WATER SMALL"/>
    <n v="800"/>
    <n v="120"/>
  </r>
  <r>
    <n v="1350"/>
    <s v="HCFM-0583"/>
    <s v="MR.CAREL HEDRIK BURGER"/>
    <x v="24"/>
    <n v="2"/>
    <s v="MINERAL WATER LARGE"/>
    <n v="300"/>
    <n v="45"/>
  </r>
  <r>
    <n v="1351"/>
    <s v="HCFM-0583"/>
    <s v="MR.CAREL HEDRIK BURGER"/>
    <x v="24"/>
    <n v="3"/>
    <s v="SOFT DRINKS"/>
    <n v="450"/>
    <n v="67.5"/>
  </r>
  <r>
    <n v="1352"/>
    <s v="HCFM-0583"/>
    <s v="MR.CAREL HEDRIK BURGER"/>
    <x v="24"/>
    <n v="4"/>
    <s v="LASSI"/>
    <n v="1200"/>
    <n v="180"/>
  </r>
  <r>
    <n v="1353"/>
    <s v="HCFM-0583"/>
    <s v="MR.CAREL HEDRIK BURGER"/>
    <x v="24"/>
    <n v="9"/>
    <s v="HEINKEN BEER"/>
    <n v="27000"/>
    <n v="4050"/>
  </r>
  <r>
    <n v="1354"/>
    <s v="HCFM-0657"/>
    <s v="NASIR ABBAS"/>
    <x v="24"/>
    <n v="6"/>
    <s v="BUFFET DINNER "/>
    <n v="15000"/>
    <n v="2250"/>
  </r>
  <r>
    <n v="1355"/>
    <s v="HCFM-0657"/>
    <s v="NASIR ABBAS"/>
    <x v="24"/>
    <n v="6"/>
    <s v="MINT LEMONADE"/>
    <n v="2100"/>
    <n v="315"/>
  </r>
  <r>
    <n v="1356"/>
    <s v="HCFM-0657"/>
    <s v="NASIR ABBAS"/>
    <x v="24"/>
    <n v="2"/>
    <s v="MINERAL WATER LARGE"/>
    <n v="300"/>
    <n v="45"/>
  </r>
  <r>
    <n v="1357"/>
    <s v="HCFM-0581"/>
    <s v="BRIG DR. GHULAM MEHDI (Retd)"/>
    <x v="24"/>
    <n v="2"/>
    <s v="BUFFET DINNER "/>
    <n v="5000"/>
    <n v="750"/>
  </r>
  <r>
    <n v="1358"/>
    <s v="HCFM-0581"/>
    <s v="BRIG DR. GHULAM MEHDI (Retd)"/>
    <x v="24"/>
    <n v="2"/>
    <s v="MINT LEMONADE"/>
    <n v="700"/>
    <n v="105"/>
  </r>
  <r>
    <n v="1359"/>
    <s v="HCFM-0581"/>
    <s v="BRIG DR. GHULAM MEHDI (Retd)"/>
    <x v="24"/>
    <n v="1"/>
    <s v="MINERAL WATER LARGE"/>
    <n v="150"/>
    <n v="22.5"/>
  </r>
  <r>
    <n v="1360"/>
    <s v="HCFM-AH001"/>
    <s v="ADMIRAL AHMED HAYAT"/>
    <x v="24"/>
    <n v="9"/>
    <s v="BUFFET DINNER "/>
    <n v="22500"/>
    <n v="3375"/>
  </r>
  <r>
    <n v="1361"/>
    <s v="HCFM-AH001"/>
    <s v="ADMIRAL AHMED HAYAT"/>
    <x v="24"/>
    <n v="5"/>
    <s v="MINT LEMONADE"/>
    <n v="1750"/>
    <n v="262.5"/>
  </r>
  <r>
    <n v="1362"/>
    <s v="HCFM-AH001"/>
    <s v="ADMIRAL AHMED HAYAT"/>
    <x v="24"/>
    <n v="2"/>
    <s v="MINERAL WATER LARGE"/>
    <n v="300"/>
    <n v="45"/>
  </r>
  <r>
    <n v="1363"/>
    <s v="HCFM-0548"/>
    <s v="MR.ZAIN FAROOQ"/>
    <x v="24"/>
    <n v="3"/>
    <s v="BUFFET DINNER "/>
    <n v="7500"/>
    <n v="1125"/>
  </r>
  <r>
    <n v="1364"/>
    <s v="HCFM-0548"/>
    <s v="MR.ZAIN FAROOQ"/>
    <x v="24"/>
    <n v="2"/>
    <s v="MINERAL WATER SMALL"/>
    <n v="200"/>
    <n v="30"/>
  </r>
  <r>
    <n v="1365"/>
    <s v="HCFM-0551"/>
    <s v="MR.ASIF ALI"/>
    <x v="24"/>
    <n v="9"/>
    <s v="BUFFET DINNER "/>
    <n v="22500"/>
    <n v="3375"/>
  </r>
  <r>
    <n v="1366"/>
    <s v="HCFM-0551"/>
    <s v="MR.ASIF ALI"/>
    <x v="24"/>
    <n v="5"/>
    <s v="MINERAL WATER SMALL"/>
    <n v="500"/>
    <n v="75"/>
  </r>
  <r>
    <n v="1367"/>
    <s v="HCFM-0551"/>
    <s v="MR.ASIF ALI"/>
    <x v="24"/>
    <n v="9"/>
    <s v="SOFT DRINKS"/>
    <n v="1350"/>
    <n v="202.5"/>
  </r>
  <r>
    <n v="1368"/>
    <s v="HCFM-0609"/>
    <s v="DR.NASEEM MUNSHI"/>
    <x v="24"/>
    <n v="6"/>
    <s v="BUFFET DINNER "/>
    <n v="15000"/>
    <n v="2250"/>
  </r>
  <r>
    <n v="1369"/>
    <s v="HCFM-0609"/>
    <s v="DR.NASEEM MUNSHI"/>
    <x v="24"/>
    <n v="5"/>
    <s v="MINT LEMONADE"/>
    <n v="1750"/>
    <n v="262.5"/>
  </r>
  <r>
    <n v="1370"/>
    <s v="HCFM-0609"/>
    <s v="DR.NASEEM MUNSHI"/>
    <x v="24"/>
    <n v="1"/>
    <s v="MINERAL WATER LARGE"/>
    <n v="150"/>
    <n v="22.5"/>
  </r>
  <r>
    <n v="1371"/>
    <s v="HCFM-0609"/>
    <s v="DR.NASEEM MUNSHI"/>
    <x v="24"/>
    <n v="1"/>
    <s v="SOFT DRINKS"/>
    <n v="150"/>
    <n v="22.5"/>
  </r>
  <r>
    <n v="1372"/>
    <s v="HCFM-0682"/>
    <s v="MR. ZAHIR REHMAN"/>
    <x v="24"/>
    <n v="2"/>
    <s v="MINERAL WATER LARGE"/>
    <n v="300"/>
    <n v="45"/>
  </r>
  <r>
    <n v="1373"/>
    <s v="HCFM-0682"/>
    <s v="MR. ZAHIR REHMAN"/>
    <x v="24"/>
    <n v="1"/>
    <s v="PLAIN POPCORN"/>
    <n v="500"/>
    <n v="75"/>
  </r>
  <r>
    <n v="1374"/>
    <s v="HCFM-0682"/>
    <s v="MR. ZAHIR REHMAN"/>
    <x v="24"/>
    <n v="1"/>
    <s v="AMBERI FISH TIKKA"/>
    <n v="1450"/>
    <n v="217.5"/>
  </r>
  <r>
    <n v="1375"/>
    <s v="HCFM-0682"/>
    <s v="MR. ZAHIR REHMAN"/>
    <x v="24"/>
    <n v="1"/>
    <s v="MALAYSIAN CHICKEN SATAY"/>
    <n v="800"/>
    <n v="120"/>
  </r>
  <r>
    <n v="1376"/>
    <s v="HCFM-0682"/>
    <s v="MR. ZAHIR REHMAN"/>
    <x v="24"/>
    <n v="2"/>
    <s v="CHINESE SZECHUAN SOUP"/>
    <n v="700"/>
    <n v="105"/>
  </r>
  <r>
    <n v="1377"/>
    <s v="HCFM-0682"/>
    <s v="MR. ZAHIR REHMAN"/>
    <x v="24"/>
    <n v="1"/>
    <s v="SOFT DRINKS"/>
    <n v="150"/>
    <n v="22.5"/>
  </r>
  <r>
    <n v="1378"/>
    <s v="HCFM-0583"/>
    <s v="MR.CAREL HEDRIK BURGER"/>
    <x v="24"/>
    <n v="4"/>
    <s v="SOFT DRINKS"/>
    <n v="600"/>
    <n v="90"/>
  </r>
  <r>
    <n v="1379"/>
    <s v="HCFM-0503"/>
    <s v="MR.GHULAM NABI OTHI"/>
    <x v="24"/>
    <n v="4"/>
    <s v="MURREE BEER"/>
    <n v="4000"/>
    <n v="600"/>
  </r>
  <r>
    <n v="1380"/>
    <s v="HCFM-0503"/>
    <s v="MR.GHULAM NABI OTHI"/>
    <x v="24"/>
    <n v="5"/>
    <s v="BLACK LABEL SINGLE WL"/>
    <n v="5000"/>
    <n v="750"/>
  </r>
  <r>
    <n v="1381"/>
    <s v="HCFM-0551"/>
    <s v="MR.ASIF ALI"/>
    <x v="24"/>
    <n v="2"/>
    <s v="COFFEE CAPPUCINO"/>
    <n v="700"/>
    <n v="105"/>
  </r>
  <r>
    <n v="1382"/>
    <s v="HCFM-0551"/>
    <s v="MR.ASIF ALI"/>
    <x v="24"/>
    <n v="1"/>
    <s v="MINERAL WATER LARGE"/>
    <n v="150"/>
    <n v="22.5"/>
  </r>
  <r>
    <n v="1383"/>
    <s v="HCFM-0551"/>
    <s v="MR.ASIF ALI"/>
    <x v="24"/>
    <n v="2"/>
    <s v="MIX TEA"/>
    <n v="400"/>
    <n v="60"/>
  </r>
  <r>
    <n v="1384"/>
    <s v="HCFM-0551"/>
    <s v="MR.ASIF ALI"/>
    <x v="24"/>
    <n v="4"/>
    <s v="MINT LEMONADE"/>
    <n v="1400"/>
    <n v="210"/>
  </r>
  <r>
    <n v="1385"/>
    <s v="HCFM-0551"/>
    <s v="MR.ASIF ALI"/>
    <x v="24"/>
    <n v="3"/>
    <s v="PIZZA FRIES HALF"/>
    <n v="750"/>
    <n v="112.5"/>
  </r>
  <r>
    <n v="1386"/>
    <s v="HCFM-0551"/>
    <s v="MR.ASIF ALI"/>
    <x v="24"/>
    <n v="1"/>
    <s v="MINERAL WATER SMALL"/>
    <n v="100"/>
    <n v="15"/>
  </r>
  <r>
    <n v="1387"/>
    <s v="HCFM-0672"/>
    <s v="MRS RIFFAT ZULFIQAR"/>
    <x v="24"/>
    <n v="2"/>
    <s v="COLD SANDWICH"/>
    <n v="800"/>
    <n v="120"/>
  </r>
  <r>
    <n v="1388"/>
    <s v="HCFM-0672"/>
    <s v="MRS RIFFAT ZULFIQAR"/>
    <x v="24"/>
    <n v="1"/>
    <s v="MINERAL WATER SMALL"/>
    <n v="100"/>
    <n v="15"/>
  </r>
  <r>
    <n v="1389"/>
    <s v="HCFM-0644"/>
    <s v="SABA AHSAN"/>
    <x v="24"/>
    <n v="1"/>
    <s v="CLUB SANDWICH"/>
    <n v="1250"/>
    <n v="187.5"/>
  </r>
  <r>
    <n v="1390"/>
    <s v="HCFM-0644"/>
    <s v="SABA AHSAN"/>
    <x v="24"/>
    <n v="1"/>
    <s v="CHICKEN HANDI"/>
    <n v="1000"/>
    <n v="150"/>
  </r>
  <r>
    <n v="1391"/>
    <s v="HCFM-0644"/>
    <s v="SABA AHSAN"/>
    <x v="24"/>
    <n v="1"/>
    <s v="CHICKEN KARAHI"/>
    <n v="900"/>
    <n v="135"/>
  </r>
  <r>
    <n v="1392"/>
    <s v="HCFM-0644"/>
    <s v="SABA AHSAN"/>
    <x v="24"/>
    <n v="1"/>
    <s v="ZINGER BURGER"/>
    <n v="700"/>
    <n v="105"/>
  </r>
  <r>
    <n v="1393"/>
    <s v="HCFM-0644"/>
    <s v="SABA AHSAN"/>
    <x v="24"/>
    <n v="1"/>
    <s v="CHICKEN STRIPS"/>
    <n v="700"/>
    <n v="105"/>
  </r>
  <r>
    <n v="1394"/>
    <s v="HCFM-0644"/>
    <s v="SABA AHSAN"/>
    <x v="24"/>
    <n v="2"/>
    <s v="MIX TEA"/>
    <n v="400"/>
    <n v="60"/>
  </r>
  <r>
    <n v="1395"/>
    <s v="HCFM-0644"/>
    <s v="SABA AHSAN"/>
    <x v="24"/>
    <n v="1"/>
    <s v="MINERAL WATER LARGE"/>
    <n v="150"/>
    <n v="22.5"/>
  </r>
  <r>
    <n v="1396"/>
    <s v="HCFM-0545"/>
    <s v="MR. HASAN KARIM"/>
    <x v="24"/>
    <n v="1"/>
    <s v="MINERAL WATER SMALL"/>
    <n v="100"/>
    <n v="15"/>
  </r>
  <r>
    <n v="1397"/>
    <s v="HCFM-0545"/>
    <s v="MR. HASAN KARIM"/>
    <x v="24"/>
    <n v="1"/>
    <s v="HOT N SOUR SOUP"/>
    <n v="350"/>
    <n v="52.5"/>
  </r>
  <r>
    <n v="1398"/>
    <s v="HCFM-0545"/>
    <s v="MR. HASAN KARIM"/>
    <x v="24"/>
    <n v="2"/>
    <s v="PLAIN FRIES"/>
    <n v="500"/>
    <n v="75"/>
  </r>
  <r>
    <n v="1399"/>
    <s v="HCFM-0545"/>
    <s v="MR. HASAN KARIM"/>
    <x v="24"/>
    <n v="2"/>
    <s v="MIX TEA"/>
    <n v="400"/>
    <n v="60"/>
  </r>
  <r>
    <n v="1400"/>
    <s v="HCFM-0545"/>
    <s v="MR. HASAN KARIM"/>
    <x v="24"/>
    <n v="1"/>
    <s v="MINERAL WATER SMALL"/>
    <n v="100"/>
    <n v="15"/>
  </r>
  <r>
    <n v="1401"/>
    <s v="HCFM-0597"/>
    <s v="GM GHULAM DASTAGEER"/>
    <x v="24"/>
    <n v="3"/>
    <s v="MINERAL WATER SMALL"/>
    <n v="300"/>
    <n v="45"/>
  </r>
  <r>
    <n v="1402"/>
    <s v="HCFM-0597"/>
    <s v="GM GHULAM DASTAGEER"/>
    <x v="24"/>
    <n v="1"/>
    <s v="CHICKEN STRIPS"/>
    <n v="700"/>
    <n v="105"/>
  </r>
  <r>
    <n v="1403"/>
    <s v="HCFM-0597"/>
    <s v="GM GHULAM DASTAGEER"/>
    <x v="24"/>
    <n v="1"/>
    <s v="PASTA"/>
    <n v="1200"/>
    <n v="180"/>
  </r>
  <r>
    <n v="1404"/>
    <s v="HCFM-0597"/>
    <s v="GM GHULAM DASTAGEER"/>
    <x v="24"/>
    <n v="1"/>
    <s v="SHISH TAOUK"/>
    <n v="1200"/>
    <n v="180"/>
  </r>
  <r>
    <n v="1405"/>
    <s v="HCFM-0545"/>
    <s v="MR. HASAN KARIM"/>
    <x v="24"/>
    <n v="2"/>
    <s v="PLAIN FRIES"/>
    <n v="500"/>
    <n v="75"/>
  </r>
  <r>
    <n v="1406"/>
    <s v="HCFM-0545"/>
    <s v="MR. HASAN KARIM"/>
    <x v="24"/>
    <n v="1"/>
    <s v="COFFEE CAPPUCINO"/>
    <n v="350"/>
    <n v="52.5"/>
  </r>
  <r>
    <n v="1407"/>
    <s v="HCFM-0545"/>
    <s v="MR. HASAN KARIM"/>
    <x v="24"/>
    <n v="1"/>
    <s v="SOFT DRINKS"/>
    <n v="150"/>
    <n v="22.5"/>
  </r>
  <r>
    <n v="1408"/>
    <s v="HCFM-0545"/>
    <s v="MR. HASAN KARIM"/>
    <x v="24"/>
    <n v="1"/>
    <s v="MINERAL WATER SMALL"/>
    <n v="100"/>
    <n v="15"/>
  </r>
  <r>
    <n v="1409"/>
    <s v="HCFM-0677"/>
    <s v="MR. MUNAWAR HUSSAIN"/>
    <x v="24"/>
    <n v="6"/>
    <s v="MINERAL WATER SMALL"/>
    <n v="600"/>
    <n v="90"/>
  </r>
  <r>
    <n v="1410"/>
    <s v="HCFM-0677"/>
    <s v="MR. MUNAWAR HUSSAIN"/>
    <x v="24"/>
    <n v="6"/>
    <s v="COFFEE CAPPUCINO"/>
    <n v="2100"/>
    <n v="315"/>
  </r>
  <r>
    <n v="1411"/>
    <s v="HCFM-0677"/>
    <s v="MR. MUNAWAR HUSSAIN"/>
    <x v="24"/>
    <n v="2"/>
    <s v="ASSORTED PASTRY"/>
    <n v="500"/>
    <n v="75"/>
  </r>
  <r>
    <n v="1412"/>
    <s v="HCFM-0529"/>
    <s v="DR.UMER QAZI"/>
    <x v="24"/>
    <n v="2"/>
    <s v="PLAIN NAAN"/>
    <n v="140"/>
    <n v="21"/>
  </r>
  <r>
    <n v="1413"/>
    <s v="HCFM-0529"/>
    <s v="DR.UMER QAZI"/>
    <x v="24"/>
    <n v="2"/>
    <s v="HC SPECIAL TIKKA"/>
    <n v="1600"/>
    <n v="240"/>
  </r>
  <r>
    <n v="1414"/>
    <s v="HCFM-0529"/>
    <s v="DR.UMER QAZI"/>
    <x v="24"/>
    <n v="2"/>
    <s v="MINERAL WATER SMALL"/>
    <n v="200"/>
    <n v="30"/>
  </r>
  <r>
    <s v=""/>
    <s v="HCFM-0"/>
    <e v="#N/A"/>
    <x v="25"/>
    <m/>
    <m/>
    <s v="0"/>
    <n v="0"/>
  </r>
  <r>
    <s v=""/>
    <s v="HCFM-0"/>
    <e v="#N/A"/>
    <x v="25"/>
    <m/>
    <m/>
    <s v="0"/>
    <n v="0"/>
  </r>
  <r>
    <s v=""/>
    <s v="HCFM-0"/>
    <e v="#N/A"/>
    <x v="25"/>
    <m/>
    <m/>
    <s v="0"/>
    <n v="0"/>
  </r>
  <r>
    <m/>
    <m/>
    <m/>
    <x v="25"/>
    <m/>
    <s v="TOTAL"/>
    <n v="5319274"/>
    <n v="784571.10000000009"/>
  </r>
  <r>
    <m/>
    <m/>
    <m/>
    <x v="25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8">
  <r>
    <n v="1"/>
    <x v="0"/>
    <s v="MR. ZAMIR ALI SHAH"/>
    <x v="0"/>
    <n v="1800"/>
    <n v="0"/>
    <n v="0"/>
    <n v="0"/>
    <n v="0"/>
    <n v="0"/>
    <n v="0"/>
    <n v="0"/>
    <n v="0"/>
    <n v="0"/>
    <n v="0"/>
    <n v="0"/>
    <n v="0"/>
    <n v="0"/>
    <n v="0"/>
    <n v="0"/>
    <n v="1800"/>
  </r>
  <r>
    <n v="2"/>
    <x v="1"/>
    <s v="MR.MUIED AHMED DURRANI"/>
    <x v="0"/>
    <n v="0"/>
    <n v="0"/>
    <n v="0"/>
    <n v="0"/>
    <n v="0"/>
    <n v="300"/>
    <n v="0"/>
    <n v="0"/>
    <n v="0"/>
    <n v="0"/>
    <n v="0"/>
    <n v="0"/>
    <n v="0"/>
    <n v="0"/>
    <n v="0"/>
    <n v="0"/>
    <n v="300"/>
  </r>
  <r>
    <n v="3"/>
    <x v="2"/>
    <s v="MR.TARIQUE ZUBAIR"/>
    <x v="0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4"/>
    <x v="3"/>
    <s v="GM GHULAM DASTAGEER"/>
    <x v="0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5"/>
    <x v="4"/>
    <s v="MR.ZEESHAN IQBAL"/>
    <x v="0"/>
    <n v="0"/>
    <n v="450"/>
    <n v="0"/>
    <n v="0"/>
    <n v="0"/>
    <n v="0"/>
    <n v="0"/>
    <n v="0"/>
    <n v="0"/>
    <n v="0"/>
    <n v="0"/>
    <n v="0"/>
    <n v="0"/>
    <n v="0"/>
    <n v="0"/>
    <n v="0"/>
    <n v="450"/>
  </r>
  <r>
    <n v="6"/>
    <x v="5"/>
    <s v="MR.ZAIN FAROOQ"/>
    <x v="0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7"/>
    <x v="6"/>
    <s v="DR.NASEEM MUNSHI"/>
    <x v="0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8"/>
    <x v="7"/>
    <s v="MR.SYED MURTAZA ALI"/>
    <x v="1"/>
    <n v="0"/>
    <n v="0"/>
    <n v="150"/>
    <n v="0"/>
    <n v="0"/>
    <n v="0"/>
    <n v="0"/>
    <n v="0"/>
    <n v="0"/>
    <n v="0"/>
    <n v="0"/>
    <n v="0"/>
    <n v="0"/>
    <n v="0"/>
    <n v="0"/>
    <n v="0"/>
    <n v="150"/>
  </r>
  <r>
    <n v="9"/>
    <x v="8"/>
    <s v="DGM AZFAR ALI"/>
    <x v="1"/>
    <n v="1200"/>
    <n v="0"/>
    <n v="0"/>
    <n v="0"/>
    <n v="0"/>
    <n v="0"/>
    <n v="0"/>
    <n v="0"/>
    <n v="0"/>
    <n v="0"/>
    <n v="0"/>
    <n v="0"/>
    <n v="0"/>
    <n v="0"/>
    <n v="0"/>
    <n v="0"/>
    <n v="1200"/>
  </r>
  <r>
    <n v="10"/>
    <x v="2"/>
    <s v="MR.TARIQUE ZUBAIR"/>
    <x v="1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1"/>
    <x v="3"/>
    <s v="GM GHULAM DASTAGEER"/>
    <x v="1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2"/>
    <x v="4"/>
    <s v="MR.ZEESHAN IQBAL"/>
    <x v="1"/>
    <n v="0"/>
    <n v="600"/>
    <n v="0"/>
    <n v="0"/>
    <n v="0"/>
    <n v="0"/>
    <n v="0"/>
    <n v="0"/>
    <n v="0"/>
    <n v="0"/>
    <n v="0"/>
    <n v="0"/>
    <n v="0"/>
    <n v="0"/>
    <n v="0"/>
    <n v="0"/>
    <n v="600"/>
  </r>
  <r>
    <n v="13"/>
    <x v="9"/>
    <s v="SHAHBAZ AHMED"/>
    <x v="1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14"/>
    <x v="10"/>
    <s v="ASIF ASHFAQ"/>
    <x v="1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15"/>
    <x v="11"/>
    <s v="NASIR ABBAS"/>
    <x v="1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6"/>
    <x v="5"/>
    <s v="MR.ZAIN FAROOQ"/>
    <x v="1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7"/>
    <x v="6"/>
    <s v="DR.NASEEM MUNSHI"/>
    <x v="1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8"/>
    <x v="12"/>
    <s v="MR.PIR MUJEEB JAN SARHANDI"/>
    <x v="1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19"/>
    <x v="13"/>
    <s v="MR. JABIR SHAHZAD"/>
    <x v="1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0"/>
    <x v="14"/>
    <s v="MR.SYED ABDULLAH ALI"/>
    <x v="1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1"/>
    <x v="15"/>
    <s v="MR.MUHAMMAD ATIF USMANI"/>
    <x v="1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2"/>
    <x v="1"/>
    <s v="MR.MUIED AHMED DURRANI"/>
    <x v="1"/>
    <n v="0"/>
    <n v="0"/>
    <n v="0"/>
    <n v="0"/>
    <n v="0"/>
    <n v="300"/>
    <n v="0"/>
    <n v="0"/>
    <n v="0"/>
    <n v="0"/>
    <n v="0"/>
    <n v="0"/>
    <n v="0"/>
    <n v="0"/>
    <n v="0"/>
    <n v="0"/>
    <n v="300"/>
  </r>
  <r>
    <n v="23"/>
    <x v="16"/>
    <s v="MR.MANOJ KUMAR"/>
    <x v="1"/>
    <n v="0"/>
    <n v="0"/>
    <n v="0"/>
    <n v="0"/>
    <n v="0"/>
    <n v="300"/>
    <n v="0"/>
    <n v="0"/>
    <n v="0"/>
    <n v="0"/>
    <n v="0"/>
    <n v="0"/>
    <n v="0"/>
    <n v="0"/>
    <n v="0"/>
    <n v="0"/>
    <n v="300"/>
  </r>
  <r>
    <n v="24"/>
    <x v="17"/>
    <s v="SABA AHSAN"/>
    <x v="2"/>
    <n v="0"/>
    <n v="0"/>
    <n v="0"/>
    <n v="0"/>
    <n v="0"/>
    <n v="0"/>
    <n v="0"/>
    <n v="0"/>
    <n v="0"/>
    <n v="0"/>
    <n v="0"/>
    <n v="5000"/>
    <n v="0"/>
    <n v="0"/>
    <n v="0"/>
    <n v="0"/>
    <n v="5000"/>
  </r>
  <r>
    <n v="25"/>
    <x v="18"/>
    <s v="AYSM MIRZA"/>
    <x v="2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6"/>
    <x v="3"/>
    <s v="GM GHULAM DASTAGEER"/>
    <x v="2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7"/>
    <x v="2"/>
    <s v="MR.TARIQUE ZUBAIR"/>
    <x v="2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8"/>
    <x v="19"/>
    <s v="DR.SANTOSH KUMAR"/>
    <x v="2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9"/>
    <x v="4"/>
    <s v="MR.ZEESHAN IQBAL"/>
    <x v="2"/>
    <n v="0"/>
    <n v="600"/>
    <n v="0"/>
    <n v="0"/>
    <n v="0"/>
    <n v="0"/>
    <n v="0"/>
    <n v="0"/>
    <n v="0"/>
    <n v="0"/>
    <n v="0"/>
    <n v="0"/>
    <n v="0"/>
    <n v="0"/>
    <n v="0"/>
    <n v="0"/>
    <n v="600"/>
  </r>
  <r>
    <n v="30"/>
    <x v="9"/>
    <s v="SHAHBAZ AHMED"/>
    <x v="2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31"/>
    <x v="10"/>
    <s v="ASIF ASHFAQ"/>
    <x v="2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32"/>
    <x v="5"/>
    <s v="MR.ZAIN FAROOQ"/>
    <x v="2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33"/>
    <x v="15"/>
    <s v="MR.MUHAMMAD ATIF USMANI"/>
    <x v="2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34"/>
    <x v="0"/>
    <s v="MR. ZAMIR ALI SHAH"/>
    <x v="3"/>
    <n v="0"/>
    <n v="0"/>
    <n v="0"/>
    <n v="0"/>
    <n v="0"/>
    <n v="0"/>
    <n v="0"/>
    <n v="0"/>
    <n v="0"/>
    <n v="0"/>
    <n v="0"/>
    <n v="16000"/>
    <n v="0"/>
    <n v="0"/>
    <n v="0"/>
    <n v="0"/>
    <n v="16000"/>
  </r>
  <r>
    <n v="35"/>
    <x v="2"/>
    <s v="MR.TARIQUE ZUBAIR"/>
    <x v="3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36"/>
    <x v="3"/>
    <s v="GM GHULAM DASTAGEER"/>
    <x v="3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37"/>
    <x v="19"/>
    <s v="DR.SANTOSH KUMAR"/>
    <x v="3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38"/>
    <x v="9"/>
    <s v="SHAHBAZ AHMED"/>
    <x v="3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39"/>
    <x v="18"/>
    <s v="AYSM MIRZA"/>
    <x v="3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40"/>
    <x v="5"/>
    <s v="MR.ZAIN FAROOQ"/>
    <x v="3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41"/>
    <x v="11"/>
    <s v="NASIR ABBAS"/>
    <x v="3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42"/>
    <x v="15"/>
    <s v="MR.MUHAMMAD ATIF USMANI"/>
    <x v="3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43"/>
    <x v="12"/>
    <s v="MR.PIR MUJEEB JAN SARHANDI"/>
    <x v="3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44"/>
    <x v="4"/>
    <s v="MR.ZEESHAN IQBAL"/>
    <x v="3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45"/>
    <x v="14"/>
    <s v="MR.SYED ABDULLAH ALI"/>
    <x v="3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46"/>
    <x v="13"/>
    <s v="MR. JABIR SHAHZAD"/>
    <x v="3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47"/>
    <x v="20"/>
    <s v="MR.HANIF AHSAN ZUBEDI"/>
    <x v="3"/>
    <n v="0"/>
    <n v="0"/>
    <n v="0"/>
    <n v="0"/>
    <n v="0"/>
    <n v="1800"/>
    <n v="0"/>
    <n v="0"/>
    <n v="0"/>
    <n v="0"/>
    <n v="0"/>
    <n v="0"/>
    <n v="0"/>
    <n v="0"/>
    <n v="0"/>
    <n v="0"/>
    <n v="1800"/>
  </r>
  <r>
    <n v="48"/>
    <x v="21"/>
    <s v="SYED JIBRAN MUSHTAQ"/>
    <x v="3"/>
    <n v="0"/>
    <n v="0"/>
    <n v="0"/>
    <n v="0"/>
    <n v="0"/>
    <n v="2800"/>
    <n v="0"/>
    <n v="0"/>
    <n v="0"/>
    <n v="0"/>
    <n v="0"/>
    <n v="0"/>
    <n v="0"/>
    <n v="0"/>
    <n v="0"/>
    <n v="0"/>
    <n v="2800"/>
  </r>
  <r>
    <n v="49"/>
    <x v="22"/>
    <s v="KHURRAM FIRDOUS"/>
    <x v="4"/>
    <n v="0"/>
    <n v="0"/>
    <n v="0"/>
    <n v="0"/>
    <n v="0"/>
    <n v="0"/>
    <n v="0"/>
    <n v="0"/>
    <n v="0"/>
    <n v="0"/>
    <n v="5500"/>
    <n v="0"/>
    <n v="0"/>
    <n v="0"/>
    <n v="0"/>
    <n v="0"/>
    <n v="5500"/>
  </r>
  <r>
    <n v="50"/>
    <x v="9"/>
    <s v="SHAHBAZ AHMED"/>
    <x v="4"/>
    <n v="0"/>
    <n v="300"/>
    <n v="0"/>
    <n v="0"/>
    <n v="0"/>
    <n v="0"/>
    <n v="0"/>
    <n v="0"/>
    <n v="0"/>
    <n v="0"/>
    <n v="6000"/>
    <n v="0"/>
    <n v="0"/>
    <n v="0"/>
    <n v="0"/>
    <n v="0"/>
    <n v="6300"/>
  </r>
  <r>
    <n v="51"/>
    <x v="2"/>
    <s v="MR.TARIQUE ZUBAIR"/>
    <x v="4"/>
    <n v="0"/>
    <n v="0"/>
    <n v="0"/>
    <n v="0"/>
    <n v="0"/>
    <n v="1500"/>
    <n v="0"/>
    <n v="0"/>
    <n v="0"/>
    <n v="0"/>
    <n v="0"/>
    <n v="0"/>
    <n v="0"/>
    <n v="0"/>
    <n v="0"/>
    <n v="0"/>
    <n v="1500"/>
  </r>
  <r>
    <n v="52"/>
    <x v="23"/>
    <s v="AAMIR RASOOL"/>
    <x v="4"/>
    <n v="2700"/>
    <n v="0"/>
    <n v="0"/>
    <n v="0"/>
    <n v="0"/>
    <n v="2600"/>
    <n v="0"/>
    <n v="0"/>
    <n v="0"/>
    <n v="0"/>
    <n v="0"/>
    <n v="0"/>
    <n v="0"/>
    <n v="0"/>
    <n v="0"/>
    <n v="0"/>
    <n v="5300"/>
  </r>
  <r>
    <n v="53"/>
    <x v="18"/>
    <s v="AYSM MIRZA"/>
    <x v="4"/>
    <n v="0"/>
    <n v="150"/>
    <n v="0"/>
    <n v="0"/>
    <n v="0"/>
    <n v="1300"/>
    <n v="0"/>
    <n v="0"/>
    <n v="0"/>
    <n v="0"/>
    <n v="0"/>
    <n v="0"/>
    <n v="0"/>
    <n v="0"/>
    <n v="0"/>
    <n v="0"/>
    <n v="1450"/>
  </r>
  <r>
    <n v="54"/>
    <x v="24"/>
    <s v="MR.MUHAMMAD RIZWAN"/>
    <x v="4"/>
    <n v="900"/>
    <n v="0"/>
    <n v="0"/>
    <n v="0"/>
    <n v="0"/>
    <n v="0"/>
    <n v="0"/>
    <n v="0"/>
    <n v="0"/>
    <n v="0"/>
    <n v="0"/>
    <n v="0"/>
    <n v="0"/>
    <n v="0"/>
    <n v="0"/>
    <n v="0"/>
    <n v="900"/>
  </r>
  <r>
    <n v="55"/>
    <x v="10"/>
    <s v="ASIF ASHFAQ"/>
    <x v="4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56"/>
    <x v="25"/>
    <s v="MR.IMRAN WAZEER"/>
    <x v="4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57"/>
    <x v="4"/>
    <s v="MR.ZEESHAN IQBAL"/>
    <x v="4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58"/>
    <x v="19"/>
    <s v="DR.SANTOSH KUMAR"/>
    <x v="4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59"/>
    <x v="5"/>
    <s v="MR.ZAIN FAROOQ"/>
    <x v="4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60"/>
    <x v="11"/>
    <s v="NASIR ABBAS"/>
    <x v="4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61"/>
    <x v="13"/>
    <s v="MR. JABIR SHAHZAD"/>
    <x v="4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62"/>
    <x v="26"/>
    <s v="CARD"/>
    <x v="5"/>
    <n v="0"/>
    <n v="0"/>
    <n v="0"/>
    <n v="0"/>
    <n v="0"/>
    <n v="0"/>
    <n v="0"/>
    <n v="0"/>
    <n v="0"/>
    <n v="0"/>
    <n v="11200"/>
    <n v="0"/>
    <n v="0"/>
    <n v="0"/>
    <n v="0"/>
    <n v="0"/>
    <n v="11200"/>
  </r>
  <r>
    <n v="63"/>
    <x v="25"/>
    <s v="MR.IMRAN WAZEER"/>
    <x v="5"/>
    <n v="0"/>
    <n v="150"/>
    <n v="0"/>
    <n v="0"/>
    <n v="0"/>
    <n v="900"/>
    <n v="0"/>
    <n v="0"/>
    <n v="0"/>
    <n v="0"/>
    <n v="2250"/>
    <n v="0"/>
    <n v="0"/>
    <n v="0"/>
    <n v="0"/>
    <n v="0"/>
    <n v="3300"/>
  </r>
  <r>
    <n v="64"/>
    <x v="0"/>
    <s v="MR. ZAMIR ALI SHAH"/>
    <x v="5"/>
    <n v="0"/>
    <n v="0"/>
    <n v="0"/>
    <n v="0"/>
    <n v="0"/>
    <n v="3000"/>
    <n v="0"/>
    <n v="0"/>
    <n v="0"/>
    <n v="0"/>
    <n v="4000"/>
    <n v="0"/>
    <n v="0"/>
    <n v="0"/>
    <n v="0"/>
    <n v="0"/>
    <n v="7000"/>
  </r>
  <r>
    <n v="65"/>
    <x v="4"/>
    <s v="MR.ZEESHAN IQBAL"/>
    <x v="5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66"/>
    <x v="14"/>
    <s v="MR.SYED ABDULLAH ALI"/>
    <x v="5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67"/>
    <x v="20"/>
    <s v="MR.HANIF AHSAN ZUBEDI"/>
    <x v="5"/>
    <n v="0"/>
    <n v="600"/>
    <n v="0"/>
    <n v="0"/>
    <n v="0"/>
    <n v="1100"/>
    <n v="0"/>
    <n v="0"/>
    <n v="0"/>
    <n v="0"/>
    <n v="0"/>
    <n v="0"/>
    <n v="0"/>
    <n v="0"/>
    <n v="0"/>
    <n v="0"/>
    <n v="1700"/>
  </r>
  <r>
    <n v="68"/>
    <x v="5"/>
    <s v="MR.ZAIN FAROOQ"/>
    <x v="5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69"/>
    <x v="11"/>
    <s v="NASIR ABBAS"/>
    <x v="5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70"/>
    <x v="27"/>
    <s v="MR.MUHAMMAD ARIF"/>
    <x v="5"/>
    <n v="2700"/>
    <n v="0"/>
    <n v="0"/>
    <n v="0"/>
    <n v="0"/>
    <n v="600"/>
    <n v="0"/>
    <n v="0"/>
    <n v="0"/>
    <n v="0"/>
    <n v="0"/>
    <n v="0"/>
    <n v="0"/>
    <n v="0"/>
    <n v="0"/>
    <n v="0"/>
    <n v="3300"/>
  </r>
  <r>
    <n v="71"/>
    <x v="28"/>
    <s v="MR. ZAHIR REHMAN"/>
    <x v="5"/>
    <n v="0"/>
    <n v="0"/>
    <n v="0"/>
    <n v="0"/>
    <n v="0"/>
    <n v="1500"/>
    <n v="0"/>
    <n v="0"/>
    <n v="0"/>
    <n v="0"/>
    <n v="0"/>
    <n v="0"/>
    <n v="0"/>
    <n v="0"/>
    <n v="0"/>
    <n v="0"/>
    <n v="1500"/>
  </r>
  <r>
    <n v="72"/>
    <x v="8"/>
    <s v="DGM AZFAR ALI"/>
    <x v="5"/>
    <n v="0"/>
    <n v="0"/>
    <n v="0"/>
    <n v="0"/>
    <n v="0"/>
    <n v="600"/>
    <n v="0"/>
    <n v="0"/>
    <n v="0"/>
    <n v="0"/>
    <n v="0"/>
    <n v="0"/>
    <n v="0"/>
    <n v="0"/>
    <n v="0"/>
    <n v="0"/>
    <n v="600"/>
  </r>
  <r>
    <n v="73"/>
    <x v="29"/>
    <s v="MR.ATIF SHAFQAT"/>
    <x v="5"/>
    <n v="0"/>
    <n v="0"/>
    <n v="0"/>
    <n v="0"/>
    <n v="0"/>
    <n v="600"/>
    <n v="0"/>
    <n v="0"/>
    <n v="0"/>
    <n v="0"/>
    <n v="0"/>
    <n v="0"/>
    <n v="0"/>
    <n v="0"/>
    <n v="0"/>
    <n v="0"/>
    <n v="600"/>
  </r>
  <r>
    <n v="74"/>
    <x v="30"/>
    <s v="ZAIB UR REHMAN"/>
    <x v="5"/>
    <n v="0"/>
    <n v="0"/>
    <n v="0"/>
    <n v="0"/>
    <n v="0"/>
    <n v="2200"/>
    <n v="0"/>
    <n v="0"/>
    <n v="0"/>
    <n v="0"/>
    <n v="0"/>
    <n v="0"/>
    <n v="0"/>
    <n v="0"/>
    <n v="0"/>
    <n v="0"/>
    <n v="2200"/>
  </r>
  <r>
    <n v="75"/>
    <x v="26"/>
    <s v="CARD"/>
    <x v="5"/>
    <n v="0"/>
    <n v="0"/>
    <n v="0"/>
    <n v="0"/>
    <n v="0"/>
    <n v="500"/>
    <n v="0"/>
    <n v="0"/>
    <n v="0"/>
    <n v="0"/>
    <n v="0"/>
    <n v="0"/>
    <n v="0"/>
    <n v="0"/>
    <n v="0"/>
    <n v="0"/>
    <n v="500"/>
  </r>
  <r>
    <n v="76"/>
    <x v="31"/>
    <s v="MR.SHIRAZ AHMED"/>
    <x v="5"/>
    <n v="2400"/>
    <n v="0"/>
    <n v="0"/>
    <n v="0"/>
    <n v="0"/>
    <n v="0"/>
    <n v="0"/>
    <n v="0"/>
    <n v="0"/>
    <n v="0"/>
    <n v="0"/>
    <n v="0"/>
    <n v="0"/>
    <n v="0"/>
    <n v="0"/>
    <n v="0"/>
    <n v="2400"/>
  </r>
  <r>
    <n v="77"/>
    <x v="32"/>
    <s v="MR. TEHSEEN FAIZ"/>
    <x v="5"/>
    <n v="2400"/>
    <n v="0"/>
    <n v="0"/>
    <n v="0"/>
    <n v="0"/>
    <n v="0"/>
    <n v="0"/>
    <n v="0"/>
    <n v="0"/>
    <n v="0"/>
    <n v="0"/>
    <n v="0"/>
    <n v="0"/>
    <n v="0"/>
    <n v="0"/>
    <n v="0"/>
    <n v="2400"/>
  </r>
  <r>
    <n v="78"/>
    <x v="33"/>
    <s v="MR. HASAN KARIM"/>
    <x v="5"/>
    <n v="0"/>
    <n v="0"/>
    <n v="0"/>
    <n v="0"/>
    <n v="0"/>
    <n v="0"/>
    <n v="300"/>
    <n v="0"/>
    <n v="0"/>
    <n v="0"/>
    <n v="5500"/>
    <n v="0"/>
    <n v="0"/>
    <n v="0"/>
    <n v="0"/>
    <n v="0"/>
    <n v="5800"/>
  </r>
  <r>
    <n v="79"/>
    <x v="26"/>
    <s v="CARD"/>
    <x v="6"/>
    <n v="0"/>
    <n v="0"/>
    <n v="0"/>
    <n v="0"/>
    <n v="0"/>
    <n v="0"/>
    <n v="0"/>
    <n v="0"/>
    <n v="0"/>
    <n v="0"/>
    <n v="0"/>
    <n v="20500"/>
    <n v="0"/>
    <n v="0"/>
    <n v="0"/>
    <n v="0"/>
    <n v="20500"/>
  </r>
  <r>
    <n v="80"/>
    <x v="26"/>
    <e v="#N/A"/>
    <x v="6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1"/>
    <x v="21"/>
    <s v="SYED JIBRAN MUSHTAQ"/>
    <x v="6"/>
    <n v="1200"/>
    <n v="0"/>
    <n v="0"/>
    <n v="0"/>
    <n v="0"/>
    <n v="1800"/>
    <n v="0"/>
    <n v="0"/>
    <n v="0"/>
    <n v="1500"/>
    <n v="0"/>
    <n v="0"/>
    <n v="0"/>
    <n v="0"/>
    <n v="0"/>
    <n v="0"/>
    <n v="4500"/>
  </r>
  <r>
    <n v="82"/>
    <x v="34"/>
    <s v="MR. YASIR RASHEED"/>
    <x v="6"/>
    <n v="0"/>
    <n v="0"/>
    <n v="0"/>
    <n v="0"/>
    <n v="0"/>
    <n v="0"/>
    <n v="0"/>
    <n v="0"/>
    <n v="0"/>
    <n v="1500"/>
    <n v="0"/>
    <n v="0"/>
    <n v="0"/>
    <n v="0"/>
    <n v="0"/>
    <n v="0"/>
    <n v="1500"/>
  </r>
  <r>
    <n v="83"/>
    <x v="20"/>
    <s v="MR.HANIF AHSAN ZUBEDI"/>
    <x v="6"/>
    <n v="2400"/>
    <n v="0"/>
    <n v="0"/>
    <n v="0"/>
    <n v="0"/>
    <n v="6700"/>
    <n v="0"/>
    <n v="0"/>
    <n v="0"/>
    <n v="0"/>
    <n v="0"/>
    <n v="0"/>
    <n v="0"/>
    <n v="0"/>
    <n v="0"/>
    <n v="0"/>
    <n v="9100"/>
  </r>
  <r>
    <n v="84"/>
    <x v="22"/>
    <s v="KHURRAM FIRDOUS"/>
    <x v="6"/>
    <n v="0"/>
    <n v="0"/>
    <n v="0"/>
    <n v="0"/>
    <n v="0"/>
    <n v="900"/>
    <n v="0"/>
    <n v="0"/>
    <n v="0"/>
    <n v="0"/>
    <n v="0"/>
    <n v="0"/>
    <n v="0"/>
    <n v="0"/>
    <n v="0"/>
    <n v="0"/>
    <n v="900"/>
  </r>
  <r>
    <n v="85"/>
    <x v="35"/>
    <s v="MR.SYED SALMAN RAZA"/>
    <x v="6"/>
    <n v="0"/>
    <n v="0"/>
    <n v="0"/>
    <n v="0"/>
    <n v="0"/>
    <n v="900"/>
    <n v="0"/>
    <n v="0"/>
    <n v="0"/>
    <n v="0"/>
    <n v="0"/>
    <n v="0"/>
    <n v="0"/>
    <n v="0"/>
    <n v="0"/>
    <n v="0"/>
    <n v="900"/>
  </r>
  <r>
    <n v="86"/>
    <x v="26"/>
    <s v="CARD"/>
    <x v="6"/>
    <n v="0"/>
    <n v="0"/>
    <n v="0"/>
    <n v="0"/>
    <n v="0"/>
    <n v="3000"/>
    <n v="0"/>
    <n v="0"/>
    <n v="0"/>
    <n v="0"/>
    <n v="0"/>
    <n v="0"/>
    <n v="0"/>
    <n v="0"/>
    <n v="0"/>
    <n v="0"/>
    <n v="3000"/>
  </r>
  <r>
    <n v="87"/>
    <x v="36"/>
    <s v="DR.NAZEER HUSSAIN KALHORO"/>
    <x v="6"/>
    <n v="0"/>
    <n v="0"/>
    <n v="0"/>
    <n v="0"/>
    <n v="0"/>
    <n v="600"/>
    <n v="0"/>
    <n v="0"/>
    <n v="0"/>
    <n v="0"/>
    <n v="0"/>
    <n v="0"/>
    <n v="0"/>
    <n v="0"/>
    <n v="0"/>
    <n v="0"/>
    <n v="600"/>
  </r>
  <r>
    <n v="88"/>
    <x v="4"/>
    <s v="MR.ZEESHAN IQBAL"/>
    <x v="6"/>
    <n v="0"/>
    <n v="150"/>
    <n v="0"/>
    <n v="0"/>
    <n v="0"/>
    <n v="300"/>
    <n v="0"/>
    <n v="0"/>
    <n v="0"/>
    <n v="0"/>
    <n v="0"/>
    <n v="0"/>
    <n v="0"/>
    <n v="0"/>
    <n v="0"/>
    <n v="0"/>
    <n v="450"/>
  </r>
  <r>
    <n v="89"/>
    <x v="11"/>
    <s v="NASIR ABBAS"/>
    <x v="6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90"/>
    <x v="5"/>
    <s v="MR.ZAIN FAROOQ"/>
    <x v="6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91"/>
    <x v="15"/>
    <s v="MR.MUHAMMAD ATIF USMANI"/>
    <x v="6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92"/>
    <x v="30"/>
    <s v="ZAIB UR REHMAN"/>
    <x v="6"/>
    <n v="1500"/>
    <n v="0"/>
    <n v="0"/>
    <n v="0"/>
    <n v="0"/>
    <n v="0"/>
    <n v="0"/>
    <n v="0"/>
    <n v="0"/>
    <n v="0"/>
    <n v="0"/>
    <n v="0"/>
    <n v="0"/>
    <n v="0"/>
    <n v="0"/>
    <n v="0"/>
    <n v="1500"/>
  </r>
  <r>
    <n v="93"/>
    <x v="26"/>
    <s v="CARD"/>
    <x v="6"/>
    <n v="6000"/>
    <n v="0"/>
    <n v="0"/>
    <n v="0"/>
    <n v="0"/>
    <n v="0"/>
    <n v="0"/>
    <n v="0"/>
    <n v="0"/>
    <n v="0"/>
    <n v="0"/>
    <n v="0"/>
    <n v="0"/>
    <n v="0"/>
    <n v="0"/>
    <n v="0"/>
    <n v="6000"/>
  </r>
  <r>
    <n v="94"/>
    <x v="37"/>
    <s v="MR.HAFEEZ AHMED SIYAL"/>
    <x v="7"/>
    <n v="0"/>
    <n v="150"/>
    <n v="0"/>
    <n v="0"/>
    <n v="0"/>
    <n v="300"/>
    <n v="0"/>
    <n v="0"/>
    <n v="0"/>
    <n v="0"/>
    <n v="0"/>
    <n v="0"/>
    <n v="0"/>
    <n v="0"/>
    <n v="0"/>
    <n v="0"/>
    <n v="450"/>
  </r>
  <r>
    <n v="95"/>
    <x v="38"/>
    <s v="SADDAM HUSSAIN"/>
    <x v="7"/>
    <n v="0"/>
    <n v="0"/>
    <n v="0"/>
    <n v="0"/>
    <n v="0"/>
    <n v="300"/>
    <n v="0"/>
    <n v="0"/>
    <n v="0"/>
    <n v="0"/>
    <n v="0"/>
    <n v="0"/>
    <n v="0"/>
    <n v="0"/>
    <n v="0"/>
    <n v="0"/>
    <n v="300"/>
  </r>
  <r>
    <n v="96"/>
    <x v="2"/>
    <s v="MR.TARIQUE ZUBAIR"/>
    <x v="7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97"/>
    <x v="3"/>
    <s v="GM GHULAM DASTAGEER"/>
    <x v="7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98"/>
    <x v="4"/>
    <s v="MR.ZEESHAN IQBAL"/>
    <x v="7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99"/>
    <x v="10"/>
    <s v="ASIF ASHFAQ"/>
    <x v="7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100"/>
    <x v="25"/>
    <s v="MR.IMRAN WAZEER"/>
    <x v="7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01"/>
    <x v="19"/>
    <s v="DR.SANTOSH KUMAR"/>
    <x v="7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02"/>
    <x v="5"/>
    <s v="MR.ZAIN FAROOQ"/>
    <x v="7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03"/>
    <x v="6"/>
    <s v="DR.NASEEM MUNSHI"/>
    <x v="7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04"/>
    <x v="26"/>
    <e v="#N/A"/>
    <x v="8"/>
    <n v="0"/>
    <n v="0"/>
    <n v="0"/>
    <n v="0"/>
    <n v="0"/>
    <n v="0"/>
    <n v="0"/>
    <n v="0"/>
    <n v="0"/>
    <n v="0"/>
    <n v="0"/>
    <n v="12000"/>
    <n v="0"/>
    <n v="0"/>
    <n v="0"/>
    <n v="0"/>
    <n v="12000"/>
  </r>
  <r>
    <n v="105"/>
    <x v="39"/>
    <s v="MR.SAJJAD ALI"/>
    <x v="8"/>
    <n v="0"/>
    <n v="0"/>
    <n v="0"/>
    <n v="0"/>
    <n v="0"/>
    <n v="0"/>
    <n v="0"/>
    <n v="0"/>
    <n v="0"/>
    <n v="0"/>
    <n v="0"/>
    <n v="2500"/>
    <n v="0"/>
    <n v="0"/>
    <n v="0"/>
    <n v="0"/>
    <n v="2500"/>
  </r>
  <r>
    <n v="106"/>
    <x v="40"/>
    <s v="RIAZ FAZAL"/>
    <x v="8"/>
    <n v="0"/>
    <n v="0"/>
    <n v="0"/>
    <n v="0"/>
    <n v="0"/>
    <n v="0"/>
    <n v="0"/>
    <n v="0"/>
    <n v="0"/>
    <n v="0"/>
    <n v="0"/>
    <n v="6000"/>
    <n v="0"/>
    <n v="0"/>
    <n v="0"/>
    <n v="0"/>
    <n v="6000"/>
  </r>
  <r>
    <n v="107"/>
    <x v="41"/>
    <s v="HUSSAIN WAJID"/>
    <x v="8"/>
    <n v="1500"/>
    <n v="0"/>
    <n v="0"/>
    <n v="0"/>
    <n v="0"/>
    <n v="0"/>
    <n v="0"/>
    <n v="0"/>
    <n v="0"/>
    <n v="0"/>
    <n v="0"/>
    <n v="0"/>
    <n v="0"/>
    <n v="0"/>
    <n v="0"/>
    <n v="0"/>
    <n v="1500"/>
  </r>
  <r>
    <n v="108"/>
    <x v="2"/>
    <s v="MR.TARIQUE ZUBAIR"/>
    <x v="8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09"/>
    <x v="3"/>
    <s v="GM GHULAM DASTAGEER"/>
    <x v="8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10"/>
    <x v="4"/>
    <s v="MR.ZEESHAN IQBAL"/>
    <x v="8"/>
    <n v="0"/>
    <n v="450"/>
    <n v="0"/>
    <n v="0"/>
    <n v="0"/>
    <n v="0"/>
    <n v="0"/>
    <n v="0"/>
    <n v="0"/>
    <n v="0"/>
    <n v="0"/>
    <n v="0"/>
    <n v="0"/>
    <n v="0"/>
    <n v="0"/>
    <n v="0"/>
    <n v="450"/>
  </r>
  <r>
    <n v="111"/>
    <x v="19"/>
    <s v="DR.SANTOSH KUMAR"/>
    <x v="8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12"/>
    <x v="25"/>
    <s v="MR.IMRAN WAZEER"/>
    <x v="8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13"/>
    <x v="10"/>
    <s v="ASIF ASHFAQ"/>
    <x v="8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14"/>
    <x v="5"/>
    <s v="MR.ZAIN FAROOQ"/>
    <x v="8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115"/>
    <x v="11"/>
    <s v="NASIR ABBAS"/>
    <x v="8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16"/>
    <x v="7"/>
    <s v="MR.SYED MURTAZA ALI"/>
    <x v="8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17"/>
    <x v="24"/>
    <s v="MR.MUHAMMAD RIZWAN"/>
    <x v="8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18"/>
    <x v="6"/>
    <s v="DR.NASEEM MUNSHI"/>
    <x v="8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19"/>
    <x v="12"/>
    <s v="MR.PIR MUJEEB JAN SARHANDI"/>
    <x v="8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20"/>
    <x v="15"/>
    <s v="MR.MUHAMMAD ATIF USMANI"/>
    <x v="8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21"/>
    <x v="13"/>
    <s v="MR. JABIR SHAHZAD"/>
    <x v="8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22"/>
    <x v="34"/>
    <s v="MR. YASIR RASHEED"/>
    <x v="9"/>
    <n v="0"/>
    <n v="0"/>
    <n v="0"/>
    <n v="0"/>
    <n v="0"/>
    <n v="0"/>
    <n v="0"/>
    <n v="0"/>
    <n v="0"/>
    <n v="0"/>
    <n v="0"/>
    <n v="450"/>
    <n v="0"/>
    <n v="0"/>
    <n v="0"/>
    <n v="0"/>
    <n v="450"/>
  </r>
  <r>
    <n v="123"/>
    <x v="9"/>
    <s v="SHAHBAZ AHMED"/>
    <x v="9"/>
    <n v="0"/>
    <n v="300"/>
    <n v="0"/>
    <n v="0"/>
    <n v="0"/>
    <n v="300"/>
    <n v="0"/>
    <n v="0"/>
    <n v="0"/>
    <n v="0"/>
    <n v="0"/>
    <n v="2500"/>
    <n v="0"/>
    <n v="0"/>
    <n v="0"/>
    <n v="0"/>
    <n v="3100"/>
  </r>
  <r>
    <n v="124"/>
    <x v="42"/>
    <s v="MR.ASHOK KUMAR"/>
    <x v="9"/>
    <n v="0"/>
    <n v="0"/>
    <n v="0"/>
    <n v="0"/>
    <n v="0"/>
    <n v="600"/>
    <n v="1800"/>
    <n v="0"/>
    <n v="0"/>
    <n v="0"/>
    <n v="0"/>
    <n v="0"/>
    <n v="0"/>
    <n v="0"/>
    <n v="0"/>
    <n v="0"/>
    <n v="2400"/>
  </r>
  <r>
    <n v="125"/>
    <x v="25"/>
    <s v="MR.IMRAN WAZEER"/>
    <x v="9"/>
    <n v="0"/>
    <n v="150"/>
    <n v="0"/>
    <n v="0"/>
    <n v="0"/>
    <n v="0"/>
    <n v="1200"/>
    <n v="0"/>
    <n v="0"/>
    <n v="0"/>
    <n v="0"/>
    <n v="0"/>
    <n v="0"/>
    <n v="0"/>
    <n v="0"/>
    <n v="0"/>
    <n v="1350"/>
  </r>
  <r>
    <n v="126"/>
    <x v="17"/>
    <s v="SABA AHSAN"/>
    <x v="9"/>
    <n v="0"/>
    <n v="0"/>
    <n v="0"/>
    <n v="0"/>
    <n v="0"/>
    <n v="0"/>
    <n v="600"/>
    <n v="0"/>
    <n v="0"/>
    <n v="0"/>
    <n v="0"/>
    <n v="0"/>
    <n v="0"/>
    <n v="0"/>
    <n v="0"/>
    <n v="0"/>
    <n v="600"/>
  </r>
  <r>
    <n v="127"/>
    <x v="43"/>
    <s v="Heritage club"/>
    <x v="9"/>
    <n v="0"/>
    <n v="0"/>
    <n v="0"/>
    <n v="0"/>
    <n v="0"/>
    <n v="0"/>
    <n v="2400"/>
    <n v="0"/>
    <n v="0"/>
    <n v="0"/>
    <n v="0"/>
    <n v="0"/>
    <n v="0"/>
    <n v="0"/>
    <n v="0"/>
    <n v="0"/>
    <n v="2400"/>
  </r>
  <r>
    <n v="128"/>
    <x v="18"/>
    <s v="AYSM MIRZA"/>
    <x v="9"/>
    <n v="0"/>
    <n v="0"/>
    <n v="0"/>
    <n v="0"/>
    <n v="0"/>
    <n v="0"/>
    <n v="1500"/>
    <n v="0"/>
    <n v="0"/>
    <n v="0"/>
    <n v="0"/>
    <n v="0"/>
    <n v="0"/>
    <n v="0"/>
    <n v="0"/>
    <n v="0"/>
    <n v="1500"/>
  </r>
  <r>
    <n v="129"/>
    <x v="4"/>
    <s v="MR.ZEESHAN IQBAL"/>
    <x v="9"/>
    <n v="0"/>
    <n v="600"/>
    <n v="0"/>
    <n v="0"/>
    <n v="0"/>
    <n v="0"/>
    <n v="0"/>
    <n v="0"/>
    <n v="0"/>
    <n v="0"/>
    <n v="0"/>
    <n v="0"/>
    <n v="0"/>
    <n v="0"/>
    <n v="0"/>
    <n v="0"/>
    <n v="600"/>
  </r>
  <r>
    <n v="130"/>
    <x v="19"/>
    <s v="DR.SANTOSH KUMAR"/>
    <x v="9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31"/>
    <x v="10"/>
    <s v="ASIF ASHFAQ"/>
    <x v="9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132"/>
    <x v="5"/>
    <s v="MR.ZAIN FAROOQ"/>
    <x v="9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133"/>
    <x v="37"/>
    <s v="MR.HAFEEZ AHMED SIYAL"/>
    <x v="9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34"/>
    <x v="24"/>
    <s v="MR.MUHAMMAD RIZWAN"/>
    <x v="9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135"/>
    <x v="15"/>
    <s v="MR.MUHAMMAD ATIF USMANI"/>
    <x v="9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36"/>
    <x v="14"/>
    <s v="MR.SYED ABDULLAH ALI"/>
    <x v="9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37"/>
    <x v="9"/>
    <s v="SHAHBAZ AHMED"/>
    <x v="10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138"/>
    <x v="25"/>
    <s v="MR.IMRAN WAZEER"/>
    <x v="10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39"/>
    <x v="10"/>
    <s v="ASIF ASHFAQ"/>
    <x v="10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40"/>
    <x v="18"/>
    <s v="AYSM MIRZA"/>
    <x v="10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41"/>
    <x v="3"/>
    <s v="GM GHULAM DASTAGEER"/>
    <x v="10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42"/>
    <x v="2"/>
    <s v="MR.TARIQUE ZUBAIR"/>
    <x v="10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43"/>
    <x v="5"/>
    <s v="MR.ZAIN FAROOQ"/>
    <x v="10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44"/>
    <x v="6"/>
    <s v="DR.NASEEM MUNSHI"/>
    <x v="10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45"/>
    <x v="12"/>
    <s v="MR.PIR MUJEEB JAN SARHANDI"/>
    <x v="10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46"/>
    <x v="32"/>
    <s v="MR. TEHSEEN FAIZ"/>
    <x v="10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47"/>
    <x v="15"/>
    <s v="MR.MUHAMMAD ATIF USMANI"/>
    <x v="10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48"/>
    <x v="44"/>
    <s v="MR.CAREL HEDRIK BURGER"/>
    <x v="10"/>
    <n v="0"/>
    <n v="0"/>
    <n v="0"/>
    <n v="0"/>
    <n v="0"/>
    <n v="0"/>
    <n v="0"/>
    <n v="0"/>
    <n v="0"/>
    <n v="0"/>
    <n v="0"/>
    <n v="12000"/>
    <n v="0"/>
    <n v="0"/>
    <n v="0"/>
    <n v="0"/>
    <n v="12000"/>
  </r>
  <r>
    <n v="149"/>
    <x v="45"/>
    <s v="MR.GHULAM NABI OTHI"/>
    <x v="10"/>
    <n v="0"/>
    <n v="0"/>
    <n v="0"/>
    <n v="0"/>
    <n v="0"/>
    <n v="0"/>
    <n v="0"/>
    <n v="0"/>
    <n v="0"/>
    <n v="0"/>
    <n v="0"/>
    <n v="0"/>
    <n v="0"/>
    <n v="0"/>
    <n v="5000"/>
    <n v="0"/>
    <n v="5000"/>
  </r>
  <r>
    <n v="150"/>
    <x v="46"/>
    <s v="MR. KASHIF SAEED"/>
    <x v="11"/>
    <n v="0"/>
    <n v="0"/>
    <n v="0"/>
    <n v="0"/>
    <n v="0"/>
    <n v="1300"/>
    <n v="0"/>
    <n v="0"/>
    <n v="0"/>
    <n v="0"/>
    <n v="0"/>
    <n v="0"/>
    <n v="0"/>
    <n v="0"/>
    <n v="0"/>
    <n v="0"/>
    <n v="1300"/>
  </r>
  <r>
    <n v="151"/>
    <x v="16"/>
    <s v="MR.MANOJ KUMAR"/>
    <x v="11"/>
    <n v="0"/>
    <n v="0"/>
    <n v="0"/>
    <n v="0"/>
    <n v="0"/>
    <n v="2600"/>
    <n v="0"/>
    <n v="0"/>
    <n v="0"/>
    <n v="0"/>
    <n v="0"/>
    <n v="0"/>
    <n v="0"/>
    <n v="0"/>
    <n v="0"/>
    <n v="0"/>
    <n v="2600"/>
  </r>
  <r>
    <n v="152"/>
    <x v="22"/>
    <s v="KHURRAM FIRDOUS"/>
    <x v="11"/>
    <n v="0"/>
    <n v="0"/>
    <n v="0"/>
    <n v="0"/>
    <n v="0"/>
    <n v="1900"/>
    <n v="0"/>
    <n v="0"/>
    <n v="0"/>
    <n v="0"/>
    <n v="0"/>
    <n v="0"/>
    <n v="0"/>
    <n v="0"/>
    <n v="0"/>
    <n v="0"/>
    <n v="1900"/>
  </r>
  <r>
    <n v="153"/>
    <x v="7"/>
    <s v="MR.SYED MURTAZA ALI"/>
    <x v="11"/>
    <n v="0"/>
    <n v="0"/>
    <n v="150"/>
    <n v="0"/>
    <n v="0"/>
    <n v="0"/>
    <n v="0"/>
    <n v="0"/>
    <n v="0"/>
    <n v="0"/>
    <n v="0"/>
    <n v="0"/>
    <n v="0"/>
    <n v="0"/>
    <n v="0"/>
    <n v="0"/>
    <n v="150"/>
  </r>
  <r>
    <n v="154"/>
    <x v="0"/>
    <s v="MR. ZAMIR ALI SHAH"/>
    <x v="11"/>
    <n v="2700"/>
    <n v="0"/>
    <n v="0"/>
    <n v="0"/>
    <n v="0"/>
    <n v="0"/>
    <n v="0"/>
    <n v="0"/>
    <n v="0"/>
    <n v="0"/>
    <n v="0"/>
    <n v="0"/>
    <n v="0"/>
    <n v="0"/>
    <n v="0"/>
    <n v="0"/>
    <n v="2700"/>
  </r>
  <r>
    <n v="155"/>
    <x v="4"/>
    <s v="MR.ZEESHAN IQBAL"/>
    <x v="11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156"/>
    <x v="9"/>
    <s v="SHAHBAZ AHMED"/>
    <x v="11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157"/>
    <x v="5"/>
    <s v="MR.ZAIN FAROOQ"/>
    <x v="11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58"/>
    <x v="26"/>
    <e v="#N/A"/>
    <x v="11"/>
    <n v="0"/>
    <n v="150"/>
    <n v="0"/>
    <n v="0"/>
    <n v="0"/>
    <n v="0"/>
    <n v="0"/>
    <n v="0"/>
    <n v="0"/>
    <n v="0"/>
    <n v="0"/>
    <n v="0"/>
    <n v="0"/>
    <n v="0"/>
    <n v="150000"/>
    <n v="0"/>
    <n v="150150"/>
  </r>
  <r>
    <n v="159"/>
    <x v="13"/>
    <s v="MR. JABIR SHAHZAD"/>
    <x v="11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60"/>
    <x v="4"/>
    <s v="MR.ZEESHAN IQBAL"/>
    <x v="12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161"/>
    <x v="37"/>
    <s v="MR.HAFEEZ AHMED SIYAL"/>
    <x v="12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62"/>
    <x v="11"/>
    <s v="NASIR ABBAS"/>
    <x v="12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63"/>
    <x v="12"/>
    <s v="MR.PIR MUJEEB JAN SARHANDI"/>
    <x v="12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64"/>
    <x v="47"/>
    <s v="MR. FAYAZ ALI SOOMRO"/>
    <x v="12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65"/>
    <x v="10"/>
    <s v="ASIF ASHFAQ"/>
    <x v="12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166"/>
    <x v="21"/>
    <s v="SYED JIBRAN MUSHTAQ"/>
    <x v="12"/>
    <n v="0"/>
    <n v="0"/>
    <n v="0"/>
    <n v="0"/>
    <n v="0"/>
    <n v="0"/>
    <n v="0"/>
    <n v="0"/>
    <n v="0"/>
    <n v="0"/>
    <n v="0"/>
    <n v="11500"/>
    <n v="0"/>
    <n v="0"/>
    <n v="0"/>
    <n v="0"/>
    <n v="11500"/>
  </r>
  <r>
    <n v="167"/>
    <x v="33"/>
    <s v="MR. HASAN KARIM"/>
    <x v="12"/>
    <n v="0"/>
    <n v="0"/>
    <n v="0"/>
    <n v="0"/>
    <n v="0"/>
    <n v="0"/>
    <n v="300"/>
    <n v="0"/>
    <n v="0"/>
    <n v="0"/>
    <n v="0"/>
    <n v="0"/>
    <n v="0"/>
    <n v="0"/>
    <n v="0"/>
    <n v="0"/>
    <n v="300"/>
  </r>
  <r>
    <n v="168"/>
    <x v="48"/>
    <s v="MR.QAMARUZZAMAN"/>
    <x v="12"/>
    <n v="600"/>
    <n v="0"/>
    <n v="0"/>
    <n v="0"/>
    <n v="0"/>
    <n v="0"/>
    <n v="0"/>
    <n v="0"/>
    <n v="0"/>
    <n v="0"/>
    <n v="0"/>
    <n v="0"/>
    <n v="0"/>
    <n v="0"/>
    <n v="0"/>
    <n v="0"/>
    <n v="600"/>
  </r>
  <r>
    <n v="169"/>
    <x v="30"/>
    <s v="ZAIB UR REHMAN"/>
    <x v="12"/>
    <n v="0"/>
    <n v="0"/>
    <n v="0"/>
    <n v="0"/>
    <n v="0"/>
    <n v="900"/>
    <n v="0"/>
    <n v="0"/>
    <n v="0"/>
    <n v="0"/>
    <n v="0"/>
    <n v="0"/>
    <n v="0"/>
    <n v="0"/>
    <n v="0"/>
    <n v="0"/>
    <n v="900"/>
  </r>
  <r>
    <n v="170"/>
    <x v="34"/>
    <s v="MR. YASIR RASHEED"/>
    <x v="12"/>
    <n v="0"/>
    <n v="0"/>
    <n v="0"/>
    <n v="0"/>
    <n v="0"/>
    <n v="600"/>
    <n v="0"/>
    <n v="0"/>
    <n v="0"/>
    <n v="0"/>
    <n v="0"/>
    <n v="0"/>
    <n v="0"/>
    <n v="0"/>
    <n v="0"/>
    <n v="0"/>
    <n v="600"/>
  </r>
  <r>
    <n v="171"/>
    <x v="20"/>
    <s v="MR.HANIF AHSAN ZUBEDI"/>
    <x v="12"/>
    <n v="0"/>
    <n v="0"/>
    <n v="0"/>
    <n v="0"/>
    <n v="0"/>
    <n v="1100"/>
    <n v="0"/>
    <n v="0"/>
    <n v="0"/>
    <n v="0"/>
    <n v="0"/>
    <n v="0"/>
    <n v="0"/>
    <n v="0"/>
    <n v="0"/>
    <n v="0"/>
    <n v="1100"/>
  </r>
  <r>
    <n v="172"/>
    <x v="25"/>
    <s v="MR.IMRAN WAZEER"/>
    <x v="12"/>
    <n v="0"/>
    <n v="0"/>
    <n v="0"/>
    <n v="0"/>
    <n v="0"/>
    <n v="900"/>
    <n v="0"/>
    <n v="0"/>
    <n v="0"/>
    <n v="0"/>
    <n v="0"/>
    <n v="0"/>
    <n v="0"/>
    <n v="0"/>
    <n v="0"/>
    <n v="0"/>
    <n v="900"/>
  </r>
  <r>
    <n v="173"/>
    <x v="48"/>
    <s v="MR.QAMARUZZAMAN"/>
    <x v="12"/>
    <n v="1200"/>
    <n v="0"/>
    <n v="0"/>
    <n v="0"/>
    <n v="0"/>
    <n v="500"/>
    <n v="0"/>
    <n v="0"/>
    <n v="0"/>
    <n v="0"/>
    <n v="0"/>
    <n v="0"/>
    <n v="0"/>
    <n v="0"/>
    <n v="0"/>
    <n v="0"/>
    <n v="1700"/>
  </r>
  <r>
    <n v="174"/>
    <x v="49"/>
    <s v="MR. AYAZ JAMRO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5"/>
    <x v="25"/>
    <s v="MR.IMRAN WAZEER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6"/>
    <x v="50"/>
    <s v="MRS. HASSAN RAFI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7"/>
    <x v="34"/>
    <s v="MR. YASIR RASHEED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8"/>
    <x v="21"/>
    <s v="SYED JIBRAN MUSHTAQ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9"/>
    <x v="51"/>
    <s v="MR. GHULAM MUSTAFA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0"/>
    <x v="42"/>
    <s v="MR.ASHOK KUMAR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1"/>
    <x v="52"/>
    <s v="MR. RAJESH KUMAR CHAWLA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2"/>
    <x v="28"/>
    <s v="MR. ZAHIR REHMAN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3"/>
    <x v="45"/>
    <s v="MR.GHULAM NABI OTHI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4"/>
    <x v="23"/>
    <s v="AAMIR RASOOL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5"/>
    <x v="12"/>
    <s v="MR.PIR MUJEEB JAN SARHANDI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6"/>
    <x v="36"/>
    <s v="DR.NAZEER HUSSAIN KALHORO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7"/>
    <x v="53"/>
    <s v="MR.DILEEP KUMAR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8"/>
    <x v="54"/>
    <s v="MR.NIZAM UDDIN NIZAMANI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9"/>
    <x v="26"/>
    <s v="CASH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90"/>
    <x v="26"/>
    <s v="CARD"/>
    <x v="1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91"/>
    <x v="5"/>
    <s v="MR.ZAIN FAROOQ"/>
    <x v="12"/>
    <n v="0"/>
    <n v="0"/>
    <n v="0"/>
    <n v="0"/>
    <n v="0"/>
    <n v="0"/>
    <n v="0"/>
    <n v="0"/>
    <n v="0"/>
    <n v="0"/>
    <n v="0"/>
    <n v="0"/>
    <n v="0"/>
    <n v="0"/>
    <n v="0"/>
    <n v="4000"/>
    <n v="4000"/>
  </r>
  <r>
    <n v="192"/>
    <x v="37"/>
    <s v="MR.HAFEEZ AHMED SIYAL"/>
    <x v="12"/>
    <n v="0"/>
    <n v="0"/>
    <n v="0"/>
    <n v="0"/>
    <n v="0"/>
    <n v="0"/>
    <n v="0"/>
    <n v="0"/>
    <n v="0"/>
    <n v="0"/>
    <n v="0"/>
    <n v="0"/>
    <n v="0"/>
    <n v="0"/>
    <n v="0"/>
    <n v="4000"/>
    <n v="4000"/>
  </r>
  <r>
    <n v="193"/>
    <x v="55"/>
    <s v="CAPT.HAMID UZ ZAFAR"/>
    <x v="12"/>
    <n v="0"/>
    <n v="0"/>
    <n v="0"/>
    <n v="0"/>
    <n v="0"/>
    <n v="0"/>
    <n v="0"/>
    <n v="0"/>
    <n v="0"/>
    <n v="0"/>
    <n v="0"/>
    <n v="0"/>
    <n v="0"/>
    <n v="0"/>
    <n v="0"/>
    <n v="9500"/>
    <n v="9500"/>
  </r>
  <r>
    <n v="194"/>
    <x v="6"/>
    <s v="DR.NASEEM MUNSHI"/>
    <x v="12"/>
    <n v="0"/>
    <n v="0"/>
    <n v="0"/>
    <n v="0"/>
    <n v="0"/>
    <n v="0"/>
    <n v="0"/>
    <n v="0"/>
    <n v="0"/>
    <n v="0"/>
    <n v="0"/>
    <n v="0"/>
    <n v="0"/>
    <n v="0"/>
    <n v="0"/>
    <n v="2000"/>
    <n v="2000"/>
  </r>
  <r>
    <n v="195"/>
    <x v="12"/>
    <s v="MR.PIR MUJEEB JAN SARHANDI"/>
    <x v="12"/>
    <n v="0"/>
    <n v="0"/>
    <n v="0"/>
    <n v="0"/>
    <n v="0"/>
    <n v="0"/>
    <n v="0"/>
    <n v="0"/>
    <n v="0"/>
    <n v="0"/>
    <n v="0"/>
    <n v="0"/>
    <n v="0"/>
    <n v="0"/>
    <n v="0"/>
    <n v="2000"/>
    <n v="2000"/>
  </r>
  <r>
    <n v="196"/>
    <x v="56"/>
    <s v="DGM FATIMA ZAHID"/>
    <x v="12"/>
    <n v="0"/>
    <n v="0"/>
    <n v="0"/>
    <n v="0"/>
    <n v="0"/>
    <n v="0"/>
    <n v="0"/>
    <n v="0"/>
    <n v="0"/>
    <n v="0"/>
    <n v="0"/>
    <n v="0"/>
    <n v="0"/>
    <n v="0"/>
    <n v="0"/>
    <n v="19500"/>
    <n v="19500"/>
  </r>
  <r>
    <n v="197"/>
    <x v="57"/>
    <s v="MUHAMMAD EBRAHIM TIWANA"/>
    <x v="12"/>
    <n v="0"/>
    <n v="0"/>
    <n v="0"/>
    <n v="0"/>
    <n v="0"/>
    <n v="0"/>
    <n v="0"/>
    <n v="0"/>
    <n v="0"/>
    <n v="0"/>
    <n v="0"/>
    <n v="0"/>
    <n v="0"/>
    <n v="0"/>
    <n v="0"/>
    <n v="9000"/>
    <n v="9000"/>
  </r>
  <r>
    <n v="198"/>
    <x v="49"/>
    <s v="MR. AYAZ JAMRO"/>
    <x v="12"/>
    <n v="0"/>
    <n v="0"/>
    <n v="0"/>
    <n v="0"/>
    <n v="0"/>
    <n v="0"/>
    <n v="0"/>
    <n v="0"/>
    <n v="0"/>
    <n v="0"/>
    <n v="0"/>
    <n v="0"/>
    <n v="0"/>
    <n v="0"/>
    <n v="0"/>
    <n v="7000"/>
    <n v="7000"/>
  </r>
  <r>
    <n v="199"/>
    <x v="4"/>
    <s v="MR.ZEESHAN IQBAL"/>
    <x v="12"/>
    <n v="0"/>
    <n v="0"/>
    <n v="0"/>
    <n v="0"/>
    <n v="0"/>
    <n v="0"/>
    <n v="0"/>
    <n v="0"/>
    <n v="0"/>
    <n v="0"/>
    <n v="0"/>
    <n v="0"/>
    <n v="0"/>
    <n v="0"/>
    <n v="0"/>
    <n v="4000"/>
    <n v="4000"/>
  </r>
  <r>
    <n v="200"/>
    <x v="58"/>
    <s v="MR.MUHAMMAD HANIF"/>
    <x v="12"/>
    <n v="0"/>
    <n v="0"/>
    <n v="0"/>
    <n v="0"/>
    <n v="0"/>
    <n v="0"/>
    <n v="0"/>
    <n v="0"/>
    <n v="0"/>
    <n v="0"/>
    <n v="0"/>
    <n v="0"/>
    <n v="0"/>
    <n v="0"/>
    <n v="0"/>
    <n v="5000"/>
    <n v="5000"/>
  </r>
  <r>
    <n v="201"/>
    <x v="8"/>
    <s v="DGM AZFAR ALI"/>
    <x v="12"/>
    <n v="0"/>
    <n v="0"/>
    <n v="0"/>
    <n v="0"/>
    <n v="0"/>
    <n v="0"/>
    <n v="0"/>
    <n v="0"/>
    <n v="0"/>
    <n v="0"/>
    <n v="0"/>
    <n v="0"/>
    <n v="0"/>
    <n v="0"/>
    <n v="0"/>
    <n v="4000"/>
    <n v="4000"/>
  </r>
  <r>
    <n v="202"/>
    <x v="36"/>
    <s v="DR.NAZEER HUSSAIN KALHORO"/>
    <x v="12"/>
    <n v="0"/>
    <n v="0"/>
    <n v="0"/>
    <n v="0"/>
    <n v="0"/>
    <n v="0"/>
    <n v="0"/>
    <n v="0"/>
    <n v="0"/>
    <n v="0"/>
    <n v="0"/>
    <n v="0"/>
    <n v="0"/>
    <n v="0"/>
    <n v="0"/>
    <n v="4500"/>
    <n v="4500"/>
  </r>
  <r>
    <n v="203"/>
    <x v="20"/>
    <s v="MR.HANIF AHSAN ZUBEDI"/>
    <x v="12"/>
    <n v="0"/>
    <n v="0"/>
    <n v="0"/>
    <n v="0"/>
    <n v="0"/>
    <n v="0"/>
    <n v="0"/>
    <n v="0"/>
    <n v="0"/>
    <n v="0"/>
    <n v="0"/>
    <n v="0"/>
    <n v="0"/>
    <n v="0"/>
    <n v="0"/>
    <n v="4500"/>
    <n v="4500"/>
  </r>
  <r>
    <n v="204"/>
    <x v="1"/>
    <s v="MR.MUIED AHMED DURRANI"/>
    <x v="12"/>
    <n v="0"/>
    <n v="0"/>
    <n v="0"/>
    <n v="0"/>
    <n v="0"/>
    <n v="0"/>
    <n v="0"/>
    <n v="0"/>
    <n v="0"/>
    <n v="0"/>
    <n v="0"/>
    <n v="0"/>
    <n v="0"/>
    <n v="0"/>
    <n v="0"/>
    <n v="7000"/>
    <n v="7000"/>
  </r>
  <r>
    <n v="205"/>
    <x v="25"/>
    <s v="MR.IMRAN WAZEER"/>
    <x v="12"/>
    <n v="0"/>
    <n v="0"/>
    <n v="0"/>
    <n v="0"/>
    <n v="0"/>
    <n v="0"/>
    <n v="0"/>
    <n v="0"/>
    <n v="0"/>
    <n v="0"/>
    <n v="0"/>
    <n v="0"/>
    <n v="0"/>
    <n v="0"/>
    <n v="0"/>
    <n v="2000"/>
    <n v="2000"/>
  </r>
  <r>
    <n v="206"/>
    <x v="59"/>
    <s v="MRS RIFFAT ZULFIQAR"/>
    <x v="12"/>
    <n v="0"/>
    <n v="0"/>
    <n v="0"/>
    <n v="0"/>
    <n v="0"/>
    <n v="0"/>
    <n v="0"/>
    <n v="0"/>
    <n v="0"/>
    <n v="0"/>
    <n v="0"/>
    <n v="0"/>
    <n v="0"/>
    <n v="0"/>
    <n v="0"/>
    <n v="40000"/>
    <n v="40000"/>
  </r>
  <r>
    <n v="207"/>
    <x v="51"/>
    <s v="MR. GHULAM MUSTAFA"/>
    <x v="12"/>
    <n v="0"/>
    <n v="0"/>
    <n v="0"/>
    <n v="0"/>
    <n v="0"/>
    <n v="0"/>
    <n v="0"/>
    <n v="0"/>
    <n v="0"/>
    <n v="0"/>
    <n v="0"/>
    <n v="0"/>
    <n v="0"/>
    <n v="0"/>
    <n v="0"/>
    <n v="15000"/>
    <n v="15000"/>
  </r>
  <r>
    <n v="208"/>
    <x v="40"/>
    <s v="RIAZ FAZAL"/>
    <x v="13"/>
    <n v="0"/>
    <n v="0"/>
    <n v="0"/>
    <n v="0"/>
    <n v="0"/>
    <n v="0"/>
    <n v="0"/>
    <n v="0"/>
    <n v="0"/>
    <n v="0"/>
    <n v="5500"/>
    <n v="0"/>
    <n v="0"/>
    <n v="0"/>
    <n v="0"/>
    <n v="0"/>
    <n v="5500"/>
  </r>
  <r>
    <n v="209"/>
    <x v="23"/>
    <s v="AAMIR RASOOL"/>
    <x v="13"/>
    <n v="0"/>
    <n v="0"/>
    <n v="0"/>
    <n v="600"/>
    <n v="0"/>
    <n v="600"/>
    <n v="0"/>
    <n v="0"/>
    <n v="0"/>
    <n v="0"/>
    <n v="0"/>
    <n v="0"/>
    <n v="0"/>
    <n v="0"/>
    <n v="0"/>
    <n v="0"/>
    <n v="1200"/>
  </r>
  <r>
    <n v="210"/>
    <x v="26"/>
    <s v="cash"/>
    <x v="13"/>
    <n v="0"/>
    <n v="0"/>
    <n v="0"/>
    <n v="0"/>
    <n v="0"/>
    <n v="0"/>
    <n v="0"/>
    <n v="0"/>
    <n v="0"/>
    <n v="0"/>
    <n v="0"/>
    <n v="20000"/>
    <n v="0"/>
    <n v="0"/>
    <n v="0"/>
    <n v="0"/>
    <n v="20000"/>
  </r>
  <r>
    <n v="211"/>
    <x v="26"/>
    <s v="cash"/>
    <x v="13"/>
    <n v="0"/>
    <n v="0"/>
    <n v="0"/>
    <n v="0"/>
    <n v="0"/>
    <n v="500"/>
    <n v="0"/>
    <n v="0"/>
    <n v="0"/>
    <n v="0"/>
    <n v="0"/>
    <n v="0"/>
    <n v="0"/>
    <n v="0"/>
    <n v="0"/>
    <n v="0"/>
    <n v="500"/>
  </r>
  <r>
    <n v="212"/>
    <x v="5"/>
    <s v="MR.ZAIN FAROOQ"/>
    <x v="13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13"/>
    <x v="37"/>
    <s v="MR.HAFEEZ AHMED SIYAL"/>
    <x v="13"/>
    <n v="0"/>
    <n v="150"/>
    <n v="0"/>
    <n v="0"/>
    <n v="0"/>
    <n v="300"/>
    <n v="0"/>
    <n v="0"/>
    <n v="0"/>
    <n v="0"/>
    <n v="0"/>
    <n v="0"/>
    <n v="0"/>
    <n v="0"/>
    <n v="0"/>
    <n v="0"/>
    <n v="450"/>
  </r>
  <r>
    <n v="214"/>
    <x v="55"/>
    <s v="CAPT.HAMID UZ ZAFAR"/>
    <x v="13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215"/>
    <x v="6"/>
    <s v="DR.NASEEM MUNSHI"/>
    <x v="13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16"/>
    <x v="12"/>
    <s v="MR.PIR MUJEEB JAN SARHANDI"/>
    <x v="13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17"/>
    <x v="56"/>
    <s v="DGM FATIMA ZAHID"/>
    <x v="13"/>
    <n v="2400"/>
    <n v="0"/>
    <n v="0"/>
    <n v="0"/>
    <n v="0"/>
    <n v="300"/>
    <n v="0"/>
    <n v="0"/>
    <n v="0"/>
    <n v="0"/>
    <n v="0"/>
    <n v="0"/>
    <n v="0"/>
    <n v="0"/>
    <n v="0"/>
    <n v="0"/>
    <n v="2700"/>
  </r>
  <r>
    <n v="218"/>
    <x v="57"/>
    <s v="MUHAMMAD EBRAHIM TIWANA"/>
    <x v="13"/>
    <n v="0"/>
    <n v="0"/>
    <n v="0"/>
    <n v="0"/>
    <n v="0"/>
    <n v="600"/>
    <n v="0"/>
    <n v="0"/>
    <n v="0"/>
    <n v="0"/>
    <n v="0"/>
    <n v="0"/>
    <n v="0"/>
    <n v="0"/>
    <n v="0"/>
    <n v="0"/>
    <n v="600"/>
  </r>
  <r>
    <n v="219"/>
    <x v="49"/>
    <s v="MR. AYAZ JAMRO"/>
    <x v="13"/>
    <n v="0"/>
    <n v="0"/>
    <n v="0"/>
    <n v="0"/>
    <n v="0"/>
    <n v="600"/>
    <n v="0"/>
    <n v="0"/>
    <n v="0"/>
    <n v="0"/>
    <n v="0"/>
    <n v="0"/>
    <n v="0"/>
    <n v="0"/>
    <n v="0"/>
    <n v="0"/>
    <n v="600"/>
  </r>
  <r>
    <n v="220"/>
    <x v="4"/>
    <s v="MR.ZEESHAN IQBAL"/>
    <x v="13"/>
    <n v="0"/>
    <n v="150"/>
    <n v="0"/>
    <n v="0"/>
    <n v="0"/>
    <n v="2000"/>
    <n v="0"/>
    <n v="0"/>
    <n v="0"/>
    <n v="0"/>
    <n v="0"/>
    <n v="0"/>
    <n v="0"/>
    <n v="0"/>
    <n v="0"/>
    <n v="0"/>
    <n v="2150"/>
  </r>
  <r>
    <n v="221"/>
    <x v="58"/>
    <s v="MR.MUHAMMAD HANIF"/>
    <x v="13"/>
    <n v="0"/>
    <n v="0"/>
    <n v="0"/>
    <n v="0"/>
    <n v="0"/>
    <n v="1500"/>
    <n v="0"/>
    <n v="0"/>
    <n v="0"/>
    <n v="0"/>
    <n v="0"/>
    <n v="0"/>
    <n v="0"/>
    <n v="0"/>
    <n v="0"/>
    <n v="0"/>
    <n v="1500"/>
  </r>
  <r>
    <n v="222"/>
    <x v="8"/>
    <s v="DGM AZFAR ALI"/>
    <x v="13"/>
    <n v="1200"/>
    <n v="0"/>
    <n v="0"/>
    <n v="0"/>
    <n v="0"/>
    <n v="2100"/>
    <n v="0"/>
    <n v="0"/>
    <n v="0"/>
    <n v="0"/>
    <n v="0"/>
    <n v="0"/>
    <n v="0"/>
    <n v="0"/>
    <n v="0"/>
    <n v="0"/>
    <n v="3300"/>
  </r>
  <r>
    <n v="223"/>
    <x v="36"/>
    <s v="DR.NAZEER HUSSAIN KALHORO"/>
    <x v="13"/>
    <n v="0"/>
    <n v="0"/>
    <n v="0"/>
    <n v="0"/>
    <n v="0"/>
    <n v="1400"/>
    <n v="0"/>
    <n v="0"/>
    <n v="0"/>
    <n v="0"/>
    <n v="0"/>
    <n v="0"/>
    <n v="0"/>
    <n v="0"/>
    <n v="0"/>
    <n v="0"/>
    <n v="1400"/>
  </r>
  <r>
    <n v="224"/>
    <x v="20"/>
    <s v="MR.HANIF AHSAN ZUBEDI"/>
    <x v="13"/>
    <n v="300"/>
    <n v="0"/>
    <n v="0"/>
    <n v="300"/>
    <n v="0"/>
    <n v="2100"/>
    <n v="0"/>
    <n v="0"/>
    <n v="0"/>
    <n v="0"/>
    <n v="0"/>
    <n v="0"/>
    <n v="0"/>
    <n v="0"/>
    <n v="0"/>
    <n v="0"/>
    <n v="2700"/>
  </r>
  <r>
    <n v="225"/>
    <x v="1"/>
    <s v="MR.MUIED AHMED DURRANI"/>
    <x v="13"/>
    <n v="0"/>
    <n v="0"/>
    <n v="0"/>
    <n v="0"/>
    <n v="0"/>
    <n v="300"/>
    <n v="0"/>
    <n v="0"/>
    <n v="0"/>
    <n v="0"/>
    <n v="0"/>
    <n v="0"/>
    <n v="0"/>
    <n v="0"/>
    <n v="0"/>
    <n v="0"/>
    <n v="300"/>
  </r>
  <r>
    <n v="226"/>
    <x v="25"/>
    <s v="MR.IMRAN WAZEER"/>
    <x v="13"/>
    <n v="2400"/>
    <n v="0"/>
    <n v="0"/>
    <n v="0"/>
    <n v="0"/>
    <n v="0"/>
    <n v="0"/>
    <n v="0"/>
    <n v="0"/>
    <n v="0"/>
    <n v="0"/>
    <n v="0"/>
    <n v="0"/>
    <n v="0"/>
    <n v="0"/>
    <n v="0"/>
    <n v="2400"/>
  </r>
  <r>
    <n v="227"/>
    <x v="59"/>
    <s v="MRS RIFFAT ZULFIQAR"/>
    <x v="13"/>
    <n v="4200"/>
    <n v="0"/>
    <n v="0"/>
    <n v="0"/>
    <n v="0"/>
    <n v="0"/>
    <n v="0"/>
    <n v="0"/>
    <n v="0"/>
    <n v="0"/>
    <n v="0"/>
    <n v="0"/>
    <n v="0"/>
    <n v="0"/>
    <n v="0"/>
    <n v="0"/>
    <n v="4200"/>
  </r>
  <r>
    <n v="228"/>
    <x v="51"/>
    <s v="MR. GHULAM MUSTAFA"/>
    <x v="13"/>
    <n v="1800"/>
    <n v="0"/>
    <n v="0"/>
    <n v="0"/>
    <n v="0"/>
    <n v="0"/>
    <n v="0"/>
    <n v="0"/>
    <n v="0"/>
    <n v="0"/>
    <n v="0"/>
    <n v="0"/>
    <n v="0"/>
    <n v="0"/>
    <n v="0"/>
    <n v="0"/>
    <n v="1800"/>
  </r>
  <r>
    <n v="229"/>
    <x v="32"/>
    <s v="MR. TEHSEEN FAIZ"/>
    <x v="14"/>
    <n v="0"/>
    <n v="0"/>
    <n v="0"/>
    <n v="0"/>
    <n v="0"/>
    <n v="0"/>
    <n v="900"/>
    <n v="0"/>
    <n v="0"/>
    <n v="0"/>
    <n v="0"/>
    <n v="0"/>
    <n v="0"/>
    <n v="0"/>
    <n v="0"/>
    <n v="0"/>
    <n v="900"/>
  </r>
  <r>
    <n v="230"/>
    <x v="19"/>
    <s v="DR.SANTOSH KUMAR"/>
    <x v="14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31"/>
    <x v="3"/>
    <s v="GM GHULAM DASTAGEER"/>
    <x v="14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32"/>
    <x v="9"/>
    <s v="SHAHBAZ AHMED"/>
    <x v="14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233"/>
    <x v="25"/>
    <s v="MR.IMRAN WAZEER"/>
    <x v="14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34"/>
    <x v="18"/>
    <s v="AYSM MIRZA"/>
    <x v="14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35"/>
    <x v="12"/>
    <s v="MR.PIR MUJEEB JAN SARHANDI"/>
    <x v="14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36"/>
    <x v="6"/>
    <s v="DR.NASEEM MUNSHI"/>
    <x v="14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37"/>
    <x v="26"/>
    <s v="CARD"/>
    <x v="15"/>
    <n v="0"/>
    <n v="0"/>
    <n v="0"/>
    <n v="0"/>
    <n v="0"/>
    <n v="0"/>
    <n v="0"/>
    <n v="0"/>
    <n v="0"/>
    <n v="0"/>
    <n v="0"/>
    <n v="2000"/>
    <n v="0"/>
    <n v="0"/>
    <n v="0"/>
    <n v="0"/>
    <n v="2000"/>
  </r>
  <r>
    <n v="238"/>
    <x v="4"/>
    <s v="MR.ZEESHAN IQBAL"/>
    <x v="15"/>
    <n v="0"/>
    <n v="450"/>
    <n v="0"/>
    <n v="0"/>
    <n v="0"/>
    <n v="0"/>
    <n v="0"/>
    <n v="0"/>
    <n v="0"/>
    <n v="0"/>
    <n v="0"/>
    <n v="0"/>
    <n v="0"/>
    <n v="0"/>
    <n v="0"/>
    <n v="0"/>
    <n v="450"/>
  </r>
  <r>
    <n v="239"/>
    <x v="9"/>
    <s v="SHAHBAZ AHMED"/>
    <x v="15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240"/>
    <x v="25"/>
    <s v="MR.IMRAN WAZEER"/>
    <x v="15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41"/>
    <x v="47"/>
    <s v="MR. FAYAZ ALI SOOMRO"/>
    <x v="15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42"/>
    <x v="5"/>
    <s v="MR.ZAIN FAROOQ"/>
    <x v="15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43"/>
    <x v="7"/>
    <s v="MR.SYED MURTAZA ALI"/>
    <x v="15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44"/>
    <x v="12"/>
    <s v="MR.PIR MUJEEB JAN SARHANDI"/>
    <x v="15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45"/>
    <x v="15"/>
    <s v="MR.MUHAMMAD ATIF USMANI"/>
    <x v="15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46"/>
    <x v="37"/>
    <s v="MR.HAFEEZ AHMED SIYAL"/>
    <x v="15"/>
    <n v="0"/>
    <n v="150"/>
    <n v="0"/>
    <n v="0"/>
    <n v="0"/>
    <n v="300"/>
    <n v="0"/>
    <n v="0"/>
    <n v="0"/>
    <n v="0"/>
    <n v="0"/>
    <n v="0"/>
    <n v="0"/>
    <n v="0"/>
    <n v="0"/>
    <n v="0"/>
    <n v="450"/>
  </r>
  <r>
    <n v="247"/>
    <x v="60"/>
    <s v="MR.ZULQARNAIN"/>
    <x v="15"/>
    <n v="1500"/>
    <n v="0"/>
    <n v="0"/>
    <n v="0"/>
    <n v="0"/>
    <n v="0"/>
    <n v="0"/>
    <n v="0"/>
    <n v="0"/>
    <n v="0"/>
    <n v="0"/>
    <n v="0"/>
    <n v="0"/>
    <n v="0"/>
    <n v="0"/>
    <n v="0"/>
    <n v="1500"/>
  </r>
  <r>
    <n v="248"/>
    <x v="61"/>
    <s v="MR.BILAL AHMED"/>
    <x v="15"/>
    <n v="0"/>
    <n v="0"/>
    <n v="0"/>
    <n v="0"/>
    <n v="0"/>
    <n v="500"/>
    <n v="0"/>
    <n v="0"/>
    <n v="0"/>
    <n v="0"/>
    <n v="0"/>
    <n v="0"/>
    <n v="0"/>
    <n v="0"/>
    <n v="0"/>
    <n v="0"/>
    <n v="500"/>
  </r>
  <r>
    <n v="249"/>
    <x v="43"/>
    <s v="Heritage club"/>
    <x v="16"/>
    <n v="0"/>
    <n v="0"/>
    <n v="0"/>
    <n v="0"/>
    <n v="0"/>
    <n v="0"/>
    <n v="0"/>
    <n v="0"/>
    <n v="0"/>
    <n v="0"/>
    <n v="6000"/>
    <n v="0"/>
    <n v="0"/>
    <n v="0"/>
    <n v="0"/>
    <n v="0"/>
    <n v="6000"/>
  </r>
  <r>
    <n v="250"/>
    <x v="26"/>
    <s v="CARD"/>
    <x v="16"/>
    <n v="0"/>
    <n v="0"/>
    <n v="0"/>
    <n v="0"/>
    <n v="0"/>
    <n v="0"/>
    <n v="2600"/>
    <n v="0"/>
    <n v="0"/>
    <n v="0"/>
    <n v="0"/>
    <n v="0"/>
    <n v="0"/>
    <n v="0"/>
    <n v="0"/>
    <n v="0"/>
    <n v="2600"/>
  </r>
  <r>
    <n v="251"/>
    <x v="62"/>
    <s v="MR.SHAN ELAHI SEHGAL"/>
    <x v="16"/>
    <n v="0"/>
    <n v="0"/>
    <n v="0"/>
    <n v="0"/>
    <n v="0"/>
    <n v="0"/>
    <n v="900"/>
    <n v="0"/>
    <n v="0"/>
    <n v="0"/>
    <n v="0"/>
    <n v="0"/>
    <n v="0"/>
    <n v="0"/>
    <n v="0"/>
    <n v="0"/>
    <n v="900"/>
  </r>
  <r>
    <n v="252"/>
    <x v="25"/>
    <s v="MR.IMRAN WAZEER"/>
    <x v="16"/>
    <n v="0"/>
    <n v="0"/>
    <n v="0"/>
    <n v="0"/>
    <n v="0"/>
    <n v="0"/>
    <n v="600"/>
    <n v="0"/>
    <n v="0"/>
    <n v="0"/>
    <n v="0"/>
    <n v="0"/>
    <n v="0"/>
    <n v="0"/>
    <n v="0"/>
    <n v="0"/>
    <n v="600"/>
  </r>
  <r>
    <n v="253"/>
    <x v="5"/>
    <s v="MR.ZAIN FAROOQ"/>
    <x v="16"/>
    <n v="0"/>
    <n v="300"/>
    <n v="0"/>
    <n v="0"/>
    <n v="0"/>
    <n v="0"/>
    <n v="600"/>
    <n v="0"/>
    <n v="0"/>
    <n v="0"/>
    <n v="0"/>
    <n v="0"/>
    <n v="0"/>
    <n v="0"/>
    <n v="0"/>
    <n v="0"/>
    <n v="900"/>
  </r>
  <r>
    <n v="254"/>
    <x v="44"/>
    <s v="MR.CAREL HEDRIK BURGER"/>
    <x v="16"/>
    <n v="0"/>
    <n v="0"/>
    <n v="0"/>
    <n v="0"/>
    <n v="0"/>
    <n v="0"/>
    <n v="0"/>
    <n v="0"/>
    <n v="0"/>
    <n v="0"/>
    <n v="0"/>
    <n v="6000"/>
    <n v="0"/>
    <n v="0"/>
    <n v="0"/>
    <n v="0"/>
    <n v="6000"/>
  </r>
  <r>
    <n v="255"/>
    <x v="10"/>
    <s v="ASIF ASHFAQ"/>
    <x v="16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56"/>
    <x v="19"/>
    <s v="DR.SANTOSH KUMAR"/>
    <x v="16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57"/>
    <x v="4"/>
    <s v="MR.ZEESHAN IQBAL"/>
    <x v="16"/>
    <n v="0"/>
    <n v="450"/>
    <n v="0"/>
    <n v="0"/>
    <n v="0"/>
    <n v="0"/>
    <n v="0"/>
    <n v="0"/>
    <n v="0"/>
    <n v="0"/>
    <n v="0"/>
    <n v="0"/>
    <n v="0"/>
    <n v="0"/>
    <n v="0"/>
    <n v="0"/>
    <n v="450"/>
  </r>
  <r>
    <n v="258"/>
    <x v="9"/>
    <s v="SHAHBAZ AHMED"/>
    <x v="16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259"/>
    <x v="24"/>
    <s v="MR.MUHAMMAD RIZWAN"/>
    <x v="16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260"/>
    <x v="59"/>
    <s v="MRS RIFFAT ZULFIQAR"/>
    <x v="16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61"/>
    <x v="63"/>
    <s v="MR. AIJAZ ALI BALOCH"/>
    <x v="16"/>
    <n v="0"/>
    <n v="0"/>
    <n v="0"/>
    <n v="0"/>
    <n v="0"/>
    <n v="2000"/>
    <n v="0"/>
    <n v="0"/>
    <n v="0"/>
    <n v="0"/>
    <n v="0"/>
    <n v="0"/>
    <n v="0"/>
    <n v="0"/>
    <n v="0"/>
    <n v="0"/>
    <n v="2000"/>
  </r>
  <r>
    <n v="262"/>
    <x v="51"/>
    <s v="MR. GHULAM MUSTAFA"/>
    <x v="16"/>
    <n v="0"/>
    <n v="0"/>
    <n v="0"/>
    <n v="0"/>
    <n v="0"/>
    <n v="2000"/>
    <n v="0"/>
    <n v="0"/>
    <n v="0"/>
    <n v="0"/>
    <n v="0"/>
    <n v="0"/>
    <n v="0"/>
    <n v="0"/>
    <n v="0"/>
    <n v="0"/>
    <n v="2000"/>
  </r>
  <r>
    <n v="263"/>
    <x v="43"/>
    <s v="Heritage club"/>
    <x v="17"/>
    <n v="0"/>
    <n v="0"/>
    <n v="0"/>
    <n v="0"/>
    <n v="0"/>
    <n v="0"/>
    <n v="0"/>
    <n v="0"/>
    <n v="0"/>
    <n v="0"/>
    <n v="6000"/>
    <n v="0"/>
    <n v="0"/>
    <n v="0"/>
    <n v="0"/>
    <n v="0"/>
    <n v="6000"/>
  </r>
  <r>
    <n v="264"/>
    <x v="64"/>
    <s v="MR. ANEEL ZAHOOR"/>
    <x v="17"/>
    <n v="0"/>
    <n v="0"/>
    <n v="0"/>
    <n v="0"/>
    <n v="0"/>
    <n v="1600"/>
    <n v="0"/>
    <n v="0"/>
    <n v="0"/>
    <n v="0"/>
    <n v="0"/>
    <n v="30450"/>
    <n v="0"/>
    <n v="0"/>
    <n v="0"/>
    <n v="0"/>
    <n v="32050"/>
  </r>
  <r>
    <n v="265"/>
    <x v="0"/>
    <s v="MR. ZAMIR ALI SHAH"/>
    <x v="17"/>
    <n v="0"/>
    <n v="0"/>
    <n v="0"/>
    <n v="0"/>
    <n v="0"/>
    <n v="2500"/>
    <n v="0"/>
    <n v="0"/>
    <n v="0"/>
    <n v="0"/>
    <n v="0"/>
    <n v="8200"/>
    <n v="0"/>
    <n v="0"/>
    <n v="0"/>
    <n v="0"/>
    <n v="10700"/>
  </r>
  <r>
    <n v="266"/>
    <x v="44"/>
    <s v="MR.CAREL HEDRIK BURGER"/>
    <x v="18"/>
    <n v="0"/>
    <n v="0"/>
    <n v="0"/>
    <n v="0"/>
    <n v="0"/>
    <n v="0"/>
    <n v="0"/>
    <n v="0"/>
    <n v="0"/>
    <n v="0"/>
    <n v="0"/>
    <n v="10800"/>
    <n v="0"/>
    <n v="0"/>
    <n v="0"/>
    <n v="0"/>
    <n v="10800"/>
  </r>
  <r>
    <n v="267"/>
    <x v="17"/>
    <s v="SABA AHSAN"/>
    <x v="18"/>
    <n v="0"/>
    <n v="0"/>
    <n v="0"/>
    <n v="0"/>
    <n v="0"/>
    <n v="0"/>
    <n v="0"/>
    <n v="0"/>
    <n v="0"/>
    <n v="0"/>
    <n v="0"/>
    <n v="950"/>
    <n v="0"/>
    <n v="0"/>
    <n v="0"/>
    <n v="0"/>
    <n v="950"/>
  </r>
  <r>
    <n v="268"/>
    <x v="65"/>
    <s v="MR.MOHAMMAD ASHRAF SHAIKH"/>
    <x v="18"/>
    <n v="900"/>
    <n v="0"/>
    <n v="0"/>
    <n v="0"/>
    <n v="0"/>
    <n v="0"/>
    <n v="0"/>
    <n v="0"/>
    <n v="0"/>
    <n v="0"/>
    <n v="0"/>
    <n v="0"/>
    <n v="0"/>
    <n v="0"/>
    <n v="0"/>
    <n v="0"/>
    <n v="900"/>
  </r>
  <r>
    <n v="269"/>
    <x v="66"/>
    <s v="ZULFIQAR AHMED MEMON"/>
    <x v="18"/>
    <n v="900"/>
    <n v="0"/>
    <n v="0"/>
    <n v="0"/>
    <n v="0"/>
    <n v="0"/>
    <n v="0"/>
    <n v="0"/>
    <n v="0"/>
    <n v="0"/>
    <n v="0"/>
    <n v="0"/>
    <n v="0"/>
    <n v="0"/>
    <n v="0"/>
    <n v="0"/>
    <n v="900"/>
  </r>
  <r>
    <n v="270"/>
    <x v="4"/>
    <s v="MR.ZEESHAN IQBAL"/>
    <x v="18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271"/>
    <x v="6"/>
    <s v="DR.NASEEM MUNSHI"/>
    <x v="18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72"/>
    <x v="9"/>
    <s v="SHAHBAZ AHMED"/>
    <x v="18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273"/>
    <x v="15"/>
    <s v="MR.MUHAMMAD ATIF USMANI"/>
    <x v="18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74"/>
    <x v="55"/>
    <s v="CAPT.HAMID UZ ZAFAR"/>
    <x v="18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275"/>
    <x v="37"/>
    <s v="MR.HAFEEZ AHMED SIYAL"/>
    <x v="18"/>
    <n v="0"/>
    <n v="0"/>
    <n v="0"/>
    <n v="0"/>
    <n v="0"/>
    <n v="800"/>
    <n v="0"/>
    <n v="0"/>
    <n v="0"/>
    <n v="0"/>
    <n v="0"/>
    <n v="0"/>
    <n v="0"/>
    <n v="0"/>
    <n v="0"/>
    <n v="0"/>
    <n v="800"/>
  </r>
  <r>
    <n v="276"/>
    <x v="49"/>
    <s v="MR. AYAZ JAMRO"/>
    <x v="18"/>
    <n v="0"/>
    <n v="0"/>
    <n v="0"/>
    <n v="0"/>
    <n v="0"/>
    <n v="900"/>
    <n v="0"/>
    <n v="0"/>
    <n v="0"/>
    <n v="0"/>
    <n v="0"/>
    <n v="0"/>
    <n v="0"/>
    <n v="0"/>
    <n v="0"/>
    <n v="0"/>
    <n v="900"/>
  </r>
  <r>
    <n v="277"/>
    <x v="32"/>
    <s v="MR. TEHSEEN FAIZ"/>
    <x v="18"/>
    <n v="0"/>
    <n v="0"/>
    <n v="0"/>
    <n v="0"/>
    <n v="0"/>
    <n v="1500"/>
    <n v="0"/>
    <n v="0"/>
    <n v="0"/>
    <n v="0"/>
    <n v="0"/>
    <n v="0"/>
    <n v="0"/>
    <n v="0"/>
    <n v="0"/>
    <n v="0"/>
    <n v="1500"/>
  </r>
  <r>
    <n v="278"/>
    <x v="26"/>
    <s v="CARD"/>
    <x v="19"/>
    <n v="0"/>
    <n v="0"/>
    <n v="0"/>
    <n v="0"/>
    <n v="0"/>
    <n v="0"/>
    <n v="0"/>
    <n v="0"/>
    <n v="0"/>
    <n v="0"/>
    <n v="0"/>
    <n v="4000"/>
    <n v="0"/>
    <n v="0"/>
    <n v="0"/>
    <n v="0"/>
    <n v="4000"/>
  </r>
  <r>
    <n v="279"/>
    <x v="44"/>
    <s v="MR.CAREL HEDRIK BURGER"/>
    <x v="19"/>
    <n v="0"/>
    <n v="0"/>
    <n v="0"/>
    <n v="0"/>
    <n v="0"/>
    <n v="0"/>
    <n v="0"/>
    <n v="0"/>
    <n v="0"/>
    <n v="0"/>
    <n v="0"/>
    <n v="8500"/>
    <n v="0"/>
    <n v="0"/>
    <n v="0"/>
    <n v="0"/>
    <n v="8500"/>
  </r>
  <r>
    <n v="280"/>
    <x v="64"/>
    <s v="MR. ANEEL ZAHOOR"/>
    <x v="19"/>
    <n v="0"/>
    <n v="0"/>
    <n v="0"/>
    <n v="0"/>
    <n v="0"/>
    <n v="0"/>
    <n v="0"/>
    <n v="0"/>
    <n v="0"/>
    <n v="0"/>
    <n v="0"/>
    <n v="27500"/>
    <n v="0"/>
    <n v="0"/>
    <n v="0"/>
    <n v="0"/>
    <n v="27500"/>
  </r>
  <r>
    <n v="281"/>
    <x v="67"/>
    <s v="MR.ATHER TARIQ"/>
    <x v="19"/>
    <n v="0"/>
    <n v="0"/>
    <n v="0"/>
    <n v="0"/>
    <n v="0"/>
    <n v="0"/>
    <n v="0"/>
    <n v="0"/>
    <n v="0"/>
    <n v="0"/>
    <n v="0"/>
    <n v="300"/>
    <n v="0"/>
    <n v="0"/>
    <n v="0"/>
    <n v="0"/>
    <n v="300"/>
  </r>
  <r>
    <n v="282"/>
    <x v="9"/>
    <s v="SHAHBAZ AHMED"/>
    <x v="19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283"/>
    <x v="37"/>
    <s v="MR.HAFEEZ AHMED SIYAL"/>
    <x v="19"/>
    <n v="0"/>
    <n v="150"/>
    <n v="0"/>
    <n v="0"/>
    <n v="0"/>
    <n v="800"/>
    <n v="0"/>
    <n v="0"/>
    <n v="0"/>
    <n v="0"/>
    <n v="0"/>
    <n v="0"/>
    <n v="0"/>
    <n v="0"/>
    <n v="0"/>
    <n v="0"/>
    <n v="950"/>
  </r>
  <r>
    <n v="284"/>
    <x v="6"/>
    <s v="DR.NASEEM MUNSHI"/>
    <x v="19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85"/>
    <x v="4"/>
    <s v="MR.ZEESHAN IQBAL"/>
    <x v="19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286"/>
    <x v="56"/>
    <s v="DGM FATIMA ZAHID"/>
    <x v="19"/>
    <n v="0"/>
    <n v="0"/>
    <n v="0"/>
    <n v="0"/>
    <n v="0"/>
    <n v="300"/>
    <n v="0"/>
    <n v="0"/>
    <n v="0"/>
    <n v="0"/>
    <n v="0"/>
    <n v="0"/>
    <n v="0"/>
    <n v="0"/>
    <n v="0"/>
    <n v="0"/>
    <n v="300"/>
  </r>
  <r>
    <n v="287"/>
    <x v="21"/>
    <s v="SYED JIBRAN MUSHTAQ"/>
    <x v="19"/>
    <n v="0"/>
    <n v="0"/>
    <n v="0"/>
    <n v="0"/>
    <n v="0"/>
    <n v="800"/>
    <n v="0"/>
    <n v="0"/>
    <n v="0"/>
    <n v="0"/>
    <n v="0"/>
    <n v="0"/>
    <n v="0"/>
    <n v="0"/>
    <n v="0"/>
    <n v="0"/>
    <n v="800"/>
  </r>
  <r>
    <n v="288"/>
    <x v="63"/>
    <s v="MR. AIJAZ ALI BALOCH"/>
    <x v="19"/>
    <n v="0"/>
    <n v="0"/>
    <n v="0"/>
    <n v="0"/>
    <n v="0"/>
    <n v="4400"/>
    <n v="0"/>
    <n v="0"/>
    <n v="0"/>
    <n v="0"/>
    <n v="0"/>
    <n v="0"/>
    <n v="0"/>
    <n v="0"/>
    <n v="0"/>
    <n v="0"/>
    <n v="4400"/>
  </r>
  <r>
    <n v="289"/>
    <x v="68"/>
    <s v="MR.WAQAR UDDIN"/>
    <x v="19"/>
    <n v="2700"/>
    <n v="0"/>
    <n v="0"/>
    <n v="0"/>
    <n v="0"/>
    <n v="0"/>
    <n v="0"/>
    <n v="0"/>
    <n v="0"/>
    <n v="0"/>
    <n v="0"/>
    <n v="0"/>
    <n v="0"/>
    <n v="0"/>
    <n v="0"/>
    <n v="0"/>
    <n v="2700"/>
  </r>
  <r>
    <n v="290"/>
    <x v="1"/>
    <s v="MR.MUIED AHMED DURRANI"/>
    <x v="19"/>
    <n v="1800"/>
    <n v="0"/>
    <n v="0"/>
    <n v="0"/>
    <n v="0"/>
    <n v="0"/>
    <n v="0"/>
    <n v="0"/>
    <n v="0"/>
    <n v="0"/>
    <n v="0"/>
    <n v="0"/>
    <n v="0"/>
    <n v="0"/>
    <n v="0"/>
    <n v="0"/>
    <n v="1800"/>
  </r>
  <r>
    <n v="291"/>
    <x v="62"/>
    <s v="MR.SHAN ELAHI SEHGAL"/>
    <x v="19"/>
    <n v="1200"/>
    <n v="0"/>
    <n v="0"/>
    <n v="0"/>
    <n v="0"/>
    <n v="0"/>
    <n v="0"/>
    <n v="0"/>
    <n v="0"/>
    <n v="0"/>
    <n v="0"/>
    <n v="0"/>
    <n v="0"/>
    <n v="0"/>
    <n v="0"/>
    <n v="0"/>
    <n v="1200"/>
  </r>
  <r>
    <n v="292"/>
    <x v="16"/>
    <s v="MR.MANOJ KUMAR"/>
    <x v="19"/>
    <n v="900"/>
    <n v="0"/>
    <n v="0"/>
    <n v="0"/>
    <n v="0"/>
    <n v="0"/>
    <n v="0"/>
    <n v="0"/>
    <n v="0"/>
    <n v="0"/>
    <n v="0"/>
    <n v="0"/>
    <n v="0"/>
    <n v="0"/>
    <n v="0"/>
    <n v="0"/>
    <n v="900"/>
  </r>
  <r>
    <n v="293"/>
    <x v="26"/>
    <s v="CARD"/>
    <x v="20"/>
    <n v="0"/>
    <n v="0"/>
    <n v="0"/>
    <n v="0"/>
    <n v="0"/>
    <n v="0"/>
    <n v="0"/>
    <n v="0"/>
    <n v="0"/>
    <n v="0"/>
    <n v="0"/>
    <n v="7500"/>
    <n v="0"/>
    <n v="0"/>
    <n v="0"/>
    <n v="0"/>
    <n v="7500"/>
  </r>
  <r>
    <n v="294"/>
    <x v="10"/>
    <s v="ASIF ASHFAQ"/>
    <x v="20"/>
    <n v="0"/>
    <n v="0"/>
    <n v="0"/>
    <n v="0"/>
    <n v="0"/>
    <n v="3300"/>
    <n v="0"/>
    <n v="0"/>
    <n v="0"/>
    <n v="0"/>
    <n v="5500"/>
    <n v="0"/>
    <n v="0"/>
    <n v="0"/>
    <n v="0"/>
    <n v="0"/>
    <n v="8800"/>
  </r>
  <r>
    <n v="295"/>
    <x v="69"/>
    <s v="MR . SYED RAHAT HUSSAIN ZAIDI"/>
    <x v="20"/>
    <n v="7200"/>
    <n v="0"/>
    <n v="1200"/>
    <n v="3600"/>
    <n v="0"/>
    <n v="3100"/>
    <n v="0"/>
    <n v="0"/>
    <n v="200"/>
    <n v="0"/>
    <n v="11000"/>
    <n v="0"/>
    <n v="0"/>
    <n v="0"/>
    <n v="0"/>
    <n v="0"/>
    <n v="26300"/>
  </r>
  <r>
    <n v="296"/>
    <x v="24"/>
    <s v="MR.MUHAMMAD RIZWAN"/>
    <x v="20"/>
    <n v="900"/>
    <n v="0"/>
    <n v="0"/>
    <n v="0"/>
    <n v="0"/>
    <n v="0"/>
    <n v="0"/>
    <n v="0"/>
    <n v="0"/>
    <n v="0"/>
    <n v="0"/>
    <n v="0"/>
    <n v="0"/>
    <n v="0"/>
    <n v="0"/>
    <n v="0"/>
    <n v="900"/>
  </r>
  <r>
    <n v="297"/>
    <x v="70"/>
    <s v="MR.MUHAMMAD SALIQ SIDDIQUI"/>
    <x v="20"/>
    <n v="2400"/>
    <n v="0"/>
    <n v="0"/>
    <n v="0"/>
    <n v="0"/>
    <n v="1000"/>
    <n v="0"/>
    <n v="0"/>
    <n v="0"/>
    <n v="0"/>
    <n v="0"/>
    <n v="0"/>
    <n v="0"/>
    <n v="0"/>
    <n v="0"/>
    <n v="0"/>
    <n v="3400"/>
  </r>
  <r>
    <n v="298"/>
    <x v="71"/>
    <s v="DGM AMJAD ALI SHAIKH"/>
    <x v="20"/>
    <n v="0"/>
    <n v="0"/>
    <n v="0"/>
    <n v="0"/>
    <n v="0"/>
    <n v="300"/>
    <n v="0"/>
    <n v="0"/>
    <n v="0"/>
    <n v="0"/>
    <n v="0"/>
    <n v="0"/>
    <n v="0"/>
    <n v="0"/>
    <n v="0"/>
    <n v="0"/>
    <n v="300"/>
  </r>
  <r>
    <n v="299"/>
    <x v="33"/>
    <s v="MR. HASAN KARIM"/>
    <x v="20"/>
    <n v="0"/>
    <n v="0"/>
    <n v="0"/>
    <n v="0"/>
    <n v="0"/>
    <n v="0"/>
    <n v="300"/>
    <n v="0"/>
    <n v="0"/>
    <n v="0"/>
    <n v="0"/>
    <n v="0"/>
    <n v="0"/>
    <n v="0"/>
    <n v="0"/>
    <n v="0"/>
    <n v="300"/>
  </r>
  <r>
    <n v="300"/>
    <x v="72"/>
    <s v="GM HAROON RASHEED"/>
    <x v="20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301"/>
    <x v="12"/>
    <s v="MR.PIR MUJEEB JAN SARHANDI"/>
    <x v="20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302"/>
    <x v="73"/>
    <s v="ALI LEGHARI"/>
    <x v="20"/>
    <n v="0"/>
    <n v="0"/>
    <n v="0"/>
    <n v="0"/>
    <n v="0"/>
    <n v="0"/>
    <n v="0"/>
    <n v="0"/>
    <n v="0"/>
    <n v="0"/>
    <n v="0"/>
    <n v="0"/>
    <n v="0"/>
    <n v="0"/>
    <n v="0"/>
    <n v="365000"/>
    <n v="365000"/>
  </r>
  <r>
    <n v="303"/>
    <x v="31"/>
    <s v="MR.SHIRAZ AHMED"/>
    <x v="21"/>
    <n v="0"/>
    <n v="0"/>
    <n v="0"/>
    <n v="0"/>
    <n v="0"/>
    <n v="1100"/>
    <n v="0"/>
    <n v="0"/>
    <n v="0"/>
    <n v="0"/>
    <n v="0"/>
    <n v="0"/>
    <n v="0"/>
    <n v="0"/>
    <n v="0"/>
    <n v="0"/>
    <n v="1100"/>
  </r>
  <r>
    <n v="304"/>
    <x v="37"/>
    <s v="MR.HAFEEZ AHMED SIYAL"/>
    <x v="21"/>
    <n v="0"/>
    <n v="0"/>
    <n v="0"/>
    <n v="0"/>
    <n v="0"/>
    <n v="300"/>
    <n v="0"/>
    <n v="0"/>
    <n v="0"/>
    <n v="0"/>
    <n v="0"/>
    <n v="0"/>
    <n v="0"/>
    <n v="0"/>
    <n v="0"/>
    <n v="0"/>
    <n v="300"/>
  </r>
  <r>
    <n v="305"/>
    <x v="0"/>
    <s v="MR. ZAMIR ALI SHAH"/>
    <x v="21"/>
    <n v="0"/>
    <n v="0"/>
    <n v="0"/>
    <n v="0"/>
    <n v="0"/>
    <n v="6500"/>
    <n v="0"/>
    <n v="0"/>
    <n v="0"/>
    <n v="0"/>
    <n v="0"/>
    <n v="0"/>
    <n v="0"/>
    <n v="0"/>
    <n v="0"/>
    <n v="0"/>
    <n v="6500"/>
  </r>
  <r>
    <n v="306"/>
    <x v="18"/>
    <s v="AYSM MIRZA"/>
    <x v="21"/>
    <n v="0"/>
    <n v="0"/>
    <n v="0"/>
    <n v="0"/>
    <n v="0"/>
    <n v="300"/>
    <n v="0"/>
    <n v="0"/>
    <n v="0"/>
    <n v="0"/>
    <n v="0"/>
    <n v="0"/>
    <n v="0"/>
    <n v="0"/>
    <n v="0"/>
    <n v="0"/>
    <n v="300"/>
  </r>
  <r>
    <n v="307"/>
    <x v="10"/>
    <s v="ASIF ASHFAQ"/>
    <x v="21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308"/>
    <x v="37"/>
    <s v="MR.HAFEEZ AHMED SIYAL"/>
    <x v="21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309"/>
    <x v="9"/>
    <s v="SHAHBAZ AHMED"/>
    <x v="21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310"/>
    <x v="0"/>
    <s v="MR. ZAMIR ALI SHAH"/>
    <x v="21"/>
    <n v="10200"/>
    <n v="0"/>
    <n v="0"/>
    <n v="0"/>
    <n v="0"/>
    <n v="0"/>
    <n v="0"/>
    <n v="0"/>
    <n v="0"/>
    <n v="0"/>
    <n v="0"/>
    <n v="0"/>
    <n v="0"/>
    <n v="0"/>
    <n v="0"/>
    <n v="0"/>
    <n v="10200"/>
  </r>
  <r>
    <n v="311"/>
    <x v="13"/>
    <s v="MR. JABIR SHAHZAD"/>
    <x v="22"/>
    <n v="0"/>
    <n v="0"/>
    <n v="0"/>
    <n v="0"/>
    <n v="0"/>
    <n v="500"/>
    <n v="0"/>
    <n v="0"/>
    <n v="0"/>
    <n v="0"/>
    <n v="0"/>
    <n v="0"/>
    <n v="0"/>
    <n v="0"/>
    <n v="0"/>
    <n v="0"/>
    <n v="500"/>
  </r>
  <r>
    <n v="312"/>
    <x v="39"/>
    <s v="MR.SAJJAD ALI"/>
    <x v="22"/>
    <n v="0"/>
    <n v="0"/>
    <n v="0"/>
    <n v="0"/>
    <n v="0"/>
    <n v="0"/>
    <n v="0"/>
    <n v="0"/>
    <n v="0"/>
    <n v="0"/>
    <n v="0"/>
    <n v="9500"/>
    <n v="0"/>
    <n v="0"/>
    <n v="0"/>
    <n v="0"/>
    <n v="9500"/>
  </r>
  <r>
    <n v="313"/>
    <x v="26"/>
    <e v="#N/A"/>
    <x v="22"/>
    <n v="0"/>
    <n v="0"/>
    <n v="0"/>
    <n v="0"/>
    <n v="0"/>
    <n v="0"/>
    <n v="0"/>
    <n v="0"/>
    <n v="0"/>
    <n v="0"/>
    <n v="0"/>
    <n v="19250"/>
    <n v="0"/>
    <n v="0"/>
    <n v="0"/>
    <n v="0"/>
    <n v="19250"/>
  </r>
  <r>
    <n v="314"/>
    <x v="43"/>
    <s v="Heritage club"/>
    <x v="22"/>
    <n v="0"/>
    <n v="0"/>
    <n v="0"/>
    <n v="0"/>
    <n v="0"/>
    <n v="2000"/>
    <n v="0"/>
    <n v="0"/>
    <n v="0"/>
    <n v="0"/>
    <n v="0"/>
    <n v="0"/>
    <n v="0"/>
    <n v="0"/>
    <n v="0"/>
    <n v="0"/>
    <n v="2000"/>
  </r>
  <r>
    <n v="315"/>
    <x v="36"/>
    <s v="DR.NAZEER HUSSAIN KALHORO"/>
    <x v="22"/>
    <n v="0"/>
    <n v="0"/>
    <n v="0"/>
    <n v="0"/>
    <n v="0"/>
    <n v="2000"/>
    <n v="0"/>
    <n v="0"/>
    <n v="0"/>
    <n v="0"/>
    <n v="0"/>
    <n v="0"/>
    <n v="0"/>
    <n v="0"/>
    <n v="0"/>
    <n v="0"/>
    <n v="2000"/>
  </r>
  <r>
    <n v="316"/>
    <x v="74"/>
    <s v="MR.IQBAL AHMED MALLAH"/>
    <x v="22"/>
    <n v="0"/>
    <n v="0"/>
    <n v="0"/>
    <n v="0"/>
    <n v="0"/>
    <n v="3200"/>
    <n v="0"/>
    <n v="0"/>
    <n v="0"/>
    <n v="0"/>
    <n v="0"/>
    <n v="0"/>
    <n v="0"/>
    <n v="0"/>
    <n v="0"/>
    <n v="0"/>
    <n v="3200"/>
  </r>
  <r>
    <n v="317"/>
    <x v="4"/>
    <s v="MR.ZEESHAN IQBAL"/>
    <x v="22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318"/>
    <x v="10"/>
    <s v="ASIF ASHFAQ"/>
    <x v="22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319"/>
    <x v="75"/>
    <s v="MR. MUNAWAR HUSSAIN"/>
    <x v="22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320"/>
    <x v="6"/>
    <s v="DR.NASEEM MUNSHI"/>
    <x v="22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321"/>
    <x v="12"/>
    <s v="MR.PIR MUJEEB JAN SARHANDI"/>
    <x v="22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322"/>
    <x v="63"/>
    <s v="MR. AIJAZ ALI BALOCH"/>
    <x v="22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n v="323"/>
    <x v="16"/>
    <s v="MR.MANOJ KUMAR"/>
    <x v="22"/>
    <n v="2100"/>
    <n v="0"/>
    <n v="0"/>
    <n v="0"/>
    <n v="0"/>
    <n v="0"/>
    <n v="0"/>
    <n v="0"/>
    <n v="0"/>
    <n v="0"/>
    <n v="0"/>
    <n v="0"/>
    <n v="0"/>
    <n v="0"/>
    <n v="0"/>
    <n v="0"/>
    <n v="2100"/>
  </r>
  <r>
    <n v="324"/>
    <x v="20"/>
    <s v="MR.HANIF AHSAN ZUBEDI"/>
    <x v="22"/>
    <n v="1500"/>
    <n v="0"/>
    <n v="0"/>
    <n v="0"/>
    <n v="0"/>
    <n v="0"/>
    <n v="0"/>
    <n v="0"/>
    <n v="0"/>
    <n v="0"/>
    <n v="0"/>
    <n v="0"/>
    <n v="0"/>
    <n v="0"/>
    <n v="0"/>
    <n v="0"/>
    <n v="1500"/>
  </r>
  <r>
    <n v="325"/>
    <x v="43"/>
    <s v="Heritage club"/>
    <x v="22"/>
    <n v="1800"/>
    <n v="0"/>
    <n v="0"/>
    <n v="0"/>
    <n v="0"/>
    <n v="0"/>
    <n v="0"/>
    <n v="0"/>
    <n v="0"/>
    <n v="0"/>
    <n v="0"/>
    <n v="0"/>
    <n v="0"/>
    <n v="0"/>
    <n v="0"/>
    <n v="0"/>
    <n v="1800"/>
  </r>
  <r>
    <n v="326"/>
    <x v="43"/>
    <s v="Heritage club"/>
    <x v="23"/>
    <n v="0"/>
    <n v="0"/>
    <n v="0"/>
    <n v="0"/>
    <n v="0"/>
    <n v="0"/>
    <n v="0"/>
    <n v="0"/>
    <n v="0"/>
    <n v="0"/>
    <n v="0"/>
    <n v="0"/>
    <n v="0"/>
    <n v="0"/>
    <n v="480000"/>
    <n v="0"/>
    <n v="480000"/>
  </r>
  <r>
    <n v="327"/>
    <x v="26"/>
    <s v="CARD"/>
    <x v="23"/>
    <n v="0"/>
    <n v="0"/>
    <n v="0"/>
    <n v="0"/>
    <n v="0"/>
    <n v="0"/>
    <n v="0"/>
    <n v="0"/>
    <n v="0"/>
    <n v="0"/>
    <n v="0"/>
    <n v="11500"/>
    <n v="0"/>
    <n v="0"/>
    <n v="0"/>
    <n v="0"/>
    <n v="11500"/>
  </r>
  <r>
    <n v="328"/>
    <x v="10"/>
    <s v="ASIF ASHFAQ"/>
    <x v="23"/>
    <n v="0"/>
    <n v="0"/>
    <n v="0"/>
    <n v="3000"/>
    <n v="0"/>
    <n v="0"/>
    <n v="0"/>
    <n v="0"/>
    <n v="0"/>
    <n v="0"/>
    <n v="0"/>
    <n v="0"/>
    <n v="0"/>
    <n v="0"/>
    <n v="0"/>
    <n v="0"/>
    <n v="3000"/>
  </r>
  <r>
    <n v="329"/>
    <x v="20"/>
    <s v="MR.HANIF AHSAN ZUBEDI"/>
    <x v="23"/>
    <n v="0"/>
    <n v="0"/>
    <n v="0"/>
    <n v="0"/>
    <n v="300"/>
    <n v="300"/>
    <n v="2700"/>
    <n v="0"/>
    <n v="0"/>
    <n v="0"/>
    <n v="0"/>
    <n v="0"/>
    <n v="0"/>
    <n v="0"/>
    <n v="0"/>
    <n v="0"/>
    <n v="3300"/>
  </r>
  <r>
    <n v="330"/>
    <x v="13"/>
    <s v="MR. JABIR SHAHZAD"/>
    <x v="23"/>
    <n v="0"/>
    <n v="0"/>
    <n v="0"/>
    <n v="0"/>
    <n v="0"/>
    <n v="600"/>
    <n v="0"/>
    <n v="0"/>
    <n v="0"/>
    <n v="0"/>
    <n v="0"/>
    <n v="0"/>
    <n v="0"/>
    <n v="0"/>
    <n v="0"/>
    <n v="0"/>
    <n v="600"/>
  </r>
  <r>
    <n v="331"/>
    <x v="4"/>
    <s v="MR.ZEESHAN IQBAL"/>
    <x v="23"/>
    <n v="0"/>
    <n v="0"/>
    <n v="0"/>
    <n v="0"/>
    <n v="0"/>
    <n v="800"/>
    <n v="0"/>
    <n v="0"/>
    <n v="0"/>
    <n v="0"/>
    <n v="0"/>
    <n v="0"/>
    <n v="0"/>
    <n v="0"/>
    <n v="0"/>
    <n v="0"/>
    <n v="800"/>
  </r>
  <r>
    <n v="332"/>
    <x v="9"/>
    <s v="SHAHBAZ AHMED"/>
    <x v="23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333"/>
    <x v="59"/>
    <s v="MRS RIFFAT ZULFIQAR"/>
    <x v="23"/>
    <n v="0"/>
    <n v="300"/>
    <n v="0"/>
    <n v="0"/>
    <n v="0"/>
    <n v="0"/>
    <n v="0"/>
    <n v="0"/>
    <n v="0"/>
    <n v="0"/>
    <n v="0"/>
    <n v="0"/>
    <n v="0"/>
    <n v="0"/>
    <n v="0"/>
    <n v="0"/>
    <n v="300"/>
  </r>
  <r>
    <n v="334"/>
    <x v="26"/>
    <e v="#N/A"/>
    <x v="23"/>
    <n v="1500"/>
    <n v="0"/>
    <n v="0"/>
    <n v="0"/>
    <n v="0"/>
    <n v="0"/>
    <n v="0"/>
    <n v="0"/>
    <n v="0"/>
    <n v="0"/>
    <n v="0"/>
    <n v="0"/>
    <n v="0"/>
    <n v="0"/>
    <n v="0"/>
    <n v="0"/>
    <n v="1500"/>
  </r>
  <r>
    <n v="335"/>
    <x v="26"/>
    <s v="CARD"/>
    <x v="24"/>
    <n v="0"/>
    <n v="0"/>
    <n v="0"/>
    <n v="0"/>
    <n v="0"/>
    <n v="0"/>
    <n v="0"/>
    <n v="0"/>
    <n v="0"/>
    <n v="0"/>
    <n v="0"/>
    <n v="4500"/>
    <n v="0"/>
    <n v="0"/>
    <n v="0"/>
    <n v="0"/>
    <n v="4500"/>
  </r>
  <r>
    <n v="336"/>
    <x v="17"/>
    <s v="SABA AHSAN"/>
    <x v="24"/>
    <n v="0"/>
    <n v="0"/>
    <n v="0"/>
    <n v="0"/>
    <n v="0"/>
    <n v="0"/>
    <n v="0"/>
    <n v="0"/>
    <n v="0"/>
    <n v="0"/>
    <n v="0"/>
    <n v="2000"/>
    <n v="0"/>
    <n v="0"/>
    <n v="0"/>
    <n v="0"/>
    <n v="2000"/>
  </r>
  <r>
    <n v="337"/>
    <x v="76"/>
    <s v="DR.UMER QAZI"/>
    <x v="24"/>
    <n v="0"/>
    <n v="0"/>
    <n v="0"/>
    <n v="0"/>
    <n v="0"/>
    <n v="0"/>
    <n v="0"/>
    <n v="0"/>
    <n v="0"/>
    <n v="0"/>
    <n v="10000"/>
    <n v="0"/>
    <n v="0"/>
    <n v="0"/>
    <n v="0"/>
    <n v="0"/>
    <n v="10000"/>
  </r>
  <r>
    <n v="338"/>
    <x v="5"/>
    <s v="MR.ZAIN FAROOQ"/>
    <x v="24"/>
    <n v="0"/>
    <n v="0"/>
    <n v="0"/>
    <n v="0"/>
    <n v="0"/>
    <n v="600"/>
    <n v="0"/>
    <n v="0"/>
    <n v="0"/>
    <n v="0"/>
    <n v="0"/>
    <n v="0"/>
    <n v="0"/>
    <n v="0"/>
    <n v="0"/>
    <n v="0"/>
    <n v="600"/>
  </r>
  <r>
    <n v="339"/>
    <x v="77"/>
    <s v="MR.ASIF ALI"/>
    <x v="24"/>
    <n v="0"/>
    <n v="150"/>
    <n v="0"/>
    <n v="0"/>
    <n v="0"/>
    <n v="2100"/>
    <n v="0"/>
    <n v="0"/>
    <n v="0"/>
    <n v="0"/>
    <n v="0"/>
    <n v="0"/>
    <n v="0"/>
    <n v="0"/>
    <n v="0"/>
    <n v="0"/>
    <n v="2250"/>
  </r>
  <r>
    <n v="340"/>
    <x v="43"/>
    <s v="Heritage club"/>
    <x v="24"/>
    <n v="0"/>
    <n v="0"/>
    <n v="0"/>
    <n v="0"/>
    <n v="0"/>
    <n v="2000"/>
    <n v="0"/>
    <n v="0"/>
    <n v="0"/>
    <n v="0"/>
    <n v="0"/>
    <n v="0"/>
    <n v="0"/>
    <n v="0"/>
    <n v="0"/>
    <n v="0"/>
    <n v="2000"/>
  </r>
  <r>
    <n v="341"/>
    <x v="33"/>
    <s v="MR. HASAN KARIM"/>
    <x v="24"/>
    <n v="5700"/>
    <n v="0"/>
    <n v="0"/>
    <n v="0"/>
    <n v="0"/>
    <n v="1000"/>
    <n v="300"/>
    <n v="0"/>
    <n v="0"/>
    <n v="0"/>
    <n v="0"/>
    <n v="0"/>
    <n v="0"/>
    <n v="0"/>
    <n v="0"/>
    <n v="0"/>
    <n v="7000"/>
  </r>
  <r>
    <n v="342"/>
    <x v="75"/>
    <s v="MR. MUNAWAR HUSSAIN"/>
    <x v="24"/>
    <n v="1800"/>
    <n v="300"/>
    <n v="0"/>
    <n v="0"/>
    <n v="0"/>
    <n v="0"/>
    <n v="0"/>
    <n v="0"/>
    <n v="0"/>
    <n v="0"/>
    <n v="0"/>
    <n v="0"/>
    <n v="0"/>
    <n v="0"/>
    <n v="0"/>
    <n v="0"/>
    <n v="2100"/>
  </r>
  <r>
    <n v="343"/>
    <x v="78"/>
    <s v="MR.MUHAMMAD ZAIN"/>
    <x v="24"/>
    <n v="600"/>
    <n v="0"/>
    <n v="0"/>
    <n v="0"/>
    <n v="0"/>
    <n v="0"/>
    <n v="0"/>
    <n v="0"/>
    <n v="0"/>
    <n v="0"/>
    <n v="0"/>
    <n v="0"/>
    <n v="0"/>
    <n v="0"/>
    <n v="0"/>
    <n v="0"/>
    <n v="600"/>
  </r>
  <r>
    <n v="344"/>
    <x v="12"/>
    <s v="MR.PIR MUJEEB JAN SARHANDI"/>
    <x v="24"/>
    <n v="0"/>
    <n v="150"/>
    <n v="0"/>
    <n v="0"/>
    <n v="0"/>
    <n v="0"/>
    <n v="0"/>
    <n v="0"/>
    <n v="0"/>
    <n v="0"/>
    <n v="0"/>
    <n v="0"/>
    <n v="0"/>
    <n v="0"/>
    <n v="0"/>
    <n v="0"/>
    <n v="150"/>
  </r>
  <r>
    <s v=""/>
    <x v="26"/>
    <e v="#N/A"/>
    <x v="25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"/>
    <x v="26"/>
    <e v="#N/A"/>
    <x v="25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"/>
    <x v="26"/>
    <e v="#N/A"/>
    <x v="25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79"/>
    <s v="Total"/>
    <x v="25"/>
    <n v="89100"/>
    <n v="34050"/>
    <n v="1500"/>
    <n v="7500"/>
    <n v="300"/>
    <n v="109100"/>
    <n v="17000"/>
    <n v="0"/>
    <n v="200"/>
    <n v="3000"/>
    <n v="78450"/>
    <n v="261400"/>
    <n v="0"/>
    <n v="0"/>
    <n v="635000"/>
    <n v="508000"/>
    <n v="1744600"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  <r>
    <m/>
    <x v="79"/>
    <m/>
    <x v="25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C35" firstHeaderRow="0" firstDataRow="1" firstDataCol="1"/>
  <pivotFields count="8">
    <pivotField showAll="0"/>
    <pivotField showAll="0"/>
    <pivotField showAll="0"/>
    <pivotField axis="axisRow" multipleItemSelectionAllowed="1" showAll="0">
      <items count="27">
        <item x="0"/>
        <item x="1"/>
        <item x="3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h="1" x="25"/>
        <item x="22"/>
        <item x="23"/>
        <item x="24"/>
        <item t="default"/>
      </items>
    </pivotField>
    <pivotField showAll="0"/>
    <pivotField showAll="0"/>
    <pivotField dataField="1" showAll="0"/>
    <pivotField dataField="1" showAll="0"/>
  </pivotFields>
  <rowFields count="1">
    <field x="3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3"/>
    </i>
    <i>
      <x v="24"/>
    </i>
    <i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6" baseField="0" baseItem="0"/>
    <dataField name="Sum of sst 15%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9:V35" firstHeaderRow="0" firstDataRow="1" firstDataCol="1"/>
  <pivotFields count="21">
    <pivotField showAll="0"/>
    <pivotField showAll="0">
      <items count="81">
        <item x="26"/>
        <item x="13"/>
        <item x="45"/>
        <item x="61"/>
        <item x="27"/>
        <item x="31"/>
        <item x="14"/>
        <item x="24"/>
        <item x="4"/>
        <item x="39"/>
        <item x="53"/>
        <item x="2"/>
        <item x="29"/>
        <item x="19"/>
        <item x="36"/>
        <item x="54"/>
        <item x="37"/>
        <item x="16"/>
        <item x="1"/>
        <item x="58"/>
        <item x="60"/>
        <item x="12"/>
        <item x="42"/>
        <item x="48"/>
        <item x="70"/>
        <item x="62"/>
        <item x="20"/>
        <item x="15"/>
        <item x="65"/>
        <item x="33"/>
        <item x="67"/>
        <item x="5"/>
        <item x="68"/>
        <item x="25"/>
        <item x="35"/>
        <item x="57"/>
        <item x="44"/>
        <item x="71"/>
        <item x="7"/>
        <item x="66"/>
        <item x="55"/>
        <item x="8"/>
        <item x="3"/>
        <item x="56"/>
        <item x="72"/>
        <item x="6"/>
        <item x="40"/>
        <item x="41"/>
        <item x="23"/>
        <item x="10"/>
        <item x="17"/>
        <item x="18"/>
        <item x="22"/>
        <item x="73"/>
        <item x="21"/>
        <item x="38"/>
        <item x="30"/>
        <item x="11"/>
        <item x="43"/>
        <item x="9"/>
        <item x="47"/>
        <item x="46"/>
        <item x="69"/>
        <item x="32"/>
        <item x="50"/>
        <item x="59"/>
        <item x="52"/>
        <item x="63"/>
        <item x="64"/>
        <item x="49"/>
        <item x="28"/>
        <item x="34"/>
        <item x="0"/>
        <item x="51"/>
        <item x="79"/>
        <item x="74"/>
        <item x="75"/>
        <item x="76"/>
        <item x="77"/>
        <item x="78"/>
        <item t="default"/>
      </items>
    </pivotField>
    <pivotField showAll="0"/>
    <pivotField axis="axisRow" multipleItemSelectionAllowed="1" showAll="0">
      <items count="29">
        <item m="1" x="26"/>
        <item m="1" x="27"/>
        <item h="1"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3"/>
  </rowFields>
  <rowItems count="26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1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</colItems>
  <dataFields count="16">
    <dataField name="Sum of Bowling Alley" fld="4" baseField="0" baseItem="0"/>
    <dataField name="Sum of Gym" fld="5" baseField="0" baseItem="0"/>
    <dataField name="Sum of Family Pool" fld="6" baseField="0" baseItem="0"/>
    <dataField name="Sum of Squash Court" fld="7" baseField="0" baseItem="0"/>
    <dataField name="Sum of Ladies Pool" fld="8" baseField="0" baseItem="0"/>
    <dataField name="Sum of Amusement Arcade" fld="9" baseField="0" baseItem="0"/>
    <dataField name="Sum of Cinema" fld="10" baseField="0" baseItem="0"/>
    <dataField name="Sum of Cigar Lounge" fld="11" baseField="0" baseItem="0"/>
    <dataField name="Sum of Pool Lockers" fld="12" baseField="0" baseItem="0"/>
    <dataField name="Sum of SPA" fld="13" baseField="0" baseItem="0"/>
    <dataField name="Sum of Padel Court" fld="14" baseField="0" baseItem="0"/>
    <dataField name="Sum of Ladies Saloon" fld="15" baseField="0" baseItem="0"/>
    <dataField name="Sum of Gym Sub" fld="17" baseField="0" baseItem="0"/>
    <dataField name="Sum of HC Chambers" fld="16" baseField="0" baseItem="0"/>
    <dataField name="Sum of Vanue Charges" fld="18" baseField="0" baseItem="0"/>
    <dataField name="Sum of PARTY CHARGES" fld="19" baseField="0" baseItem="0"/>
  </dataFields>
  <formats count="2">
    <format dxfId="38">
      <pivotArea field="1" type="button" dataOnly="0" labelOnly="1" outline="0"/>
    </format>
    <format dxfId="37">
      <pivotArea dataOnly="0" labelOnly="1" outline="0" fieldPosition="0">
        <references count="1">
          <reference field="4294967294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athar.tariq@logistics-leaders.com" TargetMode="External"/><Relationship Id="rId21" Type="http://schemas.openxmlformats.org/officeDocument/2006/relationships/hyperlink" Target="mailto:Qamar@ezzaintl.com" TargetMode="External"/><Relationship Id="rId42" Type="http://schemas.openxmlformats.org/officeDocument/2006/relationships/hyperlink" Target="mailto:g.dastageer@btkarachi.com" TargetMode="External"/><Relationship Id="rId47" Type="http://schemas.openxmlformats.org/officeDocument/2006/relationships/hyperlink" Target="mailto:zahid.awan@btkarachi.com" TargetMode="External"/><Relationship Id="rId63" Type="http://schemas.openxmlformats.org/officeDocument/2006/relationships/hyperlink" Target="mailto:ahmadhayat.btic@gmail.com" TargetMode="External"/><Relationship Id="rId68" Type="http://schemas.openxmlformats.org/officeDocument/2006/relationships/hyperlink" Target="mailto:Syed.tahir.abbas@hotmail.com" TargetMode="External"/><Relationship Id="rId84" Type="http://schemas.openxmlformats.org/officeDocument/2006/relationships/hyperlink" Target="mailto:hussain@fmcbrake.com.pk" TargetMode="External"/><Relationship Id="rId89" Type="http://schemas.openxmlformats.org/officeDocument/2006/relationships/hyperlink" Target="mailto:iftikharshah54@yahoo.com" TargetMode="External"/><Relationship Id="rId16" Type="http://schemas.openxmlformats.org/officeDocument/2006/relationships/hyperlink" Target="mailto:zulqarnainhabib@gmail.com" TargetMode="External"/><Relationship Id="rId11" Type="http://schemas.openxmlformats.org/officeDocument/2006/relationships/hyperlink" Target="mailto:Sanoorhafsa123@gmail.com" TargetMode="External"/><Relationship Id="rId32" Type="http://schemas.openxmlformats.org/officeDocument/2006/relationships/hyperlink" Target="mailto:imranwazeerpk@gmail.com" TargetMode="External"/><Relationship Id="rId37" Type="http://schemas.openxmlformats.org/officeDocument/2006/relationships/hyperlink" Target="mailto:rehan.tariq@btkarachi.com" TargetMode="External"/><Relationship Id="rId53" Type="http://schemas.openxmlformats.org/officeDocument/2006/relationships/hyperlink" Target="mailto:khadim2016@icloud.com" TargetMode="External"/><Relationship Id="rId58" Type="http://schemas.openxmlformats.org/officeDocument/2006/relationships/hyperlink" Target="mailto:asym1480@gmail.com" TargetMode="External"/><Relationship Id="rId74" Type="http://schemas.openxmlformats.org/officeDocument/2006/relationships/hyperlink" Target="mailto:dgomani@yahoo.com" TargetMode="External"/><Relationship Id="rId79" Type="http://schemas.openxmlformats.org/officeDocument/2006/relationships/hyperlink" Target="mailto:Mehdighulam1@gmail.com" TargetMode="External"/><Relationship Id="rId102" Type="http://schemas.openxmlformats.org/officeDocument/2006/relationships/hyperlink" Target="mailto:falisoomro@secmc.com.pk" TargetMode="External"/><Relationship Id="rId5" Type="http://schemas.openxmlformats.org/officeDocument/2006/relationships/hyperlink" Target="mailto:hafeezsiyal09@gmail.com" TargetMode="External"/><Relationship Id="rId90" Type="http://schemas.openxmlformats.org/officeDocument/2006/relationships/hyperlink" Target="mailto:Khurramchandiwala@gmail.com" TargetMode="External"/><Relationship Id="rId95" Type="http://schemas.openxmlformats.org/officeDocument/2006/relationships/hyperlink" Target="mailto:abroarslan69@gmail.com" TargetMode="External"/><Relationship Id="rId22" Type="http://schemas.openxmlformats.org/officeDocument/2006/relationships/hyperlink" Target="mailto:ssiddiqi2@yahoo.com" TargetMode="External"/><Relationship Id="rId27" Type="http://schemas.openxmlformats.org/officeDocument/2006/relationships/hyperlink" Target="mailto:gobind.lund@nbp.com.pk" TargetMode="External"/><Relationship Id="rId43" Type="http://schemas.openxmlformats.org/officeDocument/2006/relationships/hyperlink" Target="mailto:fatima.zahid@btkarachi.com" TargetMode="External"/><Relationship Id="rId48" Type="http://schemas.openxmlformats.org/officeDocument/2006/relationships/hyperlink" Target="mailto:docburni@gmail.com" TargetMode="External"/><Relationship Id="rId64" Type="http://schemas.openxmlformats.org/officeDocument/2006/relationships/hyperlink" Target="mailto:Jabirshah@hotmil.com" TargetMode="External"/><Relationship Id="rId69" Type="http://schemas.openxmlformats.org/officeDocument/2006/relationships/hyperlink" Target="mailto:Syedabdullchali89@gmil.com" TargetMode="External"/><Relationship Id="rId80" Type="http://schemas.openxmlformats.org/officeDocument/2006/relationships/hyperlink" Target="mailto:engr.amjadalishaikh@gmail.com" TargetMode="External"/><Relationship Id="rId85" Type="http://schemas.openxmlformats.org/officeDocument/2006/relationships/hyperlink" Target="mailto:mukhtarshar@gmail.com" TargetMode="External"/><Relationship Id="rId12" Type="http://schemas.openxmlformats.org/officeDocument/2006/relationships/hyperlink" Target="mailto:Kokrejavicky@yhoo.com" TargetMode="External"/><Relationship Id="rId17" Type="http://schemas.openxmlformats.org/officeDocument/2006/relationships/hyperlink" Target="mailto:hamzajan1996@hotmail.com" TargetMode="External"/><Relationship Id="rId33" Type="http://schemas.openxmlformats.org/officeDocument/2006/relationships/hyperlink" Target="mailto:salman4raza@msn.com" TargetMode="External"/><Relationship Id="rId38" Type="http://schemas.openxmlformats.org/officeDocument/2006/relationships/hyperlink" Target="mailto:amir.raza@bahriaadventureland.com" TargetMode="External"/><Relationship Id="rId59" Type="http://schemas.openxmlformats.org/officeDocument/2006/relationships/hyperlink" Target="mailto:ameer.mohammad@gbtrader.org" TargetMode="External"/><Relationship Id="rId103" Type="http://schemas.openxmlformats.org/officeDocument/2006/relationships/hyperlink" Target="mailto:mksaeed79@hotmail.com" TargetMode="External"/><Relationship Id="rId20" Type="http://schemas.openxmlformats.org/officeDocument/2006/relationships/hyperlink" Target="mailto:zuraaco_z@gmail.com" TargetMode="External"/><Relationship Id="rId41" Type="http://schemas.openxmlformats.org/officeDocument/2006/relationships/hyperlink" Target="mailto:azfar.ali@btkarachi.com" TargetMode="External"/><Relationship Id="rId54" Type="http://schemas.openxmlformats.org/officeDocument/2006/relationships/hyperlink" Target="mailto:fareyausmani@gmail.com" TargetMode="External"/><Relationship Id="rId62" Type="http://schemas.openxmlformats.org/officeDocument/2006/relationships/hyperlink" Target="mailto:a.amemon@yahoo.com" TargetMode="External"/><Relationship Id="rId70" Type="http://schemas.openxmlformats.org/officeDocument/2006/relationships/hyperlink" Target="mailto:meshgroup193@gmail.com" TargetMode="External"/><Relationship Id="rId75" Type="http://schemas.openxmlformats.org/officeDocument/2006/relationships/hyperlink" Target="mailto:Shafqatatif@hotmail.com" TargetMode="External"/><Relationship Id="rId83" Type="http://schemas.openxmlformats.org/officeDocument/2006/relationships/hyperlink" Target="mailto:ibadexportsolution@gmail.com" TargetMode="External"/><Relationship Id="rId88" Type="http://schemas.openxmlformats.org/officeDocument/2006/relationships/hyperlink" Target="mailto:aleenaahsan@hotmail.com" TargetMode="External"/><Relationship Id="rId91" Type="http://schemas.openxmlformats.org/officeDocument/2006/relationships/hyperlink" Target="mailto:alileghari1994@gmail.com" TargetMode="External"/><Relationship Id="rId96" Type="http://schemas.openxmlformats.org/officeDocument/2006/relationships/hyperlink" Target="mailto:hasan@nasraschool.edu.pk" TargetMode="External"/><Relationship Id="rId1" Type="http://schemas.openxmlformats.org/officeDocument/2006/relationships/hyperlink" Target="mailto:sh-ahmed@hotmail.com" TargetMode="External"/><Relationship Id="rId6" Type="http://schemas.openxmlformats.org/officeDocument/2006/relationships/hyperlink" Target="mailto:Iqbalahmed.Mallah@hotmail.com" TargetMode="External"/><Relationship Id="rId15" Type="http://schemas.openxmlformats.org/officeDocument/2006/relationships/hyperlink" Target="mailto:khalid.javed@omsltd.net" TargetMode="External"/><Relationship Id="rId23" Type="http://schemas.openxmlformats.org/officeDocument/2006/relationships/hyperlink" Target="mailto:Shanelahisehgal@hotmail.com" TargetMode="External"/><Relationship Id="rId28" Type="http://schemas.openxmlformats.org/officeDocument/2006/relationships/hyperlink" Target="mailto:zainfarooq@hotmail.com" TargetMode="External"/><Relationship Id="rId36" Type="http://schemas.openxmlformats.org/officeDocument/2006/relationships/hyperlink" Target="mailto:zulfitim@gmail.com" TargetMode="External"/><Relationship Id="rId49" Type="http://schemas.openxmlformats.org/officeDocument/2006/relationships/hyperlink" Target="mailto:zia.khan@btkarachi.com" TargetMode="External"/><Relationship Id="rId57" Type="http://schemas.openxmlformats.org/officeDocument/2006/relationships/hyperlink" Target="mailto:imail.1999@gmail.com" TargetMode="External"/><Relationship Id="rId10" Type="http://schemas.openxmlformats.org/officeDocument/2006/relationships/hyperlink" Target="mailto:Muied@outlook.com" TargetMode="External"/><Relationship Id="rId31" Type="http://schemas.openxmlformats.org/officeDocument/2006/relationships/hyperlink" Target="mailto:faisalmerchant@yahoo.com" TargetMode="External"/><Relationship Id="rId44" Type="http://schemas.openxmlformats.org/officeDocument/2006/relationships/hyperlink" Target="mailto:raza.rehman@btkarachi.com" TargetMode="External"/><Relationship Id="rId52" Type="http://schemas.openxmlformats.org/officeDocument/2006/relationships/hyperlink" Target="mailto:ebrahim.nsps@gmail.com" TargetMode="External"/><Relationship Id="rId60" Type="http://schemas.openxmlformats.org/officeDocument/2006/relationships/hyperlink" Target="mailto:jibrangilani@gmail.com" TargetMode="External"/><Relationship Id="rId65" Type="http://schemas.openxmlformats.org/officeDocument/2006/relationships/hyperlink" Target="mailto:Alirazaothi@gmail.com" TargetMode="External"/><Relationship Id="rId73" Type="http://schemas.openxmlformats.org/officeDocument/2006/relationships/hyperlink" Target="mailto:Sajjad.Kazi.isra@gmail.com" TargetMode="External"/><Relationship Id="rId78" Type="http://schemas.openxmlformats.org/officeDocument/2006/relationships/hyperlink" Target="mailto:ashrafsheikh@hotmail.com" TargetMode="External"/><Relationship Id="rId81" Type="http://schemas.openxmlformats.org/officeDocument/2006/relationships/hyperlink" Target="mailto:mrtali@yahoo.com" TargetMode="External"/><Relationship Id="rId86" Type="http://schemas.openxmlformats.org/officeDocument/2006/relationships/hyperlink" Target="mailto:alkarimmotors@hotmail.com" TargetMode="External"/><Relationship Id="rId94" Type="http://schemas.openxmlformats.org/officeDocument/2006/relationships/hyperlink" Target="mailto:nasir.abbas@nbp.com.pk" TargetMode="External"/><Relationship Id="rId99" Type="http://schemas.openxmlformats.org/officeDocument/2006/relationships/hyperlink" Target="mailto:jamferoz@gmail.com" TargetMode="External"/><Relationship Id="rId101" Type="http://schemas.openxmlformats.org/officeDocument/2006/relationships/hyperlink" Target="mailto:kznayz@gmail.com" TargetMode="External"/><Relationship Id="rId4" Type="http://schemas.openxmlformats.org/officeDocument/2006/relationships/hyperlink" Target="mailto:drnazeerhussain@hotmail.com" TargetMode="External"/><Relationship Id="rId9" Type="http://schemas.openxmlformats.org/officeDocument/2006/relationships/hyperlink" Target="mailto:Solangisajjad1977@gmail.com" TargetMode="External"/><Relationship Id="rId13" Type="http://schemas.openxmlformats.org/officeDocument/2006/relationships/hyperlink" Target="mailto:docuk1982@yahoo.com" TargetMode="External"/><Relationship Id="rId18" Type="http://schemas.openxmlformats.org/officeDocument/2006/relationships/hyperlink" Target="mailto:hammadasif801@gmail.com" TargetMode="External"/><Relationship Id="rId39" Type="http://schemas.openxmlformats.org/officeDocument/2006/relationships/hyperlink" Target="mailto:huzaffar@btkarachi.com" TargetMode="External"/><Relationship Id="rId34" Type="http://schemas.openxmlformats.org/officeDocument/2006/relationships/hyperlink" Target="mailto:Callie.hendrik@btkarachi.com" TargetMode="External"/><Relationship Id="rId50" Type="http://schemas.openxmlformats.org/officeDocument/2006/relationships/hyperlink" Target="mailto:yaqoob.awan@btkarachi.com" TargetMode="External"/><Relationship Id="rId55" Type="http://schemas.openxmlformats.org/officeDocument/2006/relationships/hyperlink" Target="mailto:engr.muneerkhan@gmail.com" TargetMode="External"/><Relationship Id="rId76" Type="http://schemas.openxmlformats.org/officeDocument/2006/relationships/hyperlink" Target="mailto:drsantoshpamnani@gmail.com" TargetMode="External"/><Relationship Id="rId97" Type="http://schemas.openxmlformats.org/officeDocument/2006/relationships/hyperlink" Target="mailto:syed.rahat.hunain.zaidi@gmail.com" TargetMode="External"/><Relationship Id="rId104" Type="http://schemas.openxmlformats.org/officeDocument/2006/relationships/hyperlink" Target="mailto:balochai@yahoo.com" TargetMode="External"/><Relationship Id="rId7" Type="http://schemas.openxmlformats.org/officeDocument/2006/relationships/hyperlink" Target="mailto:Kanyolal.Mandhwani@gmail.com" TargetMode="External"/><Relationship Id="rId71" Type="http://schemas.openxmlformats.org/officeDocument/2006/relationships/hyperlink" Target="mailto:Talharshaikh4@gmail.com" TargetMode="External"/><Relationship Id="rId92" Type="http://schemas.openxmlformats.org/officeDocument/2006/relationships/hyperlink" Target="mailto:azadlashari.09@gmail.com" TargetMode="External"/><Relationship Id="rId2" Type="http://schemas.openxmlformats.org/officeDocument/2006/relationships/hyperlink" Target="mailto:tariq.zubair@btkarachi.com" TargetMode="External"/><Relationship Id="rId29" Type="http://schemas.openxmlformats.org/officeDocument/2006/relationships/hyperlink" Target="mailto:sadaat_waqar@yahoo.com" TargetMode="External"/><Relationship Id="rId24" Type="http://schemas.openxmlformats.org/officeDocument/2006/relationships/hyperlink" Target="mailto:Haneefahsan@hotmail.com" TargetMode="External"/><Relationship Id="rId40" Type="http://schemas.openxmlformats.org/officeDocument/2006/relationships/hyperlink" Target="mailto:khalid.mahmood@btkarachi.com" TargetMode="External"/><Relationship Id="rId45" Type="http://schemas.openxmlformats.org/officeDocument/2006/relationships/hyperlink" Target="mailto:drfakhrunisa@gmail.com" TargetMode="External"/><Relationship Id="rId66" Type="http://schemas.openxmlformats.org/officeDocument/2006/relationships/hyperlink" Target="mailto:bilalak061@gmail.com" TargetMode="External"/><Relationship Id="rId87" Type="http://schemas.openxmlformats.org/officeDocument/2006/relationships/hyperlink" Target="mailto:asiftextile@hotmail.com" TargetMode="External"/><Relationship Id="rId61" Type="http://schemas.openxmlformats.org/officeDocument/2006/relationships/hyperlink" Target="mailto:schandio1624@gmail.com" TargetMode="External"/><Relationship Id="rId82" Type="http://schemas.openxmlformats.org/officeDocument/2006/relationships/hyperlink" Target="mailto:naseemmunshi@hotmail.com" TargetMode="External"/><Relationship Id="rId19" Type="http://schemas.openxmlformats.org/officeDocument/2006/relationships/hyperlink" Target="mailto:arta_ashoka@hotmail.com" TargetMode="External"/><Relationship Id="rId14" Type="http://schemas.openxmlformats.org/officeDocument/2006/relationships/hyperlink" Target="mailto:haneef_pk@hotmail.com" TargetMode="External"/><Relationship Id="rId30" Type="http://schemas.openxmlformats.org/officeDocument/2006/relationships/hyperlink" Target="mailto:asifali.sbp@gmail.com" TargetMode="External"/><Relationship Id="rId35" Type="http://schemas.openxmlformats.org/officeDocument/2006/relationships/hyperlink" Target="mailto:akbar_rao@yahoo.com" TargetMode="External"/><Relationship Id="rId56" Type="http://schemas.openxmlformats.org/officeDocument/2006/relationships/hyperlink" Target="mailto:muhammad.ibrahim@btkhospital.com" TargetMode="External"/><Relationship Id="rId77" Type="http://schemas.openxmlformats.org/officeDocument/2006/relationships/hyperlink" Target="mailto:nizambaloch@gmail.com" TargetMode="External"/><Relationship Id="rId100" Type="http://schemas.openxmlformats.org/officeDocument/2006/relationships/hyperlink" Target="mailto:shahbazahmedijaz88@gmail.com" TargetMode="External"/><Relationship Id="rId105" Type="http://schemas.openxmlformats.org/officeDocument/2006/relationships/printerSettings" Target="../printerSettings/printerSettings1.bin"/><Relationship Id="rId8" Type="http://schemas.openxmlformats.org/officeDocument/2006/relationships/hyperlink" Target="mailto:Mkvedani@gmil.com" TargetMode="External"/><Relationship Id="rId51" Type="http://schemas.openxmlformats.org/officeDocument/2006/relationships/hyperlink" Target="mailto:hamid.forecast@gmail.com" TargetMode="External"/><Relationship Id="rId72" Type="http://schemas.openxmlformats.org/officeDocument/2006/relationships/hyperlink" Target="mailto:zchamdia@gmail.com" TargetMode="External"/><Relationship Id="rId93" Type="http://schemas.openxmlformats.org/officeDocument/2006/relationships/hyperlink" Target="mailto:abumousa701@gmail.com" TargetMode="External"/><Relationship Id="rId98" Type="http://schemas.openxmlformats.org/officeDocument/2006/relationships/hyperlink" Target="mailto:miantehseenfaiz@gmail.com" TargetMode="External"/><Relationship Id="rId3" Type="http://schemas.openxmlformats.org/officeDocument/2006/relationships/hyperlink" Target="mailto:ahaqrana111@icloud.com" TargetMode="External"/><Relationship Id="rId25" Type="http://schemas.openxmlformats.org/officeDocument/2006/relationships/hyperlink" Target="mailto:ma.usmani@live.com" TargetMode="External"/><Relationship Id="rId46" Type="http://schemas.openxmlformats.org/officeDocument/2006/relationships/hyperlink" Target="mailto:haroonrasheedbahria@gmail.com" TargetMode="External"/><Relationship Id="rId67" Type="http://schemas.openxmlformats.org/officeDocument/2006/relationships/hyperlink" Target="mailto:maszone1980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indianhealthyrecipes.com/chicken-jalfrezi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2" sqref="B2"/>
    </sheetView>
  </sheetViews>
  <sheetFormatPr defaultRowHeight="15" x14ac:dyDescent="0.25"/>
  <cols>
    <col min="2" max="2" width="11" bestFit="1" customWidth="1"/>
  </cols>
  <sheetData>
    <row r="1" spans="1:3" x14ac:dyDescent="0.25">
      <c r="A1" s="8" t="s">
        <v>372</v>
      </c>
      <c r="B1" s="8" t="s">
        <v>1256</v>
      </c>
      <c r="C1" s="8" t="s">
        <v>1254</v>
      </c>
    </row>
    <row r="2" spans="1:3" x14ac:dyDescent="0.25">
      <c r="A2" s="8" t="s">
        <v>1252</v>
      </c>
      <c r="B2">
        <v>3142103861</v>
      </c>
      <c r="C2">
        <v>1273</v>
      </c>
    </row>
    <row r="3" spans="1:3" x14ac:dyDescent="0.25">
      <c r="A3" s="8" t="s">
        <v>1253</v>
      </c>
      <c r="B3">
        <v>3332924492</v>
      </c>
      <c r="C3" s="8" t="s">
        <v>1255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001"/>
  <sheetViews>
    <sheetView topLeftCell="D1" zoomScaleNormal="100" workbookViewId="0">
      <pane ySplit="4" topLeftCell="A5" activePane="bottomLeft" state="frozen"/>
      <selection pane="bottomLeft" activeCell="G5" sqref="G5"/>
    </sheetView>
  </sheetViews>
  <sheetFormatPr defaultColWidth="14" defaultRowHeight="15" customHeight="1" x14ac:dyDescent="0.25"/>
  <cols>
    <col min="1" max="1" width="6.42578125" style="8" customWidth="1"/>
    <col min="2" max="2" width="16" style="8" bestFit="1" customWidth="1"/>
    <col min="3" max="3" width="42.7109375" style="8" bestFit="1" customWidth="1"/>
    <col min="4" max="4" width="36.7109375" style="8" bestFit="1" customWidth="1"/>
    <col min="5" max="5" width="19.7109375" style="8" customWidth="1"/>
    <col min="6" max="6" width="122.7109375" style="8" customWidth="1"/>
    <col min="7" max="7" width="19.5703125" style="373" customWidth="1"/>
    <col min="8" max="8" width="26" style="365" customWidth="1"/>
    <col min="9" max="9" width="13.5703125" style="365" customWidth="1"/>
    <col min="10" max="10" width="20.28515625" style="365" customWidth="1"/>
    <col min="11" max="16384" width="14" style="8"/>
  </cols>
  <sheetData>
    <row r="1" spans="1:10" ht="36" customHeight="1" x14ac:dyDescent="0.25">
      <c r="A1" s="385"/>
      <c r="B1" s="386"/>
      <c r="C1" s="376" t="s">
        <v>505</v>
      </c>
      <c r="D1" s="377"/>
      <c r="E1" s="377"/>
      <c r="F1" s="378"/>
      <c r="G1" s="364"/>
    </row>
    <row r="2" spans="1:10" ht="36" customHeight="1" thickBot="1" x14ac:dyDescent="0.3">
      <c r="A2" s="387"/>
      <c r="B2" s="388"/>
      <c r="C2" s="379"/>
      <c r="D2" s="380"/>
      <c r="E2" s="380"/>
      <c r="F2" s="381"/>
      <c r="G2" s="364"/>
    </row>
    <row r="3" spans="1:10" ht="36" customHeight="1" thickBot="1" x14ac:dyDescent="0.3">
      <c r="A3" s="389"/>
      <c r="B3" s="390"/>
      <c r="C3" s="382" t="s">
        <v>758</v>
      </c>
      <c r="D3" s="383"/>
      <c r="E3" s="383"/>
      <c r="F3" s="384"/>
      <c r="G3" s="366"/>
    </row>
    <row r="4" spans="1:10" s="56" customFormat="1" ht="45" customHeight="1" thickBot="1" x14ac:dyDescent="0.35">
      <c r="A4" s="72" t="s">
        <v>760</v>
      </c>
      <c r="B4" s="73" t="s">
        <v>759</v>
      </c>
      <c r="C4" s="73" t="s">
        <v>2</v>
      </c>
      <c r="D4" s="73" t="s">
        <v>3</v>
      </c>
      <c r="E4" s="74" t="s">
        <v>4</v>
      </c>
      <c r="F4" s="75" t="s">
        <v>5</v>
      </c>
      <c r="G4" s="374" t="s">
        <v>1259</v>
      </c>
      <c r="H4" s="375" t="s">
        <v>1260</v>
      </c>
      <c r="I4" s="375" t="s">
        <v>1261</v>
      </c>
      <c r="J4" s="375" t="s">
        <v>1262</v>
      </c>
    </row>
    <row r="5" spans="1:10" ht="16.149999999999999" customHeight="1" thickBot="1" x14ac:dyDescent="0.3">
      <c r="A5" s="57">
        <v>1</v>
      </c>
      <c r="B5" s="57" t="s">
        <v>7</v>
      </c>
      <c r="C5" s="58" t="s">
        <v>8</v>
      </c>
      <c r="D5" s="77" t="s">
        <v>9</v>
      </c>
      <c r="E5" s="78"/>
      <c r="F5" s="59"/>
      <c r="G5" s="369"/>
    </row>
    <row r="6" spans="1:10" ht="16.149999999999999" customHeight="1" thickBot="1" x14ac:dyDescent="0.3">
      <c r="A6" s="57">
        <v>2</v>
      </c>
      <c r="B6" s="60" t="s">
        <v>10</v>
      </c>
      <c r="C6" s="61" t="s">
        <v>11</v>
      </c>
      <c r="D6" s="76" t="s">
        <v>12</v>
      </c>
      <c r="E6" s="79" t="s">
        <v>13</v>
      </c>
      <c r="F6" s="62" t="s">
        <v>14</v>
      </c>
      <c r="G6" s="369" t="s">
        <v>1258</v>
      </c>
      <c r="H6" s="365" t="s">
        <v>1263</v>
      </c>
      <c r="I6" s="365" t="s">
        <v>1257</v>
      </c>
      <c r="J6" s="365">
        <v>20</v>
      </c>
    </row>
    <row r="7" spans="1:10" ht="16.149999999999999" customHeight="1" thickBot="1" x14ac:dyDescent="0.3">
      <c r="A7" s="57">
        <v>3</v>
      </c>
      <c r="B7" s="60" t="s">
        <v>15</v>
      </c>
      <c r="C7" s="61" t="s">
        <v>16</v>
      </c>
      <c r="D7" s="76" t="s">
        <v>17</v>
      </c>
      <c r="E7" s="79" t="s">
        <v>18</v>
      </c>
      <c r="F7" s="62" t="s">
        <v>19</v>
      </c>
      <c r="G7" s="369"/>
      <c r="H7" s="365" t="s">
        <v>1264</v>
      </c>
      <c r="I7" s="365" t="s">
        <v>1257</v>
      </c>
      <c r="J7" s="365">
        <v>200</v>
      </c>
    </row>
    <row r="8" spans="1:10" ht="16.149999999999999" customHeight="1" thickBot="1" x14ac:dyDescent="0.3">
      <c r="A8" s="57">
        <v>4</v>
      </c>
      <c r="B8" s="60" t="s">
        <v>20</v>
      </c>
      <c r="C8" s="61" t="s">
        <v>21</v>
      </c>
      <c r="D8" s="76" t="s">
        <v>22</v>
      </c>
      <c r="E8" s="79" t="s">
        <v>23</v>
      </c>
      <c r="F8" s="62" t="s">
        <v>24</v>
      </c>
      <c r="G8" s="369"/>
      <c r="H8" s="365" t="s">
        <v>1265</v>
      </c>
      <c r="I8" s="365" t="s">
        <v>1257</v>
      </c>
      <c r="J8" s="365">
        <v>20</v>
      </c>
    </row>
    <row r="9" spans="1:10" ht="16.149999999999999" customHeight="1" thickBot="1" x14ac:dyDescent="0.3">
      <c r="A9" s="57">
        <v>5</v>
      </c>
      <c r="B9" s="60" t="s">
        <v>25</v>
      </c>
      <c r="C9" s="61" t="s">
        <v>26</v>
      </c>
      <c r="D9" s="76" t="s">
        <v>417</v>
      </c>
      <c r="E9" s="79" t="s">
        <v>27</v>
      </c>
      <c r="F9" s="62" t="s">
        <v>28</v>
      </c>
      <c r="G9" s="369"/>
      <c r="H9" s="365" t="s">
        <v>1266</v>
      </c>
      <c r="I9" s="365" t="s">
        <v>1257</v>
      </c>
      <c r="J9" s="365">
        <v>200</v>
      </c>
    </row>
    <row r="10" spans="1:10" ht="16.149999999999999" customHeight="1" thickBot="1" x14ac:dyDescent="0.3">
      <c r="A10" s="57">
        <v>6</v>
      </c>
      <c r="B10" s="60" t="s">
        <v>29</v>
      </c>
      <c r="C10" s="61" t="s">
        <v>30</v>
      </c>
      <c r="D10" s="76" t="s">
        <v>31</v>
      </c>
      <c r="E10" s="79" t="s">
        <v>32</v>
      </c>
      <c r="F10" s="62" t="s">
        <v>33</v>
      </c>
      <c r="G10" s="369"/>
      <c r="H10" s="365" t="s">
        <v>1267</v>
      </c>
      <c r="I10" s="365" t="s">
        <v>1257</v>
      </c>
      <c r="J10" s="365">
        <v>200</v>
      </c>
    </row>
    <row r="11" spans="1:10" ht="16.149999999999999" customHeight="1" thickBot="1" x14ac:dyDescent="0.3">
      <c r="A11" s="57">
        <v>7</v>
      </c>
      <c r="B11" s="60" t="s">
        <v>34</v>
      </c>
      <c r="C11" s="61" t="s">
        <v>35</v>
      </c>
      <c r="D11" s="76" t="s">
        <v>36</v>
      </c>
      <c r="E11" s="79" t="s">
        <v>37</v>
      </c>
      <c r="F11" s="62" t="s">
        <v>38</v>
      </c>
      <c r="G11" s="369"/>
    </row>
    <row r="12" spans="1:10" ht="16.149999999999999" customHeight="1" thickBot="1" x14ac:dyDescent="0.3">
      <c r="A12" s="57">
        <v>8</v>
      </c>
      <c r="B12" s="60" t="s">
        <v>39</v>
      </c>
      <c r="C12" s="61" t="s">
        <v>40</v>
      </c>
      <c r="D12" s="76" t="s">
        <v>41</v>
      </c>
      <c r="E12" s="79" t="s">
        <v>42</v>
      </c>
      <c r="F12" s="62" t="s">
        <v>43</v>
      </c>
      <c r="G12" s="369"/>
    </row>
    <row r="13" spans="1:10" ht="16.149999999999999" customHeight="1" thickBot="1" x14ac:dyDescent="0.3">
      <c r="A13" s="57">
        <v>9</v>
      </c>
      <c r="B13" s="60" t="s">
        <v>44</v>
      </c>
      <c r="C13" s="61" t="s">
        <v>45</v>
      </c>
      <c r="D13" s="76" t="s">
        <v>46</v>
      </c>
      <c r="E13" s="79" t="s">
        <v>47</v>
      </c>
      <c r="F13" s="62" t="s">
        <v>48</v>
      </c>
      <c r="G13" s="369"/>
    </row>
    <row r="14" spans="1:10" ht="16.149999999999999" customHeight="1" thickBot="1" x14ac:dyDescent="0.3">
      <c r="A14" s="57">
        <v>10</v>
      </c>
      <c r="B14" s="60" t="s">
        <v>49</v>
      </c>
      <c r="C14" s="61" t="s">
        <v>50</v>
      </c>
      <c r="D14" s="76" t="s">
        <v>51</v>
      </c>
      <c r="E14" s="79" t="s">
        <v>52</v>
      </c>
      <c r="F14" s="62" t="s">
        <v>53</v>
      </c>
      <c r="G14" s="369"/>
    </row>
    <row r="15" spans="1:10" ht="16.149999999999999" customHeight="1" thickBot="1" x14ac:dyDescent="0.3">
      <c r="A15" s="57">
        <v>11</v>
      </c>
      <c r="B15" s="60" t="s">
        <v>54</v>
      </c>
      <c r="C15" s="61" t="s">
        <v>55</v>
      </c>
      <c r="D15" s="76" t="s">
        <v>56</v>
      </c>
      <c r="E15" s="79" t="s">
        <v>57</v>
      </c>
      <c r="F15" s="62" t="s">
        <v>58</v>
      </c>
      <c r="G15" s="369"/>
    </row>
    <row r="16" spans="1:10" ht="16.149999999999999" customHeight="1" thickBot="1" x14ac:dyDescent="0.3">
      <c r="A16" s="57">
        <v>12</v>
      </c>
      <c r="B16" s="60" t="s">
        <v>59</v>
      </c>
      <c r="C16" s="61" t="s">
        <v>60</v>
      </c>
      <c r="D16" s="76" t="s">
        <v>61</v>
      </c>
      <c r="E16" s="79" t="s">
        <v>62</v>
      </c>
      <c r="F16" s="62" t="s">
        <v>63</v>
      </c>
      <c r="G16" s="369"/>
    </row>
    <row r="17" spans="1:7" ht="16.149999999999999" customHeight="1" thickBot="1" x14ac:dyDescent="0.3">
      <c r="A17" s="57">
        <v>13</v>
      </c>
      <c r="B17" s="60" t="s">
        <v>64</v>
      </c>
      <c r="C17" s="61" t="s">
        <v>65</v>
      </c>
      <c r="D17" s="76" t="s">
        <v>66</v>
      </c>
      <c r="E17" s="79" t="s">
        <v>67</v>
      </c>
      <c r="F17" s="62" t="s">
        <v>68</v>
      </c>
      <c r="G17" s="369"/>
    </row>
    <row r="18" spans="1:7" ht="16.149999999999999" customHeight="1" thickBot="1" x14ac:dyDescent="0.3">
      <c r="A18" s="57">
        <v>14</v>
      </c>
      <c r="B18" s="81" t="s">
        <v>69</v>
      </c>
      <c r="C18" s="82" t="s">
        <v>70</v>
      </c>
      <c r="D18" s="81" t="s">
        <v>71</v>
      </c>
      <c r="E18" s="86" t="s">
        <v>72</v>
      </c>
      <c r="F18" s="88"/>
      <c r="G18" s="369"/>
    </row>
    <row r="19" spans="1:7" ht="16.149999999999999" customHeight="1" thickBot="1" x14ac:dyDescent="0.3">
      <c r="A19" s="57">
        <v>15</v>
      </c>
      <c r="B19" s="60" t="s">
        <v>73</v>
      </c>
      <c r="C19" s="61" t="s">
        <v>74</v>
      </c>
      <c r="D19" s="76" t="s">
        <v>75</v>
      </c>
      <c r="E19" s="79" t="s">
        <v>76</v>
      </c>
      <c r="F19" s="62" t="s">
        <v>77</v>
      </c>
      <c r="G19" s="369"/>
    </row>
    <row r="20" spans="1:7" ht="16.149999999999999" customHeight="1" thickBot="1" x14ac:dyDescent="0.3">
      <c r="A20" s="57">
        <v>16</v>
      </c>
      <c r="B20" s="60" t="s">
        <v>78</v>
      </c>
      <c r="C20" s="61" t="s">
        <v>79</v>
      </c>
      <c r="D20" s="76" t="s">
        <v>80</v>
      </c>
      <c r="E20" s="79" t="s">
        <v>81</v>
      </c>
      <c r="F20" s="62" t="s">
        <v>82</v>
      </c>
      <c r="G20" s="369"/>
    </row>
    <row r="21" spans="1:7" ht="16.149999999999999" customHeight="1" thickBot="1" x14ac:dyDescent="0.3">
      <c r="A21" s="57">
        <v>17</v>
      </c>
      <c r="B21" s="60" t="s">
        <v>83</v>
      </c>
      <c r="C21" s="61" t="s">
        <v>84</v>
      </c>
      <c r="D21" s="76" t="s">
        <v>85</v>
      </c>
      <c r="E21" s="79" t="s">
        <v>86</v>
      </c>
      <c r="F21" s="62" t="s">
        <v>87</v>
      </c>
      <c r="G21" s="369"/>
    </row>
    <row r="22" spans="1:7" ht="16.149999999999999" customHeight="1" thickBot="1" x14ac:dyDescent="0.3">
      <c r="A22" s="57">
        <v>18</v>
      </c>
      <c r="B22" s="60" t="s">
        <v>88</v>
      </c>
      <c r="C22" s="61" t="s">
        <v>89</v>
      </c>
      <c r="D22" s="76" t="s">
        <v>90</v>
      </c>
      <c r="E22" s="79" t="s">
        <v>91</v>
      </c>
      <c r="F22" s="62" t="s">
        <v>92</v>
      </c>
      <c r="G22" s="369"/>
    </row>
    <row r="23" spans="1:7" ht="16.149999999999999" customHeight="1" thickBot="1" x14ac:dyDescent="0.3">
      <c r="A23" s="57">
        <v>19</v>
      </c>
      <c r="B23" s="60" t="s">
        <v>93</v>
      </c>
      <c r="C23" s="61" t="s">
        <v>94</v>
      </c>
      <c r="D23" s="76" t="s">
        <v>95</v>
      </c>
      <c r="E23" s="79" t="s">
        <v>96</v>
      </c>
      <c r="F23" s="62" t="s">
        <v>97</v>
      </c>
      <c r="G23" s="369"/>
    </row>
    <row r="24" spans="1:7" ht="16.149999999999999" customHeight="1" thickBot="1" x14ac:dyDescent="0.3">
      <c r="A24" s="57">
        <v>20</v>
      </c>
      <c r="B24" s="60" t="s">
        <v>98</v>
      </c>
      <c r="C24" s="61" t="s">
        <v>99</v>
      </c>
      <c r="D24" s="76" t="s">
        <v>100</v>
      </c>
      <c r="E24" s="79" t="s">
        <v>101</v>
      </c>
      <c r="F24" s="62" t="s">
        <v>102</v>
      </c>
      <c r="G24" s="369"/>
    </row>
    <row r="25" spans="1:7" ht="16.149999999999999" customHeight="1" thickBot="1" x14ac:dyDescent="0.3">
      <c r="A25" s="57">
        <v>21</v>
      </c>
      <c r="B25" s="60" t="s">
        <v>103</v>
      </c>
      <c r="C25" s="61" t="s">
        <v>104</v>
      </c>
      <c r="D25" s="76" t="s">
        <v>105</v>
      </c>
      <c r="E25" s="79" t="s">
        <v>106</v>
      </c>
      <c r="F25" s="62" t="s">
        <v>107</v>
      </c>
      <c r="G25" s="369"/>
    </row>
    <row r="26" spans="1:7" ht="16.149999999999999" customHeight="1" thickBot="1" x14ac:dyDescent="0.3">
      <c r="A26" s="57">
        <v>22</v>
      </c>
      <c r="B26" s="60" t="s">
        <v>108</v>
      </c>
      <c r="C26" s="61" t="s">
        <v>109</v>
      </c>
      <c r="D26" s="76" t="s">
        <v>110</v>
      </c>
      <c r="E26" s="79" t="s">
        <v>111</v>
      </c>
      <c r="F26" s="62" t="s">
        <v>112</v>
      </c>
      <c r="G26" s="369"/>
    </row>
    <row r="27" spans="1:7" ht="16.149999999999999" customHeight="1" thickBot="1" x14ac:dyDescent="0.3">
      <c r="A27" s="57">
        <v>23</v>
      </c>
      <c r="B27" s="60" t="s">
        <v>113</v>
      </c>
      <c r="C27" s="61" t="s">
        <v>114</v>
      </c>
      <c r="D27" s="76" t="s">
        <v>115</v>
      </c>
      <c r="E27" s="79" t="s">
        <v>116</v>
      </c>
      <c r="F27" s="62" t="s">
        <v>117</v>
      </c>
      <c r="G27" s="369"/>
    </row>
    <row r="28" spans="1:7" ht="16.149999999999999" customHeight="1" thickBot="1" x14ac:dyDescent="0.3">
      <c r="A28" s="57">
        <v>24</v>
      </c>
      <c r="B28" s="60" t="s">
        <v>118</v>
      </c>
      <c r="C28" s="61" t="s">
        <v>119</v>
      </c>
      <c r="D28" s="76" t="s">
        <v>120</v>
      </c>
      <c r="E28" s="79" t="s">
        <v>121</v>
      </c>
      <c r="F28" s="62" t="s">
        <v>122</v>
      </c>
      <c r="G28" s="369"/>
    </row>
    <row r="29" spans="1:7" ht="16.149999999999999" customHeight="1" thickBot="1" x14ac:dyDescent="0.3">
      <c r="A29" s="57">
        <v>25</v>
      </c>
      <c r="B29" s="60" t="s">
        <v>123</v>
      </c>
      <c r="C29" s="61" t="s">
        <v>124</v>
      </c>
      <c r="D29" s="76" t="s">
        <v>125</v>
      </c>
      <c r="E29" s="79" t="s">
        <v>126</v>
      </c>
      <c r="F29" s="62" t="s">
        <v>127</v>
      </c>
      <c r="G29" s="369"/>
    </row>
    <row r="30" spans="1:7" ht="16.149999999999999" customHeight="1" thickBot="1" x14ac:dyDescent="0.3">
      <c r="A30" s="57">
        <v>26</v>
      </c>
      <c r="B30" s="60" t="s">
        <v>128</v>
      </c>
      <c r="C30" s="61" t="s">
        <v>129</v>
      </c>
      <c r="D30" s="76" t="s">
        <v>130</v>
      </c>
      <c r="E30" s="79" t="s">
        <v>131</v>
      </c>
      <c r="F30" s="62" t="s">
        <v>132</v>
      </c>
      <c r="G30" s="369"/>
    </row>
    <row r="31" spans="1:7" ht="16.149999999999999" customHeight="1" thickBot="1" x14ac:dyDescent="0.3">
      <c r="A31" s="57">
        <v>27</v>
      </c>
      <c r="B31" s="60" t="s">
        <v>133</v>
      </c>
      <c r="C31" s="61" t="s">
        <v>134</v>
      </c>
      <c r="D31" s="76" t="s">
        <v>135</v>
      </c>
      <c r="E31" s="79" t="s">
        <v>136</v>
      </c>
      <c r="F31" s="62" t="s">
        <v>137</v>
      </c>
      <c r="G31" s="369"/>
    </row>
    <row r="32" spans="1:7" ht="16.149999999999999" customHeight="1" thickBot="1" x14ac:dyDescent="0.3">
      <c r="A32" s="57">
        <v>28</v>
      </c>
      <c r="B32" s="60" t="s">
        <v>138</v>
      </c>
      <c r="C32" s="61" t="s">
        <v>139</v>
      </c>
      <c r="D32" s="76" t="s">
        <v>140</v>
      </c>
      <c r="E32" s="79" t="s">
        <v>141</v>
      </c>
      <c r="F32" s="62" t="s">
        <v>63</v>
      </c>
      <c r="G32" s="369"/>
    </row>
    <row r="33" spans="1:7" ht="16.149999999999999" customHeight="1" thickBot="1" x14ac:dyDescent="0.3">
      <c r="A33" s="57">
        <v>29</v>
      </c>
      <c r="B33" s="60" t="s">
        <v>142</v>
      </c>
      <c r="C33" s="61" t="s">
        <v>143</v>
      </c>
      <c r="D33" s="76" t="s">
        <v>144</v>
      </c>
      <c r="E33" s="80">
        <v>3002021430</v>
      </c>
      <c r="F33" s="62" t="s">
        <v>145</v>
      </c>
      <c r="G33" s="369"/>
    </row>
    <row r="34" spans="1:7" ht="16.149999999999999" customHeight="1" thickBot="1" x14ac:dyDescent="0.3">
      <c r="A34" s="57">
        <v>30</v>
      </c>
      <c r="B34" s="60" t="s">
        <v>146</v>
      </c>
      <c r="C34" s="61" t="s">
        <v>147</v>
      </c>
      <c r="D34" s="76" t="s">
        <v>148</v>
      </c>
      <c r="E34" s="79" t="s">
        <v>149</v>
      </c>
      <c r="F34" s="62" t="s">
        <v>150</v>
      </c>
      <c r="G34" s="369"/>
    </row>
    <row r="35" spans="1:7" ht="16.149999999999999" customHeight="1" thickBot="1" x14ac:dyDescent="0.3">
      <c r="A35" s="57">
        <v>31</v>
      </c>
      <c r="B35" s="60" t="s">
        <v>151</v>
      </c>
      <c r="C35" s="61" t="s">
        <v>152</v>
      </c>
      <c r="D35" s="76" t="s">
        <v>153</v>
      </c>
      <c r="E35" s="80">
        <v>3332110598</v>
      </c>
      <c r="F35" s="62" t="s">
        <v>154</v>
      </c>
      <c r="G35" s="369"/>
    </row>
    <row r="36" spans="1:7" ht="16.149999999999999" customHeight="1" thickBot="1" x14ac:dyDescent="0.3">
      <c r="A36" s="57">
        <v>32</v>
      </c>
      <c r="B36" s="60" t="s">
        <v>155</v>
      </c>
      <c r="C36" s="61" t="s">
        <v>156</v>
      </c>
      <c r="D36" s="76" t="s">
        <v>157</v>
      </c>
      <c r="E36" s="79" t="s">
        <v>158</v>
      </c>
      <c r="F36" s="62" t="s">
        <v>159</v>
      </c>
      <c r="G36" s="369"/>
    </row>
    <row r="37" spans="1:7" ht="16.149999999999999" customHeight="1" thickBot="1" x14ac:dyDescent="0.3">
      <c r="A37" s="57">
        <v>33</v>
      </c>
      <c r="B37" s="60" t="s">
        <v>160</v>
      </c>
      <c r="C37" s="61" t="s">
        <v>161</v>
      </c>
      <c r="D37" s="76" t="s">
        <v>956</v>
      </c>
      <c r="E37" s="79" t="s">
        <v>162</v>
      </c>
      <c r="F37" s="62" t="s">
        <v>163</v>
      </c>
      <c r="G37" s="369"/>
    </row>
    <row r="38" spans="1:7" ht="16.149999999999999" customHeight="1" thickBot="1" x14ac:dyDescent="0.3">
      <c r="A38" s="57">
        <v>34</v>
      </c>
      <c r="B38" s="60" t="s">
        <v>164</v>
      </c>
      <c r="C38" s="61" t="s">
        <v>165</v>
      </c>
      <c r="D38" s="76" t="s">
        <v>166</v>
      </c>
      <c r="E38" s="79" t="s">
        <v>167</v>
      </c>
      <c r="F38" s="62" t="s">
        <v>168</v>
      </c>
      <c r="G38" s="369"/>
    </row>
    <row r="39" spans="1:7" ht="16.149999999999999" customHeight="1" thickBot="1" x14ac:dyDescent="0.3">
      <c r="A39" s="57">
        <v>35</v>
      </c>
      <c r="B39" s="60" t="s">
        <v>173</v>
      </c>
      <c r="C39" s="61" t="s">
        <v>174</v>
      </c>
      <c r="D39" s="76" t="s">
        <v>966</v>
      </c>
      <c r="E39" s="79" t="s">
        <v>175</v>
      </c>
      <c r="F39" s="62" t="s">
        <v>176</v>
      </c>
      <c r="G39" s="369"/>
    </row>
    <row r="40" spans="1:7" ht="16.149999999999999" customHeight="1" thickBot="1" x14ac:dyDescent="0.3">
      <c r="A40" s="57">
        <v>36</v>
      </c>
      <c r="B40" s="60" t="s">
        <v>177</v>
      </c>
      <c r="C40" s="61" t="s">
        <v>178</v>
      </c>
      <c r="D40" s="76" t="s">
        <v>179</v>
      </c>
      <c r="E40" s="79" t="s">
        <v>180</v>
      </c>
      <c r="F40" s="62" t="s">
        <v>181</v>
      </c>
      <c r="G40" s="369"/>
    </row>
    <row r="41" spans="1:7" ht="16.149999999999999" customHeight="1" thickBot="1" x14ac:dyDescent="0.3">
      <c r="A41" s="57">
        <v>37</v>
      </c>
      <c r="B41" s="60" t="s">
        <v>182</v>
      </c>
      <c r="C41" s="61" t="s">
        <v>183</v>
      </c>
      <c r="D41" s="76" t="s">
        <v>184</v>
      </c>
      <c r="E41" s="79" t="s">
        <v>185</v>
      </c>
      <c r="F41" s="62" t="s">
        <v>186</v>
      </c>
      <c r="G41" s="369"/>
    </row>
    <row r="42" spans="1:7" ht="16.149999999999999" customHeight="1" thickBot="1" x14ac:dyDescent="0.3">
      <c r="A42" s="57">
        <v>38</v>
      </c>
      <c r="B42" s="60" t="s">
        <v>187</v>
      </c>
      <c r="C42" s="61" t="s">
        <v>188</v>
      </c>
      <c r="D42" s="76" t="s">
        <v>189</v>
      </c>
      <c r="E42" s="79" t="s">
        <v>190</v>
      </c>
      <c r="F42" s="62" t="s">
        <v>191</v>
      </c>
      <c r="G42" s="369"/>
    </row>
    <row r="43" spans="1:7" ht="16.149999999999999" customHeight="1" thickBot="1" x14ac:dyDescent="0.3">
      <c r="A43" s="57">
        <v>39</v>
      </c>
      <c r="B43" s="60" t="s">
        <v>192</v>
      </c>
      <c r="C43" s="61" t="s">
        <v>193</v>
      </c>
      <c r="D43" s="76" t="s">
        <v>194</v>
      </c>
      <c r="E43" s="79" t="s">
        <v>195</v>
      </c>
      <c r="F43" s="62" t="s">
        <v>196</v>
      </c>
      <c r="G43" s="369"/>
    </row>
    <row r="44" spans="1:7" ht="16.149999999999999" customHeight="1" thickBot="1" x14ac:dyDescent="0.3">
      <c r="A44" s="57">
        <v>40</v>
      </c>
      <c r="B44" s="60" t="s">
        <v>197</v>
      </c>
      <c r="C44" s="61" t="s">
        <v>198</v>
      </c>
      <c r="D44" s="76" t="s">
        <v>199</v>
      </c>
      <c r="E44" s="79" t="s">
        <v>200</v>
      </c>
      <c r="F44" s="62" t="s">
        <v>201</v>
      </c>
      <c r="G44" s="369"/>
    </row>
    <row r="45" spans="1:7" ht="16.149999999999999" customHeight="1" thickBot="1" x14ac:dyDescent="0.3">
      <c r="A45" s="57">
        <v>41</v>
      </c>
      <c r="B45" s="60" t="s">
        <v>202</v>
      </c>
      <c r="C45" s="61" t="s">
        <v>203</v>
      </c>
      <c r="D45" s="76" t="s">
        <v>204</v>
      </c>
      <c r="E45" s="79" t="s">
        <v>205</v>
      </c>
      <c r="F45" s="62" t="s">
        <v>206</v>
      </c>
      <c r="G45" s="369"/>
    </row>
    <row r="46" spans="1:7" ht="16.149999999999999" customHeight="1" thickBot="1" x14ac:dyDescent="0.3">
      <c r="A46" s="57">
        <v>42</v>
      </c>
      <c r="B46" s="60" t="s">
        <v>795</v>
      </c>
      <c r="C46" s="61" t="s">
        <v>796</v>
      </c>
      <c r="D46" s="76" t="s">
        <v>797</v>
      </c>
      <c r="E46" s="79">
        <v>3332149596</v>
      </c>
      <c r="F46" s="62" t="s">
        <v>798</v>
      </c>
      <c r="G46" s="369"/>
    </row>
    <row r="47" spans="1:7" ht="16.149999999999999" customHeight="1" thickBot="1" x14ac:dyDescent="0.3">
      <c r="A47" s="57">
        <v>43</v>
      </c>
      <c r="B47" s="60" t="s">
        <v>207</v>
      </c>
      <c r="C47" s="61" t="s">
        <v>208</v>
      </c>
      <c r="D47" s="76" t="s">
        <v>209</v>
      </c>
      <c r="E47" s="79" t="s">
        <v>210</v>
      </c>
      <c r="F47" s="62" t="s">
        <v>211</v>
      </c>
      <c r="G47" s="369"/>
    </row>
    <row r="48" spans="1:7" ht="16.149999999999999" customHeight="1" thickBot="1" x14ac:dyDescent="0.3">
      <c r="A48" s="57">
        <v>44</v>
      </c>
      <c r="B48" s="60" t="s">
        <v>212</v>
      </c>
      <c r="C48" s="61" t="s">
        <v>213</v>
      </c>
      <c r="D48" s="76" t="s">
        <v>214</v>
      </c>
      <c r="E48" s="79" t="s">
        <v>215</v>
      </c>
      <c r="F48" s="62" t="s">
        <v>216</v>
      </c>
      <c r="G48" s="369"/>
    </row>
    <row r="49" spans="1:7" ht="16.149999999999999" customHeight="1" thickBot="1" x14ac:dyDescent="0.3">
      <c r="A49" s="57">
        <v>45</v>
      </c>
      <c r="B49" s="60" t="s">
        <v>217</v>
      </c>
      <c r="C49" s="61" t="s">
        <v>218</v>
      </c>
      <c r="D49" s="76" t="s">
        <v>219</v>
      </c>
      <c r="E49" s="80">
        <v>3002788801</v>
      </c>
      <c r="F49" s="62" t="s">
        <v>220</v>
      </c>
      <c r="G49" s="369"/>
    </row>
    <row r="50" spans="1:7" ht="16.149999999999999" customHeight="1" thickBot="1" x14ac:dyDescent="0.3">
      <c r="A50" s="57">
        <v>46</v>
      </c>
      <c r="B50" s="60" t="s">
        <v>221</v>
      </c>
      <c r="C50" s="61" t="s">
        <v>222</v>
      </c>
      <c r="D50" s="76" t="s">
        <v>223</v>
      </c>
      <c r="E50" s="79" t="s">
        <v>224</v>
      </c>
      <c r="F50" s="62" t="s">
        <v>225</v>
      </c>
      <c r="G50" s="369"/>
    </row>
    <row r="51" spans="1:7" ht="16.149999999999999" customHeight="1" thickBot="1" x14ac:dyDescent="0.3">
      <c r="A51" s="57">
        <v>47</v>
      </c>
      <c r="B51" s="60" t="s">
        <v>226</v>
      </c>
      <c r="C51" s="61" t="s">
        <v>227</v>
      </c>
      <c r="D51" s="76" t="s">
        <v>957</v>
      </c>
      <c r="E51" s="79" t="s">
        <v>228</v>
      </c>
      <c r="F51" s="62" t="s">
        <v>229</v>
      </c>
      <c r="G51" s="369"/>
    </row>
    <row r="52" spans="1:7" ht="16.149999999999999" customHeight="1" thickBot="1" x14ac:dyDescent="0.3">
      <c r="A52" s="57">
        <v>48</v>
      </c>
      <c r="B52" s="60" t="s">
        <v>230</v>
      </c>
      <c r="C52" s="61" t="s">
        <v>231</v>
      </c>
      <c r="D52" s="76" t="s">
        <v>232</v>
      </c>
      <c r="E52" s="79" t="s">
        <v>233</v>
      </c>
      <c r="F52" s="62" t="s">
        <v>234</v>
      </c>
      <c r="G52" s="369"/>
    </row>
    <row r="53" spans="1:7" ht="16.149999999999999" customHeight="1" thickBot="1" x14ac:dyDescent="0.3">
      <c r="A53" s="57">
        <v>49</v>
      </c>
      <c r="B53" s="60" t="s">
        <v>235</v>
      </c>
      <c r="C53" s="61" t="s">
        <v>236</v>
      </c>
      <c r="D53" s="76" t="s">
        <v>237</v>
      </c>
      <c r="E53" s="79" t="s">
        <v>238</v>
      </c>
      <c r="F53" s="62" t="s">
        <v>239</v>
      </c>
      <c r="G53" s="369"/>
    </row>
    <row r="54" spans="1:7" ht="16.149999999999999" customHeight="1" thickBot="1" x14ac:dyDescent="0.3">
      <c r="A54" s="57">
        <v>50</v>
      </c>
      <c r="B54" s="60" t="s">
        <v>240</v>
      </c>
      <c r="C54" s="61" t="s">
        <v>241</v>
      </c>
      <c r="D54" s="76" t="s">
        <v>970</v>
      </c>
      <c r="E54" s="79" t="s">
        <v>242</v>
      </c>
      <c r="F54" s="62" t="s">
        <v>243</v>
      </c>
      <c r="G54" s="369"/>
    </row>
    <row r="55" spans="1:7" ht="16.149999999999999" customHeight="1" thickBot="1" x14ac:dyDescent="0.3">
      <c r="A55" s="57">
        <v>51</v>
      </c>
      <c r="B55" s="60" t="s">
        <v>244</v>
      </c>
      <c r="C55" s="61" t="s">
        <v>245</v>
      </c>
      <c r="D55" s="76" t="s">
        <v>246</v>
      </c>
      <c r="E55" s="79" t="s">
        <v>247</v>
      </c>
      <c r="F55" s="62" t="s">
        <v>248</v>
      </c>
      <c r="G55" s="369"/>
    </row>
    <row r="56" spans="1:7" ht="16.149999999999999" customHeight="1" thickBot="1" x14ac:dyDescent="0.3">
      <c r="A56" s="57">
        <v>52</v>
      </c>
      <c r="B56" s="60" t="s">
        <v>249</v>
      </c>
      <c r="C56" s="61" t="s">
        <v>250</v>
      </c>
      <c r="D56" s="76" t="s">
        <v>251</v>
      </c>
      <c r="E56" s="79" t="s">
        <v>252</v>
      </c>
      <c r="F56" s="62" t="s">
        <v>253</v>
      </c>
      <c r="G56" s="369"/>
    </row>
    <row r="57" spans="1:7" ht="16.149999999999999" customHeight="1" thickBot="1" x14ac:dyDescent="0.3">
      <c r="A57" s="57">
        <v>53</v>
      </c>
      <c r="B57" s="60" t="s">
        <v>254</v>
      </c>
      <c r="C57" s="61" t="s">
        <v>255</v>
      </c>
      <c r="D57" s="76" t="s">
        <v>958</v>
      </c>
      <c r="E57" s="79" t="s">
        <v>256</v>
      </c>
      <c r="F57" s="62" t="s">
        <v>257</v>
      </c>
      <c r="G57" s="369"/>
    </row>
    <row r="58" spans="1:7" ht="16.149999999999999" customHeight="1" thickBot="1" x14ac:dyDescent="0.3">
      <c r="A58" s="57">
        <v>54</v>
      </c>
      <c r="B58" s="81" t="s">
        <v>258</v>
      </c>
      <c r="C58" s="82" t="s">
        <v>980</v>
      </c>
      <c r="D58" s="83" t="s">
        <v>260</v>
      </c>
      <c r="E58" s="86" t="s">
        <v>261</v>
      </c>
      <c r="F58" s="88" t="s">
        <v>262</v>
      </c>
      <c r="G58" s="369"/>
    </row>
    <row r="59" spans="1:7" ht="16.149999999999999" customHeight="1" thickBot="1" x14ac:dyDescent="0.3">
      <c r="A59" s="57">
        <v>55</v>
      </c>
      <c r="B59" s="81" t="s">
        <v>263</v>
      </c>
      <c r="C59" s="82" t="s">
        <v>264</v>
      </c>
      <c r="D59" s="83" t="s">
        <v>265</v>
      </c>
      <c r="E59" s="86" t="s">
        <v>266</v>
      </c>
      <c r="F59" s="88" t="s">
        <v>267</v>
      </c>
      <c r="G59" s="369"/>
    </row>
    <row r="60" spans="1:7" ht="16.149999999999999" customHeight="1" thickBot="1" x14ac:dyDescent="0.3">
      <c r="A60" s="57">
        <v>56</v>
      </c>
      <c r="B60" s="81" t="s">
        <v>268</v>
      </c>
      <c r="C60" s="82" t="s">
        <v>269</v>
      </c>
      <c r="D60" s="83" t="s">
        <v>270</v>
      </c>
      <c r="E60" s="86" t="s">
        <v>271</v>
      </c>
      <c r="F60" s="88" t="s">
        <v>272</v>
      </c>
      <c r="G60" s="369"/>
    </row>
    <row r="61" spans="1:7" ht="16.149999999999999" customHeight="1" thickBot="1" x14ac:dyDescent="0.3">
      <c r="A61" s="57">
        <v>57</v>
      </c>
      <c r="B61" s="81" t="s">
        <v>273</v>
      </c>
      <c r="C61" s="82" t="s">
        <v>274</v>
      </c>
      <c r="D61" s="83" t="s">
        <v>275</v>
      </c>
      <c r="E61" s="86" t="s">
        <v>276</v>
      </c>
      <c r="F61" s="88" t="s">
        <v>277</v>
      </c>
      <c r="G61" s="369"/>
    </row>
    <row r="62" spans="1:7" ht="16.149999999999999" customHeight="1" thickBot="1" x14ac:dyDescent="0.3">
      <c r="A62" s="57">
        <v>58</v>
      </c>
      <c r="B62" s="81" t="s">
        <v>278</v>
      </c>
      <c r="C62" s="82" t="s">
        <v>495</v>
      </c>
      <c r="D62" s="83" t="s">
        <v>279</v>
      </c>
      <c r="E62" s="86" t="s">
        <v>280</v>
      </c>
      <c r="F62" s="88" t="s">
        <v>281</v>
      </c>
      <c r="G62" s="369"/>
    </row>
    <row r="63" spans="1:7" ht="16.149999999999999" customHeight="1" thickBot="1" x14ac:dyDescent="0.3">
      <c r="A63" s="57">
        <v>59</v>
      </c>
      <c r="B63" s="110" t="s">
        <v>282</v>
      </c>
      <c r="C63" s="111" t="s">
        <v>283</v>
      </c>
      <c r="D63" s="83" t="s">
        <v>284</v>
      </c>
      <c r="E63" s="86" t="s">
        <v>285</v>
      </c>
      <c r="F63" s="88" t="s">
        <v>286</v>
      </c>
      <c r="G63" s="369"/>
    </row>
    <row r="64" spans="1:7" ht="16.149999999999999" customHeight="1" thickBot="1" x14ac:dyDescent="0.3">
      <c r="A64" s="57">
        <v>60</v>
      </c>
      <c r="B64" s="81" t="s">
        <v>287</v>
      </c>
      <c r="C64" s="82" t="s">
        <v>288</v>
      </c>
      <c r="D64" s="83" t="s">
        <v>289</v>
      </c>
      <c r="E64" s="86" t="s">
        <v>290</v>
      </c>
      <c r="F64" s="88" t="s">
        <v>291</v>
      </c>
      <c r="G64" s="369"/>
    </row>
    <row r="65" spans="1:10" ht="16.149999999999999" customHeight="1" thickBot="1" x14ac:dyDescent="0.3">
      <c r="A65" s="57">
        <v>61</v>
      </c>
      <c r="B65" s="81" t="s">
        <v>296</v>
      </c>
      <c r="C65" s="82" t="s">
        <v>297</v>
      </c>
      <c r="D65" s="83" t="s">
        <v>298</v>
      </c>
      <c r="E65" s="86" t="s">
        <v>299</v>
      </c>
      <c r="F65" s="88" t="s">
        <v>300</v>
      </c>
      <c r="G65" s="369"/>
    </row>
    <row r="66" spans="1:10" ht="16.149999999999999" customHeight="1" thickBot="1" x14ac:dyDescent="0.3">
      <c r="A66" s="57">
        <v>62</v>
      </c>
      <c r="B66" s="81" t="s">
        <v>301</v>
      </c>
      <c r="C66" s="82" t="s">
        <v>302</v>
      </c>
      <c r="D66" s="83" t="s">
        <v>303</v>
      </c>
      <c r="E66" s="86" t="s">
        <v>304</v>
      </c>
      <c r="F66" s="94" t="s">
        <v>305</v>
      </c>
      <c r="G66" s="369"/>
    </row>
    <row r="67" spans="1:10" ht="16.149999999999999" customHeight="1" thickBot="1" x14ac:dyDescent="0.3">
      <c r="A67" s="57">
        <v>63</v>
      </c>
      <c r="B67" s="81" t="s">
        <v>306</v>
      </c>
      <c r="C67" s="82" t="s">
        <v>307</v>
      </c>
      <c r="D67" s="83" t="s">
        <v>981</v>
      </c>
      <c r="E67" s="84">
        <v>3212294044</v>
      </c>
      <c r="F67" s="94"/>
      <c r="G67" s="369"/>
    </row>
    <row r="68" spans="1:10" ht="16.149999999999999" customHeight="1" thickBot="1" x14ac:dyDescent="0.3">
      <c r="A68" s="57">
        <v>64</v>
      </c>
      <c r="B68" s="81" t="s">
        <v>308</v>
      </c>
      <c r="C68" s="82" t="s">
        <v>309</v>
      </c>
      <c r="D68" s="83" t="s">
        <v>310</v>
      </c>
      <c r="E68" s="84">
        <v>3453655775</v>
      </c>
      <c r="F68" s="94" t="s">
        <v>311</v>
      </c>
      <c r="G68" s="369"/>
    </row>
    <row r="69" spans="1:10" ht="16.149999999999999" customHeight="1" thickBot="1" x14ac:dyDescent="0.3">
      <c r="A69" s="57">
        <v>65</v>
      </c>
      <c r="B69" s="81" t="s">
        <v>312</v>
      </c>
      <c r="C69" s="82" t="s">
        <v>313</v>
      </c>
      <c r="D69" s="83" t="s">
        <v>314</v>
      </c>
      <c r="E69" s="84">
        <v>3003140270</v>
      </c>
      <c r="F69" s="94"/>
      <c r="G69" s="369"/>
    </row>
    <row r="70" spans="1:10" ht="16.149999999999999" customHeight="1" thickBot="1" x14ac:dyDescent="0.3">
      <c r="A70" s="57">
        <v>66</v>
      </c>
      <c r="B70" s="81" t="s">
        <v>315</v>
      </c>
      <c r="C70" s="82" t="s">
        <v>316</v>
      </c>
      <c r="D70" s="83" t="s">
        <v>317</v>
      </c>
      <c r="E70" s="86" t="s">
        <v>318</v>
      </c>
      <c r="F70" s="94"/>
      <c r="G70" s="369"/>
    </row>
    <row r="71" spans="1:10" ht="16.149999999999999" customHeight="1" thickBot="1" x14ac:dyDescent="0.3">
      <c r="A71" s="57">
        <v>67</v>
      </c>
      <c r="B71" s="81" t="s">
        <v>319</v>
      </c>
      <c r="C71" s="82" t="s">
        <v>320</v>
      </c>
      <c r="D71" s="83" t="s">
        <v>321</v>
      </c>
      <c r="E71" s="84">
        <v>3212684804</v>
      </c>
      <c r="F71" s="94" t="s">
        <v>322</v>
      </c>
      <c r="G71" s="369"/>
    </row>
    <row r="72" spans="1:10" ht="16.149999999999999" customHeight="1" thickBot="1" x14ac:dyDescent="0.3">
      <c r="A72" s="57">
        <v>68</v>
      </c>
      <c r="B72" s="60" t="s">
        <v>323</v>
      </c>
      <c r="C72" s="61" t="s">
        <v>324</v>
      </c>
      <c r="D72" s="76" t="s">
        <v>325</v>
      </c>
      <c r="E72" s="79" t="s">
        <v>326</v>
      </c>
      <c r="F72" s="95" t="s">
        <v>327</v>
      </c>
      <c r="G72" s="369"/>
    </row>
    <row r="73" spans="1:10" ht="16.149999999999999" customHeight="1" thickBot="1" x14ac:dyDescent="0.3">
      <c r="A73" s="57">
        <v>69</v>
      </c>
      <c r="B73" s="81" t="s">
        <v>328</v>
      </c>
      <c r="C73" s="82" t="s">
        <v>329</v>
      </c>
      <c r="D73" s="83" t="s">
        <v>330</v>
      </c>
      <c r="E73" s="86" t="s">
        <v>331</v>
      </c>
      <c r="F73" s="94" t="s">
        <v>332</v>
      </c>
      <c r="G73" s="369"/>
    </row>
    <row r="74" spans="1:10" ht="16.149999999999999" customHeight="1" thickBot="1" x14ac:dyDescent="0.3">
      <c r="A74" s="57">
        <v>70</v>
      </c>
      <c r="B74" s="110" t="s">
        <v>446</v>
      </c>
      <c r="C74" s="111" t="s">
        <v>343</v>
      </c>
      <c r="D74" s="112" t="s">
        <v>344</v>
      </c>
      <c r="E74" s="84">
        <v>3012172230</v>
      </c>
      <c r="F74" s="94" t="s">
        <v>345</v>
      </c>
      <c r="G74" s="369"/>
    </row>
    <row r="75" spans="1:10" ht="16.149999999999999" customHeight="1" thickBot="1" x14ac:dyDescent="0.3">
      <c r="A75" s="57">
        <v>71</v>
      </c>
      <c r="B75" s="81" t="s">
        <v>346</v>
      </c>
      <c r="C75" s="82" t="s">
        <v>347</v>
      </c>
      <c r="D75" s="83" t="s">
        <v>348</v>
      </c>
      <c r="E75" s="84">
        <v>3002020885</v>
      </c>
      <c r="F75" s="94" t="s">
        <v>349</v>
      </c>
      <c r="G75" s="369"/>
    </row>
    <row r="76" spans="1:10" ht="16.149999999999999" customHeight="1" thickBot="1" x14ac:dyDescent="0.3">
      <c r="A76" s="57">
        <v>72</v>
      </c>
      <c r="B76" s="81" t="s">
        <v>350</v>
      </c>
      <c r="C76" s="82" t="s">
        <v>351</v>
      </c>
      <c r="D76" s="83" t="s">
        <v>967</v>
      </c>
      <c r="E76" s="84">
        <v>3219294138</v>
      </c>
      <c r="F76" s="94" t="s">
        <v>352</v>
      </c>
      <c r="G76" s="369"/>
    </row>
    <row r="77" spans="1:10" ht="16.149999999999999" customHeight="1" thickBot="1" x14ac:dyDescent="0.3">
      <c r="A77" s="57">
        <v>73</v>
      </c>
      <c r="B77" s="81" t="s">
        <v>353</v>
      </c>
      <c r="C77" s="82" t="s">
        <v>463</v>
      </c>
      <c r="D77" s="112" t="s">
        <v>354</v>
      </c>
      <c r="E77" s="84">
        <v>3002231183</v>
      </c>
      <c r="F77" s="94" t="s">
        <v>355</v>
      </c>
      <c r="G77" s="369"/>
    </row>
    <row r="78" spans="1:10" ht="16.149999999999999" customHeight="1" thickBot="1" x14ac:dyDescent="0.3">
      <c r="A78" s="57">
        <v>74</v>
      </c>
      <c r="B78" s="81" t="s">
        <v>356</v>
      </c>
      <c r="C78" s="82" t="s">
        <v>445</v>
      </c>
      <c r="D78" s="83" t="s">
        <v>357</v>
      </c>
      <c r="E78" s="84">
        <v>3002033090</v>
      </c>
      <c r="F78" s="94" t="s">
        <v>358</v>
      </c>
      <c r="G78" s="369"/>
    </row>
    <row r="79" spans="1:10" ht="16.149999999999999" customHeight="1" thickBot="1" x14ac:dyDescent="0.3">
      <c r="A79" s="57">
        <v>75</v>
      </c>
      <c r="B79" s="87" t="s">
        <v>359</v>
      </c>
      <c r="C79" s="82" t="s">
        <v>360</v>
      </c>
      <c r="D79" s="83" t="s">
        <v>361</v>
      </c>
      <c r="E79" s="84">
        <v>3009278599</v>
      </c>
      <c r="F79" s="85"/>
      <c r="G79" s="370"/>
      <c r="H79" s="367"/>
      <c r="I79" s="367"/>
      <c r="J79" s="367"/>
    </row>
    <row r="80" spans="1:10" ht="16.149999999999999" customHeight="1" thickBot="1" x14ac:dyDescent="0.3">
      <c r="A80" s="57">
        <v>76</v>
      </c>
      <c r="B80" s="63" t="s">
        <v>390</v>
      </c>
      <c r="C80" s="61" t="s">
        <v>391</v>
      </c>
      <c r="D80" s="76" t="s">
        <v>676</v>
      </c>
      <c r="E80" s="80">
        <v>3460272783</v>
      </c>
      <c r="F80" s="64"/>
      <c r="G80" s="370"/>
      <c r="H80" s="367"/>
      <c r="I80" s="367"/>
      <c r="J80" s="367"/>
    </row>
    <row r="81" spans="1:10" ht="16.149999999999999" customHeight="1" thickBot="1" x14ac:dyDescent="0.3">
      <c r="A81" s="57">
        <v>77</v>
      </c>
      <c r="B81" s="60" t="s">
        <v>375</v>
      </c>
      <c r="C81" s="61" t="s">
        <v>379</v>
      </c>
      <c r="D81" s="76" t="s">
        <v>677</v>
      </c>
      <c r="E81" s="80">
        <v>3002241181</v>
      </c>
      <c r="F81" s="64"/>
      <c r="G81" s="370"/>
    </row>
    <row r="82" spans="1:10" ht="16.149999999999999" customHeight="1" thickBot="1" x14ac:dyDescent="0.3">
      <c r="A82" s="57">
        <v>78</v>
      </c>
      <c r="B82" s="60" t="s">
        <v>377</v>
      </c>
      <c r="C82" s="61" t="s">
        <v>380</v>
      </c>
      <c r="D82" s="76" t="s">
        <v>969</v>
      </c>
      <c r="E82" s="80">
        <v>3003944127</v>
      </c>
      <c r="F82" s="64"/>
      <c r="G82" s="370"/>
    </row>
    <row r="83" spans="1:10" s="138" customFormat="1" ht="16.149999999999999" customHeight="1" thickBot="1" x14ac:dyDescent="0.3">
      <c r="A83" s="57">
        <v>79</v>
      </c>
      <c r="B83" s="89" t="s">
        <v>374</v>
      </c>
      <c r="C83" s="90" t="s">
        <v>392</v>
      </c>
      <c r="D83" s="91" t="s">
        <v>678</v>
      </c>
      <c r="E83" s="92">
        <v>3452088967</v>
      </c>
      <c r="F83" s="93" t="s">
        <v>1050</v>
      </c>
      <c r="G83" s="370"/>
      <c r="H83" s="368"/>
      <c r="I83" s="368"/>
      <c r="J83" s="368"/>
    </row>
    <row r="84" spans="1:10" ht="16.149999999999999" customHeight="1" thickBot="1" x14ac:dyDescent="0.3">
      <c r="A84" s="57">
        <v>80</v>
      </c>
      <c r="B84" s="60" t="s">
        <v>373</v>
      </c>
      <c r="C84" s="61" t="s">
        <v>381</v>
      </c>
      <c r="D84" s="76" t="s">
        <v>679</v>
      </c>
      <c r="E84" s="80">
        <v>3219275943</v>
      </c>
      <c r="F84" s="64"/>
      <c r="G84" s="370"/>
    </row>
    <row r="85" spans="1:10" ht="16.149999999999999" customHeight="1" thickBot="1" x14ac:dyDescent="0.3">
      <c r="A85" s="57">
        <v>81</v>
      </c>
      <c r="B85" s="81" t="s">
        <v>378</v>
      </c>
      <c r="C85" s="82" t="s">
        <v>382</v>
      </c>
      <c r="D85" s="83" t="s">
        <v>680</v>
      </c>
      <c r="E85" s="84">
        <v>3333777803</v>
      </c>
      <c r="F85" s="85"/>
      <c r="G85" s="370"/>
    </row>
    <row r="86" spans="1:10" ht="16.149999999999999" customHeight="1" thickBot="1" x14ac:dyDescent="0.3">
      <c r="A86" s="57">
        <v>82</v>
      </c>
      <c r="B86" s="60" t="s">
        <v>393</v>
      </c>
      <c r="C86" s="61" t="s">
        <v>394</v>
      </c>
      <c r="D86" s="76" t="s">
        <v>681</v>
      </c>
      <c r="E86" s="80">
        <v>3327296921</v>
      </c>
      <c r="F86" s="64"/>
      <c r="G86" s="370"/>
    </row>
    <row r="87" spans="1:10" ht="16.149999999999999" customHeight="1" thickBot="1" x14ac:dyDescent="0.3">
      <c r="A87" s="57">
        <v>83</v>
      </c>
      <c r="B87" s="60" t="s">
        <v>395</v>
      </c>
      <c r="C87" s="61" t="s">
        <v>396</v>
      </c>
      <c r="D87" s="76" t="s">
        <v>682</v>
      </c>
      <c r="E87" s="80">
        <v>3243461988</v>
      </c>
      <c r="F87" s="64"/>
      <c r="G87" s="370"/>
    </row>
    <row r="88" spans="1:10" ht="16.149999999999999" customHeight="1" thickBot="1" x14ac:dyDescent="0.3">
      <c r="A88" s="57">
        <v>84</v>
      </c>
      <c r="B88" s="60" t="s">
        <v>383</v>
      </c>
      <c r="C88" s="61" t="s">
        <v>384</v>
      </c>
      <c r="D88" s="76" t="s">
        <v>683</v>
      </c>
      <c r="E88" s="80">
        <v>3323394004</v>
      </c>
      <c r="F88" s="64"/>
      <c r="G88" s="370"/>
    </row>
    <row r="89" spans="1:10" ht="16.149999999999999" customHeight="1" thickBot="1" x14ac:dyDescent="0.3">
      <c r="A89" s="57">
        <v>85</v>
      </c>
      <c r="B89" s="60" t="s">
        <v>385</v>
      </c>
      <c r="C89" s="61" t="s">
        <v>386</v>
      </c>
      <c r="D89" s="76" t="s">
        <v>684</v>
      </c>
      <c r="E89" s="80">
        <v>3333211480</v>
      </c>
      <c r="F89" s="64"/>
      <c r="G89" s="370"/>
    </row>
    <row r="90" spans="1:10" ht="16.149999999999999" customHeight="1" thickBot="1" x14ac:dyDescent="0.3">
      <c r="A90" s="57">
        <v>86</v>
      </c>
      <c r="B90" s="60" t="s">
        <v>388</v>
      </c>
      <c r="C90" s="61" t="s">
        <v>387</v>
      </c>
      <c r="D90" s="76" t="s">
        <v>685</v>
      </c>
      <c r="E90" s="80" t="s">
        <v>971</v>
      </c>
      <c r="F90" s="64"/>
      <c r="G90" s="370"/>
    </row>
    <row r="91" spans="1:10" ht="16.149999999999999" customHeight="1" thickBot="1" x14ac:dyDescent="0.3">
      <c r="A91" s="57">
        <v>87</v>
      </c>
      <c r="B91" s="60" t="s">
        <v>376</v>
      </c>
      <c r="C91" s="61" t="s">
        <v>389</v>
      </c>
      <c r="D91" s="76" t="s">
        <v>686</v>
      </c>
      <c r="E91" s="80"/>
      <c r="F91" s="64"/>
      <c r="G91" s="370"/>
    </row>
    <row r="92" spans="1:10" ht="16.149999999999999" customHeight="1" thickBot="1" x14ac:dyDescent="0.3">
      <c r="A92" s="57">
        <v>88</v>
      </c>
      <c r="B92" s="60" t="s">
        <v>428</v>
      </c>
      <c r="C92" s="61" t="s">
        <v>429</v>
      </c>
      <c r="D92" s="76" t="s">
        <v>968</v>
      </c>
      <c r="E92" s="80"/>
      <c r="F92" s="65"/>
      <c r="G92" s="369"/>
    </row>
    <row r="93" spans="1:10" ht="16.149999999999999" customHeight="1" thickBot="1" x14ac:dyDescent="0.3">
      <c r="A93" s="57">
        <v>89</v>
      </c>
      <c r="B93" s="60" t="s">
        <v>424</v>
      </c>
      <c r="C93" s="61" t="s">
        <v>425</v>
      </c>
      <c r="D93" s="76" t="s">
        <v>687</v>
      </c>
      <c r="E93" s="80"/>
      <c r="F93" s="64"/>
      <c r="G93" s="370"/>
    </row>
    <row r="94" spans="1:10" ht="16.149999999999999" customHeight="1" thickBot="1" x14ac:dyDescent="0.3">
      <c r="A94" s="57">
        <v>90</v>
      </c>
      <c r="B94" s="60" t="s">
        <v>421</v>
      </c>
      <c r="C94" s="61" t="s">
        <v>422</v>
      </c>
      <c r="D94" s="76" t="s">
        <v>688</v>
      </c>
      <c r="E94" s="80"/>
      <c r="F94" s="64"/>
      <c r="G94" s="370"/>
    </row>
    <row r="95" spans="1:10" ht="16.149999999999999" customHeight="1" thickBot="1" x14ac:dyDescent="0.3">
      <c r="A95" s="57">
        <v>91</v>
      </c>
      <c r="B95" s="60" t="s">
        <v>430</v>
      </c>
      <c r="C95" s="61" t="s">
        <v>431</v>
      </c>
      <c r="D95" s="76" t="s">
        <v>689</v>
      </c>
      <c r="E95" s="80"/>
      <c r="F95" s="64"/>
      <c r="G95" s="370"/>
    </row>
    <row r="96" spans="1:10" ht="16.149999999999999" customHeight="1" thickBot="1" x14ac:dyDescent="0.3">
      <c r="A96" s="57">
        <v>92</v>
      </c>
      <c r="B96" s="60" t="s">
        <v>420</v>
      </c>
      <c r="C96" s="61" t="s">
        <v>423</v>
      </c>
      <c r="D96" s="76" t="s">
        <v>690</v>
      </c>
      <c r="E96" s="80"/>
      <c r="F96" s="64"/>
      <c r="G96" s="370"/>
    </row>
    <row r="97" spans="1:10" ht="16.149999999999999" customHeight="1" thickBot="1" x14ac:dyDescent="0.3">
      <c r="A97" s="57">
        <v>93</v>
      </c>
      <c r="B97" s="60" t="s">
        <v>418</v>
      </c>
      <c r="C97" s="61" t="s">
        <v>419</v>
      </c>
      <c r="D97" s="76" t="s">
        <v>691</v>
      </c>
      <c r="E97" s="80"/>
      <c r="F97" s="64"/>
      <c r="G97" s="370"/>
    </row>
    <row r="98" spans="1:10" ht="16.149999999999999" customHeight="1" thickBot="1" x14ac:dyDescent="0.3">
      <c r="A98" s="57">
        <v>94</v>
      </c>
      <c r="B98" s="60" t="s">
        <v>426</v>
      </c>
      <c r="C98" s="61" t="s">
        <v>427</v>
      </c>
      <c r="D98" s="76" t="s">
        <v>692</v>
      </c>
      <c r="E98" s="80"/>
      <c r="F98" s="64"/>
      <c r="G98" s="370"/>
    </row>
    <row r="99" spans="1:10" ht="16.149999999999999" customHeight="1" thickBot="1" x14ac:dyDescent="0.3">
      <c r="A99" s="57">
        <v>95</v>
      </c>
      <c r="B99" s="60" t="s">
        <v>432</v>
      </c>
      <c r="C99" s="61" t="s">
        <v>433</v>
      </c>
      <c r="D99" s="76" t="s">
        <v>693</v>
      </c>
      <c r="E99" s="80"/>
      <c r="F99" s="64"/>
      <c r="G99" s="370"/>
    </row>
    <row r="100" spans="1:10" ht="16.149999999999999" customHeight="1" thickBot="1" x14ac:dyDescent="0.3">
      <c r="A100" s="57">
        <v>96</v>
      </c>
      <c r="B100" s="89" t="s">
        <v>454</v>
      </c>
      <c r="C100" s="90" t="s">
        <v>449</v>
      </c>
      <c r="D100" s="91"/>
      <c r="E100" s="92"/>
      <c r="F100" s="93"/>
      <c r="G100" s="370"/>
    </row>
    <row r="101" spans="1:10" ht="16.149999999999999" customHeight="1" thickBot="1" x14ac:dyDescent="0.3">
      <c r="A101" s="57">
        <v>97</v>
      </c>
      <c r="B101" s="60" t="s">
        <v>448</v>
      </c>
      <c r="C101" s="61" t="s">
        <v>453</v>
      </c>
      <c r="D101" s="76" t="s">
        <v>694</v>
      </c>
      <c r="E101" s="80"/>
      <c r="F101" s="64"/>
      <c r="G101" s="370"/>
    </row>
    <row r="102" spans="1:10" ht="16.149999999999999" customHeight="1" thickBot="1" x14ac:dyDescent="0.3">
      <c r="A102" s="57">
        <v>98</v>
      </c>
      <c r="B102" s="60" t="s">
        <v>342</v>
      </c>
      <c r="C102" s="61" t="s">
        <v>649</v>
      </c>
      <c r="D102" s="76" t="s">
        <v>961</v>
      </c>
      <c r="E102" s="80"/>
      <c r="F102" s="66"/>
      <c r="G102" s="370"/>
    </row>
    <row r="103" spans="1:10" ht="16.149999999999999" customHeight="1" thickBot="1" x14ac:dyDescent="0.3">
      <c r="A103" s="57">
        <v>99</v>
      </c>
      <c r="B103" s="60" t="s">
        <v>650</v>
      </c>
      <c r="C103" s="61" t="s">
        <v>651</v>
      </c>
      <c r="D103" s="76" t="s">
        <v>962</v>
      </c>
      <c r="E103" s="80"/>
      <c r="F103" s="68"/>
      <c r="G103" s="369"/>
    </row>
    <row r="104" spans="1:10" ht="16.149999999999999" customHeight="1" thickBot="1" x14ac:dyDescent="0.3">
      <c r="A104" s="57">
        <v>100</v>
      </c>
      <c r="B104" s="60" t="s">
        <v>648</v>
      </c>
      <c r="C104" s="61" t="s">
        <v>652</v>
      </c>
      <c r="D104" s="76" t="s">
        <v>963</v>
      </c>
      <c r="E104" s="80"/>
      <c r="F104" s="68"/>
      <c r="G104" s="369"/>
    </row>
    <row r="105" spans="1:10" ht="16.149999999999999" customHeight="1" thickBot="1" x14ac:dyDescent="0.3">
      <c r="A105" s="57">
        <v>101</v>
      </c>
      <c r="B105" s="60" t="s">
        <v>753</v>
      </c>
      <c r="C105" s="61" t="s">
        <v>754</v>
      </c>
      <c r="D105" s="76"/>
      <c r="E105" s="80"/>
      <c r="F105" s="68"/>
      <c r="G105" s="369"/>
    </row>
    <row r="106" spans="1:10" ht="16.149999999999999" customHeight="1" thickBot="1" x14ac:dyDescent="0.3">
      <c r="A106" s="57">
        <v>102</v>
      </c>
      <c r="B106" s="60" t="s">
        <v>761</v>
      </c>
      <c r="C106" s="61" t="s">
        <v>763</v>
      </c>
      <c r="D106" s="76" t="s">
        <v>964</v>
      </c>
      <c r="E106" s="80"/>
      <c r="F106" s="68"/>
      <c r="G106" s="369"/>
    </row>
    <row r="107" spans="1:10" ht="16.149999999999999" customHeight="1" thickBot="1" x14ac:dyDescent="0.3">
      <c r="A107" s="57">
        <v>103</v>
      </c>
      <c r="B107" s="60" t="s">
        <v>762</v>
      </c>
      <c r="C107" s="61" t="s">
        <v>764</v>
      </c>
      <c r="D107" s="76" t="s">
        <v>965</v>
      </c>
      <c r="E107" s="80"/>
      <c r="F107" s="67"/>
      <c r="G107" s="369"/>
    </row>
    <row r="108" spans="1:10" ht="16.149999999999999" customHeight="1" thickBot="1" x14ac:dyDescent="0.3">
      <c r="A108" s="57">
        <v>104</v>
      </c>
      <c r="B108" s="60" t="s">
        <v>947</v>
      </c>
      <c r="C108" s="61" t="s">
        <v>949</v>
      </c>
      <c r="D108" s="76" t="s">
        <v>959</v>
      </c>
      <c r="E108" s="80"/>
      <c r="F108" s="67"/>
      <c r="G108" s="369"/>
    </row>
    <row r="109" spans="1:10" ht="16.149999999999999" customHeight="1" thickBot="1" x14ac:dyDescent="0.3">
      <c r="A109" s="57">
        <v>105</v>
      </c>
      <c r="B109" s="60" t="s">
        <v>948</v>
      </c>
      <c r="C109" s="61" t="s">
        <v>950</v>
      </c>
      <c r="D109" s="76" t="s">
        <v>960</v>
      </c>
      <c r="E109" s="80">
        <v>3035555228</v>
      </c>
      <c r="F109" s="67"/>
      <c r="G109" s="369"/>
    </row>
    <row r="110" spans="1:10" s="196" customFormat="1" ht="14.25" customHeight="1" thickBot="1" x14ac:dyDescent="0.3">
      <c r="A110" s="190">
        <v>106</v>
      </c>
      <c r="B110" s="191" t="s">
        <v>952</v>
      </c>
      <c r="C110" s="192" t="s">
        <v>953</v>
      </c>
      <c r="D110" s="193"/>
      <c r="E110" s="194"/>
      <c r="F110" s="195"/>
      <c r="G110" s="369"/>
      <c r="H110" s="371"/>
      <c r="I110" s="371"/>
      <c r="J110" s="371"/>
    </row>
    <row r="111" spans="1:10" ht="14.25" customHeight="1" thickBot="1" x14ac:dyDescent="0.3">
      <c r="A111" s="57">
        <v>107</v>
      </c>
      <c r="B111" s="60" t="s">
        <v>1004</v>
      </c>
      <c r="C111" s="61" t="s">
        <v>1007</v>
      </c>
      <c r="D111" s="76"/>
      <c r="E111" s="80"/>
      <c r="F111" s="67"/>
      <c r="G111" s="369"/>
    </row>
    <row r="112" spans="1:10" ht="14.25" customHeight="1" thickBot="1" x14ac:dyDescent="0.3">
      <c r="A112" s="57">
        <v>108</v>
      </c>
      <c r="B112" s="60" t="s">
        <v>1005</v>
      </c>
      <c r="C112" s="61" t="s">
        <v>1009</v>
      </c>
      <c r="D112" s="76"/>
      <c r="E112" s="80"/>
      <c r="F112" s="67">
        <v>675000</v>
      </c>
      <c r="G112" s="369"/>
      <c r="H112" s="365" t="s">
        <v>1075</v>
      </c>
    </row>
    <row r="113" spans="1:8" ht="14.25" customHeight="1" thickBot="1" x14ac:dyDescent="0.3">
      <c r="A113" s="57">
        <v>109</v>
      </c>
      <c r="B113" s="60" t="s">
        <v>1006</v>
      </c>
      <c r="C113" s="61" t="s">
        <v>1008</v>
      </c>
      <c r="D113" s="76"/>
      <c r="E113" s="80"/>
      <c r="F113" s="67">
        <v>675000</v>
      </c>
      <c r="G113" s="369"/>
      <c r="H113" s="365" t="s">
        <v>1075</v>
      </c>
    </row>
    <row r="114" spans="1:8" ht="14.25" customHeight="1" thickBot="1" x14ac:dyDescent="0.3">
      <c r="A114" s="57">
        <v>111</v>
      </c>
      <c r="B114" s="60" t="s">
        <v>1014</v>
      </c>
      <c r="C114" s="61" t="s">
        <v>1015</v>
      </c>
      <c r="D114" s="76"/>
      <c r="E114" s="80"/>
      <c r="F114" s="67"/>
      <c r="G114" s="369"/>
    </row>
    <row r="115" spans="1:8" ht="14.25" customHeight="1" thickBot="1" x14ac:dyDescent="0.3">
      <c r="A115" s="57">
        <v>112</v>
      </c>
      <c r="B115" s="60" t="s">
        <v>1020</v>
      </c>
      <c r="C115" s="61" t="s">
        <v>1022</v>
      </c>
      <c r="D115" s="76"/>
      <c r="E115" s="80"/>
      <c r="F115" s="67"/>
      <c r="G115" s="369"/>
    </row>
    <row r="116" spans="1:8" ht="14.25" customHeight="1" thickBot="1" x14ac:dyDescent="0.3">
      <c r="A116" s="57">
        <v>113</v>
      </c>
      <c r="B116" s="60" t="s">
        <v>1021</v>
      </c>
      <c r="C116" s="61" t="s">
        <v>1023</v>
      </c>
      <c r="D116" s="76" t="s">
        <v>1026</v>
      </c>
      <c r="E116" s="80">
        <v>3002073678</v>
      </c>
      <c r="F116" s="67"/>
      <c r="G116" s="369"/>
    </row>
    <row r="117" spans="1:8" ht="14.25" customHeight="1" thickBot="1" x14ac:dyDescent="0.3">
      <c r="A117" s="57">
        <v>114</v>
      </c>
      <c r="B117" s="60" t="s">
        <v>1024</v>
      </c>
      <c r="C117" s="61" t="s">
        <v>1041</v>
      </c>
      <c r="D117" s="76"/>
      <c r="E117" s="80"/>
      <c r="F117" s="67"/>
      <c r="G117" s="369"/>
    </row>
    <row r="118" spans="1:8" ht="14.25" customHeight="1" thickBot="1" x14ac:dyDescent="0.3">
      <c r="A118" s="57">
        <v>115</v>
      </c>
      <c r="B118" s="60" t="s">
        <v>1039</v>
      </c>
      <c r="C118" s="61" t="s">
        <v>1071</v>
      </c>
      <c r="D118" s="144"/>
      <c r="E118" s="144"/>
      <c r="F118" s="144"/>
      <c r="G118" s="372"/>
    </row>
    <row r="119" spans="1:8" ht="14.25" customHeight="1" thickBot="1" x14ac:dyDescent="0.3">
      <c r="A119" s="57">
        <v>116</v>
      </c>
      <c r="B119" s="60" t="s">
        <v>1040</v>
      </c>
      <c r="C119" s="61" t="s">
        <v>1025</v>
      </c>
      <c r="D119" s="144"/>
      <c r="E119" s="144"/>
      <c r="F119" s="149"/>
      <c r="G119" s="372"/>
    </row>
    <row r="120" spans="1:8" ht="14.25" customHeight="1" thickBot="1" x14ac:dyDescent="0.3">
      <c r="A120" s="57">
        <v>117</v>
      </c>
      <c r="B120" s="60" t="s">
        <v>1051</v>
      </c>
      <c r="C120" s="61" t="s">
        <v>1055</v>
      </c>
      <c r="D120" s="144"/>
      <c r="E120" s="144"/>
      <c r="F120" s="149"/>
      <c r="G120" s="372"/>
    </row>
    <row r="121" spans="1:8" ht="14.25" customHeight="1" thickBot="1" x14ac:dyDescent="0.3">
      <c r="A121" s="57">
        <v>118</v>
      </c>
      <c r="B121" s="60" t="s">
        <v>1052</v>
      </c>
      <c r="C121" s="61" t="s">
        <v>1060</v>
      </c>
      <c r="D121" s="144"/>
      <c r="E121" s="144"/>
      <c r="F121" s="149"/>
      <c r="G121" s="372"/>
    </row>
    <row r="122" spans="1:8" ht="14.25" customHeight="1" thickBot="1" x14ac:dyDescent="0.3">
      <c r="A122" s="57">
        <v>119</v>
      </c>
      <c r="B122" s="60" t="s">
        <v>1053</v>
      </c>
      <c r="C122" s="61" t="s">
        <v>1070</v>
      </c>
      <c r="D122" s="144"/>
      <c r="E122" s="144"/>
      <c r="F122" s="149">
        <v>450000</v>
      </c>
      <c r="G122" s="372"/>
      <c r="H122" s="365" t="s">
        <v>1075</v>
      </c>
    </row>
    <row r="123" spans="1:8" ht="14.25" customHeight="1" thickBot="1" x14ac:dyDescent="0.3">
      <c r="A123" s="57">
        <v>120</v>
      </c>
      <c r="B123" s="60" t="s">
        <v>1054</v>
      </c>
      <c r="C123" s="61" t="s">
        <v>1077</v>
      </c>
      <c r="D123" s="144"/>
      <c r="E123" s="144"/>
      <c r="F123" s="144"/>
      <c r="G123" s="372"/>
    </row>
    <row r="124" spans="1:8" ht="14.25" customHeight="1" thickBot="1" x14ac:dyDescent="0.3">
      <c r="A124" s="57">
        <v>121</v>
      </c>
      <c r="B124" s="60" t="s">
        <v>1073</v>
      </c>
      <c r="C124" s="61" t="s">
        <v>1076</v>
      </c>
      <c r="D124" s="144"/>
      <c r="E124" s="144"/>
      <c r="F124" s="144"/>
      <c r="G124" s="372"/>
    </row>
    <row r="125" spans="1:8" ht="14.25" customHeight="1" x14ac:dyDescent="0.25">
      <c r="A125" s="57">
        <v>122</v>
      </c>
      <c r="B125" s="60" t="s">
        <v>1074</v>
      </c>
      <c r="C125" s="61" t="s">
        <v>1069</v>
      </c>
      <c r="D125" s="144"/>
      <c r="E125" s="144"/>
      <c r="F125" s="144"/>
      <c r="G125" s="372"/>
    </row>
    <row r="126" spans="1:8" ht="14.25" customHeight="1" x14ac:dyDescent="0.25">
      <c r="A126" s="144"/>
      <c r="B126" s="60"/>
      <c r="C126" s="144"/>
      <c r="D126" s="144"/>
      <c r="E126" s="144"/>
      <c r="F126" s="144"/>
      <c r="G126" s="372"/>
    </row>
    <row r="127" spans="1:8" ht="14.25" customHeight="1" x14ac:dyDescent="0.25"/>
    <row r="128" spans="1: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autoFilter ref="A4:F119"/>
  <mergeCells count="3">
    <mergeCell ref="C1:F2"/>
    <mergeCell ref="C3:F3"/>
    <mergeCell ref="A1:B3"/>
  </mergeCells>
  <phoneticPr fontId="7" alignment="center"/>
  <hyperlinks>
    <hyperlink ref="D11" r:id="rId1"/>
    <hyperlink ref="D18" r:id="rId2"/>
    <hyperlink ref="D20" r:id="rId3"/>
    <hyperlink ref="D22" r:id="rId4"/>
    <hyperlink ref="D24" r:id="rId5"/>
    <hyperlink ref="D25" r:id="rId6"/>
    <hyperlink ref="D26" r:id="rId7"/>
    <hyperlink ref="D27" r:id="rId8"/>
    <hyperlink ref="D28" r:id="rId9"/>
    <hyperlink ref="D29" r:id="rId10"/>
    <hyperlink ref="D30" r:id="rId11"/>
    <hyperlink ref="D31" r:id="rId12"/>
    <hyperlink ref="D32" r:id="rId13"/>
    <hyperlink ref="D33" r:id="rId14"/>
    <hyperlink ref="D34" r:id="rId15"/>
    <hyperlink ref="D35" r:id="rId16"/>
    <hyperlink ref="D36" r:id="rId17"/>
    <hyperlink ref="D37" r:id="rId18"/>
    <hyperlink ref="D38" r:id="rId19"/>
    <hyperlink ref="D39" r:id="rId20"/>
    <hyperlink ref="D40" r:id="rId21"/>
    <hyperlink ref="D41" r:id="rId22"/>
    <hyperlink ref="D42" r:id="rId23"/>
    <hyperlink ref="D43" r:id="rId24"/>
    <hyperlink ref="D44" r:id="rId25"/>
    <hyperlink ref="D47" r:id="rId26"/>
    <hyperlink ref="D48" r:id="rId27"/>
    <hyperlink ref="D49" r:id="rId28"/>
    <hyperlink ref="D50" r:id="rId29"/>
    <hyperlink ref="D51" r:id="rId30"/>
    <hyperlink ref="D52" r:id="rId31"/>
    <hyperlink ref="D53" r:id="rId32"/>
    <hyperlink ref="D54" r:id="rId33"/>
    <hyperlink ref="D59" r:id="rId34"/>
    <hyperlink ref="D62" r:id="rId35"/>
    <hyperlink ref="D63" r:id="rId36"/>
    <hyperlink ref="D64" r:id="rId37"/>
    <hyperlink ref="D65" r:id="rId38"/>
    <hyperlink ref="D66" r:id="rId39"/>
    <hyperlink ref="D67" r:id="rId40"/>
    <hyperlink ref="D68" r:id="rId41"/>
    <hyperlink ref="D69" r:id="rId42"/>
    <hyperlink ref="D70" r:id="rId43"/>
    <hyperlink ref="D71" r:id="rId44"/>
    <hyperlink ref="D72" r:id="rId45"/>
    <hyperlink ref="D73" r:id="rId46"/>
    <hyperlink ref="D74" r:id="rId47"/>
    <hyperlink ref="D75" r:id="rId48"/>
    <hyperlink ref="D77" r:id="rId49"/>
    <hyperlink ref="D78" r:id="rId50"/>
    <hyperlink ref="D57" r:id="rId51"/>
    <hyperlink ref="D56" r:id="rId52"/>
    <hyperlink ref="D55" r:id="rId53"/>
    <hyperlink ref="D76" r:id="rId54"/>
    <hyperlink ref="D86" r:id="rId55"/>
    <hyperlink ref="D87" r:id="rId56"/>
    <hyperlink ref="D88" r:id="rId57"/>
    <hyperlink ref="D89" r:id="rId58"/>
    <hyperlink ref="D94" r:id="rId59"/>
    <hyperlink ref="D95" r:id="rId60"/>
    <hyperlink ref="D96" r:id="rId61"/>
    <hyperlink ref="D99" r:id="rId62"/>
    <hyperlink ref="D5" r:id="rId63"/>
    <hyperlink ref="D6" r:id="rId64"/>
    <hyperlink ref="D7" r:id="rId65"/>
    <hyperlink ref="D8" r:id="rId66"/>
    <hyperlink ref="D9" r:id="rId67"/>
    <hyperlink ref="D10" r:id="rId68"/>
    <hyperlink ref="D12" r:id="rId69"/>
    <hyperlink ref="D13" r:id="rId70"/>
    <hyperlink ref="D14" r:id="rId71"/>
    <hyperlink ref="D15" r:id="rId72"/>
    <hyperlink ref="D16" r:id="rId73"/>
    <hyperlink ref="D17" r:id="rId74"/>
    <hyperlink ref="D19" r:id="rId75"/>
    <hyperlink ref="D21" r:id="rId76"/>
    <hyperlink ref="D23" r:id="rId77"/>
    <hyperlink ref="D45" r:id="rId78"/>
    <hyperlink ref="D58" r:id="rId79"/>
    <hyperlink ref="D60" r:id="rId80"/>
    <hyperlink ref="D61" r:id="rId81"/>
    <hyperlink ref="D79" r:id="rId82"/>
    <hyperlink ref="D80" r:id="rId83"/>
    <hyperlink ref="D81" r:id="rId84"/>
    <hyperlink ref="D82" r:id="rId85"/>
    <hyperlink ref="D83" r:id="rId86"/>
    <hyperlink ref="D84" r:id="rId87"/>
    <hyperlink ref="D85" r:id="rId88"/>
    <hyperlink ref="D90" r:id="rId89"/>
    <hyperlink ref="D91" r:id="rId90"/>
    <hyperlink ref="D92" r:id="rId91"/>
    <hyperlink ref="D93" r:id="rId92"/>
    <hyperlink ref="D97" r:id="rId93"/>
    <hyperlink ref="D98" r:id="rId94"/>
    <hyperlink ref="D101" r:id="rId95"/>
    <hyperlink ref="D46" r:id="rId96"/>
    <hyperlink ref="D108" r:id="rId97"/>
    <hyperlink ref="D109" r:id="rId98"/>
    <hyperlink ref="D102" r:id="rId99"/>
    <hyperlink ref="D103" r:id="rId100"/>
    <hyperlink ref="D104" r:id="rId101"/>
    <hyperlink ref="D106" r:id="rId102"/>
    <hyperlink ref="D107" r:id="rId103"/>
    <hyperlink ref="D116" r:id="rId104"/>
  </hyperlinks>
  <pageMargins left="0.7" right="0.7" top="0.75" bottom="0.75" header="0" footer="0"/>
  <pageSetup orientation="portrait" r:id="rId10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4"/>
  <sheetViews>
    <sheetView zoomScale="55" zoomScaleNormal="55" workbookViewId="0">
      <selection activeCell="B3" sqref="B3"/>
    </sheetView>
  </sheetViews>
  <sheetFormatPr defaultRowHeight="15" x14ac:dyDescent="0.25"/>
  <cols>
    <col min="1" max="1" width="5.42578125" bestFit="1" customWidth="1"/>
    <col min="2" max="2" width="18.42578125" customWidth="1"/>
    <col min="3" max="3" width="32.28515625" bestFit="1" customWidth="1"/>
    <col min="4" max="9" width="9.7109375" customWidth="1"/>
    <col min="10" max="10" width="11.140625" bestFit="1" customWidth="1"/>
    <col min="11" max="12" width="9.7109375" customWidth="1"/>
    <col min="13" max="13" width="11.140625" bestFit="1" customWidth="1"/>
    <col min="14" max="14" width="9.7109375" customWidth="1"/>
    <col min="15" max="15" width="12.28515625" bestFit="1" customWidth="1"/>
    <col min="16" max="17" width="9.7109375" customWidth="1"/>
    <col min="18" max="19" width="16.7109375" bestFit="1" customWidth="1"/>
    <col min="20" max="20" width="17.7109375" bestFit="1" customWidth="1"/>
    <col min="21" max="21" width="10.5703125" customWidth="1"/>
    <col min="22" max="22" width="9.7109375" customWidth="1"/>
    <col min="23" max="23" width="15.42578125" style="121" bestFit="1" customWidth="1"/>
    <col min="24" max="24" width="13" style="121" bestFit="1" customWidth="1"/>
    <col min="25" max="25" width="13" style="121" customWidth="1"/>
    <col min="26" max="26" width="15" style="121" customWidth="1"/>
    <col min="27" max="27" width="17.85546875" style="121" bestFit="1" customWidth="1"/>
    <col min="28" max="28" width="20.7109375" style="121" bestFit="1" customWidth="1"/>
    <col min="29" max="29" width="14.140625" bestFit="1" customWidth="1"/>
    <col min="30" max="30" width="18.85546875" bestFit="1" customWidth="1"/>
    <col min="31" max="31" width="13" bestFit="1" customWidth="1"/>
  </cols>
  <sheetData>
    <row r="1" spans="1:31" s="11" customFormat="1" ht="45" x14ac:dyDescent="0.25">
      <c r="A1" s="198" t="s">
        <v>696</v>
      </c>
      <c r="B1" s="198" t="s">
        <v>1102</v>
      </c>
      <c r="C1" s="198" t="s">
        <v>1103</v>
      </c>
      <c r="D1" s="198" t="s">
        <v>401</v>
      </c>
      <c r="E1" s="198" t="s">
        <v>412</v>
      </c>
      <c r="F1" s="198" t="s">
        <v>456</v>
      </c>
      <c r="G1" s="198" t="s">
        <v>402</v>
      </c>
      <c r="H1" s="198" t="s">
        <v>457</v>
      </c>
      <c r="I1" s="198" t="s">
        <v>935</v>
      </c>
      <c r="J1" s="198" t="s">
        <v>403</v>
      </c>
      <c r="K1" s="199" t="s">
        <v>369</v>
      </c>
      <c r="L1" s="199" t="s">
        <v>370</v>
      </c>
      <c r="M1" s="199" t="s">
        <v>371</v>
      </c>
      <c r="N1" s="199" t="s">
        <v>1097</v>
      </c>
      <c r="O1" s="199" t="s">
        <v>1098</v>
      </c>
      <c r="P1" s="199" t="s">
        <v>979</v>
      </c>
      <c r="Q1" s="199" t="s">
        <v>1099</v>
      </c>
      <c r="R1" s="199" t="s">
        <v>1100</v>
      </c>
      <c r="S1" s="206" t="s">
        <v>1105</v>
      </c>
      <c r="T1" s="198" t="s">
        <v>411</v>
      </c>
      <c r="U1" s="198" t="s">
        <v>1235</v>
      </c>
      <c r="V1" s="200" t="s">
        <v>743</v>
      </c>
      <c r="W1" s="202" t="s">
        <v>1089</v>
      </c>
      <c r="X1" s="202" t="s">
        <v>1158</v>
      </c>
      <c r="Y1" s="202" t="s">
        <v>1161</v>
      </c>
      <c r="Z1" s="202" t="s">
        <v>1180</v>
      </c>
      <c r="AA1" s="202" t="s">
        <v>1104</v>
      </c>
      <c r="AB1" s="203" t="s">
        <v>750</v>
      </c>
      <c r="AC1" s="198" t="s">
        <v>397</v>
      </c>
      <c r="AD1" s="200" t="s">
        <v>462</v>
      </c>
    </row>
    <row r="2" spans="1:31" x14ac:dyDescent="0.25">
      <c r="A2">
        <v>1</v>
      </c>
      <c r="B2" t="s">
        <v>7</v>
      </c>
      <c r="C2" t="s">
        <v>8</v>
      </c>
      <c r="D2" s="143">
        <f>SUMIFS(FACILITIES!E:E,FACILITIES!$B:$B,B2)</f>
        <v>0</v>
      </c>
      <c r="E2" s="143">
        <f>SUMIFS(FACILITIES!F:F,FACILITIES!$B:$B,$B2)</f>
        <v>0</v>
      </c>
      <c r="F2" s="143">
        <f>SUMIFS(FACILITIES!G:G,FACILITIES!$B:$B,B2)</f>
        <v>0</v>
      </c>
      <c r="G2" s="143">
        <f>SUMIFS(FACILITIES!H:H,FACILITIES!$B:$B,B2)</f>
        <v>0</v>
      </c>
      <c r="H2" s="143">
        <f>SUMIFS(FACILITIES!I:I,FACILITIES!$B:$B,B2)</f>
        <v>0</v>
      </c>
      <c r="I2" s="143">
        <f>SUMIFS(FACILITIES!J:J,FACILITIES!$B:$B,B2)</f>
        <v>0</v>
      </c>
      <c r="J2" s="143">
        <f>SUMIFS(FACILITIES!K:K,FACILITIES!$B:$B,B2)</f>
        <v>0</v>
      </c>
      <c r="K2" s="143">
        <f>SUMIFS(FACILITIES!L:L,FACILITIES!$B:$B,B2)</f>
        <v>0</v>
      </c>
      <c r="L2" s="143">
        <f>SUMIFS(FACILITIES!M:M,FACILITIES!$B:$B,B2)</f>
        <v>0</v>
      </c>
      <c r="M2" s="143">
        <f>SUMIFS(FACILITIES!N:N,FACILITIES!$B:$B,B2)</f>
        <v>0</v>
      </c>
      <c r="N2" s="143">
        <f>SUMIFS(FACILITIES!O:O,FACILITIES!$B:$B,B2)</f>
        <v>0</v>
      </c>
      <c r="O2" s="143">
        <f>SUMIFS(FACILITIES!P:P,FACILITIES!$B:$B,B2)</f>
        <v>0</v>
      </c>
      <c r="P2" s="143">
        <f>SUMIFS(FACILITIES!Q:Q,FACILITIES!$B:$B,B2)</f>
        <v>0</v>
      </c>
      <c r="Q2" s="143">
        <f>SUMIFS(FACILITIES!R:R,FACILITIES!$B:$B,B2)</f>
        <v>0</v>
      </c>
      <c r="R2" s="143">
        <f>SUMIFS(FACILITIES!T:T,FACILITIES!B:B,B2)</f>
        <v>0</v>
      </c>
      <c r="S2" s="143">
        <f>SUMIFS(FACILITIES!S:S,FACILITIES!B:B,B2)</f>
        <v>0</v>
      </c>
      <c r="T2" s="143">
        <f>SUMIFS('F &amp; B'!G:G,'F &amp; B'!B:B,B2)</f>
        <v>24550</v>
      </c>
      <c r="U2" s="207">
        <f>T2*0.15</f>
        <v>3682.5</v>
      </c>
      <c r="V2" s="143">
        <f>SUMIFS('FIXED AMOUNT'!G:G,'FIXED AMOUNT'!B:B,B2)</f>
        <v>7000</v>
      </c>
      <c r="W2" s="121">
        <f t="shared" ref="W2:W33" si="0">SUM(D2:V2)</f>
        <v>35232.5</v>
      </c>
      <c r="X2" s="121">
        <f>SUMIFS('FIXED AMOUNT'!E:E,'FIXED AMOUNT'!B:B,'data base '!B:B)</f>
        <v>0</v>
      </c>
      <c r="Y2" s="121">
        <f>SUMIFS('FIXED AMOUNT'!F:F,'FIXED AMOUNT'!B:B,'data base '!B:B)</f>
        <v>0</v>
      </c>
      <c r="Z2" s="121">
        <f>SUMIFS('FIXED AMOUNT'!V:V,'FIXED AMOUNT'!B:B,B:B)</f>
        <v>0</v>
      </c>
      <c r="AA2" s="121">
        <f>W2+X2-Y2+Z2</f>
        <v>35232.5</v>
      </c>
      <c r="AB2" s="204">
        <f>W2*0.1</f>
        <v>3523.25</v>
      </c>
      <c r="AC2" s="201">
        <v>45945</v>
      </c>
      <c r="AD2" s="121">
        <f>AA2+AB2</f>
        <v>38755.75</v>
      </c>
      <c r="AE2" s="205"/>
    </row>
    <row r="3" spans="1:31" x14ac:dyDescent="0.25">
      <c r="A3">
        <v>2</v>
      </c>
      <c r="B3" s="8" t="s">
        <v>10</v>
      </c>
      <c r="C3" t="s">
        <v>11</v>
      </c>
      <c r="D3" s="143">
        <f>SUMIFS(FACILITIES!E:E,FACILITIES!$B:$B,B3)</f>
        <v>0</v>
      </c>
      <c r="E3" s="143">
        <f>SUMIFS(FACILITIES!F:F,FACILITIES!$B:$B,$B3)</f>
        <v>750</v>
      </c>
      <c r="F3" s="143">
        <f>SUMIFS(FACILITIES!G:G,FACILITIES!$B:$B,B3)</f>
        <v>0</v>
      </c>
      <c r="G3" s="143">
        <f>SUMIFS(FACILITIES!H:H,FACILITIES!$B:$B,B3)</f>
        <v>0</v>
      </c>
      <c r="H3" s="143">
        <f>SUMIFS(FACILITIES!I:I,FACILITIES!$B:$B,B3)</f>
        <v>0</v>
      </c>
      <c r="I3" s="143">
        <f>SUMIFS(FACILITIES!J:J,FACILITIES!$B:$B,B3)</f>
        <v>1100</v>
      </c>
      <c r="J3" s="143">
        <f>SUMIFS(FACILITIES!K:K,FACILITIES!$B:$B,B3)</f>
        <v>0</v>
      </c>
      <c r="K3" s="143">
        <f>SUMIFS(FACILITIES!L:L,FACILITIES!$B:$B,B3)</f>
        <v>0</v>
      </c>
      <c r="L3" s="143">
        <f>SUMIFS(FACILITIES!M:M,FACILITIES!$B:$B,B3)</f>
        <v>0</v>
      </c>
      <c r="M3" s="143">
        <f>SUMIFS(FACILITIES!N:N,FACILITIES!$B:$B,B3)</f>
        <v>0</v>
      </c>
      <c r="N3" s="143">
        <f>SUMIFS(FACILITIES!O:O,FACILITIES!$B:$B,B3)</f>
        <v>0</v>
      </c>
      <c r="O3" s="143">
        <f>SUMIFS(FACILITIES!P:P,FACILITIES!$B:$B,B3)</f>
        <v>0</v>
      </c>
      <c r="P3" s="143">
        <f>SUMIFS(FACILITIES!Q:Q,FACILITIES!$B:$B,B3)</f>
        <v>0</v>
      </c>
      <c r="Q3" s="143">
        <f>SUMIFS(FACILITIES!R:R,FACILITIES!$B:$B,B3)</f>
        <v>0</v>
      </c>
      <c r="R3" s="143">
        <f>SUMIFS(FACILITIES!T:T,FACILITIES!B:B,B3)</f>
        <v>0</v>
      </c>
      <c r="S3" s="143">
        <f>SUMIFS(FACILITIES!S:S,FACILITIES!B:B,B3)</f>
        <v>0</v>
      </c>
      <c r="T3" s="143">
        <f>SUMIFS('F &amp; B'!G:G,'F &amp; B'!B:B,B3)</f>
        <v>12950</v>
      </c>
      <c r="U3" s="207">
        <f t="shared" ref="U3:U66" si="1">T3*0.15</f>
        <v>1942.5</v>
      </c>
      <c r="V3" s="143">
        <f>SUMIFS('FIXED AMOUNT'!G:G,'FIXED AMOUNT'!B:B,B3)</f>
        <v>7000</v>
      </c>
      <c r="W3" s="121">
        <f t="shared" si="0"/>
        <v>23742.5</v>
      </c>
      <c r="X3" s="121">
        <f>SUMIFS('FIXED AMOUNT'!E:E,'FIXED AMOUNT'!B:B,'data base '!B:B)</f>
        <v>0</v>
      </c>
      <c r="Y3" s="121">
        <f>SUMIFS('FIXED AMOUNT'!F:F,'FIXED AMOUNT'!B:B,'data base '!B:B)</f>
        <v>0</v>
      </c>
      <c r="Z3" s="121">
        <f>SUMIFS('FIXED AMOUNT'!V:V,'FIXED AMOUNT'!B:B,B:B)</f>
        <v>0</v>
      </c>
      <c r="AA3" s="121">
        <f t="shared" ref="AA3:AA66" si="2">W3+X3-Y3+Z3</f>
        <v>23742.5</v>
      </c>
      <c r="AB3" s="204">
        <f t="shared" ref="AB3:AB66" si="3">W3*0.1</f>
        <v>2374.25</v>
      </c>
      <c r="AC3" s="201">
        <v>45945</v>
      </c>
      <c r="AD3" s="121">
        <f t="shared" ref="AD3:AD66" si="4">AA3+AB3</f>
        <v>26116.75</v>
      </c>
      <c r="AE3" s="205"/>
    </row>
    <row r="4" spans="1:31" x14ac:dyDescent="0.25">
      <c r="A4">
        <v>3</v>
      </c>
      <c r="B4" t="s">
        <v>15</v>
      </c>
      <c r="C4" t="s">
        <v>16</v>
      </c>
      <c r="D4" s="143">
        <f>SUMIFS(FACILITIES!E:E,FACILITIES!$B:$B,B4)</f>
        <v>0</v>
      </c>
      <c r="E4" s="143">
        <f>SUMIFS(FACILITIES!F:F,FACILITIES!$B:$B,$B4)</f>
        <v>0</v>
      </c>
      <c r="F4" s="143">
        <f>SUMIFS(FACILITIES!G:G,FACILITIES!$B:$B,B4)</f>
        <v>0</v>
      </c>
      <c r="G4" s="143">
        <f>SUMIFS(FACILITIES!H:H,FACILITIES!$B:$B,B4)</f>
        <v>0</v>
      </c>
      <c r="H4" s="143">
        <f>SUMIFS(FACILITIES!I:I,FACILITIES!$B:$B,B4)</f>
        <v>0</v>
      </c>
      <c r="I4" s="143">
        <f>SUMIFS(FACILITIES!J:J,FACILITIES!$B:$B,B4)</f>
        <v>0</v>
      </c>
      <c r="J4" s="143">
        <f>SUMIFS(FACILITIES!K:K,FACILITIES!$B:$B,B4)</f>
        <v>0</v>
      </c>
      <c r="K4" s="143">
        <f>SUMIFS(FACILITIES!L:L,FACILITIES!$B:$B,B4)</f>
        <v>0</v>
      </c>
      <c r="L4" s="143">
        <f>SUMIFS(FACILITIES!M:M,FACILITIES!$B:$B,B4)</f>
        <v>0</v>
      </c>
      <c r="M4" s="143">
        <f>SUMIFS(FACILITIES!N:N,FACILITIES!$B:$B,B4)</f>
        <v>0</v>
      </c>
      <c r="N4" s="143">
        <f>SUMIFS(FACILITIES!O:O,FACILITIES!$B:$B,B4)</f>
        <v>0</v>
      </c>
      <c r="O4" s="143">
        <f>SUMIFS(FACILITIES!P:P,FACILITIES!$B:$B,B4)</f>
        <v>0</v>
      </c>
      <c r="P4" s="143">
        <f>SUMIFS(FACILITIES!Q:Q,FACILITIES!$B:$B,B4)</f>
        <v>0</v>
      </c>
      <c r="Q4" s="143">
        <f>SUMIFS(FACILITIES!R:R,FACILITIES!$B:$B,B4)</f>
        <v>0</v>
      </c>
      <c r="R4" s="143">
        <f>SUMIFS(FACILITIES!T:T,FACILITIES!B:B,B4)</f>
        <v>0</v>
      </c>
      <c r="S4" s="143">
        <f>SUMIFS(FACILITIES!S:S,FACILITIES!B:B,B4)</f>
        <v>5000</v>
      </c>
      <c r="T4" s="143">
        <f>SUMIFS('F &amp; B'!G:G,'F &amp; B'!B:B,B4)</f>
        <v>52578</v>
      </c>
      <c r="U4" s="207">
        <f t="shared" si="1"/>
        <v>7886.7</v>
      </c>
      <c r="V4" s="143">
        <f>SUMIFS('FIXED AMOUNT'!G:G,'FIXED AMOUNT'!B:B,B4)</f>
        <v>7000</v>
      </c>
      <c r="W4" s="121">
        <f t="shared" si="0"/>
        <v>72464.7</v>
      </c>
      <c r="X4" s="121">
        <f>SUMIFS('FIXED AMOUNT'!E:E,'FIXED AMOUNT'!B:B,'data base '!B:B)</f>
        <v>0</v>
      </c>
      <c r="Y4" s="121">
        <f>SUMIFS('FIXED AMOUNT'!F:F,'FIXED AMOUNT'!B:B,'data base '!B:B)</f>
        <v>0</v>
      </c>
      <c r="Z4" s="121">
        <f>SUMIFS('FIXED AMOUNT'!V:V,'FIXED AMOUNT'!B:B,B:B)</f>
        <v>0</v>
      </c>
      <c r="AA4" s="121">
        <f>W4+X4-Y4+Z4</f>
        <v>72464.7</v>
      </c>
      <c r="AB4" s="204">
        <f t="shared" si="3"/>
        <v>7246.47</v>
      </c>
      <c r="AC4" s="201">
        <v>45945</v>
      </c>
      <c r="AD4" s="121">
        <f t="shared" si="4"/>
        <v>79711.17</v>
      </c>
      <c r="AE4" s="205"/>
    </row>
    <row r="5" spans="1:31" x14ac:dyDescent="0.25">
      <c r="A5">
        <v>4</v>
      </c>
      <c r="B5" t="s">
        <v>20</v>
      </c>
      <c r="C5" t="s">
        <v>21</v>
      </c>
      <c r="D5" s="143">
        <f>SUMIFS(FACILITIES!E:E,FACILITIES!$B:$B,B5)</f>
        <v>0</v>
      </c>
      <c r="E5" s="143">
        <f>SUMIFS(FACILITIES!F:F,FACILITIES!$B:$B,$B5)</f>
        <v>0</v>
      </c>
      <c r="F5" s="143">
        <f>SUMIFS(FACILITIES!G:G,FACILITIES!$B:$B,B5)</f>
        <v>0</v>
      </c>
      <c r="G5" s="143">
        <f>SUMIFS(FACILITIES!H:H,FACILITIES!$B:$B,B5)</f>
        <v>0</v>
      </c>
      <c r="H5" s="143">
        <f>SUMIFS(FACILITIES!I:I,FACILITIES!$B:$B,B5)</f>
        <v>0</v>
      </c>
      <c r="I5" s="143">
        <f>SUMIFS(FACILITIES!J:J,FACILITIES!$B:$B,B5)</f>
        <v>500</v>
      </c>
      <c r="J5" s="143">
        <f>SUMIFS(FACILITIES!K:K,FACILITIES!$B:$B,B5)</f>
        <v>0</v>
      </c>
      <c r="K5" s="143">
        <f>SUMIFS(FACILITIES!L:L,FACILITIES!$B:$B,B5)</f>
        <v>0</v>
      </c>
      <c r="L5" s="143">
        <f>SUMIFS(FACILITIES!M:M,FACILITIES!$B:$B,B5)</f>
        <v>0</v>
      </c>
      <c r="M5" s="143">
        <f>SUMIFS(FACILITIES!N:N,FACILITIES!$B:$B,B5)</f>
        <v>0</v>
      </c>
      <c r="N5" s="143">
        <f>SUMIFS(FACILITIES!O:O,FACILITIES!$B:$B,B5)</f>
        <v>0</v>
      </c>
      <c r="O5" s="143">
        <f>SUMIFS(FACILITIES!P:P,FACILITIES!$B:$B,B5)</f>
        <v>0</v>
      </c>
      <c r="P5" s="143">
        <f>SUMIFS(FACILITIES!Q:Q,FACILITIES!$B:$B,B5)</f>
        <v>0</v>
      </c>
      <c r="Q5" s="143">
        <f>SUMIFS(FACILITIES!R:R,FACILITIES!$B:$B,B5)</f>
        <v>0</v>
      </c>
      <c r="R5" s="143">
        <f>SUMIFS(FACILITIES!T:T,FACILITIES!B:B,B5)</f>
        <v>0</v>
      </c>
      <c r="S5" s="143">
        <f>SUMIFS(FACILITIES!S:S,FACILITIES!B:B,B5)</f>
        <v>0</v>
      </c>
      <c r="T5" s="143">
        <f>SUMIFS('F &amp; B'!G:G,'F &amp; B'!B:B,B5)</f>
        <v>6550</v>
      </c>
      <c r="U5" s="207">
        <f t="shared" si="1"/>
        <v>982.5</v>
      </c>
      <c r="V5" s="143">
        <f>SUMIFS('FIXED AMOUNT'!G:G,'FIXED AMOUNT'!B:B,B5)</f>
        <v>7000</v>
      </c>
      <c r="W5" s="121">
        <f t="shared" si="0"/>
        <v>15032.5</v>
      </c>
      <c r="X5" s="121">
        <f>SUMIFS('FIXED AMOUNT'!E:E,'FIXED AMOUNT'!B:B,'data base '!B:B)</f>
        <v>0</v>
      </c>
      <c r="Y5" s="121">
        <f>SUMIFS('FIXED AMOUNT'!F:F,'FIXED AMOUNT'!B:B,'data base '!B:B)</f>
        <v>0</v>
      </c>
      <c r="Z5" s="121">
        <f>SUMIFS('FIXED AMOUNT'!V:V,'FIXED AMOUNT'!B:B,B:B)</f>
        <v>0</v>
      </c>
      <c r="AA5" s="121">
        <f>W5+X5-Y5+Z5</f>
        <v>15032.5</v>
      </c>
      <c r="AB5" s="204">
        <f t="shared" si="3"/>
        <v>1503.25</v>
      </c>
      <c r="AC5" s="201">
        <v>45945</v>
      </c>
      <c r="AD5" s="121">
        <f t="shared" si="4"/>
        <v>16535.75</v>
      </c>
      <c r="AE5" s="205"/>
    </row>
    <row r="6" spans="1:31" x14ac:dyDescent="0.25">
      <c r="A6">
        <v>5</v>
      </c>
      <c r="B6" t="s">
        <v>25</v>
      </c>
      <c r="C6" t="s">
        <v>26</v>
      </c>
      <c r="D6" s="143">
        <f>SUMIFS(FACILITIES!E:E,FACILITIES!$B:$B,B6)</f>
        <v>2700</v>
      </c>
      <c r="E6" s="143">
        <f>SUMIFS(FACILITIES!F:F,FACILITIES!$B:$B,$B6)</f>
        <v>0</v>
      </c>
      <c r="F6" s="143">
        <f>SUMIFS(FACILITIES!G:G,FACILITIES!$B:$B,B6)</f>
        <v>0</v>
      </c>
      <c r="G6" s="143">
        <f>SUMIFS(FACILITIES!H:H,FACILITIES!$B:$B,B6)</f>
        <v>0</v>
      </c>
      <c r="H6" s="143">
        <f>SUMIFS(FACILITIES!I:I,FACILITIES!$B:$B,B6)</f>
        <v>0</v>
      </c>
      <c r="I6" s="143">
        <f>SUMIFS(FACILITIES!J:J,FACILITIES!$B:$B,B6)</f>
        <v>600</v>
      </c>
      <c r="J6" s="143">
        <f>SUMIFS(FACILITIES!K:K,FACILITIES!$B:$B,B6)</f>
        <v>0</v>
      </c>
      <c r="K6" s="143">
        <f>SUMIFS(FACILITIES!L:L,FACILITIES!$B:$B,B6)</f>
        <v>0</v>
      </c>
      <c r="L6" s="143">
        <f>SUMIFS(FACILITIES!M:M,FACILITIES!$B:$B,B6)</f>
        <v>0</v>
      </c>
      <c r="M6" s="143">
        <f>SUMIFS(FACILITIES!N:N,FACILITIES!$B:$B,B6)</f>
        <v>0</v>
      </c>
      <c r="N6" s="143">
        <f>SUMIFS(FACILITIES!O:O,FACILITIES!$B:$B,B6)</f>
        <v>0</v>
      </c>
      <c r="O6" s="143">
        <f>SUMIFS(FACILITIES!P:P,FACILITIES!$B:$B,B6)</f>
        <v>0</v>
      </c>
      <c r="P6" s="143">
        <f>SUMIFS(FACILITIES!Q:Q,FACILITIES!$B:$B,B6)</f>
        <v>0</v>
      </c>
      <c r="Q6" s="143">
        <f>SUMIFS(FACILITIES!R:R,FACILITIES!$B:$B,B6)</f>
        <v>0</v>
      </c>
      <c r="R6" s="143">
        <f>SUMIFS(FACILITIES!T:T,FACILITIES!B:B,B6)</f>
        <v>0</v>
      </c>
      <c r="S6" s="143">
        <f>SUMIFS(FACILITIES!S:S,FACILITIES!B:B,B6)</f>
        <v>0</v>
      </c>
      <c r="T6" s="143">
        <f>SUMIFS('F &amp; B'!G:G,'F &amp; B'!B:B,B6)</f>
        <v>22657</v>
      </c>
      <c r="U6" s="207">
        <f t="shared" si="1"/>
        <v>3398.5499999999997</v>
      </c>
      <c r="V6" s="143">
        <f>SUMIFS('FIXED AMOUNT'!G:G,'FIXED AMOUNT'!B:B,B6)</f>
        <v>7000</v>
      </c>
      <c r="W6" s="121">
        <f t="shared" si="0"/>
        <v>36355.550000000003</v>
      </c>
      <c r="X6" s="121">
        <f>SUMIFS('FIXED AMOUNT'!E:E,'FIXED AMOUNT'!B:B,'data base '!B:B)</f>
        <v>0</v>
      </c>
      <c r="Y6" s="121">
        <f>SUMIFS('FIXED AMOUNT'!F:F,'FIXED AMOUNT'!B:B,'data base '!B:B)</f>
        <v>0</v>
      </c>
      <c r="Z6" s="121">
        <f>SUMIFS('FIXED AMOUNT'!V:V,'FIXED AMOUNT'!B:B,B:B)</f>
        <v>8474</v>
      </c>
      <c r="AA6" s="121">
        <f t="shared" si="2"/>
        <v>44829.55</v>
      </c>
      <c r="AB6" s="204">
        <f t="shared" si="3"/>
        <v>3635.5550000000003</v>
      </c>
      <c r="AC6" s="201">
        <v>45945</v>
      </c>
      <c r="AD6" s="121">
        <f t="shared" si="4"/>
        <v>48465.105000000003</v>
      </c>
      <c r="AE6" s="205"/>
    </row>
    <row r="7" spans="1:31" x14ac:dyDescent="0.25">
      <c r="A7">
        <v>6</v>
      </c>
      <c r="B7" t="s">
        <v>29</v>
      </c>
      <c r="C7" t="s">
        <v>30</v>
      </c>
      <c r="D7" s="143">
        <f>SUMIFS(FACILITIES!E:E,FACILITIES!$B:$B,B7)</f>
        <v>0</v>
      </c>
      <c r="E7" s="143">
        <f>SUMIFS(FACILITIES!F:F,FACILITIES!$B:$B,$B7)</f>
        <v>0</v>
      </c>
      <c r="F7" s="143">
        <f>SUMIFS(FACILITIES!G:G,FACILITIES!$B:$B,B7)</f>
        <v>0</v>
      </c>
      <c r="G7" s="143">
        <f>SUMIFS(FACILITIES!H:H,FACILITIES!$B:$B,B7)</f>
        <v>0</v>
      </c>
      <c r="H7" s="143">
        <f>SUMIFS(FACILITIES!I:I,FACILITIES!$B:$B,B7)</f>
        <v>0</v>
      </c>
      <c r="I7" s="143">
        <f>SUMIFS(FACILITIES!J:J,FACILITIES!$B:$B,B7)</f>
        <v>0</v>
      </c>
      <c r="J7" s="143">
        <f>SUMIFS(FACILITIES!K:K,FACILITIES!$B:$B,B7)</f>
        <v>0</v>
      </c>
      <c r="K7" s="143">
        <f>SUMIFS(FACILITIES!L:L,FACILITIES!$B:$B,B7)</f>
        <v>0</v>
      </c>
      <c r="L7" s="143">
        <f>SUMIFS(FACILITIES!M:M,FACILITIES!$B:$B,B7)</f>
        <v>0</v>
      </c>
      <c r="M7" s="143">
        <f>SUMIFS(FACILITIES!N:N,FACILITIES!$B:$B,B7)</f>
        <v>0</v>
      </c>
      <c r="N7" s="143">
        <f>SUMIFS(FACILITIES!O:O,FACILITIES!$B:$B,B7)</f>
        <v>0</v>
      </c>
      <c r="O7" s="143">
        <f>SUMIFS(FACILITIES!P:P,FACILITIES!$B:$B,B7)</f>
        <v>0</v>
      </c>
      <c r="P7" s="143">
        <f>SUMIFS(FACILITIES!Q:Q,FACILITIES!$B:$B,B7)</f>
        <v>0</v>
      </c>
      <c r="Q7" s="143">
        <f>SUMIFS(FACILITIES!R:R,FACILITIES!$B:$B,B7)</f>
        <v>0</v>
      </c>
      <c r="R7" s="143">
        <f>SUMIFS(FACILITIES!T:T,FACILITIES!B:B,B7)</f>
        <v>0</v>
      </c>
      <c r="S7" s="143">
        <f>SUMIFS(FACILITIES!S:S,FACILITIES!B:B,B7)</f>
        <v>0</v>
      </c>
      <c r="T7" s="143">
        <f>SUMIFS('F &amp; B'!G:G,'F &amp; B'!B:B,B7)</f>
        <v>3200</v>
      </c>
      <c r="U7" s="207">
        <f t="shared" si="1"/>
        <v>480</v>
      </c>
      <c r="V7" s="143">
        <f>SUMIFS('FIXED AMOUNT'!G:G,'FIXED AMOUNT'!B:B,B7)</f>
        <v>7000</v>
      </c>
      <c r="W7" s="121">
        <f t="shared" si="0"/>
        <v>10680</v>
      </c>
      <c r="X7" s="121">
        <f>SUMIFS('FIXED AMOUNT'!E:E,'FIXED AMOUNT'!B:B,'data base '!B:B)</f>
        <v>0</v>
      </c>
      <c r="Y7" s="121">
        <f>SUMIFS('FIXED AMOUNT'!F:F,'FIXED AMOUNT'!B:B,'data base '!B:B)</f>
        <v>0</v>
      </c>
      <c r="Z7" s="121">
        <f>SUMIFS('FIXED AMOUNT'!V:V,'FIXED AMOUNT'!B:B,B:B)</f>
        <v>44350</v>
      </c>
      <c r="AA7" s="121">
        <f t="shared" si="2"/>
        <v>55030</v>
      </c>
      <c r="AB7" s="204">
        <f t="shared" si="3"/>
        <v>1068</v>
      </c>
      <c r="AC7" s="201">
        <v>45945</v>
      </c>
      <c r="AD7" s="121">
        <f t="shared" si="4"/>
        <v>56098</v>
      </c>
      <c r="AE7" s="205"/>
    </row>
    <row r="8" spans="1:31" x14ac:dyDescent="0.25">
      <c r="A8">
        <v>7</v>
      </c>
      <c r="B8" t="s">
        <v>34</v>
      </c>
      <c r="C8" t="s">
        <v>35</v>
      </c>
      <c r="D8" s="143">
        <f>SUMIFS(FACILITIES!E:E,FACILITIES!$B:$B,B8)</f>
        <v>2400</v>
      </c>
      <c r="E8" s="143">
        <f>SUMIFS(FACILITIES!F:F,FACILITIES!$B:$B,$B8)</f>
        <v>0</v>
      </c>
      <c r="F8" s="143">
        <f>SUMIFS(FACILITIES!G:G,FACILITIES!$B:$B,B8)</f>
        <v>0</v>
      </c>
      <c r="G8" s="143">
        <f>SUMIFS(FACILITIES!H:H,FACILITIES!$B:$B,B8)</f>
        <v>0</v>
      </c>
      <c r="H8" s="143">
        <f>SUMIFS(FACILITIES!I:I,FACILITIES!$B:$B,B8)</f>
        <v>0</v>
      </c>
      <c r="I8" s="143">
        <f>SUMIFS(FACILITIES!J:J,FACILITIES!$B:$B,B8)</f>
        <v>1100</v>
      </c>
      <c r="J8" s="143">
        <f>SUMIFS(FACILITIES!K:K,FACILITIES!$B:$B,B8)</f>
        <v>0</v>
      </c>
      <c r="K8" s="143">
        <f>SUMIFS(FACILITIES!L:L,FACILITIES!$B:$B,B8)</f>
        <v>0</v>
      </c>
      <c r="L8" s="143">
        <f>SUMIFS(FACILITIES!M:M,FACILITIES!$B:$B,B8)</f>
        <v>0</v>
      </c>
      <c r="M8" s="143">
        <f>SUMIFS(FACILITIES!N:N,FACILITIES!$B:$B,B8)</f>
        <v>0</v>
      </c>
      <c r="N8" s="143">
        <f>SUMIFS(FACILITIES!O:O,FACILITIES!$B:$B,B8)</f>
        <v>0</v>
      </c>
      <c r="O8" s="143">
        <f>SUMIFS(FACILITIES!P:P,FACILITIES!$B:$B,B8)</f>
        <v>0</v>
      </c>
      <c r="P8" s="143">
        <f>SUMIFS(FACILITIES!Q:Q,FACILITIES!$B:$B,B8)</f>
        <v>0</v>
      </c>
      <c r="Q8" s="143">
        <f>SUMIFS(FACILITIES!R:R,FACILITIES!$B:$B,B8)</f>
        <v>0</v>
      </c>
      <c r="R8" s="143">
        <f>SUMIFS(FACILITIES!T:T,FACILITIES!B:B,B8)</f>
        <v>0</v>
      </c>
      <c r="S8" s="143">
        <f>SUMIFS(FACILITIES!S:S,FACILITIES!B:B,B8)</f>
        <v>0</v>
      </c>
      <c r="T8" s="143">
        <f>SUMIFS('F &amp; B'!G:G,'F &amp; B'!B:B,B8)</f>
        <v>0</v>
      </c>
      <c r="U8" s="207">
        <f t="shared" si="1"/>
        <v>0</v>
      </c>
      <c r="V8" s="143">
        <f>SUMIFS('FIXED AMOUNT'!G:G,'FIXED AMOUNT'!B:B,B8)</f>
        <v>7000</v>
      </c>
      <c r="W8" s="121">
        <f t="shared" si="0"/>
        <v>10500</v>
      </c>
      <c r="X8" s="121">
        <f>SUMIFS('FIXED AMOUNT'!E:E,'FIXED AMOUNT'!B:B,'data base '!B:B)</f>
        <v>0</v>
      </c>
      <c r="Y8" s="121">
        <f>SUMIFS('FIXED AMOUNT'!F:F,'FIXED AMOUNT'!B:B,'data base '!B:B)</f>
        <v>0</v>
      </c>
      <c r="Z8" s="121">
        <f>SUMIFS('FIXED AMOUNT'!V:V,'FIXED AMOUNT'!B:B,B:B)</f>
        <v>0</v>
      </c>
      <c r="AA8" s="121">
        <f t="shared" si="2"/>
        <v>10500</v>
      </c>
      <c r="AB8" s="204">
        <f t="shared" si="3"/>
        <v>1050</v>
      </c>
      <c r="AC8" s="201">
        <v>45945</v>
      </c>
      <c r="AD8" s="121">
        <f t="shared" si="4"/>
        <v>11550</v>
      </c>
      <c r="AE8" s="205"/>
    </row>
    <row r="9" spans="1:31" x14ac:dyDescent="0.25">
      <c r="A9">
        <v>8</v>
      </c>
      <c r="B9" t="s">
        <v>39</v>
      </c>
      <c r="C9" t="s">
        <v>40</v>
      </c>
      <c r="D9" s="143">
        <f>SUMIFS(FACILITIES!E:E,FACILITIES!$B:$B,B9)</f>
        <v>0</v>
      </c>
      <c r="E9" s="143">
        <f>SUMIFS(FACILITIES!F:F,FACILITIES!$B:$B,$B9)</f>
        <v>600</v>
      </c>
      <c r="F9" s="143">
        <f>SUMIFS(FACILITIES!G:G,FACILITIES!$B:$B,B9)</f>
        <v>0</v>
      </c>
      <c r="G9" s="143">
        <f>SUMIFS(FACILITIES!H:H,FACILITIES!$B:$B,B9)</f>
        <v>0</v>
      </c>
      <c r="H9" s="143">
        <f>SUMIFS(FACILITIES!I:I,FACILITIES!$B:$B,B9)</f>
        <v>0</v>
      </c>
      <c r="I9" s="143">
        <f>SUMIFS(FACILITIES!J:J,FACILITIES!$B:$B,B9)</f>
        <v>0</v>
      </c>
      <c r="J9" s="143">
        <f>SUMIFS(FACILITIES!K:K,FACILITIES!$B:$B,B9)</f>
        <v>0</v>
      </c>
      <c r="K9" s="143">
        <f>SUMIFS(FACILITIES!L:L,FACILITIES!$B:$B,B9)</f>
        <v>0</v>
      </c>
      <c r="L9" s="143">
        <f>SUMIFS(FACILITIES!M:M,FACILITIES!$B:$B,B9)</f>
        <v>0</v>
      </c>
      <c r="M9" s="143">
        <f>SUMIFS(FACILITIES!N:N,FACILITIES!$B:$B,B9)</f>
        <v>0</v>
      </c>
      <c r="N9" s="143">
        <f>SUMIFS(FACILITIES!O:O,FACILITIES!$B:$B,B9)</f>
        <v>0</v>
      </c>
      <c r="O9" s="143">
        <f>SUMIFS(FACILITIES!P:P,FACILITIES!$B:$B,B9)</f>
        <v>0</v>
      </c>
      <c r="P9" s="143">
        <f>SUMIFS(FACILITIES!Q:Q,FACILITIES!$B:$B,B9)</f>
        <v>0</v>
      </c>
      <c r="Q9" s="143">
        <f>SUMIFS(FACILITIES!R:R,FACILITIES!$B:$B,B9)</f>
        <v>0</v>
      </c>
      <c r="R9" s="143">
        <f>SUMIFS(FACILITIES!T:T,FACILITIES!B:B,B9)</f>
        <v>0</v>
      </c>
      <c r="S9" s="143">
        <f>SUMIFS(FACILITIES!S:S,FACILITIES!B:B,B9)</f>
        <v>0</v>
      </c>
      <c r="T9" s="143">
        <f>SUMIFS('F &amp; B'!G:G,'F &amp; B'!B:B,B9)</f>
        <v>1300</v>
      </c>
      <c r="U9" s="207">
        <f t="shared" si="1"/>
        <v>195</v>
      </c>
      <c r="V9" s="143">
        <f>SUMIFS('FIXED AMOUNT'!G:G,'FIXED AMOUNT'!B:B,B9)</f>
        <v>7000</v>
      </c>
      <c r="W9" s="121">
        <f t="shared" si="0"/>
        <v>9095</v>
      </c>
      <c r="X9" s="121">
        <f>SUMIFS('FIXED AMOUNT'!E:E,'FIXED AMOUNT'!B:B,'data base '!B:B)</f>
        <v>0</v>
      </c>
      <c r="Y9" s="121">
        <f>SUMIFS('FIXED AMOUNT'!F:F,'FIXED AMOUNT'!B:B,'data base '!B:B)</f>
        <v>0</v>
      </c>
      <c r="Z9" s="121">
        <f>SUMIFS('FIXED AMOUNT'!V:V,'FIXED AMOUNT'!B:B,B:B)</f>
        <v>0</v>
      </c>
      <c r="AA9" s="121">
        <f t="shared" si="2"/>
        <v>9095</v>
      </c>
      <c r="AB9" s="204">
        <f t="shared" si="3"/>
        <v>909.5</v>
      </c>
      <c r="AC9" s="201">
        <v>45945</v>
      </c>
      <c r="AD9" s="121">
        <f t="shared" si="4"/>
        <v>10004.5</v>
      </c>
      <c r="AE9" s="205"/>
    </row>
    <row r="10" spans="1:31" x14ac:dyDescent="0.25">
      <c r="A10">
        <v>9</v>
      </c>
      <c r="B10" t="s">
        <v>44</v>
      </c>
      <c r="C10" t="s">
        <v>45</v>
      </c>
      <c r="D10" s="143">
        <f>SUMIFS(FACILITIES!E:E,FACILITIES!$B:$B,B10)</f>
        <v>1800</v>
      </c>
      <c r="E10" s="143">
        <f>SUMIFS(FACILITIES!F:F,FACILITIES!$B:$B,$B10)</f>
        <v>750</v>
      </c>
      <c r="F10" s="143">
        <f>SUMIFS(FACILITIES!G:G,FACILITIES!$B:$B,B10)</f>
        <v>0</v>
      </c>
      <c r="G10" s="143">
        <f>SUMIFS(FACILITIES!H:H,FACILITIES!$B:$B,B10)</f>
        <v>0</v>
      </c>
      <c r="H10" s="143">
        <f>SUMIFS(FACILITIES!I:I,FACILITIES!$B:$B,B10)</f>
        <v>0</v>
      </c>
      <c r="I10" s="143">
        <f>SUMIFS(FACILITIES!J:J,FACILITIES!$B:$B,B10)</f>
        <v>0</v>
      </c>
      <c r="J10" s="143">
        <f>SUMIFS(FACILITIES!K:K,FACILITIES!$B:$B,B10)</f>
        <v>0</v>
      </c>
      <c r="K10" s="143">
        <f>SUMIFS(FACILITIES!L:L,FACILITIES!$B:$B,B10)</f>
        <v>0</v>
      </c>
      <c r="L10" s="143">
        <f>SUMIFS(FACILITIES!M:M,FACILITIES!$B:$B,B10)</f>
        <v>0</v>
      </c>
      <c r="M10" s="143">
        <f>SUMIFS(FACILITIES!N:N,FACILITIES!$B:$B,B10)</f>
        <v>0</v>
      </c>
      <c r="N10" s="143">
        <f>SUMIFS(FACILITIES!O:O,FACILITIES!$B:$B,B10)</f>
        <v>0</v>
      </c>
      <c r="O10" s="143">
        <f>SUMIFS(FACILITIES!P:P,FACILITIES!$B:$B,B10)</f>
        <v>0</v>
      </c>
      <c r="P10" s="143">
        <f>SUMIFS(FACILITIES!Q:Q,FACILITIES!$B:$B,B10)</f>
        <v>0</v>
      </c>
      <c r="Q10" s="143">
        <f>SUMIFS(FACILITIES!R:R,FACILITIES!$B:$B,B10)</f>
        <v>0</v>
      </c>
      <c r="R10" s="143">
        <f>SUMIFS(FACILITIES!T:T,FACILITIES!B:B,B10)</f>
        <v>0</v>
      </c>
      <c r="S10" s="143">
        <f>SUMIFS(FACILITIES!S:S,FACILITIES!B:B,B10)</f>
        <v>0</v>
      </c>
      <c r="T10" s="143">
        <f>SUMIFS('F &amp; B'!G:G,'F &amp; B'!B:B,B10)</f>
        <v>500</v>
      </c>
      <c r="U10" s="207">
        <f t="shared" si="1"/>
        <v>75</v>
      </c>
      <c r="V10" s="143">
        <f>SUMIFS('FIXED AMOUNT'!G:G,'FIXED AMOUNT'!B:B,B10)</f>
        <v>7000</v>
      </c>
      <c r="W10" s="121">
        <f t="shared" si="0"/>
        <v>10125</v>
      </c>
      <c r="X10" s="121">
        <f>SUMIFS('FIXED AMOUNT'!E:E,'FIXED AMOUNT'!B:B,'data base '!B:B)</f>
        <v>0</v>
      </c>
      <c r="Y10" s="121">
        <f>SUMIFS('FIXED AMOUNT'!F:F,'FIXED AMOUNT'!B:B,'data base '!B:B)</f>
        <v>0</v>
      </c>
      <c r="Z10" s="121">
        <f>SUMIFS('FIXED AMOUNT'!V:V,'FIXED AMOUNT'!B:B,B:B)</f>
        <v>17926</v>
      </c>
      <c r="AA10" s="121">
        <f t="shared" si="2"/>
        <v>28051</v>
      </c>
      <c r="AB10" s="204">
        <f t="shared" si="3"/>
        <v>1012.5</v>
      </c>
      <c r="AC10" s="201">
        <v>45945</v>
      </c>
      <c r="AD10" s="121">
        <f t="shared" si="4"/>
        <v>29063.5</v>
      </c>
      <c r="AE10" s="205"/>
    </row>
    <row r="11" spans="1:31" x14ac:dyDescent="0.25">
      <c r="A11">
        <v>10</v>
      </c>
      <c r="B11" t="s">
        <v>49</v>
      </c>
      <c r="C11" t="s">
        <v>50</v>
      </c>
      <c r="D11" s="143">
        <f>SUMIFS(FACILITIES!E:E,FACILITIES!$B:$B,B11)</f>
        <v>0</v>
      </c>
      <c r="E11" s="143">
        <f>SUMIFS(FACILITIES!F:F,FACILITIES!$B:$B,$B11)</f>
        <v>0</v>
      </c>
      <c r="F11" s="143">
        <f>SUMIFS(FACILITIES!G:G,FACILITIES!$B:$B,B11)</f>
        <v>0</v>
      </c>
      <c r="G11" s="143">
        <f>SUMIFS(FACILITIES!H:H,FACILITIES!$B:$B,B11)</f>
        <v>0</v>
      </c>
      <c r="H11" s="143">
        <f>SUMIFS(FACILITIES!I:I,FACILITIES!$B:$B,B11)</f>
        <v>0</v>
      </c>
      <c r="I11" s="143">
        <f>SUMIFS(FACILITIES!J:J,FACILITIES!$B:$B,B11)</f>
        <v>0</v>
      </c>
      <c r="J11" s="143">
        <f>SUMIFS(FACILITIES!K:K,FACILITIES!$B:$B,B11)</f>
        <v>0</v>
      </c>
      <c r="K11" s="143">
        <f>SUMIFS(FACILITIES!L:L,FACILITIES!$B:$B,B11)</f>
        <v>0</v>
      </c>
      <c r="L11" s="143">
        <f>SUMIFS(FACILITIES!M:M,FACILITIES!$B:$B,B11)</f>
        <v>0</v>
      </c>
      <c r="M11" s="143">
        <f>SUMIFS(FACILITIES!N:N,FACILITIES!$B:$B,B11)</f>
        <v>0</v>
      </c>
      <c r="N11" s="143">
        <f>SUMIFS(FACILITIES!O:O,FACILITIES!$B:$B,B11)</f>
        <v>0</v>
      </c>
      <c r="O11" s="143">
        <f>SUMIFS(FACILITIES!P:P,FACILITIES!$B:$B,B11)</f>
        <v>0</v>
      </c>
      <c r="P11" s="143">
        <f>SUMIFS(FACILITIES!Q:Q,FACILITIES!$B:$B,B11)</f>
        <v>0</v>
      </c>
      <c r="Q11" s="143">
        <f>SUMIFS(FACILITIES!R:R,FACILITIES!$B:$B,B11)</f>
        <v>0</v>
      </c>
      <c r="R11" s="143">
        <f>SUMIFS(FACILITIES!T:T,FACILITIES!B:B,B11)</f>
        <v>0</v>
      </c>
      <c r="S11" s="143">
        <f>SUMIFS(FACILITIES!S:S,FACILITIES!B:B,B11)</f>
        <v>0</v>
      </c>
      <c r="T11" s="143">
        <f>SUMIFS('F &amp; B'!G:G,'F &amp; B'!B:B,B11)</f>
        <v>0</v>
      </c>
      <c r="U11" s="207">
        <f t="shared" si="1"/>
        <v>0</v>
      </c>
      <c r="V11" s="143">
        <f>SUMIFS('FIXED AMOUNT'!G:G,'FIXED AMOUNT'!B:B,B11)</f>
        <v>7000</v>
      </c>
      <c r="W11" s="121">
        <f t="shared" si="0"/>
        <v>7000</v>
      </c>
      <c r="X11" s="121">
        <f>SUMIFS('FIXED AMOUNT'!E:E,'FIXED AMOUNT'!B:B,'data base '!B:B)</f>
        <v>0</v>
      </c>
      <c r="Y11" s="121">
        <f>SUMIFS('FIXED AMOUNT'!F:F,'FIXED AMOUNT'!B:B,'data base '!B:B)</f>
        <v>0</v>
      </c>
      <c r="Z11" s="121">
        <f>SUMIFS('FIXED AMOUNT'!V:V,'FIXED AMOUNT'!B:B,B:B)</f>
        <v>0</v>
      </c>
      <c r="AA11" s="121">
        <f t="shared" si="2"/>
        <v>7000</v>
      </c>
      <c r="AB11" s="204">
        <f t="shared" si="3"/>
        <v>700</v>
      </c>
      <c r="AC11" s="201">
        <v>45945</v>
      </c>
      <c r="AD11" s="121">
        <f t="shared" si="4"/>
        <v>7700</v>
      </c>
      <c r="AE11" s="205"/>
    </row>
    <row r="12" spans="1:31" x14ac:dyDescent="0.25">
      <c r="A12">
        <v>11</v>
      </c>
      <c r="B12" t="s">
        <v>54</v>
      </c>
      <c r="C12" t="s">
        <v>55</v>
      </c>
      <c r="D12" s="143">
        <f>SUMIFS(FACILITIES!E:E,FACILITIES!$B:$B,B12)</f>
        <v>0</v>
      </c>
      <c r="E12" s="143">
        <f>SUMIFS(FACILITIES!F:F,FACILITIES!$B:$B,$B12)</f>
        <v>6150</v>
      </c>
      <c r="F12" s="143">
        <f>SUMIFS(FACILITIES!G:G,FACILITIES!$B:$B,B12)</f>
        <v>0</v>
      </c>
      <c r="G12" s="143">
        <f>SUMIFS(FACILITIES!H:H,FACILITIES!$B:$B,B12)</f>
        <v>0</v>
      </c>
      <c r="H12" s="143">
        <f>SUMIFS(FACILITIES!I:I,FACILITIES!$B:$B,B12)</f>
        <v>0</v>
      </c>
      <c r="I12" s="143">
        <f>SUMIFS(FACILITIES!J:J,FACILITIES!$B:$B,B12)</f>
        <v>3100</v>
      </c>
      <c r="J12" s="143">
        <f>SUMIFS(FACILITIES!K:K,FACILITIES!$B:$B,B12)</f>
        <v>0</v>
      </c>
      <c r="K12" s="143">
        <f>SUMIFS(FACILITIES!L:L,FACILITIES!$B:$B,B12)</f>
        <v>0</v>
      </c>
      <c r="L12" s="143">
        <f>SUMIFS(FACILITIES!M:M,FACILITIES!$B:$B,B12)</f>
        <v>0</v>
      </c>
      <c r="M12" s="143">
        <f>SUMIFS(FACILITIES!N:N,FACILITIES!$B:$B,B12)</f>
        <v>0</v>
      </c>
      <c r="N12" s="143">
        <f>SUMIFS(FACILITIES!O:O,FACILITIES!$B:$B,B12)</f>
        <v>0</v>
      </c>
      <c r="O12" s="143">
        <f>SUMIFS(FACILITIES!P:P,FACILITIES!$B:$B,B12)</f>
        <v>0</v>
      </c>
      <c r="P12" s="143">
        <f>SUMIFS(FACILITIES!Q:Q,FACILITIES!$B:$B,B12)</f>
        <v>0</v>
      </c>
      <c r="Q12" s="143">
        <f>SUMIFS(FACILITIES!R:R,FACILITIES!$B:$B,B12)</f>
        <v>0</v>
      </c>
      <c r="R12" s="143">
        <f>SUMIFS(FACILITIES!T:T,FACILITIES!B:B,B12)</f>
        <v>4000</v>
      </c>
      <c r="S12" s="143">
        <f>SUMIFS(FACILITIES!S:S,FACILITIES!B:B,B12)</f>
        <v>0</v>
      </c>
      <c r="T12" s="143">
        <f>SUMIFS('F &amp; B'!G:G,'F &amp; B'!B:B,B12)</f>
        <v>6150</v>
      </c>
      <c r="U12" s="207">
        <f t="shared" si="1"/>
        <v>922.5</v>
      </c>
      <c r="V12" s="143">
        <f>SUMIFS('FIXED AMOUNT'!G:G,'FIXED AMOUNT'!B:B,B12)</f>
        <v>7000</v>
      </c>
      <c r="W12" s="121">
        <f t="shared" si="0"/>
        <v>27322.5</v>
      </c>
      <c r="X12" s="121">
        <f>SUMIFS('FIXED AMOUNT'!E:E,'FIXED AMOUNT'!B:B,'data base '!B:B)</f>
        <v>0</v>
      </c>
      <c r="Y12" s="121">
        <f>SUMIFS('FIXED AMOUNT'!F:F,'FIXED AMOUNT'!B:B,'data base '!B:B)</f>
        <v>0</v>
      </c>
      <c r="Z12" s="121">
        <f>SUMIFS('FIXED AMOUNT'!V:V,'FIXED AMOUNT'!B:B,B:B)</f>
        <v>3176</v>
      </c>
      <c r="AA12" s="121">
        <f t="shared" si="2"/>
        <v>30498.5</v>
      </c>
      <c r="AB12" s="204">
        <f t="shared" si="3"/>
        <v>2732.25</v>
      </c>
      <c r="AC12" s="201">
        <v>45945</v>
      </c>
      <c r="AD12" s="121">
        <f t="shared" si="4"/>
        <v>33230.75</v>
      </c>
      <c r="AE12" s="205"/>
    </row>
    <row r="13" spans="1:31" x14ac:dyDescent="0.25">
      <c r="A13">
        <v>12</v>
      </c>
      <c r="B13" t="s">
        <v>59</v>
      </c>
      <c r="C13" t="s">
        <v>60</v>
      </c>
      <c r="D13" s="143">
        <f>SUMIFS(FACILITIES!E:E,FACILITIES!$B:$B,B13)</f>
        <v>0</v>
      </c>
      <c r="E13" s="143">
        <f>SUMIFS(FACILITIES!F:F,FACILITIES!$B:$B,$B13)</f>
        <v>0</v>
      </c>
      <c r="F13" s="143">
        <f>SUMIFS(FACILITIES!G:G,FACILITIES!$B:$B,B13)</f>
        <v>0</v>
      </c>
      <c r="G13" s="143">
        <f>SUMIFS(FACILITIES!H:H,FACILITIES!$B:$B,B13)</f>
        <v>0</v>
      </c>
      <c r="H13" s="143">
        <f>SUMIFS(FACILITIES!I:I,FACILITIES!$B:$B,B13)</f>
        <v>0</v>
      </c>
      <c r="I13" s="143">
        <f>SUMIFS(FACILITIES!J:J,FACILITIES!$B:$B,B13)</f>
        <v>0</v>
      </c>
      <c r="J13" s="143">
        <f>SUMIFS(FACILITIES!K:K,FACILITIES!$B:$B,B13)</f>
        <v>0</v>
      </c>
      <c r="K13" s="143">
        <f>SUMIFS(FACILITIES!L:L,FACILITIES!$B:$B,B13)</f>
        <v>0</v>
      </c>
      <c r="L13" s="143">
        <f>SUMIFS(FACILITIES!M:M,FACILITIES!$B:$B,B13)</f>
        <v>0</v>
      </c>
      <c r="M13" s="143">
        <f>SUMIFS(FACILITIES!N:N,FACILITIES!$B:$B,B13)</f>
        <v>0</v>
      </c>
      <c r="N13" s="143">
        <f>SUMIFS(FACILITIES!O:O,FACILITIES!$B:$B,B13)</f>
        <v>0</v>
      </c>
      <c r="O13" s="143">
        <f>SUMIFS(FACILITIES!P:P,FACILITIES!$B:$B,B13)</f>
        <v>12000</v>
      </c>
      <c r="P13" s="143">
        <f>SUMIFS(FACILITIES!Q:Q,FACILITIES!$B:$B,B13)</f>
        <v>0</v>
      </c>
      <c r="Q13" s="143">
        <f>SUMIFS(FACILITIES!R:R,FACILITIES!$B:$B,B13)</f>
        <v>0</v>
      </c>
      <c r="R13" s="143">
        <f>SUMIFS(FACILITIES!T:T,FACILITIES!B:B,B13)</f>
        <v>0</v>
      </c>
      <c r="S13" s="143">
        <f>SUMIFS(FACILITIES!S:S,FACILITIES!B:B,B13)</f>
        <v>0</v>
      </c>
      <c r="T13" s="143">
        <f>SUMIFS('F &amp; B'!G:G,'F &amp; B'!B:B,B13)</f>
        <v>23647</v>
      </c>
      <c r="U13" s="207">
        <f t="shared" si="1"/>
        <v>3547.0499999999997</v>
      </c>
      <c r="V13" s="143">
        <f>SUMIFS('FIXED AMOUNT'!G:G,'FIXED AMOUNT'!B:B,B13)</f>
        <v>7000</v>
      </c>
      <c r="W13" s="121">
        <f t="shared" si="0"/>
        <v>46194.05</v>
      </c>
      <c r="X13" s="121">
        <f>SUMIFS('FIXED AMOUNT'!E:E,'FIXED AMOUNT'!B:B,'data base '!B:B)</f>
        <v>0</v>
      </c>
      <c r="Y13" s="121">
        <f>SUMIFS('FIXED AMOUNT'!F:F,'FIXED AMOUNT'!B:B,'data base '!B:B)</f>
        <v>0</v>
      </c>
      <c r="Z13" s="121">
        <f>SUMIFS('FIXED AMOUNT'!V:V,'FIXED AMOUNT'!B:B,B:B)</f>
        <v>0</v>
      </c>
      <c r="AA13" s="121">
        <f t="shared" si="2"/>
        <v>46194.05</v>
      </c>
      <c r="AB13" s="204">
        <f t="shared" si="3"/>
        <v>4619.4050000000007</v>
      </c>
      <c r="AC13" s="201">
        <v>45945</v>
      </c>
      <c r="AD13" s="121">
        <f t="shared" si="4"/>
        <v>50813.455000000002</v>
      </c>
      <c r="AE13" s="205"/>
    </row>
    <row r="14" spans="1:31" x14ac:dyDescent="0.25">
      <c r="A14">
        <v>13</v>
      </c>
      <c r="B14" t="s">
        <v>64</v>
      </c>
      <c r="C14" t="s">
        <v>65</v>
      </c>
      <c r="D14" s="143">
        <f>SUMIFS(FACILITIES!E:E,FACILITIES!$B:$B,B14)</f>
        <v>0</v>
      </c>
      <c r="E14" s="143">
        <f>SUMIFS(FACILITIES!F:F,FACILITIES!$B:$B,$B14)</f>
        <v>0</v>
      </c>
      <c r="F14" s="143">
        <f>SUMIFS(FACILITIES!G:G,FACILITIES!$B:$B,B14)</f>
        <v>0</v>
      </c>
      <c r="G14" s="143">
        <f>SUMIFS(FACILITIES!H:H,FACILITIES!$B:$B,B14)</f>
        <v>0</v>
      </c>
      <c r="H14" s="143">
        <f>SUMIFS(FACILITIES!I:I,FACILITIES!$B:$B,B14)</f>
        <v>0</v>
      </c>
      <c r="I14" s="143">
        <f>SUMIFS(FACILITIES!J:J,FACILITIES!$B:$B,B14)</f>
        <v>0</v>
      </c>
      <c r="J14" s="143">
        <f>SUMIFS(FACILITIES!K:K,FACILITIES!$B:$B,B14)</f>
        <v>0</v>
      </c>
      <c r="K14" s="143">
        <f>SUMIFS(FACILITIES!L:L,FACILITIES!$B:$B,B14)</f>
        <v>0</v>
      </c>
      <c r="L14" s="143">
        <f>SUMIFS(FACILITIES!M:M,FACILITIES!$B:$B,B14)</f>
        <v>0</v>
      </c>
      <c r="M14" s="143">
        <f>SUMIFS(FACILITIES!N:N,FACILITIES!$B:$B,B14)</f>
        <v>0</v>
      </c>
      <c r="N14" s="143">
        <f>SUMIFS(FACILITIES!O:O,FACILITIES!$B:$B,B14)</f>
        <v>0</v>
      </c>
      <c r="O14" s="143">
        <f>SUMIFS(FACILITIES!P:P,FACILITIES!$B:$B,B14)</f>
        <v>0</v>
      </c>
      <c r="P14" s="143">
        <f>SUMIFS(FACILITIES!Q:Q,FACILITIES!$B:$B,B14)</f>
        <v>0</v>
      </c>
      <c r="Q14" s="143">
        <f>SUMIFS(FACILITIES!R:R,FACILITIES!$B:$B,B14)</f>
        <v>0</v>
      </c>
      <c r="R14" s="143">
        <f>SUMIFS(FACILITIES!T:T,FACILITIES!B:B,B14)</f>
        <v>0</v>
      </c>
      <c r="S14" s="143">
        <f>SUMIFS(FACILITIES!S:S,FACILITIES!B:B,B14)</f>
        <v>0</v>
      </c>
      <c r="T14" s="143">
        <f>SUMIFS('F &amp; B'!G:G,'F &amp; B'!B:B,B14)</f>
        <v>39050</v>
      </c>
      <c r="U14" s="207">
        <f t="shared" si="1"/>
        <v>5857.5</v>
      </c>
      <c r="V14" s="143">
        <f>SUMIFS('FIXED AMOUNT'!G:G,'FIXED AMOUNT'!B:B,B14)</f>
        <v>7000</v>
      </c>
      <c r="W14" s="121">
        <f t="shared" si="0"/>
        <v>51907.5</v>
      </c>
      <c r="X14" s="121">
        <f>SUMIFS('FIXED AMOUNT'!E:E,'FIXED AMOUNT'!B:B,'data base '!B:B)</f>
        <v>0</v>
      </c>
      <c r="Y14" s="121">
        <f>SUMIFS('FIXED AMOUNT'!F:F,'FIXED AMOUNT'!B:B,'data base '!B:B)</f>
        <v>0</v>
      </c>
      <c r="Z14" s="121">
        <f>SUMIFS('FIXED AMOUNT'!V:V,'FIXED AMOUNT'!B:B,B:B)</f>
        <v>12030</v>
      </c>
      <c r="AA14" s="121">
        <f t="shared" si="2"/>
        <v>63937.5</v>
      </c>
      <c r="AB14" s="204">
        <f t="shared" si="3"/>
        <v>5190.75</v>
      </c>
      <c r="AC14" s="201">
        <v>45945</v>
      </c>
      <c r="AD14" s="121">
        <f t="shared" si="4"/>
        <v>69128.25</v>
      </c>
      <c r="AE14" s="205"/>
    </row>
    <row r="15" spans="1:31" x14ac:dyDescent="0.25">
      <c r="A15">
        <v>14</v>
      </c>
      <c r="B15" t="s">
        <v>69</v>
      </c>
      <c r="C15" t="s">
        <v>70</v>
      </c>
      <c r="D15" s="143">
        <f>SUMIFS(FACILITIES!E:E,FACILITIES!$B:$B,B15)</f>
        <v>0</v>
      </c>
      <c r="E15" s="143">
        <f>SUMIFS(FACILITIES!F:F,FACILITIES!$B:$B,$B15)</f>
        <v>1050</v>
      </c>
      <c r="F15" s="143">
        <f>SUMIFS(FACILITIES!G:G,FACILITIES!$B:$B,B15)</f>
        <v>0</v>
      </c>
      <c r="G15" s="143">
        <f>SUMIFS(FACILITIES!H:H,FACILITIES!$B:$B,B15)</f>
        <v>0</v>
      </c>
      <c r="H15" s="143">
        <f>SUMIFS(FACILITIES!I:I,FACILITIES!$B:$B,B15)</f>
        <v>0</v>
      </c>
      <c r="I15" s="143">
        <f>SUMIFS(FACILITIES!J:J,FACILITIES!$B:$B,B15)</f>
        <v>1500</v>
      </c>
      <c r="J15" s="143">
        <f>SUMIFS(FACILITIES!K:K,FACILITIES!$B:$B,B15)</f>
        <v>0</v>
      </c>
      <c r="K15" s="143">
        <f>SUMIFS(FACILITIES!L:L,FACILITIES!$B:$B,B15)</f>
        <v>0</v>
      </c>
      <c r="L15" s="143">
        <f>SUMIFS(FACILITIES!M:M,FACILITIES!$B:$B,B15)</f>
        <v>0</v>
      </c>
      <c r="M15" s="143">
        <f>SUMIFS(FACILITIES!N:N,FACILITIES!$B:$B,B15)</f>
        <v>0</v>
      </c>
      <c r="N15" s="143">
        <f>SUMIFS(FACILITIES!O:O,FACILITIES!$B:$B,B15)</f>
        <v>0</v>
      </c>
      <c r="O15" s="143">
        <f>SUMIFS(FACILITIES!P:P,FACILITIES!$B:$B,B15)</f>
        <v>0</v>
      </c>
      <c r="P15" s="143">
        <f>SUMIFS(FACILITIES!Q:Q,FACILITIES!$B:$B,B15)</f>
        <v>0</v>
      </c>
      <c r="Q15" s="143">
        <f>SUMIFS(FACILITIES!R:R,FACILITIES!$B:$B,B15)</f>
        <v>0</v>
      </c>
      <c r="R15" s="143">
        <f>SUMIFS(FACILITIES!T:T,FACILITIES!B:B,B15)</f>
        <v>0</v>
      </c>
      <c r="S15" s="143">
        <f>SUMIFS(FACILITIES!S:S,FACILITIES!B:B,B15)</f>
        <v>0</v>
      </c>
      <c r="T15" s="143">
        <f>SUMIFS('F &amp; B'!G:G,'F &amp; B'!B:B,B15)</f>
        <v>25360</v>
      </c>
      <c r="U15" s="207">
        <f t="shared" si="1"/>
        <v>3804</v>
      </c>
      <c r="V15" s="143">
        <f>SUMIFS('FIXED AMOUNT'!G:G,'FIXED AMOUNT'!B:B,B15)</f>
        <v>7000</v>
      </c>
      <c r="W15" s="121">
        <f t="shared" si="0"/>
        <v>38714</v>
      </c>
      <c r="X15" s="121">
        <f>SUMIFS('FIXED AMOUNT'!E:E,'FIXED AMOUNT'!B:B,'data base '!B:B)</f>
        <v>0</v>
      </c>
      <c r="Y15" s="121">
        <f>SUMIFS('FIXED AMOUNT'!F:F,'FIXED AMOUNT'!B:B,'data base '!B:B)</f>
        <v>0</v>
      </c>
      <c r="Z15" s="121">
        <f>SUMIFS('FIXED AMOUNT'!V:V,'FIXED AMOUNT'!B:B,B:B)</f>
        <v>0</v>
      </c>
      <c r="AA15" s="121">
        <f t="shared" si="2"/>
        <v>38714</v>
      </c>
      <c r="AB15" s="204">
        <f t="shared" si="3"/>
        <v>3871.4</v>
      </c>
      <c r="AC15" s="201">
        <v>45945</v>
      </c>
      <c r="AD15" s="121">
        <v>0</v>
      </c>
      <c r="AE15" s="205"/>
    </row>
    <row r="16" spans="1:31" x14ac:dyDescent="0.25">
      <c r="A16">
        <v>15</v>
      </c>
      <c r="B16" t="s">
        <v>73</v>
      </c>
      <c r="C16" t="s">
        <v>74</v>
      </c>
      <c r="D16" s="143">
        <f>SUMIFS(FACILITIES!E:E,FACILITIES!$B:$B,B16)</f>
        <v>0</v>
      </c>
      <c r="E16" s="143">
        <f>SUMIFS(FACILITIES!F:F,FACILITIES!$B:$B,$B16)</f>
        <v>0</v>
      </c>
      <c r="F16" s="143">
        <f>SUMIFS(FACILITIES!G:G,FACILITIES!$B:$B,B16)</f>
        <v>0</v>
      </c>
      <c r="G16" s="143">
        <f>SUMIFS(FACILITIES!H:H,FACILITIES!$B:$B,B16)</f>
        <v>0</v>
      </c>
      <c r="H16" s="143">
        <f>SUMIFS(FACILITIES!I:I,FACILITIES!$B:$B,B16)</f>
        <v>0</v>
      </c>
      <c r="I16" s="143">
        <f>SUMIFS(FACILITIES!J:J,FACILITIES!$B:$B,B16)</f>
        <v>600</v>
      </c>
      <c r="J16" s="143">
        <f>SUMIFS(FACILITIES!K:K,FACILITIES!$B:$B,B16)</f>
        <v>0</v>
      </c>
      <c r="K16" s="143">
        <f>SUMIFS(FACILITIES!L:L,FACILITIES!$B:$B,B16)</f>
        <v>0</v>
      </c>
      <c r="L16" s="143">
        <f>SUMIFS(FACILITIES!M:M,FACILITIES!$B:$B,B16)</f>
        <v>0</v>
      </c>
      <c r="M16" s="143">
        <f>SUMIFS(FACILITIES!N:N,FACILITIES!$B:$B,B16)</f>
        <v>0</v>
      </c>
      <c r="N16" s="143">
        <f>SUMIFS(FACILITIES!O:O,FACILITIES!$B:$B,B16)</f>
        <v>0</v>
      </c>
      <c r="O16" s="143">
        <f>SUMIFS(FACILITIES!P:P,FACILITIES!$B:$B,B16)</f>
        <v>0</v>
      </c>
      <c r="P16" s="143">
        <f>SUMIFS(FACILITIES!Q:Q,FACILITIES!$B:$B,B16)</f>
        <v>0</v>
      </c>
      <c r="Q16" s="143">
        <f>SUMIFS(FACILITIES!R:R,FACILITIES!$B:$B,B16)</f>
        <v>0</v>
      </c>
      <c r="R16" s="143">
        <f>SUMIFS(FACILITIES!T:T,FACILITIES!B:B,B16)</f>
        <v>0</v>
      </c>
      <c r="S16" s="143">
        <f>SUMIFS(FACILITIES!S:S,FACILITIES!B:B,B16)</f>
        <v>0</v>
      </c>
      <c r="T16" s="143">
        <f>SUMIFS('F &amp; B'!G:G,'F &amp; B'!B:B,B16)</f>
        <v>3970</v>
      </c>
      <c r="U16" s="207">
        <f t="shared" si="1"/>
        <v>595.5</v>
      </c>
      <c r="V16" s="143">
        <f>SUMIFS('FIXED AMOUNT'!G:G,'FIXED AMOUNT'!B:B,B16)</f>
        <v>7000</v>
      </c>
      <c r="W16" s="121">
        <f t="shared" si="0"/>
        <v>12165.5</v>
      </c>
      <c r="X16" s="121">
        <f>SUMIFS('FIXED AMOUNT'!E:E,'FIXED AMOUNT'!B:B,'data base '!B:B)</f>
        <v>0</v>
      </c>
      <c r="Y16" s="121">
        <f>SUMIFS('FIXED AMOUNT'!F:F,'FIXED AMOUNT'!B:B,'data base '!B:B)</f>
        <v>0</v>
      </c>
      <c r="Z16" s="121">
        <f>SUMIFS('FIXED AMOUNT'!V:V,'FIXED AMOUNT'!B:B,B:B)</f>
        <v>47155</v>
      </c>
      <c r="AA16" s="121">
        <f t="shared" si="2"/>
        <v>59320.5</v>
      </c>
      <c r="AB16" s="204">
        <f t="shared" si="3"/>
        <v>1216.55</v>
      </c>
      <c r="AC16" s="201">
        <v>45945</v>
      </c>
      <c r="AD16" s="121">
        <f t="shared" si="4"/>
        <v>60537.05</v>
      </c>
      <c r="AE16" s="205"/>
    </row>
    <row r="17" spans="1:31" x14ac:dyDescent="0.25">
      <c r="A17">
        <v>16</v>
      </c>
      <c r="B17" t="s">
        <v>78</v>
      </c>
      <c r="C17" t="s">
        <v>79</v>
      </c>
      <c r="D17" s="143">
        <f>SUMIFS(FACILITIES!E:E,FACILITIES!$B:$B,B17)</f>
        <v>0</v>
      </c>
      <c r="E17" s="143">
        <f>SUMIFS(FACILITIES!F:F,FACILITIES!$B:$B,$B17)</f>
        <v>0</v>
      </c>
      <c r="F17" s="143">
        <f>SUMIFS(FACILITIES!G:G,FACILITIES!$B:$B,B17)</f>
        <v>0</v>
      </c>
      <c r="G17" s="143">
        <f>SUMIFS(FACILITIES!H:H,FACILITIES!$B:$B,B17)</f>
        <v>0</v>
      </c>
      <c r="H17" s="143">
        <f>SUMIFS(FACILITIES!I:I,FACILITIES!$B:$B,B17)</f>
        <v>0</v>
      </c>
      <c r="I17" s="143">
        <f>SUMIFS(FACILITIES!J:J,FACILITIES!$B:$B,B17)</f>
        <v>0</v>
      </c>
      <c r="J17" s="143">
        <f>SUMIFS(FACILITIES!K:K,FACILITIES!$B:$B,B17)</f>
        <v>0</v>
      </c>
      <c r="K17" s="143">
        <f>SUMIFS(FACILITIES!L:L,FACILITIES!$B:$B,B17)</f>
        <v>0</v>
      </c>
      <c r="L17" s="143">
        <f>SUMIFS(FACILITIES!M:M,FACILITIES!$B:$B,B17)</f>
        <v>0</v>
      </c>
      <c r="M17" s="143">
        <f>SUMIFS(FACILITIES!N:N,FACILITIES!$B:$B,B17)</f>
        <v>0</v>
      </c>
      <c r="N17" s="143">
        <f>SUMIFS(FACILITIES!O:O,FACILITIES!$B:$B,B17)</f>
        <v>0</v>
      </c>
      <c r="O17" s="143">
        <f>SUMIFS(FACILITIES!P:P,FACILITIES!$B:$B,B17)</f>
        <v>0</v>
      </c>
      <c r="P17" s="143">
        <f>SUMIFS(FACILITIES!Q:Q,FACILITIES!$B:$B,B17)</f>
        <v>0</v>
      </c>
      <c r="Q17" s="143">
        <f>SUMIFS(FACILITIES!R:R,FACILITIES!$B:$B,B17)</f>
        <v>0</v>
      </c>
      <c r="R17" s="143">
        <f>SUMIFS(FACILITIES!T:T,FACILITIES!B:B,B17)</f>
        <v>0</v>
      </c>
      <c r="S17" s="143">
        <f>SUMIFS(FACILITIES!S:S,FACILITIES!B:B,B17)</f>
        <v>0</v>
      </c>
      <c r="T17" s="143">
        <f>SUMIFS('F &amp; B'!G:G,'F &amp; B'!B:B,B17)</f>
        <v>0</v>
      </c>
      <c r="U17" s="207">
        <f t="shared" si="1"/>
        <v>0</v>
      </c>
      <c r="V17" s="143">
        <f>SUMIFS('FIXED AMOUNT'!G:G,'FIXED AMOUNT'!B:B,B17)</f>
        <v>7000</v>
      </c>
      <c r="W17" s="121">
        <f t="shared" si="0"/>
        <v>7000</v>
      </c>
      <c r="X17" s="121">
        <f>SUMIFS('FIXED AMOUNT'!E:E,'FIXED AMOUNT'!B:B,'data base '!B:B)</f>
        <v>0</v>
      </c>
      <c r="Y17" s="121">
        <f>SUMIFS('FIXED AMOUNT'!F:F,'FIXED AMOUNT'!B:B,'data base '!B:B)</f>
        <v>0</v>
      </c>
      <c r="Z17" s="121">
        <f>SUMIFS('FIXED AMOUNT'!V:V,'FIXED AMOUNT'!B:B,B:B)</f>
        <v>37300</v>
      </c>
      <c r="AA17" s="121">
        <f t="shared" si="2"/>
        <v>44300</v>
      </c>
      <c r="AB17" s="204">
        <f t="shared" si="3"/>
        <v>700</v>
      </c>
      <c r="AC17" s="201">
        <v>45945</v>
      </c>
      <c r="AD17" s="121">
        <f t="shared" si="4"/>
        <v>45000</v>
      </c>
      <c r="AE17" s="205"/>
    </row>
    <row r="18" spans="1:31" x14ac:dyDescent="0.25">
      <c r="A18">
        <v>17</v>
      </c>
      <c r="B18" t="s">
        <v>83</v>
      </c>
      <c r="C18" t="s">
        <v>84</v>
      </c>
      <c r="D18" s="143">
        <f>SUMIFS(FACILITIES!E:E,FACILITIES!$B:$B,B18)</f>
        <v>0</v>
      </c>
      <c r="E18" s="143">
        <f>SUMIFS(FACILITIES!F:F,FACILITIES!$B:$B,$B18)</f>
        <v>1200</v>
      </c>
      <c r="F18" s="143">
        <f>SUMIFS(FACILITIES!G:G,FACILITIES!$B:$B,B18)</f>
        <v>0</v>
      </c>
      <c r="G18" s="143">
        <f>SUMIFS(FACILITIES!H:H,FACILITIES!$B:$B,B18)</f>
        <v>0</v>
      </c>
      <c r="H18" s="143">
        <f>SUMIFS(FACILITIES!I:I,FACILITIES!$B:$B,B18)</f>
        <v>0</v>
      </c>
      <c r="I18" s="143">
        <f>SUMIFS(FACILITIES!J:J,FACILITIES!$B:$B,B18)</f>
        <v>0</v>
      </c>
      <c r="J18" s="143">
        <f>SUMIFS(FACILITIES!K:K,FACILITIES!$B:$B,B18)</f>
        <v>0</v>
      </c>
      <c r="K18" s="143">
        <f>SUMIFS(FACILITIES!L:L,FACILITIES!$B:$B,B18)</f>
        <v>0</v>
      </c>
      <c r="L18" s="143">
        <f>SUMIFS(FACILITIES!M:M,FACILITIES!$B:$B,B18)</f>
        <v>0</v>
      </c>
      <c r="M18" s="143">
        <f>SUMIFS(FACILITIES!N:N,FACILITIES!$B:$B,B18)</f>
        <v>0</v>
      </c>
      <c r="N18" s="143">
        <f>SUMIFS(FACILITIES!O:O,FACILITIES!$B:$B,B18)</f>
        <v>0</v>
      </c>
      <c r="O18" s="143">
        <f>SUMIFS(FACILITIES!P:P,FACILITIES!$B:$B,B18)</f>
        <v>0</v>
      </c>
      <c r="P18" s="143">
        <f>SUMIFS(FACILITIES!Q:Q,FACILITIES!$B:$B,B18)</f>
        <v>0</v>
      </c>
      <c r="Q18" s="143">
        <f>SUMIFS(FACILITIES!R:R,FACILITIES!$B:$B,B18)</f>
        <v>0</v>
      </c>
      <c r="R18" s="143">
        <f>SUMIFS(FACILITIES!T:T,FACILITIES!B:B,B18)</f>
        <v>0</v>
      </c>
      <c r="S18" s="143">
        <f>SUMIFS(FACILITIES!S:S,FACILITIES!B:B,B18)</f>
        <v>0</v>
      </c>
      <c r="T18" s="143">
        <f>SUMIFS('F &amp; B'!G:G,'F &amp; B'!B:B,B18)</f>
        <v>0</v>
      </c>
      <c r="U18" s="207">
        <f t="shared" si="1"/>
        <v>0</v>
      </c>
      <c r="V18" s="143">
        <f>SUMIFS('FIXED AMOUNT'!G:G,'FIXED AMOUNT'!B:B,B18)</f>
        <v>7000</v>
      </c>
      <c r="W18" s="121">
        <f t="shared" si="0"/>
        <v>8200</v>
      </c>
      <c r="X18" s="121">
        <f>SUMIFS('FIXED AMOUNT'!E:E,'FIXED AMOUNT'!B:B,'data base '!B:B)</f>
        <v>0</v>
      </c>
      <c r="Y18" s="121">
        <f>SUMIFS('FIXED AMOUNT'!F:F,'FIXED AMOUNT'!B:B,'data base '!B:B)</f>
        <v>0</v>
      </c>
      <c r="Z18" s="121">
        <f>SUMIFS('FIXED AMOUNT'!V:V,'FIXED AMOUNT'!B:B,B:B)</f>
        <v>1076</v>
      </c>
      <c r="AA18" s="121">
        <f t="shared" si="2"/>
        <v>9276</v>
      </c>
      <c r="AB18" s="204">
        <f t="shared" si="3"/>
        <v>820</v>
      </c>
      <c r="AC18" s="201">
        <v>45945</v>
      </c>
      <c r="AD18" s="121">
        <f t="shared" si="4"/>
        <v>10096</v>
      </c>
      <c r="AE18" s="205"/>
    </row>
    <row r="19" spans="1:31" x14ac:dyDescent="0.25">
      <c r="A19">
        <v>18</v>
      </c>
      <c r="B19" t="s">
        <v>88</v>
      </c>
      <c r="C19" t="s">
        <v>89</v>
      </c>
      <c r="D19" s="143">
        <f>SUMIFS(FACILITIES!E:E,FACILITIES!$B:$B,B19)</f>
        <v>0</v>
      </c>
      <c r="E19" s="143">
        <f>SUMIFS(FACILITIES!F:F,FACILITIES!$B:$B,$B19)</f>
        <v>0</v>
      </c>
      <c r="F19" s="143">
        <f>SUMIFS(FACILITIES!G:G,FACILITIES!$B:$B,B19)</f>
        <v>0</v>
      </c>
      <c r="G19" s="143">
        <f>SUMIFS(FACILITIES!H:H,FACILITIES!$B:$B,B19)</f>
        <v>0</v>
      </c>
      <c r="H19" s="143">
        <f>SUMIFS(FACILITIES!I:I,FACILITIES!$B:$B,B19)</f>
        <v>0</v>
      </c>
      <c r="I19" s="143">
        <f>SUMIFS(FACILITIES!J:J,FACILITIES!$B:$B,B19)</f>
        <v>4000</v>
      </c>
      <c r="J19" s="143">
        <f>SUMIFS(FACILITIES!K:K,FACILITIES!$B:$B,B19)</f>
        <v>0</v>
      </c>
      <c r="K19" s="143">
        <f>SUMIFS(FACILITIES!L:L,FACILITIES!$B:$B,B19)</f>
        <v>0</v>
      </c>
      <c r="L19" s="143">
        <f>SUMIFS(FACILITIES!M:M,FACILITIES!$B:$B,B19)</f>
        <v>0</v>
      </c>
      <c r="M19" s="143">
        <f>SUMIFS(FACILITIES!N:N,FACILITIES!$B:$B,B19)</f>
        <v>0</v>
      </c>
      <c r="N19" s="143">
        <f>SUMIFS(FACILITIES!O:O,FACILITIES!$B:$B,B19)</f>
        <v>0</v>
      </c>
      <c r="O19" s="143">
        <f>SUMIFS(FACILITIES!P:P,FACILITIES!$B:$B,B19)</f>
        <v>0</v>
      </c>
      <c r="P19" s="143">
        <f>SUMIFS(FACILITIES!Q:Q,FACILITIES!$B:$B,B19)</f>
        <v>0</v>
      </c>
      <c r="Q19" s="143">
        <f>SUMIFS(FACILITIES!R:R,FACILITIES!$B:$B,B19)</f>
        <v>0</v>
      </c>
      <c r="R19" s="143">
        <f>SUMIFS(FACILITIES!T:T,FACILITIES!B:B,B19)</f>
        <v>4500</v>
      </c>
      <c r="S19" s="143">
        <f>SUMIFS(FACILITIES!S:S,FACILITIES!B:B,B19)</f>
        <v>0</v>
      </c>
      <c r="T19" s="143">
        <f>SUMIFS('F &amp; B'!G:G,'F &amp; B'!B:B,B19)</f>
        <v>34425</v>
      </c>
      <c r="U19" s="207">
        <f t="shared" si="1"/>
        <v>5163.75</v>
      </c>
      <c r="V19" s="143">
        <f>SUMIFS('FIXED AMOUNT'!G:G,'FIXED AMOUNT'!B:B,B19)</f>
        <v>7000</v>
      </c>
      <c r="W19" s="121">
        <f t="shared" si="0"/>
        <v>55088.75</v>
      </c>
      <c r="X19" s="121">
        <f>SUMIFS('FIXED AMOUNT'!E:E,'FIXED AMOUNT'!B:B,'data base '!B:B)</f>
        <v>0</v>
      </c>
      <c r="Y19" s="121">
        <f>SUMIFS('FIXED AMOUNT'!F:F,'FIXED AMOUNT'!B:B,'data base '!B:B)</f>
        <v>0</v>
      </c>
      <c r="Z19" s="121">
        <f>SUMIFS('FIXED AMOUNT'!V:V,'FIXED AMOUNT'!B:B,B:B)</f>
        <v>0</v>
      </c>
      <c r="AA19" s="121">
        <f t="shared" si="2"/>
        <v>55088.75</v>
      </c>
      <c r="AB19" s="204">
        <f t="shared" si="3"/>
        <v>5508.875</v>
      </c>
      <c r="AC19" s="201">
        <v>45945</v>
      </c>
      <c r="AD19" s="121">
        <f t="shared" si="4"/>
        <v>60597.625</v>
      </c>
      <c r="AE19" s="205"/>
    </row>
    <row r="20" spans="1:31" x14ac:dyDescent="0.25">
      <c r="A20">
        <v>19</v>
      </c>
      <c r="B20" t="s">
        <v>93</v>
      </c>
      <c r="C20" t="s">
        <v>94</v>
      </c>
      <c r="D20" s="143">
        <f>SUMIFS(FACILITIES!E:E,FACILITIES!$B:$B,B20)</f>
        <v>0</v>
      </c>
      <c r="E20" s="143">
        <f>SUMIFS(FACILITIES!F:F,FACILITIES!$B:$B,$B20)</f>
        <v>0</v>
      </c>
      <c r="F20" s="143">
        <f>SUMIFS(FACILITIES!G:G,FACILITIES!$B:$B,B20)</f>
        <v>0</v>
      </c>
      <c r="G20" s="143">
        <f>SUMIFS(FACILITIES!H:H,FACILITIES!$B:$B,B20)</f>
        <v>0</v>
      </c>
      <c r="H20" s="143">
        <f>SUMIFS(FACILITIES!I:I,FACILITIES!$B:$B,B20)</f>
        <v>0</v>
      </c>
      <c r="I20" s="143">
        <f>SUMIFS(FACILITIES!J:J,FACILITIES!$B:$B,B20)</f>
        <v>0</v>
      </c>
      <c r="J20" s="143">
        <f>SUMIFS(FACILITIES!K:K,FACILITIES!$B:$B,B20)</f>
        <v>0</v>
      </c>
      <c r="K20" s="143">
        <f>SUMIFS(FACILITIES!L:L,FACILITIES!$B:$B,B20)</f>
        <v>0</v>
      </c>
      <c r="L20" s="143">
        <f>SUMIFS(FACILITIES!M:M,FACILITIES!$B:$B,B20)</f>
        <v>0</v>
      </c>
      <c r="M20" s="143">
        <f>SUMIFS(FACILITIES!N:N,FACILITIES!$B:$B,B20)</f>
        <v>0</v>
      </c>
      <c r="N20" s="143">
        <f>SUMIFS(FACILITIES!O:O,FACILITIES!$B:$B,B20)</f>
        <v>0</v>
      </c>
      <c r="O20" s="143">
        <f>SUMIFS(FACILITIES!P:P,FACILITIES!$B:$B,B20)</f>
        <v>0</v>
      </c>
      <c r="P20" s="143">
        <f>SUMIFS(FACILITIES!Q:Q,FACILITIES!$B:$B,B20)</f>
        <v>0</v>
      </c>
      <c r="Q20" s="143">
        <f>SUMIFS(FACILITIES!R:R,FACILITIES!$B:$B,B20)</f>
        <v>0</v>
      </c>
      <c r="R20" s="143">
        <f>SUMIFS(FACILITIES!T:T,FACILITIES!B:B,B20)</f>
        <v>0</v>
      </c>
      <c r="S20" s="143">
        <f>SUMIFS(FACILITIES!S:S,FACILITIES!B:B,B20)</f>
        <v>0</v>
      </c>
      <c r="T20" s="143">
        <f>SUMIFS('F &amp; B'!G:G,'F &amp; B'!B:B,B20)</f>
        <v>98060</v>
      </c>
      <c r="U20" s="207">
        <f t="shared" si="1"/>
        <v>14709</v>
      </c>
      <c r="V20" s="143">
        <f>SUMIFS('FIXED AMOUNT'!G:G,'FIXED AMOUNT'!B:B,B20)</f>
        <v>7000</v>
      </c>
      <c r="W20" s="121">
        <f t="shared" si="0"/>
        <v>119769</v>
      </c>
      <c r="X20" s="121">
        <f>SUMIFS('FIXED AMOUNT'!E:E,'FIXED AMOUNT'!B:B,'data base '!B:B)</f>
        <v>0</v>
      </c>
      <c r="Y20" s="121">
        <f>SUMIFS('FIXED AMOUNT'!F:F,'FIXED AMOUNT'!B:B,'data base '!B:B)</f>
        <v>0</v>
      </c>
      <c r="Z20" s="121">
        <f>SUMIFS('FIXED AMOUNT'!V:V,'FIXED AMOUNT'!B:B,B:B)</f>
        <v>0</v>
      </c>
      <c r="AA20" s="121">
        <f t="shared" si="2"/>
        <v>119769</v>
      </c>
      <c r="AB20" s="204">
        <f t="shared" si="3"/>
        <v>11976.900000000001</v>
      </c>
      <c r="AC20" s="201">
        <v>45945</v>
      </c>
      <c r="AD20" s="121">
        <f t="shared" si="4"/>
        <v>131745.9</v>
      </c>
      <c r="AE20" s="205"/>
    </row>
    <row r="21" spans="1:31" x14ac:dyDescent="0.25">
      <c r="A21">
        <v>20</v>
      </c>
      <c r="B21" t="s">
        <v>98</v>
      </c>
      <c r="C21" t="s">
        <v>99</v>
      </c>
      <c r="D21" s="143">
        <f>SUMIFS(FACILITIES!E:E,FACILITIES!$B:$B,B21)</f>
        <v>0</v>
      </c>
      <c r="E21" s="143">
        <f>SUMIFS(FACILITIES!F:F,FACILITIES!$B:$B,$B21)</f>
        <v>1200</v>
      </c>
      <c r="F21" s="143">
        <f>SUMIFS(FACILITIES!G:G,FACILITIES!$B:$B,B21)</f>
        <v>0</v>
      </c>
      <c r="G21" s="143">
        <f>SUMIFS(FACILITIES!H:H,FACILITIES!$B:$B,B21)</f>
        <v>0</v>
      </c>
      <c r="H21" s="143">
        <f>SUMIFS(FACILITIES!I:I,FACILITIES!$B:$B,B21)</f>
        <v>0</v>
      </c>
      <c r="I21" s="143">
        <f>SUMIFS(FACILITIES!J:J,FACILITIES!$B:$B,B21)</f>
        <v>2800</v>
      </c>
      <c r="J21" s="143">
        <f>SUMIFS(FACILITIES!K:K,FACILITIES!$B:$B,B21)</f>
        <v>0</v>
      </c>
      <c r="K21" s="143">
        <f>SUMIFS(FACILITIES!L:L,FACILITIES!$B:$B,B21)</f>
        <v>0</v>
      </c>
      <c r="L21" s="143">
        <f>SUMIFS(FACILITIES!M:M,FACILITIES!$B:$B,B21)</f>
        <v>0</v>
      </c>
      <c r="M21" s="143">
        <f>SUMIFS(FACILITIES!N:N,FACILITIES!$B:$B,B21)</f>
        <v>0</v>
      </c>
      <c r="N21" s="143">
        <f>SUMIFS(FACILITIES!O:O,FACILITIES!$B:$B,B21)</f>
        <v>0</v>
      </c>
      <c r="O21" s="143">
        <f>SUMIFS(FACILITIES!P:P,FACILITIES!$B:$B,B21)</f>
        <v>0</v>
      </c>
      <c r="P21" s="143">
        <f>SUMIFS(FACILITIES!Q:Q,FACILITIES!$B:$B,B21)</f>
        <v>0</v>
      </c>
      <c r="Q21" s="143">
        <f>SUMIFS(FACILITIES!R:R,FACILITIES!$B:$B,B21)</f>
        <v>0</v>
      </c>
      <c r="R21" s="143">
        <f>SUMIFS(FACILITIES!T:T,FACILITIES!B:B,B21)</f>
        <v>4000</v>
      </c>
      <c r="S21" s="143">
        <f>SUMIFS(FACILITIES!S:S,FACILITIES!B:B,B21)</f>
        <v>0</v>
      </c>
      <c r="T21" s="143">
        <f>SUMIFS('F &amp; B'!G:G,'F &amp; B'!B:B,B21)</f>
        <v>11185</v>
      </c>
      <c r="U21" s="207">
        <f t="shared" si="1"/>
        <v>1677.75</v>
      </c>
      <c r="V21" s="143">
        <f>SUMIFS('FIXED AMOUNT'!G:G,'FIXED AMOUNT'!B:B,B21)</f>
        <v>7000</v>
      </c>
      <c r="W21" s="121">
        <f t="shared" si="0"/>
        <v>27862.75</v>
      </c>
      <c r="X21" s="121">
        <f>SUMIFS('FIXED AMOUNT'!E:E,'FIXED AMOUNT'!B:B,'data base '!B:B)</f>
        <v>0</v>
      </c>
      <c r="Y21" s="121">
        <f>SUMIFS('FIXED AMOUNT'!F:F,'FIXED AMOUNT'!B:B,'data base '!B:B)</f>
        <v>0</v>
      </c>
      <c r="Z21" s="121">
        <f>SUMIFS('FIXED AMOUNT'!V:V,'FIXED AMOUNT'!B:B,B:B)</f>
        <v>0</v>
      </c>
      <c r="AA21" s="121">
        <f t="shared" si="2"/>
        <v>27862.75</v>
      </c>
      <c r="AB21" s="204">
        <f t="shared" si="3"/>
        <v>2786.2750000000001</v>
      </c>
      <c r="AC21" s="201">
        <v>45945</v>
      </c>
      <c r="AD21" s="121">
        <f t="shared" si="4"/>
        <v>30649.025000000001</v>
      </c>
      <c r="AE21" s="205"/>
    </row>
    <row r="22" spans="1:31" x14ac:dyDescent="0.25">
      <c r="A22">
        <v>21</v>
      </c>
      <c r="B22" t="s">
        <v>103</v>
      </c>
      <c r="C22" t="s">
        <v>104</v>
      </c>
      <c r="D22" s="143">
        <f>SUMIFS(FACILITIES!E:E,FACILITIES!$B:$B,B22)</f>
        <v>0</v>
      </c>
      <c r="E22" s="143">
        <f>SUMIFS(FACILITIES!F:F,FACILITIES!$B:$B,$B22)</f>
        <v>0</v>
      </c>
      <c r="F22" s="143">
        <f>SUMIFS(FACILITIES!G:G,FACILITIES!$B:$B,B22)</f>
        <v>0</v>
      </c>
      <c r="G22" s="143">
        <f>SUMIFS(FACILITIES!H:H,FACILITIES!$B:$B,B22)</f>
        <v>0</v>
      </c>
      <c r="H22" s="143">
        <f>SUMIFS(FACILITIES!I:I,FACILITIES!$B:$B,B22)</f>
        <v>0</v>
      </c>
      <c r="I22" s="143">
        <f>SUMIFS(FACILITIES!J:J,FACILITIES!$B:$B,B22)</f>
        <v>3200</v>
      </c>
      <c r="J22" s="143">
        <f>SUMIFS(FACILITIES!K:K,FACILITIES!$B:$B,B22)</f>
        <v>0</v>
      </c>
      <c r="K22" s="143">
        <f>SUMIFS(FACILITIES!L:L,FACILITIES!$B:$B,B22)</f>
        <v>0</v>
      </c>
      <c r="L22" s="143">
        <f>SUMIFS(FACILITIES!M:M,FACILITIES!$B:$B,B22)</f>
        <v>0</v>
      </c>
      <c r="M22" s="143">
        <f>SUMIFS(FACILITIES!N:N,FACILITIES!$B:$B,B22)</f>
        <v>0</v>
      </c>
      <c r="N22" s="143">
        <f>SUMIFS(FACILITIES!O:O,FACILITIES!$B:$B,B22)</f>
        <v>0</v>
      </c>
      <c r="O22" s="143">
        <f>SUMIFS(FACILITIES!P:P,FACILITIES!$B:$B,B22)</f>
        <v>0</v>
      </c>
      <c r="P22" s="143">
        <f>SUMIFS(FACILITIES!Q:Q,FACILITIES!$B:$B,B22)</f>
        <v>0</v>
      </c>
      <c r="Q22" s="143">
        <f>SUMIFS(FACILITIES!R:R,FACILITIES!$B:$B,B22)</f>
        <v>0</v>
      </c>
      <c r="R22" s="143">
        <f>SUMIFS(FACILITIES!T:T,FACILITIES!B:B,B22)</f>
        <v>0</v>
      </c>
      <c r="S22" s="143">
        <f>SUMIFS(FACILITIES!S:S,FACILITIES!B:B,B22)</f>
        <v>0</v>
      </c>
      <c r="T22" s="143">
        <f>SUMIFS('F &amp; B'!G:G,'F &amp; B'!B:B,B22)</f>
        <v>22474</v>
      </c>
      <c r="U22" s="207">
        <f t="shared" si="1"/>
        <v>3371.1</v>
      </c>
      <c r="V22" s="143">
        <f>SUMIFS('FIXED AMOUNT'!G:G,'FIXED AMOUNT'!B:B,B22)</f>
        <v>7000</v>
      </c>
      <c r="W22" s="121">
        <f t="shared" si="0"/>
        <v>36045.1</v>
      </c>
      <c r="X22" s="121">
        <f>SUMIFS('FIXED AMOUNT'!E:E,'FIXED AMOUNT'!B:B,'data base '!B:B)</f>
        <v>0</v>
      </c>
      <c r="Y22" s="121">
        <f>SUMIFS('FIXED AMOUNT'!F:F,'FIXED AMOUNT'!B:B,'data base '!B:B)</f>
        <v>0</v>
      </c>
      <c r="Z22" s="121">
        <f>SUMIFS('FIXED AMOUNT'!V:V,'FIXED AMOUNT'!B:B,B:B)</f>
        <v>0</v>
      </c>
      <c r="AA22" s="121">
        <f t="shared" si="2"/>
        <v>36045.1</v>
      </c>
      <c r="AB22" s="204">
        <f t="shared" si="3"/>
        <v>3604.51</v>
      </c>
      <c r="AC22" s="201">
        <v>45945</v>
      </c>
      <c r="AD22" s="121">
        <f t="shared" si="4"/>
        <v>39649.61</v>
      </c>
      <c r="AE22" s="205"/>
    </row>
    <row r="23" spans="1:31" x14ac:dyDescent="0.25">
      <c r="A23">
        <v>22</v>
      </c>
      <c r="B23" t="s">
        <v>108</v>
      </c>
      <c r="C23" t="s">
        <v>109</v>
      </c>
      <c r="D23" s="143">
        <f>SUMIFS(FACILITIES!E:E,FACILITIES!$B:$B,B23)</f>
        <v>0</v>
      </c>
      <c r="E23" s="143">
        <f>SUMIFS(FACILITIES!F:F,FACILITIES!$B:$B,$B23)</f>
        <v>0</v>
      </c>
      <c r="F23" s="143">
        <f>SUMIFS(FACILITIES!G:G,FACILITIES!$B:$B,B23)</f>
        <v>0</v>
      </c>
      <c r="G23" s="143">
        <f>SUMIFS(FACILITIES!H:H,FACILITIES!$B:$B,B23)</f>
        <v>0</v>
      </c>
      <c r="H23" s="143">
        <f>SUMIFS(FACILITIES!I:I,FACILITIES!$B:$B,B23)</f>
        <v>0</v>
      </c>
      <c r="I23" s="143">
        <f>SUMIFS(FACILITIES!J:J,FACILITIES!$B:$B,B23)</f>
        <v>0</v>
      </c>
      <c r="J23" s="143">
        <f>SUMIFS(FACILITIES!K:K,FACILITIES!$B:$B,B23)</f>
        <v>0</v>
      </c>
      <c r="K23" s="143">
        <f>SUMIFS(FACILITIES!L:L,FACILITIES!$B:$B,B23)</f>
        <v>0</v>
      </c>
      <c r="L23" s="143">
        <f>SUMIFS(FACILITIES!M:M,FACILITIES!$B:$B,B23)</f>
        <v>0</v>
      </c>
      <c r="M23" s="143">
        <f>SUMIFS(FACILITIES!N:N,FACILITIES!$B:$B,B23)</f>
        <v>0</v>
      </c>
      <c r="N23" s="143">
        <f>SUMIFS(FACILITIES!O:O,FACILITIES!$B:$B,B23)</f>
        <v>0</v>
      </c>
      <c r="O23" s="143">
        <f>SUMIFS(FACILITIES!P:P,FACILITIES!$B:$B,B23)</f>
        <v>0</v>
      </c>
      <c r="P23" s="143">
        <f>SUMIFS(FACILITIES!Q:Q,FACILITIES!$B:$B,B23)</f>
        <v>0</v>
      </c>
      <c r="Q23" s="143">
        <f>SUMIFS(FACILITIES!R:R,FACILITIES!$B:$B,B23)</f>
        <v>0</v>
      </c>
      <c r="R23" s="143">
        <f>SUMIFS(FACILITIES!T:T,FACILITIES!B:B,B23)</f>
        <v>0</v>
      </c>
      <c r="S23" s="143">
        <f>SUMIFS(FACILITIES!S:S,FACILITIES!B:B,B23)</f>
        <v>0</v>
      </c>
      <c r="T23" s="143">
        <f>SUMIFS('F &amp; B'!G:G,'F &amp; B'!B:B,B23)</f>
        <v>6600</v>
      </c>
      <c r="U23" s="207">
        <f t="shared" si="1"/>
        <v>990</v>
      </c>
      <c r="V23" s="143">
        <f>SUMIFS('FIXED AMOUNT'!G:G,'FIXED AMOUNT'!B:B,B23)</f>
        <v>7000</v>
      </c>
      <c r="W23" s="121">
        <f t="shared" si="0"/>
        <v>14590</v>
      </c>
      <c r="X23" s="121">
        <f>SUMIFS('FIXED AMOUNT'!E:E,'FIXED AMOUNT'!B:B,'data base '!B:B)</f>
        <v>0</v>
      </c>
      <c r="Y23" s="121">
        <f>SUMIFS('FIXED AMOUNT'!F:F,'FIXED AMOUNT'!B:B,'data base '!B:B)</f>
        <v>0</v>
      </c>
      <c r="Z23" s="121">
        <f>SUMIFS('FIXED AMOUNT'!V:V,'FIXED AMOUNT'!B:B,B:B)</f>
        <v>14290</v>
      </c>
      <c r="AA23" s="121">
        <f t="shared" si="2"/>
        <v>28880</v>
      </c>
      <c r="AB23" s="204">
        <f t="shared" si="3"/>
        <v>1459</v>
      </c>
      <c r="AC23" s="201">
        <v>45945</v>
      </c>
      <c r="AD23" s="121">
        <f t="shared" si="4"/>
        <v>30339</v>
      </c>
      <c r="AE23" s="205"/>
    </row>
    <row r="24" spans="1:31" x14ac:dyDescent="0.25">
      <c r="A24">
        <v>23</v>
      </c>
      <c r="B24" t="s">
        <v>113</v>
      </c>
      <c r="C24" t="s">
        <v>114</v>
      </c>
      <c r="D24" s="143">
        <f>SUMIFS(FACILITIES!E:E,FACILITIES!$B:$B,B24)</f>
        <v>3000</v>
      </c>
      <c r="E24" s="143">
        <f>SUMIFS(FACILITIES!F:F,FACILITIES!$B:$B,$B24)</f>
        <v>0</v>
      </c>
      <c r="F24" s="143">
        <f>SUMIFS(FACILITIES!G:G,FACILITIES!$B:$B,B24)</f>
        <v>0</v>
      </c>
      <c r="G24" s="143">
        <f>SUMIFS(FACILITIES!H:H,FACILITIES!$B:$B,B24)</f>
        <v>0</v>
      </c>
      <c r="H24" s="143">
        <f>SUMIFS(FACILITIES!I:I,FACILITIES!$B:$B,B24)</f>
        <v>0</v>
      </c>
      <c r="I24" s="143">
        <f>SUMIFS(FACILITIES!J:J,FACILITIES!$B:$B,B24)</f>
        <v>2900</v>
      </c>
      <c r="J24" s="143">
        <f>SUMIFS(FACILITIES!K:K,FACILITIES!$B:$B,B24)</f>
        <v>0</v>
      </c>
      <c r="K24" s="143">
        <f>SUMIFS(FACILITIES!L:L,FACILITIES!$B:$B,B24)</f>
        <v>0</v>
      </c>
      <c r="L24" s="143">
        <f>SUMIFS(FACILITIES!M:M,FACILITIES!$B:$B,B24)</f>
        <v>0</v>
      </c>
      <c r="M24" s="143">
        <f>SUMIFS(FACILITIES!N:N,FACILITIES!$B:$B,B24)</f>
        <v>0</v>
      </c>
      <c r="N24" s="143">
        <f>SUMIFS(FACILITIES!O:O,FACILITIES!$B:$B,B24)</f>
        <v>0</v>
      </c>
      <c r="O24" s="143">
        <f>SUMIFS(FACILITIES!P:P,FACILITIES!$B:$B,B24)</f>
        <v>0</v>
      </c>
      <c r="P24" s="143">
        <f>SUMIFS(FACILITIES!Q:Q,FACILITIES!$B:$B,B24)</f>
        <v>0</v>
      </c>
      <c r="Q24" s="143">
        <f>SUMIFS(FACILITIES!R:R,FACILITIES!$B:$B,B24)</f>
        <v>0</v>
      </c>
      <c r="R24" s="143">
        <f>SUMIFS(FACILITIES!T:T,FACILITIES!B:B,B24)</f>
        <v>0</v>
      </c>
      <c r="S24" s="143">
        <f>SUMIFS(FACILITIES!S:S,FACILITIES!B:B,B24)</f>
        <v>0</v>
      </c>
      <c r="T24" s="143">
        <f>SUMIFS('F &amp; B'!G:G,'F &amp; B'!B:B,B24)</f>
        <v>25730</v>
      </c>
      <c r="U24" s="207">
        <f t="shared" si="1"/>
        <v>3859.5</v>
      </c>
      <c r="V24" s="143">
        <f>SUMIFS('FIXED AMOUNT'!G:G,'FIXED AMOUNT'!B:B,B24)</f>
        <v>7000</v>
      </c>
      <c r="W24" s="121">
        <f t="shared" si="0"/>
        <v>42489.5</v>
      </c>
      <c r="X24" s="121">
        <f>SUMIFS('FIXED AMOUNT'!E:E,'FIXED AMOUNT'!B:B,'data base '!B:B)</f>
        <v>0</v>
      </c>
      <c r="Y24" s="121">
        <f>SUMIFS('FIXED AMOUNT'!F:F,'FIXED AMOUNT'!B:B,'data base '!B:B)</f>
        <v>0</v>
      </c>
      <c r="Z24" s="121">
        <f>SUMIFS('FIXED AMOUNT'!V:V,'FIXED AMOUNT'!B:B,B:B)</f>
        <v>0</v>
      </c>
      <c r="AA24" s="121">
        <f t="shared" si="2"/>
        <v>42489.5</v>
      </c>
      <c r="AB24" s="204">
        <f t="shared" si="3"/>
        <v>4248.95</v>
      </c>
      <c r="AC24" s="201">
        <v>45945</v>
      </c>
      <c r="AD24" s="121">
        <f t="shared" si="4"/>
        <v>46738.45</v>
      </c>
      <c r="AE24" s="205"/>
    </row>
    <row r="25" spans="1:31" x14ac:dyDescent="0.25">
      <c r="A25">
        <v>24</v>
      </c>
      <c r="B25" t="s">
        <v>118</v>
      </c>
      <c r="C25" t="s">
        <v>119</v>
      </c>
      <c r="D25" s="143">
        <f>SUMIFS(FACILITIES!E:E,FACILITIES!$B:$B,B25)</f>
        <v>0</v>
      </c>
      <c r="E25" s="143">
        <f>SUMIFS(FACILITIES!F:F,FACILITIES!$B:$B,$B25)</f>
        <v>0</v>
      </c>
      <c r="F25" s="143">
        <f>SUMIFS(FACILITIES!G:G,FACILITIES!$B:$B,B25)</f>
        <v>0</v>
      </c>
      <c r="G25" s="143">
        <f>SUMIFS(FACILITIES!H:H,FACILITIES!$B:$B,B25)</f>
        <v>0</v>
      </c>
      <c r="H25" s="143">
        <f>SUMIFS(FACILITIES!I:I,FACILITIES!$B:$B,B25)</f>
        <v>0</v>
      </c>
      <c r="I25" s="143">
        <f>SUMIFS(FACILITIES!J:J,FACILITIES!$B:$B,B25)</f>
        <v>0</v>
      </c>
      <c r="J25" s="143">
        <f>SUMIFS(FACILITIES!K:K,FACILITIES!$B:$B,B25)</f>
        <v>0</v>
      </c>
      <c r="K25" s="143">
        <f>SUMIFS(FACILITIES!L:L,FACILITIES!$B:$B,B25)</f>
        <v>0</v>
      </c>
      <c r="L25" s="143">
        <f>SUMIFS(FACILITIES!M:M,FACILITIES!$B:$B,B25)</f>
        <v>0</v>
      </c>
      <c r="M25" s="143">
        <f>SUMIFS(FACILITIES!N:N,FACILITIES!$B:$B,B25)</f>
        <v>0</v>
      </c>
      <c r="N25" s="143">
        <f>SUMIFS(FACILITIES!O:O,FACILITIES!$B:$B,B25)</f>
        <v>0</v>
      </c>
      <c r="O25" s="143">
        <f>SUMIFS(FACILITIES!P:P,FACILITIES!$B:$B,B25)</f>
        <v>0</v>
      </c>
      <c r="P25" s="143">
        <f>SUMIFS(FACILITIES!Q:Q,FACILITIES!$B:$B,B25)</f>
        <v>0</v>
      </c>
      <c r="Q25" s="143">
        <f>SUMIFS(FACILITIES!R:R,FACILITIES!$B:$B,B25)</f>
        <v>0</v>
      </c>
      <c r="R25" s="143">
        <f>SUMIFS(FACILITIES!T:T,FACILITIES!B:B,B25)</f>
        <v>0</v>
      </c>
      <c r="S25" s="143">
        <f>SUMIFS(FACILITIES!S:S,FACILITIES!B:B,B25)</f>
        <v>0</v>
      </c>
      <c r="T25" s="143">
        <f>SUMIFS('F &amp; B'!G:G,'F &amp; B'!B:B,B25)</f>
        <v>6170</v>
      </c>
      <c r="U25" s="207">
        <f t="shared" si="1"/>
        <v>925.5</v>
      </c>
      <c r="V25" s="143">
        <f>SUMIFS('FIXED AMOUNT'!G:G,'FIXED AMOUNT'!B:B,B25)</f>
        <v>7000</v>
      </c>
      <c r="W25" s="121">
        <f t="shared" si="0"/>
        <v>14095.5</v>
      </c>
      <c r="X25" s="121">
        <f>SUMIFS('FIXED AMOUNT'!E:E,'FIXED AMOUNT'!B:B,'data base '!B:B)</f>
        <v>0</v>
      </c>
      <c r="Y25" s="121">
        <f>SUMIFS('FIXED AMOUNT'!F:F,'FIXED AMOUNT'!B:B,'data base '!B:B)</f>
        <v>0</v>
      </c>
      <c r="Z25" s="121">
        <f>SUMIFS('FIXED AMOUNT'!V:V,'FIXED AMOUNT'!B:B,B:B)</f>
        <v>0</v>
      </c>
      <c r="AA25" s="121">
        <f t="shared" si="2"/>
        <v>14095.5</v>
      </c>
      <c r="AB25" s="204">
        <f t="shared" si="3"/>
        <v>1409.5500000000002</v>
      </c>
      <c r="AC25" s="201">
        <v>45945</v>
      </c>
      <c r="AD25" s="121">
        <f t="shared" si="4"/>
        <v>15505.05</v>
      </c>
      <c r="AE25" s="205"/>
    </row>
    <row r="26" spans="1:31" x14ac:dyDescent="0.25">
      <c r="A26">
        <v>25</v>
      </c>
      <c r="B26" t="s">
        <v>123</v>
      </c>
      <c r="C26" t="s">
        <v>124</v>
      </c>
      <c r="D26" s="143">
        <f>SUMIFS(FACILITIES!E:E,FACILITIES!$B:$B,B26)</f>
        <v>1800</v>
      </c>
      <c r="E26" s="143">
        <f>SUMIFS(FACILITIES!F:F,FACILITIES!$B:$B,$B26)</f>
        <v>0</v>
      </c>
      <c r="F26" s="143">
        <f>SUMIFS(FACILITIES!G:G,FACILITIES!$B:$B,B26)</f>
        <v>0</v>
      </c>
      <c r="G26" s="143">
        <f>SUMIFS(FACILITIES!H:H,FACILITIES!$B:$B,B26)</f>
        <v>0</v>
      </c>
      <c r="H26" s="143">
        <f>SUMIFS(FACILITIES!I:I,FACILITIES!$B:$B,B26)</f>
        <v>0</v>
      </c>
      <c r="I26" s="143">
        <f>SUMIFS(FACILITIES!J:J,FACILITIES!$B:$B,B26)</f>
        <v>900</v>
      </c>
      <c r="J26" s="143">
        <f>SUMIFS(FACILITIES!K:K,FACILITIES!$B:$B,B26)</f>
        <v>0</v>
      </c>
      <c r="K26" s="143">
        <f>SUMIFS(FACILITIES!L:L,FACILITIES!$B:$B,B26)</f>
        <v>0</v>
      </c>
      <c r="L26" s="143">
        <f>SUMIFS(FACILITIES!M:M,FACILITIES!$B:$B,B26)</f>
        <v>0</v>
      </c>
      <c r="M26" s="143">
        <f>SUMIFS(FACILITIES!N:N,FACILITIES!$B:$B,B26)</f>
        <v>0</v>
      </c>
      <c r="N26" s="143">
        <f>SUMIFS(FACILITIES!O:O,FACILITIES!$B:$B,B26)</f>
        <v>0</v>
      </c>
      <c r="O26" s="143">
        <f>SUMIFS(FACILITIES!P:P,FACILITIES!$B:$B,B26)</f>
        <v>0</v>
      </c>
      <c r="P26" s="143">
        <f>SUMIFS(FACILITIES!Q:Q,FACILITIES!$B:$B,B26)</f>
        <v>0</v>
      </c>
      <c r="Q26" s="143">
        <f>SUMIFS(FACILITIES!R:R,FACILITIES!$B:$B,B26)</f>
        <v>0</v>
      </c>
      <c r="R26" s="143">
        <f>SUMIFS(FACILITIES!T:T,FACILITIES!B:B,B26)</f>
        <v>7000</v>
      </c>
      <c r="S26" s="143">
        <f>SUMIFS(FACILITIES!S:S,FACILITIES!B:B,B26)</f>
        <v>0</v>
      </c>
      <c r="T26" s="143">
        <f>SUMIFS('F &amp; B'!G:G,'F &amp; B'!B:B,B26)</f>
        <v>2975</v>
      </c>
      <c r="U26" s="207">
        <f t="shared" si="1"/>
        <v>446.25</v>
      </c>
      <c r="V26" s="143">
        <f>SUMIFS('FIXED AMOUNT'!G:G,'FIXED AMOUNT'!B:B,B26)</f>
        <v>7000</v>
      </c>
      <c r="W26" s="121">
        <f t="shared" si="0"/>
        <v>20121.25</v>
      </c>
      <c r="X26" s="121">
        <f>SUMIFS('FIXED AMOUNT'!E:E,'FIXED AMOUNT'!B:B,'data base '!B:B)</f>
        <v>0</v>
      </c>
      <c r="Y26" s="121">
        <f>SUMIFS('FIXED AMOUNT'!F:F,'FIXED AMOUNT'!B:B,'data base '!B:B)</f>
        <v>0</v>
      </c>
      <c r="Z26" s="121">
        <f>SUMIFS('FIXED AMOUNT'!V:V,'FIXED AMOUNT'!B:B,B:B)</f>
        <v>0</v>
      </c>
      <c r="AA26" s="121">
        <f t="shared" si="2"/>
        <v>20121.25</v>
      </c>
      <c r="AB26" s="204">
        <f t="shared" si="3"/>
        <v>2012.125</v>
      </c>
      <c r="AC26" s="201">
        <v>45945</v>
      </c>
      <c r="AD26" s="121">
        <f t="shared" si="4"/>
        <v>22133.375</v>
      </c>
      <c r="AE26" s="205"/>
    </row>
    <row r="27" spans="1:31" x14ac:dyDescent="0.25">
      <c r="A27">
        <v>26</v>
      </c>
      <c r="B27" t="s">
        <v>128</v>
      </c>
      <c r="C27" t="s">
        <v>129</v>
      </c>
      <c r="D27" s="143">
        <f>SUMIFS(FACILITIES!E:E,FACILITIES!$B:$B,B27)</f>
        <v>0</v>
      </c>
      <c r="E27" s="143">
        <f>SUMIFS(FACILITIES!F:F,FACILITIES!$B:$B,$B27)</f>
        <v>0</v>
      </c>
      <c r="F27" s="143">
        <f>SUMIFS(FACILITIES!G:G,FACILITIES!$B:$B,B27)</f>
        <v>0</v>
      </c>
      <c r="G27" s="143">
        <f>SUMIFS(FACILITIES!H:H,FACILITIES!$B:$B,B27)</f>
        <v>0</v>
      </c>
      <c r="H27" s="143">
        <f>SUMIFS(FACILITIES!I:I,FACILITIES!$B:$B,B27)</f>
        <v>0</v>
      </c>
      <c r="I27" s="143">
        <f>SUMIFS(FACILITIES!J:J,FACILITIES!$B:$B,B27)</f>
        <v>0</v>
      </c>
      <c r="J27" s="143">
        <f>SUMIFS(FACILITIES!K:K,FACILITIES!$B:$B,B27)</f>
        <v>0</v>
      </c>
      <c r="K27" s="143">
        <f>SUMIFS(FACILITIES!L:L,FACILITIES!$B:$B,B27)</f>
        <v>0</v>
      </c>
      <c r="L27" s="143">
        <f>SUMIFS(FACILITIES!M:M,FACILITIES!$B:$B,B27)</f>
        <v>0</v>
      </c>
      <c r="M27" s="143">
        <f>SUMIFS(FACILITIES!N:N,FACILITIES!$B:$B,B27)</f>
        <v>0</v>
      </c>
      <c r="N27" s="143">
        <f>SUMIFS(FACILITIES!O:O,FACILITIES!$B:$B,B27)</f>
        <v>0</v>
      </c>
      <c r="O27" s="143">
        <f>SUMIFS(FACILITIES!P:P,FACILITIES!$B:$B,B27)</f>
        <v>0</v>
      </c>
      <c r="P27" s="143">
        <f>SUMIFS(FACILITIES!Q:Q,FACILITIES!$B:$B,B27)</f>
        <v>0</v>
      </c>
      <c r="Q27" s="143">
        <f>SUMIFS(FACILITIES!R:R,FACILITIES!$B:$B,B27)</f>
        <v>0</v>
      </c>
      <c r="R27" s="143">
        <f>SUMIFS(FACILITIES!T:T,FACILITIES!B:B,B27)</f>
        <v>0</v>
      </c>
      <c r="S27" s="143">
        <f>SUMIFS(FACILITIES!S:S,FACILITIES!B:B,B27)</f>
        <v>0</v>
      </c>
      <c r="T27" s="143">
        <f>SUMIFS('F &amp; B'!G:G,'F &amp; B'!B:B,B27)</f>
        <v>0</v>
      </c>
      <c r="U27" s="207">
        <f t="shared" si="1"/>
        <v>0</v>
      </c>
      <c r="V27" s="143">
        <f>SUMIFS('FIXED AMOUNT'!G:G,'FIXED AMOUNT'!B:B,B27)</f>
        <v>7000</v>
      </c>
      <c r="W27" s="121">
        <f t="shared" si="0"/>
        <v>7000</v>
      </c>
      <c r="X27" s="121">
        <f>SUMIFS('FIXED AMOUNT'!E:E,'FIXED AMOUNT'!B:B,'data base '!B:B)</f>
        <v>0</v>
      </c>
      <c r="Y27" s="121">
        <f>SUMIFS('FIXED AMOUNT'!F:F,'FIXED AMOUNT'!B:B,'data base '!B:B)</f>
        <v>0</v>
      </c>
      <c r="Z27" s="121">
        <f>SUMIFS('FIXED AMOUNT'!V:V,'FIXED AMOUNT'!B:B,B:B)</f>
        <v>8847</v>
      </c>
      <c r="AA27" s="121">
        <f t="shared" si="2"/>
        <v>15847</v>
      </c>
      <c r="AB27" s="204">
        <f t="shared" si="3"/>
        <v>700</v>
      </c>
      <c r="AC27" s="201">
        <v>45945</v>
      </c>
      <c r="AD27" s="121">
        <f t="shared" si="4"/>
        <v>16547</v>
      </c>
      <c r="AE27" s="205"/>
    </row>
    <row r="28" spans="1:31" x14ac:dyDescent="0.25">
      <c r="A28">
        <v>27</v>
      </c>
      <c r="B28" t="s">
        <v>133</v>
      </c>
      <c r="C28" t="s">
        <v>134</v>
      </c>
      <c r="D28" s="143">
        <f>SUMIFS(FACILITIES!E:E,FACILITIES!$B:$B,B28)</f>
        <v>0</v>
      </c>
      <c r="E28" s="143">
        <f>SUMIFS(FACILITIES!F:F,FACILITIES!$B:$B,$B28)</f>
        <v>0</v>
      </c>
      <c r="F28" s="143">
        <f>SUMIFS(FACILITIES!G:G,FACILITIES!$B:$B,B28)</f>
        <v>0</v>
      </c>
      <c r="G28" s="143">
        <f>SUMIFS(FACILITIES!H:H,FACILITIES!$B:$B,B28)</f>
        <v>0</v>
      </c>
      <c r="H28" s="143">
        <f>SUMIFS(FACILITIES!I:I,FACILITIES!$B:$B,B28)</f>
        <v>0</v>
      </c>
      <c r="I28" s="143">
        <f>SUMIFS(FACILITIES!J:J,FACILITIES!$B:$B,B28)</f>
        <v>0</v>
      </c>
      <c r="J28" s="143">
        <f>SUMIFS(FACILITIES!K:K,FACILITIES!$B:$B,B28)</f>
        <v>0</v>
      </c>
      <c r="K28" s="143">
        <f>SUMIFS(FACILITIES!L:L,FACILITIES!$B:$B,B28)</f>
        <v>0</v>
      </c>
      <c r="L28" s="143">
        <f>SUMIFS(FACILITIES!M:M,FACILITIES!$B:$B,B28)</f>
        <v>0</v>
      </c>
      <c r="M28" s="143">
        <f>SUMIFS(FACILITIES!N:N,FACILITIES!$B:$B,B28)</f>
        <v>0</v>
      </c>
      <c r="N28" s="143">
        <f>SUMIFS(FACILITIES!O:O,FACILITIES!$B:$B,B28)</f>
        <v>0</v>
      </c>
      <c r="O28" s="143">
        <f>SUMIFS(FACILITIES!P:P,FACILITIES!$B:$B,B28)</f>
        <v>0</v>
      </c>
      <c r="P28" s="143">
        <f>SUMIFS(FACILITIES!Q:Q,FACILITIES!$B:$B,B28)</f>
        <v>0</v>
      </c>
      <c r="Q28" s="143">
        <f>SUMIFS(FACILITIES!R:R,FACILITIES!$B:$B,B28)</f>
        <v>0</v>
      </c>
      <c r="R28" s="143">
        <f>SUMIFS(FACILITIES!T:T,FACILITIES!B:B,B28)</f>
        <v>0</v>
      </c>
      <c r="S28" s="143">
        <f>SUMIFS(FACILITIES!S:S,FACILITIES!B:B,B28)</f>
        <v>0</v>
      </c>
      <c r="T28" s="143">
        <f>SUMIFS('F &amp; B'!G:G,'F &amp; B'!B:B,B28)</f>
        <v>0</v>
      </c>
      <c r="U28" s="207">
        <f t="shared" si="1"/>
        <v>0</v>
      </c>
      <c r="V28" s="143">
        <f>SUMIFS('FIXED AMOUNT'!G:G,'FIXED AMOUNT'!B:B,B28)</f>
        <v>7000</v>
      </c>
      <c r="W28" s="121">
        <f t="shared" si="0"/>
        <v>7000</v>
      </c>
      <c r="X28" s="121">
        <f>SUMIFS('FIXED AMOUNT'!E:E,'FIXED AMOUNT'!B:B,'data base '!B:B)</f>
        <v>0</v>
      </c>
      <c r="Y28" s="121">
        <f>SUMIFS('FIXED AMOUNT'!F:F,'FIXED AMOUNT'!B:B,'data base '!B:B)</f>
        <v>0</v>
      </c>
      <c r="Z28" s="121">
        <f>SUMIFS('FIXED AMOUNT'!V:V,'FIXED AMOUNT'!B:B,B:B)</f>
        <v>22852</v>
      </c>
      <c r="AA28" s="121">
        <f t="shared" si="2"/>
        <v>29852</v>
      </c>
      <c r="AB28" s="204">
        <f t="shared" si="3"/>
        <v>700</v>
      </c>
      <c r="AC28" s="201">
        <v>45945</v>
      </c>
      <c r="AD28" s="121">
        <f t="shared" si="4"/>
        <v>30552</v>
      </c>
      <c r="AE28" s="205"/>
    </row>
    <row r="29" spans="1:31" x14ac:dyDescent="0.25">
      <c r="A29">
        <v>28</v>
      </c>
      <c r="B29" t="s">
        <v>138</v>
      </c>
      <c r="C29" t="s">
        <v>139</v>
      </c>
      <c r="D29" s="143">
        <f>SUMIFS(FACILITIES!E:E,FACILITIES!$B:$B,B29)</f>
        <v>0</v>
      </c>
      <c r="E29" s="143">
        <f>SUMIFS(FACILITIES!F:F,FACILITIES!$B:$B,$B29)</f>
        <v>0</v>
      </c>
      <c r="F29" s="143">
        <f>SUMIFS(FACILITIES!G:G,FACILITIES!$B:$B,B29)</f>
        <v>0</v>
      </c>
      <c r="G29" s="143">
        <f>SUMIFS(FACILITIES!H:H,FACILITIES!$B:$B,B29)</f>
        <v>0</v>
      </c>
      <c r="H29" s="143">
        <f>SUMIFS(FACILITIES!I:I,FACILITIES!$B:$B,B29)</f>
        <v>0</v>
      </c>
      <c r="I29" s="143">
        <f>SUMIFS(FACILITIES!J:J,FACILITIES!$B:$B,B29)</f>
        <v>0</v>
      </c>
      <c r="J29" s="143">
        <f>SUMIFS(FACILITIES!K:K,FACILITIES!$B:$B,B29)</f>
        <v>0</v>
      </c>
      <c r="K29" s="143">
        <f>SUMIFS(FACILITIES!L:L,FACILITIES!$B:$B,B29)</f>
        <v>0</v>
      </c>
      <c r="L29" s="143">
        <f>SUMIFS(FACILITIES!M:M,FACILITIES!$B:$B,B29)</f>
        <v>0</v>
      </c>
      <c r="M29" s="143">
        <f>SUMIFS(FACILITIES!N:N,FACILITIES!$B:$B,B29)</f>
        <v>0</v>
      </c>
      <c r="N29" s="143">
        <f>SUMIFS(FACILITIES!O:O,FACILITIES!$B:$B,B29)</f>
        <v>10000</v>
      </c>
      <c r="O29" s="143">
        <f>SUMIFS(FACILITIES!P:P,FACILITIES!$B:$B,B29)</f>
        <v>0</v>
      </c>
      <c r="P29" s="143">
        <f>SUMIFS(FACILITIES!Q:Q,FACILITIES!$B:$B,B29)</f>
        <v>0</v>
      </c>
      <c r="Q29" s="143">
        <f>SUMIFS(FACILITIES!R:R,FACILITIES!$B:$B,B29)</f>
        <v>0</v>
      </c>
      <c r="R29" s="143">
        <f>SUMIFS(FACILITIES!T:T,FACILITIES!B:B,B29)</f>
        <v>0</v>
      </c>
      <c r="S29" s="143">
        <f>SUMIFS(FACILITIES!S:S,FACILITIES!B:B,B29)</f>
        <v>0</v>
      </c>
      <c r="T29" s="143">
        <f>SUMIFS('F &amp; B'!G:G,'F &amp; B'!B:B,B29)</f>
        <v>1940</v>
      </c>
      <c r="U29" s="207">
        <f t="shared" si="1"/>
        <v>291</v>
      </c>
      <c r="V29" s="143">
        <f>SUMIFS('FIXED AMOUNT'!G:G,'FIXED AMOUNT'!B:B,B29)</f>
        <v>7000</v>
      </c>
      <c r="W29" s="121">
        <f t="shared" si="0"/>
        <v>19231</v>
      </c>
      <c r="X29" s="121">
        <f>SUMIFS('FIXED AMOUNT'!E:E,'FIXED AMOUNT'!B:B,'data base '!B:B)</f>
        <v>0</v>
      </c>
      <c r="Y29" s="121">
        <f>SUMIFS('FIXED AMOUNT'!F:F,'FIXED AMOUNT'!B:B,'data base '!B:B)</f>
        <v>0</v>
      </c>
      <c r="Z29" s="121">
        <f>SUMIFS('FIXED AMOUNT'!V:V,'FIXED AMOUNT'!B:B,B:B)</f>
        <v>46260</v>
      </c>
      <c r="AA29" s="121">
        <f t="shared" si="2"/>
        <v>65491</v>
      </c>
      <c r="AB29" s="204">
        <f t="shared" si="3"/>
        <v>1923.1000000000001</v>
      </c>
      <c r="AC29" s="201">
        <v>45945</v>
      </c>
      <c r="AD29" s="121">
        <f t="shared" si="4"/>
        <v>67414.100000000006</v>
      </c>
      <c r="AE29" s="205"/>
    </row>
    <row r="30" spans="1:31" x14ac:dyDescent="0.25">
      <c r="A30">
        <v>29</v>
      </c>
      <c r="B30" t="s">
        <v>142</v>
      </c>
      <c r="C30" t="s">
        <v>143</v>
      </c>
      <c r="D30" s="143">
        <f>SUMIFS(FACILITIES!E:E,FACILITIES!$B:$B,B30)</f>
        <v>0</v>
      </c>
      <c r="E30" s="143">
        <f>SUMIFS(FACILITIES!F:F,FACILITIES!$B:$B,$B30)</f>
        <v>0</v>
      </c>
      <c r="F30" s="143">
        <f>SUMIFS(FACILITIES!G:G,FACILITIES!$B:$B,B30)</f>
        <v>0</v>
      </c>
      <c r="G30" s="143">
        <f>SUMIFS(FACILITIES!H:H,FACILITIES!$B:$B,B30)</f>
        <v>0</v>
      </c>
      <c r="H30" s="143">
        <f>SUMIFS(FACILITIES!I:I,FACILITIES!$B:$B,B30)</f>
        <v>0</v>
      </c>
      <c r="I30" s="143">
        <f>SUMIFS(FACILITIES!J:J,FACILITIES!$B:$B,B30)</f>
        <v>1500</v>
      </c>
      <c r="J30" s="143">
        <f>SUMIFS(FACILITIES!K:K,FACILITIES!$B:$B,B30)</f>
        <v>0</v>
      </c>
      <c r="K30" s="143">
        <f>SUMIFS(FACILITIES!L:L,FACILITIES!$B:$B,B30)</f>
        <v>0</v>
      </c>
      <c r="L30" s="143">
        <f>SUMIFS(FACILITIES!M:M,FACILITIES!$B:$B,B30)</f>
        <v>0</v>
      </c>
      <c r="M30" s="143">
        <f>SUMIFS(FACILITIES!N:N,FACILITIES!$B:$B,B30)</f>
        <v>0</v>
      </c>
      <c r="N30" s="143">
        <f>SUMIFS(FACILITIES!O:O,FACILITIES!$B:$B,B30)</f>
        <v>0</v>
      </c>
      <c r="O30" s="143">
        <f>SUMIFS(FACILITIES!P:P,FACILITIES!$B:$B,B30)</f>
        <v>0</v>
      </c>
      <c r="P30" s="143">
        <f>SUMIFS(FACILITIES!Q:Q,FACILITIES!$B:$B,B30)</f>
        <v>0</v>
      </c>
      <c r="Q30" s="143">
        <f>SUMIFS(FACILITIES!R:R,FACILITIES!$B:$B,B30)</f>
        <v>0</v>
      </c>
      <c r="R30" s="143">
        <f>SUMIFS(FACILITIES!T:T,FACILITIES!B:B,B30)</f>
        <v>5000</v>
      </c>
      <c r="S30" s="143">
        <f>SUMIFS(FACILITIES!S:S,FACILITIES!B:B,B30)</f>
        <v>0</v>
      </c>
      <c r="T30" s="143">
        <f>SUMIFS('F &amp; B'!G:G,'F &amp; B'!B:B,B30)</f>
        <v>16500</v>
      </c>
      <c r="U30" s="207">
        <f t="shared" si="1"/>
        <v>2475</v>
      </c>
      <c r="V30" s="143">
        <f>SUMIFS('FIXED AMOUNT'!G:G,'FIXED AMOUNT'!B:B,B30)</f>
        <v>7000</v>
      </c>
      <c r="W30" s="121">
        <f t="shared" si="0"/>
        <v>32475</v>
      </c>
      <c r="X30" s="121">
        <f>SUMIFS('FIXED AMOUNT'!E:E,'FIXED AMOUNT'!B:B,'data base '!B:B)</f>
        <v>0</v>
      </c>
      <c r="Y30" s="121">
        <f>SUMIFS('FIXED AMOUNT'!F:F,'FIXED AMOUNT'!B:B,'data base '!B:B)</f>
        <v>0</v>
      </c>
      <c r="Z30" s="121">
        <f>SUMIFS('FIXED AMOUNT'!V:V,'FIXED AMOUNT'!B:B,B:B)</f>
        <v>38350</v>
      </c>
      <c r="AA30" s="121">
        <f t="shared" si="2"/>
        <v>70825</v>
      </c>
      <c r="AB30" s="204">
        <f t="shared" si="3"/>
        <v>3247.5</v>
      </c>
      <c r="AC30" s="201">
        <v>45945</v>
      </c>
      <c r="AD30" s="121">
        <f t="shared" si="4"/>
        <v>74072.5</v>
      </c>
      <c r="AE30" s="205"/>
    </row>
    <row r="31" spans="1:31" x14ac:dyDescent="0.25">
      <c r="A31">
        <v>30</v>
      </c>
      <c r="B31" t="s">
        <v>146</v>
      </c>
      <c r="C31" t="s">
        <v>147</v>
      </c>
      <c r="D31" s="143">
        <f>SUMIFS(FACILITIES!E:E,FACILITIES!$B:$B,B31)</f>
        <v>0</v>
      </c>
      <c r="E31" s="143">
        <f>SUMIFS(FACILITIES!F:F,FACILITIES!$B:$B,$B31)</f>
        <v>0</v>
      </c>
      <c r="F31" s="143">
        <f>SUMIFS(FACILITIES!G:G,FACILITIES!$B:$B,B31)</f>
        <v>0</v>
      </c>
      <c r="G31" s="143">
        <f>SUMIFS(FACILITIES!H:H,FACILITIES!$B:$B,B31)</f>
        <v>0</v>
      </c>
      <c r="H31" s="143">
        <f>SUMIFS(FACILITIES!I:I,FACILITIES!$B:$B,B31)</f>
        <v>0</v>
      </c>
      <c r="I31" s="143">
        <f>SUMIFS(FACILITIES!J:J,FACILITIES!$B:$B,B31)</f>
        <v>0</v>
      </c>
      <c r="J31" s="143">
        <f>SUMIFS(FACILITIES!K:K,FACILITIES!$B:$B,B31)</f>
        <v>0</v>
      </c>
      <c r="K31" s="143">
        <f>SUMIFS(FACILITIES!L:L,FACILITIES!$B:$B,B31)</f>
        <v>0</v>
      </c>
      <c r="L31" s="143">
        <f>SUMIFS(FACILITIES!M:M,FACILITIES!$B:$B,B31)</f>
        <v>0</v>
      </c>
      <c r="M31" s="143">
        <f>SUMIFS(FACILITIES!N:N,FACILITIES!$B:$B,B31)</f>
        <v>0</v>
      </c>
      <c r="N31" s="143">
        <f>SUMIFS(FACILITIES!O:O,FACILITIES!$B:$B,B31)</f>
        <v>0</v>
      </c>
      <c r="O31" s="143">
        <f>SUMIFS(FACILITIES!P:P,FACILITIES!$B:$B,B31)</f>
        <v>0</v>
      </c>
      <c r="P31" s="143">
        <f>SUMIFS(FACILITIES!Q:Q,FACILITIES!$B:$B,B31)</f>
        <v>0</v>
      </c>
      <c r="Q31" s="143">
        <f>SUMIFS(FACILITIES!R:R,FACILITIES!$B:$B,B31)</f>
        <v>0</v>
      </c>
      <c r="R31" s="143">
        <f>SUMIFS(FACILITIES!T:T,FACILITIES!B:B,B31)</f>
        <v>0</v>
      </c>
      <c r="S31" s="143">
        <f>SUMIFS(FACILITIES!S:S,FACILITIES!B:B,B31)</f>
        <v>0</v>
      </c>
      <c r="T31" s="143">
        <f>SUMIFS('F &amp; B'!G:G,'F &amp; B'!B:B,B31)</f>
        <v>6350</v>
      </c>
      <c r="U31" s="207">
        <f t="shared" si="1"/>
        <v>952.5</v>
      </c>
      <c r="V31" s="143">
        <f>SUMIFS('FIXED AMOUNT'!G:G,'FIXED AMOUNT'!B:B,B31)</f>
        <v>7000</v>
      </c>
      <c r="W31" s="121">
        <f t="shared" si="0"/>
        <v>14302.5</v>
      </c>
      <c r="X31" s="121">
        <f>SUMIFS('FIXED AMOUNT'!E:E,'FIXED AMOUNT'!B:B,'data base '!B:B)</f>
        <v>0</v>
      </c>
      <c r="Y31" s="121">
        <f>SUMIFS('FIXED AMOUNT'!F:F,'FIXED AMOUNT'!B:B,'data base '!B:B)</f>
        <v>0</v>
      </c>
      <c r="Z31" s="121">
        <f>SUMIFS('FIXED AMOUNT'!V:V,'FIXED AMOUNT'!B:B,B:B)</f>
        <v>0</v>
      </c>
      <c r="AA31" s="121">
        <f t="shared" si="2"/>
        <v>14302.5</v>
      </c>
      <c r="AB31" s="204">
        <f t="shared" si="3"/>
        <v>1430.25</v>
      </c>
      <c r="AC31" s="201">
        <v>45945</v>
      </c>
      <c r="AD31" s="121">
        <f t="shared" si="4"/>
        <v>15732.75</v>
      </c>
      <c r="AE31" s="205"/>
    </row>
    <row r="32" spans="1:31" x14ac:dyDescent="0.25">
      <c r="A32">
        <v>31</v>
      </c>
      <c r="B32" t="s">
        <v>151</v>
      </c>
      <c r="C32" t="s">
        <v>152</v>
      </c>
      <c r="D32" s="143">
        <f>SUMIFS(FACILITIES!E:E,FACILITIES!$B:$B,B32)</f>
        <v>1500</v>
      </c>
      <c r="E32" s="143">
        <f>SUMIFS(FACILITIES!F:F,FACILITIES!$B:$B,$B32)</f>
        <v>0</v>
      </c>
      <c r="F32" s="143">
        <f>SUMIFS(FACILITIES!G:G,FACILITIES!$B:$B,B32)</f>
        <v>0</v>
      </c>
      <c r="G32" s="143">
        <f>SUMIFS(FACILITIES!H:H,FACILITIES!$B:$B,B32)</f>
        <v>0</v>
      </c>
      <c r="H32" s="143">
        <f>SUMIFS(FACILITIES!I:I,FACILITIES!$B:$B,B32)</f>
        <v>0</v>
      </c>
      <c r="I32" s="143">
        <f>SUMIFS(FACILITIES!J:J,FACILITIES!$B:$B,B32)</f>
        <v>0</v>
      </c>
      <c r="J32" s="143">
        <f>SUMIFS(FACILITIES!K:K,FACILITIES!$B:$B,B32)</f>
        <v>0</v>
      </c>
      <c r="K32" s="143">
        <f>SUMIFS(FACILITIES!L:L,FACILITIES!$B:$B,B32)</f>
        <v>0</v>
      </c>
      <c r="L32" s="143">
        <f>SUMIFS(FACILITIES!M:M,FACILITIES!$B:$B,B32)</f>
        <v>0</v>
      </c>
      <c r="M32" s="143">
        <f>SUMIFS(FACILITIES!N:N,FACILITIES!$B:$B,B32)</f>
        <v>0</v>
      </c>
      <c r="N32" s="143">
        <f>SUMIFS(FACILITIES!O:O,FACILITIES!$B:$B,B32)</f>
        <v>0</v>
      </c>
      <c r="O32" s="143">
        <f>SUMIFS(FACILITIES!P:P,FACILITIES!$B:$B,B32)</f>
        <v>0</v>
      </c>
      <c r="P32" s="143">
        <f>SUMIFS(FACILITIES!Q:Q,FACILITIES!$B:$B,B32)</f>
        <v>0</v>
      </c>
      <c r="Q32" s="143">
        <f>SUMIFS(FACILITIES!R:R,FACILITIES!$B:$B,B32)</f>
        <v>0</v>
      </c>
      <c r="R32" s="143">
        <f>SUMIFS(FACILITIES!T:T,FACILITIES!B:B,B32)</f>
        <v>0</v>
      </c>
      <c r="S32" s="143">
        <f>SUMIFS(FACILITIES!S:S,FACILITIES!B:B,B32)</f>
        <v>0</v>
      </c>
      <c r="T32" s="143">
        <f>SUMIFS('F &amp; B'!G:G,'F &amp; B'!B:B,B32)</f>
        <v>15800</v>
      </c>
      <c r="U32" s="207">
        <f t="shared" si="1"/>
        <v>2370</v>
      </c>
      <c r="V32" s="143">
        <f>SUMIFS('FIXED AMOUNT'!G:G,'FIXED AMOUNT'!B:B,B32)</f>
        <v>7000</v>
      </c>
      <c r="W32" s="121">
        <f t="shared" si="0"/>
        <v>26670</v>
      </c>
      <c r="X32" s="121">
        <f>SUMIFS('FIXED AMOUNT'!E:E,'FIXED AMOUNT'!B:B,'data base '!B:B)</f>
        <v>0</v>
      </c>
      <c r="Y32" s="121">
        <f>SUMIFS('FIXED AMOUNT'!F:F,'FIXED AMOUNT'!B:B,'data base '!B:B)</f>
        <v>0</v>
      </c>
      <c r="Z32" s="121">
        <f>SUMIFS('FIXED AMOUNT'!V:V,'FIXED AMOUNT'!B:B,B:B)</f>
        <v>0</v>
      </c>
      <c r="AA32" s="121">
        <f t="shared" si="2"/>
        <v>26670</v>
      </c>
      <c r="AB32" s="204">
        <f t="shared" si="3"/>
        <v>2667</v>
      </c>
      <c r="AC32" s="201">
        <v>45945</v>
      </c>
      <c r="AD32" s="121">
        <f t="shared" si="4"/>
        <v>29337</v>
      </c>
      <c r="AE32" s="205"/>
    </row>
    <row r="33" spans="1:31" x14ac:dyDescent="0.25">
      <c r="A33">
        <v>32</v>
      </c>
      <c r="B33" t="s">
        <v>155</v>
      </c>
      <c r="C33" t="s">
        <v>156</v>
      </c>
      <c r="D33" s="143">
        <f>SUMIFS(FACILITIES!E:E,FACILITIES!$B:$B,B33)</f>
        <v>0</v>
      </c>
      <c r="E33" s="143">
        <f>SUMIFS(FACILITIES!F:F,FACILITIES!$B:$B,$B33)</f>
        <v>1800</v>
      </c>
      <c r="F33" s="143">
        <f>SUMIFS(FACILITIES!G:G,FACILITIES!$B:$B,B33)</f>
        <v>0</v>
      </c>
      <c r="G33" s="143">
        <f>SUMIFS(FACILITIES!H:H,FACILITIES!$B:$B,B33)</f>
        <v>0</v>
      </c>
      <c r="H33" s="143">
        <f>SUMIFS(FACILITIES!I:I,FACILITIES!$B:$B,B33)</f>
        <v>0</v>
      </c>
      <c r="I33" s="143">
        <f>SUMIFS(FACILITIES!J:J,FACILITIES!$B:$B,B33)</f>
        <v>0</v>
      </c>
      <c r="J33" s="143">
        <f>SUMIFS(FACILITIES!K:K,FACILITIES!$B:$B,B33)</f>
        <v>0</v>
      </c>
      <c r="K33" s="143">
        <f>SUMIFS(FACILITIES!L:L,FACILITIES!$B:$B,B33)</f>
        <v>0</v>
      </c>
      <c r="L33" s="143">
        <f>SUMIFS(FACILITIES!M:M,FACILITIES!$B:$B,B33)</f>
        <v>0</v>
      </c>
      <c r="M33" s="143">
        <f>SUMIFS(FACILITIES!N:N,FACILITIES!$B:$B,B33)</f>
        <v>0</v>
      </c>
      <c r="N33" s="143">
        <f>SUMIFS(FACILITIES!O:O,FACILITIES!$B:$B,B33)</f>
        <v>0</v>
      </c>
      <c r="O33" s="143">
        <f>SUMIFS(FACILITIES!P:P,FACILITIES!$B:$B,B33)</f>
        <v>0</v>
      </c>
      <c r="P33" s="143">
        <f>SUMIFS(FACILITIES!Q:Q,FACILITIES!$B:$B,B33)</f>
        <v>0</v>
      </c>
      <c r="Q33" s="143">
        <f>SUMIFS(FACILITIES!R:R,FACILITIES!$B:$B,B33)</f>
        <v>0</v>
      </c>
      <c r="R33" s="143">
        <f>SUMIFS(FACILITIES!T:T,FACILITIES!B:B,B33)</f>
        <v>2000</v>
      </c>
      <c r="S33" s="143">
        <f>SUMIFS(FACILITIES!S:S,FACILITIES!B:B,B33)</f>
        <v>0</v>
      </c>
      <c r="T33" s="143">
        <f>SUMIFS('F &amp; B'!G:G,'F &amp; B'!B:B,B33)</f>
        <v>5399</v>
      </c>
      <c r="U33" s="207">
        <f t="shared" si="1"/>
        <v>809.85</v>
      </c>
      <c r="V33" s="143">
        <f>SUMIFS('FIXED AMOUNT'!G:G,'FIXED AMOUNT'!B:B,B33)</f>
        <v>7000</v>
      </c>
      <c r="W33" s="121">
        <f t="shared" si="0"/>
        <v>17008.849999999999</v>
      </c>
      <c r="X33" s="121">
        <f>SUMIFS('FIXED AMOUNT'!E:E,'FIXED AMOUNT'!B:B,'data base '!B:B)</f>
        <v>0</v>
      </c>
      <c r="Y33" s="121">
        <f>SUMIFS('FIXED AMOUNT'!F:F,'FIXED AMOUNT'!B:B,'data base '!B:B)</f>
        <v>0</v>
      </c>
      <c r="Z33" s="121">
        <f>SUMIFS('FIXED AMOUNT'!V:V,'FIXED AMOUNT'!B:B,B:B)</f>
        <v>12312</v>
      </c>
      <c r="AA33" s="121">
        <f t="shared" si="2"/>
        <v>29320.85</v>
      </c>
      <c r="AB33" s="204">
        <f t="shared" si="3"/>
        <v>1700.885</v>
      </c>
      <c r="AC33" s="201">
        <v>45945</v>
      </c>
      <c r="AD33" s="121">
        <f t="shared" si="4"/>
        <v>31021.734999999997</v>
      </c>
      <c r="AE33" s="205"/>
    </row>
    <row r="34" spans="1:31" x14ac:dyDescent="0.25">
      <c r="A34">
        <v>33</v>
      </c>
      <c r="B34" t="s">
        <v>160</v>
      </c>
      <c r="C34" t="s">
        <v>161</v>
      </c>
      <c r="D34" s="143">
        <f>SUMIFS(FACILITIES!E:E,FACILITIES!$B:$B,B34)</f>
        <v>0</v>
      </c>
      <c r="E34" s="143">
        <f>SUMIFS(FACILITIES!F:F,FACILITIES!$B:$B,$B34)</f>
        <v>0</v>
      </c>
      <c r="F34" s="143">
        <f>SUMIFS(FACILITIES!G:G,FACILITIES!$B:$B,B34)</f>
        <v>0</v>
      </c>
      <c r="G34" s="143">
        <f>SUMIFS(FACILITIES!H:H,FACILITIES!$B:$B,B34)</f>
        <v>0</v>
      </c>
      <c r="H34" s="143">
        <f>SUMIFS(FACILITIES!I:I,FACILITIES!$B:$B,B34)</f>
        <v>0</v>
      </c>
      <c r="I34" s="143">
        <f>SUMIFS(FACILITIES!J:J,FACILITIES!$B:$B,B34)</f>
        <v>0</v>
      </c>
      <c r="J34" s="143">
        <f>SUMIFS(FACILITIES!K:K,FACILITIES!$B:$B,B34)</f>
        <v>0</v>
      </c>
      <c r="K34" s="143">
        <f>SUMIFS(FACILITIES!L:L,FACILITIES!$B:$B,B34)</f>
        <v>0</v>
      </c>
      <c r="L34" s="143">
        <f>SUMIFS(FACILITIES!M:M,FACILITIES!$B:$B,B34)</f>
        <v>0</v>
      </c>
      <c r="M34" s="143">
        <f>SUMIFS(FACILITIES!N:N,FACILITIES!$B:$B,B34)</f>
        <v>0</v>
      </c>
      <c r="N34" s="143">
        <f>SUMIFS(FACILITIES!O:O,FACILITIES!$B:$B,B34)</f>
        <v>0</v>
      </c>
      <c r="O34" s="143">
        <f>SUMIFS(FACILITIES!P:P,FACILITIES!$B:$B,B34)</f>
        <v>0</v>
      </c>
      <c r="P34" s="143">
        <f>SUMIFS(FACILITIES!Q:Q,FACILITIES!$B:$B,B34)</f>
        <v>0</v>
      </c>
      <c r="Q34" s="143">
        <f>SUMIFS(FACILITIES!R:R,FACILITIES!$B:$B,B34)</f>
        <v>0</v>
      </c>
      <c r="R34" s="143">
        <f>SUMIFS(FACILITIES!T:T,FACILITIES!B:B,B34)</f>
        <v>0</v>
      </c>
      <c r="S34" s="143">
        <f>SUMIFS(FACILITIES!S:S,FACILITIES!B:B,B34)</f>
        <v>0</v>
      </c>
      <c r="T34" s="143">
        <f>SUMIFS('F &amp; B'!G:G,'F &amp; B'!B:B,B34)</f>
        <v>0</v>
      </c>
      <c r="U34" s="207">
        <f t="shared" si="1"/>
        <v>0</v>
      </c>
      <c r="V34" s="143">
        <f>SUMIFS('FIXED AMOUNT'!G:G,'FIXED AMOUNT'!B:B,B34)</f>
        <v>7000</v>
      </c>
      <c r="W34" s="121">
        <f t="shared" ref="W34:W65" si="5">SUM(D34:V34)</f>
        <v>7000</v>
      </c>
      <c r="X34" s="121">
        <f>SUMIFS('FIXED AMOUNT'!E:E,'FIXED AMOUNT'!B:B,'data base '!B:B)</f>
        <v>0</v>
      </c>
      <c r="Y34" s="121">
        <f>SUMIFS('FIXED AMOUNT'!F:F,'FIXED AMOUNT'!B:B,'data base '!B:B)</f>
        <v>0</v>
      </c>
      <c r="Z34" s="121">
        <f>SUMIFS('FIXED AMOUNT'!V:V,'FIXED AMOUNT'!B:B,B:B)</f>
        <v>10870</v>
      </c>
      <c r="AA34" s="121">
        <f t="shared" si="2"/>
        <v>17870</v>
      </c>
      <c r="AB34" s="204">
        <f t="shared" si="3"/>
        <v>700</v>
      </c>
      <c r="AC34" s="201">
        <v>45945</v>
      </c>
      <c r="AD34" s="121">
        <f t="shared" si="4"/>
        <v>18570</v>
      </c>
      <c r="AE34" s="205"/>
    </row>
    <row r="35" spans="1:31" x14ac:dyDescent="0.25">
      <c r="A35">
        <v>34</v>
      </c>
      <c r="B35" t="s">
        <v>164</v>
      </c>
      <c r="C35" t="s">
        <v>165</v>
      </c>
      <c r="D35" s="143">
        <f>SUMIFS(FACILITIES!E:E,FACILITIES!$B:$B,B35)</f>
        <v>0</v>
      </c>
      <c r="E35" s="143">
        <f>SUMIFS(FACILITIES!F:F,FACILITIES!$B:$B,$B35)</f>
        <v>0</v>
      </c>
      <c r="F35" s="143">
        <f>SUMIFS(FACILITIES!G:G,FACILITIES!$B:$B,B35)</f>
        <v>0</v>
      </c>
      <c r="G35" s="143">
        <f>SUMIFS(FACILITIES!H:H,FACILITIES!$B:$B,B35)</f>
        <v>0</v>
      </c>
      <c r="H35" s="143">
        <f>SUMIFS(FACILITIES!I:I,FACILITIES!$B:$B,B35)</f>
        <v>0</v>
      </c>
      <c r="I35" s="143">
        <f>SUMIFS(FACILITIES!J:J,FACILITIES!$B:$B,B35)</f>
        <v>600</v>
      </c>
      <c r="J35" s="143">
        <f>SUMIFS(FACILITIES!K:K,FACILITIES!$B:$B,B35)</f>
        <v>1800</v>
      </c>
      <c r="K35" s="143">
        <f>SUMIFS(FACILITIES!L:L,FACILITIES!$B:$B,B35)</f>
        <v>0</v>
      </c>
      <c r="L35" s="143">
        <f>SUMIFS(FACILITIES!M:M,FACILITIES!$B:$B,B35)</f>
        <v>0</v>
      </c>
      <c r="M35" s="143">
        <f>SUMIFS(FACILITIES!N:N,FACILITIES!$B:$B,B35)</f>
        <v>0</v>
      </c>
      <c r="N35" s="143">
        <f>SUMIFS(FACILITIES!O:O,FACILITIES!$B:$B,B35)</f>
        <v>0</v>
      </c>
      <c r="O35" s="143">
        <f>SUMIFS(FACILITIES!P:P,FACILITIES!$B:$B,B35)</f>
        <v>0</v>
      </c>
      <c r="P35" s="143">
        <f>SUMIFS(FACILITIES!Q:Q,FACILITIES!$B:$B,B35)</f>
        <v>0</v>
      </c>
      <c r="Q35" s="143">
        <f>SUMIFS(FACILITIES!R:R,FACILITIES!$B:$B,B35)</f>
        <v>0</v>
      </c>
      <c r="R35" s="143">
        <f>SUMIFS(FACILITIES!T:T,FACILITIES!B:B,B35)</f>
        <v>0</v>
      </c>
      <c r="S35" s="143">
        <f>SUMIFS(FACILITIES!S:S,FACILITIES!B:B,B35)</f>
        <v>0</v>
      </c>
      <c r="T35" s="143">
        <f>SUMIFS('F &amp; B'!G:G,'F &amp; B'!B:B,B35)</f>
        <v>7600</v>
      </c>
      <c r="U35" s="207">
        <f t="shared" si="1"/>
        <v>1140</v>
      </c>
      <c r="V35" s="143">
        <f>SUMIFS('FIXED AMOUNT'!G:G,'FIXED AMOUNT'!B:B,B35)</f>
        <v>7000</v>
      </c>
      <c r="W35" s="121">
        <f t="shared" si="5"/>
        <v>18140</v>
      </c>
      <c r="X35" s="121">
        <f>SUMIFS('FIXED AMOUNT'!E:E,'FIXED AMOUNT'!B:B,'data base '!B:B)</f>
        <v>0</v>
      </c>
      <c r="Y35" s="121">
        <f>SUMIFS('FIXED AMOUNT'!F:F,'FIXED AMOUNT'!B:B,'data base '!B:B)</f>
        <v>0</v>
      </c>
      <c r="Z35" s="121">
        <f>SUMIFS('FIXED AMOUNT'!V:V,'FIXED AMOUNT'!B:B,B:B)</f>
        <v>0</v>
      </c>
      <c r="AA35" s="121">
        <f t="shared" si="2"/>
        <v>18140</v>
      </c>
      <c r="AB35" s="204">
        <f t="shared" si="3"/>
        <v>1814</v>
      </c>
      <c r="AC35" s="201">
        <v>45945</v>
      </c>
      <c r="AD35" s="121">
        <f t="shared" si="4"/>
        <v>19954</v>
      </c>
      <c r="AE35" s="205"/>
    </row>
    <row r="36" spans="1:31" x14ac:dyDescent="0.25">
      <c r="A36">
        <v>35</v>
      </c>
      <c r="B36" t="s">
        <v>173</v>
      </c>
      <c r="C36" t="s">
        <v>174</v>
      </c>
      <c r="D36" s="143">
        <f>SUMIFS(FACILITIES!E:E,FACILITIES!$B:$B,B36)</f>
        <v>600</v>
      </c>
      <c r="E36" s="143">
        <f>SUMIFS(FACILITIES!F:F,FACILITIES!$B:$B,$B36)</f>
        <v>0</v>
      </c>
      <c r="F36" s="143">
        <f>SUMIFS(FACILITIES!G:G,FACILITIES!$B:$B,B36)</f>
        <v>0</v>
      </c>
      <c r="G36" s="143">
        <f>SUMIFS(FACILITIES!H:H,FACILITIES!$B:$B,B36)</f>
        <v>0</v>
      </c>
      <c r="H36" s="143">
        <f>SUMIFS(FACILITIES!I:I,FACILITIES!$B:$B,B36)</f>
        <v>0</v>
      </c>
      <c r="I36" s="143">
        <f>SUMIFS(FACILITIES!J:J,FACILITIES!$B:$B,B36)</f>
        <v>0</v>
      </c>
      <c r="J36" s="143">
        <f>SUMIFS(FACILITIES!K:K,FACILITIES!$B:$B,B36)</f>
        <v>0</v>
      </c>
      <c r="K36" s="143">
        <f>SUMIFS(FACILITIES!L:L,FACILITIES!$B:$B,B36)</f>
        <v>0</v>
      </c>
      <c r="L36" s="143">
        <f>SUMIFS(FACILITIES!M:M,FACILITIES!$B:$B,B36)</f>
        <v>0</v>
      </c>
      <c r="M36" s="143">
        <f>SUMIFS(FACILITIES!N:N,FACILITIES!$B:$B,B36)</f>
        <v>0</v>
      </c>
      <c r="N36" s="143">
        <f>SUMIFS(FACILITIES!O:O,FACILITIES!$B:$B,B36)</f>
        <v>0</v>
      </c>
      <c r="O36" s="143">
        <f>SUMIFS(FACILITIES!P:P,FACILITIES!$B:$B,B36)</f>
        <v>0</v>
      </c>
      <c r="P36" s="143">
        <f>SUMIFS(FACILITIES!Q:Q,FACILITIES!$B:$B,B36)</f>
        <v>0</v>
      </c>
      <c r="Q36" s="143">
        <f>SUMIFS(FACILITIES!R:R,FACILITIES!$B:$B,B36)</f>
        <v>0</v>
      </c>
      <c r="R36" s="143">
        <f>SUMIFS(FACILITIES!T:T,FACILITIES!B:B,B36)</f>
        <v>0</v>
      </c>
      <c r="S36" s="143">
        <f>SUMIFS(FACILITIES!S:S,FACILITIES!B:B,B36)</f>
        <v>0</v>
      </c>
      <c r="T36" s="143">
        <f>SUMIFS('F &amp; B'!G:G,'F &amp; B'!B:B,B36)</f>
        <v>0</v>
      </c>
      <c r="U36" s="207">
        <f t="shared" si="1"/>
        <v>0</v>
      </c>
      <c r="V36" s="143">
        <f>SUMIFS('FIXED AMOUNT'!G:G,'FIXED AMOUNT'!B:B,B36)</f>
        <v>7000</v>
      </c>
      <c r="W36" s="121">
        <f t="shared" si="5"/>
        <v>7600</v>
      </c>
      <c r="X36" s="121">
        <f>SUMIFS('FIXED AMOUNT'!E:E,'FIXED AMOUNT'!B:B,'data base '!B:B)</f>
        <v>0</v>
      </c>
      <c r="Y36" s="121">
        <f>SUMIFS('FIXED AMOUNT'!F:F,'FIXED AMOUNT'!B:B,'data base '!B:B)</f>
        <v>0</v>
      </c>
      <c r="Z36" s="121">
        <f>SUMIFS('FIXED AMOUNT'!V:V,'FIXED AMOUNT'!B:B,B:B)</f>
        <v>0</v>
      </c>
      <c r="AA36" s="121">
        <f t="shared" si="2"/>
        <v>7600</v>
      </c>
      <c r="AB36" s="204">
        <f t="shared" si="3"/>
        <v>760</v>
      </c>
      <c r="AC36" s="201">
        <v>45945</v>
      </c>
      <c r="AD36" s="121">
        <f t="shared" si="4"/>
        <v>8360</v>
      </c>
      <c r="AE36" s="205"/>
    </row>
    <row r="37" spans="1:31" x14ac:dyDescent="0.25">
      <c r="A37">
        <v>36</v>
      </c>
      <c r="B37" t="s">
        <v>177</v>
      </c>
      <c r="C37" t="s">
        <v>178</v>
      </c>
      <c r="D37" s="143">
        <f>SUMIFS(FACILITIES!E:E,FACILITIES!$B:$B,B37)</f>
        <v>1800</v>
      </c>
      <c r="E37" s="143">
        <f>SUMIFS(FACILITIES!F:F,FACILITIES!$B:$B,$B37)</f>
        <v>0</v>
      </c>
      <c r="F37" s="143">
        <f>SUMIFS(FACILITIES!G:G,FACILITIES!$B:$B,B37)</f>
        <v>0</v>
      </c>
      <c r="G37" s="143">
        <f>SUMIFS(FACILITIES!H:H,FACILITIES!$B:$B,B37)</f>
        <v>0</v>
      </c>
      <c r="H37" s="143">
        <f>SUMIFS(FACILITIES!I:I,FACILITIES!$B:$B,B37)</f>
        <v>0</v>
      </c>
      <c r="I37" s="143">
        <f>SUMIFS(FACILITIES!J:J,FACILITIES!$B:$B,B37)</f>
        <v>500</v>
      </c>
      <c r="J37" s="143">
        <f>SUMIFS(FACILITIES!K:K,FACILITIES!$B:$B,B37)</f>
        <v>0</v>
      </c>
      <c r="K37" s="143">
        <f>SUMIFS(FACILITIES!L:L,FACILITIES!$B:$B,B37)</f>
        <v>0</v>
      </c>
      <c r="L37" s="143">
        <f>SUMIFS(FACILITIES!M:M,FACILITIES!$B:$B,B37)</f>
        <v>0</v>
      </c>
      <c r="M37" s="143">
        <f>SUMIFS(FACILITIES!N:N,FACILITIES!$B:$B,B37)</f>
        <v>0</v>
      </c>
      <c r="N37" s="143">
        <f>SUMIFS(FACILITIES!O:O,FACILITIES!$B:$B,B37)</f>
        <v>0</v>
      </c>
      <c r="O37" s="143">
        <f>SUMIFS(FACILITIES!P:P,FACILITIES!$B:$B,B37)</f>
        <v>0</v>
      </c>
      <c r="P37" s="143">
        <f>SUMIFS(FACILITIES!Q:Q,FACILITIES!$B:$B,B37)</f>
        <v>0</v>
      </c>
      <c r="Q37" s="143">
        <f>SUMIFS(FACILITIES!R:R,FACILITIES!$B:$B,B37)</f>
        <v>0</v>
      </c>
      <c r="R37" s="143">
        <f>SUMIFS(FACILITIES!T:T,FACILITIES!B:B,B37)</f>
        <v>0</v>
      </c>
      <c r="S37" s="143">
        <f>SUMIFS(FACILITIES!S:S,FACILITIES!B:B,B37)</f>
        <v>0</v>
      </c>
      <c r="T37" s="143">
        <f>SUMIFS('F &amp; B'!G:G,'F &amp; B'!B:B,B37)</f>
        <v>7850</v>
      </c>
      <c r="U37" s="207">
        <f t="shared" si="1"/>
        <v>1177.5</v>
      </c>
      <c r="V37" s="143">
        <f>SUMIFS('FIXED AMOUNT'!G:G,'FIXED AMOUNT'!B:B,B37)</f>
        <v>7000</v>
      </c>
      <c r="W37" s="121">
        <f t="shared" si="5"/>
        <v>18327.5</v>
      </c>
      <c r="X37" s="121">
        <f>SUMIFS('FIXED AMOUNT'!E:E,'FIXED AMOUNT'!B:B,'data base '!B:B)</f>
        <v>0</v>
      </c>
      <c r="Y37" s="121">
        <f>SUMIFS('FIXED AMOUNT'!F:F,'FIXED AMOUNT'!B:B,'data base '!B:B)</f>
        <v>0</v>
      </c>
      <c r="Z37" s="121">
        <f>SUMIFS('FIXED AMOUNT'!V:V,'FIXED AMOUNT'!B:B,B:B)</f>
        <v>0</v>
      </c>
      <c r="AA37" s="121">
        <f t="shared" si="2"/>
        <v>18327.5</v>
      </c>
      <c r="AB37" s="204">
        <f t="shared" si="3"/>
        <v>1832.75</v>
      </c>
      <c r="AC37" s="201">
        <v>45945</v>
      </c>
      <c r="AD37" s="121">
        <f t="shared" si="4"/>
        <v>20160.25</v>
      </c>
      <c r="AE37" s="205"/>
    </row>
    <row r="38" spans="1:31" x14ac:dyDescent="0.25">
      <c r="A38">
        <v>37</v>
      </c>
      <c r="B38" t="s">
        <v>182</v>
      </c>
      <c r="C38" t="s">
        <v>183</v>
      </c>
      <c r="D38" s="143">
        <f>SUMIFS(FACILITIES!E:E,FACILITIES!$B:$B,B38)</f>
        <v>2400</v>
      </c>
      <c r="E38" s="143">
        <f>SUMIFS(FACILITIES!F:F,FACILITIES!$B:$B,$B38)</f>
        <v>0</v>
      </c>
      <c r="F38" s="143">
        <f>SUMIFS(FACILITIES!G:G,FACILITIES!$B:$B,B38)</f>
        <v>0</v>
      </c>
      <c r="G38" s="143">
        <f>SUMIFS(FACILITIES!H:H,FACILITIES!$B:$B,B38)</f>
        <v>0</v>
      </c>
      <c r="H38" s="143">
        <f>SUMIFS(FACILITIES!I:I,FACILITIES!$B:$B,B38)</f>
        <v>0</v>
      </c>
      <c r="I38" s="143">
        <f>SUMIFS(FACILITIES!J:J,FACILITIES!$B:$B,B38)</f>
        <v>1000</v>
      </c>
      <c r="J38" s="143">
        <f>SUMIFS(FACILITIES!K:K,FACILITIES!$B:$B,B38)</f>
        <v>0</v>
      </c>
      <c r="K38" s="143">
        <f>SUMIFS(FACILITIES!L:L,FACILITIES!$B:$B,B38)</f>
        <v>0</v>
      </c>
      <c r="L38" s="143">
        <f>SUMIFS(FACILITIES!M:M,FACILITIES!$B:$B,B38)</f>
        <v>0</v>
      </c>
      <c r="M38" s="143">
        <f>SUMIFS(FACILITIES!N:N,FACILITIES!$B:$B,B38)</f>
        <v>0</v>
      </c>
      <c r="N38" s="143">
        <f>SUMIFS(FACILITIES!O:O,FACILITIES!$B:$B,B38)</f>
        <v>0</v>
      </c>
      <c r="O38" s="143">
        <f>SUMIFS(FACILITIES!P:P,FACILITIES!$B:$B,B38)</f>
        <v>0</v>
      </c>
      <c r="P38" s="143">
        <f>SUMIFS(FACILITIES!Q:Q,FACILITIES!$B:$B,B38)</f>
        <v>0</v>
      </c>
      <c r="Q38" s="143">
        <f>SUMIFS(FACILITIES!R:R,FACILITIES!$B:$B,B38)</f>
        <v>0</v>
      </c>
      <c r="R38" s="143">
        <f>SUMIFS(FACILITIES!T:T,FACILITIES!B:B,B38)</f>
        <v>0</v>
      </c>
      <c r="S38" s="143">
        <f>SUMIFS(FACILITIES!S:S,FACILITIES!B:B,B38)</f>
        <v>0</v>
      </c>
      <c r="T38" s="143">
        <f>SUMIFS('F &amp; B'!G:G,'F &amp; B'!B:B,B38)</f>
        <v>1050</v>
      </c>
      <c r="U38" s="207">
        <f t="shared" si="1"/>
        <v>157.5</v>
      </c>
      <c r="V38" s="143">
        <f>SUMIFS('FIXED AMOUNT'!G:G,'FIXED AMOUNT'!B:B,B38)</f>
        <v>7000</v>
      </c>
      <c r="W38" s="121">
        <f t="shared" si="5"/>
        <v>11607.5</v>
      </c>
      <c r="X38" s="121">
        <f>SUMIFS('FIXED AMOUNT'!E:E,'FIXED AMOUNT'!B:B,'data base '!B:B)</f>
        <v>0</v>
      </c>
      <c r="Y38" s="121">
        <f>SUMIFS('FIXED AMOUNT'!F:F,'FIXED AMOUNT'!B:B,'data base '!B:B)</f>
        <v>0</v>
      </c>
      <c r="Z38" s="121">
        <f>SUMIFS('FIXED AMOUNT'!V:V,'FIXED AMOUNT'!B:B,B:B)</f>
        <v>36261</v>
      </c>
      <c r="AA38" s="121">
        <f t="shared" si="2"/>
        <v>47868.5</v>
      </c>
      <c r="AB38" s="204">
        <f t="shared" si="3"/>
        <v>1160.75</v>
      </c>
      <c r="AC38" s="201">
        <v>45945</v>
      </c>
      <c r="AD38" s="121">
        <f t="shared" si="4"/>
        <v>49029.25</v>
      </c>
      <c r="AE38" s="205"/>
    </row>
    <row r="39" spans="1:31" x14ac:dyDescent="0.25">
      <c r="A39">
        <v>38</v>
      </c>
      <c r="B39" t="s">
        <v>187</v>
      </c>
      <c r="C39" t="s">
        <v>188</v>
      </c>
      <c r="D39" s="143">
        <f>SUMIFS(FACILITIES!E:E,FACILITIES!$B:$B,B39)</f>
        <v>1200</v>
      </c>
      <c r="E39" s="143">
        <f>SUMIFS(FACILITIES!F:F,FACILITIES!$B:$B,$B39)</f>
        <v>0</v>
      </c>
      <c r="F39" s="143">
        <f>SUMIFS(FACILITIES!G:G,FACILITIES!$B:$B,B39)</f>
        <v>0</v>
      </c>
      <c r="G39" s="143">
        <f>SUMIFS(FACILITIES!H:H,FACILITIES!$B:$B,B39)</f>
        <v>0</v>
      </c>
      <c r="H39" s="143">
        <f>SUMIFS(FACILITIES!I:I,FACILITIES!$B:$B,B39)</f>
        <v>0</v>
      </c>
      <c r="I39" s="143">
        <f>SUMIFS(FACILITIES!J:J,FACILITIES!$B:$B,B39)</f>
        <v>0</v>
      </c>
      <c r="J39" s="143">
        <f>SUMIFS(FACILITIES!K:K,FACILITIES!$B:$B,B39)</f>
        <v>900</v>
      </c>
      <c r="K39" s="143">
        <f>SUMIFS(FACILITIES!L:L,FACILITIES!$B:$B,B39)</f>
        <v>0</v>
      </c>
      <c r="L39" s="143">
        <f>SUMIFS(FACILITIES!M:M,FACILITIES!$B:$B,B39)</f>
        <v>0</v>
      </c>
      <c r="M39" s="143">
        <f>SUMIFS(FACILITIES!N:N,FACILITIES!$B:$B,B39)</f>
        <v>0</v>
      </c>
      <c r="N39" s="143">
        <f>SUMIFS(FACILITIES!O:O,FACILITIES!$B:$B,B39)</f>
        <v>0</v>
      </c>
      <c r="O39" s="143">
        <f>SUMIFS(FACILITIES!P:P,FACILITIES!$B:$B,B39)</f>
        <v>0</v>
      </c>
      <c r="P39" s="143">
        <f>SUMIFS(FACILITIES!Q:Q,FACILITIES!$B:$B,B39)</f>
        <v>0</v>
      </c>
      <c r="Q39" s="143">
        <f>SUMIFS(FACILITIES!R:R,FACILITIES!$B:$B,B39)</f>
        <v>0</v>
      </c>
      <c r="R39" s="143">
        <f>SUMIFS(FACILITIES!T:T,FACILITIES!B:B,B39)</f>
        <v>0</v>
      </c>
      <c r="S39" s="143">
        <f>SUMIFS(FACILITIES!S:S,FACILITIES!B:B,B39)</f>
        <v>0</v>
      </c>
      <c r="T39" s="143">
        <f>SUMIFS('F &amp; B'!G:G,'F &amp; B'!B:B,B39)</f>
        <v>43074</v>
      </c>
      <c r="U39" s="207">
        <f t="shared" si="1"/>
        <v>6461.0999999999995</v>
      </c>
      <c r="V39" s="143">
        <f>SUMIFS('FIXED AMOUNT'!G:G,'FIXED AMOUNT'!B:B,B39)</f>
        <v>7000</v>
      </c>
      <c r="W39" s="121">
        <f t="shared" si="5"/>
        <v>58635.1</v>
      </c>
      <c r="X39" s="121">
        <f>SUMIFS('FIXED AMOUNT'!E:E,'FIXED AMOUNT'!B:B,'data base '!B:B)</f>
        <v>0</v>
      </c>
      <c r="Y39" s="121">
        <f>SUMIFS('FIXED AMOUNT'!F:F,'FIXED AMOUNT'!B:B,'data base '!B:B)</f>
        <v>0</v>
      </c>
      <c r="Z39" s="121">
        <f>SUMIFS('FIXED AMOUNT'!V:V,'FIXED AMOUNT'!B:B,B:B)</f>
        <v>0</v>
      </c>
      <c r="AA39" s="121">
        <f t="shared" si="2"/>
        <v>58635.1</v>
      </c>
      <c r="AB39" s="204">
        <f t="shared" si="3"/>
        <v>5863.51</v>
      </c>
      <c r="AC39" s="201">
        <v>45945</v>
      </c>
      <c r="AD39" s="121">
        <f t="shared" si="4"/>
        <v>64498.61</v>
      </c>
      <c r="AE39" s="205"/>
    </row>
    <row r="40" spans="1:31" x14ac:dyDescent="0.25">
      <c r="A40">
        <v>39</v>
      </c>
      <c r="B40" t="s">
        <v>192</v>
      </c>
      <c r="C40" t="s">
        <v>193</v>
      </c>
      <c r="D40" s="143">
        <f>SUMIFS(FACILITIES!E:E,FACILITIES!$B:$B,B40)</f>
        <v>4200</v>
      </c>
      <c r="E40" s="143">
        <f>SUMIFS(FACILITIES!F:F,FACILITIES!$B:$B,$B40)</f>
        <v>600</v>
      </c>
      <c r="F40" s="143">
        <f>SUMIFS(FACILITIES!G:G,FACILITIES!$B:$B,B40)</f>
        <v>0</v>
      </c>
      <c r="G40" s="143">
        <f>SUMIFS(FACILITIES!H:H,FACILITIES!$B:$B,B40)</f>
        <v>300</v>
      </c>
      <c r="H40" s="143">
        <f>SUMIFS(FACILITIES!I:I,FACILITIES!$B:$B,B40)</f>
        <v>300</v>
      </c>
      <c r="I40" s="143">
        <f>SUMIFS(FACILITIES!J:J,FACILITIES!$B:$B,B40)</f>
        <v>13100</v>
      </c>
      <c r="J40" s="143">
        <f>SUMIFS(FACILITIES!K:K,FACILITIES!$B:$B,B40)</f>
        <v>2700</v>
      </c>
      <c r="K40" s="143">
        <f>SUMIFS(FACILITIES!L:L,FACILITIES!$B:$B,B40)</f>
        <v>0</v>
      </c>
      <c r="L40" s="143">
        <f>SUMIFS(FACILITIES!M:M,FACILITIES!$B:$B,B40)</f>
        <v>0</v>
      </c>
      <c r="M40" s="143">
        <f>SUMIFS(FACILITIES!N:N,FACILITIES!$B:$B,B40)</f>
        <v>0</v>
      </c>
      <c r="N40" s="143">
        <f>SUMIFS(FACILITIES!O:O,FACILITIES!$B:$B,B40)</f>
        <v>0</v>
      </c>
      <c r="O40" s="143">
        <f>SUMIFS(FACILITIES!P:P,FACILITIES!$B:$B,B40)</f>
        <v>0</v>
      </c>
      <c r="P40" s="143">
        <f>SUMIFS(FACILITIES!Q:Q,FACILITIES!$B:$B,B40)</f>
        <v>0</v>
      </c>
      <c r="Q40" s="143">
        <f>SUMIFS(FACILITIES!R:R,FACILITIES!$B:$B,B40)</f>
        <v>0</v>
      </c>
      <c r="R40" s="143">
        <f>SUMIFS(FACILITIES!T:T,FACILITIES!B:B,B40)</f>
        <v>4500</v>
      </c>
      <c r="S40" s="143">
        <f>SUMIFS(FACILITIES!S:S,FACILITIES!B:B,B40)</f>
        <v>0</v>
      </c>
      <c r="T40" s="143">
        <f>SUMIFS('F &amp; B'!G:G,'F &amp; B'!B:B,B40)</f>
        <v>48575</v>
      </c>
      <c r="U40" s="207">
        <f t="shared" si="1"/>
        <v>7286.25</v>
      </c>
      <c r="V40" s="143">
        <f>SUMIFS('FIXED AMOUNT'!G:G,'FIXED AMOUNT'!B:B,B40)</f>
        <v>7000</v>
      </c>
      <c r="W40" s="121">
        <f t="shared" si="5"/>
        <v>88561.25</v>
      </c>
      <c r="X40" s="121">
        <f>SUMIFS('FIXED AMOUNT'!E:E,'FIXED AMOUNT'!B:B,'data base '!B:B)</f>
        <v>0</v>
      </c>
      <c r="Y40" s="121">
        <f>SUMIFS('FIXED AMOUNT'!F:F,'FIXED AMOUNT'!B:B,'data base '!B:B)</f>
        <v>0</v>
      </c>
      <c r="Z40" s="121">
        <f>SUMIFS('FIXED AMOUNT'!V:V,'FIXED AMOUNT'!B:B,B:B)</f>
        <v>0</v>
      </c>
      <c r="AA40" s="121">
        <f t="shared" si="2"/>
        <v>88561.25</v>
      </c>
      <c r="AB40" s="204">
        <f t="shared" si="3"/>
        <v>8856.125</v>
      </c>
      <c r="AC40" s="201">
        <v>45945</v>
      </c>
      <c r="AD40" s="121">
        <f t="shared" si="4"/>
        <v>97417.375</v>
      </c>
      <c r="AE40" s="205"/>
    </row>
    <row r="41" spans="1:31" x14ac:dyDescent="0.25">
      <c r="A41">
        <v>40</v>
      </c>
      <c r="B41" t="s">
        <v>197</v>
      </c>
      <c r="C41" t="s">
        <v>198</v>
      </c>
      <c r="D41" s="143">
        <f>SUMIFS(FACILITIES!E:E,FACILITIES!$B:$B,B41)</f>
        <v>0</v>
      </c>
      <c r="E41" s="143">
        <f>SUMIFS(FACILITIES!F:F,FACILITIES!$B:$B,$B41)</f>
        <v>1350</v>
      </c>
      <c r="F41" s="143">
        <f>SUMIFS(FACILITIES!G:G,FACILITIES!$B:$B,B41)</f>
        <v>0</v>
      </c>
      <c r="G41" s="143">
        <f>SUMIFS(FACILITIES!H:H,FACILITIES!$B:$B,B41)</f>
        <v>0</v>
      </c>
      <c r="H41" s="143">
        <f>SUMIFS(FACILITIES!I:I,FACILITIES!$B:$B,B41)</f>
        <v>0</v>
      </c>
      <c r="I41" s="143">
        <f>SUMIFS(FACILITIES!J:J,FACILITIES!$B:$B,B41)</f>
        <v>0</v>
      </c>
      <c r="J41" s="143">
        <f>SUMIFS(FACILITIES!K:K,FACILITIES!$B:$B,B41)</f>
        <v>0</v>
      </c>
      <c r="K41" s="143">
        <f>SUMIFS(FACILITIES!L:L,FACILITIES!$B:$B,B41)</f>
        <v>0</v>
      </c>
      <c r="L41" s="143">
        <f>SUMIFS(FACILITIES!M:M,FACILITIES!$B:$B,B41)</f>
        <v>0</v>
      </c>
      <c r="M41" s="143">
        <f>SUMIFS(FACILITIES!N:N,FACILITIES!$B:$B,B41)</f>
        <v>0</v>
      </c>
      <c r="N41" s="143">
        <f>SUMIFS(FACILITIES!O:O,FACILITIES!$B:$B,B41)</f>
        <v>0</v>
      </c>
      <c r="O41" s="143">
        <f>SUMIFS(FACILITIES!P:P,FACILITIES!$B:$B,B41)</f>
        <v>0</v>
      </c>
      <c r="P41" s="143">
        <f>SUMIFS(FACILITIES!Q:Q,FACILITIES!$B:$B,B41)</f>
        <v>0</v>
      </c>
      <c r="Q41" s="143">
        <f>SUMIFS(FACILITIES!R:R,FACILITIES!$B:$B,B41)</f>
        <v>0</v>
      </c>
      <c r="R41" s="143">
        <f>SUMIFS(FACILITIES!T:T,FACILITIES!B:B,B41)</f>
        <v>0</v>
      </c>
      <c r="S41" s="143">
        <f>SUMIFS(FACILITIES!S:S,FACILITIES!B:B,B41)</f>
        <v>0</v>
      </c>
      <c r="T41" s="143">
        <f>SUMIFS('F &amp; B'!G:G,'F &amp; B'!B:B,B41)</f>
        <v>5440</v>
      </c>
      <c r="U41" s="207">
        <f t="shared" si="1"/>
        <v>816</v>
      </c>
      <c r="V41" s="143">
        <f>SUMIFS('FIXED AMOUNT'!G:G,'FIXED AMOUNT'!B:B,B41)</f>
        <v>7000</v>
      </c>
      <c r="W41" s="121">
        <f t="shared" si="5"/>
        <v>14606</v>
      </c>
      <c r="X41" s="121">
        <f>SUMIFS('FIXED AMOUNT'!E:E,'FIXED AMOUNT'!B:B,'data base '!B:B)</f>
        <v>0</v>
      </c>
      <c r="Y41" s="121">
        <f>SUMIFS('FIXED AMOUNT'!F:F,'FIXED AMOUNT'!B:B,'data base '!B:B)</f>
        <v>0</v>
      </c>
      <c r="Z41" s="121">
        <f>SUMIFS('FIXED AMOUNT'!V:V,'FIXED AMOUNT'!B:B,B:B)</f>
        <v>0</v>
      </c>
      <c r="AA41" s="121">
        <f t="shared" si="2"/>
        <v>14606</v>
      </c>
      <c r="AB41" s="204">
        <f t="shared" si="3"/>
        <v>1460.6000000000001</v>
      </c>
      <c r="AC41" s="201">
        <v>45945</v>
      </c>
      <c r="AD41" s="121">
        <f t="shared" si="4"/>
        <v>16066.6</v>
      </c>
      <c r="AE41" s="205"/>
    </row>
    <row r="42" spans="1:31" x14ac:dyDescent="0.25">
      <c r="A42">
        <v>41</v>
      </c>
      <c r="B42" t="s">
        <v>202</v>
      </c>
      <c r="C42" t="s">
        <v>203</v>
      </c>
      <c r="D42" s="143">
        <f>SUMIFS(FACILITIES!E:E,FACILITIES!$B:$B,B42)</f>
        <v>900</v>
      </c>
      <c r="E42" s="143">
        <f>SUMIFS(FACILITIES!F:F,FACILITIES!$B:$B,$B42)</f>
        <v>0</v>
      </c>
      <c r="F42" s="143">
        <f>SUMIFS(FACILITIES!G:G,FACILITIES!$B:$B,B42)</f>
        <v>0</v>
      </c>
      <c r="G42" s="143">
        <f>SUMIFS(FACILITIES!H:H,FACILITIES!$B:$B,B42)</f>
        <v>0</v>
      </c>
      <c r="H42" s="143">
        <f>SUMIFS(FACILITIES!I:I,FACILITIES!$B:$B,B42)</f>
        <v>0</v>
      </c>
      <c r="I42" s="143">
        <f>SUMIFS(FACILITIES!J:J,FACILITIES!$B:$B,B42)</f>
        <v>0</v>
      </c>
      <c r="J42" s="143">
        <f>SUMIFS(FACILITIES!K:K,FACILITIES!$B:$B,B42)</f>
        <v>0</v>
      </c>
      <c r="K42" s="143">
        <f>SUMIFS(FACILITIES!L:L,FACILITIES!$B:$B,B42)</f>
        <v>0</v>
      </c>
      <c r="L42" s="143">
        <f>SUMIFS(FACILITIES!M:M,FACILITIES!$B:$B,B42)</f>
        <v>0</v>
      </c>
      <c r="M42" s="143">
        <f>SUMIFS(FACILITIES!N:N,FACILITIES!$B:$B,B42)</f>
        <v>0</v>
      </c>
      <c r="N42" s="143">
        <f>SUMIFS(FACILITIES!O:O,FACILITIES!$B:$B,B42)</f>
        <v>0</v>
      </c>
      <c r="O42" s="143">
        <f>SUMIFS(FACILITIES!P:P,FACILITIES!$B:$B,B42)</f>
        <v>0</v>
      </c>
      <c r="P42" s="143">
        <f>SUMIFS(FACILITIES!Q:Q,FACILITIES!$B:$B,B42)</f>
        <v>0</v>
      </c>
      <c r="Q42" s="143">
        <f>SUMIFS(FACILITIES!R:R,FACILITIES!$B:$B,B42)</f>
        <v>0</v>
      </c>
      <c r="R42" s="143">
        <f>SUMIFS(FACILITIES!T:T,FACILITIES!B:B,B42)</f>
        <v>0</v>
      </c>
      <c r="S42" s="143">
        <f>SUMIFS(FACILITIES!S:S,FACILITIES!B:B,B42)</f>
        <v>0</v>
      </c>
      <c r="T42" s="143">
        <f>SUMIFS('F &amp; B'!G:G,'F &amp; B'!B:B,B42)</f>
        <v>0</v>
      </c>
      <c r="U42" s="207">
        <f t="shared" si="1"/>
        <v>0</v>
      </c>
      <c r="V42" s="143">
        <f>SUMIFS('FIXED AMOUNT'!G:G,'FIXED AMOUNT'!B:B,B42)</f>
        <v>7000</v>
      </c>
      <c r="W42" s="121">
        <f t="shared" si="5"/>
        <v>7900</v>
      </c>
      <c r="X42" s="121">
        <f>SUMIFS('FIXED AMOUNT'!E:E,'FIXED AMOUNT'!B:B,'data base '!B:B)</f>
        <v>0</v>
      </c>
      <c r="Y42" s="121">
        <f>SUMIFS('FIXED AMOUNT'!F:F,'FIXED AMOUNT'!B:B,'data base '!B:B)</f>
        <v>0</v>
      </c>
      <c r="Z42" s="121">
        <f>SUMIFS('FIXED AMOUNT'!V:V,'FIXED AMOUNT'!B:B,B:B)</f>
        <v>58950</v>
      </c>
      <c r="AA42" s="121">
        <f t="shared" si="2"/>
        <v>66850</v>
      </c>
      <c r="AB42" s="204">
        <f t="shared" si="3"/>
        <v>790</v>
      </c>
      <c r="AC42" s="201">
        <v>45945</v>
      </c>
      <c r="AD42" s="121">
        <f t="shared" si="4"/>
        <v>67640</v>
      </c>
      <c r="AE42" s="205"/>
    </row>
    <row r="43" spans="1:31" x14ac:dyDescent="0.25">
      <c r="A43">
        <v>42</v>
      </c>
      <c r="B43" t="s">
        <v>795</v>
      </c>
      <c r="C43" t="s">
        <v>796</v>
      </c>
      <c r="D43" s="143">
        <f>SUMIFS(FACILITIES!E:E,FACILITIES!$B:$B,B43)</f>
        <v>5700</v>
      </c>
      <c r="E43" s="143">
        <f>SUMIFS(FACILITIES!F:F,FACILITIES!$B:$B,$B43)</f>
        <v>0</v>
      </c>
      <c r="F43" s="143">
        <f>SUMIFS(FACILITIES!G:G,FACILITIES!$B:$B,B43)</f>
        <v>0</v>
      </c>
      <c r="G43" s="143">
        <f>SUMIFS(FACILITIES!H:H,FACILITIES!$B:$B,B43)</f>
        <v>0</v>
      </c>
      <c r="H43" s="143">
        <f>SUMIFS(FACILITIES!I:I,FACILITIES!$B:$B,B43)</f>
        <v>0</v>
      </c>
      <c r="I43" s="143">
        <f>SUMIFS(FACILITIES!J:J,FACILITIES!$B:$B,B43)</f>
        <v>1000</v>
      </c>
      <c r="J43" s="143">
        <f>SUMIFS(FACILITIES!K:K,FACILITIES!$B:$B,B43)</f>
        <v>1200</v>
      </c>
      <c r="K43" s="143">
        <f>SUMIFS(FACILITIES!L:L,FACILITIES!$B:$B,B43)</f>
        <v>0</v>
      </c>
      <c r="L43" s="143">
        <f>SUMIFS(FACILITIES!M:M,FACILITIES!$B:$B,B43)</f>
        <v>0</v>
      </c>
      <c r="M43" s="143">
        <f>SUMIFS(FACILITIES!N:N,FACILITIES!$B:$B,B43)</f>
        <v>0</v>
      </c>
      <c r="N43" s="143">
        <f>SUMIFS(FACILITIES!O:O,FACILITIES!$B:$B,B43)</f>
        <v>5500</v>
      </c>
      <c r="O43" s="143">
        <f>SUMIFS(FACILITIES!P:P,FACILITIES!$B:$B,B43)</f>
        <v>0</v>
      </c>
      <c r="P43" s="143">
        <f>SUMIFS(FACILITIES!Q:Q,FACILITIES!$B:$B,B43)</f>
        <v>0</v>
      </c>
      <c r="Q43" s="143">
        <f>SUMIFS(FACILITIES!R:R,FACILITIES!$B:$B,B43)</f>
        <v>0</v>
      </c>
      <c r="R43" s="143">
        <f>SUMIFS(FACILITIES!T:T,FACILITIES!B:B,B43)</f>
        <v>0</v>
      </c>
      <c r="S43" s="143">
        <f>SUMIFS(FACILITIES!S:S,FACILITIES!B:B,B43)</f>
        <v>0</v>
      </c>
      <c r="T43" s="143">
        <f>SUMIFS('F &amp; B'!G:G,'F &amp; B'!B:B,B43)</f>
        <v>40562</v>
      </c>
      <c r="U43" s="207">
        <f t="shared" si="1"/>
        <v>6084.3</v>
      </c>
      <c r="V43" s="143">
        <f>SUMIFS('FIXED AMOUNT'!G:G,'FIXED AMOUNT'!B:B,B43)</f>
        <v>7000</v>
      </c>
      <c r="W43" s="121">
        <f t="shared" si="5"/>
        <v>67046.3</v>
      </c>
      <c r="X43" s="121">
        <f>SUMIFS('FIXED AMOUNT'!E:E,'FIXED AMOUNT'!B:B,'data base '!B:B)</f>
        <v>0</v>
      </c>
      <c r="Y43" s="121">
        <f>SUMIFS('FIXED AMOUNT'!F:F,'FIXED AMOUNT'!B:B,'data base '!B:B)</f>
        <v>0</v>
      </c>
      <c r="Z43" s="121">
        <f>SUMIFS('FIXED AMOUNT'!V:V,'FIXED AMOUNT'!B:B,B:B)</f>
        <v>0</v>
      </c>
      <c r="AA43" s="121">
        <f t="shared" si="2"/>
        <v>67046.3</v>
      </c>
      <c r="AB43" s="204">
        <f t="shared" si="3"/>
        <v>6704.630000000001</v>
      </c>
      <c r="AC43" s="201">
        <v>45945</v>
      </c>
      <c r="AD43" s="121">
        <f t="shared" si="4"/>
        <v>73750.930000000008</v>
      </c>
      <c r="AE43" s="205"/>
    </row>
    <row r="44" spans="1:31" x14ac:dyDescent="0.25">
      <c r="A44">
        <v>43</v>
      </c>
      <c r="B44" t="s">
        <v>207</v>
      </c>
      <c r="C44" t="s">
        <v>208</v>
      </c>
      <c r="D44" s="143">
        <f>SUMIFS(FACILITIES!E:E,FACILITIES!$B:$B,B44)</f>
        <v>0</v>
      </c>
      <c r="E44" s="143">
        <f>SUMIFS(FACILITIES!F:F,FACILITIES!$B:$B,$B44)</f>
        <v>0</v>
      </c>
      <c r="F44" s="143">
        <f>SUMIFS(FACILITIES!G:G,FACILITIES!$B:$B,B44)</f>
        <v>0</v>
      </c>
      <c r="G44" s="143">
        <f>SUMIFS(FACILITIES!H:H,FACILITIES!$B:$B,B44)</f>
        <v>0</v>
      </c>
      <c r="H44" s="143">
        <f>SUMIFS(FACILITIES!I:I,FACILITIES!$B:$B,B44)</f>
        <v>0</v>
      </c>
      <c r="I44" s="143">
        <f>SUMIFS(FACILITIES!J:J,FACILITIES!$B:$B,B44)</f>
        <v>0</v>
      </c>
      <c r="J44" s="143">
        <f>SUMIFS(FACILITIES!K:K,FACILITIES!$B:$B,B44)</f>
        <v>0</v>
      </c>
      <c r="K44" s="143">
        <f>SUMIFS(FACILITIES!L:L,FACILITIES!$B:$B,B44)</f>
        <v>0</v>
      </c>
      <c r="L44" s="143">
        <f>SUMIFS(FACILITIES!M:M,FACILITIES!$B:$B,B44)</f>
        <v>0</v>
      </c>
      <c r="M44" s="143">
        <f>SUMIFS(FACILITIES!N:N,FACILITIES!$B:$B,B44)</f>
        <v>0</v>
      </c>
      <c r="N44" s="143">
        <f>SUMIFS(FACILITIES!O:O,FACILITIES!$B:$B,B44)</f>
        <v>0</v>
      </c>
      <c r="O44" s="143">
        <f>SUMIFS(FACILITIES!P:P,FACILITIES!$B:$B,B44)</f>
        <v>300</v>
      </c>
      <c r="P44" s="143">
        <f>SUMIFS(FACILITIES!Q:Q,FACILITIES!$B:$B,B44)</f>
        <v>0</v>
      </c>
      <c r="Q44" s="143">
        <f>SUMIFS(FACILITIES!R:R,FACILITIES!$B:$B,B44)</f>
        <v>0</v>
      </c>
      <c r="R44" s="143">
        <f>SUMIFS(FACILITIES!T:T,FACILITIES!B:B,B44)</f>
        <v>0</v>
      </c>
      <c r="S44" s="143">
        <f>SUMIFS(FACILITIES!S:S,FACILITIES!B:B,B44)</f>
        <v>0</v>
      </c>
      <c r="T44" s="143">
        <f>SUMIFS('F &amp; B'!G:G,'F &amp; B'!B:B,B44)</f>
        <v>0</v>
      </c>
      <c r="U44" s="207">
        <f t="shared" si="1"/>
        <v>0</v>
      </c>
      <c r="V44" s="143">
        <f>SUMIFS('FIXED AMOUNT'!G:G,'FIXED AMOUNT'!B:B,B44)</f>
        <v>7000</v>
      </c>
      <c r="W44" s="121">
        <f t="shared" si="5"/>
        <v>7300</v>
      </c>
      <c r="X44" s="121">
        <f>SUMIFS('FIXED AMOUNT'!E:E,'FIXED AMOUNT'!B:B,'data base '!B:B)</f>
        <v>0</v>
      </c>
      <c r="Y44" s="121">
        <f>SUMIFS('FIXED AMOUNT'!F:F,'FIXED AMOUNT'!B:B,'data base '!B:B)</f>
        <v>0</v>
      </c>
      <c r="Z44" s="121">
        <f>SUMIFS('FIXED AMOUNT'!V:V,'FIXED AMOUNT'!B:B,B:B)</f>
        <v>0</v>
      </c>
      <c r="AA44" s="121">
        <f t="shared" si="2"/>
        <v>7300</v>
      </c>
      <c r="AB44" s="204">
        <f t="shared" si="3"/>
        <v>730</v>
      </c>
      <c r="AC44" s="201">
        <v>45945</v>
      </c>
      <c r="AD44" s="121">
        <f t="shared" si="4"/>
        <v>8030</v>
      </c>
      <c r="AE44" s="121"/>
    </row>
    <row r="45" spans="1:31" x14ac:dyDescent="0.25">
      <c r="A45">
        <v>44</v>
      </c>
      <c r="B45" t="s">
        <v>212</v>
      </c>
      <c r="C45" t="s">
        <v>213</v>
      </c>
      <c r="D45" s="143">
        <f>SUMIFS(FACILITIES!E:E,FACILITIES!$B:$B,B45)</f>
        <v>0</v>
      </c>
      <c r="E45" s="143">
        <f>SUMIFS(FACILITIES!F:F,FACILITIES!$B:$B,$B45)</f>
        <v>0</v>
      </c>
      <c r="F45" s="143">
        <f>SUMIFS(FACILITIES!G:G,FACILITIES!$B:$B,B45)</f>
        <v>0</v>
      </c>
      <c r="G45" s="143">
        <f>SUMIFS(FACILITIES!H:H,FACILITIES!$B:$B,B45)</f>
        <v>0</v>
      </c>
      <c r="H45" s="143">
        <f>SUMIFS(FACILITIES!I:I,FACILITIES!$B:$B,B45)</f>
        <v>0</v>
      </c>
      <c r="I45" s="143">
        <f>SUMIFS(FACILITIES!J:J,FACILITIES!$B:$B,B45)</f>
        <v>0</v>
      </c>
      <c r="J45" s="143">
        <f>SUMIFS(FACILITIES!K:K,FACILITIES!$B:$B,B45)</f>
        <v>0</v>
      </c>
      <c r="K45" s="143">
        <f>SUMIFS(FACILITIES!L:L,FACILITIES!$B:$B,B45)</f>
        <v>0</v>
      </c>
      <c r="L45" s="143">
        <f>SUMIFS(FACILITIES!M:M,FACILITIES!$B:$B,B45)</f>
        <v>0</v>
      </c>
      <c r="M45" s="143">
        <f>SUMIFS(FACILITIES!N:N,FACILITIES!$B:$B,B45)</f>
        <v>0</v>
      </c>
      <c r="N45" s="143">
        <f>SUMIFS(FACILITIES!O:O,FACILITIES!$B:$B,B45)</f>
        <v>0</v>
      </c>
      <c r="O45" s="143">
        <f>SUMIFS(FACILITIES!P:P,FACILITIES!$B:$B,B45)</f>
        <v>0</v>
      </c>
      <c r="P45" s="143">
        <f>SUMIFS(FACILITIES!Q:Q,FACILITIES!$B:$B,B45)</f>
        <v>0</v>
      </c>
      <c r="Q45" s="143">
        <f>SUMIFS(FACILITIES!R:R,FACILITIES!$B:$B,B45)</f>
        <v>0</v>
      </c>
      <c r="R45" s="143">
        <f>SUMIFS(FACILITIES!T:T,FACILITIES!B:B,B45)</f>
        <v>0</v>
      </c>
      <c r="S45" s="143">
        <f>SUMIFS(FACILITIES!S:S,FACILITIES!B:B,B45)</f>
        <v>0</v>
      </c>
      <c r="T45" s="143">
        <f>SUMIFS('F &amp; B'!G:G,'F &amp; B'!B:B,B45)</f>
        <v>0</v>
      </c>
      <c r="U45" s="207">
        <f t="shared" si="1"/>
        <v>0</v>
      </c>
      <c r="V45" s="143">
        <f>SUMIFS('FIXED AMOUNT'!G:G,'FIXED AMOUNT'!B:B,B45)</f>
        <v>7000</v>
      </c>
      <c r="W45" s="121">
        <f t="shared" si="5"/>
        <v>7000</v>
      </c>
      <c r="X45" s="121">
        <f>SUMIFS('FIXED AMOUNT'!E:E,'FIXED AMOUNT'!B:B,'data base '!B:B)</f>
        <v>0</v>
      </c>
      <c r="Y45" s="121">
        <f>SUMIFS('FIXED AMOUNT'!F:F,'FIXED AMOUNT'!B:B,'data base '!B:B)</f>
        <v>0</v>
      </c>
      <c r="Z45" s="121">
        <f>SUMIFS('FIXED AMOUNT'!V:V,'FIXED AMOUNT'!B:B,B:B)</f>
        <v>33021</v>
      </c>
      <c r="AA45" s="121">
        <f t="shared" si="2"/>
        <v>40021</v>
      </c>
      <c r="AB45" s="204">
        <f t="shared" si="3"/>
        <v>700</v>
      </c>
      <c r="AC45" s="201">
        <v>45945</v>
      </c>
      <c r="AD45" s="121">
        <f t="shared" si="4"/>
        <v>40721</v>
      </c>
      <c r="AE45" s="121"/>
    </row>
    <row r="46" spans="1:31" x14ac:dyDescent="0.25">
      <c r="A46">
        <v>45</v>
      </c>
      <c r="B46" t="s">
        <v>217</v>
      </c>
      <c r="C46" t="s">
        <v>218</v>
      </c>
      <c r="D46" s="143">
        <f>SUMIFS(FACILITIES!E:E,FACILITIES!$B:$B,B46)</f>
        <v>0</v>
      </c>
      <c r="E46" s="143">
        <f>SUMIFS(FACILITIES!F:F,FACILITIES!$B:$B,$B46)</f>
        <v>3150</v>
      </c>
      <c r="F46" s="143">
        <f>SUMIFS(FACILITIES!G:G,FACILITIES!$B:$B,B46)</f>
        <v>0</v>
      </c>
      <c r="G46" s="143">
        <f>SUMIFS(FACILITIES!H:H,FACILITIES!$B:$B,B46)</f>
        <v>0</v>
      </c>
      <c r="H46" s="143">
        <f>SUMIFS(FACILITIES!I:I,FACILITIES!$B:$B,B46)</f>
        <v>0</v>
      </c>
      <c r="I46" s="143">
        <f>SUMIFS(FACILITIES!J:J,FACILITIES!$B:$B,B46)</f>
        <v>600</v>
      </c>
      <c r="J46" s="143">
        <f>SUMIFS(FACILITIES!K:K,FACILITIES!$B:$B,B46)</f>
        <v>600</v>
      </c>
      <c r="K46" s="143">
        <f>SUMIFS(FACILITIES!L:L,FACILITIES!$B:$B,B46)</f>
        <v>0</v>
      </c>
      <c r="L46" s="143">
        <f>SUMIFS(FACILITIES!M:M,FACILITIES!$B:$B,B46)</f>
        <v>0</v>
      </c>
      <c r="M46" s="143">
        <f>SUMIFS(FACILITIES!N:N,FACILITIES!$B:$B,B46)</f>
        <v>0</v>
      </c>
      <c r="N46" s="143">
        <f>SUMIFS(FACILITIES!O:O,FACILITIES!$B:$B,B46)</f>
        <v>0</v>
      </c>
      <c r="O46" s="143">
        <f>SUMIFS(FACILITIES!P:P,FACILITIES!$B:$B,B46)</f>
        <v>0</v>
      </c>
      <c r="P46" s="143">
        <f>SUMIFS(FACILITIES!Q:Q,FACILITIES!$B:$B,B46)</f>
        <v>0</v>
      </c>
      <c r="Q46" s="143">
        <f>SUMIFS(FACILITIES!R:R,FACILITIES!$B:$B,B46)</f>
        <v>0</v>
      </c>
      <c r="R46" s="143">
        <f>SUMIFS(FACILITIES!T:T,FACILITIES!B:B,B46)</f>
        <v>4000</v>
      </c>
      <c r="S46" s="143">
        <f>SUMIFS(FACILITIES!S:S,FACILITIES!B:B,B46)</f>
        <v>0</v>
      </c>
      <c r="T46" s="143">
        <f>SUMIFS('F &amp; B'!G:G,'F &amp; B'!B:B,B46)</f>
        <v>9400</v>
      </c>
      <c r="U46" s="207">
        <f t="shared" si="1"/>
        <v>1410</v>
      </c>
      <c r="V46" s="143">
        <f>SUMIFS('FIXED AMOUNT'!G:G,'FIXED AMOUNT'!B:B,B46)</f>
        <v>7000</v>
      </c>
      <c r="W46" s="121">
        <f t="shared" si="5"/>
        <v>26160</v>
      </c>
      <c r="X46" s="121">
        <f>SUMIFS('FIXED AMOUNT'!E:E,'FIXED AMOUNT'!B:B,'data base '!B:B)</f>
        <v>0</v>
      </c>
      <c r="Y46" s="121">
        <f>SUMIFS('FIXED AMOUNT'!F:F,'FIXED AMOUNT'!B:B,'data base '!B:B)</f>
        <v>0</v>
      </c>
      <c r="Z46" s="121">
        <f>SUMIFS('FIXED AMOUNT'!V:V,'FIXED AMOUNT'!B:B,B:B)</f>
        <v>0</v>
      </c>
      <c r="AA46" s="121">
        <f t="shared" si="2"/>
        <v>26160</v>
      </c>
      <c r="AB46" s="204">
        <f t="shared" si="3"/>
        <v>2616</v>
      </c>
      <c r="AC46" s="201">
        <v>45945</v>
      </c>
      <c r="AD46" s="121">
        <f t="shared" si="4"/>
        <v>28776</v>
      </c>
      <c r="AE46" s="205"/>
    </row>
    <row r="47" spans="1:31" x14ac:dyDescent="0.25">
      <c r="A47">
        <v>46</v>
      </c>
      <c r="B47" t="s">
        <v>221</v>
      </c>
      <c r="C47" t="s">
        <v>222</v>
      </c>
      <c r="D47" s="143">
        <f>SUMIFS(FACILITIES!E:E,FACILITIES!$B:$B,B47)</f>
        <v>2700</v>
      </c>
      <c r="E47" s="143">
        <f>SUMIFS(FACILITIES!F:F,FACILITIES!$B:$B,$B47)</f>
        <v>0</v>
      </c>
      <c r="F47" s="143">
        <f>SUMIFS(FACILITIES!G:G,FACILITIES!$B:$B,B47)</f>
        <v>0</v>
      </c>
      <c r="G47" s="143">
        <f>SUMIFS(FACILITIES!H:H,FACILITIES!$B:$B,B47)</f>
        <v>0</v>
      </c>
      <c r="H47" s="143">
        <f>SUMIFS(FACILITIES!I:I,FACILITIES!$B:$B,B47)</f>
        <v>0</v>
      </c>
      <c r="I47" s="143">
        <f>SUMIFS(FACILITIES!J:J,FACILITIES!$B:$B,B47)</f>
        <v>0</v>
      </c>
      <c r="J47" s="143">
        <f>SUMIFS(FACILITIES!K:K,FACILITIES!$B:$B,B47)</f>
        <v>0</v>
      </c>
      <c r="K47" s="143">
        <f>SUMIFS(FACILITIES!L:L,FACILITIES!$B:$B,B47)</f>
        <v>0</v>
      </c>
      <c r="L47" s="143">
        <f>SUMIFS(FACILITIES!M:M,FACILITIES!$B:$B,B47)</f>
        <v>0</v>
      </c>
      <c r="M47" s="143">
        <f>SUMIFS(FACILITIES!N:N,FACILITIES!$B:$B,B47)</f>
        <v>0</v>
      </c>
      <c r="N47" s="143">
        <f>SUMIFS(FACILITIES!O:O,FACILITIES!$B:$B,B47)</f>
        <v>0</v>
      </c>
      <c r="O47" s="143">
        <f>SUMIFS(FACILITIES!P:P,FACILITIES!$B:$B,B47)</f>
        <v>0</v>
      </c>
      <c r="P47" s="143">
        <f>SUMIFS(FACILITIES!Q:Q,FACILITIES!$B:$B,B47)</f>
        <v>0</v>
      </c>
      <c r="Q47" s="143">
        <f>SUMIFS(FACILITIES!R:R,FACILITIES!$B:$B,B47)</f>
        <v>0</v>
      </c>
      <c r="R47" s="143">
        <f>SUMIFS(FACILITIES!T:T,FACILITIES!B:B,B47)</f>
        <v>0</v>
      </c>
      <c r="S47" s="143">
        <f>SUMIFS(FACILITIES!S:S,FACILITIES!B:B,B47)</f>
        <v>0</v>
      </c>
      <c r="T47" s="143">
        <f>SUMIFS('F &amp; B'!G:G,'F &amp; B'!B:B,B47)</f>
        <v>15807</v>
      </c>
      <c r="U47" s="207">
        <f t="shared" si="1"/>
        <v>2371.0499999999997</v>
      </c>
      <c r="V47" s="143">
        <f>SUMIFS('FIXED AMOUNT'!G:G,'FIXED AMOUNT'!B:B,B47)</f>
        <v>7000</v>
      </c>
      <c r="W47" s="121">
        <f t="shared" si="5"/>
        <v>27878.05</v>
      </c>
      <c r="X47" s="121">
        <f>SUMIFS('FIXED AMOUNT'!E:E,'FIXED AMOUNT'!B:B,'data base '!B:B)</f>
        <v>0</v>
      </c>
      <c r="Y47" s="121">
        <f>SUMIFS('FIXED AMOUNT'!F:F,'FIXED AMOUNT'!B:B,'data base '!B:B)</f>
        <v>0</v>
      </c>
      <c r="Z47" s="121">
        <f>SUMIFS('FIXED AMOUNT'!V:V,'FIXED AMOUNT'!B:B,B:B)</f>
        <v>9023</v>
      </c>
      <c r="AA47" s="121">
        <f t="shared" si="2"/>
        <v>36901.050000000003</v>
      </c>
      <c r="AB47" s="204">
        <f t="shared" si="3"/>
        <v>2787.8050000000003</v>
      </c>
      <c r="AC47" s="201">
        <v>45945</v>
      </c>
      <c r="AD47" s="121">
        <f t="shared" si="4"/>
        <v>39688.855000000003</v>
      </c>
      <c r="AE47" s="205"/>
    </row>
    <row r="48" spans="1:31" x14ac:dyDescent="0.25">
      <c r="A48">
        <v>47</v>
      </c>
      <c r="B48" t="s">
        <v>226</v>
      </c>
      <c r="C48" t="s">
        <v>227</v>
      </c>
      <c r="D48" s="143">
        <f>SUMIFS(FACILITIES!E:E,FACILITIES!$B:$B,B48)</f>
        <v>0</v>
      </c>
      <c r="E48" s="143">
        <f>SUMIFS(FACILITIES!F:F,FACILITIES!$B:$B,$B48)</f>
        <v>150</v>
      </c>
      <c r="F48" s="143">
        <f>SUMIFS(FACILITIES!G:G,FACILITIES!$B:$B,B48)</f>
        <v>0</v>
      </c>
      <c r="G48" s="143">
        <f>SUMIFS(FACILITIES!H:H,FACILITIES!$B:$B,B48)</f>
        <v>0</v>
      </c>
      <c r="H48" s="143">
        <f>SUMIFS(FACILITIES!I:I,FACILITIES!$B:$B,B48)</f>
        <v>0</v>
      </c>
      <c r="I48" s="143">
        <f>SUMIFS(FACILITIES!J:J,FACILITIES!$B:$B,B48)</f>
        <v>2100</v>
      </c>
      <c r="J48" s="143">
        <f>SUMIFS(FACILITIES!K:K,FACILITIES!$B:$B,B48)</f>
        <v>0</v>
      </c>
      <c r="K48" s="143">
        <f>SUMIFS(FACILITIES!L:L,FACILITIES!$B:$B,B48)</f>
        <v>0</v>
      </c>
      <c r="L48" s="143">
        <f>SUMIFS(FACILITIES!M:M,FACILITIES!$B:$B,B48)</f>
        <v>0</v>
      </c>
      <c r="M48" s="143">
        <f>SUMIFS(FACILITIES!N:N,FACILITIES!$B:$B,B48)</f>
        <v>0</v>
      </c>
      <c r="N48" s="143">
        <f>SUMIFS(FACILITIES!O:O,FACILITIES!$B:$B,B48)</f>
        <v>0</v>
      </c>
      <c r="O48" s="143">
        <f>SUMIFS(FACILITIES!P:P,FACILITIES!$B:$B,B48)</f>
        <v>0</v>
      </c>
      <c r="P48" s="143">
        <f>SUMIFS(FACILITIES!Q:Q,FACILITIES!$B:$B,B48)</f>
        <v>0</v>
      </c>
      <c r="Q48" s="143">
        <f>SUMIFS(FACILITIES!R:R,FACILITIES!$B:$B,B48)</f>
        <v>0</v>
      </c>
      <c r="R48" s="143">
        <f>SUMIFS(FACILITIES!T:T,FACILITIES!B:B,B48)</f>
        <v>0</v>
      </c>
      <c r="S48" s="143">
        <f>SUMIFS(FACILITIES!S:S,FACILITIES!B:B,B48)</f>
        <v>0</v>
      </c>
      <c r="T48" s="143">
        <f>SUMIFS('F &amp; B'!G:G,'F &amp; B'!B:B,B48)</f>
        <v>27850</v>
      </c>
      <c r="U48" s="207">
        <f t="shared" si="1"/>
        <v>4177.5</v>
      </c>
      <c r="V48" s="143">
        <f>SUMIFS('FIXED AMOUNT'!G:G,'FIXED AMOUNT'!B:B,B48)</f>
        <v>7000</v>
      </c>
      <c r="W48" s="121">
        <f t="shared" si="5"/>
        <v>41277.5</v>
      </c>
      <c r="X48" s="121">
        <f>SUMIFS('FIXED AMOUNT'!E:E,'FIXED AMOUNT'!B:B,'data base '!B:B)</f>
        <v>0</v>
      </c>
      <c r="Y48" s="121">
        <f>SUMIFS('FIXED AMOUNT'!F:F,'FIXED AMOUNT'!B:B,'data base '!B:B)</f>
        <v>0</v>
      </c>
      <c r="Z48" s="121">
        <f>SUMIFS('FIXED AMOUNT'!V:V,'FIXED AMOUNT'!B:B,B:B)</f>
        <v>0</v>
      </c>
      <c r="AA48" s="121">
        <f t="shared" si="2"/>
        <v>41277.5</v>
      </c>
      <c r="AB48" s="204">
        <f t="shared" si="3"/>
        <v>4127.75</v>
      </c>
      <c r="AC48" s="201">
        <v>45945</v>
      </c>
      <c r="AD48" s="121">
        <f t="shared" si="4"/>
        <v>45405.25</v>
      </c>
      <c r="AE48" s="205"/>
    </row>
    <row r="49" spans="1:31" x14ac:dyDescent="0.25">
      <c r="A49">
        <v>48</v>
      </c>
      <c r="B49" t="s">
        <v>230</v>
      </c>
      <c r="C49" t="s">
        <v>231</v>
      </c>
      <c r="D49" s="143">
        <f>SUMIFS(FACILITIES!E:E,FACILITIES!$B:$B,B49)</f>
        <v>0</v>
      </c>
      <c r="E49" s="143">
        <f>SUMIFS(FACILITIES!F:F,FACILITIES!$B:$B,$B49)</f>
        <v>0</v>
      </c>
      <c r="F49" s="143">
        <f>SUMIFS(FACILITIES!G:G,FACILITIES!$B:$B,B49)</f>
        <v>0</v>
      </c>
      <c r="G49" s="143">
        <f>SUMIFS(FACILITIES!H:H,FACILITIES!$B:$B,B49)</f>
        <v>0</v>
      </c>
      <c r="H49" s="143">
        <f>SUMIFS(FACILITIES!I:I,FACILITIES!$B:$B,B49)</f>
        <v>0</v>
      </c>
      <c r="I49" s="143">
        <f>SUMIFS(FACILITIES!J:J,FACILITIES!$B:$B,B49)</f>
        <v>0</v>
      </c>
      <c r="J49" s="143">
        <f>SUMIFS(FACILITIES!K:K,FACILITIES!$B:$B,B49)</f>
        <v>0</v>
      </c>
      <c r="K49" s="143">
        <f>SUMIFS(FACILITIES!L:L,FACILITIES!$B:$B,B49)</f>
        <v>0</v>
      </c>
      <c r="L49" s="143">
        <f>SUMIFS(FACILITIES!M:M,FACILITIES!$B:$B,B49)</f>
        <v>0</v>
      </c>
      <c r="M49" s="143">
        <f>SUMIFS(FACILITIES!N:N,FACILITIES!$B:$B,B49)</f>
        <v>0</v>
      </c>
      <c r="N49" s="143">
        <f>SUMIFS(FACILITIES!O:O,FACILITIES!$B:$B,B49)</f>
        <v>0</v>
      </c>
      <c r="O49" s="143">
        <f>SUMIFS(FACILITIES!P:P,FACILITIES!$B:$B,B49)</f>
        <v>0</v>
      </c>
      <c r="P49" s="143">
        <f>SUMIFS(FACILITIES!Q:Q,FACILITIES!$B:$B,B49)</f>
        <v>0</v>
      </c>
      <c r="Q49" s="143">
        <f>SUMIFS(FACILITIES!R:R,FACILITIES!$B:$B,B49)</f>
        <v>0</v>
      </c>
      <c r="R49" s="143">
        <f>SUMIFS(FACILITIES!T:T,FACILITIES!B:B,B49)</f>
        <v>0</v>
      </c>
      <c r="S49" s="143">
        <f>SUMIFS(FACILITIES!S:S,FACILITIES!B:B,B49)</f>
        <v>0</v>
      </c>
      <c r="T49" s="143">
        <f>SUMIFS('F &amp; B'!G:G,'F &amp; B'!B:B,B49)</f>
        <v>21050</v>
      </c>
      <c r="U49" s="207">
        <f t="shared" si="1"/>
        <v>3157.5</v>
      </c>
      <c r="V49" s="143">
        <f>SUMIFS('FIXED AMOUNT'!G:G,'FIXED AMOUNT'!B:B,B49)</f>
        <v>7000</v>
      </c>
      <c r="W49" s="121">
        <f t="shared" si="5"/>
        <v>31207.5</v>
      </c>
      <c r="X49" s="121">
        <f>SUMIFS('FIXED AMOUNT'!E:E,'FIXED AMOUNT'!B:B,'data base '!B:B)</f>
        <v>0</v>
      </c>
      <c r="Y49" s="121">
        <f>SUMIFS('FIXED AMOUNT'!F:F,'FIXED AMOUNT'!B:B,'data base '!B:B)</f>
        <v>0</v>
      </c>
      <c r="Z49" s="121">
        <f>SUMIFS('FIXED AMOUNT'!V:V,'FIXED AMOUNT'!B:B,B:B)</f>
        <v>0</v>
      </c>
      <c r="AA49" s="121">
        <f t="shared" si="2"/>
        <v>31207.5</v>
      </c>
      <c r="AB49" s="204">
        <f t="shared" si="3"/>
        <v>3120.75</v>
      </c>
      <c r="AC49" s="201">
        <v>45945</v>
      </c>
      <c r="AD49" s="121">
        <f t="shared" si="4"/>
        <v>34328.25</v>
      </c>
      <c r="AE49" s="205"/>
    </row>
    <row r="50" spans="1:31" x14ac:dyDescent="0.25">
      <c r="A50">
        <v>49</v>
      </c>
      <c r="B50" t="s">
        <v>235</v>
      </c>
      <c r="C50" t="s">
        <v>236</v>
      </c>
      <c r="D50" s="143">
        <f>SUMIFS(FACILITIES!E:E,FACILITIES!$B:$B,B50)</f>
        <v>2400</v>
      </c>
      <c r="E50" s="143">
        <f>SUMIFS(FACILITIES!F:F,FACILITIES!$B:$B,$B50)</f>
        <v>1200</v>
      </c>
      <c r="F50" s="143">
        <f>SUMIFS(FACILITIES!G:G,FACILITIES!$B:$B,B50)</f>
        <v>0</v>
      </c>
      <c r="G50" s="143">
        <f>SUMIFS(FACILITIES!H:H,FACILITIES!$B:$B,B50)</f>
        <v>0</v>
      </c>
      <c r="H50" s="143">
        <f>SUMIFS(FACILITIES!I:I,FACILITIES!$B:$B,B50)</f>
        <v>0</v>
      </c>
      <c r="I50" s="143">
        <f>SUMIFS(FACILITIES!J:J,FACILITIES!$B:$B,B50)</f>
        <v>1800</v>
      </c>
      <c r="J50" s="143">
        <f>SUMIFS(FACILITIES!K:K,FACILITIES!$B:$B,B50)</f>
        <v>1800</v>
      </c>
      <c r="K50" s="143">
        <f>SUMIFS(FACILITIES!L:L,FACILITIES!$B:$B,B50)</f>
        <v>0</v>
      </c>
      <c r="L50" s="143">
        <f>SUMIFS(FACILITIES!M:M,FACILITIES!$B:$B,B50)</f>
        <v>0</v>
      </c>
      <c r="M50" s="143">
        <f>SUMIFS(FACILITIES!N:N,FACILITIES!$B:$B,B50)</f>
        <v>0</v>
      </c>
      <c r="N50" s="143">
        <f>SUMIFS(FACILITIES!O:O,FACILITIES!$B:$B,B50)</f>
        <v>2250</v>
      </c>
      <c r="O50" s="143">
        <f>SUMIFS(FACILITIES!P:P,FACILITIES!$B:$B,B50)</f>
        <v>0</v>
      </c>
      <c r="P50" s="143">
        <f>SUMIFS(FACILITIES!Q:Q,FACILITIES!$B:$B,B50)</f>
        <v>0</v>
      </c>
      <c r="Q50" s="143">
        <f>SUMIFS(FACILITIES!R:R,FACILITIES!$B:$B,B50)</f>
        <v>0</v>
      </c>
      <c r="R50" s="143">
        <f>SUMIFS(FACILITIES!T:T,FACILITIES!B:B,B50)</f>
        <v>2000</v>
      </c>
      <c r="S50" s="143">
        <f>SUMIFS(FACILITIES!S:S,FACILITIES!B:B,B50)</f>
        <v>0</v>
      </c>
      <c r="T50" s="143">
        <f>SUMIFS('F &amp; B'!G:G,'F &amp; B'!B:B,B50)</f>
        <v>17159</v>
      </c>
      <c r="U50" s="207">
        <f t="shared" si="1"/>
        <v>2573.85</v>
      </c>
      <c r="V50" s="143">
        <f>SUMIFS('FIXED AMOUNT'!G:G,'FIXED AMOUNT'!B:B,B50)</f>
        <v>7000</v>
      </c>
      <c r="W50" s="121">
        <f t="shared" si="5"/>
        <v>38182.85</v>
      </c>
      <c r="X50" s="121">
        <f>SUMIFS('FIXED AMOUNT'!E:E,'FIXED AMOUNT'!B:B,'data base '!B:B)</f>
        <v>0</v>
      </c>
      <c r="Y50" s="121">
        <f>SUMIFS('FIXED AMOUNT'!F:F,'FIXED AMOUNT'!B:B,'data base '!B:B)</f>
        <v>0</v>
      </c>
      <c r="Z50" s="121">
        <f>SUMIFS('FIXED AMOUNT'!V:V,'FIXED AMOUNT'!B:B,B:B)</f>
        <v>0</v>
      </c>
      <c r="AA50" s="121">
        <f t="shared" si="2"/>
        <v>38182.85</v>
      </c>
      <c r="AB50" s="204">
        <f t="shared" si="3"/>
        <v>3818.2849999999999</v>
      </c>
      <c r="AC50" s="201">
        <v>45945</v>
      </c>
      <c r="AD50" s="121">
        <f t="shared" si="4"/>
        <v>42001.134999999995</v>
      </c>
      <c r="AE50" s="205"/>
    </row>
    <row r="51" spans="1:31" x14ac:dyDescent="0.25">
      <c r="A51">
        <v>50</v>
      </c>
      <c r="B51" t="s">
        <v>240</v>
      </c>
      <c r="C51" t="s">
        <v>241</v>
      </c>
      <c r="D51" s="143">
        <f>SUMIFS(FACILITIES!E:E,FACILITIES!$B:$B,B51)</f>
        <v>0</v>
      </c>
      <c r="E51" s="143">
        <f>SUMIFS(FACILITIES!F:F,FACILITIES!$B:$B,$B51)</f>
        <v>0</v>
      </c>
      <c r="F51" s="143">
        <f>SUMIFS(FACILITIES!G:G,FACILITIES!$B:$B,B51)</f>
        <v>0</v>
      </c>
      <c r="G51" s="143">
        <f>SUMIFS(FACILITIES!H:H,FACILITIES!$B:$B,B51)</f>
        <v>0</v>
      </c>
      <c r="H51" s="143">
        <f>SUMIFS(FACILITIES!I:I,FACILITIES!$B:$B,B51)</f>
        <v>0</v>
      </c>
      <c r="I51" s="143">
        <f>SUMIFS(FACILITIES!J:J,FACILITIES!$B:$B,B51)</f>
        <v>900</v>
      </c>
      <c r="J51" s="143">
        <f>SUMIFS(FACILITIES!K:K,FACILITIES!$B:$B,B51)</f>
        <v>0</v>
      </c>
      <c r="K51" s="143">
        <f>SUMIFS(FACILITIES!L:L,FACILITIES!$B:$B,B51)</f>
        <v>0</v>
      </c>
      <c r="L51" s="143">
        <f>SUMIFS(FACILITIES!M:M,FACILITIES!$B:$B,B51)</f>
        <v>0</v>
      </c>
      <c r="M51" s="143">
        <f>SUMIFS(FACILITIES!N:N,FACILITIES!$B:$B,B51)</f>
        <v>0</v>
      </c>
      <c r="N51" s="143">
        <f>SUMIFS(FACILITIES!O:O,FACILITIES!$B:$B,B51)</f>
        <v>0</v>
      </c>
      <c r="O51" s="143">
        <f>SUMIFS(FACILITIES!P:P,FACILITIES!$B:$B,B51)</f>
        <v>0</v>
      </c>
      <c r="P51" s="143">
        <f>SUMIFS(FACILITIES!Q:Q,FACILITIES!$B:$B,B51)</f>
        <v>0</v>
      </c>
      <c r="Q51" s="143">
        <f>SUMIFS(FACILITIES!R:R,FACILITIES!$B:$B,B51)</f>
        <v>0</v>
      </c>
      <c r="R51" s="143">
        <f>SUMIFS(FACILITIES!T:T,FACILITIES!B:B,B51)</f>
        <v>0</v>
      </c>
      <c r="S51" s="143">
        <f>SUMIFS(FACILITIES!S:S,FACILITIES!B:B,B51)</f>
        <v>0</v>
      </c>
      <c r="T51" s="143">
        <f>SUMIFS('F &amp; B'!G:G,'F &amp; B'!B:B,B51)</f>
        <v>2700</v>
      </c>
      <c r="U51" s="207">
        <f t="shared" si="1"/>
        <v>405</v>
      </c>
      <c r="V51" s="143">
        <f>SUMIFS('FIXED AMOUNT'!G:G,'FIXED AMOUNT'!B:B,B51)</f>
        <v>7000</v>
      </c>
      <c r="W51" s="121">
        <f t="shared" si="5"/>
        <v>11005</v>
      </c>
      <c r="X51" s="121">
        <f>SUMIFS('FIXED AMOUNT'!E:E,'FIXED AMOUNT'!B:B,'data base '!B:B)</f>
        <v>0</v>
      </c>
      <c r="Y51" s="121">
        <f>SUMIFS('FIXED AMOUNT'!F:F,'FIXED AMOUNT'!B:B,'data base '!B:B)</f>
        <v>0</v>
      </c>
      <c r="Z51" s="121">
        <f>SUMIFS('FIXED AMOUNT'!V:V,'FIXED AMOUNT'!B:B,B:B)</f>
        <v>0</v>
      </c>
      <c r="AA51" s="121">
        <f t="shared" si="2"/>
        <v>11005</v>
      </c>
      <c r="AB51" s="204">
        <f t="shared" si="3"/>
        <v>1100.5</v>
      </c>
      <c r="AC51" s="201">
        <v>45945</v>
      </c>
      <c r="AD51" s="121">
        <f t="shared" si="4"/>
        <v>12105.5</v>
      </c>
      <c r="AE51" s="205"/>
    </row>
    <row r="52" spans="1:31" x14ac:dyDescent="0.25">
      <c r="A52">
        <v>51</v>
      </c>
      <c r="B52" t="s">
        <v>244</v>
      </c>
      <c r="C52" t="s">
        <v>245</v>
      </c>
      <c r="D52" s="143">
        <f>SUMIFS(FACILITIES!E:E,FACILITIES!$B:$B,B52)</f>
        <v>0</v>
      </c>
      <c r="E52" s="143">
        <f>SUMIFS(FACILITIES!F:F,FACILITIES!$B:$B,$B52)</f>
        <v>0</v>
      </c>
      <c r="F52" s="143">
        <f>SUMIFS(FACILITIES!G:G,FACILITIES!$B:$B,B52)</f>
        <v>0</v>
      </c>
      <c r="G52" s="143">
        <f>SUMIFS(FACILITIES!H:H,FACILITIES!$B:$B,B52)</f>
        <v>0</v>
      </c>
      <c r="H52" s="143">
        <f>SUMIFS(FACILITIES!I:I,FACILITIES!$B:$B,B52)</f>
        <v>0</v>
      </c>
      <c r="I52" s="143">
        <f>SUMIFS(FACILITIES!J:J,FACILITIES!$B:$B,B52)</f>
        <v>0</v>
      </c>
      <c r="J52" s="143">
        <f>SUMIFS(FACILITIES!K:K,FACILITIES!$B:$B,B52)</f>
        <v>0</v>
      </c>
      <c r="K52" s="143">
        <f>SUMIFS(FACILITIES!L:L,FACILITIES!$B:$B,B52)</f>
        <v>0</v>
      </c>
      <c r="L52" s="143">
        <f>SUMIFS(FACILITIES!M:M,FACILITIES!$B:$B,B52)</f>
        <v>0</v>
      </c>
      <c r="M52" s="143">
        <f>SUMIFS(FACILITIES!N:N,FACILITIES!$B:$B,B52)</f>
        <v>0</v>
      </c>
      <c r="N52" s="143">
        <f>SUMIFS(FACILITIES!O:O,FACILITIES!$B:$B,B52)</f>
        <v>0</v>
      </c>
      <c r="O52" s="143">
        <f>SUMIFS(FACILITIES!P:P,FACILITIES!$B:$B,B52)</f>
        <v>0</v>
      </c>
      <c r="P52" s="143">
        <f>SUMIFS(FACILITIES!Q:Q,FACILITIES!$B:$B,B52)</f>
        <v>0</v>
      </c>
      <c r="Q52" s="143">
        <f>SUMIFS(FACILITIES!R:R,FACILITIES!$B:$B,B52)</f>
        <v>0</v>
      </c>
      <c r="R52" s="143">
        <f>SUMIFS(FACILITIES!T:T,FACILITIES!B:B,B52)</f>
        <v>0</v>
      </c>
      <c r="S52" s="143">
        <f>SUMIFS(FACILITIES!S:S,FACILITIES!B:B,B52)</f>
        <v>0</v>
      </c>
      <c r="T52" s="143">
        <f>SUMIFS('F &amp; B'!G:G,'F &amp; B'!B:B,B52)</f>
        <v>16750</v>
      </c>
      <c r="U52" s="207">
        <f t="shared" si="1"/>
        <v>2512.5</v>
      </c>
      <c r="V52" s="143">
        <f>SUMIFS('FIXED AMOUNT'!G:G,'FIXED AMOUNT'!B:B,B52)</f>
        <v>7000</v>
      </c>
      <c r="W52" s="121">
        <f t="shared" si="5"/>
        <v>26262.5</v>
      </c>
      <c r="X52" s="121">
        <f>SUMIFS('FIXED AMOUNT'!E:E,'FIXED AMOUNT'!B:B,'data base '!B:B)</f>
        <v>0</v>
      </c>
      <c r="Y52" s="121">
        <f>SUMIFS('FIXED AMOUNT'!F:F,'FIXED AMOUNT'!B:B,'data base '!B:B)</f>
        <v>0</v>
      </c>
      <c r="Z52" s="121">
        <f>SUMIFS('FIXED AMOUNT'!V:V,'FIXED AMOUNT'!B:B,B:B)</f>
        <v>10175</v>
      </c>
      <c r="AA52" s="121">
        <f t="shared" si="2"/>
        <v>36437.5</v>
      </c>
      <c r="AB52" s="204">
        <f t="shared" si="3"/>
        <v>2626.25</v>
      </c>
      <c r="AC52" s="201">
        <v>45945</v>
      </c>
      <c r="AD52" s="121">
        <f t="shared" si="4"/>
        <v>39063.75</v>
      </c>
      <c r="AE52" s="205"/>
    </row>
    <row r="53" spans="1:31" x14ac:dyDescent="0.25">
      <c r="A53">
        <v>52</v>
      </c>
      <c r="B53" t="s">
        <v>249</v>
      </c>
      <c r="C53" t="s">
        <v>250</v>
      </c>
      <c r="D53" s="143">
        <f>SUMIFS(FACILITIES!E:E,FACILITIES!$B:$B,B53)</f>
        <v>0</v>
      </c>
      <c r="E53" s="143">
        <f>SUMIFS(FACILITIES!F:F,FACILITIES!$B:$B,$B53)</f>
        <v>0</v>
      </c>
      <c r="F53" s="143">
        <f>SUMIFS(FACILITIES!G:G,FACILITIES!$B:$B,B53)</f>
        <v>0</v>
      </c>
      <c r="G53" s="143">
        <f>SUMIFS(FACILITIES!H:H,FACILITIES!$B:$B,B53)</f>
        <v>0</v>
      </c>
      <c r="H53" s="143">
        <f>SUMIFS(FACILITIES!I:I,FACILITIES!$B:$B,B53)</f>
        <v>0</v>
      </c>
      <c r="I53" s="143">
        <f>SUMIFS(FACILITIES!J:J,FACILITIES!$B:$B,B53)</f>
        <v>600</v>
      </c>
      <c r="J53" s="143">
        <f>SUMIFS(FACILITIES!K:K,FACILITIES!$B:$B,B53)</f>
        <v>0</v>
      </c>
      <c r="K53" s="143">
        <f>SUMIFS(FACILITIES!L:L,FACILITIES!$B:$B,B53)</f>
        <v>0</v>
      </c>
      <c r="L53" s="143">
        <f>SUMIFS(FACILITIES!M:M,FACILITIES!$B:$B,B53)</f>
        <v>0</v>
      </c>
      <c r="M53" s="143">
        <f>SUMIFS(FACILITIES!N:N,FACILITIES!$B:$B,B53)</f>
        <v>0</v>
      </c>
      <c r="N53" s="143">
        <f>SUMIFS(FACILITIES!O:O,FACILITIES!$B:$B,B53)</f>
        <v>0</v>
      </c>
      <c r="O53" s="143">
        <f>SUMIFS(FACILITIES!P:P,FACILITIES!$B:$B,B53)</f>
        <v>0</v>
      </c>
      <c r="P53" s="143">
        <f>SUMIFS(FACILITIES!Q:Q,FACILITIES!$B:$B,B53)</f>
        <v>0</v>
      </c>
      <c r="Q53" s="143">
        <f>SUMIFS(FACILITIES!R:R,FACILITIES!$B:$B,B53)</f>
        <v>0</v>
      </c>
      <c r="R53" s="143">
        <f>SUMIFS(FACILITIES!T:T,FACILITIES!B:B,B53)</f>
        <v>9000</v>
      </c>
      <c r="S53" s="143">
        <f>SUMIFS(FACILITIES!S:S,FACILITIES!B:B,B53)</f>
        <v>0</v>
      </c>
      <c r="T53" s="143">
        <f>SUMIFS('F &amp; B'!G:G,'F &amp; B'!B:B,B53)</f>
        <v>11990</v>
      </c>
      <c r="U53" s="207">
        <f t="shared" si="1"/>
        <v>1798.5</v>
      </c>
      <c r="V53" s="143">
        <f>SUMIFS('FIXED AMOUNT'!G:G,'FIXED AMOUNT'!B:B,B53)</f>
        <v>7000</v>
      </c>
      <c r="W53" s="121">
        <f t="shared" si="5"/>
        <v>30388.5</v>
      </c>
      <c r="X53" s="121">
        <f>SUMIFS('FIXED AMOUNT'!E:E,'FIXED AMOUNT'!B:B,'data base '!B:B)</f>
        <v>0</v>
      </c>
      <c r="Y53" s="121">
        <f>SUMIFS('FIXED AMOUNT'!F:F,'FIXED AMOUNT'!B:B,'data base '!B:B)</f>
        <v>0</v>
      </c>
      <c r="Z53" s="121">
        <f>SUMIFS('FIXED AMOUNT'!V:V,'FIXED AMOUNT'!B:B,B:B)</f>
        <v>19460</v>
      </c>
      <c r="AA53" s="121">
        <f t="shared" si="2"/>
        <v>49848.5</v>
      </c>
      <c r="AB53" s="204">
        <f t="shared" si="3"/>
        <v>3038.8500000000004</v>
      </c>
      <c r="AC53" s="201">
        <v>45945</v>
      </c>
      <c r="AD53" s="121">
        <f t="shared" si="4"/>
        <v>52887.35</v>
      </c>
      <c r="AE53" s="205"/>
    </row>
    <row r="54" spans="1:31" x14ac:dyDescent="0.25">
      <c r="A54">
        <v>53</v>
      </c>
      <c r="B54" t="s">
        <v>254</v>
      </c>
      <c r="C54" t="s">
        <v>255</v>
      </c>
      <c r="D54" s="143">
        <f>SUMIFS(FACILITIES!E:E,FACILITIES!$B:$B,B54)</f>
        <v>0</v>
      </c>
      <c r="E54" s="143">
        <f>SUMIFS(FACILITIES!F:F,FACILITIES!$B:$B,$B54)</f>
        <v>0</v>
      </c>
      <c r="F54" s="143">
        <f>SUMIFS(FACILITIES!G:G,FACILITIES!$B:$B,B54)</f>
        <v>0</v>
      </c>
      <c r="G54" s="143">
        <f>SUMIFS(FACILITIES!H:H,FACILITIES!$B:$B,B54)</f>
        <v>0</v>
      </c>
      <c r="H54" s="143">
        <f>SUMIFS(FACILITIES!I:I,FACILITIES!$B:$B,B54)</f>
        <v>0</v>
      </c>
      <c r="I54" s="143">
        <f>SUMIFS(FACILITIES!J:J,FACILITIES!$B:$B,B54)</f>
        <v>0</v>
      </c>
      <c r="J54" s="143">
        <f>SUMIFS(FACILITIES!K:K,FACILITIES!$B:$B,B54)</f>
        <v>0</v>
      </c>
      <c r="K54" s="143">
        <f>SUMIFS(FACILITIES!L:L,FACILITIES!$B:$B,B54)</f>
        <v>0</v>
      </c>
      <c r="L54" s="143">
        <f>SUMIFS(FACILITIES!M:M,FACILITIES!$B:$B,B54)</f>
        <v>0</v>
      </c>
      <c r="M54" s="143">
        <f>SUMIFS(FACILITIES!N:N,FACILITIES!$B:$B,B54)</f>
        <v>0</v>
      </c>
      <c r="N54" s="143">
        <f>SUMIFS(FACILITIES!O:O,FACILITIES!$B:$B,B54)</f>
        <v>0</v>
      </c>
      <c r="O54" s="143">
        <f>SUMIFS(FACILITIES!P:P,FACILITIES!$B:$B,B54)</f>
        <v>0</v>
      </c>
      <c r="P54" s="143">
        <f>SUMIFS(FACILITIES!Q:Q,FACILITIES!$B:$B,B54)</f>
        <v>0</v>
      </c>
      <c r="Q54" s="143">
        <f>SUMIFS(FACILITIES!R:R,FACILITIES!$B:$B,B54)</f>
        <v>0</v>
      </c>
      <c r="R54" s="143">
        <f>SUMIFS(FACILITIES!T:T,FACILITIES!B:B,B54)</f>
        <v>0</v>
      </c>
      <c r="S54" s="143">
        <f>SUMIFS(FACILITIES!S:S,FACILITIES!B:B,B54)</f>
        <v>0</v>
      </c>
      <c r="T54" s="143">
        <f>SUMIFS('F &amp; B'!G:G,'F &amp; B'!B:B,B54)</f>
        <v>4500</v>
      </c>
      <c r="U54" s="207">
        <f t="shared" si="1"/>
        <v>675</v>
      </c>
      <c r="V54" s="143">
        <f>SUMIFS('FIXED AMOUNT'!G:G,'FIXED AMOUNT'!B:B,B54)</f>
        <v>7000</v>
      </c>
      <c r="W54" s="121">
        <f t="shared" si="5"/>
        <v>12175</v>
      </c>
      <c r="X54" s="121">
        <f>SUMIFS('FIXED AMOUNT'!E:E,'FIXED AMOUNT'!B:B,'data base '!B:B)</f>
        <v>0</v>
      </c>
      <c r="Y54" s="121">
        <f>SUMIFS('FIXED AMOUNT'!F:F,'FIXED AMOUNT'!B:B,'data base '!B:B)</f>
        <v>0</v>
      </c>
      <c r="Z54" s="121">
        <f>SUMIFS('FIXED AMOUNT'!V:V,'FIXED AMOUNT'!B:B,B:B)</f>
        <v>0</v>
      </c>
      <c r="AA54" s="121">
        <f t="shared" si="2"/>
        <v>12175</v>
      </c>
      <c r="AB54" s="204">
        <f t="shared" si="3"/>
        <v>1217.5</v>
      </c>
      <c r="AC54" s="201">
        <v>45945</v>
      </c>
      <c r="AD54" s="121">
        <f t="shared" si="4"/>
        <v>13392.5</v>
      </c>
      <c r="AE54" s="205"/>
    </row>
    <row r="55" spans="1:31" x14ac:dyDescent="0.25">
      <c r="A55">
        <v>54</v>
      </c>
      <c r="B55" t="s">
        <v>258</v>
      </c>
      <c r="C55" t="s">
        <v>980</v>
      </c>
      <c r="D55" s="143">
        <f>SUMIFS(FACILITIES!E:E,FACILITIES!$B:$B,B55)</f>
        <v>0</v>
      </c>
      <c r="E55" s="143">
        <f>SUMIFS(FACILITIES!F:F,FACILITIES!$B:$B,$B55)</f>
        <v>0</v>
      </c>
      <c r="F55" s="143">
        <f>SUMIFS(FACILITIES!G:G,FACILITIES!$B:$B,B55)</f>
        <v>0</v>
      </c>
      <c r="G55" s="143">
        <f>SUMIFS(FACILITIES!H:H,FACILITIES!$B:$B,B55)</f>
        <v>0</v>
      </c>
      <c r="H55" s="143">
        <f>SUMIFS(FACILITIES!I:I,FACILITIES!$B:$B,B55)</f>
        <v>0</v>
      </c>
      <c r="I55" s="143">
        <f>SUMIFS(FACILITIES!J:J,FACILITIES!$B:$B,B55)</f>
        <v>0</v>
      </c>
      <c r="J55" s="143">
        <f>SUMIFS(FACILITIES!K:K,FACILITIES!$B:$B,B55)</f>
        <v>0</v>
      </c>
      <c r="K55" s="143">
        <f>SUMIFS(FACILITIES!L:L,FACILITIES!$B:$B,B55)</f>
        <v>0</v>
      </c>
      <c r="L55" s="143">
        <f>SUMIFS(FACILITIES!M:M,FACILITIES!$B:$B,B55)</f>
        <v>0</v>
      </c>
      <c r="M55" s="143">
        <f>SUMIFS(FACILITIES!N:N,FACILITIES!$B:$B,B55)</f>
        <v>0</v>
      </c>
      <c r="N55" s="143">
        <f>SUMIFS(FACILITIES!O:O,FACILITIES!$B:$B,B55)</f>
        <v>0</v>
      </c>
      <c r="O55" s="143">
        <f>SUMIFS(FACILITIES!P:P,FACILITIES!$B:$B,B55)</f>
        <v>0</v>
      </c>
      <c r="P55" s="143">
        <f>SUMIFS(FACILITIES!Q:Q,FACILITIES!$B:$B,B55)</f>
        <v>0</v>
      </c>
      <c r="Q55" s="143">
        <f>SUMIFS(FACILITIES!R:R,FACILITIES!$B:$B,B55)</f>
        <v>0</v>
      </c>
      <c r="R55" s="143">
        <f>SUMIFS(FACILITIES!T:T,FACILITIES!B:B,B55)</f>
        <v>0</v>
      </c>
      <c r="S55" s="143">
        <f>SUMIFS(FACILITIES!S:S,FACILITIES!B:B,B55)</f>
        <v>0</v>
      </c>
      <c r="T55" s="143">
        <f>SUMIFS('F &amp; B'!G:G,'F &amp; B'!B:B,B55)</f>
        <v>29350</v>
      </c>
      <c r="U55" s="207">
        <f t="shared" si="1"/>
        <v>4402.5</v>
      </c>
      <c r="V55" s="143">
        <f>SUMIFS('FIXED AMOUNT'!G:G,'FIXED AMOUNT'!B:B,B55)</f>
        <v>7000</v>
      </c>
      <c r="W55" s="121">
        <f t="shared" si="5"/>
        <v>40752.5</v>
      </c>
      <c r="X55" s="121">
        <f>SUMIFS('FIXED AMOUNT'!E:E,'FIXED AMOUNT'!B:B,'data base '!B:B)</f>
        <v>0</v>
      </c>
      <c r="Y55" s="121">
        <f>SUMIFS('FIXED AMOUNT'!F:F,'FIXED AMOUNT'!B:B,'data base '!B:B)</f>
        <v>0</v>
      </c>
      <c r="Z55" s="121">
        <f>SUMIFS('FIXED AMOUNT'!V:V,'FIXED AMOUNT'!B:B,B:B)</f>
        <v>0</v>
      </c>
      <c r="AA55" s="121">
        <f t="shared" si="2"/>
        <v>40752.5</v>
      </c>
      <c r="AB55" s="204">
        <f t="shared" si="3"/>
        <v>4075.25</v>
      </c>
      <c r="AC55" s="201">
        <v>45945</v>
      </c>
      <c r="AD55" s="121">
        <f t="shared" si="4"/>
        <v>44827.75</v>
      </c>
      <c r="AE55" s="205"/>
    </row>
    <row r="56" spans="1:31" x14ac:dyDescent="0.25">
      <c r="A56">
        <v>55</v>
      </c>
      <c r="B56" t="s">
        <v>263</v>
      </c>
      <c r="C56" t="s">
        <v>264</v>
      </c>
      <c r="D56" s="143">
        <f>SUMIFS(FACILITIES!E:E,FACILITIES!$B:$B,B56)</f>
        <v>0</v>
      </c>
      <c r="E56" s="143">
        <f>SUMIFS(FACILITIES!F:F,FACILITIES!$B:$B,$B56)</f>
        <v>0</v>
      </c>
      <c r="F56" s="143">
        <f>SUMIFS(FACILITIES!G:G,FACILITIES!$B:$B,B56)</f>
        <v>0</v>
      </c>
      <c r="G56" s="143">
        <f>SUMIFS(FACILITIES!H:H,FACILITIES!$B:$B,B56)</f>
        <v>0</v>
      </c>
      <c r="H56" s="143">
        <f>SUMIFS(FACILITIES!I:I,FACILITIES!$B:$B,B56)</f>
        <v>0</v>
      </c>
      <c r="I56" s="143">
        <f>SUMIFS(FACILITIES!J:J,FACILITIES!$B:$B,B56)</f>
        <v>0</v>
      </c>
      <c r="J56" s="143">
        <f>SUMIFS(FACILITIES!K:K,FACILITIES!$B:$B,B56)</f>
        <v>0</v>
      </c>
      <c r="K56" s="143">
        <f>SUMIFS(FACILITIES!L:L,FACILITIES!$B:$B,B56)</f>
        <v>0</v>
      </c>
      <c r="L56" s="143">
        <f>SUMIFS(FACILITIES!M:M,FACILITIES!$B:$B,B56)</f>
        <v>0</v>
      </c>
      <c r="M56" s="143">
        <f>SUMIFS(FACILITIES!N:N,FACILITIES!$B:$B,B56)</f>
        <v>0</v>
      </c>
      <c r="N56" s="143">
        <f>SUMIFS(FACILITIES!O:O,FACILITIES!$B:$B,B56)</f>
        <v>0</v>
      </c>
      <c r="O56" s="143">
        <f>SUMIFS(FACILITIES!P:P,FACILITIES!$B:$B,B56)</f>
        <v>37300</v>
      </c>
      <c r="P56" s="143">
        <f>SUMIFS(FACILITIES!Q:Q,FACILITIES!$B:$B,B56)</f>
        <v>0</v>
      </c>
      <c r="Q56" s="143">
        <f>SUMIFS(FACILITIES!R:R,FACILITIES!$B:$B,B56)</f>
        <v>0</v>
      </c>
      <c r="R56" s="143">
        <f>SUMIFS(FACILITIES!T:T,FACILITIES!B:B,B56)</f>
        <v>0</v>
      </c>
      <c r="S56" s="143">
        <f>SUMIFS(FACILITIES!S:S,FACILITIES!B:B,B56)</f>
        <v>0</v>
      </c>
      <c r="T56" s="143">
        <f>SUMIFS('F &amp; B'!G:G,'F &amp; B'!B:B,B56)</f>
        <v>102350</v>
      </c>
      <c r="U56" s="207">
        <f t="shared" si="1"/>
        <v>15352.5</v>
      </c>
      <c r="V56" s="143">
        <f>SUMIFS('FIXED AMOUNT'!G:G,'FIXED AMOUNT'!B:B,B56)</f>
        <v>7000</v>
      </c>
      <c r="W56" s="121">
        <f t="shared" si="5"/>
        <v>162002.5</v>
      </c>
      <c r="X56" s="121">
        <f>SUMIFS('FIXED AMOUNT'!E:E,'FIXED AMOUNT'!B:B,'data base '!B:B)</f>
        <v>0</v>
      </c>
      <c r="Y56" s="121">
        <f>SUMIFS('FIXED AMOUNT'!F:F,'FIXED AMOUNT'!B:B,'data base '!B:B)</f>
        <v>0</v>
      </c>
      <c r="Z56" s="121">
        <f>SUMIFS('FIXED AMOUNT'!V:V,'FIXED AMOUNT'!B:B,B:B)</f>
        <v>0</v>
      </c>
      <c r="AA56" s="121">
        <f t="shared" si="2"/>
        <v>162002.5</v>
      </c>
      <c r="AB56" s="204">
        <f t="shared" si="3"/>
        <v>16200.25</v>
      </c>
      <c r="AC56" s="201">
        <v>45945</v>
      </c>
      <c r="AD56" s="121">
        <f t="shared" si="4"/>
        <v>178202.75</v>
      </c>
      <c r="AE56" s="205"/>
    </row>
    <row r="57" spans="1:31" x14ac:dyDescent="0.25">
      <c r="A57">
        <v>56</v>
      </c>
      <c r="B57" t="s">
        <v>268</v>
      </c>
      <c r="C57" t="s">
        <v>269</v>
      </c>
      <c r="D57" s="143">
        <f>SUMIFS(FACILITIES!E:E,FACILITIES!$B:$B,B57)</f>
        <v>0</v>
      </c>
      <c r="E57" s="143">
        <f>SUMIFS(FACILITIES!F:F,FACILITIES!$B:$B,$B57)</f>
        <v>0</v>
      </c>
      <c r="F57" s="143">
        <f>SUMIFS(FACILITIES!G:G,FACILITIES!$B:$B,B57)</f>
        <v>0</v>
      </c>
      <c r="G57" s="143">
        <f>SUMIFS(FACILITIES!H:H,FACILITIES!$B:$B,B57)</f>
        <v>0</v>
      </c>
      <c r="H57" s="143">
        <f>SUMIFS(FACILITIES!I:I,FACILITIES!$B:$B,B57)</f>
        <v>0</v>
      </c>
      <c r="I57" s="143">
        <f>SUMIFS(FACILITIES!J:J,FACILITIES!$B:$B,B57)</f>
        <v>300</v>
      </c>
      <c r="J57" s="143">
        <f>SUMIFS(FACILITIES!K:K,FACILITIES!$B:$B,B57)</f>
        <v>0</v>
      </c>
      <c r="K57" s="143">
        <f>SUMIFS(FACILITIES!L:L,FACILITIES!$B:$B,B57)</f>
        <v>0</v>
      </c>
      <c r="L57" s="143">
        <f>SUMIFS(FACILITIES!M:M,FACILITIES!$B:$B,B57)</f>
        <v>0</v>
      </c>
      <c r="M57" s="143">
        <f>SUMIFS(FACILITIES!N:N,FACILITIES!$B:$B,B57)</f>
        <v>0</v>
      </c>
      <c r="N57" s="143">
        <f>SUMIFS(FACILITIES!O:O,FACILITIES!$B:$B,B57)</f>
        <v>0</v>
      </c>
      <c r="O57" s="143">
        <f>SUMIFS(FACILITIES!P:P,FACILITIES!$B:$B,B57)</f>
        <v>0</v>
      </c>
      <c r="P57" s="143">
        <f>SUMIFS(FACILITIES!Q:Q,FACILITIES!$B:$B,B57)</f>
        <v>0</v>
      </c>
      <c r="Q57" s="143">
        <f>SUMIFS(FACILITIES!R:R,FACILITIES!$B:$B,B57)</f>
        <v>0</v>
      </c>
      <c r="R57" s="143">
        <f>SUMIFS(FACILITIES!T:T,FACILITIES!B:B,B57)</f>
        <v>0</v>
      </c>
      <c r="S57" s="143">
        <f>SUMIFS(FACILITIES!S:S,FACILITIES!B:B,B57)</f>
        <v>0</v>
      </c>
      <c r="T57" s="143">
        <f>SUMIFS('F &amp; B'!G:G,'F &amp; B'!B:B,B57)</f>
        <v>6800</v>
      </c>
      <c r="U57" s="207">
        <f t="shared" si="1"/>
        <v>1020</v>
      </c>
      <c r="V57" s="143">
        <f>SUMIFS('FIXED AMOUNT'!G:G,'FIXED AMOUNT'!B:B,B57)</f>
        <v>7000</v>
      </c>
      <c r="W57" s="121">
        <f t="shared" si="5"/>
        <v>15120</v>
      </c>
      <c r="X57" s="121">
        <f>SUMIFS('FIXED AMOUNT'!E:E,'FIXED AMOUNT'!B:B,'data base '!B:B)</f>
        <v>0</v>
      </c>
      <c r="Y57" s="121">
        <f>SUMIFS('FIXED AMOUNT'!F:F,'FIXED AMOUNT'!B:B,'data base '!B:B)</f>
        <v>0</v>
      </c>
      <c r="Z57" s="121">
        <f>SUMIFS('FIXED AMOUNT'!V:V,'FIXED AMOUNT'!B:B,B:B)</f>
        <v>40660</v>
      </c>
      <c r="AA57" s="121">
        <f t="shared" si="2"/>
        <v>55780</v>
      </c>
      <c r="AB57" s="204">
        <f t="shared" si="3"/>
        <v>1512</v>
      </c>
      <c r="AC57" s="201">
        <v>45945</v>
      </c>
      <c r="AD57" s="121">
        <f t="shared" si="4"/>
        <v>57292</v>
      </c>
      <c r="AE57" s="205"/>
    </row>
    <row r="58" spans="1:31" x14ac:dyDescent="0.25">
      <c r="A58">
        <v>57</v>
      </c>
      <c r="B58" t="s">
        <v>273</v>
      </c>
      <c r="C58" t="s">
        <v>274</v>
      </c>
      <c r="D58" s="143">
        <f>SUMIFS(FACILITIES!E:E,FACILITIES!$B:$B,B58)</f>
        <v>0</v>
      </c>
      <c r="E58" s="143">
        <f>SUMIFS(FACILITIES!F:F,FACILITIES!$B:$B,$B58)</f>
        <v>300</v>
      </c>
      <c r="F58" s="143">
        <f>SUMIFS(FACILITIES!G:G,FACILITIES!$B:$B,B58)</f>
        <v>300</v>
      </c>
      <c r="G58" s="143">
        <f>SUMIFS(FACILITIES!H:H,FACILITIES!$B:$B,B58)</f>
        <v>0</v>
      </c>
      <c r="H58" s="143">
        <f>SUMIFS(FACILITIES!I:I,FACILITIES!$B:$B,B58)</f>
        <v>0</v>
      </c>
      <c r="I58" s="143">
        <f>SUMIFS(FACILITIES!J:J,FACILITIES!$B:$B,B58)</f>
        <v>0</v>
      </c>
      <c r="J58" s="143">
        <f>SUMIFS(FACILITIES!K:K,FACILITIES!$B:$B,B58)</f>
        <v>0</v>
      </c>
      <c r="K58" s="143">
        <f>SUMIFS(FACILITIES!L:L,FACILITIES!$B:$B,B58)</f>
        <v>0</v>
      </c>
      <c r="L58" s="143">
        <f>SUMIFS(FACILITIES!M:M,FACILITIES!$B:$B,B58)</f>
        <v>0</v>
      </c>
      <c r="M58" s="143">
        <f>SUMIFS(FACILITIES!N:N,FACILITIES!$B:$B,B58)</f>
        <v>0</v>
      </c>
      <c r="N58" s="143">
        <f>SUMIFS(FACILITIES!O:O,FACILITIES!$B:$B,B58)</f>
        <v>0</v>
      </c>
      <c r="O58" s="143">
        <f>SUMIFS(FACILITIES!P:P,FACILITIES!$B:$B,B58)</f>
        <v>0</v>
      </c>
      <c r="P58" s="143">
        <f>SUMIFS(FACILITIES!Q:Q,FACILITIES!$B:$B,B58)</f>
        <v>0</v>
      </c>
      <c r="Q58" s="143">
        <f>SUMIFS(FACILITIES!R:R,FACILITIES!$B:$B,B58)</f>
        <v>0</v>
      </c>
      <c r="R58" s="143">
        <f>SUMIFS(FACILITIES!T:T,FACILITIES!B:B,B58)</f>
        <v>0</v>
      </c>
      <c r="S58" s="143">
        <f>SUMIFS(FACILITIES!S:S,FACILITIES!B:B,B58)</f>
        <v>0</v>
      </c>
      <c r="T58" s="143">
        <f>SUMIFS('F &amp; B'!G:G,'F &amp; B'!B:B,B58)</f>
        <v>6900</v>
      </c>
      <c r="U58" s="207">
        <f t="shared" si="1"/>
        <v>1035</v>
      </c>
      <c r="V58" s="143">
        <f>SUMIFS('FIXED AMOUNT'!G:G,'FIXED AMOUNT'!B:B,B58)</f>
        <v>7000</v>
      </c>
      <c r="W58" s="121">
        <f t="shared" si="5"/>
        <v>15535</v>
      </c>
      <c r="X58" s="121">
        <f>SUMIFS('FIXED AMOUNT'!E:E,'FIXED AMOUNT'!B:B,'data base '!B:B)</f>
        <v>0</v>
      </c>
      <c r="Y58" s="121">
        <f>SUMIFS('FIXED AMOUNT'!F:F,'FIXED AMOUNT'!B:B,'data base '!B:B)</f>
        <v>0</v>
      </c>
      <c r="Z58" s="121">
        <f>SUMIFS('FIXED AMOUNT'!V:V,'FIXED AMOUNT'!B:B,B:B)</f>
        <v>0</v>
      </c>
      <c r="AA58" s="121">
        <f t="shared" si="2"/>
        <v>15535</v>
      </c>
      <c r="AB58" s="204">
        <f t="shared" si="3"/>
        <v>1553.5</v>
      </c>
      <c r="AC58" s="201">
        <v>45945</v>
      </c>
      <c r="AD58" s="121">
        <f t="shared" si="4"/>
        <v>17088.5</v>
      </c>
      <c r="AE58" s="205"/>
    </row>
    <row r="59" spans="1:31" x14ac:dyDescent="0.25">
      <c r="A59">
        <v>58</v>
      </c>
      <c r="B59" t="s">
        <v>278</v>
      </c>
      <c r="C59" t="s">
        <v>495</v>
      </c>
      <c r="D59" s="143">
        <f>SUMIFS(FACILITIES!E:E,FACILITIES!$B:$B,B59)</f>
        <v>0</v>
      </c>
      <c r="E59" s="143">
        <f>SUMIFS(FACILITIES!F:F,FACILITIES!$B:$B,$B59)</f>
        <v>0</v>
      </c>
      <c r="F59" s="143">
        <f>SUMIFS(FACILITIES!G:G,FACILITIES!$B:$B,B59)</f>
        <v>0</v>
      </c>
      <c r="G59" s="143">
        <f>SUMIFS(FACILITIES!H:H,FACILITIES!$B:$B,B59)</f>
        <v>0</v>
      </c>
      <c r="H59" s="143">
        <f>SUMIFS(FACILITIES!I:I,FACILITIES!$B:$B,B59)</f>
        <v>0</v>
      </c>
      <c r="I59" s="143">
        <f>SUMIFS(FACILITIES!J:J,FACILITIES!$B:$B,B59)</f>
        <v>0</v>
      </c>
      <c r="J59" s="143">
        <f>SUMIFS(FACILITIES!K:K,FACILITIES!$B:$B,B59)</f>
        <v>0</v>
      </c>
      <c r="K59" s="143">
        <f>SUMIFS(FACILITIES!L:L,FACILITIES!$B:$B,B59)</f>
        <v>0</v>
      </c>
      <c r="L59" s="143">
        <f>SUMIFS(FACILITIES!M:M,FACILITIES!$B:$B,B59)</f>
        <v>0</v>
      </c>
      <c r="M59" s="143">
        <f>SUMIFS(FACILITIES!N:N,FACILITIES!$B:$B,B59)</f>
        <v>0</v>
      </c>
      <c r="N59" s="143">
        <f>SUMIFS(FACILITIES!O:O,FACILITIES!$B:$B,B59)</f>
        <v>0</v>
      </c>
      <c r="O59" s="143">
        <f>SUMIFS(FACILITIES!P:P,FACILITIES!$B:$B,B59)</f>
        <v>0</v>
      </c>
      <c r="P59" s="143">
        <f>SUMIFS(FACILITIES!Q:Q,FACILITIES!$B:$B,B59)</f>
        <v>0</v>
      </c>
      <c r="Q59" s="143">
        <f>SUMIFS(FACILITIES!R:R,FACILITIES!$B:$B,B59)</f>
        <v>0</v>
      </c>
      <c r="R59" s="143">
        <f>SUMIFS(FACILITIES!T:T,FACILITIES!B:B,B59)</f>
        <v>0</v>
      </c>
      <c r="S59" s="143">
        <f>SUMIFS(FACILITIES!S:S,FACILITIES!B:B,B59)</f>
        <v>0</v>
      </c>
      <c r="T59" s="143">
        <f>SUMIFS('F &amp; B'!G:G,'F &amp; B'!B:B,B59)</f>
        <v>0</v>
      </c>
      <c r="U59" s="207">
        <f t="shared" si="1"/>
        <v>0</v>
      </c>
      <c r="V59" s="143">
        <f>SUMIFS('FIXED AMOUNT'!G:G,'FIXED AMOUNT'!B:B,B59)</f>
        <v>7000</v>
      </c>
      <c r="W59" s="121">
        <f t="shared" si="5"/>
        <v>7000</v>
      </c>
      <c r="X59" s="121">
        <f>SUMIFS('FIXED AMOUNT'!E:E,'FIXED AMOUNT'!B:B,'data base '!B:B)</f>
        <v>0</v>
      </c>
      <c r="Y59" s="121">
        <f>SUMIFS('FIXED AMOUNT'!F:F,'FIXED AMOUNT'!B:B,'data base '!B:B)</f>
        <v>0</v>
      </c>
      <c r="Z59" s="121">
        <f>SUMIFS('FIXED AMOUNT'!V:V,'FIXED AMOUNT'!B:B,B:B)</f>
        <v>38200</v>
      </c>
      <c r="AA59" s="121">
        <f t="shared" si="2"/>
        <v>45200</v>
      </c>
      <c r="AB59" s="204">
        <f t="shared" si="3"/>
        <v>700</v>
      </c>
      <c r="AC59" s="201">
        <v>45945</v>
      </c>
      <c r="AD59" s="121">
        <f t="shared" si="4"/>
        <v>45900</v>
      </c>
      <c r="AE59" s="205"/>
    </row>
    <row r="60" spans="1:31" x14ac:dyDescent="0.25">
      <c r="A60">
        <v>59</v>
      </c>
      <c r="B60" t="s">
        <v>282</v>
      </c>
      <c r="C60" t="s">
        <v>283</v>
      </c>
      <c r="D60" s="143">
        <f>SUMIFS(FACILITIES!E:E,FACILITIES!$B:$B,B60)</f>
        <v>900</v>
      </c>
      <c r="E60" s="143">
        <f>SUMIFS(FACILITIES!F:F,FACILITIES!$B:$B,$B60)</f>
        <v>0</v>
      </c>
      <c r="F60" s="143">
        <f>SUMIFS(FACILITIES!G:G,FACILITIES!$B:$B,B60)</f>
        <v>0</v>
      </c>
      <c r="G60" s="143">
        <f>SUMIFS(FACILITIES!H:H,FACILITIES!$B:$B,B60)</f>
        <v>0</v>
      </c>
      <c r="H60" s="143">
        <f>SUMIFS(FACILITIES!I:I,FACILITIES!$B:$B,B60)</f>
        <v>0</v>
      </c>
      <c r="I60" s="143">
        <f>SUMIFS(FACILITIES!J:J,FACILITIES!$B:$B,B60)</f>
        <v>0</v>
      </c>
      <c r="J60" s="143">
        <f>SUMIFS(FACILITIES!K:K,FACILITIES!$B:$B,B60)</f>
        <v>0</v>
      </c>
      <c r="K60" s="143">
        <f>SUMIFS(FACILITIES!L:L,FACILITIES!$B:$B,B60)</f>
        <v>0</v>
      </c>
      <c r="L60" s="143">
        <f>SUMIFS(FACILITIES!M:M,FACILITIES!$B:$B,B60)</f>
        <v>0</v>
      </c>
      <c r="M60" s="143">
        <f>SUMIFS(FACILITIES!N:N,FACILITIES!$B:$B,B60)</f>
        <v>0</v>
      </c>
      <c r="N60" s="143">
        <f>SUMIFS(FACILITIES!O:O,FACILITIES!$B:$B,B60)</f>
        <v>0</v>
      </c>
      <c r="O60" s="143">
        <f>SUMIFS(FACILITIES!P:P,FACILITIES!$B:$B,B60)</f>
        <v>0</v>
      </c>
      <c r="P60" s="143">
        <f>SUMIFS(FACILITIES!Q:Q,FACILITIES!$B:$B,B60)</f>
        <v>0</v>
      </c>
      <c r="Q60" s="143">
        <f>SUMIFS(FACILITIES!R:R,FACILITIES!$B:$B,B60)</f>
        <v>0</v>
      </c>
      <c r="R60" s="143">
        <f>SUMIFS(FACILITIES!T:T,FACILITIES!B:B,B60)</f>
        <v>0</v>
      </c>
      <c r="S60" s="143">
        <f>SUMIFS(FACILITIES!S:S,FACILITIES!B:B,B60)</f>
        <v>0</v>
      </c>
      <c r="T60" s="143">
        <f>SUMIFS('F &amp; B'!G:G,'F &amp; B'!B:B,B60)</f>
        <v>21450</v>
      </c>
      <c r="U60" s="207">
        <f t="shared" si="1"/>
        <v>3217.5</v>
      </c>
      <c r="V60" s="143">
        <f>SUMIFS('FIXED AMOUNT'!G:G,'FIXED AMOUNT'!B:B,B60)</f>
        <v>7000</v>
      </c>
      <c r="W60" s="121">
        <f t="shared" si="5"/>
        <v>32567.5</v>
      </c>
      <c r="X60" s="121">
        <f>SUMIFS('FIXED AMOUNT'!E:E,'FIXED AMOUNT'!B:B,'data base '!B:B)</f>
        <v>0</v>
      </c>
      <c r="Y60" s="121">
        <f>SUMIFS('FIXED AMOUNT'!F:F,'FIXED AMOUNT'!B:B,'data base '!B:B)</f>
        <v>0</v>
      </c>
      <c r="Z60" s="121">
        <f>SUMIFS('FIXED AMOUNT'!V:V,'FIXED AMOUNT'!B:B,B:B)</f>
        <v>0</v>
      </c>
      <c r="AA60" s="121">
        <f t="shared" si="2"/>
        <v>32567.5</v>
      </c>
      <c r="AB60" s="204">
        <f t="shared" si="3"/>
        <v>3256.75</v>
      </c>
      <c r="AC60" s="201">
        <v>45945</v>
      </c>
      <c r="AD60" s="121">
        <f t="shared" si="4"/>
        <v>35824.25</v>
      </c>
      <c r="AE60" s="205"/>
    </row>
    <row r="61" spans="1:31" x14ac:dyDescent="0.25">
      <c r="A61">
        <v>60</v>
      </c>
      <c r="B61" t="s">
        <v>287</v>
      </c>
      <c r="C61" t="s">
        <v>288</v>
      </c>
      <c r="D61" s="143">
        <f>SUMIFS(FACILITIES!E:E,FACILITIES!$B:$B,B61)</f>
        <v>0</v>
      </c>
      <c r="E61" s="143">
        <f>SUMIFS(FACILITIES!F:F,FACILITIES!$B:$B,$B61)</f>
        <v>0</v>
      </c>
      <c r="F61" s="143">
        <f>SUMIFS(FACILITIES!G:G,FACILITIES!$B:$B,B61)</f>
        <v>0</v>
      </c>
      <c r="G61" s="143">
        <f>SUMIFS(FACILITIES!H:H,FACILITIES!$B:$B,B61)</f>
        <v>0</v>
      </c>
      <c r="H61" s="143">
        <f>SUMIFS(FACILITIES!I:I,FACILITIES!$B:$B,B61)</f>
        <v>0</v>
      </c>
      <c r="I61" s="143">
        <f>SUMIFS(FACILITIES!J:J,FACILITIES!$B:$B,B61)</f>
        <v>0</v>
      </c>
      <c r="J61" s="143">
        <f>SUMIFS(FACILITIES!K:K,FACILITIES!$B:$B,B61)</f>
        <v>0</v>
      </c>
      <c r="K61" s="143">
        <f>SUMIFS(FACILITIES!L:L,FACILITIES!$B:$B,B61)</f>
        <v>0</v>
      </c>
      <c r="L61" s="143">
        <f>SUMIFS(FACILITIES!M:M,FACILITIES!$B:$B,B61)</f>
        <v>0</v>
      </c>
      <c r="M61" s="143">
        <f>SUMIFS(FACILITIES!N:N,FACILITIES!$B:$B,B61)</f>
        <v>0</v>
      </c>
      <c r="N61" s="143">
        <f>SUMIFS(FACILITIES!O:O,FACILITIES!$B:$B,B61)</f>
        <v>0</v>
      </c>
      <c r="O61" s="143">
        <f>SUMIFS(FACILITIES!P:P,FACILITIES!$B:$B,B61)</f>
        <v>0</v>
      </c>
      <c r="P61" s="143">
        <f>SUMIFS(FACILITIES!Q:Q,FACILITIES!$B:$B,B61)</f>
        <v>0</v>
      </c>
      <c r="Q61" s="143">
        <f>SUMIFS(FACILITIES!R:R,FACILITIES!$B:$B,B61)</f>
        <v>0</v>
      </c>
      <c r="R61" s="143">
        <f>SUMIFS(FACILITIES!T:T,FACILITIES!B:B,B61)</f>
        <v>0</v>
      </c>
      <c r="S61" s="143">
        <f>SUMIFS(FACILITIES!S:S,FACILITIES!B:B,B61)</f>
        <v>0</v>
      </c>
      <c r="T61" s="143">
        <f>SUMIFS('F &amp; B'!G:G,'F &amp; B'!B:B,B61)</f>
        <v>11200</v>
      </c>
      <c r="U61" s="207">
        <f t="shared" si="1"/>
        <v>1680</v>
      </c>
      <c r="V61" s="143">
        <f>SUMIFS('FIXED AMOUNT'!G:G,'FIXED AMOUNT'!B:B,B61)</f>
        <v>7000</v>
      </c>
      <c r="W61" s="121">
        <f t="shared" si="5"/>
        <v>19880</v>
      </c>
      <c r="X61" s="121">
        <f>SUMIFS('FIXED AMOUNT'!E:E,'FIXED AMOUNT'!B:B,'data base '!B:B)</f>
        <v>0</v>
      </c>
      <c r="Y61" s="121">
        <f>SUMIFS('FIXED AMOUNT'!F:F,'FIXED AMOUNT'!B:B,'data base '!B:B)</f>
        <v>0</v>
      </c>
      <c r="Z61" s="121">
        <f>SUMIFS('FIXED AMOUNT'!V:V,'FIXED AMOUNT'!B:B,B:B)</f>
        <v>3062</v>
      </c>
      <c r="AA61" s="121">
        <f t="shared" si="2"/>
        <v>22942</v>
      </c>
      <c r="AB61" s="204">
        <f t="shared" si="3"/>
        <v>1988</v>
      </c>
      <c r="AC61" s="201">
        <v>45945</v>
      </c>
      <c r="AD61" s="121">
        <f t="shared" si="4"/>
        <v>24930</v>
      </c>
      <c r="AE61" s="205"/>
    </row>
    <row r="62" spans="1:31" x14ac:dyDescent="0.25">
      <c r="A62">
        <v>61</v>
      </c>
      <c r="B62" t="s">
        <v>296</v>
      </c>
      <c r="C62" t="s">
        <v>297</v>
      </c>
      <c r="D62" s="143">
        <f>SUMIFS(FACILITIES!E:E,FACILITIES!$B:$B,B62)</f>
        <v>0</v>
      </c>
      <c r="E62" s="143">
        <f>SUMIFS(FACILITIES!F:F,FACILITIES!$B:$B,$B62)</f>
        <v>0</v>
      </c>
      <c r="F62" s="143">
        <f>SUMIFS(FACILITIES!G:G,FACILITIES!$B:$B,B62)</f>
        <v>0</v>
      </c>
      <c r="G62" s="143">
        <f>SUMIFS(FACILITIES!H:H,FACILITIES!$B:$B,B62)</f>
        <v>0</v>
      </c>
      <c r="H62" s="143">
        <f>SUMIFS(FACILITIES!I:I,FACILITIES!$B:$B,B62)</f>
        <v>0</v>
      </c>
      <c r="I62" s="143">
        <f>SUMIFS(FACILITIES!J:J,FACILITIES!$B:$B,B62)</f>
        <v>0</v>
      </c>
      <c r="J62" s="143">
        <f>SUMIFS(FACILITIES!K:K,FACILITIES!$B:$B,B62)</f>
        <v>0</v>
      </c>
      <c r="K62" s="143">
        <f>SUMIFS(FACILITIES!L:L,FACILITIES!$B:$B,B62)</f>
        <v>0</v>
      </c>
      <c r="L62" s="143">
        <f>SUMIFS(FACILITIES!M:M,FACILITIES!$B:$B,B62)</f>
        <v>0</v>
      </c>
      <c r="M62" s="143">
        <f>SUMIFS(FACILITIES!N:N,FACILITIES!$B:$B,B62)</f>
        <v>0</v>
      </c>
      <c r="N62" s="143">
        <f>SUMIFS(FACILITIES!O:O,FACILITIES!$B:$B,B62)</f>
        <v>0</v>
      </c>
      <c r="O62" s="143">
        <f>SUMIFS(FACILITIES!P:P,FACILITIES!$B:$B,B62)</f>
        <v>0</v>
      </c>
      <c r="P62" s="143">
        <f>SUMIFS(FACILITIES!Q:Q,FACILITIES!$B:$B,B62)</f>
        <v>0</v>
      </c>
      <c r="Q62" s="143">
        <f>SUMIFS(FACILITIES!R:R,FACILITIES!$B:$B,B62)</f>
        <v>0</v>
      </c>
      <c r="R62" s="143">
        <f>SUMIFS(FACILITIES!T:T,FACILITIES!B:B,B62)</f>
        <v>0</v>
      </c>
      <c r="S62" s="143">
        <f>SUMIFS(FACILITIES!S:S,FACILITIES!B:B,B62)</f>
        <v>0</v>
      </c>
      <c r="T62" s="143">
        <f>SUMIFS('F &amp; B'!G:G,'F &amp; B'!B:B,B62)</f>
        <v>7368</v>
      </c>
      <c r="U62" s="207">
        <f t="shared" si="1"/>
        <v>1105.2</v>
      </c>
      <c r="V62" s="143">
        <f>SUMIFS('FIXED AMOUNT'!G:G,'FIXED AMOUNT'!B:B,B62)</f>
        <v>7000</v>
      </c>
      <c r="W62" s="121">
        <f t="shared" si="5"/>
        <v>15473.2</v>
      </c>
      <c r="X62" s="121">
        <f>SUMIFS('FIXED AMOUNT'!E:E,'FIXED AMOUNT'!B:B,'data base '!B:B)</f>
        <v>0</v>
      </c>
      <c r="Y62" s="121">
        <f>SUMIFS('FIXED AMOUNT'!F:F,'FIXED AMOUNT'!B:B,'data base '!B:B)</f>
        <v>0</v>
      </c>
      <c r="Z62" s="121">
        <f>SUMIFS('FIXED AMOUNT'!V:V,'FIXED AMOUNT'!B:B,B:B)</f>
        <v>31844</v>
      </c>
      <c r="AA62" s="121">
        <f t="shared" si="2"/>
        <v>47317.2</v>
      </c>
      <c r="AB62" s="204">
        <f t="shared" si="3"/>
        <v>1547.3200000000002</v>
      </c>
      <c r="AC62" s="201">
        <v>45945</v>
      </c>
      <c r="AD62" s="121">
        <f t="shared" si="4"/>
        <v>48864.52</v>
      </c>
      <c r="AE62" s="205"/>
    </row>
    <row r="63" spans="1:31" x14ac:dyDescent="0.25">
      <c r="A63">
        <v>62</v>
      </c>
      <c r="B63" t="s">
        <v>301</v>
      </c>
      <c r="C63" t="s">
        <v>302</v>
      </c>
      <c r="D63" s="143">
        <f>SUMIFS(FACILITIES!E:E,FACILITIES!$B:$B,B63)</f>
        <v>0</v>
      </c>
      <c r="E63" s="143">
        <f>SUMIFS(FACILITIES!F:F,FACILITIES!$B:$B,$B63)</f>
        <v>600</v>
      </c>
      <c r="F63" s="143">
        <f>SUMIFS(FACILITIES!G:G,FACILITIES!$B:$B,B63)</f>
        <v>0</v>
      </c>
      <c r="G63" s="143">
        <f>SUMIFS(FACILITIES!H:H,FACILITIES!$B:$B,B63)</f>
        <v>0</v>
      </c>
      <c r="H63" s="143">
        <f>SUMIFS(FACILITIES!I:I,FACILITIES!$B:$B,B63)</f>
        <v>0</v>
      </c>
      <c r="I63" s="143">
        <f>SUMIFS(FACILITIES!J:J,FACILITIES!$B:$B,B63)</f>
        <v>0</v>
      </c>
      <c r="J63" s="143">
        <f>SUMIFS(FACILITIES!K:K,FACILITIES!$B:$B,B63)</f>
        <v>0</v>
      </c>
      <c r="K63" s="143">
        <f>SUMIFS(FACILITIES!L:L,FACILITIES!$B:$B,B63)</f>
        <v>0</v>
      </c>
      <c r="L63" s="143">
        <f>SUMIFS(FACILITIES!M:M,FACILITIES!$B:$B,B63)</f>
        <v>0</v>
      </c>
      <c r="M63" s="143">
        <f>SUMIFS(FACILITIES!N:N,FACILITIES!$B:$B,B63)</f>
        <v>0</v>
      </c>
      <c r="N63" s="143">
        <f>SUMIFS(FACILITIES!O:O,FACILITIES!$B:$B,B63)</f>
        <v>0</v>
      </c>
      <c r="O63" s="143">
        <f>SUMIFS(FACILITIES!P:P,FACILITIES!$B:$B,B63)</f>
        <v>0</v>
      </c>
      <c r="P63" s="143">
        <f>SUMIFS(FACILITIES!Q:Q,FACILITIES!$B:$B,B63)</f>
        <v>0</v>
      </c>
      <c r="Q63" s="143">
        <f>SUMIFS(FACILITIES!R:R,FACILITIES!$B:$B,B63)</f>
        <v>0</v>
      </c>
      <c r="R63" s="143">
        <f>SUMIFS(FACILITIES!T:T,FACILITIES!B:B,B63)</f>
        <v>9500</v>
      </c>
      <c r="S63" s="143">
        <f>SUMIFS(FACILITIES!S:S,FACILITIES!B:B,B63)</f>
        <v>0</v>
      </c>
      <c r="T63" s="143">
        <f>SUMIFS('F &amp; B'!G:G,'F &amp; B'!B:B,B63)</f>
        <v>0</v>
      </c>
      <c r="U63" s="207">
        <f t="shared" si="1"/>
        <v>0</v>
      </c>
      <c r="V63" s="143">
        <f>SUMIFS('FIXED AMOUNT'!G:G,'FIXED AMOUNT'!B:B,B63)</f>
        <v>7000</v>
      </c>
      <c r="W63" s="121">
        <f t="shared" si="5"/>
        <v>17100</v>
      </c>
      <c r="X63" s="121">
        <f>SUMIFS('FIXED AMOUNT'!E:E,'FIXED AMOUNT'!B:B,'data base '!B:B)</f>
        <v>0</v>
      </c>
      <c r="Y63" s="121">
        <f>SUMIFS('FIXED AMOUNT'!F:F,'FIXED AMOUNT'!B:B,'data base '!B:B)</f>
        <v>0</v>
      </c>
      <c r="Z63" s="121">
        <f>SUMIFS('FIXED AMOUNT'!V:V,'FIXED AMOUNT'!B:B,B:B)</f>
        <v>0</v>
      </c>
      <c r="AA63" s="121">
        <f t="shared" si="2"/>
        <v>17100</v>
      </c>
      <c r="AB63" s="204">
        <f t="shared" si="3"/>
        <v>1710</v>
      </c>
      <c r="AC63" s="201">
        <v>45945</v>
      </c>
      <c r="AD63" s="121">
        <f t="shared" si="4"/>
        <v>18810</v>
      </c>
      <c r="AE63" s="205"/>
    </row>
    <row r="64" spans="1:31" x14ac:dyDescent="0.25">
      <c r="A64">
        <v>63</v>
      </c>
      <c r="B64" t="s">
        <v>306</v>
      </c>
      <c r="C64" t="s">
        <v>307</v>
      </c>
      <c r="D64" s="143">
        <f>SUMIFS(FACILITIES!E:E,FACILITIES!$B:$B,B64)</f>
        <v>0</v>
      </c>
      <c r="E64" s="143">
        <f>SUMIFS(FACILITIES!F:F,FACILITIES!$B:$B,$B64)</f>
        <v>0</v>
      </c>
      <c r="F64" s="143">
        <f>SUMIFS(FACILITIES!G:G,FACILITIES!$B:$B,B64)</f>
        <v>0</v>
      </c>
      <c r="G64" s="143">
        <f>SUMIFS(FACILITIES!H:H,FACILITIES!$B:$B,B64)</f>
        <v>0</v>
      </c>
      <c r="H64" s="143">
        <f>SUMIFS(FACILITIES!I:I,FACILITIES!$B:$B,B64)</f>
        <v>0</v>
      </c>
      <c r="I64" s="143">
        <f>SUMIFS(FACILITIES!J:J,FACILITIES!$B:$B,B64)</f>
        <v>0</v>
      </c>
      <c r="J64" s="143">
        <f>SUMIFS(FACILITIES!K:K,FACILITIES!$B:$B,B64)</f>
        <v>0</v>
      </c>
      <c r="K64" s="143">
        <f>SUMIFS(FACILITIES!L:L,FACILITIES!$B:$B,B64)</f>
        <v>0</v>
      </c>
      <c r="L64" s="143">
        <f>SUMIFS(FACILITIES!M:M,FACILITIES!$B:$B,B64)</f>
        <v>0</v>
      </c>
      <c r="M64" s="143">
        <f>SUMIFS(FACILITIES!N:N,FACILITIES!$B:$B,B64)</f>
        <v>0</v>
      </c>
      <c r="N64" s="143">
        <f>SUMIFS(FACILITIES!O:O,FACILITIES!$B:$B,B64)</f>
        <v>0</v>
      </c>
      <c r="O64" s="143">
        <f>SUMIFS(FACILITIES!P:P,FACILITIES!$B:$B,B64)</f>
        <v>0</v>
      </c>
      <c r="P64" s="143">
        <f>SUMIFS(FACILITIES!Q:Q,FACILITIES!$B:$B,B64)</f>
        <v>0</v>
      </c>
      <c r="Q64" s="143">
        <f>SUMIFS(FACILITIES!R:R,FACILITIES!$B:$B,B64)</f>
        <v>0</v>
      </c>
      <c r="R64" s="143">
        <f>SUMIFS(FACILITIES!T:T,FACILITIES!B:B,B64)</f>
        <v>0</v>
      </c>
      <c r="S64" s="143">
        <f>SUMIFS(FACILITIES!S:S,FACILITIES!B:B,B64)</f>
        <v>0</v>
      </c>
      <c r="T64" s="143">
        <f>SUMIFS('F &amp; B'!G:G,'F &amp; B'!B:B,B64)</f>
        <v>57964</v>
      </c>
      <c r="U64" s="207">
        <f t="shared" si="1"/>
        <v>8694.6</v>
      </c>
      <c r="V64" s="143">
        <f>SUMIFS('FIXED AMOUNT'!G:G,'FIXED AMOUNT'!B:B,B64)</f>
        <v>7000</v>
      </c>
      <c r="W64" s="121">
        <f t="shared" si="5"/>
        <v>73658.600000000006</v>
      </c>
      <c r="X64" s="121">
        <f>SUMIFS('FIXED AMOUNT'!E:E,'FIXED AMOUNT'!B:B,'data base '!B:B)</f>
        <v>0</v>
      </c>
      <c r="Y64" s="121">
        <f>SUMIFS('FIXED AMOUNT'!F:F,'FIXED AMOUNT'!B:B,'data base '!B:B)</f>
        <v>0</v>
      </c>
      <c r="Z64" s="121">
        <f>SUMIFS('FIXED AMOUNT'!V:V,'FIXED AMOUNT'!B:B,B:B)</f>
        <v>0</v>
      </c>
      <c r="AA64" s="121">
        <f t="shared" si="2"/>
        <v>73658.600000000006</v>
      </c>
      <c r="AB64" s="204">
        <f t="shared" si="3"/>
        <v>7365.8600000000006</v>
      </c>
      <c r="AC64" s="201">
        <v>45945</v>
      </c>
      <c r="AD64" s="121">
        <f t="shared" si="4"/>
        <v>81024.460000000006</v>
      </c>
      <c r="AE64" s="205"/>
    </row>
    <row r="65" spans="1:31" x14ac:dyDescent="0.25">
      <c r="A65">
        <v>64</v>
      </c>
      <c r="B65" t="s">
        <v>308</v>
      </c>
      <c r="C65" t="s">
        <v>309</v>
      </c>
      <c r="D65" s="143">
        <f>SUMIFS(FACILITIES!E:E,FACILITIES!$B:$B,B65)</f>
        <v>2400</v>
      </c>
      <c r="E65" s="143">
        <f>SUMIFS(FACILITIES!F:F,FACILITIES!$B:$B,$B65)</f>
        <v>0</v>
      </c>
      <c r="F65" s="143">
        <f>SUMIFS(FACILITIES!G:G,FACILITIES!$B:$B,B65)</f>
        <v>0</v>
      </c>
      <c r="G65" s="143">
        <f>SUMIFS(FACILITIES!H:H,FACILITIES!$B:$B,B65)</f>
        <v>0</v>
      </c>
      <c r="H65" s="143">
        <f>SUMIFS(FACILITIES!I:I,FACILITIES!$B:$B,B65)</f>
        <v>0</v>
      </c>
      <c r="I65" s="143">
        <f>SUMIFS(FACILITIES!J:J,FACILITIES!$B:$B,B65)</f>
        <v>2700</v>
      </c>
      <c r="J65" s="143">
        <f>SUMIFS(FACILITIES!K:K,FACILITIES!$B:$B,B65)</f>
        <v>0</v>
      </c>
      <c r="K65" s="143">
        <f>SUMIFS(FACILITIES!L:L,FACILITIES!$B:$B,B65)</f>
        <v>0</v>
      </c>
      <c r="L65" s="143">
        <f>SUMIFS(FACILITIES!M:M,FACILITIES!$B:$B,B65)</f>
        <v>0</v>
      </c>
      <c r="M65" s="143">
        <f>SUMIFS(FACILITIES!N:N,FACILITIES!$B:$B,B65)</f>
        <v>0</v>
      </c>
      <c r="N65" s="143">
        <f>SUMIFS(FACILITIES!O:O,FACILITIES!$B:$B,B65)</f>
        <v>0</v>
      </c>
      <c r="O65" s="143">
        <f>SUMIFS(FACILITIES!P:P,FACILITIES!$B:$B,B65)</f>
        <v>0</v>
      </c>
      <c r="P65" s="143">
        <f>SUMIFS(FACILITIES!Q:Q,FACILITIES!$B:$B,B65)</f>
        <v>0</v>
      </c>
      <c r="Q65" s="143">
        <f>SUMIFS(FACILITIES!R:R,FACILITIES!$B:$B,B65)</f>
        <v>0</v>
      </c>
      <c r="R65" s="143">
        <f>SUMIFS(FACILITIES!T:T,FACILITIES!B:B,B65)</f>
        <v>4000</v>
      </c>
      <c r="S65" s="143">
        <f>SUMIFS(FACILITIES!S:S,FACILITIES!B:B,B65)</f>
        <v>0</v>
      </c>
      <c r="T65" s="143">
        <f>SUMIFS('F &amp; B'!G:G,'F &amp; B'!B:B,B65)</f>
        <v>15825</v>
      </c>
      <c r="U65" s="207">
        <f t="shared" si="1"/>
        <v>2373.75</v>
      </c>
      <c r="V65" s="143">
        <f>SUMIFS('FIXED AMOUNT'!G:G,'FIXED AMOUNT'!B:B,B65)</f>
        <v>7000</v>
      </c>
      <c r="W65" s="121">
        <f t="shared" si="5"/>
        <v>34298.75</v>
      </c>
      <c r="X65" s="121">
        <f>SUMIFS('FIXED AMOUNT'!E:E,'FIXED AMOUNT'!B:B,'data base '!B:B)</f>
        <v>0</v>
      </c>
      <c r="Y65" s="121">
        <f>SUMIFS('FIXED AMOUNT'!F:F,'FIXED AMOUNT'!B:B,'data base '!B:B)</f>
        <v>0</v>
      </c>
      <c r="Z65" s="121">
        <f>SUMIFS('FIXED AMOUNT'!V:V,'FIXED AMOUNT'!B:B,B:B)</f>
        <v>0</v>
      </c>
      <c r="AA65" s="121">
        <f t="shared" si="2"/>
        <v>34298.75</v>
      </c>
      <c r="AB65" s="204">
        <f t="shared" si="3"/>
        <v>3429.875</v>
      </c>
      <c r="AC65" s="201">
        <v>45945</v>
      </c>
      <c r="AD65" s="121">
        <f t="shared" si="4"/>
        <v>37728.625</v>
      </c>
      <c r="AE65" s="205"/>
    </row>
    <row r="66" spans="1:31" x14ac:dyDescent="0.25">
      <c r="A66">
        <v>65</v>
      </c>
      <c r="B66" t="s">
        <v>312</v>
      </c>
      <c r="C66" t="s">
        <v>313</v>
      </c>
      <c r="D66" s="143">
        <f>SUMIFS(FACILITIES!E:E,FACILITIES!$B:$B,B66)</f>
        <v>0</v>
      </c>
      <c r="E66" s="143">
        <f>SUMIFS(FACILITIES!F:F,FACILITIES!$B:$B,$B66)</f>
        <v>1200</v>
      </c>
      <c r="F66" s="143">
        <f>SUMIFS(FACILITIES!G:G,FACILITIES!$B:$B,B66)</f>
        <v>0</v>
      </c>
      <c r="G66" s="143">
        <f>SUMIFS(FACILITIES!H:H,FACILITIES!$B:$B,B66)</f>
        <v>0</v>
      </c>
      <c r="H66" s="143">
        <f>SUMIFS(FACILITIES!I:I,FACILITIES!$B:$B,B66)</f>
        <v>0</v>
      </c>
      <c r="I66" s="143">
        <f>SUMIFS(FACILITIES!J:J,FACILITIES!$B:$B,B66)</f>
        <v>0</v>
      </c>
      <c r="J66" s="143">
        <f>SUMIFS(FACILITIES!K:K,FACILITIES!$B:$B,B66)</f>
        <v>0</v>
      </c>
      <c r="K66" s="143">
        <f>SUMIFS(FACILITIES!L:L,FACILITIES!$B:$B,B66)</f>
        <v>0</v>
      </c>
      <c r="L66" s="143">
        <f>SUMIFS(FACILITIES!M:M,FACILITIES!$B:$B,B66)</f>
        <v>0</v>
      </c>
      <c r="M66" s="143">
        <f>SUMIFS(FACILITIES!N:N,FACILITIES!$B:$B,B66)</f>
        <v>0</v>
      </c>
      <c r="N66" s="143">
        <f>SUMIFS(FACILITIES!O:O,FACILITIES!$B:$B,B66)</f>
        <v>0</v>
      </c>
      <c r="O66" s="143">
        <f>SUMIFS(FACILITIES!P:P,FACILITIES!$B:$B,B66)</f>
        <v>0</v>
      </c>
      <c r="P66" s="143">
        <f>SUMIFS(FACILITIES!Q:Q,FACILITIES!$B:$B,B66)</f>
        <v>0</v>
      </c>
      <c r="Q66" s="143">
        <f>SUMIFS(FACILITIES!R:R,FACILITIES!$B:$B,B66)</f>
        <v>0</v>
      </c>
      <c r="R66" s="143">
        <f>SUMIFS(FACILITIES!T:T,FACILITIES!B:B,B66)</f>
        <v>0</v>
      </c>
      <c r="S66" s="143">
        <f>SUMIFS(FACILITIES!S:S,FACILITIES!B:B,B66)</f>
        <v>0</v>
      </c>
      <c r="T66" s="143">
        <f>SUMIFS('F &amp; B'!G:G,'F &amp; B'!B:B,B66)</f>
        <v>5150</v>
      </c>
      <c r="U66" s="207">
        <f t="shared" si="1"/>
        <v>772.5</v>
      </c>
      <c r="V66" s="143">
        <f>SUMIFS('FIXED AMOUNT'!G:G,'FIXED AMOUNT'!B:B,B66)</f>
        <v>7000</v>
      </c>
      <c r="W66" s="121">
        <f t="shared" ref="W66:W97" si="6">SUM(D66:V66)</f>
        <v>14122.5</v>
      </c>
      <c r="X66" s="121">
        <f>SUMIFS('FIXED AMOUNT'!E:E,'FIXED AMOUNT'!B:B,'data base '!B:B)</f>
        <v>0</v>
      </c>
      <c r="Y66" s="121">
        <f>SUMIFS('FIXED AMOUNT'!F:F,'FIXED AMOUNT'!B:B,'data base '!B:B)</f>
        <v>0</v>
      </c>
      <c r="Z66" s="121">
        <f>SUMIFS('FIXED AMOUNT'!V:V,'FIXED AMOUNT'!B:B,B:B)</f>
        <v>0</v>
      </c>
      <c r="AA66" s="121">
        <f t="shared" si="2"/>
        <v>14122.5</v>
      </c>
      <c r="AB66" s="204">
        <f t="shared" si="3"/>
        <v>1412.25</v>
      </c>
      <c r="AC66" s="201">
        <v>45945</v>
      </c>
      <c r="AD66" s="121">
        <f t="shared" si="4"/>
        <v>15534.75</v>
      </c>
      <c r="AE66" s="205"/>
    </row>
    <row r="67" spans="1:31" x14ac:dyDescent="0.25">
      <c r="A67">
        <v>66</v>
      </c>
      <c r="B67" t="s">
        <v>315</v>
      </c>
      <c r="C67" t="s">
        <v>316</v>
      </c>
      <c r="D67" s="143">
        <f>SUMIFS(FACILITIES!E:E,FACILITIES!$B:$B,B67)</f>
        <v>2400</v>
      </c>
      <c r="E67" s="143">
        <f>SUMIFS(FACILITIES!F:F,FACILITIES!$B:$B,$B67)</f>
        <v>0</v>
      </c>
      <c r="F67" s="143">
        <f>SUMIFS(FACILITIES!G:G,FACILITIES!$B:$B,B67)</f>
        <v>0</v>
      </c>
      <c r="G67" s="143">
        <f>SUMIFS(FACILITIES!H:H,FACILITIES!$B:$B,B67)</f>
        <v>0</v>
      </c>
      <c r="H67" s="143">
        <f>SUMIFS(FACILITIES!I:I,FACILITIES!$B:$B,B67)</f>
        <v>0</v>
      </c>
      <c r="I67" s="143">
        <f>SUMIFS(FACILITIES!J:J,FACILITIES!$B:$B,B67)</f>
        <v>600</v>
      </c>
      <c r="J67" s="143">
        <f>SUMIFS(FACILITIES!K:K,FACILITIES!$B:$B,B67)</f>
        <v>0</v>
      </c>
      <c r="K67" s="143">
        <f>SUMIFS(FACILITIES!L:L,FACILITIES!$B:$B,B67)</f>
        <v>0</v>
      </c>
      <c r="L67" s="143">
        <f>SUMIFS(FACILITIES!M:M,FACILITIES!$B:$B,B67)</f>
        <v>0</v>
      </c>
      <c r="M67" s="143">
        <f>SUMIFS(FACILITIES!N:N,FACILITIES!$B:$B,B67)</f>
        <v>0</v>
      </c>
      <c r="N67" s="143">
        <f>SUMIFS(FACILITIES!O:O,FACILITIES!$B:$B,B67)</f>
        <v>0</v>
      </c>
      <c r="O67" s="143">
        <f>SUMIFS(FACILITIES!P:P,FACILITIES!$B:$B,B67)</f>
        <v>0</v>
      </c>
      <c r="P67" s="143">
        <f>SUMIFS(FACILITIES!Q:Q,FACILITIES!$B:$B,B67)</f>
        <v>0</v>
      </c>
      <c r="Q67" s="143">
        <f>SUMIFS(FACILITIES!R:R,FACILITIES!$B:$B,B67)</f>
        <v>0</v>
      </c>
      <c r="R67" s="143">
        <f>SUMIFS(FACILITIES!T:T,FACILITIES!B:B,B67)</f>
        <v>19500</v>
      </c>
      <c r="S67" s="143">
        <f>SUMIFS(FACILITIES!S:S,FACILITIES!B:B,B67)</f>
        <v>0</v>
      </c>
      <c r="T67" s="143">
        <f>SUMIFS('F &amp; B'!G:G,'F &amp; B'!B:B,B67)</f>
        <v>16275</v>
      </c>
      <c r="U67" s="207">
        <f t="shared" ref="U67:U123" si="7">T67*0.15</f>
        <v>2441.25</v>
      </c>
      <c r="V67" s="143">
        <f>SUMIFS('FIXED AMOUNT'!G:G,'FIXED AMOUNT'!B:B,B67)</f>
        <v>7000</v>
      </c>
      <c r="W67" s="121">
        <f t="shared" si="6"/>
        <v>48216.25</v>
      </c>
      <c r="X67" s="121">
        <f>SUMIFS('FIXED AMOUNT'!E:E,'FIXED AMOUNT'!B:B,'data base '!B:B)</f>
        <v>0</v>
      </c>
      <c r="Y67" s="121">
        <f>SUMIFS('FIXED AMOUNT'!F:F,'FIXED AMOUNT'!B:B,'data base '!B:B)</f>
        <v>0</v>
      </c>
      <c r="Z67" s="121">
        <f>SUMIFS('FIXED AMOUNT'!V:V,'FIXED AMOUNT'!B:B,B:B)</f>
        <v>0</v>
      </c>
      <c r="AA67" s="121">
        <f t="shared" ref="AA67:AA123" si="8">W67+X67-Y67+Z67</f>
        <v>48216.25</v>
      </c>
      <c r="AB67" s="204">
        <f t="shared" ref="AB67:AB123" si="9">W67*0.1</f>
        <v>4821.625</v>
      </c>
      <c r="AC67" s="201">
        <v>45945</v>
      </c>
      <c r="AD67" s="121">
        <f t="shared" ref="AD67:AD122" si="10">AA67+AB67</f>
        <v>53037.875</v>
      </c>
      <c r="AE67" s="205"/>
    </row>
    <row r="68" spans="1:31" x14ac:dyDescent="0.25">
      <c r="A68">
        <v>67</v>
      </c>
      <c r="B68" t="s">
        <v>319</v>
      </c>
      <c r="C68" t="s">
        <v>320</v>
      </c>
      <c r="D68" s="143">
        <f>SUMIFS(FACILITIES!E:E,FACILITIES!$B:$B,B68)</f>
        <v>0</v>
      </c>
      <c r="E68" s="143">
        <f>SUMIFS(FACILITIES!F:F,FACILITIES!$B:$B,$B68)</f>
        <v>0</v>
      </c>
      <c r="F68" s="143">
        <f>SUMIFS(FACILITIES!G:G,FACILITIES!$B:$B,B68)</f>
        <v>0</v>
      </c>
      <c r="G68" s="143">
        <f>SUMIFS(FACILITIES!H:H,FACILITIES!$B:$B,B68)</f>
        <v>0</v>
      </c>
      <c r="H68" s="143">
        <f>SUMIFS(FACILITIES!I:I,FACILITIES!$B:$B,B68)</f>
        <v>0</v>
      </c>
      <c r="I68" s="143">
        <f>SUMIFS(FACILITIES!J:J,FACILITIES!$B:$B,B68)</f>
        <v>0</v>
      </c>
      <c r="J68" s="143">
        <f>SUMIFS(FACILITIES!K:K,FACILITIES!$B:$B,B68)</f>
        <v>0</v>
      </c>
      <c r="K68" s="143">
        <f>SUMIFS(FACILITIES!L:L,FACILITIES!$B:$B,B68)</f>
        <v>0</v>
      </c>
      <c r="L68" s="143">
        <f>SUMIFS(FACILITIES!M:M,FACILITIES!$B:$B,B68)</f>
        <v>0</v>
      </c>
      <c r="M68" s="143">
        <f>SUMIFS(FACILITIES!N:N,FACILITIES!$B:$B,B68)</f>
        <v>0</v>
      </c>
      <c r="N68" s="143">
        <f>SUMIFS(FACILITIES!O:O,FACILITIES!$B:$B,B68)</f>
        <v>0</v>
      </c>
      <c r="O68" s="143">
        <f>SUMIFS(FACILITIES!P:P,FACILITIES!$B:$B,B68)</f>
        <v>0</v>
      </c>
      <c r="P68" s="143">
        <f>SUMIFS(FACILITIES!Q:Q,FACILITIES!$B:$B,B68)</f>
        <v>0</v>
      </c>
      <c r="Q68" s="143">
        <f>SUMIFS(FACILITIES!R:R,FACILITIES!$B:$B,B68)</f>
        <v>0</v>
      </c>
      <c r="R68" s="143">
        <f>SUMIFS(FACILITIES!T:T,FACILITIES!B:B,B68)</f>
        <v>0</v>
      </c>
      <c r="S68" s="143">
        <f>SUMIFS(FACILITIES!S:S,FACILITIES!B:B,B68)</f>
        <v>0</v>
      </c>
      <c r="T68" s="143">
        <f>SUMIFS('F &amp; B'!G:G,'F &amp; B'!B:B,B68)</f>
        <v>0</v>
      </c>
      <c r="U68" s="207">
        <f t="shared" si="7"/>
        <v>0</v>
      </c>
      <c r="V68" s="143">
        <f>SUMIFS('FIXED AMOUNT'!G:G,'FIXED AMOUNT'!B:B,B68)</f>
        <v>7000</v>
      </c>
      <c r="W68" s="121">
        <f t="shared" si="6"/>
        <v>7000</v>
      </c>
      <c r="X68" s="121">
        <f>SUMIFS('FIXED AMOUNT'!E:E,'FIXED AMOUNT'!B:B,'data base '!B:B)</f>
        <v>0</v>
      </c>
      <c r="Y68" s="121">
        <f>SUMIFS('FIXED AMOUNT'!F:F,'FIXED AMOUNT'!B:B,'data base '!B:B)</f>
        <v>0</v>
      </c>
      <c r="Z68" s="121">
        <f>SUMIFS('FIXED AMOUNT'!V:V,'FIXED AMOUNT'!B:B,B:B)</f>
        <v>0</v>
      </c>
      <c r="AA68" s="121">
        <f t="shared" si="8"/>
        <v>7000</v>
      </c>
      <c r="AB68" s="204">
        <f t="shared" si="9"/>
        <v>700</v>
      </c>
      <c r="AC68" s="201">
        <v>45945</v>
      </c>
      <c r="AD68" s="121">
        <f t="shared" si="10"/>
        <v>7700</v>
      </c>
      <c r="AE68" s="205"/>
    </row>
    <row r="69" spans="1:31" x14ac:dyDescent="0.25">
      <c r="A69">
        <v>68</v>
      </c>
      <c r="B69" t="s">
        <v>323</v>
      </c>
      <c r="C69" t="s">
        <v>324</v>
      </c>
      <c r="D69" s="143">
        <f>SUMIFS(FACILITIES!E:E,FACILITIES!$B:$B,B69)</f>
        <v>0</v>
      </c>
      <c r="E69" s="143">
        <f>SUMIFS(FACILITIES!F:F,FACILITIES!$B:$B,$B69)</f>
        <v>0</v>
      </c>
      <c r="F69" s="143">
        <f>SUMIFS(FACILITIES!G:G,FACILITIES!$B:$B,B69)</f>
        <v>0</v>
      </c>
      <c r="G69" s="143">
        <f>SUMIFS(FACILITIES!H:H,FACILITIES!$B:$B,B69)</f>
        <v>0</v>
      </c>
      <c r="H69" s="143">
        <f>SUMIFS(FACILITIES!I:I,FACILITIES!$B:$B,B69)</f>
        <v>0</v>
      </c>
      <c r="I69" s="143">
        <f>SUMIFS(FACILITIES!J:J,FACILITIES!$B:$B,B69)</f>
        <v>0</v>
      </c>
      <c r="J69" s="143">
        <f>SUMIFS(FACILITIES!K:K,FACILITIES!$B:$B,B69)</f>
        <v>0</v>
      </c>
      <c r="K69" s="143">
        <f>SUMIFS(FACILITIES!L:L,FACILITIES!$B:$B,B69)</f>
        <v>0</v>
      </c>
      <c r="L69" s="143">
        <f>SUMIFS(FACILITIES!M:M,FACILITIES!$B:$B,B69)</f>
        <v>0</v>
      </c>
      <c r="M69" s="143">
        <f>SUMIFS(FACILITIES!N:N,FACILITIES!$B:$B,B69)</f>
        <v>0</v>
      </c>
      <c r="N69" s="143">
        <f>SUMIFS(FACILITIES!O:O,FACILITIES!$B:$B,B69)</f>
        <v>0</v>
      </c>
      <c r="O69" s="143">
        <f>SUMIFS(FACILITIES!P:P,FACILITIES!$B:$B,B69)</f>
        <v>0</v>
      </c>
      <c r="P69" s="143">
        <f>SUMIFS(FACILITIES!Q:Q,FACILITIES!$B:$B,B69)</f>
        <v>0</v>
      </c>
      <c r="Q69" s="143">
        <f>SUMIFS(FACILITIES!R:R,FACILITIES!$B:$B,B69)</f>
        <v>0</v>
      </c>
      <c r="R69" s="143">
        <f>SUMIFS(FACILITIES!T:T,FACILITIES!B:B,B69)</f>
        <v>0</v>
      </c>
      <c r="S69" s="143">
        <f>SUMIFS(FACILITIES!S:S,FACILITIES!B:B,B69)</f>
        <v>0</v>
      </c>
      <c r="T69" s="143">
        <f>SUMIFS('F &amp; B'!G:G,'F &amp; B'!B:B,B69)</f>
        <v>28890</v>
      </c>
      <c r="U69" s="207">
        <f t="shared" si="7"/>
        <v>4333.5</v>
      </c>
      <c r="V69" s="143">
        <f>SUMIFS('FIXED AMOUNT'!G:G,'FIXED AMOUNT'!B:B,B69)</f>
        <v>7000</v>
      </c>
      <c r="W69" s="121">
        <f t="shared" si="6"/>
        <v>40223.5</v>
      </c>
      <c r="X69" s="121">
        <f>SUMIFS('FIXED AMOUNT'!E:E,'FIXED AMOUNT'!B:B,'data base '!B:B)</f>
        <v>0</v>
      </c>
      <c r="Y69" s="121">
        <f>SUMIFS('FIXED AMOUNT'!F:F,'FIXED AMOUNT'!B:B,'data base '!B:B)</f>
        <v>0</v>
      </c>
      <c r="Z69" s="121">
        <f>SUMIFS('FIXED AMOUNT'!V:V,'FIXED AMOUNT'!B:B,B:B)</f>
        <v>0</v>
      </c>
      <c r="AA69" s="121">
        <f t="shared" si="8"/>
        <v>40223.5</v>
      </c>
      <c r="AB69" s="204">
        <f t="shared" si="9"/>
        <v>4022.3500000000004</v>
      </c>
      <c r="AC69" s="201">
        <v>45945</v>
      </c>
      <c r="AD69" s="121">
        <f t="shared" si="10"/>
        <v>44245.85</v>
      </c>
      <c r="AE69" s="205"/>
    </row>
    <row r="70" spans="1:31" x14ac:dyDescent="0.25">
      <c r="A70">
        <v>69</v>
      </c>
      <c r="B70" t="s">
        <v>328</v>
      </c>
      <c r="C70" t="s">
        <v>329</v>
      </c>
      <c r="D70" s="143">
        <f>SUMIFS(FACILITIES!E:E,FACILITIES!$B:$B,B70)</f>
        <v>0</v>
      </c>
      <c r="E70" s="143">
        <f>SUMIFS(FACILITIES!F:F,FACILITIES!$B:$B,$B70)</f>
        <v>150</v>
      </c>
      <c r="F70" s="143">
        <f>SUMIFS(FACILITIES!G:G,FACILITIES!$B:$B,B70)</f>
        <v>0</v>
      </c>
      <c r="G70" s="143">
        <f>SUMIFS(FACILITIES!H:H,FACILITIES!$B:$B,B70)</f>
        <v>0</v>
      </c>
      <c r="H70" s="143">
        <f>SUMIFS(FACILITIES!I:I,FACILITIES!$B:$B,B70)</f>
        <v>0</v>
      </c>
      <c r="I70" s="143">
        <f>SUMIFS(FACILITIES!J:J,FACILITIES!$B:$B,B70)</f>
        <v>0</v>
      </c>
      <c r="J70" s="143">
        <f>SUMIFS(FACILITIES!K:K,FACILITIES!$B:$B,B70)</f>
        <v>0</v>
      </c>
      <c r="K70" s="143">
        <f>SUMIFS(FACILITIES!L:L,FACILITIES!$B:$B,B70)</f>
        <v>0</v>
      </c>
      <c r="L70" s="143">
        <f>SUMIFS(FACILITIES!M:M,FACILITIES!$B:$B,B70)</f>
        <v>0</v>
      </c>
      <c r="M70" s="143">
        <f>SUMIFS(FACILITIES!N:N,FACILITIES!$B:$B,B70)</f>
        <v>0</v>
      </c>
      <c r="N70" s="143">
        <f>SUMIFS(FACILITIES!O:O,FACILITIES!$B:$B,B70)</f>
        <v>0</v>
      </c>
      <c r="O70" s="143">
        <f>SUMIFS(FACILITIES!P:P,FACILITIES!$B:$B,B70)</f>
        <v>0</v>
      </c>
      <c r="P70" s="143">
        <f>SUMIFS(FACILITIES!Q:Q,FACILITIES!$B:$B,B70)</f>
        <v>0</v>
      </c>
      <c r="Q70" s="143">
        <f>SUMIFS(FACILITIES!R:R,FACILITIES!$B:$B,B70)</f>
        <v>0</v>
      </c>
      <c r="R70" s="143">
        <f>SUMIFS(FACILITIES!T:T,FACILITIES!B:B,B70)</f>
        <v>0</v>
      </c>
      <c r="S70" s="143">
        <f>SUMIFS(FACILITIES!S:S,FACILITIES!B:B,B70)</f>
        <v>0</v>
      </c>
      <c r="T70" s="143">
        <f>SUMIFS('F &amp; B'!G:G,'F &amp; B'!B:B,B70)</f>
        <v>0</v>
      </c>
      <c r="U70" s="207">
        <f t="shared" si="7"/>
        <v>0</v>
      </c>
      <c r="V70" s="143">
        <f>SUMIFS('FIXED AMOUNT'!G:G,'FIXED AMOUNT'!B:B,B70)</f>
        <v>7000</v>
      </c>
      <c r="W70" s="121">
        <f t="shared" si="6"/>
        <v>7150</v>
      </c>
      <c r="X70" s="121">
        <f>SUMIFS('FIXED AMOUNT'!E:E,'FIXED AMOUNT'!B:B,'data base '!B:B)</f>
        <v>0</v>
      </c>
      <c r="Y70" s="121">
        <f>SUMIFS('FIXED AMOUNT'!F:F,'FIXED AMOUNT'!B:B,'data base '!B:B)</f>
        <v>0</v>
      </c>
      <c r="Z70" s="121">
        <f>SUMIFS('FIXED AMOUNT'!V:V,'FIXED AMOUNT'!B:B,B:B)</f>
        <v>22374</v>
      </c>
      <c r="AA70" s="121">
        <f t="shared" si="8"/>
        <v>29524</v>
      </c>
      <c r="AB70" s="204">
        <f t="shared" si="9"/>
        <v>715</v>
      </c>
      <c r="AC70" s="201">
        <v>45945</v>
      </c>
      <c r="AD70" s="121">
        <f t="shared" si="10"/>
        <v>30239</v>
      </c>
      <c r="AE70" s="205"/>
    </row>
    <row r="71" spans="1:31" x14ac:dyDescent="0.25">
      <c r="A71">
        <v>70</v>
      </c>
      <c r="B71" t="s">
        <v>446</v>
      </c>
      <c r="C71" t="s">
        <v>343</v>
      </c>
      <c r="D71" s="143">
        <f>SUMIFS(FACILITIES!E:E,FACILITIES!$B:$B,B71)</f>
        <v>0</v>
      </c>
      <c r="E71" s="143">
        <f>SUMIFS(FACILITIES!F:F,FACILITIES!$B:$B,$B71)</f>
        <v>0</v>
      </c>
      <c r="F71" s="143">
        <f>SUMIFS(FACILITIES!G:G,FACILITIES!$B:$B,B71)</f>
        <v>0</v>
      </c>
      <c r="G71" s="143">
        <f>SUMIFS(FACILITIES!H:H,FACILITIES!$B:$B,B71)</f>
        <v>0</v>
      </c>
      <c r="H71" s="143">
        <f>SUMIFS(FACILITIES!I:I,FACILITIES!$B:$B,B71)</f>
        <v>0</v>
      </c>
      <c r="I71" s="143">
        <f>SUMIFS(FACILITIES!J:J,FACILITIES!$B:$B,B71)</f>
        <v>0</v>
      </c>
      <c r="J71" s="143">
        <f>SUMIFS(FACILITIES!K:K,FACILITIES!$B:$B,B71)</f>
        <v>0</v>
      </c>
      <c r="K71" s="143">
        <f>SUMIFS(FACILITIES!L:L,FACILITIES!$B:$B,B71)</f>
        <v>0</v>
      </c>
      <c r="L71" s="143">
        <f>SUMIFS(FACILITIES!M:M,FACILITIES!$B:$B,B71)</f>
        <v>0</v>
      </c>
      <c r="M71" s="143">
        <f>SUMIFS(FACILITIES!N:N,FACILITIES!$B:$B,B71)</f>
        <v>0</v>
      </c>
      <c r="N71" s="143">
        <f>SUMIFS(FACILITIES!O:O,FACILITIES!$B:$B,B71)</f>
        <v>0</v>
      </c>
      <c r="O71" s="143">
        <f>SUMIFS(FACILITIES!P:P,FACILITIES!$B:$B,B71)</f>
        <v>0</v>
      </c>
      <c r="P71" s="143">
        <f>SUMIFS(FACILITIES!Q:Q,FACILITIES!$B:$B,B71)</f>
        <v>0</v>
      </c>
      <c r="Q71" s="143">
        <f>SUMIFS(FACILITIES!R:R,FACILITIES!$B:$B,B71)</f>
        <v>0</v>
      </c>
      <c r="R71" s="143">
        <f>SUMIFS(FACILITIES!T:T,FACILITIES!B:B,B71)</f>
        <v>0</v>
      </c>
      <c r="S71" s="143">
        <f>SUMIFS(FACILITIES!S:S,FACILITIES!B:B,B71)</f>
        <v>0</v>
      </c>
      <c r="T71" s="143">
        <f>SUMIFS('F &amp; B'!G:G,'F &amp; B'!B:B,B71)</f>
        <v>0</v>
      </c>
      <c r="U71" s="207">
        <f t="shared" si="7"/>
        <v>0</v>
      </c>
      <c r="V71" s="143">
        <f>SUMIFS('FIXED AMOUNT'!G:G,'FIXED AMOUNT'!B:B,B71)</f>
        <v>7000</v>
      </c>
      <c r="W71" s="121">
        <f t="shared" si="6"/>
        <v>7000</v>
      </c>
      <c r="X71" s="121">
        <f>SUMIFS('FIXED AMOUNT'!E:E,'FIXED AMOUNT'!B:B,'data base '!B:B)</f>
        <v>0</v>
      </c>
      <c r="Y71" s="121">
        <f>SUMIFS('FIXED AMOUNT'!F:F,'FIXED AMOUNT'!B:B,'data base '!B:B)</f>
        <v>0</v>
      </c>
      <c r="Z71" s="121">
        <f>SUMIFS('FIXED AMOUNT'!V:V,'FIXED AMOUNT'!B:B,B:B)</f>
        <v>0</v>
      </c>
      <c r="AA71" s="121">
        <f t="shared" si="8"/>
        <v>7000</v>
      </c>
      <c r="AB71" s="204">
        <f t="shared" si="9"/>
        <v>700</v>
      </c>
      <c r="AC71" s="201">
        <v>45945</v>
      </c>
      <c r="AD71" s="121">
        <f t="shared" si="10"/>
        <v>7700</v>
      </c>
      <c r="AE71" s="205"/>
    </row>
    <row r="72" spans="1:31" x14ac:dyDescent="0.25">
      <c r="A72">
        <v>71</v>
      </c>
      <c r="B72" t="s">
        <v>346</v>
      </c>
      <c r="C72" t="s">
        <v>347</v>
      </c>
      <c r="D72" s="143">
        <f>SUMIFS(FACILITIES!E:E,FACILITIES!$B:$B,B72)</f>
        <v>0</v>
      </c>
      <c r="E72" s="143">
        <f>SUMIFS(FACILITIES!F:F,FACILITIES!$B:$B,$B72)</f>
        <v>0</v>
      </c>
      <c r="F72" s="143">
        <f>SUMIFS(FACILITIES!G:G,FACILITIES!$B:$B,B72)</f>
        <v>0</v>
      </c>
      <c r="G72" s="143">
        <f>SUMIFS(FACILITIES!H:H,FACILITIES!$B:$B,B72)</f>
        <v>0</v>
      </c>
      <c r="H72" s="143">
        <f>SUMIFS(FACILITIES!I:I,FACILITIES!$B:$B,B72)</f>
        <v>0</v>
      </c>
      <c r="I72" s="143">
        <f>SUMIFS(FACILITIES!J:J,FACILITIES!$B:$B,B72)</f>
        <v>0</v>
      </c>
      <c r="J72" s="143">
        <f>SUMIFS(FACILITIES!K:K,FACILITIES!$B:$B,B72)</f>
        <v>0</v>
      </c>
      <c r="K72" s="143">
        <f>SUMIFS(FACILITIES!L:L,FACILITIES!$B:$B,B72)</f>
        <v>0</v>
      </c>
      <c r="L72" s="143">
        <f>SUMIFS(FACILITIES!M:M,FACILITIES!$B:$B,B72)</f>
        <v>0</v>
      </c>
      <c r="M72" s="143">
        <f>SUMIFS(FACILITIES!N:N,FACILITIES!$B:$B,B72)</f>
        <v>0</v>
      </c>
      <c r="N72" s="143">
        <f>SUMIFS(FACILITIES!O:O,FACILITIES!$B:$B,B72)</f>
        <v>0</v>
      </c>
      <c r="O72" s="143">
        <f>SUMIFS(FACILITIES!P:P,FACILITIES!$B:$B,B72)</f>
        <v>0</v>
      </c>
      <c r="P72" s="143">
        <f>SUMIFS(FACILITIES!Q:Q,FACILITIES!$B:$B,B72)</f>
        <v>0</v>
      </c>
      <c r="Q72" s="143">
        <f>SUMIFS(FACILITIES!R:R,FACILITIES!$B:$B,B72)</f>
        <v>0</v>
      </c>
      <c r="R72" s="143">
        <f>SUMIFS(FACILITIES!T:T,FACILITIES!B:B,B72)</f>
        <v>0</v>
      </c>
      <c r="S72" s="143">
        <f>SUMIFS(FACILITIES!S:S,FACILITIES!B:B,B72)</f>
        <v>0</v>
      </c>
      <c r="T72" s="143">
        <f>SUMIFS('F &amp; B'!G:G,'F &amp; B'!B:B,B72)</f>
        <v>0</v>
      </c>
      <c r="U72" s="207">
        <f t="shared" si="7"/>
        <v>0</v>
      </c>
      <c r="V72" s="143">
        <f>SUMIFS('FIXED AMOUNT'!G:G,'FIXED AMOUNT'!B:B,B72)</f>
        <v>7000</v>
      </c>
      <c r="W72" s="121">
        <f t="shared" si="6"/>
        <v>7000</v>
      </c>
      <c r="X72" s="121">
        <f>SUMIFS('FIXED AMOUNT'!E:E,'FIXED AMOUNT'!B:B,'data base '!B:B)</f>
        <v>0</v>
      </c>
      <c r="Y72" s="121">
        <f>SUMIFS('FIXED AMOUNT'!F:F,'FIXED AMOUNT'!B:B,'data base '!B:B)</f>
        <v>0</v>
      </c>
      <c r="Z72" s="121">
        <f>SUMIFS('FIXED AMOUNT'!V:V,'FIXED AMOUNT'!B:B,B:B)</f>
        <v>0</v>
      </c>
      <c r="AA72" s="121">
        <f t="shared" si="8"/>
        <v>7000</v>
      </c>
      <c r="AB72" s="204">
        <f t="shared" si="9"/>
        <v>700</v>
      </c>
      <c r="AC72" s="201">
        <v>45945</v>
      </c>
      <c r="AD72" s="121">
        <f t="shared" si="10"/>
        <v>7700</v>
      </c>
      <c r="AE72" s="205"/>
    </row>
    <row r="73" spans="1:31" x14ac:dyDescent="0.25">
      <c r="A73">
        <v>72</v>
      </c>
      <c r="B73" t="s">
        <v>350</v>
      </c>
      <c r="C73" t="s">
        <v>351</v>
      </c>
      <c r="D73" s="143">
        <f>SUMIFS(FACILITIES!E:E,FACILITIES!$B:$B,B73)</f>
        <v>0</v>
      </c>
      <c r="E73" s="143">
        <f>SUMIFS(FACILITIES!F:F,FACILITIES!$B:$B,$B73)</f>
        <v>0</v>
      </c>
      <c r="F73" s="143">
        <f>SUMIFS(FACILITIES!G:G,FACILITIES!$B:$B,B73)</f>
        <v>0</v>
      </c>
      <c r="G73" s="143">
        <f>SUMIFS(FACILITIES!H:H,FACILITIES!$B:$B,B73)</f>
        <v>0</v>
      </c>
      <c r="H73" s="143">
        <f>SUMIFS(FACILITIES!I:I,FACILITIES!$B:$B,B73)</f>
        <v>0</v>
      </c>
      <c r="I73" s="143">
        <f>SUMIFS(FACILITIES!J:J,FACILITIES!$B:$B,B73)</f>
        <v>0</v>
      </c>
      <c r="J73" s="143">
        <f>SUMIFS(FACILITIES!K:K,FACILITIES!$B:$B,B73)</f>
        <v>0</v>
      </c>
      <c r="K73" s="143">
        <f>SUMIFS(FACILITIES!L:L,FACILITIES!$B:$B,B73)</f>
        <v>0</v>
      </c>
      <c r="L73" s="143">
        <f>SUMIFS(FACILITIES!M:M,FACILITIES!$B:$B,B73)</f>
        <v>0</v>
      </c>
      <c r="M73" s="143">
        <f>SUMIFS(FACILITIES!N:N,FACILITIES!$B:$B,B73)</f>
        <v>0</v>
      </c>
      <c r="N73" s="143">
        <f>SUMIFS(FACILITIES!O:O,FACILITIES!$B:$B,B73)</f>
        <v>0</v>
      </c>
      <c r="O73" s="143">
        <f>SUMIFS(FACILITIES!P:P,FACILITIES!$B:$B,B73)</f>
        <v>0</v>
      </c>
      <c r="P73" s="143">
        <f>SUMIFS(FACILITIES!Q:Q,FACILITIES!$B:$B,B73)</f>
        <v>0</v>
      </c>
      <c r="Q73" s="143">
        <f>SUMIFS(FACILITIES!R:R,FACILITIES!$B:$B,B73)</f>
        <v>0</v>
      </c>
      <c r="R73" s="143">
        <f>SUMIFS(FACILITIES!T:T,FACILITIES!B:B,B73)</f>
        <v>0</v>
      </c>
      <c r="S73" s="143">
        <f>SUMIFS(FACILITIES!S:S,FACILITIES!B:B,B73)</f>
        <v>0</v>
      </c>
      <c r="T73" s="143">
        <f>SUMIFS('F &amp; B'!G:G,'F &amp; B'!B:B,B73)</f>
        <v>0</v>
      </c>
      <c r="U73" s="207">
        <f t="shared" si="7"/>
        <v>0</v>
      </c>
      <c r="V73" s="143">
        <f>SUMIFS('FIXED AMOUNT'!G:G,'FIXED AMOUNT'!B:B,B73)</f>
        <v>7000</v>
      </c>
      <c r="W73" s="121">
        <f t="shared" si="6"/>
        <v>7000</v>
      </c>
      <c r="X73" s="121">
        <f>SUMIFS('FIXED AMOUNT'!E:E,'FIXED AMOUNT'!B:B,'data base '!B:B)</f>
        <v>0</v>
      </c>
      <c r="Y73" s="121">
        <f>SUMIFS('FIXED AMOUNT'!F:F,'FIXED AMOUNT'!B:B,'data base '!B:B)</f>
        <v>0</v>
      </c>
      <c r="Z73" s="121">
        <f>SUMIFS('FIXED AMOUNT'!V:V,'FIXED AMOUNT'!B:B,B:B)</f>
        <v>60000</v>
      </c>
      <c r="AA73" s="121">
        <f t="shared" si="8"/>
        <v>67000</v>
      </c>
      <c r="AB73" s="204">
        <f t="shared" si="9"/>
        <v>700</v>
      </c>
      <c r="AC73" s="201">
        <v>45945</v>
      </c>
      <c r="AD73" s="121">
        <f t="shared" si="10"/>
        <v>67700</v>
      </c>
      <c r="AE73" s="205"/>
    </row>
    <row r="74" spans="1:31" x14ac:dyDescent="0.25">
      <c r="A74">
        <v>73</v>
      </c>
      <c r="B74" t="s">
        <v>353</v>
      </c>
      <c r="C74" t="s">
        <v>463</v>
      </c>
      <c r="D74" s="143">
        <f>SUMIFS(FACILITIES!E:E,FACILITIES!$B:$B,B74)</f>
        <v>0</v>
      </c>
      <c r="E74" s="143">
        <f>SUMIFS(FACILITIES!F:F,FACILITIES!$B:$B,$B74)</f>
        <v>0</v>
      </c>
      <c r="F74" s="143">
        <f>SUMIFS(FACILITIES!G:G,FACILITIES!$B:$B,B74)</f>
        <v>0</v>
      </c>
      <c r="G74" s="143">
        <f>SUMIFS(FACILITIES!H:H,FACILITIES!$B:$B,B74)</f>
        <v>0</v>
      </c>
      <c r="H74" s="143">
        <f>SUMIFS(FACILITIES!I:I,FACILITIES!$B:$B,B74)</f>
        <v>0</v>
      </c>
      <c r="I74" s="143">
        <f>SUMIFS(FACILITIES!J:J,FACILITIES!$B:$B,B74)</f>
        <v>0</v>
      </c>
      <c r="J74" s="143">
        <f>SUMIFS(FACILITIES!K:K,FACILITIES!$B:$B,B74)</f>
        <v>0</v>
      </c>
      <c r="K74" s="143">
        <f>SUMIFS(FACILITIES!L:L,FACILITIES!$B:$B,B74)</f>
        <v>0</v>
      </c>
      <c r="L74" s="143">
        <f>SUMIFS(FACILITIES!M:M,FACILITIES!$B:$B,B74)</f>
        <v>0</v>
      </c>
      <c r="M74" s="143">
        <f>SUMIFS(FACILITIES!N:N,FACILITIES!$B:$B,B74)</f>
        <v>0</v>
      </c>
      <c r="N74" s="143">
        <f>SUMIFS(FACILITIES!O:O,FACILITIES!$B:$B,B74)</f>
        <v>0</v>
      </c>
      <c r="O74" s="143">
        <f>SUMIFS(FACILITIES!P:P,FACILITIES!$B:$B,B74)</f>
        <v>0</v>
      </c>
      <c r="P74" s="143">
        <f>SUMIFS(FACILITIES!Q:Q,FACILITIES!$B:$B,B74)</f>
        <v>0</v>
      </c>
      <c r="Q74" s="143">
        <f>SUMIFS(FACILITIES!R:R,FACILITIES!$B:$B,B74)</f>
        <v>0</v>
      </c>
      <c r="R74" s="143">
        <f>SUMIFS(FACILITIES!T:T,FACILITIES!B:B,B74)</f>
        <v>0</v>
      </c>
      <c r="S74" s="143">
        <f>SUMIFS(FACILITIES!S:S,FACILITIES!B:B,B74)</f>
        <v>0</v>
      </c>
      <c r="T74" s="143">
        <f>SUMIFS('F &amp; B'!G:G,'F &amp; B'!B:B,B74)</f>
        <v>0</v>
      </c>
      <c r="U74" s="207">
        <f t="shared" si="7"/>
        <v>0</v>
      </c>
      <c r="V74" s="143">
        <f>SUMIFS('FIXED AMOUNT'!G:G,'FIXED AMOUNT'!B:B,B74)</f>
        <v>7000</v>
      </c>
      <c r="W74" s="121">
        <f t="shared" si="6"/>
        <v>7000</v>
      </c>
      <c r="X74" s="121">
        <f>SUMIFS('FIXED AMOUNT'!E:E,'FIXED AMOUNT'!B:B,'data base '!B:B)</f>
        <v>0</v>
      </c>
      <c r="Y74" s="121">
        <f>SUMIFS('FIXED AMOUNT'!F:F,'FIXED AMOUNT'!B:B,'data base '!B:B)</f>
        <v>0</v>
      </c>
      <c r="Z74" s="121">
        <f>SUMIFS('FIXED AMOUNT'!V:V,'FIXED AMOUNT'!B:B,B:B)</f>
        <v>17700</v>
      </c>
      <c r="AA74" s="121">
        <f t="shared" si="8"/>
        <v>24700</v>
      </c>
      <c r="AB74" s="204">
        <f t="shared" si="9"/>
        <v>700</v>
      </c>
      <c r="AC74" s="201">
        <v>45945</v>
      </c>
      <c r="AD74" s="121">
        <f t="shared" si="10"/>
        <v>25400</v>
      </c>
      <c r="AE74" s="205"/>
    </row>
    <row r="75" spans="1:31" x14ac:dyDescent="0.25">
      <c r="A75">
        <v>74</v>
      </c>
      <c r="B75" t="s">
        <v>356</v>
      </c>
      <c r="C75" t="s">
        <v>445</v>
      </c>
      <c r="D75" s="143">
        <f>SUMIFS(FACILITIES!E:E,FACILITIES!$B:$B,B75)</f>
        <v>0</v>
      </c>
      <c r="E75" s="143">
        <f>SUMIFS(FACILITIES!F:F,FACILITIES!$B:$B,$B75)</f>
        <v>0</v>
      </c>
      <c r="F75" s="143">
        <f>SUMIFS(FACILITIES!G:G,FACILITIES!$B:$B,B75)</f>
        <v>0</v>
      </c>
      <c r="G75" s="143">
        <f>SUMIFS(FACILITIES!H:H,FACILITIES!$B:$B,B75)</f>
        <v>0</v>
      </c>
      <c r="H75" s="143">
        <f>SUMIFS(FACILITIES!I:I,FACILITIES!$B:$B,B75)</f>
        <v>0</v>
      </c>
      <c r="I75" s="143">
        <f>SUMIFS(FACILITIES!J:J,FACILITIES!$B:$B,B75)</f>
        <v>0</v>
      </c>
      <c r="J75" s="143">
        <f>SUMIFS(FACILITIES!K:K,FACILITIES!$B:$B,B75)</f>
        <v>0</v>
      </c>
      <c r="K75" s="143">
        <f>SUMIFS(FACILITIES!L:L,FACILITIES!$B:$B,B75)</f>
        <v>0</v>
      </c>
      <c r="L75" s="143">
        <f>SUMIFS(FACILITIES!M:M,FACILITIES!$B:$B,B75)</f>
        <v>0</v>
      </c>
      <c r="M75" s="143">
        <f>SUMIFS(FACILITIES!N:N,FACILITIES!$B:$B,B75)</f>
        <v>0</v>
      </c>
      <c r="N75" s="143">
        <f>SUMIFS(FACILITIES!O:O,FACILITIES!$B:$B,B75)</f>
        <v>0</v>
      </c>
      <c r="O75" s="143">
        <f>SUMIFS(FACILITIES!P:P,FACILITIES!$B:$B,B75)</f>
        <v>0</v>
      </c>
      <c r="P75" s="143">
        <f>SUMIFS(FACILITIES!Q:Q,FACILITIES!$B:$B,B75)</f>
        <v>0</v>
      </c>
      <c r="Q75" s="143">
        <f>SUMIFS(FACILITIES!R:R,FACILITIES!$B:$B,B75)</f>
        <v>0</v>
      </c>
      <c r="R75" s="143">
        <f>SUMIFS(FACILITIES!T:T,FACILITIES!B:B,B75)</f>
        <v>0</v>
      </c>
      <c r="S75" s="143">
        <f>SUMIFS(FACILITIES!S:S,FACILITIES!B:B,B75)</f>
        <v>0</v>
      </c>
      <c r="T75" s="143">
        <f>SUMIFS('F &amp; B'!G:G,'F &amp; B'!B:B,B75)</f>
        <v>0</v>
      </c>
      <c r="U75" s="207">
        <f t="shared" si="7"/>
        <v>0</v>
      </c>
      <c r="V75" s="143">
        <f>SUMIFS('FIXED AMOUNT'!G:G,'FIXED AMOUNT'!B:B,B75)</f>
        <v>7000</v>
      </c>
      <c r="W75" s="121">
        <f t="shared" si="6"/>
        <v>7000</v>
      </c>
      <c r="X75" s="121">
        <f>SUMIFS('FIXED AMOUNT'!E:E,'FIXED AMOUNT'!B:B,'data base '!B:B)</f>
        <v>0</v>
      </c>
      <c r="Y75" s="121">
        <f>SUMIFS('FIXED AMOUNT'!F:F,'FIXED AMOUNT'!B:B,'data base '!B:B)</f>
        <v>0</v>
      </c>
      <c r="Z75" s="121">
        <f>SUMIFS('FIXED AMOUNT'!V:V,'FIXED AMOUNT'!B:B,B:B)</f>
        <v>60000</v>
      </c>
      <c r="AA75" s="121">
        <f t="shared" si="8"/>
        <v>67000</v>
      </c>
      <c r="AB75" s="204">
        <f t="shared" si="9"/>
        <v>700</v>
      </c>
      <c r="AC75" s="201">
        <v>45945</v>
      </c>
      <c r="AD75" s="121">
        <f t="shared" si="10"/>
        <v>67700</v>
      </c>
      <c r="AE75" s="205"/>
    </row>
    <row r="76" spans="1:31" x14ac:dyDescent="0.25">
      <c r="A76">
        <v>75</v>
      </c>
      <c r="B76" t="s">
        <v>359</v>
      </c>
      <c r="C76" t="s">
        <v>360</v>
      </c>
      <c r="D76" s="143">
        <f>SUMIFS(FACILITIES!E:E,FACILITIES!$B:$B,B76)</f>
        <v>0</v>
      </c>
      <c r="E76" s="143">
        <f>SUMIFS(FACILITIES!F:F,FACILITIES!$B:$B,$B76)</f>
        <v>1500</v>
      </c>
      <c r="F76" s="143">
        <f>SUMIFS(FACILITIES!G:G,FACILITIES!$B:$B,B76)</f>
        <v>0</v>
      </c>
      <c r="G76" s="143">
        <f>SUMIFS(FACILITIES!H:H,FACILITIES!$B:$B,B76)</f>
        <v>0</v>
      </c>
      <c r="H76" s="143">
        <f>SUMIFS(FACILITIES!I:I,FACILITIES!$B:$B,B76)</f>
        <v>0</v>
      </c>
      <c r="I76" s="143">
        <f>SUMIFS(FACILITIES!J:J,FACILITIES!$B:$B,B76)</f>
        <v>0</v>
      </c>
      <c r="J76" s="143">
        <f>SUMIFS(FACILITIES!K:K,FACILITIES!$B:$B,B76)</f>
        <v>0</v>
      </c>
      <c r="K76" s="143">
        <f>SUMIFS(FACILITIES!L:L,FACILITIES!$B:$B,B76)</f>
        <v>0</v>
      </c>
      <c r="L76" s="143">
        <f>SUMIFS(FACILITIES!M:M,FACILITIES!$B:$B,B76)</f>
        <v>0</v>
      </c>
      <c r="M76" s="143">
        <f>SUMIFS(FACILITIES!N:N,FACILITIES!$B:$B,B76)</f>
        <v>0</v>
      </c>
      <c r="N76" s="143">
        <f>SUMIFS(FACILITIES!O:O,FACILITIES!$B:$B,B76)</f>
        <v>0</v>
      </c>
      <c r="O76" s="143">
        <f>SUMIFS(FACILITIES!P:P,FACILITIES!$B:$B,B76)</f>
        <v>0</v>
      </c>
      <c r="P76" s="143">
        <f>SUMIFS(FACILITIES!Q:Q,FACILITIES!$B:$B,B76)</f>
        <v>0</v>
      </c>
      <c r="Q76" s="143">
        <f>SUMIFS(FACILITIES!R:R,FACILITIES!$B:$B,B76)</f>
        <v>0</v>
      </c>
      <c r="R76" s="143">
        <f>SUMIFS(FACILITIES!T:T,FACILITIES!B:B,B76)</f>
        <v>2000</v>
      </c>
      <c r="S76" s="143">
        <f>SUMIFS(FACILITIES!S:S,FACILITIES!B:B,B76)</f>
        <v>0</v>
      </c>
      <c r="T76" s="143">
        <f>SUMIFS('F &amp; B'!G:G,'F &amp; B'!B:B,B76)</f>
        <v>21550</v>
      </c>
      <c r="U76" s="207">
        <f t="shared" si="7"/>
        <v>3232.5</v>
      </c>
      <c r="V76" s="143">
        <f>SUMIFS('FIXED AMOUNT'!G:G,'FIXED AMOUNT'!B:B,B76)</f>
        <v>7000</v>
      </c>
      <c r="W76" s="121">
        <f t="shared" si="6"/>
        <v>35282.5</v>
      </c>
      <c r="X76" s="121">
        <f>SUMIFS('FIXED AMOUNT'!E:E,'FIXED AMOUNT'!B:B,'data base '!B:B)</f>
        <v>0</v>
      </c>
      <c r="Y76" s="121">
        <f>SUMIFS('FIXED AMOUNT'!F:F,'FIXED AMOUNT'!B:B,'data base '!B:B)</f>
        <v>0</v>
      </c>
      <c r="Z76" s="121">
        <f>SUMIFS('FIXED AMOUNT'!V:V,'FIXED AMOUNT'!B:B,B:B)</f>
        <v>0</v>
      </c>
      <c r="AA76" s="121">
        <f t="shared" si="8"/>
        <v>35282.5</v>
      </c>
      <c r="AB76" s="204">
        <f t="shared" si="9"/>
        <v>3528.25</v>
      </c>
      <c r="AC76" s="201">
        <v>45945</v>
      </c>
      <c r="AD76" s="121">
        <f t="shared" si="10"/>
        <v>38810.75</v>
      </c>
      <c r="AE76" s="205"/>
    </row>
    <row r="77" spans="1:31" x14ac:dyDescent="0.25">
      <c r="A77">
        <v>76</v>
      </c>
      <c r="B77" t="s">
        <v>390</v>
      </c>
      <c r="C77" t="s">
        <v>391</v>
      </c>
      <c r="D77" s="143">
        <f>SUMIFS(FACILITIES!E:E,FACILITIES!$B:$B,B77)</f>
        <v>0</v>
      </c>
      <c r="E77" s="143">
        <f>SUMIFS(FACILITIES!F:F,FACILITIES!$B:$B,$B77)</f>
        <v>0</v>
      </c>
      <c r="F77" s="143">
        <f>SUMIFS(FACILITIES!G:G,FACILITIES!$B:$B,B77)</f>
        <v>0</v>
      </c>
      <c r="G77" s="143">
        <f>SUMIFS(FACILITIES!H:H,FACILITIES!$B:$B,B77)</f>
        <v>0</v>
      </c>
      <c r="H77" s="143">
        <f>SUMIFS(FACILITIES!I:I,FACILITIES!$B:$B,B77)</f>
        <v>0</v>
      </c>
      <c r="I77" s="143">
        <f>SUMIFS(FACILITIES!J:J,FACILITIES!$B:$B,B77)</f>
        <v>0</v>
      </c>
      <c r="J77" s="143">
        <f>SUMIFS(FACILITIES!K:K,FACILITIES!$B:$B,B77)</f>
        <v>0</v>
      </c>
      <c r="K77" s="143">
        <f>SUMIFS(FACILITIES!L:L,FACILITIES!$B:$B,B77)</f>
        <v>0</v>
      </c>
      <c r="L77" s="143">
        <f>SUMIFS(FACILITIES!M:M,FACILITIES!$B:$B,B77)</f>
        <v>0</v>
      </c>
      <c r="M77" s="143">
        <f>SUMIFS(FACILITIES!N:N,FACILITIES!$B:$B,B77)</f>
        <v>0</v>
      </c>
      <c r="N77" s="143">
        <f>SUMIFS(FACILITIES!O:O,FACILITIES!$B:$B,B77)</f>
        <v>5500</v>
      </c>
      <c r="O77" s="143">
        <f>SUMIFS(FACILITIES!P:P,FACILITIES!$B:$B,B77)</f>
        <v>6000</v>
      </c>
      <c r="P77" s="143">
        <f>SUMIFS(FACILITIES!Q:Q,FACILITIES!$B:$B,B77)</f>
        <v>0</v>
      </c>
      <c r="Q77" s="143">
        <f>SUMIFS(FACILITIES!R:R,FACILITIES!$B:$B,B77)</f>
        <v>0</v>
      </c>
      <c r="R77" s="143">
        <f>SUMIFS(FACILITIES!T:T,FACILITIES!B:B,B77)</f>
        <v>0</v>
      </c>
      <c r="S77" s="143">
        <f>SUMIFS(FACILITIES!S:S,FACILITIES!B:B,B77)</f>
        <v>0</v>
      </c>
      <c r="T77" s="143">
        <f>SUMIFS('F &amp; B'!G:G,'F &amp; B'!B:B,B77)</f>
        <v>2800</v>
      </c>
      <c r="U77" s="207">
        <f t="shared" si="7"/>
        <v>420</v>
      </c>
      <c r="V77" s="143">
        <f>SUMIFS('FIXED AMOUNT'!G:G,'FIXED AMOUNT'!B:B,B77)</f>
        <v>7000</v>
      </c>
      <c r="W77" s="121">
        <f t="shared" si="6"/>
        <v>21720</v>
      </c>
      <c r="X77" s="121">
        <f>SUMIFS('FIXED AMOUNT'!E:E,'FIXED AMOUNT'!B:B,'data base '!B:B)</f>
        <v>0</v>
      </c>
      <c r="Y77" s="121">
        <f>SUMIFS('FIXED AMOUNT'!F:F,'FIXED AMOUNT'!B:B,'data base '!B:B)</f>
        <v>0</v>
      </c>
      <c r="Z77" s="121">
        <f>SUMIFS('FIXED AMOUNT'!V:V,'FIXED AMOUNT'!B:B,B:B)</f>
        <v>0</v>
      </c>
      <c r="AA77" s="121">
        <f t="shared" si="8"/>
        <v>21720</v>
      </c>
      <c r="AB77" s="204">
        <f t="shared" si="9"/>
        <v>2172</v>
      </c>
      <c r="AC77" s="201">
        <v>45945</v>
      </c>
      <c r="AD77" s="121">
        <f t="shared" si="10"/>
        <v>23892</v>
      </c>
      <c r="AE77" s="205"/>
    </row>
    <row r="78" spans="1:31" x14ac:dyDescent="0.25">
      <c r="A78">
        <v>77</v>
      </c>
      <c r="B78" t="s">
        <v>375</v>
      </c>
      <c r="C78" t="s">
        <v>379</v>
      </c>
      <c r="D78" s="143">
        <f>SUMIFS(FACILITIES!E:E,FACILITIES!$B:$B,B78)</f>
        <v>1500</v>
      </c>
      <c r="E78" s="143">
        <f>SUMIFS(FACILITIES!F:F,FACILITIES!$B:$B,$B78)</f>
        <v>0</v>
      </c>
      <c r="F78" s="143">
        <f>SUMIFS(FACILITIES!G:G,FACILITIES!$B:$B,B78)</f>
        <v>0</v>
      </c>
      <c r="G78" s="143">
        <f>SUMIFS(FACILITIES!H:H,FACILITIES!$B:$B,B78)</f>
        <v>0</v>
      </c>
      <c r="H78" s="143">
        <f>SUMIFS(FACILITIES!I:I,FACILITIES!$B:$B,B78)</f>
        <v>0</v>
      </c>
      <c r="I78" s="143">
        <f>SUMIFS(FACILITIES!J:J,FACILITIES!$B:$B,B78)</f>
        <v>0</v>
      </c>
      <c r="J78" s="143">
        <f>SUMIFS(FACILITIES!K:K,FACILITIES!$B:$B,B78)</f>
        <v>0</v>
      </c>
      <c r="K78" s="143">
        <f>SUMIFS(FACILITIES!L:L,FACILITIES!$B:$B,B78)</f>
        <v>0</v>
      </c>
      <c r="L78" s="143">
        <f>SUMIFS(FACILITIES!M:M,FACILITIES!$B:$B,B78)</f>
        <v>0</v>
      </c>
      <c r="M78" s="143">
        <f>SUMIFS(FACILITIES!N:N,FACILITIES!$B:$B,B78)</f>
        <v>0</v>
      </c>
      <c r="N78" s="143">
        <f>SUMIFS(FACILITIES!O:O,FACILITIES!$B:$B,B78)</f>
        <v>0</v>
      </c>
      <c r="O78" s="143">
        <f>SUMIFS(FACILITIES!P:P,FACILITIES!$B:$B,B78)</f>
        <v>0</v>
      </c>
      <c r="P78" s="143">
        <f>SUMIFS(FACILITIES!Q:Q,FACILITIES!$B:$B,B78)</f>
        <v>0</v>
      </c>
      <c r="Q78" s="143">
        <f>SUMIFS(FACILITIES!R:R,FACILITIES!$B:$B,B78)</f>
        <v>0</v>
      </c>
      <c r="R78" s="143">
        <f>SUMIFS(FACILITIES!T:T,FACILITIES!B:B,B78)</f>
        <v>0</v>
      </c>
      <c r="S78" s="143">
        <f>SUMIFS(FACILITIES!S:S,FACILITIES!B:B,B78)</f>
        <v>0</v>
      </c>
      <c r="T78" s="143">
        <f>SUMIFS('F &amp; B'!G:G,'F &amp; B'!B:B,B78)</f>
        <v>2325</v>
      </c>
      <c r="U78" s="207">
        <f t="shared" si="7"/>
        <v>348.75</v>
      </c>
      <c r="V78" s="143">
        <f>SUMIFS('FIXED AMOUNT'!G:G,'FIXED AMOUNT'!B:B,B78)</f>
        <v>7000</v>
      </c>
      <c r="W78" s="121">
        <f t="shared" si="6"/>
        <v>11173.75</v>
      </c>
      <c r="X78" s="121">
        <f>SUMIFS('FIXED AMOUNT'!E:E,'FIXED AMOUNT'!B:B,'data base '!B:B)</f>
        <v>0</v>
      </c>
      <c r="Y78" s="121">
        <f>SUMIFS('FIXED AMOUNT'!F:F,'FIXED AMOUNT'!B:B,'data base '!B:B)</f>
        <v>0</v>
      </c>
      <c r="Z78" s="121">
        <f>SUMIFS('FIXED AMOUNT'!V:V,'FIXED AMOUNT'!B:B,B:B)</f>
        <v>0</v>
      </c>
      <c r="AA78" s="121">
        <f t="shared" si="8"/>
        <v>11173.75</v>
      </c>
      <c r="AB78" s="204">
        <f t="shared" si="9"/>
        <v>1117.375</v>
      </c>
      <c r="AC78" s="201">
        <v>45945</v>
      </c>
      <c r="AD78" s="121">
        <f t="shared" si="10"/>
        <v>12291.125</v>
      </c>
      <c r="AE78" s="205"/>
    </row>
    <row r="79" spans="1:31" x14ac:dyDescent="0.25">
      <c r="A79">
        <v>78</v>
      </c>
      <c r="B79" t="s">
        <v>377</v>
      </c>
      <c r="C79" t="s">
        <v>380</v>
      </c>
      <c r="D79" s="143">
        <f>SUMIFS(FACILITIES!E:E,FACILITIES!$B:$B,B79)</f>
        <v>0</v>
      </c>
      <c r="E79" s="143">
        <f>SUMIFS(FACILITIES!F:F,FACILITIES!$B:$B,$B79)</f>
        <v>0</v>
      </c>
      <c r="F79" s="143">
        <f>SUMIFS(FACILITIES!G:G,FACILITIES!$B:$B,B79)</f>
        <v>0</v>
      </c>
      <c r="G79" s="143">
        <f>SUMIFS(FACILITIES!H:H,FACILITIES!$B:$B,B79)</f>
        <v>0</v>
      </c>
      <c r="H79" s="143">
        <f>SUMIFS(FACILITIES!I:I,FACILITIES!$B:$B,B79)</f>
        <v>0</v>
      </c>
      <c r="I79" s="143">
        <f>SUMIFS(FACILITIES!J:J,FACILITIES!$B:$B,B79)</f>
        <v>0</v>
      </c>
      <c r="J79" s="143">
        <f>SUMIFS(FACILITIES!K:K,FACILITIES!$B:$B,B79)</f>
        <v>0</v>
      </c>
      <c r="K79" s="143">
        <f>SUMIFS(FACILITIES!L:L,FACILITIES!$B:$B,B79)</f>
        <v>0</v>
      </c>
      <c r="L79" s="143">
        <f>SUMIFS(FACILITIES!M:M,FACILITIES!$B:$B,B79)</f>
        <v>0</v>
      </c>
      <c r="M79" s="143">
        <f>SUMIFS(FACILITIES!N:N,FACILITIES!$B:$B,B79)</f>
        <v>0</v>
      </c>
      <c r="N79" s="143">
        <f>SUMIFS(FACILITIES!O:O,FACILITIES!$B:$B,B79)</f>
        <v>0</v>
      </c>
      <c r="O79" s="143">
        <f>SUMIFS(FACILITIES!P:P,FACILITIES!$B:$B,B79)</f>
        <v>0</v>
      </c>
      <c r="P79" s="143">
        <f>SUMIFS(FACILITIES!Q:Q,FACILITIES!$B:$B,B79)</f>
        <v>0</v>
      </c>
      <c r="Q79" s="143">
        <f>SUMIFS(FACILITIES!R:R,FACILITIES!$B:$B,B79)</f>
        <v>0</v>
      </c>
      <c r="R79" s="143">
        <f>SUMIFS(FACILITIES!T:T,FACILITIES!B:B,B79)</f>
        <v>0</v>
      </c>
      <c r="S79" s="143">
        <f>SUMIFS(FACILITIES!S:S,FACILITIES!B:B,B79)</f>
        <v>0</v>
      </c>
      <c r="T79" s="143">
        <f>SUMIFS('F &amp; B'!G:G,'F &amp; B'!B:B,B79)</f>
        <v>0</v>
      </c>
      <c r="U79" s="207">
        <f t="shared" si="7"/>
        <v>0</v>
      </c>
      <c r="V79" s="143">
        <f>SUMIFS('FIXED AMOUNT'!G:G,'FIXED AMOUNT'!B:B,B79)</f>
        <v>7000</v>
      </c>
      <c r="W79" s="121">
        <f t="shared" si="6"/>
        <v>7000</v>
      </c>
      <c r="X79" s="121">
        <f>SUMIFS('FIXED AMOUNT'!E:E,'FIXED AMOUNT'!B:B,'data base '!B:B)</f>
        <v>0</v>
      </c>
      <c r="Y79" s="121">
        <f>SUMIFS('FIXED AMOUNT'!F:F,'FIXED AMOUNT'!B:B,'data base '!B:B)</f>
        <v>0</v>
      </c>
      <c r="Z79" s="121">
        <f>SUMIFS('FIXED AMOUNT'!V:V,'FIXED AMOUNT'!B:B,B:B)</f>
        <v>44951</v>
      </c>
      <c r="AA79" s="121">
        <f t="shared" si="8"/>
        <v>51951</v>
      </c>
      <c r="AB79" s="204">
        <f t="shared" si="9"/>
        <v>700</v>
      </c>
      <c r="AC79" s="201">
        <v>45945</v>
      </c>
      <c r="AD79" s="121">
        <f t="shared" si="10"/>
        <v>52651</v>
      </c>
      <c r="AE79" s="205"/>
    </row>
    <row r="80" spans="1:31" x14ac:dyDescent="0.25">
      <c r="A80">
        <v>79</v>
      </c>
      <c r="B80" t="s">
        <v>374</v>
      </c>
      <c r="C80" t="s">
        <v>392</v>
      </c>
      <c r="D80" s="143">
        <f>SUMIFS(FACILITIES!E:E,FACILITIES!$B:$B,B80)</f>
        <v>2700</v>
      </c>
      <c r="E80" s="143">
        <f>SUMIFS(FACILITIES!F:F,FACILITIES!$B:$B,$B80)</f>
        <v>0</v>
      </c>
      <c r="F80" s="143">
        <f>SUMIFS(FACILITIES!G:G,FACILITIES!$B:$B,B80)</f>
        <v>0</v>
      </c>
      <c r="G80" s="143">
        <f>SUMIFS(FACILITIES!H:H,FACILITIES!$B:$B,B80)</f>
        <v>600</v>
      </c>
      <c r="H80" s="143">
        <f>SUMIFS(FACILITIES!I:I,FACILITIES!$B:$B,B80)</f>
        <v>0</v>
      </c>
      <c r="I80" s="143">
        <f>SUMIFS(FACILITIES!J:J,FACILITIES!$B:$B,B80)</f>
        <v>3200</v>
      </c>
      <c r="J80" s="143">
        <f>SUMIFS(FACILITIES!K:K,FACILITIES!$B:$B,B80)</f>
        <v>0</v>
      </c>
      <c r="K80" s="143">
        <f>SUMIFS(FACILITIES!L:L,FACILITIES!$B:$B,B80)</f>
        <v>0</v>
      </c>
      <c r="L80" s="143">
        <f>SUMIFS(FACILITIES!M:M,FACILITIES!$B:$B,B80)</f>
        <v>0</v>
      </c>
      <c r="M80" s="143">
        <f>SUMIFS(FACILITIES!N:N,FACILITIES!$B:$B,B80)</f>
        <v>0</v>
      </c>
      <c r="N80" s="143">
        <f>SUMIFS(FACILITIES!O:O,FACILITIES!$B:$B,B80)</f>
        <v>0</v>
      </c>
      <c r="O80" s="143">
        <f>SUMIFS(FACILITIES!P:P,FACILITIES!$B:$B,B80)</f>
        <v>0</v>
      </c>
      <c r="P80" s="143">
        <f>SUMIFS(FACILITIES!Q:Q,FACILITIES!$B:$B,B80)</f>
        <v>0</v>
      </c>
      <c r="Q80" s="143">
        <f>SUMIFS(FACILITIES!R:R,FACILITIES!$B:$B,B80)</f>
        <v>0</v>
      </c>
      <c r="R80" s="143">
        <f>SUMIFS(FACILITIES!T:T,FACILITIES!B:B,B80)</f>
        <v>0</v>
      </c>
      <c r="S80" s="143">
        <f>SUMIFS(FACILITIES!S:S,FACILITIES!B:B,B80)</f>
        <v>0</v>
      </c>
      <c r="T80" s="143">
        <f>SUMIFS('F &amp; B'!G:G,'F &amp; B'!B:B,B80)</f>
        <v>47810</v>
      </c>
      <c r="U80" s="207">
        <f t="shared" si="7"/>
        <v>7171.5</v>
      </c>
      <c r="V80" s="143">
        <f>SUMIFS('FIXED AMOUNT'!G:G,'FIXED AMOUNT'!B:B,B80)</f>
        <v>7000</v>
      </c>
      <c r="W80" s="121">
        <f t="shared" si="6"/>
        <v>68481.5</v>
      </c>
      <c r="X80" s="121">
        <f>SUMIFS('FIXED AMOUNT'!E:E,'FIXED AMOUNT'!B:B,'data base '!B:B)</f>
        <v>0</v>
      </c>
      <c r="Y80" s="121">
        <f>SUMIFS('FIXED AMOUNT'!F:F,'FIXED AMOUNT'!B:B,'data base '!B:B)</f>
        <v>0</v>
      </c>
      <c r="Z80" s="121">
        <f>SUMIFS('FIXED AMOUNT'!V:V,'FIXED AMOUNT'!B:B,B:B)</f>
        <v>0</v>
      </c>
      <c r="AA80" s="121">
        <f t="shared" si="8"/>
        <v>68481.5</v>
      </c>
      <c r="AB80" s="204">
        <f t="shared" si="9"/>
        <v>6848.1500000000005</v>
      </c>
      <c r="AC80" s="201">
        <v>45945</v>
      </c>
      <c r="AD80" s="121">
        <f t="shared" si="10"/>
        <v>75329.649999999994</v>
      </c>
      <c r="AE80" s="205"/>
    </row>
    <row r="81" spans="1:31" x14ac:dyDescent="0.25">
      <c r="A81">
        <v>80</v>
      </c>
      <c r="B81" t="s">
        <v>373</v>
      </c>
      <c r="C81" t="s">
        <v>381</v>
      </c>
      <c r="D81" s="143">
        <f>SUMIFS(FACILITIES!E:E,FACILITIES!$B:$B,B81)</f>
        <v>0</v>
      </c>
      <c r="E81" s="143">
        <f>SUMIFS(FACILITIES!F:F,FACILITIES!$B:$B,$B81)</f>
        <v>2400</v>
      </c>
      <c r="F81" s="143">
        <f>SUMIFS(FACILITIES!G:G,FACILITIES!$B:$B,B81)</f>
        <v>0</v>
      </c>
      <c r="G81" s="143">
        <f>SUMIFS(FACILITIES!H:H,FACILITIES!$B:$B,B81)</f>
        <v>3000</v>
      </c>
      <c r="H81" s="143">
        <f>SUMIFS(FACILITIES!I:I,FACILITIES!$B:$B,B81)</f>
        <v>0</v>
      </c>
      <c r="I81" s="143">
        <f>SUMIFS(FACILITIES!J:J,FACILITIES!$B:$B,B81)</f>
        <v>3300</v>
      </c>
      <c r="J81" s="143">
        <f>SUMIFS(FACILITIES!K:K,FACILITIES!$B:$B,B81)</f>
        <v>0</v>
      </c>
      <c r="K81" s="143">
        <f>SUMIFS(FACILITIES!L:L,FACILITIES!$B:$B,B81)</f>
        <v>0</v>
      </c>
      <c r="L81" s="143">
        <f>SUMIFS(FACILITIES!M:M,FACILITIES!$B:$B,B81)</f>
        <v>0</v>
      </c>
      <c r="M81" s="143">
        <f>SUMIFS(FACILITIES!N:N,FACILITIES!$B:$B,B81)</f>
        <v>0</v>
      </c>
      <c r="N81" s="143">
        <f>SUMIFS(FACILITIES!O:O,FACILITIES!$B:$B,B81)</f>
        <v>5500</v>
      </c>
      <c r="O81" s="143">
        <f>SUMIFS(FACILITIES!P:P,FACILITIES!$B:$B,B81)</f>
        <v>0</v>
      </c>
      <c r="P81" s="143">
        <f>SUMIFS(FACILITIES!Q:Q,FACILITIES!$B:$B,B81)</f>
        <v>0</v>
      </c>
      <c r="Q81" s="143">
        <f>SUMIFS(FACILITIES!R:R,FACILITIES!$B:$B,B81)</f>
        <v>0</v>
      </c>
      <c r="R81" s="143">
        <f>SUMIFS(FACILITIES!T:T,FACILITIES!B:B,B81)</f>
        <v>0</v>
      </c>
      <c r="S81" s="143">
        <f>SUMIFS(FACILITIES!S:S,FACILITIES!B:B,B81)</f>
        <v>0</v>
      </c>
      <c r="T81" s="143">
        <f>SUMIFS('F &amp; B'!G:G,'F &amp; B'!B:B,B81)</f>
        <v>239800</v>
      </c>
      <c r="U81" s="207">
        <f t="shared" si="7"/>
        <v>35970</v>
      </c>
      <c r="V81" s="143">
        <f>SUMIFS('FIXED AMOUNT'!G:G,'FIXED AMOUNT'!B:B,B81)</f>
        <v>7000</v>
      </c>
      <c r="W81" s="121">
        <f t="shared" si="6"/>
        <v>296970</v>
      </c>
      <c r="X81" s="121">
        <f>SUMIFS('FIXED AMOUNT'!E:E,'FIXED AMOUNT'!B:B,'data base '!B:B)</f>
        <v>0</v>
      </c>
      <c r="Y81" s="121">
        <f>SUMIFS('FIXED AMOUNT'!F:F,'FIXED AMOUNT'!B:B,'data base '!B:B)</f>
        <v>0</v>
      </c>
      <c r="Z81" s="121">
        <f>SUMIFS('FIXED AMOUNT'!V:V,'FIXED AMOUNT'!B:B,B:B)</f>
        <v>0</v>
      </c>
      <c r="AA81" s="121">
        <f t="shared" si="8"/>
        <v>296970</v>
      </c>
      <c r="AB81" s="204">
        <f t="shared" si="9"/>
        <v>29697</v>
      </c>
      <c r="AC81" s="201">
        <v>45945</v>
      </c>
      <c r="AD81" s="121">
        <f t="shared" si="10"/>
        <v>326667</v>
      </c>
      <c r="AE81" s="205"/>
    </row>
    <row r="82" spans="1:31" x14ac:dyDescent="0.25">
      <c r="A82">
        <v>81</v>
      </c>
      <c r="B82" t="s">
        <v>378</v>
      </c>
      <c r="C82" t="s">
        <v>382</v>
      </c>
      <c r="D82" s="143">
        <f>SUMIFS(FACILITIES!E:E,FACILITIES!$B:$B,B82)</f>
        <v>0</v>
      </c>
      <c r="E82" s="143">
        <f>SUMIFS(FACILITIES!F:F,FACILITIES!$B:$B,$B82)</f>
        <v>0</v>
      </c>
      <c r="F82" s="143">
        <f>SUMIFS(FACILITIES!G:G,FACILITIES!$B:$B,B82)</f>
        <v>0</v>
      </c>
      <c r="G82" s="143">
        <f>SUMIFS(FACILITIES!H:H,FACILITIES!$B:$B,B82)</f>
        <v>0</v>
      </c>
      <c r="H82" s="143">
        <f>SUMIFS(FACILITIES!I:I,FACILITIES!$B:$B,B82)</f>
        <v>0</v>
      </c>
      <c r="I82" s="143">
        <f>SUMIFS(FACILITIES!J:J,FACILITIES!$B:$B,B82)</f>
        <v>0</v>
      </c>
      <c r="J82" s="143">
        <f>SUMIFS(FACILITIES!K:K,FACILITIES!$B:$B,B82)</f>
        <v>600</v>
      </c>
      <c r="K82" s="143">
        <f>SUMIFS(FACILITIES!L:L,FACILITIES!$B:$B,B82)</f>
        <v>0</v>
      </c>
      <c r="L82" s="143">
        <f>SUMIFS(FACILITIES!M:M,FACILITIES!$B:$B,B82)</f>
        <v>0</v>
      </c>
      <c r="M82" s="143">
        <f>SUMIFS(FACILITIES!N:N,FACILITIES!$B:$B,B82)</f>
        <v>0</v>
      </c>
      <c r="N82" s="143">
        <f>SUMIFS(FACILITIES!O:O,FACILITIES!$B:$B,B82)</f>
        <v>0</v>
      </c>
      <c r="O82" s="143">
        <f>SUMIFS(FACILITIES!P:P,FACILITIES!$B:$B,B82)</f>
        <v>7950</v>
      </c>
      <c r="P82" s="143">
        <f>SUMIFS(FACILITIES!Q:Q,FACILITIES!$B:$B,B82)</f>
        <v>0</v>
      </c>
      <c r="Q82" s="143">
        <f>SUMIFS(FACILITIES!R:R,FACILITIES!$B:$B,B82)</f>
        <v>0</v>
      </c>
      <c r="R82" s="143">
        <f>SUMIFS(FACILITIES!T:T,FACILITIES!B:B,B82)</f>
        <v>0</v>
      </c>
      <c r="S82" s="143">
        <f>SUMIFS(FACILITIES!S:S,FACILITIES!B:B,B82)</f>
        <v>0</v>
      </c>
      <c r="T82" s="143">
        <f>SUMIFS('F &amp; B'!G:G,'F &amp; B'!B:B,B82)</f>
        <v>12540</v>
      </c>
      <c r="U82" s="207">
        <f t="shared" si="7"/>
        <v>1881</v>
      </c>
      <c r="V82" s="143">
        <f>SUMIFS('FIXED AMOUNT'!G:G,'FIXED AMOUNT'!B:B,B82)</f>
        <v>7000</v>
      </c>
      <c r="W82" s="121">
        <f t="shared" si="6"/>
        <v>29971</v>
      </c>
      <c r="X82" s="121">
        <f>SUMIFS('FIXED AMOUNT'!E:E,'FIXED AMOUNT'!B:B,'data base '!B:B)</f>
        <v>0</v>
      </c>
      <c r="Y82" s="121">
        <f>SUMIFS('FIXED AMOUNT'!F:F,'FIXED AMOUNT'!B:B,'data base '!B:B)</f>
        <v>0</v>
      </c>
      <c r="Z82" s="121">
        <f>SUMIFS('FIXED AMOUNT'!V:V,'FIXED AMOUNT'!B:B,B:B)</f>
        <v>14113</v>
      </c>
      <c r="AA82" s="121">
        <f t="shared" si="8"/>
        <v>44084</v>
      </c>
      <c r="AB82" s="204">
        <f t="shared" si="9"/>
        <v>2997.1000000000004</v>
      </c>
      <c r="AC82" s="201">
        <v>45945</v>
      </c>
      <c r="AD82" s="121">
        <f t="shared" si="10"/>
        <v>47081.1</v>
      </c>
      <c r="AE82" s="205"/>
    </row>
    <row r="83" spans="1:31" x14ac:dyDescent="0.25">
      <c r="A83">
        <v>82</v>
      </c>
      <c r="B83" t="s">
        <v>393</v>
      </c>
      <c r="C83" t="s">
        <v>394</v>
      </c>
      <c r="D83" s="143">
        <f>SUMIFS(FACILITIES!E:E,FACILITIES!$B:$B,B83)</f>
        <v>0</v>
      </c>
      <c r="E83" s="143">
        <f>SUMIFS(FACILITIES!F:F,FACILITIES!$B:$B,$B83)</f>
        <v>0</v>
      </c>
      <c r="F83" s="143">
        <f>SUMIFS(FACILITIES!G:G,FACILITIES!$B:$B,B83)</f>
        <v>0</v>
      </c>
      <c r="G83" s="143">
        <f>SUMIFS(FACILITIES!H:H,FACILITIES!$B:$B,B83)</f>
        <v>0</v>
      </c>
      <c r="H83" s="143">
        <f>SUMIFS(FACILITIES!I:I,FACILITIES!$B:$B,B83)</f>
        <v>0</v>
      </c>
      <c r="I83" s="143">
        <f>SUMIFS(FACILITIES!J:J,FACILITIES!$B:$B,B83)</f>
        <v>0</v>
      </c>
      <c r="J83" s="143">
        <f>SUMIFS(FACILITIES!K:K,FACILITIES!$B:$B,B83)</f>
        <v>0</v>
      </c>
      <c r="K83" s="143">
        <f>SUMIFS(FACILITIES!L:L,FACILITIES!$B:$B,B83)</f>
        <v>0</v>
      </c>
      <c r="L83" s="143">
        <f>SUMIFS(FACILITIES!M:M,FACILITIES!$B:$B,B83)</f>
        <v>0</v>
      </c>
      <c r="M83" s="143">
        <f>SUMIFS(FACILITIES!N:N,FACILITIES!$B:$B,B83)</f>
        <v>0</v>
      </c>
      <c r="N83" s="143">
        <f>SUMIFS(FACILITIES!O:O,FACILITIES!$B:$B,B83)</f>
        <v>0</v>
      </c>
      <c r="O83" s="143">
        <f>SUMIFS(FACILITIES!P:P,FACILITIES!$B:$B,B83)</f>
        <v>0</v>
      </c>
      <c r="P83" s="143">
        <f>SUMIFS(FACILITIES!Q:Q,FACILITIES!$B:$B,B83)</f>
        <v>0</v>
      </c>
      <c r="Q83" s="143">
        <f>SUMIFS(FACILITIES!R:R,FACILITIES!$B:$B,B83)</f>
        <v>0</v>
      </c>
      <c r="R83" s="143">
        <f>SUMIFS(FACILITIES!T:T,FACILITIES!B:B,B83)</f>
        <v>0</v>
      </c>
      <c r="S83" s="143">
        <f>SUMIFS(FACILITIES!S:S,FACILITIES!B:B,B83)</f>
        <v>0</v>
      </c>
      <c r="T83" s="143">
        <f>SUMIFS('F &amp; B'!G:G,'F &amp; B'!B:B,B83)</f>
        <v>0</v>
      </c>
      <c r="U83" s="207">
        <f t="shared" si="7"/>
        <v>0</v>
      </c>
      <c r="V83" s="143">
        <f>SUMIFS('FIXED AMOUNT'!G:G,'FIXED AMOUNT'!B:B,B83)</f>
        <v>7000</v>
      </c>
      <c r="W83" s="121">
        <f t="shared" si="6"/>
        <v>7000</v>
      </c>
      <c r="X83" s="121">
        <f>SUMIFS('FIXED AMOUNT'!E:E,'FIXED AMOUNT'!B:B,'data base '!B:B)</f>
        <v>0</v>
      </c>
      <c r="Y83" s="121">
        <f>SUMIFS('FIXED AMOUNT'!F:F,'FIXED AMOUNT'!B:B,'data base '!B:B)</f>
        <v>0</v>
      </c>
      <c r="Z83" s="121">
        <f>SUMIFS('FIXED AMOUNT'!V:V,'FIXED AMOUNT'!B:B,B:B)</f>
        <v>0</v>
      </c>
      <c r="AA83" s="121">
        <f t="shared" si="8"/>
        <v>7000</v>
      </c>
      <c r="AB83" s="204">
        <f t="shared" si="9"/>
        <v>700</v>
      </c>
      <c r="AC83" s="201">
        <v>45945</v>
      </c>
      <c r="AD83" s="121">
        <f t="shared" si="10"/>
        <v>7700</v>
      </c>
      <c r="AE83" s="205"/>
    </row>
    <row r="84" spans="1:31" x14ac:dyDescent="0.25">
      <c r="A84">
        <v>83</v>
      </c>
      <c r="B84" t="s">
        <v>395</v>
      </c>
      <c r="C84" t="s">
        <v>396</v>
      </c>
      <c r="D84" s="143">
        <f>SUMIFS(FACILITIES!E:E,FACILITIES!$B:$B,B84)</f>
        <v>0</v>
      </c>
      <c r="E84" s="143">
        <f>SUMIFS(FACILITIES!F:F,FACILITIES!$B:$B,$B84)</f>
        <v>0</v>
      </c>
      <c r="F84" s="143">
        <f>SUMIFS(FACILITIES!G:G,FACILITIES!$B:$B,B84)</f>
        <v>0</v>
      </c>
      <c r="G84" s="143">
        <f>SUMIFS(FACILITIES!H:H,FACILITIES!$B:$B,B84)</f>
        <v>0</v>
      </c>
      <c r="H84" s="143">
        <f>SUMIFS(FACILITIES!I:I,FACILITIES!$B:$B,B84)</f>
        <v>0</v>
      </c>
      <c r="I84" s="143">
        <f>SUMIFS(FACILITIES!J:J,FACILITIES!$B:$B,B84)</f>
        <v>0</v>
      </c>
      <c r="J84" s="143">
        <f>SUMIFS(FACILITIES!K:K,FACILITIES!$B:$B,B84)</f>
        <v>0</v>
      </c>
      <c r="K84" s="143">
        <f>SUMIFS(FACILITIES!L:L,FACILITIES!$B:$B,B84)</f>
        <v>0</v>
      </c>
      <c r="L84" s="143">
        <f>SUMIFS(FACILITIES!M:M,FACILITIES!$B:$B,B84)</f>
        <v>0</v>
      </c>
      <c r="M84" s="143">
        <f>SUMIFS(FACILITIES!N:N,FACILITIES!$B:$B,B84)</f>
        <v>0</v>
      </c>
      <c r="N84" s="143">
        <f>SUMIFS(FACILITIES!O:O,FACILITIES!$B:$B,B84)</f>
        <v>0</v>
      </c>
      <c r="O84" s="143">
        <f>SUMIFS(FACILITIES!P:P,FACILITIES!$B:$B,B84)</f>
        <v>0</v>
      </c>
      <c r="P84" s="143">
        <f>SUMIFS(FACILITIES!Q:Q,FACILITIES!$B:$B,B84)</f>
        <v>0</v>
      </c>
      <c r="Q84" s="143">
        <f>SUMIFS(FACILITIES!R:R,FACILITIES!$B:$B,B84)</f>
        <v>0</v>
      </c>
      <c r="R84" s="143">
        <f>SUMIFS(FACILITIES!T:T,FACILITIES!B:B,B84)</f>
        <v>0</v>
      </c>
      <c r="S84" s="143">
        <f>SUMIFS(FACILITIES!S:S,FACILITIES!B:B,B84)</f>
        <v>0</v>
      </c>
      <c r="T84" s="143">
        <f>SUMIFS('F &amp; B'!G:G,'F &amp; B'!B:B,B84)</f>
        <v>94400</v>
      </c>
      <c r="U84" s="207"/>
      <c r="V84" s="143">
        <f>SUMIFS('FIXED AMOUNT'!G:G,'FIXED AMOUNT'!B:B,B84)</f>
        <v>0</v>
      </c>
      <c r="W84" s="121">
        <f t="shared" si="6"/>
        <v>94400</v>
      </c>
      <c r="X84" s="121">
        <f>SUMIFS('FIXED AMOUNT'!E:E,'FIXED AMOUNT'!B:B,'data base '!B:B)</f>
        <v>0</v>
      </c>
      <c r="Y84" s="121">
        <f>SUMIFS('FIXED AMOUNT'!F:F,'FIXED AMOUNT'!B:B,'data base '!B:B)</f>
        <v>0</v>
      </c>
      <c r="Z84" s="121">
        <f>SUMIFS('FIXED AMOUNT'!V:V,'FIXED AMOUNT'!B:B,B:B)</f>
        <v>0</v>
      </c>
      <c r="AA84" s="121">
        <f t="shared" si="8"/>
        <v>94400</v>
      </c>
      <c r="AB84" s="204">
        <f t="shared" si="9"/>
        <v>9440</v>
      </c>
      <c r="AC84" s="201">
        <v>45945</v>
      </c>
      <c r="AD84" s="121">
        <f t="shared" si="10"/>
        <v>103840</v>
      </c>
      <c r="AE84" s="205"/>
    </row>
    <row r="85" spans="1:31" x14ac:dyDescent="0.25">
      <c r="A85">
        <v>84</v>
      </c>
      <c r="B85" t="s">
        <v>383</v>
      </c>
      <c r="C85" t="s">
        <v>384</v>
      </c>
      <c r="D85" s="143">
        <f>SUMIFS(FACILITIES!E:E,FACILITIES!$B:$B,B85)</f>
        <v>0</v>
      </c>
      <c r="E85" s="143">
        <f>SUMIFS(FACILITIES!F:F,FACILITIES!$B:$B,$B85)</f>
        <v>0</v>
      </c>
      <c r="F85" s="143">
        <f>SUMIFS(FACILITIES!G:G,FACILITIES!$B:$B,B85)</f>
        <v>0</v>
      </c>
      <c r="G85" s="143">
        <f>SUMIFS(FACILITIES!H:H,FACILITIES!$B:$B,B85)</f>
        <v>0</v>
      </c>
      <c r="H85" s="143">
        <f>SUMIFS(FACILITIES!I:I,FACILITIES!$B:$B,B85)</f>
        <v>0</v>
      </c>
      <c r="I85" s="143">
        <f>SUMIFS(FACILITIES!J:J,FACILITIES!$B:$B,B85)</f>
        <v>0</v>
      </c>
      <c r="J85" s="143">
        <f>SUMIFS(FACILITIES!K:K,FACILITIES!$B:$B,B85)</f>
        <v>0</v>
      </c>
      <c r="K85" s="143">
        <f>SUMIFS(FACILITIES!L:L,FACILITIES!$B:$B,B85)</f>
        <v>0</v>
      </c>
      <c r="L85" s="143">
        <f>SUMIFS(FACILITIES!M:M,FACILITIES!$B:$B,B85)</f>
        <v>0</v>
      </c>
      <c r="M85" s="143">
        <f>SUMIFS(FACILITIES!N:N,FACILITIES!$B:$B,B85)</f>
        <v>0</v>
      </c>
      <c r="N85" s="143">
        <f>SUMIFS(FACILITIES!O:O,FACILITIES!$B:$B,B85)</f>
        <v>0</v>
      </c>
      <c r="O85" s="143">
        <f>SUMIFS(FACILITIES!P:P,FACILITIES!$B:$B,B85)</f>
        <v>0</v>
      </c>
      <c r="P85" s="143">
        <f>SUMIFS(FACILITIES!Q:Q,FACILITIES!$B:$B,B85)</f>
        <v>0</v>
      </c>
      <c r="Q85" s="143">
        <f>SUMIFS(FACILITIES!R:R,FACILITIES!$B:$B,B85)</f>
        <v>0</v>
      </c>
      <c r="R85" s="143">
        <f>SUMIFS(FACILITIES!T:T,FACILITIES!B:B,B85)</f>
        <v>0</v>
      </c>
      <c r="S85" s="143">
        <f>SUMIFS(FACILITIES!S:S,FACILITIES!B:B,B85)</f>
        <v>0</v>
      </c>
      <c r="T85" s="143">
        <f>SUMIFS('F &amp; B'!G:G,'F &amp; B'!B:B,B85)</f>
        <v>0</v>
      </c>
      <c r="U85" s="207">
        <f t="shared" si="7"/>
        <v>0</v>
      </c>
      <c r="V85" s="143">
        <f>SUMIFS('FIXED AMOUNT'!G:G,'FIXED AMOUNT'!B:B,B85)</f>
        <v>7000</v>
      </c>
      <c r="W85" s="121">
        <f t="shared" si="6"/>
        <v>7000</v>
      </c>
      <c r="X85" s="121">
        <f>SUMIFS('FIXED AMOUNT'!E:E,'FIXED AMOUNT'!B:B,'data base '!B:B)</f>
        <v>0</v>
      </c>
      <c r="Y85" s="121">
        <f>SUMIFS('FIXED AMOUNT'!F:F,'FIXED AMOUNT'!B:B,'data base '!B:B)</f>
        <v>0</v>
      </c>
      <c r="Z85" s="121">
        <f>SUMIFS('FIXED AMOUNT'!V:V,'FIXED AMOUNT'!B:B,B:B)</f>
        <v>15225</v>
      </c>
      <c r="AA85" s="121">
        <f t="shared" si="8"/>
        <v>22225</v>
      </c>
      <c r="AB85" s="204">
        <f t="shared" si="9"/>
        <v>700</v>
      </c>
      <c r="AC85" s="201">
        <v>45945</v>
      </c>
      <c r="AD85" s="121">
        <f t="shared" si="10"/>
        <v>22925</v>
      </c>
      <c r="AE85" s="205"/>
    </row>
    <row r="86" spans="1:31" x14ac:dyDescent="0.25">
      <c r="A86">
        <v>85</v>
      </c>
      <c r="B86" t="s">
        <v>385</v>
      </c>
      <c r="C86" t="s">
        <v>386</v>
      </c>
      <c r="D86" s="143">
        <f>SUMIFS(FACILITIES!E:E,FACILITIES!$B:$B,B86)</f>
        <v>0</v>
      </c>
      <c r="E86" s="143">
        <f>SUMIFS(FACILITIES!F:F,FACILITIES!$B:$B,$B86)</f>
        <v>750</v>
      </c>
      <c r="F86" s="143">
        <f>SUMIFS(FACILITIES!G:G,FACILITIES!$B:$B,B86)</f>
        <v>0</v>
      </c>
      <c r="G86" s="143">
        <f>SUMIFS(FACILITIES!H:H,FACILITIES!$B:$B,B86)</f>
        <v>0</v>
      </c>
      <c r="H86" s="143">
        <f>SUMIFS(FACILITIES!I:I,FACILITIES!$B:$B,B86)</f>
        <v>0</v>
      </c>
      <c r="I86" s="143">
        <f>SUMIFS(FACILITIES!J:J,FACILITIES!$B:$B,B86)</f>
        <v>1600</v>
      </c>
      <c r="J86" s="143">
        <f>SUMIFS(FACILITIES!K:K,FACILITIES!$B:$B,B86)</f>
        <v>1500</v>
      </c>
      <c r="K86" s="143">
        <f>SUMIFS(FACILITIES!L:L,FACILITIES!$B:$B,B86)</f>
        <v>0</v>
      </c>
      <c r="L86" s="143">
        <f>SUMIFS(FACILITIES!M:M,FACILITIES!$B:$B,B86)</f>
        <v>0</v>
      </c>
      <c r="M86" s="143">
        <f>SUMIFS(FACILITIES!N:N,FACILITIES!$B:$B,B86)</f>
        <v>0</v>
      </c>
      <c r="N86" s="143">
        <f>SUMIFS(FACILITIES!O:O,FACILITIES!$B:$B,B86)</f>
        <v>0</v>
      </c>
      <c r="O86" s="143">
        <f>SUMIFS(FACILITIES!P:P,FACILITIES!$B:$B,B86)</f>
        <v>0</v>
      </c>
      <c r="P86" s="143">
        <f>SUMIFS(FACILITIES!Q:Q,FACILITIES!$B:$B,B86)</f>
        <v>0</v>
      </c>
      <c r="Q86" s="143">
        <f>SUMIFS(FACILITIES!R:R,FACILITIES!$B:$B,B86)</f>
        <v>0</v>
      </c>
      <c r="R86" s="143">
        <f>SUMIFS(FACILITIES!T:T,FACILITIES!B:B,B86)</f>
        <v>0</v>
      </c>
      <c r="S86" s="143">
        <f>SUMIFS(FACILITIES!S:S,FACILITIES!B:B,B86)</f>
        <v>0</v>
      </c>
      <c r="T86" s="143">
        <f>SUMIFS('F &amp; B'!G:G,'F &amp; B'!B:B,B86)</f>
        <v>21714</v>
      </c>
      <c r="U86" s="207">
        <f t="shared" si="7"/>
        <v>3257.1</v>
      </c>
      <c r="V86" s="143">
        <f>SUMIFS('FIXED AMOUNT'!G:G,'FIXED AMOUNT'!B:B,B86)</f>
        <v>7000</v>
      </c>
      <c r="W86" s="121">
        <f t="shared" si="6"/>
        <v>35821.1</v>
      </c>
      <c r="X86" s="121">
        <f>SUMIFS('FIXED AMOUNT'!E:E,'FIXED AMOUNT'!B:B,'data base '!B:B)</f>
        <v>0</v>
      </c>
      <c r="Y86" s="121">
        <f>SUMIFS('FIXED AMOUNT'!F:F,'FIXED AMOUNT'!B:B,'data base '!B:B)</f>
        <v>0</v>
      </c>
      <c r="Z86" s="121">
        <f>SUMIFS('FIXED AMOUNT'!V:V,'FIXED AMOUNT'!B:B,B:B)</f>
        <v>7926</v>
      </c>
      <c r="AA86" s="121">
        <f t="shared" si="8"/>
        <v>43747.1</v>
      </c>
      <c r="AB86" s="204">
        <f t="shared" si="9"/>
        <v>3582.11</v>
      </c>
      <c r="AC86" s="201">
        <v>45945</v>
      </c>
      <c r="AD86" s="121">
        <f t="shared" si="10"/>
        <v>47329.21</v>
      </c>
      <c r="AE86" s="205"/>
    </row>
    <row r="87" spans="1:31" x14ac:dyDescent="0.25">
      <c r="A87">
        <v>86</v>
      </c>
      <c r="B87" t="s">
        <v>388</v>
      </c>
      <c r="C87" t="s">
        <v>387</v>
      </c>
      <c r="D87" s="143">
        <f>SUMIFS(FACILITIES!E:E,FACILITIES!$B:$B,B87)</f>
        <v>0</v>
      </c>
      <c r="E87" s="143">
        <f>SUMIFS(FACILITIES!F:F,FACILITIES!$B:$B,$B87)</f>
        <v>0</v>
      </c>
      <c r="F87" s="143">
        <f>SUMIFS(FACILITIES!G:G,FACILITIES!$B:$B,B87)</f>
        <v>0</v>
      </c>
      <c r="G87" s="143">
        <f>SUMIFS(FACILITIES!H:H,FACILITIES!$B:$B,B87)</f>
        <v>0</v>
      </c>
      <c r="H87" s="143">
        <f>SUMIFS(FACILITIES!I:I,FACILITIES!$B:$B,B87)</f>
        <v>0</v>
      </c>
      <c r="I87" s="143">
        <f>SUMIFS(FACILITIES!J:J,FACILITIES!$B:$B,B87)</f>
        <v>0</v>
      </c>
      <c r="J87" s="143">
        <f>SUMIFS(FACILITIES!K:K,FACILITIES!$B:$B,B87)</f>
        <v>0</v>
      </c>
      <c r="K87" s="143">
        <f>SUMIFS(FACILITIES!L:L,FACILITIES!$B:$B,B87)</f>
        <v>0</v>
      </c>
      <c r="L87" s="143">
        <f>SUMIFS(FACILITIES!M:M,FACILITIES!$B:$B,B87)</f>
        <v>0</v>
      </c>
      <c r="M87" s="143">
        <f>SUMIFS(FACILITIES!N:N,FACILITIES!$B:$B,B87)</f>
        <v>0</v>
      </c>
      <c r="N87" s="143">
        <f>SUMIFS(FACILITIES!O:O,FACILITIES!$B:$B,B87)</f>
        <v>0</v>
      </c>
      <c r="O87" s="143">
        <f>SUMIFS(FACILITIES!P:P,FACILITIES!$B:$B,B87)</f>
        <v>0</v>
      </c>
      <c r="P87" s="143">
        <f>SUMIFS(FACILITIES!Q:Q,FACILITIES!$B:$B,B87)</f>
        <v>0</v>
      </c>
      <c r="Q87" s="143">
        <f>SUMIFS(FACILITIES!R:R,FACILITIES!$B:$B,B87)</f>
        <v>0</v>
      </c>
      <c r="R87" s="143">
        <f>SUMIFS(FACILITIES!T:T,FACILITIES!B:B,B87)</f>
        <v>0</v>
      </c>
      <c r="S87" s="143">
        <f>SUMIFS(FACILITIES!S:S,FACILITIES!B:B,B87)</f>
        <v>0</v>
      </c>
      <c r="T87" s="143">
        <f>SUMIFS('F &amp; B'!G:G,'F &amp; B'!B:B,B87)</f>
        <v>76200</v>
      </c>
      <c r="U87" s="207">
        <f t="shared" si="7"/>
        <v>11430</v>
      </c>
      <c r="V87" s="143">
        <f>SUMIFS('FIXED AMOUNT'!G:G,'FIXED AMOUNT'!B:B,B87)</f>
        <v>7000</v>
      </c>
      <c r="W87" s="121">
        <f t="shared" si="6"/>
        <v>94630</v>
      </c>
      <c r="X87" s="121">
        <f>SUMIFS('FIXED AMOUNT'!E:E,'FIXED AMOUNT'!B:B,'data base '!B:B)</f>
        <v>0</v>
      </c>
      <c r="Y87" s="121">
        <f>SUMIFS('FIXED AMOUNT'!F:F,'FIXED AMOUNT'!B:B,'data base '!B:B)</f>
        <v>0</v>
      </c>
      <c r="Z87" s="121">
        <f>SUMIFS('FIXED AMOUNT'!V:V,'FIXED AMOUNT'!B:B,B:B)</f>
        <v>0</v>
      </c>
      <c r="AA87" s="121">
        <f t="shared" si="8"/>
        <v>94630</v>
      </c>
      <c r="AB87" s="204">
        <f t="shared" si="9"/>
        <v>9463</v>
      </c>
      <c r="AC87" s="201">
        <v>45945</v>
      </c>
      <c r="AD87" s="121">
        <f t="shared" si="10"/>
        <v>104093</v>
      </c>
      <c r="AE87" s="205"/>
    </row>
    <row r="88" spans="1:31" x14ac:dyDescent="0.25">
      <c r="A88">
        <v>87</v>
      </c>
      <c r="B88" t="s">
        <v>376</v>
      </c>
      <c r="C88" t="s">
        <v>389</v>
      </c>
      <c r="D88" s="143">
        <f>SUMIFS(FACILITIES!E:E,FACILITIES!$B:$B,B88)</f>
        <v>0</v>
      </c>
      <c r="E88" s="143">
        <f>SUMIFS(FACILITIES!F:F,FACILITIES!$B:$B,$B88)</f>
        <v>0</v>
      </c>
      <c r="F88" s="143">
        <f>SUMIFS(FACILITIES!G:G,FACILITIES!$B:$B,B88)</f>
        <v>0</v>
      </c>
      <c r="G88" s="143">
        <f>SUMIFS(FACILITIES!H:H,FACILITIES!$B:$B,B88)</f>
        <v>0</v>
      </c>
      <c r="H88" s="143">
        <f>SUMIFS(FACILITIES!I:I,FACILITIES!$B:$B,B88)</f>
        <v>0</v>
      </c>
      <c r="I88" s="143">
        <f>SUMIFS(FACILITIES!J:J,FACILITIES!$B:$B,B88)</f>
        <v>2800</v>
      </c>
      <c r="J88" s="143">
        <f>SUMIFS(FACILITIES!K:K,FACILITIES!$B:$B,B88)</f>
        <v>0</v>
      </c>
      <c r="K88" s="143">
        <f>SUMIFS(FACILITIES!L:L,FACILITIES!$B:$B,B88)</f>
        <v>0</v>
      </c>
      <c r="L88" s="143">
        <f>SUMIFS(FACILITIES!M:M,FACILITIES!$B:$B,B88)</f>
        <v>0</v>
      </c>
      <c r="M88" s="143">
        <f>SUMIFS(FACILITIES!N:N,FACILITIES!$B:$B,B88)</f>
        <v>0</v>
      </c>
      <c r="N88" s="143">
        <f>SUMIFS(FACILITIES!O:O,FACILITIES!$B:$B,B88)</f>
        <v>5500</v>
      </c>
      <c r="O88" s="143">
        <f>SUMIFS(FACILITIES!P:P,FACILITIES!$B:$B,B88)</f>
        <v>0</v>
      </c>
      <c r="P88" s="143">
        <f>SUMIFS(FACILITIES!Q:Q,FACILITIES!$B:$B,B88)</f>
        <v>0</v>
      </c>
      <c r="Q88" s="143">
        <f>SUMIFS(FACILITIES!R:R,FACILITIES!$B:$B,B88)</f>
        <v>0</v>
      </c>
      <c r="R88" s="143">
        <f>SUMIFS(FACILITIES!T:T,FACILITIES!B:B,B88)</f>
        <v>0</v>
      </c>
      <c r="S88" s="143">
        <f>SUMIFS(FACILITIES!S:S,FACILITIES!B:B,B88)</f>
        <v>0</v>
      </c>
      <c r="T88" s="143">
        <f>SUMIFS('F &amp; B'!G:G,'F &amp; B'!B:B,B88)</f>
        <v>16250</v>
      </c>
      <c r="U88" s="207">
        <f t="shared" si="7"/>
        <v>2437.5</v>
      </c>
      <c r="V88" s="143">
        <f>SUMIFS('FIXED AMOUNT'!G:G,'FIXED AMOUNT'!B:B,B88)</f>
        <v>7000</v>
      </c>
      <c r="W88" s="121">
        <f t="shared" si="6"/>
        <v>33987.5</v>
      </c>
      <c r="X88" s="121">
        <f>SUMIFS('FIXED AMOUNT'!E:E,'FIXED AMOUNT'!B:B,'data base '!B:B)</f>
        <v>0</v>
      </c>
      <c r="Y88" s="121">
        <f>SUMIFS('FIXED AMOUNT'!F:F,'FIXED AMOUNT'!B:B,'data base '!B:B)</f>
        <v>0</v>
      </c>
      <c r="Z88" s="121">
        <f>SUMIFS('FIXED AMOUNT'!V:V,'FIXED AMOUNT'!B:B,B:B)</f>
        <v>2085</v>
      </c>
      <c r="AA88" s="121">
        <f t="shared" si="8"/>
        <v>36072.5</v>
      </c>
      <c r="AB88" s="204">
        <f t="shared" si="9"/>
        <v>3398.75</v>
      </c>
      <c r="AC88" s="201">
        <v>45945</v>
      </c>
      <c r="AD88" s="121">
        <f t="shared" si="10"/>
        <v>39471.25</v>
      </c>
      <c r="AE88" s="205"/>
    </row>
    <row r="89" spans="1:31" x14ac:dyDescent="0.25">
      <c r="A89">
        <v>88</v>
      </c>
      <c r="B89" t="s">
        <v>428</v>
      </c>
      <c r="C89" t="s">
        <v>429</v>
      </c>
      <c r="D89" s="143">
        <f>SUMIFS(FACILITIES!E:E,FACILITIES!$B:$B,B89)</f>
        <v>0</v>
      </c>
      <c r="E89" s="143">
        <f>SUMIFS(FACILITIES!F:F,FACILITIES!$B:$B,$B89)</f>
        <v>0</v>
      </c>
      <c r="F89" s="143">
        <f>SUMIFS(FACILITIES!G:G,FACILITIES!$B:$B,B89)</f>
        <v>0</v>
      </c>
      <c r="G89" s="143">
        <f>SUMIFS(FACILITIES!H:H,FACILITIES!$B:$B,B89)</f>
        <v>0</v>
      </c>
      <c r="H89" s="143">
        <f>SUMIFS(FACILITIES!I:I,FACILITIES!$B:$B,B89)</f>
        <v>0</v>
      </c>
      <c r="I89" s="143">
        <f>SUMIFS(FACILITIES!J:J,FACILITIES!$B:$B,B89)</f>
        <v>0</v>
      </c>
      <c r="J89" s="143">
        <f>SUMIFS(FACILITIES!K:K,FACILITIES!$B:$B,B89)</f>
        <v>0</v>
      </c>
      <c r="K89" s="143">
        <f>SUMIFS(FACILITIES!L:L,FACILITIES!$B:$B,B89)</f>
        <v>0</v>
      </c>
      <c r="L89" s="143">
        <f>SUMIFS(FACILITIES!M:M,FACILITIES!$B:$B,B89)</f>
        <v>0</v>
      </c>
      <c r="M89" s="143">
        <f>SUMIFS(FACILITIES!N:N,FACILITIES!$B:$B,B89)</f>
        <v>0</v>
      </c>
      <c r="N89" s="143">
        <f>SUMIFS(FACILITIES!O:O,FACILITIES!$B:$B,B89)</f>
        <v>0</v>
      </c>
      <c r="O89" s="143">
        <f>SUMIFS(FACILITIES!P:P,FACILITIES!$B:$B,B89)</f>
        <v>0</v>
      </c>
      <c r="P89" s="143">
        <f>SUMIFS(FACILITIES!Q:Q,FACILITIES!$B:$B,B89)</f>
        <v>0</v>
      </c>
      <c r="Q89" s="143">
        <f>SUMIFS(FACILITIES!R:R,FACILITIES!$B:$B,B89)</f>
        <v>0</v>
      </c>
      <c r="R89" s="143">
        <f>SUMIFS(FACILITIES!T:T,FACILITIES!B:B,B89)</f>
        <v>365000</v>
      </c>
      <c r="S89" s="143">
        <f>SUMIFS(FACILITIES!S:S,FACILITIES!B:B,B89)</f>
        <v>100000</v>
      </c>
      <c r="T89" s="143">
        <f>SUMIFS('F &amp; B'!G:G,'F &amp; B'!B:B,B89)</f>
        <v>80050</v>
      </c>
      <c r="U89" s="207">
        <f t="shared" si="7"/>
        <v>12007.5</v>
      </c>
      <c r="V89" s="143">
        <f>SUMIFS('FIXED AMOUNT'!G:G,'FIXED AMOUNT'!B:B,B89)</f>
        <v>7000</v>
      </c>
      <c r="W89" s="121">
        <f t="shared" si="6"/>
        <v>564057.5</v>
      </c>
      <c r="X89" s="121">
        <f>SUMIFS('FIXED AMOUNT'!E:E,'FIXED AMOUNT'!B:B,'data base '!B:B)</f>
        <v>0</v>
      </c>
      <c r="Y89" s="121">
        <f>SUMIFS('FIXED AMOUNT'!F:F,'FIXED AMOUNT'!B:B,'data base '!B:B)</f>
        <v>0</v>
      </c>
      <c r="Z89" s="121">
        <f>SUMIFS('FIXED AMOUNT'!V:V,'FIXED AMOUNT'!B:B,B:B)</f>
        <v>0</v>
      </c>
      <c r="AA89" s="121">
        <f t="shared" si="8"/>
        <v>564057.5</v>
      </c>
      <c r="AB89" s="204">
        <f t="shared" si="9"/>
        <v>56405.75</v>
      </c>
      <c r="AC89" s="201">
        <v>45945</v>
      </c>
      <c r="AD89" s="121">
        <f t="shared" si="10"/>
        <v>620463.25</v>
      </c>
      <c r="AE89" s="205"/>
    </row>
    <row r="90" spans="1:31" x14ac:dyDescent="0.25">
      <c r="A90">
        <v>89</v>
      </c>
      <c r="B90" t="s">
        <v>424</v>
      </c>
      <c r="C90" t="s">
        <v>425</v>
      </c>
      <c r="D90" s="143">
        <f>SUMIFS(FACILITIES!E:E,FACILITIES!$B:$B,B90)</f>
        <v>0</v>
      </c>
      <c r="E90" s="143">
        <f>SUMIFS(FACILITIES!F:F,FACILITIES!$B:$B,$B90)</f>
        <v>0</v>
      </c>
      <c r="F90" s="143">
        <f>SUMIFS(FACILITIES!G:G,FACILITIES!$B:$B,B90)</f>
        <v>0</v>
      </c>
      <c r="G90" s="143">
        <f>SUMIFS(FACILITIES!H:H,FACILITIES!$B:$B,B90)</f>
        <v>0</v>
      </c>
      <c r="H90" s="143">
        <f>SUMIFS(FACILITIES!I:I,FACILITIES!$B:$B,B90)</f>
        <v>0</v>
      </c>
      <c r="I90" s="143">
        <f>SUMIFS(FACILITIES!J:J,FACILITIES!$B:$B,B90)</f>
        <v>0</v>
      </c>
      <c r="J90" s="143">
        <f>SUMIFS(FACILITIES!K:K,FACILITIES!$B:$B,B90)</f>
        <v>0</v>
      </c>
      <c r="K90" s="143">
        <f>SUMIFS(FACILITIES!L:L,FACILITIES!$B:$B,B90)</f>
        <v>0</v>
      </c>
      <c r="L90" s="143">
        <f>SUMIFS(FACILITIES!M:M,FACILITIES!$B:$B,B90)</f>
        <v>0</v>
      </c>
      <c r="M90" s="143">
        <f>SUMIFS(FACILITIES!N:N,FACILITIES!$B:$B,B90)</f>
        <v>0</v>
      </c>
      <c r="N90" s="143">
        <f>SUMIFS(FACILITIES!O:O,FACILITIES!$B:$B,B90)</f>
        <v>0</v>
      </c>
      <c r="O90" s="143">
        <f>SUMIFS(FACILITIES!P:P,FACILITIES!$B:$B,B90)</f>
        <v>0</v>
      </c>
      <c r="P90" s="143">
        <f>SUMIFS(FACILITIES!Q:Q,FACILITIES!$B:$B,B90)</f>
        <v>0</v>
      </c>
      <c r="Q90" s="143">
        <f>SUMIFS(FACILITIES!R:R,FACILITIES!$B:$B,B90)</f>
        <v>0</v>
      </c>
      <c r="R90" s="143">
        <f>SUMIFS(FACILITIES!T:T,FACILITIES!B:B,B90)</f>
        <v>0</v>
      </c>
      <c r="S90" s="143">
        <f>SUMIFS(FACILITIES!S:S,FACILITIES!B:B,B90)</f>
        <v>0</v>
      </c>
      <c r="T90" s="143">
        <f>SUMIFS('F &amp; B'!G:G,'F &amp; B'!B:B,B90)</f>
        <v>0</v>
      </c>
      <c r="U90" s="207">
        <f t="shared" si="7"/>
        <v>0</v>
      </c>
      <c r="V90" s="143">
        <f>SUMIFS('FIXED AMOUNT'!G:G,'FIXED AMOUNT'!B:B,B90)</f>
        <v>7000</v>
      </c>
      <c r="W90" s="121">
        <f t="shared" si="6"/>
        <v>7000</v>
      </c>
      <c r="X90" s="121">
        <f>SUMIFS('FIXED AMOUNT'!E:E,'FIXED AMOUNT'!B:B,'data base '!B:B)</f>
        <v>0</v>
      </c>
      <c r="Y90" s="121">
        <f>SUMIFS('FIXED AMOUNT'!F:F,'FIXED AMOUNT'!B:B,'data base '!B:B)</f>
        <v>0</v>
      </c>
      <c r="Z90" s="121">
        <f>SUMIFS('FIXED AMOUNT'!V:V,'FIXED AMOUNT'!B:B,B:B)</f>
        <v>31471</v>
      </c>
      <c r="AA90" s="121">
        <f t="shared" si="8"/>
        <v>38471</v>
      </c>
      <c r="AB90" s="204">
        <f t="shared" si="9"/>
        <v>700</v>
      </c>
      <c r="AC90" s="201">
        <v>45945</v>
      </c>
      <c r="AD90" s="121">
        <f t="shared" si="10"/>
        <v>39171</v>
      </c>
      <c r="AE90" s="205"/>
    </row>
    <row r="91" spans="1:31" x14ac:dyDescent="0.25">
      <c r="A91">
        <v>90</v>
      </c>
      <c r="B91" t="s">
        <v>421</v>
      </c>
      <c r="C91" t="s">
        <v>422</v>
      </c>
      <c r="D91" s="143">
        <f>SUMIFS(FACILITIES!E:E,FACILITIES!$B:$B,B91)</f>
        <v>0</v>
      </c>
      <c r="E91" s="143">
        <f>SUMIFS(FACILITIES!F:F,FACILITIES!$B:$B,$B91)</f>
        <v>0</v>
      </c>
      <c r="F91" s="143">
        <f>SUMIFS(FACILITIES!G:G,FACILITIES!$B:$B,B91)</f>
        <v>0</v>
      </c>
      <c r="G91" s="143">
        <f>SUMIFS(FACILITIES!H:H,FACILITIES!$B:$B,B91)</f>
        <v>0</v>
      </c>
      <c r="H91" s="143">
        <f>SUMIFS(FACILITIES!I:I,FACILITIES!$B:$B,B91)</f>
        <v>0</v>
      </c>
      <c r="I91" s="143">
        <f>SUMIFS(FACILITIES!J:J,FACILITIES!$B:$B,B91)</f>
        <v>0</v>
      </c>
      <c r="J91" s="143">
        <f>SUMIFS(FACILITIES!K:K,FACILITIES!$B:$B,B91)</f>
        <v>0</v>
      </c>
      <c r="K91" s="143">
        <f>SUMIFS(FACILITIES!L:L,FACILITIES!$B:$B,B91)</f>
        <v>0</v>
      </c>
      <c r="L91" s="143">
        <f>SUMIFS(FACILITIES!M:M,FACILITIES!$B:$B,B91)</f>
        <v>0</v>
      </c>
      <c r="M91" s="143">
        <f>SUMIFS(FACILITIES!N:N,FACILITIES!$B:$B,B91)</f>
        <v>0</v>
      </c>
      <c r="N91" s="143">
        <f>SUMIFS(FACILITIES!O:O,FACILITIES!$B:$B,B91)</f>
        <v>0</v>
      </c>
      <c r="O91" s="143">
        <f>SUMIFS(FACILITIES!P:P,FACILITIES!$B:$B,B91)</f>
        <v>0</v>
      </c>
      <c r="P91" s="143">
        <f>SUMIFS(FACILITIES!Q:Q,FACILITIES!$B:$B,B91)</f>
        <v>0</v>
      </c>
      <c r="Q91" s="143">
        <f>SUMIFS(FACILITIES!R:R,FACILITIES!$B:$B,B91)</f>
        <v>0</v>
      </c>
      <c r="R91" s="143">
        <f>SUMIFS(FACILITIES!T:T,FACILITIES!B:B,B91)</f>
        <v>0</v>
      </c>
      <c r="S91" s="143">
        <f>SUMIFS(FACILITIES!S:S,FACILITIES!B:B,B91)</f>
        <v>0</v>
      </c>
      <c r="T91" s="143">
        <f>SUMIFS('F &amp; B'!G:G,'F &amp; B'!B:B,B91)</f>
        <v>0</v>
      </c>
      <c r="U91" s="207">
        <f t="shared" si="7"/>
        <v>0</v>
      </c>
      <c r="V91" s="143">
        <f>SUMIFS('FIXED AMOUNT'!G:G,'FIXED AMOUNT'!B:B,B91)</f>
        <v>7000</v>
      </c>
      <c r="W91" s="121">
        <f t="shared" si="6"/>
        <v>7000</v>
      </c>
      <c r="X91" s="121">
        <f>SUMIFS('FIXED AMOUNT'!E:E,'FIXED AMOUNT'!B:B,'data base '!B:B)</f>
        <v>0</v>
      </c>
      <c r="Y91" s="121">
        <f>SUMIFS('FIXED AMOUNT'!F:F,'FIXED AMOUNT'!B:B,'data base '!B:B)</f>
        <v>0</v>
      </c>
      <c r="Z91" s="121">
        <f>SUMIFS('FIXED AMOUNT'!V:V,'FIXED AMOUNT'!B:B,B:B)</f>
        <v>0</v>
      </c>
      <c r="AA91" s="121">
        <f t="shared" si="8"/>
        <v>7000</v>
      </c>
      <c r="AB91" s="204">
        <f t="shared" si="9"/>
        <v>700</v>
      </c>
      <c r="AC91" s="201">
        <v>45945</v>
      </c>
      <c r="AD91" s="121">
        <f t="shared" si="10"/>
        <v>7700</v>
      </c>
      <c r="AE91" s="205"/>
    </row>
    <row r="92" spans="1:31" x14ac:dyDescent="0.25">
      <c r="A92">
        <v>91</v>
      </c>
      <c r="B92" t="s">
        <v>430</v>
      </c>
      <c r="C92" t="s">
        <v>431</v>
      </c>
      <c r="D92" s="143">
        <f>SUMIFS(FACILITIES!E:E,FACILITIES!$B:$B,B92)</f>
        <v>1200</v>
      </c>
      <c r="E92" s="143">
        <f>SUMIFS(FACILITIES!F:F,FACILITIES!$B:$B,$B92)</f>
        <v>0</v>
      </c>
      <c r="F92" s="143">
        <f>SUMIFS(FACILITIES!G:G,FACILITIES!$B:$B,B92)</f>
        <v>0</v>
      </c>
      <c r="G92" s="143">
        <f>SUMIFS(FACILITIES!H:H,FACILITIES!$B:$B,B92)</f>
        <v>0</v>
      </c>
      <c r="H92" s="143">
        <f>SUMIFS(FACILITIES!I:I,FACILITIES!$B:$B,B92)</f>
        <v>0</v>
      </c>
      <c r="I92" s="143">
        <f>SUMIFS(FACILITIES!J:J,FACILITIES!$B:$B,B92)</f>
        <v>5400</v>
      </c>
      <c r="J92" s="143">
        <f>SUMIFS(FACILITIES!K:K,FACILITIES!$B:$B,B92)</f>
        <v>0</v>
      </c>
      <c r="K92" s="143">
        <f>SUMIFS(FACILITIES!L:L,FACILITIES!$B:$B,B92)</f>
        <v>0</v>
      </c>
      <c r="L92" s="143">
        <f>SUMIFS(FACILITIES!M:M,FACILITIES!$B:$B,B92)</f>
        <v>0</v>
      </c>
      <c r="M92" s="143">
        <f>SUMIFS(FACILITIES!N:N,FACILITIES!$B:$B,B92)</f>
        <v>1500</v>
      </c>
      <c r="N92" s="143">
        <f>SUMIFS(FACILITIES!O:O,FACILITIES!$B:$B,B92)</f>
        <v>0</v>
      </c>
      <c r="O92" s="143">
        <f>SUMIFS(FACILITIES!P:P,FACILITIES!$B:$B,B92)</f>
        <v>11500</v>
      </c>
      <c r="P92" s="143">
        <f>SUMIFS(FACILITIES!Q:Q,FACILITIES!$B:$B,B92)</f>
        <v>0</v>
      </c>
      <c r="Q92" s="143">
        <f>SUMIFS(FACILITIES!R:R,FACILITIES!$B:$B,B92)</f>
        <v>0</v>
      </c>
      <c r="R92" s="143">
        <f>SUMIFS(FACILITIES!T:T,FACILITIES!B:B,B92)</f>
        <v>0</v>
      </c>
      <c r="S92" s="143">
        <f>SUMIFS(FACILITIES!S:S,FACILITIES!B:B,B92)</f>
        <v>0</v>
      </c>
      <c r="T92" s="143">
        <f>SUMIFS('F &amp; B'!G:G,'F &amp; B'!B:B,B92)</f>
        <v>29370</v>
      </c>
      <c r="U92" s="207">
        <f t="shared" si="7"/>
        <v>4405.5</v>
      </c>
      <c r="V92" s="143">
        <f>SUMIFS('FIXED AMOUNT'!G:G,'FIXED AMOUNT'!B:B,B92)</f>
        <v>7000</v>
      </c>
      <c r="W92" s="121">
        <f t="shared" si="6"/>
        <v>60375.5</v>
      </c>
      <c r="X92" s="121">
        <f>SUMIFS('FIXED AMOUNT'!E:E,'FIXED AMOUNT'!B:B,'data base '!B:B)</f>
        <v>0</v>
      </c>
      <c r="Y92" s="121">
        <f>SUMIFS('FIXED AMOUNT'!F:F,'FIXED AMOUNT'!B:B,'data base '!B:B)</f>
        <v>0</v>
      </c>
      <c r="Z92" s="121">
        <f>SUMIFS('FIXED AMOUNT'!V:V,'FIXED AMOUNT'!B:B,B:B)</f>
        <v>0</v>
      </c>
      <c r="AA92" s="121">
        <f t="shared" si="8"/>
        <v>60375.5</v>
      </c>
      <c r="AB92" s="204">
        <f t="shared" si="9"/>
        <v>6037.55</v>
      </c>
      <c r="AC92" s="201">
        <v>45945</v>
      </c>
      <c r="AD92" s="121">
        <f t="shared" si="10"/>
        <v>66413.05</v>
      </c>
      <c r="AE92" s="205"/>
    </row>
    <row r="93" spans="1:31" x14ac:dyDescent="0.25">
      <c r="A93">
        <v>92</v>
      </c>
      <c r="B93" t="s">
        <v>420</v>
      </c>
      <c r="C93" t="s">
        <v>423</v>
      </c>
      <c r="D93" s="143">
        <f>SUMIFS(FACILITIES!E:E,FACILITIES!$B:$B,B93)</f>
        <v>0</v>
      </c>
      <c r="E93" s="143">
        <f>SUMIFS(FACILITIES!F:F,FACILITIES!$B:$B,$B93)</f>
        <v>0</v>
      </c>
      <c r="F93" s="143">
        <f>SUMIFS(FACILITIES!G:G,FACILITIES!$B:$B,B93)</f>
        <v>0</v>
      </c>
      <c r="G93" s="143">
        <f>SUMIFS(FACILITIES!H:H,FACILITIES!$B:$B,B93)</f>
        <v>0</v>
      </c>
      <c r="H93" s="143">
        <f>SUMIFS(FACILITIES!I:I,FACILITIES!$B:$B,B93)</f>
        <v>0</v>
      </c>
      <c r="I93" s="143">
        <f>SUMIFS(FACILITIES!J:J,FACILITIES!$B:$B,B93)</f>
        <v>300</v>
      </c>
      <c r="J93" s="143">
        <f>SUMIFS(FACILITIES!K:K,FACILITIES!$B:$B,B93)</f>
        <v>0</v>
      </c>
      <c r="K93" s="143">
        <f>SUMIFS(FACILITIES!L:L,FACILITIES!$B:$B,B93)</f>
        <v>0</v>
      </c>
      <c r="L93" s="143">
        <f>SUMIFS(FACILITIES!M:M,FACILITIES!$B:$B,B93)</f>
        <v>0</v>
      </c>
      <c r="M93" s="143">
        <f>SUMIFS(FACILITIES!N:N,FACILITIES!$B:$B,B93)</f>
        <v>0</v>
      </c>
      <c r="N93" s="143">
        <f>SUMIFS(FACILITIES!O:O,FACILITIES!$B:$B,B93)</f>
        <v>0</v>
      </c>
      <c r="O93" s="143">
        <f>SUMIFS(FACILITIES!P:P,FACILITIES!$B:$B,B93)</f>
        <v>0</v>
      </c>
      <c r="P93" s="143">
        <f>SUMIFS(FACILITIES!Q:Q,FACILITIES!$B:$B,B93)</f>
        <v>0</v>
      </c>
      <c r="Q93" s="143">
        <f>SUMIFS(FACILITIES!R:R,FACILITIES!$B:$B,B93)</f>
        <v>0</v>
      </c>
      <c r="R93" s="143">
        <f>SUMIFS(FACILITIES!T:T,FACILITIES!B:B,B93)</f>
        <v>0</v>
      </c>
      <c r="S93" s="143">
        <f>SUMIFS(FACILITIES!S:S,FACILITIES!B:B,B93)</f>
        <v>0</v>
      </c>
      <c r="T93" s="143">
        <f>SUMIFS('F &amp; B'!G:G,'F &amp; B'!B:B,B93)</f>
        <v>4100</v>
      </c>
      <c r="U93" s="207">
        <f t="shared" si="7"/>
        <v>615</v>
      </c>
      <c r="V93" s="143">
        <f>SUMIFS('FIXED AMOUNT'!G:G,'FIXED AMOUNT'!B:B,B93)</f>
        <v>7000</v>
      </c>
      <c r="W93" s="121">
        <f t="shared" si="6"/>
        <v>12015</v>
      </c>
      <c r="X93" s="121">
        <f>SUMIFS('FIXED AMOUNT'!E:E,'FIXED AMOUNT'!B:B,'data base '!B:B)</f>
        <v>0</v>
      </c>
      <c r="Y93" s="121">
        <f>SUMIFS('FIXED AMOUNT'!F:F,'FIXED AMOUNT'!B:B,'data base '!B:B)</f>
        <v>0</v>
      </c>
      <c r="Z93" s="121">
        <f>SUMIFS('FIXED AMOUNT'!V:V,'FIXED AMOUNT'!B:B,B:B)</f>
        <v>0</v>
      </c>
      <c r="AA93" s="121">
        <f t="shared" si="8"/>
        <v>12015</v>
      </c>
      <c r="AB93" s="204">
        <f t="shared" si="9"/>
        <v>1201.5</v>
      </c>
      <c r="AC93" s="201">
        <v>45945</v>
      </c>
      <c r="AD93" s="121">
        <f t="shared" si="10"/>
        <v>13216.5</v>
      </c>
      <c r="AE93" s="205"/>
    </row>
    <row r="94" spans="1:31" x14ac:dyDescent="0.25">
      <c r="A94">
        <v>93</v>
      </c>
      <c r="B94" t="s">
        <v>418</v>
      </c>
      <c r="C94" t="s">
        <v>419</v>
      </c>
      <c r="D94" s="143">
        <f>SUMIFS(FACILITIES!E:E,FACILITIES!$B:$B,B94)</f>
        <v>1500</v>
      </c>
      <c r="E94" s="143">
        <f>SUMIFS(FACILITIES!F:F,FACILITIES!$B:$B,$B94)</f>
        <v>0</v>
      </c>
      <c r="F94" s="143">
        <f>SUMIFS(FACILITIES!G:G,FACILITIES!$B:$B,B94)</f>
        <v>0</v>
      </c>
      <c r="G94" s="143">
        <f>SUMIFS(FACILITIES!H:H,FACILITIES!$B:$B,B94)</f>
        <v>0</v>
      </c>
      <c r="H94" s="143">
        <f>SUMIFS(FACILITIES!I:I,FACILITIES!$B:$B,B94)</f>
        <v>0</v>
      </c>
      <c r="I94" s="143">
        <f>SUMIFS(FACILITIES!J:J,FACILITIES!$B:$B,B94)</f>
        <v>3100</v>
      </c>
      <c r="J94" s="143">
        <f>SUMIFS(FACILITIES!K:K,FACILITIES!$B:$B,B94)</f>
        <v>0</v>
      </c>
      <c r="K94" s="143">
        <f>SUMIFS(FACILITIES!L:L,FACILITIES!$B:$B,B94)</f>
        <v>0</v>
      </c>
      <c r="L94" s="143">
        <f>SUMIFS(FACILITIES!M:M,FACILITIES!$B:$B,B94)</f>
        <v>0</v>
      </c>
      <c r="M94" s="143">
        <f>SUMIFS(FACILITIES!N:N,FACILITIES!$B:$B,B94)</f>
        <v>0</v>
      </c>
      <c r="N94" s="143">
        <f>SUMIFS(FACILITIES!O:O,FACILITIES!$B:$B,B94)</f>
        <v>0</v>
      </c>
      <c r="O94" s="143">
        <f>SUMIFS(FACILITIES!P:P,FACILITIES!$B:$B,B94)</f>
        <v>0</v>
      </c>
      <c r="P94" s="143">
        <f>SUMIFS(FACILITIES!Q:Q,FACILITIES!$B:$B,B94)</f>
        <v>0</v>
      </c>
      <c r="Q94" s="143">
        <f>SUMIFS(FACILITIES!R:R,FACILITIES!$B:$B,B94)</f>
        <v>0</v>
      </c>
      <c r="R94" s="143">
        <f>SUMIFS(FACILITIES!T:T,FACILITIES!B:B,B94)</f>
        <v>0</v>
      </c>
      <c r="S94" s="143">
        <f>SUMIFS(FACILITIES!S:S,FACILITIES!B:B,B94)</f>
        <v>0</v>
      </c>
      <c r="T94" s="143">
        <f>SUMIFS('F &amp; B'!G:G,'F &amp; B'!B:B,B94)</f>
        <v>5370</v>
      </c>
      <c r="U94" s="207">
        <f t="shared" si="7"/>
        <v>805.5</v>
      </c>
      <c r="V94" s="143">
        <f>SUMIFS('FIXED AMOUNT'!G:G,'FIXED AMOUNT'!B:B,B94)</f>
        <v>7000</v>
      </c>
      <c r="W94" s="121">
        <f t="shared" si="6"/>
        <v>17775.5</v>
      </c>
      <c r="X94" s="121">
        <f>SUMIFS('FIXED AMOUNT'!E:E,'FIXED AMOUNT'!B:B,'data base '!B:B)</f>
        <v>0</v>
      </c>
      <c r="Y94" s="121">
        <f>SUMIFS('FIXED AMOUNT'!F:F,'FIXED AMOUNT'!B:B,'data base '!B:B)</f>
        <v>0</v>
      </c>
      <c r="Z94" s="121">
        <f>SUMIFS('FIXED AMOUNT'!V:V,'FIXED AMOUNT'!B:B,B:B)</f>
        <v>0</v>
      </c>
      <c r="AA94" s="121">
        <f t="shared" si="8"/>
        <v>17775.5</v>
      </c>
      <c r="AB94" s="204">
        <f t="shared" si="9"/>
        <v>1777.5500000000002</v>
      </c>
      <c r="AC94" s="201">
        <v>45945</v>
      </c>
      <c r="AD94" s="121">
        <f t="shared" si="10"/>
        <v>19553.05</v>
      </c>
      <c r="AE94" s="205"/>
    </row>
    <row r="95" spans="1:31" x14ac:dyDescent="0.25">
      <c r="A95">
        <v>94</v>
      </c>
      <c r="B95" t="s">
        <v>426</v>
      </c>
      <c r="C95" t="s">
        <v>427</v>
      </c>
      <c r="D95" s="143">
        <f>SUMIFS(FACILITIES!E:E,FACILITIES!$B:$B,B95)</f>
        <v>0</v>
      </c>
      <c r="E95" s="143">
        <f>SUMIFS(FACILITIES!F:F,FACILITIES!$B:$B,$B95)</f>
        <v>1200</v>
      </c>
      <c r="F95" s="143">
        <f>SUMIFS(FACILITIES!G:G,FACILITIES!$B:$B,B95)</f>
        <v>0</v>
      </c>
      <c r="G95" s="143">
        <f>SUMIFS(FACILITIES!H:H,FACILITIES!$B:$B,B95)</f>
        <v>0</v>
      </c>
      <c r="H95" s="143">
        <f>SUMIFS(FACILITIES!I:I,FACILITIES!$B:$B,B95)</f>
        <v>0</v>
      </c>
      <c r="I95" s="143">
        <f>SUMIFS(FACILITIES!J:J,FACILITIES!$B:$B,B95)</f>
        <v>0</v>
      </c>
      <c r="J95" s="143">
        <f>SUMIFS(FACILITIES!K:K,FACILITIES!$B:$B,B95)</f>
        <v>0</v>
      </c>
      <c r="K95" s="143">
        <f>SUMIFS(FACILITIES!L:L,FACILITIES!$B:$B,B95)</f>
        <v>0</v>
      </c>
      <c r="L95" s="143">
        <f>SUMIFS(FACILITIES!M:M,FACILITIES!$B:$B,B95)</f>
        <v>0</v>
      </c>
      <c r="M95" s="143">
        <f>SUMIFS(FACILITIES!N:N,FACILITIES!$B:$B,B95)</f>
        <v>0</v>
      </c>
      <c r="N95" s="143">
        <f>SUMIFS(FACILITIES!O:O,FACILITIES!$B:$B,B95)</f>
        <v>0</v>
      </c>
      <c r="O95" s="143">
        <f>SUMIFS(FACILITIES!P:P,FACILITIES!$B:$B,B95)</f>
        <v>0</v>
      </c>
      <c r="P95" s="143">
        <f>SUMIFS(FACILITIES!Q:Q,FACILITIES!$B:$B,B95)</f>
        <v>0</v>
      </c>
      <c r="Q95" s="143">
        <f>SUMIFS(FACILITIES!R:R,FACILITIES!$B:$B,B95)</f>
        <v>0</v>
      </c>
      <c r="R95" s="143">
        <f>SUMIFS(FACILITIES!T:T,FACILITIES!B:B,B95)</f>
        <v>0</v>
      </c>
      <c r="S95" s="143">
        <f>SUMIFS(FACILITIES!S:S,FACILITIES!B:B,B95)</f>
        <v>0</v>
      </c>
      <c r="T95" s="143">
        <f>SUMIFS('F &amp; B'!G:G,'F &amp; B'!B:B,B95)</f>
        <v>59650</v>
      </c>
      <c r="U95" s="207">
        <f t="shared" si="7"/>
        <v>8947.5</v>
      </c>
      <c r="V95" s="143">
        <f>SUMIFS('FIXED AMOUNT'!G:G,'FIXED AMOUNT'!B:B,B95)</f>
        <v>7000</v>
      </c>
      <c r="W95" s="121">
        <f t="shared" si="6"/>
        <v>76797.5</v>
      </c>
      <c r="X95" s="121">
        <f>SUMIFS('FIXED AMOUNT'!E:E,'FIXED AMOUNT'!B:B,'data base '!B:B)</f>
        <v>0</v>
      </c>
      <c r="Y95" s="121">
        <f>SUMIFS('FIXED AMOUNT'!F:F,'FIXED AMOUNT'!B:B,'data base '!B:B)</f>
        <v>0</v>
      </c>
      <c r="Z95" s="121">
        <f>SUMIFS('FIXED AMOUNT'!V:V,'FIXED AMOUNT'!B:B,B:B)</f>
        <v>0</v>
      </c>
      <c r="AA95" s="121">
        <f t="shared" si="8"/>
        <v>76797.5</v>
      </c>
      <c r="AB95" s="204">
        <f t="shared" si="9"/>
        <v>7679.75</v>
      </c>
      <c r="AC95" s="201">
        <v>45945</v>
      </c>
      <c r="AD95" s="121">
        <f t="shared" si="10"/>
        <v>84477.25</v>
      </c>
      <c r="AE95" s="205"/>
    </row>
    <row r="96" spans="1:31" x14ac:dyDescent="0.25">
      <c r="A96">
        <v>95</v>
      </c>
      <c r="B96" t="s">
        <v>432</v>
      </c>
      <c r="C96" t="s">
        <v>433</v>
      </c>
      <c r="D96" s="143">
        <f>SUMIFS(FACILITIES!E:E,FACILITIES!$B:$B,B96)</f>
        <v>0</v>
      </c>
      <c r="E96" s="143">
        <f>SUMIFS(FACILITIES!F:F,FACILITIES!$B:$B,$B96)</f>
        <v>0</v>
      </c>
      <c r="F96" s="143">
        <f>SUMIFS(FACILITIES!G:G,FACILITIES!$B:$B,B96)</f>
        <v>0</v>
      </c>
      <c r="G96" s="143">
        <f>SUMIFS(FACILITIES!H:H,FACILITIES!$B:$B,B96)</f>
        <v>0</v>
      </c>
      <c r="H96" s="143">
        <f>SUMIFS(FACILITIES!I:I,FACILITIES!$B:$B,B96)</f>
        <v>0</v>
      </c>
      <c r="I96" s="143">
        <f>SUMIFS(FACILITIES!J:J,FACILITIES!$B:$B,B96)</f>
        <v>0</v>
      </c>
      <c r="J96" s="143">
        <f>SUMIFS(FACILITIES!K:K,FACILITIES!$B:$B,B96)</f>
        <v>0</v>
      </c>
      <c r="K96" s="143">
        <f>SUMIFS(FACILITIES!L:L,FACILITIES!$B:$B,B96)</f>
        <v>0</v>
      </c>
      <c r="L96" s="143">
        <f>SUMIFS(FACILITIES!M:M,FACILITIES!$B:$B,B96)</f>
        <v>0</v>
      </c>
      <c r="M96" s="143">
        <f>SUMIFS(FACILITIES!N:N,FACILITIES!$B:$B,B96)</f>
        <v>0</v>
      </c>
      <c r="N96" s="143">
        <f>SUMIFS(FACILITIES!O:O,FACILITIES!$B:$B,B96)</f>
        <v>0</v>
      </c>
      <c r="O96" s="143">
        <f>SUMIFS(FACILITIES!P:P,FACILITIES!$B:$B,B96)</f>
        <v>0</v>
      </c>
      <c r="P96" s="143">
        <f>SUMIFS(FACILITIES!Q:Q,FACILITIES!$B:$B,B96)</f>
        <v>0</v>
      </c>
      <c r="Q96" s="143">
        <f>SUMIFS(FACILITIES!R:R,FACILITIES!$B:$B,B96)</f>
        <v>0</v>
      </c>
      <c r="R96" s="143">
        <f>SUMIFS(FACILITIES!T:T,FACILITIES!B:B,B96)</f>
        <v>0</v>
      </c>
      <c r="S96" s="143">
        <f>SUMIFS(FACILITIES!S:S,FACILITIES!B:B,B96)</f>
        <v>0</v>
      </c>
      <c r="T96" s="143">
        <f>SUMIFS('F &amp; B'!G:G,'F &amp; B'!B:B,B96)</f>
        <v>0</v>
      </c>
      <c r="U96" s="207">
        <f t="shared" si="7"/>
        <v>0</v>
      </c>
      <c r="V96" s="143">
        <f>SUMIFS('FIXED AMOUNT'!G:G,'FIXED AMOUNT'!B:B,B96)</f>
        <v>7000</v>
      </c>
      <c r="W96" s="121">
        <f t="shared" si="6"/>
        <v>7000</v>
      </c>
      <c r="X96" s="121">
        <f>SUMIFS('FIXED AMOUNT'!E:E,'FIXED AMOUNT'!B:B,'data base '!B:B)</f>
        <v>0</v>
      </c>
      <c r="Y96" s="121">
        <f>SUMIFS('FIXED AMOUNT'!F:F,'FIXED AMOUNT'!B:B,'data base '!B:B)</f>
        <v>0</v>
      </c>
      <c r="Z96" s="121">
        <f>SUMIFS('FIXED AMOUNT'!V:V,'FIXED AMOUNT'!B:B,B:B)</f>
        <v>60000</v>
      </c>
      <c r="AA96" s="121">
        <f t="shared" si="8"/>
        <v>67000</v>
      </c>
      <c r="AB96" s="204">
        <f t="shared" si="9"/>
        <v>700</v>
      </c>
      <c r="AC96" s="201">
        <v>45945</v>
      </c>
      <c r="AD96" s="121">
        <f t="shared" si="10"/>
        <v>67700</v>
      </c>
      <c r="AE96" s="205"/>
    </row>
    <row r="97" spans="1:31" x14ac:dyDescent="0.25">
      <c r="A97">
        <v>96</v>
      </c>
      <c r="B97" t="s">
        <v>454</v>
      </c>
      <c r="C97" t="s">
        <v>449</v>
      </c>
      <c r="D97" s="143">
        <f>SUMIFS(FACILITIES!E:E,FACILITIES!$B:$B,B97)</f>
        <v>1800</v>
      </c>
      <c r="E97" s="143">
        <f>SUMIFS(FACILITIES!F:F,FACILITIES!$B:$B,$B97)</f>
        <v>0</v>
      </c>
      <c r="F97" s="143">
        <f>SUMIFS(FACILITIES!G:G,FACILITIES!$B:$B,B97)</f>
        <v>0</v>
      </c>
      <c r="G97" s="143">
        <f>SUMIFS(FACILITIES!H:H,FACILITIES!$B:$B,B97)</f>
        <v>0</v>
      </c>
      <c r="H97" s="143">
        <f>SUMIFS(FACILITIES!I:I,FACILITIES!$B:$B,B97)</f>
        <v>0</v>
      </c>
      <c r="I97" s="143">
        <f>SUMIFS(FACILITIES!J:J,FACILITIES!$B:$B,B97)</f>
        <v>4000</v>
      </c>
      <c r="J97" s="143">
        <f>SUMIFS(FACILITIES!K:K,FACILITIES!$B:$B,B97)</f>
        <v>2400</v>
      </c>
      <c r="K97" s="143">
        <f>SUMIFS(FACILITIES!L:L,FACILITIES!$B:$B,B97)</f>
        <v>0</v>
      </c>
      <c r="L97" s="143">
        <f>SUMIFS(FACILITIES!M:M,FACILITIES!$B:$B,B97)</f>
        <v>0</v>
      </c>
      <c r="M97" s="143">
        <f>SUMIFS(FACILITIES!N:N,FACILITIES!$B:$B,B97)</f>
        <v>0</v>
      </c>
      <c r="N97" s="143">
        <f>SUMIFS(FACILITIES!O:O,FACILITIES!$B:$B,B97)</f>
        <v>12000</v>
      </c>
      <c r="O97" s="143">
        <f>SUMIFS(FACILITIES!P:P,FACILITIES!$B:$B,B97)</f>
        <v>0</v>
      </c>
      <c r="P97" s="143">
        <f>SUMIFS(FACILITIES!Q:Q,FACILITIES!$B:$B,B97)</f>
        <v>0</v>
      </c>
      <c r="Q97" s="143">
        <f>SUMIFS(FACILITIES!R:R,FACILITIES!$B:$B,B97)</f>
        <v>0</v>
      </c>
      <c r="R97" s="143">
        <f>SUMIFS(FACILITIES!T:T,FACILITIES!B:B,B97)</f>
        <v>0</v>
      </c>
      <c r="S97" s="143">
        <f>SUMIFS(FACILITIES!S:S,FACILITIES!B:B,B97)</f>
        <v>480000</v>
      </c>
      <c r="T97" s="143">
        <f>SUMIFS('F &amp; B'!G:G,'F &amp; B'!B:B,B97)</f>
        <v>3111425</v>
      </c>
      <c r="U97" s="207">
        <f t="shared" si="7"/>
        <v>466713.75</v>
      </c>
      <c r="V97" s="143">
        <f>SUMIFS('FIXED AMOUNT'!G:G,'FIXED AMOUNT'!B:B,B97)</f>
        <v>0</v>
      </c>
      <c r="W97" s="121">
        <f t="shared" si="6"/>
        <v>4078338.75</v>
      </c>
      <c r="X97" s="121">
        <f>SUMIFS('FIXED AMOUNT'!E:E,'FIXED AMOUNT'!B:B,'data base '!B:B)</f>
        <v>0</v>
      </c>
      <c r="Y97" s="121">
        <f>SUMIFS('FIXED AMOUNT'!F:F,'FIXED AMOUNT'!B:B,'data base '!B:B)</f>
        <v>0</v>
      </c>
      <c r="Z97" s="121">
        <f>SUMIFS('FIXED AMOUNT'!V:V,'FIXED AMOUNT'!B:B,B:B)</f>
        <v>0</v>
      </c>
      <c r="AA97" s="121">
        <f t="shared" si="8"/>
        <v>4078338.75</v>
      </c>
      <c r="AB97" s="204">
        <f t="shared" si="9"/>
        <v>407833.875</v>
      </c>
      <c r="AC97" s="201">
        <v>45945</v>
      </c>
      <c r="AD97" s="121">
        <f t="shared" si="10"/>
        <v>4486172.625</v>
      </c>
      <c r="AE97" s="205"/>
    </row>
    <row r="98" spans="1:31" x14ac:dyDescent="0.25">
      <c r="A98">
        <v>97</v>
      </c>
      <c r="B98" t="s">
        <v>448</v>
      </c>
      <c r="C98" t="s">
        <v>453</v>
      </c>
      <c r="D98" s="143">
        <f>SUMIFS(FACILITIES!E:E,FACILITIES!$B:$B,B98)</f>
        <v>0</v>
      </c>
      <c r="E98" s="143">
        <f>SUMIFS(FACILITIES!F:F,FACILITIES!$B:$B,$B98)</f>
        <v>0</v>
      </c>
      <c r="F98" s="143">
        <f>SUMIFS(FACILITIES!G:G,FACILITIES!$B:$B,B98)</f>
        <v>0</v>
      </c>
      <c r="G98" s="143">
        <f>SUMIFS(FACILITIES!H:H,FACILITIES!$B:$B,B98)</f>
        <v>0</v>
      </c>
      <c r="H98" s="143">
        <f>SUMIFS(FACILITIES!I:I,FACILITIES!$B:$B,B98)</f>
        <v>0</v>
      </c>
      <c r="I98" s="143">
        <f>SUMIFS(FACILITIES!J:J,FACILITIES!$B:$B,B98)</f>
        <v>0</v>
      </c>
      <c r="J98" s="143">
        <f>SUMIFS(FACILITIES!K:K,FACILITIES!$B:$B,B98)</f>
        <v>0</v>
      </c>
      <c r="K98" s="143">
        <f>SUMIFS(FACILITIES!L:L,FACILITIES!$B:$B,B98)</f>
        <v>0</v>
      </c>
      <c r="L98" s="143">
        <f>SUMIFS(FACILITIES!M:M,FACILITIES!$B:$B,B98)</f>
        <v>0</v>
      </c>
      <c r="M98" s="143">
        <f>SUMIFS(FACILITIES!N:N,FACILITIES!$B:$B,B98)</f>
        <v>0</v>
      </c>
      <c r="N98" s="143">
        <f>SUMIFS(FACILITIES!O:O,FACILITIES!$B:$B,B98)</f>
        <v>0</v>
      </c>
      <c r="O98" s="143">
        <f>SUMIFS(FACILITIES!P:P,FACILITIES!$B:$B,B98)</f>
        <v>0</v>
      </c>
      <c r="P98" s="143">
        <f>SUMIFS(FACILITIES!Q:Q,FACILITIES!$B:$B,B98)</f>
        <v>0</v>
      </c>
      <c r="Q98" s="143">
        <f>SUMIFS(FACILITIES!R:R,FACILITIES!$B:$B,B98)</f>
        <v>0</v>
      </c>
      <c r="R98" s="143">
        <f>SUMIFS(FACILITIES!T:T,FACILITIES!B:B,B98)</f>
        <v>0</v>
      </c>
      <c r="S98" s="143">
        <f>SUMIFS(FACILITIES!S:S,FACILITIES!B:B,B98)</f>
        <v>0</v>
      </c>
      <c r="T98" s="143">
        <f>SUMIFS('F &amp; B'!G:G,'F &amp; B'!B:B,B98)</f>
        <v>5425</v>
      </c>
      <c r="U98" s="207">
        <f t="shared" si="7"/>
        <v>813.75</v>
      </c>
      <c r="V98" s="143">
        <f>SUMIFS('FIXED AMOUNT'!G:G,'FIXED AMOUNT'!B:B,B98)</f>
        <v>7000</v>
      </c>
      <c r="W98" s="121">
        <f t="shared" ref="W98:W123" si="11">SUM(D98:V98)</f>
        <v>13238.75</v>
      </c>
      <c r="X98" s="121">
        <f>SUMIFS('FIXED AMOUNT'!E:E,'FIXED AMOUNT'!B:B,'data base '!B:B)</f>
        <v>0</v>
      </c>
      <c r="Y98" s="121">
        <f>SUMIFS('FIXED AMOUNT'!F:F,'FIXED AMOUNT'!B:B,'data base '!B:B)</f>
        <v>0</v>
      </c>
      <c r="Z98" s="121">
        <f>SUMIFS('FIXED AMOUNT'!V:V,'FIXED AMOUNT'!B:B,B:B)</f>
        <v>30600</v>
      </c>
      <c r="AA98" s="121">
        <f t="shared" si="8"/>
        <v>43838.75</v>
      </c>
      <c r="AB98" s="204">
        <f t="shared" si="9"/>
        <v>1323.875</v>
      </c>
      <c r="AC98" s="201">
        <v>45945</v>
      </c>
      <c r="AD98" s="121">
        <f t="shared" si="10"/>
        <v>45162.625</v>
      </c>
      <c r="AE98" s="205"/>
    </row>
    <row r="99" spans="1:31" x14ac:dyDescent="0.25">
      <c r="A99">
        <v>98</v>
      </c>
      <c r="B99" t="s">
        <v>342</v>
      </c>
      <c r="C99" t="s">
        <v>649</v>
      </c>
      <c r="D99" s="143">
        <f>SUMIFS(FACILITIES!E:E,FACILITIES!$B:$B,B99)</f>
        <v>0</v>
      </c>
      <c r="E99" s="143">
        <f>SUMIFS(FACILITIES!F:F,FACILITIES!$B:$B,$B99)</f>
        <v>0</v>
      </c>
      <c r="F99" s="143">
        <f>SUMIFS(FACILITIES!G:G,FACILITIES!$B:$B,B99)</f>
        <v>0</v>
      </c>
      <c r="G99" s="143">
        <f>SUMIFS(FACILITIES!H:H,FACILITIES!$B:$B,B99)</f>
        <v>0</v>
      </c>
      <c r="H99" s="143">
        <f>SUMIFS(FACILITIES!I:I,FACILITIES!$B:$B,B99)</f>
        <v>0</v>
      </c>
      <c r="I99" s="143">
        <f>SUMIFS(FACILITIES!J:J,FACILITIES!$B:$B,B99)</f>
        <v>0</v>
      </c>
      <c r="J99" s="143">
        <f>SUMIFS(FACILITIES!K:K,FACILITIES!$B:$B,B99)</f>
        <v>0</v>
      </c>
      <c r="K99" s="143">
        <f>SUMIFS(FACILITIES!L:L,FACILITIES!$B:$B,B99)</f>
        <v>0</v>
      </c>
      <c r="L99" s="143">
        <f>SUMIFS(FACILITIES!M:M,FACILITIES!$B:$B,B99)</f>
        <v>0</v>
      </c>
      <c r="M99" s="143">
        <f>SUMIFS(FACILITIES!N:N,FACILITIES!$B:$B,B99)</f>
        <v>0</v>
      </c>
      <c r="N99" s="143">
        <f>SUMIFS(FACILITIES!O:O,FACILITIES!$B:$B,B99)</f>
        <v>0</v>
      </c>
      <c r="O99" s="143">
        <f>SUMIFS(FACILITIES!P:P,FACILITIES!$B:$B,B99)</f>
        <v>0</v>
      </c>
      <c r="P99" s="143">
        <f>SUMIFS(FACILITIES!Q:Q,FACILITIES!$B:$B,B99)</f>
        <v>0</v>
      </c>
      <c r="Q99" s="143">
        <f>SUMIFS(FACILITIES!R:R,FACILITIES!$B:$B,B99)</f>
        <v>0</v>
      </c>
      <c r="R99" s="143">
        <f>SUMIFS(FACILITIES!T:T,FACILITIES!B:B,B99)</f>
        <v>0</v>
      </c>
      <c r="S99" s="143">
        <f>SUMIFS(FACILITIES!S:S,FACILITIES!B:B,B99)</f>
        <v>0</v>
      </c>
      <c r="T99" s="143">
        <f>SUMIFS('F &amp; B'!G:G,'F &amp; B'!B:B,B99)</f>
        <v>35550</v>
      </c>
      <c r="U99" s="207">
        <f t="shared" si="7"/>
        <v>5332.5</v>
      </c>
      <c r="V99" s="143">
        <f>SUMIFS('FIXED AMOUNT'!G:G,'FIXED AMOUNT'!B:B,B99)</f>
        <v>7000</v>
      </c>
      <c r="W99" s="121">
        <f t="shared" si="11"/>
        <v>47882.5</v>
      </c>
      <c r="X99" s="121">
        <f>SUMIFS('FIXED AMOUNT'!E:E,'FIXED AMOUNT'!B:B,'data base '!B:B)</f>
        <v>0</v>
      </c>
      <c r="Y99" s="121">
        <f>SUMIFS('FIXED AMOUNT'!F:F,'FIXED AMOUNT'!B:B,'data base '!B:B)</f>
        <v>0</v>
      </c>
      <c r="Z99" s="121">
        <f>SUMIFS('FIXED AMOUNT'!V:V,'FIXED AMOUNT'!B:B,B:B)</f>
        <v>0</v>
      </c>
      <c r="AA99" s="121">
        <f t="shared" si="8"/>
        <v>47882.5</v>
      </c>
      <c r="AB99" s="204">
        <f t="shared" si="9"/>
        <v>4788.25</v>
      </c>
      <c r="AC99" s="201">
        <v>45945</v>
      </c>
      <c r="AD99" s="121">
        <f t="shared" si="10"/>
        <v>52670.75</v>
      </c>
      <c r="AE99" s="205"/>
    </row>
    <row r="100" spans="1:31" x14ac:dyDescent="0.25">
      <c r="A100">
        <v>99</v>
      </c>
      <c r="B100" t="s">
        <v>650</v>
      </c>
      <c r="C100" t="s">
        <v>651</v>
      </c>
      <c r="D100" s="143">
        <f>SUMIFS(FACILITIES!E:E,FACILITIES!$B:$B,B100)</f>
        <v>0</v>
      </c>
      <c r="E100" s="143">
        <f>SUMIFS(FACILITIES!F:F,FACILITIES!$B:$B,$B100)</f>
        <v>4200</v>
      </c>
      <c r="F100" s="143">
        <f>SUMIFS(FACILITIES!G:G,FACILITIES!$B:$B,B100)</f>
        <v>0</v>
      </c>
      <c r="G100" s="143">
        <f>SUMIFS(FACILITIES!H:H,FACILITIES!$B:$B,B100)</f>
        <v>0</v>
      </c>
      <c r="H100" s="143">
        <f>SUMIFS(FACILITIES!I:I,FACILITIES!$B:$B,B100)</f>
        <v>0</v>
      </c>
      <c r="I100" s="143">
        <f>SUMIFS(FACILITIES!J:J,FACILITIES!$B:$B,B100)</f>
        <v>300</v>
      </c>
      <c r="J100" s="143">
        <f>SUMIFS(FACILITIES!K:K,FACILITIES!$B:$B,B100)</f>
        <v>0</v>
      </c>
      <c r="K100" s="143">
        <f>SUMIFS(FACILITIES!L:L,FACILITIES!$B:$B,B100)</f>
        <v>0</v>
      </c>
      <c r="L100" s="143">
        <f>SUMIFS(FACILITIES!M:M,FACILITIES!$B:$B,B100)</f>
        <v>0</v>
      </c>
      <c r="M100" s="143">
        <f>SUMIFS(FACILITIES!N:N,FACILITIES!$B:$B,B100)</f>
        <v>0</v>
      </c>
      <c r="N100" s="143">
        <f>SUMIFS(FACILITIES!O:O,FACILITIES!$B:$B,B100)</f>
        <v>6000</v>
      </c>
      <c r="O100" s="143">
        <f>SUMIFS(FACILITIES!P:P,FACILITIES!$B:$B,B100)</f>
        <v>2500</v>
      </c>
      <c r="P100" s="143">
        <f>SUMIFS(FACILITIES!Q:Q,FACILITIES!$B:$B,B100)</f>
        <v>0</v>
      </c>
      <c r="Q100" s="143">
        <f>SUMIFS(FACILITIES!R:R,FACILITIES!$B:$B,B100)</f>
        <v>0</v>
      </c>
      <c r="R100" s="143">
        <f>SUMIFS(FACILITIES!T:T,FACILITIES!B:B,B100)</f>
        <v>0</v>
      </c>
      <c r="S100" s="143">
        <f>SUMIFS(FACILITIES!S:S,FACILITIES!B:B,B100)</f>
        <v>0</v>
      </c>
      <c r="T100" s="143">
        <f>SUMIFS('F &amp; B'!G:G,'F &amp; B'!B:B,B100)</f>
        <v>37349</v>
      </c>
      <c r="U100" s="207">
        <f t="shared" si="7"/>
        <v>5602.3499999999995</v>
      </c>
      <c r="V100" s="143">
        <f>SUMIFS('FIXED AMOUNT'!G:G,'FIXED AMOUNT'!B:B,B100)</f>
        <v>7000</v>
      </c>
      <c r="W100" s="121">
        <f t="shared" si="11"/>
        <v>62951.35</v>
      </c>
      <c r="X100" s="121">
        <f>SUMIFS('FIXED AMOUNT'!E:E,'FIXED AMOUNT'!B:B,'data base '!B:B)</f>
        <v>0</v>
      </c>
      <c r="Y100" s="121">
        <f>SUMIFS('FIXED AMOUNT'!F:F,'FIXED AMOUNT'!B:B,'data base '!B:B)</f>
        <v>0</v>
      </c>
      <c r="Z100" s="121">
        <f>SUMIFS('FIXED AMOUNT'!V:V,'FIXED AMOUNT'!B:B,B:B)</f>
        <v>0</v>
      </c>
      <c r="AA100" s="121">
        <f t="shared" si="8"/>
        <v>62951.35</v>
      </c>
      <c r="AB100" s="204">
        <f t="shared" si="9"/>
        <v>6295.1350000000002</v>
      </c>
      <c r="AC100" s="201">
        <v>45945</v>
      </c>
      <c r="AD100" s="121">
        <f t="shared" si="10"/>
        <v>69246.485000000001</v>
      </c>
      <c r="AE100" s="205"/>
    </row>
    <row r="101" spans="1:31" x14ac:dyDescent="0.25">
      <c r="A101">
        <v>100</v>
      </c>
      <c r="B101" t="s">
        <v>648</v>
      </c>
      <c r="C101" t="s">
        <v>652</v>
      </c>
      <c r="D101" s="143">
        <f>SUMIFS(FACILITIES!E:E,FACILITIES!$B:$B,B101)</f>
        <v>0</v>
      </c>
      <c r="E101" s="143">
        <f>SUMIFS(FACILITIES!F:F,FACILITIES!$B:$B,$B101)</f>
        <v>0</v>
      </c>
      <c r="F101" s="143">
        <f>SUMIFS(FACILITIES!G:G,FACILITIES!$B:$B,B101)</f>
        <v>0</v>
      </c>
      <c r="G101" s="143">
        <f>SUMIFS(FACILITIES!H:H,FACILITIES!$B:$B,B101)</f>
        <v>0</v>
      </c>
      <c r="H101" s="143">
        <f>SUMIFS(FACILITIES!I:I,FACILITIES!$B:$B,B101)</f>
        <v>0</v>
      </c>
      <c r="I101" s="143">
        <f>SUMIFS(FACILITIES!J:J,FACILITIES!$B:$B,B101)</f>
        <v>0</v>
      </c>
      <c r="J101" s="143">
        <f>SUMIFS(FACILITIES!K:K,FACILITIES!$B:$B,B101)</f>
        <v>0</v>
      </c>
      <c r="K101" s="143">
        <f>SUMIFS(FACILITIES!L:L,FACILITIES!$B:$B,B101)</f>
        <v>0</v>
      </c>
      <c r="L101" s="143">
        <f>SUMIFS(FACILITIES!M:M,FACILITIES!$B:$B,B101)</f>
        <v>0</v>
      </c>
      <c r="M101" s="143">
        <f>SUMIFS(FACILITIES!N:N,FACILITIES!$B:$B,B101)</f>
        <v>0</v>
      </c>
      <c r="N101" s="143">
        <f>SUMIFS(FACILITIES!O:O,FACILITIES!$B:$B,B101)</f>
        <v>0</v>
      </c>
      <c r="O101" s="143">
        <f>SUMIFS(FACILITIES!P:P,FACILITIES!$B:$B,B101)</f>
        <v>0</v>
      </c>
      <c r="P101" s="143">
        <f>SUMIFS(FACILITIES!Q:Q,FACILITIES!$B:$B,B101)</f>
        <v>0</v>
      </c>
      <c r="Q101" s="143">
        <f>SUMIFS(FACILITIES!R:R,FACILITIES!$B:$B,B101)</f>
        <v>0</v>
      </c>
      <c r="R101" s="143">
        <f>SUMIFS(FACILITIES!T:T,FACILITIES!B:B,B101)</f>
        <v>0</v>
      </c>
      <c r="S101" s="143">
        <f>SUMIFS(FACILITIES!S:S,FACILITIES!B:B,B101)</f>
        <v>0</v>
      </c>
      <c r="T101" s="143">
        <f>SUMIFS('F &amp; B'!G:G,'F &amp; B'!B:B,B101)</f>
        <v>0</v>
      </c>
      <c r="U101" s="207">
        <f t="shared" si="7"/>
        <v>0</v>
      </c>
      <c r="V101" s="143">
        <f>SUMIFS('FIXED AMOUNT'!G:G,'FIXED AMOUNT'!B:B,B101)</f>
        <v>7000</v>
      </c>
      <c r="W101" s="121">
        <f t="shared" si="11"/>
        <v>7000</v>
      </c>
      <c r="X101" s="121">
        <f>SUMIFS('FIXED AMOUNT'!E:E,'FIXED AMOUNT'!B:B,'data base '!B:B)</f>
        <v>0</v>
      </c>
      <c r="Y101" s="121">
        <f>SUMIFS('FIXED AMOUNT'!F:F,'FIXED AMOUNT'!B:B,'data base '!B:B)</f>
        <v>0</v>
      </c>
      <c r="Z101" s="121">
        <f>SUMIFS('FIXED AMOUNT'!V:V,'FIXED AMOUNT'!B:B,B:B)</f>
        <v>0</v>
      </c>
      <c r="AA101" s="121">
        <f t="shared" si="8"/>
        <v>7000</v>
      </c>
      <c r="AB101" s="204">
        <f t="shared" si="9"/>
        <v>700</v>
      </c>
      <c r="AC101" s="201">
        <v>45945</v>
      </c>
      <c r="AD101" s="121">
        <f t="shared" si="10"/>
        <v>7700</v>
      </c>
      <c r="AE101" s="205"/>
    </row>
    <row r="102" spans="1:31" x14ac:dyDescent="0.25">
      <c r="A102">
        <v>101</v>
      </c>
      <c r="B102" t="s">
        <v>753</v>
      </c>
      <c r="C102" t="s">
        <v>754</v>
      </c>
      <c r="D102" s="143">
        <f>SUMIFS(FACILITIES!E:E,FACILITIES!$B:$B,B102)</f>
        <v>0</v>
      </c>
      <c r="E102" s="143">
        <f>SUMIFS(FACILITIES!F:F,FACILITIES!$B:$B,$B102)</f>
        <v>0</v>
      </c>
      <c r="F102" s="143">
        <f>SUMIFS(FACILITIES!G:G,FACILITIES!$B:$B,B102)</f>
        <v>0</v>
      </c>
      <c r="G102" s="143">
        <f>SUMIFS(FACILITIES!H:H,FACILITIES!$B:$B,B102)</f>
        <v>0</v>
      </c>
      <c r="H102" s="143">
        <f>SUMIFS(FACILITIES!I:I,FACILITIES!$B:$B,B102)</f>
        <v>0</v>
      </c>
      <c r="I102" s="143">
        <f>SUMIFS(FACILITIES!J:J,FACILITIES!$B:$B,B102)</f>
        <v>0</v>
      </c>
      <c r="J102" s="143">
        <f>SUMIFS(FACILITIES!K:K,FACILITIES!$B:$B,B102)</f>
        <v>0</v>
      </c>
      <c r="K102" s="143">
        <f>SUMIFS(FACILITIES!L:L,FACILITIES!$B:$B,B102)</f>
        <v>0</v>
      </c>
      <c r="L102" s="143">
        <f>SUMIFS(FACILITIES!M:M,FACILITIES!$B:$B,B102)</f>
        <v>0</v>
      </c>
      <c r="M102" s="143">
        <f>SUMIFS(FACILITIES!N:N,FACILITIES!$B:$B,B102)</f>
        <v>0</v>
      </c>
      <c r="N102" s="143">
        <f>SUMIFS(FACILITIES!O:O,FACILITIES!$B:$B,B102)</f>
        <v>0</v>
      </c>
      <c r="O102" s="143">
        <f>SUMIFS(FACILITIES!P:P,FACILITIES!$B:$B,B102)</f>
        <v>0</v>
      </c>
      <c r="P102" s="143">
        <f>SUMIFS(FACILITIES!Q:Q,FACILITIES!$B:$B,B102)</f>
        <v>0</v>
      </c>
      <c r="Q102" s="143">
        <f>SUMIFS(FACILITIES!R:R,FACILITIES!$B:$B,B102)</f>
        <v>0</v>
      </c>
      <c r="R102" s="143">
        <f>SUMIFS(FACILITIES!T:T,FACILITIES!B:B,B102)</f>
        <v>0</v>
      </c>
      <c r="S102" s="143">
        <f>SUMIFS(FACILITIES!S:S,FACILITIES!B:B,B102)</f>
        <v>0</v>
      </c>
      <c r="T102" s="143">
        <f>SUMIFS('F &amp; B'!G:G,'F &amp; B'!B:B,B102)</f>
        <v>0</v>
      </c>
      <c r="U102" s="207">
        <f t="shared" si="7"/>
        <v>0</v>
      </c>
      <c r="V102" s="143">
        <f>SUMIFS('FIXED AMOUNT'!G:G,'FIXED AMOUNT'!B:B,B102)</f>
        <v>7000</v>
      </c>
      <c r="W102" s="121">
        <f t="shared" si="11"/>
        <v>7000</v>
      </c>
      <c r="X102" s="121">
        <f>SUMIFS('FIXED AMOUNT'!E:E,'FIXED AMOUNT'!B:B,'data base '!B:B)</f>
        <v>0</v>
      </c>
      <c r="Y102" s="121">
        <f>SUMIFS('FIXED AMOUNT'!F:F,'FIXED AMOUNT'!B:B,'data base '!B:B)</f>
        <v>0</v>
      </c>
      <c r="Z102" s="121">
        <f>SUMIFS('FIXED AMOUNT'!V:V,'FIXED AMOUNT'!B:B,B:B)</f>
        <v>0</v>
      </c>
      <c r="AA102" s="121">
        <f t="shared" si="8"/>
        <v>7000</v>
      </c>
      <c r="AB102" s="204">
        <f t="shared" si="9"/>
        <v>700</v>
      </c>
      <c r="AC102" s="201">
        <v>45945</v>
      </c>
      <c r="AD102" s="121">
        <f t="shared" si="10"/>
        <v>7700</v>
      </c>
      <c r="AE102" s="205"/>
    </row>
    <row r="103" spans="1:31" x14ac:dyDescent="0.25">
      <c r="A103">
        <v>102</v>
      </c>
      <c r="B103" t="s">
        <v>761</v>
      </c>
      <c r="C103" t="s">
        <v>763</v>
      </c>
      <c r="D103" s="143">
        <f>SUMIFS(FACILITIES!E:E,FACILITIES!$B:$B,B103)</f>
        <v>0</v>
      </c>
      <c r="E103" s="143">
        <f>SUMIFS(FACILITIES!F:F,FACILITIES!$B:$B,$B103)</f>
        <v>300</v>
      </c>
      <c r="F103" s="143">
        <f>SUMIFS(FACILITIES!G:G,FACILITIES!$B:$B,B103)</f>
        <v>0</v>
      </c>
      <c r="G103" s="143">
        <f>SUMIFS(FACILITIES!H:H,FACILITIES!$B:$B,B103)</f>
        <v>0</v>
      </c>
      <c r="H103" s="143">
        <f>SUMIFS(FACILITIES!I:I,FACILITIES!$B:$B,B103)</f>
        <v>0</v>
      </c>
      <c r="I103" s="143">
        <f>SUMIFS(FACILITIES!J:J,FACILITIES!$B:$B,B103)</f>
        <v>0</v>
      </c>
      <c r="J103" s="143">
        <f>SUMIFS(FACILITIES!K:K,FACILITIES!$B:$B,B103)</f>
        <v>0</v>
      </c>
      <c r="K103" s="143">
        <f>SUMIFS(FACILITIES!L:L,FACILITIES!$B:$B,B103)</f>
        <v>0</v>
      </c>
      <c r="L103" s="143">
        <f>SUMIFS(FACILITIES!M:M,FACILITIES!$B:$B,B103)</f>
        <v>0</v>
      </c>
      <c r="M103" s="143">
        <f>SUMIFS(FACILITIES!N:N,FACILITIES!$B:$B,B103)</f>
        <v>0</v>
      </c>
      <c r="N103" s="143">
        <f>SUMIFS(FACILITIES!O:O,FACILITIES!$B:$B,B103)</f>
        <v>0</v>
      </c>
      <c r="O103" s="143">
        <f>SUMIFS(FACILITIES!P:P,FACILITIES!$B:$B,B103)</f>
        <v>0</v>
      </c>
      <c r="P103" s="143">
        <f>SUMIFS(FACILITIES!Q:Q,FACILITIES!$B:$B,B103)</f>
        <v>0</v>
      </c>
      <c r="Q103" s="143">
        <f>SUMIFS(FACILITIES!R:R,FACILITIES!$B:$B,B103)</f>
        <v>0</v>
      </c>
      <c r="R103" s="143">
        <f>SUMIFS(FACILITIES!T:T,FACILITIES!B:B,B103)</f>
        <v>0</v>
      </c>
      <c r="S103" s="143">
        <f>SUMIFS(FACILITIES!S:S,FACILITIES!B:B,B103)</f>
        <v>0</v>
      </c>
      <c r="T103" s="143">
        <f>SUMIFS('F &amp; B'!G:G,'F &amp; B'!B:B,B103)</f>
        <v>8949</v>
      </c>
      <c r="U103" s="207">
        <f t="shared" si="7"/>
        <v>1342.35</v>
      </c>
      <c r="V103" s="143">
        <f>SUMIFS('FIXED AMOUNT'!G:G,'FIXED AMOUNT'!B:B,B103)</f>
        <v>7000</v>
      </c>
      <c r="W103" s="121">
        <f t="shared" si="11"/>
        <v>17591.349999999999</v>
      </c>
      <c r="X103" s="121">
        <f>SUMIFS('FIXED AMOUNT'!E:E,'FIXED AMOUNT'!B:B,'data base '!B:B)</f>
        <v>0</v>
      </c>
      <c r="Y103" s="121">
        <f>SUMIFS('FIXED AMOUNT'!F:F,'FIXED AMOUNT'!B:B,'data base '!B:B)</f>
        <v>0</v>
      </c>
      <c r="Z103" s="121">
        <f>SUMIFS('FIXED AMOUNT'!V:V,'FIXED AMOUNT'!B:B,B:B)</f>
        <v>0</v>
      </c>
      <c r="AA103" s="121">
        <f t="shared" si="8"/>
        <v>17591.349999999999</v>
      </c>
      <c r="AB103" s="204">
        <f t="shared" si="9"/>
        <v>1759.135</v>
      </c>
      <c r="AC103" s="201">
        <v>45945</v>
      </c>
      <c r="AD103" s="121">
        <f t="shared" si="10"/>
        <v>19350.484999999997</v>
      </c>
      <c r="AE103" s="205"/>
    </row>
    <row r="104" spans="1:31" x14ac:dyDescent="0.25">
      <c r="A104">
        <v>103</v>
      </c>
      <c r="B104" t="s">
        <v>762</v>
      </c>
      <c r="C104" t="s">
        <v>764</v>
      </c>
      <c r="D104" s="143">
        <f>SUMIFS(FACILITIES!E:E,FACILITIES!$B:$B,B104)</f>
        <v>0</v>
      </c>
      <c r="E104" s="143">
        <f>SUMIFS(FACILITIES!F:F,FACILITIES!$B:$B,$B104)</f>
        <v>0</v>
      </c>
      <c r="F104" s="143">
        <f>SUMIFS(FACILITIES!G:G,FACILITIES!$B:$B,B104)</f>
        <v>0</v>
      </c>
      <c r="G104" s="143">
        <f>SUMIFS(FACILITIES!H:H,FACILITIES!$B:$B,B104)</f>
        <v>0</v>
      </c>
      <c r="H104" s="143">
        <f>SUMIFS(FACILITIES!I:I,FACILITIES!$B:$B,B104)</f>
        <v>0</v>
      </c>
      <c r="I104" s="143">
        <f>SUMIFS(FACILITIES!J:J,FACILITIES!$B:$B,B104)</f>
        <v>1300</v>
      </c>
      <c r="J104" s="143">
        <f>SUMIFS(FACILITIES!K:K,FACILITIES!$B:$B,B104)</f>
        <v>0</v>
      </c>
      <c r="K104" s="143">
        <f>SUMIFS(FACILITIES!L:L,FACILITIES!$B:$B,B104)</f>
        <v>0</v>
      </c>
      <c r="L104" s="143">
        <f>SUMIFS(FACILITIES!M:M,FACILITIES!$B:$B,B104)</f>
        <v>0</v>
      </c>
      <c r="M104" s="143">
        <f>SUMIFS(FACILITIES!N:N,FACILITIES!$B:$B,B104)</f>
        <v>0</v>
      </c>
      <c r="N104" s="143">
        <f>SUMIFS(FACILITIES!O:O,FACILITIES!$B:$B,B104)</f>
        <v>0</v>
      </c>
      <c r="O104" s="143">
        <f>SUMIFS(FACILITIES!P:P,FACILITIES!$B:$B,B104)</f>
        <v>0</v>
      </c>
      <c r="P104" s="143">
        <f>SUMIFS(FACILITIES!Q:Q,FACILITIES!$B:$B,B104)</f>
        <v>0</v>
      </c>
      <c r="Q104" s="143">
        <f>SUMIFS(FACILITIES!R:R,FACILITIES!$B:$B,B104)</f>
        <v>0</v>
      </c>
      <c r="R104" s="143">
        <f>SUMIFS(FACILITIES!T:T,FACILITIES!B:B,B104)</f>
        <v>0</v>
      </c>
      <c r="S104" s="143">
        <f>SUMIFS(FACILITIES!S:S,FACILITIES!B:B,B104)</f>
        <v>0</v>
      </c>
      <c r="T104" s="143">
        <f>SUMIFS('F &amp; B'!G:G,'F &amp; B'!B:B,B104)</f>
        <v>26400</v>
      </c>
      <c r="U104" s="207">
        <f t="shared" si="7"/>
        <v>3960</v>
      </c>
      <c r="V104" s="143">
        <f>SUMIFS('FIXED AMOUNT'!G:G,'FIXED AMOUNT'!B:B,B104)</f>
        <v>7000</v>
      </c>
      <c r="W104" s="121">
        <f t="shared" si="11"/>
        <v>38660</v>
      </c>
      <c r="X104" s="121">
        <f>SUMIFS('FIXED AMOUNT'!E:E,'FIXED AMOUNT'!B:B,'data base '!B:B)</f>
        <v>0</v>
      </c>
      <c r="Y104" s="121">
        <f>SUMIFS('FIXED AMOUNT'!F:F,'FIXED AMOUNT'!B:B,'data base '!B:B)</f>
        <v>0</v>
      </c>
      <c r="Z104" s="121">
        <f>SUMIFS('FIXED AMOUNT'!V:V,'FIXED AMOUNT'!B:B,B:B)</f>
        <v>0</v>
      </c>
      <c r="AA104" s="121">
        <f t="shared" si="8"/>
        <v>38660</v>
      </c>
      <c r="AB104" s="204">
        <f t="shared" si="9"/>
        <v>3866</v>
      </c>
      <c r="AC104" s="201">
        <v>45945</v>
      </c>
      <c r="AD104" s="121">
        <f t="shared" si="10"/>
        <v>42526</v>
      </c>
      <c r="AE104" s="205"/>
    </row>
    <row r="105" spans="1:31" x14ac:dyDescent="0.25">
      <c r="A105">
        <v>104</v>
      </c>
      <c r="B105" t="s">
        <v>947</v>
      </c>
      <c r="C105" t="s">
        <v>949</v>
      </c>
      <c r="D105" s="143">
        <f>SUMIFS(FACILITIES!E:E,FACILITIES!$B:$B,B105)</f>
        <v>7200</v>
      </c>
      <c r="E105" s="143">
        <f>SUMIFS(FACILITIES!F:F,FACILITIES!$B:$B,$B105)</f>
        <v>0</v>
      </c>
      <c r="F105" s="143">
        <f>SUMIFS(FACILITIES!G:G,FACILITIES!$B:$B,B105)</f>
        <v>1200</v>
      </c>
      <c r="G105" s="143">
        <f>SUMIFS(FACILITIES!H:H,FACILITIES!$B:$B,B105)</f>
        <v>3600</v>
      </c>
      <c r="H105" s="143">
        <f>SUMIFS(FACILITIES!I:I,FACILITIES!$B:$B,B105)</f>
        <v>0</v>
      </c>
      <c r="I105" s="143">
        <f>SUMIFS(FACILITIES!J:J,FACILITIES!$B:$B,B105)</f>
        <v>3100</v>
      </c>
      <c r="J105" s="143">
        <f>SUMIFS(FACILITIES!K:K,FACILITIES!$B:$B,B105)</f>
        <v>0</v>
      </c>
      <c r="K105" s="143">
        <f>SUMIFS(FACILITIES!L:L,FACILITIES!$B:$B,B105)</f>
        <v>0</v>
      </c>
      <c r="L105" s="143">
        <f>SUMIFS(FACILITIES!M:M,FACILITIES!$B:$B,B105)</f>
        <v>200</v>
      </c>
      <c r="M105" s="143">
        <f>SUMIFS(FACILITIES!N:N,FACILITIES!$B:$B,B105)</f>
        <v>0</v>
      </c>
      <c r="N105" s="143">
        <f>SUMIFS(FACILITIES!O:O,FACILITIES!$B:$B,B105)</f>
        <v>11000</v>
      </c>
      <c r="O105" s="143">
        <f>SUMIFS(FACILITIES!P:P,FACILITIES!$B:$B,B105)</f>
        <v>0</v>
      </c>
      <c r="P105" s="143">
        <f>SUMIFS(FACILITIES!Q:Q,FACILITIES!$B:$B,B105)</f>
        <v>0</v>
      </c>
      <c r="Q105" s="143">
        <f>SUMIFS(FACILITIES!R:R,FACILITIES!$B:$B,B105)</f>
        <v>0</v>
      </c>
      <c r="R105" s="143">
        <f>SUMIFS(FACILITIES!T:T,FACILITIES!B:B,B105)</f>
        <v>0</v>
      </c>
      <c r="S105" s="143">
        <f>SUMIFS(FACILITIES!S:S,FACILITIES!B:B,B105)</f>
        <v>0</v>
      </c>
      <c r="T105" s="143">
        <f>SUMIFS('F &amp; B'!G:G,'F &amp; B'!B:B,B105)</f>
        <v>63250</v>
      </c>
      <c r="U105" s="207">
        <f t="shared" si="7"/>
        <v>9487.5</v>
      </c>
      <c r="V105" s="143">
        <f>SUMIFS('FIXED AMOUNT'!G:G,'FIXED AMOUNT'!B:B,B105)</f>
        <v>7000</v>
      </c>
      <c r="W105" s="121">
        <f t="shared" si="11"/>
        <v>106037.5</v>
      </c>
      <c r="X105" s="121">
        <f>SUMIFS('FIXED AMOUNT'!E:E,'FIXED AMOUNT'!B:B,'data base '!B:B)</f>
        <v>0</v>
      </c>
      <c r="Y105" s="121">
        <f>SUMIFS('FIXED AMOUNT'!F:F,'FIXED AMOUNT'!B:B,'data base '!B:B)</f>
        <v>0</v>
      </c>
      <c r="Z105" s="121">
        <f>SUMIFS('FIXED AMOUNT'!V:V,'FIXED AMOUNT'!B:B,B:B)</f>
        <v>0</v>
      </c>
      <c r="AA105" s="121">
        <f t="shared" si="8"/>
        <v>106037.5</v>
      </c>
      <c r="AB105" s="204">
        <f t="shared" si="9"/>
        <v>10603.75</v>
      </c>
      <c r="AC105" s="201">
        <v>45945</v>
      </c>
      <c r="AD105" s="121">
        <f t="shared" si="10"/>
        <v>116641.25</v>
      </c>
      <c r="AE105" s="205"/>
    </row>
    <row r="106" spans="1:31" x14ac:dyDescent="0.25">
      <c r="A106">
        <v>105</v>
      </c>
      <c r="B106" t="s">
        <v>948</v>
      </c>
      <c r="C106" t="s">
        <v>950</v>
      </c>
      <c r="D106" s="143">
        <f>SUMIFS(FACILITIES!E:E,FACILITIES!$B:$B,B106)</f>
        <v>2400</v>
      </c>
      <c r="E106" s="143">
        <f>SUMIFS(FACILITIES!F:F,FACILITIES!$B:$B,$B106)</f>
        <v>150</v>
      </c>
      <c r="F106" s="143">
        <f>SUMIFS(FACILITIES!G:G,FACILITIES!$B:$B,B106)</f>
        <v>0</v>
      </c>
      <c r="G106" s="143">
        <f>SUMIFS(FACILITIES!H:H,FACILITIES!$B:$B,B106)</f>
        <v>0</v>
      </c>
      <c r="H106" s="143">
        <f>SUMIFS(FACILITIES!I:I,FACILITIES!$B:$B,B106)</f>
        <v>0</v>
      </c>
      <c r="I106" s="143">
        <f>SUMIFS(FACILITIES!J:J,FACILITIES!$B:$B,B106)</f>
        <v>1500</v>
      </c>
      <c r="J106" s="143">
        <f>SUMIFS(FACILITIES!K:K,FACILITIES!$B:$B,B106)</f>
        <v>900</v>
      </c>
      <c r="K106" s="143">
        <f>SUMIFS(FACILITIES!L:L,FACILITIES!$B:$B,B106)</f>
        <v>0</v>
      </c>
      <c r="L106" s="143">
        <f>SUMIFS(FACILITIES!M:M,FACILITIES!$B:$B,B106)</f>
        <v>0</v>
      </c>
      <c r="M106" s="143">
        <f>SUMIFS(FACILITIES!N:N,FACILITIES!$B:$B,B106)</f>
        <v>0</v>
      </c>
      <c r="N106" s="143">
        <f>SUMIFS(FACILITIES!O:O,FACILITIES!$B:$B,B106)</f>
        <v>0</v>
      </c>
      <c r="O106" s="143">
        <f>SUMIFS(FACILITIES!P:P,FACILITIES!$B:$B,B106)</f>
        <v>0</v>
      </c>
      <c r="P106" s="143">
        <f>SUMIFS(FACILITIES!Q:Q,FACILITIES!$B:$B,B106)</f>
        <v>0</v>
      </c>
      <c r="Q106" s="143">
        <f>SUMIFS(FACILITIES!R:R,FACILITIES!$B:$B,B106)</f>
        <v>0</v>
      </c>
      <c r="R106" s="143">
        <f>SUMIFS(FACILITIES!T:T,FACILITIES!B:B,B106)</f>
        <v>0</v>
      </c>
      <c r="S106" s="143">
        <f>SUMIFS(FACILITIES!S:S,FACILITIES!B:B,B106)</f>
        <v>0</v>
      </c>
      <c r="T106" s="143">
        <f>SUMIFS('F &amp; B'!G:G,'F &amp; B'!B:B,B106)</f>
        <v>17379</v>
      </c>
      <c r="U106" s="207">
        <f t="shared" si="7"/>
        <v>2606.85</v>
      </c>
      <c r="V106" s="143">
        <f>SUMIFS('FIXED AMOUNT'!G:G,'FIXED AMOUNT'!B:B,B106)</f>
        <v>7000</v>
      </c>
      <c r="W106" s="121">
        <f t="shared" si="11"/>
        <v>31935.85</v>
      </c>
      <c r="X106" s="121">
        <f>SUMIFS('FIXED AMOUNT'!E:E,'FIXED AMOUNT'!B:B,'data base '!B:B)</f>
        <v>0</v>
      </c>
      <c r="Y106" s="121">
        <f>SUMIFS('FIXED AMOUNT'!F:F,'FIXED AMOUNT'!B:B,'data base '!B:B)</f>
        <v>0</v>
      </c>
      <c r="Z106" s="121">
        <f>SUMIFS('FIXED AMOUNT'!V:V,'FIXED AMOUNT'!B:B,B:B)</f>
        <v>22606</v>
      </c>
      <c r="AA106" s="121">
        <f t="shared" si="8"/>
        <v>54541.85</v>
      </c>
      <c r="AB106" s="204">
        <f t="shared" si="9"/>
        <v>3193.585</v>
      </c>
      <c r="AC106" s="201">
        <v>45945</v>
      </c>
      <c r="AD106" s="121">
        <f t="shared" si="10"/>
        <v>57735.434999999998</v>
      </c>
      <c r="AE106" s="205"/>
    </row>
    <row r="107" spans="1:31" x14ac:dyDescent="0.25">
      <c r="A107">
        <v>106</v>
      </c>
      <c r="B107" t="s">
        <v>952</v>
      </c>
      <c r="C107" t="s">
        <v>953</v>
      </c>
      <c r="D107" s="143">
        <f>SUMIFS(FACILITIES!E:E,FACILITIES!$B:$B,B107)</f>
        <v>0</v>
      </c>
      <c r="E107" s="143">
        <f>SUMIFS(FACILITIES!F:F,FACILITIES!$B:$B,$B107)</f>
        <v>0</v>
      </c>
      <c r="F107" s="143">
        <f>SUMIFS(FACILITIES!G:G,FACILITIES!$B:$B,B107)</f>
        <v>0</v>
      </c>
      <c r="G107" s="143">
        <f>SUMIFS(FACILITIES!H:H,FACILITIES!$B:$B,B107)</f>
        <v>0</v>
      </c>
      <c r="H107" s="143">
        <f>SUMIFS(FACILITIES!I:I,FACILITIES!$B:$B,B107)</f>
        <v>0</v>
      </c>
      <c r="I107" s="143">
        <f>SUMIFS(FACILITIES!J:J,FACILITIES!$B:$B,B107)</f>
        <v>0</v>
      </c>
      <c r="J107" s="143">
        <f>SUMIFS(FACILITIES!K:K,FACILITIES!$B:$B,B107)</f>
        <v>0</v>
      </c>
      <c r="K107" s="143">
        <f>SUMIFS(FACILITIES!L:L,FACILITIES!$B:$B,B107)</f>
        <v>0</v>
      </c>
      <c r="L107" s="143">
        <f>SUMIFS(FACILITIES!M:M,FACILITIES!$B:$B,B107)</f>
        <v>0</v>
      </c>
      <c r="M107" s="143">
        <f>SUMIFS(FACILITIES!N:N,FACILITIES!$B:$B,B107)</f>
        <v>0</v>
      </c>
      <c r="N107" s="143">
        <f>SUMIFS(FACILITIES!O:O,FACILITIES!$B:$B,B107)</f>
        <v>0</v>
      </c>
      <c r="O107" s="143">
        <f>SUMIFS(FACILITIES!P:P,FACILITIES!$B:$B,B107)</f>
        <v>0</v>
      </c>
      <c r="P107" s="143">
        <f>SUMIFS(FACILITIES!Q:Q,FACILITIES!$B:$B,B107)</f>
        <v>0</v>
      </c>
      <c r="Q107" s="143">
        <f>SUMIFS(FACILITIES!R:R,FACILITIES!$B:$B,B107)</f>
        <v>0</v>
      </c>
      <c r="R107" s="143">
        <f>SUMIFS(FACILITIES!T:T,FACILITIES!B:B,B107)</f>
        <v>0</v>
      </c>
      <c r="S107" s="143">
        <f>SUMIFS(FACILITIES!S:S,FACILITIES!B:B,B107)</f>
        <v>0</v>
      </c>
      <c r="T107" s="143">
        <f>SUMIFS('F &amp; B'!G:G,'F &amp; B'!B:B,B107)</f>
        <v>0</v>
      </c>
      <c r="U107" s="207">
        <v>0</v>
      </c>
      <c r="V107" s="143">
        <f>SUMIFS('FIXED AMOUNT'!G:G,'FIXED AMOUNT'!B:B,B107)</f>
        <v>0</v>
      </c>
      <c r="W107" s="121">
        <f t="shared" si="11"/>
        <v>0</v>
      </c>
      <c r="X107" s="121">
        <f>SUMIFS('FIXED AMOUNT'!E:E,'FIXED AMOUNT'!B:B,'data base '!B:B)</f>
        <v>0</v>
      </c>
      <c r="Y107" s="121">
        <f>SUMIFS('FIXED AMOUNT'!F:F,'FIXED AMOUNT'!B:B,'data base '!B:B)</f>
        <v>0</v>
      </c>
      <c r="Z107" s="121">
        <f>SUMIFS('FIXED AMOUNT'!V:V,'FIXED AMOUNT'!B:B,B:B)</f>
        <v>0</v>
      </c>
      <c r="AA107" s="121">
        <f t="shared" si="8"/>
        <v>0</v>
      </c>
      <c r="AB107" s="204">
        <f t="shared" si="9"/>
        <v>0</v>
      </c>
      <c r="AC107" s="201">
        <v>45945</v>
      </c>
      <c r="AD107" s="121">
        <f t="shared" si="10"/>
        <v>0</v>
      </c>
      <c r="AE107" s="205"/>
    </row>
    <row r="108" spans="1:31" x14ac:dyDescent="0.25">
      <c r="A108">
        <v>107</v>
      </c>
      <c r="B108" t="s">
        <v>1004</v>
      </c>
      <c r="C108" t="s">
        <v>1007</v>
      </c>
      <c r="D108" s="143">
        <f>SUMIFS(FACILITIES!E:E,FACILITIES!$B:$B,B108)</f>
        <v>4200</v>
      </c>
      <c r="E108" s="143">
        <f>SUMIFS(FACILITIES!F:F,FACILITIES!$B:$B,$B108)</f>
        <v>450</v>
      </c>
      <c r="F108" s="143">
        <f>SUMIFS(FACILITIES!G:G,FACILITIES!$B:$B,B108)</f>
        <v>0</v>
      </c>
      <c r="G108" s="143">
        <f>SUMIFS(FACILITIES!H:H,FACILITIES!$B:$B,B108)</f>
        <v>0</v>
      </c>
      <c r="H108" s="143">
        <f>SUMIFS(FACILITIES!I:I,FACILITIES!$B:$B,B108)</f>
        <v>0</v>
      </c>
      <c r="I108" s="143">
        <f>SUMIFS(FACILITIES!J:J,FACILITIES!$B:$B,B108)</f>
        <v>0</v>
      </c>
      <c r="J108" s="143">
        <f>SUMIFS(FACILITIES!K:K,FACILITIES!$B:$B,B108)</f>
        <v>0</v>
      </c>
      <c r="K108" s="143">
        <f>SUMIFS(FACILITIES!L:L,FACILITIES!$B:$B,B108)</f>
        <v>0</v>
      </c>
      <c r="L108" s="143">
        <f>SUMIFS(FACILITIES!M:M,FACILITIES!$B:$B,B108)</f>
        <v>0</v>
      </c>
      <c r="M108" s="143">
        <f>SUMIFS(FACILITIES!N:N,FACILITIES!$B:$B,B108)</f>
        <v>0</v>
      </c>
      <c r="N108" s="143">
        <f>SUMIFS(FACILITIES!O:O,FACILITIES!$B:$B,B108)</f>
        <v>0</v>
      </c>
      <c r="O108" s="143">
        <f>SUMIFS(FACILITIES!P:P,FACILITIES!$B:$B,B108)</f>
        <v>0</v>
      </c>
      <c r="P108" s="143">
        <f>SUMIFS(FACILITIES!Q:Q,FACILITIES!$B:$B,B108)</f>
        <v>0</v>
      </c>
      <c r="Q108" s="143">
        <f>SUMIFS(FACILITIES!R:R,FACILITIES!$B:$B,B108)</f>
        <v>0</v>
      </c>
      <c r="R108" s="143">
        <f>SUMIFS(FACILITIES!T:T,FACILITIES!B:B,B108)</f>
        <v>40000</v>
      </c>
      <c r="S108" s="143">
        <f>SUMIFS(FACILITIES!S:S,FACILITIES!B:B,B108)</f>
        <v>0</v>
      </c>
      <c r="T108" s="143">
        <f>SUMIFS('F &amp; B'!G:G,'F &amp; B'!B:B,B108)</f>
        <v>38280</v>
      </c>
      <c r="U108" s="207">
        <f t="shared" si="7"/>
        <v>5742</v>
      </c>
      <c r="V108" s="143">
        <f>SUMIFS('FIXED AMOUNT'!G:G,'FIXED AMOUNT'!B:B,B108)</f>
        <v>7000</v>
      </c>
      <c r="W108" s="121">
        <f t="shared" si="11"/>
        <v>95672</v>
      </c>
      <c r="X108" s="121">
        <f>SUMIFS('FIXED AMOUNT'!E:E,'FIXED AMOUNT'!B:B,'data base '!B:B)</f>
        <v>0</v>
      </c>
      <c r="Y108" s="121">
        <f>SUMIFS('FIXED AMOUNT'!F:F,'FIXED AMOUNT'!B:B,'data base '!B:B)</f>
        <v>0</v>
      </c>
      <c r="Z108" s="121">
        <f>SUMIFS('FIXED AMOUNT'!V:V,'FIXED AMOUNT'!B:B,B:B)</f>
        <v>0</v>
      </c>
      <c r="AA108" s="121">
        <f t="shared" si="8"/>
        <v>95672</v>
      </c>
      <c r="AB108" s="204">
        <f t="shared" si="9"/>
        <v>9567.2000000000007</v>
      </c>
      <c r="AC108" s="201">
        <v>45945</v>
      </c>
      <c r="AD108" s="121">
        <f t="shared" si="10"/>
        <v>105239.2</v>
      </c>
      <c r="AE108" s="205"/>
    </row>
    <row r="109" spans="1:31" x14ac:dyDescent="0.25">
      <c r="A109">
        <v>108</v>
      </c>
      <c r="B109" t="s">
        <v>1005</v>
      </c>
      <c r="C109" t="s">
        <v>1009</v>
      </c>
      <c r="D109" s="143">
        <f>SUMIFS(FACILITIES!E:E,FACILITIES!$B:$B,B109)</f>
        <v>0</v>
      </c>
      <c r="E109" s="143">
        <f>SUMIFS(FACILITIES!F:F,FACILITIES!$B:$B,$B109)</f>
        <v>0</v>
      </c>
      <c r="F109" s="143">
        <f>SUMIFS(FACILITIES!G:G,FACILITIES!$B:$B,B109)</f>
        <v>0</v>
      </c>
      <c r="G109" s="143">
        <f>SUMIFS(FACILITIES!H:H,FACILITIES!$B:$B,B109)</f>
        <v>0</v>
      </c>
      <c r="H109" s="143">
        <f>SUMIFS(FACILITIES!I:I,FACILITIES!$B:$B,B109)</f>
        <v>0</v>
      </c>
      <c r="I109" s="143">
        <f>SUMIFS(FACILITIES!J:J,FACILITIES!$B:$B,B109)</f>
        <v>0</v>
      </c>
      <c r="J109" s="143">
        <f>SUMIFS(FACILITIES!K:K,FACILITIES!$B:$B,B109)</f>
        <v>0</v>
      </c>
      <c r="K109" s="143">
        <f>SUMIFS(FACILITIES!L:L,FACILITIES!$B:$B,B109)</f>
        <v>0</v>
      </c>
      <c r="L109" s="143">
        <f>SUMIFS(FACILITIES!M:M,FACILITIES!$B:$B,B109)</f>
        <v>0</v>
      </c>
      <c r="M109" s="143">
        <f>SUMIFS(FACILITIES!N:N,FACILITIES!$B:$B,B109)</f>
        <v>0</v>
      </c>
      <c r="N109" s="143">
        <f>SUMIFS(FACILITIES!O:O,FACILITIES!$B:$B,B109)</f>
        <v>0</v>
      </c>
      <c r="O109" s="143">
        <f>SUMIFS(FACILITIES!P:P,FACILITIES!$B:$B,B109)</f>
        <v>0</v>
      </c>
      <c r="P109" s="143">
        <f>SUMIFS(FACILITIES!Q:Q,FACILITIES!$B:$B,B109)</f>
        <v>0</v>
      </c>
      <c r="Q109" s="143">
        <f>SUMIFS(FACILITIES!R:R,FACILITIES!$B:$B,B109)</f>
        <v>0</v>
      </c>
      <c r="R109" s="143">
        <f>SUMIFS(FACILITIES!T:T,FACILITIES!B:B,B109)</f>
        <v>0</v>
      </c>
      <c r="S109" s="143">
        <f>SUMIFS(FACILITIES!S:S,FACILITIES!B:B,B109)</f>
        <v>0</v>
      </c>
      <c r="T109" s="143">
        <f>SUMIFS('F &amp; B'!G:G,'F &amp; B'!B:B,B109)</f>
        <v>4550</v>
      </c>
      <c r="U109" s="207">
        <f t="shared" si="7"/>
        <v>682.5</v>
      </c>
      <c r="V109" s="143">
        <f>SUMIFS('FIXED AMOUNT'!G:G,'FIXED AMOUNT'!B:B,B109)</f>
        <v>7000</v>
      </c>
      <c r="W109" s="121">
        <f t="shared" si="11"/>
        <v>12232.5</v>
      </c>
      <c r="X109" s="121">
        <f>SUMIFS('FIXED AMOUNT'!E:E,'FIXED AMOUNT'!B:B,'data base '!B:B)</f>
        <v>0</v>
      </c>
      <c r="Y109" s="121">
        <f>SUMIFS('FIXED AMOUNT'!F:F,'FIXED AMOUNT'!B:B,'data base '!B:B)</f>
        <v>0</v>
      </c>
      <c r="Z109" s="121">
        <f>SUMIFS('FIXED AMOUNT'!V:V,'FIXED AMOUNT'!B:B,B:B)</f>
        <v>55450</v>
      </c>
      <c r="AA109" s="121">
        <f t="shared" si="8"/>
        <v>67682.5</v>
      </c>
      <c r="AB109" s="204">
        <f t="shared" si="9"/>
        <v>1223.25</v>
      </c>
      <c r="AC109" s="201">
        <v>45945</v>
      </c>
      <c r="AD109" s="121">
        <f t="shared" si="10"/>
        <v>68905.75</v>
      </c>
      <c r="AE109" s="205"/>
    </row>
    <row r="110" spans="1:31" x14ac:dyDescent="0.25">
      <c r="A110">
        <v>109</v>
      </c>
      <c r="B110" t="s">
        <v>1006</v>
      </c>
      <c r="C110" t="s">
        <v>1008</v>
      </c>
      <c r="D110" s="143">
        <f>SUMIFS(FACILITIES!E:E,FACILITIES!$B:$B,B110)</f>
        <v>0</v>
      </c>
      <c r="E110" s="143">
        <f>SUMIFS(FACILITIES!F:F,FACILITIES!$B:$B,$B110)</f>
        <v>0</v>
      </c>
      <c r="F110" s="143">
        <f>SUMIFS(FACILITIES!G:G,FACILITIES!$B:$B,B110)</f>
        <v>0</v>
      </c>
      <c r="G110" s="143">
        <f>SUMIFS(FACILITIES!H:H,FACILITIES!$B:$B,B110)</f>
        <v>0</v>
      </c>
      <c r="H110" s="143">
        <f>SUMIFS(FACILITIES!I:I,FACILITIES!$B:$B,B110)</f>
        <v>0</v>
      </c>
      <c r="I110" s="143">
        <f>SUMIFS(FACILITIES!J:J,FACILITIES!$B:$B,B110)</f>
        <v>0</v>
      </c>
      <c r="J110" s="143">
        <f>SUMIFS(FACILITIES!K:K,FACILITIES!$B:$B,B110)</f>
        <v>0</v>
      </c>
      <c r="K110" s="143">
        <f>SUMIFS(FACILITIES!L:L,FACILITIES!$B:$B,B110)</f>
        <v>0</v>
      </c>
      <c r="L110" s="143">
        <f>SUMIFS(FACILITIES!M:M,FACILITIES!$B:$B,B110)</f>
        <v>0</v>
      </c>
      <c r="M110" s="143">
        <f>SUMIFS(FACILITIES!N:N,FACILITIES!$B:$B,B110)</f>
        <v>0</v>
      </c>
      <c r="N110" s="143">
        <f>SUMIFS(FACILITIES!O:O,FACILITIES!$B:$B,B110)</f>
        <v>0</v>
      </c>
      <c r="O110" s="143">
        <f>SUMIFS(FACILITIES!P:P,FACILITIES!$B:$B,B110)</f>
        <v>0</v>
      </c>
      <c r="P110" s="143">
        <f>SUMIFS(FACILITIES!Q:Q,FACILITIES!$B:$B,B110)</f>
        <v>0</v>
      </c>
      <c r="Q110" s="143">
        <f>SUMIFS(FACILITIES!R:R,FACILITIES!$B:$B,B110)</f>
        <v>0</v>
      </c>
      <c r="R110" s="143">
        <f>SUMIFS(FACILITIES!T:T,FACILITIES!B:B,B110)</f>
        <v>0</v>
      </c>
      <c r="S110" s="143">
        <f>SUMIFS(FACILITIES!S:S,FACILITIES!B:B,B110)</f>
        <v>0</v>
      </c>
      <c r="T110" s="143">
        <f>SUMIFS('F &amp; B'!G:G,'F &amp; B'!B:B,B110)</f>
        <v>1200</v>
      </c>
      <c r="U110" s="207">
        <f t="shared" si="7"/>
        <v>180</v>
      </c>
      <c r="V110" s="143">
        <f>SUMIFS('FIXED AMOUNT'!G:G,'FIXED AMOUNT'!B:B,B110)</f>
        <v>7000</v>
      </c>
      <c r="W110" s="121">
        <f t="shared" si="11"/>
        <v>8380</v>
      </c>
      <c r="X110" s="121">
        <f>SUMIFS('FIXED AMOUNT'!E:E,'FIXED AMOUNT'!B:B,'data base '!B:B)</f>
        <v>0</v>
      </c>
      <c r="Y110" s="121">
        <f>SUMIFS('FIXED AMOUNT'!F:F,'FIXED AMOUNT'!B:B,'data base '!B:B)</f>
        <v>0</v>
      </c>
      <c r="Z110" s="121">
        <f>SUMIFS('FIXED AMOUNT'!V:V,'FIXED AMOUNT'!B:B,B:B)</f>
        <v>13571</v>
      </c>
      <c r="AA110" s="121">
        <f t="shared" si="8"/>
        <v>21951</v>
      </c>
      <c r="AB110" s="204">
        <f t="shared" si="9"/>
        <v>838</v>
      </c>
      <c r="AC110" s="201">
        <v>45945</v>
      </c>
      <c r="AD110" s="121">
        <f t="shared" si="10"/>
        <v>22789</v>
      </c>
      <c r="AE110" s="205"/>
    </row>
    <row r="111" spans="1:31" x14ac:dyDescent="0.25">
      <c r="A111">
        <v>110</v>
      </c>
      <c r="B111" t="s">
        <v>1014</v>
      </c>
      <c r="C111" t="s">
        <v>1015</v>
      </c>
      <c r="D111" s="143">
        <f>SUMIFS(FACILITIES!E:E,FACILITIES!$B:$B,B111)</f>
        <v>0</v>
      </c>
      <c r="E111" s="143">
        <f>SUMIFS(FACILITIES!F:F,FACILITIES!$B:$B,$B111)</f>
        <v>0</v>
      </c>
      <c r="F111" s="143">
        <f>SUMIFS(FACILITIES!G:G,FACILITIES!$B:$B,B111)</f>
        <v>0</v>
      </c>
      <c r="G111" s="143">
        <f>SUMIFS(FACILITIES!H:H,FACILITIES!$B:$B,B111)</f>
        <v>0</v>
      </c>
      <c r="H111" s="143">
        <f>SUMIFS(FACILITIES!I:I,FACILITIES!$B:$B,B111)</f>
        <v>0</v>
      </c>
      <c r="I111" s="143">
        <f>SUMIFS(FACILITIES!J:J,FACILITIES!$B:$B,B111)</f>
        <v>0</v>
      </c>
      <c r="J111" s="143">
        <f>SUMIFS(FACILITIES!K:K,FACILITIES!$B:$B,B111)</f>
        <v>0</v>
      </c>
      <c r="K111" s="143">
        <f>SUMIFS(FACILITIES!L:L,FACILITIES!$B:$B,B111)</f>
        <v>0</v>
      </c>
      <c r="L111" s="143">
        <f>SUMIFS(FACILITIES!M:M,FACILITIES!$B:$B,B111)</f>
        <v>0</v>
      </c>
      <c r="M111" s="143">
        <f>SUMIFS(FACILITIES!N:N,FACILITIES!$B:$B,B111)</f>
        <v>0</v>
      </c>
      <c r="N111" s="143">
        <f>SUMIFS(FACILITIES!O:O,FACILITIES!$B:$B,B111)</f>
        <v>0</v>
      </c>
      <c r="O111" s="143">
        <f>SUMIFS(FACILITIES!P:P,FACILITIES!$B:$B,B111)</f>
        <v>0</v>
      </c>
      <c r="P111" s="143">
        <f>SUMIFS(FACILITIES!Q:Q,FACILITIES!$B:$B,B111)</f>
        <v>0</v>
      </c>
      <c r="Q111" s="143">
        <f>SUMIFS(FACILITIES!R:R,FACILITIES!$B:$B,B111)</f>
        <v>0</v>
      </c>
      <c r="R111" s="143">
        <f>SUMIFS(FACILITIES!T:T,FACILITIES!B:B,B111)</f>
        <v>0</v>
      </c>
      <c r="S111" s="143">
        <f>SUMIFS(FACILITIES!S:S,FACILITIES!B:B,B111)</f>
        <v>0</v>
      </c>
      <c r="T111" s="143">
        <f>SUMIFS('F &amp; B'!G:G,'F &amp; B'!B:B,B111)</f>
        <v>0</v>
      </c>
      <c r="U111" s="207">
        <f t="shared" si="7"/>
        <v>0</v>
      </c>
      <c r="V111" s="143">
        <f>SUMIFS('FIXED AMOUNT'!G:G,'FIXED AMOUNT'!B:B,B111)</f>
        <v>7000</v>
      </c>
      <c r="W111" s="121">
        <f t="shared" si="11"/>
        <v>7000</v>
      </c>
      <c r="X111" s="121">
        <f>SUMIFS('FIXED AMOUNT'!E:E,'FIXED AMOUNT'!B:B,'data base '!B:B)</f>
        <v>0</v>
      </c>
      <c r="Y111" s="121">
        <f>SUMIFS('FIXED AMOUNT'!F:F,'FIXED AMOUNT'!B:B,'data base '!B:B)</f>
        <v>0</v>
      </c>
      <c r="Z111" s="121">
        <f>SUMIFS('FIXED AMOUNT'!V:V,'FIXED AMOUNT'!B:B,B:B)</f>
        <v>60000</v>
      </c>
      <c r="AA111" s="121">
        <f t="shared" si="8"/>
        <v>67000</v>
      </c>
      <c r="AB111" s="204">
        <f t="shared" si="9"/>
        <v>700</v>
      </c>
      <c r="AC111" s="201">
        <v>45945</v>
      </c>
      <c r="AD111" s="121">
        <f t="shared" si="10"/>
        <v>67700</v>
      </c>
      <c r="AE111" s="205"/>
    </row>
    <row r="112" spans="1:31" x14ac:dyDescent="0.25">
      <c r="A112">
        <v>111</v>
      </c>
      <c r="B112" t="s">
        <v>1020</v>
      </c>
      <c r="C112" t="s">
        <v>1022</v>
      </c>
      <c r="D112" s="143">
        <f>SUMIFS(FACILITIES!E:E,FACILITIES!$B:$B,B112)</f>
        <v>1800</v>
      </c>
      <c r="E112" s="143">
        <f>SUMIFS(FACILITIES!F:F,FACILITIES!$B:$B,$B112)</f>
        <v>600</v>
      </c>
      <c r="F112" s="143">
        <f>SUMIFS(FACILITIES!G:G,FACILITIES!$B:$B,B112)</f>
        <v>0</v>
      </c>
      <c r="G112" s="143">
        <f>SUMIFS(FACILITIES!H:H,FACILITIES!$B:$B,B112)</f>
        <v>0</v>
      </c>
      <c r="H112" s="143">
        <f>SUMIFS(FACILITIES!I:I,FACILITIES!$B:$B,B112)</f>
        <v>0</v>
      </c>
      <c r="I112" s="143">
        <f>SUMIFS(FACILITIES!J:J,FACILITIES!$B:$B,B112)</f>
        <v>0</v>
      </c>
      <c r="J112" s="143">
        <f>SUMIFS(FACILITIES!K:K,FACILITIES!$B:$B,B112)</f>
        <v>0</v>
      </c>
      <c r="K112" s="143">
        <f>SUMIFS(FACILITIES!L:L,FACILITIES!$B:$B,B112)</f>
        <v>0</v>
      </c>
      <c r="L112" s="143">
        <f>SUMIFS(FACILITIES!M:M,FACILITIES!$B:$B,B112)</f>
        <v>0</v>
      </c>
      <c r="M112" s="143">
        <f>SUMIFS(FACILITIES!N:N,FACILITIES!$B:$B,B112)</f>
        <v>0</v>
      </c>
      <c r="N112" s="143">
        <f>SUMIFS(FACILITIES!O:O,FACILITIES!$B:$B,B112)</f>
        <v>0</v>
      </c>
      <c r="O112" s="143">
        <f>SUMIFS(FACILITIES!P:P,FACILITIES!$B:$B,B112)</f>
        <v>0</v>
      </c>
      <c r="P112" s="143">
        <f>SUMIFS(FACILITIES!Q:Q,FACILITIES!$B:$B,B112)</f>
        <v>0</v>
      </c>
      <c r="Q112" s="143">
        <f>SUMIFS(FACILITIES!R:R,FACILITIES!$B:$B,B112)</f>
        <v>0</v>
      </c>
      <c r="R112" s="143">
        <f>SUMIFS(FACILITIES!T:T,FACILITIES!B:B,B112)</f>
        <v>0</v>
      </c>
      <c r="S112" s="143">
        <f>SUMIFS(FACILITIES!S:S,FACILITIES!B:B,B112)</f>
        <v>0</v>
      </c>
      <c r="T112" s="143">
        <f>SUMIFS('F &amp; B'!G:G,'F &amp; B'!B:B,B112)</f>
        <v>10350</v>
      </c>
      <c r="U112" s="207">
        <f t="shared" si="7"/>
        <v>1552.5</v>
      </c>
      <c r="V112" s="143">
        <f>SUMIFS('FIXED AMOUNT'!G:G,'FIXED AMOUNT'!B:B,B112)</f>
        <v>7000</v>
      </c>
      <c r="W112" s="121">
        <f t="shared" si="11"/>
        <v>21302.5</v>
      </c>
      <c r="X112" s="121">
        <f>SUMIFS('FIXED AMOUNT'!E:E,'FIXED AMOUNT'!B:B,'data base '!B:B)</f>
        <v>0</v>
      </c>
      <c r="Y112" s="121">
        <f>SUMIFS('FIXED AMOUNT'!F:F,'FIXED AMOUNT'!B:B,'data base '!B:B)</f>
        <v>0</v>
      </c>
      <c r="Z112" s="121">
        <f>SUMIFS('FIXED AMOUNT'!V:V,'FIXED AMOUNT'!B:B,B:B)</f>
        <v>0</v>
      </c>
      <c r="AA112" s="121">
        <f t="shared" si="8"/>
        <v>21302.5</v>
      </c>
      <c r="AB112" s="204">
        <f t="shared" si="9"/>
        <v>2130.25</v>
      </c>
      <c r="AC112" s="201">
        <v>45945</v>
      </c>
      <c r="AD112" s="121">
        <f t="shared" si="10"/>
        <v>23432.75</v>
      </c>
      <c r="AE112" s="205"/>
    </row>
    <row r="113" spans="1:31" x14ac:dyDescent="0.25">
      <c r="A113">
        <v>112</v>
      </c>
      <c r="B113" t="s">
        <v>1021</v>
      </c>
      <c r="C113" t="s">
        <v>1023</v>
      </c>
      <c r="D113" s="143">
        <f>SUMIFS(FACILITIES!E:E,FACILITIES!$B:$B,B113)</f>
        <v>0</v>
      </c>
      <c r="E113" s="143">
        <f>SUMIFS(FACILITIES!F:F,FACILITIES!$B:$B,$B113)</f>
        <v>150</v>
      </c>
      <c r="F113" s="143">
        <f>SUMIFS(FACILITIES!G:G,FACILITIES!$B:$B,B113)</f>
        <v>0</v>
      </c>
      <c r="G113" s="143">
        <f>SUMIFS(FACILITIES!H:H,FACILITIES!$B:$B,B113)</f>
        <v>0</v>
      </c>
      <c r="H113" s="143">
        <f>SUMIFS(FACILITIES!I:I,FACILITIES!$B:$B,B113)</f>
        <v>0</v>
      </c>
      <c r="I113" s="143">
        <f>SUMIFS(FACILITIES!J:J,FACILITIES!$B:$B,B113)</f>
        <v>6400</v>
      </c>
      <c r="J113" s="143">
        <f>SUMIFS(FACILITIES!K:K,FACILITIES!$B:$B,B113)</f>
        <v>0</v>
      </c>
      <c r="K113" s="143">
        <f>SUMIFS(FACILITIES!L:L,FACILITIES!$B:$B,B113)</f>
        <v>0</v>
      </c>
      <c r="L113" s="143">
        <f>SUMIFS(FACILITIES!M:M,FACILITIES!$B:$B,B113)</f>
        <v>0</v>
      </c>
      <c r="M113" s="143">
        <f>SUMIFS(FACILITIES!N:N,FACILITIES!$B:$B,B113)</f>
        <v>0</v>
      </c>
      <c r="N113" s="143">
        <f>SUMIFS(FACILITIES!O:O,FACILITIES!$B:$B,B113)</f>
        <v>0</v>
      </c>
      <c r="O113" s="143">
        <f>SUMIFS(FACILITIES!P:P,FACILITIES!$B:$B,B113)</f>
        <v>0</v>
      </c>
      <c r="P113" s="143">
        <f>SUMIFS(FACILITIES!Q:Q,FACILITIES!$B:$B,B113)</f>
        <v>0</v>
      </c>
      <c r="Q113" s="143">
        <f>SUMIFS(FACILITIES!R:R,FACILITIES!$B:$B,B113)</f>
        <v>0</v>
      </c>
      <c r="R113" s="143">
        <f>SUMIFS(FACILITIES!T:T,FACILITIES!B:B,B113)</f>
        <v>0</v>
      </c>
      <c r="S113" s="143">
        <f>SUMIFS(FACILITIES!S:S,FACILITIES!B:B,B113)</f>
        <v>0</v>
      </c>
      <c r="T113" s="143">
        <f>SUMIFS('F &amp; B'!G:G,'F &amp; B'!B:B,B113)</f>
        <v>51687</v>
      </c>
      <c r="U113" s="207">
        <f t="shared" si="7"/>
        <v>7753.0499999999993</v>
      </c>
      <c r="V113" s="143">
        <f>SUMIFS('FIXED AMOUNT'!G:G,'FIXED AMOUNT'!B:B,B113)</f>
        <v>7000</v>
      </c>
      <c r="W113" s="121">
        <f t="shared" si="11"/>
        <v>72990.05</v>
      </c>
      <c r="X113" s="121">
        <f>SUMIFS('FIXED AMOUNT'!E:E,'FIXED AMOUNT'!B:B,'data base '!B:B)</f>
        <v>0</v>
      </c>
      <c r="Y113" s="121">
        <f>SUMIFS('FIXED AMOUNT'!F:F,'FIXED AMOUNT'!B:B,'data base '!B:B)</f>
        <v>0</v>
      </c>
      <c r="Z113" s="121">
        <f>SUMIFS('FIXED AMOUNT'!V:V,'FIXED AMOUNT'!B:B,B:B)</f>
        <v>0</v>
      </c>
      <c r="AA113" s="121">
        <f t="shared" si="8"/>
        <v>72990.05</v>
      </c>
      <c r="AB113" s="204">
        <f t="shared" si="9"/>
        <v>7299.005000000001</v>
      </c>
      <c r="AC113" s="201">
        <v>45945</v>
      </c>
      <c r="AD113" s="121">
        <f t="shared" si="10"/>
        <v>80289.055000000008</v>
      </c>
      <c r="AE113" s="205"/>
    </row>
    <row r="114" spans="1:31" x14ac:dyDescent="0.25">
      <c r="A114">
        <v>113</v>
      </c>
      <c r="B114" t="s">
        <v>1024</v>
      </c>
      <c r="C114" t="s">
        <v>1041</v>
      </c>
      <c r="D114" s="143">
        <f>SUMIFS(FACILITIES!E:E,FACILITIES!$B:$B,B114)</f>
        <v>0</v>
      </c>
      <c r="E114" s="143">
        <f>SUMIFS(FACILITIES!F:F,FACILITIES!$B:$B,$B114)</f>
        <v>0</v>
      </c>
      <c r="F114" s="143">
        <f>SUMIFS(FACILITIES!G:G,FACILITIES!$B:$B,B114)</f>
        <v>0</v>
      </c>
      <c r="G114" s="143">
        <f>SUMIFS(FACILITIES!H:H,FACILITIES!$B:$B,B114)</f>
        <v>0</v>
      </c>
      <c r="H114" s="143">
        <f>SUMIFS(FACILITIES!I:I,FACILITIES!$B:$B,B114)</f>
        <v>0</v>
      </c>
      <c r="I114" s="143">
        <f>SUMIFS(FACILITIES!J:J,FACILITIES!$B:$B,B114)</f>
        <v>1600</v>
      </c>
      <c r="J114" s="143">
        <f>SUMIFS(FACILITIES!K:K,FACILITIES!$B:$B,B114)</f>
        <v>0</v>
      </c>
      <c r="K114" s="143">
        <f>SUMIFS(FACILITIES!L:L,FACILITIES!$B:$B,B114)</f>
        <v>0</v>
      </c>
      <c r="L114" s="143">
        <f>SUMIFS(FACILITIES!M:M,FACILITIES!$B:$B,B114)</f>
        <v>0</v>
      </c>
      <c r="M114" s="143">
        <f>SUMIFS(FACILITIES!N:N,FACILITIES!$B:$B,B114)</f>
        <v>0</v>
      </c>
      <c r="N114" s="143">
        <f>SUMIFS(FACILITIES!O:O,FACILITIES!$B:$B,B114)</f>
        <v>0</v>
      </c>
      <c r="O114" s="143">
        <f>SUMIFS(FACILITIES!P:P,FACILITIES!$B:$B,B114)</f>
        <v>57950</v>
      </c>
      <c r="P114" s="143">
        <f>SUMIFS(FACILITIES!Q:Q,FACILITIES!$B:$B,B114)</f>
        <v>0</v>
      </c>
      <c r="Q114" s="143">
        <f>SUMIFS(FACILITIES!R:R,FACILITIES!$B:$B,B114)</f>
        <v>0</v>
      </c>
      <c r="R114" s="143">
        <f>SUMIFS(FACILITIES!T:T,FACILITIES!B:B,B114)</f>
        <v>0</v>
      </c>
      <c r="S114" s="143">
        <f>SUMIFS(FACILITIES!S:S,FACILITIES!B:B,B114)</f>
        <v>0</v>
      </c>
      <c r="T114" s="143">
        <f>SUMIFS('F &amp; B'!G:G,'F &amp; B'!B:B,B114)</f>
        <v>21629</v>
      </c>
      <c r="U114" s="207">
        <f t="shared" si="7"/>
        <v>3244.35</v>
      </c>
      <c r="V114" s="143">
        <f>SUMIFS('FIXED AMOUNT'!G:G,'FIXED AMOUNT'!B:B,B114)</f>
        <v>7000</v>
      </c>
      <c r="W114" s="121">
        <f t="shared" si="11"/>
        <v>91423.35</v>
      </c>
      <c r="X114" s="121">
        <f>SUMIFS('FIXED AMOUNT'!E:E,'FIXED AMOUNT'!B:B,'data base '!B:B)</f>
        <v>0</v>
      </c>
      <c r="Y114" s="121">
        <f>SUMIFS('FIXED AMOUNT'!F:F,'FIXED AMOUNT'!B:B,'data base '!B:B)</f>
        <v>0</v>
      </c>
      <c r="Z114" s="121">
        <f>SUMIFS('FIXED AMOUNT'!V:V,'FIXED AMOUNT'!B:B,B:B)</f>
        <v>0</v>
      </c>
      <c r="AA114" s="121">
        <f t="shared" si="8"/>
        <v>91423.35</v>
      </c>
      <c r="AB114" s="204">
        <f t="shared" si="9"/>
        <v>9142.3350000000009</v>
      </c>
      <c r="AC114" s="201">
        <v>45945</v>
      </c>
      <c r="AD114" s="121">
        <f t="shared" si="10"/>
        <v>100565.68500000001</v>
      </c>
      <c r="AE114" s="205"/>
    </row>
    <row r="115" spans="1:31" x14ac:dyDescent="0.25">
      <c r="A115">
        <v>114</v>
      </c>
      <c r="B115" t="s">
        <v>1039</v>
      </c>
      <c r="C115" t="s">
        <v>1071</v>
      </c>
      <c r="D115" s="143">
        <f>SUMIFS(FACILITIES!E:E,FACILITIES!$B:$B,B115)</f>
        <v>0</v>
      </c>
      <c r="E115" s="143">
        <f>SUMIFS(FACILITIES!F:F,FACILITIES!$B:$B,$B115)</f>
        <v>0</v>
      </c>
      <c r="F115" s="143">
        <f>SUMIFS(FACILITIES!G:G,FACILITIES!$B:$B,B115)</f>
        <v>0</v>
      </c>
      <c r="G115" s="143">
        <f>SUMIFS(FACILITIES!H:H,FACILITIES!$B:$B,B115)</f>
        <v>0</v>
      </c>
      <c r="H115" s="143">
        <f>SUMIFS(FACILITIES!I:I,FACILITIES!$B:$B,B115)</f>
        <v>0</v>
      </c>
      <c r="I115" s="143">
        <f>SUMIFS(FACILITIES!J:J,FACILITIES!$B:$B,B115)</f>
        <v>1500</v>
      </c>
      <c r="J115" s="143">
        <f>SUMIFS(FACILITIES!K:K,FACILITIES!$B:$B,B115)</f>
        <v>0</v>
      </c>
      <c r="K115" s="143">
        <f>SUMIFS(FACILITIES!L:L,FACILITIES!$B:$B,B115)</f>
        <v>0</v>
      </c>
      <c r="L115" s="143">
        <f>SUMIFS(FACILITIES!M:M,FACILITIES!$B:$B,B115)</f>
        <v>0</v>
      </c>
      <c r="M115" s="143">
        <f>SUMIFS(FACILITIES!N:N,FACILITIES!$B:$B,B115)</f>
        <v>0</v>
      </c>
      <c r="N115" s="143">
        <f>SUMIFS(FACILITIES!O:O,FACILITIES!$B:$B,B115)</f>
        <v>0</v>
      </c>
      <c r="O115" s="143">
        <f>SUMIFS(FACILITIES!P:P,FACILITIES!$B:$B,B115)</f>
        <v>0</v>
      </c>
      <c r="P115" s="143">
        <f>SUMIFS(FACILITIES!Q:Q,FACILITIES!$B:$B,B115)</f>
        <v>0</v>
      </c>
      <c r="Q115" s="143">
        <f>SUMIFS(FACILITIES!R:R,FACILITIES!$B:$B,B115)</f>
        <v>0</v>
      </c>
      <c r="R115" s="143">
        <f>SUMIFS(FACILITIES!T:T,FACILITIES!B:B,B115)</f>
        <v>7000</v>
      </c>
      <c r="S115" s="143">
        <f>SUMIFS(FACILITIES!S:S,FACILITIES!B:B,B115)</f>
        <v>0</v>
      </c>
      <c r="T115" s="143">
        <f>SUMIFS('F &amp; B'!G:G,'F &amp; B'!B:B,B115)</f>
        <v>5770</v>
      </c>
      <c r="U115" s="207">
        <f t="shared" si="7"/>
        <v>865.5</v>
      </c>
      <c r="V115" s="143">
        <f>SUMIFS('FIXED AMOUNT'!G:G,'FIXED AMOUNT'!B:B,B115)</f>
        <v>7000</v>
      </c>
      <c r="W115" s="121">
        <f t="shared" si="11"/>
        <v>22135.5</v>
      </c>
      <c r="X115" s="121">
        <f>SUMIFS('FIXED AMOUNT'!E:E,'FIXED AMOUNT'!B:B,'data base '!B:B)</f>
        <v>0</v>
      </c>
      <c r="Y115" s="121">
        <f>SUMIFS('FIXED AMOUNT'!F:F,'FIXED AMOUNT'!B:B,'data base '!B:B)</f>
        <v>0</v>
      </c>
      <c r="Z115" s="121">
        <f>SUMIFS('FIXED AMOUNT'!V:V,'FIXED AMOUNT'!B:B,B:B)</f>
        <v>0</v>
      </c>
      <c r="AA115" s="121">
        <f t="shared" si="8"/>
        <v>22135.5</v>
      </c>
      <c r="AB115" s="204">
        <f t="shared" si="9"/>
        <v>2213.5500000000002</v>
      </c>
      <c r="AC115" s="201">
        <v>45945</v>
      </c>
      <c r="AD115" s="121">
        <f t="shared" si="10"/>
        <v>24349.05</v>
      </c>
      <c r="AE115" s="205"/>
    </row>
    <row r="116" spans="1:31" x14ac:dyDescent="0.25">
      <c r="A116">
        <v>115</v>
      </c>
      <c r="B116" t="s">
        <v>1040</v>
      </c>
      <c r="C116" t="s">
        <v>1025</v>
      </c>
      <c r="D116" s="143">
        <f>SUMIFS(FACILITIES!E:E,FACILITIES!$B:$B,B116)</f>
        <v>0</v>
      </c>
      <c r="E116" s="143">
        <f>SUMIFS(FACILITIES!F:F,FACILITIES!$B:$B,$B116)</f>
        <v>0</v>
      </c>
      <c r="F116" s="143">
        <f>SUMIFS(FACILITIES!G:G,FACILITIES!$B:$B,B116)</f>
        <v>0</v>
      </c>
      <c r="G116" s="143">
        <f>SUMIFS(FACILITIES!H:H,FACILITIES!$B:$B,B116)</f>
        <v>0</v>
      </c>
      <c r="H116" s="143">
        <f>SUMIFS(FACILITIES!I:I,FACILITIES!$B:$B,B116)</f>
        <v>0</v>
      </c>
      <c r="I116" s="143">
        <f>SUMIFS(FACILITIES!J:J,FACILITIES!$B:$B,B116)</f>
        <v>0</v>
      </c>
      <c r="J116" s="143">
        <f>SUMIFS(FACILITIES!K:K,FACILITIES!$B:$B,B116)</f>
        <v>0</v>
      </c>
      <c r="K116" s="143">
        <f>SUMIFS(FACILITIES!L:L,FACILITIES!$B:$B,B116)</f>
        <v>0</v>
      </c>
      <c r="L116" s="143">
        <f>SUMIFS(FACILITIES!M:M,FACILITIES!$B:$B,B116)</f>
        <v>0</v>
      </c>
      <c r="M116" s="143">
        <f>SUMIFS(FACILITIES!N:N,FACILITIES!$B:$B,B116)</f>
        <v>0</v>
      </c>
      <c r="N116" s="143">
        <f>SUMIFS(FACILITIES!O:O,FACILITIES!$B:$B,B116)</f>
        <v>0</v>
      </c>
      <c r="O116" s="143">
        <f>SUMIFS(FACILITIES!P:P,FACILITIES!$B:$B,B116)</f>
        <v>0</v>
      </c>
      <c r="P116" s="143">
        <f>SUMIFS(FACILITIES!Q:Q,FACILITIES!$B:$B,B116)</f>
        <v>0</v>
      </c>
      <c r="Q116" s="143">
        <f>SUMIFS(FACILITIES!R:R,FACILITIES!$B:$B,B116)</f>
        <v>0</v>
      </c>
      <c r="R116" s="143">
        <f>SUMIFS(FACILITIES!T:T,FACILITIES!B:B,B116)</f>
        <v>0</v>
      </c>
      <c r="S116" s="143">
        <f>SUMIFS(FACILITIES!S:S,FACILITIES!B:B,B116)</f>
        <v>0</v>
      </c>
      <c r="T116" s="143">
        <f>SUMIFS('F &amp; B'!G:G,'F &amp; B'!B:B,B116)</f>
        <v>0</v>
      </c>
      <c r="U116" s="207">
        <v>0</v>
      </c>
      <c r="V116" s="143">
        <f>SUMIFS('FIXED AMOUNT'!G:G,'FIXED AMOUNT'!B:B,B116)</f>
        <v>0</v>
      </c>
      <c r="W116" s="121">
        <f t="shared" si="11"/>
        <v>0</v>
      </c>
      <c r="Y116" s="121">
        <f>SUMIFS('FIXED AMOUNT'!F:F,'FIXED AMOUNT'!B:B,'data base '!B:B)</f>
        <v>0</v>
      </c>
      <c r="Z116" s="121">
        <f>SUMIFS('FIXED AMOUNT'!V:V,'FIXED AMOUNT'!B:B,B:B)</f>
        <v>0</v>
      </c>
      <c r="AA116" s="121">
        <f t="shared" si="8"/>
        <v>0</v>
      </c>
      <c r="AB116" s="204">
        <f t="shared" si="9"/>
        <v>0</v>
      </c>
      <c r="AC116" s="201">
        <v>45945</v>
      </c>
      <c r="AD116" s="121">
        <f t="shared" si="10"/>
        <v>0</v>
      </c>
      <c r="AE116" s="205"/>
    </row>
    <row r="117" spans="1:31" x14ac:dyDescent="0.25">
      <c r="A117">
        <v>116</v>
      </c>
      <c r="B117" t="s">
        <v>1051</v>
      </c>
      <c r="C117" t="s">
        <v>1055</v>
      </c>
      <c r="D117" s="143">
        <f>SUMIFS(FACILITIES!E:E,FACILITIES!$B:$B,B117)</f>
        <v>0</v>
      </c>
      <c r="E117" s="143">
        <f>SUMIFS(FACILITIES!F:F,FACILITIES!$B:$B,$B117)</f>
        <v>0</v>
      </c>
      <c r="F117" s="143">
        <f>SUMIFS(FACILITIES!G:G,FACILITIES!$B:$B,B117)</f>
        <v>0</v>
      </c>
      <c r="G117" s="143">
        <f>SUMIFS(FACILITIES!H:H,FACILITIES!$B:$B,B117)</f>
        <v>0</v>
      </c>
      <c r="H117" s="143">
        <f>SUMIFS(FACILITIES!I:I,FACILITIES!$B:$B,B117)</f>
        <v>0</v>
      </c>
      <c r="I117" s="143">
        <f>SUMIFS(FACILITIES!J:J,FACILITIES!$B:$B,B117)</f>
        <v>1500</v>
      </c>
      <c r="J117" s="143">
        <f>SUMIFS(FACILITIES!K:K,FACILITIES!$B:$B,B117)</f>
        <v>0</v>
      </c>
      <c r="K117" s="143">
        <f>SUMIFS(FACILITIES!L:L,FACILITIES!$B:$B,B117)</f>
        <v>0</v>
      </c>
      <c r="L117" s="143">
        <f>SUMIFS(FACILITIES!M:M,FACILITIES!$B:$B,B117)</f>
        <v>0</v>
      </c>
      <c r="M117" s="143">
        <f>SUMIFS(FACILITIES!N:N,FACILITIES!$B:$B,B117)</f>
        <v>0</v>
      </c>
      <c r="N117" s="143">
        <f>SUMIFS(FACILITIES!O:O,FACILITIES!$B:$B,B117)</f>
        <v>0</v>
      </c>
      <c r="O117" s="143">
        <f>SUMIFS(FACILITIES!P:P,FACILITIES!$B:$B,B117)</f>
        <v>0</v>
      </c>
      <c r="P117" s="143">
        <f>SUMIFS(FACILITIES!Q:Q,FACILITIES!$B:$B,B117)</f>
        <v>0</v>
      </c>
      <c r="Q117" s="143">
        <f>SUMIFS(FACILITIES!R:R,FACILITIES!$B:$B,B117)</f>
        <v>0</v>
      </c>
      <c r="R117" s="143">
        <f>SUMIFS(FACILITIES!T:T,FACILITIES!B:B,B117)</f>
        <v>0</v>
      </c>
      <c r="S117" s="143">
        <f>SUMIFS(FACILITIES!S:S,FACILITIES!B:B,B117)</f>
        <v>0</v>
      </c>
      <c r="T117" s="143">
        <f>SUMIFS('F &amp; B'!G:G,'F &amp; B'!B:B,B117)</f>
        <v>24300</v>
      </c>
      <c r="U117" s="207">
        <f t="shared" si="7"/>
        <v>3645</v>
      </c>
      <c r="V117" s="143">
        <f>SUMIFS('FIXED AMOUNT'!G:G,'FIXED AMOUNT'!B:B,B117)</f>
        <v>7000</v>
      </c>
      <c r="W117" s="121">
        <f t="shared" si="11"/>
        <v>36445</v>
      </c>
      <c r="X117" s="121">
        <f>SUMIFS('FIXED AMOUNT'!E:E,'FIXED AMOUNT'!B:B,B117)</f>
        <v>0</v>
      </c>
      <c r="Y117" s="121">
        <f>SUMIFS('FIXED AMOUNT'!F:F,'FIXED AMOUNT'!B:B,'data base '!B:B)</f>
        <v>0</v>
      </c>
      <c r="Z117" s="121">
        <f>SUMIFS('FIXED AMOUNT'!V:V,'FIXED AMOUNT'!B:B,B:B)</f>
        <v>0</v>
      </c>
      <c r="AA117" s="121">
        <f t="shared" si="8"/>
        <v>36445</v>
      </c>
      <c r="AB117" s="204">
        <f t="shared" si="9"/>
        <v>3644.5</v>
      </c>
      <c r="AC117" s="201">
        <v>45945</v>
      </c>
      <c r="AD117" s="121">
        <f t="shared" si="10"/>
        <v>40089.5</v>
      </c>
      <c r="AE117" s="205"/>
    </row>
    <row r="118" spans="1:31" x14ac:dyDescent="0.25">
      <c r="A118">
        <v>117</v>
      </c>
      <c r="B118" t="s">
        <v>1052</v>
      </c>
      <c r="C118" t="s">
        <v>1060</v>
      </c>
      <c r="D118" s="143">
        <f>SUMIFS(FACILITIES!E:E,FACILITIES!$B:$B,B118)</f>
        <v>0</v>
      </c>
      <c r="E118" s="143">
        <f>SUMIFS(FACILITIES!F:F,FACILITIES!$B:$B,$B118)</f>
        <v>0</v>
      </c>
      <c r="F118" s="143">
        <f>SUMIFS(FACILITIES!G:G,FACILITIES!$B:$B,B118)</f>
        <v>0</v>
      </c>
      <c r="G118" s="143">
        <f>SUMIFS(FACILITIES!H:H,FACILITIES!$B:$B,B118)</f>
        <v>0</v>
      </c>
      <c r="H118" s="143">
        <f>SUMIFS(FACILITIES!I:I,FACILITIES!$B:$B,B118)</f>
        <v>0</v>
      </c>
      <c r="I118" s="143">
        <f>SUMIFS(FACILITIES!J:J,FACILITIES!$B:$B,B118)</f>
        <v>600</v>
      </c>
      <c r="J118" s="143">
        <f>SUMIFS(FACILITIES!K:K,FACILITIES!$B:$B,B118)</f>
        <v>0</v>
      </c>
      <c r="K118" s="143">
        <f>SUMIFS(FACILITIES!L:L,FACILITIES!$B:$B,B118)</f>
        <v>0</v>
      </c>
      <c r="L118" s="143">
        <f>SUMIFS(FACILITIES!M:M,FACILITIES!$B:$B,B118)</f>
        <v>0</v>
      </c>
      <c r="M118" s="143">
        <f>SUMIFS(FACILITIES!N:N,FACILITIES!$B:$B,B118)</f>
        <v>1500</v>
      </c>
      <c r="N118" s="143">
        <f>SUMIFS(FACILITIES!O:O,FACILITIES!$B:$B,B118)</f>
        <v>0</v>
      </c>
      <c r="O118" s="143">
        <f>SUMIFS(FACILITIES!P:P,FACILITIES!$B:$B,B118)</f>
        <v>450</v>
      </c>
      <c r="P118" s="143">
        <f>SUMIFS(FACILITIES!Q:Q,FACILITIES!$B:$B,B118)</f>
        <v>0</v>
      </c>
      <c r="Q118" s="143">
        <f>SUMIFS(FACILITIES!R:R,FACILITIES!$B:$B,B118)</f>
        <v>0</v>
      </c>
      <c r="R118" s="143">
        <f>SUMIFS(FACILITIES!T:T,FACILITIES!B:B,B118)</f>
        <v>0</v>
      </c>
      <c r="S118" s="143">
        <f>SUMIFS(FACILITIES!S:S,FACILITIES!B:B,B118)</f>
        <v>0</v>
      </c>
      <c r="T118" s="143">
        <f>SUMIFS('F &amp; B'!G:G,'F &amp; B'!B:B,B118)</f>
        <v>4650</v>
      </c>
      <c r="U118" s="207">
        <f t="shared" si="7"/>
        <v>697.5</v>
      </c>
      <c r="V118" s="143">
        <f>SUMIFS('FIXED AMOUNT'!G:G,'FIXED AMOUNT'!B:B,B118)</f>
        <v>7000</v>
      </c>
      <c r="W118" s="121">
        <f t="shared" si="11"/>
        <v>14897.5</v>
      </c>
      <c r="X118" s="121">
        <f>SUMIFS('FIXED AMOUNT'!E:E,'FIXED AMOUNT'!B:B,B118)</f>
        <v>0</v>
      </c>
      <c r="Y118" s="121">
        <f>SUMIFS('FIXED AMOUNT'!F:F,'FIXED AMOUNT'!B:B,'data base '!B:B)</f>
        <v>0</v>
      </c>
      <c r="Z118" s="121">
        <f>SUMIFS('FIXED AMOUNT'!V:V,'FIXED AMOUNT'!B:B,B:B)</f>
        <v>0</v>
      </c>
      <c r="AA118" s="121">
        <f t="shared" si="8"/>
        <v>14897.5</v>
      </c>
      <c r="AB118" s="204">
        <f t="shared" si="9"/>
        <v>1489.75</v>
      </c>
      <c r="AC118" s="201">
        <v>45945</v>
      </c>
      <c r="AD118" s="121">
        <f t="shared" si="10"/>
        <v>16387.25</v>
      </c>
      <c r="AE118" s="205"/>
    </row>
    <row r="119" spans="1:31" x14ac:dyDescent="0.25">
      <c r="A119">
        <v>118</v>
      </c>
      <c r="B119" t="s">
        <v>1053</v>
      </c>
      <c r="C119" t="s">
        <v>1070</v>
      </c>
      <c r="D119" s="143">
        <f>SUMIFS(FACILITIES!E:E,FACILITIES!$B:$B,B119)</f>
        <v>14700</v>
      </c>
      <c r="E119" s="143">
        <f>SUMIFS(FACILITIES!F:F,FACILITIES!$B:$B,$B119)</f>
        <v>0</v>
      </c>
      <c r="F119" s="143">
        <f>SUMIFS(FACILITIES!G:G,FACILITIES!$B:$B,B119)</f>
        <v>0</v>
      </c>
      <c r="G119" s="143">
        <f>SUMIFS(FACILITIES!H:H,FACILITIES!$B:$B,B119)</f>
        <v>0</v>
      </c>
      <c r="H119" s="143">
        <f>SUMIFS(FACILITIES!I:I,FACILITIES!$B:$B,B119)</f>
        <v>0</v>
      </c>
      <c r="I119" s="143">
        <f>SUMIFS(FACILITIES!J:J,FACILITIES!$B:$B,B119)</f>
        <v>12000</v>
      </c>
      <c r="J119" s="143">
        <f>SUMIFS(FACILITIES!K:K,FACILITIES!$B:$B,B119)</f>
        <v>0</v>
      </c>
      <c r="K119" s="143">
        <f>SUMIFS(FACILITIES!L:L,FACILITIES!$B:$B,B119)</f>
        <v>0</v>
      </c>
      <c r="L119" s="143">
        <f>SUMIFS(FACILITIES!M:M,FACILITIES!$B:$B,B119)</f>
        <v>0</v>
      </c>
      <c r="M119" s="143">
        <f>SUMIFS(FACILITIES!N:N,FACILITIES!$B:$B,B119)</f>
        <v>0</v>
      </c>
      <c r="N119" s="143">
        <f>SUMIFS(FACILITIES!O:O,FACILITIES!$B:$B,B119)</f>
        <v>4000</v>
      </c>
      <c r="O119" s="143">
        <f>SUMIFS(FACILITIES!P:P,FACILITIES!$B:$B,B119)</f>
        <v>24200</v>
      </c>
      <c r="P119" s="143">
        <f>SUMIFS(FACILITIES!Q:Q,FACILITIES!$B:$B,B119)</f>
        <v>0</v>
      </c>
      <c r="Q119" s="143">
        <f>SUMIFS(FACILITIES!R:R,FACILITIES!$B:$B,B119)</f>
        <v>0</v>
      </c>
      <c r="R119" s="143">
        <f>SUMIFS(FACILITIES!T:T,FACILITIES!B:B,B119)</f>
        <v>0</v>
      </c>
      <c r="S119" s="143">
        <f>SUMIFS(FACILITIES!S:S,FACILITIES!B:B,B119)</f>
        <v>0</v>
      </c>
      <c r="T119" s="143">
        <f>SUMIFS('F &amp; B'!G:G,'F &amp; B'!B:B,B119)</f>
        <v>84916</v>
      </c>
      <c r="U119" s="207">
        <f t="shared" si="7"/>
        <v>12737.4</v>
      </c>
      <c r="V119" s="143">
        <f>SUMIFS('FIXED AMOUNT'!G:G,'FIXED AMOUNT'!B:B,B119)</f>
        <v>7000</v>
      </c>
      <c r="W119" s="121">
        <f t="shared" si="11"/>
        <v>159553.4</v>
      </c>
      <c r="X119" s="121">
        <f>SUMIFS('FIXED AMOUNT'!E:E,'FIXED AMOUNT'!B:B,B119)</f>
        <v>0</v>
      </c>
      <c r="Y119" s="121">
        <f>SUMIFS('FIXED AMOUNT'!F:F,'FIXED AMOUNT'!B:B,'data base '!B:B)</f>
        <v>0</v>
      </c>
      <c r="Z119" s="121">
        <f>SUMIFS('FIXED AMOUNT'!V:V,'FIXED AMOUNT'!B:B,B:B)</f>
        <v>0</v>
      </c>
      <c r="AA119" s="121">
        <f t="shared" si="8"/>
        <v>159553.4</v>
      </c>
      <c r="AB119" s="204">
        <f t="shared" si="9"/>
        <v>15955.34</v>
      </c>
      <c r="AC119" s="201">
        <v>45945</v>
      </c>
      <c r="AD119" s="121">
        <f t="shared" si="10"/>
        <v>175508.74</v>
      </c>
      <c r="AE119" s="205"/>
    </row>
    <row r="120" spans="1:31" x14ac:dyDescent="0.2">
      <c r="A120">
        <v>119</v>
      </c>
      <c r="B120" t="s">
        <v>1054</v>
      </c>
      <c r="C120" t="s">
        <v>1077</v>
      </c>
      <c r="D120" s="143">
        <f>SUMIFS(FACILITIES!E:E,FACILITIES!$B:$B,B120)</f>
        <v>0</v>
      </c>
      <c r="E120" s="143">
        <f>SUMIFS(FACILITIES!F:F,FACILITIES!$B:$B,$B120)</f>
        <v>0</v>
      </c>
      <c r="F120" s="143">
        <f>SUMIFS(FACILITIES!G:G,FACILITIES!$B:$B,B120)</f>
        <v>0</v>
      </c>
      <c r="G120" s="143">
        <f>SUMIFS(FACILITIES!H:H,FACILITIES!$B:$B,B120)</f>
        <v>0</v>
      </c>
      <c r="H120" s="143">
        <f>SUMIFS(FACILITIES!I:I,FACILITIES!$B:$B,B120)</f>
        <v>0</v>
      </c>
      <c r="I120" s="143">
        <f>SUMIFS(FACILITIES!J:J,FACILITIES!$B:$B,B120)</f>
        <v>0</v>
      </c>
      <c r="J120" s="143">
        <f>SUMIFS(FACILITIES!K:K,FACILITIES!$B:$B,B120)</f>
        <v>0</v>
      </c>
      <c r="K120" s="143">
        <f>SUMIFS(FACILITIES!L:L,FACILITIES!$B:$B,B120)</f>
        <v>0</v>
      </c>
      <c r="L120" s="143">
        <f>SUMIFS(FACILITIES!M:M,FACILITIES!$B:$B,B120)</f>
        <v>0</v>
      </c>
      <c r="M120" s="143">
        <f>SUMIFS(FACILITIES!N:N,FACILITIES!$B:$B,B120)</f>
        <v>0</v>
      </c>
      <c r="N120" s="143">
        <f>SUMIFS(FACILITIES!O:O,FACILITIES!$B:$B,B120)</f>
        <v>0</v>
      </c>
      <c r="O120" s="143">
        <f>SUMIFS(FACILITIES!P:P,FACILITIES!$B:$B,B120)</f>
        <v>0</v>
      </c>
      <c r="P120" s="143">
        <f>SUMIFS(FACILITIES!Q:Q,FACILITIES!$B:$B,B120)</f>
        <v>0</v>
      </c>
      <c r="Q120" s="143">
        <f>SUMIFS(FACILITIES!R:R,FACILITIES!$B:$B,B120)</f>
        <v>0</v>
      </c>
      <c r="R120" s="143">
        <f>SUMIFS(FACILITIES!T:T,FACILITIES!B:B,B120)</f>
        <v>0</v>
      </c>
      <c r="S120" s="143">
        <f>SUMIFS(FACILITIES!S:S,FACILITIES!B:B,B120)</f>
        <v>0</v>
      </c>
      <c r="T120" s="143">
        <f>SUMIFS('F &amp; B'!G:G,'F &amp; B'!B:B,B120)</f>
        <v>0</v>
      </c>
      <c r="U120" s="207">
        <f t="shared" si="7"/>
        <v>0</v>
      </c>
      <c r="V120" s="143">
        <f>SUMIFS('FIXED AMOUNT'!G:G,'FIXED AMOUNT'!B:B,B120)</f>
        <v>7000</v>
      </c>
      <c r="W120" s="121">
        <f t="shared" si="11"/>
        <v>7000</v>
      </c>
      <c r="X120" s="121">
        <f>SUMIFS('FIXED AMOUNT'!E:E,'FIXED AMOUNT'!B:B,B120)</f>
        <v>0</v>
      </c>
      <c r="Y120" s="121">
        <f>SUMIFS('FIXED AMOUNT'!F:F,'FIXED AMOUNT'!B:B,'data base '!B:B)</f>
        <v>0</v>
      </c>
      <c r="Z120" s="121">
        <f>SUMIFS('FIXED AMOUNT'!V:V,'FIXED AMOUNT'!B:B,B:B)</f>
        <v>30000</v>
      </c>
      <c r="AA120" s="121">
        <f t="shared" si="8"/>
        <v>37000</v>
      </c>
      <c r="AB120" s="204">
        <f t="shared" si="9"/>
        <v>700</v>
      </c>
      <c r="AC120" s="201">
        <v>45945</v>
      </c>
      <c r="AD120" s="121">
        <f t="shared" si="10"/>
        <v>37700</v>
      </c>
      <c r="AE120" s="55"/>
    </row>
    <row r="121" spans="1:31" x14ac:dyDescent="0.2">
      <c r="A121">
        <v>120</v>
      </c>
      <c r="B121" t="s">
        <v>1073</v>
      </c>
      <c r="C121" t="s">
        <v>1076</v>
      </c>
      <c r="D121" s="143">
        <f>SUMIFS(FACILITIES!E:E,FACILITIES!$B:$B,B121)</f>
        <v>1800</v>
      </c>
      <c r="E121" s="143">
        <f>SUMIFS(FACILITIES!F:F,FACILITIES!$B:$B,$B121)</f>
        <v>0</v>
      </c>
      <c r="F121" s="143">
        <f>SUMIFS(FACILITIES!G:G,FACILITIES!$B:$B,B121)</f>
        <v>0</v>
      </c>
      <c r="G121" s="143">
        <f>SUMIFS(FACILITIES!H:H,FACILITIES!$B:$B,B121)</f>
        <v>0</v>
      </c>
      <c r="H121" s="143">
        <f>SUMIFS(FACILITIES!I:I,FACILITIES!$B:$B,B121)</f>
        <v>0</v>
      </c>
      <c r="I121" s="143">
        <f>SUMIFS(FACILITIES!J:J,FACILITIES!$B:$B,B121)</f>
        <v>2000</v>
      </c>
      <c r="J121" s="143">
        <f>SUMIFS(FACILITIES!K:K,FACILITIES!$B:$B,B121)</f>
        <v>0</v>
      </c>
      <c r="K121" s="143">
        <f>SUMIFS(FACILITIES!L:L,FACILITIES!$B:$B,B121)</f>
        <v>0</v>
      </c>
      <c r="L121" s="143">
        <f>SUMIFS(FACILITIES!M:M,FACILITIES!$B:$B,B121)</f>
        <v>0</v>
      </c>
      <c r="M121" s="143">
        <f>SUMIFS(FACILITIES!N:N,FACILITIES!$B:$B,B121)</f>
        <v>0</v>
      </c>
      <c r="N121" s="143">
        <f>SUMIFS(FACILITIES!O:O,FACILITIES!$B:$B,B121)</f>
        <v>0</v>
      </c>
      <c r="O121" s="143">
        <f>SUMIFS(FACILITIES!P:P,FACILITIES!$B:$B,B121)</f>
        <v>0</v>
      </c>
      <c r="P121" s="143">
        <f>SUMIFS(FACILITIES!Q:Q,FACILITIES!$B:$B,B121)</f>
        <v>0</v>
      </c>
      <c r="Q121" s="143">
        <f>SUMIFS(FACILITIES!R:R,FACILITIES!$B:$B,B121)</f>
        <v>0</v>
      </c>
      <c r="R121" s="143">
        <f>SUMIFS(FACILITIES!T:T,FACILITIES!B:B,B121)</f>
        <v>15000</v>
      </c>
      <c r="S121" s="143">
        <f>SUMIFS(FACILITIES!S:S,FACILITIES!B:B,B121)</f>
        <v>0</v>
      </c>
      <c r="T121" s="143">
        <f>SUMIFS('F &amp; B'!G:G,'F &amp; B'!B:B,B121)</f>
        <v>36529</v>
      </c>
      <c r="U121" s="207">
        <f t="shared" si="7"/>
        <v>5479.3499999999995</v>
      </c>
      <c r="V121" s="143">
        <f>SUMIFS('FIXED AMOUNT'!G:G,'FIXED AMOUNT'!B:B,B121)</f>
        <v>7000</v>
      </c>
      <c r="W121" s="121">
        <f t="shared" si="11"/>
        <v>67808.350000000006</v>
      </c>
      <c r="X121" s="121">
        <f>SUMIFS('FIXED AMOUNT'!E:E,'FIXED AMOUNT'!B:B,B121)</f>
        <v>0</v>
      </c>
      <c r="Y121" s="121">
        <f>SUMIFS('FIXED AMOUNT'!F:F,'FIXED AMOUNT'!B:B,'data base '!B:B)</f>
        <v>0</v>
      </c>
      <c r="Z121" s="121">
        <f>SUMIFS('FIXED AMOUNT'!V:V,'FIXED AMOUNT'!B:B,B:B)</f>
        <v>0</v>
      </c>
      <c r="AA121" s="121">
        <f t="shared" si="8"/>
        <v>67808.350000000006</v>
      </c>
      <c r="AB121" s="204">
        <f t="shared" si="9"/>
        <v>6780.8350000000009</v>
      </c>
      <c r="AC121" s="201">
        <v>45945</v>
      </c>
      <c r="AD121" s="121">
        <f t="shared" si="10"/>
        <v>74589.185000000012</v>
      </c>
      <c r="AE121" s="55"/>
    </row>
    <row r="122" spans="1:31" x14ac:dyDescent="0.2">
      <c r="A122">
        <v>121</v>
      </c>
      <c r="B122" t="s">
        <v>1074</v>
      </c>
      <c r="C122" t="s">
        <v>1069</v>
      </c>
      <c r="D122" s="143">
        <f>SUMIFS(FACILITIES!E:E,FACILITIES!$B:$B,B122)</f>
        <v>0</v>
      </c>
      <c r="E122" s="143">
        <f>SUMIFS(FACILITIES!F:F,FACILITIES!$B:$B,$B122)</f>
        <v>0</v>
      </c>
      <c r="F122" s="143">
        <f>SUMIFS(FACILITIES!G:G,FACILITIES!$B:$B,B122)</f>
        <v>0</v>
      </c>
      <c r="G122" s="143">
        <f>SUMIFS(FACILITIES!H:H,FACILITIES!$B:$B,B122)</f>
        <v>0</v>
      </c>
      <c r="H122" s="143">
        <f>SUMIFS(FACILITIES!I:I,FACILITIES!$B:$B,B122)</f>
        <v>0</v>
      </c>
      <c r="I122" s="143">
        <f>SUMIFS(FACILITIES!J:J,FACILITIES!$B:$B,B122)</f>
        <v>0</v>
      </c>
      <c r="J122" s="143">
        <f>SUMIFS(FACILITIES!K:K,FACILITIES!$B:$B,B122)</f>
        <v>0</v>
      </c>
      <c r="K122" s="143">
        <f>SUMIFS(FACILITIES!L:L,FACILITIES!$B:$B,B122)</f>
        <v>0</v>
      </c>
      <c r="L122" s="143">
        <f>SUMIFS(FACILITIES!M:M,FACILITIES!$B:$B,B122)</f>
        <v>0</v>
      </c>
      <c r="M122" s="143">
        <f>SUMIFS(FACILITIES!N:N,FACILITIES!$B:$B,B122)</f>
        <v>0</v>
      </c>
      <c r="N122" s="143">
        <f>SUMIFS(FACILITIES!O:O,FACILITIES!$B:$B,B122)</f>
        <v>0</v>
      </c>
      <c r="O122" s="143">
        <f>SUMIFS(FACILITIES!P:P,FACILITIES!$B:$B,B122)</f>
        <v>0</v>
      </c>
      <c r="P122" s="143">
        <f>SUMIFS(FACILITIES!Q:Q,FACILITIES!$B:$B,B122)</f>
        <v>0</v>
      </c>
      <c r="Q122" s="143">
        <f>SUMIFS(FACILITIES!R:R,FACILITIES!$B:$B,B122)</f>
        <v>0</v>
      </c>
      <c r="R122" s="143">
        <f>SUMIFS(FACILITIES!T:T,FACILITIES!B:B,B122)</f>
        <v>0</v>
      </c>
      <c r="S122" s="143">
        <f>SUMIFS(FACILITIES!S:S,FACILITIES!B:B,B122)</f>
        <v>0</v>
      </c>
      <c r="T122" s="143">
        <f>SUMIFS('F &amp; B'!G:G,'F &amp; B'!B:B,B122)</f>
        <v>0</v>
      </c>
      <c r="U122" s="207">
        <f t="shared" si="7"/>
        <v>0</v>
      </c>
      <c r="V122" s="143">
        <f>SUMIFS('FIXED AMOUNT'!G:G,'FIXED AMOUNT'!B:B,B122)</f>
        <v>7000</v>
      </c>
      <c r="W122" s="121">
        <f t="shared" si="11"/>
        <v>7000</v>
      </c>
      <c r="X122" s="121">
        <f>SUMIFS('FIXED AMOUNT'!E:E,'FIXED AMOUNT'!B:B,B122)</f>
        <v>0</v>
      </c>
      <c r="Y122" s="121">
        <f>SUMIFS('FIXED AMOUNT'!F:F,'FIXED AMOUNT'!B:B,'data base '!B:B)</f>
        <v>0</v>
      </c>
      <c r="Z122" s="121">
        <f>SUMIFS('FIXED AMOUNT'!V:V,'FIXED AMOUNT'!B:B,B:B)</f>
        <v>0</v>
      </c>
      <c r="AA122" s="121">
        <f t="shared" si="8"/>
        <v>7000</v>
      </c>
      <c r="AB122" s="204">
        <f t="shared" si="9"/>
        <v>700</v>
      </c>
      <c r="AC122" s="201">
        <v>45945</v>
      </c>
      <c r="AD122" s="121">
        <f t="shared" si="10"/>
        <v>7700</v>
      </c>
      <c r="AE122" s="55"/>
    </row>
    <row r="123" spans="1:31" x14ac:dyDescent="0.25">
      <c r="A123">
        <v>122</v>
      </c>
      <c r="B123" s="8" t="s">
        <v>756</v>
      </c>
      <c r="C123" s="8" t="s">
        <v>1245</v>
      </c>
      <c r="D123" s="143">
        <f>SUMIFS(FACILITIES!E:E,FACILITIES!$B:$B,B123)</f>
        <v>7500</v>
      </c>
      <c r="E123" s="143">
        <f>SUMIFS(FACILITIES!F:F,FACILITIES!$B:$B,$B123)</f>
        <v>150</v>
      </c>
      <c r="F123" s="143">
        <f>SUMIFS(FACILITIES!G:G,FACILITIES!$B:$B,B123)</f>
        <v>0</v>
      </c>
      <c r="G123" s="143">
        <f>SUMIFS(FACILITIES!H:H,FACILITIES!$B:$B,B123)</f>
        <v>0</v>
      </c>
      <c r="H123" s="143">
        <f>SUMIFS(FACILITIES!I:I,FACILITIES!$B:$B,B123)</f>
        <v>0</v>
      </c>
      <c r="I123" s="143">
        <f>SUMIFS(FACILITIES!J:J,FACILITIES!$B:$B,B123)</f>
        <v>4000</v>
      </c>
      <c r="J123" s="143">
        <f>SUMIFS(FACILITIES!K:K,FACILITIES!$B:$B,B123)</f>
        <v>2600</v>
      </c>
      <c r="K123" s="143">
        <f>SUMIFS(FACILITIES!L:L,FACILITIES!$B:$B,B123)</f>
        <v>0</v>
      </c>
      <c r="L123" s="143">
        <f>SUMIFS(FACILITIES!M:M,FACILITIES!$B:$B,B123)</f>
        <v>0</v>
      </c>
      <c r="M123" s="143">
        <f>SUMIFS(FACILITIES!N:N,FACILITIES!$B:$B,B123)</f>
        <v>0</v>
      </c>
      <c r="N123" s="143">
        <f>SUMIFS(FACILITIES!O:O,FACILITIES!$B:$B,B123)</f>
        <v>11200</v>
      </c>
      <c r="O123" s="143">
        <f>SUMIFS(FACILITIES!P:P,FACILITIES!$B:$B,B123)</f>
        <v>101250</v>
      </c>
      <c r="P123" s="143">
        <f>SUMIFS(FACILITIES!Q:Q,FACILITIES!$B:$B,B123)</f>
        <v>0</v>
      </c>
      <c r="Q123" s="143">
        <f>SUMIFS(FACILITIES!R:R,FACILITIES!$B:$B,B123)</f>
        <v>0</v>
      </c>
      <c r="R123" s="143">
        <f>SUMIFS(FACILITIES!T:T,FACILITIES!B:B,B123)</f>
        <v>0</v>
      </c>
      <c r="S123" s="143">
        <f>SUMIFS(FACILITIES!S:S,FACILITIES!B:B,B123)</f>
        <v>150000</v>
      </c>
      <c r="T123" s="143">
        <f>SUMIFS('F &amp; B'!G:G,'F &amp; B'!B:B,B123)</f>
        <v>0</v>
      </c>
      <c r="U123" s="207">
        <f t="shared" si="7"/>
        <v>0</v>
      </c>
      <c r="V123" s="143">
        <f>SUMIFS('FIXED AMOUNT'!G:G,'FIXED AMOUNT'!B:B,B123)</f>
        <v>0</v>
      </c>
      <c r="W123" s="121">
        <f t="shared" si="11"/>
        <v>276700</v>
      </c>
      <c r="X123" s="121">
        <f>SUMIFS('FIXED AMOUNT'!E:E,'FIXED AMOUNT'!B:B,B123)</f>
        <v>0</v>
      </c>
      <c r="Y123" s="121">
        <f>SUMIFS('FIXED AMOUNT'!F:F,'FIXED AMOUNT'!B:B,'data base '!B:B)</f>
        <v>0</v>
      </c>
      <c r="Z123" s="121">
        <f>SUMIFS('FIXED AMOUNT'!V:V,'FIXED AMOUNT'!B:B,B:B)</f>
        <v>0</v>
      </c>
      <c r="AA123" s="121">
        <f t="shared" si="8"/>
        <v>276700</v>
      </c>
      <c r="AB123" s="204">
        <f t="shared" si="9"/>
        <v>27670</v>
      </c>
      <c r="AC123" s="201">
        <v>45945</v>
      </c>
      <c r="AD123" s="121">
        <v>0</v>
      </c>
    </row>
    <row r="124" spans="1:31" x14ac:dyDescent="0.25">
      <c r="D124" s="143">
        <f t="shared" ref="D124:R124" si="12">SUM(D2:D122)</f>
        <v>81600</v>
      </c>
      <c r="E124" s="143">
        <f t="shared" si="12"/>
        <v>33900</v>
      </c>
      <c r="F124" s="143">
        <f t="shared" si="12"/>
        <v>1500</v>
      </c>
      <c r="G124" s="143">
        <f t="shared" si="12"/>
        <v>7500</v>
      </c>
      <c r="H124" s="143">
        <f t="shared" si="12"/>
        <v>300</v>
      </c>
      <c r="I124" s="143">
        <f t="shared" si="12"/>
        <v>105100</v>
      </c>
      <c r="J124" s="143">
        <f t="shared" si="12"/>
        <v>14400</v>
      </c>
      <c r="K124" s="143">
        <f t="shared" si="12"/>
        <v>0</v>
      </c>
      <c r="L124" s="143">
        <f t="shared" si="12"/>
        <v>200</v>
      </c>
      <c r="M124" s="143">
        <f t="shared" si="12"/>
        <v>3000</v>
      </c>
      <c r="N124" s="143">
        <f t="shared" si="12"/>
        <v>67250</v>
      </c>
      <c r="O124" s="143">
        <f t="shared" si="12"/>
        <v>160150</v>
      </c>
      <c r="P124" s="143">
        <f t="shared" si="12"/>
        <v>0</v>
      </c>
      <c r="Q124" s="143">
        <f t="shared" si="12"/>
        <v>0</v>
      </c>
      <c r="R124" s="143">
        <f t="shared" si="12"/>
        <v>508000</v>
      </c>
      <c r="S124" s="143"/>
      <c r="T124" s="143">
        <f>SUM(T2:T122)</f>
        <v>5370466</v>
      </c>
      <c r="U124" s="207">
        <f>SUM(U2:U122)</f>
        <v>791409.9</v>
      </c>
      <c r="V124" s="143">
        <f>SUM(V2:V122)</f>
        <v>819000</v>
      </c>
      <c r="W124" s="121">
        <f>SUM(W2:W123)</f>
        <v>8825475.8999999985</v>
      </c>
      <c r="X124" s="121">
        <f t="shared" ref="X124:Y124" si="13">SUM(X2:X123)</f>
        <v>0</v>
      </c>
      <c r="Y124" s="121">
        <f t="shared" si="13"/>
        <v>0</v>
      </c>
      <c r="Z124" s="121">
        <f>SUM(Z2:Z123)</f>
        <v>1153996</v>
      </c>
      <c r="AA124" s="121">
        <f>SUM(AA2:AA123)</f>
        <v>9979471.9000000004</v>
      </c>
      <c r="AB124" s="121">
        <f t="shared" ref="AB124:AD124" si="14">SUM(AB2:AB123)</f>
        <v>882547.58999999985</v>
      </c>
      <c r="AC124" s="121"/>
      <c r="AD124" s="121">
        <f t="shared" si="14"/>
        <v>10515064.09</v>
      </c>
      <c r="AE124" s="205">
        <f>AD124-AA124</f>
        <v>535592.18999999948</v>
      </c>
    </row>
  </sheetData>
  <autoFilter ref="A1:AE124"/>
  <conditionalFormatting sqref="AB124:AD124 AE1:AE1048576">
    <cfRule type="duplicateValues" dxfId="36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500"/>
  <sheetViews>
    <sheetView zoomScale="55" zoomScaleNormal="55" workbookViewId="0">
      <pane ySplit="1" topLeftCell="A2" activePane="bottomLeft" state="frozen"/>
      <selection pane="bottomLeft" activeCell="F20" sqref="F20"/>
    </sheetView>
  </sheetViews>
  <sheetFormatPr defaultColWidth="14" defaultRowHeight="14.25" x14ac:dyDescent="0.25"/>
  <cols>
    <col min="1" max="1" width="5" style="244" customWidth="1"/>
    <col min="2" max="2" width="16.7109375" style="244" customWidth="1"/>
    <col min="3" max="3" width="54.28515625" style="244" bestFit="1" customWidth="1"/>
    <col min="4" max="4" width="14" style="248"/>
    <col min="5" max="5" width="22.28515625" style="246" bestFit="1" customWidth="1"/>
    <col min="6" max="6" width="22.28515625" style="246" customWidth="1"/>
    <col min="7" max="7" width="17.7109375" style="246" bestFit="1" customWidth="1"/>
    <col min="8" max="8" width="18.7109375" style="246" bestFit="1" customWidth="1"/>
    <col min="9" max="9" width="22.28515625" style="197" bestFit="1" customWidth="1"/>
    <col min="10" max="10" width="10.5703125" style="197" customWidth="1"/>
    <col min="11" max="11" width="18" style="197" bestFit="1" customWidth="1"/>
    <col min="12" max="12" width="21.7109375" style="246" bestFit="1" customWidth="1"/>
    <col min="13" max="13" width="10.28515625" style="246" customWidth="1"/>
    <col min="14" max="14" width="14" style="246" customWidth="1"/>
    <col min="15" max="15" width="15.28515625" style="247" customWidth="1"/>
    <col min="16" max="16" width="14.5703125" style="246" bestFit="1" customWidth="1"/>
    <col min="17" max="17" width="14.28515625" style="247" bestFit="1" customWidth="1"/>
    <col min="18" max="18" width="18.7109375" style="246" bestFit="1" customWidth="1"/>
    <col min="19" max="19" width="15" style="246" bestFit="1" customWidth="1"/>
    <col min="20" max="20" width="24.5703125" style="246" bestFit="1" customWidth="1"/>
    <col min="21" max="21" width="15.140625" style="246" bestFit="1" customWidth="1"/>
    <col min="22" max="22" width="20.7109375" style="246" customWidth="1"/>
    <col min="23" max="16384" width="14" style="244"/>
  </cols>
  <sheetData>
    <row r="1" spans="1:22" s="243" customFormat="1" ht="51.75" customHeight="1" x14ac:dyDescent="0.25">
      <c r="A1" s="255" t="s">
        <v>0</v>
      </c>
      <c r="B1" s="256" t="s">
        <v>1</v>
      </c>
      <c r="C1" s="256" t="s">
        <v>2</v>
      </c>
      <c r="D1" s="257" t="s">
        <v>362</v>
      </c>
      <c r="E1" s="279" t="s">
        <v>1158</v>
      </c>
      <c r="F1" s="280" t="s">
        <v>1159</v>
      </c>
      <c r="G1" s="281" t="s">
        <v>413</v>
      </c>
      <c r="H1" s="279" t="s">
        <v>987</v>
      </c>
      <c r="I1" s="280" t="s">
        <v>1111</v>
      </c>
      <c r="J1" s="280" t="s">
        <v>1112</v>
      </c>
      <c r="K1" s="280" t="s">
        <v>1113</v>
      </c>
      <c r="L1" s="280" t="s">
        <v>1114</v>
      </c>
      <c r="M1" s="280" t="s">
        <v>1156</v>
      </c>
      <c r="N1" s="280" t="s">
        <v>1157</v>
      </c>
      <c r="O1" s="280" t="s">
        <v>1155</v>
      </c>
      <c r="P1" s="280" t="s">
        <v>1047</v>
      </c>
      <c r="Q1" s="280" t="s">
        <v>1045</v>
      </c>
      <c r="R1" s="280" t="s">
        <v>1046</v>
      </c>
      <c r="S1" s="280" t="s">
        <v>1048</v>
      </c>
      <c r="T1" s="280" t="s">
        <v>1049</v>
      </c>
      <c r="U1" s="280" t="s">
        <v>988</v>
      </c>
      <c r="V1" s="281" t="s">
        <v>993</v>
      </c>
    </row>
    <row r="2" spans="1:22" ht="20.25" customHeight="1" x14ac:dyDescent="0.25">
      <c r="A2" s="258">
        <v>1</v>
      </c>
      <c r="B2" s="249" t="s">
        <v>7</v>
      </c>
      <c r="C2" s="250" t="s">
        <v>8</v>
      </c>
      <c r="D2" s="251">
        <v>45992</v>
      </c>
      <c r="E2" s="282">
        <v>0</v>
      </c>
      <c r="F2" s="252">
        <v>0</v>
      </c>
      <c r="G2" s="283">
        <v>7000</v>
      </c>
      <c r="H2" s="287">
        <f>SUM(I2:T2)</f>
        <v>65600</v>
      </c>
      <c r="I2" s="253">
        <f>SUMIFS(FACILITIES!T:T,FACILITIES!B:B,B2)</f>
        <v>0</v>
      </c>
      <c r="J2" s="253">
        <v>0</v>
      </c>
      <c r="K2" s="253">
        <v>0</v>
      </c>
      <c r="L2" s="253">
        <v>0</v>
      </c>
      <c r="M2" s="253" t="s">
        <v>1160</v>
      </c>
      <c r="N2" s="253">
        <v>0</v>
      </c>
      <c r="O2" s="253">
        <f>SUMIFS('F &amp; B'!G:G,'F &amp; B'!B:B,B2)</f>
        <v>24550</v>
      </c>
      <c r="P2" s="253">
        <v>0</v>
      </c>
      <c r="Q2" s="254">
        <v>11350</v>
      </c>
      <c r="R2" s="254">
        <v>11100</v>
      </c>
      <c r="S2" s="254">
        <v>18600</v>
      </c>
      <c r="T2" s="254">
        <v>0</v>
      </c>
      <c r="U2" s="254">
        <v>60000</v>
      </c>
      <c r="V2" s="288" t="str">
        <f>IF(U2-H2&gt;0, U2-H2, "")</f>
        <v/>
      </c>
    </row>
    <row r="3" spans="1:22" s="245" customFormat="1" ht="20.25" customHeight="1" x14ac:dyDescent="0.25">
      <c r="A3" s="258">
        <v>2</v>
      </c>
      <c r="B3" s="249" t="s">
        <v>10</v>
      </c>
      <c r="C3" s="250" t="s">
        <v>11</v>
      </c>
      <c r="D3" s="251">
        <v>45992</v>
      </c>
      <c r="E3" s="282">
        <v>0</v>
      </c>
      <c r="F3" s="252">
        <v>0</v>
      </c>
      <c r="G3" s="283">
        <v>7000</v>
      </c>
      <c r="H3" s="287">
        <f t="shared" ref="H3:H66" si="0">SUM(I3:T3)</f>
        <v>61790</v>
      </c>
      <c r="I3" s="253">
        <f>SUMIFS(FACILITIES!T:T,FACILITIES!B:B,B3)</f>
        <v>0</v>
      </c>
      <c r="J3" s="253">
        <v>0</v>
      </c>
      <c r="K3" s="253">
        <v>0</v>
      </c>
      <c r="L3" s="253">
        <v>0</v>
      </c>
      <c r="M3" s="253" t="s">
        <v>1160</v>
      </c>
      <c r="N3" s="253">
        <v>4500</v>
      </c>
      <c r="O3" s="253">
        <f>SUMIFS('F &amp; B'!G:G,'F &amp; B'!B:B,B3)</f>
        <v>12950</v>
      </c>
      <c r="P3" s="253">
        <v>13200</v>
      </c>
      <c r="Q3" s="254">
        <v>5210</v>
      </c>
      <c r="R3" s="254">
        <v>15080</v>
      </c>
      <c r="S3" s="254">
        <v>8950</v>
      </c>
      <c r="T3" s="254">
        <v>1900</v>
      </c>
      <c r="U3" s="254">
        <v>60000</v>
      </c>
      <c r="V3" s="288" t="str">
        <f t="shared" ref="V3:V66" si="1">IF(U3-H3&gt;0, U3-H3, "")</f>
        <v/>
      </c>
    </row>
    <row r="4" spans="1:22" s="245" customFormat="1" ht="20.25" customHeight="1" x14ac:dyDescent="0.25">
      <c r="A4" s="258">
        <v>3</v>
      </c>
      <c r="B4" s="249" t="s">
        <v>15</v>
      </c>
      <c r="C4" s="250" t="s">
        <v>16</v>
      </c>
      <c r="D4" s="251">
        <v>45992</v>
      </c>
      <c r="E4" s="282">
        <v>0</v>
      </c>
      <c r="F4" s="252">
        <v>0</v>
      </c>
      <c r="G4" s="283">
        <v>7000</v>
      </c>
      <c r="H4" s="287">
        <f t="shared" si="0"/>
        <v>168251</v>
      </c>
      <c r="I4" s="253">
        <f>SUMIFS(FACILITIES!T:T,FACILITIES!B:B,B4)</f>
        <v>0</v>
      </c>
      <c r="J4" s="253">
        <v>0</v>
      </c>
      <c r="K4" s="253">
        <v>0</v>
      </c>
      <c r="L4" s="253">
        <v>0</v>
      </c>
      <c r="M4" s="253" t="s">
        <v>1160</v>
      </c>
      <c r="N4" s="253">
        <v>2000</v>
      </c>
      <c r="O4" s="253">
        <f>SUMIFS('F &amp; B'!G:G,'F &amp; B'!B:B,B4)</f>
        <v>52578</v>
      </c>
      <c r="P4" s="253">
        <v>17820</v>
      </c>
      <c r="Q4" s="254">
        <v>19924</v>
      </c>
      <c r="R4" s="254">
        <v>30270</v>
      </c>
      <c r="S4" s="254">
        <v>11600</v>
      </c>
      <c r="T4" s="254">
        <v>34059</v>
      </c>
      <c r="U4" s="254">
        <v>60000</v>
      </c>
      <c r="V4" s="288" t="str">
        <f t="shared" si="1"/>
        <v/>
      </c>
    </row>
    <row r="5" spans="1:22" s="245" customFormat="1" ht="20.25" customHeight="1" x14ac:dyDescent="0.25">
      <c r="A5" s="258">
        <v>4</v>
      </c>
      <c r="B5" s="249" t="s">
        <v>20</v>
      </c>
      <c r="C5" s="250" t="s">
        <v>21</v>
      </c>
      <c r="D5" s="251">
        <v>45992</v>
      </c>
      <c r="E5" s="282">
        <v>0</v>
      </c>
      <c r="F5" s="252">
        <v>0</v>
      </c>
      <c r="G5" s="283">
        <v>7000</v>
      </c>
      <c r="H5" s="287">
        <f t="shared" si="0"/>
        <v>105105</v>
      </c>
      <c r="I5" s="253">
        <f>SUMIFS(FACILITIES!T:T,FACILITIES!B:B,B5)</f>
        <v>0</v>
      </c>
      <c r="J5" s="253">
        <v>0</v>
      </c>
      <c r="K5" s="253">
        <v>0</v>
      </c>
      <c r="L5" s="253">
        <v>0</v>
      </c>
      <c r="M5" s="253" t="s">
        <v>1160</v>
      </c>
      <c r="N5" s="253">
        <v>0</v>
      </c>
      <c r="O5" s="253">
        <f>SUMIFS('F &amp; B'!G:G,'F &amp; B'!B:B,B5)</f>
        <v>6550</v>
      </c>
      <c r="P5" s="253">
        <v>25167</v>
      </c>
      <c r="Q5" s="254">
        <v>34700</v>
      </c>
      <c r="R5" s="254">
        <v>9150</v>
      </c>
      <c r="S5" s="254">
        <v>22388</v>
      </c>
      <c r="T5" s="254">
        <v>7150</v>
      </c>
      <c r="U5" s="254">
        <v>60000</v>
      </c>
      <c r="V5" s="288" t="str">
        <f t="shared" si="1"/>
        <v/>
      </c>
    </row>
    <row r="6" spans="1:22" ht="20.25" customHeight="1" x14ac:dyDescent="0.25">
      <c r="A6" s="258">
        <v>5</v>
      </c>
      <c r="B6" s="249" t="s">
        <v>25</v>
      </c>
      <c r="C6" s="250" t="s">
        <v>26</v>
      </c>
      <c r="D6" s="251">
        <v>45992</v>
      </c>
      <c r="E6" s="282">
        <v>0</v>
      </c>
      <c r="F6" s="252">
        <v>0</v>
      </c>
      <c r="G6" s="283">
        <v>7000</v>
      </c>
      <c r="H6" s="287">
        <f t="shared" si="0"/>
        <v>51526</v>
      </c>
      <c r="I6" s="253">
        <f>SUMIFS(FACILITIES!T:T,FACILITIES!B:B,B6)</f>
        <v>0</v>
      </c>
      <c r="J6" s="253">
        <v>0</v>
      </c>
      <c r="K6" s="253">
        <v>0</v>
      </c>
      <c r="L6" s="253">
        <v>0</v>
      </c>
      <c r="M6" s="253" t="s">
        <v>1160</v>
      </c>
      <c r="N6" s="253">
        <v>0</v>
      </c>
      <c r="O6" s="253">
        <f>SUMIFS('F &amp; B'!G:G,'F &amp; B'!B:B,B6)</f>
        <v>22657</v>
      </c>
      <c r="P6" s="253">
        <v>7325</v>
      </c>
      <c r="Q6" s="254">
        <v>9974</v>
      </c>
      <c r="R6" s="254">
        <v>1200</v>
      </c>
      <c r="S6" s="254">
        <v>10370</v>
      </c>
      <c r="T6" s="254">
        <v>0</v>
      </c>
      <c r="U6" s="254">
        <v>60000</v>
      </c>
      <c r="V6" s="288">
        <f t="shared" si="1"/>
        <v>8474</v>
      </c>
    </row>
    <row r="7" spans="1:22" ht="20.25" customHeight="1" x14ac:dyDescent="0.25">
      <c r="A7" s="258">
        <v>6</v>
      </c>
      <c r="B7" s="249" t="s">
        <v>29</v>
      </c>
      <c r="C7" s="250" t="s">
        <v>30</v>
      </c>
      <c r="D7" s="251">
        <v>45992</v>
      </c>
      <c r="E7" s="282">
        <v>0</v>
      </c>
      <c r="F7" s="252">
        <v>0</v>
      </c>
      <c r="G7" s="283">
        <v>7000</v>
      </c>
      <c r="H7" s="287">
        <f t="shared" si="0"/>
        <v>15650</v>
      </c>
      <c r="I7" s="253">
        <f>SUMIFS(FACILITIES!T:T,FACILITIES!B:B,B7)</f>
        <v>0</v>
      </c>
      <c r="J7" s="253">
        <v>0</v>
      </c>
      <c r="K7" s="253">
        <v>0</v>
      </c>
      <c r="L7" s="253">
        <v>0</v>
      </c>
      <c r="M7" s="253" t="s">
        <v>1160</v>
      </c>
      <c r="N7" s="253">
        <v>0</v>
      </c>
      <c r="O7" s="253">
        <f>SUMIFS('F &amp; B'!G:G,'F &amp; B'!B:B,B7)</f>
        <v>3200</v>
      </c>
      <c r="P7" s="253">
        <v>4420</v>
      </c>
      <c r="Q7" s="254">
        <v>3850</v>
      </c>
      <c r="R7" s="254">
        <v>4180</v>
      </c>
      <c r="S7" s="254">
        <v>0</v>
      </c>
      <c r="T7" s="254">
        <v>0</v>
      </c>
      <c r="U7" s="254">
        <v>60000</v>
      </c>
      <c r="V7" s="288">
        <f t="shared" si="1"/>
        <v>44350</v>
      </c>
    </row>
    <row r="8" spans="1:22" ht="20.25" customHeight="1" x14ac:dyDescent="0.25">
      <c r="A8" s="258">
        <v>7</v>
      </c>
      <c r="B8" s="249" t="s">
        <v>34</v>
      </c>
      <c r="C8" s="250" t="s">
        <v>35</v>
      </c>
      <c r="D8" s="251">
        <v>45992</v>
      </c>
      <c r="E8" s="282">
        <v>0</v>
      </c>
      <c r="F8" s="252">
        <v>0</v>
      </c>
      <c r="G8" s="283">
        <v>7000</v>
      </c>
      <c r="H8" s="287">
        <f t="shared" si="0"/>
        <v>721159</v>
      </c>
      <c r="I8" s="253">
        <f>SUMIFS(FACILITIES!T:T,FACILITIES!B:B,B8)</f>
        <v>0</v>
      </c>
      <c r="J8" s="253">
        <v>0</v>
      </c>
      <c r="K8" s="253">
        <v>180000</v>
      </c>
      <c r="L8" s="253">
        <v>0</v>
      </c>
      <c r="M8" s="253" t="s">
        <v>1160</v>
      </c>
      <c r="N8" s="253">
        <v>270000</v>
      </c>
      <c r="O8" s="253">
        <f>SUMIFS('F &amp; B'!G:G,'F &amp; B'!B:B,B8)</f>
        <v>0</v>
      </c>
      <c r="P8" s="253">
        <v>3550</v>
      </c>
      <c r="Q8" s="254">
        <v>236849</v>
      </c>
      <c r="R8" s="254">
        <v>6160</v>
      </c>
      <c r="S8" s="254">
        <v>0</v>
      </c>
      <c r="T8" s="254">
        <v>24600</v>
      </c>
      <c r="U8" s="254">
        <v>60000</v>
      </c>
      <c r="V8" s="288" t="str">
        <f t="shared" si="1"/>
        <v/>
      </c>
    </row>
    <row r="9" spans="1:22" ht="20.25" customHeight="1" x14ac:dyDescent="0.25">
      <c r="A9" s="258">
        <v>8</v>
      </c>
      <c r="B9" s="249" t="s">
        <v>39</v>
      </c>
      <c r="C9" s="250" t="s">
        <v>40</v>
      </c>
      <c r="D9" s="251">
        <v>45992</v>
      </c>
      <c r="E9" s="282">
        <v>0</v>
      </c>
      <c r="F9" s="252">
        <v>0</v>
      </c>
      <c r="G9" s="283">
        <v>7000</v>
      </c>
      <c r="H9" s="287">
        <f t="shared" si="0"/>
        <v>70453</v>
      </c>
      <c r="I9" s="253">
        <f>SUMIFS(FACILITIES!T:T,FACILITIES!B:B,B9)</f>
        <v>0</v>
      </c>
      <c r="J9" s="253">
        <v>0</v>
      </c>
      <c r="K9" s="253">
        <v>0</v>
      </c>
      <c r="L9" s="253">
        <v>0</v>
      </c>
      <c r="M9" s="253" t="s">
        <v>1160</v>
      </c>
      <c r="N9" s="253">
        <v>0</v>
      </c>
      <c r="O9" s="253">
        <f>SUMIFS('F &amp; B'!G:G,'F &amp; B'!B:B,B9)</f>
        <v>1300</v>
      </c>
      <c r="P9" s="253">
        <v>19930</v>
      </c>
      <c r="Q9" s="254">
        <v>25949</v>
      </c>
      <c r="R9" s="254">
        <v>14474</v>
      </c>
      <c r="S9" s="254">
        <v>3625</v>
      </c>
      <c r="T9" s="254">
        <v>5175</v>
      </c>
      <c r="U9" s="254">
        <v>60000</v>
      </c>
      <c r="V9" s="288" t="str">
        <f t="shared" si="1"/>
        <v/>
      </c>
    </row>
    <row r="10" spans="1:22" ht="20.25" customHeight="1" x14ac:dyDescent="0.25">
      <c r="A10" s="258">
        <v>9</v>
      </c>
      <c r="B10" s="249" t="s">
        <v>44</v>
      </c>
      <c r="C10" s="250" t="s">
        <v>45</v>
      </c>
      <c r="D10" s="251">
        <v>45992</v>
      </c>
      <c r="E10" s="282">
        <v>0</v>
      </c>
      <c r="F10" s="252">
        <v>0</v>
      </c>
      <c r="G10" s="283">
        <v>7000</v>
      </c>
      <c r="H10" s="287">
        <f t="shared" si="0"/>
        <v>42074</v>
      </c>
      <c r="I10" s="253">
        <f>SUMIFS(FACILITIES!T:T,FACILITIES!B:B,B10)</f>
        <v>0</v>
      </c>
      <c r="J10" s="253">
        <v>0</v>
      </c>
      <c r="K10" s="253">
        <v>0</v>
      </c>
      <c r="L10" s="253">
        <v>0</v>
      </c>
      <c r="M10" s="253" t="s">
        <v>1160</v>
      </c>
      <c r="N10" s="253">
        <v>0</v>
      </c>
      <c r="O10" s="253">
        <f>SUMIFS('F &amp; B'!G:G,'F &amp; B'!B:B,B10)</f>
        <v>500</v>
      </c>
      <c r="P10" s="253">
        <v>6789</v>
      </c>
      <c r="Q10" s="254">
        <v>0</v>
      </c>
      <c r="R10" s="254">
        <v>28257</v>
      </c>
      <c r="S10" s="254">
        <v>0</v>
      </c>
      <c r="T10" s="254">
        <v>6528</v>
      </c>
      <c r="U10" s="254">
        <v>60000</v>
      </c>
      <c r="V10" s="288">
        <f t="shared" si="1"/>
        <v>17926</v>
      </c>
    </row>
    <row r="11" spans="1:22" ht="20.25" customHeight="1" x14ac:dyDescent="0.25">
      <c r="A11" s="258">
        <v>10</v>
      </c>
      <c r="B11" s="249" t="s">
        <v>49</v>
      </c>
      <c r="C11" s="250" t="s">
        <v>50</v>
      </c>
      <c r="D11" s="251">
        <v>45992</v>
      </c>
      <c r="E11" s="282">
        <v>0</v>
      </c>
      <c r="F11" s="252">
        <v>0</v>
      </c>
      <c r="G11" s="283">
        <v>7000</v>
      </c>
      <c r="H11" s="287">
        <f t="shared" si="0"/>
        <v>74215</v>
      </c>
      <c r="I11" s="253">
        <f>SUMIFS(FACILITIES!T:T,FACILITIES!B:B,B11)</f>
        <v>0</v>
      </c>
      <c r="J11" s="253">
        <v>0</v>
      </c>
      <c r="K11" s="253">
        <v>0</v>
      </c>
      <c r="L11" s="253">
        <v>0</v>
      </c>
      <c r="M11" s="253" t="s">
        <v>1160</v>
      </c>
      <c r="N11" s="253">
        <v>0</v>
      </c>
      <c r="O11" s="253">
        <f>SUMIFS('F &amp; B'!G:G,'F &amp; B'!B:B,B11)</f>
        <v>0</v>
      </c>
      <c r="P11" s="253">
        <v>54066</v>
      </c>
      <c r="Q11" s="254">
        <v>0</v>
      </c>
      <c r="R11" s="254">
        <v>5349</v>
      </c>
      <c r="S11" s="254">
        <v>10000</v>
      </c>
      <c r="T11" s="254">
        <v>4800</v>
      </c>
      <c r="U11" s="254">
        <v>60000</v>
      </c>
      <c r="V11" s="288" t="str">
        <f t="shared" si="1"/>
        <v/>
      </c>
    </row>
    <row r="12" spans="1:22" ht="20.25" customHeight="1" x14ac:dyDescent="0.25">
      <c r="A12" s="258">
        <v>11</v>
      </c>
      <c r="B12" s="249" t="s">
        <v>54</v>
      </c>
      <c r="C12" s="250" t="s">
        <v>55</v>
      </c>
      <c r="D12" s="251">
        <v>45992</v>
      </c>
      <c r="E12" s="282">
        <v>0</v>
      </c>
      <c r="F12" s="252">
        <v>0</v>
      </c>
      <c r="G12" s="283">
        <v>7000</v>
      </c>
      <c r="H12" s="287">
        <f t="shared" si="0"/>
        <v>56824</v>
      </c>
      <c r="I12" s="253">
        <f>SUMIFS(FACILITIES!T:T,FACILITIES!B:B,B12)</f>
        <v>4000</v>
      </c>
      <c r="J12" s="253">
        <v>0</v>
      </c>
      <c r="K12" s="253">
        <v>0</v>
      </c>
      <c r="L12" s="253">
        <v>0</v>
      </c>
      <c r="M12" s="253" t="s">
        <v>1160</v>
      </c>
      <c r="N12" s="253">
        <v>0</v>
      </c>
      <c r="O12" s="253">
        <f>SUMIFS('F &amp; B'!G:G,'F &amp; B'!B:B,B12)</f>
        <v>6150</v>
      </c>
      <c r="P12" s="253">
        <v>19849</v>
      </c>
      <c r="Q12" s="254">
        <v>18375</v>
      </c>
      <c r="R12" s="254">
        <v>1300</v>
      </c>
      <c r="S12" s="254">
        <v>5700</v>
      </c>
      <c r="T12" s="254">
        <v>1450</v>
      </c>
      <c r="U12" s="254">
        <v>60000</v>
      </c>
      <c r="V12" s="288">
        <f t="shared" si="1"/>
        <v>3176</v>
      </c>
    </row>
    <row r="13" spans="1:22" ht="20.25" customHeight="1" x14ac:dyDescent="0.25">
      <c r="A13" s="258">
        <v>12</v>
      </c>
      <c r="B13" s="249" t="s">
        <v>59</v>
      </c>
      <c r="C13" s="250" t="s">
        <v>60</v>
      </c>
      <c r="D13" s="251">
        <v>45992</v>
      </c>
      <c r="E13" s="282">
        <v>0</v>
      </c>
      <c r="F13" s="252">
        <v>0</v>
      </c>
      <c r="G13" s="283">
        <v>7000</v>
      </c>
      <c r="H13" s="287">
        <f t="shared" si="0"/>
        <v>119581</v>
      </c>
      <c r="I13" s="253">
        <f>SUMIFS(FACILITIES!T:T,FACILITIES!B:B,B13)</f>
        <v>0</v>
      </c>
      <c r="J13" s="253">
        <v>0</v>
      </c>
      <c r="K13" s="253">
        <v>0</v>
      </c>
      <c r="L13" s="253">
        <v>0</v>
      </c>
      <c r="M13" s="253" t="s">
        <v>1160</v>
      </c>
      <c r="N13" s="253">
        <v>0</v>
      </c>
      <c r="O13" s="253">
        <f>SUMIFS('F &amp; B'!G:G,'F &amp; B'!B:B,B13)</f>
        <v>23647</v>
      </c>
      <c r="P13" s="253">
        <v>26185</v>
      </c>
      <c r="Q13" s="254">
        <v>38396</v>
      </c>
      <c r="R13" s="254">
        <v>2000</v>
      </c>
      <c r="S13" s="254">
        <v>23603</v>
      </c>
      <c r="T13" s="254">
        <v>5750</v>
      </c>
      <c r="U13" s="254">
        <v>60000</v>
      </c>
      <c r="V13" s="288" t="str">
        <f t="shared" si="1"/>
        <v/>
      </c>
    </row>
    <row r="14" spans="1:22" ht="20.25" customHeight="1" x14ac:dyDescent="0.25">
      <c r="A14" s="258">
        <v>13</v>
      </c>
      <c r="B14" s="249" t="s">
        <v>64</v>
      </c>
      <c r="C14" s="250" t="s">
        <v>65</v>
      </c>
      <c r="D14" s="251">
        <v>45992</v>
      </c>
      <c r="E14" s="282">
        <v>0</v>
      </c>
      <c r="F14" s="252">
        <v>0</v>
      </c>
      <c r="G14" s="283">
        <v>7000</v>
      </c>
      <c r="H14" s="287">
        <f t="shared" si="0"/>
        <v>47970</v>
      </c>
      <c r="I14" s="253">
        <f>SUMIFS(FACILITIES!T:T,FACILITIES!B:B,B14)</f>
        <v>0</v>
      </c>
      <c r="J14" s="253">
        <v>0</v>
      </c>
      <c r="K14" s="253">
        <v>0</v>
      </c>
      <c r="L14" s="253">
        <v>0</v>
      </c>
      <c r="M14" s="253" t="s">
        <v>1160</v>
      </c>
      <c r="N14" s="253">
        <v>0</v>
      </c>
      <c r="O14" s="253">
        <f>SUMIFS('F &amp; B'!G:G,'F &amp; B'!B:B,B14)</f>
        <v>39050</v>
      </c>
      <c r="P14" s="253">
        <v>5450</v>
      </c>
      <c r="Q14" s="254">
        <v>0</v>
      </c>
      <c r="R14" s="254">
        <v>0</v>
      </c>
      <c r="S14" s="254">
        <v>3470</v>
      </c>
      <c r="T14" s="254">
        <v>0</v>
      </c>
      <c r="U14" s="254">
        <v>60000</v>
      </c>
      <c r="V14" s="288">
        <f t="shared" si="1"/>
        <v>12030</v>
      </c>
    </row>
    <row r="15" spans="1:22" ht="20.25" customHeight="1" x14ac:dyDescent="0.25">
      <c r="A15" s="258">
        <v>14</v>
      </c>
      <c r="B15" s="249" t="s">
        <v>69</v>
      </c>
      <c r="C15" s="250" t="s">
        <v>70</v>
      </c>
      <c r="D15" s="251">
        <v>45992</v>
      </c>
      <c r="E15" s="282">
        <v>0</v>
      </c>
      <c r="F15" s="252">
        <v>0</v>
      </c>
      <c r="G15" s="283">
        <v>7000</v>
      </c>
      <c r="H15" s="287">
        <f t="shared" si="0"/>
        <v>267833</v>
      </c>
      <c r="I15" s="253">
        <f>SUMIFS(FACILITIES!T:T,FACILITIES!B:B,B15)</f>
        <v>0</v>
      </c>
      <c r="J15" s="253">
        <v>0</v>
      </c>
      <c r="K15" s="253">
        <v>0</v>
      </c>
      <c r="L15" s="253">
        <v>0</v>
      </c>
      <c r="M15" s="253" t="s">
        <v>1160</v>
      </c>
      <c r="N15" s="253">
        <v>0</v>
      </c>
      <c r="O15" s="253">
        <f>SUMIFS('F &amp; B'!G:G,'F &amp; B'!B:B,B15)</f>
        <v>25360</v>
      </c>
      <c r="P15" s="253">
        <v>49526</v>
      </c>
      <c r="Q15" s="254">
        <v>101365</v>
      </c>
      <c r="R15" s="254">
        <v>39230</v>
      </c>
      <c r="S15" s="254">
        <v>22710</v>
      </c>
      <c r="T15" s="254">
        <v>29642</v>
      </c>
      <c r="U15" s="254">
        <v>60000</v>
      </c>
      <c r="V15" s="288" t="str">
        <f t="shared" si="1"/>
        <v/>
      </c>
    </row>
    <row r="16" spans="1:22" ht="20.25" customHeight="1" x14ac:dyDescent="0.25">
      <c r="A16" s="258">
        <v>15</v>
      </c>
      <c r="B16" s="249" t="s">
        <v>73</v>
      </c>
      <c r="C16" s="250" t="s">
        <v>74</v>
      </c>
      <c r="D16" s="251">
        <v>45992</v>
      </c>
      <c r="E16" s="282">
        <v>0</v>
      </c>
      <c r="F16" s="252">
        <v>0</v>
      </c>
      <c r="G16" s="283">
        <v>7000</v>
      </c>
      <c r="H16" s="287">
        <f t="shared" si="0"/>
        <v>12845</v>
      </c>
      <c r="I16" s="253">
        <f>SUMIFS(FACILITIES!T:T,FACILITIES!B:B,B16)</f>
        <v>0</v>
      </c>
      <c r="J16" s="253">
        <v>0</v>
      </c>
      <c r="K16" s="253">
        <v>0</v>
      </c>
      <c r="L16" s="253">
        <v>0</v>
      </c>
      <c r="M16" s="253" t="s">
        <v>1160</v>
      </c>
      <c r="N16" s="253">
        <v>0</v>
      </c>
      <c r="O16" s="253">
        <f>SUMIFS('F &amp; B'!G:G,'F &amp; B'!B:B,B16)</f>
        <v>3970</v>
      </c>
      <c r="P16" s="253">
        <v>0</v>
      </c>
      <c r="Q16" s="254">
        <v>5625</v>
      </c>
      <c r="R16" s="254">
        <v>3250</v>
      </c>
      <c r="S16" s="254">
        <v>0</v>
      </c>
      <c r="T16" s="254">
        <v>0</v>
      </c>
      <c r="U16" s="254">
        <v>60000</v>
      </c>
      <c r="V16" s="288">
        <f t="shared" si="1"/>
        <v>47155</v>
      </c>
    </row>
    <row r="17" spans="1:22" ht="20.25" customHeight="1" x14ac:dyDescent="0.25">
      <c r="A17" s="258">
        <v>16</v>
      </c>
      <c r="B17" s="249" t="s">
        <v>78</v>
      </c>
      <c r="C17" s="250" t="s">
        <v>79</v>
      </c>
      <c r="D17" s="251">
        <v>45992</v>
      </c>
      <c r="E17" s="282">
        <v>0</v>
      </c>
      <c r="F17" s="252">
        <v>0</v>
      </c>
      <c r="G17" s="283">
        <v>7000</v>
      </c>
      <c r="H17" s="287">
        <f t="shared" si="0"/>
        <v>22700</v>
      </c>
      <c r="I17" s="253">
        <f>SUMIFS(FACILITIES!T:T,FACILITIES!B:B,B17)</f>
        <v>0</v>
      </c>
      <c r="J17" s="253">
        <v>0</v>
      </c>
      <c r="K17" s="253">
        <v>0</v>
      </c>
      <c r="L17" s="253">
        <v>0</v>
      </c>
      <c r="M17" s="253" t="s">
        <v>1160</v>
      </c>
      <c r="N17" s="253">
        <v>0</v>
      </c>
      <c r="O17" s="253">
        <f>SUMIFS('F &amp; B'!G:G,'F &amp; B'!B:B,B17)</f>
        <v>0</v>
      </c>
      <c r="P17" s="253">
        <v>0</v>
      </c>
      <c r="Q17" s="254">
        <v>3850</v>
      </c>
      <c r="R17" s="254">
        <v>2250</v>
      </c>
      <c r="S17" s="254">
        <v>12400</v>
      </c>
      <c r="T17" s="254">
        <v>4200</v>
      </c>
      <c r="U17" s="254">
        <v>60000</v>
      </c>
      <c r="V17" s="288">
        <f t="shared" si="1"/>
        <v>37300</v>
      </c>
    </row>
    <row r="18" spans="1:22" ht="20.25" customHeight="1" x14ac:dyDescent="0.25">
      <c r="A18" s="258">
        <v>17</v>
      </c>
      <c r="B18" s="249" t="s">
        <v>83</v>
      </c>
      <c r="C18" s="250" t="s">
        <v>84</v>
      </c>
      <c r="D18" s="251">
        <v>45992</v>
      </c>
      <c r="E18" s="282">
        <v>0</v>
      </c>
      <c r="F18" s="252">
        <v>0</v>
      </c>
      <c r="G18" s="283">
        <v>7000</v>
      </c>
      <c r="H18" s="287">
        <f t="shared" si="0"/>
        <v>58924</v>
      </c>
      <c r="I18" s="253">
        <f>SUMIFS(FACILITIES!T:T,FACILITIES!B:B,B18)</f>
        <v>0</v>
      </c>
      <c r="J18" s="253">
        <v>0</v>
      </c>
      <c r="K18" s="253">
        <v>0</v>
      </c>
      <c r="L18" s="253">
        <v>0</v>
      </c>
      <c r="M18" s="253" t="s">
        <v>1160</v>
      </c>
      <c r="N18" s="253">
        <v>0</v>
      </c>
      <c r="O18" s="253">
        <f>SUMIFS('F &amp; B'!G:G,'F &amp; B'!B:B,B18)</f>
        <v>0</v>
      </c>
      <c r="P18" s="253">
        <v>9118</v>
      </c>
      <c r="Q18" s="254">
        <v>13869</v>
      </c>
      <c r="R18" s="254">
        <v>23050</v>
      </c>
      <c r="S18" s="254">
        <v>12887</v>
      </c>
      <c r="T18" s="254">
        <v>0</v>
      </c>
      <c r="U18" s="254">
        <v>60000</v>
      </c>
      <c r="V18" s="288">
        <f t="shared" si="1"/>
        <v>1076</v>
      </c>
    </row>
    <row r="19" spans="1:22" ht="20.25" customHeight="1" x14ac:dyDescent="0.25">
      <c r="A19" s="258">
        <v>18</v>
      </c>
      <c r="B19" s="249" t="s">
        <v>88</v>
      </c>
      <c r="C19" s="250" t="s">
        <v>89</v>
      </c>
      <c r="D19" s="251">
        <v>45992</v>
      </c>
      <c r="E19" s="282">
        <v>0</v>
      </c>
      <c r="F19" s="252">
        <v>0</v>
      </c>
      <c r="G19" s="283">
        <v>7000</v>
      </c>
      <c r="H19" s="287">
        <f t="shared" si="0"/>
        <v>324198</v>
      </c>
      <c r="I19" s="253">
        <f>SUMIFS(FACILITIES!T:T,FACILITIES!B:B,B19)</f>
        <v>4500</v>
      </c>
      <c r="J19" s="253">
        <v>0</v>
      </c>
      <c r="K19" s="253">
        <v>0</v>
      </c>
      <c r="L19" s="253">
        <v>0</v>
      </c>
      <c r="M19" s="253" t="s">
        <v>1160</v>
      </c>
      <c r="N19" s="253">
        <v>2000</v>
      </c>
      <c r="O19" s="253">
        <f>SUMIFS('F &amp; B'!G:G,'F &amp; B'!B:B,B19)</f>
        <v>34425</v>
      </c>
      <c r="P19" s="253">
        <v>0</v>
      </c>
      <c r="Q19" s="254">
        <v>36025</v>
      </c>
      <c r="R19" s="254">
        <v>141649</v>
      </c>
      <c r="S19" s="254">
        <v>1149</v>
      </c>
      <c r="T19" s="254">
        <v>104450</v>
      </c>
      <c r="U19" s="254">
        <v>60000</v>
      </c>
      <c r="V19" s="288" t="str">
        <f t="shared" si="1"/>
        <v/>
      </c>
    </row>
    <row r="20" spans="1:22" ht="20.25" customHeight="1" x14ac:dyDescent="0.25">
      <c r="A20" s="258">
        <v>19</v>
      </c>
      <c r="B20" s="249" t="s">
        <v>93</v>
      </c>
      <c r="C20" s="250" t="s">
        <v>94</v>
      </c>
      <c r="D20" s="251">
        <v>45992</v>
      </c>
      <c r="E20" s="282">
        <v>0</v>
      </c>
      <c r="F20" s="252">
        <v>0</v>
      </c>
      <c r="G20" s="283">
        <v>7000</v>
      </c>
      <c r="H20" s="287">
        <f t="shared" si="0"/>
        <v>153778.5</v>
      </c>
      <c r="I20" s="253">
        <f>SUMIFS(FACILITIES!T:T,FACILITIES!B:B,B20)</f>
        <v>0</v>
      </c>
      <c r="J20" s="253">
        <v>0</v>
      </c>
      <c r="K20" s="253">
        <v>0</v>
      </c>
      <c r="L20" s="253">
        <v>0</v>
      </c>
      <c r="M20" s="253" t="s">
        <v>1160</v>
      </c>
      <c r="N20" s="253">
        <v>2000</v>
      </c>
      <c r="O20" s="253">
        <f>SUMIFS('F &amp; B'!G:G,'F &amp; B'!B:B,B20)</f>
        <v>98060</v>
      </c>
      <c r="P20" s="253">
        <v>23851</v>
      </c>
      <c r="Q20" s="254">
        <v>8827.5</v>
      </c>
      <c r="R20" s="254">
        <v>8370</v>
      </c>
      <c r="S20" s="254">
        <v>9170</v>
      </c>
      <c r="T20" s="254">
        <v>3500</v>
      </c>
      <c r="U20" s="254">
        <v>60000</v>
      </c>
      <c r="V20" s="288" t="str">
        <f t="shared" si="1"/>
        <v/>
      </c>
    </row>
    <row r="21" spans="1:22" ht="20.25" customHeight="1" x14ac:dyDescent="0.25">
      <c r="A21" s="258">
        <v>20</v>
      </c>
      <c r="B21" s="249" t="s">
        <v>98</v>
      </c>
      <c r="C21" s="250" t="s">
        <v>99</v>
      </c>
      <c r="D21" s="251">
        <v>45992</v>
      </c>
      <c r="E21" s="282">
        <v>0</v>
      </c>
      <c r="F21" s="252">
        <v>0</v>
      </c>
      <c r="G21" s="283">
        <v>7000</v>
      </c>
      <c r="H21" s="287">
        <f t="shared" si="0"/>
        <v>66814</v>
      </c>
      <c r="I21" s="253">
        <f>SUMIFS(FACILITIES!T:T,FACILITIES!B:B,B21)</f>
        <v>4000</v>
      </c>
      <c r="J21" s="253">
        <v>0</v>
      </c>
      <c r="K21" s="253">
        <v>0</v>
      </c>
      <c r="L21" s="253">
        <v>0</v>
      </c>
      <c r="M21" s="253" t="s">
        <v>1160</v>
      </c>
      <c r="N21" s="253">
        <v>0</v>
      </c>
      <c r="O21" s="253">
        <f>SUMIFS('F &amp; B'!G:G,'F &amp; B'!B:B,B21)</f>
        <v>11185</v>
      </c>
      <c r="P21" s="253">
        <v>6700</v>
      </c>
      <c r="Q21" s="254">
        <v>3350</v>
      </c>
      <c r="R21" s="254">
        <v>24609</v>
      </c>
      <c r="S21" s="254">
        <v>11850</v>
      </c>
      <c r="T21" s="254">
        <v>5120</v>
      </c>
      <c r="U21" s="254">
        <v>60000</v>
      </c>
      <c r="V21" s="288" t="str">
        <f t="shared" si="1"/>
        <v/>
      </c>
    </row>
    <row r="22" spans="1:22" ht="20.25" customHeight="1" x14ac:dyDescent="0.25">
      <c r="A22" s="258">
        <v>21</v>
      </c>
      <c r="B22" s="249" t="s">
        <v>103</v>
      </c>
      <c r="C22" s="250" t="s">
        <v>104</v>
      </c>
      <c r="D22" s="251">
        <v>45992</v>
      </c>
      <c r="E22" s="282">
        <v>0</v>
      </c>
      <c r="F22" s="252">
        <v>0</v>
      </c>
      <c r="G22" s="283">
        <v>7000</v>
      </c>
      <c r="H22" s="287">
        <f t="shared" si="0"/>
        <v>144510</v>
      </c>
      <c r="I22" s="253">
        <f>SUMIFS(FACILITIES!T:T,FACILITIES!B:B,B22)</f>
        <v>0</v>
      </c>
      <c r="J22" s="253">
        <v>0</v>
      </c>
      <c r="K22" s="253">
        <v>0</v>
      </c>
      <c r="L22" s="253">
        <v>0</v>
      </c>
      <c r="M22" s="253" t="s">
        <v>1160</v>
      </c>
      <c r="N22" s="253">
        <v>12000</v>
      </c>
      <c r="O22" s="253">
        <f>SUMIFS('F &amp; B'!G:G,'F &amp; B'!B:B,B22)</f>
        <v>22474</v>
      </c>
      <c r="P22" s="253">
        <v>24872</v>
      </c>
      <c r="Q22" s="254">
        <v>7000</v>
      </c>
      <c r="R22" s="254">
        <v>0</v>
      </c>
      <c r="S22" s="254">
        <v>54195</v>
      </c>
      <c r="T22" s="254">
        <v>23969</v>
      </c>
      <c r="U22" s="254">
        <v>60000</v>
      </c>
      <c r="V22" s="288" t="str">
        <f t="shared" si="1"/>
        <v/>
      </c>
    </row>
    <row r="23" spans="1:22" ht="20.25" customHeight="1" x14ac:dyDescent="0.25">
      <c r="A23" s="258">
        <v>22</v>
      </c>
      <c r="B23" s="249" t="s">
        <v>108</v>
      </c>
      <c r="C23" s="250" t="s">
        <v>109</v>
      </c>
      <c r="D23" s="251">
        <v>45992</v>
      </c>
      <c r="E23" s="282">
        <v>0</v>
      </c>
      <c r="F23" s="252">
        <v>0</v>
      </c>
      <c r="G23" s="283">
        <v>7000</v>
      </c>
      <c r="H23" s="287">
        <f t="shared" si="0"/>
        <v>45710</v>
      </c>
      <c r="I23" s="253">
        <f>SUMIFS(FACILITIES!T:T,FACILITIES!B:B,B23)</f>
        <v>0</v>
      </c>
      <c r="J23" s="253">
        <v>0</v>
      </c>
      <c r="K23" s="253">
        <v>0</v>
      </c>
      <c r="L23" s="253">
        <v>0</v>
      </c>
      <c r="M23" s="253" t="s">
        <v>1160</v>
      </c>
      <c r="N23" s="253">
        <v>0</v>
      </c>
      <c r="O23" s="253">
        <f>SUMIFS('F &amp; B'!G:G,'F &amp; B'!B:B,B23)</f>
        <v>6600</v>
      </c>
      <c r="P23" s="253">
        <v>4060</v>
      </c>
      <c r="Q23" s="254">
        <v>5650</v>
      </c>
      <c r="R23" s="254">
        <v>29400</v>
      </c>
      <c r="S23" s="254">
        <v>0</v>
      </c>
      <c r="T23" s="254">
        <v>0</v>
      </c>
      <c r="U23" s="254">
        <v>60000</v>
      </c>
      <c r="V23" s="288">
        <f t="shared" si="1"/>
        <v>14290</v>
      </c>
    </row>
    <row r="24" spans="1:22" ht="20.25" customHeight="1" x14ac:dyDescent="0.25">
      <c r="A24" s="258">
        <v>23</v>
      </c>
      <c r="B24" s="249" t="s">
        <v>113</v>
      </c>
      <c r="C24" s="250" t="s">
        <v>114</v>
      </c>
      <c r="D24" s="251">
        <v>45992</v>
      </c>
      <c r="E24" s="282">
        <v>0</v>
      </c>
      <c r="F24" s="252">
        <v>0</v>
      </c>
      <c r="G24" s="283">
        <v>7000</v>
      </c>
      <c r="H24" s="287">
        <f t="shared" si="0"/>
        <v>60069</v>
      </c>
      <c r="I24" s="253">
        <f>SUMIFS(FACILITIES!T:T,FACILITIES!B:B,B24)</f>
        <v>0</v>
      </c>
      <c r="J24" s="253">
        <v>0</v>
      </c>
      <c r="K24" s="253">
        <v>0</v>
      </c>
      <c r="L24" s="253">
        <v>0</v>
      </c>
      <c r="M24" s="253" t="s">
        <v>1160</v>
      </c>
      <c r="N24" s="253">
        <v>0</v>
      </c>
      <c r="O24" s="253">
        <f>SUMIFS('F &amp; B'!G:G,'F &amp; B'!B:B,B24)</f>
        <v>25730</v>
      </c>
      <c r="P24" s="253">
        <v>8899</v>
      </c>
      <c r="Q24" s="254">
        <v>21420</v>
      </c>
      <c r="R24" s="254">
        <v>4020</v>
      </c>
      <c r="S24" s="254">
        <v>0</v>
      </c>
      <c r="T24" s="254">
        <v>0</v>
      </c>
      <c r="U24" s="254">
        <v>60000</v>
      </c>
      <c r="V24" s="288" t="str">
        <f t="shared" si="1"/>
        <v/>
      </c>
    </row>
    <row r="25" spans="1:22" ht="20.25" customHeight="1" x14ac:dyDescent="0.25">
      <c r="A25" s="258">
        <v>24</v>
      </c>
      <c r="B25" s="249" t="s">
        <v>118</v>
      </c>
      <c r="C25" s="250" t="s">
        <v>119</v>
      </c>
      <c r="D25" s="251">
        <v>45992</v>
      </c>
      <c r="E25" s="282">
        <v>0</v>
      </c>
      <c r="F25" s="252">
        <v>0</v>
      </c>
      <c r="G25" s="283">
        <v>7000</v>
      </c>
      <c r="H25" s="287">
        <f t="shared" si="0"/>
        <v>97625</v>
      </c>
      <c r="I25" s="253">
        <f>SUMIFS(FACILITIES!T:T,FACILITIES!B:B,B25)</f>
        <v>0</v>
      </c>
      <c r="J25" s="253">
        <v>0</v>
      </c>
      <c r="K25" s="253">
        <v>0</v>
      </c>
      <c r="L25" s="253">
        <v>0</v>
      </c>
      <c r="M25" s="253" t="s">
        <v>1160</v>
      </c>
      <c r="N25" s="253">
        <v>2000</v>
      </c>
      <c r="O25" s="253">
        <f>SUMIFS('F &amp; B'!G:G,'F &amp; B'!B:B,B25)</f>
        <v>6170</v>
      </c>
      <c r="P25" s="253">
        <v>15500</v>
      </c>
      <c r="Q25" s="254">
        <v>35905</v>
      </c>
      <c r="R25" s="254">
        <v>30700</v>
      </c>
      <c r="S25" s="254">
        <v>350</v>
      </c>
      <c r="T25" s="254">
        <v>7000</v>
      </c>
      <c r="U25" s="254">
        <v>60000</v>
      </c>
      <c r="V25" s="288" t="str">
        <f t="shared" si="1"/>
        <v/>
      </c>
    </row>
    <row r="26" spans="1:22" ht="20.25" customHeight="1" x14ac:dyDescent="0.25">
      <c r="A26" s="258">
        <v>25</v>
      </c>
      <c r="B26" s="249" t="s">
        <v>123</v>
      </c>
      <c r="C26" s="250" t="s">
        <v>124</v>
      </c>
      <c r="D26" s="251">
        <v>45992</v>
      </c>
      <c r="E26" s="282">
        <v>0</v>
      </c>
      <c r="F26" s="252">
        <v>0</v>
      </c>
      <c r="G26" s="283">
        <v>7000</v>
      </c>
      <c r="H26" s="287">
        <f>SUM(I26:T26)</f>
        <v>120364</v>
      </c>
      <c r="I26" s="253">
        <f>SUMIFS(FACILITIES!T:T,FACILITIES!B:B,B26)</f>
        <v>7000</v>
      </c>
      <c r="J26" s="253">
        <v>0</v>
      </c>
      <c r="K26" s="253">
        <v>0</v>
      </c>
      <c r="L26" s="253">
        <v>0</v>
      </c>
      <c r="M26" s="253" t="s">
        <v>1160</v>
      </c>
      <c r="N26" s="253">
        <v>0</v>
      </c>
      <c r="O26" s="253">
        <f>SUMIFS('F &amp; B'!G:G,'F &amp; B'!B:B,B26)</f>
        <v>2975</v>
      </c>
      <c r="P26" s="253">
        <v>35570</v>
      </c>
      <c r="Q26" s="254">
        <v>37099</v>
      </c>
      <c r="R26" s="254">
        <v>31620</v>
      </c>
      <c r="S26" s="254">
        <v>2400</v>
      </c>
      <c r="T26" s="254">
        <v>3700</v>
      </c>
      <c r="U26" s="254">
        <v>60000</v>
      </c>
      <c r="V26" s="288" t="str">
        <f t="shared" si="1"/>
        <v/>
      </c>
    </row>
    <row r="27" spans="1:22" ht="20.25" customHeight="1" x14ac:dyDescent="0.25">
      <c r="A27" s="258">
        <v>26</v>
      </c>
      <c r="B27" s="249" t="s">
        <v>128</v>
      </c>
      <c r="C27" s="250" t="s">
        <v>129</v>
      </c>
      <c r="D27" s="251">
        <v>45992</v>
      </c>
      <c r="E27" s="282">
        <v>0</v>
      </c>
      <c r="F27" s="252">
        <v>0</v>
      </c>
      <c r="G27" s="283">
        <v>7000</v>
      </c>
      <c r="H27" s="287">
        <f t="shared" si="0"/>
        <v>51153</v>
      </c>
      <c r="I27" s="253">
        <f>SUMIFS(FACILITIES!T:T,FACILITIES!B:B,B27)</f>
        <v>0</v>
      </c>
      <c r="J27" s="253">
        <v>0</v>
      </c>
      <c r="K27" s="253">
        <v>0</v>
      </c>
      <c r="L27" s="253">
        <v>0</v>
      </c>
      <c r="M27" s="253" t="s">
        <v>1160</v>
      </c>
      <c r="N27" s="253">
        <v>0</v>
      </c>
      <c r="O27" s="253">
        <f>SUMIFS('F &amp; B'!G:G,'F &amp; B'!B:B,B27)</f>
        <v>0</v>
      </c>
      <c r="P27" s="253">
        <v>2894</v>
      </c>
      <c r="Q27" s="254">
        <v>21159</v>
      </c>
      <c r="R27" s="254">
        <v>4900</v>
      </c>
      <c r="S27" s="254">
        <v>14200</v>
      </c>
      <c r="T27" s="254">
        <v>8000</v>
      </c>
      <c r="U27" s="254">
        <v>60000</v>
      </c>
      <c r="V27" s="288">
        <f t="shared" si="1"/>
        <v>8847</v>
      </c>
    </row>
    <row r="28" spans="1:22" ht="20.25" customHeight="1" x14ac:dyDescent="0.25">
      <c r="A28" s="258">
        <v>27</v>
      </c>
      <c r="B28" s="249" t="s">
        <v>133</v>
      </c>
      <c r="C28" s="250" t="s">
        <v>134</v>
      </c>
      <c r="D28" s="251">
        <v>45992</v>
      </c>
      <c r="E28" s="282">
        <v>0</v>
      </c>
      <c r="F28" s="252">
        <v>0</v>
      </c>
      <c r="G28" s="283">
        <v>7000</v>
      </c>
      <c r="H28" s="287">
        <f t="shared" si="0"/>
        <v>37148</v>
      </c>
      <c r="I28" s="253">
        <f>SUMIFS(FACILITIES!T:T,FACILITIES!B:B,B28)</f>
        <v>0</v>
      </c>
      <c r="J28" s="253">
        <v>0</v>
      </c>
      <c r="K28" s="253">
        <v>0</v>
      </c>
      <c r="L28" s="253">
        <v>0</v>
      </c>
      <c r="M28" s="253" t="s">
        <v>1160</v>
      </c>
      <c r="N28" s="253">
        <v>0</v>
      </c>
      <c r="O28" s="253">
        <f>SUMIFS('F &amp; B'!G:G,'F &amp; B'!B:B,B28)</f>
        <v>0</v>
      </c>
      <c r="P28" s="253">
        <v>0</v>
      </c>
      <c r="Q28" s="254">
        <v>23148</v>
      </c>
      <c r="R28" s="254">
        <v>14000</v>
      </c>
      <c r="S28" s="254">
        <v>0</v>
      </c>
      <c r="T28" s="254">
        <v>0</v>
      </c>
      <c r="U28" s="254">
        <v>60000</v>
      </c>
      <c r="V28" s="288">
        <f t="shared" si="1"/>
        <v>22852</v>
      </c>
    </row>
    <row r="29" spans="1:22" ht="20.25" customHeight="1" x14ac:dyDescent="0.25">
      <c r="A29" s="258">
        <v>28</v>
      </c>
      <c r="B29" s="249" t="s">
        <v>138</v>
      </c>
      <c r="C29" s="250" t="s">
        <v>139</v>
      </c>
      <c r="D29" s="251">
        <v>45992</v>
      </c>
      <c r="E29" s="282">
        <v>0</v>
      </c>
      <c r="F29" s="252">
        <v>0</v>
      </c>
      <c r="G29" s="283">
        <v>7000</v>
      </c>
      <c r="H29" s="287">
        <f t="shared" si="0"/>
        <v>13740</v>
      </c>
      <c r="I29" s="253">
        <f>SUMIFS(FACILITIES!T:T,FACILITIES!B:B,B29)</f>
        <v>0</v>
      </c>
      <c r="J29" s="253">
        <v>0</v>
      </c>
      <c r="K29" s="253">
        <v>0</v>
      </c>
      <c r="L29" s="253">
        <v>0</v>
      </c>
      <c r="M29" s="253" t="s">
        <v>1160</v>
      </c>
      <c r="N29" s="253">
        <v>0</v>
      </c>
      <c r="O29" s="253">
        <f>SUMIFS('F &amp; B'!G:G,'F &amp; B'!B:B,B29)</f>
        <v>1940</v>
      </c>
      <c r="P29" s="253">
        <v>2400</v>
      </c>
      <c r="Q29" s="254">
        <v>600</v>
      </c>
      <c r="R29" s="254">
        <v>0</v>
      </c>
      <c r="S29" s="254">
        <v>8800</v>
      </c>
      <c r="T29" s="254">
        <v>0</v>
      </c>
      <c r="U29" s="254">
        <v>60000</v>
      </c>
      <c r="V29" s="288">
        <f t="shared" si="1"/>
        <v>46260</v>
      </c>
    </row>
    <row r="30" spans="1:22" ht="20.25" customHeight="1" x14ac:dyDescent="0.25">
      <c r="A30" s="258">
        <v>29</v>
      </c>
      <c r="B30" s="249" t="s">
        <v>142</v>
      </c>
      <c r="C30" s="250" t="s">
        <v>143</v>
      </c>
      <c r="D30" s="251">
        <v>45992</v>
      </c>
      <c r="E30" s="282">
        <v>0</v>
      </c>
      <c r="F30" s="252">
        <v>0</v>
      </c>
      <c r="G30" s="283">
        <v>7000</v>
      </c>
      <c r="H30" s="287">
        <f t="shared" si="0"/>
        <v>21650</v>
      </c>
      <c r="I30" s="253">
        <f>SUMIFS(FACILITIES!T:T,FACILITIES!B:B,B30)</f>
        <v>5000</v>
      </c>
      <c r="J30" s="253">
        <v>0</v>
      </c>
      <c r="K30" s="253">
        <v>0</v>
      </c>
      <c r="L30" s="253">
        <v>0</v>
      </c>
      <c r="M30" s="253" t="s">
        <v>1160</v>
      </c>
      <c r="N30" s="253">
        <v>0</v>
      </c>
      <c r="O30" s="253">
        <f>SUMIFS('F &amp; B'!G:G,'F &amp; B'!B:B,B30)</f>
        <v>16500</v>
      </c>
      <c r="P30" s="253">
        <v>0</v>
      </c>
      <c r="Q30" s="254">
        <v>0</v>
      </c>
      <c r="R30" s="254">
        <v>150</v>
      </c>
      <c r="S30" s="254">
        <v>0</v>
      </c>
      <c r="T30" s="254">
        <v>0</v>
      </c>
      <c r="U30" s="254">
        <v>60000</v>
      </c>
      <c r="V30" s="288">
        <f t="shared" si="1"/>
        <v>38350</v>
      </c>
    </row>
    <row r="31" spans="1:22" ht="20.25" customHeight="1" x14ac:dyDescent="0.25">
      <c r="A31" s="258">
        <v>30</v>
      </c>
      <c r="B31" s="249" t="s">
        <v>146</v>
      </c>
      <c r="C31" s="250" t="s">
        <v>147</v>
      </c>
      <c r="D31" s="251">
        <v>45992</v>
      </c>
      <c r="E31" s="282">
        <v>0</v>
      </c>
      <c r="F31" s="252">
        <v>0</v>
      </c>
      <c r="G31" s="283">
        <v>7000</v>
      </c>
      <c r="H31" s="287">
        <f t="shared" si="0"/>
        <v>61230</v>
      </c>
      <c r="I31" s="253">
        <f>SUMIFS(FACILITIES!T:T,FACILITIES!B:B,B31)</f>
        <v>0</v>
      </c>
      <c r="J31" s="253">
        <v>0</v>
      </c>
      <c r="K31" s="253">
        <v>0</v>
      </c>
      <c r="L31" s="253">
        <v>0</v>
      </c>
      <c r="M31" s="253" t="s">
        <v>1160</v>
      </c>
      <c r="N31" s="253">
        <v>0</v>
      </c>
      <c r="O31" s="253">
        <f>SUMIFS('F &amp; B'!G:G,'F &amp; B'!B:B,B31)</f>
        <v>6350</v>
      </c>
      <c r="P31" s="253">
        <v>0</v>
      </c>
      <c r="Q31" s="254">
        <v>8550</v>
      </c>
      <c r="R31" s="254">
        <v>46330</v>
      </c>
      <c r="S31" s="254">
        <v>0</v>
      </c>
      <c r="T31" s="254">
        <v>0</v>
      </c>
      <c r="U31" s="254">
        <v>60000</v>
      </c>
      <c r="V31" s="288" t="str">
        <f t="shared" si="1"/>
        <v/>
      </c>
    </row>
    <row r="32" spans="1:22" ht="20.25" customHeight="1" x14ac:dyDescent="0.25">
      <c r="A32" s="258">
        <v>31</v>
      </c>
      <c r="B32" s="249" t="s">
        <v>151</v>
      </c>
      <c r="C32" s="250" t="s">
        <v>152</v>
      </c>
      <c r="D32" s="251">
        <v>45992</v>
      </c>
      <c r="E32" s="282">
        <v>0</v>
      </c>
      <c r="F32" s="252">
        <v>0</v>
      </c>
      <c r="G32" s="283">
        <v>7000</v>
      </c>
      <c r="H32" s="287">
        <f t="shared" si="0"/>
        <v>74539</v>
      </c>
      <c r="I32" s="253">
        <f>SUMIFS(FACILITIES!T:T,FACILITIES!B:B,B32)</f>
        <v>0</v>
      </c>
      <c r="J32" s="253">
        <v>0</v>
      </c>
      <c r="K32" s="253">
        <v>0</v>
      </c>
      <c r="L32" s="253">
        <v>0</v>
      </c>
      <c r="M32" s="253" t="s">
        <v>1160</v>
      </c>
      <c r="N32" s="253">
        <v>0</v>
      </c>
      <c r="O32" s="253">
        <f>SUMIFS('F &amp; B'!G:G,'F &amp; B'!B:B,B32)</f>
        <v>15800</v>
      </c>
      <c r="P32" s="253">
        <v>9049</v>
      </c>
      <c r="Q32" s="254">
        <v>17746</v>
      </c>
      <c r="R32" s="254">
        <v>0</v>
      </c>
      <c r="S32" s="254">
        <v>7799</v>
      </c>
      <c r="T32" s="254">
        <v>24145</v>
      </c>
      <c r="U32" s="254">
        <v>60000</v>
      </c>
      <c r="V32" s="288" t="str">
        <f t="shared" si="1"/>
        <v/>
      </c>
    </row>
    <row r="33" spans="1:22" ht="20.25" customHeight="1" x14ac:dyDescent="0.25">
      <c r="A33" s="258">
        <v>32</v>
      </c>
      <c r="B33" s="249" t="s">
        <v>155</v>
      </c>
      <c r="C33" s="250" t="s">
        <v>156</v>
      </c>
      <c r="D33" s="251">
        <v>45992</v>
      </c>
      <c r="E33" s="282">
        <v>0</v>
      </c>
      <c r="F33" s="252">
        <v>0</v>
      </c>
      <c r="G33" s="283">
        <v>7000</v>
      </c>
      <c r="H33" s="287">
        <f t="shared" si="0"/>
        <v>47688</v>
      </c>
      <c r="I33" s="253">
        <f>SUMIFS(FACILITIES!T:T,FACILITIES!B:B,B33)</f>
        <v>2000</v>
      </c>
      <c r="J33" s="253">
        <v>0</v>
      </c>
      <c r="K33" s="253">
        <v>0</v>
      </c>
      <c r="L33" s="253">
        <v>0</v>
      </c>
      <c r="M33" s="253" t="s">
        <v>1160</v>
      </c>
      <c r="N33" s="253">
        <v>0</v>
      </c>
      <c r="O33" s="253">
        <f>SUMIFS('F &amp; B'!G:G,'F &amp; B'!B:B,B33)</f>
        <v>5399</v>
      </c>
      <c r="P33" s="253">
        <v>0</v>
      </c>
      <c r="Q33" s="254">
        <v>3799</v>
      </c>
      <c r="R33" s="254">
        <v>19400</v>
      </c>
      <c r="S33" s="254">
        <v>4790</v>
      </c>
      <c r="T33" s="254">
        <v>12300</v>
      </c>
      <c r="U33" s="254">
        <v>60000</v>
      </c>
      <c r="V33" s="288">
        <f t="shared" si="1"/>
        <v>12312</v>
      </c>
    </row>
    <row r="34" spans="1:22" ht="20.25" customHeight="1" x14ac:dyDescent="0.25">
      <c r="A34" s="258">
        <v>33</v>
      </c>
      <c r="B34" s="249" t="s">
        <v>160</v>
      </c>
      <c r="C34" s="250" t="s">
        <v>161</v>
      </c>
      <c r="D34" s="251">
        <v>45992</v>
      </c>
      <c r="E34" s="282">
        <v>0</v>
      </c>
      <c r="F34" s="252">
        <v>0</v>
      </c>
      <c r="G34" s="283">
        <v>7000</v>
      </c>
      <c r="H34" s="287">
        <f t="shared" si="0"/>
        <v>49130</v>
      </c>
      <c r="I34" s="253">
        <f>SUMIFS(FACILITIES!T:T,FACILITIES!B:B,B34)</f>
        <v>0</v>
      </c>
      <c r="J34" s="253">
        <v>0</v>
      </c>
      <c r="K34" s="253">
        <v>0</v>
      </c>
      <c r="L34" s="253">
        <v>0</v>
      </c>
      <c r="M34" s="253" t="s">
        <v>1160</v>
      </c>
      <c r="N34" s="253">
        <v>0</v>
      </c>
      <c r="O34" s="253">
        <f>SUMIFS('F &amp; B'!G:G,'F &amp; B'!B:B,B34)</f>
        <v>0</v>
      </c>
      <c r="P34" s="253">
        <v>13550</v>
      </c>
      <c r="Q34" s="254">
        <v>10475</v>
      </c>
      <c r="R34" s="254">
        <v>4975</v>
      </c>
      <c r="S34" s="254">
        <v>9290</v>
      </c>
      <c r="T34" s="254">
        <v>10840</v>
      </c>
      <c r="U34" s="254">
        <v>60000</v>
      </c>
      <c r="V34" s="288">
        <f t="shared" si="1"/>
        <v>10870</v>
      </c>
    </row>
    <row r="35" spans="1:22" ht="20.25" customHeight="1" x14ac:dyDescent="0.25">
      <c r="A35" s="258">
        <v>34</v>
      </c>
      <c r="B35" s="249" t="s">
        <v>164</v>
      </c>
      <c r="C35" s="250" t="s">
        <v>165</v>
      </c>
      <c r="D35" s="251">
        <v>45992</v>
      </c>
      <c r="E35" s="282">
        <v>0</v>
      </c>
      <c r="F35" s="252">
        <v>0</v>
      </c>
      <c r="G35" s="283">
        <v>7000</v>
      </c>
      <c r="H35" s="287">
        <f t="shared" si="0"/>
        <v>262710</v>
      </c>
      <c r="I35" s="253">
        <f>SUMIFS(FACILITIES!T:T,FACILITIES!B:B,B35)</f>
        <v>0</v>
      </c>
      <c r="J35" s="253">
        <v>0</v>
      </c>
      <c r="K35" s="253">
        <v>94000</v>
      </c>
      <c r="L35" s="253">
        <v>0</v>
      </c>
      <c r="M35" s="253" t="s">
        <v>1160</v>
      </c>
      <c r="N35" s="253">
        <v>0</v>
      </c>
      <c r="O35" s="253">
        <f>SUMIFS('F &amp; B'!G:G,'F &amp; B'!B:B,B35)</f>
        <v>7600</v>
      </c>
      <c r="P35" s="253">
        <v>3650</v>
      </c>
      <c r="Q35" s="254">
        <v>20600</v>
      </c>
      <c r="R35" s="254">
        <v>29670</v>
      </c>
      <c r="S35" s="254">
        <v>95590</v>
      </c>
      <c r="T35" s="254">
        <v>11600</v>
      </c>
      <c r="U35" s="254">
        <v>60000</v>
      </c>
      <c r="V35" s="288" t="str">
        <f t="shared" si="1"/>
        <v/>
      </c>
    </row>
    <row r="36" spans="1:22" ht="20.25" customHeight="1" x14ac:dyDescent="0.25">
      <c r="A36" s="258">
        <v>35</v>
      </c>
      <c r="B36" s="249" t="s">
        <v>173</v>
      </c>
      <c r="C36" s="250" t="s">
        <v>174</v>
      </c>
      <c r="D36" s="251">
        <v>45992</v>
      </c>
      <c r="E36" s="282">
        <v>0</v>
      </c>
      <c r="F36" s="252">
        <v>0</v>
      </c>
      <c r="G36" s="283">
        <v>7000</v>
      </c>
      <c r="H36" s="287">
        <f t="shared" si="0"/>
        <v>85254</v>
      </c>
      <c r="I36" s="253">
        <f>SUMIFS(FACILITIES!T:T,FACILITIES!B:B,B36)</f>
        <v>0</v>
      </c>
      <c r="J36" s="253">
        <v>0</v>
      </c>
      <c r="K36" s="253">
        <v>0</v>
      </c>
      <c r="L36" s="253">
        <v>0</v>
      </c>
      <c r="M36" s="253" t="s">
        <v>1160</v>
      </c>
      <c r="N36" s="253">
        <v>0</v>
      </c>
      <c r="O36" s="253">
        <f>SUMIFS('F &amp; B'!G:G,'F &amp; B'!B:B,B36)</f>
        <v>0</v>
      </c>
      <c r="P36" s="254">
        <v>49322</v>
      </c>
      <c r="Q36" s="254">
        <v>5875</v>
      </c>
      <c r="R36" s="254">
        <v>14257</v>
      </c>
      <c r="S36" s="254">
        <v>12450</v>
      </c>
      <c r="T36" s="254">
        <v>3350</v>
      </c>
      <c r="U36" s="254">
        <v>60000</v>
      </c>
      <c r="V36" s="288" t="str">
        <f t="shared" si="1"/>
        <v/>
      </c>
    </row>
    <row r="37" spans="1:22" ht="20.25" customHeight="1" x14ac:dyDescent="0.25">
      <c r="A37" s="258">
        <v>36</v>
      </c>
      <c r="B37" s="249" t="s">
        <v>177</v>
      </c>
      <c r="C37" s="250" t="s">
        <v>178</v>
      </c>
      <c r="D37" s="251">
        <v>45992</v>
      </c>
      <c r="E37" s="282">
        <v>0</v>
      </c>
      <c r="F37" s="252">
        <v>0</v>
      </c>
      <c r="G37" s="283">
        <v>7000</v>
      </c>
      <c r="H37" s="287">
        <f t="shared" si="0"/>
        <v>68900</v>
      </c>
      <c r="I37" s="253">
        <f>SUMIFS(FACILITIES!T:T,FACILITIES!B:B,B37)</f>
        <v>0</v>
      </c>
      <c r="J37" s="253">
        <v>0</v>
      </c>
      <c r="K37" s="253">
        <v>0</v>
      </c>
      <c r="L37" s="253">
        <v>0</v>
      </c>
      <c r="M37" s="253" t="s">
        <v>1160</v>
      </c>
      <c r="N37" s="253">
        <v>0</v>
      </c>
      <c r="O37" s="253">
        <f>SUMIFS('F &amp; B'!G:G,'F &amp; B'!B:B,B37)</f>
        <v>7850</v>
      </c>
      <c r="P37" s="254">
        <v>45600</v>
      </c>
      <c r="Q37" s="254">
        <v>7200</v>
      </c>
      <c r="R37" s="254">
        <v>8250</v>
      </c>
      <c r="S37" s="254">
        <v>0</v>
      </c>
      <c r="T37" s="254">
        <v>0</v>
      </c>
      <c r="U37" s="254">
        <v>60000</v>
      </c>
      <c r="V37" s="288" t="str">
        <f t="shared" si="1"/>
        <v/>
      </c>
    </row>
    <row r="38" spans="1:22" ht="20.25" customHeight="1" x14ac:dyDescent="0.25">
      <c r="A38" s="258">
        <v>37</v>
      </c>
      <c r="B38" s="249" t="s">
        <v>182</v>
      </c>
      <c r="C38" s="250" t="s">
        <v>183</v>
      </c>
      <c r="D38" s="251">
        <v>45992</v>
      </c>
      <c r="E38" s="282">
        <v>0</v>
      </c>
      <c r="F38" s="252">
        <v>0</v>
      </c>
      <c r="G38" s="283">
        <v>7000</v>
      </c>
      <c r="H38" s="287">
        <f t="shared" si="0"/>
        <v>23739</v>
      </c>
      <c r="I38" s="253">
        <f>SUMIFS(FACILITIES!T:T,FACILITIES!B:B,B38)</f>
        <v>0</v>
      </c>
      <c r="J38" s="253">
        <v>0</v>
      </c>
      <c r="K38" s="253">
        <v>0</v>
      </c>
      <c r="L38" s="253">
        <v>0</v>
      </c>
      <c r="M38" s="253" t="s">
        <v>1160</v>
      </c>
      <c r="N38" s="253">
        <v>0</v>
      </c>
      <c r="O38" s="253">
        <f>SUMIFS('F &amp; B'!G:G,'F &amp; B'!B:B,B38)</f>
        <v>1050</v>
      </c>
      <c r="P38" s="254">
        <v>7479</v>
      </c>
      <c r="Q38" s="254">
        <v>5760</v>
      </c>
      <c r="R38" s="254">
        <v>9450</v>
      </c>
      <c r="S38" s="254">
        <v>0</v>
      </c>
      <c r="T38" s="254">
        <v>0</v>
      </c>
      <c r="U38" s="254">
        <v>60000</v>
      </c>
      <c r="V38" s="288">
        <f t="shared" si="1"/>
        <v>36261</v>
      </c>
    </row>
    <row r="39" spans="1:22" ht="20.25" customHeight="1" x14ac:dyDescent="0.25">
      <c r="A39" s="258">
        <v>38</v>
      </c>
      <c r="B39" s="249" t="s">
        <v>187</v>
      </c>
      <c r="C39" s="250" t="s">
        <v>188</v>
      </c>
      <c r="D39" s="251">
        <v>45992</v>
      </c>
      <c r="E39" s="282">
        <v>0</v>
      </c>
      <c r="F39" s="252">
        <v>0</v>
      </c>
      <c r="G39" s="283">
        <v>7000</v>
      </c>
      <c r="H39" s="287">
        <f t="shared" si="0"/>
        <v>221089</v>
      </c>
      <c r="I39" s="253">
        <f>SUMIFS(FACILITIES!T:T,FACILITIES!B:B,B39)</f>
        <v>0</v>
      </c>
      <c r="J39" s="253">
        <v>0</v>
      </c>
      <c r="K39" s="253">
        <v>0</v>
      </c>
      <c r="L39" s="253">
        <v>0</v>
      </c>
      <c r="M39" s="253" t="s">
        <v>1160</v>
      </c>
      <c r="N39" s="253">
        <v>0</v>
      </c>
      <c r="O39" s="253">
        <f>SUMIFS('F &amp; B'!G:G,'F &amp; B'!B:B,B39)</f>
        <v>43074</v>
      </c>
      <c r="P39" s="254">
        <v>81436</v>
      </c>
      <c r="Q39" s="254">
        <v>65799</v>
      </c>
      <c r="R39" s="254">
        <v>20500</v>
      </c>
      <c r="S39" s="254">
        <v>0</v>
      </c>
      <c r="T39" s="254">
        <v>10280</v>
      </c>
      <c r="U39" s="254">
        <v>60000</v>
      </c>
      <c r="V39" s="288" t="str">
        <f t="shared" si="1"/>
        <v/>
      </c>
    </row>
    <row r="40" spans="1:22" ht="20.25" customHeight="1" x14ac:dyDescent="0.25">
      <c r="A40" s="258">
        <v>39</v>
      </c>
      <c r="B40" s="249" t="s">
        <v>192</v>
      </c>
      <c r="C40" s="250" t="s">
        <v>193</v>
      </c>
      <c r="D40" s="251">
        <v>45992</v>
      </c>
      <c r="E40" s="282">
        <v>0</v>
      </c>
      <c r="F40" s="252">
        <v>0</v>
      </c>
      <c r="G40" s="283">
        <v>7000</v>
      </c>
      <c r="H40" s="287">
        <f t="shared" si="0"/>
        <v>210429</v>
      </c>
      <c r="I40" s="253">
        <f>SUMIFS(FACILITIES!T:T,FACILITIES!B:B,B40)</f>
        <v>4500</v>
      </c>
      <c r="J40" s="253">
        <v>0</v>
      </c>
      <c r="K40" s="253">
        <v>0</v>
      </c>
      <c r="L40" s="253">
        <v>0</v>
      </c>
      <c r="M40" s="253" t="s">
        <v>1160</v>
      </c>
      <c r="N40" s="253">
        <v>5000</v>
      </c>
      <c r="O40" s="253">
        <f>SUMIFS('F &amp; B'!G:G,'F &amp; B'!B:B,B40)</f>
        <v>48575</v>
      </c>
      <c r="P40" s="254">
        <v>0</v>
      </c>
      <c r="Q40" s="254">
        <v>31429</v>
      </c>
      <c r="R40" s="254">
        <v>56300</v>
      </c>
      <c r="S40" s="254">
        <v>30400</v>
      </c>
      <c r="T40" s="254">
        <v>34225</v>
      </c>
      <c r="U40" s="254">
        <v>60000</v>
      </c>
      <c r="V40" s="288" t="str">
        <f t="shared" si="1"/>
        <v/>
      </c>
    </row>
    <row r="41" spans="1:22" ht="20.25" customHeight="1" x14ac:dyDescent="0.25">
      <c r="A41" s="258">
        <v>40</v>
      </c>
      <c r="B41" s="249" t="s">
        <v>197</v>
      </c>
      <c r="C41" s="250" t="s">
        <v>198</v>
      </c>
      <c r="D41" s="251">
        <v>45992</v>
      </c>
      <c r="E41" s="282">
        <v>0</v>
      </c>
      <c r="F41" s="252">
        <v>0</v>
      </c>
      <c r="G41" s="283">
        <v>7000</v>
      </c>
      <c r="H41" s="287">
        <f t="shared" si="0"/>
        <v>454865</v>
      </c>
      <c r="I41" s="253">
        <f>SUMIFS(FACILITIES!T:T,FACILITIES!B:B,B41)</f>
        <v>0</v>
      </c>
      <c r="J41" s="253">
        <v>0</v>
      </c>
      <c r="K41" s="253">
        <v>0</v>
      </c>
      <c r="L41" s="253">
        <v>412615</v>
      </c>
      <c r="M41" s="253" t="s">
        <v>1160</v>
      </c>
      <c r="N41" s="253">
        <v>2000</v>
      </c>
      <c r="O41" s="253">
        <f>SUMIFS('F &amp; B'!G:G,'F &amp; B'!B:B,B41)</f>
        <v>5440</v>
      </c>
      <c r="P41" s="254">
        <v>1410</v>
      </c>
      <c r="Q41" s="254">
        <v>22600</v>
      </c>
      <c r="R41" s="254">
        <v>6600</v>
      </c>
      <c r="S41" s="254">
        <v>3750</v>
      </c>
      <c r="T41" s="254">
        <v>450</v>
      </c>
      <c r="U41" s="254">
        <v>60000</v>
      </c>
      <c r="V41" s="288" t="str">
        <f t="shared" si="1"/>
        <v/>
      </c>
    </row>
    <row r="42" spans="1:22" ht="20.25" customHeight="1" x14ac:dyDescent="0.25">
      <c r="A42" s="258">
        <v>41</v>
      </c>
      <c r="B42" s="249" t="s">
        <v>202</v>
      </c>
      <c r="C42" s="250" t="s">
        <v>203</v>
      </c>
      <c r="D42" s="251">
        <v>45992</v>
      </c>
      <c r="E42" s="282">
        <v>0</v>
      </c>
      <c r="F42" s="252">
        <v>0</v>
      </c>
      <c r="G42" s="283">
        <v>7000</v>
      </c>
      <c r="H42" s="287">
        <f t="shared" si="0"/>
        <v>1050</v>
      </c>
      <c r="I42" s="253">
        <f>SUMIFS(FACILITIES!T:T,FACILITIES!B:B,B42)</f>
        <v>0</v>
      </c>
      <c r="J42" s="253">
        <v>0</v>
      </c>
      <c r="K42" s="253">
        <v>0</v>
      </c>
      <c r="L42" s="253">
        <v>0</v>
      </c>
      <c r="M42" s="253" t="s">
        <v>1160</v>
      </c>
      <c r="N42" s="253">
        <v>0</v>
      </c>
      <c r="O42" s="253">
        <f>SUMIFS('F &amp; B'!G:G,'F &amp; B'!B:B,B42)</f>
        <v>0</v>
      </c>
      <c r="P42" s="254">
        <v>0</v>
      </c>
      <c r="Q42" s="254">
        <v>1050</v>
      </c>
      <c r="R42" s="254">
        <v>0</v>
      </c>
      <c r="S42" s="254">
        <v>0</v>
      </c>
      <c r="T42" s="254">
        <v>0</v>
      </c>
      <c r="U42" s="254">
        <v>60000</v>
      </c>
      <c r="V42" s="288">
        <f t="shared" si="1"/>
        <v>58950</v>
      </c>
    </row>
    <row r="43" spans="1:22" ht="20.25" customHeight="1" x14ac:dyDescent="0.25">
      <c r="A43" s="258">
        <v>42</v>
      </c>
      <c r="B43" s="249" t="s">
        <v>795</v>
      </c>
      <c r="C43" s="250" t="s">
        <v>796</v>
      </c>
      <c r="D43" s="251">
        <v>45992</v>
      </c>
      <c r="E43" s="282">
        <v>0</v>
      </c>
      <c r="F43" s="252">
        <v>0</v>
      </c>
      <c r="G43" s="283">
        <v>7000</v>
      </c>
      <c r="H43" s="287">
        <f t="shared" si="0"/>
        <v>135880</v>
      </c>
      <c r="I43" s="253">
        <f>SUMIFS(FACILITIES!T:T,FACILITIES!B:B,B43)</f>
        <v>0</v>
      </c>
      <c r="J43" s="253">
        <v>0</v>
      </c>
      <c r="K43" s="253">
        <v>0</v>
      </c>
      <c r="L43" s="253">
        <v>0</v>
      </c>
      <c r="M43" s="253" t="s">
        <v>1160</v>
      </c>
      <c r="N43" s="253">
        <v>0</v>
      </c>
      <c r="O43" s="253">
        <f>SUMIFS('F &amp; B'!G:G,'F &amp; B'!B:B,B43)</f>
        <v>40562</v>
      </c>
      <c r="P43" s="254">
        <v>18409</v>
      </c>
      <c r="Q43" s="254">
        <v>18245</v>
      </c>
      <c r="R43" s="254">
        <v>21205</v>
      </c>
      <c r="S43" s="254">
        <v>14849</v>
      </c>
      <c r="T43" s="254">
        <v>22610</v>
      </c>
      <c r="U43" s="254">
        <v>60000</v>
      </c>
      <c r="V43" s="288" t="str">
        <f t="shared" si="1"/>
        <v/>
      </c>
    </row>
    <row r="44" spans="1:22" ht="20.25" customHeight="1" x14ac:dyDescent="0.25">
      <c r="A44" s="258">
        <v>43</v>
      </c>
      <c r="B44" s="249" t="s">
        <v>207</v>
      </c>
      <c r="C44" s="250" t="s">
        <v>208</v>
      </c>
      <c r="D44" s="251">
        <v>45992</v>
      </c>
      <c r="E44" s="282">
        <v>0</v>
      </c>
      <c r="F44" s="252">
        <v>0</v>
      </c>
      <c r="G44" s="283">
        <v>7000</v>
      </c>
      <c r="H44" s="287">
        <f t="shared" si="0"/>
        <v>224889</v>
      </c>
      <c r="I44" s="253">
        <f>SUMIFS(FACILITIES!T:T,FACILITIES!B:B,B44)</f>
        <v>0</v>
      </c>
      <c r="J44" s="253">
        <v>0</v>
      </c>
      <c r="K44" s="253">
        <v>180000</v>
      </c>
      <c r="L44" s="253">
        <v>0</v>
      </c>
      <c r="M44" s="253" t="s">
        <v>1160</v>
      </c>
      <c r="N44" s="253">
        <v>0</v>
      </c>
      <c r="O44" s="253">
        <f>SUMIFS('F &amp; B'!G:G,'F &amp; B'!B:B,B44)</f>
        <v>0</v>
      </c>
      <c r="P44" s="254">
        <v>5980</v>
      </c>
      <c r="Q44" s="254">
        <v>4860</v>
      </c>
      <c r="R44" s="254">
        <v>14649</v>
      </c>
      <c r="S44" s="254">
        <v>16500</v>
      </c>
      <c r="T44" s="254">
        <v>2900</v>
      </c>
      <c r="U44" s="254">
        <v>60000</v>
      </c>
      <c r="V44" s="288" t="str">
        <f t="shared" si="1"/>
        <v/>
      </c>
    </row>
    <row r="45" spans="1:22" ht="20.25" customHeight="1" x14ac:dyDescent="0.25">
      <c r="A45" s="258">
        <v>44</v>
      </c>
      <c r="B45" s="249" t="s">
        <v>212</v>
      </c>
      <c r="C45" s="250" t="s">
        <v>213</v>
      </c>
      <c r="D45" s="251">
        <v>45992</v>
      </c>
      <c r="E45" s="282">
        <v>0</v>
      </c>
      <c r="F45" s="252">
        <v>0</v>
      </c>
      <c r="G45" s="283">
        <v>7000</v>
      </c>
      <c r="H45" s="287">
        <f t="shared" si="0"/>
        <v>26979</v>
      </c>
      <c r="I45" s="253">
        <f>SUMIFS(FACILITIES!T:T,FACILITIES!B:B,B45)</f>
        <v>0</v>
      </c>
      <c r="J45" s="253">
        <v>0</v>
      </c>
      <c r="K45" s="253">
        <v>0</v>
      </c>
      <c r="L45" s="253">
        <v>0</v>
      </c>
      <c r="M45" s="253" t="s">
        <v>1160</v>
      </c>
      <c r="N45" s="253">
        <v>0</v>
      </c>
      <c r="O45" s="253">
        <f>SUMIFS('F &amp; B'!G:G,'F &amp; B'!B:B,B45)</f>
        <v>0</v>
      </c>
      <c r="P45" s="254">
        <v>0</v>
      </c>
      <c r="Q45" s="254">
        <v>0</v>
      </c>
      <c r="R45" s="254">
        <v>0</v>
      </c>
      <c r="S45" s="254">
        <v>0</v>
      </c>
      <c r="T45" s="254">
        <v>26979</v>
      </c>
      <c r="U45" s="254">
        <v>60000</v>
      </c>
      <c r="V45" s="288">
        <f t="shared" si="1"/>
        <v>33021</v>
      </c>
    </row>
    <row r="46" spans="1:22" ht="20.25" customHeight="1" x14ac:dyDescent="0.25">
      <c r="A46" s="258">
        <v>45</v>
      </c>
      <c r="B46" s="249" t="s">
        <v>217</v>
      </c>
      <c r="C46" s="250" t="s">
        <v>218</v>
      </c>
      <c r="D46" s="251">
        <v>45992</v>
      </c>
      <c r="E46" s="282">
        <v>0</v>
      </c>
      <c r="F46" s="252">
        <v>0</v>
      </c>
      <c r="G46" s="283">
        <v>7000</v>
      </c>
      <c r="H46" s="287">
        <f t="shared" si="0"/>
        <v>92487</v>
      </c>
      <c r="I46" s="253">
        <f>SUMIFS(FACILITIES!T:T,FACILITIES!B:B,B46)</f>
        <v>4000</v>
      </c>
      <c r="J46" s="253">
        <v>0</v>
      </c>
      <c r="K46" s="253">
        <v>0</v>
      </c>
      <c r="L46" s="253">
        <v>0</v>
      </c>
      <c r="M46" s="253" t="s">
        <v>1160</v>
      </c>
      <c r="N46" s="253">
        <v>0</v>
      </c>
      <c r="O46" s="253">
        <f>SUMIFS('F &amp; B'!G:G,'F &amp; B'!B:B,B46)</f>
        <v>9400</v>
      </c>
      <c r="P46" s="254">
        <v>15000</v>
      </c>
      <c r="Q46" s="254">
        <v>33149</v>
      </c>
      <c r="R46" s="254">
        <v>14199</v>
      </c>
      <c r="S46" s="254">
        <v>2300</v>
      </c>
      <c r="T46" s="254">
        <v>14439</v>
      </c>
      <c r="U46" s="254">
        <v>60000</v>
      </c>
      <c r="V46" s="288" t="str">
        <f t="shared" si="1"/>
        <v/>
      </c>
    </row>
    <row r="47" spans="1:22" ht="20.25" customHeight="1" x14ac:dyDescent="0.25">
      <c r="A47" s="258">
        <v>46</v>
      </c>
      <c r="B47" s="249" t="s">
        <v>221</v>
      </c>
      <c r="C47" s="250" t="s">
        <v>222</v>
      </c>
      <c r="D47" s="251">
        <v>45992</v>
      </c>
      <c r="E47" s="282">
        <v>0</v>
      </c>
      <c r="F47" s="252">
        <v>0</v>
      </c>
      <c r="G47" s="283">
        <v>7000</v>
      </c>
      <c r="H47" s="287">
        <f t="shared" si="0"/>
        <v>50977</v>
      </c>
      <c r="I47" s="253">
        <f>SUMIFS(FACILITIES!T:T,FACILITIES!B:B,B47)</f>
        <v>0</v>
      </c>
      <c r="J47" s="253">
        <v>0</v>
      </c>
      <c r="K47" s="253">
        <v>0</v>
      </c>
      <c r="L47" s="253">
        <v>0</v>
      </c>
      <c r="M47" s="253" t="s">
        <v>1160</v>
      </c>
      <c r="N47" s="253">
        <v>0</v>
      </c>
      <c r="O47" s="253">
        <f>SUMIFS('F &amp; B'!G:G,'F &amp; B'!B:B,B47)</f>
        <v>15807</v>
      </c>
      <c r="P47" s="254">
        <v>11600</v>
      </c>
      <c r="Q47" s="254">
        <v>15120</v>
      </c>
      <c r="R47" s="254">
        <v>0</v>
      </c>
      <c r="S47" s="254">
        <v>8450</v>
      </c>
      <c r="T47" s="254">
        <v>0</v>
      </c>
      <c r="U47" s="254">
        <v>60000</v>
      </c>
      <c r="V47" s="288">
        <f t="shared" si="1"/>
        <v>9023</v>
      </c>
    </row>
    <row r="48" spans="1:22" ht="20.25" customHeight="1" x14ac:dyDescent="0.25">
      <c r="A48" s="258">
        <v>47</v>
      </c>
      <c r="B48" s="249" t="s">
        <v>226</v>
      </c>
      <c r="C48" s="250" t="s">
        <v>227</v>
      </c>
      <c r="D48" s="251">
        <v>45992</v>
      </c>
      <c r="E48" s="282">
        <v>0</v>
      </c>
      <c r="F48" s="252">
        <v>0</v>
      </c>
      <c r="G48" s="283">
        <v>7000</v>
      </c>
      <c r="H48" s="287">
        <f t="shared" si="0"/>
        <v>86225</v>
      </c>
      <c r="I48" s="253">
        <f>SUMIFS(FACILITIES!T:T,FACILITIES!B:B,B48)</f>
        <v>0</v>
      </c>
      <c r="J48" s="253">
        <v>0</v>
      </c>
      <c r="K48" s="253">
        <v>0</v>
      </c>
      <c r="L48" s="253">
        <v>0</v>
      </c>
      <c r="M48" s="253" t="s">
        <v>1160</v>
      </c>
      <c r="N48" s="253">
        <v>0</v>
      </c>
      <c r="O48" s="253">
        <f>SUMIFS('F &amp; B'!G:G,'F &amp; B'!B:B,B48)</f>
        <v>27850</v>
      </c>
      <c r="P48" s="254">
        <v>9100</v>
      </c>
      <c r="Q48" s="254">
        <v>24925</v>
      </c>
      <c r="R48" s="254">
        <v>0</v>
      </c>
      <c r="S48" s="254">
        <v>24350</v>
      </c>
      <c r="T48" s="254">
        <v>0</v>
      </c>
      <c r="U48" s="254">
        <v>60000</v>
      </c>
      <c r="V48" s="288" t="str">
        <f t="shared" si="1"/>
        <v/>
      </c>
    </row>
    <row r="49" spans="1:22" ht="20.25" customHeight="1" x14ac:dyDescent="0.25">
      <c r="A49" s="258">
        <v>48</v>
      </c>
      <c r="B49" s="249" t="s">
        <v>230</v>
      </c>
      <c r="C49" s="250" t="s">
        <v>231</v>
      </c>
      <c r="D49" s="251">
        <v>45992</v>
      </c>
      <c r="E49" s="282">
        <v>0</v>
      </c>
      <c r="F49" s="252">
        <v>0</v>
      </c>
      <c r="G49" s="283">
        <v>7000</v>
      </c>
      <c r="H49" s="287">
        <f t="shared" si="0"/>
        <v>73449</v>
      </c>
      <c r="I49" s="253">
        <f>SUMIFS(FACILITIES!T:T,FACILITIES!B:B,B49)</f>
        <v>0</v>
      </c>
      <c r="J49" s="253">
        <v>0</v>
      </c>
      <c r="K49" s="253">
        <v>0</v>
      </c>
      <c r="L49" s="253">
        <v>0</v>
      </c>
      <c r="M49" s="253" t="s">
        <v>1160</v>
      </c>
      <c r="N49" s="253">
        <v>0</v>
      </c>
      <c r="O49" s="253">
        <f>SUMIFS('F &amp; B'!G:G,'F &amp; B'!B:B,B49)</f>
        <v>21050</v>
      </c>
      <c r="P49" s="254">
        <v>8300</v>
      </c>
      <c r="Q49" s="254">
        <v>9949</v>
      </c>
      <c r="R49" s="254">
        <v>25000</v>
      </c>
      <c r="S49" s="254">
        <v>8450</v>
      </c>
      <c r="T49" s="254">
        <v>700</v>
      </c>
      <c r="U49" s="254">
        <v>60000</v>
      </c>
      <c r="V49" s="288" t="str">
        <f t="shared" si="1"/>
        <v/>
      </c>
    </row>
    <row r="50" spans="1:22" ht="20.25" customHeight="1" x14ac:dyDescent="0.25">
      <c r="A50" s="258">
        <v>49</v>
      </c>
      <c r="B50" s="249" t="s">
        <v>235</v>
      </c>
      <c r="C50" s="250" t="s">
        <v>236</v>
      </c>
      <c r="D50" s="251">
        <v>45992</v>
      </c>
      <c r="E50" s="282">
        <v>0</v>
      </c>
      <c r="F50" s="252">
        <v>0</v>
      </c>
      <c r="G50" s="283">
        <v>7000</v>
      </c>
      <c r="H50" s="287">
        <f t="shared" si="0"/>
        <v>137291</v>
      </c>
      <c r="I50" s="253">
        <f>SUMIFS(FACILITIES!T:T,FACILITIES!B:B,B50)</f>
        <v>2000</v>
      </c>
      <c r="J50" s="253">
        <v>0</v>
      </c>
      <c r="K50" s="253">
        <v>0</v>
      </c>
      <c r="L50" s="253">
        <v>0</v>
      </c>
      <c r="M50" s="253" t="s">
        <v>1160</v>
      </c>
      <c r="N50" s="253">
        <v>0</v>
      </c>
      <c r="O50" s="253">
        <f>SUMIFS('F &amp; B'!G:G,'F &amp; B'!B:B,B50)</f>
        <v>17159</v>
      </c>
      <c r="P50" s="254">
        <v>57523</v>
      </c>
      <c r="Q50" s="254">
        <v>9904</v>
      </c>
      <c r="R50" s="254">
        <v>19050</v>
      </c>
      <c r="S50" s="254">
        <v>17070</v>
      </c>
      <c r="T50" s="254">
        <v>14585</v>
      </c>
      <c r="U50" s="254">
        <v>60000</v>
      </c>
      <c r="V50" s="288" t="str">
        <f t="shared" si="1"/>
        <v/>
      </c>
    </row>
    <row r="51" spans="1:22" ht="20.25" customHeight="1" x14ac:dyDescent="0.25">
      <c r="A51" s="258">
        <v>50</v>
      </c>
      <c r="B51" s="249" t="s">
        <v>240</v>
      </c>
      <c r="C51" s="250" t="s">
        <v>241</v>
      </c>
      <c r="D51" s="251">
        <v>45992</v>
      </c>
      <c r="E51" s="282">
        <v>0</v>
      </c>
      <c r="F51" s="252">
        <v>0</v>
      </c>
      <c r="G51" s="283">
        <v>7000</v>
      </c>
      <c r="H51" s="287">
        <f t="shared" si="0"/>
        <v>160835</v>
      </c>
      <c r="I51" s="253">
        <f>SUMIFS(FACILITIES!T:T,FACILITIES!B:B,B51)</f>
        <v>0</v>
      </c>
      <c r="J51" s="253">
        <v>0</v>
      </c>
      <c r="K51" s="253">
        <v>0</v>
      </c>
      <c r="L51" s="253">
        <v>0</v>
      </c>
      <c r="M51" s="253" t="s">
        <v>1160</v>
      </c>
      <c r="N51" s="253">
        <v>0</v>
      </c>
      <c r="O51" s="253">
        <f>SUMIFS('F &amp; B'!G:G,'F &amp; B'!B:B,B51)</f>
        <v>2700</v>
      </c>
      <c r="P51" s="254">
        <v>19650</v>
      </c>
      <c r="Q51" s="254">
        <v>24786</v>
      </c>
      <c r="R51" s="254">
        <v>47569</v>
      </c>
      <c r="S51" s="254">
        <v>8730</v>
      </c>
      <c r="T51" s="254">
        <v>57400</v>
      </c>
      <c r="U51" s="254">
        <v>60000</v>
      </c>
      <c r="V51" s="288" t="str">
        <f t="shared" si="1"/>
        <v/>
      </c>
    </row>
    <row r="52" spans="1:22" ht="20.25" customHeight="1" x14ac:dyDescent="0.25">
      <c r="A52" s="258">
        <v>51</v>
      </c>
      <c r="B52" s="249" t="s">
        <v>244</v>
      </c>
      <c r="C52" s="250" t="s">
        <v>245</v>
      </c>
      <c r="D52" s="251">
        <v>45992</v>
      </c>
      <c r="E52" s="282">
        <v>0</v>
      </c>
      <c r="F52" s="252">
        <v>0</v>
      </c>
      <c r="G52" s="283">
        <v>7000</v>
      </c>
      <c r="H52" s="287">
        <f t="shared" si="0"/>
        <v>49825</v>
      </c>
      <c r="I52" s="253">
        <f>SUMIFS(FACILITIES!T:T,FACILITIES!B:B,B52)</f>
        <v>0</v>
      </c>
      <c r="J52" s="253">
        <v>0</v>
      </c>
      <c r="K52" s="253">
        <v>0</v>
      </c>
      <c r="L52" s="253">
        <v>0</v>
      </c>
      <c r="M52" s="253" t="s">
        <v>1160</v>
      </c>
      <c r="N52" s="253">
        <v>0</v>
      </c>
      <c r="O52" s="253">
        <f>SUMIFS('F &amp; B'!G:G,'F &amp; B'!B:B,B52)</f>
        <v>16750</v>
      </c>
      <c r="P52" s="254">
        <v>6800</v>
      </c>
      <c r="Q52" s="254">
        <v>14500</v>
      </c>
      <c r="R52" s="254">
        <v>11775</v>
      </c>
      <c r="S52" s="254">
        <v>0</v>
      </c>
      <c r="T52" s="254">
        <v>0</v>
      </c>
      <c r="U52" s="254">
        <v>60000</v>
      </c>
      <c r="V52" s="288">
        <f t="shared" si="1"/>
        <v>10175</v>
      </c>
    </row>
    <row r="53" spans="1:22" ht="21" customHeight="1" x14ac:dyDescent="0.25">
      <c r="A53" s="258">
        <v>52</v>
      </c>
      <c r="B53" s="249" t="s">
        <v>249</v>
      </c>
      <c r="C53" s="250" t="s">
        <v>250</v>
      </c>
      <c r="D53" s="251">
        <v>45992</v>
      </c>
      <c r="E53" s="282">
        <v>0</v>
      </c>
      <c r="F53" s="252">
        <v>0</v>
      </c>
      <c r="G53" s="283">
        <v>7000</v>
      </c>
      <c r="H53" s="287">
        <f t="shared" si="0"/>
        <v>40540</v>
      </c>
      <c r="I53" s="253">
        <f>SUMIFS(FACILITIES!T:T,FACILITIES!B:B,B53)</f>
        <v>9000</v>
      </c>
      <c r="J53" s="253">
        <v>0</v>
      </c>
      <c r="K53" s="253">
        <v>0</v>
      </c>
      <c r="L53" s="253">
        <v>0</v>
      </c>
      <c r="M53" s="253" t="s">
        <v>1160</v>
      </c>
      <c r="N53" s="253">
        <v>0</v>
      </c>
      <c r="O53" s="253">
        <f>SUMIFS('F &amp; B'!G:G,'F &amp; B'!B:B,B53)</f>
        <v>11990</v>
      </c>
      <c r="P53" s="254">
        <v>4600</v>
      </c>
      <c r="Q53" s="254">
        <v>7000</v>
      </c>
      <c r="R53" s="254">
        <v>0</v>
      </c>
      <c r="S53" s="254">
        <v>0</v>
      </c>
      <c r="T53" s="254">
        <v>7950</v>
      </c>
      <c r="U53" s="254">
        <v>60000</v>
      </c>
      <c r="V53" s="288">
        <f t="shared" si="1"/>
        <v>19460</v>
      </c>
    </row>
    <row r="54" spans="1:22" ht="20.25" customHeight="1" x14ac:dyDescent="0.25">
      <c r="A54" s="258">
        <v>53</v>
      </c>
      <c r="B54" s="249" t="s">
        <v>254</v>
      </c>
      <c r="C54" s="250" t="s">
        <v>255</v>
      </c>
      <c r="D54" s="251">
        <v>45992</v>
      </c>
      <c r="E54" s="282">
        <v>0</v>
      </c>
      <c r="F54" s="252">
        <v>0</v>
      </c>
      <c r="G54" s="283">
        <v>7000</v>
      </c>
      <c r="H54" s="287">
        <f t="shared" si="0"/>
        <v>218862</v>
      </c>
      <c r="I54" s="253">
        <f>SUMIFS(FACILITIES!T:T,FACILITIES!B:B,B54)</f>
        <v>0</v>
      </c>
      <c r="J54" s="253">
        <v>0</v>
      </c>
      <c r="K54" s="253">
        <v>0</v>
      </c>
      <c r="L54" s="253">
        <v>0</v>
      </c>
      <c r="M54" s="253" t="s">
        <v>1160</v>
      </c>
      <c r="N54" s="253">
        <v>67500</v>
      </c>
      <c r="O54" s="253">
        <f>SUMIFS('F &amp; B'!G:G,'F &amp; B'!B:B,B54)</f>
        <v>4500</v>
      </c>
      <c r="P54" s="254">
        <v>10350</v>
      </c>
      <c r="Q54" s="254">
        <v>90674</v>
      </c>
      <c r="R54" s="254">
        <v>0</v>
      </c>
      <c r="S54" s="254">
        <v>11829</v>
      </c>
      <c r="T54" s="254">
        <v>34009</v>
      </c>
      <c r="U54" s="254">
        <v>60000</v>
      </c>
      <c r="V54" s="288" t="str">
        <f t="shared" si="1"/>
        <v/>
      </c>
    </row>
    <row r="55" spans="1:22" ht="20.25" customHeight="1" x14ac:dyDescent="0.25">
      <c r="A55" s="258">
        <v>54</v>
      </c>
      <c r="B55" s="249" t="s">
        <v>258</v>
      </c>
      <c r="C55" s="250" t="s">
        <v>259</v>
      </c>
      <c r="D55" s="251">
        <v>45992</v>
      </c>
      <c r="E55" s="282">
        <v>0</v>
      </c>
      <c r="F55" s="252">
        <v>0</v>
      </c>
      <c r="G55" s="283">
        <v>7000</v>
      </c>
      <c r="H55" s="287">
        <f t="shared" si="0"/>
        <v>178765</v>
      </c>
      <c r="I55" s="253">
        <f>SUMIFS(FACILITIES!T:T,FACILITIES!B:B,B55)</f>
        <v>0</v>
      </c>
      <c r="J55" s="253">
        <v>0</v>
      </c>
      <c r="K55" s="253">
        <v>0</v>
      </c>
      <c r="L55" s="253">
        <v>0</v>
      </c>
      <c r="M55" s="253" t="s">
        <v>1160</v>
      </c>
      <c r="N55" s="253">
        <v>0</v>
      </c>
      <c r="O55" s="253">
        <f>SUMIFS('F &amp; B'!G:G,'F &amp; B'!B:B,B55)</f>
        <v>29350</v>
      </c>
      <c r="P55" s="254">
        <v>15000</v>
      </c>
      <c r="Q55" s="254">
        <v>26100</v>
      </c>
      <c r="R55" s="254">
        <v>29300</v>
      </c>
      <c r="S55" s="254">
        <v>23400</v>
      </c>
      <c r="T55" s="254">
        <v>55615</v>
      </c>
      <c r="U55" s="254">
        <v>60000</v>
      </c>
      <c r="V55" s="288" t="str">
        <f t="shared" si="1"/>
        <v/>
      </c>
    </row>
    <row r="56" spans="1:22" ht="20.25" customHeight="1" x14ac:dyDescent="0.25">
      <c r="A56" s="258">
        <v>55</v>
      </c>
      <c r="B56" s="249" t="s">
        <v>263</v>
      </c>
      <c r="C56" s="250" t="s">
        <v>264</v>
      </c>
      <c r="D56" s="251">
        <v>45992</v>
      </c>
      <c r="E56" s="282">
        <v>0</v>
      </c>
      <c r="F56" s="252">
        <v>0</v>
      </c>
      <c r="G56" s="283">
        <v>7000</v>
      </c>
      <c r="H56" s="287">
        <f t="shared" si="0"/>
        <v>269473</v>
      </c>
      <c r="I56" s="253">
        <f>SUMIFS(FACILITIES!T:T,FACILITIES!B:B,B56)</f>
        <v>0</v>
      </c>
      <c r="J56" s="253">
        <v>0</v>
      </c>
      <c r="K56" s="253">
        <v>0</v>
      </c>
      <c r="L56" s="253">
        <v>0</v>
      </c>
      <c r="M56" s="253" t="s">
        <v>1160</v>
      </c>
      <c r="N56" s="253">
        <v>0</v>
      </c>
      <c r="O56" s="253">
        <f>SUMIFS('F &amp; B'!G:G,'F &amp; B'!B:B,B56)</f>
        <v>102350</v>
      </c>
      <c r="P56" s="254">
        <v>44425</v>
      </c>
      <c r="Q56" s="254">
        <v>18799</v>
      </c>
      <c r="R56" s="254">
        <v>33049</v>
      </c>
      <c r="S56" s="254">
        <v>49600</v>
      </c>
      <c r="T56" s="254">
        <v>21250</v>
      </c>
      <c r="U56" s="254">
        <v>60000</v>
      </c>
      <c r="V56" s="288" t="str">
        <f t="shared" si="1"/>
        <v/>
      </c>
    </row>
    <row r="57" spans="1:22" ht="20.25" customHeight="1" x14ac:dyDescent="0.25">
      <c r="A57" s="258">
        <v>56</v>
      </c>
      <c r="B57" s="249" t="s">
        <v>268</v>
      </c>
      <c r="C57" s="250" t="s">
        <v>269</v>
      </c>
      <c r="D57" s="251">
        <v>45992</v>
      </c>
      <c r="E57" s="282">
        <v>0</v>
      </c>
      <c r="F57" s="252">
        <v>0</v>
      </c>
      <c r="G57" s="283">
        <v>7000</v>
      </c>
      <c r="H57" s="287">
        <f t="shared" si="0"/>
        <v>19340</v>
      </c>
      <c r="I57" s="253">
        <f>SUMIFS(FACILITIES!T:T,FACILITIES!B:B,B57)</f>
        <v>0</v>
      </c>
      <c r="J57" s="253">
        <v>0</v>
      </c>
      <c r="K57" s="253">
        <v>0</v>
      </c>
      <c r="L57" s="253">
        <v>0</v>
      </c>
      <c r="M57" s="253" t="s">
        <v>1160</v>
      </c>
      <c r="N57" s="253">
        <v>0</v>
      </c>
      <c r="O57" s="253">
        <f>SUMIFS('F &amp; B'!G:G,'F &amp; B'!B:B,B57)</f>
        <v>6800</v>
      </c>
      <c r="P57" s="254">
        <v>3420</v>
      </c>
      <c r="Q57" s="254">
        <v>9120</v>
      </c>
      <c r="R57" s="254">
        <v>0</v>
      </c>
      <c r="S57" s="254">
        <v>0</v>
      </c>
      <c r="T57" s="254">
        <v>0</v>
      </c>
      <c r="U57" s="254">
        <v>60000</v>
      </c>
      <c r="V57" s="288">
        <f t="shared" si="1"/>
        <v>40660</v>
      </c>
    </row>
    <row r="58" spans="1:22" ht="20.25" customHeight="1" x14ac:dyDescent="0.25">
      <c r="A58" s="258">
        <v>57</v>
      </c>
      <c r="B58" s="249" t="s">
        <v>273</v>
      </c>
      <c r="C58" s="250" t="s">
        <v>274</v>
      </c>
      <c r="D58" s="251">
        <v>45992</v>
      </c>
      <c r="E58" s="282">
        <v>0</v>
      </c>
      <c r="F58" s="252">
        <v>0</v>
      </c>
      <c r="G58" s="283">
        <v>7000</v>
      </c>
      <c r="H58" s="287">
        <f t="shared" si="0"/>
        <v>85906</v>
      </c>
      <c r="I58" s="253">
        <f>SUMIFS(FACILITIES!T:T,FACILITIES!B:B,B58)</f>
        <v>0</v>
      </c>
      <c r="J58" s="253">
        <v>0</v>
      </c>
      <c r="K58" s="253">
        <v>0</v>
      </c>
      <c r="L58" s="253">
        <v>0</v>
      </c>
      <c r="M58" s="253" t="s">
        <v>1160</v>
      </c>
      <c r="N58" s="253">
        <v>0</v>
      </c>
      <c r="O58" s="253">
        <f>SUMIFS('F &amp; B'!G:G,'F &amp; B'!B:B,B58)</f>
        <v>6900</v>
      </c>
      <c r="P58" s="254">
        <v>15909</v>
      </c>
      <c r="Q58" s="254">
        <v>7900</v>
      </c>
      <c r="R58" s="254">
        <v>27927</v>
      </c>
      <c r="S58" s="254">
        <v>8070</v>
      </c>
      <c r="T58" s="254">
        <v>19200</v>
      </c>
      <c r="U58" s="254">
        <v>60000</v>
      </c>
      <c r="V58" s="288" t="str">
        <f t="shared" si="1"/>
        <v/>
      </c>
    </row>
    <row r="59" spans="1:22" ht="20.25" customHeight="1" x14ac:dyDescent="0.25">
      <c r="A59" s="258">
        <v>58</v>
      </c>
      <c r="B59" s="249" t="s">
        <v>278</v>
      </c>
      <c r="C59" s="250" t="s">
        <v>495</v>
      </c>
      <c r="D59" s="251">
        <v>45992</v>
      </c>
      <c r="E59" s="282">
        <v>0</v>
      </c>
      <c r="F59" s="252">
        <v>0</v>
      </c>
      <c r="G59" s="283">
        <v>7000</v>
      </c>
      <c r="H59" s="287">
        <f t="shared" si="0"/>
        <v>21800</v>
      </c>
      <c r="I59" s="253">
        <f>SUMIFS(FACILITIES!T:T,FACILITIES!B:B,B59)</f>
        <v>0</v>
      </c>
      <c r="J59" s="253">
        <v>0</v>
      </c>
      <c r="K59" s="253">
        <v>0</v>
      </c>
      <c r="L59" s="253">
        <v>0</v>
      </c>
      <c r="M59" s="253" t="s">
        <v>1160</v>
      </c>
      <c r="N59" s="253">
        <v>0</v>
      </c>
      <c r="O59" s="253">
        <f>SUMIFS('F &amp; B'!G:G,'F &amp; B'!B:B,B59)</f>
        <v>0</v>
      </c>
      <c r="P59" s="254">
        <v>3550</v>
      </c>
      <c r="Q59" s="254">
        <v>3300</v>
      </c>
      <c r="R59" s="254">
        <v>13300</v>
      </c>
      <c r="S59" s="254">
        <v>1650</v>
      </c>
      <c r="T59" s="254">
        <v>0</v>
      </c>
      <c r="U59" s="254">
        <v>60000</v>
      </c>
      <c r="V59" s="288">
        <f t="shared" si="1"/>
        <v>38200</v>
      </c>
    </row>
    <row r="60" spans="1:22" ht="20.25" customHeight="1" x14ac:dyDescent="0.25">
      <c r="A60" s="258">
        <v>59</v>
      </c>
      <c r="B60" s="249" t="s">
        <v>282</v>
      </c>
      <c r="C60" s="250" t="s">
        <v>283</v>
      </c>
      <c r="D60" s="251">
        <v>45992</v>
      </c>
      <c r="E60" s="282">
        <v>0</v>
      </c>
      <c r="F60" s="252">
        <v>0</v>
      </c>
      <c r="G60" s="283">
        <v>7000</v>
      </c>
      <c r="H60" s="287">
        <f t="shared" si="0"/>
        <v>132931</v>
      </c>
      <c r="I60" s="253">
        <f>SUMIFS(FACILITIES!T:T,FACILITIES!B:B,B60)</f>
        <v>0</v>
      </c>
      <c r="J60" s="253">
        <v>0</v>
      </c>
      <c r="K60" s="253">
        <v>0</v>
      </c>
      <c r="L60" s="253">
        <v>0</v>
      </c>
      <c r="M60" s="253" t="s">
        <v>1160</v>
      </c>
      <c r="N60" s="253">
        <v>0</v>
      </c>
      <c r="O60" s="253">
        <f>SUMIFS('F &amp; B'!G:G,'F &amp; B'!B:B,B60)</f>
        <v>21450</v>
      </c>
      <c r="P60" s="254">
        <v>26278</v>
      </c>
      <c r="Q60" s="254">
        <v>34125</v>
      </c>
      <c r="R60" s="254">
        <v>11300</v>
      </c>
      <c r="S60" s="254">
        <v>39778</v>
      </c>
      <c r="T60" s="254">
        <v>0</v>
      </c>
      <c r="U60" s="254">
        <v>60000</v>
      </c>
      <c r="V60" s="288" t="str">
        <f t="shared" si="1"/>
        <v/>
      </c>
    </row>
    <row r="61" spans="1:22" ht="20.25" customHeight="1" x14ac:dyDescent="0.25">
      <c r="A61" s="258">
        <v>60</v>
      </c>
      <c r="B61" s="249" t="s">
        <v>287</v>
      </c>
      <c r="C61" s="250" t="s">
        <v>288</v>
      </c>
      <c r="D61" s="251">
        <v>45992</v>
      </c>
      <c r="E61" s="282">
        <v>0</v>
      </c>
      <c r="F61" s="252">
        <v>0</v>
      </c>
      <c r="G61" s="283">
        <v>7000</v>
      </c>
      <c r="H61" s="287">
        <f t="shared" si="0"/>
        <v>56938</v>
      </c>
      <c r="I61" s="253">
        <f>SUMIFS(FACILITIES!T:T,FACILITIES!B:B,B61)</f>
        <v>0</v>
      </c>
      <c r="J61" s="253">
        <v>0</v>
      </c>
      <c r="K61" s="253">
        <v>0</v>
      </c>
      <c r="L61" s="253">
        <v>0</v>
      </c>
      <c r="M61" s="253" t="s">
        <v>1160</v>
      </c>
      <c r="N61" s="253">
        <v>0</v>
      </c>
      <c r="O61" s="253">
        <f>SUMIFS('F &amp; B'!G:G,'F &amp; B'!B:B,B61)</f>
        <v>11200</v>
      </c>
      <c r="P61" s="254">
        <v>14950</v>
      </c>
      <c r="Q61" s="254">
        <v>4050</v>
      </c>
      <c r="R61" s="254">
        <v>7550</v>
      </c>
      <c r="S61" s="254">
        <v>3850</v>
      </c>
      <c r="T61" s="254">
        <v>15338</v>
      </c>
      <c r="U61" s="254">
        <v>60000</v>
      </c>
      <c r="V61" s="288">
        <f t="shared" si="1"/>
        <v>3062</v>
      </c>
    </row>
    <row r="62" spans="1:22" ht="20.25" customHeight="1" x14ac:dyDescent="0.25">
      <c r="A62" s="258">
        <v>61</v>
      </c>
      <c r="B62" s="249" t="s">
        <v>296</v>
      </c>
      <c r="C62" s="250" t="s">
        <v>297</v>
      </c>
      <c r="D62" s="251">
        <v>45992</v>
      </c>
      <c r="E62" s="282">
        <v>0</v>
      </c>
      <c r="F62" s="252">
        <v>0</v>
      </c>
      <c r="G62" s="283">
        <v>7000</v>
      </c>
      <c r="H62" s="287">
        <f t="shared" si="0"/>
        <v>28156</v>
      </c>
      <c r="I62" s="253">
        <f>SUMIFS(FACILITIES!T:T,FACILITIES!B:B,B62)</f>
        <v>0</v>
      </c>
      <c r="J62" s="253">
        <v>0</v>
      </c>
      <c r="K62" s="253">
        <v>0</v>
      </c>
      <c r="L62" s="253">
        <v>0</v>
      </c>
      <c r="M62" s="253" t="s">
        <v>1160</v>
      </c>
      <c r="N62" s="253">
        <v>0</v>
      </c>
      <c r="O62" s="253">
        <f>SUMIFS('F &amp; B'!G:G,'F &amp; B'!B:B,B62)</f>
        <v>7368</v>
      </c>
      <c r="P62" s="254">
        <v>10978</v>
      </c>
      <c r="Q62" s="254">
        <v>480</v>
      </c>
      <c r="R62" s="254">
        <v>7050</v>
      </c>
      <c r="S62" s="254">
        <v>1480</v>
      </c>
      <c r="T62" s="254">
        <v>800</v>
      </c>
      <c r="U62" s="254">
        <v>60000</v>
      </c>
      <c r="V62" s="288">
        <f t="shared" si="1"/>
        <v>31844</v>
      </c>
    </row>
    <row r="63" spans="1:22" ht="20.25" customHeight="1" x14ac:dyDescent="0.25">
      <c r="A63" s="258">
        <v>62</v>
      </c>
      <c r="B63" s="249" t="s">
        <v>301</v>
      </c>
      <c r="C63" s="250" t="s">
        <v>302</v>
      </c>
      <c r="D63" s="251">
        <v>45992</v>
      </c>
      <c r="E63" s="282">
        <v>0</v>
      </c>
      <c r="F63" s="252">
        <v>0</v>
      </c>
      <c r="G63" s="283">
        <v>7000</v>
      </c>
      <c r="H63" s="287">
        <f t="shared" si="0"/>
        <v>303750</v>
      </c>
      <c r="I63" s="253">
        <f>SUMIFS(FACILITIES!T:T,FACILITIES!B:B,B63)</f>
        <v>9500</v>
      </c>
      <c r="J63" s="253">
        <v>0</v>
      </c>
      <c r="K63" s="253">
        <v>0</v>
      </c>
      <c r="L63" s="253">
        <v>0</v>
      </c>
      <c r="M63" s="253" t="s">
        <v>1160</v>
      </c>
      <c r="N63" s="253">
        <v>220000</v>
      </c>
      <c r="O63" s="253">
        <f>SUMIFS('F &amp; B'!G:G,'F &amp; B'!B:B,B63)</f>
        <v>0</v>
      </c>
      <c r="P63" s="254">
        <v>750</v>
      </c>
      <c r="Q63" s="254">
        <v>11400</v>
      </c>
      <c r="R63" s="254">
        <v>400</v>
      </c>
      <c r="S63" s="254">
        <v>6000</v>
      </c>
      <c r="T63" s="254">
        <v>55700</v>
      </c>
      <c r="U63" s="254">
        <v>60000</v>
      </c>
      <c r="V63" s="288" t="str">
        <f t="shared" si="1"/>
        <v/>
      </c>
    </row>
    <row r="64" spans="1:22" ht="20.25" customHeight="1" x14ac:dyDescent="0.25">
      <c r="A64" s="258">
        <v>63</v>
      </c>
      <c r="B64" s="249" t="s">
        <v>306</v>
      </c>
      <c r="C64" s="250" t="s">
        <v>307</v>
      </c>
      <c r="D64" s="251">
        <v>45992</v>
      </c>
      <c r="E64" s="282">
        <v>0</v>
      </c>
      <c r="F64" s="252">
        <v>0</v>
      </c>
      <c r="G64" s="283">
        <v>7000</v>
      </c>
      <c r="H64" s="287">
        <f t="shared" si="0"/>
        <v>82764</v>
      </c>
      <c r="I64" s="253">
        <f>SUMIFS(FACILITIES!T:T,FACILITIES!B:B,B64)</f>
        <v>0</v>
      </c>
      <c r="J64" s="253">
        <v>0</v>
      </c>
      <c r="K64" s="253">
        <v>0</v>
      </c>
      <c r="L64" s="253">
        <v>0</v>
      </c>
      <c r="M64" s="253" t="s">
        <v>1160</v>
      </c>
      <c r="N64" s="253">
        <v>0</v>
      </c>
      <c r="O64" s="253">
        <f>SUMIFS('F &amp; B'!G:G,'F &amp; B'!B:B,B64)</f>
        <v>57964</v>
      </c>
      <c r="P64" s="254">
        <v>11900</v>
      </c>
      <c r="Q64" s="254">
        <v>0</v>
      </c>
      <c r="R64" s="254">
        <v>6200</v>
      </c>
      <c r="S64" s="254">
        <v>350</v>
      </c>
      <c r="T64" s="254">
        <v>6350</v>
      </c>
      <c r="U64" s="254">
        <v>60000</v>
      </c>
      <c r="V64" s="288" t="str">
        <f t="shared" si="1"/>
        <v/>
      </c>
    </row>
    <row r="65" spans="1:22" ht="20.25" customHeight="1" x14ac:dyDescent="0.25">
      <c r="A65" s="258">
        <v>64</v>
      </c>
      <c r="B65" s="249" t="s">
        <v>308</v>
      </c>
      <c r="C65" s="250" t="s">
        <v>309</v>
      </c>
      <c r="D65" s="251">
        <v>45992</v>
      </c>
      <c r="E65" s="282">
        <v>0</v>
      </c>
      <c r="F65" s="252">
        <v>0</v>
      </c>
      <c r="G65" s="283">
        <v>7000</v>
      </c>
      <c r="H65" s="287">
        <f t="shared" si="0"/>
        <v>333365</v>
      </c>
      <c r="I65" s="253">
        <f>SUMIFS(FACILITIES!T:T,FACILITIES!B:B,B65)</f>
        <v>4000</v>
      </c>
      <c r="J65" s="253">
        <v>0</v>
      </c>
      <c r="K65" s="253">
        <v>0</v>
      </c>
      <c r="L65" s="253">
        <v>0</v>
      </c>
      <c r="M65" s="253" t="s">
        <v>1160</v>
      </c>
      <c r="N65" s="253">
        <v>230960</v>
      </c>
      <c r="O65" s="253">
        <f>SUMIFS('F &amp; B'!G:G,'F &amp; B'!B:B,B65)</f>
        <v>15825</v>
      </c>
      <c r="P65" s="254">
        <v>0</v>
      </c>
      <c r="Q65" s="254">
        <v>9430</v>
      </c>
      <c r="R65" s="254">
        <v>20800</v>
      </c>
      <c r="S65" s="254">
        <v>10300</v>
      </c>
      <c r="T65" s="254">
        <v>42050</v>
      </c>
      <c r="U65" s="254">
        <v>60000</v>
      </c>
      <c r="V65" s="288" t="str">
        <f t="shared" si="1"/>
        <v/>
      </c>
    </row>
    <row r="66" spans="1:22" ht="20.25" customHeight="1" x14ac:dyDescent="0.25">
      <c r="A66" s="258">
        <v>65</v>
      </c>
      <c r="B66" s="249" t="s">
        <v>312</v>
      </c>
      <c r="C66" s="250" t="s">
        <v>313</v>
      </c>
      <c r="D66" s="251">
        <v>45992</v>
      </c>
      <c r="E66" s="282">
        <v>0</v>
      </c>
      <c r="F66" s="252">
        <v>0</v>
      </c>
      <c r="G66" s="283">
        <v>7000</v>
      </c>
      <c r="H66" s="287">
        <f t="shared" si="0"/>
        <v>97490.7</v>
      </c>
      <c r="I66" s="253">
        <f>SUMIFS(FACILITIES!T:T,FACILITIES!B:B,B66)</f>
        <v>0</v>
      </c>
      <c r="J66" s="253">
        <v>0</v>
      </c>
      <c r="K66" s="253">
        <v>0</v>
      </c>
      <c r="L66" s="253">
        <v>0</v>
      </c>
      <c r="M66" s="253" t="s">
        <v>1160</v>
      </c>
      <c r="N66" s="253">
        <v>6000</v>
      </c>
      <c r="O66" s="253">
        <f>SUMIFS('F &amp; B'!G:G,'F &amp; B'!B:B,B66)</f>
        <v>5150</v>
      </c>
      <c r="P66" s="254">
        <v>22320.7</v>
      </c>
      <c r="Q66" s="254">
        <v>6880</v>
      </c>
      <c r="R66" s="254">
        <v>22610</v>
      </c>
      <c r="S66" s="254">
        <v>20830</v>
      </c>
      <c r="T66" s="254">
        <v>13700</v>
      </c>
      <c r="U66" s="254">
        <v>60000</v>
      </c>
      <c r="V66" s="288" t="str">
        <f t="shared" si="1"/>
        <v/>
      </c>
    </row>
    <row r="67" spans="1:22" ht="20.25" customHeight="1" x14ac:dyDescent="0.25">
      <c r="A67" s="258">
        <v>66</v>
      </c>
      <c r="B67" s="249" t="s">
        <v>315</v>
      </c>
      <c r="C67" s="250" t="s">
        <v>316</v>
      </c>
      <c r="D67" s="251">
        <v>45992</v>
      </c>
      <c r="E67" s="282">
        <v>0</v>
      </c>
      <c r="F67" s="252">
        <v>0</v>
      </c>
      <c r="G67" s="283">
        <v>7000</v>
      </c>
      <c r="H67" s="287">
        <f t="shared" ref="H67:H123" si="2">SUM(I67:T67)</f>
        <v>67171</v>
      </c>
      <c r="I67" s="253">
        <f>SUMIFS(FACILITIES!T:T,FACILITIES!B:B,B67)</f>
        <v>19500</v>
      </c>
      <c r="J67" s="253">
        <v>0</v>
      </c>
      <c r="K67" s="253">
        <v>0</v>
      </c>
      <c r="L67" s="253">
        <v>0</v>
      </c>
      <c r="M67" s="253" t="s">
        <v>1160</v>
      </c>
      <c r="N67" s="253">
        <v>0</v>
      </c>
      <c r="O67" s="253">
        <f>SUMIFS('F &amp; B'!G:G,'F &amp; B'!B:B,B67)</f>
        <v>16275</v>
      </c>
      <c r="P67" s="254">
        <v>16198</v>
      </c>
      <c r="Q67" s="254">
        <v>8898</v>
      </c>
      <c r="R67" s="254">
        <v>0</v>
      </c>
      <c r="S67" s="254">
        <v>0</v>
      </c>
      <c r="T67" s="254">
        <v>6300</v>
      </c>
      <c r="U67" s="254">
        <v>60000</v>
      </c>
      <c r="V67" s="288" t="str">
        <f t="shared" ref="V67:V96" si="3">IF(U67-H67&gt;0, U67-H67, "")</f>
        <v/>
      </c>
    </row>
    <row r="68" spans="1:22" ht="20.25" customHeight="1" x14ac:dyDescent="0.25">
      <c r="A68" s="258">
        <v>67</v>
      </c>
      <c r="B68" s="249" t="s">
        <v>319</v>
      </c>
      <c r="C68" s="250" t="s">
        <v>320</v>
      </c>
      <c r="D68" s="251">
        <v>45992</v>
      </c>
      <c r="E68" s="282">
        <v>0</v>
      </c>
      <c r="F68" s="252">
        <v>0</v>
      </c>
      <c r="G68" s="283">
        <v>7000</v>
      </c>
      <c r="H68" s="287">
        <f t="shared" si="2"/>
        <v>64337</v>
      </c>
      <c r="I68" s="253">
        <f>SUMIFS(FACILITIES!T:T,FACILITIES!B:B,B68)</f>
        <v>0</v>
      </c>
      <c r="J68" s="253">
        <v>0</v>
      </c>
      <c r="K68" s="253">
        <v>0</v>
      </c>
      <c r="L68" s="253">
        <v>0</v>
      </c>
      <c r="M68" s="253" t="s">
        <v>1160</v>
      </c>
      <c r="N68" s="253">
        <v>0</v>
      </c>
      <c r="O68" s="253">
        <f>SUMIFS('F &amp; B'!G:G,'F &amp; B'!B:B,B68)</f>
        <v>0</v>
      </c>
      <c r="P68" s="254">
        <v>56099</v>
      </c>
      <c r="Q68" s="254">
        <v>0</v>
      </c>
      <c r="R68" s="254">
        <v>8238</v>
      </c>
      <c r="S68" s="254">
        <v>0</v>
      </c>
      <c r="T68" s="254">
        <v>0</v>
      </c>
      <c r="U68" s="254">
        <v>60000</v>
      </c>
      <c r="V68" s="288" t="str">
        <f t="shared" si="3"/>
        <v/>
      </c>
    </row>
    <row r="69" spans="1:22" ht="20.25" customHeight="1" x14ac:dyDescent="0.25">
      <c r="A69" s="258">
        <v>68</v>
      </c>
      <c r="B69" s="249" t="s">
        <v>323</v>
      </c>
      <c r="C69" s="250" t="s">
        <v>324</v>
      </c>
      <c r="D69" s="251">
        <v>45992</v>
      </c>
      <c r="E69" s="282">
        <v>0</v>
      </c>
      <c r="F69" s="252">
        <v>0</v>
      </c>
      <c r="G69" s="283">
        <v>7000</v>
      </c>
      <c r="H69" s="287">
        <f t="shared" si="2"/>
        <v>70390</v>
      </c>
      <c r="I69" s="253">
        <f>SUMIFS(FACILITIES!T:T,FACILITIES!B:B,B69)</f>
        <v>0</v>
      </c>
      <c r="J69" s="253">
        <v>0</v>
      </c>
      <c r="K69" s="253">
        <v>0</v>
      </c>
      <c r="L69" s="253">
        <v>0</v>
      </c>
      <c r="M69" s="253" t="s">
        <v>1160</v>
      </c>
      <c r="N69" s="253">
        <v>0</v>
      </c>
      <c r="O69" s="253">
        <f>SUMIFS('F &amp; B'!G:G,'F &amp; B'!B:B,B69)</f>
        <v>28890</v>
      </c>
      <c r="P69" s="254">
        <v>7325</v>
      </c>
      <c r="Q69" s="254">
        <v>10175</v>
      </c>
      <c r="R69" s="254">
        <v>0</v>
      </c>
      <c r="S69" s="254">
        <v>19850</v>
      </c>
      <c r="T69" s="254">
        <v>4150</v>
      </c>
      <c r="U69" s="254">
        <v>60000</v>
      </c>
      <c r="V69" s="288" t="str">
        <f t="shared" si="3"/>
        <v/>
      </c>
    </row>
    <row r="70" spans="1:22" ht="20.25" customHeight="1" x14ac:dyDescent="0.25">
      <c r="A70" s="258">
        <v>69</v>
      </c>
      <c r="B70" s="249" t="s">
        <v>328</v>
      </c>
      <c r="C70" s="250" t="s">
        <v>329</v>
      </c>
      <c r="D70" s="251">
        <v>45992</v>
      </c>
      <c r="E70" s="282">
        <v>0</v>
      </c>
      <c r="F70" s="252">
        <v>0</v>
      </c>
      <c r="G70" s="283">
        <v>7000</v>
      </c>
      <c r="H70" s="287">
        <f t="shared" si="2"/>
        <v>37626</v>
      </c>
      <c r="I70" s="253">
        <f>SUMIFS(FACILITIES!T:T,FACILITIES!B:B,B70)</f>
        <v>0</v>
      </c>
      <c r="J70" s="253">
        <v>0</v>
      </c>
      <c r="K70" s="253">
        <v>0</v>
      </c>
      <c r="L70" s="253">
        <v>0</v>
      </c>
      <c r="M70" s="253" t="s">
        <v>1160</v>
      </c>
      <c r="N70" s="253">
        <v>0</v>
      </c>
      <c r="O70" s="253">
        <f>SUMIFS('F &amp; B'!G:G,'F &amp; B'!B:B,B70)</f>
        <v>0</v>
      </c>
      <c r="P70" s="254">
        <v>24426</v>
      </c>
      <c r="Q70" s="254">
        <v>1300</v>
      </c>
      <c r="R70" s="254">
        <v>3150</v>
      </c>
      <c r="S70" s="254">
        <v>6650</v>
      </c>
      <c r="T70" s="254">
        <v>2100</v>
      </c>
      <c r="U70" s="254">
        <v>60000</v>
      </c>
      <c r="V70" s="288">
        <f t="shared" si="3"/>
        <v>22374</v>
      </c>
    </row>
    <row r="71" spans="1:22" ht="20.25" customHeight="1" x14ac:dyDescent="0.25">
      <c r="A71" s="258">
        <v>70</v>
      </c>
      <c r="B71" s="249" t="s">
        <v>446</v>
      </c>
      <c r="C71" s="250" t="s">
        <v>343</v>
      </c>
      <c r="D71" s="251">
        <v>45992</v>
      </c>
      <c r="E71" s="282">
        <v>0</v>
      </c>
      <c r="F71" s="252">
        <v>0</v>
      </c>
      <c r="G71" s="283">
        <v>7000</v>
      </c>
      <c r="H71" s="287">
        <f t="shared" si="2"/>
        <v>604510</v>
      </c>
      <c r="I71" s="253">
        <f>SUMIFS(FACILITIES!T:T,FACILITIES!B:B,B71)</f>
        <v>0</v>
      </c>
      <c r="J71" s="253">
        <v>0</v>
      </c>
      <c r="K71" s="253">
        <v>477000</v>
      </c>
      <c r="L71" s="253">
        <v>0</v>
      </c>
      <c r="M71" s="253" t="s">
        <v>1160</v>
      </c>
      <c r="N71" s="253">
        <v>0</v>
      </c>
      <c r="O71" s="253">
        <f>SUMIFS('F &amp; B'!G:G,'F &amp; B'!B:B,B71)</f>
        <v>0</v>
      </c>
      <c r="P71" s="254">
        <v>77410</v>
      </c>
      <c r="Q71" s="254">
        <v>0</v>
      </c>
      <c r="R71" s="254">
        <v>8400</v>
      </c>
      <c r="S71" s="254">
        <v>41700</v>
      </c>
      <c r="T71" s="254">
        <v>0</v>
      </c>
      <c r="U71" s="254">
        <v>120000</v>
      </c>
      <c r="V71" s="288" t="str">
        <f t="shared" si="3"/>
        <v/>
      </c>
    </row>
    <row r="72" spans="1:22" ht="20.25" customHeight="1" x14ac:dyDescent="0.25">
      <c r="A72" s="258">
        <v>71</v>
      </c>
      <c r="B72" s="249" t="s">
        <v>346</v>
      </c>
      <c r="C72" s="250" t="s">
        <v>347</v>
      </c>
      <c r="D72" s="251">
        <v>45992</v>
      </c>
      <c r="E72" s="282">
        <v>0</v>
      </c>
      <c r="F72" s="252">
        <v>0</v>
      </c>
      <c r="G72" s="283">
        <v>7000</v>
      </c>
      <c r="H72" s="287">
        <f t="shared" si="2"/>
        <v>65789</v>
      </c>
      <c r="I72" s="253">
        <f>SUMIFS(FACILITIES!T:T,FACILITIES!B:B,B72)</f>
        <v>0</v>
      </c>
      <c r="J72" s="253">
        <v>0</v>
      </c>
      <c r="K72" s="253">
        <v>0</v>
      </c>
      <c r="L72" s="253">
        <v>0</v>
      </c>
      <c r="M72" s="253" t="s">
        <v>1160</v>
      </c>
      <c r="N72" s="253">
        <v>0</v>
      </c>
      <c r="O72" s="253">
        <f>SUMIFS('F &amp; B'!G:G,'F &amp; B'!B:B,B72)</f>
        <v>0</v>
      </c>
      <c r="P72" s="254">
        <v>10725</v>
      </c>
      <c r="Q72" s="254">
        <v>5400</v>
      </c>
      <c r="R72" s="254">
        <v>20700</v>
      </c>
      <c r="S72" s="254">
        <v>17210</v>
      </c>
      <c r="T72" s="254">
        <v>11754</v>
      </c>
      <c r="U72" s="254">
        <v>60000</v>
      </c>
      <c r="V72" s="288" t="str">
        <f t="shared" si="3"/>
        <v/>
      </c>
    </row>
    <row r="73" spans="1:22" ht="20.25" customHeight="1" x14ac:dyDescent="0.25">
      <c r="A73" s="258">
        <v>72</v>
      </c>
      <c r="B73" s="249" t="s">
        <v>350</v>
      </c>
      <c r="C73" s="250" t="s">
        <v>351</v>
      </c>
      <c r="D73" s="251">
        <v>45992</v>
      </c>
      <c r="E73" s="282">
        <v>0</v>
      </c>
      <c r="F73" s="252">
        <v>0</v>
      </c>
      <c r="G73" s="283">
        <v>7000</v>
      </c>
      <c r="H73" s="287">
        <f t="shared" si="2"/>
        <v>0</v>
      </c>
      <c r="I73" s="253">
        <f>SUMIFS(FACILITIES!T:T,FACILITIES!B:B,B73)</f>
        <v>0</v>
      </c>
      <c r="J73" s="253">
        <v>0</v>
      </c>
      <c r="K73" s="253">
        <v>0</v>
      </c>
      <c r="L73" s="253">
        <v>0</v>
      </c>
      <c r="M73" s="253" t="s">
        <v>1160</v>
      </c>
      <c r="N73" s="253">
        <v>0</v>
      </c>
      <c r="O73" s="253">
        <f>SUMIFS('F &amp; B'!G:G,'F &amp; B'!B:B,B73)</f>
        <v>0</v>
      </c>
      <c r="P73" s="254">
        <v>0</v>
      </c>
      <c r="Q73" s="254">
        <v>0</v>
      </c>
      <c r="R73" s="254">
        <v>0</v>
      </c>
      <c r="S73" s="254">
        <v>0</v>
      </c>
      <c r="T73" s="254">
        <v>0</v>
      </c>
      <c r="U73" s="254">
        <v>60000</v>
      </c>
      <c r="V73" s="288">
        <f t="shared" si="3"/>
        <v>60000</v>
      </c>
    </row>
    <row r="74" spans="1:22" ht="20.25" customHeight="1" x14ac:dyDescent="0.25">
      <c r="A74" s="258">
        <v>73</v>
      </c>
      <c r="B74" s="249" t="s">
        <v>353</v>
      </c>
      <c r="C74" s="250" t="s">
        <v>463</v>
      </c>
      <c r="D74" s="251">
        <v>45992</v>
      </c>
      <c r="E74" s="282">
        <v>0</v>
      </c>
      <c r="F74" s="252">
        <v>0</v>
      </c>
      <c r="G74" s="283">
        <v>7000</v>
      </c>
      <c r="H74" s="287">
        <f t="shared" si="2"/>
        <v>42300</v>
      </c>
      <c r="I74" s="253">
        <f>SUMIFS(FACILITIES!T:T,FACILITIES!B:B,B74)</f>
        <v>0</v>
      </c>
      <c r="J74" s="253">
        <v>0</v>
      </c>
      <c r="K74" s="253">
        <v>0</v>
      </c>
      <c r="L74" s="253">
        <v>0</v>
      </c>
      <c r="M74" s="253" t="s">
        <v>1160</v>
      </c>
      <c r="N74" s="253">
        <v>0</v>
      </c>
      <c r="O74" s="253">
        <f>SUMIFS('F &amp; B'!G:G,'F &amp; B'!B:B,B74)</f>
        <v>0</v>
      </c>
      <c r="P74" s="254">
        <v>1000</v>
      </c>
      <c r="Q74" s="254">
        <v>400</v>
      </c>
      <c r="R74" s="254">
        <v>0</v>
      </c>
      <c r="S74" s="254">
        <v>40900</v>
      </c>
      <c r="T74" s="254">
        <v>0</v>
      </c>
      <c r="U74" s="254">
        <v>60000</v>
      </c>
      <c r="V74" s="288">
        <f t="shared" si="3"/>
        <v>17700</v>
      </c>
    </row>
    <row r="75" spans="1:22" ht="20.25" customHeight="1" x14ac:dyDescent="0.25">
      <c r="A75" s="258">
        <v>74</v>
      </c>
      <c r="B75" s="249" t="s">
        <v>356</v>
      </c>
      <c r="C75" s="250" t="s">
        <v>445</v>
      </c>
      <c r="D75" s="251">
        <v>45992</v>
      </c>
      <c r="E75" s="282">
        <v>0</v>
      </c>
      <c r="F75" s="252">
        <v>0</v>
      </c>
      <c r="G75" s="283">
        <v>7000</v>
      </c>
      <c r="H75" s="287">
        <f t="shared" si="2"/>
        <v>0</v>
      </c>
      <c r="I75" s="253">
        <f>SUMIFS(FACILITIES!T:T,FACILITIES!B:B,B75)</f>
        <v>0</v>
      </c>
      <c r="J75" s="253">
        <v>0</v>
      </c>
      <c r="K75" s="253">
        <v>0</v>
      </c>
      <c r="L75" s="253">
        <v>0</v>
      </c>
      <c r="M75" s="253" t="s">
        <v>1160</v>
      </c>
      <c r="N75" s="253">
        <v>0</v>
      </c>
      <c r="O75" s="253">
        <f>SUMIFS('F &amp; B'!G:G,'F &amp; B'!B:B,B75)</f>
        <v>0</v>
      </c>
      <c r="P75" s="254">
        <v>0</v>
      </c>
      <c r="Q75" s="254">
        <v>0</v>
      </c>
      <c r="R75" s="254">
        <v>0</v>
      </c>
      <c r="S75" s="254">
        <v>0</v>
      </c>
      <c r="T75" s="254">
        <v>0</v>
      </c>
      <c r="U75" s="254">
        <v>60000</v>
      </c>
      <c r="V75" s="288">
        <f t="shared" si="3"/>
        <v>60000</v>
      </c>
    </row>
    <row r="76" spans="1:22" ht="20.25" customHeight="1" x14ac:dyDescent="0.25">
      <c r="A76" s="258">
        <v>75</v>
      </c>
      <c r="B76" s="249" t="s">
        <v>359</v>
      </c>
      <c r="C76" s="250" t="s">
        <v>360</v>
      </c>
      <c r="D76" s="251">
        <v>45992</v>
      </c>
      <c r="E76" s="282">
        <v>0</v>
      </c>
      <c r="F76" s="252">
        <v>0</v>
      </c>
      <c r="G76" s="283">
        <v>7000</v>
      </c>
      <c r="H76" s="287">
        <f t="shared" si="2"/>
        <v>66300</v>
      </c>
      <c r="I76" s="253">
        <f>SUMIFS(FACILITIES!T:T,FACILITIES!B:B,B76)</f>
        <v>2000</v>
      </c>
      <c r="J76" s="253">
        <v>0</v>
      </c>
      <c r="K76" s="253">
        <v>0</v>
      </c>
      <c r="L76" s="253">
        <v>0</v>
      </c>
      <c r="M76" s="253" t="s">
        <v>1160</v>
      </c>
      <c r="N76" s="253">
        <v>0</v>
      </c>
      <c r="O76" s="253">
        <f>SUMIFS('F &amp; B'!G:G,'F &amp; B'!B:B,B76)</f>
        <v>21550</v>
      </c>
      <c r="P76" s="253">
        <v>350</v>
      </c>
      <c r="Q76" s="254">
        <v>0</v>
      </c>
      <c r="R76" s="254">
        <v>15850</v>
      </c>
      <c r="S76" s="254">
        <v>26550</v>
      </c>
      <c r="T76" s="254">
        <v>0</v>
      </c>
      <c r="U76" s="254">
        <v>60000</v>
      </c>
      <c r="V76" s="288" t="str">
        <f t="shared" si="3"/>
        <v/>
      </c>
    </row>
    <row r="77" spans="1:22" ht="20.25" customHeight="1" x14ac:dyDescent="0.25">
      <c r="A77" s="258">
        <v>76</v>
      </c>
      <c r="B77" s="249" t="s">
        <v>390</v>
      </c>
      <c r="C77" s="250" t="s">
        <v>391</v>
      </c>
      <c r="D77" s="251">
        <v>45992</v>
      </c>
      <c r="E77" s="282">
        <v>0</v>
      </c>
      <c r="F77" s="252">
        <v>0</v>
      </c>
      <c r="G77" s="283">
        <v>7000</v>
      </c>
      <c r="H77" s="287">
        <f t="shared" si="2"/>
        <v>205209</v>
      </c>
      <c r="I77" s="253">
        <f>SUMIFS(FACILITIES!T:T,FACILITIES!B:B,B77)</f>
        <v>0</v>
      </c>
      <c r="J77" s="253">
        <v>0</v>
      </c>
      <c r="K77" s="253">
        <v>0</v>
      </c>
      <c r="L77" s="253">
        <v>0</v>
      </c>
      <c r="M77" s="253" t="s">
        <v>1160</v>
      </c>
      <c r="N77" s="253">
        <v>128000</v>
      </c>
      <c r="O77" s="253">
        <f>SUMIFS('F &amp; B'!G:G,'F &amp; B'!B:B,B77)</f>
        <v>2800</v>
      </c>
      <c r="P77" s="253">
        <v>28850</v>
      </c>
      <c r="Q77" s="254">
        <v>8900</v>
      </c>
      <c r="R77" s="254">
        <v>8509</v>
      </c>
      <c r="S77" s="254">
        <v>2350</v>
      </c>
      <c r="T77" s="254">
        <v>25800</v>
      </c>
      <c r="U77" s="254">
        <v>60000</v>
      </c>
      <c r="V77" s="288" t="str">
        <f t="shared" si="3"/>
        <v/>
      </c>
    </row>
    <row r="78" spans="1:22" ht="20.25" customHeight="1" x14ac:dyDescent="0.25">
      <c r="A78" s="258">
        <v>77</v>
      </c>
      <c r="B78" s="249" t="s">
        <v>375</v>
      </c>
      <c r="C78" s="250" t="s">
        <v>379</v>
      </c>
      <c r="D78" s="251">
        <v>45992</v>
      </c>
      <c r="E78" s="282">
        <v>0</v>
      </c>
      <c r="F78" s="252">
        <v>0</v>
      </c>
      <c r="G78" s="283">
        <v>7000</v>
      </c>
      <c r="H78" s="287">
        <f t="shared" si="2"/>
        <v>91385</v>
      </c>
      <c r="I78" s="253">
        <f>SUMIFS(FACILITIES!T:T,FACILITIES!B:B,B78)</f>
        <v>0</v>
      </c>
      <c r="J78" s="253">
        <v>0</v>
      </c>
      <c r="K78" s="253">
        <v>0</v>
      </c>
      <c r="L78" s="253">
        <v>0</v>
      </c>
      <c r="M78" s="253" t="s">
        <v>1160</v>
      </c>
      <c r="N78" s="253">
        <v>0</v>
      </c>
      <c r="O78" s="253">
        <f>SUMIFS('F &amp; B'!G:G,'F &amp; B'!B:B,B78)</f>
        <v>2325</v>
      </c>
      <c r="P78" s="253">
        <v>0</v>
      </c>
      <c r="Q78" s="254">
        <v>0</v>
      </c>
      <c r="R78" s="254">
        <v>78850</v>
      </c>
      <c r="S78" s="254">
        <v>2510</v>
      </c>
      <c r="T78" s="254">
        <v>7700</v>
      </c>
      <c r="U78" s="254">
        <v>60000</v>
      </c>
      <c r="V78" s="288" t="str">
        <f t="shared" si="3"/>
        <v/>
      </c>
    </row>
    <row r="79" spans="1:22" ht="20.25" customHeight="1" x14ac:dyDescent="0.25">
      <c r="A79" s="258">
        <v>78</v>
      </c>
      <c r="B79" s="249" t="s">
        <v>377</v>
      </c>
      <c r="C79" s="250" t="s">
        <v>380</v>
      </c>
      <c r="D79" s="251">
        <v>45992</v>
      </c>
      <c r="E79" s="282">
        <v>0</v>
      </c>
      <c r="F79" s="252">
        <v>0</v>
      </c>
      <c r="G79" s="283">
        <v>7000</v>
      </c>
      <c r="H79" s="287">
        <f t="shared" si="2"/>
        <v>15049</v>
      </c>
      <c r="I79" s="253">
        <f>SUMIFS(FACILITIES!T:T,FACILITIES!B:B,B79)</f>
        <v>0</v>
      </c>
      <c r="J79" s="253">
        <v>0</v>
      </c>
      <c r="K79" s="253">
        <v>0</v>
      </c>
      <c r="L79" s="253">
        <v>0</v>
      </c>
      <c r="M79" s="253" t="s">
        <v>1160</v>
      </c>
      <c r="N79" s="253">
        <v>0</v>
      </c>
      <c r="O79" s="253">
        <f>SUMIFS('F &amp; B'!G:G,'F &amp; B'!B:B,B79)</f>
        <v>0</v>
      </c>
      <c r="P79" s="253">
        <v>12899</v>
      </c>
      <c r="Q79" s="254">
        <v>0</v>
      </c>
      <c r="R79" s="254">
        <v>0</v>
      </c>
      <c r="S79" s="254">
        <v>0</v>
      </c>
      <c r="T79" s="254">
        <v>2150</v>
      </c>
      <c r="U79" s="254">
        <v>60000</v>
      </c>
      <c r="V79" s="288">
        <f t="shared" si="3"/>
        <v>44951</v>
      </c>
    </row>
    <row r="80" spans="1:22" ht="20.25" customHeight="1" x14ac:dyDescent="0.25">
      <c r="A80" s="258">
        <v>79</v>
      </c>
      <c r="B80" s="249" t="s">
        <v>374</v>
      </c>
      <c r="C80" s="250" t="s">
        <v>392</v>
      </c>
      <c r="D80" s="251">
        <v>45992</v>
      </c>
      <c r="E80" s="282">
        <v>0</v>
      </c>
      <c r="F80" s="252">
        <v>0</v>
      </c>
      <c r="G80" s="283">
        <v>7000</v>
      </c>
      <c r="H80" s="287">
        <f t="shared" si="2"/>
        <v>820851</v>
      </c>
      <c r="I80" s="253">
        <f>SUMIFS(FACILITIES!T:T,FACILITIES!B:B,B80)</f>
        <v>0</v>
      </c>
      <c r="J80" s="253">
        <v>0</v>
      </c>
      <c r="K80" s="253">
        <v>0</v>
      </c>
      <c r="L80" s="253">
        <v>0</v>
      </c>
      <c r="M80" s="253" t="s">
        <v>1160</v>
      </c>
      <c r="N80" s="253">
        <v>31200</v>
      </c>
      <c r="O80" s="253">
        <f>SUMIFS('F &amp; B'!G:G,'F &amp; B'!B:B,B80)</f>
        <v>47810</v>
      </c>
      <c r="P80" s="253">
        <v>28949</v>
      </c>
      <c r="Q80" s="254">
        <v>557471</v>
      </c>
      <c r="R80" s="254">
        <v>59078</v>
      </c>
      <c r="S80" s="254">
        <v>51025</v>
      </c>
      <c r="T80" s="254">
        <v>45318</v>
      </c>
      <c r="U80" s="254">
        <v>60000</v>
      </c>
      <c r="V80" s="288" t="str">
        <f t="shared" si="3"/>
        <v/>
      </c>
    </row>
    <row r="81" spans="1:22" ht="20.25" customHeight="1" x14ac:dyDescent="0.25">
      <c r="A81" s="258">
        <v>80</v>
      </c>
      <c r="B81" s="249" t="s">
        <v>373</v>
      </c>
      <c r="C81" s="250" t="s">
        <v>381</v>
      </c>
      <c r="D81" s="251">
        <v>45992</v>
      </c>
      <c r="E81" s="282">
        <v>0</v>
      </c>
      <c r="F81" s="252">
        <v>0</v>
      </c>
      <c r="G81" s="283">
        <v>7000</v>
      </c>
      <c r="H81" s="287">
        <f t="shared" si="2"/>
        <v>449050</v>
      </c>
      <c r="I81" s="253">
        <f>SUMIFS(FACILITIES!T:T,FACILITIES!B:B,B81)</f>
        <v>0</v>
      </c>
      <c r="J81" s="253">
        <v>0</v>
      </c>
      <c r="K81" s="253">
        <v>0</v>
      </c>
      <c r="L81" s="253">
        <v>0</v>
      </c>
      <c r="M81" s="253" t="s">
        <v>1160</v>
      </c>
      <c r="N81" s="253">
        <v>0</v>
      </c>
      <c r="O81" s="253">
        <f>SUMIFS('F &amp; B'!G:G,'F &amp; B'!B:B,B81)</f>
        <v>239800</v>
      </c>
      <c r="P81" s="253">
        <v>58885</v>
      </c>
      <c r="Q81" s="254">
        <v>50350</v>
      </c>
      <c r="R81" s="254">
        <v>26270</v>
      </c>
      <c r="S81" s="254">
        <v>73745</v>
      </c>
      <c r="T81" s="254">
        <v>0</v>
      </c>
      <c r="U81" s="254">
        <v>60000</v>
      </c>
      <c r="V81" s="288" t="str">
        <f t="shared" si="3"/>
        <v/>
      </c>
    </row>
    <row r="82" spans="1:22" ht="20.25" customHeight="1" x14ac:dyDescent="0.25">
      <c r="A82" s="258">
        <v>81</v>
      </c>
      <c r="B82" s="249" t="s">
        <v>378</v>
      </c>
      <c r="C82" s="250" t="s">
        <v>382</v>
      </c>
      <c r="D82" s="251">
        <v>45992</v>
      </c>
      <c r="E82" s="282">
        <v>0</v>
      </c>
      <c r="F82" s="252">
        <v>0</v>
      </c>
      <c r="G82" s="283">
        <v>7000</v>
      </c>
      <c r="H82" s="287">
        <f t="shared" si="2"/>
        <v>45887</v>
      </c>
      <c r="I82" s="253">
        <f>SUMIFS(FACILITIES!T:T,FACILITIES!B:B,B82)</f>
        <v>0</v>
      </c>
      <c r="J82" s="253">
        <v>0</v>
      </c>
      <c r="K82" s="253">
        <v>0</v>
      </c>
      <c r="L82" s="253">
        <v>0</v>
      </c>
      <c r="M82" s="253" t="s">
        <v>1160</v>
      </c>
      <c r="N82" s="253">
        <v>0</v>
      </c>
      <c r="O82" s="253">
        <f>SUMIFS('F &amp; B'!G:G,'F &amp; B'!B:B,B82)</f>
        <v>12540</v>
      </c>
      <c r="P82" s="253">
        <v>11269</v>
      </c>
      <c r="Q82" s="254">
        <v>6399</v>
      </c>
      <c r="R82" s="254">
        <v>3000</v>
      </c>
      <c r="S82" s="254">
        <v>8239</v>
      </c>
      <c r="T82" s="254">
        <v>4440</v>
      </c>
      <c r="U82" s="254">
        <v>60000</v>
      </c>
      <c r="V82" s="288">
        <f t="shared" si="3"/>
        <v>14113</v>
      </c>
    </row>
    <row r="83" spans="1:22" ht="20.25" customHeight="1" x14ac:dyDescent="0.25">
      <c r="A83" s="258">
        <v>82</v>
      </c>
      <c r="B83" s="249" t="s">
        <v>393</v>
      </c>
      <c r="C83" s="250" t="s">
        <v>394</v>
      </c>
      <c r="D83" s="251">
        <v>45992</v>
      </c>
      <c r="E83" s="282">
        <v>0</v>
      </c>
      <c r="F83" s="252">
        <v>0</v>
      </c>
      <c r="G83" s="283">
        <v>7000</v>
      </c>
      <c r="H83" s="287">
        <f t="shared" si="2"/>
        <v>76491</v>
      </c>
      <c r="I83" s="253">
        <f>SUMIFS(FACILITIES!T:T,FACILITIES!B:B,B83)</f>
        <v>0</v>
      </c>
      <c r="J83" s="253">
        <v>0</v>
      </c>
      <c r="K83" s="253">
        <v>0</v>
      </c>
      <c r="L83" s="253">
        <v>0</v>
      </c>
      <c r="M83" s="253" t="s">
        <v>1160</v>
      </c>
      <c r="N83" s="253">
        <v>0</v>
      </c>
      <c r="O83" s="253">
        <f>SUMIFS('F &amp; B'!G:G,'F &amp; B'!B:B,B83)</f>
        <v>0</v>
      </c>
      <c r="P83" s="253">
        <v>0</v>
      </c>
      <c r="Q83" s="254">
        <v>3850</v>
      </c>
      <c r="R83" s="254">
        <v>3350</v>
      </c>
      <c r="S83" s="254">
        <v>48446</v>
      </c>
      <c r="T83" s="254">
        <v>20845</v>
      </c>
      <c r="U83" s="254">
        <v>60000</v>
      </c>
      <c r="V83" s="288" t="str">
        <f t="shared" si="3"/>
        <v/>
      </c>
    </row>
    <row r="84" spans="1:22" ht="20.25" customHeight="1" x14ac:dyDescent="0.25">
      <c r="A84" s="258">
        <v>83</v>
      </c>
      <c r="B84" s="249" t="s">
        <v>395</v>
      </c>
      <c r="C84" s="250" t="s">
        <v>396</v>
      </c>
      <c r="D84" s="251">
        <v>45992</v>
      </c>
      <c r="E84" s="282">
        <v>0</v>
      </c>
      <c r="F84" s="252">
        <v>0</v>
      </c>
      <c r="G84" s="283">
        <v>0</v>
      </c>
      <c r="H84" s="287">
        <f t="shared" si="2"/>
        <v>692370</v>
      </c>
      <c r="I84" s="253">
        <f>SUMIFS(FACILITIES!T:T,FACILITIES!B:B,B84)</f>
        <v>0</v>
      </c>
      <c r="J84" s="253">
        <v>0</v>
      </c>
      <c r="K84" s="253">
        <v>0</v>
      </c>
      <c r="L84" s="253">
        <v>0</v>
      </c>
      <c r="M84" s="253" t="s">
        <v>1160</v>
      </c>
      <c r="N84" s="253">
        <v>0</v>
      </c>
      <c r="O84" s="253">
        <f>SUMIFS('F &amp; B'!G:G,'F &amp; B'!B:B,B84)</f>
        <v>94400</v>
      </c>
      <c r="P84" s="253">
        <v>150450</v>
      </c>
      <c r="Q84" s="254">
        <v>103350</v>
      </c>
      <c r="R84" s="254">
        <v>113440</v>
      </c>
      <c r="S84" s="254">
        <v>125400</v>
      </c>
      <c r="T84" s="254">
        <v>105330</v>
      </c>
      <c r="U84" s="254">
        <v>0</v>
      </c>
      <c r="V84" s="288" t="str">
        <f t="shared" si="3"/>
        <v/>
      </c>
    </row>
    <row r="85" spans="1:22" ht="20.25" customHeight="1" x14ac:dyDescent="0.25">
      <c r="A85" s="258">
        <v>84</v>
      </c>
      <c r="B85" s="249" t="s">
        <v>383</v>
      </c>
      <c r="C85" s="250" t="s">
        <v>384</v>
      </c>
      <c r="D85" s="251">
        <v>45992</v>
      </c>
      <c r="E85" s="282">
        <v>0</v>
      </c>
      <c r="F85" s="252">
        <v>0</v>
      </c>
      <c r="G85" s="283">
        <v>7000</v>
      </c>
      <c r="H85" s="287">
        <f t="shared" si="2"/>
        <v>44775</v>
      </c>
      <c r="I85" s="253">
        <f>SUMIFS(FACILITIES!T:T,FACILITIES!B:B,B85)</f>
        <v>0</v>
      </c>
      <c r="J85" s="253">
        <v>0</v>
      </c>
      <c r="K85" s="253">
        <v>0</v>
      </c>
      <c r="L85" s="253">
        <v>0</v>
      </c>
      <c r="M85" s="253" t="s">
        <v>1160</v>
      </c>
      <c r="N85" s="253">
        <v>0</v>
      </c>
      <c r="O85" s="253">
        <f>SUMIFS('F &amp; B'!G:G,'F &amp; B'!B:B,B85)</f>
        <v>0</v>
      </c>
      <c r="P85" s="253">
        <v>0</v>
      </c>
      <c r="Q85" s="254">
        <v>7875</v>
      </c>
      <c r="R85" s="254">
        <v>0</v>
      </c>
      <c r="S85" s="254">
        <v>0</v>
      </c>
      <c r="T85" s="254">
        <v>36900</v>
      </c>
      <c r="U85" s="254">
        <v>60000</v>
      </c>
      <c r="V85" s="288">
        <f t="shared" si="3"/>
        <v>15225</v>
      </c>
    </row>
    <row r="86" spans="1:22" ht="20.25" customHeight="1" x14ac:dyDescent="0.25">
      <c r="A86" s="258">
        <v>85</v>
      </c>
      <c r="B86" s="249" t="s">
        <v>385</v>
      </c>
      <c r="C86" s="250" t="s">
        <v>386</v>
      </c>
      <c r="D86" s="251">
        <v>45992</v>
      </c>
      <c r="E86" s="282">
        <v>0</v>
      </c>
      <c r="F86" s="252">
        <v>0</v>
      </c>
      <c r="G86" s="283">
        <v>7000</v>
      </c>
      <c r="H86" s="287">
        <f t="shared" si="2"/>
        <v>52074</v>
      </c>
      <c r="I86" s="253">
        <f>SUMIFS(FACILITIES!T:T,FACILITIES!B:B,B86)</f>
        <v>0</v>
      </c>
      <c r="J86" s="253">
        <v>0</v>
      </c>
      <c r="K86" s="253">
        <v>0</v>
      </c>
      <c r="L86" s="253">
        <v>0</v>
      </c>
      <c r="M86" s="253" t="s">
        <v>1160</v>
      </c>
      <c r="N86" s="253">
        <v>0</v>
      </c>
      <c r="O86" s="253">
        <f>SUMIFS('F &amp; B'!G:G,'F &amp; B'!B:B,B86)</f>
        <v>21714</v>
      </c>
      <c r="P86" s="253">
        <v>8810</v>
      </c>
      <c r="Q86" s="254">
        <v>15980</v>
      </c>
      <c r="R86" s="254">
        <v>100</v>
      </c>
      <c r="S86" s="254">
        <v>4320</v>
      </c>
      <c r="T86" s="254">
        <v>1150</v>
      </c>
      <c r="U86" s="254">
        <v>60000</v>
      </c>
      <c r="V86" s="288">
        <f t="shared" si="3"/>
        <v>7926</v>
      </c>
    </row>
    <row r="87" spans="1:22" ht="20.25" customHeight="1" x14ac:dyDescent="0.25">
      <c r="A87" s="258">
        <v>86</v>
      </c>
      <c r="B87" s="249" t="s">
        <v>388</v>
      </c>
      <c r="C87" s="250" t="s">
        <v>387</v>
      </c>
      <c r="D87" s="251">
        <v>45992</v>
      </c>
      <c r="E87" s="282">
        <v>0</v>
      </c>
      <c r="F87" s="252">
        <v>0</v>
      </c>
      <c r="G87" s="283">
        <v>7000</v>
      </c>
      <c r="H87" s="287">
        <f t="shared" si="2"/>
        <v>98500</v>
      </c>
      <c r="I87" s="253">
        <f>SUMIFS(FACILITIES!T:T,FACILITIES!B:B,B87)</f>
        <v>0</v>
      </c>
      <c r="J87" s="253">
        <v>0</v>
      </c>
      <c r="K87" s="253">
        <v>0</v>
      </c>
      <c r="L87" s="253">
        <v>0</v>
      </c>
      <c r="M87" s="253" t="s">
        <v>1160</v>
      </c>
      <c r="N87" s="253">
        <v>0</v>
      </c>
      <c r="O87" s="253">
        <f>SUMIFS('F &amp; B'!G:G,'F &amp; B'!B:B,B87)</f>
        <v>76200</v>
      </c>
      <c r="P87" s="253">
        <v>0</v>
      </c>
      <c r="Q87" s="254">
        <v>1150</v>
      </c>
      <c r="R87" s="254">
        <v>15100</v>
      </c>
      <c r="S87" s="254">
        <v>6050</v>
      </c>
      <c r="T87" s="254">
        <v>0</v>
      </c>
      <c r="U87" s="254">
        <v>60000</v>
      </c>
      <c r="V87" s="288" t="str">
        <f t="shared" si="3"/>
        <v/>
      </c>
    </row>
    <row r="88" spans="1:22" ht="20.25" customHeight="1" x14ac:dyDescent="0.25">
      <c r="A88" s="258">
        <v>87</v>
      </c>
      <c r="B88" s="249" t="s">
        <v>376</v>
      </c>
      <c r="C88" s="250" t="s">
        <v>389</v>
      </c>
      <c r="D88" s="251">
        <v>45992</v>
      </c>
      <c r="E88" s="282">
        <v>0</v>
      </c>
      <c r="F88" s="252">
        <v>0</v>
      </c>
      <c r="G88" s="283">
        <v>7000</v>
      </c>
      <c r="H88" s="287">
        <f t="shared" si="2"/>
        <v>57915</v>
      </c>
      <c r="I88" s="253">
        <f>SUMIFS(FACILITIES!T:T,FACILITIES!B:B,B88)</f>
        <v>0</v>
      </c>
      <c r="J88" s="253">
        <v>0</v>
      </c>
      <c r="K88" s="253">
        <v>0</v>
      </c>
      <c r="L88" s="253">
        <v>0</v>
      </c>
      <c r="M88" s="253" t="s">
        <v>1160</v>
      </c>
      <c r="N88" s="253">
        <v>0</v>
      </c>
      <c r="O88" s="253">
        <f>SUMIFS('F &amp; B'!G:G,'F &amp; B'!B:B,B88)</f>
        <v>16250</v>
      </c>
      <c r="P88" s="253">
        <v>12180</v>
      </c>
      <c r="Q88" s="254">
        <v>12210</v>
      </c>
      <c r="R88" s="254">
        <v>7740</v>
      </c>
      <c r="S88" s="254">
        <v>5625</v>
      </c>
      <c r="T88" s="254">
        <v>3910</v>
      </c>
      <c r="U88" s="254">
        <v>60000</v>
      </c>
      <c r="V88" s="288">
        <f t="shared" si="3"/>
        <v>2085</v>
      </c>
    </row>
    <row r="89" spans="1:22" ht="20.25" customHeight="1" x14ac:dyDescent="0.25">
      <c r="A89" s="258">
        <v>88</v>
      </c>
      <c r="B89" s="249" t="s">
        <v>428</v>
      </c>
      <c r="C89" s="250" t="s">
        <v>429</v>
      </c>
      <c r="D89" s="251">
        <v>45992</v>
      </c>
      <c r="E89" s="282">
        <v>0</v>
      </c>
      <c r="F89" s="252">
        <v>0</v>
      </c>
      <c r="G89" s="283">
        <v>7000</v>
      </c>
      <c r="H89" s="287">
        <f t="shared" si="2"/>
        <v>447750</v>
      </c>
      <c r="I89" s="253">
        <f>SUMIFS(FACILITIES!T:T,FACILITIES!B:B,B89)</f>
        <v>365000</v>
      </c>
      <c r="J89" s="253">
        <v>0</v>
      </c>
      <c r="K89" s="253">
        <v>0</v>
      </c>
      <c r="L89" s="253">
        <v>0</v>
      </c>
      <c r="M89" s="253" t="s">
        <v>1160</v>
      </c>
      <c r="N89" s="253">
        <v>0</v>
      </c>
      <c r="O89" s="253">
        <f>SUMIFS('F &amp; B'!G:G,'F &amp; B'!B:B,B89)</f>
        <v>80050</v>
      </c>
      <c r="P89" s="253">
        <v>0</v>
      </c>
      <c r="Q89" s="254">
        <v>2700</v>
      </c>
      <c r="R89" s="254">
        <v>0</v>
      </c>
      <c r="S89" s="254">
        <v>0</v>
      </c>
      <c r="T89" s="254">
        <v>0</v>
      </c>
      <c r="U89" s="254">
        <v>60000</v>
      </c>
      <c r="V89" s="288" t="str">
        <f t="shared" si="3"/>
        <v/>
      </c>
    </row>
    <row r="90" spans="1:22" ht="20.25" customHeight="1" x14ac:dyDescent="0.25">
      <c r="A90" s="258">
        <v>89</v>
      </c>
      <c r="B90" s="249" t="s">
        <v>424</v>
      </c>
      <c r="C90" s="250" t="s">
        <v>425</v>
      </c>
      <c r="D90" s="251">
        <v>45992</v>
      </c>
      <c r="E90" s="282">
        <v>0</v>
      </c>
      <c r="F90" s="252">
        <v>0</v>
      </c>
      <c r="G90" s="283">
        <v>7000</v>
      </c>
      <c r="H90" s="287">
        <f t="shared" si="2"/>
        <v>28529</v>
      </c>
      <c r="I90" s="253">
        <f>SUMIFS(FACILITIES!T:T,FACILITIES!B:B,B90)</f>
        <v>0</v>
      </c>
      <c r="J90" s="253">
        <v>0</v>
      </c>
      <c r="K90" s="253">
        <v>0</v>
      </c>
      <c r="L90" s="253">
        <v>0</v>
      </c>
      <c r="M90" s="253" t="s">
        <v>1160</v>
      </c>
      <c r="N90" s="253">
        <v>0</v>
      </c>
      <c r="O90" s="253">
        <f>SUMIFS('F &amp; B'!G:G,'F &amp; B'!B:B,B90)</f>
        <v>0</v>
      </c>
      <c r="P90" s="253">
        <v>5300</v>
      </c>
      <c r="Q90" s="254">
        <v>0</v>
      </c>
      <c r="R90" s="254">
        <v>8369</v>
      </c>
      <c r="S90" s="254">
        <v>4070</v>
      </c>
      <c r="T90" s="254">
        <v>10790</v>
      </c>
      <c r="U90" s="254">
        <v>60000</v>
      </c>
      <c r="V90" s="288">
        <f t="shared" si="3"/>
        <v>31471</v>
      </c>
    </row>
    <row r="91" spans="1:22" ht="20.25" customHeight="1" x14ac:dyDescent="0.25">
      <c r="A91" s="258">
        <v>90</v>
      </c>
      <c r="B91" s="249" t="s">
        <v>421</v>
      </c>
      <c r="C91" s="250" t="s">
        <v>422</v>
      </c>
      <c r="D91" s="251">
        <v>45992</v>
      </c>
      <c r="E91" s="282">
        <v>0</v>
      </c>
      <c r="F91" s="252">
        <v>0</v>
      </c>
      <c r="G91" s="283">
        <v>7000</v>
      </c>
      <c r="H91" s="287">
        <f t="shared" si="2"/>
        <v>74967</v>
      </c>
      <c r="I91" s="253">
        <f>SUMIFS(FACILITIES!T:T,FACILITIES!B:B,B91)</f>
        <v>0</v>
      </c>
      <c r="J91" s="253">
        <v>0</v>
      </c>
      <c r="K91" s="253">
        <v>0</v>
      </c>
      <c r="L91" s="253">
        <v>0</v>
      </c>
      <c r="M91" s="253" t="s">
        <v>1160</v>
      </c>
      <c r="N91" s="253">
        <v>0</v>
      </c>
      <c r="O91" s="253">
        <f>SUMIFS('F &amp; B'!G:G,'F &amp; B'!B:B,B91)</f>
        <v>0</v>
      </c>
      <c r="P91" s="253">
        <v>18560</v>
      </c>
      <c r="Q91" s="254">
        <v>8478</v>
      </c>
      <c r="R91" s="254">
        <v>8330</v>
      </c>
      <c r="S91" s="254">
        <v>0</v>
      </c>
      <c r="T91" s="254">
        <v>39599</v>
      </c>
      <c r="U91" s="254">
        <v>60000</v>
      </c>
      <c r="V91" s="288" t="str">
        <f t="shared" si="3"/>
        <v/>
      </c>
    </row>
    <row r="92" spans="1:22" ht="20.25" customHeight="1" x14ac:dyDescent="0.25">
      <c r="A92" s="258">
        <v>91</v>
      </c>
      <c r="B92" s="249" t="s">
        <v>430</v>
      </c>
      <c r="C92" s="250" t="s">
        <v>431</v>
      </c>
      <c r="D92" s="251">
        <v>45992</v>
      </c>
      <c r="E92" s="282">
        <v>0</v>
      </c>
      <c r="F92" s="252">
        <v>0</v>
      </c>
      <c r="G92" s="283">
        <v>7000</v>
      </c>
      <c r="H92" s="287">
        <f t="shared" si="2"/>
        <v>164178</v>
      </c>
      <c r="I92" s="253">
        <f>SUMIFS(FACILITIES!T:T,FACILITIES!B:B,B92)</f>
        <v>0</v>
      </c>
      <c r="J92" s="253">
        <v>0</v>
      </c>
      <c r="K92" s="253">
        <v>0</v>
      </c>
      <c r="L92" s="253">
        <v>0</v>
      </c>
      <c r="M92" s="253" t="s">
        <v>1160</v>
      </c>
      <c r="N92" s="253">
        <v>3000</v>
      </c>
      <c r="O92" s="253">
        <f>SUMIFS('F &amp; B'!G:G,'F &amp; B'!B:B,B92)</f>
        <v>29370</v>
      </c>
      <c r="P92" s="253">
        <v>950</v>
      </c>
      <c r="Q92" s="254">
        <v>58560</v>
      </c>
      <c r="R92" s="254">
        <v>23698</v>
      </c>
      <c r="S92" s="254">
        <v>13300</v>
      </c>
      <c r="T92" s="254">
        <v>35300</v>
      </c>
      <c r="U92" s="254">
        <v>60000</v>
      </c>
      <c r="V92" s="288" t="str">
        <f t="shared" si="3"/>
        <v/>
      </c>
    </row>
    <row r="93" spans="1:22" ht="20.25" customHeight="1" x14ac:dyDescent="0.25">
      <c r="A93" s="258">
        <v>92</v>
      </c>
      <c r="B93" s="249" t="s">
        <v>420</v>
      </c>
      <c r="C93" s="250" t="s">
        <v>423</v>
      </c>
      <c r="D93" s="251">
        <v>45992</v>
      </c>
      <c r="E93" s="282">
        <v>0</v>
      </c>
      <c r="F93" s="252">
        <v>0</v>
      </c>
      <c r="G93" s="283">
        <v>7000</v>
      </c>
      <c r="H93" s="287">
        <f t="shared" si="2"/>
        <v>79146</v>
      </c>
      <c r="I93" s="253">
        <f>SUMIFS(FACILITIES!T:T,FACILITIES!B:B,B93)</f>
        <v>0</v>
      </c>
      <c r="J93" s="253">
        <v>0</v>
      </c>
      <c r="K93" s="253">
        <v>0</v>
      </c>
      <c r="L93" s="253">
        <v>0</v>
      </c>
      <c r="M93" s="253" t="s">
        <v>1160</v>
      </c>
      <c r="N93" s="253">
        <v>0</v>
      </c>
      <c r="O93" s="253">
        <f>SUMIFS('F &amp; B'!G:G,'F &amp; B'!B:B,B93)</f>
        <v>4100</v>
      </c>
      <c r="P93" s="253">
        <v>500</v>
      </c>
      <c r="Q93" s="254">
        <v>7800</v>
      </c>
      <c r="R93" s="254">
        <v>65846</v>
      </c>
      <c r="S93" s="254">
        <v>900</v>
      </c>
      <c r="T93" s="254">
        <v>0</v>
      </c>
      <c r="U93" s="254">
        <v>60000</v>
      </c>
      <c r="V93" s="288" t="str">
        <f t="shared" si="3"/>
        <v/>
      </c>
    </row>
    <row r="94" spans="1:22" ht="20.25" customHeight="1" x14ac:dyDescent="0.25">
      <c r="A94" s="258">
        <v>93</v>
      </c>
      <c r="B94" s="249" t="s">
        <v>418</v>
      </c>
      <c r="C94" s="250" t="s">
        <v>419</v>
      </c>
      <c r="D94" s="251">
        <v>45992</v>
      </c>
      <c r="E94" s="282">
        <v>0</v>
      </c>
      <c r="F94" s="252">
        <v>0</v>
      </c>
      <c r="G94" s="283">
        <v>7000</v>
      </c>
      <c r="H94" s="287">
        <f t="shared" si="2"/>
        <v>60290</v>
      </c>
      <c r="I94" s="253">
        <f>SUMIFS(FACILITIES!T:T,FACILITIES!B:B,B94)</f>
        <v>0</v>
      </c>
      <c r="J94" s="253">
        <v>0</v>
      </c>
      <c r="K94" s="253">
        <v>0</v>
      </c>
      <c r="L94" s="253">
        <v>0</v>
      </c>
      <c r="M94" s="253" t="s">
        <v>1160</v>
      </c>
      <c r="N94" s="253">
        <v>0</v>
      </c>
      <c r="O94" s="253">
        <f>SUMIFS('F &amp; B'!G:G,'F &amp; B'!B:B,B94)</f>
        <v>5370</v>
      </c>
      <c r="P94" s="253">
        <v>9860</v>
      </c>
      <c r="Q94" s="254">
        <v>5900</v>
      </c>
      <c r="R94" s="254">
        <v>37360</v>
      </c>
      <c r="S94" s="254">
        <v>0</v>
      </c>
      <c r="T94" s="254">
        <v>1800</v>
      </c>
      <c r="U94" s="254">
        <v>60000</v>
      </c>
      <c r="V94" s="288" t="str">
        <f t="shared" si="3"/>
        <v/>
      </c>
    </row>
    <row r="95" spans="1:22" ht="20.25" customHeight="1" x14ac:dyDescent="0.25">
      <c r="A95" s="258">
        <v>94</v>
      </c>
      <c r="B95" s="249" t="s">
        <v>426</v>
      </c>
      <c r="C95" s="250" t="s">
        <v>427</v>
      </c>
      <c r="D95" s="251">
        <v>45992</v>
      </c>
      <c r="E95" s="282">
        <v>0</v>
      </c>
      <c r="F95" s="252">
        <v>0</v>
      </c>
      <c r="G95" s="283">
        <v>7000</v>
      </c>
      <c r="H95" s="287">
        <f t="shared" si="2"/>
        <v>161689</v>
      </c>
      <c r="I95" s="253">
        <f>SUMIFS(FACILITIES!T:T,FACILITIES!B:B,B95)</f>
        <v>0</v>
      </c>
      <c r="J95" s="253">
        <v>0</v>
      </c>
      <c r="K95" s="253">
        <v>0</v>
      </c>
      <c r="L95" s="253">
        <v>0</v>
      </c>
      <c r="M95" s="253" t="s">
        <v>1160</v>
      </c>
      <c r="N95" s="253">
        <v>0</v>
      </c>
      <c r="O95" s="253">
        <f>SUMIFS('F &amp; B'!G:G,'F &amp; B'!B:B,B95)</f>
        <v>59650</v>
      </c>
      <c r="P95" s="253">
        <v>500</v>
      </c>
      <c r="Q95" s="254">
        <v>15620</v>
      </c>
      <c r="R95" s="254">
        <v>23350</v>
      </c>
      <c r="S95" s="254">
        <v>41949</v>
      </c>
      <c r="T95" s="254">
        <v>20620</v>
      </c>
      <c r="U95" s="254">
        <v>60000</v>
      </c>
      <c r="V95" s="288" t="str">
        <f t="shared" si="3"/>
        <v/>
      </c>
    </row>
    <row r="96" spans="1:22" ht="20.25" customHeight="1" x14ac:dyDescent="0.25">
      <c r="A96" s="258">
        <v>95</v>
      </c>
      <c r="B96" s="249" t="s">
        <v>432</v>
      </c>
      <c r="C96" s="250" t="s">
        <v>433</v>
      </c>
      <c r="D96" s="251">
        <v>45992</v>
      </c>
      <c r="E96" s="282">
        <v>0</v>
      </c>
      <c r="F96" s="252">
        <v>0</v>
      </c>
      <c r="G96" s="283">
        <v>7000</v>
      </c>
      <c r="H96" s="287">
        <f t="shared" si="2"/>
        <v>0</v>
      </c>
      <c r="I96" s="253">
        <f>SUMIFS(FACILITIES!T:T,FACILITIES!B:B,B96)</f>
        <v>0</v>
      </c>
      <c r="J96" s="253">
        <v>0</v>
      </c>
      <c r="K96" s="253">
        <v>0</v>
      </c>
      <c r="L96" s="253">
        <v>0</v>
      </c>
      <c r="M96" s="253" t="s">
        <v>1160</v>
      </c>
      <c r="N96" s="253">
        <v>0</v>
      </c>
      <c r="O96" s="253">
        <f>SUMIFS('F &amp; B'!G:G,'F &amp; B'!B:B,B96)</f>
        <v>0</v>
      </c>
      <c r="P96" s="253">
        <v>0</v>
      </c>
      <c r="Q96" s="254">
        <v>0</v>
      </c>
      <c r="R96" s="254">
        <v>0</v>
      </c>
      <c r="S96" s="254">
        <v>0</v>
      </c>
      <c r="T96" s="254">
        <v>0</v>
      </c>
      <c r="U96" s="254">
        <v>60000</v>
      </c>
      <c r="V96" s="288">
        <f t="shared" si="3"/>
        <v>60000</v>
      </c>
    </row>
    <row r="97" spans="1:22" ht="20.25" customHeight="1" x14ac:dyDescent="0.25">
      <c r="A97" s="258">
        <v>96</v>
      </c>
      <c r="B97" s="249" t="s">
        <v>454</v>
      </c>
      <c r="C97" s="250" t="s">
        <v>505</v>
      </c>
      <c r="D97" s="251">
        <v>45992</v>
      </c>
      <c r="E97" s="282">
        <v>0</v>
      </c>
      <c r="F97" s="252">
        <v>0</v>
      </c>
      <c r="G97" s="283">
        <v>0</v>
      </c>
      <c r="H97" s="287">
        <f t="shared" si="2"/>
        <v>3262134</v>
      </c>
      <c r="I97" s="253">
        <f>SUMIFS(FACILITIES!T:T,FACILITIES!B:B,B97)</f>
        <v>0</v>
      </c>
      <c r="J97" s="253">
        <v>0</v>
      </c>
      <c r="K97" s="253">
        <v>0</v>
      </c>
      <c r="L97" s="253">
        <v>0</v>
      </c>
      <c r="M97" s="253" t="s">
        <v>1160</v>
      </c>
      <c r="N97" s="253">
        <v>0</v>
      </c>
      <c r="O97" s="253">
        <f>SUMIFS('F &amp; B'!G:G,'F &amp; B'!B:B,B97)</f>
        <v>3111425</v>
      </c>
      <c r="P97" s="254">
        <v>1680</v>
      </c>
      <c r="Q97" s="254">
        <v>52570</v>
      </c>
      <c r="R97" s="254">
        <v>73899</v>
      </c>
      <c r="S97" s="254">
        <v>17460</v>
      </c>
      <c r="T97" s="254">
        <v>5100</v>
      </c>
      <c r="U97" s="254">
        <v>0</v>
      </c>
      <c r="V97" s="288" t="str">
        <f>IF(U97-H97&gt;0, U97-H97, "")</f>
        <v/>
      </c>
    </row>
    <row r="98" spans="1:22" ht="20.25" customHeight="1" x14ac:dyDescent="0.25">
      <c r="A98" s="258">
        <v>97</v>
      </c>
      <c r="B98" s="249" t="s">
        <v>448</v>
      </c>
      <c r="C98" s="250" t="s">
        <v>453</v>
      </c>
      <c r="D98" s="251">
        <v>45992</v>
      </c>
      <c r="E98" s="282">
        <v>0</v>
      </c>
      <c r="F98" s="252">
        <v>0</v>
      </c>
      <c r="G98" s="283">
        <v>7000</v>
      </c>
      <c r="H98" s="287">
        <f t="shared" si="2"/>
        <v>29400</v>
      </c>
      <c r="I98" s="253">
        <f>SUMIFS(FACILITIES!T:T,FACILITIES!B:B,B98)</f>
        <v>0</v>
      </c>
      <c r="J98" s="253">
        <v>0</v>
      </c>
      <c r="K98" s="253">
        <v>0</v>
      </c>
      <c r="L98" s="253">
        <v>0</v>
      </c>
      <c r="M98" s="253" t="s">
        <v>1160</v>
      </c>
      <c r="N98" s="253">
        <v>0</v>
      </c>
      <c r="O98" s="253">
        <f>SUMIFS('F &amp; B'!G:G,'F &amp; B'!B:B,B98)</f>
        <v>5425</v>
      </c>
      <c r="P98" s="254">
        <v>1550</v>
      </c>
      <c r="Q98" s="254">
        <v>150</v>
      </c>
      <c r="R98" s="254">
        <v>0</v>
      </c>
      <c r="S98" s="254">
        <v>4490</v>
      </c>
      <c r="T98" s="254">
        <v>17785</v>
      </c>
      <c r="U98" s="254">
        <v>60000</v>
      </c>
      <c r="V98" s="288">
        <f t="shared" ref="V98:V115" si="4">IF(U98-H98&gt;0, U98-H98, "")</f>
        <v>30600</v>
      </c>
    </row>
    <row r="99" spans="1:22" ht="20.25" customHeight="1" x14ac:dyDescent="0.25">
      <c r="A99" s="258">
        <v>98</v>
      </c>
      <c r="B99" s="249" t="s">
        <v>342</v>
      </c>
      <c r="C99" s="250" t="s">
        <v>649</v>
      </c>
      <c r="D99" s="251">
        <v>45992</v>
      </c>
      <c r="E99" s="282">
        <v>0</v>
      </c>
      <c r="F99" s="252">
        <v>0</v>
      </c>
      <c r="G99" s="283">
        <v>7000</v>
      </c>
      <c r="H99" s="287">
        <f t="shared" si="2"/>
        <v>69870</v>
      </c>
      <c r="I99" s="253">
        <f>SUMIFS(FACILITIES!T:T,FACILITIES!B:B,B99)</f>
        <v>0</v>
      </c>
      <c r="J99" s="253">
        <v>0</v>
      </c>
      <c r="K99" s="253">
        <v>0</v>
      </c>
      <c r="L99" s="253">
        <v>0</v>
      </c>
      <c r="M99" s="253" t="s">
        <v>1160</v>
      </c>
      <c r="N99" s="253">
        <v>0</v>
      </c>
      <c r="O99" s="253">
        <f>SUMIFS('F &amp; B'!G:G,'F &amp; B'!B:B,B99)</f>
        <v>35550</v>
      </c>
      <c r="P99" s="254">
        <v>3480</v>
      </c>
      <c r="Q99" s="254">
        <v>9500</v>
      </c>
      <c r="R99" s="254">
        <v>0</v>
      </c>
      <c r="S99" s="254">
        <v>15640</v>
      </c>
      <c r="T99" s="254">
        <v>5700</v>
      </c>
      <c r="U99" s="254">
        <v>60000</v>
      </c>
      <c r="V99" s="288" t="str">
        <f t="shared" si="4"/>
        <v/>
      </c>
    </row>
    <row r="100" spans="1:22" ht="20.25" customHeight="1" x14ac:dyDescent="0.25">
      <c r="A100" s="258">
        <v>99</v>
      </c>
      <c r="B100" s="249" t="s">
        <v>650</v>
      </c>
      <c r="C100" s="250" t="s">
        <v>651</v>
      </c>
      <c r="D100" s="251">
        <v>45992</v>
      </c>
      <c r="E100" s="282">
        <v>0</v>
      </c>
      <c r="F100" s="252">
        <v>0</v>
      </c>
      <c r="G100" s="283">
        <v>7000</v>
      </c>
      <c r="H100" s="287">
        <f t="shared" si="2"/>
        <v>410861</v>
      </c>
      <c r="I100" s="253">
        <f>SUMIFS(FACILITIES!T:T,FACILITIES!B:B,B100)</f>
        <v>0</v>
      </c>
      <c r="J100" s="253">
        <v>0</v>
      </c>
      <c r="K100" s="253">
        <v>0</v>
      </c>
      <c r="L100" s="253">
        <v>225000</v>
      </c>
      <c r="M100" s="253" t="s">
        <v>1160</v>
      </c>
      <c r="N100" s="253">
        <v>0</v>
      </c>
      <c r="O100" s="253">
        <f>SUMIFS('F &amp; B'!G:G,'F &amp; B'!B:B,B100)</f>
        <v>37349</v>
      </c>
      <c r="P100" s="253">
        <v>47114</v>
      </c>
      <c r="Q100" s="253">
        <v>52524</v>
      </c>
      <c r="R100" s="254">
        <v>20099</v>
      </c>
      <c r="S100" s="254">
        <v>4250</v>
      </c>
      <c r="T100" s="254">
        <v>24525</v>
      </c>
      <c r="U100" s="254">
        <v>60000</v>
      </c>
      <c r="V100" s="288" t="str">
        <f t="shared" si="4"/>
        <v/>
      </c>
    </row>
    <row r="101" spans="1:22" ht="20.25" customHeight="1" x14ac:dyDescent="0.25">
      <c r="A101" s="258">
        <v>100</v>
      </c>
      <c r="B101" s="249" t="s">
        <v>648</v>
      </c>
      <c r="C101" s="250" t="s">
        <v>652</v>
      </c>
      <c r="D101" s="251">
        <v>45992</v>
      </c>
      <c r="E101" s="282">
        <v>0</v>
      </c>
      <c r="F101" s="252">
        <v>0</v>
      </c>
      <c r="G101" s="283">
        <v>7000</v>
      </c>
      <c r="H101" s="287">
        <f t="shared" si="2"/>
        <v>125743</v>
      </c>
      <c r="I101" s="253">
        <f>SUMIFS(FACILITIES!T:T,FACILITIES!B:B,B101)</f>
        <v>0</v>
      </c>
      <c r="J101" s="253">
        <v>0</v>
      </c>
      <c r="K101" s="253">
        <v>0</v>
      </c>
      <c r="L101" s="253">
        <v>0</v>
      </c>
      <c r="M101" s="253" t="s">
        <v>1160</v>
      </c>
      <c r="N101" s="253">
        <v>0</v>
      </c>
      <c r="O101" s="253">
        <f>SUMIFS('F &amp; B'!G:G,'F &amp; B'!B:B,B101)</f>
        <v>0</v>
      </c>
      <c r="P101" s="253">
        <v>51968</v>
      </c>
      <c r="Q101" s="253">
        <v>65200</v>
      </c>
      <c r="R101" s="254">
        <v>8575</v>
      </c>
      <c r="S101" s="254">
        <v>0</v>
      </c>
      <c r="T101" s="254">
        <v>0</v>
      </c>
      <c r="U101" s="254">
        <v>60000</v>
      </c>
      <c r="V101" s="288" t="str">
        <f t="shared" si="4"/>
        <v/>
      </c>
    </row>
    <row r="102" spans="1:22" ht="20.25" customHeight="1" x14ac:dyDescent="0.25">
      <c r="A102" s="258">
        <v>101</v>
      </c>
      <c r="B102" s="249" t="s">
        <v>753</v>
      </c>
      <c r="C102" s="250" t="s">
        <v>754</v>
      </c>
      <c r="D102" s="251">
        <v>45992</v>
      </c>
      <c r="E102" s="282">
        <v>0</v>
      </c>
      <c r="F102" s="252">
        <v>0</v>
      </c>
      <c r="G102" s="283">
        <v>7000</v>
      </c>
      <c r="H102" s="287">
        <f t="shared" si="2"/>
        <v>24635</v>
      </c>
      <c r="I102" s="253">
        <f>SUMIFS(FACILITIES!T:T,FACILITIES!B:B,B102)</f>
        <v>0</v>
      </c>
      <c r="J102" s="253">
        <v>0</v>
      </c>
      <c r="K102" s="253">
        <v>0</v>
      </c>
      <c r="L102" s="253">
        <v>0</v>
      </c>
      <c r="M102" s="253" t="s">
        <v>1160</v>
      </c>
      <c r="N102" s="253">
        <v>0</v>
      </c>
      <c r="O102" s="253">
        <f>SUMIFS('F &amp; B'!G:G,'F &amp; B'!B:B,B102)</f>
        <v>0</v>
      </c>
      <c r="P102" s="253">
        <v>0</v>
      </c>
      <c r="Q102" s="253">
        <v>14635</v>
      </c>
      <c r="R102" s="254">
        <v>10000</v>
      </c>
      <c r="S102" s="254">
        <v>0</v>
      </c>
      <c r="T102" s="254">
        <v>0</v>
      </c>
      <c r="U102" s="254">
        <v>10000</v>
      </c>
      <c r="V102" s="288" t="str">
        <f t="shared" si="4"/>
        <v/>
      </c>
    </row>
    <row r="103" spans="1:22" ht="20.25" customHeight="1" x14ac:dyDescent="0.25">
      <c r="A103" s="258">
        <v>102</v>
      </c>
      <c r="B103" s="249" t="s">
        <v>761</v>
      </c>
      <c r="C103" s="250" t="str">
        <f>VLOOKUP(B103,MEMBERS!B:C,2, )</f>
        <v>MR. FAYAZ ALI SOOMRO</v>
      </c>
      <c r="D103" s="251">
        <v>45992</v>
      </c>
      <c r="E103" s="282">
        <v>0</v>
      </c>
      <c r="F103" s="252">
        <v>0</v>
      </c>
      <c r="G103" s="283">
        <v>7000</v>
      </c>
      <c r="H103" s="287">
        <f t="shared" si="2"/>
        <v>77300</v>
      </c>
      <c r="I103" s="253">
        <f>SUMIFS(FACILITIES!T:T,FACILITIES!B:B,B103)</f>
        <v>0</v>
      </c>
      <c r="J103" s="253">
        <v>0</v>
      </c>
      <c r="K103" s="253">
        <v>0</v>
      </c>
      <c r="L103" s="253">
        <v>0</v>
      </c>
      <c r="M103" s="253" t="s">
        <v>1160</v>
      </c>
      <c r="N103" s="253">
        <v>0</v>
      </c>
      <c r="O103" s="253">
        <f>SUMIFS('F &amp; B'!G:G,'F &amp; B'!B:B,B103)</f>
        <v>8949</v>
      </c>
      <c r="P103" s="253">
        <v>38005</v>
      </c>
      <c r="Q103" s="253">
        <v>19799</v>
      </c>
      <c r="R103" s="254">
        <v>9350</v>
      </c>
      <c r="S103" s="254">
        <v>1197</v>
      </c>
      <c r="T103" s="254">
        <v>0</v>
      </c>
      <c r="U103" s="254">
        <v>60000</v>
      </c>
      <c r="V103" s="288" t="str">
        <f t="shared" si="4"/>
        <v/>
      </c>
    </row>
    <row r="104" spans="1:22" ht="20.25" customHeight="1" x14ac:dyDescent="0.25">
      <c r="A104" s="258">
        <v>103</v>
      </c>
      <c r="B104" s="249" t="s">
        <v>762</v>
      </c>
      <c r="C104" s="250" t="str">
        <f>VLOOKUP(B104,MEMBERS!B:C,2, )</f>
        <v>MR. KASHIF SAEED</v>
      </c>
      <c r="D104" s="251">
        <v>45992</v>
      </c>
      <c r="E104" s="282">
        <v>0</v>
      </c>
      <c r="F104" s="252">
        <v>0</v>
      </c>
      <c r="G104" s="283">
        <v>7000</v>
      </c>
      <c r="H104" s="287">
        <f t="shared" si="2"/>
        <v>84098</v>
      </c>
      <c r="I104" s="253">
        <f>SUMIFS(FACILITIES!T:T,FACILITIES!B:B,B104)</f>
        <v>0</v>
      </c>
      <c r="J104" s="253">
        <v>0</v>
      </c>
      <c r="K104" s="253">
        <v>0</v>
      </c>
      <c r="L104" s="253">
        <v>0</v>
      </c>
      <c r="M104" s="253" t="s">
        <v>1160</v>
      </c>
      <c r="N104" s="253">
        <v>0</v>
      </c>
      <c r="O104" s="253">
        <f>SUMIFS('F &amp; B'!G:G,'F &amp; B'!B:B,B104)</f>
        <v>26400</v>
      </c>
      <c r="P104" s="253">
        <v>0</v>
      </c>
      <c r="Q104" s="253">
        <v>9300</v>
      </c>
      <c r="R104" s="254">
        <v>18420</v>
      </c>
      <c r="S104" s="254">
        <v>19888</v>
      </c>
      <c r="T104" s="254">
        <v>10090</v>
      </c>
      <c r="U104" s="254">
        <v>60000</v>
      </c>
      <c r="V104" s="288" t="str">
        <f t="shared" si="4"/>
        <v/>
      </c>
    </row>
    <row r="105" spans="1:22" ht="20.25" customHeight="1" x14ac:dyDescent="0.25">
      <c r="A105" s="258">
        <v>104</v>
      </c>
      <c r="B105" s="249" t="s">
        <v>947</v>
      </c>
      <c r="C105" s="250" t="str">
        <f>VLOOKUP(B105,MEMBERS!B:C,2, )</f>
        <v>MR . SYED RAHAT HUSSAIN ZAIDI</v>
      </c>
      <c r="D105" s="251">
        <v>45992</v>
      </c>
      <c r="E105" s="282">
        <v>0</v>
      </c>
      <c r="F105" s="252">
        <v>0</v>
      </c>
      <c r="G105" s="283">
        <v>7000</v>
      </c>
      <c r="H105" s="287">
        <f t="shared" si="2"/>
        <v>82810</v>
      </c>
      <c r="I105" s="253">
        <f>SUMIFS(FACILITIES!T:T,FACILITIES!B:B,B105)</f>
        <v>0</v>
      </c>
      <c r="J105" s="253">
        <v>0</v>
      </c>
      <c r="K105" s="253">
        <v>0</v>
      </c>
      <c r="L105" s="253">
        <v>0</v>
      </c>
      <c r="M105" s="253" t="s">
        <v>1160</v>
      </c>
      <c r="N105" s="253">
        <v>0</v>
      </c>
      <c r="O105" s="253">
        <f>SUMIFS('F &amp; B'!G:G,'F &amp; B'!B:B,B105)</f>
        <v>63250</v>
      </c>
      <c r="P105" s="253">
        <v>5200</v>
      </c>
      <c r="Q105" s="253">
        <v>6100</v>
      </c>
      <c r="R105" s="254">
        <v>8260</v>
      </c>
      <c r="S105" s="254">
        <v>0</v>
      </c>
      <c r="T105" s="254">
        <v>0</v>
      </c>
      <c r="U105" s="254">
        <v>60000</v>
      </c>
      <c r="V105" s="288" t="str">
        <f t="shared" si="4"/>
        <v/>
      </c>
    </row>
    <row r="106" spans="1:22" ht="20.25" customHeight="1" x14ac:dyDescent="0.25">
      <c r="A106" s="258">
        <v>105</v>
      </c>
      <c r="B106" s="249" t="s">
        <v>948</v>
      </c>
      <c r="C106" s="250" t="str">
        <f>VLOOKUP(B106,MEMBERS!B:C,2, )</f>
        <v>MR. TEHSEEN FAIZ</v>
      </c>
      <c r="D106" s="251">
        <v>45992</v>
      </c>
      <c r="E106" s="282">
        <v>0</v>
      </c>
      <c r="F106" s="252">
        <v>0</v>
      </c>
      <c r="G106" s="283">
        <v>7000</v>
      </c>
      <c r="H106" s="287">
        <f t="shared" si="2"/>
        <v>37394</v>
      </c>
      <c r="I106" s="253">
        <f>SUMIFS(FACILITIES!T:T,FACILITIES!B:B,B106)</f>
        <v>0</v>
      </c>
      <c r="J106" s="253">
        <v>0</v>
      </c>
      <c r="K106" s="253">
        <v>0</v>
      </c>
      <c r="L106" s="253">
        <v>0</v>
      </c>
      <c r="M106" s="253" t="s">
        <v>1160</v>
      </c>
      <c r="N106" s="253">
        <v>0</v>
      </c>
      <c r="O106" s="253">
        <f>SUMIFS('F &amp; B'!G:G,'F &amp; B'!B:B,B106)</f>
        <v>17379</v>
      </c>
      <c r="P106" s="253">
        <v>0</v>
      </c>
      <c r="Q106" s="253">
        <v>10420</v>
      </c>
      <c r="R106" s="254">
        <v>5405</v>
      </c>
      <c r="S106" s="254">
        <v>4090</v>
      </c>
      <c r="T106" s="254">
        <v>100</v>
      </c>
      <c r="U106" s="254">
        <v>60000</v>
      </c>
      <c r="V106" s="288">
        <f t="shared" si="4"/>
        <v>22606</v>
      </c>
    </row>
    <row r="107" spans="1:22" ht="20.25" customHeight="1" x14ac:dyDescent="0.25">
      <c r="A107" s="258">
        <v>106</v>
      </c>
      <c r="B107" s="249" t="s">
        <v>952</v>
      </c>
      <c r="C107" s="250" t="str">
        <f>VLOOKUP(B107,MEMBERS!B:C,2, )</f>
        <v>MRS. HASSAN RAFI</v>
      </c>
      <c r="D107" s="251">
        <v>45992</v>
      </c>
      <c r="E107" s="282">
        <v>0</v>
      </c>
      <c r="F107" s="252">
        <v>0</v>
      </c>
      <c r="G107" s="283">
        <v>0</v>
      </c>
      <c r="H107" s="287">
        <f t="shared" si="2"/>
        <v>0</v>
      </c>
      <c r="I107" s="253">
        <f>SUMIFS(FACILITIES!T:T,FACILITIES!B:B,B107)</f>
        <v>0</v>
      </c>
      <c r="J107" s="253">
        <v>0</v>
      </c>
      <c r="K107" s="253">
        <v>0</v>
      </c>
      <c r="L107" s="253">
        <v>0</v>
      </c>
      <c r="M107" s="253" t="s">
        <v>1160</v>
      </c>
      <c r="N107" s="253">
        <v>0</v>
      </c>
      <c r="O107" s="253">
        <f>SUMIFS('F &amp; B'!G:G,'F &amp; B'!B:B,B107)</f>
        <v>0</v>
      </c>
      <c r="P107" s="253">
        <v>0</v>
      </c>
      <c r="Q107" s="253">
        <v>0</v>
      </c>
      <c r="R107" s="254">
        <v>0</v>
      </c>
      <c r="S107" s="254">
        <v>0</v>
      </c>
      <c r="T107" s="254">
        <v>0</v>
      </c>
      <c r="U107" s="254">
        <v>0</v>
      </c>
      <c r="V107" s="288" t="str">
        <f t="shared" si="4"/>
        <v/>
      </c>
    </row>
    <row r="108" spans="1:22" ht="20.25" customHeight="1" x14ac:dyDescent="0.25">
      <c r="A108" s="258">
        <v>107</v>
      </c>
      <c r="B108" s="249" t="s">
        <v>1004</v>
      </c>
      <c r="C108" s="250" t="s">
        <v>1007</v>
      </c>
      <c r="D108" s="251">
        <v>45992</v>
      </c>
      <c r="E108" s="282">
        <v>0</v>
      </c>
      <c r="F108" s="252">
        <v>0</v>
      </c>
      <c r="G108" s="283">
        <v>7000</v>
      </c>
      <c r="H108" s="287">
        <f t="shared" si="2"/>
        <v>111805</v>
      </c>
      <c r="I108" s="253">
        <f>SUMIFS(FACILITIES!T:T,FACILITIES!B:B,B108)</f>
        <v>40000</v>
      </c>
      <c r="J108" s="253">
        <v>0</v>
      </c>
      <c r="K108" s="253">
        <v>0</v>
      </c>
      <c r="L108" s="253">
        <v>0</v>
      </c>
      <c r="M108" s="253" t="s">
        <v>1160</v>
      </c>
      <c r="N108" s="253">
        <v>0</v>
      </c>
      <c r="O108" s="253">
        <f>SUMIFS('F &amp; B'!G:G,'F &amp; B'!B:B,B108)</f>
        <v>38280</v>
      </c>
      <c r="P108" s="253">
        <v>7360</v>
      </c>
      <c r="Q108" s="253">
        <v>22965</v>
      </c>
      <c r="R108" s="254">
        <v>0</v>
      </c>
      <c r="S108" s="254">
        <v>3200</v>
      </c>
      <c r="T108" s="254">
        <v>0</v>
      </c>
      <c r="U108" s="254">
        <v>60000</v>
      </c>
      <c r="V108" s="288" t="str">
        <f t="shared" si="4"/>
        <v/>
      </c>
    </row>
    <row r="109" spans="1:22" ht="20.25" customHeight="1" x14ac:dyDescent="0.25">
      <c r="A109" s="258">
        <v>108</v>
      </c>
      <c r="B109" s="249" t="s">
        <v>1005</v>
      </c>
      <c r="C109" s="250" t="s">
        <v>1009</v>
      </c>
      <c r="D109" s="251">
        <v>45992</v>
      </c>
      <c r="E109" s="282">
        <v>0</v>
      </c>
      <c r="F109" s="252">
        <v>0</v>
      </c>
      <c r="G109" s="283">
        <v>7000</v>
      </c>
      <c r="H109" s="287">
        <f t="shared" si="2"/>
        <v>4550</v>
      </c>
      <c r="I109" s="253">
        <f>SUMIFS(FACILITIES!T:T,FACILITIES!B:B,B109)</f>
        <v>0</v>
      </c>
      <c r="J109" s="253">
        <v>0</v>
      </c>
      <c r="K109" s="253">
        <v>0</v>
      </c>
      <c r="L109" s="253">
        <v>0</v>
      </c>
      <c r="M109" s="253" t="s">
        <v>1160</v>
      </c>
      <c r="N109" s="253">
        <v>0</v>
      </c>
      <c r="O109" s="253">
        <f>SUMIFS('F &amp; B'!G:G,'F &amp; B'!B:B,B109)</f>
        <v>4550</v>
      </c>
      <c r="P109" s="253">
        <v>0</v>
      </c>
      <c r="Q109" s="253">
        <v>0</v>
      </c>
      <c r="R109" s="254">
        <v>0</v>
      </c>
      <c r="S109" s="254">
        <v>0</v>
      </c>
      <c r="T109" s="254">
        <v>0</v>
      </c>
      <c r="U109" s="254">
        <v>60000</v>
      </c>
      <c r="V109" s="288">
        <f t="shared" si="4"/>
        <v>55450</v>
      </c>
    </row>
    <row r="110" spans="1:22" ht="20.25" customHeight="1" x14ac:dyDescent="0.25">
      <c r="A110" s="258">
        <v>109</v>
      </c>
      <c r="B110" s="249" t="s">
        <v>1006</v>
      </c>
      <c r="C110" s="250" t="s">
        <v>1008</v>
      </c>
      <c r="D110" s="251">
        <v>45992</v>
      </c>
      <c r="E110" s="282">
        <v>0</v>
      </c>
      <c r="F110" s="252">
        <v>0</v>
      </c>
      <c r="G110" s="283">
        <v>7000</v>
      </c>
      <c r="H110" s="287">
        <f t="shared" si="2"/>
        <v>46429</v>
      </c>
      <c r="I110" s="253">
        <f>SUMIFS(FACILITIES!T:T,FACILITIES!B:B,B110)</f>
        <v>0</v>
      </c>
      <c r="J110" s="253">
        <v>0</v>
      </c>
      <c r="K110" s="253">
        <v>0</v>
      </c>
      <c r="L110" s="253">
        <v>0</v>
      </c>
      <c r="M110" s="253" t="s">
        <v>1160</v>
      </c>
      <c r="N110" s="253">
        <v>2000</v>
      </c>
      <c r="O110" s="253">
        <f>SUMIFS('F &amp; B'!G:G,'F &amp; B'!B:B,B110)</f>
        <v>1200</v>
      </c>
      <c r="P110" s="253">
        <v>5550</v>
      </c>
      <c r="Q110" s="253">
        <v>6949</v>
      </c>
      <c r="R110" s="254">
        <v>12230</v>
      </c>
      <c r="S110" s="254">
        <v>11450</v>
      </c>
      <c r="T110" s="254">
        <v>7050</v>
      </c>
      <c r="U110" s="254">
        <v>60000</v>
      </c>
      <c r="V110" s="288">
        <f t="shared" si="4"/>
        <v>13571</v>
      </c>
    </row>
    <row r="111" spans="1:22" ht="20.25" customHeight="1" x14ac:dyDescent="0.25">
      <c r="A111" s="258">
        <v>110</v>
      </c>
      <c r="B111" s="249" t="s">
        <v>1014</v>
      </c>
      <c r="C111" s="250" t="s">
        <v>1015</v>
      </c>
      <c r="D111" s="251">
        <v>45992</v>
      </c>
      <c r="E111" s="282">
        <v>0</v>
      </c>
      <c r="F111" s="252">
        <v>0</v>
      </c>
      <c r="G111" s="283">
        <v>7000</v>
      </c>
      <c r="H111" s="287">
        <f t="shared" si="2"/>
        <v>0</v>
      </c>
      <c r="I111" s="253">
        <f>SUMIFS(FACILITIES!T:T,FACILITIES!B:B,B111)</f>
        <v>0</v>
      </c>
      <c r="J111" s="253">
        <v>0</v>
      </c>
      <c r="K111" s="253">
        <v>0</v>
      </c>
      <c r="L111" s="253">
        <v>0</v>
      </c>
      <c r="M111" s="253" t="s">
        <v>1160</v>
      </c>
      <c r="N111" s="253">
        <v>0</v>
      </c>
      <c r="O111" s="253">
        <f>SUMIFS('F &amp; B'!G:G,'F &amp; B'!B:B,B111)</f>
        <v>0</v>
      </c>
      <c r="P111" s="253">
        <v>0</v>
      </c>
      <c r="Q111" s="253">
        <v>0</v>
      </c>
      <c r="R111" s="254">
        <v>0</v>
      </c>
      <c r="S111" s="254">
        <v>0</v>
      </c>
      <c r="T111" s="254">
        <v>0</v>
      </c>
      <c r="U111" s="254">
        <v>60000</v>
      </c>
      <c r="V111" s="288">
        <f t="shared" si="4"/>
        <v>60000</v>
      </c>
    </row>
    <row r="112" spans="1:22" ht="20.25" customHeight="1" x14ac:dyDescent="0.25">
      <c r="A112" s="258">
        <v>111</v>
      </c>
      <c r="B112" s="249" t="s">
        <v>1020</v>
      </c>
      <c r="C112" s="250" t="s">
        <v>1022</v>
      </c>
      <c r="D112" s="251">
        <v>45992</v>
      </c>
      <c r="E112" s="282">
        <v>0</v>
      </c>
      <c r="F112" s="252">
        <v>0</v>
      </c>
      <c r="G112" s="283">
        <v>7000</v>
      </c>
      <c r="H112" s="287">
        <f t="shared" si="2"/>
        <v>98751</v>
      </c>
      <c r="I112" s="253">
        <f>SUMIFS(FACILITIES!T:T,FACILITIES!B:B,B112)</f>
        <v>0</v>
      </c>
      <c r="J112" s="253">
        <v>0</v>
      </c>
      <c r="K112" s="253">
        <v>0</v>
      </c>
      <c r="L112" s="253">
        <v>0</v>
      </c>
      <c r="M112" s="253" t="s">
        <v>1160</v>
      </c>
      <c r="N112" s="253">
        <v>0</v>
      </c>
      <c r="O112" s="253">
        <f>SUMIFS('F &amp; B'!G:G,'F &amp; B'!B:B,B112)</f>
        <v>10350</v>
      </c>
      <c r="P112" s="253">
        <v>0</v>
      </c>
      <c r="Q112" s="253">
        <v>24049</v>
      </c>
      <c r="R112" s="254">
        <v>33587</v>
      </c>
      <c r="S112" s="254">
        <v>6475</v>
      </c>
      <c r="T112" s="254">
        <v>24290</v>
      </c>
      <c r="U112" s="254">
        <v>60000</v>
      </c>
      <c r="V112" s="288" t="str">
        <f t="shared" si="4"/>
        <v/>
      </c>
    </row>
    <row r="113" spans="1:22" ht="20.25" customHeight="1" x14ac:dyDescent="0.25">
      <c r="A113" s="258">
        <v>112</v>
      </c>
      <c r="B113" s="249" t="s">
        <v>1021</v>
      </c>
      <c r="C113" s="250" t="s">
        <v>1023</v>
      </c>
      <c r="D113" s="251">
        <v>45992</v>
      </c>
      <c r="E113" s="282">
        <v>0</v>
      </c>
      <c r="F113" s="252">
        <v>0</v>
      </c>
      <c r="G113" s="283">
        <v>7000</v>
      </c>
      <c r="H113" s="287">
        <f t="shared" si="2"/>
        <v>124615</v>
      </c>
      <c r="I113" s="253">
        <f>SUMIFS(FACILITIES!T:T,FACILITIES!B:B,B113)</f>
        <v>0</v>
      </c>
      <c r="J113" s="253">
        <v>0</v>
      </c>
      <c r="K113" s="253">
        <v>0</v>
      </c>
      <c r="L113" s="253">
        <v>0</v>
      </c>
      <c r="M113" s="253" t="s">
        <v>1160</v>
      </c>
      <c r="N113" s="253">
        <v>0</v>
      </c>
      <c r="O113" s="253">
        <f>SUMIFS('F &amp; B'!G:G,'F &amp; B'!B:B,B113)</f>
        <v>51687</v>
      </c>
      <c r="P113" s="253">
        <v>0</v>
      </c>
      <c r="Q113" s="253">
        <v>8550</v>
      </c>
      <c r="R113" s="254">
        <v>21099</v>
      </c>
      <c r="S113" s="254">
        <v>10319</v>
      </c>
      <c r="T113" s="254">
        <v>32960</v>
      </c>
      <c r="U113" s="254">
        <v>60000</v>
      </c>
      <c r="V113" s="288" t="str">
        <f t="shared" si="4"/>
        <v/>
      </c>
    </row>
    <row r="114" spans="1:22" ht="20.25" customHeight="1" x14ac:dyDescent="0.25">
      <c r="A114" s="258">
        <v>113</v>
      </c>
      <c r="B114" s="249" t="s">
        <v>1024</v>
      </c>
      <c r="C114" s="250" t="s">
        <v>1041</v>
      </c>
      <c r="D114" s="251">
        <v>45992</v>
      </c>
      <c r="E114" s="282">
        <v>0</v>
      </c>
      <c r="F114" s="252">
        <v>0</v>
      </c>
      <c r="G114" s="283">
        <v>7000</v>
      </c>
      <c r="H114" s="287">
        <f t="shared" si="2"/>
        <v>74954</v>
      </c>
      <c r="I114" s="253">
        <f>SUMIFS(FACILITIES!T:T,FACILITIES!B:B,B114)</f>
        <v>0</v>
      </c>
      <c r="J114" s="253">
        <v>0</v>
      </c>
      <c r="K114" s="253">
        <v>0</v>
      </c>
      <c r="L114" s="253">
        <v>0</v>
      </c>
      <c r="M114" s="253" t="s">
        <v>1160</v>
      </c>
      <c r="N114" s="253">
        <v>0</v>
      </c>
      <c r="O114" s="253">
        <f>SUMIFS('F &amp; B'!G:G,'F &amp; B'!B:B,B114)</f>
        <v>21629</v>
      </c>
      <c r="P114" s="253">
        <v>0</v>
      </c>
      <c r="Q114" s="253">
        <v>6315</v>
      </c>
      <c r="R114" s="254">
        <v>26750</v>
      </c>
      <c r="S114" s="254">
        <v>14310</v>
      </c>
      <c r="T114" s="254">
        <v>5950</v>
      </c>
      <c r="U114" s="254">
        <v>60000</v>
      </c>
      <c r="V114" s="288" t="str">
        <f t="shared" si="4"/>
        <v/>
      </c>
    </row>
    <row r="115" spans="1:22" ht="20.25" customHeight="1" x14ac:dyDescent="0.25">
      <c r="A115" s="258">
        <v>114</v>
      </c>
      <c r="B115" s="249" t="s">
        <v>1039</v>
      </c>
      <c r="C115" s="250" t="s">
        <v>1071</v>
      </c>
      <c r="D115" s="251">
        <v>45992</v>
      </c>
      <c r="E115" s="282">
        <v>0</v>
      </c>
      <c r="F115" s="252">
        <v>0</v>
      </c>
      <c r="G115" s="283">
        <v>7000</v>
      </c>
      <c r="H115" s="287">
        <f t="shared" si="2"/>
        <v>99805</v>
      </c>
      <c r="I115" s="253">
        <f>SUMIFS(FACILITIES!T:T,FACILITIES!B:B,B115)</f>
        <v>7000</v>
      </c>
      <c r="J115" s="253">
        <v>0</v>
      </c>
      <c r="K115" s="253">
        <v>0</v>
      </c>
      <c r="L115" s="253">
        <v>0</v>
      </c>
      <c r="M115" s="253" t="s">
        <v>1160</v>
      </c>
      <c r="N115" s="253">
        <v>0</v>
      </c>
      <c r="O115" s="253">
        <f>SUMIFS('F &amp; B'!G:G,'F &amp; B'!B:B,B115)</f>
        <v>5770</v>
      </c>
      <c r="P115" s="253">
        <v>0</v>
      </c>
      <c r="Q115" s="253">
        <v>20220</v>
      </c>
      <c r="R115" s="254">
        <v>28490</v>
      </c>
      <c r="S115" s="254">
        <v>21785</v>
      </c>
      <c r="T115" s="254">
        <v>16540</v>
      </c>
      <c r="U115" s="254">
        <v>60000</v>
      </c>
      <c r="V115" s="288" t="str">
        <f t="shared" si="4"/>
        <v/>
      </c>
    </row>
    <row r="116" spans="1:22" ht="20.25" customHeight="1" x14ac:dyDescent="0.25">
      <c r="A116" s="258">
        <v>115</v>
      </c>
      <c r="B116" s="249" t="s">
        <v>1040</v>
      </c>
      <c r="C116" s="250" t="s">
        <v>1025</v>
      </c>
      <c r="D116" s="251">
        <v>45992</v>
      </c>
      <c r="E116" s="282">
        <v>0</v>
      </c>
      <c r="F116" s="252">
        <v>0</v>
      </c>
      <c r="G116" s="283">
        <v>0</v>
      </c>
      <c r="H116" s="287">
        <f t="shared" si="2"/>
        <v>26500</v>
      </c>
      <c r="I116" s="253">
        <f>SUMIFS(FACILITIES!T:T,FACILITIES!B:B,B116)</f>
        <v>0</v>
      </c>
      <c r="J116" s="253">
        <v>0</v>
      </c>
      <c r="K116" s="253">
        <v>0</v>
      </c>
      <c r="L116" s="253">
        <v>0</v>
      </c>
      <c r="M116" s="253" t="s">
        <v>1160</v>
      </c>
      <c r="N116" s="253">
        <v>0</v>
      </c>
      <c r="O116" s="253">
        <f>SUMIFS('F &amp; B'!G:G,'F &amp; B'!B:B,B116)</f>
        <v>0</v>
      </c>
      <c r="P116" s="253">
        <v>0</v>
      </c>
      <c r="Q116" s="253">
        <v>14400</v>
      </c>
      <c r="R116" s="254">
        <v>1300</v>
      </c>
      <c r="S116" s="254">
        <v>2600</v>
      </c>
      <c r="T116" s="254">
        <v>8200</v>
      </c>
      <c r="U116" s="254">
        <v>0</v>
      </c>
      <c r="V116" s="288" t="str">
        <f>IF(U116-H116&gt;0, U116-H116, "")</f>
        <v/>
      </c>
    </row>
    <row r="117" spans="1:22" ht="20.25" customHeight="1" x14ac:dyDescent="0.25">
      <c r="A117" s="258">
        <v>116</v>
      </c>
      <c r="B117" s="249" t="s">
        <v>1051</v>
      </c>
      <c r="C117" s="250" t="s">
        <v>1055</v>
      </c>
      <c r="D117" s="251">
        <v>45992</v>
      </c>
      <c r="E117" s="282">
        <v>0</v>
      </c>
      <c r="F117" s="252">
        <v>0</v>
      </c>
      <c r="G117" s="283">
        <v>7000</v>
      </c>
      <c r="H117" s="287">
        <f t="shared" si="2"/>
        <v>91370</v>
      </c>
      <c r="I117" s="253">
        <f>SUMIFS(FACILITIES!T:T,FACILITIES!B:B,B117)</f>
        <v>0</v>
      </c>
      <c r="J117" s="253">
        <v>0</v>
      </c>
      <c r="K117" s="253">
        <v>0</v>
      </c>
      <c r="L117" s="253">
        <v>0</v>
      </c>
      <c r="M117" s="253" t="s">
        <v>1160</v>
      </c>
      <c r="N117" s="253">
        <v>0</v>
      </c>
      <c r="O117" s="253">
        <f>SUMIFS('F &amp; B'!G:G,'F &amp; B'!B:B,B117)</f>
        <v>24300</v>
      </c>
      <c r="P117" s="253">
        <v>0</v>
      </c>
      <c r="Q117" s="253">
        <v>0</v>
      </c>
      <c r="R117" s="254">
        <v>28550</v>
      </c>
      <c r="S117" s="254">
        <v>17070</v>
      </c>
      <c r="T117" s="254">
        <v>21450</v>
      </c>
      <c r="U117" s="254">
        <v>60000</v>
      </c>
      <c r="V117" s="288" t="str">
        <f>IF(U117-H117&gt;0, U117-H117, "")</f>
        <v/>
      </c>
    </row>
    <row r="118" spans="1:22" ht="20.25" customHeight="1" x14ac:dyDescent="0.25">
      <c r="A118" s="258">
        <v>117</v>
      </c>
      <c r="B118" s="249" t="s">
        <v>1052</v>
      </c>
      <c r="C118" s="250" t="s">
        <v>1060</v>
      </c>
      <c r="D118" s="251">
        <v>45992</v>
      </c>
      <c r="E118" s="282">
        <v>0</v>
      </c>
      <c r="F118" s="252">
        <v>0</v>
      </c>
      <c r="G118" s="283">
        <v>7000</v>
      </c>
      <c r="H118" s="287">
        <f t="shared" si="2"/>
        <v>238726</v>
      </c>
      <c r="I118" s="253">
        <f>SUMIFS(FACILITIES!T:T,FACILITIES!B:B,B118)</f>
        <v>0</v>
      </c>
      <c r="J118" s="253">
        <v>0</v>
      </c>
      <c r="K118" s="253">
        <v>0</v>
      </c>
      <c r="L118" s="253">
        <v>0</v>
      </c>
      <c r="M118" s="253" t="s">
        <v>1160</v>
      </c>
      <c r="N118" s="253">
        <v>4500</v>
      </c>
      <c r="O118" s="253">
        <f>SUMIFS('F &amp; B'!G:G,'F &amp; B'!B:B,B118)</f>
        <v>4650</v>
      </c>
      <c r="P118" s="253">
        <v>0</v>
      </c>
      <c r="Q118" s="253">
        <v>0</v>
      </c>
      <c r="R118" s="254">
        <v>70445</v>
      </c>
      <c r="S118" s="254">
        <v>134302</v>
      </c>
      <c r="T118" s="254">
        <v>24829</v>
      </c>
      <c r="U118" s="254">
        <v>60000</v>
      </c>
      <c r="V118" s="288" t="str">
        <f t="shared" ref="V118:V122" si="5">IF(U118-H118&gt;0, U118-H118, "")</f>
        <v/>
      </c>
    </row>
    <row r="119" spans="1:22" ht="20.25" customHeight="1" x14ac:dyDescent="0.25">
      <c r="A119" s="258">
        <v>118</v>
      </c>
      <c r="B119" s="249" t="s">
        <v>1053</v>
      </c>
      <c r="C119" s="250" t="s">
        <v>1070</v>
      </c>
      <c r="D119" s="251">
        <v>45992</v>
      </c>
      <c r="E119" s="282">
        <v>0</v>
      </c>
      <c r="F119" s="252">
        <v>0</v>
      </c>
      <c r="G119" s="283">
        <v>7000</v>
      </c>
      <c r="H119" s="287">
        <f t="shared" si="2"/>
        <v>467674</v>
      </c>
      <c r="I119" s="253">
        <f>SUMIFS(FACILITIES!T:T,FACILITIES!B:B,B119)</f>
        <v>0</v>
      </c>
      <c r="J119" s="253">
        <v>0</v>
      </c>
      <c r="K119" s="253">
        <v>0</v>
      </c>
      <c r="L119" s="253">
        <v>0</v>
      </c>
      <c r="M119" s="253" t="s">
        <v>1160</v>
      </c>
      <c r="N119" s="253">
        <v>3000</v>
      </c>
      <c r="O119" s="253">
        <f>SUMIFS('F &amp; B'!G:G,'F &amp; B'!B:B,B119)</f>
        <v>84916</v>
      </c>
      <c r="P119" s="253">
        <v>0</v>
      </c>
      <c r="Q119" s="253">
        <v>0</v>
      </c>
      <c r="R119" s="254">
        <v>15798</v>
      </c>
      <c r="S119" s="254">
        <v>168250</v>
      </c>
      <c r="T119" s="254">
        <v>195710</v>
      </c>
      <c r="U119" s="254">
        <v>60000</v>
      </c>
      <c r="V119" s="288" t="str">
        <f t="shared" si="5"/>
        <v/>
      </c>
    </row>
    <row r="120" spans="1:22" ht="20.25" customHeight="1" x14ac:dyDescent="0.25">
      <c r="A120" s="258">
        <v>119</v>
      </c>
      <c r="B120" s="249" t="s">
        <v>1054</v>
      </c>
      <c r="C120" s="250" t="s">
        <v>1077</v>
      </c>
      <c r="D120" s="251">
        <v>45992</v>
      </c>
      <c r="E120" s="282">
        <v>0</v>
      </c>
      <c r="F120" s="252">
        <v>0</v>
      </c>
      <c r="G120" s="283">
        <v>7000</v>
      </c>
      <c r="H120" s="287">
        <f t="shared" si="2"/>
        <v>0</v>
      </c>
      <c r="I120" s="253">
        <f>SUMIFS(FACILITIES!T:T,FACILITIES!B:B,B120)</f>
        <v>0</v>
      </c>
      <c r="J120" s="253">
        <v>0</v>
      </c>
      <c r="K120" s="253">
        <v>0</v>
      </c>
      <c r="L120" s="253">
        <v>0</v>
      </c>
      <c r="M120" s="253" t="s">
        <v>1160</v>
      </c>
      <c r="N120" s="253">
        <v>0</v>
      </c>
      <c r="O120" s="253">
        <f>SUMIFS('F &amp; B'!G:G,'F &amp; B'!B:B,B120)</f>
        <v>0</v>
      </c>
      <c r="P120" s="253">
        <v>0</v>
      </c>
      <c r="Q120" s="253">
        <v>0</v>
      </c>
      <c r="R120" s="254">
        <v>0</v>
      </c>
      <c r="S120" s="254">
        <v>0</v>
      </c>
      <c r="T120" s="254">
        <v>0</v>
      </c>
      <c r="U120" s="254">
        <v>30000</v>
      </c>
      <c r="V120" s="288">
        <f t="shared" si="5"/>
        <v>30000</v>
      </c>
    </row>
    <row r="121" spans="1:22" ht="20.25" customHeight="1" x14ac:dyDescent="0.25">
      <c r="A121" s="258">
        <v>120</v>
      </c>
      <c r="B121" s="249" t="s">
        <v>1073</v>
      </c>
      <c r="C121" s="250" t="s">
        <v>1076</v>
      </c>
      <c r="D121" s="251">
        <v>45992</v>
      </c>
      <c r="E121" s="282">
        <v>0</v>
      </c>
      <c r="F121" s="252">
        <v>0</v>
      </c>
      <c r="G121" s="283">
        <v>7000</v>
      </c>
      <c r="H121" s="287">
        <f t="shared" si="2"/>
        <v>124178</v>
      </c>
      <c r="I121" s="253">
        <f>SUMIFS(FACILITIES!T:T,FACILITIES!B:B,B121)</f>
        <v>15000</v>
      </c>
      <c r="J121" s="253">
        <v>0</v>
      </c>
      <c r="K121" s="253">
        <v>0</v>
      </c>
      <c r="L121" s="253">
        <v>0</v>
      </c>
      <c r="M121" s="253" t="s">
        <v>1160</v>
      </c>
      <c r="N121" s="253">
        <v>4000</v>
      </c>
      <c r="O121" s="253">
        <f>SUMIFS('F &amp; B'!G:G,'F &amp; B'!B:B,B121)</f>
        <v>36529</v>
      </c>
      <c r="P121" s="253">
        <v>0</v>
      </c>
      <c r="Q121" s="253">
        <v>0</v>
      </c>
      <c r="R121" s="254">
        <v>0</v>
      </c>
      <c r="S121" s="254">
        <v>37400</v>
      </c>
      <c r="T121" s="254">
        <v>31249</v>
      </c>
      <c r="U121" s="254">
        <v>30000</v>
      </c>
      <c r="V121" s="288" t="str">
        <f t="shared" si="5"/>
        <v/>
      </c>
    </row>
    <row r="122" spans="1:22" ht="20.25" customHeight="1" x14ac:dyDescent="0.25">
      <c r="A122" s="258">
        <v>121</v>
      </c>
      <c r="B122" s="249" t="s">
        <v>1074</v>
      </c>
      <c r="C122" s="250" t="s">
        <v>1069</v>
      </c>
      <c r="D122" s="251">
        <v>45992</v>
      </c>
      <c r="E122" s="282">
        <v>0</v>
      </c>
      <c r="F122" s="252">
        <v>0</v>
      </c>
      <c r="G122" s="283">
        <v>7000</v>
      </c>
      <c r="H122" s="287">
        <f t="shared" si="2"/>
        <v>44850</v>
      </c>
      <c r="I122" s="253">
        <f>SUMIFS(FACILITIES!T:T,FACILITIES!B:B,B122)</f>
        <v>0</v>
      </c>
      <c r="J122" s="253">
        <v>0</v>
      </c>
      <c r="K122" s="253">
        <v>0</v>
      </c>
      <c r="L122" s="253">
        <v>0</v>
      </c>
      <c r="M122" s="253" t="s">
        <v>1160</v>
      </c>
      <c r="N122" s="253">
        <v>0</v>
      </c>
      <c r="O122" s="253">
        <f>SUMIFS('F &amp; B'!G:G,'F &amp; B'!B:B,B122)</f>
        <v>0</v>
      </c>
      <c r="P122" s="253">
        <v>0</v>
      </c>
      <c r="Q122" s="253">
        <v>0</v>
      </c>
      <c r="R122" s="254">
        <v>0</v>
      </c>
      <c r="S122" s="254">
        <v>11050</v>
      </c>
      <c r="T122" s="254">
        <v>33800</v>
      </c>
      <c r="U122" s="254">
        <v>30000</v>
      </c>
      <c r="V122" s="288" t="str">
        <f t="shared" si="5"/>
        <v/>
      </c>
    </row>
    <row r="123" spans="1:22" ht="18" customHeight="1" thickBot="1" x14ac:dyDescent="0.3">
      <c r="A123" s="259"/>
      <c r="B123" s="260"/>
      <c r="C123" s="260"/>
      <c r="D123" s="260"/>
      <c r="E123" s="284">
        <f>SUM(E2:E116)</f>
        <v>0</v>
      </c>
      <c r="F123" s="285">
        <v>0</v>
      </c>
      <c r="G123" s="286">
        <f>SUM(G2:G122)</f>
        <v>819000</v>
      </c>
      <c r="H123" s="287">
        <f t="shared" si="2"/>
        <v>16360738.199999999</v>
      </c>
      <c r="I123" s="287">
        <f>SUM(I2:I122)</f>
        <v>508000</v>
      </c>
      <c r="J123" s="285">
        <f t="shared" ref="J123:N123" si="6">SUM(J2:J122)</f>
        <v>0</v>
      </c>
      <c r="K123" s="285">
        <f t="shared" si="6"/>
        <v>931000</v>
      </c>
      <c r="L123" s="285">
        <f t="shared" si="6"/>
        <v>637615</v>
      </c>
      <c r="M123" s="285">
        <f t="shared" si="6"/>
        <v>0</v>
      </c>
      <c r="N123" s="285">
        <f t="shared" si="6"/>
        <v>1001660</v>
      </c>
      <c r="O123" s="285">
        <f>SUM(O2:O122)</f>
        <v>5370466</v>
      </c>
      <c r="P123" s="285">
        <f t="shared" ref="P123:S123" si="7">SUM(P2:P122)</f>
        <v>1638831.7</v>
      </c>
      <c r="Q123" s="285">
        <f t="shared" si="7"/>
        <v>2551460.5</v>
      </c>
      <c r="R123" s="285">
        <f t="shared" si="7"/>
        <v>1965368</v>
      </c>
      <c r="S123" s="285">
        <f t="shared" si="7"/>
        <v>1756337</v>
      </c>
      <c r="T123" s="285">
        <v>0</v>
      </c>
      <c r="U123" s="285">
        <f>SUM(U2:U122)</f>
        <v>6940000</v>
      </c>
      <c r="V123" s="286">
        <f>SUMIFS(V2:V122, V2:V122, "&gt;0",V2:V122, "&lt;=60000")</f>
        <v>1153996</v>
      </c>
    </row>
    <row r="124" spans="1:22" ht="18" customHeight="1" x14ac:dyDescent="0.25">
      <c r="D124" s="244"/>
      <c r="I124" s="246"/>
      <c r="J124" s="246"/>
      <c r="K124" s="246"/>
      <c r="O124" s="246"/>
      <c r="Q124" s="246"/>
      <c r="V124" s="246">
        <f>SUMIF(V2:V122, "&lt;0")</f>
        <v>0</v>
      </c>
    </row>
    <row r="125" spans="1:22" ht="18" customHeight="1" x14ac:dyDescent="0.25">
      <c r="D125" s="244"/>
    </row>
    <row r="126" spans="1:22" ht="18" customHeight="1" x14ac:dyDescent="0.25">
      <c r="D126" s="244"/>
    </row>
    <row r="127" spans="1:22" ht="18" customHeight="1" x14ac:dyDescent="0.25">
      <c r="D127" s="244"/>
    </row>
    <row r="128" spans="1:22" ht="18" customHeight="1" x14ac:dyDescent="0.25">
      <c r="D128" s="244"/>
    </row>
    <row r="129" spans="4:4" ht="18" customHeight="1" x14ac:dyDescent="0.25">
      <c r="D129" s="244"/>
    </row>
    <row r="130" spans="4:4" ht="18" customHeight="1" x14ac:dyDescent="0.25">
      <c r="D130" s="244"/>
    </row>
    <row r="131" spans="4:4" ht="18" customHeight="1" x14ac:dyDescent="0.25">
      <c r="D131" s="244"/>
    </row>
    <row r="132" spans="4:4" ht="18" customHeight="1" x14ac:dyDescent="0.25">
      <c r="D132" s="244"/>
    </row>
    <row r="133" spans="4:4" ht="18" customHeight="1" x14ac:dyDescent="0.25">
      <c r="D133" s="244"/>
    </row>
    <row r="134" spans="4:4" ht="18" customHeight="1" x14ac:dyDescent="0.25">
      <c r="D134" s="244"/>
    </row>
    <row r="135" spans="4:4" ht="18" customHeight="1" x14ac:dyDescent="0.25">
      <c r="D135" s="244"/>
    </row>
    <row r="136" spans="4:4" ht="18" customHeight="1" x14ac:dyDescent="0.25">
      <c r="D136" s="244"/>
    </row>
    <row r="137" spans="4:4" ht="18" customHeight="1" x14ac:dyDescent="0.25">
      <c r="D137" s="244"/>
    </row>
    <row r="138" spans="4:4" ht="18" customHeight="1" x14ac:dyDescent="0.25">
      <c r="D138" s="244"/>
    </row>
    <row r="139" spans="4:4" ht="18" customHeight="1" x14ac:dyDescent="0.25">
      <c r="D139" s="244"/>
    </row>
    <row r="140" spans="4:4" ht="18" customHeight="1" x14ac:dyDescent="0.25">
      <c r="D140" s="244"/>
    </row>
    <row r="141" spans="4:4" ht="18" customHeight="1" x14ac:dyDescent="0.25">
      <c r="D141" s="244"/>
    </row>
    <row r="142" spans="4:4" ht="18" customHeight="1" x14ac:dyDescent="0.25">
      <c r="D142" s="244"/>
    </row>
    <row r="143" spans="4:4" ht="18" customHeight="1" x14ac:dyDescent="0.25">
      <c r="D143" s="244"/>
    </row>
    <row r="144" spans="4:4" ht="18" customHeight="1" x14ac:dyDescent="0.25">
      <c r="D144" s="244"/>
    </row>
    <row r="145" spans="4:4" ht="18" customHeight="1" x14ac:dyDescent="0.25">
      <c r="D145" s="244"/>
    </row>
    <row r="146" spans="4:4" ht="18" customHeight="1" x14ac:dyDescent="0.25">
      <c r="D146" s="244"/>
    </row>
    <row r="147" spans="4:4" ht="18" customHeight="1" x14ac:dyDescent="0.25">
      <c r="D147" s="244"/>
    </row>
    <row r="148" spans="4:4" ht="18" customHeight="1" x14ac:dyDescent="0.25">
      <c r="D148" s="244"/>
    </row>
    <row r="149" spans="4:4" ht="18" customHeight="1" x14ac:dyDescent="0.25">
      <c r="D149" s="244"/>
    </row>
    <row r="150" spans="4:4" ht="18" customHeight="1" x14ac:dyDescent="0.25">
      <c r="D150" s="244"/>
    </row>
    <row r="151" spans="4:4" ht="18" customHeight="1" x14ac:dyDescent="0.25">
      <c r="D151" s="244"/>
    </row>
    <row r="152" spans="4:4" ht="18" customHeight="1" x14ac:dyDescent="0.25">
      <c r="D152" s="244"/>
    </row>
    <row r="153" spans="4:4" ht="18" customHeight="1" x14ac:dyDescent="0.25">
      <c r="D153" s="244"/>
    </row>
    <row r="154" spans="4:4" ht="18" customHeight="1" x14ac:dyDescent="0.25">
      <c r="D154" s="244"/>
    </row>
    <row r="155" spans="4:4" ht="18" customHeight="1" x14ac:dyDescent="0.25">
      <c r="D155" s="244"/>
    </row>
    <row r="156" spans="4:4" ht="18" customHeight="1" x14ac:dyDescent="0.25">
      <c r="D156" s="244"/>
    </row>
    <row r="157" spans="4:4" ht="18" customHeight="1" x14ac:dyDescent="0.25">
      <c r="D157" s="244"/>
    </row>
    <row r="158" spans="4:4" ht="18" customHeight="1" x14ac:dyDescent="0.25">
      <c r="D158" s="244"/>
    </row>
    <row r="159" spans="4:4" ht="18" customHeight="1" x14ac:dyDescent="0.25">
      <c r="D159" s="244"/>
    </row>
    <row r="160" spans="4:4" ht="18" customHeight="1" x14ac:dyDescent="0.25">
      <c r="D160" s="244"/>
    </row>
    <row r="161" spans="4:4" ht="18" customHeight="1" x14ac:dyDescent="0.25">
      <c r="D161" s="244"/>
    </row>
    <row r="162" spans="4:4" ht="18" customHeight="1" x14ac:dyDescent="0.25">
      <c r="D162" s="244"/>
    </row>
    <row r="163" spans="4:4" ht="18" customHeight="1" x14ac:dyDescent="0.25">
      <c r="D163" s="244"/>
    </row>
    <row r="164" spans="4:4" ht="18" customHeight="1" x14ac:dyDescent="0.25">
      <c r="D164" s="244"/>
    </row>
    <row r="165" spans="4:4" ht="18" customHeight="1" x14ac:dyDescent="0.25">
      <c r="D165" s="244"/>
    </row>
    <row r="166" spans="4:4" ht="18" customHeight="1" x14ac:dyDescent="0.25">
      <c r="D166" s="244"/>
    </row>
    <row r="167" spans="4:4" ht="18" customHeight="1" x14ac:dyDescent="0.25">
      <c r="D167" s="244"/>
    </row>
    <row r="168" spans="4:4" ht="18" customHeight="1" x14ac:dyDescent="0.25">
      <c r="D168" s="244"/>
    </row>
    <row r="169" spans="4:4" ht="18" customHeight="1" x14ac:dyDescent="0.25">
      <c r="D169" s="244"/>
    </row>
    <row r="170" spans="4:4" ht="18" customHeight="1" x14ac:dyDescent="0.25">
      <c r="D170" s="244"/>
    </row>
    <row r="171" spans="4:4" ht="18" customHeight="1" x14ac:dyDescent="0.25">
      <c r="D171" s="244"/>
    </row>
    <row r="172" spans="4:4" ht="18" customHeight="1" x14ac:dyDescent="0.25">
      <c r="D172" s="244"/>
    </row>
    <row r="173" spans="4:4" ht="18" customHeight="1" x14ac:dyDescent="0.25">
      <c r="D173" s="244"/>
    </row>
    <row r="174" spans="4:4" ht="18" customHeight="1" x14ac:dyDescent="0.25">
      <c r="D174" s="244"/>
    </row>
    <row r="175" spans="4:4" ht="18" customHeight="1" x14ac:dyDescent="0.25">
      <c r="D175" s="244"/>
    </row>
    <row r="176" spans="4:4" ht="18" customHeight="1" x14ac:dyDescent="0.25">
      <c r="D176" s="244"/>
    </row>
    <row r="177" spans="4:4" ht="18" customHeight="1" x14ac:dyDescent="0.25">
      <c r="D177" s="244"/>
    </row>
    <row r="178" spans="4:4" ht="18" customHeight="1" x14ac:dyDescent="0.25">
      <c r="D178" s="244"/>
    </row>
    <row r="179" spans="4:4" ht="18" customHeight="1" x14ac:dyDescent="0.25">
      <c r="D179" s="244"/>
    </row>
    <row r="180" spans="4:4" ht="18" customHeight="1" x14ac:dyDescent="0.25">
      <c r="D180" s="244"/>
    </row>
    <row r="181" spans="4:4" ht="18" customHeight="1" x14ac:dyDescent="0.25">
      <c r="D181" s="244"/>
    </row>
    <row r="182" spans="4:4" ht="18" customHeight="1" x14ac:dyDescent="0.25">
      <c r="D182" s="244"/>
    </row>
    <row r="183" spans="4:4" ht="18" customHeight="1" x14ac:dyDescent="0.25">
      <c r="D183" s="244"/>
    </row>
    <row r="184" spans="4:4" ht="18" customHeight="1" x14ac:dyDescent="0.25">
      <c r="D184" s="244"/>
    </row>
    <row r="185" spans="4:4" ht="18" customHeight="1" x14ac:dyDescent="0.25">
      <c r="D185" s="244"/>
    </row>
    <row r="186" spans="4:4" ht="18" customHeight="1" x14ac:dyDescent="0.25">
      <c r="D186" s="244"/>
    </row>
    <row r="187" spans="4:4" ht="18" customHeight="1" x14ac:dyDescent="0.25">
      <c r="D187" s="244"/>
    </row>
    <row r="188" spans="4:4" ht="18" customHeight="1" x14ac:dyDescent="0.25">
      <c r="D188" s="244"/>
    </row>
    <row r="189" spans="4:4" ht="18" customHeight="1" x14ac:dyDescent="0.25">
      <c r="D189" s="244"/>
    </row>
    <row r="190" spans="4:4" ht="18" customHeight="1" x14ac:dyDescent="0.25">
      <c r="D190" s="244"/>
    </row>
    <row r="191" spans="4:4" ht="18" customHeight="1" x14ac:dyDescent="0.25">
      <c r="D191" s="244"/>
    </row>
    <row r="192" spans="4:4" ht="18" customHeight="1" x14ac:dyDescent="0.25">
      <c r="D192" s="244"/>
    </row>
    <row r="193" spans="4:4" ht="18" customHeight="1" x14ac:dyDescent="0.25">
      <c r="D193" s="244"/>
    </row>
    <row r="194" spans="4:4" ht="18" customHeight="1" x14ac:dyDescent="0.25">
      <c r="D194" s="244"/>
    </row>
    <row r="195" spans="4:4" ht="15.75" customHeight="1" x14ac:dyDescent="0.25">
      <c r="D195" s="244"/>
    </row>
    <row r="196" spans="4:4" ht="15.75" customHeight="1" x14ac:dyDescent="0.25">
      <c r="D196" s="244"/>
    </row>
    <row r="197" spans="4:4" ht="15.75" customHeight="1" x14ac:dyDescent="0.25">
      <c r="D197" s="244"/>
    </row>
    <row r="198" spans="4:4" ht="15.75" customHeight="1" x14ac:dyDescent="0.25">
      <c r="D198" s="244"/>
    </row>
    <row r="199" spans="4:4" ht="15.75" customHeight="1" x14ac:dyDescent="0.25">
      <c r="D199" s="244"/>
    </row>
    <row r="200" spans="4:4" ht="15.75" customHeight="1" x14ac:dyDescent="0.25">
      <c r="D200" s="244"/>
    </row>
    <row r="201" spans="4:4" ht="15.75" customHeight="1" x14ac:dyDescent="0.25">
      <c r="D201" s="244"/>
    </row>
    <row r="202" spans="4:4" ht="15.75" customHeight="1" x14ac:dyDescent="0.25">
      <c r="D202" s="244"/>
    </row>
    <row r="203" spans="4:4" ht="15.75" customHeight="1" x14ac:dyDescent="0.25">
      <c r="D203" s="244"/>
    </row>
    <row r="204" spans="4:4" ht="15.75" customHeight="1" x14ac:dyDescent="0.25">
      <c r="D204" s="244"/>
    </row>
    <row r="205" spans="4:4" ht="15.75" customHeight="1" x14ac:dyDescent="0.25">
      <c r="D205" s="244"/>
    </row>
    <row r="206" spans="4:4" ht="15.75" customHeight="1" x14ac:dyDescent="0.25">
      <c r="D206" s="244"/>
    </row>
    <row r="207" spans="4:4" ht="15.75" customHeight="1" x14ac:dyDescent="0.25">
      <c r="D207" s="244"/>
    </row>
    <row r="208" spans="4:4" ht="15.75" customHeight="1" x14ac:dyDescent="0.25">
      <c r="D208" s="244"/>
    </row>
    <row r="209" spans="4:4" ht="15.75" customHeight="1" x14ac:dyDescent="0.25">
      <c r="D209" s="244"/>
    </row>
    <row r="210" spans="4:4" ht="15.75" customHeight="1" x14ac:dyDescent="0.25">
      <c r="D210" s="244"/>
    </row>
    <row r="211" spans="4:4" ht="15.75" customHeight="1" x14ac:dyDescent="0.25">
      <c r="D211" s="244"/>
    </row>
    <row r="212" spans="4:4" ht="15.75" customHeight="1" x14ac:dyDescent="0.25">
      <c r="D212" s="244"/>
    </row>
    <row r="213" spans="4:4" ht="15.75" customHeight="1" x14ac:dyDescent="0.25">
      <c r="D213" s="244"/>
    </row>
    <row r="214" spans="4:4" ht="15.75" customHeight="1" x14ac:dyDescent="0.25">
      <c r="D214" s="244"/>
    </row>
    <row r="215" spans="4:4" ht="15.75" customHeight="1" x14ac:dyDescent="0.25">
      <c r="D215" s="244"/>
    </row>
    <row r="216" spans="4:4" ht="15.75" customHeight="1" x14ac:dyDescent="0.25">
      <c r="D216" s="244"/>
    </row>
    <row r="217" spans="4:4" ht="15.75" customHeight="1" x14ac:dyDescent="0.25">
      <c r="D217" s="244"/>
    </row>
    <row r="218" spans="4:4" ht="15.75" customHeight="1" x14ac:dyDescent="0.25">
      <c r="D218" s="244"/>
    </row>
    <row r="219" spans="4:4" ht="15.75" customHeight="1" x14ac:dyDescent="0.25">
      <c r="D219" s="244"/>
    </row>
    <row r="220" spans="4:4" ht="15.75" customHeight="1" x14ac:dyDescent="0.25">
      <c r="D220" s="244"/>
    </row>
    <row r="221" spans="4:4" ht="15.75" customHeight="1" x14ac:dyDescent="0.25">
      <c r="D221" s="244"/>
    </row>
    <row r="222" spans="4:4" ht="15.75" customHeight="1" x14ac:dyDescent="0.25">
      <c r="D222" s="244"/>
    </row>
    <row r="223" spans="4:4" ht="15.75" customHeight="1" x14ac:dyDescent="0.25">
      <c r="D223" s="244"/>
    </row>
    <row r="224" spans="4:4" ht="15.75" customHeight="1" x14ac:dyDescent="0.25">
      <c r="D224" s="244"/>
    </row>
    <row r="225" spans="4:4" ht="15.75" customHeight="1" x14ac:dyDescent="0.25">
      <c r="D225" s="244"/>
    </row>
    <row r="226" spans="4:4" ht="15.75" customHeight="1" x14ac:dyDescent="0.25">
      <c r="D226" s="244"/>
    </row>
    <row r="227" spans="4:4" ht="15.75" customHeight="1" x14ac:dyDescent="0.25">
      <c r="D227" s="244"/>
    </row>
    <row r="228" spans="4:4" ht="15.75" customHeight="1" x14ac:dyDescent="0.25">
      <c r="D228" s="244"/>
    </row>
    <row r="229" spans="4:4" ht="15.75" customHeight="1" x14ac:dyDescent="0.25">
      <c r="D229" s="244"/>
    </row>
    <row r="230" spans="4:4" ht="15.75" customHeight="1" x14ac:dyDescent="0.25">
      <c r="D230" s="244"/>
    </row>
    <row r="231" spans="4:4" ht="15.75" customHeight="1" x14ac:dyDescent="0.25">
      <c r="D231" s="244"/>
    </row>
    <row r="232" spans="4:4" ht="15.75" customHeight="1" x14ac:dyDescent="0.25">
      <c r="D232" s="244"/>
    </row>
    <row r="233" spans="4:4" ht="15.75" customHeight="1" x14ac:dyDescent="0.25">
      <c r="D233" s="244"/>
    </row>
    <row r="234" spans="4:4" ht="15.75" customHeight="1" x14ac:dyDescent="0.25">
      <c r="D234" s="244"/>
    </row>
    <row r="235" spans="4:4" ht="15.75" customHeight="1" x14ac:dyDescent="0.25">
      <c r="D235" s="244"/>
    </row>
    <row r="236" spans="4:4" ht="15.75" customHeight="1" x14ac:dyDescent="0.25">
      <c r="D236" s="244"/>
    </row>
    <row r="237" spans="4:4" ht="15.75" customHeight="1" x14ac:dyDescent="0.25">
      <c r="D237" s="244"/>
    </row>
    <row r="238" spans="4:4" ht="15.75" customHeight="1" x14ac:dyDescent="0.25">
      <c r="D238" s="244"/>
    </row>
    <row r="239" spans="4:4" ht="15.75" customHeight="1" x14ac:dyDescent="0.25">
      <c r="D239" s="244"/>
    </row>
    <row r="240" spans="4:4" ht="15.75" customHeight="1" x14ac:dyDescent="0.25">
      <c r="D240" s="244"/>
    </row>
    <row r="241" spans="4:4" ht="15.75" customHeight="1" x14ac:dyDescent="0.25">
      <c r="D241" s="244"/>
    </row>
    <row r="242" spans="4:4" ht="15.75" customHeight="1" x14ac:dyDescent="0.25">
      <c r="D242" s="244"/>
    </row>
    <row r="243" spans="4:4" ht="15.75" customHeight="1" x14ac:dyDescent="0.25">
      <c r="D243" s="244"/>
    </row>
    <row r="244" spans="4:4" ht="15.75" customHeight="1" x14ac:dyDescent="0.25">
      <c r="D244" s="244"/>
    </row>
    <row r="245" spans="4:4" ht="15.75" customHeight="1" x14ac:dyDescent="0.25">
      <c r="D245" s="244"/>
    </row>
    <row r="246" spans="4:4" ht="15.75" customHeight="1" x14ac:dyDescent="0.25">
      <c r="D246" s="244"/>
    </row>
    <row r="247" spans="4:4" ht="15.75" customHeight="1" x14ac:dyDescent="0.25">
      <c r="D247" s="244"/>
    </row>
    <row r="248" spans="4:4" ht="15.75" customHeight="1" x14ac:dyDescent="0.25">
      <c r="D248" s="244"/>
    </row>
    <row r="249" spans="4:4" ht="15.75" customHeight="1" x14ac:dyDescent="0.25">
      <c r="D249" s="244"/>
    </row>
    <row r="250" spans="4:4" ht="15.75" customHeight="1" x14ac:dyDescent="0.25">
      <c r="D250" s="244"/>
    </row>
    <row r="251" spans="4:4" ht="15.75" customHeight="1" x14ac:dyDescent="0.25">
      <c r="D251" s="244"/>
    </row>
    <row r="252" spans="4:4" ht="15.75" customHeight="1" x14ac:dyDescent="0.25">
      <c r="D252" s="244"/>
    </row>
    <row r="253" spans="4:4" ht="15.75" customHeight="1" x14ac:dyDescent="0.25">
      <c r="D253" s="244"/>
    </row>
    <row r="254" spans="4:4" ht="15.75" customHeight="1" x14ac:dyDescent="0.25">
      <c r="D254" s="244"/>
    </row>
    <row r="255" spans="4:4" ht="15.75" customHeight="1" x14ac:dyDescent="0.25">
      <c r="D255" s="244"/>
    </row>
    <row r="256" spans="4:4" ht="15.75" customHeight="1" x14ac:dyDescent="0.25">
      <c r="D256" s="244"/>
    </row>
    <row r="257" spans="4:4" ht="15.75" customHeight="1" x14ac:dyDescent="0.25">
      <c r="D257" s="244"/>
    </row>
    <row r="258" spans="4:4" ht="15.75" customHeight="1" x14ac:dyDescent="0.25">
      <c r="D258" s="244"/>
    </row>
    <row r="259" spans="4:4" ht="15.75" customHeight="1" x14ac:dyDescent="0.25">
      <c r="D259" s="244"/>
    </row>
    <row r="260" spans="4:4" ht="15.75" customHeight="1" x14ac:dyDescent="0.25">
      <c r="D260" s="244"/>
    </row>
    <row r="261" spans="4:4" ht="15.75" customHeight="1" x14ac:dyDescent="0.25">
      <c r="D261" s="244"/>
    </row>
    <row r="262" spans="4:4" ht="15.75" customHeight="1" x14ac:dyDescent="0.25">
      <c r="D262" s="244"/>
    </row>
    <row r="263" spans="4:4" ht="15.75" customHeight="1" x14ac:dyDescent="0.25">
      <c r="D263" s="244"/>
    </row>
    <row r="264" spans="4:4" ht="15.75" customHeight="1" x14ac:dyDescent="0.25">
      <c r="D264" s="244"/>
    </row>
    <row r="265" spans="4:4" ht="15.75" customHeight="1" x14ac:dyDescent="0.25">
      <c r="D265" s="244"/>
    </row>
    <row r="266" spans="4:4" ht="15.75" customHeight="1" x14ac:dyDescent="0.25">
      <c r="D266" s="244"/>
    </row>
    <row r="267" spans="4:4" ht="15.75" customHeight="1" x14ac:dyDescent="0.25">
      <c r="D267" s="244"/>
    </row>
    <row r="268" spans="4:4" ht="15.75" customHeight="1" x14ac:dyDescent="0.25">
      <c r="D268" s="244"/>
    </row>
    <row r="269" spans="4:4" ht="15.75" customHeight="1" x14ac:dyDescent="0.25">
      <c r="D269" s="244"/>
    </row>
    <row r="270" spans="4:4" ht="15.75" customHeight="1" x14ac:dyDescent="0.25">
      <c r="D270" s="244"/>
    </row>
    <row r="271" spans="4:4" ht="15.75" customHeight="1" x14ac:dyDescent="0.25">
      <c r="D271" s="244"/>
    </row>
    <row r="272" spans="4:4" ht="15.75" customHeight="1" x14ac:dyDescent="0.25">
      <c r="D272" s="244"/>
    </row>
    <row r="273" spans="4:4" ht="15.75" customHeight="1" x14ac:dyDescent="0.25">
      <c r="D273" s="244"/>
    </row>
    <row r="274" spans="4:4" ht="15.75" customHeight="1" x14ac:dyDescent="0.25">
      <c r="D274" s="244"/>
    </row>
    <row r="275" spans="4:4" ht="15.75" customHeight="1" x14ac:dyDescent="0.25">
      <c r="D275" s="244"/>
    </row>
    <row r="276" spans="4:4" ht="15.75" customHeight="1" x14ac:dyDescent="0.25">
      <c r="D276" s="244"/>
    </row>
    <row r="277" spans="4:4" ht="15.75" customHeight="1" x14ac:dyDescent="0.25">
      <c r="D277" s="244"/>
    </row>
    <row r="278" spans="4:4" ht="15.75" customHeight="1" x14ac:dyDescent="0.25">
      <c r="D278" s="244"/>
    </row>
    <row r="279" spans="4:4" ht="15.75" customHeight="1" x14ac:dyDescent="0.25">
      <c r="D279" s="244"/>
    </row>
    <row r="280" spans="4:4" ht="15.75" customHeight="1" x14ac:dyDescent="0.25">
      <c r="D280" s="244"/>
    </row>
    <row r="281" spans="4:4" ht="15.75" customHeight="1" x14ac:dyDescent="0.25">
      <c r="D281" s="244"/>
    </row>
    <row r="282" spans="4:4" ht="15.75" customHeight="1" x14ac:dyDescent="0.25">
      <c r="D282" s="244"/>
    </row>
    <row r="283" spans="4:4" ht="15.75" customHeight="1" x14ac:dyDescent="0.25">
      <c r="D283" s="244"/>
    </row>
    <row r="284" spans="4:4" ht="15.75" customHeight="1" x14ac:dyDescent="0.25">
      <c r="D284" s="244"/>
    </row>
    <row r="285" spans="4:4" ht="15.75" customHeight="1" x14ac:dyDescent="0.25">
      <c r="D285" s="244"/>
    </row>
    <row r="286" spans="4:4" ht="15.75" customHeight="1" x14ac:dyDescent="0.25">
      <c r="D286" s="244"/>
    </row>
    <row r="287" spans="4:4" ht="15.75" customHeight="1" x14ac:dyDescent="0.25">
      <c r="D287" s="244"/>
    </row>
    <row r="288" spans="4:4" ht="15.75" customHeight="1" x14ac:dyDescent="0.25">
      <c r="D288" s="244"/>
    </row>
    <row r="289" spans="4:4" ht="15.75" customHeight="1" x14ac:dyDescent="0.25">
      <c r="D289" s="244"/>
    </row>
    <row r="290" spans="4:4" ht="15.75" customHeight="1" x14ac:dyDescent="0.25">
      <c r="D290" s="244"/>
    </row>
    <row r="291" spans="4:4" ht="15.75" customHeight="1" x14ac:dyDescent="0.25">
      <c r="D291" s="244"/>
    </row>
    <row r="292" spans="4:4" ht="15.75" customHeight="1" x14ac:dyDescent="0.25">
      <c r="D292" s="244"/>
    </row>
    <row r="293" spans="4:4" ht="15.75" customHeight="1" x14ac:dyDescent="0.25">
      <c r="D293" s="244"/>
    </row>
    <row r="294" spans="4:4" ht="15.75" customHeight="1" x14ac:dyDescent="0.25">
      <c r="D294" s="244"/>
    </row>
    <row r="295" spans="4:4" ht="15.75" customHeight="1" x14ac:dyDescent="0.25">
      <c r="D295" s="244"/>
    </row>
    <row r="296" spans="4:4" ht="15.75" customHeight="1" x14ac:dyDescent="0.25">
      <c r="D296" s="244"/>
    </row>
    <row r="297" spans="4:4" ht="15.75" customHeight="1" x14ac:dyDescent="0.25">
      <c r="D297" s="244"/>
    </row>
    <row r="298" spans="4:4" ht="15.75" customHeight="1" x14ac:dyDescent="0.25">
      <c r="D298" s="244"/>
    </row>
    <row r="299" spans="4:4" ht="15.75" customHeight="1" x14ac:dyDescent="0.25">
      <c r="D299" s="244"/>
    </row>
    <row r="300" spans="4:4" ht="15.75" customHeight="1" x14ac:dyDescent="0.25">
      <c r="D300" s="244"/>
    </row>
    <row r="301" spans="4:4" ht="15.75" customHeight="1" x14ac:dyDescent="0.25">
      <c r="D301" s="244"/>
    </row>
    <row r="302" spans="4:4" ht="15.75" customHeight="1" x14ac:dyDescent="0.25">
      <c r="D302" s="244"/>
    </row>
    <row r="303" spans="4:4" ht="15.75" customHeight="1" x14ac:dyDescent="0.25">
      <c r="D303" s="244"/>
    </row>
    <row r="304" spans="4:4" ht="15.75" customHeight="1" x14ac:dyDescent="0.25">
      <c r="D304" s="244"/>
    </row>
    <row r="305" spans="4:4" ht="15.75" customHeight="1" x14ac:dyDescent="0.25">
      <c r="D305" s="244"/>
    </row>
    <row r="306" spans="4:4" ht="15.75" customHeight="1" x14ac:dyDescent="0.25">
      <c r="D306" s="244"/>
    </row>
    <row r="307" spans="4:4" ht="15.75" customHeight="1" x14ac:dyDescent="0.25">
      <c r="D307" s="244"/>
    </row>
    <row r="308" spans="4:4" ht="15.75" customHeight="1" x14ac:dyDescent="0.25">
      <c r="D308" s="244"/>
    </row>
    <row r="309" spans="4:4" ht="15.75" customHeight="1" x14ac:dyDescent="0.25">
      <c r="D309" s="244"/>
    </row>
    <row r="310" spans="4:4" ht="15.75" customHeight="1" x14ac:dyDescent="0.25">
      <c r="D310" s="244"/>
    </row>
    <row r="311" spans="4:4" ht="15.75" customHeight="1" x14ac:dyDescent="0.25">
      <c r="D311" s="244"/>
    </row>
    <row r="312" spans="4:4" ht="15.75" customHeight="1" x14ac:dyDescent="0.25">
      <c r="D312" s="244"/>
    </row>
    <row r="313" spans="4:4" ht="15.75" customHeight="1" x14ac:dyDescent="0.25">
      <c r="D313" s="244"/>
    </row>
    <row r="314" spans="4:4" ht="15.75" customHeight="1" x14ac:dyDescent="0.25">
      <c r="D314" s="244"/>
    </row>
    <row r="315" spans="4:4" ht="15.75" customHeight="1" x14ac:dyDescent="0.25">
      <c r="D315" s="244"/>
    </row>
    <row r="316" spans="4:4" ht="15.75" customHeight="1" x14ac:dyDescent="0.25">
      <c r="D316" s="244"/>
    </row>
    <row r="317" spans="4:4" ht="15.75" customHeight="1" x14ac:dyDescent="0.25">
      <c r="D317" s="244"/>
    </row>
    <row r="318" spans="4:4" ht="15.75" customHeight="1" x14ac:dyDescent="0.25">
      <c r="D318" s="244"/>
    </row>
    <row r="319" spans="4:4" ht="15.75" customHeight="1" x14ac:dyDescent="0.25">
      <c r="D319" s="244"/>
    </row>
    <row r="320" spans="4:4" ht="15.75" customHeight="1" x14ac:dyDescent="0.25">
      <c r="D320" s="244"/>
    </row>
    <row r="321" spans="4:4" ht="15.75" customHeight="1" x14ac:dyDescent="0.25">
      <c r="D321" s="244"/>
    </row>
    <row r="322" spans="4:4" ht="15.75" customHeight="1" x14ac:dyDescent="0.25">
      <c r="D322" s="244"/>
    </row>
    <row r="323" spans="4:4" ht="15.75" customHeight="1" x14ac:dyDescent="0.25">
      <c r="D323" s="244"/>
    </row>
    <row r="324" spans="4:4" ht="15.75" customHeight="1" x14ac:dyDescent="0.25">
      <c r="D324" s="244"/>
    </row>
    <row r="325" spans="4:4" ht="15.75" customHeight="1" x14ac:dyDescent="0.25">
      <c r="D325" s="244"/>
    </row>
    <row r="326" spans="4:4" ht="15.75" customHeight="1" x14ac:dyDescent="0.25">
      <c r="D326" s="244"/>
    </row>
    <row r="327" spans="4:4" ht="15.75" customHeight="1" x14ac:dyDescent="0.25">
      <c r="D327" s="244"/>
    </row>
    <row r="328" spans="4:4" ht="15.75" customHeight="1" x14ac:dyDescent="0.25">
      <c r="D328" s="244"/>
    </row>
    <row r="329" spans="4:4" ht="15.75" customHeight="1" x14ac:dyDescent="0.25">
      <c r="D329" s="244"/>
    </row>
    <row r="330" spans="4:4" ht="15.75" customHeight="1" x14ac:dyDescent="0.25">
      <c r="D330" s="244"/>
    </row>
    <row r="331" spans="4:4" ht="15.75" customHeight="1" x14ac:dyDescent="0.25">
      <c r="D331" s="244"/>
    </row>
    <row r="332" spans="4:4" ht="15.75" customHeight="1" x14ac:dyDescent="0.25">
      <c r="D332" s="244"/>
    </row>
    <row r="333" spans="4:4" ht="15.75" customHeight="1" x14ac:dyDescent="0.25">
      <c r="D333" s="244"/>
    </row>
    <row r="334" spans="4:4" ht="15.75" customHeight="1" x14ac:dyDescent="0.25">
      <c r="D334" s="244"/>
    </row>
    <row r="335" spans="4:4" ht="15.75" customHeight="1" x14ac:dyDescent="0.25">
      <c r="D335" s="244"/>
    </row>
    <row r="336" spans="4:4" ht="15.75" customHeight="1" x14ac:dyDescent="0.25">
      <c r="D336" s="244"/>
    </row>
    <row r="337" spans="4:4" ht="15.75" customHeight="1" x14ac:dyDescent="0.25">
      <c r="D337" s="244"/>
    </row>
    <row r="338" spans="4:4" ht="15.75" customHeight="1" x14ac:dyDescent="0.25">
      <c r="D338" s="244"/>
    </row>
    <row r="339" spans="4:4" ht="15.75" customHeight="1" x14ac:dyDescent="0.25">
      <c r="D339" s="244"/>
    </row>
    <row r="340" spans="4:4" ht="15.75" customHeight="1" x14ac:dyDescent="0.25">
      <c r="D340" s="244"/>
    </row>
    <row r="341" spans="4:4" ht="15.75" customHeight="1" x14ac:dyDescent="0.25">
      <c r="D341" s="244"/>
    </row>
    <row r="342" spans="4:4" ht="15.75" customHeight="1" x14ac:dyDescent="0.25">
      <c r="D342" s="244"/>
    </row>
    <row r="343" spans="4:4" ht="15.75" customHeight="1" x14ac:dyDescent="0.25">
      <c r="D343" s="244"/>
    </row>
    <row r="344" spans="4:4" ht="15.75" customHeight="1" x14ac:dyDescent="0.25">
      <c r="D344" s="244"/>
    </row>
    <row r="345" spans="4:4" ht="15.75" customHeight="1" x14ac:dyDescent="0.25">
      <c r="D345" s="244"/>
    </row>
    <row r="346" spans="4:4" ht="15.75" customHeight="1" x14ac:dyDescent="0.25">
      <c r="D346" s="244"/>
    </row>
    <row r="347" spans="4:4" ht="15.75" customHeight="1" x14ac:dyDescent="0.25">
      <c r="D347" s="244"/>
    </row>
    <row r="348" spans="4:4" ht="15.75" customHeight="1" x14ac:dyDescent="0.25">
      <c r="D348" s="244"/>
    </row>
    <row r="349" spans="4:4" ht="15.75" customHeight="1" x14ac:dyDescent="0.25">
      <c r="D349" s="244"/>
    </row>
    <row r="350" spans="4:4" ht="15.75" customHeight="1" x14ac:dyDescent="0.25">
      <c r="D350" s="244"/>
    </row>
    <row r="351" spans="4:4" ht="15.75" customHeight="1" x14ac:dyDescent="0.25">
      <c r="D351" s="244"/>
    </row>
    <row r="352" spans="4:4" ht="15.75" customHeight="1" x14ac:dyDescent="0.25">
      <c r="D352" s="244"/>
    </row>
    <row r="353" spans="4:4" ht="15.75" customHeight="1" x14ac:dyDescent="0.25">
      <c r="D353" s="244"/>
    </row>
    <row r="354" spans="4:4" ht="15.75" customHeight="1" x14ac:dyDescent="0.25">
      <c r="D354" s="244"/>
    </row>
    <row r="355" spans="4:4" ht="15.75" customHeight="1" x14ac:dyDescent="0.25">
      <c r="D355" s="244"/>
    </row>
    <row r="356" spans="4:4" ht="15.75" customHeight="1" x14ac:dyDescent="0.25">
      <c r="D356" s="244"/>
    </row>
    <row r="357" spans="4:4" ht="15.75" customHeight="1" x14ac:dyDescent="0.25">
      <c r="D357" s="244"/>
    </row>
    <row r="358" spans="4:4" ht="15.75" customHeight="1" x14ac:dyDescent="0.25">
      <c r="D358" s="244"/>
    </row>
    <row r="359" spans="4:4" ht="15.75" customHeight="1" x14ac:dyDescent="0.25">
      <c r="D359" s="244"/>
    </row>
    <row r="360" spans="4:4" ht="15.75" customHeight="1" x14ac:dyDescent="0.25">
      <c r="D360" s="244"/>
    </row>
    <row r="361" spans="4:4" ht="15.75" customHeight="1" x14ac:dyDescent="0.25">
      <c r="D361" s="244"/>
    </row>
    <row r="362" spans="4:4" ht="15" customHeight="1" x14ac:dyDescent="0.25">
      <c r="D362" s="244"/>
    </row>
    <row r="363" spans="4:4" ht="15" customHeight="1" x14ac:dyDescent="0.25">
      <c r="D363" s="244"/>
    </row>
    <row r="364" spans="4:4" ht="15" customHeight="1" x14ac:dyDescent="0.25">
      <c r="D364" s="244"/>
    </row>
    <row r="365" spans="4:4" ht="15" customHeight="1" x14ac:dyDescent="0.25">
      <c r="D365" s="244"/>
    </row>
    <row r="366" spans="4:4" ht="15" customHeight="1" x14ac:dyDescent="0.25">
      <c r="D366" s="244"/>
    </row>
    <row r="367" spans="4:4" ht="15" customHeight="1" x14ac:dyDescent="0.25">
      <c r="D367" s="244"/>
    </row>
    <row r="368" spans="4:4" ht="15" customHeight="1" x14ac:dyDescent="0.25">
      <c r="D368" s="244"/>
    </row>
    <row r="369" spans="4:4" ht="15" customHeight="1" x14ac:dyDescent="0.25">
      <c r="D369" s="244"/>
    </row>
    <row r="370" spans="4:4" ht="15" customHeight="1" x14ac:dyDescent="0.25">
      <c r="D370" s="244"/>
    </row>
    <row r="371" spans="4:4" ht="15" customHeight="1" x14ac:dyDescent="0.25">
      <c r="D371" s="244"/>
    </row>
    <row r="372" spans="4:4" ht="15" customHeight="1" x14ac:dyDescent="0.25">
      <c r="D372" s="244"/>
    </row>
    <row r="373" spans="4:4" ht="15" customHeight="1" x14ac:dyDescent="0.25">
      <c r="D373" s="244"/>
    </row>
    <row r="374" spans="4:4" ht="15" customHeight="1" x14ac:dyDescent="0.25">
      <c r="D374" s="244"/>
    </row>
    <row r="375" spans="4:4" ht="15" customHeight="1" x14ac:dyDescent="0.25">
      <c r="D375" s="244"/>
    </row>
    <row r="376" spans="4:4" ht="15" customHeight="1" x14ac:dyDescent="0.25">
      <c r="D376" s="244"/>
    </row>
    <row r="377" spans="4:4" ht="15" customHeight="1" x14ac:dyDescent="0.25">
      <c r="D377" s="244"/>
    </row>
    <row r="378" spans="4:4" ht="15" customHeight="1" x14ac:dyDescent="0.25">
      <c r="D378" s="244"/>
    </row>
    <row r="379" spans="4:4" ht="15" customHeight="1" x14ac:dyDescent="0.25">
      <c r="D379" s="244"/>
    </row>
    <row r="380" spans="4:4" ht="15" customHeight="1" x14ac:dyDescent="0.25">
      <c r="D380" s="244"/>
    </row>
    <row r="381" spans="4:4" ht="15" customHeight="1" x14ac:dyDescent="0.25">
      <c r="D381" s="244"/>
    </row>
    <row r="382" spans="4:4" ht="15" customHeight="1" x14ac:dyDescent="0.25">
      <c r="D382" s="244"/>
    </row>
    <row r="383" spans="4:4" ht="15" customHeight="1" x14ac:dyDescent="0.25">
      <c r="D383" s="244"/>
    </row>
    <row r="384" spans="4:4" ht="15" customHeight="1" x14ac:dyDescent="0.25">
      <c r="D384" s="244"/>
    </row>
    <row r="385" spans="4:4" ht="15" customHeight="1" x14ac:dyDescent="0.25">
      <c r="D385" s="244"/>
    </row>
    <row r="386" spans="4:4" ht="15" customHeight="1" x14ac:dyDescent="0.25">
      <c r="D386" s="244"/>
    </row>
    <row r="387" spans="4:4" ht="15" customHeight="1" x14ac:dyDescent="0.25">
      <c r="D387" s="244"/>
    </row>
    <row r="388" spans="4:4" ht="15" customHeight="1" x14ac:dyDescent="0.25">
      <c r="D388" s="244"/>
    </row>
    <row r="389" spans="4:4" ht="15" customHeight="1" x14ac:dyDescent="0.25">
      <c r="D389" s="244"/>
    </row>
    <row r="390" spans="4:4" ht="15" customHeight="1" x14ac:dyDescent="0.25">
      <c r="D390" s="244"/>
    </row>
    <row r="391" spans="4:4" ht="15" customHeight="1" x14ac:dyDescent="0.25">
      <c r="D391" s="244"/>
    </row>
    <row r="392" spans="4:4" ht="15" customHeight="1" x14ac:dyDescent="0.25">
      <c r="D392" s="244"/>
    </row>
    <row r="393" spans="4:4" ht="15" customHeight="1" x14ac:dyDescent="0.25">
      <c r="D393" s="244"/>
    </row>
    <row r="394" spans="4:4" ht="15" customHeight="1" x14ac:dyDescent="0.25">
      <c r="D394" s="244"/>
    </row>
    <row r="395" spans="4:4" ht="15" customHeight="1" x14ac:dyDescent="0.25">
      <c r="D395" s="244"/>
    </row>
    <row r="396" spans="4:4" ht="15" customHeight="1" x14ac:dyDescent="0.25">
      <c r="D396" s="244"/>
    </row>
    <row r="397" spans="4:4" ht="15" customHeight="1" x14ac:dyDescent="0.25">
      <c r="D397" s="244"/>
    </row>
    <row r="398" spans="4:4" ht="15" customHeight="1" x14ac:dyDescent="0.25">
      <c r="D398" s="244"/>
    </row>
    <row r="399" spans="4:4" ht="15" customHeight="1" x14ac:dyDescent="0.25">
      <c r="D399" s="244"/>
    </row>
    <row r="400" spans="4:4" ht="15" customHeight="1" x14ac:dyDescent="0.25">
      <c r="D400" s="244"/>
    </row>
    <row r="401" spans="4:4" ht="15" customHeight="1" x14ac:dyDescent="0.25">
      <c r="D401" s="244"/>
    </row>
    <row r="402" spans="4:4" ht="15" customHeight="1" x14ac:dyDescent="0.25">
      <c r="D402" s="244"/>
    </row>
    <row r="403" spans="4:4" ht="15" customHeight="1" x14ac:dyDescent="0.25">
      <c r="D403" s="244"/>
    </row>
    <row r="404" spans="4:4" ht="15" customHeight="1" x14ac:dyDescent="0.25">
      <c r="D404" s="244"/>
    </row>
    <row r="405" spans="4:4" ht="15" customHeight="1" x14ac:dyDescent="0.25">
      <c r="D405" s="244"/>
    </row>
    <row r="406" spans="4:4" ht="15" customHeight="1" x14ac:dyDescent="0.25">
      <c r="D406" s="244"/>
    </row>
    <row r="407" spans="4:4" ht="15" customHeight="1" x14ac:dyDescent="0.25">
      <c r="D407" s="244"/>
    </row>
    <row r="408" spans="4:4" ht="15" customHeight="1" x14ac:dyDescent="0.25">
      <c r="D408" s="244"/>
    </row>
    <row r="409" spans="4:4" ht="15" customHeight="1" x14ac:dyDescent="0.25">
      <c r="D409" s="244"/>
    </row>
    <row r="410" spans="4:4" ht="15" customHeight="1" x14ac:dyDescent="0.25">
      <c r="D410" s="244"/>
    </row>
    <row r="411" spans="4:4" ht="15" customHeight="1" x14ac:dyDescent="0.25">
      <c r="D411" s="244"/>
    </row>
    <row r="412" spans="4:4" ht="15" customHeight="1" x14ac:dyDescent="0.25">
      <c r="D412" s="244"/>
    </row>
    <row r="413" spans="4:4" ht="15" customHeight="1" x14ac:dyDescent="0.25">
      <c r="D413" s="244"/>
    </row>
    <row r="414" spans="4:4" ht="15" customHeight="1" x14ac:dyDescent="0.25">
      <c r="D414" s="244"/>
    </row>
    <row r="415" spans="4:4" ht="15" customHeight="1" x14ac:dyDescent="0.25">
      <c r="D415" s="244"/>
    </row>
    <row r="416" spans="4:4" ht="15" customHeight="1" x14ac:dyDescent="0.25">
      <c r="D416" s="244"/>
    </row>
    <row r="417" spans="4:4" ht="15" customHeight="1" x14ac:dyDescent="0.25">
      <c r="D417" s="244"/>
    </row>
    <row r="418" spans="4:4" ht="15" customHeight="1" x14ac:dyDescent="0.25">
      <c r="D418" s="244"/>
    </row>
    <row r="419" spans="4:4" ht="15" customHeight="1" x14ac:dyDescent="0.25">
      <c r="D419" s="244"/>
    </row>
    <row r="420" spans="4:4" ht="15" customHeight="1" x14ac:dyDescent="0.25">
      <c r="D420" s="244"/>
    </row>
    <row r="421" spans="4:4" ht="15" customHeight="1" x14ac:dyDescent="0.25">
      <c r="D421" s="244"/>
    </row>
    <row r="422" spans="4:4" ht="15" customHeight="1" x14ac:dyDescent="0.25">
      <c r="D422" s="244"/>
    </row>
    <row r="423" spans="4:4" ht="15" customHeight="1" x14ac:dyDescent="0.25">
      <c r="D423" s="244"/>
    </row>
    <row r="424" spans="4:4" ht="15" customHeight="1" x14ac:dyDescent="0.25">
      <c r="D424" s="244"/>
    </row>
    <row r="425" spans="4:4" ht="15" customHeight="1" x14ac:dyDescent="0.25">
      <c r="D425" s="244"/>
    </row>
    <row r="426" spans="4:4" ht="15" customHeight="1" x14ac:dyDescent="0.25">
      <c r="D426" s="244"/>
    </row>
    <row r="427" spans="4:4" ht="15" customHeight="1" x14ac:dyDescent="0.25">
      <c r="D427" s="244"/>
    </row>
    <row r="428" spans="4:4" ht="15" customHeight="1" x14ac:dyDescent="0.25">
      <c r="D428" s="244"/>
    </row>
    <row r="429" spans="4:4" ht="15" customHeight="1" x14ac:dyDescent="0.25">
      <c r="D429" s="244"/>
    </row>
    <row r="430" spans="4:4" ht="15" customHeight="1" x14ac:dyDescent="0.25">
      <c r="D430" s="244"/>
    </row>
    <row r="431" spans="4:4" ht="15" customHeight="1" x14ac:dyDescent="0.25">
      <c r="D431" s="244"/>
    </row>
    <row r="432" spans="4:4" ht="15" customHeight="1" x14ac:dyDescent="0.25">
      <c r="D432" s="244"/>
    </row>
    <row r="433" spans="4:4" ht="15" customHeight="1" x14ac:dyDescent="0.25">
      <c r="D433" s="244"/>
    </row>
    <row r="434" spans="4:4" ht="15" customHeight="1" x14ac:dyDescent="0.25">
      <c r="D434" s="244"/>
    </row>
    <row r="435" spans="4:4" ht="15" customHeight="1" x14ac:dyDescent="0.25">
      <c r="D435" s="244"/>
    </row>
    <row r="436" spans="4:4" ht="15" customHeight="1" x14ac:dyDescent="0.25">
      <c r="D436" s="244"/>
    </row>
    <row r="437" spans="4:4" ht="15" customHeight="1" x14ac:dyDescent="0.25">
      <c r="D437" s="244"/>
    </row>
    <row r="438" spans="4:4" ht="15" customHeight="1" x14ac:dyDescent="0.25">
      <c r="D438" s="244"/>
    </row>
    <row r="439" spans="4:4" ht="15" customHeight="1" x14ac:dyDescent="0.25">
      <c r="D439" s="244"/>
    </row>
    <row r="440" spans="4:4" ht="15" customHeight="1" x14ac:dyDescent="0.25">
      <c r="D440" s="244"/>
    </row>
    <row r="441" spans="4:4" ht="15" customHeight="1" x14ac:dyDescent="0.25">
      <c r="D441" s="244"/>
    </row>
    <row r="442" spans="4:4" ht="15" customHeight="1" x14ac:dyDescent="0.25">
      <c r="D442" s="244"/>
    </row>
    <row r="443" spans="4:4" ht="15" customHeight="1" x14ac:dyDescent="0.25">
      <c r="D443" s="244"/>
    </row>
    <row r="444" spans="4:4" ht="15" customHeight="1" x14ac:dyDescent="0.25">
      <c r="D444" s="244"/>
    </row>
    <row r="445" spans="4:4" ht="15" customHeight="1" x14ac:dyDescent="0.25">
      <c r="D445" s="244"/>
    </row>
    <row r="446" spans="4:4" ht="15" customHeight="1" x14ac:dyDescent="0.25">
      <c r="D446" s="244"/>
    </row>
    <row r="447" spans="4:4" ht="15" customHeight="1" x14ac:dyDescent="0.25">
      <c r="D447" s="244"/>
    </row>
    <row r="448" spans="4:4" ht="15" customHeight="1" x14ac:dyDescent="0.25">
      <c r="D448" s="244"/>
    </row>
    <row r="449" spans="4:4" ht="15" customHeight="1" x14ac:dyDescent="0.25">
      <c r="D449" s="244"/>
    </row>
    <row r="450" spans="4:4" ht="15" customHeight="1" x14ac:dyDescent="0.25">
      <c r="D450" s="244"/>
    </row>
    <row r="451" spans="4:4" ht="15" customHeight="1" x14ac:dyDescent="0.25">
      <c r="D451" s="244"/>
    </row>
    <row r="452" spans="4:4" ht="15" customHeight="1" x14ac:dyDescent="0.25">
      <c r="D452" s="244"/>
    </row>
    <row r="453" spans="4:4" ht="15" customHeight="1" x14ac:dyDescent="0.25">
      <c r="D453" s="244"/>
    </row>
    <row r="454" spans="4:4" ht="15" customHeight="1" x14ac:dyDescent="0.25">
      <c r="D454" s="244"/>
    </row>
    <row r="455" spans="4:4" ht="15" customHeight="1" x14ac:dyDescent="0.25">
      <c r="D455" s="244"/>
    </row>
    <row r="456" spans="4:4" ht="15" customHeight="1" x14ac:dyDescent="0.25">
      <c r="D456" s="244"/>
    </row>
    <row r="457" spans="4:4" ht="15" customHeight="1" x14ac:dyDescent="0.25">
      <c r="D457" s="244"/>
    </row>
    <row r="458" spans="4:4" ht="15" customHeight="1" x14ac:dyDescent="0.25">
      <c r="D458" s="244"/>
    </row>
    <row r="459" spans="4:4" ht="15" customHeight="1" x14ac:dyDescent="0.25">
      <c r="D459" s="244"/>
    </row>
    <row r="460" spans="4:4" ht="15" customHeight="1" x14ac:dyDescent="0.25">
      <c r="D460" s="244"/>
    </row>
    <row r="461" spans="4:4" ht="15" customHeight="1" x14ac:dyDescent="0.25">
      <c r="D461" s="244"/>
    </row>
    <row r="462" spans="4:4" ht="15" customHeight="1" x14ac:dyDescent="0.25">
      <c r="D462" s="244"/>
    </row>
    <row r="463" spans="4:4" ht="15" customHeight="1" x14ac:dyDescent="0.25">
      <c r="D463" s="244"/>
    </row>
    <row r="464" spans="4:4" ht="15" customHeight="1" x14ac:dyDescent="0.25">
      <c r="D464" s="244"/>
    </row>
    <row r="465" spans="4:4" ht="15" customHeight="1" x14ac:dyDescent="0.25">
      <c r="D465" s="244"/>
    </row>
    <row r="466" spans="4:4" ht="15" customHeight="1" x14ac:dyDescent="0.25">
      <c r="D466" s="244"/>
    </row>
    <row r="467" spans="4:4" ht="15" customHeight="1" x14ac:dyDescent="0.25">
      <c r="D467" s="244"/>
    </row>
    <row r="468" spans="4:4" ht="15" customHeight="1" x14ac:dyDescent="0.25">
      <c r="D468" s="244"/>
    </row>
    <row r="469" spans="4:4" ht="15" customHeight="1" x14ac:dyDescent="0.25">
      <c r="D469" s="244"/>
    </row>
    <row r="470" spans="4:4" ht="15" customHeight="1" x14ac:dyDescent="0.25">
      <c r="D470" s="244"/>
    </row>
    <row r="471" spans="4:4" ht="15" customHeight="1" x14ac:dyDescent="0.25">
      <c r="D471" s="244"/>
    </row>
    <row r="472" spans="4:4" ht="15" customHeight="1" x14ac:dyDescent="0.25">
      <c r="D472" s="244"/>
    </row>
    <row r="473" spans="4:4" ht="15" customHeight="1" x14ac:dyDescent="0.25">
      <c r="D473" s="244"/>
    </row>
    <row r="474" spans="4:4" ht="15" customHeight="1" x14ac:dyDescent="0.25">
      <c r="D474" s="244"/>
    </row>
    <row r="475" spans="4:4" ht="15" customHeight="1" x14ac:dyDescent="0.25">
      <c r="D475" s="244"/>
    </row>
    <row r="476" spans="4:4" ht="15" customHeight="1" x14ac:dyDescent="0.25">
      <c r="D476" s="244"/>
    </row>
    <row r="477" spans="4:4" ht="15" customHeight="1" x14ac:dyDescent="0.25">
      <c r="D477" s="244"/>
    </row>
    <row r="478" spans="4:4" ht="15" customHeight="1" x14ac:dyDescent="0.25">
      <c r="D478" s="244"/>
    </row>
    <row r="479" spans="4:4" ht="15" customHeight="1" x14ac:dyDescent="0.25">
      <c r="D479" s="244"/>
    </row>
    <row r="480" spans="4:4" ht="15" customHeight="1" x14ac:dyDescent="0.25">
      <c r="D480" s="244"/>
    </row>
    <row r="481" spans="4:4" ht="15" customHeight="1" x14ac:dyDescent="0.25">
      <c r="D481" s="244"/>
    </row>
    <row r="482" spans="4:4" ht="15" customHeight="1" x14ac:dyDescent="0.25">
      <c r="D482" s="244"/>
    </row>
    <row r="483" spans="4:4" ht="15" customHeight="1" x14ac:dyDescent="0.25">
      <c r="D483" s="244"/>
    </row>
    <row r="484" spans="4:4" ht="15" customHeight="1" x14ac:dyDescent="0.25">
      <c r="D484" s="244"/>
    </row>
    <row r="485" spans="4:4" ht="15" customHeight="1" x14ac:dyDescent="0.25">
      <c r="D485" s="244"/>
    </row>
    <row r="486" spans="4:4" ht="15" customHeight="1" x14ac:dyDescent="0.25">
      <c r="D486" s="244"/>
    </row>
    <row r="487" spans="4:4" ht="15" customHeight="1" x14ac:dyDescent="0.25">
      <c r="D487" s="244"/>
    </row>
    <row r="488" spans="4:4" ht="15" customHeight="1" x14ac:dyDescent="0.25">
      <c r="D488" s="244"/>
    </row>
    <row r="489" spans="4:4" ht="15" customHeight="1" x14ac:dyDescent="0.25">
      <c r="D489" s="244"/>
    </row>
    <row r="490" spans="4:4" ht="15" customHeight="1" x14ac:dyDescent="0.25">
      <c r="D490" s="244"/>
    </row>
    <row r="491" spans="4:4" ht="15" customHeight="1" x14ac:dyDescent="0.25">
      <c r="D491" s="244"/>
    </row>
    <row r="492" spans="4:4" ht="15" customHeight="1" x14ac:dyDescent="0.25">
      <c r="D492" s="244"/>
    </row>
    <row r="493" spans="4:4" ht="15" customHeight="1" x14ac:dyDescent="0.25">
      <c r="D493" s="244"/>
    </row>
    <row r="494" spans="4:4" ht="15" customHeight="1" x14ac:dyDescent="0.25">
      <c r="D494" s="244"/>
    </row>
    <row r="495" spans="4:4" ht="15" customHeight="1" x14ac:dyDescent="0.25">
      <c r="D495" s="244"/>
    </row>
    <row r="496" spans="4:4" ht="15" customHeight="1" x14ac:dyDescent="0.25">
      <c r="D496" s="244"/>
    </row>
    <row r="497" spans="4:4" ht="15" customHeight="1" x14ac:dyDescent="0.25">
      <c r="D497" s="244"/>
    </row>
    <row r="498" spans="4:4" ht="15" customHeight="1" x14ac:dyDescent="0.25">
      <c r="D498" s="244"/>
    </row>
    <row r="499" spans="4:4" ht="15" customHeight="1" x14ac:dyDescent="0.25">
      <c r="D499" s="244"/>
    </row>
    <row r="500" spans="4:4" ht="15" customHeight="1" x14ac:dyDescent="0.25">
      <c r="D500" s="244"/>
    </row>
  </sheetData>
  <autoFilter ref="A1:V1"/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 filterMode="1">
    <pageSetUpPr fitToPage="1"/>
  </sheetPr>
  <dimension ref="A1:U1619"/>
  <sheetViews>
    <sheetView tabSelected="1" topLeftCell="D1" zoomScale="55" zoomScaleNormal="55" workbookViewId="0">
      <pane ySplit="1" topLeftCell="A50" activePane="bottomLeft" state="frozen"/>
      <selection pane="bottomLeft" activeCell="L363" sqref="L363"/>
    </sheetView>
  </sheetViews>
  <sheetFormatPr defaultColWidth="14" defaultRowHeight="15" customHeight="1" x14ac:dyDescent="0.2"/>
  <cols>
    <col min="1" max="1" width="17.28515625" style="155" bestFit="1" customWidth="1"/>
    <col min="2" max="2" width="28" style="155" bestFit="1" customWidth="1"/>
    <col min="3" max="3" width="45.5703125" style="155" bestFit="1" customWidth="1"/>
    <col min="4" max="4" width="24.85546875" style="155" bestFit="1" customWidth="1"/>
    <col min="5" max="5" width="30.5703125" style="156" bestFit="1" customWidth="1"/>
    <col min="6" max="6" width="17.5703125" style="156" bestFit="1" customWidth="1"/>
    <col min="7" max="7" width="28" style="156" bestFit="1" customWidth="1"/>
    <col min="8" max="8" width="22.28515625" style="156" bestFit="1" customWidth="1"/>
    <col min="9" max="9" width="28.42578125" style="156" bestFit="1" customWidth="1"/>
    <col min="10" max="10" width="28.140625" style="156" bestFit="1" customWidth="1"/>
    <col min="11" max="11" width="22" style="156" bestFit="1" customWidth="1"/>
    <col min="12" max="12" width="30.85546875" style="156" bestFit="1" customWidth="1"/>
    <col min="13" max="13" width="30.28515625" style="157" bestFit="1" customWidth="1"/>
    <col min="14" max="14" width="17.5703125" style="156" bestFit="1" customWidth="1"/>
    <col min="15" max="15" width="28.42578125" style="156" bestFit="1" customWidth="1"/>
    <col min="16" max="16" width="20.85546875" style="156" bestFit="1" customWidth="1"/>
    <col min="17" max="17" width="30.85546875" style="156" bestFit="1" customWidth="1"/>
    <col min="18" max="18" width="24" style="158" bestFit="1" customWidth="1"/>
    <col min="19" max="19" width="22.42578125" style="158" bestFit="1" customWidth="1"/>
    <col min="20" max="20" width="25.140625" style="158" bestFit="1" customWidth="1"/>
    <col min="21" max="21" width="21.140625" style="156" bestFit="1" customWidth="1"/>
    <col min="22" max="16384" width="14" style="155"/>
  </cols>
  <sheetData>
    <row r="1" spans="1:21" s="154" customFormat="1" ht="69.75" customHeight="1" x14ac:dyDescent="0.25">
      <c r="A1" s="160" t="s">
        <v>0</v>
      </c>
      <c r="B1" s="161" t="s">
        <v>1</v>
      </c>
      <c r="C1" s="161" t="s">
        <v>2</v>
      </c>
      <c r="D1" s="162" t="s">
        <v>362</v>
      </c>
      <c r="E1" s="163" t="s">
        <v>363</v>
      </c>
      <c r="F1" s="163" t="s">
        <v>6</v>
      </c>
      <c r="G1" s="163" t="s">
        <v>364</v>
      </c>
      <c r="H1" s="163" t="s">
        <v>365</v>
      </c>
      <c r="I1" s="163" t="s">
        <v>366</v>
      </c>
      <c r="J1" s="163" t="s">
        <v>367</v>
      </c>
      <c r="K1" s="163" t="s">
        <v>368</v>
      </c>
      <c r="L1" s="163" t="s">
        <v>369</v>
      </c>
      <c r="M1" s="163" t="s">
        <v>370</v>
      </c>
      <c r="N1" s="163" t="s">
        <v>371</v>
      </c>
      <c r="O1" s="163" t="s">
        <v>1097</v>
      </c>
      <c r="P1" s="163" t="s">
        <v>1098</v>
      </c>
      <c r="Q1" s="163" t="s">
        <v>979</v>
      </c>
      <c r="R1" s="163" t="s">
        <v>1099</v>
      </c>
      <c r="S1" s="278" t="s">
        <v>434</v>
      </c>
      <c r="T1" s="278" t="s">
        <v>757</v>
      </c>
      <c r="U1" s="163" t="s">
        <v>1089</v>
      </c>
    </row>
    <row r="2" spans="1:21" ht="18" hidden="1" customHeight="1" x14ac:dyDescent="0.2">
      <c r="A2" s="150">
        <f t="shared" ref="A2:A65" si="0">IF(D2&lt;&gt;"", ROW()-1, "")</f>
        <v>1</v>
      </c>
      <c r="B2" s="150" t="s">
        <v>1053</v>
      </c>
      <c r="C2" s="150" t="str">
        <f>VLOOKUP(B2,MEMBERS!B:C,2, )</f>
        <v>MR. ZAMIR ALI SHAH</v>
      </c>
      <c r="D2" s="159">
        <v>45992</v>
      </c>
      <c r="E2" s="151">
        <f>600*3</f>
        <v>1800</v>
      </c>
      <c r="F2" s="151">
        <v>0</v>
      </c>
      <c r="G2" s="151">
        <v>0</v>
      </c>
      <c r="H2" s="151">
        <v>0</v>
      </c>
      <c r="I2" s="151">
        <v>0</v>
      </c>
      <c r="J2" s="151">
        <v>0</v>
      </c>
      <c r="K2" s="151">
        <v>0</v>
      </c>
      <c r="L2" s="151">
        <v>0</v>
      </c>
      <c r="M2" s="152">
        <v>0</v>
      </c>
      <c r="N2" s="151">
        <v>0</v>
      </c>
      <c r="O2" s="151">
        <v>0</v>
      </c>
      <c r="P2" s="151">
        <v>0</v>
      </c>
      <c r="Q2" s="151">
        <v>0</v>
      </c>
      <c r="R2" s="153">
        <v>0</v>
      </c>
      <c r="S2" s="153">
        <v>0</v>
      </c>
      <c r="T2" s="153">
        <v>0</v>
      </c>
      <c r="U2" s="153">
        <f>SUM(E2:T2)</f>
        <v>1800</v>
      </c>
    </row>
    <row r="3" spans="1:21" ht="18" hidden="1" customHeight="1" x14ac:dyDescent="0.2">
      <c r="A3" s="150">
        <f t="shared" si="0"/>
        <v>2</v>
      </c>
      <c r="B3" s="150" t="s">
        <v>123</v>
      </c>
      <c r="C3" s="150" t="str">
        <f>VLOOKUP(B3,MEMBERS!B:C,2, )</f>
        <v>MR.MUIED AHMED DURRANI</v>
      </c>
      <c r="D3" s="159">
        <v>45992</v>
      </c>
      <c r="E3" s="151">
        <v>0</v>
      </c>
      <c r="F3" s="151">
        <v>0</v>
      </c>
      <c r="G3" s="151">
        <v>0</v>
      </c>
      <c r="H3" s="151">
        <v>0</v>
      </c>
      <c r="I3" s="151">
        <v>0</v>
      </c>
      <c r="J3" s="151">
        <v>300</v>
      </c>
      <c r="K3" s="151">
        <v>0</v>
      </c>
      <c r="L3" s="151">
        <v>0</v>
      </c>
      <c r="M3" s="152">
        <v>0</v>
      </c>
      <c r="N3" s="151">
        <v>0</v>
      </c>
      <c r="O3" s="151">
        <v>0</v>
      </c>
      <c r="P3" s="151">
        <v>0</v>
      </c>
      <c r="Q3" s="151">
        <v>0</v>
      </c>
      <c r="R3" s="153">
        <v>0</v>
      </c>
      <c r="S3" s="153">
        <v>0</v>
      </c>
      <c r="T3" s="153">
        <v>0</v>
      </c>
      <c r="U3" s="153">
        <f t="shared" ref="U3:U66" si="1">SUM(E3:T3)</f>
        <v>300</v>
      </c>
    </row>
    <row r="4" spans="1:21" ht="18" hidden="1" customHeight="1" x14ac:dyDescent="0.2">
      <c r="A4" s="150">
        <f t="shared" si="0"/>
        <v>3</v>
      </c>
      <c r="B4" s="150" t="s">
        <v>69</v>
      </c>
      <c r="C4" s="150" t="str">
        <f>VLOOKUP(B4,MEMBERS!B:C,2, )</f>
        <v>MR.TARIQUE ZUBAIR</v>
      </c>
      <c r="D4" s="159">
        <v>45992</v>
      </c>
      <c r="E4" s="151">
        <v>0</v>
      </c>
      <c r="F4" s="151">
        <v>150</v>
      </c>
      <c r="G4" s="151">
        <v>0</v>
      </c>
      <c r="H4" s="151">
        <v>0</v>
      </c>
      <c r="I4" s="151">
        <v>0</v>
      </c>
      <c r="J4" s="151">
        <v>0</v>
      </c>
      <c r="K4" s="151">
        <v>0</v>
      </c>
      <c r="L4" s="151">
        <v>0</v>
      </c>
      <c r="M4" s="152">
        <v>0</v>
      </c>
      <c r="N4" s="151">
        <v>0</v>
      </c>
      <c r="O4" s="151">
        <v>0</v>
      </c>
      <c r="P4" s="151">
        <v>0</v>
      </c>
      <c r="Q4" s="151">
        <v>0</v>
      </c>
      <c r="R4" s="153">
        <v>0</v>
      </c>
      <c r="S4" s="153">
        <v>0</v>
      </c>
      <c r="T4" s="153">
        <v>0</v>
      </c>
      <c r="U4" s="153">
        <f t="shared" si="1"/>
        <v>150</v>
      </c>
    </row>
    <row r="5" spans="1:21" ht="18" hidden="1" customHeight="1" x14ac:dyDescent="0.2">
      <c r="A5" s="150">
        <f t="shared" si="0"/>
        <v>4</v>
      </c>
      <c r="B5" s="150" t="s">
        <v>312</v>
      </c>
      <c r="C5" s="150" t="str">
        <f>VLOOKUP(B5,MEMBERS!B:C,2, )</f>
        <v>GM GHULAM DASTAGEER</v>
      </c>
      <c r="D5" s="159">
        <v>45992</v>
      </c>
      <c r="E5" s="151">
        <v>0</v>
      </c>
      <c r="F5" s="151">
        <v>150</v>
      </c>
      <c r="G5" s="151">
        <v>0</v>
      </c>
      <c r="H5" s="151">
        <v>0</v>
      </c>
      <c r="I5" s="151">
        <v>0</v>
      </c>
      <c r="J5" s="151">
        <v>0</v>
      </c>
      <c r="K5" s="151">
        <v>0</v>
      </c>
      <c r="L5" s="151">
        <v>0</v>
      </c>
      <c r="M5" s="152">
        <v>0</v>
      </c>
      <c r="N5" s="151">
        <v>0</v>
      </c>
      <c r="O5" s="151">
        <v>0</v>
      </c>
      <c r="P5" s="151">
        <v>0</v>
      </c>
      <c r="Q5" s="151">
        <v>0</v>
      </c>
      <c r="R5" s="153">
        <v>0</v>
      </c>
      <c r="S5" s="153">
        <v>0</v>
      </c>
      <c r="T5" s="153">
        <v>0</v>
      </c>
      <c r="U5" s="153">
        <f t="shared" si="1"/>
        <v>150</v>
      </c>
    </row>
    <row r="6" spans="1:21" ht="18" hidden="1" customHeight="1" x14ac:dyDescent="0.2">
      <c r="A6" s="150">
        <f t="shared" si="0"/>
        <v>5</v>
      </c>
      <c r="B6" s="150" t="s">
        <v>54</v>
      </c>
      <c r="C6" s="150" t="str">
        <f>VLOOKUP(B6,MEMBERS!B:C,2, )</f>
        <v>MR.ZEESHAN IQBAL</v>
      </c>
      <c r="D6" s="159">
        <v>45992</v>
      </c>
      <c r="E6" s="151">
        <v>0</v>
      </c>
      <c r="F6" s="151">
        <f>150+300</f>
        <v>450</v>
      </c>
      <c r="G6" s="151">
        <v>0</v>
      </c>
      <c r="H6" s="151">
        <v>0</v>
      </c>
      <c r="I6" s="151">
        <v>0</v>
      </c>
      <c r="J6" s="151">
        <v>0</v>
      </c>
      <c r="K6" s="151">
        <v>0</v>
      </c>
      <c r="L6" s="151">
        <v>0</v>
      </c>
      <c r="M6" s="152">
        <v>0</v>
      </c>
      <c r="N6" s="151">
        <v>0</v>
      </c>
      <c r="O6" s="151">
        <v>0</v>
      </c>
      <c r="P6" s="151">
        <v>0</v>
      </c>
      <c r="Q6" s="151">
        <v>0</v>
      </c>
      <c r="R6" s="153">
        <v>0</v>
      </c>
      <c r="S6" s="153">
        <v>0</v>
      </c>
      <c r="T6" s="153">
        <v>0</v>
      </c>
      <c r="U6" s="153">
        <f t="shared" si="1"/>
        <v>450</v>
      </c>
    </row>
    <row r="7" spans="1:21" ht="18" hidden="1" customHeight="1" x14ac:dyDescent="0.2">
      <c r="A7" s="150">
        <f t="shared" si="0"/>
        <v>6</v>
      </c>
      <c r="B7" s="150" t="s">
        <v>217</v>
      </c>
      <c r="C7" s="150" t="str">
        <f>VLOOKUP(B7,MEMBERS!B:C,2, )</f>
        <v>MR.ZAIN FAROOQ</v>
      </c>
      <c r="D7" s="159">
        <v>45992</v>
      </c>
      <c r="E7" s="151">
        <v>0</v>
      </c>
      <c r="F7" s="151">
        <f>150*2</f>
        <v>300</v>
      </c>
      <c r="G7" s="151">
        <v>0</v>
      </c>
      <c r="H7" s="151">
        <v>0</v>
      </c>
      <c r="I7" s="151">
        <v>0</v>
      </c>
      <c r="J7" s="151">
        <v>0</v>
      </c>
      <c r="K7" s="151">
        <v>0</v>
      </c>
      <c r="L7" s="151">
        <v>0</v>
      </c>
      <c r="M7" s="152">
        <v>0</v>
      </c>
      <c r="N7" s="151">
        <v>0</v>
      </c>
      <c r="O7" s="151">
        <v>0</v>
      </c>
      <c r="P7" s="151">
        <v>0</v>
      </c>
      <c r="Q7" s="151">
        <v>0</v>
      </c>
      <c r="R7" s="153">
        <v>0</v>
      </c>
      <c r="S7" s="153">
        <v>0</v>
      </c>
      <c r="T7" s="153">
        <v>0</v>
      </c>
      <c r="U7" s="153">
        <f t="shared" si="1"/>
        <v>300</v>
      </c>
    </row>
    <row r="8" spans="1:21" ht="18" hidden="1" customHeight="1" x14ac:dyDescent="0.2">
      <c r="A8" s="150">
        <f t="shared" si="0"/>
        <v>7</v>
      </c>
      <c r="B8" s="150" t="s">
        <v>359</v>
      </c>
      <c r="C8" s="150" t="str">
        <f>VLOOKUP(B8,MEMBERS!B:C,2, )</f>
        <v>DR.NASEEM MUNSHI</v>
      </c>
      <c r="D8" s="159">
        <v>45992</v>
      </c>
      <c r="E8" s="151">
        <v>0</v>
      </c>
      <c r="F8" s="151">
        <v>150</v>
      </c>
      <c r="G8" s="151">
        <v>0</v>
      </c>
      <c r="H8" s="151">
        <v>0</v>
      </c>
      <c r="I8" s="151">
        <v>0</v>
      </c>
      <c r="J8" s="151">
        <v>0</v>
      </c>
      <c r="K8" s="151">
        <v>0</v>
      </c>
      <c r="L8" s="151">
        <v>0</v>
      </c>
      <c r="M8" s="152">
        <v>0</v>
      </c>
      <c r="N8" s="151">
        <v>0</v>
      </c>
      <c r="O8" s="151">
        <v>0</v>
      </c>
      <c r="P8" s="151">
        <v>0</v>
      </c>
      <c r="Q8" s="151">
        <v>0</v>
      </c>
      <c r="R8" s="153">
        <v>0</v>
      </c>
      <c r="S8" s="153">
        <v>0</v>
      </c>
      <c r="T8" s="153">
        <v>0</v>
      </c>
      <c r="U8" s="153">
        <f t="shared" si="1"/>
        <v>150</v>
      </c>
    </row>
    <row r="9" spans="1:21" ht="18" hidden="1" customHeight="1" x14ac:dyDescent="0.2">
      <c r="A9" s="150">
        <f t="shared" si="0"/>
        <v>8</v>
      </c>
      <c r="B9" s="150" t="s">
        <v>273</v>
      </c>
      <c r="C9" s="150" t="str">
        <f>VLOOKUP(B9,MEMBERS!B:C,2, )</f>
        <v>MR.SYED MURTAZA ALI</v>
      </c>
      <c r="D9" s="159">
        <v>45993</v>
      </c>
      <c r="E9" s="151">
        <v>0</v>
      </c>
      <c r="F9" s="151">
        <v>0</v>
      </c>
      <c r="G9" s="151">
        <v>150</v>
      </c>
      <c r="H9" s="151">
        <v>0</v>
      </c>
      <c r="I9" s="151">
        <v>0</v>
      </c>
      <c r="J9" s="151">
        <v>0</v>
      </c>
      <c r="K9" s="151">
        <v>0</v>
      </c>
      <c r="L9" s="151">
        <v>0</v>
      </c>
      <c r="M9" s="152">
        <v>0</v>
      </c>
      <c r="N9" s="151">
        <v>0</v>
      </c>
      <c r="O9" s="151">
        <v>0</v>
      </c>
      <c r="P9" s="151">
        <v>0</v>
      </c>
      <c r="Q9" s="151">
        <v>0</v>
      </c>
      <c r="R9" s="153">
        <v>0</v>
      </c>
      <c r="S9" s="153">
        <v>0</v>
      </c>
      <c r="T9" s="153">
        <v>0</v>
      </c>
      <c r="U9" s="153">
        <f t="shared" si="1"/>
        <v>150</v>
      </c>
    </row>
    <row r="10" spans="1:21" ht="18" hidden="1" customHeight="1" x14ac:dyDescent="0.2">
      <c r="A10" s="150">
        <f t="shared" si="0"/>
        <v>9</v>
      </c>
      <c r="B10" s="150" t="s">
        <v>308</v>
      </c>
      <c r="C10" s="150" t="str">
        <f>VLOOKUP(B10,MEMBERS!B:C,2, )</f>
        <v>DGM AZFAR ALI</v>
      </c>
      <c r="D10" s="159">
        <v>45993</v>
      </c>
      <c r="E10" s="151">
        <f>600*2</f>
        <v>1200</v>
      </c>
      <c r="F10" s="151">
        <v>0</v>
      </c>
      <c r="G10" s="151">
        <v>0</v>
      </c>
      <c r="H10" s="151">
        <v>0</v>
      </c>
      <c r="I10" s="151">
        <v>0</v>
      </c>
      <c r="J10" s="151">
        <v>0</v>
      </c>
      <c r="K10" s="151">
        <v>0</v>
      </c>
      <c r="L10" s="151">
        <v>0</v>
      </c>
      <c r="M10" s="152">
        <v>0</v>
      </c>
      <c r="N10" s="151">
        <v>0</v>
      </c>
      <c r="O10" s="151">
        <v>0</v>
      </c>
      <c r="P10" s="151">
        <v>0</v>
      </c>
      <c r="Q10" s="151">
        <v>0</v>
      </c>
      <c r="R10" s="153">
        <v>0</v>
      </c>
      <c r="S10" s="153">
        <v>0</v>
      </c>
      <c r="T10" s="153">
        <v>0</v>
      </c>
      <c r="U10" s="153">
        <f t="shared" si="1"/>
        <v>1200</v>
      </c>
    </row>
    <row r="11" spans="1:21" ht="18" hidden="1" customHeight="1" x14ac:dyDescent="0.2">
      <c r="A11" s="150">
        <f t="shared" si="0"/>
        <v>10</v>
      </c>
      <c r="B11" s="150" t="s">
        <v>69</v>
      </c>
      <c r="C11" s="150" t="str">
        <f>VLOOKUP(B11,MEMBERS!B:C,2, )</f>
        <v>MR.TARIQUE ZUBAIR</v>
      </c>
      <c r="D11" s="159">
        <v>45993</v>
      </c>
      <c r="E11" s="151">
        <v>0</v>
      </c>
      <c r="F11" s="151">
        <v>150</v>
      </c>
      <c r="G11" s="151">
        <v>0</v>
      </c>
      <c r="H11" s="151">
        <v>0</v>
      </c>
      <c r="I11" s="151">
        <v>0</v>
      </c>
      <c r="J11" s="151">
        <v>0</v>
      </c>
      <c r="K11" s="151">
        <v>0</v>
      </c>
      <c r="L11" s="151">
        <v>0</v>
      </c>
      <c r="M11" s="152">
        <v>0</v>
      </c>
      <c r="N11" s="151">
        <v>0</v>
      </c>
      <c r="O11" s="151">
        <v>0</v>
      </c>
      <c r="P11" s="151">
        <v>0</v>
      </c>
      <c r="Q11" s="151">
        <v>0</v>
      </c>
      <c r="R11" s="153">
        <v>0</v>
      </c>
      <c r="S11" s="153">
        <v>0</v>
      </c>
      <c r="T11" s="153">
        <v>0</v>
      </c>
      <c r="U11" s="153">
        <f t="shared" si="1"/>
        <v>150</v>
      </c>
    </row>
    <row r="12" spans="1:21" ht="18" hidden="1" customHeight="1" x14ac:dyDescent="0.2">
      <c r="A12" s="150">
        <f t="shared" si="0"/>
        <v>11</v>
      </c>
      <c r="B12" s="150" t="s">
        <v>312</v>
      </c>
      <c r="C12" s="150" t="str">
        <f>VLOOKUP(B12,MEMBERS!B:C,2, )</f>
        <v>GM GHULAM DASTAGEER</v>
      </c>
      <c r="D12" s="159">
        <v>45993</v>
      </c>
      <c r="E12" s="151">
        <v>0</v>
      </c>
      <c r="F12" s="151">
        <v>150</v>
      </c>
      <c r="G12" s="151">
        <v>0</v>
      </c>
      <c r="H12" s="151">
        <v>0</v>
      </c>
      <c r="I12" s="151">
        <v>0</v>
      </c>
      <c r="J12" s="151">
        <v>0</v>
      </c>
      <c r="K12" s="151">
        <v>0</v>
      </c>
      <c r="L12" s="151">
        <v>0</v>
      </c>
      <c r="M12" s="152">
        <v>0</v>
      </c>
      <c r="N12" s="151">
        <v>0</v>
      </c>
      <c r="O12" s="151">
        <v>0</v>
      </c>
      <c r="P12" s="151">
        <v>0</v>
      </c>
      <c r="Q12" s="151">
        <v>0</v>
      </c>
      <c r="R12" s="153">
        <v>0</v>
      </c>
      <c r="S12" s="153">
        <v>0</v>
      </c>
      <c r="T12" s="153">
        <v>0</v>
      </c>
      <c r="U12" s="153">
        <f t="shared" si="1"/>
        <v>150</v>
      </c>
    </row>
    <row r="13" spans="1:21" ht="18" hidden="1" customHeight="1" x14ac:dyDescent="0.2">
      <c r="A13" s="150">
        <f t="shared" si="0"/>
        <v>12</v>
      </c>
      <c r="B13" s="150" t="s">
        <v>54</v>
      </c>
      <c r="C13" s="150" t="str">
        <f>VLOOKUP(B13,MEMBERS!B:C,2, )</f>
        <v>MR.ZEESHAN IQBAL</v>
      </c>
      <c r="D13" s="159">
        <v>45993</v>
      </c>
      <c r="E13" s="151">
        <v>0</v>
      </c>
      <c r="F13" s="151">
        <f>150*2+300</f>
        <v>600</v>
      </c>
      <c r="G13" s="151">
        <v>0</v>
      </c>
      <c r="H13" s="151">
        <v>0</v>
      </c>
      <c r="I13" s="151">
        <v>0</v>
      </c>
      <c r="J13" s="151">
        <v>0</v>
      </c>
      <c r="K13" s="151">
        <v>0</v>
      </c>
      <c r="L13" s="151">
        <v>0</v>
      </c>
      <c r="M13" s="152">
        <v>0</v>
      </c>
      <c r="N13" s="151">
        <v>0</v>
      </c>
      <c r="O13" s="151">
        <v>0</v>
      </c>
      <c r="P13" s="151">
        <v>0</v>
      </c>
      <c r="Q13" s="151">
        <v>0</v>
      </c>
      <c r="R13" s="153">
        <v>0</v>
      </c>
      <c r="S13" s="153">
        <v>0</v>
      </c>
      <c r="T13" s="153">
        <v>0</v>
      </c>
      <c r="U13" s="153">
        <f t="shared" si="1"/>
        <v>600</v>
      </c>
    </row>
    <row r="14" spans="1:21" ht="18" hidden="1" customHeight="1" x14ac:dyDescent="0.2">
      <c r="A14" s="150">
        <f t="shared" si="0"/>
        <v>13</v>
      </c>
      <c r="B14" s="150" t="s">
        <v>650</v>
      </c>
      <c r="C14" s="150" t="str">
        <f>VLOOKUP(B14,MEMBERS!B:C,2, )</f>
        <v>SHAHBAZ AHMED</v>
      </c>
      <c r="D14" s="159">
        <v>45993</v>
      </c>
      <c r="E14" s="151">
        <v>0</v>
      </c>
      <c r="F14" s="151">
        <f>150*2</f>
        <v>300</v>
      </c>
      <c r="G14" s="151">
        <v>0</v>
      </c>
      <c r="H14" s="151">
        <v>0</v>
      </c>
      <c r="I14" s="151">
        <v>0</v>
      </c>
      <c r="J14" s="151">
        <v>0</v>
      </c>
      <c r="K14" s="151">
        <v>0</v>
      </c>
      <c r="L14" s="151">
        <v>0</v>
      </c>
      <c r="M14" s="152">
        <v>0</v>
      </c>
      <c r="N14" s="151">
        <v>0</v>
      </c>
      <c r="O14" s="151">
        <v>0</v>
      </c>
      <c r="P14" s="151">
        <v>0</v>
      </c>
      <c r="Q14" s="151">
        <v>0</v>
      </c>
      <c r="R14" s="153">
        <v>0</v>
      </c>
      <c r="S14" s="153">
        <v>0</v>
      </c>
      <c r="T14" s="153">
        <v>0</v>
      </c>
      <c r="U14" s="153">
        <f t="shared" si="1"/>
        <v>300</v>
      </c>
    </row>
    <row r="15" spans="1:21" ht="18" hidden="1" customHeight="1" x14ac:dyDescent="0.2">
      <c r="A15" s="150">
        <f t="shared" si="0"/>
        <v>14</v>
      </c>
      <c r="B15" s="150" t="s">
        <v>373</v>
      </c>
      <c r="C15" s="150" t="str">
        <f>VLOOKUP(B15,MEMBERS!B:C,2, )</f>
        <v>ASIF ASHFAQ</v>
      </c>
      <c r="D15" s="159">
        <v>45993</v>
      </c>
      <c r="E15" s="151">
        <v>0</v>
      </c>
      <c r="F15" s="151">
        <f>150*2</f>
        <v>300</v>
      </c>
      <c r="G15" s="151">
        <v>0</v>
      </c>
      <c r="H15" s="151">
        <v>0</v>
      </c>
      <c r="I15" s="151">
        <v>0</v>
      </c>
      <c r="J15" s="151">
        <v>0</v>
      </c>
      <c r="K15" s="151">
        <v>0</v>
      </c>
      <c r="L15" s="151">
        <v>0</v>
      </c>
      <c r="M15" s="152">
        <v>0</v>
      </c>
      <c r="N15" s="151">
        <v>0</v>
      </c>
      <c r="O15" s="151">
        <v>0</v>
      </c>
      <c r="P15" s="151">
        <v>0</v>
      </c>
      <c r="Q15" s="151">
        <v>0</v>
      </c>
      <c r="R15" s="153">
        <v>0</v>
      </c>
      <c r="S15" s="153">
        <v>0</v>
      </c>
      <c r="T15" s="153">
        <v>0</v>
      </c>
      <c r="U15" s="153">
        <f t="shared" si="1"/>
        <v>300</v>
      </c>
    </row>
    <row r="16" spans="1:21" ht="18" hidden="1" customHeight="1" x14ac:dyDescent="0.2">
      <c r="A16" s="150">
        <f t="shared" si="0"/>
        <v>15</v>
      </c>
      <c r="B16" s="150" t="s">
        <v>426</v>
      </c>
      <c r="C16" s="150" t="str">
        <f>VLOOKUP(B16,MEMBERS!B:C,2, )</f>
        <v>NASIR ABBAS</v>
      </c>
      <c r="D16" s="159">
        <v>45993</v>
      </c>
      <c r="E16" s="151">
        <v>0</v>
      </c>
      <c r="F16" s="151">
        <v>150</v>
      </c>
      <c r="G16" s="151">
        <v>0</v>
      </c>
      <c r="H16" s="151">
        <v>0</v>
      </c>
      <c r="I16" s="151">
        <v>0</v>
      </c>
      <c r="J16" s="151">
        <v>0</v>
      </c>
      <c r="K16" s="151">
        <v>0</v>
      </c>
      <c r="L16" s="151">
        <v>0</v>
      </c>
      <c r="M16" s="152">
        <v>0</v>
      </c>
      <c r="N16" s="151">
        <v>0</v>
      </c>
      <c r="O16" s="151">
        <v>0</v>
      </c>
      <c r="P16" s="151">
        <v>0</v>
      </c>
      <c r="Q16" s="151">
        <v>0</v>
      </c>
      <c r="R16" s="153">
        <v>0</v>
      </c>
      <c r="S16" s="153">
        <v>0</v>
      </c>
      <c r="T16" s="153">
        <v>0</v>
      </c>
      <c r="U16" s="153">
        <f t="shared" si="1"/>
        <v>150</v>
      </c>
    </row>
    <row r="17" spans="1:21" ht="18" hidden="1" customHeight="1" x14ac:dyDescent="0.2">
      <c r="A17" s="150">
        <f t="shared" si="0"/>
        <v>16</v>
      </c>
      <c r="B17" s="150" t="s">
        <v>217</v>
      </c>
      <c r="C17" s="150" t="str">
        <f>VLOOKUP(B17,MEMBERS!B:C,2, )</f>
        <v>MR.ZAIN FAROOQ</v>
      </c>
      <c r="D17" s="159">
        <v>45993</v>
      </c>
      <c r="E17" s="151">
        <v>0</v>
      </c>
      <c r="F17" s="151">
        <v>150</v>
      </c>
      <c r="G17" s="151">
        <v>0</v>
      </c>
      <c r="H17" s="151">
        <v>0</v>
      </c>
      <c r="I17" s="151">
        <v>0</v>
      </c>
      <c r="J17" s="151">
        <v>0</v>
      </c>
      <c r="K17" s="151">
        <v>0</v>
      </c>
      <c r="L17" s="151">
        <v>0</v>
      </c>
      <c r="M17" s="152">
        <v>0</v>
      </c>
      <c r="N17" s="151">
        <v>0</v>
      </c>
      <c r="O17" s="151">
        <v>0</v>
      </c>
      <c r="P17" s="151">
        <v>0</v>
      </c>
      <c r="Q17" s="151">
        <v>0</v>
      </c>
      <c r="R17" s="153">
        <v>0</v>
      </c>
      <c r="S17" s="153">
        <v>0</v>
      </c>
      <c r="T17" s="153">
        <v>0</v>
      </c>
      <c r="U17" s="153">
        <f t="shared" si="1"/>
        <v>150</v>
      </c>
    </row>
    <row r="18" spans="1:21" ht="18" hidden="1" customHeight="1" x14ac:dyDescent="0.2">
      <c r="A18" s="150">
        <f t="shared" si="0"/>
        <v>17</v>
      </c>
      <c r="B18" s="150" t="s">
        <v>359</v>
      </c>
      <c r="C18" s="150" t="str">
        <f>VLOOKUP(B18,MEMBERS!B:C,2, )</f>
        <v>DR.NASEEM MUNSHI</v>
      </c>
      <c r="D18" s="159">
        <v>45993</v>
      </c>
      <c r="E18" s="151">
        <v>0</v>
      </c>
      <c r="F18" s="151">
        <v>150</v>
      </c>
      <c r="G18" s="151">
        <v>0</v>
      </c>
      <c r="H18" s="151">
        <v>0</v>
      </c>
      <c r="I18" s="151">
        <v>0</v>
      </c>
      <c r="J18" s="151">
        <v>0</v>
      </c>
      <c r="K18" s="151">
        <v>0</v>
      </c>
      <c r="L18" s="151">
        <v>0</v>
      </c>
      <c r="M18" s="152">
        <v>0</v>
      </c>
      <c r="N18" s="151">
        <v>0</v>
      </c>
      <c r="O18" s="151">
        <v>0</v>
      </c>
      <c r="P18" s="151">
        <v>0</v>
      </c>
      <c r="Q18" s="151">
        <v>0</v>
      </c>
      <c r="R18" s="153">
        <v>0</v>
      </c>
      <c r="S18" s="153">
        <v>0</v>
      </c>
      <c r="T18" s="153">
        <v>0</v>
      </c>
      <c r="U18" s="153">
        <f t="shared" si="1"/>
        <v>150</v>
      </c>
    </row>
    <row r="19" spans="1:21" ht="18" hidden="1" customHeight="1" x14ac:dyDescent="0.2">
      <c r="A19" s="150">
        <f t="shared" si="0"/>
        <v>18</v>
      </c>
      <c r="B19" s="150" t="s">
        <v>155</v>
      </c>
      <c r="C19" s="150" t="str">
        <f>VLOOKUP(B19,MEMBERS!B:C,2, )</f>
        <v>MR.PIR MUJEEB JAN SARHANDI</v>
      </c>
      <c r="D19" s="159">
        <v>45993</v>
      </c>
      <c r="E19" s="151">
        <v>0</v>
      </c>
      <c r="F19" s="151">
        <f>150*2</f>
        <v>300</v>
      </c>
      <c r="G19" s="151">
        <v>0</v>
      </c>
      <c r="H19" s="151">
        <v>0</v>
      </c>
      <c r="I19" s="151">
        <v>0</v>
      </c>
      <c r="J19" s="151">
        <v>0</v>
      </c>
      <c r="K19" s="151">
        <v>0</v>
      </c>
      <c r="L19" s="151">
        <v>0</v>
      </c>
      <c r="M19" s="152">
        <v>0</v>
      </c>
      <c r="N19" s="151">
        <v>0</v>
      </c>
      <c r="O19" s="151">
        <v>0</v>
      </c>
      <c r="P19" s="151">
        <v>0</v>
      </c>
      <c r="Q19" s="151">
        <v>0</v>
      </c>
      <c r="R19" s="153">
        <v>0</v>
      </c>
      <c r="S19" s="153">
        <v>0</v>
      </c>
      <c r="T19" s="153">
        <v>0</v>
      </c>
      <c r="U19" s="153">
        <f t="shared" si="1"/>
        <v>300</v>
      </c>
    </row>
    <row r="20" spans="1:21" ht="18" hidden="1" customHeight="1" x14ac:dyDescent="0.2">
      <c r="A20" s="150">
        <f t="shared" si="0"/>
        <v>19</v>
      </c>
      <c r="B20" s="150" t="s">
        <v>10</v>
      </c>
      <c r="C20" s="150" t="str">
        <f>VLOOKUP(B20,MEMBERS!B:C,2, )</f>
        <v>MR. JABIR SHAHZAD</v>
      </c>
      <c r="D20" s="159">
        <v>45993</v>
      </c>
      <c r="E20" s="151">
        <v>0</v>
      </c>
      <c r="F20" s="151">
        <v>150</v>
      </c>
      <c r="G20" s="151">
        <v>0</v>
      </c>
      <c r="H20" s="151">
        <v>0</v>
      </c>
      <c r="I20" s="151">
        <v>0</v>
      </c>
      <c r="J20" s="151">
        <v>0</v>
      </c>
      <c r="K20" s="151">
        <v>0</v>
      </c>
      <c r="L20" s="151">
        <v>0</v>
      </c>
      <c r="M20" s="152">
        <v>0</v>
      </c>
      <c r="N20" s="151">
        <v>0</v>
      </c>
      <c r="O20" s="151">
        <v>0</v>
      </c>
      <c r="P20" s="151">
        <v>0</v>
      </c>
      <c r="Q20" s="151">
        <v>0</v>
      </c>
      <c r="R20" s="153">
        <v>0</v>
      </c>
      <c r="S20" s="153">
        <v>0</v>
      </c>
      <c r="T20" s="153">
        <v>0</v>
      </c>
      <c r="U20" s="153">
        <f t="shared" si="1"/>
        <v>150</v>
      </c>
    </row>
    <row r="21" spans="1:21" ht="18" hidden="1" customHeight="1" x14ac:dyDescent="0.2">
      <c r="A21" s="150">
        <f t="shared" si="0"/>
        <v>20</v>
      </c>
      <c r="B21" s="150" t="s">
        <v>39</v>
      </c>
      <c r="C21" s="150" t="str">
        <f>VLOOKUP(B21,MEMBERS!B:C,2, )</f>
        <v>MR.SYED ABDULLAH ALI</v>
      </c>
      <c r="D21" s="159">
        <v>45993</v>
      </c>
      <c r="E21" s="151">
        <v>0</v>
      </c>
      <c r="F21" s="151">
        <v>150</v>
      </c>
      <c r="G21" s="151">
        <v>0</v>
      </c>
      <c r="H21" s="151">
        <v>0</v>
      </c>
      <c r="I21" s="151">
        <v>0</v>
      </c>
      <c r="J21" s="151">
        <v>0</v>
      </c>
      <c r="K21" s="151">
        <v>0</v>
      </c>
      <c r="L21" s="151">
        <v>0</v>
      </c>
      <c r="M21" s="152">
        <v>0</v>
      </c>
      <c r="N21" s="151">
        <v>0</v>
      </c>
      <c r="O21" s="151">
        <v>0</v>
      </c>
      <c r="P21" s="151">
        <v>0</v>
      </c>
      <c r="Q21" s="151">
        <v>0</v>
      </c>
      <c r="R21" s="153">
        <v>0</v>
      </c>
      <c r="S21" s="153">
        <v>0</v>
      </c>
      <c r="T21" s="153">
        <v>0</v>
      </c>
      <c r="U21" s="153">
        <f t="shared" si="1"/>
        <v>150</v>
      </c>
    </row>
    <row r="22" spans="1:21" ht="18" hidden="1" customHeight="1" x14ac:dyDescent="0.2">
      <c r="A22" s="150">
        <f t="shared" si="0"/>
        <v>21</v>
      </c>
      <c r="B22" s="150" t="s">
        <v>197</v>
      </c>
      <c r="C22" s="150" t="str">
        <f>VLOOKUP(B22,MEMBERS!B:C,2, )</f>
        <v>MR.MUHAMMAD ATIF USMANI</v>
      </c>
      <c r="D22" s="159">
        <v>45993</v>
      </c>
      <c r="E22" s="151">
        <v>0</v>
      </c>
      <c r="F22" s="151">
        <v>150</v>
      </c>
      <c r="G22" s="151">
        <v>0</v>
      </c>
      <c r="H22" s="151">
        <v>0</v>
      </c>
      <c r="I22" s="151">
        <v>0</v>
      </c>
      <c r="J22" s="151">
        <v>0</v>
      </c>
      <c r="K22" s="151">
        <v>0</v>
      </c>
      <c r="L22" s="151">
        <v>0</v>
      </c>
      <c r="M22" s="152">
        <v>0</v>
      </c>
      <c r="N22" s="151">
        <v>0</v>
      </c>
      <c r="O22" s="151">
        <v>0</v>
      </c>
      <c r="P22" s="151">
        <v>0</v>
      </c>
      <c r="Q22" s="151">
        <v>0</v>
      </c>
      <c r="R22" s="153">
        <v>0</v>
      </c>
      <c r="S22" s="153">
        <v>0</v>
      </c>
      <c r="T22" s="153">
        <v>0</v>
      </c>
      <c r="U22" s="153">
        <f t="shared" si="1"/>
        <v>150</v>
      </c>
    </row>
    <row r="23" spans="1:21" ht="18" hidden="1" customHeight="1" x14ac:dyDescent="0.2">
      <c r="A23" s="150">
        <f t="shared" si="0"/>
        <v>22</v>
      </c>
      <c r="B23" s="150" t="s">
        <v>123</v>
      </c>
      <c r="C23" s="150" t="str">
        <f>VLOOKUP(B23,MEMBERS!B:C,2, )</f>
        <v>MR.MUIED AHMED DURRANI</v>
      </c>
      <c r="D23" s="159">
        <v>45993</v>
      </c>
      <c r="E23" s="151">
        <v>0</v>
      </c>
      <c r="F23" s="151">
        <v>0</v>
      </c>
      <c r="G23" s="151">
        <v>0</v>
      </c>
      <c r="H23" s="151">
        <v>0</v>
      </c>
      <c r="I23" s="151">
        <v>0</v>
      </c>
      <c r="J23" s="151">
        <v>300</v>
      </c>
      <c r="K23" s="151">
        <v>0</v>
      </c>
      <c r="L23" s="151">
        <v>0</v>
      </c>
      <c r="M23" s="152">
        <v>0</v>
      </c>
      <c r="N23" s="151">
        <v>0</v>
      </c>
      <c r="O23" s="151">
        <v>0</v>
      </c>
      <c r="P23" s="151">
        <v>0</v>
      </c>
      <c r="Q23" s="151">
        <v>0</v>
      </c>
      <c r="R23" s="153">
        <v>0</v>
      </c>
      <c r="S23" s="153">
        <v>0</v>
      </c>
      <c r="T23" s="153">
        <v>0</v>
      </c>
      <c r="U23" s="153">
        <f t="shared" si="1"/>
        <v>300</v>
      </c>
    </row>
    <row r="24" spans="1:21" ht="18" hidden="1" customHeight="1" x14ac:dyDescent="0.2">
      <c r="A24" s="150">
        <f t="shared" si="0"/>
        <v>23</v>
      </c>
      <c r="B24" s="150" t="s">
        <v>113</v>
      </c>
      <c r="C24" s="150" t="str">
        <f>VLOOKUP(B24,MEMBERS!B:C,2, )</f>
        <v>MR.MANOJ KUMAR</v>
      </c>
      <c r="D24" s="159">
        <v>45993</v>
      </c>
      <c r="E24" s="151">
        <v>0</v>
      </c>
      <c r="F24" s="151">
        <v>0</v>
      </c>
      <c r="G24" s="151">
        <v>0</v>
      </c>
      <c r="H24" s="151">
        <v>0</v>
      </c>
      <c r="I24" s="151">
        <v>0</v>
      </c>
      <c r="J24" s="151">
        <v>300</v>
      </c>
      <c r="K24" s="151">
        <v>0</v>
      </c>
      <c r="L24" s="151">
        <v>0</v>
      </c>
      <c r="M24" s="152">
        <v>0</v>
      </c>
      <c r="N24" s="151">
        <v>0</v>
      </c>
      <c r="O24" s="151">
        <v>0</v>
      </c>
      <c r="P24" s="151">
        <v>0</v>
      </c>
      <c r="Q24" s="151">
        <v>0</v>
      </c>
      <c r="R24" s="153">
        <v>0</v>
      </c>
      <c r="S24" s="153">
        <v>0</v>
      </c>
      <c r="T24" s="153">
        <v>0</v>
      </c>
      <c r="U24" s="153">
        <f t="shared" si="1"/>
        <v>300</v>
      </c>
    </row>
    <row r="25" spans="1:21" ht="18" hidden="1" customHeight="1" x14ac:dyDescent="0.2">
      <c r="A25" s="150">
        <f t="shared" si="0"/>
        <v>24</v>
      </c>
      <c r="B25" s="150" t="s">
        <v>378</v>
      </c>
      <c r="C25" s="150" t="str">
        <f>VLOOKUP(B25,MEMBERS!B:C,2, )</f>
        <v>SABA AHSAN</v>
      </c>
      <c r="D25" s="159">
        <v>45994</v>
      </c>
      <c r="E25" s="151">
        <v>0</v>
      </c>
      <c r="F25" s="151">
        <v>0</v>
      </c>
      <c r="G25" s="151">
        <v>0</v>
      </c>
      <c r="H25" s="151">
        <v>0</v>
      </c>
      <c r="I25" s="151">
        <v>0</v>
      </c>
      <c r="J25" s="151">
        <v>0</v>
      </c>
      <c r="K25" s="151">
        <v>0</v>
      </c>
      <c r="L25" s="151">
        <v>0</v>
      </c>
      <c r="M25" s="152">
        <v>0</v>
      </c>
      <c r="N25" s="151">
        <v>0</v>
      </c>
      <c r="O25" s="151">
        <v>0</v>
      </c>
      <c r="P25" s="151">
        <v>5000</v>
      </c>
      <c r="Q25" s="151">
        <v>0</v>
      </c>
      <c r="R25" s="153">
        <v>0</v>
      </c>
      <c r="S25" s="153">
        <v>0</v>
      </c>
      <c r="T25" s="153">
        <v>0</v>
      </c>
      <c r="U25" s="153">
        <f t="shared" si="1"/>
        <v>5000</v>
      </c>
    </row>
    <row r="26" spans="1:21" ht="18" hidden="1" customHeight="1" x14ac:dyDescent="0.2">
      <c r="A26" s="150">
        <f t="shared" si="0"/>
        <v>25</v>
      </c>
      <c r="B26" s="150" t="s">
        <v>385</v>
      </c>
      <c r="C26" s="150" t="str">
        <f>VLOOKUP(B26,MEMBERS!B:C,2, )</f>
        <v>AYSM MIRZA</v>
      </c>
      <c r="D26" s="159">
        <v>45994</v>
      </c>
      <c r="E26" s="151">
        <v>0</v>
      </c>
      <c r="F26" s="151">
        <v>150</v>
      </c>
      <c r="G26" s="151">
        <v>0</v>
      </c>
      <c r="H26" s="151">
        <v>0</v>
      </c>
      <c r="I26" s="151">
        <v>0</v>
      </c>
      <c r="J26" s="151">
        <v>0</v>
      </c>
      <c r="K26" s="151">
        <v>0</v>
      </c>
      <c r="L26" s="151">
        <v>0</v>
      </c>
      <c r="M26" s="152">
        <v>0</v>
      </c>
      <c r="N26" s="151">
        <v>0</v>
      </c>
      <c r="O26" s="151">
        <v>0</v>
      </c>
      <c r="P26" s="151">
        <v>0</v>
      </c>
      <c r="Q26" s="151">
        <v>0</v>
      </c>
      <c r="R26" s="153">
        <v>0</v>
      </c>
      <c r="S26" s="153">
        <v>0</v>
      </c>
      <c r="T26" s="153">
        <v>0</v>
      </c>
      <c r="U26" s="153">
        <f t="shared" si="1"/>
        <v>150</v>
      </c>
    </row>
    <row r="27" spans="1:21" ht="18" hidden="1" customHeight="1" x14ac:dyDescent="0.2">
      <c r="A27" s="150">
        <f t="shared" si="0"/>
        <v>26</v>
      </c>
      <c r="B27" s="150" t="s">
        <v>312</v>
      </c>
      <c r="C27" s="150" t="str">
        <f>VLOOKUP(B27,MEMBERS!B:C,2, )</f>
        <v>GM GHULAM DASTAGEER</v>
      </c>
      <c r="D27" s="159">
        <v>45994</v>
      </c>
      <c r="E27" s="151">
        <v>0</v>
      </c>
      <c r="F27" s="151">
        <v>150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2">
        <v>0</v>
      </c>
      <c r="N27" s="151">
        <v>0</v>
      </c>
      <c r="O27" s="151">
        <v>0</v>
      </c>
      <c r="P27" s="151">
        <v>0</v>
      </c>
      <c r="Q27" s="151">
        <v>0</v>
      </c>
      <c r="R27" s="153">
        <v>0</v>
      </c>
      <c r="S27" s="153">
        <v>0</v>
      </c>
      <c r="T27" s="153">
        <v>0</v>
      </c>
      <c r="U27" s="153">
        <f t="shared" si="1"/>
        <v>150</v>
      </c>
    </row>
    <row r="28" spans="1:21" ht="18" hidden="1" customHeight="1" x14ac:dyDescent="0.2">
      <c r="A28" s="150">
        <f t="shared" si="0"/>
        <v>27</v>
      </c>
      <c r="B28" s="150" t="s">
        <v>69</v>
      </c>
      <c r="C28" s="150" t="str">
        <f>VLOOKUP(B28,MEMBERS!B:C,2, )</f>
        <v>MR.TARIQUE ZUBAIR</v>
      </c>
      <c r="D28" s="159">
        <v>45994</v>
      </c>
      <c r="E28" s="151">
        <v>0</v>
      </c>
      <c r="F28" s="151">
        <v>150</v>
      </c>
      <c r="G28" s="151">
        <v>0</v>
      </c>
      <c r="H28" s="151">
        <v>0</v>
      </c>
      <c r="I28" s="151">
        <v>0</v>
      </c>
      <c r="J28" s="151">
        <v>0</v>
      </c>
      <c r="K28" s="151">
        <v>0</v>
      </c>
      <c r="L28" s="151">
        <v>0</v>
      </c>
      <c r="M28" s="152">
        <v>0</v>
      </c>
      <c r="N28" s="151">
        <v>0</v>
      </c>
      <c r="O28" s="151">
        <v>0</v>
      </c>
      <c r="P28" s="151">
        <v>0</v>
      </c>
      <c r="Q28" s="151">
        <v>0</v>
      </c>
      <c r="R28" s="153">
        <v>0</v>
      </c>
      <c r="S28" s="153">
        <v>0</v>
      </c>
      <c r="T28" s="153">
        <v>0</v>
      </c>
      <c r="U28" s="153">
        <f t="shared" si="1"/>
        <v>150</v>
      </c>
    </row>
    <row r="29" spans="1:21" ht="18" hidden="1" customHeight="1" x14ac:dyDescent="0.2">
      <c r="A29" s="150">
        <f t="shared" si="0"/>
        <v>28</v>
      </c>
      <c r="B29" s="150" t="s">
        <v>83</v>
      </c>
      <c r="C29" s="150" t="str">
        <f>VLOOKUP(B29,MEMBERS!B:C,2, )</f>
        <v>DR.SANTOSH KUMAR</v>
      </c>
      <c r="D29" s="159">
        <v>45994</v>
      </c>
      <c r="E29" s="151">
        <v>0</v>
      </c>
      <c r="F29" s="151">
        <v>150</v>
      </c>
      <c r="G29" s="151">
        <v>0</v>
      </c>
      <c r="H29" s="151">
        <v>0</v>
      </c>
      <c r="I29" s="151">
        <v>0</v>
      </c>
      <c r="J29" s="151">
        <v>0</v>
      </c>
      <c r="K29" s="151">
        <v>0</v>
      </c>
      <c r="L29" s="151">
        <v>0</v>
      </c>
      <c r="M29" s="152">
        <v>0</v>
      </c>
      <c r="N29" s="151">
        <v>0</v>
      </c>
      <c r="O29" s="151">
        <v>0</v>
      </c>
      <c r="P29" s="151">
        <v>0</v>
      </c>
      <c r="Q29" s="151">
        <v>0</v>
      </c>
      <c r="R29" s="153">
        <v>0</v>
      </c>
      <c r="S29" s="153">
        <v>0</v>
      </c>
      <c r="T29" s="153">
        <v>0</v>
      </c>
      <c r="U29" s="153">
        <f t="shared" si="1"/>
        <v>150</v>
      </c>
    </row>
    <row r="30" spans="1:21" ht="18" hidden="1" customHeight="1" x14ac:dyDescent="0.2">
      <c r="A30" s="150">
        <f t="shared" si="0"/>
        <v>29</v>
      </c>
      <c r="B30" s="150" t="s">
        <v>54</v>
      </c>
      <c r="C30" s="150" t="str">
        <f>VLOOKUP(B30,MEMBERS!B:C,2, )</f>
        <v>MR.ZEESHAN IQBAL</v>
      </c>
      <c r="D30" s="159">
        <v>45994</v>
      </c>
      <c r="E30" s="151">
        <v>0</v>
      </c>
      <c r="F30" s="151">
        <f>150*2+300</f>
        <v>600</v>
      </c>
      <c r="G30" s="151">
        <v>0</v>
      </c>
      <c r="H30" s="151">
        <v>0</v>
      </c>
      <c r="I30" s="151">
        <v>0</v>
      </c>
      <c r="J30" s="151">
        <v>0</v>
      </c>
      <c r="K30" s="151">
        <v>0</v>
      </c>
      <c r="L30" s="151">
        <v>0</v>
      </c>
      <c r="M30" s="152">
        <v>0</v>
      </c>
      <c r="N30" s="151">
        <v>0</v>
      </c>
      <c r="O30" s="151">
        <v>0</v>
      </c>
      <c r="P30" s="151">
        <v>0</v>
      </c>
      <c r="Q30" s="151">
        <v>0</v>
      </c>
      <c r="R30" s="153">
        <v>0</v>
      </c>
      <c r="S30" s="153">
        <v>0</v>
      </c>
      <c r="T30" s="153">
        <v>0</v>
      </c>
      <c r="U30" s="153">
        <f t="shared" si="1"/>
        <v>600</v>
      </c>
    </row>
    <row r="31" spans="1:21" ht="18" hidden="1" customHeight="1" x14ac:dyDescent="0.2">
      <c r="A31" s="150">
        <f t="shared" si="0"/>
        <v>30</v>
      </c>
      <c r="B31" s="150" t="s">
        <v>650</v>
      </c>
      <c r="C31" s="150" t="str">
        <f>VLOOKUP(B31,MEMBERS!B:C,2, )</f>
        <v>SHAHBAZ AHMED</v>
      </c>
      <c r="D31" s="159">
        <v>45994</v>
      </c>
      <c r="E31" s="151">
        <v>0</v>
      </c>
      <c r="F31" s="151">
        <v>300</v>
      </c>
      <c r="G31" s="151">
        <v>0</v>
      </c>
      <c r="H31" s="151">
        <v>0</v>
      </c>
      <c r="I31" s="151">
        <v>0</v>
      </c>
      <c r="J31" s="151">
        <v>0</v>
      </c>
      <c r="K31" s="151">
        <v>0</v>
      </c>
      <c r="L31" s="151">
        <v>0</v>
      </c>
      <c r="M31" s="152">
        <v>0</v>
      </c>
      <c r="N31" s="151">
        <v>0</v>
      </c>
      <c r="O31" s="151">
        <v>0</v>
      </c>
      <c r="P31" s="151">
        <v>0</v>
      </c>
      <c r="Q31" s="151">
        <v>0</v>
      </c>
      <c r="R31" s="153">
        <v>0</v>
      </c>
      <c r="S31" s="153">
        <v>0</v>
      </c>
      <c r="T31" s="153">
        <v>0</v>
      </c>
      <c r="U31" s="153">
        <f t="shared" si="1"/>
        <v>300</v>
      </c>
    </row>
    <row r="32" spans="1:21" ht="18" hidden="1" customHeight="1" x14ac:dyDescent="0.2">
      <c r="A32" s="150">
        <f t="shared" si="0"/>
        <v>31</v>
      </c>
      <c r="B32" s="150" t="s">
        <v>373</v>
      </c>
      <c r="C32" s="150" t="str">
        <f>VLOOKUP(B32,MEMBERS!B:C,2, )</f>
        <v>ASIF ASHFAQ</v>
      </c>
      <c r="D32" s="159">
        <v>45994</v>
      </c>
      <c r="E32" s="151">
        <v>0</v>
      </c>
      <c r="F32" s="151">
        <f>150*2</f>
        <v>300</v>
      </c>
      <c r="G32" s="151">
        <v>0</v>
      </c>
      <c r="H32" s="151">
        <v>0</v>
      </c>
      <c r="I32" s="151">
        <v>0</v>
      </c>
      <c r="J32" s="151">
        <v>0</v>
      </c>
      <c r="K32" s="151">
        <v>0</v>
      </c>
      <c r="L32" s="151">
        <v>0</v>
      </c>
      <c r="M32" s="152">
        <v>0</v>
      </c>
      <c r="N32" s="151">
        <v>0</v>
      </c>
      <c r="O32" s="151">
        <v>0</v>
      </c>
      <c r="P32" s="151">
        <v>0</v>
      </c>
      <c r="Q32" s="151">
        <v>0</v>
      </c>
      <c r="R32" s="153">
        <v>0</v>
      </c>
      <c r="S32" s="153">
        <v>0</v>
      </c>
      <c r="T32" s="153">
        <v>0</v>
      </c>
      <c r="U32" s="153">
        <f t="shared" si="1"/>
        <v>300</v>
      </c>
    </row>
    <row r="33" spans="1:21" ht="18" hidden="1" customHeight="1" x14ac:dyDescent="0.2">
      <c r="A33" s="150">
        <f t="shared" si="0"/>
        <v>32</v>
      </c>
      <c r="B33" s="150" t="s">
        <v>217</v>
      </c>
      <c r="C33" s="150" t="str">
        <f>VLOOKUP(B33,MEMBERS!B:C,2, )</f>
        <v>MR.ZAIN FAROOQ</v>
      </c>
      <c r="D33" s="159">
        <v>45994</v>
      </c>
      <c r="E33" s="151">
        <v>0</v>
      </c>
      <c r="F33" s="151">
        <f>150*2</f>
        <v>300</v>
      </c>
      <c r="G33" s="151">
        <v>0</v>
      </c>
      <c r="H33" s="151">
        <v>0</v>
      </c>
      <c r="I33" s="151">
        <v>0</v>
      </c>
      <c r="J33" s="151">
        <v>0</v>
      </c>
      <c r="K33" s="151">
        <v>0</v>
      </c>
      <c r="L33" s="151">
        <v>0</v>
      </c>
      <c r="M33" s="152">
        <v>0</v>
      </c>
      <c r="N33" s="151">
        <v>0</v>
      </c>
      <c r="O33" s="151">
        <v>0</v>
      </c>
      <c r="P33" s="151">
        <v>0</v>
      </c>
      <c r="Q33" s="151">
        <v>0</v>
      </c>
      <c r="R33" s="153">
        <v>0</v>
      </c>
      <c r="S33" s="153">
        <v>0</v>
      </c>
      <c r="T33" s="153">
        <v>0</v>
      </c>
      <c r="U33" s="153">
        <f t="shared" si="1"/>
        <v>300</v>
      </c>
    </row>
    <row r="34" spans="1:21" ht="18" hidden="1" customHeight="1" x14ac:dyDescent="0.2">
      <c r="A34" s="150">
        <f t="shared" si="0"/>
        <v>33</v>
      </c>
      <c r="B34" s="150" t="s">
        <v>197</v>
      </c>
      <c r="C34" s="150" t="str">
        <f>VLOOKUP(B34,MEMBERS!B:C,2, )</f>
        <v>MR.MUHAMMAD ATIF USMANI</v>
      </c>
      <c r="D34" s="159">
        <v>45994</v>
      </c>
      <c r="E34" s="151">
        <v>0</v>
      </c>
      <c r="F34" s="151">
        <v>150</v>
      </c>
      <c r="G34" s="151">
        <v>0</v>
      </c>
      <c r="H34" s="151">
        <v>0</v>
      </c>
      <c r="I34" s="151">
        <v>0</v>
      </c>
      <c r="J34" s="151">
        <v>0</v>
      </c>
      <c r="K34" s="151">
        <v>0</v>
      </c>
      <c r="L34" s="151">
        <v>0</v>
      </c>
      <c r="M34" s="152">
        <v>0</v>
      </c>
      <c r="N34" s="151">
        <v>0</v>
      </c>
      <c r="O34" s="151">
        <v>0</v>
      </c>
      <c r="P34" s="151">
        <v>0</v>
      </c>
      <c r="Q34" s="151">
        <v>0</v>
      </c>
      <c r="R34" s="153">
        <v>0</v>
      </c>
      <c r="S34" s="153">
        <v>0</v>
      </c>
      <c r="T34" s="153">
        <v>0</v>
      </c>
      <c r="U34" s="153">
        <f t="shared" si="1"/>
        <v>150</v>
      </c>
    </row>
    <row r="35" spans="1:21" ht="18" hidden="1" customHeight="1" x14ac:dyDescent="0.2">
      <c r="A35" s="150">
        <f t="shared" si="0"/>
        <v>34</v>
      </c>
      <c r="B35" s="150" t="s">
        <v>1053</v>
      </c>
      <c r="C35" s="150" t="str">
        <f>VLOOKUP(B35,MEMBERS!B:C,2, )</f>
        <v>MR. ZAMIR ALI SHAH</v>
      </c>
      <c r="D35" s="159">
        <v>45995</v>
      </c>
      <c r="E35" s="151">
        <v>0</v>
      </c>
      <c r="F35" s="151">
        <v>0</v>
      </c>
      <c r="G35" s="151">
        <v>0</v>
      </c>
      <c r="H35" s="151">
        <v>0</v>
      </c>
      <c r="I35" s="151">
        <v>0</v>
      </c>
      <c r="J35" s="151">
        <v>0</v>
      </c>
      <c r="K35" s="151">
        <v>0</v>
      </c>
      <c r="L35" s="151">
        <v>0</v>
      </c>
      <c r="M35" s="152">
        <v>0</v>
      </c>
      <c r="N35" s="151">
        <v>0</v>
      </c>
      <c r="O35" s="151">
        <v>0</v>
      </c>
      <c r="P35" s="151">
        <v>16000</v>
      </c>
      <c r="Q35" s="151">
        <v>0</v>
      </c>
      <c r="R35" s="153">
        <v>0</v>
      </c>
      <c r="S35" s="153">
        <v>0</v>
      </c>
      <c r="T35" s="153">
        <v>0</v>
      </c>
      <c r="U35" s="153">
        <f t="shared" si="1"/>
        <v>16000</v>
      </c>
    </row>
    <row r="36" spans="1:21" ht="18" hidden="1" customHeight="1" x14ac:dyDescent="0.2">
      <c r="A36" s="150">
        <f t="shared" si="0"/>
        <v>35</v>
      </c>
      <c r="B36" s="150" t="s">
        <v>69</v>
      </c>
      <c r="C36" s="150" t="str">
        <f>VLOOKUP(B36,MEMBERS!B:C,2, )</f>
        <v>MR.TARIQUE ZUBAIR</v>
      </c>
      <c r="D36" s="159">
        <v>45995</v>
      </c>
      <c r="E36" s="151">
        <v>0</v>
      </c>
      <c r="F36" s="151">
        <v>150</v>
      </c>
      <c r="G36" s="151">
        <v>0</v>
      </c>
      <c r="H36" s="151">
        <v>0</v>
      </c>
      <c r="I36" s="151">
        <v>0</v>
      </c>
      <c r="J36" s="151">
        <v>0</v>
      </c>
      <c r="K36" s="151">
        <v>0</v>
      </c>
      <c r="L36" s="151">
        <v>0</v>
      </c>
      <c r="M36" s="152">
        <v>0</v>
      </c>
      <c r="N36" s="151">
        <v>0</v>
      </c>
      <c r="O36" s="151">
        <v>0</v>
      </c>
      <c r="P36" s="151">
        <v>0</v>
      </c>
      <c r="Q36" s="151">
        <v>0</v>
      </c>
      <c r="R36" s="153">
        <v>0</v>
      </c>
      <c r="S36" s="153">
        <v>0</v>
      </c>
      <c r="T36" s="153">
        <v>0</v>
      </c>
      <c r="U36" s="153">
        <f t="shared" si="1"/>
        <v>150</v>
      </c>
    </row>
    <row r="37" spans="1:21" ht="18" hidden="1" customHeight="1" x14ac:dyDescent="0.2">
      <c r="A37" s="150">
        <f t="shared" si="0"/>
        <v>36</v>
      </c>
      <c r="B37" s="150" t="s">
        <v>312</v>
      </c>
      <c r="C37" s="150" t="str">
        <f>VLOOKUP(B37,MEMBERS!B:C,2, )</f>
        <v>GM GHULAM DASTAGEER</v>
      </c>
      <c r="D37" s="159">
        <v>45995</v>
      </c>
      <c r="E37" s="151">
        <v>0</v>
      </c>
      <c r="F37" s="151">
        <v>150</v>
      </c>
      <c r="G37" s="151">
        <v>0</v>
      </c>
      <c r="H37" s="151">
        <v>0</v>
      </c>
      <c r="I37" s="151">
        <v>0</v>
      </c>
      <c r="J37" s="151">
        <v>0</v>
      </c>
      <c r="K37" s="151">
        <v>0</v>
      </c>
      <c r="L37" s="151">
        <v>0</v>
      </c>
      <c r="M37" s="152">
        <v>0</v>
      </c>
      <c r="N37" s="151">
        <v>0</v>
      </c>
      <c r="O37" s="151">
        <v>0</v>
      </c>
      <c r="P37" s="151">
        <v>0</v>
      </c>
      <c r="Q37" s="151">
        <v>0</v>
      </c>
      <c r="R37" s="153">
        <v>0</v>
      </c>
      <c r="S37" s="153">
        <v>0</v>
      </c>
      <c r="T37" s="153">
        <v>0</v>
      </c>
      <c r="U37" s="153">
        <f t="shared" si="1"/>
        <v>150</v>
      </c>
    </row>
    <row r="38" spans="1:21" ht="18" hidden="1" customHeight="1" x14ac:dyDescent="0.2">
      <c r="A38" s="150">
        <f t="shared" si="0"/>
        <v>37</v>
      </c>
      <c r="B38" s="150" t="s">
        <v>83</v>
      </c>
      <c r="C38" s="150" t="str">
        <f>VLOOKUP(B38,MEMBERS!B:C,2, )</f>
        <v>DR.SANTOSH KUMAR</v>
      </c>
      <c r="D38" s="159">
        <v>45995</v>
      </c>
      <c r="E38" s="151">
        <v>0</v>
      </c>
      <c r="F38" s="151">
        <v>150</v>
      </c>
      <c r="G38" s="151">
        <v>0</v>
      </c>
      <c r="H38" s="151">
        <v>0</v>
      </c>
      <c r="I38" s="151">
        <v>0</v>
      </c>
      <c r="J38" s="151">
        <v>0</v>
      </c>
      <c r="K38" s="151">
        <v>0</v>
      </c>
      <c r="L38" s="151">
        <v>0</v>
      </c>
      <c r="M38" s="152">
        <v>0</v>
      </c>
      <c r="N38" s="151">
        <v>0</v>
      </c>
      <c r="O38" s="151">
        <v>0</v>
      </c>
      <c r="P38" s="151">
        <v>0</v>
      </c>
      <c r="Q38" s="151">
        <v>0</v>
      </c>
      <c r="R38" s="153">
        <v>0</v>
      </c>
      <c r="S38" s="153">
        <v>0</v>
      </c>
      <c r="T38" s="153">
        <v>0</v>
      </c>
      <c r="U38" s="153">
        <f t="shared" si="1"/>
        <v>150</v>
      </c>
    </row>
    <row r="39" spans="1:21" ht="18" hidden="1" customHeight="1" x14ac:dyDescent="0.2">
      <c r="A39" s="150">
        <f t="shared" si="0"/>
        <v>38</v>
      </c>
      <c r="B39" s="150" t="s">
        <v>650</v>
      </c>
      <c r="C39" s="150" t="str">
        <f>VLOOKUP(B39,MEMBERS!B:C,2, )</f>
        <v>SHAHBAZ AHMED</v>
      </c>
      <c r="D39" s="159">
        <v>45995</v>
      </c>
      <c r="E39" s="151">
        <v>0</v>
      </c>
      <c r="F39" s="151">
        <v>300</v>
      </c>
      <c r="G39" s="151">
        <v>0</v>
      </c>
      <c r="H39" s="151">
        <v>0</v>
      </c>
      <c r="I39" s="151">
        <v>0</v>
      </c>
      <c r="J39" s="151">
        <v>0</v>
      </c>
      <c r="K39" s="151">
        <v>0</v>
      </c>
      <c r="L39" s="151">
        <v>0</v>
      </c>
      <c r="M39" s="152">
        <v>0</v>
      </c>
      <c r="N39" s="151">
        <v>0</v>
      </c>
      <c r="O39" s="151">
        <v>0</v>
      </c>
      <c r="P39" s="151">
        <v>0</v>
      </c>
      <c r="Q39" s="151">
        <v>0</v>
      </c>
      <c r="R39" s="153">
        <v>0</v>
      </c>
      <c r="S39" s="153">
        <v>0</v>
      </c>
      <c r="T39" s="153">
        <v>0</v>
      </c>
      <c r="U39" s="153">
        <f t="shared" si="1"/>
        <v>300</v>
      </c>
    </row>
    <row r="40" spans="1:21" ht="18" hidden="1" customHeight="1" x14ac:dyDescent="0.2">
      <c r="A40" s="150">
        <f t="shared" si="0"/>
        <v>39</v>
      </c>
      <c r="B40" s="150" t="s">
        <v>385</v>
      </c>
      <c r="C40" s="150" t="str">
        <f>VLOOKUP(B40,MEMBERS!B:C,2, )</f>
        <v>AYSM MIRZA</v>
      </c>
      <c r="D40" s="159">
        <v>45995</v>
      </c>
      <c r="E40" s="151">
        <v>0</v>
      </c>
      <c r="F40" s="151">
        <v>150</v>
      </c>
      <c r="G40" s="151">
        <v>0</v>
      </c>
      <c r="H40" s="151">
        <v>0</v>
      </c>
      <c r="I40" s="151">
        <v>0</v>
      </c>
      <c r="J40" s="151">
        <v>0</v>
      </c>
      <c r="K40" s="151">
        <v>0</v>
      </c>
      <c r="L40" s="151">
        <v>0</v>
      </c>
      <c r="M40" s="152">
        <v>0</v>
      </c>
      <c r="N40" s="151">
        <v>0</v>
      </c>
      <c r="O40" s="151">
        <v>0</v>
      </c>
      <c r="P40" s="151">
        <v>0</v>
      </c>
      <c r="Q40" s="151">
        <v>0</v>
      </c>
      <c r="R40" s="153">
        <v>0</v>
      </c>
      <c r="S40" s="153">
        <v>0</v>
      </c>
      <c r="T40" s="153">
        <v>0</v>
      </c>
      <c r="U40" s="153">
        <f t="shared" si="1"/>
        <v>150</v>
      </c>
    </row>
    <row r="41" spans="1:21" ht="18" hidden="1" customHeight="1" x14ac:dyDescent="0.2">
      <c r="A41" s="150">
        <f t="shared" si="0"/>
        <v>40</v>
      </c>
      <c r="B41" s="150" t="s">
        <v>217</v>
      </c>
      <c r="C41" s="150" t="str">
        <f>VLOOKUP(B41,MEMBERS!B:C,2, )</f>
        <v>MR.ZAIN FAROOQ</v>
      </c>
      <c r="D41" s="159">
        <v>45995</v>
      </c>
      <c r="E41" s="151">
        <v>0</v>
      </c>
      <c r="F41" s="151">
        <v>150</v>
      </c>
      <c r="G41" s="151">
        <v>0</v>
      </c>
      <c r="H41" s="151">
        <v>0</v>
      </c>
      <c r="I41" s="151">
        <v>0</v>
      </c>
      <c r="J41" s="151">
        <v>0</v>
      </c>
      <c r="K41" s="151">
        <v>0</v>
      </c>
      <c r="L41" s="151">
        <v>0</v>
      </c>
      <c r="M41" s="152">
        <v>0</v>
      </c>
      <c r="N41" s="151">
        <v>0</v>
      </c>
      <c r="O41" s="151">
        <v>0</v>
      </c>
      <c r="P41" s="151">
        <v>0</v>
      </c>
      <c r="Q41" s="151">
        <v>0</v>
      </c>
      <c r="R41" s="153">
        <v>0</v>
      </c>
      <c r="S41" s="153">
        <v>0</v>
      </c>
      <c r="T41" s="153">
        <v>0</v>
      </c>
      <c r="U41" s="153">
        <f t="shared" si="1"/>
        <v>150</v>
      </c>
    </row>
    <row r="42" spans="1:21" ht="18" hidden="1" customHeight="1" x14ac:dyDescent="0.2">
      <c r="A42" s="150">
        <f t="shared" si="0"/>
        <v>41</v>
      </c>
      <c r="B42" s="150" t="s">
        <v>426</v>
      </c>
      <c r="C42" s="150" t="str">
        <f>VLOOKUP(B42,MEMBERS!B:C,2, )</f>
        <v>NASIR ABBAS</v>
      </c>
      <c r="D42" s="159">
        <v>45995</v>
      </c>
      <c r="E42" s="151">
        <v>0</v>
      </c>
      <c r="F42" s="151">
        <v>150</v>
      </c>
      <c r="G42" s="151">
        <v>0</v>
      </c>
      <c r="H42" s="151">
        <v>0</v>
      </c>
      <c r="I42" s="151">
        <v>0</v>
      </c>
      <c r="J42" s="151">
        <v>0</v>
      </c>
      <c r="K42" s="151">
        <v>0</v>
      </c>
      <c r="L42" s="151">
        <v>0</v>
      </c>
      <c r="M42" s="152">
        <v>0</v>
      </c>
      <c r="N42" s="151">
        <v>0</v>
      </c>
      <c r="O42" s="151">
        <v>0</v>
      </c>
      <c r="P42" s="151">
        <v>0</v>
      </c>
      <c r="Q42" s="151">
        <v>0</v>
      </c>
      <c r="R42" s="153">
        <v>0</v>
      </c>
      <c r="S42" s="153">
        <v>0</v>
      </c>
      <c r="T42" s="153">
        <v>0</v>
      </c>
      <c r="U42" s="153">
        <f t="shared" si="1"/>
        <v>150</v>
      </c>
    </row>
    <row r="43" spans="1:21" ht="18" hidden="1" customHeight="1" x14ac:dyDescent="0.2">
      <c r="A43" s="150">
        <f t="shared" si="0"/>
        <v>42</v>
      </c>
      <c r="B43" s="150" t="s">
        <v>197</v>
      </c>
      <c r="C43" s="150" t="str">
        <f>VLOOKUP(B43,MEMBERS!B:C,2, )</f>
        <v>MR.MUHAMMAD ATIF USMANI</v>
      </c>
      <c r="D43" s="159">
        <v>45995</v>
      </c>
      <c r="E43" s="151">
        <v>0</v>
      </c>
      <c r="F43" s="151">
        <v>150</v>
      </c>
      <c r="G43" s="151">
        <v>0</v>
      </c>
      <c r="H43" s="151">
        <v>0</v>
      </c>
      <c r="I43" s="151">
        <v>0</v>
      </c>
      <c r="J43" s="151">
        <v>0</v>
      </c>
      <c r="K43" s="151">
        <v>0</v>
      </c>
      <c r="L43" s="151">
        <v>0</v>
      </c>
      <c r="M43" s="152">
        <v>0</v>
      </c>
      <c r="N43" s="151">
        <v>0</v>
      </c>
      <c r="O43" s="151">
        <v>0</v>
      </c>
      <c r="P43" s="151">
        <v>0</v>
      </c>
      <c r="Q43" s="151">
        <v>0</v>
      </c>
      <c r="R43" s="153">
        <v>0</v>
      </c>
      <c r="S43" s="153">
        <v>0</v>
      </c>
      <c r="T43" s="153">
        <v>0</v>
      </c>
      <c r="U43" s="153">
        <f t="shared" si="1"/>
        <v>150</v>
      </c>
    </row>
    <row r="44" spans="1:21" ht="18" hidden="1" customHeight="1" x14ac:dyDescent="0.2">
      <c r="A44" s="150">
        <f t="shared" si="0"/>
        <v>43</v>
      </c>
      <c r="B44" s="150" t="s">
        <v>155</v>
      </c>
      <c r="C44" s="150" t="str">
        <f>VLOOKUP(B44,MEMBERS!B:C,2, )</f>
        <v>MR.PIR MUJEEB JAN SARHANDI</v>
      </c>
      <c r="D44" s="159">
        <v>45995</v>
      </c>
      <c r="E44" s="151">
        <v>0</v>
      </c>
      <c r="F44" s="151">
        <v>150</v>
      </c>
      <c r="G44" s="151">
        <v>0</v>
      </c>
      <c r="H44" s="151">
        <v>0</v>
      </c>
      <c r="I44" s="151">
        <v>0</v>
      </c>
      <c r="J44" s="151">
        <v>0</v>
      </c>
      <c r="K44" s="151">
        <v>0</v>
      </c>
      <c r="L44" s="151">
        <v>0</v>
      </c>
      <c r="M44" s="152">
        <v>0</v>
      </c>
      <c r="N44" s="151">
        <v>0</v>
      </c>
      <c r="O44" s="151">
        <v>0</v>
      </c>
      <c r="P44" s="151">
        <v>0</v>
      </c>
      <c r="Q44" s="151">
        <v>0</v>
      </c>
      <c r="R44" s="153">
        <v>0</v>
      </c>
      <c r="S44" s="153">
        <v>0</v>
      </c>
      <c r="T44" s="153">
        <v>0</v>
      </c>
      <c r="U44" s="153">
        <f t="shared" si="1"/>
        <v>150</v>
      </c>
    </row>
    <row r="45" spans="1:21" ht="18" hidden="1" customHeight="1" x14ac:dyDescent="0.2">
      <c r="A45" s="150">
        <f t="shared" si="0"/>
        <v>44</v>
      </c>
      <c r="B45" s="150" t="s">
        <v>54</v>
      </c>
      <c r="C45" s="150" t="str">
        <f>VLOOKUP(B45,MEMBERS!B:C,2, )</f>
        <v>MR.ZEESHAN IQBAL</v>
      </c>
      <c r="D45" s="159">
        <v>45995</v>
      </c>
      <c r="E45" s="151">
        <v>0</v>
      </c>
      <c r="F45" s="151">
        <v>150</v>
      </c>
      <c r="G45" s="151">
        <v>0</v>
      </c>
      <c r="H45" s="151">
        <v>0</v>
      </c>
      <c r="I45" s="151">
        <v>0</v>
      </c>
      <c r="J45" s="151">
        <v>0</v>
      </c>
      <c r="K45" s="151">
        <v>0</v>
      </c>
      <c r="L45" s="151">
        <v>0</v>
      </c>
      <c r="M45" s="152">
        <v>0</v>
      </c>
      <c r="N45" s="151">
        <v>0</v>
      </c>
      <c r="O45" s="151">
        <v>0</v>
      </c>
      <c r="P45" s="151">
        <v>0</v>
      </c>
      <c r="Q45" s="151">
        <v>0</v>
      </c>
      <c r="R45" s="153">
        <v>0</v>
      </c>
      <c r="S45" s="153">
        <v>0</v>
      </c>
      <c r="T45" s="153">
        <v>0</v>
      </c>
      <c r="U45" s="153">
        <f t="shared" si="1"/>
        <v>150</v>
      </c>
    </row>
    <row r="46" spans="1:21" ht="18" hidden="1" customHeight="1" x14ac:dyDescent="0.2">
      <c r="A46" s="150">
        <f t="shared" si="0"/>
        <v>45</v>
      </c>
      <c r="B46" s="150" t="s">
        <v>39</v>
      </c>
      <c r="C46" s="150" t="str">
        <f>VLOOKUP(B46,MEMBERS!B:C,2, )</f>
        <v>MR.SYED ABDULLAH ALI</v>
      </c>
      <c r="D46" s="159">
        <v>45995</v>
      </c>
      <c r="E46" s="151">
        <v>0</v>
      </c>
      <c r="F46" s="151">
        <v>150</v>
      </c>
      <c r="G46" s="151">
        <v>0</v>
      </c>
      <c r="H46" s="151">
        <v>0</v>
      </c>
      <c r="I46" s="151">
        <v>0</v>
      </c>
      <c r="J46" s="151">
        <v>0</v>
      </c>
      <c r="K46" s="151">
        <v>0</v>
      </c>
      <c r="L46" s="151">
        <v>0</v>
      </c>
      <c r="M46" s="152">
        <v>0</v>
      </c>
      <c r="N46" s="151">
        <v>0</v>
      </c>
      <c r="O46" s="151">
        <v>0</v>
      </c>
      <c r="P46" s="151">
        <v>0</v>
      </c>
      <c r="Q46" s="151">
        <v>0</v>
      </c>
      <c r="R46" s="153">
        <v>0</v>
      </c>
      <c r="S46" s="153">
        <v>0</v>
      </c>
      <c r="T46" s="153">
        <v>0</v>
      </c>
      <c r="U46" s="153">
        <f t="shared" si="1"/>
        <v>150</v>
      </c>
    </row>
    <row r="47" spans="1:21" ht="18" hidden="1" customHeight="1" x14ac:dyDescent="0.2">
      <c r="A47" s="150">
        <f t="shared" si="0"/>
        <v>46</v>
      </c>
      <c r="B47" s="150" t="s">
        <v>10</v>
      </c>
      <c r="C47" s="150" t="str">
        <f>VLOOKUP(B47,MEMBERS!B:C,2, )</f>
        <v>MR. JABIR SHAHZAD</v>
      </c>
      <c r="D47" s="159">
        <v>45995</v>
      </c>
      <c r="E47" s="151">
        <v>0</v>
      </c>
      <c r="F47" s="151">
        <v>150</v>
      </c>
      <c r="G47" s="151">
        <v>0</v>
      </c>
      <c r="H47" s="151">
        <v>0</v>
      </c>
      <c r="I47" s="151">
        <v>0</v>
      </c>
      <c r="J47" s="151">
        <v>0</v>
      </c>
      <c r="K47" s="151">
        <v>0</v>
      </c>
      <c r="L47" s="151">
        <v>0</v>
      </c>
      <c r="M47" s="152">
        <v>0</v>
      </c>
      <c r="N47" s="151">
        <v>0</v>
      </c>
      <c r="O47" s="151">
        <v>0</v>
      </c>
      <c r="P47" s="151">
        <v>0</v>
      </c>
      <c r="Q47" s="151">
        <v>0</v>
      </c>
      <c r="R47" s="153">
        <v>0</v>
      </c>
      <c r="S47" s="153">
        <v>0</v>
      </c>
      <c r="T47" s="153">
        <v>0</v>
      </c>
      <c r="U47" s="153">
        <f t="shared" si="1"/>
        <v>150</v>
      </c>
    </row>
    <row r="48" spans="1:21" ht="18" hidden="1" customHeight="1" x14ac:dyDescent="0.2">
      <c r="A48" s="150">
        <f t="shared" si="0"/>
        <v>47</v>
      </c>
      <c r="B48" s="150" t="s">
        <v>192</v>
      </c>
      <c r="C48" s="150" t="str">
        <f>VLOOKUP(B48,MEMBERS!B:C,2, )</f>
        <v>MR.HANIF AHSAN ZUBEDI</v>
      </c>
      <c r="D48" s="159">
        <v>45995</v>
      </c>
      <c r="E48" s="151">
        <v>0</v>
      </c>
      <c r="F48" s="151">
        <v>0</v>
      </c>
      <c r="G48" s="151">
        <v>0</v>
      </c>
      <c r="H48" s="151">
        <v>0</v>
      </c>
      <c r="I48" s="151">
        <v>0</v>
      </c>
      <c r="J48" s="151">
        <f>300+500*3</f>
        <v>1800</v>
      </c>
      <c r="K48" s="151">
        <v>0</v>
      </c>
      <c r="L48" s="151">
        <v>0</v>
      </c>
      <c r="M48" s="152">
        <v>0</v>
      </c>
      <c r="N48" s="151">
        <v>0</v>
      </c>
      <c r="O48" s="151">
        <v>0</v>
      </c>
      <c r="P48" s="151">
        <v>0</v>
      </c>
      <c r="Q48" s="151">
        <v>0</v>
      </c>
      <c r="R48" s="153">
        <v>0</v>
      </c>
      <c r="S48" s="153">
        <v>0</v>
      </c>
      <c r="T48" s="153">
        <v>0</v>
      </c>
      <c r="U48" s="153">
        <f t="shared" si="1"/>
        <v>1800</v>
      </c>
    </row>
    <row r="49" spans="1:21" ht="18" hidden="1" customHeight="1" x14ac:dyDescent="0.2">
      <c r="A49" s="150">
        <f t="shared" si="0"/>
        <v>48</v>
      </c>
      <c r="B49" s="150" t="s">
        <v>430</v>
      </c>
      <c r="C49" s="150" t="str">
        <f>VLOOKUP(B49,MEMBERS!B:C,2, )</f>
        <v>SYED JIBRAN MUSHTAQ</v>
      </c>
      <c r="D49" s="159">
        <v>45995</v>
      </c>
      <c r="E49" s="151">
        <v>0</v>
      </c>
      <c r="F49" s="151">
        <v>0</v>
      </c>
      <c r="G49" s="151">
        <v>0</v>
      </c>
      <c r="H49" s="151">
        <v>0</v>
      </c>
      <c r="I49" s="151">
        <v>0</v>
      </c>
      <c r="J49" s="151">
        <f>300+500*5</f>
        <v>2800</v>
      </c>
      <c r="K49" s="151">
        <v>0</v>
      </c>
      <c r="L49" s="151">
        <v>0</v>
      </c>
      <c r="M49" s="152">
        <v>0</v>
      </c>
      <c r="N49" s="151">
        <v>0</v>
      </c>
      <c r="O49" s="151">
        <v>0</v>
      </c>
      <c r="P49" s="151">
        <v>0</v>
      </c>
      <c r="Q49" s="151">
        <v>0</v>
      </c>
      <c r="R49" s="153">
        <v>0</v>
      </c>
      <c r="S49" s="153">
        <v>0</v>
      </c>
      <c r="T49" s="153">
        <v>0</v>
      </c>
      <c r="U49" s="153">
        <f t="shared" si="1"/>
        <v>2800</v>
      </c>
    </row>
    <row r="50" spans="1:21" ht="18" customHeight="1" x14ac:dyDescent="0.2">
      <c r="A50" s="150">
        <f t="shared" si="0"/>
        <v>49</v>
      </c>
      <c r="B50" s="150" t="s">
        <v>376</v>
      </c>
      <c r="C50" s="150" t="str">
        <f>VLOOKUP(B50,MEMBERS!B:C,2, )</f>
        <v>KHURRAM FIRDOUS</v>
      </c>
      <c r="D50" s="159">
        <v>45996</v>
      </c>
      <c r="E50" s="151">
        <v>0</v>
      </c>
      <c r="F50" s="151">
        <v>0</v>
      </c>
      <c r="G50" s="151">
        <v>0</v>
      </c>
      <c r="H50" s="151">
        <v>0</v>
      </c>
      <c r="I50" s="151">
        <v>0</v>
      </c>
      <c r="J50" s="151">
        <v>0</v>
      </c>
      <c r="K50" s="151">
        <v>0</v>
      </c>
      <c r="L50" s="151">
        <v>0</v>
      </c>
      <c r="M50" s="152">
        <v>0</v>
      </c>
      <c r="N50" s="151">
        <v>0</v>
      </c>
      <c r="O50" s="151">
        <f>1000+1500*3</f>
        <v>5500</v>
      </c>
      <c r="P50" s="151">
        <v>0</v>
      </c>
      <c r="Q50" s="151">
        <v>0</v>
      </c>
      <c r="R50" s="153">
        <v>0</v>
      </c>
      <c r="S50" s="153">
        <v>0</v>
      </c>
      <c r="T50" s="153">
        <v>0</v>
      </c>
      <c r="U50" s="153">
        <f t="shared" si="1"/>
        <v>5500</v>
      </c>
    </row>
    <row r="51" spans="1:21" ht="18" customHeight="1" x14ac:dyDescent="0.2">
      <c r="A51" s="150">
        <f t="shared" si="0"/>
        <v>50</v>
      </c>
      <c r="B51" s="150" t="s">
        <v>650</v>
      </c>
      <c r="C51" s="150" t="str">
        <f>VLOOKUP(B51,MEMBERS!B:C,2, )</f>
        <v>SHAHBAZ AHMED</v>
      </c>
      <c r="D51" s="159">
        <v>45996</v>
      </c>
      <c r="E51" s="151">
        <v>0</v>
      </c>
      <c r="F51" s="151">
        <v>300</v>
      </c>
      <c r="G51" s="151">
        <v>0</v>
      </c>
      <c r="H51" s="151">
        <v>0</v>
      </c>
      <c r="I51" s="151">
        <v>0</v>
      </c>
      <c r="J51" s="151">
        <v>0</v>
      </c>
      <c r="K51" s="151">
        <v>0</v>
      </c>
      <c r="L51" s="151">
        <v>0</v>
      </c>
      <c r="M51" s="152">
        <v>0</v>
      </c>
      <c r="N51" s="151">
        <v>0</v>
      </c>
      <c r="O51" s="289">
        <v>6000</v>
      </c>
      <c r="P51" s="151">
        <v>0</v>
      </c>
      <c r="Q51" s="151">
        <v>0</v>
      </c>
      <c r="R51" s="153">
        <v>0</v>
      </c>
      <c r="S51" s="153">
        <v>0</v>
      </c>
      <c r="T51" s="153">
        <v>0</v>
      </c>
      <c r="U51" s="153">
        <f t="shared" si="1"/>
        <v>6300</v>
      </c>
    </row>
    <row r="52" spans="1:21" ht="18" hidden="1" customHeight="1" x14ac:dyDescent="0.2">
      <c r="A52" s="150">
        <f t="shared" si="0"/>
        <v>51</v>
      </c>
      <c r="B52" s="150" t="s">
        <v>69</v>
      </c>
      <c r="C52" s="150" t="str">
        <f>VLOOKUP(B52,MEMBERS!B:C,2, )</f>
        <v>MR.TARIQUE ZUBAIR</v>
      </c>
      <c r="D52" s="159">
        <v>45996</v>
      </c>
      <c r="E52" s="151">
        <v>0</v>
      </c>
      <c r="F52" s="151">
        <v>0</v>
      </c>
      <c r="G52" s="151">
        <v>0</v>
      </c>
      <c r="H52" s="151">
        <v>0</v>
      </c>
      <c r="I52" s="151">
        <v>0</v>
      </c>
      <c r="J52" s="151">
        <f>500*3</f>
        <v>1500</v>
      </c>
      <c r="K52" s="151">
        <v>0</v>
      </c>
      <c r="L52" s="151">
        <v>0</v>
      </c>
      <c r="M52" s="152">
        <v>0</v>
      </c>
      <c r="N52" s="151">
        <v>0</v>
      </c>
      <c r="O52" s="151">
        <v>0</v>
      </c>
      <c r="P52" s="151">
        <v>0</v>
      </c>
      <c r="Q52" s="151">
        <v>0</v>
      </c>
      <c r="R52" s="153">
        <v>0</v>
      </c>
      <c r="S52" s="153">
        <v>0</v>
      </c>
      <c r="T52" s="153">
        <v>0</v>
      </c>
      <c r="U52" s="153">
        <f t="shared" si="1"/>
        <v>1500</v>
      </c>
    </row>
    <row r="53" spans="1:21" ht="18" hidden="1" customHeight="1" x14ac:dyDescent="0.2">
      <c r="A53" s="150">
        <f t="shared" si="0"/>
        <v>52</v>
      </c>
      <c r="B53" s="150" t="s">
        <v>374</v>
      </c>
      <c r="C53" s="150" t="str">
        <f>VLOOKUP(B53,MEMBERS!B:C,2, )</f>
        <v>AAMIR RASOOL</v>
      </c>
      <c r="D53" s="159">
        <v>45996</v>
      </c>
      <c r="E53" s="151">
        <f>300+600*4</f>
        <v>2700</v>
      </c>
      <c r="F53" s="151">
        <v>0</v>
      </c>
      <c r="G53" s="151">
        <v>0</v>
      </c>
      <c r="H53" s="151">
        <v>0</v>
      </c>
      <c r="I53" s="151">
        <v>0</v>
      </c>
      <c r="J53" s="151">
        <f>300*2+500*4</f>
        <v>2600</v>
      </c>
      <c r="K53" s="151">
        <v>0</v>
      </c>
      <c r="L53" s="151">
        <v>0</v>
      </c>
      <c r="M53" s="152">
        <v>0</v>
      </c>
      <c r="N53" s="151">
        <v>0</v>
      </c>
      <c r="O53" s="151">
        <v>0</v>
      </c>
      <c r="P53" s="151">
        <v>0</v>
      </c>
      <c r="Q53" s="151">
        <v>0</v>
      </c>
      <c r="R53" s="153">
        <v>0</v>
      </c>
      <c r="S53" s="153">
        <v>0</v>
      </c>
      <c r="T53" s="153">
        <v>0</v>
      </c>
      <c r="U53" s="153">
        <f t="shared" si="1"/>
        <v>5300</v>
      </c>
    </row>
    <row r="54" spans="1:21" ht="18" hidden="1" customHeight="1" x14ac:dyDescent="0.2">
      <c r="A54" s="150">
        <f t="shared" si="0"/>
        <v>53</v>
      </c>
      <c r="B54" s="150" t="s">
        <v>385</v>
      </c>
      <c r="C54" s="150" t="str">
        <f>VLOOKUP(B54,MEMBERS!B:C,2, )</f>
        <v>AYSM MIRZA</v>
      </c>
      <c r="D54" s="159">
        <v>45996</v>
      </c>
      <c r="E54" s="151">
        <v>0</v>
      </c>
      <c r="F54" s="151">
        <v>150</v>
      </c>
      <c r="G54" s="151">
        <v>0</v>
      </c>
      <c r="H54" s="151">
        <v>0</v>
      </c>
      <c r="I54" s="151">
        <v>0</v>
      </c>
      <c r="J54" s="151">
        <f>300+500*2</f>
        <v>1300</v>
      </c>
      <c r="K54" s="151">
        <v>0</v>
      </c>
      <c r="L54" s="151">
        <v>0</v>
      </c>
      <c r="M54" s="152">
        <v>0</v>
      </c>
      <c r="N54" s="151">
        <v>0</v>
      </c>
      <c r="O54" s="151">
        <v>0</v>
      </c>
      <c r="P54" s="151">
        <v>0</v>
      </c>
      <c r="Q54" s="151">
        <v>0</v>
      </c>
      <c r="R54" s="153">
        <v>0</v>
      </c>
      <c r="S54" s="153">
        <v>0</v>
      </c>
      <c r="T54" s="153">
        <v>0</v>
      </c>
      <c r="U54" s="153">
        <f t="shared" si="1"/>
        <v>1450</v>
      </c>
    </row>
    <row r="55" spans="1:21" ht="18" hidden="1" customHeight="1" x14ac:dyDescent="0.2">
      <c r="A55" s="150">
        <f t="shared" si="0"/>
        <v>54</v>
      </c>
      <c r="B55" s="150" t="s">
        <v>44</v>
      </c>
      <c r="C55" s="150" t="str">
        <f>VLOOKUP(B55,MEMBERS!B:C,2, )</f>
        <v>MR.MUHAMMAD RIZWAN</v>
      </c>
      <c r="D55" s="159">
        <v>45996</v>
      </c>
      <c r="E55" s="151">
        <f>300+600</f>
        <v>900</v>
      </c>
      <c r="F55" s="151">
        <v>0</v>
      </c>
      <c r="G55" s="151">
        <v>0</v>
      </c>
      <c r="H55" s="151">
        <v>0</v>
      </c>
      <c r="I55" s="151">
        <v>0</v>
      </c>
      <c r="J55" s="151">
        <v>0</v>
      </c>
      <c r="K55" s="151">
        <v>0</v>
      </c>
      <c r="L55" s="151">
        <v>0</v>
      </c>
      <c r="M55" s="152">
        <v>0</v>
      </c>
      <c r="N55" s="151">
        <v>0</v>
      </c>
      <c r="O55" s="151">
        <v>0</v>
      </c>
      <c r="P55" s="151">
        <v>0</v>
      </c>
      <c r="Q55" s="151">
        <v>0</v>
      </c>
      <c r="R55" s="153">
        <v>0</v>
      </c>
      <c r="S55" s="153">
        <v>0</v>
      </c>
      <c r="T55" s="153">
        <v>0</v>
      </c>
      <c r="U55" s="153">
        <f t="shared" si="1"/>
        <v>900</v>
      </c>
    </row>
    <row r="56" spans="1:21" ht="18" hidden="1" customHeight="1" x14ac:dyDescent="0.2">
      <c r="A56" s="150">
        <f t="shared" si="0"/>
        <v>55</v>
      </c>
      <c r="B56" s="150" t="s">
        <v>373</v>
      </c>
      <c r="C56" s="150" t="str">
        <f>VLOOKUP(B56,MEMBERS!B:C,2, )</f>
        <v>ASIF ASHFAQ</v>
      </c>
      <c r="D56" s="159">
        <v>45996</v>
      </c>
      <c r="E56" s="151">
        <v>0</v>
      </c>
      <c r="F56" s="151">
        <f>150*2</f>
        <v>300</v>
      </c>
      <c r="G56" s="151">
        <v>0</v>
      </c>
      <c r="H56" s="151">
        <v>0</v>
      </c>
      <c r="I56" s="151">
        <v>0</v>
      </c>
      <c r="J56" s="151">
        <v>0</v>
      </c>
      <c r="K56" s="151">
        <v>0</v>
      </c>
      <c r="L56" s="151">
        <v>0</v>
      </c>
      <c r="M56" s="152">
        <v>0</v>
      </c>
      <c r="N56" s="151">
        <v>0</v>
      </c>
      <c r="O56" s="151">
        <v>0</v>
      </c>
      <c r="P56" s="151">
        <v>0</v>
      </c>
      <c r="Q56" s="151">
        <v>0</v>
      </c>
      <c r="R56" s="153">
        <v>0</v>
      </c>
      <c r="S56" s="153">
        <v>0</v>
      </c>
      <c r="T56" s="153">
        <v>0</v>
      </c>
      <c r="U56" s="153">
        <f t="shared" si="1"/>
        <v>300</v>
      </c>
    </row>
    <row r="57" spans="1:21" ht="18" hidden="1" customHeight="1" x14ac:dyDescent="0.2">
      <c r="A57" s="150">
        <f t="shared" si="0"/>
        <v>56</v>
      </c>
      <c r="B57" s="150" t="s">
        <v>235</v>
      </c>
      <c r="C57" s="150" t="str">
        <f>VLOOKUP(B57,MEMBERS!B:C,2, )</f>
        <v>MR.IMRAN WAZEER</v>
      </c>
      <c r="D57" s="159">
        <v>45996</v>
      </c>
      <c r="E57" s="151">
        <v>0</v>
      </c>
      <c r="F57" s="151">
        <v>150</v>
      </c>
      <c r="G57" s="151">
        <v>0</v>
      </c>
      <c r="H57" s="151">
        <v>0</v>
      </c>
      <c r="I57" s="151">
        <v>0</v>
      </c>
      <c r="J57" s="151">
        <v>0</v>
      </c>
      <c r="K57" s="151">
        <v>0</v>
      </c>
      <c r="L57" s="151">
        <v>0</v>
      </c>
      <c r="M57" s="152">
        <v>0</v>
      </c>
      <c r="N57" s="151">
        <v>0</v>
      </c>
      <c r="O57" s="151">
        <v>0</v>
      </c>
      <c r="P57" s="151">
        <v>0</v>
      </c>
      <c r="Q57" s="151">
        <v>0</v>
      </c>
      <c r="R57" s="153">
        <v>0</v>
      </c>
      <c r="S57" s="153">
        <v>0</v>
      </c>
      <c r="T57" s="153">
        <v>0</v>
      </c>
      <c r="U57" s="153">
        <f t="shared" si="1"/>
        <v>150</v>
      </c>
    </row>
    <row r="58" spans="1:21" ht="18" hidden="1" customHeight="1" x14ac:dyDescent="0.2">
      <c r="A58" s="150">
        <f t="shared" si="0"/>
        <v>57</v>
      </c>
      <c r="B58" s="150" t="s">
        <v>54</v>
      </c>
      <c r="C58" s="150" t="str">
        <f>VLOOKUP(B58,MEMBERS!B:C,2, )</f>
        <v>MR.ZEESHAN IQBAL</v>
      </c>
      <c r="D58" s="159">
        <v>45996</v>
      </c>
      <c r="E58" s="151">
        <v>0</v>
      </c>
      <c r="F58" s="151">
        <f>150*2</f>
        <v>300</v>
      </c>
      <c r="G58" s="151">
        <v>0</v>
      </c>
      <c r="H58" s="151">
        <v>0</v>
      </c>
      <c r="I58" s="151">
        <v>0</v>
      </c>
      <c r="J58" s="151">
        <v>0</v>
      </c>
      <c r="K58" s="151">
        <v>0</v>
      </c>
      <c r="L58" s="151">
        <v>0</v>
      </c>
      <c r="M58" s="152">
        <v>0</v>
      </c>
      <c r="N58" s="151">
        <v>0</v>
      </c>
      <c r="O58" s="151">
        <v>0</v>
      </c>
      <c r="P58" s="151">
        <v>0</v>
      </c>
      <c r="Q58" s="151">
        <v>0</v>
      </c>
      <c r="R58" s="153">
        <v>0</v>
      </c>
      <c r="S58" s="153">
        <v>0</v>
      </c>
      <c r="T58" s="153">
        <v>0</v>
      </c>
      <c r="U58" s="153">
        <f t="shared" si="1"/>
        <v>300</v>
      </c>
    </row>
    <row r="59" spans="1:21" ht="18" hidden="1" customHeight="1" x14ac:dyDescent="0.2">
      <c r="A59" s="150">
        <f t="shared" si="0"/>
        <v>58</v>
      </c>
      <c r="B59" s="150" t="s">
        <v>83</v>
      </c>
      <c r="C59" s="150" t="str">
        <f>VLOOKUP(B59,MEMBERS!B:C,2, )</f>
        <v>DR.SANTOSH KUMAR</v>
      </c>
      <c r="D59" s="159">
        <v>45996</v>
      </c>
      <c r="E59" s="151">
        <v>0</v>
      </c>
      <c r="F59" s="151">
        <v>150</v>
      </c>
      <c r="G59" s="151">
        <v>0</v>
      </c>
      <c r="H59" s="151">
        <v>0</v>
      </c>
      <c r="I59" s="151">
        <v>0</v>
      </c>
      <c r="J59" s="151">
        <v>0</v>
      </c>
      <c r="K59" s="151">
        <v>0</v>
      </c>
      <c r="L59" s="151">
        <v>0</v>
      </c>
      <c r="M59" s="152">
        <v>0</v>
      </c>
      <c r="N59" s="151">
        <v>0</v>
      </c>
      <c r="O59" s="151">
        <v>0</v>
      </c>
      <c r="P59" s="151">
        <v>0</v>
      </c>
      <c r="Q59" s="151">
        <v>0</v>
      </c>
      <c r="R59" s="153">
        <v>0</v>
      </c>
      <c r="S59" s="153">
        <v>0</v>
      </c>
      <c r="T59" s="153">
        <v>0</v>
      </c>
      <c r="U59" s="153">
        <f t="shared" si="1"/>
        <v>150</v>
      </c>
    </row>
    <row r="60" spans="1:21" ht="18" hidden="1" customHeight="1" x14ac:dyDescent="0.2">
      <c r="A60" s="150">
        <f t="shared" si="0"/>
        <v>59</v>
      </c>
      <c r="B60" s="150" t="s">
        <v>217</v>
      </c>
      <c r="C60" s="150" t="str">
        <f>VLOOKUP(B60,MEMBERS!B:C,2, )</f>
        <v>MR.ZAIN FAROOQ</v>
      </c>
      <c r="D60" s="159">
        <v>45996</v>
      </c>
      <c r="E60" s="151">
        <v>0</v>
      </c>
      <c r="F60" s="151">
        <v>150</v>
      </c>
      <c r="G60" s="151">
        <v>0</v>
      </c>
      <c r="H60" s="151">
        <v>0</v>
      </c>
      <c r="I60" s="151">
        <v>0</v>
      </c>
      <c r="J60" s="151">
        <v>0</v>
      </c>
      <c r="K60" s="151">
        <v>0</v>
      </c>
      <c r="L60" s="151">
        <v>0</v>
      </c>
      <c r="M60" s="152">
        <v>0</v>
      </c>
      <c r="N60" s="151">
        <v>0</v>
      </c>
      <c r="O60" s="151">
        <v>0</v>
      </c>
      <c r="P60" s="151">
        <v>0</v>
      </c>
      <c r="Q60" s="151">
        <v>0</v>
      </c>
      <c r="R60" s="153">
        <v>0</v>
      </c>
      <c r="S60" s="153">
        <v>0</v>
      </c>
      <c r="T60" s="153">
        <v>0</v>
      </c>
      <c r="U60" s="153">
        <f t="shared" si="1"/>
        <v>150</v>
      </c>
    </row>
    <row r="61" spans="1:21" ht="18" hidden="1" customHeight="1" x14ac:dyDescent="0.2">
      <c r="A61" s="150">
        <f t="shared" si="0"/>
        <v>60</v>
      </c>
      <c r="B61" s="150" t="s">
        <v>426</v>
      </c>
      <c r="C61" s="150" t="str">
        <f>VLOOKUP(B61,MEMBERS!B:C,2, )</f>
        <v>NASIR ABBAS</v>
      </c>
      <c r="D61" s="159">
        <v>45996</v>
      </c>
      <c r="E61" s="151">
        <v>0</v>
      </c>
      <c r="F61" s="151">
        <f>150*2</f>
        <v>300</v>
      </c>
      <c r="G61" s="151">
        <v>0</v>
      </c>
      <c r="H61" s="151">
        <v>0</v>
      </c>
      <c r="I61" s="151">
        <v>0</v>
      </c>
      <c r="J61" s="151">
        <v>0</v>
      </c>
      <c r="K61" s="151">
        <v>0</v>
      </c>
      <c r="L61" s="151">
        <v>0</v>
      </c>
      <c r="M61" s="152">
        <v>0</v>
      </c>
      <c r="N61" s="151">
        <v>0</v>
      </c>
      <c r="O61" s="151">
        <v>0</v>
      </c>
      <c r="P61" s="151">
        <v>0</v>
      </c>
      <c r="Q61" s="151">
        <v>0</v>
      </c>
      <c r="R61" s="153">
        <v>0</v>
      </c>
      <c r="S61" s="153">
        <v>0</v>
      </c>
      <c r="T61" s="153">
        <v>0</v>
      </c>
      <c r="U61" s="153">
        <f t="shared" si="1"/>
        <v>300</v>
      </c>
    </row>
    <row r="62" spans="1:21" ht="18" hidden="1" customHeight="1" x14ac:dyDescent="0.2">
      <c r="A62" s="150">
        <f t="shared" si="0"/>
        <v>61</v>
      </c>
      <c r="B62" s="150" t="s">
        <v>10</v>
      </c>
      <c r="C62" s="150" t="str">
        <f>VLOOKUP(B62,MEMBERS!B:C,2, )</f>
        <v>MR. JABIR SHAHZAD</v>
      </c>
      <c r="D62" s="159">
        <v>45996</v>
      </c>
      <c r="E62" s="151">
        <v>0</v>
      </c>
      <c r="F62" s="151">
        <v>150</v>
      </c>
      <c r="G62" s="151">
        <v>0</v>
      </c>
      <c r="H62" s="151">
        <v>0</v>
      </c>
      <c r="I62" s="151">
        <v>0</v>
      </c>
      <c r="J62" s="151">
        <v>0</v>
      </c>
      <c r="K62" s="151">
        <v>0</v>
      </c>
      <c r="L62" s="151">
        <v>0</v>
      </c>
      <c r="M62" s="152">
        <v>0</v>
      </c>
      <c r="N62" s="151">
        <v>0</v>
      </c>
      <c r="O62" s="151">
        <v>0</v>
      </c>
      <c r="P62" s="151">
        <v>0</v>
      </c>
      <c r="Q62" s="151">
        <v>0</v>
      </c>
      <c r="R62" s="153">
        <v>0</v>
      </c>
      <c r="S62" s="153">
        <v>0</v>
      </c>
      <c r="T62" s="153">
        <v>0</v>
      </c>
      <c r="U62" s="153">
        <f t="shared" si="1"/>
        <v>150</v>
      </c>
    </row>
    <row r="63" spans="1:21" ht="18" customHeight="1" x14ac:dyDescent="0.2">
      <c r="A63" s="150">
        <f t="shared" si="0"/>
        <v>62</v>
      </c>
      <c r="B63" s="150" t="s">
        <v>756</v>
      </c>
      <c r="C63" s="150" t="s">
        <v>1173</v>
      </c>
      <c r="D63" s="159">
        <v>45997</v>
      </c>
      <c r="E63" s="151">
        <v>0</v>
      </c>
      <c r="F63" s="151">
        <v>0</v>
      </c>
      <c r="G63" s="151">
        <v>0</v>
      </c>
      <c r="H63" s="151">
        <v>0</v>
      </c>
      <c r="I63" s="151">
        <v>0</v>
      </c>
      <c r="J63" s="151">
        <v>0</v>
      </c>
      <c r="K63" s="151">
        <v>0</v>
      </c>
      <c r="L63" s="151">
        <v>0</v>
      </c>
      <c r="M63" s="152">
        <v>0</v>
      </c>
      <c r="N63" s="151">
        <v>0</v>
      </c>
      <c r="O63" s="289">
        <v>11200</v>
      </c>
      <c r="P63" s="151">
        <v>0</v>
      </c>
      <c r="Q63" s="151">
        <v>0</v>
      </c>
      <c r="R63" s="153">
        <v>0</v>
      </c>
      <c r="S63" s="153">
        <v>0</v>
      </c>
      <c r="T63" s="153">
        <v>0</v>
      </c>
      <c r="U63" s="153">
        <f t="shared" si="1"/>
        <v>11200</v>
      </c>
    </row>
    <row r="64" spans="1:21" ht="18" customHeight="1" x14ac:dyDescent="0.2">
      <c r="A64" s="150">
        <f t="shared" si="0"/>
        <v>63</v>
      </c>
      <c r="B64" s="150" t="s">
        <v>235</v>
      </c>
      <c r="C64" s="150" t="str">
        <f>VLOOKUP(B64,MEMBERS!B:C,2, )</f>
        <v>MR.IMRAN WAZEER</v>
      </c>
      <c r="D64" s="159">
        <v>45997</v>
      </c>
      <c r="E64" s="151">
        <v>0</v>
      </c>
      <c r="F64" s="151">
        <v>150</v>
      </c>
      <c r="G64" s="151">
        <v>0</v>
      </c>
      <c r="H64" s="151">
        <v>0</v>
      </c>
      <c r="I64" s="151">
        <v>0</v>
      </c>
      <c r="J64" s="151">
        <f>300*3</f>
        <v>900</v>
      </c>
      <c r="K64" s="151">
        <v>0</v>
      </c>
      <c r="L64" s="151">
        <v>0</v>
      </c>
      <c r="M64" s="152">
        <v>0</v>
      </c>
      <c r="N64" s="151">
        <v>0</v>
      </c>
      <c r="O64" s="151">
        <v>2250</v>
      </c>
      <c r="P64" s="151">
        <v>0</v>
      </c>
      <c r="Q64" s="151">
        <v>0</v>
      </c>
      <c r="R64" s="153">
        <v>0</v>
      </c>
      <c r="S64" s="153">
        <v>0</v>
      </c>
      <c r="T64" s="153">
        <v>0</v>
      </c>
      <c r="U64" s="153">
        <f t="shared" si="1"/>
        <v>3300</v>
      </c>
    </row>
    <row r="65" spans="1:21" ht="18" customHeight="1" x14ac:dyDescent="0.2">
      <c r="A65" s="150">
        <f t="shared" si="0"/>
        <v>64</v>
      </c>
      <c r="B65" s="150" t="s">
        <v>1053</v>
      </c>
      <c r="C65" s="150" t="str">
        <f>VLOOKUP(B65,MEMBERS!B:C,2, )</f>
        <v>MR. ZAMIR ALI SHAH</v>
      </c>
      <c r="D65" s="159">
        <v>45997</v>
      </c>
      <c r="E65" s="151">
        <v>0</v>
      </c>
      <c r="F65" s="151">
        <v>0</v>
      </c>
      <c r="G65" s="151">
        <v>0</v>
      </c>
      <c r="H65" s="151">
        <v>0</v>
      </c>
      <c r="I65" s="151">
        <v>0</v>
      </c>
      <c r="J65" s="151">
        <f>500*6</f>
        <v>3000</v>
      </c>
      <c r="K65" s="151">
        <v>0</v>
      </c>
      <c r="L65" s="151">
        <v>0</v>
      </c>
      <c r="M65" s="152">
        <v>0</v>
      </c>
      <c r="N65" s="151">
        <v>0</v>
      </c>
      <c r="O65" s="151">
        <v>4000</v>
      </c>
      <c r="P65" s="151">
        <v>0</v>
      </c>
      <c r="Q65" s="151">
        <v>0</v>
      </c>
      <c r="R65" s="153">
        <v>0</v>
      </c>
      <c r="S65" s="153">
        <v>0</v>
      </c>
      <c r="T65" s="153">
        <v>0</v>
      </c>
      <c r="U65" s="153">
        <f t="shared" si="1"/>
        <v>7000</v>
      </c>
    </row>
    <row r="66" spans="1:21" ht="18" hidden="1" customHeight="1" x14ac:dyDescent="0.2">
      <c r="A66" s="150">
        <f t="shared" ref="A66:A129" si="2">IF(D66&lt;&gt;"", ROW()-1, "")</f>
        <v>65</v>
      </c>
      <c r="B66" s="150" t="s">
        <v>54</v>
      </c>
      <c r="C66" s="150" t="str">
        <f>VLOOKUP(B66,MEMBERS!B:C,2, )</f>
        <v>MR.ZEESHAN IQBAL</v>
      </c>
      <c r="D66" s="159">
        <v>45997</v>
      </c>
      <c r="E66" s="151">
        <v>0</v>
      </c>
      <c r="F66" s="151">
        <f>150*2</f>
        <v>300</v>
      </c>
      <c r="G66" s="151">
        <v>0</v>
      </c>
      <c r="H66" s="151">
        <v>0</v>
      </c>
      <c r="I66" s="151">
        <v>0</v>
      </c>
      <c r="J66" s="151">
        <v>0</v>
      </c>
      <c r="K66" s="151">
        <v>0</v>
      </c>
      <c r="L66" s="151">
        <v>0</v>
      </c>
      <c r="M66" s="152">
        <v>0</v>
      </c>
      <c r="N66" s="151">
        <v>0</v>
      </c>
      <c r="O66" s="151">
        <v>0</v>
      </c>
      <c r="P66" s="151">
        <v>0</v>
      </c>
      <c r="Q66" s="151">
        <v>0</v>
      </c>
      <c r="R66" s="153">
        <v>0</v>
      </c>
      <c r="S66" s="153">
        <v>0</v>
      </c>
      <c r="T66" s="153">
        <v>0</v>
      </c>
      <c r="U66" s="153">
        <f t="shared" si="1"/>
        <v>300</v>
      </c>
    </row>
    <row r="67" spans="1:21" ht="18" hidden="1" customHeight="1" x14ac:dyDescent="0.2">
      <c r="A67" s="150">
        <f t="shared" si="2"/>
        <v>66</v>
      </c>
      <c r="B67" s="150" t="s">
        <v>39</v>
      </c>
      <c r="C67" s="150" t="str">
        <f>VLOOKUP(B67,MEMBERS!B:C,2, )</f>
        <v>MR.SYED ABDULLAH ALI</v>
      </c>
      <c r="D67" s="159">
        <v>45997</v>
      </c>
      <c r="E67" s="151">
        <v>0</v>
      </c>
      <c r="F67" s="151">
        <v>150</v>
      </c>
      <c r="G67" s="151">
        <v>0</v>
      </c>
      <c r="H67" s="151">
        <v>0</v>
      </c>
      <c r="I67" s="151">
        <v>0</v>
      </c>
      <c r="J67" s="151">
        <v>0</v>
      </c>
      <c r="K67" s="151">
        <v>0</v>
      </c>
      <c r="L67" s="151">
        <v>0</v>
      </c>
      <c r="M67" s="152">
        <v>0</v>
      </c>
      <c r="N67" s="151">
        <v>0</v>
      </c>
      <c r="O67" s="151">
        <v>0</v>
      </c>
      <c r="P67" s="151">
        <v>0</v>
      </c>
      <c r="Q67" s="151">
        <v>0</v>
      </c>
      <c r="R67" s="153">
        <v>0</v>
      </c>
      <c r="S67" s="153">
        <v>0</v>
      </c>
      <c r="T67" s="153">
        <v>0</v>
      </c>
      <c r="U67" s="153">
        <f t="shared" ref="U67:U129" si="3">SUM(E67:T67)</f>
        <v>150</v>
      </c>
    </row>
    <row r="68" spans="1:21" ht="18" hidden="1" customHeight="1" x14ac:dyDescent="0.2">
      <c r="A68" s="150">
        <f t="shared" si="2"/>
        <v>67</v>
      </c>
      <c r="B68" s="150" t="s">
        <v>192</v>
      </c>
      <c r="C68" s="150" t="str">
        <f>VLOOKUP(B68,MEMBERS!B:C,2, )</f>
        <v>MR.HANIF AHSAN ZUBEDI</v>
      </c>
      <c r="D68" s="159">
        <v>45997</v>
      </c>
      <c r="E68" s="151">
        <v>0</v>
      </c>
      <c r="F68" s="151">
        <f>150*2+300</f>
        <v>600</v>
      </c>
      <c r="G68" s="151">
        <v>0</v>
      </c>
      <c r="H68" s="151">
        <v>0</v>
      </c>
      <c r="I68" s="151">
        <v>0</v>
      </c>
      <c r="J68" s="151">
        <f>300*2+500</f>
        <v>1100</v>
      </c>
      <c r="K68" s="151">
        <v>0</v>
      </c>
      <c r="L68" s="151">
        <v>0</v>
      </c>
      <c r="M68" s="152">
        <v>0</v>
      </c>
      <c r="N68" s="151">
        <v>0</v>
      </c>
      <c r="O68" s="151">
        <v>0</v>
      </c>
      <c r="P68" s="151">
        <v>0</v>
      </c>
      <c r="Q68" s="151">
        <v>0</v>
      </c>
      <c r="R68" s="153">
        <v>0</v>
      </c>
      <c r="S68" s="153">
        <v>0</v>
      </c>
      <c r="T68" s="153">
        <v>0</v>
      </c>
      <c r="U68" s="153">
        <f t="shared" si="3"/>
        <v>1700</v>
      </c>
    </row>
    <row r="69" spans="1:21" ht="18" hidden="1" customHeight="1" x14ac:dyDescent="0.2">
      <c r="A69" s="150">
        <f t="shared" si="2"/>
        <v>68</v>
      </c>
      <c r="B69" s="150" t="s">
        <v>217</v>
      </c>
      <c r="C69" s="150" t="str">
        <f>VLOOKUP(B69,MEMBERS!B:C,2, )</f>
        <v>MR.ZAIN FAROOQ</v>
      </c>
      <c r="D69" s="159">
        <v>45997</v>
      </c>
      <c r="E69" s="151">
        <v>0</v>
      </c>
      <c r="F69" s="151">
        <v>150</v>
      </c>
      <c r="G69" s="151">
        <v>0</v>
      </c>
      <c r="H69" s="151">
        <v>0</v>
      </c>
      <c r="I69" s="151">
        <v>0</v>
      </c>
      <c r="J69" s="151">
        <v>0</v>
      </c>
      <c r="K69" s="151">
        <v>0</v>
      </c>
      <c r="L69" s="151">
        <v>0</v>
      </c>
      <c r="M69" s="152">
        <v>0</v>
      </c>
      <c r="N69" s="151">
        <v>0</v>
      </c>
      <c r="O69" s="151">
        <v>0</v>
      </c>
      <c r="P69" s="151">
        <v>0</v>
      </c>
      <c r="Q69" s="151">
        <v>0</v>
      </c>
      <c r="R69" s="153">
        <v>0</v>
      </c>
      <c r="S69" s="153">
        <v>0</v>
      </c>
      <c r="T69" s="153">
        <v>0</v>
      </c>
      <c r="U69" s="153">
        <f t="shared" si="3"/>
        <v>150</v>
      </c>
    </row>
    <row r="70" spans="1:21" ht="18" hidden="1" customHeight="1" x14ac:dyDescent="0.2">
      <c r="A70" s="150">
        <f t="shared" si="2"/>
        <v>69</v>
      </c>
      <c r="B70" s="150" t="s">
        <v>426</v>
      </c>
      <c r="C70" s="150" t="str">
        <f>VLOOKUP(B70,MEMBERS!B:C,2, )</f>
        <v>NASIR ABBAS</v>
      </c>
      <c r="D70" s="159">
        <v>45997</v>
      </c>
      <c r="E70" s="151">
        <v>0</v>
      </c>
      <c r="F70" s="151">
        <v>150</v>
      </c>
      <c r="G70" s="151">
        <v>0</v>
      </c>
      <c r="H70" s="151">
        <v>0</v>
      </c>
      <c r="I70" s="151">
        <v>0</v>
      </c>
      <c r="J70" s="151">
        <v>0</v>
      </c>
      <c r="K70" s="151">
        <v>0</v>
      </c>
      <c r="L70" s="151">
        <v>0</v>
      </c>
      <c r="M70" s="152">
        <v>0</v>
      </c>
      <c r="N70" s="151">
        <v>0</v>
      </c>
      <c r="O70" s="151">
        <v>0</v>
      </c>
      <c r="P70" s="151">
        <v>0</v>
      </c>
      <c r="Q70" s="151">
        <v>0</v>
      </c>
      <c r="R70" s="153">
        <v>0</v>
      </c>
      <c r="S70" s="153">
        <v>0</v>
      </c>
      <c r="T70" s="153">
        <v>0</v>
      </c>
      <c r="U70" s="153">
        <f t="shared" si="3"/>
        <v>150</v>
      </c>
    </row>
    <row r="71" spans="1:21" ht="18" hidden="1" customHeight="1" x14ac:dyDescent="0.2">
      <c r="A71" s="150">
        <f t="shared" si="2"/>
        <v>70</v>
      </c>
      <c r="B71" s="150" t="s">
        <v>25</v>
      </c>
      <c r="C71" s="150" t="str">
        <f>VLOOKUP(B71,MEMBERS!B:C,2, )</f>
        <v>MR.MUHAMMAD ARIF</v>
      </c>
      <c r="D71" s="159">
        <v>45997</v>
      </c>
      <c r="E71" s="151">
        <f>300*3+600*3</f>
        <v>2700</v>
      </c>
      <c r="F71" s="151">
        <v>0</v>
      </c>
      <c r="G71" s="151">
        <v>0</v>
      </c>
      <c r="H71" s="151">
        <v>0</v>
      </c>
      <c r="I71" s="151">
        <v>0</v>
      </c>
      <c r="J71" s="151">
        <f>300*2</f>
        <v>600</v>
      </c>
      <c r="K71" s="151">
        <v>0</v>
      </c>
      <c r="L71" s="151">
        <v>0</v>
      </c>
      <c r="M71" s="152">
        <v>0</v>
      </c>
      <c r="N71" s="151">
        <v>0</v>
      </c>
      <c r="O71" s="151">
        <v>0</v>
      </c>
      <c r="P71" s="151">
        <v>0</v>
      </c>
      <c r="Q71" s="151">
        <v>0</v>
      </c>
      <c r="R71" s="153">
        <v>0</v>
      </c>
      <c r="S71" s="153">
        <v>0</v>
      </c>
      <c r="T71" s="153">
        <v>0</v>
      </c>
      <c r="U71" s="153">
        <f t="shared" si="3"/>
        <v>3300</v>
      </c>
    </row>
    <row r="72" spans="1:21" ht="18" hidden="1" customHeight="1" x14ac:dyDescent="0.2">
      <c r="A72" s="150">
        <f t="shared" si="2"/>
        <v>71</v>
      </c>
      <c r="B72" s="150" t="s">
        <v>1051</v>
      </c>
      <c r="C72" s="150" t="str">
        <f>VLOOKUP(B72,MEMBERS!B:C,2, )</f>
        <v>MR. ZAHIR REHMAN</v>
      </c>
      <c r="D72" s="159">
        <v>45997</v>
      </c>
      <c r="E72" s="151">
        <v>0</v>
      </c>
      <c r="F72" s="151">
        <v>0</v>
      </c>
      <c r="G72" s="151">
        <v>0</v>
      </c>
      <c r="H72" s="151">
        <v>0</v>
      </c>
      <c r="I72" s="151">
        <v>0</v>
      </c>
      <c r="J72" s="151">
        <f>300*5</f>
        <v>1500</v>
      </c>
      <c r="K72" s="151">
        <v>0</v>
      </c>
      <c r="L72" s="151">
        <v>0</v>
      </c>
      <c r="M72" s="152">
        <v>0</v>
      </c>
      <c r="N72" s="151">
        <v>0</v>
      </c>
      <c r="O72" s="151">
        <v>0</v>
      </c>
      <c r="P72" s="151">
        <v>0</v>
      </c>
      <c r="Q72" s="151">
        <v>0</v>
      </c>
      <c r="R72" s="153">
        <v>0</v>
      </c>
      <c r="S72" s="153">
        <v>0</v>
      </c>
      <c r="T72" s="153">
        <v>0</v>
      </c>
      <c r="U72" s="153">
        <f t="shared" si="3"/>
        <v>1500</v>
      </c>
    </row>
    <row r="73" spans="1:21" ht="18" hidden="1" customHeight="1" x14ac:dyDescent="0.2">
      <c r="A73" s="150">
        <f t="shared" si="2"/>
        <v>72</v>
      </c>
      <c r="B73" s="150" t="s">
        <v>308</v>
      </c>
      <c r="C73" s="150" t="str">
        <f>VLOOKUP(B73,MEMBERS!B:C,2, )</f>
        <v>DGM AZFAR ALI</v>
      </c>
      <c r="D73" s="159">
        <v>45997</v>
      </c>
      <c r="E73" s="151">
        <v>0</v>
      </c>
      <c r="F73" s="151">
        <v>0</v>
      </c>
      <c r="G73" s="151">
        <v>0</v>
      </c>
      <c r="H73" s="151">
        <v>0</v>
      </c>
      <c r="I73" s="151">
        <v>0</v>
      </c>
      <c r="J73" s="151">
        <f>300*2</f>
        <v>600</v>
      </c>
      <c r="K73" s="151">
        <v>0</v>
      </c>
      <c r="L73" s="151">
        <v>0</v>
      </c>
      <c r="M73" s="152">
        <v>0</v>
      </c>
      <c r="N73" s="151">
        <v>0</v>
      </c>
      <c r="O73" s="151">
        <v>0</v>
      </c>
      <c r="P73" s="151">
        <v>0</v>
      </c>
      <c r="Q73" s="151">
        <v>0</v>
      </c>
      <c r="R73" s="153">
        <v>0</v>
      </c>
      <c r="S73" s="153">
        <v>0</v>
      </c>
      <c r="T73" s="153">
        <v>0</v>
      </c>
      <c r="U73" s="153">
        <f t="shared" si="3"/>
        <v>600</v>
      </c>
    </row>
    <row r="74" spans="1:21" ht="18" hidden="1" customHeight="1" x14ac:dyDescent="0.2">
      <c r="A74" s="150">
        <f t="shared" si="2"/>
        <v>73</v>
      </c>
      <c r="B74" s="150" t="s">
        <v>73</v>
      </c>
      <c r="C74" s="150" t="str">
        <f>VLOOKUP(B74,MEMBERS!B:C,2, )</f>
        <v>MR.ATIF SHAFQAT</v>
      </c>
      <c r="D74" s="159">
        <v>45997</v>
      </c>
      <c r="E74" s="151">
        <v>0</v>
      </c>
      <c r="F74" s="151">
        <v>0</v>
      </c>
      <c r="G74" s="151">
        <v>0</v>
      </c>
      <c r="H74" s="151">
        <v>0</v>
      </c>
      <c r="I74" s="151">
        <v>0</v>
      </c>
      <c r="J74" s="151">
        <f>300*2</f>
        <v>600</v>
      </c>
      <c r="K74" s="151">
        <v>0</v>
      </c>
      <c r="L74" s="151">
        <v>0</v>
      </c>
      <c r="M74" s="152">
        <v>0</v>
      </c>
      <c r="N74" s="151">
        <v>0</v>
      </c>
      <c r="O74" s="151">
        <v>0</v>
      </c>
      <c r="P74" s="151">
        <v>0</v>
      </c>
      <c r="Q74" s="151">
        <v>0</v>
      </c>
      <c r="R74" s="153">
        <v>0</v>
      </c>
      <c r="S74" s="153">
        <v>0</v>
      </c>
      <c r="T74" s="153">
        <v>0</v>
      </c>
      <c r="U74" s="153">
        <f t="shared" si="3"/>
        <v>600</v>
      </c>
    </row>
    <row r="75" spans="1:21" ht="18" hidden="1" customHeight="1" x14ac:dyDescent="0.2">
      <c r="A75" s="150">
        <f t="shared" si="2"/>
        <v>74</v>
      </c>
      <c r="B75" s="150" t="s">
        <v>418</v>
      </c>
      <c r="C75" s="150" t="str">
        <f>VLOOKUP(B75,MEMBERS!B:C,2, )</f>
        <v>ZAIB UR REHMAN</v>
      </c>
      <c r="D75" s="159">
        <v>45997</v>
      </c>
      <c r="E75" s="151">
        <v>0</v>
      </c>
      <c r="F75" s="151">
        <v>0</v>
      </c>
      <c r="G75" s="151">
        <v>0</v>
      </c>
      <c r="H75" s="151">
        <v>0</v>
      </c>
      <c r="I75" s="151">
        <v>0</v>
      </c>
      <c r="J75" s="151">
        <f>300*4+500*2</f>
        <v>2200</v>
      </c>
      <c r="K75" s="151">
        <v>0</v>
      </c>
      <c r="L75" s="151">
        <v>0</v>
      </c>
      <c r="M75" s="152">
        <v>0</v>
      </c>
      <c r="N75" s="151">
        <v>0</v>
      </c>
      <c r="O75" s="151">
        <v>0</v>
      </c>
      <c r="P75" s="151">
        <v>0</v>
      </c>
      <c r="Q75" s="151">
        <v>0</v>
      </c>
      <c r="R75" s="153">
        <v>0</v>
      </c>
      <c r="S75" s="153">
        <v>0</v>
      </c>
      <c r="T75" s="153">
        <v>0</v>
      </c>
      <c r="U75" s="153">
        <f t="shared" si="3"/>
        <v>2200</v>
      </c>
    </row>
    <row r="76" spans="1:21" ht="18" hidden="1" customHeight="1" x14ac:dyDescent="0.2">
      <c r="A76" s="150">
        <f t="shared" si="2"/>
        <v>75</v>
      </c>
      <c r="B76" s="150" t="s">
        <v>756</v>
      </c>
      <c r="C76" s="150" t="s">
        <v>1173</v>
      </c>
      <c r="D76" s="159">
        <v>45997</v>
      </c>
      <c r="E76" s="151">
        <v>0</v>
      </c>
      <c r="F76" s="151">
        <v>0</v>
      </c>
      <c r="G76" s="151">
        <v>0</v>
      </c>
      <c r="H76" s="151">
        <v>0</v>
      </c>
      <c r="I76" s="151">
        <v>0</v>
      </c>
      <c r="J76" s="289">
        <v>500</v>
      </c>
      <c r="K76" s="151">
        <v>0</v>
      </c>
      <c r="L76" s="151">
        <v>0</v>
      </c>
      <c r="M76" s="152">
        <v>0</v>
      </c>
      <c r="N76" s="151">
        <v>0</v>
      </c>
      <c r="O76" s="151">
        <v>0</v>
      </c>
      <c r="P76" s="151">
        <v>0</v>
      </c>
      <c r="Q76" s="151">
        <v>0</v>
      </c>
      <c r="R76" s="153">
        <v>0</v>
      </c>
      <c r="S76" s="153">
        <v>0</v>
      </c>
      <c r="T76" s="153">
        <v>0</v>
      </c>
      <c r="U76" s="153">
        <f t="shared" si="3"/>
        <v>500</v>
      </c>
    </row>
    <row r="77" spans="1:21" ht="18" hidden="1" customHeight="1" x14ac:dyDescent="0.2">
      <c r="A77" s="150">
        <f t="shared" si="2"/>
        <v>76</v>
      </c>
      <c r="B77" s="150" t="s">
        <v>34</v>
      </c>
      <c r="C77" s="150" t="str">
        <f>VLOOKUP(B77,MEMBERS!B:C,2, )</f>
        <v>MR.SHIRAZ AHMED</v>
      </c>
      <c r="D77" s="159">
        <v>45997</v>
      </c>
      <c r="E77" s="289">
        <f>600*4</f>
        <v>2400</v>
      </c>
      <c r="F77" s="151">
        <v>0</v>
      </c>
      <c r="G77" s="151">
        <v>0</v>
      </c>
      <c r="H77" s="151">
        <v>0</v>
      </c>
      <c r="I77" s="151">
        <v>0</v>
      </c>
      <c r="J77" s="151">
        <v>0</v>
      </c>
      <c r="K77" s="151">
        <v>0</v>
      </c>
      <c r="L77" s="151">
        <v>0</v>
      </c>
      <c r="M77" s="152">
        <v>0</v>
      </c>
      <c r="N77" s="151">
        <v>0</v>
      </c>
      <c r="O77" s="151">
        <v>0</v>
      </c>
      <c r="P77" s="151">
        <v>0</v>
      </c>
      <c r="Q77" s="151">
        <v>0</v>
      </c>
      <c r="R77" s="153">
        <v>0</v>
      </c>
      <c r="S77" s="153">
        <v>0</v>
      </c>
      <c r="T77" s="153">
        <v>0</v>
      </c>
      <c r="U77" s="153">
        <f t="shared" si="3"/>
        <v>2400</v>
      </c>
    </row>
    <row r="78" spans="1:21" ht="18" hidden="1" customHeight="1" x14ac:dyDescent="0.2">
      <c r="A78" s="150">
        <f t="shared" si="2"/>
        <v>77</v>
      </c>
      <c r="B78" s="150" t="s">
        <v>948</v>
      </c>
      <c r="C78" s="150" t="str">
        <f>VLOOKUP(B78,MEMBERS!B:C,2, )</f>
        <v>MR. TEHSEEN FAIZ</v>
      </c>
      <c r="D78" s="159">
        <v>45997</v>
      </c>
      <c r="E78" s="151">
        <f>300*4+600*2</f>
        <v>2400</v>
      </c>
      <c r="F78" s="151">
        <v>0</v>
      </c>
      <c r="G78" s="151">
        <v>0</v>
      </c>
      <c r="H78" s="151">
        <v>0</v>
      </c>
      <c r="I78" s="151">
        <v>0</v>
      </c>
      <c r="J78" s="151">
        <v>0</v>
      </c>
      <c r="K78" s="151">
        <v>0</v>
      </c>
      <c r="L78" s="151">
        <v>0</v>
      </c>
      <c r="M78" s="152">
        <v>0</v>
      </c>
      <c r="N78" s="151">
        <v>0</v>
      </c>
      <c r="O78" s="151">
        <v>0</v>
      </c>
      <c r="P78" s="151">
        <v>0</v>
      </c>
      <c r="Q78" s="151">
        <v>0</v>
      </c>
      <c r="R78" s="153">
        <v>0</v>
      </c>
      <c r="S78" s="153">
        <v>0</v>
      </c>
      <c r="T78" s="153">
        <v>0</v>
      </c>
      <c r="U78" s="153">
        <f t="shared" si="3"/>
        <v>2400</v>
      </c>
    </row>
    <row r="79" spans="1:21" ht="18" customHeight="1" x14ac:dyDescent="0.2">
      <c r="A79" s="150">
        <f t="shared" si="2"/>
        <v>78</v>
      </c>
      <c r="B79" s="150" t="s">
        <v>795</v>
      </c>
      <c r="C79" s="150" t="str">
        <f>VLOOKUP(B79,MEMBERS!B:C,2, )</f>
        <v>MR. HASAN KARIM</v>
      </c>
      <c r="D79" s="159">
        <v>45997</v>
      </c>
      <c r="E79" s="151">
        <v>0</v>
      </c>
      <c r="F79" s="151">
        <v>0</v>
      </c>
      <c r="G79" s="151">
        <v>0</v>
      </c>
      <c r="H79" s="151">
        <v>0</v>
      </c>
      <c r="I79" s="151">
        <v>0</v>
      </c>
      <c r="J79" s="151">
        <v>0</v>
      </c>
      <c r="K79" s="151">
        <v>300</v>
      </c>
      <c r="L79" s="151">
        <v>0</v>
      </c>
      <c r="M79" s="152">
        <v>0</v>
      </c>
      <c r="N79" s="151">
        <v>0</v>
      </c>
      <c r="O79" s="151">
        <f>1000+1500*3</f>
        <v>5500</v>
      </c>
      <c r="P79" s="151">
        <v>0</v>
      </c>
      <c r="Q79" s="151">
        <v>0</v>
      </c>
      <c r="R79" s="153">
        <v>0</v>
      </c>
      <c r="S79" s="153">
        <v>0</v>
      </c>
      <c r="T79" s="153">
        <v>0</v>
      </c>
      <c r="U79" s="153">
        <f t="shared" si="3"/>
        <v>5800</v>
      </c>
    </row>
    <row r="80" spans="1:21" ht="18" hidden="1" customHeight="1" x14ac:dyDescent="0.2">
      <c r="A80" s="150">
        <f t="shared" si="2"/>
        <v>79</v>
      </c>
      <c r="B80" s="150" t="s">
        <v>756</v>
      </c>
      <c r="C80" s="150" t="s">
        <v>1173</v>
      </c>
      <c r="D80" s="159">
        <v>45998</v>
      </c>
      <c r="E80" s="151">
        <v>0</v>
      </c>
      <c r="F80" s="151">
        <v>0</v>
      </c>
      <c r="G80" s="151">
        <v>0</v>
      </c>
      <c r="H80" s="151">
        <v>0</v>
      </c>
      <c r="I80" s="151">
        <v>0</v>
      </c>
      <c r="J80" s="151">
        <v>0</v>
      </c>
      <c r="K80" s="151">
        <v>0</v>
      </c>
      <c r="L80" s="151">
        <v>0</v>
      </c>
      <c r="M80" s="152">
        <v>0</v>
      </c>
      <c r="N80" s="151">
        <v>0</v>
      </c>
      <c r="O80" s="151">
        <v>0</v>
      </c>
      <c r="P80" s="289">
        <v>20500</v>
      </c>
      <c r="Q80" s="151">
        <v>0</v>
      </c>
      <c r="R80" s="153">
        <v>0</v>
      </c>
      <c r="S80" s="153">
        <v>0</v>
      </c>
      <c r="T80" s="153">
        <v>0</v>
      </c>
      <c r="U80" s="153">
        <f t="shared" si="3"/>
        <v>20500</v>
      </c>
    </row>
    <row r="81" spans="1:21" ht="18" hidden="1" customHeight="1" x14ac:dyDescent="0.2">
      <c r="A81" s="150">
        <f t="shared" si="2"/>
        <v>80</v>
      </c>
      <c r="B81" s="150" t="s">
        <v>756</v>
      </c>
      <c r="C81" s="150" t="e">
        <f>VLOOKUP(B81,MEMBERS!B:C,2, )</f>
        <v>#N/A</v>
      </c>
      <c r="D81" s="159">
        <v>45998</v>
      </c>
      <c r="E81" s="151">
        <v>0</v>
      </c>
      <c r="F81" s="151">
        <v>0</v>
      </c>
      <c r="G81" s="151">
        <v>0</v>
      </c>
      <c r="H81" s="151">
        <v>0</v>
      </c>
      <c r="I81" s="151">
        <v>0</v>
      </c>
      <c r="J81" s="151">
        <v>0</v>
      </c>
      <c r="K81" s="151">
        <v>0</v>
      </c>
      <c r="L81" s="151">
        <v>0</v>
      </c>
      <c r="M81" s="152">
        <v>0</v>
      </c>
      <c r="N81" s="151">
        <v>0</v>
      </c>
      <c r="O81" s="151">
        <v>0</v>
      </c>
      <c r="P81" s="151">
        <v>0</v>
      </c>
      <c r="Q81" s="151">
        <v>0</v>
      </c>
      <c r="R81" s="153">
        <v>0</v>
      </c>
      <c r="S81" s="153">
        <v>0</v>
      </c>
      <c r="T81" s="153">
        <v>0</v>
      </c>
      <c r="U81" s="153">
        <f t="shared" si="3"/>
        <v>0</v>
      </c>
    </row>
    <row r="82" spans="1:21" ht="18" hidden="1" customHeight="1" x14ac:dyDescent="0.2">
      <c r="A82" s="150">
        <f t="shared" si="2"/>
        <v>81</v>
      </c>
      <c r="B82" s="150" t="s">
        <v>430</v>
      </c>
      <c r="C82" s="150" t="str">
        <f>VLOOKUP(B82,MEMBERS!B:C,2, )</f>
        <v>SYED JIBRAN MUSHTAQ</v>
      </c>
      <c r="D82" s="159">
        <v>45998</v>
      </c>
      <c r="E82" s="151">
        <f>600*2</f>
        <v>1200</v>
      </c>
      <c r="F82" s="151">
        <v>0</v>
      </c>
      <c r="G82" s="151">
        <v>0</v>
      </c>
      <c r="H82" s="151">
        <v>0</v>
      </c>
      <c r="I82" s="151">
        <v>0</v>
      </c>
      <c r="J82" s="151">
        <f>300+500*3</f>
        <v>1800</v>
      </c>
      <c r="K82" s="151">
        <v>0</v>
      </c>
      <c r="L82" s="151">
        <v>0</v>
      </c>
      <c r="M82" s="152">
        <v>0</v>
      </c>
      <c r="N82" s="151">
        <v>1500</v>
      </c>
      <c r="O82" s="151">
        <v>0</v>
      </c>
      <c r="P82" s="151">
        <v>0</v>
      </c>
      <c r="Q82" s="151">
        <v>0</v>
      </c>
      <c r="R82" s="153">
        <v>0</v>
      </c>
      <c r="S82" s="153">
        <v>0</v>
      </c>
      <c r="T82" s="153">
        <v>0</v>
      </c>
      <c r="U82" s="153">
        <f t="shared" si="3"/>
        <v>4500</v>
      </c>
    </row>
    <row r="83" spans="1:21" ht="18" hidden="1" customHeight="1" x14ac:dyDescent="0.2">
      <c r="A83" s="150">
        <f t="shared" si="2"/>
        <v>82</v>
      </c>
      <c r="B83" s="150" t="s">
        <v>1052</v>
      </c>
      <c r="C83" s="150" t="str">
        <f>VLOOKUP(B83,MEMBERS!B:C,2, )</f>
        <v>MR. YASIR RASHEED</v>
      </c>
      <c r="D83" s="159">
        <v>45998</v>
      </c>
      <c r="E83" s="151">
        <v>0</v>
      </c>
      <c r="F83" s="151">
        <v>0</v>
      </c>
      <c r="G83" s="151">
        <v>0</v>
      </c>
      <c r="H83" s="151">
        <v>0</v>
      </c>
      <c r="I83" s="151">
        <v>0</v>
      </c>
      <c r="J83" s="151">
        <v>0</v>
      </c>
      <c r="K83" s="151">
        <v>0</v>
      </c>
      <c r="L83" s="151">
        <v>0</v>
      </c>
      <c r="M83" s="152">
        <v>0</v>
      </c>
      <c r="N83" s="151">
        <v>1500</v>
      </c>
      <c r="O83" s="151">
        <v>0</v>
      </c>
      <c r="P83" s="151">
        <v>0</v>
      </c>
      <c r="Q83" s="151">
        <v>0</v>
      </c>
      <c r="R83" s="153">
        <v>0</v>
      </c>
      <c r="S83" s="153">
        <v>0</v>
      </c>
      <c r="T83" s="153">
        <v>0</v>
      </c>
      <c r="U83" s="153">
        <f t="shared" si="3"/>
        <v>1500</v>
      </c>
    </row>
    <row r="84" spans="1:21" ht="18" hidden="1" customHeight="1" x14ac:dyDescent="0.2">
      <c r="A84" s="150">
        <f t="shared" si="2"/>
        <v>83</v>
      </c>
      <c r="B84" s="150" t="s">
        <v>192</v>
      </c>
      <c r="C84" s="150" t="str">
        <f>VLOOKUP(B84,MEMBERS!B:C,2, )</f>
        <v>MR.HANIF AHSAN ZUBEDI</v>
      </c>
      <c r="D84" s="159">
        <v>45998</v>
      </c>
      <c r="E84" s="151">
        <f>600*4</f>
        <v>2400</v>
      </c>
      <c r="F84" s="151">
        <v>0</v>
      </c>
      <c r="G84" s="151">
        <v>0</v>
      </c>
      <c r="H84" s="151">
        <v>0</v>
      </c>
      <c r="I84" s="151">
        <v>0</v>
      </c>
      <c r="J84" s="151">
        <f>300*4+500*4+500*7</f>
        <v>6700</v>
      </c>
      <c r="K84" s="151">
        <v>0</v>
      </c>
      <c r="L84" s="151">
        <v>0</v>
      </c>
      <c r="M84" s="152">
        <v>0</v>
      </c>
      <c r="N84" s="151">
        <v>0</v>
      </c>
      <c r="O84" s="151">
        <v>0</v>
      </c>
      <c r="P84" s="151">
        <v>0</v>
      </c>
      <c r="Q84" s="151">
        <v>0</v>
      </c>
      <c r="R84" s="153">
        <v>0</v>
      </c>
      <c r="S84" s="153">
        <v>0</v>
      </c>
      <c r="T84" s="153">
        <v>0</v>
      </c>
      <c r="U84" s="153">
        <f t="shared" si="3"/>
        <v>9100</v>
      </c>
    </row>
    <row r="85" spans="1:21" ht="18" hidden="1" customHeight="1" x14ac:dyDescent="0.2">
      <c r="A85" s="150">
        <f t="shared" si="2"/>
        <v>84</v>
      </c>
      <c r="B85" s="150" t="s">
        <v>376</v>
      </c>
      <c r="C85" s="150" t="str">
        <f>VLOOKUP(B85,MEMBERS!B:C,2, )</f>
        <v>KHURRAM FIRDOUS</v>
      </c>
      <c r="D85" s="159">
        <v>45998</v>
      </c>
      <c r="E85" s="151">
        <v>0</v>
      </c>
      <c r="F85" s="151">
        <v>0</v>
      </c>
      <c r="G85" s="151">
        <v>0</v>
      </c>
      <c r="H85" s="151">
        <v>0</v>
      </c>
      <c r="I85" s="151">
        <v>0</v>
      </c>
      <c r="J85" s="151">
        <f>300*3</f>
        <v>900</v>
      </c>
      <c r="K85" s="151">
        <v>0</v>
      </c>
      <c r="L85" s="151">
        <v>0</v>
      </c>
      <c r="M85" s="152">
        <v>0</v>
      </c>
      <c r="N85" s="151">
        <v>0</v>
      </c>
      <c r="O85" s="151">
        <v>0</v>
      </c>
      <c r="P85" s="151">
        <v>0</v>
      </c>
      <c r="Q85" s="151">
        <v>0</v>
      </c>
      <c r="R85" s="153">
        <v>0</v>
      </c>
      <c r="S85" s="153">
        <v>0</v>
      </c>
      <c r="T85" s="153">
        <v>0</v>
      </c>
      <c r="U85" s="153">
        <f t="shared" si="3"/>
        <v>900</v>
      </c>
    </row>
    <row r="86" spans="1:21" ht="18" hidden="1" customHeight="1" x14ac:dyDescent="0.2">
      <c r="A86" s="150">
        <f t="shared" si="2"/>
        <v>85</v>
      </c>
      <c r="B86" s="150" t="s">
        <v>240</v>
      </c>
      <c r="C86" s="150" t="str">
        <f>VLOOKUP(B86,MEMBERS!B:C,2, )</f>
        <v>MR.SYED SALMAN RAZA</v>
      </c>
      <c r="D86" s="159">
        <v>45998</v>
      </c>
      <c r="E86" s="151">
        <v>0</v>
      </c>
      <c r="F86" s="151">
        <v>0</v>
      </c>
      <c r="G86" s="151">
        <v>0</v>
      </c>
      <c r="H86" s="151">
        <v>0</v>
      </c>
      <c r="I86" s="151">
        <v>0</v>
      </c>
      <c r="J86" s="151">
        <f>300*3</f>
        <v>900</v>
      </c>
      <c r="K86" s="151">
        <v>0</v>
      </c>
      <c r="L86" s="151">
        <v>0</v>
      </c>
      <c r="M86" s="152">
        <v>0</v>
      </c>
      <c r="N86" s="151">
        <v>0</v>
      </c>
      <c r="O86" s="151">
        <v>0</v>
      </c>
      <c r="P86" s="151">
        <v>0</v>
      </c>
      <c r="Q86" s="151">
        <v>0</v>
      </c>
      <c r="R86" s="153">
        <v>0</v>
      </c>
      <c r="S86" s="153">
        <v>0</v>
      </c>
      <c r="T86" s="153">
        <v>0</v>
      </c>
      <c r="U86" s="153">
        <f t="shared" si="3"/>
        <v>900</v>
      </c>
    </row>
    <row r="87" spans="1:21" ht="18" hidden="1" customHeight="1" x14ac:dyDescent="0.2">
      <c r="A87" s="150">
        <f t="shared" si="2"/>
        <v>86</v>
      </c>
      <c r="B87" s="150" t="s">
        <v>756</v>
      </c>
      <c r="C87" s="150" t="s">
        <v>1173</v>
      </c>
      <c r="D87" s="159">
        <v>45998</v>
      </c>
      <c r="E87" s="151">
        <v>0</v>
      </c>
      <c r="F87" s="151">
        <v>0</v>
      </c>
      <c r="G87" s="151">
        <v>0</v>
      </c>
      <c r="H87" s="151">
        <v>0</v>
      </c>
      <c r="I87" s="151">
        <v>0</v>
      </c>
      <c r="J87" s="151">
        <f>500*6</f>
        <v>3000</v>
      </c>
      <c r="K87" s="151">
        <v>0</v>
      </c>
      <c r="L87" s="151">
        <v>0</v>
      </c>
      <c r="M87" s="152">
        <v>0</v>
      </c>
      <c r="N87" s="151">
        <v>0</v>
      </c>
      <c r="O87" s="151">
        <v>0</v>
      </c>
      <c r="P87" s="151">
        <v>0</v>
      </c>
      <c r="Q87" s="151">
        <v>0</v>
      </c>
      <c r="R87" s="153">
        <v>0</v>
      </c>
      <c r="S87" s="153">
        <v>0</v>
      </c>
      <c r="T87" s="153">
        <v>0</v>
      </c>
      <c r="U87" s="153">
        <f t="shared" si="3"/>
        <v>3000</v>
      </c>
    </row>
    <row r="88" spans="1:21" ht="18" hidden="1" customHeight="1" x14ac:dyDescent="0.2">
      <c r="A88" s="150">
        <f t="shared" si="2"/>
        <v>87</v>
      </c>
      <c r="B88" s="150" t="s">
        <v>88</v>
      </c>
      <c r="C88" s="150" t="str">
        <f>VLOOKUP(B88,MEMBERS!B:C,2, )</f>
        <v>DR.NAZEER HUSSAIN KALHORO</v>
      </c>
      <c r="D88" s="159">
        <v>45998</v>
      </c>
      <c r="E88" s="151">
        <v>0</v>
      </c>
      <c r="F88" s="151">
        <v>0</v>
      </c>
      <c r="G88" s="151">
        <v>0</v>
      </c>
      <c r="H88" s="151">
        <v>0</v>
      </c>
      <c r="I88" s="151">
        <v>0</v>
      </c>
      <c r="J88" s="151">
        <f>300*2</f>
        <v>600</v>
      </c>
      <c r="K88" s="151">
        <v>0</v>
      </c>
      <c r="L88" s="151">
        <v>0</v>
      </c>
      <c r="M88" s="152">
        <v>0</v>
      </c>
      <c r="N88" s="151">
        <v>0</v>
      </c>
      <c r="O88" s="151">
        <v>0</v>
      </c>
      <c r="P88" s="151">
        <v>0</v>
      </c>
      <c r="Q88" s="151">
        <v>0</v>
      </c>
      <c r="R88" s="153">
        <v>0</v>
      </c>
      <c r="S88" s="153">
        <v>0</v>
      </c>
      <c r="T88" s="153">
        <v>0</v>
      </c>
      <c r="U88" s="153">
        <f t="shared" si="3"/>
        <v>600</v>
      </c>
    </row>
    <row r="89" spans="1:21" ht="18" hidden="1" customHeight="1" x14ac:dyDescent="0.2">
      <c r="A89" s="150">
        <f t="shared" si="2"/>
        <v>88</v>
      </c>
      <c r="B89" s="150" t="s">
        <v>54</v>
      </c>
      <c r="C89" s="150" t="str">
        <f>VLOOKUP(B89,MEMBERS!B:C,2, )</f>
        <v>MR.ZEESHAN IQBAL</v>
      </c>
      <c r="D89" s="159">
        <v>45998</v>
      </c>
      <c r="E89" s="151">
        <v>0</v>
      </c>
      <c r="F89" s="151">
        <v>150</v>
      </c>
      <c r="G89" s="151">
        <v>0</v>
      </c>
      <c r="H89" s="151">
        <v>0</v>
      </c>
      <c r="I89" s="151">
        <v>0</v>
      </c>
      <c r="J89" s="151">
        <v>300</v>
      </c>
      <c r="K89" s="151">
        <v>0</v>
      </c>
      <c r="L89" s="151">
        <v>0</v>
      </c>
      <c r="M89" s="152">
        <v>0</v>
      </c>
      <c r="N89" s="151">
        <v>0</v>
      </c>
      <c r="O89" s="151">
        <v>0</v>
      </c>
      <c r="P89" s="151">
        <v>0</v>
      </c>
      <c r="Q89" s="151">
        <v>0</v>
      </c>
      <c r="R89" s="153">
        <v>0</v>
      </c>
      <c r="S89" s="153">
        <v>0</v>
      </c>
      <c r="T89" s="153">
        <v>0</v>
      </c>
      <c r="U89" s="153">
        <f t="shared" si="3"/>
        <v>450</v>
      </c>
    </row>
    <row r="90" spans="1:21" ht="18" hidden="1" customHeight="1" x14ac:dyDescent="0.2">
      <c r="A90" s="150">
        <f t="shared" si="2"/>
        <v>89</v>
      </c>
      <c r="B90" s="150" t="s">
        <v>426</v>
      </c>
      <c r="C90" s="150" t="str">
        <f>VLOOKUP(B90,MEMBERS!B:C,2, )</f>
        <v>NASIR ABBAS</v>
      </c>
      <c r="D90" s="159">
        <v>45998</v>
      </c>
      <c r="E90" s="151">
        <v>0</v>
      </c>
      <c r="F90" s="151">
        <v>150</v>
      </c>
      <c r="G90" s="151">
        <v>0</v>
      </c>
      <c r="H90" s="151">
        <v>0</v>
      </c>
      <c r="I90" s="151">
        <v>0</v>
      </c>
      <c r="J90" s="151">
        <v>0</v>
      </c>
      <c r="K90" s="151">
        <v>0</v>
      </c>
      <c r="L90" s="151">
        <v>0</v>
      </c>
      <c r="M90" s="152">
        <v>0</v>
      </c>
      <c r="N90" s="151">
        <v>0</v>
      </c>
      <c r="O90" s="151">
        <v>0</v>
      </c>
      <c r="P90" s="151">
        <v>0</v>
      </c>
      <c r="Q90" s="151">
        <v>0</v>
      </c>
      <c r="R90" s="153">
        <v>0</v>
      </c>
      <c r="S90" s="153">
        <v>0</v>
      </c>
      <c r="T90" s="153">
        <v>0</v>
      </c>
      <c r="U90" s="153">
        <f t="shared" si="3"/>
        <v>150</v>
      </c>
    </row>
    <row r="91" spans="1:21" ht="18" hidden="1" customHeight="1" x14ac:dyDescent="0.2">
      <c r="A91" s="150">
        <f t="shared" si="2"/>
        <v>90</v>
      </c>
      <c r="B91" s="150" t="s">
        <v>217</v>
      </c>
      <c r="C91" s="150" t="str">
        <f>VLOOKUP(B91,MEMBERS!B:C,2, )</f>
        <v>MR.ZAIN FAROOQ</v>
      </c>
      <c r="D91" s="159">
        <v>45998</v>
      </c>
      <c r="E91" s="151">
        <v>0</v>
      </c>
      <c r="F91" s="151">
        <f>150*2</f>
        <v>300</v>
      </c>
      <c r="G91" s="151">
        <v>0</v>
      </c>
      <c r="H91" s="151">
        <v>0</v>
      </c>
      <c r="I91" s="151">
        <v>0</v>
      </c>
      <c r="J91" s="151">
        <v>0</v>
      </c>
      <c r="K91" s="151">
        <v>0</v>
      </c>
      <c r="L91" s="151">
        <v>0</v>
      </c>
      <c r="M91" s="152">
        <v>0</v>
      </c>
      <c r="N91" s="151">
        <v>0</v>
      </c>
      <c r="O91" s="151">
        <v>0</v>
      </c>
      <c r="P91" s="151">
        <v>0</v>
      </c>
      <c r="Q91" s="151">
        <v>0</v>
      </c>
      <c r="R91" s="153">
        <v>0</v>
      </c>
      <c r="S91" s="153">
        <v>0</v>
      </c>
      <c r="T91" s="153">
        <v>0</v>
      </c>
      <c r="U91" s="153">
        <f t="shared" si="3"/>
        <v>300</v>
      </c>
    </row>
    <row r="92" spans="1:21" ht="18" hidden="1" customHeight="1" x14ac:dyDescent="0.2">
      <c r="A92" s="150">
        <f t="shared" si="2"/>
        <v>91</v>
      </c>
      <c r="B92" s="150" t="s">
        <v>197</v>
      </c>
      <c r="C92" s="150" t="str">
        <f>VLOOKUP(B92,MEMBERS!B:C,2, )</f>
        <v>MR.MUHAMMAD ATIF USMANI</v>
      </c>
      <c r="D92" s="159">
        <v>45998</v>
      </c>
      <c r="E92" s="151">
        <v>0</v>
      </c>
      <c r="F92" s="151">
        <v>150</v>
      </c>
      <c r="G92" s="151">
        <v>0</v>
      </c>
      <c r="H92" s="151">
        <v>0</v>
      </c>
      <c r="I92" s="151">
        <v>0</v>
      </c>
      <c r="J92" s="151">
        <v>0</v>
      </c>
      <c r="K92" s="151">
        <v>0</v>
      </c>
      <c r="L92" s="151">
        <v>0</v>
      </c>
      <c r="M92" s="152">
        <v>0</v>
      </c>
      <c r="N92" s="151">
        <v>0</v>
      </c>
      <c r="O92" s="151">
        <v>0</v>
      </c>
      <c r="P92" s="151">
        <v>0</v>
      </c>
      <c r="Q92" s="151">
        <v>0</v>
      </c>
      <c r="R92" s="153">
        <v>0</v>
      </c>
      <c r="S92" s="153">
        <v>0</v>
      </c>
      <c r="T92" s="153">
        <v>0</v>
      </c>
      <c r="U92" s="153">
        <f t="shared" si="3"/>
        <v>150</v>
      </c>
    </row>
    <row r="93" spans="1:21" ht="18" hidden="1" customHeight="1" x14ac:dyDescent="0.2">
      <c r="A93" s="150">
        <f t="shared" si="2"/>
        <v>92</v>
      </c>
      <c r="B93" s="150" t="s">
        <v>418</v>
      </c>
      <c r="C93" s="150" t="str">
        <f>VLOOKUP(B93,MEMBERS!B:C,2, )</f>
        <v>ZAIB UR REHMAN</v>
      </c>
      <c r="D93" s="159">
        <v>45998</v>
      </c>
      <c r="E93" s="151">
        <f>300+600*2</f>
        <v>1500</v>
      </c>
      <c r="F93" s="151">
        <v>0</v>
      </c>
      <c r="G93" s="151">
        <v>0</v>
      </c>
      <c r="H93" s="151">
        <v>0</v>
      </c>
      <c r="I93" s="151">
        <v>0</v>
      </c>
      <c r="J93" s="151">
        <v>0</v>
      </c>
      <c r="K93" s="151">
        <v>0</v>
      </c>
      <c r="L93" s="151">
        <v>0</v>
      </c>
      <c r="M93" s="152">
        <v>0</v>
      </c>
      <c r="N93" s="151">
        <v>0</v>
      </c>
      <c r="O93" s="151">
        <v>0</v>
      </c>
      <c r="P93" s="151">
        <v>0</v>
      </c>
      <c r="Q93" s="151">
        <v>0</v>
      </c>
      <c r="R93" s="153">
        <v>0</v>
      </c>
      <c r="S93" s="153">
        <v>0</v>
      </c>
      <c r="T93" s="153">
        <v>0</v>
      </c>
      <c r="U93" s="153">
        <f t="shared" si="3"/>
        <v>1500</v>
      </c>
    </row>
    <row r="94" spans="1:21" ht="18" hidden="1" customHeight="1" x14ac:dyDescent="0.2">
      <c r="A94" s="150">
        <f t="shared" si="2"/>
        <v>93</v>
      </c>
      <c r="B94" s="150" t="s">
        <v>756</v>
      </c>
      <c r="C94" s="150" t="s">
        <v>1173</v>
      </c>
      <c r="D94" s="159">
        <v>45998</v>
      </c>
      <c r="E94" s="289">
        <v>6000</v>
      </c>
      <c r="F94" s="151">
        <v>0</v>
      </c>
      <c r="G94" s="151">
        <v>0</v>
      </c>
      <c r="H94" s="151">
        <v>0</v>
      </c>
      <c r="I94" s="151">
        <v>0</v>
      </c>
      <c r="J94" s="151">
        <v>0</v>
      </c>
      <c r="K94" s="151">
        <v>0</v>
      </c>
      <c r="L94" s="151">
        <v>0</v>
      </c>
      <c r="M94" s="152">
        <v>0</v>
      </c>
      <c r="N94" s="151">
        <v>0</v>
      </c>
      <c r="O94" s="151">
        <v>0</v>
      </c>
      <c r="P94" s="151">
        <v>0</v>
      </c>
      <c r="Q94" s="151">
        <v>0</v>
      </c>
      <c r="R94" s="153">
        <v>0</v>
      </c>
      <c r="S94" s="153">
        <v>0</v>
      </c>
      <c r="T94" s="153">
        <v>0</v>
      </c>
      <c r="U94" s="153">
        <f t="shared" si="3"/>
        <v>6000</v>
      </c>
    </row>
    <row r="95" spans="1:21" ht="18" hidden="1" customHeight="1" x14ac:dyDescent="0.2">
      <c r="A95" s="150">
        <f t="shared" si="2"/>
        <v>94</v>
      </c>
      <c r="B95" s="150" t="s">
        <v>98</v>
      </c>
      <c r="C95" s="150" t="str">
        <f>VLOOKUP(B95,MEMBERS!B:C,2, )</f>
        <v>MR.HAFEEZ AHMED SIYAL</v>
      </c>
      <c r="D95" s="159">
        <v>45999</v>
      </c>
      <c r="E95" s="151">
        <v>0</v>
      </c>
      <c r="F95" s="151">
        <v>150</v>
      </c>
      <c r="G95" s="151">
        <v>0</v>
      </c>
      <c r="H95" s="151">
        <v>0</v>
      </c>
      <c r="I95" s="151">
        <v>0</v>
      </c>
      <c r="J95" s="151">
        <v>300</v>
      </c>
      <c r="K95" s="151">
        <v>0</v>
      </c>
      <c r="L95" s="151">
        <v>0</v>
      </c>
      <c r="M95" s="152">
        <v>0</v>
      </c>
      <c r="N95" s="151">
        <v>0</v>
      </c>
      <c r="O95" s="151">
        <v>0</v>
      </c>
      <c r="P95" s="151">
        <v>0</v>
      </c>
      <c r="Q95" s="151">
        <v>0</v>
      </c>
      <c r="R95" s="153">
        <v>0</v>
      </c>
      <c r="S95" s="153">
        <v>0</v>
      </c>
      <c r="T95" s="153">
        <v>0</v>
      </c>
      <c r="U95" s="153">
        <f t="shared" si="3"/>
        <v>450</v>
      </c>
    </row>
    <row r="96" spans="1:21" ht="18" hidden="1" customHeight="1" x14ac:dyDescent="0.2">
      <c r="A96" s="150">
        <f t="shared" si="2"/>
        <v>95</v>
      </c>
      <c r="B96" s="150" t="s">
        <v>420</v>
      </c>
      <c r="C96" s="150" t="str">
        <f>VLOOKUP(B96,MEMBERS!B:C,2, )</f>
        <v>SADDAM HUSSAIN</v>
      </c>
      <c r="D96" s="159">
        <v>45999</v>
      </c>
      <c r="E96" s="151">
        <v>0</v>
      </c>
      <c r="F96" s="151">
        <v>0</v>
      </c>
      <c r="G96" s="151">
        <v>0</v>
      </c>
      <c r="H96" s="151">
        <v>0</v>
      </c>
      <c r="I96" s="151">
        <v>0</v>
      </c>
      <c r="J96" s="151">
        <v>300</v>
      </c>
      <c r="K96" s="151">
        <v>0</v>
      </c>
      <c r="L96" s="151">
        <v>0</v>
      </c>
      <c r="M96" s="152">
        <v>0</v>
      </c>
      <c r="N96" s="151">
        <v>0</v>
      </c>
      <c r="O96" s="151">
        <v>0</v>
      </c>
      <c r="P96" s="151">
        <v>0</v>
      </c>
      <c r="Q96" s="151">
        <v>0</v>
      </c>
      <c r="R96" s="153">
        <v>0</v>
      </c>
      <c r="S96" s="153">
        <v>0</v>
      </c>
      <c r="T96" s="153">
        <v>0</v>
      </c>
      <c r="U96" s="153">
        <f t="shared" si="3"/>
        <v>300</v>
      </c>
    </row>
    <row r="97" spans="1:21" ht="18" hidden="1" customHeight="1" x14ac:dyDescent="0.2">
      <c r="A97" s="150">
        <f t="shared" si="2"/>
        <v>96</v>
      </c>
      <c r="B97" s="150" t="s">
        <v>69</v>
      </c>
      <c r="C97" s="150" t="str">
        <f>VLOOKUP(B97,MEMBERS!B:C,2, )</f>
        <v>MR.TARIQUE ZUBAIR</v>
      </c>
      <c r="D97" s="159">
        <v>45999</v>
      </c>
      <c r="E97" s="151">
        <v>0</v>
      </c>
      <c r="F97" s="151">
        <v>150</v>
      </c>
      <c r="G97" s="151">
        <v>0</v>
      </c>
      <c r="H97" s="151">
        <v>0</v>
      </c>
      <c r="I97" s="151">
        <v>0</v>
      </c>
      <c r="J97" s="151">
        <v>0</v>
      </c>
      <c r="K97" s="151">
        <v>0</v>
      </c>
      <c r="L97" s="151">
        <v>0</v>
      </c>
      <c r="M97" s="152">
        <v>0</v>
      </c>
      <c r="N97" s="151">
        <v>0</v>
      </c>
      <c r="O97" s="151">
        <v>0</v>
      </c>
      <c r="P97" s="151">
        <v>0</v>
      </c>
      <c r="Q97" s="151">
        <v>0</v>
      </c>
      <c r="R97" s="153">
        <v>0</v>
      </c>
      <c r="S97" s="153">
        <v>0</v>
      </c>
      <c r="T97" s="153">
        <v>0</v>
      </c>
      <c r="U97" s="153">
        <f t="shared" si="3"/>
        <v>150</v>
      </c>
    </row>
    <row r="98" spans="1:21" ht="18" hidden="1" customHeight="1" x14ac:dyDescent="0.2">
      <c r="A98" s="150">
        <f t="shared" si="2"/>
        <v>97</v>
      </c>
      <c r="B98" s="150" t="s">
        <v>312</v>
      </c>
      <c r="C98" s="150" t="str">
        <f>VLOOKUP(B98,MEMBERS!B:C,2, )</f>
        <v>GM GHULAM DASTAGEER</v>
      </c>
      <c r="D98" s="159">
        <v>45999</v>
      </c>
      <c r="E98" s="151">
        <v>0</v>
      </c>
      <c r="F98" s="151">
        <v>150</v>
      </c>
      <c r="G98" s="151">
        <v>0</v>
      </c>
      <c r="H98" s="151">
        <v>0</v>
      </c>
      <c r="I98" s="151">
        <v>0</v>
      </c>
      <c r="J98" s="151">
        <v>0</v>
      </c>
      <c r="K98" s="151">
        <v>0</v>
      </c>
      <c r="L98" s="151">
        <v>0</v>
      </c>
      <c r="M98" s="152">
        <v>0</v>
      </c>
      <c r="N98" s="151">
        <v>0</v>
      </c>
      <c r="O98" s="151">
        <v>0</v>
      </c>
      <c r="P98" s="151">
        <v>0</v>
      </c>
      <c r="Q98" s="151">
        <v>0</v>
      </c>
      <c r="R98" s="153">
        <v>0</v>
      </c>
      <c r="S98" s="153">
        <v>0</v>
      </c>
      <c r="T98" s="153">
        <v>0</v>
      </c>
      <c r="U98" s="153">
        <f t="shared" si="3"/>
        <v>150</v>
      </c>
    </row>
    <row r="99" spans="1:21" ht="18" hidden="1" customHeight="1" x14ac:dyDescent="0.2">
      <c r="A99" s="150">
        <f t="shared" si="2"/>
        <v>98</v>
      </c>
      <c r="B99" s="150" t="s">
        <v>54</v>
      </c>
      <c r="C99" s="150" t="str">
        <f>VLOOKUP(B99,MEMBERS!B:C,2, )</f>
        <v>MR.ZEESHAN IQBAL</v>
      </c>
      <c r="D99" s="159">
        <v>45999</v>
      </c>
      <c r="E99" s="151">
        <v>0</v>
      </c>
      <c r="F99" s="151">
        <v>150</v>
      </c>
      <c r="G99" s="151">
        <v>0</v>
      </c>
      <c r="H99" s="151">
        <v>0</v>
      </c>
      <c r="I99" s="151">
        <v>0</v>
      </c>
      <c r="J99" s="151">
        <v>0</v>
      </c>
      <c r="K99" s="151">
        <v>0</v>
      </c>
      <c r="L99" s="151">
        <v>0</v>
      </c>
      <c r="M99" s="152">
        <v>0</v>
      </c>
      <c r="N99" s="151">
        <v>0</v>
      </c>
      <c r="O99" s="151">
        <v>0</v>
      </c>
      <c r="P99" s="151">
        <v>0</v>
      </c>
      <c r="Q99" s="151">
        <v>0</v>
      </c>
      <c r="R99" s="153">
        <v>0</v>
      </c>
      <c r="S99" s="153">
        <v>0</v>
      </c>
      <c r="T99" s="153">
        <v>0</v>
      </c>
      <c r="U99" s="153">
        <f t="shared" si="3"/>
        <v>150</v>
      </c>
    </row>
    <row r="100" spans="1:21" ht="18" hidden="1" customHeight="1" x14ac:dyDescent="0.2">
      <c r="A100" s="150">
        <f t="shared" si="2"/>
        <v>99</v>
      </c>
      <c r="B100" s="150" t="s">
        <v>373</v>
      </c>
      <c r="C100" s="150" t="str">
        <f>VLOOKUP(B100,MEMBERS!B:C,2, )</f>
        <v>ASIF ASHFAQ</v>
      </c>
      <c r="D100" s="159">
        <v>45999</v>
      </c>
      <c r="E100" s="151">
        <v>0</v>
      </c>
      <c r="F100" s="151">
        <f>150*2</f>
        <v>300</v>
      </c>
      <c r="G100" s="151">
        <v>0</v>
      </c>
      <c r="H100" s="151">
        <v>0</v>
      </c>
      <c r="I100" s="151">
        <v>0</v>
      </c>
      <c r="J100" s="151">
        <v>0</v>
      </c>
      <c r="K100" s="151">
        <v>0</v>
      </c>
      <c r="L100" s="151">
        <v>0</v>
      </c>
      <c r="M100" s="152">
        <v>0</v>
      </c>
      <c r="N100" s="151">
        <v>0</v>
      </c>
      <c r="O100" s="151">
        <v>0</v>
      </c>
      <c r="P100" s="151">
        <v>0</v>
      </c>
      <c r="Q100" s="151">
        <v>0</v>
      </c>
      <c r="R100" s="153">
        <v>0</v>
      </c>
      <c r="S100" s="153">
        <v>0</v>
      </c>
      <c r="T100" s="153">
        <v>0</v>
      </c>
      <c r="U100" s="153">
        <f t="shared" si="3"/>
        <v>300</v>
      </c>
    </row>
    <row r="101" spans="1:21" ht="18" hidden="1" customHeight="1" x14ac:dyDescent="0.2">
      <c r="A101" s="150">
        <f t="shared" si="2"/>
        <v>100</v>
      </c>
      <c r="B101" s="150" t="s">
        <v>235</v>
      </c>
      <c r="C101" s="150" t="str">
        <f>VLOOKUP(B101,MEMBERS!B:C,2, )</f>
        <v>MR.IMRAN WAZEER</v>
      </c>
      <c r="D101" s="159">
        <v>45999</v>
      </c>
      <c r="E101" s="151">
        <v>0</v>
      </c>
      <c r="F101" s="151">
        <v>150</v>
      </c>
      <c r="G101" s="151">
        <v>0</v>
      </c>
      <c r="H101" s="151">
        <v>0</v>
      </c>
      <c r="I101" s="151">
        <v>0</v>
      </c>
      <c r="J101" s="151">
        <v>0</v>
      </c>
      <c r="K101" s="151">
        <v>0</v>
      </c>
      <c r="L101" s="151">
        <v>0</v>
      </c>
      <c r="M101" s="152">
        <v>0</v>
      </c>
      <c r="N101" s="151">
        <v>0</v>
      </c>
      <c r="O101" s="151">
        <v>0</v>
      </c>
      <c r="P101" s="151">
        <v>0</v>
      </c>
      <c r="Q101" s="151">
        <v>0</v>
      </c>
      <c r="R101" s="153">
        <v>0</v>
      </c>
      <c r="S101" s="153">
        <v>0</v>
      </c>
      <c r="T101" s="153">
        <v>0</v>
      </c>
      <c r="U101" s="153">
        <f t="shared" si="3"/>
        <v>150</v>
      </c>
    </row>
    <row r="102" spans="1:21" ht="18" hidden="1" customHeight="1" x14ac:dyDescent="0.2">
      <c r="A102" s="150">
        <f t="shared" si="2"/>
        <v>101</v>
      </c>
      <c r="B102" s="150" t="s">
        <v>83</v>
      </c>
      <c r="C102" s="150" t="str">
        <f>VLOOKUP(B102,MEMBERS!B:C,2, )</f>
        <v>DR.SANTOSH KUMAR</v>
      </c>
      <c r="D102" s="159">
        <v>45999</v>
      </c>
      <c r="E102" s="151">
        <v>0</v>
      </c>
      <c r="F102" s="151">
        <v>150</v>
      </c>
      <c r="G102" s="151">
        <v>0</v>
      </c>
      <c r="H102" s="151">
        <v>0</v>
      </c>
      <c r="I102" s="151">
        <v>0</v>
      </c>
      <c r="J102" s="151">
        <v>0</v>
      </c>
      <c r="K102" s="151">
        <v>0</v>
      </c>
      <c r="L102" s="151">
        <v>0</v>
      </c>
      <c r="M102" s="152">
        <v>0</v>
      </c>
      <c r="N102" s="151">
        <v>0</v>
      </c>
      <c r="O102" s="151">
        <v>0</v>
      </c>
      <c r="P102" s="151">
        <v>0</v>
      </c>
      <c r="Q102" s="151">
        <v>0</v>
      </c>
      <c r="R102" s="153">
        <v>0</v>
      </c>
      <c r="S102" s="153">
        <v>0</v>
      </c>
      <c r="T102" s="153">
        <v>0</v>
      </c>
      <c r="U102" s="153">
        <f t="shared" si="3"/>
        <v>150</v>
      </c>
    </row>
    <row r="103" spans="1:21" ht="18" hidden="1" customHeight="1" x14ac:dyDescent="0.2">
      <c r="A103" s="150">
        <f t="shared" si="2"/>
        <v>102</v>
      </c>
      <c r="B103" s="150" t="s">
        <v>217</v>
      </c>
      <c r="C103" s="150" t="str">
        <f>VLOOKUP(B103,MEMBERS!B:C,2, )</f>
        <v>MR.ZAIN FAROOQ</v>
      </c>
      <c r="D103" s="159">
        <v>45999</v>
      </c>
      <c r="E103" s="151">
        <v>0</v>
      </c>
      <c r="F103" s="151">
        <v>150</v>
      </c>
      <c r="G103" s="151">
        <v>0</v>
      </c>
      <c r="H103" s="151">
        <v>0</v>
      </c>
      <c r="I103" s="151">
        <v>0</v>
      </c>
      <c r="J103" s="151">
        <v>0</v>
      </c>
      <c r="K103" s="151">
        <v>0</v>
      </c>
      <c r="L103" s="151">
        <v>0</v>
      </c>
      <c r="M103" s="152">
        <v>0</v>
      </c>
      <c r="N103" s="151">
        <v>0</v>
      </c>
      <c r="O103" s="151">
        <v>0</v>
      </c>
      <c r="P103" s="151">
        <v>0</v>
      </c>
      <c r="Q103" s="151">
        <v>0</v>
      </c>
      <c r="R103" s="153">
        <v>0</v>
      </c>
      <c r="S103" s="153">
        <v>0</v>
      </c>
      <c r="T103" s="153">
        <v>0</v>
      </c>
      <c r="U103" s="153">
        <f t="shared" si="3"/>
        <v>150</v>
      </c>
    </row>
    <row r="104" spans="1:21" ht="18" hidden="1" customHeight="1" x14ac:dyDescent="0.2">
      <c r="A104" s="150">
        <f t="shared" si="2"/>
        <v>103</v>
      </c>
      <c r="B104" s="150" t="s">
        <v>359</v>
      </c>
      <c r="C104" s="150" t="str">
        <f>VLOOKUP(B104,MEMBERS!B:C,2, )</f>
        <v>DR.NASEEM MUNSHI</v>
      </c>
      <c r="D104" s="159">
        <v>45999</v>
      </c>
      <c r="E104" s="151">
        <v>0</v>
      </c>
      <c r="F104" s="151">
        <v>150</v>
      </c>
      <c r="G104" s="151">
        <v>0</v>
      </c>
      <c r="H104" s="151">
        <v>0</v>
      </c>
      <c r="I104" s="151">
        <v>0</v>
      </c>
      <c r="J104" s="151">
        <v>0</v>
      </c>
      <c r="K104" s="151">
        <v>0</v>
      </c>
      <c r="L104" s="151">
        <v>0</v>
      </c>
      <c r="M104" s="152">
        <v>0</v>
      </c>
      <c r="N104" s="151">
        <v>0</v>
      </c>
      <c r="O104" s="151">
        <v>0</v>
      </c>
      <c r="P104" s="151">
        <v>0</v>
      </c>
      <c r="Q104" s="151">
        <v>0</v>
      </c>
      <c r="R104" s="153">
        <v>0</v>
      </c>
      <c r="S104" s="153">
        <v>0</v>
      </c>
      <c r="T104" s="153">
        <v>0</v>
      </c>
      <c r="U104" s="153">
        <f t="shared" si="3"/>
        <v>150</v>
      </c>
    </row>
    <row r="105" spans="1:21" ht="18" hidden="1" customHeight="1" x14ac:dyDescent="0.2">
      <c r="A105" s="150">
        <f t="shared" si="2"/>
        <v>104</v>
      </c>
      <c r="B105" s="150" t="s">
        <v>756</v>
      </c>
      <c r="C105" s="150" t="e">
        <f>VLOOKUP(B105,MEMBERS!B:C,2, )</f>
        <v>#N/A</v>
      </c>
      <c r="D105" s="159">
        <v>46000</v>
      </c>
      <c r="E105" s="151">
        <v>0</v>
      </c>
      <c r="F105" s="151">
        <v>0</v>
      </c>
      <c r="G105" s="151">
        <v>0</v>
      </c>
      <c r="H105" s="151">
        <v>0</v>
      </c>
      <c r="I105" s="151">
        <v>0</v>
      </c>
      <c r="J105" s="151">
        <v>0</v>
      </c>
      <c r="K105" s="151">
        <v>0</v>
      </c>
      <c r="L105" s="151">
        <v>0</v>
      </c>
      <c r="M105" s="152">
        <v>0</v>
      </c>
      <c r="N105" s="151">
        <v>0</v>
      </c>
      <c r="O105" s="151">
        <v>0</v>
      </c>
      <c r="P105" s="289">
        <v>12000</v>
      </c>
      <c r="Q105" s="151">
        <v>0</v>
      </c>
      <c r="R105" s="153">
        <v>0</v>
      </c>
      <c r="S105" s="153">
        <v>0</v>
      </c>
      <c r="T105" s="153">
        <v>0</v>
      </c>
      <c r="U105" s="153">
        <f t="shared" si="3"/>
        <v>12000</v>
      </c>
    </row>
    <row r="106" spans="1:21" ht="18" hidden="1" customHeight="1" x14ac:dyDescent="0.2">
      <c r="A106" s="150">
        <f t="shared" si="2"/>
        <v>105</v>
      </c>
      <c r="B106" s="150" t="s">
        <v>59</v>
      </c>
      <c r="C106" s="150" t="str">
        <f>VLOOKUP(B106,MEMBERS!B:C,2, )</f>
        <v>MR.SAJJAD ALI</v>
      </c>
      <c r="D106" s="159">
        <v>46000</v>
      </c>
      <c r="E106" s="151">
        <v>0</v>
      </c>
      <c r="F106" s="151">
        <v>0</v>
      </c>
      <c r="G106" s="151">
        <v>0</v>
      </c>
      <c r="H106" s="151">
        <v>0</v>
      </c>
      <c r="I106" s="151">
        <v>0</v>
      </c>
      <c r="J106" s="151">
        <v>0</v>
      </c>
      <c r="K106" s="151">
        <v>0</v>
      </c>
      <c r="L106" s="151">
        <v>0</v>
      </c>
      <c r="M106" s="152">
        <v>0</v>
      </c>
      <c r="N106" s="151">
        <v>0</v>
      </c>
      <c r="O106" s="151">
        <v>0</v>
      </c>
      <c r="P106" s="151">
        <v>2500</v>
      </c>
      <c r="Q106" s="151">
        <v>0</v>
      </c>
      <c r="R106" s="153">
        <v>0</v>
      </c>
      <c r="S106" s="153">
        <v>0</v>
      </c>
      <c r="T106" s="153">
        <v>0</v>
      </c>
      <c r="U106" s="153">
        <f t="shared" si="3"/>
        <v>2500</v>
      </c>
    </row>
    <row r="107" spans="1:21" ht="18" hidden="1" customHeight="1" x14ac:dyDescent="0.2">
      <c r="A107" s="150">
        <f t="shared" si="2"/>
        <v>106</v>
      </c>
      <c r="B107" s="150" t="s">
        <v>390</v>
      </c>
      <c r="C107" s="150" t="str">
        <f>VLOOKUP(B107,MEMBERS!B:C,2, )</f>
        <v>RIAZ FAZAL</v>
      </c>
      <c r="D107" s="159">
        <v>46000</v>
      </c>
      <c r="E107" s="151">
        <v>0</v>
      </c>
      <c r="F107" s="151">
        <v>0</v>
      </c>
      <c r="G107" s="151">
        <v>0</v>
      </c>
      <c r="H107" s="151">
        <v>0</v>
      </c>
      <c r="I107" s="151">
        <v>0</v>
      </c>
      <c r="J107" s="151">
        <v>0</v>
      </c>
      <c r="K107" s="151">
        <v>0</v>
      </c>
      <c r="L107" s="151">
        <v>0</v>
      </c>
      <c r="M107" s="152">
        <v>0</v>
      </c>
      <c r="N107" s="151">
        <v>0</v>
      </c>
      <c r="O107" s="151">
        <v>0</v>
      </c>
      <c r="P107" s="151">
        <v>6000</v>
      </c>
      <c r="Q107" s="151">
        <v>0</v>
      </c>
      <c r="R107" s="153">
        <v>0</v>
      </c>
      <c r="S107" s="153">
        <v>0</v>
      </c>
      <c r="T107" s="153">
        <v>0</v>
      </c>
      <c r="U107" s="153">
        <f t="shared" si="3"/>
        <v>6000</v>
      </c>
    </row>
    <row r="108" spans="1:21" ht="18" hidden="1" customHeight="1" x14ac:dyDescent="0.2">
      <c r="A108" s="150">
        <f t="shared" si="2"/>
        <v>107</v>
      </c>
      <c r="B108" s="150" t="s">
        <v>375</v>
      </c>
      <c r="C108" s="150" t="str">
        <f>VLOOKUP(B108,MEMBERS!B:C,2, )</f>
        <v>HUSSAIN WAJID</v>
      </c>
      <c r="D108" s="159">
        <v>46000</v>
      </c>
      <c r="E108" s="151">
        <f>300+600*2</f>
        <v>1500</v>
      </c>
      <c r="F108" s="151">
        <v>0</v>
      </c>
      <c r="G108" s="151">
        <v>0</v>
      </c>
      <c r="H108" s="151">
        <v>0</v>
      </c>
      <c r="I108" s="151">
        <v>0</v>
      </c>
      <c r="J108" s="151">
        <v>0</v>
      </c>
      <c r="K108" s="151">
        <v>0</v>
      </c>
      <c r="L108" s="151">
        <v>0</v>
      </c>
      <c r="M108" s="152">
        <v>0</v>
      </c>
      <c r="N108" s="151">
        <v>0</v>
      </c>
      <c r="O108" s="151">
        <v>0</v>
      </c>
      <c r="P108" s="151">
        <v>0</v>
      </c>
      <c r="Q108" s="151">
        <v>0</v>
      </c>
      <c r="R108" s="153">
        <v>0</v>
      </c>
      <c r="S108" s="153">
        <v>0</v>
      </c>
      <c r="T108" s="153">
        <v>0</v>
      </c>
      <c r="U108" s="153">
        <f t="shared" si="3"/>
        <v>1500</v>
      </c>
    </row>
    <row r="109" spans="1:21" ht="18" hidden="1" customHeight="1" x14ac:dyDescent="0.2">
      <c r="A109" s="150">
        <f t="shared" si="2"/>
        <v>108</v>
      </c>
      <c r="B109" s="150" t="s">
        <v>69</v>
      </c>
      <c r="C109" s="150" t="str">
        <f>VLOOKUP(B109,MEMBERS!B:C,2, )</f>
        <v>MR.TARIQUE ZUBAIR</v>
      </c>
      <c r="D109" s="159">
        <v>46000</v>
      </c>
      <c r="E109" s="151">
        <v>0</v>
      </c>
      <c r="F109" s="151">
        <v>150</v>
      </c>
      <c r="G109" s="151">
        <v>0</v>
      </c>
      <c r="H109" s="151">
        <v>0</v>
      </c>
      <c r="I109" s="151">
        <v>0</v>
      </c>
      <c r="J109" s="151">
        <v>0</v>
      </c>
      <c r="K109" s="151">
        <v>0</v>
      </c>
      <c r="L109" s="151">
        <v>0</v>
      </c>
      <c r="M109" s="152">
        <v>0</v>
      </c>
      <c r="N109" s="151">
        <v>0</v>
      </c>
      <c r="O109" s="151">
        <v>0</v>
      </c>
      <c r="P109" s="151">
        <v>0</v>
      </c>
      <c r="Q109" s="151">
        <v>0</v>
      </c>
      <c r="R109" s="153">
        <v>0</v>
      </c>
      <c r="S109" s="153">
        <v>0</v>
      </c>
      <c r="T109" s="153">
        <v>0</v>
      </c>
      <c r="U109" s="153">
        <f t="shared" si="3"/>
        <v>150</v>
      </c>
    </row>
    <row r="110" spans="1:21" ht="18" hidden="1" customHeight="1" x14ac:dyDescent="0.2">
      <c r="A110" s="150">
        <f t="shared" si="2"/>
        <v>109</v>
      </c>
      <c r="B110" s="150" t="s">
        <v>312</v>
      </c>
      <c r="C110" s="150" t="str">
        <f>VLOOKUP(B110,MEMBERS!B:C,2, )</f>
        <v>GM GHULAM DASTAGEER</v>
      </c>
      <c r="D110" s="159">
        <v>46000</v>
      </c>
      <c r="E110" s="151">
        <v>0</v>
      </c>
      <c r="F110" s="151">
        <v>150</v>
      </c>
      <c r="G110" s="151">
        <v>0</v>
      </c>
      <c r="H110" s="151">
        <v>0</v>
      </c>
      <c r="I110" s="151">
        <v>0</v>
      </c>
      <c r="J110" s="151">
        <v>0</v>
      </c>
      <c r="K110" s="151">
        <v>0</v>
      </c>
      <c r="L110" s="151">
        <v>0</v>
      </c>
      <c r="M110" s="152">
        <v>0</v>
      </c>
      <c r="N110" s="151">
        <v>0</v>
      </c>
      <c r="O110" s="151">
        <v>0</v>
      </c>
      <c r="P110" s="151">
        <v>0</v>
      </c>
      <c r="Q110" s="151">
        <v>0</v>
      </c>
      <c r="R110" s="153">
        <v>0</v>
      </c>
      <c r="S110" s="153">
        <v>0</v>
      </c>
      <c r="T110" s="153">
        <v>0</v>
      </c>
      <c r="U110" s="153">
        <f t="shared" si="3"/>
        <v>150</v>
      </c>
    </row>
    <row r="111" spans="1:21" ht="18" hidden="1" customHeight="1" x14ac:dyDescent="0.2">
      <c r="A111" s="150">
        <f t="shared" si="2"/>
        <v>110</v>
      </c>
      <c r="B111" s="150" t="s">
        <v>54</v>
      </c>
      <c r="C111" s="150" t="str">
        <f>VLOOKUP(B111,MEMBERS!B:C,2, )</f>
        <v>MR.ZEESHAN IQBAL</v>
      </c>
      <c r="D111" s="159">
        <v>46000</v>
      </c>
      <c r="E111" s="151">
        <v>0</v>
      </c>
      <c r="F111" s="151">
        <f>150+300</f>
        <v>450</v>
      </c>
      <c r="G111" s="151">
        <v>0</v>
      </c>
      <c r="H111" s="151">
        <v>0</v>
      </c>
      <c r="I111" s="151">
        <v>0</v>
      </c>
      <c r="J111" s="151">
        <v>0</v>
      </c>
      <c r="K111" s="151">
        <v>0</v>
      </c>
      <c r="L111" s="151">
        <v>0</v>
      </c>
      <c r="M111" s="152">
        <v>0</v>
      </c>
      <c r="N111" s="151">
        <v>0</v>
      </c>
      <c r="O111" s="151">
        <v>0</v>
      </c>
      <c r="P111" s="151">
        <v>0</v>
      </c>
      <c r="Q111" s="151">
        <v>0</v>
      </c>
      <c r="R111" s="153">
        <v>0</v>
      </c>
      <c r="S111" s="153">
        <v>0</v>
      </c>
      <c r="T111" s="153">
        <v>0</v>
      </c>
      <c r="U111" s="153">
        <f t="shared" si="3"/>
        <v>450</v>
      </c>
    </row>
    <row r="112" spans="1:21" ht="18" hidden="1" customHeight="1" x14ac:dyDescent="0.2">
      <c r="A112" s="150">
        <f t="shared" si="2"/>
        <v>111</v>
      </c>
      <c r="B112" s="150" t="s">
        <v>83</v>
      </c>
      <c r="C112" s="150" t="str">
        <f>VLOOKUP(B112,MEMBERS!B:C,2, )</f>
        <v>DR.SANTOSH KUMAR</v>
      </c>
      <c r="D112" s="159">
        <v>46000</v>
      </c>
      <c r="E112" s="151">
        <v>0</v>
      </c>
      <c r="F112" s="151">
        <v>150</v>
      </c>
      <c r="G112" s="151">
        <v>0</v>
      </c>
      <c r="H112" s="151">
        <v>0</v>
      </c>
      <c r="I112" s="151">
        <v>0</v>
      </c>
      <c r="J112" s="151">
        <v>0</v>
      </c>
      <c r="K112" s="151">
        <v>0</v>
      </c>
      <c r="L112" s="151">
        <v>0</v>
      </c>
      <c r="M112" s="152">
        <v>0</v>
      </c>
      <c r="N112" s="151">
        <v>0</v>
      </c>
      <c r="O112" s="151">
        <v>0</v>
      </c>
      <c r="P112" s="151">
        <v>0</v>
      </c>
      <c r="Q112" s="151">
        <v>0</v>
      </c>
      <c r="R112" s="153">
        <v>0</v>
      </c>
      <c r="S112" s="153">
        <v>0</v>
      </c>
      <c r="T112" s="153">
        <v>0</v>
      </c>
      <c r="U112" s="153">
        <f t="shared" si="3"/>
        <v>150</v>
      </c>
    </row>
    <row r="113" spans="1:21" ht="18" hidden="1" customHeight="1" x14ac:dyDescent="0.2">
      <c r="A113" s="150">
        <f t="shared" si="2"/>
        <v>112</v>
      </c>
      <c r="B113" s="150" t="s">
        <v>235</v>
      </c>
      <c r="C113" s="150" t="str">
        <f>VLOOKUP(B113,MEMBERS!B:C,2, )</f>
        <v>MR.IMRAN WAZEER</v>
      </c>
      <c r="D113" s="159">
        <v>46000</v>
      </c>
      <c r="E113" s="151">
        <v>0</v>
      </c>
      <c r="F113" s="151">
        <v>150</v>
      </c>
      <c r="G113" s="151">
        <v>0</v>
      </c>
      <c r="H113" s="151">
        <v>0</v>
      </c>
      <c r="I113" s="151">
        <v>0</v>
      </c>
      <c r="J113" s="151">
        <v>0</v>
      </c>
      <c r="K113" s="151">
        <v>0</v>
      </c>
      <c r="L113" s="151">
        <v>0</v>
      </c>
      <c r="M113" s="152">
        <v>0</v>
      </c>
      <c r="N113" s="151">
        <v>0</v>
      </c>
      <c r="O113" s="151">
        <v>0</v>
      </c>
      <c r="P113" s="151">
        <v>0</v>
      </c>
      <c r="Q113" s="151">
        <v>0</v>
      </c>
      <c r="R113" s="153">
        <v>0</v>
      </c>
      <c r="S113" s="153">
        <v>0</v>
      </c>
      <c r="T113" s="153">
        <v>0</v>
      </c>
      <c r="U113" s="153">
        <f t="shared" si="3"/>
        <v>150</v>
      </c>
    </row>
    <row r="114" spans="1:21" ht="18" hidden="1" customHeight="1" x14ac:dyDescent="0.2">
      <c r="A114" s="150">
        <f t="shared" si="2"/>
        <v>113</v>
      </c>
      <c r="B114" s="150" t="s">
        <v>373</v>
      </c>
      <c r="C114" s="150" t="str">
        <f>VLOOKUP(B114,MEMBERS!B:C,2, )</f>
        <v>ASIF ASHFAQ</v>
      </c>
      <c r="D114" s="159">
        <v>46000</v>
      </c>
      <c r="E114" s="151">
        <v>0</v>
      </c>
      <c r="F114" s="151">
        <v>150</v>
      </c>
      <c r="G114" s="151">
        <v>0</v>
      </c>
      <c r="H114" s="151">
        <v>0</v>
      </c>
      <c r="I114" s="151">
        <v>0</v>
      </c>
      <c r="J114" s="151">
        <v>0</v>
      </c>
      <c r="K114" s="151">
        <v>0</v>
      </c>
      <c r="L114" s="151">
        <v>0</v>
      </c>
      <c r="M114" s="152">
        <v>0</v>
      </c>
      <c r="N114" s="151">
        <v>0</v>
      </c>
      <c r="O114" s="151">
        <v>0</v>
      </c>
      <c r="P114" s="151">
        <v>0</v>
      </c>
      <c r="Q114" s="151">
        <v>0</v>
      </c>
      <c r="R114" s="153">
        <v>0</v>
      </c>
      <c r="S114" s="153">
        <v>0</v>
      </c>
      <c r="T114" s="153">
        <v>0</v>
      </c>
      <c r="U114" s="153">
        <f t="shared" si="3"/>
        <v>150</v>
      </c>
    </row>
    <row r="115" spans="1:21" ht="18" hidden="1" customHeight="1" x14ac:dyDescent="0.2">
      <c r="A115" s="150">
        <f t="shared" si="2"/>
        <v>114</v>
      </c>
      <c r="B115" s="150" t="s">
        <v>217</v>
      </c>
      <c r="C115" s="150" t="str">
        <f>VLOOKUP(B115,MEMBERS!B:C,2, )</f>
        <v>MR.ZAIN FAROOQ</v>
      </c>
      <c r="D115" s="159">
        <v>46000</v>
      </c>
      <c r="E115" s="151">
        <v>0</v>
      </c>
      <c r="F115" s="151">
        <f>150*2</f>
        <v>300</v>
      </c>
      <c r="G115" s="151">
        <v>0</v>
      </c>
      <c r="H115" s="151">
        <v>0</v>
      </c>
      <c r="I115" s="151">
        <v>0</v>
      </c>
      <c r="J115" s="151">
        <v>0</v>
      </c>
      <c r="K115" s="151">
        <v>0</v>
      </c>
      <c r="L115" s="151">
        <v>0</v>
      </c>
      <c r="M115" s="152">
        <v>0</v>
      </c>
      <c r="N115" s="151">
        <v>0</v>
      </c>
      <c r="O115" s="151">
        <v>0</v>
      </c>
      <c r="P115" s="151">
        <v>0</v>
      </c>
      <c r="Q115" s="151">
        <v>0</v>
      </c>
      <c r="R115" s="153">
        <v>0</v>
      </c>
      <c r="S115" s="153">
        <v>0</v>
      </c>
      <c r="T115" s="153">
        <v>0</v>
      </c>
      <c r="U115" s="153">
        <f t="shared" si="3"/>
        <v>300</v>
      </c>
    </row>
    <row r="116" spans="1:21" ht="18" hidden="1" customHeight="1" x14ac:dyDescent="0.2">
      <c r="A116" s="150">
        <f t="shared" si="2"/>
        <v>115</v>
      </c>
      <c r="B116" s="150" t="s">
        <v>426</v>
      </c>
      <c r="C116" s="150" t="str">
        <f>VLOOKUP(B116,MEMBERS!B:C,2, )</f>
        <v>NASIR ABBAS</v>
      </c>
      <c r="D116" s="159">
        <v>46000</v>
      </c>
      <c r="E116" s="151">
        <v>0</v>
      </c>
      <c r="F116" s="151">
        <v>150</v>
      </c>
      <c r="G116" s="151">
        <v>0</v>
      </c>
      <c r="H116" s="151">
        <v>0</v>
      </c>
      <c r="I116" s="151">
        <v>0</v>
      </c>
      <c r="J116" s="151">
        <v>0</v>
      </c>
      <c r="K116" s="151">
        <v>0</v>
      </c>
      <c r="L116" s="151">
        <v>0</v>
      </c>
      <c r="M116" s="152">
        <v>0</v>
      </c>
      <c r="N116" s="151">
        <v>0</v>
      </c>
      <c r="O116" s="151">
        <v>0</v>
      </c>
      <c r="P116" s="151">
        <v>0</v>
      </c>
      <c r="Q116" s="151">
        <v>0</v>
      </c>
      <c r="R116" s="153">
        <v>0</v>
      </c>
      <c r="S116" s="153">
        <v>0</v>
      </c>
      <c r="T116" s="153">
        <v>0</v>
      </c>
      <c r="U116" s="153">
        <f t="shared" si="3"/>
        <v>150</v>
      </c>
    </row>
    <row r="117" spans="1:21" ht="18" hidden="1" customHeight="1" x14ac:dyDescent="0.2">
      <c r="A117" s="150">
        <f t="shared" si="2"/>
        <v>116</v>
      </c>
      <c r="B117" s="150" t="s">
        <v>273</v>
      </c>
      <c r="C117" s="150" t="str">
        <f>VLOOKUP(B117,MEMBERS!B:C,2, )</f>
        <v>MR.SYED MURTAZA ALI</v>
      </c>
      <c r="D117" s="159">
        <v>46000</v>
      </c>
      <c r="E117" s="151">
        <v>0</v>
      </c>
      <c r="F117" s="151">
        <v>150</v>
      </c>
      <c r="G117" s="151">
        <v>0</v>
      </c>
      <c r="H117" s="151">
        <v>0</v>
      </c>
      <c r="I117" s="151">
        <v>0</v>
      </c>
      <c r="J117" s="151">
        <v>0</v>
      </c>
      <c r="K117" s="151">
        <v>0</v>
      </c>
      <c r="L117" s="151">
        <v>0</v>
      </c>
      <c r="M117" s="152">
        <v>0</v>
      </c>
      <c r="N117" s="151">
        <v>0</v>
      </c>
      <c r="O117" s="151">
        <v>0</v>
      </c>
      <c r="P117" s="151">
        <v>0</v>
      </c>
      <c r="Q117" s="151">
        <v>0</v>
      </c>
      <c r="R117" s="153">
        <v>0</v>
      </c>
      <c r="S117" s="153">
        <v>0</v>
      </c>
      <c r="T117" s="153">
        <v>0</v>
      </c>
      <c r="U117" s="153">
        <f t="shared" si="3"/>
        <v>150</v>
      </c>
    </row>
    <row r="118" spans="1:21" ht="18" hidden="1" customHeight="1" x14ac:dyDescent="0.2">
      <c r="A118" s="150">
        <f t="shared" si="2"/>
        <v>117</v>
      </c>
      <c r="B118" s="150" t="s">
        <v>44</v>
      </c>
      <c r="C118" s="150" t="str">
        <f>VLOOKUP(B118,MEMBERS!B:C,2, )</f>
        <v>MR.MUHAMMAD RIZWAN</v>
      </c>
      <c r="D118" s="159">
        <v>46000</v>
      </c>
      <c r="E118" s="151">
        <v>0</v>
      </c>
      <c r="F118" s="151">
        <v>150</v>
      </c>
      <c r="G118" s="151">
        <v>0</v>
      </c>
      <c r="H118" s="151">
        <v>0</v>
      </c>
      <c r="I118" s="151">
        <v>0</v>
      </c>
      <c r="J118" s="151">
        <v>0</v>
      </c>
      <c r="K118" s="151">
        <v>0</v>
      </c>
      <c r="L118" s="151">
        <v>0</v>
      </c>
      <c r="M118" s="152">
        <v>0</v>
      </c>
      <c r="N118" s="151">
        <v>0</v>
      </c>
      <c r="O118" s="151">
        <v>0</v>
      </c>
      <c r="P118" s="151">
        <v>0</v>
      </c>
      <c r="Q118" s="151">
        <v>0</v>
      </c>
      <c r="R118" s="153">
        <v>0</v>
      </c>
      <c r="S118" s="153">
        <v>0</v>
      </c>
      <c r="T118" s="153">
        <v>0</v>
      </c>
      <c r="U118" s="153">
        <f t="shared" si="3"/>
        <v>150</v>
      </c>
    </row>
    <row r="119" spans="1:21" ht="18" hidden="1" customHeight="1" x14ac:dyDescent="0.2">
      <c r="A119" s="150">
        <f t="shared" si="2"/>
        <v>118</v>
      </c>
      <c r="B119" s="150" t="s">
        <v>359</v>
      </c>
      <c r="C119" s="150" t="str">
        <f>VLOOKUP(B119,MEMBERS!B:C,2, )</f>
        <v>DR.NASEEM MUNSHI</v>
      </c>
      <c r="D119" s="159">
        <v>46000</v>
      </c>
      <c r="E119" s="151">
        <v>0</v>
      </c>
      <c r="F119" s="151">
        <v>150</v>
      </c>
      <c r="G119" s="151">
        <v>0</v>
      </c>
      <c r="H119" s="151">
        <v>0</v>
      </c>
      <c r="I119" s="151">
        <v>0</v>
      </c>
      <c r="J119" s="151">
        <v>0</v>
      </c>
      <c r="K119" s="151">
        <v>0</v>
      </c>
      <c r="L119" s="151">
        <v>0</v>
      </c>
      <c r="M119" s="152">
        <v>0</v>
      </c>
      <c r="N119" s="151">
        <v>0</v>
      </c>
      <c r="O119" s="151">
        <v>0</v>
      </c>
      <c r="P119" s="151">
        <v>0</v>
      </c>
      <c r="Q119" s="151">
        <v>0</v>
      </c>
      <c r="R119" s="153">
        <v>0</v>
      </c>
      <c r="S119" s="153">
        <v>0</v>
      </c>
      <c r="T119" s="153">
        <v>0</v>
      </c>
      <c r="U119" s="153">
        <f t="shared" si="3"/>
        <v>150</v>
      </c>
    </row>
    <row r="120" spans="1:21" ht="18" hidden="1" customHeight="1" x14ac:dyDescent="0.2">
      <c r="A120" s="150">
        <f t="shared" si="2"/>
        <v>119</v>
      </c>
      <c r="B120" s="150" t="s">
        <v>155</v>
      </c>
      <c r="C120" s="150" t="str">
        <f>VLOOKUP(B120,MEMBERS!B:C,2, )</f>
        <v>MR.PIR MUJEEB JAN SARHANDI</v>
      </c>
      <c r="D120" s="159">
        <v>46000</v>
      </c>
      <c r="E120" s="151">
        <v>0</v>
      </c>
      <c r="F120" s="151">
        <v>150</v>
      </c>
      <c r="G120" s="151">
        <v>0</v>
      </c>
      <c r="H120" s="151">
        <v>0</v>
      </c>
      <c r="I120" s="151">
        <v>0</v>
      </c>
      <c r="J120" s="151">
        <v>0</v>
      </c>
      <c r="K120" s="151">
        <v>0</v>
      </c>
      <c r="L120" s="151">
        <v>0</v>
      </c>
      <c r="M120" s="152">
        <v>0</v>
      </c>
      <c r="N120" s="151">
        <v>0</v>
      </c>
      <c r="O120" s="151">
        <v>0</v>
      </c>
      <c r="P120" s="151">
        <v>0</v>
      </c>
      <c r="Q120" s="151">
        <v>0</v>
      </c>
      <c r="R120" s="153">
        <v>0</v>
      </c>
      <c r="S120" s="153">
        <v>0</v>
      </c>
      <c r="T120" s="153">
        <v>0</v>
      </c>
      <c r="U120" s="153">
        <f t="shared" si="3"/>
        <v>150</v>
      </c>
    </row>
    <row r="121" spans="1:21" ht="18" hidden="1" customHeight="1" x14ac:dyDescent="0.2">
      <c r="A121" s="150">
        <f t="shared" si="2"/>
        <v>120</v>
      </c>
      <c r="B121" s="150" t="s">
        <v>197</v>
      </c>
      <c r="C121" s="150" t="str">
        <f>VLOOKUP(B121,MEMBERS!B:C,2, )</f>
        <v>MR.MUHAMMAD ATIF USMANI</v>
      </c>
      <c r="D121" s="159">
        <v>46000</v>
      </c>
      <c r="E121" s="151">
        <v>0</v>
      </c>
      <c r="F121" s="151">
        <v>150</v>
      </c>
      <c r="G121" s="151">
        <v>0</v>
      </c>
      <c r="H121" s="151">
        <v>0</v>
      </c>
      <c r="I121" s="151">
        <v>0</v>
      </c>
      <c r="J121" s="151">
        <v>0</v>
      </c>
      <c r="K121" s="151">
        <v>0</v>
      </c>
      <c r="L121" s="151">
        <v>0</v>
      </c>
      <c r="M121" s="152">
        <v>0</v>
      </c>
      <c r="N121" s="151">
        <v>0</v>
      </c>
      <c r="O121" s="151">
        <v>0</v>
      </c>
      <c r="P121" s="151">
        <v>0</v>
      </c>
      <c r="Q121" s="151">
        <v>0</v>
      </c>
      <c r="R121" s="153">
        <v>0</v>
      </c>
      <c r="S121" s="153">
        <v>0</v>
      </c>
      <c r="T121" s="153">
        <v>0</v>
      </c>
      <c r="U121" s="153">
        <f t="shared" si="3"/>
        <v>150</v>
      </c>
    </row>
    <row r="122" spans="1:21" ht="18" hidden="1" customHeight="1" x14ac:dyDescent="0.2">
      <c r="A122" s="150">
        <f t="shared" si="2"/>
        <v>121</v>
      </c>
      <c r="B122" s="150" t="s">
        <v>10</v>
      </c>
      <c r="C122" s="150" t="str">
        <f>VLOOKUP(B122,MEMBERS!B:C,2, )</f>
        <v>MR. JABIR SHAHZAD</v>
      </c>
      <c r="D122" s="159">
        <v>46000</v>
      </c>
      <c r="E122" s="151">
        <v>0</v>
      </c>
      <c r="F122" s="151">
        <v>150</v>
      </c>
      <c r="G122" s="151">
        <v>0</v>
      </c>
      <c r="H122" s="151">
        <v>0</v>
      </c>
      <c r="I122" s="151">
        <v>0</v>
      </c>
      <c r="J122" s="151">
        <v>0</v>
      </c>
      <c r="K122" s="151">
        <v>0</v>
      </c>
      <c r="L122" s="151">
        <v>0</v>
      </c>
      <c r="M122" s="152">
        <v>0</v>
      </c>
      <c r="N122" s="151">
        <v>0</v>
      </c>
      <c r="O122" s="151">
        <v>0</v>
      </c>
      <c r="P122" s="151">
        <v>0</v>
      </c>
      <c r="Q122" s="151">
        <v>0</v>
      </c>
      <c r="R122" s="153">
        <v>0</v>
      </c>
      <c r="S122" s="153">
        <v>0</v>
      </c>
      <c r="T122" s="153">
        <v>0</v>
      </c>
      <c r="U122" s="153">
        <f t="shared" si="3"/>
        <v>150</v>
      </c>
    </row>
    <row r="123" spans="1:21" ht="18" hidden="1" customHeight="1" x14ac:dyDescent="0.2">
      <c r="A123" s="150">
        <f t="shared" si="2"/>
        <v>122</v>
      </c>
      <c r="B123" s="150" t="s">
        <v>1052</v>
      </c>
      <c r="C123" s="150" t="str">
        <f>VLOOKUP(B123,MEMBERS!B:C,2, )</f>
        <v>MR. YASIR RASHEED</v>
      </c>
      <c r="D123" s="159">
        <v>46001</v>
      </c>
      <c r="E123" s="151">
        <v>0</v>
      </c>
      <c r="F123" s="151">
        <v>0</v>
      </c>
      <c r="G123" s="151">
        <v>0</v>
      </c>
      <c r="H123" s="151">
        <v>0</v>
      </c>
      <c r="I123" s="151">
        <v>0</v>
      </c>
      <c r="J123" s="151">
        <v>0</v>
      </c>
      <c r="K123" s="151">
        <v>0</v>
      </c>
      <c r="L123" s="151">
        <v>0</v>
      </c>
      <c r="M123" s="152">
        <v>0</v>
      </c>
      <c r="N123" s="151">
        <v>0</v>
      </c>
      <c r="O123" s="151">
        <v>0</v>
      </c>
      <c r="P123" s="151">
        <v>450</v>
      </c>
      <c r="Q123" s="151">
        <v>0</v>
      </c>
      <c r="R123" s="153">
        <v>0</v>
      </c>
      <c r="S123" s="153">
        <v>0</v>
      </c>
      <c r="T123" s="153">
        <v>0</v>
      </c>
      <c r="U123" s="153">
        <f t="shared" si="3"/>
        <v>450</v>
      </c>
    </row>
    <row r="124" spans="1:21" ht="18" hidden="1" customHeight="1" x14ac:dyDescent="0.2">
      <c r="A124" s="150">
        <f t="shared" si="2"/>
        <v>123</v>
      </c>
      <c r="B124" s="150" t="s">
        <v>650</v>
      </c>
      <c r="C124" s="150" t="str">
        <f>VLOOKUP(B124,MEMBERS!B:C,2, )</f>
        <v>SHAHBAZ AHMED</v>
      </c>
      <c r="D124" s="159">
        <v>46001</v>
      </c>
      <c r="E124" s="151">
        <v>0</v>
      </c>
      <c r="F124" s="151">
        <v>300</v>
      </c>
      <c r="G124" s="151">
        <v>0</v>
      </c>
      <c r="H124" s="151">
        <v>0</v>
      </c>
      <c r="I124" s="151">
        <v>0</v>
      </c>
      <c r="J124" s="151">
        <v>300</v>
      </c>
      <c r="K124" s="151">
        <v>0</v>
      </c>
      <c r="L124" s="151">
        <v>0</v>
      </c>
      <c r="M124" s="152">
        <v>0</v>
      </c>
      <c r="N124" s="151">
        <v>0</v>
      </c>
      <c r="O124" s="151">
        <v>0</v>
      </c>
      <c r="P124" s="151">
        <v>2500</v>
      </c>
      <c r="Q124" s="151">
        <v>0</v>
      </c>
      <c r="R124" s="153">
        <v>0</v>
      </c>
      <c r="S124" s="153">
        <v>0</v>
      </c>
      <c r="T124" s="153">
        <v>0</v>
      </c>
      <c r="U124" s="153">
        <f t="shared" si="3"/>
        <v>3100</v>
      </c>
    </row>
    <row r="125" spans="1:21" ht="18" hidden="1" customHeight="1" x14ac:dyDescent="0.2">
      <c r="A125" s="150">
        <f t="shared" si="2"/>
        <v>124</v>
      </c>
      <c r="B125" s="150" t="s">
        <v>164</v>
      </c>
      <c r="C125" s="150" t="str">
        <f>VLOOKUP(B125,MEMBERS!B:C,2, )</f>
        <v>MR.ASHOK KUMAR</v>
      </c>
      <c r="D125" s="159">
        <v>46001</v>
      </c>
      <c r="E125" s="151">
        <v>0</v>
      </c>
      <c r="F125" s="151">
        <v>0</v>
      </c>
      <c r="G125" s="151">
        <v>0</v>
      </c>
      <c r="H125" s="151">
        <v>0</v>
      </c>
      <c r="I125" s="151">
        <v>0</v>
      </c>
      <c r="J125" s="151">
        <f>300*2</f>
        <v>600</v>
      </c>
      <c r="K125" s="151">
        <f>300*4+600</f>
        <v>1800</v>
      </c>
      <c r="L125" s="151">
        <v>0</v>
      </c>
      <c r="M125" s="152">
        <v>0</v>
      </c>
      <c r="N125" s="151">
        <v>0</v>
      </c>
      <c r="O125" s="151">
        <v>0</v>
      </c>
      <c r="P125" s="151">
        <v>0</v>
      </c>
      <c r="Q125" s="151">
        <v>0</v>
      </c>
      <c r="R125" s="153">
        <v>0</v>
      </c>
      <c r="S125" s="153">
        <v>0</v>
      </c>
      <c r="T125" s="153">
        <v>0</v>
      </c>
      <c r="U125" s="153">
        <f t="shared" si="3"/>
        <v>2400</v>
      </c>
    </row>
    <row r="126" spans="1:21" ht="18" hidden="1" customHeight="1" x14ac:dyDescent="0.2">
      <c r="A126" s="150">
        <f t="shared" si="2"/>
        <v>125</v>
      </c>
      <c r="B126" s="150" t="s">
        <v>235</v>
      </c>
      <c r="C126" s="150" t="str">
        <f>VLOOKUP(B126,MEMBERS!B:C,2, )</f>
        <v>MR.IMRAN WAZEER</v>
      </c>
      <c r="D126" s="159">
        <v>46001</v>
      </c>
      <c r="E126" s="151">
        <v>0</v>
      </c>
      <c r="F126" s="151">
        <v>150</v>
      </c>
      <c r="G126" s="151">
        <v>0</v>
      </c>
      <c r="H126" s="151">
        <v>0</v>
      </c>
      <c r="I126" s="151">
        <v>0</v>
      </c>
      <c r="J126" s="151">
        <v>0</v>
      </c>
      <c r="K126" s="151">
        <f>300*4</f>
        <v>1200</v>
      </c>
      <c r="L126" s="151">
        <v>0</v>
      </c>
      <c r="M126" s="152">
        <v>0</v>
      </c>
      <c r="N126" s="151">
        <v>0</v>
      </c>
      <c r="O126" s="151">
        <v>0</v>
      </c>
      <c r="P126" s="151">
        <v>0</v>
      </c>
      <c r="Q126" s="151">
        <v>0</v>
      </c>
      <c r="R126" s="153">
        <v>0</v>
      </c>
      <c r="S126" s="153">
        <v>0</v>
      </c>
      <c r="T126" s="153">
        <v>0</v>
      </c>
      <c r="U126" s="153">
        <f t="shared" si="3"/>
        <v>1350</v>
      </c>
    </row>
    <row r="127" spans="1:21" ht="18" hidden="1" customHeight="1" x14ac:dyDescent="0.2">
      <c r="A127" s="150">
        <f t="shared" si="2"/>
        <v>126</v>
      </c>
      <c r="B127" s="150" t="s">
        <v>378</v>
      </c>
      <c r="C127" s="150" t="str">
        <f>VLOOKUP(B127,MEMBERS!B:C,2, )</f>
        <v>SABA AHSAN</v>
      </c>
      <c r="D127" s="159">
        <v>46001</v>
      </c>
      <c r="E127" s="151">
        <v>0</v>
      </c>
      <c r="F127" s="151">
        <v>0</v>
      </c>
      <c r="G127" s="151">
        <v>0</v>
      </c>
      <c r="H127" s="151">
        <v>0</v>
      </c>
      <c r="I127" s="151">
        <v>0</v>
      </c>
      <c r="J127" s="151">
        <v>0</v>
      </c>
      <c r="K127" s="151">
        <f>300*2</f>
        <v>600</v>
      </c>
      <c r="L127" s="151">
        <v>0</v>
      </c>
      <c r="M127" s="152">
        <v>0</v>
      </c>
      <c r="N127" s="151">
        <v>0</v>
      </c>
      <c r="O127" s="151">
        <v>0</v>
      </c>
      <c r="P127" s="151">
        <v>0</v>
      </c>
      <c r="Q127" s="151">
        <v>0</v>
      </c>
      <c r="R127" s="153">
        <v>0</v>
      </c>
      <c r="S127" s="153">
        <v>0</v>
      </c>
      <c r="T127" s="153">
        <v>0</v>
      </c>
      <c r="U127" s="153">
        <f t="shared" si="3"/>
        <v>600</v>
      </c>
    </row>
    <row r="128" spans="1:21" ht="18" hidden="1" customHeight="1" x14ac:dyDescent="0.2">
      <c r="A128" s="150">
        <f t="shared" si="2"/>
        <v>127</v>
      </c>
      <c r="B128" s="150" t="s">
        <v>454</v>
      </c>
      <c r="C128" s="150" t="str">
        <f>VLOOKUP(B128,MEMBERS!B:C,2, )</f>
        <v>Heritage club</v>
      </c>
      <c r="D128" s="159">
        <v>46001</v>
      </c>
      <c r="E128" s="151">
        <v>0</v>
      </c>
      <c r="F128" s="151">
        <v>0</v>
      </c>
      <c r="G128" s="151">
        <v>0</v>
      </c>
      <c r="H128" s="151">
        <v>0</v>
      </c>
      <c r="I128" s="151">
        <v>0</v>
      </c>
      <c r="J128" s="151">
        <v>0</v>
      </c>
      <c r="K128" s="151">
        <f>600*4</f>
        <v>2400</v>
      </c>
      <c r="L128" s="151">
        <v>0</v>
      </c>
      <c r="M128" s="152">
        <v>0</v>
      </c>
      <c r="N128" s="151">
        <v>0</v>
      </c>
      <c r="O128" s="151">
        <v>0</v>
      </c>
      <c r="P128" s="151">
        <v>0</v>
      </c>
      <c r="Q128" s="151">
        <v>0</v>
      </c>
      <c r="R128" s="153">
        <v>0</v>
      </c>
      <c r="S128" s="153">
        <v>0</v>
      </c>
      <c r="T128" s="153">
        <v>0</v>
      </c>
      <c r="U128" s="153">
        <f t="shared" si="3"/>
        <v>2400</v>
      </c>
    </row>
    <row r="129" spans="1:21" ht="18" hidden="1" customHeight="1" x14ac:dyDescent="0.2">
      <c r="A129" s="150">
        <f t="shared" si="2"/>
        <v>128</v>
      </c>
      <c r="B129" s="150" t="s">
        <v>385</v>
      </c>
      <c r="C129" s="150" t="str">
        <f>VLOOKUP(B129,MEMBERS!B:C,2, )</f>
        <v>AYSM MIRZA</v>
      </c>
      <c r="D129" s="159">
        <v>46001</v>
      </c>
      <c r="E129" s="151">
        <v>0</v>
      </c>
      <c r="F129" s="151">
        <v>0</v>
      </c>
      <c r="G129" s="151">
        <v>0</v>
      </c>
      <c r="H129" s="151">
        <v>0</v>
      </c>
      <c r="I129" s="151">
        <v>0</v>
      </c>
      <c r="J129" s="151">
        <v>0</v>
      </c>
      <c r="K129" s="151">
        <f>300*3+600</f>
        <v>1500</v>
      </c>
      <c r="L129" s="151">
        <v>0</v>
      </c>
      <c r="M129" s="152">
        <v>0</v>
      </c>
      <c r="N129" s="151">
        <v>0</v>
      </c>
      <c r="O129" s="151">
        <v>0</v>
      </c>
      <c r="P129" s="151">
        <v>0</v>
      </c>
      <c r="Q129" s="151">
        <v>0</v>
      </c>
      <c r="R129" s="153">
        <v>0</v>
      </c>
      <c r="S129" s="153">
        <v>0</v>
      </c>
      <c r="T129" s="153">
        <v>0</v>
      </c>
      <c r="U129" s="153">
        <f t="shared" si="3"/>
        <v>1500</v>
      </c>
    </row>
    <row r="130" spans="1:21" ht="18" hidden="1" customHeight="1" x14ac:dyDescent="0.2">
      <c r="A130" s="150">
        <f t="shared" ref="A130:A210" si="4">IF(D130&lt;&gt;"", ROW()-1, "")</f>
        <v>129</v>
      </c>
      <c r="B130" s="150" t="s">
        <v>54</v>
      </c>
      <c r="C130" s="150" t="str">
        <f>VLOOKUP(B130,MEMBERS!B:C,2, )</f>
        <v>MR.ZEESHAN IQBAL</v>
      </c>
      <c r="D130" s="159">
        <v>46001</v>
      </c>
      <c r="E130" s="151">
        <v>0</v>
      </c>
      <c r="F130" s="151">
        <f>150*2+300</f>
        <v>600</v>
      </c>
      <c r="G130" s="151">
        <v>0</v>
      </c>
      <c r="H130" s="151">
        <v>0</v>
      </c>
      <c r="I130" s="151">
        <v>0</v>
      </c>
      <c r="J130" s="151">
        <v>0</v>
      </c>
      <c r="K130" s="151">
        <v>0</v>
      </c>
      <c r="L130" s="151">
        <v>0</v>
      </c>
      <c r="M130" s="152">
        <v>0</v>
      </c>
      <c r="N130" s="151">
        <v>0</v>
      </c>
      <c r="O130" s="151">
        <v>0</v>
      </c>
      <c r="P130" s="151">
        <v>0</v>
      </c>
      <c r="Q130" s="151">
        <v>0</v>
      </c>
      <c r="R130" s="153">
        <v>0</v>
      </c>
      <c r="S130" s="153">
        <v>0</v>
      </c>
      <c r="T130" s="153">
        <v>0</v>
      </c>
      <c r="U130" s="153">
        <f t="shared" ref="U130:U161" si="5">SUM(E130:T130)</f>
        <v>600</v>
      </c>
    </row>
    <row r="131" spans="1:21" ht="18" hidden="1" customHeight="1" x14ac:dyDescent="0.2">
      <c r="A131" s="150">
        <f t="shared" si="4"/>
        <v>130</v>
      </c>
      <c r="B131" s="150" t="s">
        <v>83</v>
      </c>
      <c r="C131" s="150" t="str">
        <f>VLOOKUP(B131,MEMBERS!B:C,2, )</f>
        <v>DR.SANTOSH KUMAR</v>
      </c>
      <c r="D131" s="159">
        <v>46001</v>
      </c>
      <c r="E131" s="151">
        <v>0</v>
      </c>
      <c r="F131" s="151">
        <v>150</v>
      </c>
      <c r="G131" s="151">
        <v>0</v>
      </c>
      <c r="H131" s="151">
        <v>0</v>
      </c>
      <c r="I131" s="151">
        <v>0</v>
      </c>
      <c r="J131" s="151">
        <v>0</v>
      </c>
      <c r="K131" s="151">
        <v>0</v>
      </c>
      <c r="L131" s="151">
        <v>0</v>
      </c>
      <c r="M131" s="152">
        <v>0</v>
      </c>
      <c r="N131" s="151">
        <v>0</v>
      </c>
      <c r="O131" s="151">
        <v>0</v>
      </c>
      <c r="P131" s="151">
        <v>0</v>
      </c>
      <c r="Q131" s="151">
        <v>0</v>
      </c>
      <c r="R131" s="153">
        <v>0</v>
      </c>
      <c r="S131" s="153">
        <v>0</v>
      </c>
      <c r="T131" s="153">
        <v>0</v>
      </c>
      <c r="U131" s="153">
        <f t="shared" si="5"/>
        <v>150</v>
      </c>
    </row>
    <row r="132" spans="1:21" ht="18" hidden="1" customHeight="1" x14ac:dyDescent="0.2">
      <c r="A132" s="150">
        <f t="shared" si="4"/>
        <v>131</v>
      </c>
      <c r="B132" s="150" t="s">
        <v>373</v>
      </c>
      <c r="C132" s="150" t="str">
        <f>VLOOKUP(B132,MEMBERS!B:C,2, )</f>
        <v>ASIF ASHFAQ</v>
      </c>
      <c r="D132" s="159">
        <v>46001</v>
      </c>
      <c r="E132" s="151">
        <v>0</v>
      </c>
      <c r="F132" s="151">
        <f>150*2</f>
        <v>300</v>
      </c>
      <c r="G132" s="151">
        <v>0</v>
      </c>
      <c r="H132" s="151">
        <v>0</v>
      </c>
      <c r="I132" s="151">
        <v>0</v>
      </c>
      <c r="J132" s="151">
        <v>0</v>
      </c>
      <c r="K132" s="151">
        <v>0</v>
      </c>
      <c r="L132" s="151">
        <v>0</v>
      </c>
      <c r="M132" s="152">
        <v>0</v>
      </c>
      <c r="N132" s="151">
        <v>0</v>
      </c>
      <c r="O132" s="151">
        <v>0</v>
      </c>
      <c r="P132" s="151">
        <v>0</v>
      </c>
      <c r="Q132" s="151">
        <v>0</v>
      </c>
      <c r="R132" s="153">
        <v>0</v>
      </c>
      <c r="S132" s="153">
        <v>0</v>
      </c>
      <c r="T132" s="153">
        <v>0</v>
      </c>
      <c r="U132" s="153">
        <f t="shared" si="5"/>
        <v>300</v>
      </c>
    </row>
    <row r="133" spans="1:21" ht="18" hidden="1" customHeight="1" x14ac:dyDescent="0.2">
      <c r="A133" s="150">
        <f t="shared" si="4"/>
        <v>132</v>
      </c>
      <c r="B133" s="150" t="s">
        <v>217</v>
      </c>
      <c r="C133" s="150" t="str">
        <f>VLOOKUP(B133,MEMBERS!B:C,2, )</f>
        <v>MR.ZAIN FAROOQ</v>
      </c>
      <c r="D133" s="159">
        <v>46001</v>
      </c>
      <c r="E133" s="151">
        <v>0</v>
      </c>
      <c r="F133" s="151">
        <f>150*2</f>
        <v>300</v>
      </c>
      <c r="G133" s="151">
        <v>0</v>
      </c>
      <c r="H133" s="151">
        <v>0</v>
      </c>
      <c r="I133" s="151">
        <v>0</v>
      </c>
      <c r="J133" s="151">
        <v>0</v>
      </c>
      <c r="K133" s="151">
        <v>0</v>
      </c>
      <c r="L133" s="151">
        <v>0</v>
      </c>
      <c r="M133" s="152">
        <v>0</v>
      </c>
      <c r="N133" s="151">
        <v>0</v>
      </c>
      <c r="O133" s="151">
        <v>0</v>
      </c>
      <c r="P133" s="151">
        <v>0</v>
      </c>
      <c r="Q133" s="151">
        <v>0</v>
      </c>
      <c r="R133" s="153">
        <v>0</v>
      </c>
      <c r="S133" s="153">
        <v>0</v>
      </c>
      <c r="T133" s="153">
        <v>0</v>
      </c>
      <c r="U133" s="153">
        <f t="shared" si="5"/>
        <v>300</v>
      </c>
    </row>
    <row r="134" spans="1:21" ht="18" hidden="1" customHeight="1" x14ac:dyDescent="0.2">
      <c r="A134" s="150">
        <f t="shared" si="4"/>
        <v>133</v>
      </c>
      <c r="B134" s="150" t="s">
        <v>98</v>
      </c>
      <c r="C134" s="150" t="str">
        <f>VLOOKUP(B134,MEMBERS!B:C,2, )</f>
        <v>MR.HAFEEZ AHMED SIYAL</v>
      </c>
      <c r="D134" s="159">
        <v>46001</v>
      </c>
      <c r="E134" s="151">
        <v>0</v>
      </c>
      <c r="F134" s="151">
        <v>150</v>
      </c>
      <c r="G134" s="151">
        <v>0</v>
      </c>
      <c r="H134" s="151">
        <v>0</v>
      </c>
      <c r="I134" s="151">
        <v>0</v>
      </c>
      <c r="J134" s="151">
        <v>0</v>
      </c>
      <c r="K134" s="151">
        <v>0</v>
      </c>
      <c r="L134" s="151">
        <v>0</v>
      </c>
      <c r="M134" s="152">
        <v>0</v>
      </c>
      <c r="N134" s="151">
        <v>0</v>
      </c>
      <c r="O134" s="151">
        <v>0</v>
      </c>
      <c r="P134" s="151">
        <v>0</v>
      </c>
      <c r="Q134" s="151">
        <v>0</v>
      </c>
      <c r="R134" s="153">
        <v>0</v>
      </c>
      <c r="S134" s="153">
        <v>0</v>
      </c>
      <c r="T134" s="153">
        <v>0</v>
      </c>
      <c r="U134" s="153">
        <f t="shared" si="5"/>
        <v>150</v>
      </c>
    </row>
    <row r="135" spans="1:21" ht="18" hidden="1" customHeight="1" x14ac:dyDescent="0.2">
      <c r="A135" s="150">
        <f t="shared" si="4"/>
        <v>134</v>
      </c>
      <c r="B135" s="150" t="s">
        <v>44</v>
      </c>
      <c r="C135" s="150" t="str">
        <f>VLOOKUP(B135,MEMBERS!B:C,2, )</f>
        <v>MR.MUHAMMAD RIZWAN</v>
      </c>
      <c r="D135" s="159">
        <v>46001</v>
      </c>
      <c r="E135" s="151">
        <v>0</v>
      </c>
      <c r="F135" s="151">
        <f>150*2</f>
        <v>300</v>
      </c>
      <c r="G135" s="151">
        <v>0</v>
      </c>
      <c r="H135" s="151">
        <v>0</v>
      </c>
      <c r="I135" s="151">
        <v>0</v>
      </c>
      <c r="J135" s="151">
        <v>0</v>
      </c>
      <c r="K135" s="151">
        <v>0</v>
      </c>
      <c r="L135" s="151">
        <v>0</v>
      </c>
      <c r="M135" s="152">
        <v>0</v>
      </c>
      <c r="N135" s="151">
        <v>0</v>
      </c>
      <c r="O135" s="151">
        <v>0</v>
      </c>
      <c r="P135" s="151">
        <v>0</v>
      </c>
      <c r="Q135" s="151">
        <v>0</v>
      </c>
      <c r="R135" s="153">
        <v>0</v>
      </c>
      <c r="S135" s="153">
        <v>0</v>
      </c>
      <c r="T135" s="153">
        <v>0</v>
      </c>
      <c r="U135" s="153">
        <f t="shared" si="5"/>
        <v>300</v>
      </c>
    </row>
    <row r="136" spans="1:21" ht="18" hidden="1" customHeight="1" x14ac:dyDescent="0.2">
      <c r="A136" s="150">
        <f t="shared" si="4"/>
        <v>135</v>
      </c>
      <c r="B136" s="150" t="s">
        <v>197</v>
      </c>
      <c r="C136" s="150" t="str">
        <f>VLOOKUP(B136,MEMBERS!B:C,2, )</f>
        <v>MR.MUHAMMAD ATIF USMANI</v>
      </c>
      <c r="D136" s="159">
        <v>46001</v>
      </c>
      <c r="E136" s="151">
        <v>0</v>
      </c>
      <c r="F136" s="151">
        <v>150</v>
      </c>
      <c r="G136" s="151">
        <v>0</v>
      </c>
      <c r="H136" s="151">
        <v>0</v>
      </c>
      <c r="I136" s="151">
        <v>0</v>
      </c>
      <c r="J136" s="151">
        <v>0</v>
      </c>
      <c r="K136" s="151">
        <v>0</v>
      </c>
      <c r="L136" s="151">
        <v>0</v>
      </c>
      <c r="M136" s="152">
        <v>0</v>
      </c>
      <c r="N136" s="151">
        <v>0</v>
      </c>
      <c r="O136" s="151">
        <v>0</v>
      </c>
      <c r="P136" s="151">
        <v>0</v>
      </c>
      <c r="Q136" s="151">
        <v>0</v>
      </c>
      <c r="R136" s="153">
        <v>0</v>
      </c>
      <c r="S136" s="153">
        <v>0</v>
      </c>
      <c r="T136" s="153">
        <v>0</v>
      </c>
      <c r="U136" s="153">
        <f t="shared" si="5"/>
        <v>150</v>
      </c>
    </row>
    <row r="137" spans="1:21" ht="18" hidden="1" customHeight="1" x14ac:dyDescent="0.2">
      <c r="A137" s="150">
        <f t="shared" si="4"/>
        <v>136</v>
      </c>
      <c r="B137" s="150" t="s">
        <v>39</v>
      </c>
      <c r="C137" s="150" t="str">
        <f>VLOOKUP(B137,MEMBERS!B:C,2, )</f>
        <v>MR.SYED ABDULLAH ALI</v>
      </c>
      <c r="D137" s="159">
        <v>46001</v>
      </c>
      <c r="E137" s="151">
        <v>0</v>
      </c>
      <c r="F137" s="151">
        <v>150</v>
      </c>
      <c r="G137" s="151">
        <v>0</v>
      </c>
      <c r="H137" s="151">
        <v>0</v>
      </c>
      <c r="I137" s="151">
        <v>0</v>
      </c>
      <c r="J137" s="151">
        <v>0</v>
      </c>
      <c r="K137" s="151">
        <v>0</v>
      </c>
      <c r="L137" s="151">
        <v>0</v>
      </c>
      <c r="M137" s="152">
        <v>0</v>
      </c>
      <c r="N137" s="151">
        <v>0</v>
      </c>
      <c r="O137" s="151">
        <v>0</v>
      </c>
      <c r="P137" s="151">
        <v>0</v>
      </c>
      <c r="Q137" s="151">
        <v>0</v>
      </c>
      <c r="R137" s="153">
        <v>0</v>
      </c>
      <c r="S137" s="153">
        <v>0</v>
      </c>
      <c r="T137" s="153">
        <v>0</v>
      </c>
      <c r="U137" s="153">
        <f t="shared" si="5"/>
        <v>150</v>
      </c>
    </row>
    <row r="138" spans="1:21" ht="18" hidden="1" customHeight="1" x14ac:dyDescent="0.2">
      <c r="A138" s="150">
        <f t="shared" si="4"/>
        <v>137</v>
      </c>
      <c r="B138" s="150" t="s">
        <v>650</v>
      </c>
      <c r="C138" s="150" t="str">
        <f>VLOOKUP(B138,MEMBERS!B:C,2, )</f>
        <v>SHAHBAZ AHMED</v>
      </c>
      <c r="D138" s="159">
        <v>46002</v>
      </c>
      <c r="E138" s="151">
        <v>0</v>
      </c>
      <c r="F138" s="151">
        <v>300</v>
      </c>
      <c r="G138" s="151">
        <v>0</v>
      </c>
      <c r="H138" s="151">
        <v>0</v>
      </c>
      <c r="I138" s="151">
        <v>0</v>
      </c>
      <c r="J138" s="151">
        <v>0</v>
      </c>
      <c r="K138" s="151">
        <v>0</v>
      </c>
      <c r="L138" s="151">
        <v>0</v>
      </c>
      <c r="M138" s="152">
        <v>0</v>
      </c>
      <c r="N138" s="151">
        <v>0</v>
      </c>
      <c r="O138" s="151">
        <v>0</v>
      </c>
      <c r="P138" s="151">
        <v>0</v>
      </c>
      <c r="Q138" s="151">
        <v>0</v>
      </c>
      <c r="R138" s="153">
        <v>0</v>
      </c>
      <c r="S138" s="153">
        <v>0</v>
      </c>
      <c r="T138" s="153">
        <v>0</v>
      </c>
      <c r="U138" s="153">
        <f t="shared" si="5"/>
        <v>300</v>
      </c>
    </row>
    <row r="139" spans="1:21" ht="18" hidden="1" customHeight="1" x14ac:dyDescent="0.2">
      <c r="A139" s="150">
        <f t="shared" si="4"/>
        <v>138</v>
      </c>
      <c r="B139" s="150" t="s">
        <v>235</v>
      </c>
      <c r="C139" s="150" t="str">
        <f>VLOOKUP(B139,MEMBERS!B:C,2, )</f>
        <v>MR.IMRAN WAZEER</v>
      </c>
      <c r="D139" s="159">
        <v>46002</v>
      </c>
      <c r="E139" s="151">
        <v>0</v>
      </c>
      <c r="F139" s="151">
        <v>150</v>
      </c>
      <c r="G139" s="151">
        <v>0</v>
      </c>
      <c r="H139" s="151">
        <v>0</v>
      </c>
      <c r="I139" s="151">
        <v>0</v>
      </c>
      <c r="J139" s="151">
        <v>0</v>
      </c>
      <c r="K139" s="151">
        <v>0</v>
      </c>
      <c r="L139" s="151">
        <v>0</v>
      </c>
      <c r="M139" s="152">
        <v>0</v>
      </c>
      <c r="N139" s="151">
        <v>0</v>
      </c>
      <c r="O139" s="151">
        <v>0</v>
      </c>
      <c r="P139" s="151">
        <v>0</v>
      </c>
      <c r="Q139" s="151">
        <v>0</v>
      </c>
      <c r="R139" s="153">
        <v>0</v>
      </c>
      <c r="S139" s="153">
        <v>0</v>
      </c>
      <c r="T139" s="153">
        <v>0</v>
      </c>
      <c r="U139" s="153">
        <f t="shared" si="5"/>
        <v>150</v>
      </c>
    </row>
    <row r="140" spans="1:21" ht="18" hidden="1" customHeight="1" x14ac:dyDescent="0.2">
      <c r="A140" s="150">
        <f t="shared" si="4"/>
        <v>139</v>
      </c>
      <c r="B140" s="150" t="s">
        <v>373</v>
      </c>
      <c r="C140" s="150" t="str">
        <f>VLOOKUP(B140,MEMBERS!B:C,2, )</f>
        <v>ASIF ASHFAQ</v>
      </c>
      <c r="D140" s="159">
        <v>46002</v>
      </c>
      <c r="E140" s="151">
        <v>0</v>
      </c>
      <c r="F140" s="151">
        <v>150</v>
      </c>
      <c r="G140" s="151">
        <v>0</v>
      </c>
      <c r="H140" s="151">
        <v>0</v>
      </c>
      <c r="I140" s="151">
        <v>0</v>
      </c>
      <c r="J140" s="151">
        <v>0</v>
      </c>
      <c r="K140" s="151">
        <v>0</v>
      </c>
      <c r="L140" s="151">
        <v>0</v>
      </c>
      <c r="M140" s="152">
        <v>0</v>
      </c>
      <c r="N140" s="151">
        <v>0</v>
      </c>
      <c r="O140" s="151">
        <v>0</v>
      </c>
      <c r="P140" s="151">
        <v>0</v>
      </c>
      <c r="Q140" s="151">
        <v>0</v>
      </c>
      <c r="R140" s="153">
        <v>0</v>
      </c>
      <c r="S140" s="153">
        <v>0</v>
      </c>
      <c r="T140" s="153">
        <v>0</v>
      </c>
      <c r="U140" s="153">
        <f t="shared" si="5"/>
        <v>150</v>
      </c>
    </row>
    <row r="141" spans="1:21" ht="18" hidden="1" customHeight="1" x14ac:dyDescent="0.2">
      <c r="A141" s="150">
        <f t="shared" si="4"/>
        <v>140</v>
      </c>
      <c r="B141" s="150" t="s">
        <v>385</v>
      </c>
      <c r="C141" s="150" t="str">
        <f>VLOOKUP(B141,MEMBERS!B:C,2, )</f>
        <v>AYSM MIRZA</v>
      </c>
      <c r="D141" s="159">
        <v>46002</v>
      </c>
      <c r="E141" s="151">
        <v>0</v>
      </c>
      <c r="F141" s="151">
        <v>150</v>
      </c>
      <c r="G141" s="151">
        <v>0</v>
      </c>
      <c r="H141" s="151">
        <v>0</v>
      </c>
      <c r="I141" s="151">
        <v>0</v>
      </c>
      <c r="J141" s="151">
        <v>0</v>
      </c>
      <c r="K141" s="151">
        <v>0</v>
      </c>
      <c r="L141" s="151">
        <v>0</v>
      </c>
      <c r="M141" s="152">
        <v>0</v>
      </c>
      <c r="N141" s="151">
        <v>0</v>
      </c>
      <c r="O141" s="151">
        <v>0</v>
      </c>
      <c r="P141" s="151">
        <v>0</v>
      </c>
      <c r="Q141" s="151">
        <v>0</v>
      </c>
      <c r="R141" s="153">
        <v>0</v>
      </c>
      <c r="S141" s="153">
        <v>0</v>
      </c>
      <c r="T141" s="153">
        <v>0</v>
      </c>
      <c r="U141" s="153">
        <f t="shared" si="5"/>
        <v>150</v>
      </c>
    </row>
    <row r="142" spans="1:21" ht="18" hidden="1" customHeight="1" x14ac:dyDescent="0.2">
      <c r="A142" s="150">
        <f t="shared" si="4"/>
        <v>141</v>
      </c>
      <c r="B142" s="150" t="s">
        <v>312</v>
      </c>
      <c r="C142" s="150" t="str">
        <f>VLOOKUP(B142,MEMBERS!B:C,2, )</f>
        <v>GM GHULAM DASTAGEER</v>
      </c>
      <c r="D142" s="159">
        <v>46002</v>
      </c>
      <c r="E142" s="151">
        <v>0</v>
      </c>
      <c r="F142" s="151">
        <v>150</v>
      </c>
      <c r="G142" s="151">
        <v>0</v>
      </c>
      <c r="H142" s="151">
        <v>0</v>
      </c>
      <c r="I142" s="151">
        <v>0</v>
      </c>
      <c r="J142" s="151">
        <v>0</v>
      </c>
      <c r="K142" s="151">
        <v>0</v>
      </c>
      <c r="L142" s="151">
        <v>0</v>
      </c>
      <c r="M142" s="152">
        <v>0</v>
      </c>
      <c r="N142" s="151">
        <v>0</v>
      </c>
      <c r="O142" s="151">
        <v>0</v>
      </c>
      <c r="P142" s="151">
        <v>0</v>
      </c>
      <c r="Q142" s="151">
        <v>0</v>
      </c>
      <c r="R142" s="153">
        <v>0</v>
      </c>
      <c r="S142" s="153">
        <v>0</v>
      </c>
      <c r="T142" s="153">
        <v>0</v>
      </c>
      <c r="U142" s="153">
        <f t="shared" si="5"/>
        <v>150</v>
      </c>
    </row>
    <row r="143" spans="1:21" ht="18" hidden="1" customHeight="1" x14ac:dyDescent="0.2">
      <c r="A143" s="150">
        <f t="shared" si="4"/>
        <v>142</v>
      </c>
      <c r="B143" s="150" t="s">
        <v>69</v>
      </c>
      <c r="C143" s="150" t="str">
        <f>VLOOKUP(B143,MEMBERS!B:C,2, )</f>
        <v>MR.TARIQUE ZUBAIR</v>
      </c>
      <c r="D143" s="159">
        <v>46002</v>
      </c>
      <c r="E143" s="151">
        <v>0</v>
      </c>
      <c r="F143" s="151">
        <v>150</v>
      </c>
      <c r="G143" s="151">
        <v>0</v>
      </c>
      <c r="H143" s="151">
        <v>0</v>
      </c>
      <c r="I143" s="151">
        <v>0</v>
      </c>
      <c r="J143" s="151">
        <v>0</v>
      </c>
      <c r="K143" s="151">
        <v>0</v>
      </c>
      <c r="L143" s="151">
        <v>0</v>
      </c>
      <c r="M143" s="152">
        <v>0</v>
      </c>
      <c r="N143" s="151">
        <v>0</v>
      </c>
      <c r="O143" s="151">
        <v>0</v>
      </c>
      <c r="P143" s="151">
        <v>0</v>
      </c>
      <c r="Q143" s="151">
        <v>0</v>
      </c>
      <c r="R143" s="153">
        <v>0</v>
      </c>
      <c r="S143" s="153">
        <v>0</v>
      </c>
      <c r="T143" s="153">
        <v>0</v>
      </c>
      <c r="U143" s="153">
        <f t="shared" si="5"/>
        <v>150</v>
      </c>
    </row>
    <row r="144" spans="1:21" ht="18" hidden="1" customHeight="1" x14ac:dyDescent="0.2">
      <c r="A144" s="150">
        <f t="shared" si="4"/>
        <v>143</v>
      </c>
      <c r="B144" s="150" t="s">
        <v>217</v>
      </c>
      <c r="C144" s="150" t="str">
        <f>VLOOKUP(B144,MEMBERS!B:C,2, )</f>
        <v>MR.ZAIN FAROOQ</v>
      </c>
      <c r="D144" s="159">
        <v>46002</v>
      </c>
      <c r="E144" s="151">
        <v>0</v>
      </c>
      <c r="F144" s="151">
        <v>150</v>
      </c>
      <c r="G144" s="151">
        <v>0</v>
      </c>
      <c r="H144" s="151">
        <v>0</v>
      </c>
      <c r="I144" s="151">
        <v>0</v>
      </c>
      <c r="J144" s="151">
        <v>0</v>
      </c>
      <c r="K144" s="151">
        <v>0</v>
      </c>
      <c r="L144" s="151">
        <v>0</v>
      </c>
      <c r="M144" s="152">
        <v>0</v>
      </c>
      <c r="N144" s="151">
        <v>0</v>
      </c>
      <c r="O144" s="151">
        <v>0</v>
      </c>
      <c r="P144" s="151">
        <v>0</v>
      </c>
      <c r="Q144" s="151">
        <v>0</v>
      </c>
      <c r="R144" s="153">
        <v>0</v>
      </c>
      <c r="S144" s="153">
        <v>0</v>
      </c>
      <c r="T144" s="153">
        <v>0</v>
      </c>
      <c r="U144" s="153">
        <f t="shared" si="5"/>
        <v>150</v>
      </c>
    </row>
    <row r="145" spans="1:21" ht="18" hidden="1" customHeight="1" x14ac:dyDescent="0.2">
      <c r="A145" s="150">
        <f t="shared" si="4"/>
        <v>144</v>
      </c>
      <c r="B145" s="150" t="s">
        <v>359</v>
      </c>
      <c r="C145" s="150" t="str">
        <f>VLOOKUP(B145,MEMBERS!B:C,2, )</f>
        <v>DR.NASEEM MUNSHI</v>
      </c>
      <c r="D145" s="159">
        <v>46002</v>
      </c>
      <c r="E145" s="151">
        <v>0</v>
      </c>
      <c r="F145" s="151">
        <v>150</v>
      </c>
      <c r="G145" s="151">
        <v>0</v>
      </c>
      <c r="H145" s="151">
        <v>0</v>
      </c>
      <c r="I145" s="151">
        <v>0</v>
      </c>
      <c r="J145" s="151">
        <v>0</v>
      </c>
      <c r="K145" s="151">
        <v>0</v>
      </c>
      <c r="L145" s="151">
        <v>0</v>
      </c>
      <c r="M145" s="152">
        <v>0</v>
      </c>
      <c r="N145" s="151">
        <v>0</v>
      </c>
      <c r="O145" s="151">
        <v>0</v>
      </c>
      <c r="P145" s="151">
        <v>0</v>
      </c>
      <c r="Q145" s="151">
        <v>0</v>
      </c>
      <c r="R145" s="153">
        <v>0</v>
      </c>
      <c r="S145" s="153">
        <v>0</v>
      </c>
      <c r="T145" s="153">
        <v>0</v>
      </c>
      <c r="U145" s="153">
        <f t="shared" si="5"/>
        <v>150</v>
      </c>
    </row>
    <row r="146" spans="1:21" ht="18" hidden="1" customHeight="1" x14ac:dyDescent="0.2">
      <c r="A146" s="150">
        <f t="shared" si="4"/>
        <v>145</v>
      </c>
      <c r="B146" s="150" t="s">
        <v>155</v>
      </c>
      <c r="C146" s="150" t="str">
        <f>VLOOKUP(B146,MEMBERS!B:C,2, )</f>
        <v>MR.PIR MUJEEB JAN SARHANDI</v>
      </c>
      <c r="D146" s="159">
        <v>46002</v>
      </c>
      <c r="E146" s="151">
        <v>0</v>
      </c>
      <c r="F146" s="151">
        <v>150</v>
      </c>
      <c r="G146" s="151">
        <v>0</v>
      </c>
      <c r="H146" s="151">
        <v>0</v>
      </c>
      <c r="I146" s="151">
        <v>0</v>
      </c>
      <c r="J146" s="151">
        <v>0</v>
      </c>
      <c r="K146" s="151">
        <v>0</v>
      </c>
      <c r="L146" s="151">
        <v>0</v>
      </c>
      <c r="M146" s="152">
        <v>0</v>
      </c>
      <c r="N146" s="151">
        <v>0</v>
      </c>
      <c r="O146" s="151">
        <v>0</v>
      </c>
      <c r="P146" s="151">
        <v>0</v>
      </c>
      <c r="Q146" s="151">
        <v>0</v>
      </c>
      <c r="R146" s="153">
        <v>0</v>
      </c>
      <c r="S146" s="153">
        <v>0</v>
      </c>
      <c r="T146" s="153">
        <v>0</v>
      </c>
      <c r="U146" s="153">
        <f t="shared" si="5"/>
        <v>150</v>
      </c>
    </row>
    <row r="147" spans="1:21" ht="18" hidden="1" customHeight="1" x14ac:dyDescent="0.2">
      <c r="A147" s="150">
        <f t="shared" si="4"/>
        <v>146</v>
      </c>
      <c r="B147" s="150" t="s">
        <v>948</v>
      </c>
      <c r="C147" s="150" t="str">
        <f>VLOOKUP(B147,MEMBERS!B:C,2, )</f>
        <v>MR. TEHSEEN FAIZ</v>
      </c>
      <c r="D147" s="159">
        <v>46002</v>
      </c>
      <c r="E147" s="151">
        <v>0</v>
      </c>
      <c r="F147" s="151">
        <v>150</v>
      </c>
      <c r="G147" s="151">
        <v>0</v>
      </c>
      <c r="H147" s="151">
        <v>0</v>
      </c>
      <c r="I147" s="151">
        <v>0</v>
      </c>
      <c r="J147" s="151">
        <v>0</v>
      </c>
      <c r="K147" s="151">
        <v>0</v>
      </c>
      <c r="L147" s="151">
        <v>0</v>
      </c>
      <c r="M147" s="152">
        <v>0</v>
      </c>
      <c r="N147" s="151">
        <v>0</v>
      </c>
      <c r="O147" s="151">
        <v>0</v>
      </c>
      <c r="P147" s="151">
        <v>0</v>
      </c>
      <c r="Q147" s="151">
        <v>0</v>
      </c>
      <c r="R147" s="153">
        <v>0</v>
      </c>
      <c r="S147" s="153">
        <v>0</v>
      </c>
      <c r="T147" s="153">
        <v>0</v>
      </c>
      <c r="U147" s="153">
        <f t="shared" si="5"/>
        <v>150</v>
      </c>
    </row>
    <row r="148" spans="1:21" ht="18" hidden="1" customHeight="1" x14ac:dyDescent="0.2">
      <c r="A148" s="150">
        <f t="shared" si="4"/>
        <v>147</v>
      </c>
      <c r="B148" s="150" t="s">
        <v>197</v>
      </c>
      <c r="C148" s="150" t="str">
        <f>VLOOKUP(B148,MEMBERS!B:C,2, )</f>
        <v>MR.MUHAMMAD ATIF USMANI</v>
      </c>
      <c r="D148" s="159">
        <v>46002</v>
      </c>
      <c r="E148" s="151">
        <v>0</v>
      </c>
      <c r="F148" s="151">
        <v>150</v>
      </c>
      <c r="G148" s="151">
        <v>0</v>
      </c>
      <c r="H148" s="151">
        <v>0</v>
      </c>
      <c r="I148" s="151">
        <v>0</v>
      </c>
      <c r="J148" s="151">
        <v>0</v>
      </c>
      <c r="K148" s="151">
        <v>0</v>
      </c>
      <c r="L148" s="151">
        <v>0</v>
      </c>
      <c r="M148" s="152">
        <v>0</v>
      </c>
      <c r="N148" s="151">
        <v>0</v>
      </c>
      <c r="O148" s="151">
        <v>0</v>
      </c>
      <c r="P148" s="151">
        <v>0</v>
      </c>
      <c r="Q148" s="151">
        <v>0</v>
      </c>
      <c r="R148" s="153">
        <v>0</v>
      </c>
      <c r="S148" s="153">
        <v>0</v>
      </c>
      <c r="T148" s="153">
        <v>0</v>
      </c>
      <c r="U148" s="153">
        <f t="shared" si="5"/>
        <v>150</v>
      </c>
    </row>
    <row r="149" spans="1:21" ht="18" hidden="1" customHeight="1" x14ac:dyDescent="0.2">
      <c r="A149" s="150">
        <f t="shared" si="4"/>
        <v>148</v>
      </c>
      <c r="B149" s="150" t="s">
        <v>263</v>
      </c>
      <c r="C149" s="150" t="str">
        <f>VLOOKUP(B149,MEMBERS!B:C,2, )</f>
        <v>MR.CAREL HEDRIK BURGER</v>
      </c>
      <c r="D149" s="159">
        <v>46002</v>
      </c>
      <c r="E149" s="151">
        <v>0</v>
      </c>
      <c r="F149" s="151">
        <v>0</v>
      </c>
      <c r="G149" s="151">
        <v>0</v>
      </c>
      <c r="H149" s="151">
        <v>0</v>
      </c>
      <c r="I149" s="151">
        <v>0</v>
      </c>
      <c r="J149" s="151">
        <v>0</v>
      </c>
      <c r="K149" s="151">
        <v>0</v>
      </c>
      <c r="L149" s="151">
        <v>0</v>
      </c>
      <c r="M149" s="152">
        <v>0</v>
      </c>
      <c r="N149" s="151">
        <v>0</v>
      </c>
      <c r="O149" s="151">
        <v>0</v>
      </c>
      <c r="P149" s="151">
        <v>12000</v>
      </c>
      <c r="Q149" s="151">
        <v>0</v>
      </c>
      <c r="R149" s="153">
        <v>0</v>
      </c>
      <c r="S149" s="153">
        <v>0</v>
      </c>
      <c r="T149" s="153">
        <v>0</v>
      </c>
      <c r="U149" s="153">
        <f t="shared" si="5"/>
        <v>12000</v>
      </c>
    </row>
    <row r="150" spans="1:21" ht="18" hidden="1" customHeight="1" x14ac:dyDescent="0.2">
      <c r="A150" s="150">
        <f t="shared" si="4"/>
        <v>149</v>
      </c>
      <c r="B150" s="150" t="s">
        <v>15</v>
      </c>
      <c r="C150" s="150" t="str">
        <f>VLOOKUP(B150,MEMBERS!B:C,2, )</f>
        <v>MR.GHULAM NABI OTHI</v>
      </c>
      <c r="D150" s="159">
        <v>46002</v>
      </c>
      <c r="E150" s="151">
        <v>0</v>
      </c>
      <c r="F150" s="151">
        <v>0</v>
      </c>
      <c r="G150" s="151">
        <v>0</v>
      </c>
      <c r="H150" s="151">
        <v>0</v>
      </c>
      <c r="I150" s="151">
        <v>0</v>
      </c>
      <c r="J150" s="151">
        <v>0</v>
      </c>
      <c r="K150" s="151">
        <v>0</v>
      </c>
      <c r="L150" s="151">
        <v>0</v>
      </c>
      <c r="M150" s="152">
        <v>0</v>
      </c>
      <c r="N150" s="151">
        <v>0</v>
      </c>
      <c r="O150" s="151">
        <v>0</v>
      </c>
      <c r="P150" s="151">
        <v>0</v>
      </c>
      <c r="Q150" s="151">
        <v>0</v>
      </c>
      <c r="R150" s="153">
        <v>0</v>
      </c>
      <c r="S150" s="153">
        <v>5000</v>
      </c>
      <c r="T150" s="153">
        <v>0</v>
      </c>
      <c r="U150" s="153">
        <f t="shared" si="5"/>
        <v>5000</v>
      </c>
    </row>
    <row r="151" spans="1:21" ht="18" hidden="1" customHeight="1" x14ac:dyDescent="0.2">
      <c r="A151" s="150">
        <f t="shared" si="4"/>
        <v>150</v>
      </c>
      <c r="B151" s="150" t="s">
        <v>762</v>
      </c>
      <c r="C151" s="150" t="str">
        <f>VLOOKUP(B151,MEMBERS!B:C,2, )</f>
        <v>MR. KASHIF SAEED</v>
      </c>
      <c r="D151" s="159">
        <v>46003</v>
      </c>
      <c r="E151" s="151">
        <v>0</v>
      </c>
      <c r="F151" s="151">
        <v>0</v>
      </c>
      <c r="G151" s="151">
        <v>0</v>
      </c>
      <c r="H151" s="151">
        <v>0</v>
      </c>
      <c r="I151" s="151">
        <v>0</v>
      </c>
      <c r="J151" s="151">
        <f>300+500*2</f>
        <v>1300</v>
      </c>
      <c r="K151" s="151">
        <v>0</v>
      </c>
      <c r="L151" s="151">
        <v>0</v>
      </c>
      <c r="M151" s="152">
        <v>0</v>
      </c>
      <c r="N151" s="151">
        <v>0</v>
      </c>
      <c r="O151" s="151">
        <v>0</v>
      </c>
      <c r="P151" s="151">
        <v>0</v>
      </c>
      <c r="Q151" s="151">
        <v>0</v>
      </c>
      <c r="R151" s="153">
        <v>0</v>
      </c>
      <c r="S151" s="153">
        <v>0</v>
      </c>
      <c r="T151" s="153">
        <v>0</v>
      </c>
      <c r="U151" s="153">
        <f t="shared" si="5"/>
        <v>1300</v>
      </c>
    </row>
    <row r="152" spans="1:21" ht="18" hidden="1" customHeight="1" x14ac:dyDescent="0.2">
      <c r="A152" s="150">
        <f t="shared" si="4"/>
        <v>151</v>
      </c>
      <c r="B152" s="150" t="s">
        <v>113</v>
      </c>
      <c r="C152" s="150" t="str">
        <f>VLOOKUP(B152,MEMBERS!B:C,2, )</f>
        <v>MR.MANOJ KUMAR</v>
      </c>
      <c r="D152" s="159">
        <v>46003</v>
      </c>
      <c r="E152" s="151">
        <v>0</v>
      </c>
      <c r="F152" s="151">
        <v>0</v>
      </c>
      <c r="G152" s="151">
        <v>0</v>
      </c>
      <c r="H152" s="151">
        <v>0</v>
      </c>
      <c r="I152" s="151">
        <v>0</v>
      </c>
      <c r="J152" s="151">
        <f>300*2+500*4</f>
        <v>2600</v>
      </c>
      <c r="K152" s="151">
        <v>0</v>
      </c>
      <c r="L152" s="151">
        <v>0</v>
      </c>
      <c r="M152" s="152">
        <v>0</v>
      </c>
      <c r="N152" s="151">
        <v>0</v>
      </c>
      <c r="O152" s="151">
        <v>0</v>
      </c>
      <c r="P152" s="151">
        <v>0</v>
      </c>
      <c r="Q152" s="151">
        <v>0</v>
      </c>
      <c r="R152" s="153">
        <v>0</v>
      </c>
      <c r="S152" s="153">
        <v>0</v>
      </c>
      <c r="T152" s="153">
        <v>0</v>
      </c>
      <c r="U152" s="153">
        <f t="shared" si="5"/>
        <v>2600</v>
      </c>
    </row>
    <row r="153" spans="1:21" ht="18" hidden="1" customHeight="1" x14ac:dyDescent="0.2">
      <c r="A153" s="150">
        <f t="shared" si="4"/>
        <v>152</v>
      </c>
      <c r="B153" s="150" t="s">
        <v>376</v>
      </c>
      <c r="C153" s="150" t="str">
        <f>VLOOKUP(B153,MEMBERS!B:C,2, )</f>
        <v>KHURRAM FIRDOUS</v>
      </c>
      <c r="D153" s="159">
        <v>46003</v>
      </c>
      <c r="E153" s="151">
        <v>0</v>
      </c>
      <c r="F153" s="151">
        <v>0</v>
      </c>
      <c r="G153" s="151">
        <v>0</v>
      </c>
      <c r="H153" s="151">
        <v>0</v>
      </c>
      <c r="I153" s="151">
        <v>0</v>
      </c>
      <c r="J153" s="151">
        <f>300*3+500*2</f>
        <v>1900</v>
      </c>
      <c r="K153" s="151">
        <v>0</v>
      </c>
      <c r="L153" s="151">
        <v>0</v>
      </c>
      <c r="M153" s="152">
        <v>0</v>
      </c>
      <c r="N153" s="151">
        <v>0</v>
      </c>
      <c r="O153" s="151">
        <v>0</v>
      </c>
      <c r="P153" s="151">
        <v>0</v>
      </c>
      <c r="Q153" s="151">
        <v>0</v>
      </c>
      <c r="R153" s="153">
        <v>0</v>
      </c>
      <c r="S153" s="153">
        <v>0</v>
      </c>
      <c r="T153" s="153">
        <v>0</v>
      </c>
      <c r="U153" s="153">
        <f t="shared" si="5"/>
        <v>1900</v>
      </c>
    </row>
    <row r="154" spans="1:21" ht="18" hidden="1" customHeight="1" x14ac:dyDescent="0.2">
      <c r="A154" s="150">
        <f t="shared" si="4"/>
        <v>153</v>
      </c>
      <c r="B154" s="150" t="s">
        <v>273</v>
      </c>
      <c r="C154" s="150" t="str">
        <f>VLOOKUP(B154,MEMBERS!B:C,2, )</f>
        <v>MR.SYED MURTAZA ALI</v>
      </c>
      <c r="D154" s="159">
        <v>46003</v>
      </c>
      <c r="E154" s="151">
        <v>0</v>
      </c>
      <c r="F154" s="151">
        <v>0</v>
      </c>
      <c r="G154" s="151">
        <v>150</v>
      </c>
      <c r="H154" s="151">
        <v>0</v>
      </c>
      <c r="I154" s="151">
        <v>0</v>
      </c>
      <c r="J154" s="151">
        <v>0</v>
      </c>
      <c r="K154" s="151">
        <v>0</v>
      </c>
      <c r="L154" s="151">
        <v>0</v>
      </c>
      <c r="M154" s="152">
        <v>0</v>
      </c>
      <c r="N154" s="151">
        <v>0</v>
      </c>
      <c r="O154" s="151">
        <v>0</v>
      </c>
      <c r="P154" s="151">
        <v>0</v>
      </c>
      <c r="Q154" s="151">
        <v>0</v>
      </c>
      <c r="R154" s="153">
        <v>0</v>
      </c>
      <c r="S154" s="153">
        <v>0</v>
      </c>
      <c r="T154" s="153">
        <v>0</v>
      </c>
      <c r="U154" s="153">
        <f t="shared" si="5"/>
        <v>150</v>
      </c>
    </row>
    <row r="155" spans="1:21" ht="18" hidden="1" customHeight="1" x14ac:dyDescent="0.2">
      <c r="A155" s="150">
        <f t="shared" si="4"/>
        <v>154</v>
      </c>
      <c r="B155" s="150" t="s">
        <v>1053</v>
      </c>
      <c r="C155" s="150" t="str">
        <f>VLOOKUP(B155,MEMBERS!B:C,2, )</f>
        <v>MR. ZAMIR ALI SHAH</v>
      </c>
      <c r="D155" s="159">
        <v>46003</v>
      </c>
      <c r="E155" s="151">
        <f>300+600*4</f>
        <v>2700</v>
      </c>
      <c r="F155" s="151">
        <v>0</v>
      </c>
      <c r="G155" s="151">
        <v>0</v>
      </c>
      <c r="H155" s="151">
        <v>0</v>
      </c>
      <c r="I155" s="151">
        <v>0</v>
      </c>
      <c r="J155" s="151">
        <v>0</v>
      </c>
      <c r="K155" s="151">
        <v>0</v>
      </c>
      <c r="L155" s="151">
        <v>0</v>
      </c>
      <c r="M155" s="152">
        <v>0</v>
      </c>
      <c r="N155" s="151">
        <v>0</v>
      </c>
      <c r="O155" s="151">
        <v>0</v>
      </c>
      <c r="P155" s="151">
        <v>0</v>
      </c>
      <c r="Q155" s="151">
        <v>0</v>
      </c>
      <c r="R155" s="153">
        <v>0</v>
      </c>
      <c r="S155" s="153">
        <v>0</v>
      </c>
      <c r="T155" s="153">
        <v>0</v>
      </c>
      <c r="U155" s="153">
        <f t="shared" si="5"/>
        <v>2700</v>
      </c>
    </row>
    <row r="156" spans="1:21" ht="18" hidden="1" customHeight="1" x14ac:dyDescent="0.2">
      <c r="A156" s="150">
        <f t="shared" si="4"/>
        <v>155</v>
      </c>
      <c r="B156" s="150" t="s">
        <v>54</v>
      </c>
      <c r="C156" s="150" t="str">
        <f>VLOOKUP(B156,MEMBERS!B:C,2, )</f>
        <v>MR.ZEESHAN IQBAL</v>
      </c>
      <c r="D156" s="159">
        <v>46003</v>
      </c>
      <c r="E156" s="151">
        <v>0</v>
      </c>
      <c r="F156" s="151">
        <f>150*2</f>
        <v>300</v>
      </c>
      <c r="G156" s="151">
        <v>0</v>
      </c>
      <c r="H156" s="151">
        <v>0</v>
      </c>
      <c r="I156" s="151">
        <v>0</v>
      </c>
      <c r="J156" s="151">
        <v>0</v>
      </c>
      <c r="K156" s="151">
        <v>0</v>
      </c>
      <c r="L156" s="151">
        <v>0</v>
      </c>
      <c r="M156" s="152">
        <v>0</v>
      </c>
      <c r="N156" s="151">
        <v>0</v>
      </c>
      <c r="O156" s="151">
        <v>0</v>
      </c>
      <c r="P156" s="151">
        <v>0</v>
      </c>
      <c r="Q156" s="151">
        <v>0</v>
      </c>
      <c r="R156" s="153">
        <v>0</v>
      </c>
      <c r="S156" s="153">
        <v>0</v>
      </c>
      <c r="T156" s="153">
        <v>0</v>
      </c>
      <c r="U156" s="153">
        <f t="shared" si="5"/>
        <v>300</v>
      </c>
    </row>
    <row r="157" spans="1:21" ht="18" hidden="1" customHeight="1" x14ac:dyDescent="0.2">
      <c r="A157" s="150">
        <f t="shared" si="4"/>
        <v>156</v>
      </c>
      <c r="B157" s="150" t="s">
        <v>650</v>
      </c>
      <c r="C157" s="150" t="str">
        <f>VLOOKUP(B157,MEMBERS!B:C,2, )</f>
        <v>SHAHBAZ AHMED</v>
      </c>
      <c r="D157" s="159">
        <v>46003</v>
      </c>
      <c r="E157" s="151">
        <v>0</v>
      </c>
      <c r="F157" s="151">
        <v>300</v>
      </c>
      <c r="G157" s="151">
        <v>0</v>
      </c>
      <c r="H157" s="151">
        <v>0</v>
      </c>
      <c r="I157" s="151">
        <v>0</v>
      </c>
      <c r="J157" s="151">
        <v>0</v>
      </c>
      <c r="K157" s="151">
        <v>0</v>
      </c>
      <c r="L157" s="151">
        <v>0</v>
      </c>
      <c r="M157" s="152">
        <v>0</v>
      </c>
      <c r="N157" s="151">
        <v>0</v>
      </c>
      <c r="O157" s="151">
        <v>0</v>
      </c>
      <c r="P157" s="151">
        <v>0</v>
      </c>
      <c r="Q157" s="151">
        <v>0</v>
      </c>
      <c r="R157" s="153">
        <v>0</v>
      </c>
      <c r="S157" s="153">
        <v>0</v>
      </c>
      <c r="T157" s="153">
        <v>0</v>
      </c>
      <c r="U157" s="153">
        <f t="shared" si="5"/>
        <v>300</v>
      </c>
    </row>
    <row r="158" spans="1:21" ht="18" hidden="1" customHeight="1" x14ac:dyDescent="0.2">
      <c r="A158" s="150">
        <f t="shared" si="4"/>
        <v>157</v>
      </c>
      <c r="B158" s="150" t="s">
        <v>217</v>
      </c>
      <c r="C158" s="150" t="str">
        <f>VLOOKUP(B158,MEMBERS!B:C,2, )</f>
        <v>MR.ZAIN FAROOQ</v>
      </c>
      <c r="D158" s="159">
        <v>46003</v>
      </c>
      <c r="E158" s="151">
        <v>0</v>
      </c>
      <c r="F158" s="151">
        <v>150</v>
      </c>
      <c r="G158" s="151">
        <v>0</v>
      </c>
      <c r="H158" s="151">
        <v>0</v>
      </c>
      <c r="I158" s="151">
        <v>0</v>
      </c>
      <c r="J158" s="151">
        <v>0</v>
      </c>
      <c r="K158" s="151">
        <v>0</v>
      </c>
      <c r="L158" s="151">
        <v>0</v>
      </c>
      <c r="M158" s="152">
        <v>0</v>
      </c>
      <c r="N158" s="151">
        <v>0</v>
      </c>
      <c r="O158" s="151">
        <v>0</v>
      </c>
      <c r="P158" s="151">
        <v>0</v>
      </c>
      <c r="Q158" s="151">
        <v>0</v>
      </c>
      <c r="R158" s="153">
        <v>0</v>
      </c>
      <c r="S158" s="153">
        <v>0</v>
      </c>
      <c r="T158" s="153">
        <v>0</v>
      </c>
      <c r="U158" s="153">
        <f t="shared" si="5"/>
        <v>150</v>
      </c>
    </row>
    <row r="159" spans="1:21" ht="18" hidden="1" customHeight="1" x14ac:dyDescent="0.2">
      <c r="A159" s="150">
        <f t="shared" si="4"/>
        <v>158</v>
      </c>
      <c r="B159" s="150" t="s">
        <v>756</v>
      </c>
      <c r="C159" s="150" t="e">
        <f>VLOOKUP(B159,MEMBERS!B:C,2, )</f>
        <v>#N/A</v>
      </c>
      <c r="D159" s="159">
        <v>46003</v>
      </c>
      <c r="E159" s="151">
        <v>0</v>
      </c>
      <c r="F159" s="151">
        <v>150</v>
      </c>
      <c r="G159" s="151">
        <v>0</v>
      </c>
      <c r="H159" s="151">
        <v>0</v>
      </c>
      <c r="I159" s="151">
        <v>0</v>
      </c>
      <c r="J159" s="151">
        <v>0</v>
      </c>
      <c r="K159" s="151">
        <v>0</v>
      </c>
      <c r="L159" s="151">
        <v>0</v>
      </c>
      <c r="M159" s="152">
        <v>0</v>
      </c>
      <c r="N159" s="151">
        <v>0</v>
      </c>
      <c r="O159" s="151">
        <v>0</v>
      </c>
      <c r="P159" s="151">
        <v>0</v>
      </c>
      <c r="Q159" s="151">
        <v>0</v>
      </c>
      <c r="R159" s="153">
        <v>0</v>
      </c>
      <c r="S159" s="153">
        <v>150000</v>
      </c>
      <c r="T159" s="153">
        <v>0</v>
      </c>
      <c r="U159" s="153">
        <f t="shared" ref="U159" si="6">SUM(E159:T159)</f>
        <v>150150</v>
      </c>
    </row>
    <row r="160" spans="1:21" ht="18" hidden="1" customHeight="1" x14ac:dyDescent="0.2">
      <c r="A160" s="150">
        <f t="shared" si="4"/>
        <v>159</v>
      </c>
      <c r="B160" s="150" t="s">
        <v>10</v>
      </c>
      <c r="C160" s="150" t="str">
        <f>VLOOKUP(B160,MEMBERS!B:C,2, )</f>
        <v>MR. JABIR SHAHZAD</v>
      </c>
      <c r="D160" s="159">
        <v>46003</v>
      </c>
      <c r="E160" s="151">
        <v>0</v>
      </c>
      <c r="F160" s="151">
        <v>150</v>
      </c>
      <c r="G160" s="151">
        <v>0</v>
      </c>
      <c r="H160" s="151">
        <v>0</v>
      </c>
      <c r="I160" s="151">
        <v>0</v>
      </c>
      <c r="J160" s="151">
        <v>0</v>
      </c>
      <c r="K160" s="151">
        <v>0</v>
      </c>
      <c r="L160" s="151">
        <v>0</v>
      </c>
      <c r="M160" s="152">
        <v>0</v>
      </c>
      <c r="N160" s="151">
        <v>0</v>
      </c>
      <c r="O160" s="151">
        <v>0</v>
      </c>
      <c r="P160" s="151">
        <v>0</v>
      </c>
      <c r="Q160" s="151">
        <v>0</v>
      </c>
      <c r="R160" s="153">
        <v>0</v>
      </c>
      <c r="S160" s="153">
        <v>0</v>
      </c>
      <c r="T160" s="153">
        <v>0</v>
      </c>
      <c r="U160" s="153">
        <f t="shared" si="5"/>
        <v>150</v>
      </c>
    </row>
    <row r="161" spans="1:21" ht="18" hidden="1" customHeight="1" x14ac:dyDescent="0.2">
      <c r="A161" s="150">
        <f t="shared" si="4"/>
        <v>160</v>
      </c>
      <c r="B161" s="150" t="s">
        <v>54</v>
      </c>
      <c r="C161" s="150" t="str">
        <f>VLOOKUP(B161,MEMBERS!B:C,2, )</f>
        <v>MR.ZEESHAN IQBAL</v>
      </c>
      <c r="D161" s="159">
        <v>46004</v>
      </c>
      <c r="E161" s="151">
        <v>0</v>
      </c>
      <c r="F161" s="151">
        <f>150*2</f>
        <v>300</v>
      </c>
      <c r="G161" s="151">
        <v>0</v>
      </c>
      <c r="H161" s="151">
        <v>0</v>
      </c>
      <c r="I161" s="151">
        <v>0</v>
      </c>
      <c r="J161" s="151">
        <v>0</v>
      </c>
      <c r="K161" s="151">
        <v>0</v>
      </c>
      <c r="L161" s="151">
        <v>0</v>
      </c>
      <c r="M161" s="152">
        <v>0</v>
      </c>
      <c r="N161" s="151">
        <v>0</v>
      </c>
      <c r="O161" s="151">
        <v>0</v>
      </c>
      <c r="P161" s="151">
        <v>0</v>
      </c>
      <c r="Q161" s="151">
        <v>0</v>
      </c>
      <c r="R161" s="153">
        <v>0</v>
      </c>
      <c r="S161" s="153">
        <v>0</v>
      </c>
      <c r="T161" s="153">
        <v>0</v>
      </c>
      <c r="U161" s="153">
        <f t="shared" si="5"/>
        <v>300</v>
      </c>
    </row>
    <row r="162" spans="1:21" ht="18" hidden="1" customHeight="1" x14ac:dyDescent="0.2">
      <c r="A162" s="150">
        <f t="shared" si="4"/>
        <v>161</v>
      </c>
      <c r="B162" s="150" t="s">
        <v>98</v>
      </c>
      <c r="C162" s="150" t="str">
        <f>VLOOKUP(B162,MEMBERS!B:C,2, )</f>
        <v>MR.HAFEEZ AHMED SIYAL</v>
      </c>
      <c r="D162" s="159">
        <v>46004</v>
      </c>
      <c r="E162" s="151">
        <v>0</v>
      </c>
      <c r="F162" s="151">
        <v>150</v>
      </c>
      <c r="G162" s="151">
        <v>0</v>
      </c>
      <c r="H162" s="151">
        <v>0</v>
      </c>
      <c r="I162" s="151">
        <v>0</v>
      </c>
      <c r="J162" s="151">
        <v>0</v>
      </c>
      <c r="K162" s="151">
        <v>0</v>
      </c>
      <c r="L162" s="151">
        <v>0</v>
      </c>
      <c r="M162" s="152">
        <v>0</v>
      </c>
      <c r="N162" s="151">
        <v>0</v>
      </c>
      <c r="O162" s="151">
        <v>0</v>
      </c>
      <c r="P162" s="151">
        <v>0</v>
      </c>
      <c r="Q162" s="151">
        <v>0</v>
      </c>
      <c r="R162" s="153">
        <v>0</v>
      </c>
      <c r="S162" s="153">
        <v>0</v>
      </c>
      <c r="T162" s="153">
        <v>0</v>
      </c>
      <c r="U162" s="153">
        <f t="shared" ref="U162:U213" si="7">SUM(E162:T162)</f>
        <v>150</v>
      </c>
    </row>
    <row r="163" spans="1:21" ht="18" hidden="1" customHeight="1" x14ac:dyDescent="0.2">
      <c r="A163" s="150">
        <f t="shared" si="4"/>
        <v>162</v>
      </c>
      <c r="B163" s="150" t="s">
        <v>426</v>
      </c>
      <c r="C163" s="150" t="str">
        <f>VLOOKUP(B163,MEMBERS!B:C,2, )</f>
        <v>NASIR ABBAS</v>
      </c>
      <c r="D163" s="159">
        <v>46004</v>
      </c>
      <c r="E163" s="151">
        <v>0</v>
      </c>
      <c r="F163" s="151">
        <v>150</v>
      </c>
      <c r="G163" s="151">
        <v>0</v>
      </c>
      <c r="H163" s="151">
        <v>0</v>
      </c>
      <c r="I163" s="151">
        <v>0</v>
      </c>
      <c r="J163" s="151">
        <v>0</v>
      </c>
      <c r="K163" s="151">
        <v>0</v>
      </c>
      <c r="L163" s="151">
        <v>0</v>
      </c>
      <c r="M163" s="152">
        <v>0</v>
      </c>
      <c r="N163" s="151">
        <v>0</v>
      </c>
      <c r="O163" s="151">
        <v>0</v>
      </c>
      <c r="P163" s="151">
        <v>0</v>
      </c>
      <c r="Q163" s="151">
        <v>0</v>
      </c>
      <c r="R163" s="153">
        <v>0</v>
      </c>
      <c r="S163" s="153">
        <v>0</v>
      </c>
      <c r="T163" s="153">
        <v>0</v>
      </c>
      <c r="U163" s="153">
        <f t="shared" si="7"/>
        <v>150</v>
      </c>
    </row>
    <row r="164" spans="1:21" ht="18" hidden="1" customHeight="1" x14ac:dyDescent="0.2">
      <c r="A164" s="150">
        <f t="shared" si="4"/>
        <v>163</v>
      </c>
      <c r="B164" s="150" t="s">
        <v>155</v>
      </c>
      <c r="C164" s="150" t="str">
        <f>VLOOKUP(B164,MEMBERS!B:C,2, )</f>
        <v>MR.PIR MUJEEB JAN SARHANDI</v>
      </c>
      <c r="D164" s="159">
        <v>46004</v>
      </c>
      <c r="E164" s="151">
        <v>0</v>
      </c>
      <c r="F164" s="151">
        <v>150</v>
      </c>
      <c r="G164" s="151">
        <v>0</v>
      </c>
      <c r="H164" s="151">
        <v>0</v>
      </c>
      <c r="I164" s="151">
        <v>0</v>
      </c>
      <c r="J164" s="151">
        <v>0</v>
      </c>
      <c r="K164" s="151">
        <v>0</v>
      </c>
      <c r="L164" s="151">
        <v>0</v>
      </c>
      <c r="M164" s="152">
        <v>0</v>
      </c>
      <c r="N164" s="151">
        <v>0</v>
      </c>
      <c r="O164" s="151">
        <v>0</v>
      </c>
      <c r="P164" s="151">
        <v>0</v>
      </c>
      <c r="Q164" s="151">
        <v>0</v>
      </c>
      <c r="R164" s="153">
        <v>0</v>
      </c>
      <c r="S164" s="153">
        <v>0</v>
      </c>
      <c r="T164" s="153">
        <v>0</v>
      </c>
      <c r="U164" s="153">
        <f t="shared" si="7"/>
        <v>150</v>
      </c>
    </row>
    <row r="165" spans="1:21" ht="18" hidden="1" customHeight="1" x14ac:dyDescent="0.2">
      <c r="A165" s="150">
        <f t="shared" si="4"/>
        <v>164</v>
      </c>
      <c r="B165" s="150" t="s">
        <v>761</v>
      </c>
      <c r="C165" s="150" t="str">
        <f>VLOOKUP(B165,MEMBERS!B:C,2, )</f>
        <v>MR. FAYAZ ALI SOOMRO</v>
      </c>
      <c r="D165" s="159">
        <v>46004</v>
      </c>
      <c r="E165" s="151">
        <v>0</v>
      </c>
      <c r="F165" s="151">
        <v>150</v>
      </c>
      <c r="G165" s="151">
        <v>0</v>
      </c>
      <c r="H165" s="151">
        <v>0</v>
      </c>
      <c r="I165" s="151">
        <v>0</v>
      </c>
      <c r="J165" s="151">
        <v>0</v>
      </c>
      <c r="K165" s="151">
        <v>0</v>
      </c>
      <c r="L165" s="151">
        <v>0</v>
      </c>
      <c r="M165" s="152">
        <v>0</v>
      </c>
      <c r="N165" s="151">
        <v>0</v>
      </c>
      <c r="O165" s="151">
        <v>0</v>
      </c>
      <c r="P165" s="151">
        <v>0</v>
      </c>
      <c r="Q165" s="151">
        <v>0</v>
      </c>
      <c r="R165" s="153">
        <v>0</v>
      </c>
      <c r="S165" s="153">
        <v>0</v>
      </c>
      <c r="T165" s="153">
        <v>0</v>
      </c>
      <c r="U165" s="153">
        <f t="shared" si="7"/>
        <v>150</v>
      </c>
    </row>
    <row r="166" spans="1:21" ht="18" hidden="1" customHeight="1" x14ac:dyDescent="0.2">
      <c r="A166" s="150">
        <f t="shared" si="4"/>
        <v>165</v>
      </c>
      <c r="B166" s="150" t="s">
        <v>373</v>
      </c>
      <c r="C166" s="150" t="str">
        <f>VLOOKUP(B166,MEMBERS!B:C,2, )</f>
        <v>ASIF ASHFAQ</v>
      </c>
      <c r="D166" s="159">
        <v>46004</v>
      </c>
      <c r="E166" s="151">
        <v>0</v>
      </c>
      <c r="F166" s="151">
        <v>150</v>
      </c>
      <c r="G166" s="151">
        <v>0</v>
      </c>
      <c r="H166" s="151">
        <v>0</v>
      </c>
      <c r="I166" s="151">
        <v>0</v>
      </c>
      <c r="J166" s="151">
        <v>0</v>
      </c>
      <c r="K166" s="151">
        <v>0</v>
      </c>
      <c r="L166" s="151">
        <v>0</v>
      </c>
      <c r="M166" s="152">
        <v>0</v>
      </c>
      <c r="N166" s="151">
        <v>0</v>
      </c>
      <c r="O166" s="151">
        <v>0</v>
      </c>
      <c r="P166" s="151">
        <v>0</v>
      </c>
      <c r="Q166" s="151">
        <v>0</v>
      </c>
      <c r="R166" s="153">
        <v>0</v>
      </c>
      <c r="S166" s="153">
        <v>0</v>
      </c>
      <c r="T166" s="153">
        <v>0</v>
      </c>
      <c r="U166" s="153">
        <f t="shared" si="7"/>
        <v>150</v>
      </c>
    </row>
    <row r="167" spans="1:21" ht="18" hidden="1" customHeight="1" x14ac:dyDescent="0.2">
      <c r="A167" s="150">
        <f t="shared" si="4"/>
        <v>166</v>
      </c>
      <c r="B167" s="150" t="s">
        <v>430</v>
      </c>
      <c r="C167" s="150" t="str">
        <f>VLOOKUP(B167,MEMBERS!B:C,2, )</f>
        <v>SYED JIBRAN MUSHTAQ</v>
      </c>
      <c r="D167" s="159">
        <v>46004</v>
      </c>
      <c r="E167" s="151">
        <v>0</v>
      </c>
      <c r="F167" s="151">
        <v>0</v>
      </c>
      <c r="G167" s="151">
        <v>0</v>
      </c>
      <c r="H167" s="151">
        <v>0</v>
      </c>
      <c r="I167" s="151">
        <v>0</v>
      </c>
      <c r="J167" s="151">
        <v>0</v>
      </c>
      <c r="K167" s="151">
        <v>0</v>
      </c>
      <c r="L167" s="151">
        <v>0</v>
      </c>
      <c r="M167" s="152">
        <v>0</v>
      </c>
      <c r="N167" s="151">
        <v>0</v>
      </c>
      <c r="O167" s="151">
        <v>0</v>
      </c>
      <c r="P167" s="151">
        <v>11500</v>
      </c>
      <c r="Q167" s="151">
        <v>0</v>
      </c>
      <c r="R167" s="153">
        <v>0</v>
      </c>
      <c r="S167" s="153">
        <v>0</v>
      </c>
      <c r="T167" s="153">
        <v>0</v>
      </c>
      <c r="U167" s="153">
        <f t="shared" si="7"/>
        <v>11500</v>
      </c>
    </row>
    <row r="168" spans="1:21" ht="18" hidden="1" customHeight="1" x14ac:dyDescent="0.2">
      <c r="A168" s="150">
        <f t="shared" si="4"/>
        <v>167</v>
      </c>
      <c r="B168" s="150" t="s">
        <v>795</v>
      </c>
      <c r="C168" s="150" t="str">
        <f>VLOOKUP(B168,MEMBERS!B:C,2, )</f>
        <v>MR. HASAN KARIM</v>
      </c>
      <c r="D168" s="159">
        <v>46004</v>
      </c>
      <c r="E168" s="151">
        <v>0</v>
      </c>
      <c r="F168" s="151">
        <v>0</v>
      </c>
      <c r="G168" s="151">
        <v>0</v>
      </c>
      <c r="H168" s="151">
        <v>0</v>
      </c>
      <c r="I168" s="151">
        <v>0</v>
      </c>
      <c r="J168" s="151">
        <v>0</v>
      </c>
      <c r="K168" s="151">
        <v>300</v>
      </c>
      <c r="L168" s="151">
        <v>0</v>
      </c>
      <c r="M168" s="152">
        <v>0</v>
      </c>
      <c r="N168" s="151">
        <v>0</v>
      </c>
      <c r="O168" s="151">
        <v>0</v>
      </c>
      <c r="P168" s="151">
        <v>0</v>
      </c>
      <c r="Q168" s="151">
        <v>0</v>
      </c>
      <c r="R168" s="153">
        <v>0</v>
      </c>
      <c r="S168" s="153">
        <v>0</v>
      </c>
      <c r="T168" s="153">
        <v>0</v>
      </c>
      <c r="U168" s="153">
        <f t="shared" si="7"/>
        <v>300</v>
      </c>
    </row>
    <row r="169" spans="1:21" ht="18" hidden="1" customHeight="1" x14ac:dyDescent="0.2">
      <c r="A169" s="150">
        <f t="shared" si="4"/>
        <v>168</v>
      </c>
      <c r="B169" s="150" t="s">
        <v>177</v>
      </c>
      <c r="C169" s="150" t="str">
        <f>VLOOKUP(B169,MEMBERS!B:C,2, )</f>
        <v>MR.QAMARUZZAMAN</v>
      </c>
      <c r="D169" s="159">
        <v>46004</v>
      </c>
      <c r="E169" s="151">
        <f>300*2</f>
        <v>600</v>
      </c>
      <c r="F169" s="151">
        <v>0</v>
      </c>
      <c r="G169" s="151">
        <v>0</v>
      </c>
      <c r="H169" s="151">
        <v>0</v>
      </c>
      <c r="I169" s="151">
        <v>0</v>
      </c>
      <c r="J169" s="151">
        <v>0</v>
      </c>
      <c r="K169" s="151">
        <v>0</v>
      </c>
      <c r="L169" s="151">
        <v>0</v>
      </c>
      <c r="M169" s="152">
        <v>0</v>
      </c>
      <c r="N169" s="151">
        <v>0</v>
      </c>
      <c r="O169" s="151">
        <v>0</v>
      </c>
      <c r="P169" s="151">
        <v>0</v>
      </c>
      <c r="Q169" s="151">
        <v>0</v>
      </c>
      <c r="R169" s="153">
        <v>0</v>
      </c>
      <c r="S169" s="153">
        <v>0</v>
      </c>
      <c r="T169" s="153">
        <v>0</v>
      </c>
      <c r="U169" s="153">
        <f t="shared" si="7"/>
        <v>600</v>
      </c>
    </row>
    <row r="170" spans="1:21" ht="18" hidden="1" customHeight="1" x14ac:dyDescent="0.2">
      <c r="A170" s="150">
        <f t="shared" si="4"/>
        <v>169</v>
      </c>
      <c r="B170" s="150" t="s">
        <v>418</v>
      </c>
      <c r="C170" s="150" t="str">
        <f>VLOOKUP(B170,MEMBERS!B:C,2, )</f>
        <v>ZAIB UR REHMAN</v>
      </c>
      <c r="D170" s="159">
        <v>46004</v>
      </c>
      <c r="E170" s="151">
        <v>0</v>
      </c>
      <c r="F170" s="151">
        <v>0</v>
      </c>
      <c r="G170" s="151">
        <v>0</v>
      </c>
      <c r="H170" s="151">
        <v>0</v>
      </c>
      <c r="I170" s="151">
        <v>0</v>
      </c>
      <c r="J170" s="151">
        <f>300*3</f>
        <v>900</v>
      </c>
      <c r="K170" s="151">
        <v>0</v>
      </c>
      <c r="L170" s="151">
        <v>0</v>
      </c>
      <c r="M170" s="152">
        <v>0</v>
      </c>
      <c r="N170" s="151">
        <v>0</v>
      </c>
      <c r="O170" s="151">
        <v>0</v>
      </c>
      <c r="P170" s="151">
        <v>0</v>
      </c>
      <c r="Q170" s="151">
        <v>0</v>
      </c>
      <c r="R170" s="153">
        <v>0</v>
      </c>
      <c r="S170" s="153">
        <v>0</v>
      </c>
      <c r="T170" s="153">
        <v>0</v>
      </c>
      <c r="U170" s="153">
        <f t="shared" si="7"/>
        <v>900</v>
      </c>
    </row>
    <row r="171" spans="1:21" ht="18" hidden="1" customHeight="1" x14ac:dyDescent="0.2">
      <c r="A171" s="150">
        <f t="shared" si="4"/>
        <v>170</v>
      </c>
      <c r="B171" s="150" t="s">
        <v>1052</v>
      </c>
      <c r="C171" s="150" t="str">
        <f>VLOOKUP(B171,MEMBERS!B:C,2, )</f>
        <v>MR. YASIR RASHEED</v>
      </c>
      <c r="D171" s="159">
        <v>46004</v>
      </c>
      <c r="E171" s="151">
        <v>0</v>
      </c>
      <c r="F171" s="151">
        <v>0</v>
      </c>
      <c r="G171" s="151">
        <v>0</v>
      </c>
      <c r="H171" s="151">
        <v>0</v>
      </c>
      <c r="I171" s="151">
        <v>0</v>
      </c>
      <c r="J171" s="151">
        <f>300*2</f>
        <v>600</v>
      </c>
      <c r="K171" s="151">
        <v>0</v>
      </c>
      <c r="L171" s="151">
        <v>0</v>
      </c>
      <c r="M171" s="152">
        <v>0</v>
      </c>
      <c r="N171" s="151">
        <v>0</v>
      </c>
      <c r="O171" s="151">
        <v>0</v>
      </c>
      <c r="P171" s="151">
        <v>0</v>
      </c>
      <c r="Q171" s="151">
        <v>0</v>
      </c>
      <c r="R171" s="153">
        <v>0</v>
      </c>
      <c r="S171" s="153">
        <v>0</v>
      </c>
      <c r="T171" s="153">
        <v>0</v>
      </c>
      <c r="U171" s="153">
        <f t="shared" si="7"/>
        <v>600</v>
      </c>
    </row>
    <row r="172" spans="1:21" ht="18" hidden="1" customHeight="1" x14ac:dyDescent="0.2">
      <c r="A172" s="150">
        <f t="shared" si="4"/>
        <v>171</v>
      </c>
      <c r="B172" s="150" t="s">
        <v>192</v>
      </c>
      <c r="C172" s="150" t="str">
        <f>VLOOKUP(B172,MEMBERS!B:C,2, )</f>
        <v>MR.HANIF AHSAN ZUBEDI</v>
      </c>
      <c r="D172" s="159">
        <v>46004</v>
      </c>
      <c r="E172" s="151">
        <v>0</v>
      </c>
      <c r="F172" s="151">
        <v>0</v>
      </c>
      <c r="G172" s="151">
        <v>0</v>
      </c>
      <c r="H172" s="151">
        <v>0</v>
      </c>
      <c r="I172" s="151">
        <v>0</v>
      </c>
      <c r="J172" s="151">
        <f>300*2+500</f>
        <v>1100</v>
      </c>
      <c r="K172" s="151">
        <v>0</v>
      </c>
      <c r="L172" s="151">
        <v>0</v>
      </c>
      <c r="M172" s="152">
        <v>0</v>
      </c>
      <c r="N172" s="151">
        <v>0</v>
      </c>
      <c r="O172" s="151">
        <v>0</v>
      </c>
      <c r="P172" s="151">
        <v>0</v>
      </c>
      <c r="Q172" s="151">
        <v>0</v>
      </c>
      <c r="R172" s="153">
        <v>0</v>
      </c>
      <c r="S172" s="153">
        <v>0</v>
      </c>
      <c r="T172" s="153">
        <v>0</v>
      </c>
      <c r="U172" s="153">
        <f t="shared" si="7"/>
        <v>1100</v>
      </c>
    </row>
    <row r="173" spans="1:21" ht="18" hidden="1" customHeight="1" x14ac:dyDescent="0.2">
      <c r="A173" s="150">
        <f t="shared" si="4"/>
        <v>172</v>
      </c>
      <c r="B173" s="150" t="s">
        <v>235</v>
      </c>
      <c r="C173" s="150" t="str">
        <f>VLOOKUP(B173,MEMBERS!B:C,2, )</f>
        <v>MR.IMRAN WAZEER</v>
      </c>
      <c r="D173" s="159">
        <v>46004</v>
      </c>
      <c r="E173" s="151">
        <v>0</v>
      </c>
      <c r="F173" s="151">
        <v>0</v>
      </c>
      <c r="G173" s="151">
        <v>0</v>
      </c>
      <c r="H173" s="151">
        <v>0</v>
      </c>
      <c r="I173" s="151">
        <v>0</v>
      </c>
      <c r="J173" s="151">
        <f>300*3</f>
        <v>900</v>
      </c>
      <c r="K173" s="151">
        <v>0</v>
      </c>
      <c r="L173" s="151">
        <v>0</v>
      </c>
      <c r="M173" s="152">
        <v>0</v>
      </c>
      <c r="N173" s="151">
        <v>0</v>
      </c>
      <c r="O173" s="151">
        <v>0</v>
      </c>
      <c r="P173" s="151">
        <v>0</v>
      </c>
      <c r="Q173" s="151">
        <v>0</v>
      </c>
      <c r="R173" s="153">
        <v>0</v>
      </c>
      <c r="S173" s="153">
        <v>0</v>
      </c>
      <c r="T173" s="153">
        <v>0</v>
      </c>
      <c r="U173" s="153">
        <f t="shared" si="7"/>
        <v>900</v>
      </c>
    </row>
    <row r="174" spans="1:21" ht="18" hidden="1" customHeight="1" x14ac:dyDescent="0.2">
      <c r="A174" s="150">
        <f t="shared" si="4"/>
        <v>173</v>
      </c>
      <c r="B174" s="150" t="s">
        <v>177</v>
      </c>
      <c r="C174" s="150" t="str">
        <f>VLOOKUP(B174,MEMBERS!B:C,2, )</f>
        <v>MR.QAMARUZZAMAN</v>
      </c>
      <c r="D174" s="159">
        <v>46004</v>
      </c>
      <c r="E174" s="151">
        <f>600*2</f>
        <v>1200</v>
      </c>
      <c r="F174" s="151">
        <v>0</v>
      </c>
      <c r="G174" s="151">
        <v>0</v>
      </c>
      <c r="H174" s="151">
        <v>0</v>
      </c>
      <c r="I174" s="151">
        <v>0</v>
      </c>
      <c r="J174" s="151">
        <v>500</v>
      </c>
      <c r="K174" s="151">
        <v>0</v>
      </c>
      <c r="L174" s="151">
        <v>0</v>
      </c>
      <c r="M174" s="152">
        <v>0</v>
      </c>
      <c r="N174" s="151">
        <v>0</v>
      </c>
      <c r="O174" s="151">
        <v>0</v>
      </c>
      <c r="P174" s="151">
        <v>0</v>
      </c>
      <c r="Q174" s="151">
        <v>0</v>
      </c>
      <c r="R174" s="153">
        <v>0</v>
      </c>
      <c r="S174" s="153">
        <v>0</v>
      </c>
      <c r="T174" s="153">
        <v>0</v>
      </c>
      <c r="U174" s="153">
        <f t="shared" si="7"/>
        <v>1700</v>
      </c>
    </row>
    <row r="175" spans="1:21" ht="18" hidden="1" customHeight="1" x14ac:dyDescent="0.2">
      <c r="A175" s="150">
        <f t="shared" si="4"/>
        <v>174</v>
      </c>
      <c r="B175" s="150" t="s">
        <v>1039</v>
      </c>
      <c r="C175" s="150" t="str">
        <f>VLOOKUP(B175,MEMBERS!B:C,2, )</f>
        <v>MR. AYAZ JAMRO</v>
      </c>
      <c r="D175" s="159">
        <v>46004</v>
      </c>
      <c r="E175" s="151">
        <v>0</v>
      </c>
      <c r="F175" s="151">
        <v>0</v>
      </c>
      <c r="G175" s="151">
        <v>0</v>
      </c>
      <c r="H175" s="151">
        <v>0</v>
      </c>
      <c r="I175" s="151">
        <v>0</v>
      </c>
      <c r="J175" s="151">
        <v>0</v>
      </c>
      <c r="K175" s="151">
        <v>0</v>
      </c>
      <c r="L175" s="151">
        <v>0</v>
      </c>
      <c r="M175" s="152">
        <v>0</v>
      </c>
      <c r="N175" s="151">
        <v>0</v>
      </c>
      <c r="O175" s="151">
        <v>0</v>
      </c>
      <c r="P175" s="151">
        <v>0</v>
      </c>
      <c r="Q175" s="151">
        <v>0</v>
      </c>
      <c r="R175" s="153">
        <v>0</v>
      </c>
      <c r="S175" s="153">
        <v>0</v>
      </c>
      <c r="T175" s="153">
        <v>0</v>
      </c>
      <c r="U175" s="153">
        <f t="shared" si="7"/>
        <v>0</v>
      </c>
    </row>
    <row r="176" spans="1:21" ht="18" hidden="1" customHeight="1" x14ac:dyDescent="0.2">
      <c r="A176" s="150">
        <f t="shared" si="4"/>
        <v>175</v>
      </c>
      <c r="B176" s="150" t="s">
        <v>235</v>
      </c>
      <c r="C176" s="150" t="str">
        <f>VLOOKUP(B176,MEMBERS!B:C,2, )</f>
        <v>MR.IMRAN WAZEER</v>
      </c>
      <c r="D176" s="159">
        <v>46004</v>
      </c>
      <c r="E176" s="151">
        <v>0</v>
      </c>
      <c r="F176" s="151">
        <v>0</v>
      </c>
      <c r="G176" s="151">
        <v>0</v>
      </c>
      <c r="H176" s="151">
        <v>0</v>
      </c>
      <c r="I176" s="151">
        <v>0</v>
      </c>
      <c r="J176" s="151">
        <v>0</v>
      </c>
      <c r="K176" s="151">
        <v>0</v>
      </c>
      <c r="L176" s="151">
        <v>0</v>
      </c>
      <c r="M176" s="152">
        <v>0</v>
      </c>
      <c r="N176" s="151">
        <v>0</v>
      </c>
      <c r="O176" s="151">
        <v>0</v>
      </c>
      <c r="P176" s="151">
        <v>0</v>
      </c>
      <c r="Q176" s="151">
        <v>0</v>
      </c>
      <c r="R176" s="153">
        <v>0</v>
      </c>
      <c r="S176" s="153">
        <v>0</v>
      </c>
      <c r="T176" s="153">
        <v>0</v>
      </c>
      <c r="U176" s="153">
        <f t="shared" si="7"/>
        <v>0</v>
      </c>
    </row>
    <row r="177" spans="1:21" ht="18" hidden="1" customHeight="1" x14ac:dyDescent="0.2">
      <c r="A177" s="150">
        <f t="shared" si="4"/>
        <v>176</v>
      </c>
      <c r="B177" s="150" t="s">
        <v>952</v>
      </c>
      <c r="C177" s="150" t="str">
        <f>VLOOKUP(B177,MEMBERS!B:C,2, )</f>
        <v>MRS. HASSAN RAFI</v>
      </c>
      <c r="D177" s="159">
        <v>46004</v>
      </c>
      <c r="E177" s="151">
        <v>0</v>
      </c>
      <c r="F177" s="151">
        <v>0</v>
      </c>
      <c r="G177" s="151">
        <v>0</v>
      </c>
      <c r="H177" s="151">
        <v>0</v>
      </c>
      <c r="I177" s="151">
        <v>0</v>
      </c>
      <c r="J177" s="151">
        <v>0</v>
      </c>
      <c r="K177" s="151">
        <v>0</v>
      </c>
      <c r="L177" s="151">
        <v>0</v>
      </c>
      <c r="M177" s="152">
        <v>0</v>
      </c>
      <c r="N177" s="151">
        <v>0</v>
      </c>
      <c r="O177" s="151">
        <v>0</v>
      </c>
      <c r="P177" s="151">
        <v>0</v>
      </c>
      <c r="Q177" s="151">
        <v>0</v>
      </c>
      <c r="R177" s="153">
        <v>0</v>
      </c>
      <c r="S177" s="153">
        <v>0</v>
      </c>
      <c r="T177" s="153">
        <v>0</v>
      </c>
      <c r="U177" s="153">
        <f t="shared" si="7"/>
        <v>0</v>
      </c>
    </row>
    <row r="178" spans="1:21" ht="18" hidden="1" customHeight="1" x14ac:dyDescent="0.2">
      <c r="A178" s="150">
        <f t="shared" si="4"/>
        <v>177</v>
      </c>
      <c r="B178" s="150" t="s">
        <v>1052</v>
      </c>
      <c r="C178" s="150" t="str">
        <f>VLOOKUP(B178,MEMBERS!B:C,2, )</f>
        <v>MR. YASIR RASHEED</v>
      </c>
      <c r="D178" s="159">
        <v>46004</v>
      </c>
      <c r="E178" s="151">
        <v>0</v>
      </c>
      <c r="F178" s="151">
        <v>0</v>
      </c>
      <c r="G178" s="151">
        <v>0</v>
      </c>
      <c r="H178" s="151">
        <v>0</v>
      </c>
      <c r="I178" s="151">
        <v>0</v>
      </c>
      <c r="J178" s="151">
        <v>0</v>
      </c>
      <c r="K178" s="151">
        <v>0</v>
      </c>
      <c r="L178" s="151">
        <v>0</v>
      </c>
      <c r="M178" s="152">
        <v>0</v>
      </c>
      <c r="N178" s="151">
        <v>0</v>
      </c>
      <c r="O178" s="151">
        <v>0</v>
      </c>
      <c r="P178" s="151">
        <v>0</v>
      </c>
      <c r="Q178" s="151">
        <v>0</v>
      </c>
      <c r="R178" s="153">
        <v>0</v>
      </c>
      <c r="S178" s="153">
        <v>0</v>
      </c>
      <c r="T178" s="153">
        <v>0</v>
      </c>
      <c r="U178" s="153">
        <f t="shared" si="7"/>
        <v>0</v>
      </c>
    </row>
    <row r="179" spans="1:21" ht="18" hidden="1" customHeight="1" x14ac:dyDescent="0.2">
      <c r="A179" s="150">
        <f t="shared" si="4"/>
        <v>178</v>
      </c>
      <c r="B179" s="150" t="s">
        <v>430</v>
      </c>
      <c r="C179" s="150" t="str">
        <f>VLOOKUP(B179,MEMBERS!B:C,2, )</f>
        <v>SYED JIBRAN MUSHTAQ</v>
      </c>
      <c r="D179" s="159">
        <v>46004</v>
      </c>
      <c r="E179" s="151">
        <v>0</v>
      </c>
      <c r="F179" s="151">
        <v>0</v>
      </c>
      <c r="G179" s="151">
        <v>0</v>
      </c>
      <c r="H179" s="151">
        <v>0</v>
      </c>
      <c r="I179" s="151">
        <v>0</v>
      </c>
      <c r="J179" s="151">
        <v>0</v>
      </c>
      <c r="K179" s="151">
        <v>0</v>
      </c>
      <c r="L179" s="151">
        <v>0</v>
      </c>
      <c r="M179" s="152">
        <v>0</v>
      </c>
      <c r="N179" s="151">
        <v>0</v>
      </c>
      <c r="O179" s="151">
        <v>0</v>
      </c>
      <c r="P179" s="151">
        <v>0</v>
      </c>
      <c r="Q179" s="151">
        <v>0</v>
      </c>
      <c r="R179" s="153">
        <v>0</v>
      </c>
      <c r="S179" s="153">
        <v>0</v>
      </c>
      <c r="T179" s="153">
        <v>0</v>
      </c>
      <c r="U179" s="153">
        <f t="shared" si="7"/>
        <v>0</v>
      </c>
    </row>
    <row r="180" spans="1:21" ht="18" hidden="1" customHeight="1" x14ac:dyDescent="0.2">
      <c r="A180" s="150">
        <f t="shared" si="4"/>
        <v>179</v>
      </c>
      <c r="B180" s="150" t="s">
        <v>1073</v>
      </c>
      <c r="C180" s="150" t="str">
        <f>VLOOKUP(B180,MEMBERS!B:C,2, )</f>
        <v>MR. GHULAM MUSTAFA</v>
      </c>
      <c r="D180" s="159">
        <v>46004</v>
      </c>
      <c r="E180" s="151">
        <v>0</v>
      </c>
      <c r="F180" s="151">
        <v>0</v>
      </c>
      <c r="G180" s="151">
        <v>0</v>
      </c>
      <c r="H180" s="151">
        <v>0</v>
      </c>
      <c r="I180" s="151">
        <v>0</v>
      </c>
      <c r="J180" s="151">
        <v>0</v>
      </c>
      <c r="K180" s="151">
        <v>0</v>
      </c>
      <c r="L180" s="151">
        <v>0</v>
      </c>
      <c r="M180" s="152">
        <v>0</v>
      </c>
      <c r="N180" s="151">
        <v>0</v>
      </c>
      <c r="O180" s="151">
        <v>0</v>
      </c>
      <c r="P180" s="151">
        <v>0</v>
      </c>
      <c r="Q180" s="151">
        <v>0</v>
      </c>
      <c r="R180" s="153">
        <v>0</v>
      </c>
      <c r="S180" s="153">
        <v>0</v>
      </c>
      <c r="T180" s="153">
        <v>0</v>
      </c>
      <c r="U180" s="153">
        <f t="shared" si="7"/>
        <v>0</v>
      </c>
    </row>
    <row r="181" spans="1:21" ht="18" hidden="1" customHeight="1" x14ac:dyDescent="0.2">
      <c r="A181" s="150">
        <f t="shared" si="4"/>
        <v>180</v>
      </c>
      <c r="B181" s="150" t="s">
        <v>164</v>
      </c>
      <c r="C181" s="150" t="str">
        <f>VLOOKUP(B181,MEMBERS!B:C,2, )</f>
        <v>MR.ASHOK KUMAR</v>
      </c>
      <c r="D181" s="159">
        <v>46004</v>
      </c>
      <c r="E181" s="151">
        <v>0</v>
      </c>
      <c r="F181" s="151">
        <v>0</v>
      </c>
      <c r="G181" s="151">
        <v>0</v>
      </c>
      <c r="H181" s="151">
        <v>0</v>
      </c>
      <c r="I181" s="151">
        <v>0</v>
      </c>
      <c r="J181" s="151">
        <v>0</v>
      </c>
      <c r="K181" s="151">
        <v>0</v>
      </c>
      <c r="L181" s="151">
        <v>0</v>
      </c>
      <c r="M181" s="152">
        <v>0</v>
      </c>
      <c r="N181" s="151">
        <v>0</v>
      </c>
      <c r="O181" s="151">
        <v>0</v>
      </c>
      <c r="P181" s="151">
        <v>0</v>
      </c>
      <c r="Q181" s="151">
        <v>0</v>
      </c>
      <c r="R181" s="153">
        <v>0</v>
      </c>
      <c r="S181" s="153">
        <v>0</v>
      </c>
      <c r="T181" s="153">
        <v>0</v>
      </c>
      <c r="U181" s="153">
        <f t="shared" si="7"/>
        <v>0</v>
      </c>
    </row>
    <row r="182" spans="1:21" ht="18" hidden="1" customHeight="1" x14ac:dyDescent="0.2">
      <c r="A182" s="150">
        <f t="shared" si="4"/>
        <v>181</v>
      </c>
      <c r="B182" s="150" t="s">
        <v>1006</v>
      </c>
      <c r="C182" s="150" t="str">
        <f>VLOOKUP(B182,MEMBERS!B:C,2, )</f>
        <v>MR. RAJESH KUMAR CHAWLA</v>
      </c>
      <c r="D182" s="159">
        <v>46004</v>
      </c>
      <c r="E182" s="151">
        <v>0</v>
      </c>
      <c r="F182" s="151">
        <v>0</v>
      </c>
      <c r="G182" s="151">
        <v>0</v>
      </c>
      <c r="H182" s="151">
        <v>0</v>
      </c>
      <c r="I182" s="151">
        <v>0</v>
      </c>
      <c r="J182" s="151">
        <v>0</v>
      </c>
      <c r="K182" s="151">
        <v>0</v>
      </c>
      <c r="L182" s="151">
        <v>0</v>
      </c>
      <c r="M182" s="152">
        <v>0</v>
      </c>
      <c r="N182" s="151">
        <v>0</v>
      </c>
      <c r="O182" s="151">
        <v>0</v>
      </c>
      <c r="P182" s="151">
        <v>0</v>
      </c>
      <c r="Q182" s="151">
        <v>0</v>
      </c>
      <c r="R182" s="153">
        <v>0</v>
      </c>
      <c r="S182" s="153">
        <v>0</v>
      </c>
      <c r="T182" s="153">
        <v>0</v>
      </c>
      <c r="U182" s="153">
        <f t="shared" si="7"/>
        <v>0</v>
      </c>
    </row>
    <row r="183" spans="1:21" ht="18" hidden="1" customHeight="1" x14ac:dyDescent="0.2">
      <c r="A183" s="150">
        <f t="shared" si="4"/>
        <v>182</v>
      </c>
      <c r="B183" s="150" t="s">
        <v>1051</v>
      </c>
      <c r="C183" s="150" t="str">
        <f>VLOOKUP(B183,MEMBERS!B:C,2, )</f>
        <v>MR. ZAHIR REHMAN</v>
      </c>
      <c r="D183" s="159">
        <v>46004</v>
      </c>
      <c r="E183" s="151">
        <v>0</v>
      </c>
      <c r="F183" s="151">
        <v>0</v>
      </c>
      <c r="G183" s="151">
        <v>0</v>
      </c>
      <c r="H183" s="151">
        <v>0</v>
      </c>
      <c r="I183" s="151">
        <v>0</v>
      </c>
      <c r="J183" s="151">
        <v>0</v>
      </c>
      <c r="K183" s="151">
        <v>0</v>
      </c>
      <c r="L183" s="151">
        <v>0</v>
      </c>
      <c r="M183" s="152">
        <v>0</v>
      </c>
      <c r="N183" s="151">
        <v>0</v>
      </c>
      <c r="O183" s="151">
        <v>0</v>
      </c>
      <c r="P183" s="151">
        <v>0</v>
      </c>
      <c r="Q183" s="151">
        <v>0</v>
      </c>
      <c r="R183" s="153">
        <v>0</v>
      </c>
      <c r="S183" s="153">
        <v>0</v>
      </c>
      <c r="T183" s="153">
        <v>0</v>
      </c>
      <c r="U183" s="153">
        <f t="shared" si="7"/>
        <v>0</v>
      </c>
    </row>
    <row r="184" spans="1:21" ht="18" hidden="1" customHeight="1" x14ac:dyDescent="0.2">
      <c r="A184" s="150">
        <f t="shared" si="4"/>
        <v>183</v>
      </c>
      <c r="B184" s="150" t="s">
        <v>15</v>
      </c>
      <c r="C184" s="150" t="str">
        <f>VLOOKUP(B184,MEMBERS!B:C,2, )</f>
        <v>MR.GHULAM NABI OTHI</v>
      </c>
      <c r="D184" s="159">
        <v>46004</v>
      </c>
      <c r="E184" s="151">
        <v>0</v>
      </c>
      <c r="F184" s="151">
        <v>0</v>
      </c>
      <c r="G184" s="151">
        <v>0</v>
      </c>
      <c r="H184" s="151">
        <v>0</v>
      </c>
      <c r="I184" s="151">
        <v>0</v>
      </c>
      <c r="J184" s="151">
        <v>0</v>
      </c>
      <c r="K184" s="151">
        <v>0</v>
      </c>
      <c r="L184" s="151">
        <v>0</v>
      </c>
      <c r="M184" s="152">
        <v>0</v>
      </c>
      <c r="N184" s="151">
        <v>0</v>
      </c>
      <c r="O184" s="151">
        <v>0</v>
      </c>
      <c r="P184" s="151">
        <v>0</v>
      </c>
      <c r="Q184" s="151">
        <v>0</v>
      </c>
      <c r="R184" s="153">
        <v>0</v>
      </c>
      <c r="S184" s="153">
        <v>0</v>
      </c>
      <c r="T184" s="153">
        <v>0</v>
      </c>
      <c r="U184" s="153">
        <f t="shared" si="7"/>
        <v>0</v>
      </c>
    </row>
    <row r="185" spans="1:21" ht="18" hidden="1" customHeight="1" x14ac:dyDescent="0.2">
      <c r="A185" s="150">
        <f t="shared" si="4"/>
        <v>184</v>
      </c>
      <c r="B185" s="150" t="s">
        <v>374</v>
      </c>
      <c r="C185" s="150" t="str">
        <f>VLOOKUP(B185,MEMBERS!B:C,2, )</f>
        <v>AAMIR RASOOL</v>
      </c>
      <c r="D185" s="159">
        <v>46004</v>
      </c>
      <c r="E185" s="151">
        <v>0</v>
      </c>
      <c r="F185" s="151">
        <v>0</v>
      </c>
      <c r="G185" s="151">
        <v>0</v>
      </c>
      <c r="H185" s="151">
        <v>0</v>
      </c>
      <c r="I185" s="151">
        <v>0</v>
      </c>
      <c r="J185" s="151">
        <v>0</v>
      </c>
      <c r="K185" s="151">
        <v>0</v>
      </c>
      <c r="L185" s="151">
        <v>0</v>
      </c>
      <c r="M185" s="152">
        <v>0</v>
      </c>
      <c r="N185" s="151">
        <v>0</v>
      </c>
      <c r="O185" s="151">
        <v>0</v>
      </c>
      <c r="P185" s="151">
        <v>0</v>
      </c>
      <c r="Q185" s="151">
        <v>0</v>
      </c>
      <c r="R185" s="153">
        <v>0</v>
      </c>
      <c r="S185" s="153">
        <v>0</v>
      </c>
      <c r="T185" s="153">
        <v>0</v>
      </c>
      <c r="U185" s="153">
        <f t="shared" si="7"/>
        <v>0</v>
      </c>
    </row>
    <row r="186" spans="1:21" ht="18" hidden="1" customHeight="1" x14ac:dyDescent="0.2">
      <c r="A186" s="150">
        <f t="shared" si="4"/>
        <v>185</v>
      </c>
      <c r="B186" s="150" t="s">
        <v>155</v>
      </c>
      <c r="C186" s="150" t="str">
        <f>VLOOKUP(B186,MEMBERS!B:C,2, )</f>
        <v>MR.PIR MUJEEB JAN SARHANDI</v>
      </c>
      <c r="D186" s="159">
        <v>46004</v>
      </c>
      <c r="E186" s="151">
        <v>0</v>
      </c>
      <c r="F186" s="151">
        <v>0</v>
      </c>
      <c r="G186" s="151">
        <v>0</v>
      </c>
      <c r="H186" s="151">
        <v>0</v>
      </c>
      <c r="I186" s="151">
        <v>0</v>
      </c>
      <c r="J186" s="151">
        <v>0</v>
      </c>
      <c r="K186" s="151">
        <v>0</v>
      </c>
      <c r="L186" s="151">
        <v>0</v>
      </c>
      <c r="M186" s="152">
        <v>0</v>
      </c>
      <c r="N186" s="151">
        <v>0</v>
      </c>
      <c r="O186" s="151">
        <v>0</v>
      </c>
      <c r="P186" s="151">
        <v>0</v>
      </c>
      <c r="Q186" s="151">
        <v>0</v>
      </c>
      <c r="R186" s="153">
        <v>0</v>
      </c>
      <c r="S186" s="153">
        <v>0</v>
      </c>
      <c r="T186" s="153">
        <v>0</v>
      </c>
      <c r="U186" s="153">
        <f t="shared" si="7"/>
        <v>0</v>
      </c>
    </row>
    <row r="187" spans="1:21" ht="18" hidden="1" customHeight="1" x14ac:dyDescent="0.2">
      <c r="A187" s="150">
        <f t="shared" si="4"/>
        <v>186</v>
      </c>
      <c r="B187" s="150" t="s">
        <v>88</v>
      </c>
      <c r="C187" s="150" t="str">
        <f>VLOOKUP(B187,MEMBERS!B:C,2, )</f>
        <v>DR.NAZEER HUSSAIN KALHORO</v>
      </c>
      <c r="D187" s="159">
        <v>46004</v>
      </c>
      <c r="E187" s="151">
        <v>0</v>
      </c>
      <c r="F187" s="151">
        <v>0</v>
      </c>
      <c r="G187" s="151">
        <v>0</v>
      </c>
      <c r="H187" s="151">
        <v>0</v>
      </c>
      <c r="I187" s="151">
        <v>0</v>
      </c>
      <c r="J187" s="151">
        <v>0</v>
      </c>
      <c r="K187" s="151">
        <v>0</v>
      </c>
      <c r="L187" s="151">
        <v>0</v>
      </c>
      <c r="M187" s="152">
        <v>0</v>
      </c>
      <c r="N187" s="151">
        <v>0</v>
      </c>
      <c r="O187" s="151">
        <v>0</v>
      </c>
      <c r="P187" s="151">
        <v>0</v>
      </c>
      <c r="Q187" s="151">
        <v>0</v>
      </c>
      <c r="R187" s="153">
        <v>0</v>
      </c>
      <c r="S187" s="153">
        <v>0</v>
      </c>
      <c r="T187" s="153">
        <v>0</v>
      </c>
      <c r="U187" s="153">
        <f t="shared" si="7"/>
        <v>0</v>
      </c>
    </row>
    <row r="188" spans="1:21" ht="18" hidden="1" customHeight="1" x14ac:dyDescent="0.2">
      <c r="A188" s="150">
        <f t="shared" si="4"/>
        <v>187</v>
      </c>
      <c r="B188" s="150" t="s">
        <v>64</v>
      </c>
      <c r="C188" s="150" t="str">
        <f>VLOOKUP(B188,MEMBERS!B:C,2, )</f>
        <v>MR.DILEEP KUMAR</v>
      </c>
      <c r="D188" s="159">
        <v>46004</v>
      </c>
      <c r="E188" s="151">
        <v>0</v>
      </c>
      <c r="F188" s="151">
        <v>0</v>
      </c>
      <c r="G188" s="151">
        <v>0</v>
      </c>
      <c r="H188" s="151">
        <v>0</v>
      </c>
      <c r="I188" s="151">
        <v>0</v>
      </c>
      <c r="J188" s="151">
        <v>0</v>
      </c>
      <c r="K188" s="151">
        <v>0</v>
      </c>
      <c r="L188" s="151">
        <v>0</v>
      </c>
      <c r="M188" s="152">
        <v>0</v>
      </c>
      <c r="N188" s="151">
        <v>0</v>
      </c>
      <c r="O188" s="151">
        <v>0</v>
      </c>
      <c r="P188" s="151">
        <v>0</v>
      </c>
      <c r="Q188" s="151">
        <v>0</v>
      </c>
      <c r="R188" s="153">
        <v>0</v>
      </c>
      <c r="S188" s="153">
        <v>0</v>
      </c>
      <c r="T188" s="153">
        <v>0</v>
      </c>
      <c r="U188" s="153">
        <f t="shared" si="7"/>
        <v>0</v>
      </c>
    </row>
    <row r="189" spans="1:21" ht="18" hidden="1" customHeight="1" x14ac:dyDescent="0.2">
      <c r="A189" s="150">
        <f t="shared" si="4"/>
        <v>188</v>
      </c>
      <c r="B189" s="150" t="s">
        <v>93</v>
      </c>
      <c r="C189" s="150" t="str">
        <f>VLOOKUP(B189,MEMBERS!B:C,2, )</f>
        <v>MR.NIZAM UDDIN NIZAMANI</v>
      </c>
      <c r="D189" s="159">
        <v>46004</v>
      </c>
      <c r="E189" s="151">
        <v>0</v>
      </c>
      <c r="F189" s="151">
        <v>0</v>
      </c>
      <c r="G189" s="151">
        <v>0</v>
      </c>
      <c r="H189" s="151">
        <v>0</v>
      </c>
      <c r="I189" s="151">
        <v>0</v>
      </c>
      <c r="J189" s="151">
        <v>0</v>
      </c>
      <c r="K189" s="151">
        <v>0</v>
      </c>
      <c r="L189" s="151">
        <v>0</v>
      </c>
      <c r="M189" s="152">
        <v>0</v>
      </c>
      <c r="N189" s="151">
        <v>0</v>
      </c>
      <c r="O189" s="151">
        <v>0</v>
      </c>
      <c r="P189" s="151">
        <v>0</v>
      </c>
      <c r="Q189" s="151">
        <v>0</v>
      </c>
      <c r="R189" s="153">
        <v>0</v>
      </c>
      <c r="S189" s="153">
        <v>0</v>
      </c>
      <c r="T189" s="153">
        <v>0</v>
      </c>
      <c r="U189" s="153">
        <f t="shared" si="7"/>
        <v>0</v>
      </c>
    </row>
    <row r="190" spans="1:21" ht="18" hidden="1" customHeight="1" x14ac:dyDescent="0.2">
      <c r="A190" s="150">
        <f t="shared" si="4"/>
        <v>189</v>
      </c>
      <c r="B190" s="150" t="s">
        <v>756</v>
      </c>
      <c r="C190" s="150" t="s">
        <v>1090</v>
      </c>
      <c r="D190" s="159">
        <v>46004</v>
      </c>
      <c r="E190" s="151">
        <v>0</v>
      </c>
      <c r="F190" s="151">
        <v>0</v>
      </c>
      <c r="G190" s="151">
        <v>0</v>
      </c>
      <c r="H190" s="151">
        <v>0</v>
      </c>
      <c r="I190" s="151">
        <v>0</v>
      </c>
      <c r="J190" s="151">
        <v>0</v>
      </c>
      <c r="K190" s="151">
        <v>0</v>
      </c>
      <c r="L190" s="151">
        <v>0</v>
      </c>
      <c r="M190" s="152">
        <v>0</v>
      </c>
      <c r="N190" s="151">
        <v>0</v>
      </c>
      <c r="O190" s="151">
        <v>0</v>
      </c>
      <c r="P190" s="151">
        <v>0</v>
      </c>
      <c r="Q190" s="151">
        <v>0</v>
      </c>
      <c r="R190" s="153">
        <v>0</v>
      </c>
      <c r="S190" s="153">
        <v>0</v>
      </c>
      <c r="T190" s="153">
        <v>0</v>
      </c>
      <c r="U190" s="153">
        <f t="shared" si="7"/>
        <v>0</v>
      </c>
    </row>
    <row r="191" spans="1:21" ht="18" hidden="1" customHeight="1" x14ac:dyDescent="0.2">
      <c r="A191" s="150">
        <f t="shared" si="4"/>
        <v>190</v>
      </c>
      <c r="B191" s="150" t="s">
        <v>756</v>
      </c>
      <c r="C191" s="150" t="s">
        <v>1173</v>
      </c>
      <c r="D191" s="159">
        <v>46004</v>
      </c>
      <c r="E191" s="151">
        <v>0</v>
      </c>
      <c r="F191" s="151">
        <v>0</v>
      </c>
      <c r="G191" s="151">
        <v>0</v>
      </c>
      <c r="H191" s="151">
        <v>0</v>
      </c>
      <c r="I191" s="151">
        <v>0</v>
      </c>
      <c r="J191" s="151">
        <v>0</v>
      </c>
      <c r="K191" s="151">
        <v>0</v>
      </c>
      <c r="L191" s="151">
        <v>0</v>
      </c>
      <c r="M191" s="152">
        <v>0</v>
      </c>
      <c r="N191" s="151">
        <v>0</v>
      </c>
      <c r="O191" s="151">
        <v>0</v>
      </c>
      <c r="P191" s="151">
        <v>0</v>
      </c>
      <c r="Q191" s="151">
        <v>0</v>
      </c>
      <c r="R191" s="153">
        <v>0</v>
      </c>
      <c r="S191" s="153">
        <v>0</v>
      </c>
      <c r="T191" s="153">
        <v>0</v>
      </c>
      <c r="U191" s="153">
        <f t="shared" si="7"/>
        <v>0</v>
      </c>
    </row>
    <row r="192" spans="1:21" ht="18" hidden="1" customHeight="1" x14ac:dyDescent="0.2">
      <c r="A192" s="150">
        <f t="shared" si="4"/>
        <v>191</v>
      </c>
      <c r="B192" s="150" t="s">
        <v>217</v>
      </c>
      <c r="C192" s="150" t="str">
        <f>VLOOKUP(B192,MEMBERS!B:C,2, )</f>
        <v>MR.ZAIN FAROOQ</v>
      </c>
      <c r="D192" s="159">
        <v>46004</v>
      </c>
      <c r="E192" s="151">
        <v>0</v>
      </c>
      <c r="F192" s="151">
        <v>0</v>
      </c>
      <c r="G192" s="151">
        <v>0</v>
      </c>
      <c r="H192" s="151">
        <v>0</v>
      </c>
      <c r="I192" s="151">
        <v>0</v>
      </c>
      <c r="J192" s="151">
        <v>0</v>
      </c>
      <c r="K192" s="151">
        <v>0</v>
      </c>
      <c r="L192" s="151">
        <v>0</v>
      </c>
      <c r="M192" s="152">
        <v>0</v>
      </c>
      <c r="N192" s="151">
        <v>0</v>
      </c>
      <c r="O192" s="151">
        <v>0</v>
      </c>
      <c r="P192" s="151">
        <v>0</v>
      </c>
      <c r="Q192" s="151">
        <v>0</v>
      </c>
      <c r="R192" s="153">
        <v>0</v>
      </c>
      <c r="S192" s="153">
        <v>0</v>
      </c>
      <c r="T192" s="153">
        <f>2000*2</f>
        <v>4000</v>
      </c>
      <c r="U192" s="153">
        <f t="shared" ref="U192:U208" si="8">SUM(E192:T192)</f>
        <v>4000</v>
      </c>
    </row>
    <row r="193" spans="1:21" ht="18" hidden="1" customHeight="1" x14ac:dyDescent="0.2">
      <c r="A193" s="150">
        <f t="shared" si="4"/>
        <v>192</v>
      </c>
      <c r="B193" s="150" t="s">
        <v>98</v>
      </c>
      <c r="C193" s="150" t="str">
        <f>VLOOKUP(B193,MEMBERS!B:C,2, )</f>
        <v>MR.HAFEEZ AHMED SIYAL</v>
      </c>
      <c r="D193" s="159">
        <v>46004</v>
      </c>
      <c r="E193" s="151">
        <v>0</v>
      </c>
      <c r="F193" s="151">
        <v>0</v>
      </c>
      <c r="G193" s="151">
        <v>0</v>
      </c>
      <c r="H193" s="151">
        <v>0</v>
      </c>
      <c r="I193" s="151">
        <v>0</v>
      </c>
      <c r="J193" s="151">
        <v>0</v>
      </c>
      <c r="K193" s="151">
        <v>0</v>
      </c>
      <c r="L193" s="151">
        <v>0</v>
      </c>
      <c r="M193" s="152">
        <v>0</v>
      </c>
      <c r="N193" s="151">
        <v>0</v>
      </c>
      <c r="O193" s="151">
        <v>0</v>
      </c>
      <c r="P193" s="151">
        <v>0</v>
      </c>
      <c r="Q193" s="151">
        <v>0</v>
      </c>
      <c r="R193" s="153">
        <v>0</v>
      </c>
      <c r="S193" s="153">
        <v>0</v>
      </c>
      <c r="T193" s="153">
        <f>2000*2</f>
        <v>4000</v>
      </c>
      <c r="U193" s="153">
        <f t="shared" si="8"/>
        <v>4000</v>
      </c>
    </row>
    <row r="194" spans="1:21" ht="18" hidden="1" customHeight="1" x14ac:dyDescent="0.2">
      <c r="A194" s="150">
        <f t="shared" si="4"/>
        <v>193</v>
      </c>
      <c r="B194" s="150" t="s">
        <v>301</v>
      </c>
      <c r="C194" s="150" t="str">
        <f>VLOOKUP(B194,MEMBERS!B:C,2, )</f>
        <v>CAPT.HAMID UZ ZAFAR</v>
      </c>
      <c r="D194" s="159">
        <v>46004</v>
      </c>
      <c r="E194" s="151">
        <v>0</v>
      </c>
      <c r="F194" s="151">
        <v>0</v>
      </c>
      <c r="G194" s="151">
        <v>0</v>
      </c>
      <c r="H194" s="151">
        <v>0</v>
      </c>
      <c r="I194" s="151">
        <v>0</v>
      </c>
      <c r="J194" s="151">
        <v>0</v>
      </c>
      <c r="K194" s="151">
        <v>0</v>
      </c>
      <c r="L194" s="151">
        <v>0</v>
      </c>
      <c r="M194" s="152">
        <v>0</v>
      </c>
      <c r="N194" s="151">
        <v>0</v>
      </c>
      <c r="O194" s="151">
        <v>0</v>
      </c>
      <c r="P194" s="151">
        <v>0</v>
      </c>
      <c r="Q194" s="151">
        <v>0</v>
      </c>
      <c r="R194" s="153">
        <v>0</v>
      </c>
      <c r="S194" s="153">
        <v>0</v>
      </c>
      <c r="T194" s="153">
        <f>2000+2500*3</f>
        <v>9500</v>
      </c>
      <c r="U194" s="153">
        <f t="shared" si="8"/>
        <v>9500</v>
      </c>
    </row>
    <row r="195" spans="1:21" ht="18" hidden="1" customHeight="1" x14ac:dyDescent="0.2">
      <c r="A195" s="150">
        <f t="shared" si="4"/>
        <v>194</v>
      </c>
      <c r="B195" s="150" t="s">
        <v>359</v>
      </c>
      <c r="C195" s="150" t="str">
        <f>VLOOKUP(B195,MEMBERS!B:C,2, )</f>
        <v>DR.NASEEM MUNSHI</v>
      </c>
      <c r="D195" s="159">
        <v>46004</v>
      </c>
      <c r="E195" s="151">
        <v>0</v>
      </c>
      <c r="F195" s="151">
        <v>0</v>
      </c>
      <c r="G195" s="151">
        <v>0</v>
      </c>
      <c r="H195" s="151">
        <v>0</v>
      </c>
      <c r="I195" s="151">
        <v>0</v>
      </c>
      <c r="J195" s="151">
        <v>0</v>
      </c>
      <c r="K195" s="151">
        <v>0</v>
      </c>
      <c r="L195" s="151">
        <v>0</v>
      </c>
      <c r="M195" s="152">
        <v>0</v>
      </c>
      <c r="N195" s="151">
        <v>0</v>
      </c>
      <c r="O195" s="151">
        <v>0</v>
      </c>
      <c r="P195" s="151">
        <v>0</v>
      </c>
      <c r="Q195" s="151">
        <v>0</v>
      </c>
      <c r="R195" s="153">
        <v>0</v>
      </c>
      <c r="S195" s="153">
        <v>0</v>
      </c>
      <c r="T195" s="153">
        <v>2000</v>
      </c>
      <c r="U195" s="153">
        <f t="shared" si="8"/>
        <v>2000</v>
      </c>
    </row>
    <row r="196" spans="1:21" ht="18" hidden="1" customHeight="1" x14ac:dyDescent="0.2">
      <c r="A196" s="150">
        <f t="shared" si="4"/>
        <v>195</v>
      </c>
      <c r="B196" s="150" t="s">
        <v>155</v>
      </c>
      <c r="C196" s="150" t="str">
        <f>VLOOKUP(B196,MEMBERS!B:C,2, )</f>
        <v>MR.PIR MUJEEB JAN SARHANDI</v>
      </c>
      <c r="D196" s="159">
        <v>46004</v>
      </c>
      <c r="E196" s="151">
        <v>0</v>
      </c>
      <c r="F196" s="151">
        <v>0</v>
      </c>
      <c r="G196" s="151">
        <v>0</v>
      </c>
      <c r="H196" s="151">
        <v>0</v>
      </c>
      <c r="I196" s="151">
        <v>0</v>
      </c>
      <c r="J196" s="151">
        <v>0</v>
      </c>
      <c r="K196" s="151">
        <v>0</v>
      </c>
      <c r="L196" s="151">
        <v>0</v>
      </c>
      <c r="M196" s="152">
        <v>0</v>
      </c>
      <c r="N196" s="151">
        <v>0</v>
      </c>
      <c r="O196" s="151">
        <v>0</v>
      </c>
      <c r="P196" s="151">
        <v>0</v>
      </c>
      <c r="Q196" s="151">
        <v>0</v>
      </c>
      <c r="R196" s="153">
        <v>0</v>
      </c>
      <c r="S196" s="153">
        <v>0</v>
      </c>
      <c r="T196" s="153">
        <v>2000</v>
      </c>
      <c r="U196" s="153">
        <f t="shared" si="8"/>
        <v>2000</v>
      </c>
    </row>
    <row r="197" spans="1:21" ht="18" hidden="1" customHeight="1" x14ac:dyDescent="0.2">
      <c r="A197" s="150">
        <f t="shared" si="4"/>
        <v>196</v>
      </c>
      <c r="B197" s="150" t="s">
        <v>315</v>
      </c>
      <c r="C197" s="150" t="str">
        <f>VLOOKUP(B197,MEMBERS!B:C,2, )</f>
        <v>DGM FATIMA ZAHID</v>
      </c>
      <c r="D197" s="159">
        <v>46004</v>
      </c>
      <c r="E197" s="151">
        <v>0</v>
      </c>
      <c r="F197" s="151">
        <v>0</v>
      </c>
      <c r="G197" s="151">
        <v>0</v>
      </c>
      <c r="H197" s="151">
        <v>0</v>
      </c>
      <c r="I197" s="151">
        <v>0</v>
      </c>
      <c r="J197" s="151">
        <v>0</v>
      </c>
      <c r="K197" s="151">
        <v>0</v>
      </c>
      <c r="L197" s="151">
        <v>0</v>
      </c>
      <c r="M197" s="152">
        <v>0</v>
      </c>
      <c r="N197" s="151">
        <v>0</v>
      </c>
      <c r="O197" s="151">
        <v>0</v>
      </c>
      <c r="P197" s="151">
        <v>0</v>
      </c>
      <c r="Q197" s="151">
        <v>0</v>
      </c>
      <c r="R197" s="153">
        <v>0</v>
      </c>
      <c r="S197" s="153">
        <v>0</v>
      </c>
      <c r="T197" s="153">
        <f>2000+2500*7</f>
        <v>19500</v>
      </c>
      <c r="U197" s="153">
        <f t="shared" si="8"/>
        <v>19500</v>
      </c>
    </row>
    <row r="198" spans="1:21" ht="18" hidden="1" customHeight="1" x14ac:dyDescent="0.2">
      <c r="A198" s="150">
        <f t="shared" si="4"/>
        <v>197</v>
      </c>
      <c r="B198" s="150" t="s">
        <v>249</v>
      </c>
      <c r="C198" s="150" t="str">
        <f>VLOOKUP(B198,MEMBERS!B:C,2, )</f>
        <v>MUHAMMAD EBRAHIM TIWANA</v>
      </c>
      <c r="D198" s="159">
        <v>46004</v>
      </c>
      <c r="E198" s="151">
        <v>0</v>
      </c>
      <c r="F198" s="151">
        <v>0</v>
      </c>
      <c r="G198" s="151">
        <v>0</v>
      </c>
      <c r="H198" s="151">
        <v>0</v>
      </c>
      <c r="I198" s="151">
        <v>0</v>
      </c>
      <c r="J198" s="151">
        <v>0</v>
      </c>
      <c r="K198" s="151">
        <v>0</v>
      </c>
      <c r="L198" s="151">
        <v>0</v>
      </c>
      <c r="M198" s="152">
        <v>0</v>
      </c>
      <c r="N198" s="151">
        <v>0</v>
      </c>
      <c r="O198" s="151">
        <v>0</v>
      </c>
      <c r="P198" s="151">
        <v>0</v>
      </c>
      <c r="Q198" s="151">
        <v>0</v>
      </c>
      <c r="R198" s="153">
        <v>0</v>
      </c>
      <c r="S198" s="153">
        <v>0</v>
      </c>
      <c r="T198" s="153">
        <f>2000*2+2500*2</f>
        <v>9000</v>
      </c>
      <c r="U198" s="153">
        <f t="shared" si="8"/>
        <v>9000</v>
      </c>
    </row>
    <row r="199" spans="1:21" ht="18" hidden="1" customHeight="1" x14ac:dyDescent="0.2">
      <c r="A199" s="150">
        <f t="shared" si="4"/>
        <v>198</v>
      </c>
      <c r="B199" s="150" t="s">
        <v>1039</v>
      </c>
      <c r="C199" s="150" t="str">
        <f>VLOOKUP(B199,MEMBERS!B:C,2, )</f>
        <v>MR. AYAZ JAMRO</v>
      </c>
      <c r="D199" s="159">
        <v>46004</v>
      </c>
      <c r="E199" s="151">
        <v>0</v>
      </c>
      <c r="F199" s="151">
        <v>0</v>
      </c>
      <c r="G199" s="151">
        <v>0</v>
      </c>
      <c r="H199" s="151">
        <v>0</v>
      </c>
      <c r="I199" s="151">
        <v>0</v>
      </c>
      <c r="J199" s="151">
        <v>0</v>
      </c>
      <c r="K199" s="151">
        <v>0</v>
      </c>
      <c r="L199" s="151">
        <v>0</v>
      </c>
      <c r="M199" s="152">
        <v>0</v>
      </c>
      <c r="N199" s="151">
        <v>0</v>
      </c>
      <c r="O199" s="151">
        <v>0</v>
      </c>
      <c r="P199" s="151">
        <v>0</v>
      </c>
      <c r="Q199" s="151">
        <v>0</v>
      </c>
      <c r="R199" s="153">
        <v>0</v>
      </c>
      <c r="S199" s="153">
        <v>0</v>
      </c>
      <c r="T199" s="153">
        <f>2000*1+2500*2</f>
        <v>7000</v>
      </c>
      <c r="U199" s="153">
        <f t="shared" si="8"/>
        <v>7000</v>
      </c>
    </row>
    <row r="200" spans="1:21" ht="18" hidden="1" customHeight="1" x14ac:dyDescent="0.2">
      <c r="A200" s="150">
        <f t="shared" si="4"/>
        <v>199</v>
      </c>
      <c r="B200" s="150" t="s">
        <v>54</v>
      </c>
      <c r="C200" s="150" t="str">
        <f>VLOOKUP(B200,MEMBERS!B:C,2, )</f>
        <v>MR.ZEESHAN IQBAL</v>
      </c>
      <c r="D200" s="159">
        <v>46004</v>
      </c>
      <c r="E200" s="151">
        <v>0</v>
      </c>
      <c r="F200" s="151">
        <v>0</v>
      </c>
      <c r="G200" s="151">
        <v>0</v>
      </c>
      <c r="H200" s="151">
        <v>0</v>
      </c>
      <c r="I200" s="151">
        <v>0</v>
      </c>
      <c r="J200" s="151">
        <v>0</v>
      </c>
      <c r="K200" s="151">
        <v>0</v>
      </c>
      <c r="L200" s="151">
        <v>0</v>
      </c>
      <c r="M200" s="152">
        <v>0</v>
      </c>
      <c r="N200" s="151">
        <v>0</v>
      </c>
      <c r="O200" s="151">
        <v>0</v>
      </c>
      <c r="P200" s="151">
        <v>0</v>
      </c>
      <c r="Q200" s="151">
        <v>0</v>
      </c>
      <c r="R200" s="153">
        <v>0</v>
      </c>
      <c r="S200" s="153">
        <v>0</v>
      </c>
      <c r="T200" s="153">
        <f>2000*2</f>
        <v>4000</v>
      </c>
      <c r="U200" s="153">
        <f t="shared" si="8"/>
        <v>4000</v>
      </c>
    </row>
    <row r="201" spans="1:21" ht="18" hidden="1" customHeight="1" x14ac:dyDescent="0.2">
      <c r="A201" s="150">
        <f t="shared" si="4"/>
        <v>200</v>
      </c>
      <c r="B201" s="150" t="s">
        <v>142</v>
      </c>
      <c r="C201" s="150" t="str">
        <f>VLOOKUP(B201,MEMBERS!B:C,2, )</f>
        <v>MR.MUHAMMAD HANIF</v>
      </c>
      <c r="D201" s="159">
        <v>46004</v>
      </c>
      <c r="E201" s="151">
        <v>0</v>
      </c>
      <c r="F201" s="151">
        <v>0</v>
      </c>
      <c r="G201" s="151">
        <v>0</v>
      </c>
      <c r="H201" s="151">
        <v>0</v>
      </c>
      <c r="I201" s="151">
        <v>0</v>
      </c>
      <c r="J201" s="151">
        <v>0</v>
      </c>
      <c r="K201" s="151">
        <v>0</v>
      </c>
      <c r="L201" s="151">
        <v>0</v>
      </c>
      <c r="M201" s="152">
        <v>0</v>
      </c>
      <c r="N201" s="151">
        <v>0</v>
      </c>
      <c r="O201" s="151">
        <v>0</v>
      </c>
      <c r="P201" s="151">
        <v>0</v>
      </c>
      <c r="Q201" s="151">
        <v>0</v>
      </c>
      <c r="R201" s="153">
        <v>0</v>
      </c>
      <c r="S201" s="153">
        <v>0</v>
      </c>
      <c r="T201" s="153">
        <f>2500*2</f>
        <v>5000</v>
      </c>
      <c r="U201" s="153">
        <f t="shared" si="8"/>
        <v>5000</v>
      </c>
    </row>
    <row r="202" spans="1:21" ht="18" hidden="1" customHeight="1" x14ac:dyDescent="0.2">
      <c r="A202" s="150">
        <f t="shared" si="4"/>
        <v>201</v>
      </c>
      <c r="B202" s="150" t="s">
        <v>308</v>
      </c>
      <c r="C202" s="150" t="str">
        <f>VLOOKUP(B202,MEMBERS!B:C,2, )</f>
        <v>DGM AZFAR ALI</v>
      </c>
      <c r="D202" s="159">
        <v>46004</v>
      </c>
      <c r="E202" s="151">
        <v>0</v>
      </c>
      <c r="F202" s="151">
        <v>0</v>
      </c>
      <c r="G202" s="151">
        <v>0</v>
      </c>
      <c r="H202" s="151">
        <v>0</v>
      </c>
      <c r="I202" s="151">
        <v>0</v>
      </c>
      <c r="J202" s="151">
        <v>0</v>
      </c>
      <c r="K202" s="151">
        <v>0</v>
      </c>
      <c r="L202" s="151">
        <v>0</v>
      </c>
      <c r="M202" s="152">
        <v>0</v>
      </c>
      <c r="N202" s="151">
        <v>0</v>
      </c>
      <c r="O202" s="151">
        <v>0</v>
      </c>
      <c r="P202" s="151">
        <v>0</v>
      </c>
      <c r="Q202" s="151">
        <v>0</v>
      </c>
      <c r="R202" s="153">
        <v>0</v>
      </c>
      <c r="S202" s="153">
        <v>0</v>
      </c>
      <c r="T202" s="153">
        <f>2000*2</f>
        <v>4000</v>
      </c>
      <c r="U202" s="153">
        <f t="shared" si="8"/>
        <v>4000</v>
      </c>
    </row>
    <row r="203" spans="1:21" ht="18" hidden="1" customHeight="1" x14ac:dyDescent="0.2">
      <c r="A203" s="150">
        <f t="shared" si="4"/>
        <v>202</v>
      </c>
      <c r="B203" s="150" t="s">
        <v>88</v>
      </c>
      <c r="C203" s="150" t="str">
        <f>VLOOKUP(B203,MEMBERS!B:C,2, )</f>
        <v>DR.NAZEER HUSSAIN KALHORO</v>
      </c>
      <c r="D203" s="159">
        <v>46004</v>
      </c>
      <c r="E203" s="151">
        <v>0</v>
      </c>
      <c r="F203" s="151">
        <v>0</v>
      </c>
      <c r="G203" s="151">
        <v>0</v>
      </c>
      <c r="H203" s="151">
        <v>0</v>
      </c>
      <c r="I203" s="151">
        <v>0</v>
      </c>
      <c r="J203" s="151">
        <v>0</v>
      </c>
      <c r="K203" s="151">
        <v>0</v>
      </c>
      <c r="L203" s="151">
        <v>0</v>
      </c>
      <c r="M203" s="152">
        <v>0</v>
      </c>
      <c r="N203" s="151">
        <v>0</v>
      </c>
      <c r="O203" s="151">
        <v>0</v>
      </c>
      <c r="P203" s="151">
        <v>0</v>
      </c>
      <c r="Q203" s="151">
        <v>0</v>
      </c>
      <c r="R203" s="153">
        <v>0</v>
      </c>
      <c r="S203" s="153">
        <v>0</v>
      </c>
      <c r="T203" s="153">
        <f>2000+2500</f>
        <v>4500</v>
      </c>
      <c r="U203" s="153">
        <f t="shared" si="8"/>
        <v>4500</v>
      </c>
    </row>
    <row r="204" spans="1:21" ht="18" hidden="1" customHeight="1" x14ac:dyDescent="0.2">
      <c r="A204" s="150">
        <f t="shared" si="4"/>
        <v>203</v>
      </c>
      <c r="B204" s="150" t="s">
        <v>192</v>
      </c>
      <c r="C204" s="150" t="str">
        <f>VLOOKUP(B204,MEMBERS!B:C,2, )</f>
        <v>MR.HANIF AHSAN ZUBEDI</v>
      </c>
      <c r="D204" s="159">
        <v>46004</v>
      </c>
      <c r="E204" s="151">
        <v>0</v>
      </c>
      <c r="F204" s="151">
        <v>0</v>
      </c>
      <c r="G204" s="151">
        <v>0</v>
      </c>
      <c r="H204" s="151">
        <v>0</v>
      </c>
      <c r="I204" s="151">
        <v>0</v>
      </c>
      <c r="J204" s="151">
        <v>0</v>
      </c>
      <c r="K204" s="151">
        <v>0</v>
      </c>
      <c r="L204" s="151">
        <v>0</v>
      </c>
      <c r="M204" s="152">
        <v>0</v>
      </c>
      <c r="N204" s="151">
        <v>0</v>
      </c>
      <c r="O204" s="151">
        <v>0</v>
      </c>
      <c r="P204" s="151">
        <v>0</v>
      </c>
      <c r="Q204" s="151">
        <v>0</v>
      </c>
      <c r="R204" s="153">
        <v>0</v>
      </c>
      <c r="S204" s="153">
        <v>0</v>
      </c>
      <c r="T204" s="153">
        <f>2000+2500</f>
        <v>4500</v>
      </c>
      <c r="U204" s="153">
        <f t="shared" si="8"/>
        <v>4500</v>
      </c>
    </row>
    <row r="205" spans="1:21" ht="18" hidden="1" customHeight="1" x14ac:dyDescent="0.2">
      <c r="A205" s="150">
        <f t="shared" si="4"/>
        <v>204</v>
      </c>
      <c r="B205" s="150" t="s">
        <v>123</v>
      </c>
      <c r="C205" s="150" t="str">
        <f>VLOOKUP(B205,MEMBERS!B:C,2, )</f>
        <v>MR.MUIED AHMED DURRANI</v>
      </c>
      <c r="D205" s="159">
        <v>46004</v>
      </c>
      <c r="E205" s="151">
        <v>0</v>
      </c>
      <c r="F205" s="151">
        <v>0</v>
      </c>
      <c r="G205" s="151">
        <v>0</v>
      </c>
      <c r="H205" s="151">
        <v>0</v>
      </c>
      <c r="I205" s="151">
        <v>0</v>
      </c>
      <c r="J205" s="151">
        <v>0</v>
      </c>
      <c r="K205" s="151">
        <v>0</v>
      </c>
      <c r="L205" s="151">
        <v>0</v>
      </c>
      <c r="M205" s="152">
        <v>0</v>
      </c>
      <c r="N205" s="151">
        <v>0</v>
      </c>
      <c r="O205" s="151">
        <v>0</v>
      </c>
      <c r="P205" s="151">
        <v>0</v>
      </c>
      <c r="Q205" s="151">
        <v>0</v>
      </c>
      <c r="R205" s="153">
        <v>0</v>
      </c>
      <c r="S205" s="153">
        <v>0</v>
      </c>
      <c r="T205" s="153">
        <f>2000+2500*2</f>
        <v>7000</v>
      </c>
      <c r="U205" s="153">
        <f t="shared" si="8"/>
        <v>7000</v>
      </c>
    </row>
    <row r="206" spans="1:21" ht="18" hidden="1" customHeight="1" x14ac:dyDescent="0.2">
      <c r="A206" s="150">
        <f t="shared" si="4"/>
        <v>205</v>
      </c>
      <c r="B206" s="150" t="s">
        <v>235</v>
      </c>
      <c r="C206" s="150" t="str">
        <f>VLOOKUP(B206,MEMBERS!B:C,2, )</f>
        <v>MR.IMRAN WAZEER</v>
      </c>
      <c r="D206" s="159">
        <v>46004</v>
      </c>
      <c r="E206" s="151">
        <v>0</v>
      </c>
      <c r="F206" s="151">
        <v>0</v>
      </c>
      <c r="G206" s="151">
        <v>0</v>
      </c>
      <c r="H206" s="151">
        <v>0</v>
      </c>
      <c r="I206" s="151">
        <v>0</v>
      </c>
      <c r="J206" s="151">
        <v>0</v>
      </c>
      <c r="K206" s="151">
        <v>0</v>
      </c>
      <c r="L206" s="151">
        <v>0</v>
      </c>
      <c r="M206" s="152">
        <v>0</v>
      </c>
      <c r="N206" s="151">
        <v>0</v>
      </c>
      <c r="O206" s="151">
        <v>0</v>
      </c>
      <c r="P206" s="151">
        <v>0</v>
      </c>
      <c r="Q206" s="151">
        <v>0</v>
      </c>
      <c r="R206" s="153">
        <v>0</v>
      </c>
      <c r="S206" s="153">
        <v>0</v>
      </c>
      <c r="T206" s="153">
        <v>2000</v>
      </c>
      <c r="U206" s="153">
        <f t="shared" si="8"/>
        <v>2000</v>
      </c>
    </row>
    <row r="207" spans="1:21" ht="18" hidden="1" customHeight="1" x14ac:dyDescent="0.2">
      <c r="A207" s="150">
        <f t="shared" si="4"/>
        <v>206</v>
      </c>
      <c r="B207" s="150" t="s">
        <v>1004</v>
      </c>
      <c r="C207" s="150" t="str">
        <f>VLOOKUP(B207,MEMBERS!B:C,2, )</f>
        <v>MRS RIFFAT ZULFIQAR</v>
      </c>
      <c r="D207" s="159">
        <v>46004</v>
      </c>
      <c r="E207" s="151">
        <v>0</v>
      </c>
      <c r="F207" s="151">
        <v>0</v>
      </c>
      <c r="G207" s="151">
        <v>0</v>
      </c>
      <c r="H207" s="151">
        <v>0</v>
      </c>
      <c r="I207" s="151">
        <v>0</v>
      </c>
      <c r="J207" s="151">
        <v>0</v>
      </c>
      <c r="K207" s="151">
        <v>0</v>
      </c>
      <c r="L207" s="151">
        <v>0</v>
      </c>
      <c r="M207" s="152">
        <v>0</v>
      </c>
      <c r="N207" s="151">
        <v>0</v>
      </c>
      <c r="O207" s="151">
        <v>0</v>
      </c>
      <c r="P207" s="151">
        <v>0</v>
      </c>
      <c r="Q207" s="151">
        <v>0</v>
      </c>
      <c r="R207" s="153">
        <v>0</v>
      </c>
      <c r="S207" s="153">
        <v>0</v>
      </c>
      <c r="T207" s="316">
        <f>2500*16</f>
        <v>40000</v>
      </c>
      <c r="U207" s="153">
        <f t="shared" si="8"/>
        <v>40000</v>
      </c>
    </row>
    <row r="208" spans="1:21" ht="18" hidden="1" customHeight="1" x14ac:dyDescent="0.2">
      <c r="A208" s="150">
        <f t="shared" si="4"/>
        <v>207</v>
      </c>
      <c r="B208" s="150" t="s">
        <v>1073</v>
      </c>
      <c r="C208" s="150" t="str">
        <f>VLOOKUP(B208,MEMBERS!B:C,2, )</f>
        <v>MR. GHULAM MUSTAFA</v>
      </c>
      <c r="D208" s="159">
        <v>46004</v>
      </c>
      <c r="E208" s="151">
        <v>0</v>
      </c>
      <c r="F208" s="151">
        <v>0</v>
      </c>
      <c r="G208" s="151">
        <v>0</v>
      </c>
      <c r="H208" s="151">
        <v>0</v>
      </c>
      <c r="I208" s="151">
        <v>0</v>
      </c>
      <c r="J208" s="151">
        <v>0</v>
      </c>
      <c r="K208" s="151">
        <v>0</v>
      </c>
      <c r="L208" s="151">
        <v>0</v>
      </c>
      <c r="M208" s="152">
        <v>0</v>
      </c>
      <c r="N208" s="151">
        <v>0</v>
      </c>
      <c r="O208" s="151">
        <v>0</v>
      </c>
      <c r="P208" s="151">
        <v>0</v>
      </c>
      <c r="Q208" s="151">
        <v>0</v>
      </c>
      <c r="R208" s="153">
        <v>0</v>
      </c>
      <c r="S208" s="153">
        <v>0</v>
      </c>
      <c r="T208" s="153">
        <f>2500*6</f>
        <v>15000</v>
      </c>
      <c r="U208" s="153">
        <f t="shared" si="8"/>
        <v>15000</v>
      </c>
    </row>
    <row r="209" spans="1:21" ht="18" customHeight="1" x14ac:dyDescent="0.2">
      <c r="A209" s="150">
        <f t="shared" si="4"/>
        <v>208</v>
      </c>
      <c r="B209" s="150" t="s">
        <v>390</v>
      </c>
      <c r="C209" s="150" t="str">
        <f>VLOOKUP(B209,MEMBERS!B:C,2, )</f>
        <v>RIAZ FAZAL</v>
      </c>
      <c r="D209" s="159">
        <v>46005</v>
      </c>
      <c r="E209" s="151">
        <v>0</v>
      </c>
      <c r="F209" s="151">
        <v>0</v>
      </c>
      <c r="G209" s="151">
        <v>0</v>
      </c>
      <c r="H209" s="151">
        <v>0</v>
      </c>
      <c r="I209" s="151">
        <v>0</v>
      </c>
      <c r="J209" s="151">
        <v>0</v>
      </c>
      <c r="K209" s="151">
        <v>0</v>
      </c>
      <c r="L209" s="151">
        <v>0</v>
      </c>
      <c r="M209" s="152">
        <v>0</v>
      </c>
      <c r="N209" s="151">
        <v>0</v>
      </c>
      <c r="O209" s="151">
        <f>1000+1500*3</f>
        <v>5500</v>
      </c>
      <c r="P209" s="151">
        <v>0</v>
      </c>
      <c r="Q209" s="151">
        <v>0</v>
      </c>
      <c r="R209" s="153">
        <v>0</v>
      </c>
      <c r="S209" s="153">
        <v>0</v>
      </c>
      <c r="T209" s="153">
        <v>0</v>
      </c>
      <c r="U209" s="153">
        <f t="shared" si="7"/>
        <v>5500</v>
      </c>
    </row>
    <row r="210" spans="1:21" ht="18" hidden="1" customHeight="1" x14ac:dyDescent="0.2">
      <c r="A210" s="150">
        <f t="shared" si="4"/>
        <v>209</v>
      </c>
      <c r="B210" s="150" t="s">
        <v>374</v>
      </c>
      <c r="C210" s="150" t="str">
        <f>VLOOKUP(B210,MEMBERS!B:C,2, )</f>
        <v>AAMIR RASOOL</v>
      </c>
      <c r="D210" s="159">
        <v>46005</v>
      </c>
      <c r="E210" s="151">
        <v>0</v>
      </c>
      <c r="F210" s="151">
        <v>0</v>
      </c>
      <c r="G210" s="151">
        <v>0</v>
      </c>
      <c r="H210" s="151">
        <v>600</v>
      </c>
      <c r="I210" s="151">
        <v>0</v>
      </c>
      <c r="J210" s="151">
        <f>300*2</f>
        <v>600</v>
      </c>
      <c r="K210" s="151">
        <v>0</v>
      </c>
      <c r="L210" s="151">
        <v>0</v>
      </c>
      <c r="M210" s="152">
        <v>0</v>
      </c>
      <c r="N210" s="151">
        <v>0</v>
      </c>
      <c r="O210" s="151">
        <v>0</v>
      </c>
      <c r="P210" s="151">
        <v>0</v>
      </c>
      <c r="Q210" s="151">
        <v>0</v>
      </c>
      <c r="R210" s="153">
        <v>0</v>
      </c>
      <c r="S210" s="153">
        <v>0</v>
      </c>
      <c r="T210" s="153">
        <v>0</v>
      </c>
      <c r="U210" s="153">
        <f t="shared" si="7"/>
        <v>1200</v>
      </c>
    </row>
    <row r="211" spans="1:21" ht="18" hidden="1" customHeight="1" x14ac:dyDescent="0.2">
      <c r="A211" s="150">
        <f t="shared" ref="A211:A230" si="9">IF(D211&lt;&gt;"", ROW()-1, "")</f>
        <v>210</v>
      </c>
      <c r="B211" s="150" t="s">
        <v>756</v>
      </c>
      <c r="C211" s="150" t="s">
        <v>1183</v>
      </c>
      <c r="D211" s="159">
        <v>46005</v>
      </c>
      <c r="E211" s="151">
        <v>0</v>
      </c>
      <c r="F211" s="151">
        <v>0</v>
      </c>
      <c r="G211" s="151">
        <v>0</v>
      </c>
      <c r="H211" s="151">
        <v>0</v>
      </c>
      <c r="I211" s="151">
        <v>0</v>
      </c>
      <c r="J211" s="151">
        <v>0</v>
      </c>
      <c r="K211" s="151">
        <v>0</v>
      </c>
      <c r="L211" s="151">
        <v>0</v>
      </c>
      <c r="M211" s="152">
        <v>0</v>
      </c>
      <c r="N211" s="151">
        <v>0</v>
      </c>
      <c r="O211" s="151">
        <v>0</v>
      </c>
      <c r="P211" s="309">
        <v>20000</v>
      </c>
      <c r="Q211" s="151">
        <v>0</v>
      </c>
      <c r="R211" s="153">
        <v>0</v>
      </c>
      <c r="S211" s="153">
        <v>0</v>
      </c>
      <c r="T211" s="153">
        <v>0</v>
      </c>
      <c r="U211" s="153">
        <f t="shared" si="7"/>
        <v>20000</v>
      </c>
    </row>
    <row r="212" spans="1:21" ht="18" hidden="1" customHeight="1" x14ac:dyDescent="0.2">
      <c r="A212" s="150">
        <f t="shared" si="9"/>
        <v>211</v>
      </c>
      <c r="B212" s="150" t="s">
        <v>756</v>
      </c>
      <c r="C212" s="150" t="s">
        <v>1183</v>
      </c>
      <c r="D212" s="159">
        <v>46005</v>
      </c>
      <c r="E212" s="151">
        <v>0</v>
      </c>
      <c r="F212" s="151">
        <v>0</v>
      </c>
      <c r="G212" s="151">
        <v>0</v>
      </c>
      <c r="H212" s="151">
        <v>0</v>
      </c>
      <c r="I212" s="151">
        <v>0</v>
      </c>
      <c r="J212" s="309">
        <v>500</v>
      </c>
      <c r="K212" s="151">
        <v>0</v>
      </c>
      <c r="L212" s="151">
        <v>0</v>
      </c>
      <c r="M212" s="152">
        <v>0</v>
      </c>
      <c r="N212" s="151">
        <v>0</v>
      </c>
      <c r="O212" s="151">
        <v>0</v>
      </c>
      <c r="P212" s="151">
        <v>0</v>
      </c>
      <c r="Q212" s="151">
        <v>0</v>
      </c>
      <c r="R212" s="153">
        <v>0</v>
      </c>
      <c r="S212" s="153">
        <v>0</v>
      </c>
      <c r="T212" s="153">
        <v>0</v>
      </c>
      <c r="U212" s="153">
        <f t="shared" si="7"/>
        <v>500</v>
      </c>
    </row>
    <row r="213" spans="1:21" ht="18" hidden="1" customHeight="1" x14ac:dyDescent="0.2">
      <c r="A213" s="150">
        <f t="shared" si="9"/>
        <v>212</v>
      </c>
      <c r="B213" s="150" t="s">
        <v>217</v>
      </c>
      <c r="C213" s="150" t="str">
        <f>VLOOKUP(B213,MEMBERS!B:C,2, )</f>
        <v>MR.ZAIN FAROOQ</v>
      </c>
      <c r="D213" s="159">
        <v>46005</v>
      </c>
      <c r="E213" s="151">
        <v>0</v>
      </c>
      <c r="F213" s="151">
        <v>150</v>
      </c>
      <c r="G213" s="151">
        <v>0</v>
      </c>
      <c r="H213" s="151">
        <v>0</v>
      </c>
      <c r="I213" s="151">
        <v>0</v>
      </c>
      <c r="J213" s="151">
        <v>0</v>
      </c>
      <c r="K213" s="151">
        <v>0</v>
      </c>
      <c r="L213" s="151">
        <v>0</v>
      </c>
      <c r="M213" s="152">
        <v>0</v>
      </c>
      <c r="N213" s="151">
        <v>0</v>
      </c>
      <c r="O213" s="151">
        <v>0</v>
      </c>
      <c r="P213" s="151">
        <v>0</v>
      </c>
      <c r="Q213" s="151">
        <v>0</v>
      </c>
      <c r="R213" s="153">
        <v>0</v>
      </c>
      <c r="S213" s="153">
        <v>0</v>
      </c>
      <c r="T213" s="153">
        <v>0</v>
      </c>
      <c r="U213" s="153">
        <f t="shared" si="7"/>
        <v>150</v>
      </c>
    </row>
    <row r="214" spans="1:21" ht="18" hidden="1" customHeight="1" x14ac:dyDescent="0.2">
      <c r="A214" s="150">
        <f t="shared" si="9"/>
        <v>213</v>
      </c>
      <c r="B214" s="150" t="s">
        <v>98</v>
      </c>
      <c r="C214" s="150" t="str">
        <f>VLOOKUP(B214,MEMBERS!B:C,2, )</f>
        <v>MR.HAFEEZ AHMED SIYAL</v>
      </c>
      <c r="D214" s="159">
        <v>46005</v>
      </c>
      <c r="E214" s="151">
        <v>0</v>
      </c>
      <c r="F214" s="151">
        <v>150</v>
      </c>
      <c r="G214" s="151">
        <v>0</v>
      </c>
      <c r="H214" s="151">
        <v>0</v>
      </c>
      <c r="I214" s="151">
        <v>0</v>
      </c>
      <c r="J214" s="151">
        <v>300</v>
      </c>
      <c r="K214" s="151">
        <v>0</v>
      </c>
      <c r="L214" s="151">
        <v>0</v>
      </c>
      <c r="M214" s="152">
        <v>0</v>
      </c>
      <c r="N214" s="151">
        <v>0</v>
      </c>
      <c r="O214" s="151">
        <v>0</v>
      </c>
      <c r="P214" s="151">
        <v>0</v>
      </c>
      <c r="Q214" s="151">
        <v>0</v>
      </c>
      <c r="R214" s="153">
        <v>0</v>
      </c>
      <c r="S214" s="153">
        <v>0</v>
      </c>
      <c r="T214" s="153">
        <v>0</v>
      </c>
      <c r="U214" s="153">
        <f t="shared" ref="U214:U230" si="10">SUM(E214:T214)</f>
        <v>450</v>
      </c>
    </row>
    <row r="215" spans="1:21" ht="18" hidden="1" customHeight="1" x14ac:dyDescent="0.2">
      <c r="A215" s="150">
        <f t="shared" si="9"/>
        <v>214</v>
      </c>
      <c r="B215" s="150" t="s">
        <v>301</v>
      </c>
      <c r="C215" s="150" t="str">
        <f>VLOOKUP(B215,MEMBERS!B:C,2, )</f>
        <v>CAPT.HAMID UZ ZAFAR</v>
      </c>
      <c r="D215" s="159">
        <v>46005</v>
      </c>
      <c r="E215" s="151">
        <v>0</v>
      </c>
      <c r="F215" s="151">
        <f>150*2</f>
        <v>300</v>
      </c>
      <c r="G215" s="151">
        <v>0</v>
      </c>
      <c r="H215" s="151">
        <v>0</v>
      </c>
      <c r="I215" s="151">
        <v>0</v>
      </c>
      <c r="J215" s="151">
        <v>0</v>
      </c>
      <c r="K215" s="151">
        <v>0</v>
      </c>
      <c r="L215" s="151">
        <v>0</v>
      </c>
      <c r="M215" s="152">
        <v>0</v>
      </c>
      <c r="N215" s="151">
        <v>0</v>
      </c>
      <c r="O215" s="151">
        <v>0</v>
      </c>
      <c r="P215" s="151">
        <v>0</v>
      </c>
      <c r="Q215" s="151">
        <v>0</v>
      </c>
      <c r="R215" s="153">
        <v>0</v>
      </c>
      <c r="S215" s="153">
        <v>0</v>
      </c>
      <c r="T215" s="153">
        <v>0</v>
      </c>
      <c r="U215" s="153">
        <f t="shared" si="10"/>
        <v>300</v>
      </c>
    </row>
    <row r="216" spans="1:21" ht="18" hidden="1" customHeight="1" x14ac:dyDescent="0.2">
      <c r="A216" s="150">
        <f t="shared" si="9"/>
        <v>215</v>
      </c>
      <c r="B216" s="150" t="s">
        <v>359</v>
      </c>
      <c r="C216" s="150" t="str">
        <f>VLOOKUP(B216,MEMBERS!B:C,2, )</f>
        <v>DR.NASEEM MUNSHI</v>
      </c>
      <c r="D216" s="159">
        <v>46005</v>
      </c>
      <c r="E216" s="151">
        <v>0</v>
      </c>
      <c r="F216" s="151">
        <v>150</v>
      </c>
      <c r="G216" s="151">
        <v>0</v>
      </c>
      <c r="H216" s="151">
        <v>0</v>
      </c>
      <c r="I216" s="151">
        <v>0</v>
      </c>
      <c r="J216" s="151">
        <v>0</v>
      </c>
      <c r="K216" s="151">
        <v>0</v>
      </c>
      <c r="L216" s="151">
        <v>0</v>
      </c>
      <c r="M216" s="152">
        <v>0</v>
      </c>
      <c r="N216" s="151">
        <v>0</v>
      </c>
      <c r="O216" s="151">
        <v>0</v>
      </c>
      <c r="P216" s="151">
        <v>0</v>
      </c>
      <c r="Q216" s="151">
        <v>0</v>
      </c>
      <c r="R216" s="153">
        <v>0</v>
      </c>
      <c r="S216" s="153">
        <v>0</v>
      </c>
      <c r="T216" s="153">
        <v>0</v>
      </c>
      <c r="U216" s="153">
        <f t="shared" si="10"/>
        <v>150</v>
      </c>
    </row>
    <row r="217" spans="1:21" ht="18" hidden="1" customHeight="1" x14ac:dyDescent="0.2">
      <c r="A217" s="150">
        <f t="shared" si="9"/>
        <v>216</v>
      </c>
      <c r="B217" s="150" t="s">
        <v>155</v>
      </c>
      <c r="C217" s="150" t="str">
        <f>VLOOKUP(B217,MEMBERS!B:C,2, )</f>
        <v>MR.PIR MUJEEB JAN SARHANDI</v>
      </c>
      <c r="D217" s="159">
        <v>46005</v>
      </c>
      <c r="E217" s="151">
        <v>0</v>
      </c>
      <c r="F217" s="151">
        <v>150</v>
      </c>
      <c r="G217" s="151">
        <v>0</v>
      </c>
      <c r="H217" s="151">
        <v>0</v>
      </c>
      <c r="I217" s="151">
        <v>0</v>
      </c>
      <c r="J217" s="151">
        <v>0</v>
      </c>
      <c r="K217" s="151">
        <v>0</v>
      </c>
      <c r="L217" s="151">
        <v>0</v>
      </c>
      <c r="M217" s="152">
        <v>0</v>
      </c>
      <c r="N217" s="151">
        <v>0</v>
      </c>
      <c r="O217" s="151">
        <v>0</v>
      </c>
      <c r="P217" s="151">
        <v>0</v>
      </c>
      <c r="Q217" s="151">
        <v>0</v>
      </c>
      <c r="R217" s="153">
        <v>0</v>
      </c>
      <c r="S217" s="153">
        <v>0</v>
      </c>
      <c r="T217" s="153">
        <v>0</v>
      </c>
      <c r="U217" s="153">
        <f t="shared" si="10"/>
        <v>150</v>
      </c>
    </row>
    <row r="218" spans="1:21" ht="18" hidden="1" customHeight="1" x14ac:dyDescent="0.2">
      <c r="A218" s="150">
        <f t="shared" si="9"/>
        <v>217</v>
      </c>
      <c r="B218" s="150" t="s">
        <v>315</v>
      </c>
      <c r="C218" s="150" t="str">
        <f>VLOOKUP(B218,MEMBERS!B:C,2, )</f>
        <v>DGM FATIMA ZAHID</v>
      </c>
      <c r="D218" s="159">
        <v>46005</v>
      </c>
      <c r="E218" s="151">
        <f>600*4</f>
        <v>2400</v>
      </c>
      <c r="F218" s="151">
        <v>0</v>
      </c>
      <c r="G218" s="151">
        <v>0</v>
      </c>
      <c r="H218" s="151">
        <v>0</v>
      </c>
      <c r="I218" s="151">
        <v>0</v>
      </c>
      <c r="J218" s="151">
        <v>300</v>
      </c>
      <c r="K218" s="151">
        <v>0</v>
      </c>
      <c r="L218" s="151">
        <v>0</v>
      </c>
      <c r="M218" s="152">
        <v>0</v>
      </c>
      <c r="N218" s="151">
        <v>0</v>
      </c>
      <c r="O218" s="151">
        <v>0</v>
      </c>
      <c r="P218" s="151">
        <v>0</v>
      </c>
      <c r="Q218" s="151">
        <v>0</v>
      </c>
      <c r="R218" s="153">
        <v>0</v>
      </c>
      <c r="S218" s="153">
        <v>0</v>
      </c>
      <c r="T218" s="153">
        <v>0</v>
      </c>
      <c r="U218" s="153">
        <f t="shared" si="10"/>
        <v>2700</v>
      </c>
    </row>
    <row r="219" spans="1:21" ht="18" hidden="1" customHeight="1" x14ac:dyDescent="0.2">
      <c r="A219" s="150">
        <f t="shared" si="9"/>
        <v>218</v>
      </c>
      <c r="B219" s="150" t="s">
        <v>249</v>
      </c>
      <c r="C219" s="150" t="str">
        <f>VLOOKUP(B219,MEMBERS!B:C,2, )</f>
        <v>MUHAMMAD EBRAHIM TIWANA</v>
      </c>
      <c r="D219" s="159">
        <v>46005</v>
      </c>
      <c r="E219" s="151">
        <v>0</v>
      </c>
      <c r="F219" s="151">
        <v>0</v>
      </c>
      <c r="G219" s="151">
        <v>0</v>
      </c>
      <c r="H219" s="151">
        <v>0</v>
      </c>
      <c r="I219" s="151">
        <v>0</v>
      </c>
      <c r="J219" s="151">
        <f>300*2</f>
        <v>600</v>
      </c>
      <c r="K219" s="151">
        <v>0</v>
      </c>
      <c r="L219" s="151">
        <v>0</v>
      </c>
      <c r="M219" s="152">
        <v>0</v>
      </c>
      <c r="N219" s="151">
        <v>0</v>
      </c>
      <c r="O219" s="151">
        <v>0</v>
      </c>
      <c r="P219" s="151">
        <v>0</v>
      </c>
      <c r="Q219" s="151">
        <v>0</v>
      </c>
      <c r="R219" s="153">
        <v>0</v>
      </c>
      <c r="S219" s="153">
        <v>0</v>
      </c>
      <c r="T219" s="153">
        <v>0</v>
      </c>
      <c r="U219" s="153">
        <f t="shared" si="10"/>
        <v>600</v>
      </c>
    </row>
    <row r="220" spans="1:21" ht="18" hidden="1" customHeight="1" x14ac:dyDescent="0.2">
      <c r="A220" s="150">
        <f t="shared" si="9"/>
        <v>219</v>
      </c>
      <c r="B220" s="150" t="s">
        <v>1039</v>
      </c>
      <c r="C220" s="150" t="str">
        <f>VLOOKUP(B220,MEMBERS!B:C,2, )</f>
        <v>MR. AYAZ JAMRO</v>
      </c>
      <c r="D220" s="159">
        <v>46005</v>
      </c>
      <c r="E220" s="151">
        <v>0</v>
      </c>
      <c r="F220" s="151">
        <v>0</v>
      </c>
      <c r="G220" s="151">
        <v>0</v>
      </c>
      <c r="H220" s="151">
        <v>0</v>
      </c>
      <c r="I220" s="151">
        <v>0</v>
      </c>
      <c r="J220" s="151">
        <f>300*2</f>
        <v>600</v>
      </c>
      <c r="K220" s="151">
        <v>0</v>
      </c>
      <c r="L220" s="151">
        <v>0</v>
      </c>
      <c r="M220" s="152">
        <v>0</v>
      </c>
      <c r="N220" s="151">
        <v>0</v>
      </c>
      <c r="O220" s="151">
        <v>0</v>
      </c>
      <c r="P220" s="151">
        <v>0</v>
      </c>
      <c r="Q220" s="151">
        <v>0</v>
      </c>
      <c r="R220" s="153">
        <v>0</v>
      </c>
      <c r="S220" s="153">
        <v>0</v>
      </c>
      <c r="T220" s="153">
        <v>0</v>
      </c>
      <c r="U220" s="153">
        <f t="shared" si="10"/>
        <v>600</v>
      </c>
    </row>
    <row r="221" spans="1:21" ht="18" hidden="1" customHeight="1" x14ac:dyDescent="0.2">
      <c r="A221" s="150">
        <f t="shared" si="9"/>
        <v>220</v>
      </c>
      <c r="B221" s="150" t="s">
        <v>54</v>
      </c>
      <c r="C221" s="150" t="str">
        <f>VLOOKUP(B221,MEMBERS!B:C,2, )</f>
        <v>MR.ZEESHAN IQBAL</v>
      </c>
      <c r="D221" s="159">
        <v>46005</v>
      </c>
      <c r="E221" s="151">
        <v>0</v>
      </c>
      <c r="F221" s="151">
        <v>150</v>
      </c>
      <c r="G221" s="151">
        <v>0</v>
      </c>
      <c r="H221" s="151">
        <v>0</v>
      </c>
      <c r="I221" s="151">
        <v>0</v>
      </c>
      <c r="J221" s="151">
        <f>500*4</f>
        <v>2000</v>
      </c>
      <c r="K221" s="151">
        <v>0</v>
      </c>
      <c r="L221" s="151">
        <v>0</v>
      </c>
      <c r="M221" s="152">
        <v>0</v>
      </c>
      <c r="N221" s="151">
        <v>0</v>
      </c>
      <c r="O221" s="151">
        <v>0</v>
      </c>
      <c r="P221" s="151">
        <v>0</v>
      </c>
      <c r="Q221" s="151">
        <v>0</v>
      </c>
      <c r="R221" s="153">
        <v>0</v>
      </c>
      <c r="S221" s="153">
        <v>0</v>
      </c>
      <c r="T221" s="153">
        <v>0</v>
      </c>
      <c r="U221" s="153">
        <f t="shared" si="10"/>
        <v>2150</v>
      </c>
    </row>
    <row r="222" spans="1:21" ht="18" hidden="1" customHeight="1" x14ac:dyDescent="0.2">
      <c r="A222" s="150">
        <f t="shared" si="9"/>
        <v>221</v>
      </c>
      <c r="B222" s="150" t="s">
        <v>142</v>
      </c>
      <c r="C222" s="150" t="str">
        <f>VLOOKUP(B222,MEMBERS!B:C,2, )</f>
        <v>MR.MUHAMMAD HANIF</v>
      </c>
      <c r="D222" s="159">
        <v>46005</v>
      </c>
      <c r="E222" s="151">
        <v>0</v>
      </c>
      <c r="F222" s="151">
        <v>0</v>
      </c>
      <c r="G222" s="151">
        <v>0</v>
      </c>
      <c r="H222" s="151">
        <v>0</v>
      </c>
      <c r="I222" s="151">
        <v>0</v>
      </c>
      <c r="J222" s="151">
        <f>500*3</f>
        <v>1500</v>
      </c>
      <c r="K222" s="151">
        <v>0</v>
      </c>
      <c r="L222" s="151">
        <v>0</v>
      </c>
      <c r="M222" s="152">
        <v>0</v>
      </c>
      <c r="N222" s="151">
        <v>0</v>
      </c>
      <c r="O222" s="151">
        <v>0</v>
      </c>
      <c r="P222" s="151">
        <v>0</v>
      </c>
      <c r="Q222" s="151">
        <v>0</v>
      </c>
      <c r="R222" s="153">
        <v>0</v>
      </c>
      <c r="S222" s="153">
        <v>0</v>
      </c>
      <c r="T222" s="153">
        <v>0</v>
      </c>
      <c r="U222" s="153">
        <f t="shared" si="10"/>
        <v>1500</v>
      </c>
    </row>
    <row r="223" spans="1:21" ht="18" hidden="1" customHeight="1" x14ac:dyDescent="0.2">
      <c r="A223" s="150">
        <f t="shared" si="9"/>
        <v>222</v>
      </c>
      <c r="B223" s="150" t="s">
        <v>308</v>
      </c>
      <c r="C223" s="150" t="str">
        <f>VLOOKUP(B223,MEMBERS!B:C,2, )</f>
        <v>DGM AZFAR ALI</v>
      </c>
      <c r="D223" s="159">
        <v>46005</v>
      </c>
      <c r="E223" s="151">
        <f>300*4</f>
        <v>1200</v>
      </c>
      <c r="F223" s="151">
        <v>0</v>
      </c>
      <c r="G223" s="151">
        <v>0</v>
      </c>
      <c r="H223" s="151">
        <v>0</v>
      </c>
      <c r="I223" s="151">
        <v>0</v>
      </c>
      <c r="J223" s="151">
        <f>300*2+500*3</f>
        <v>2100</v>
      </c>
      <c r="K223" s="151">
        <v>0</v>
      </c>
      <c r="L223" s="151">
        <v>0</v>
      </c>
      <c r="M223" s="152">
        <v>0</v>
      </c>
      <c r="N223" s="151">
        <v>0</v>
      </c>
      <c r="O223" s="151">
        <v>0</v>
      </c>
      <c r="P223" s="151">
        <v>0</v>
      </c>
      <c r="Q223" s="151">
        <v>0</v>
      </c>
      <c r="R223" s="153">
        <v>0</v>
      </c>
      <c r="S223" s="153">
        <v>0</v>
      </c>
      <c r="T223" s="153">
        <v>0</v>
      </c>
      <c r="U223" s="153">
        <f t="shared" si="10"/>
        <v>3300</v>
      </c>
    </row>
    <row r="224" spans="1:21" ht="18" hidden="1" customHeight="1" x14ac:dyDescent="0.2">
      <c r="A224" s="150">
        <f t="shared" si="9"/>
        <v>223</v>
      </c>
      <c r="B224" s="150" t="s">
        <v>88</v>
      </c>
      <c r="C224" s="150" t="str">
        <f>VLOOKUP(B224,MEMBERS!B:C,2, )</f>
        <v>DR.NAZEER HUSSAIN KALHORO</v>
      </c>
      <c r="D224" s="159">
        <v>46005</v>
      </c>
      <c r="E224" s="151">
        <v>0</v>
      </c>
      <c r="F224" s="151">
        <v>0</v>
      </c>
      <c r="G224" s="151">
        <v>0</v>
      </c>
      <c r="H224" s="151">
        <v>0</v>
      </c>
      <c r="I224" s="151">
        <v>0</v>
      </c>
      <c r="J224" s="151">
        <f>300*3+500</f>
        <v>1400</v>
      </c>
      <c r="K224" s="151">
        <v>0</v>
      </c>
      <c r="L224" s="151">
        <v>0</v>
      </c>
      <c r="M224" s="152">
        <v>0</v>
      </c>
      <c r="N224" s="151">
        <v>0</v>
      </c>
      <c r="O224" s="151">
        <v>0</v>
      </c>
      <c r="P224" s="151">
        <v>0</v>
      </c>
      <c r="Q224" s="151">
        <v>0</v>
      </c>
      <c r="R224" s="153">
        <v>0</v>
      </c>
      <c r="S224" s="153">
        <v>0</v>
      </c>
      <c r="T224" s="153">
        <v>0</v>
      </c>
      <c r="U224" s="153">
        <f t="shared" si="10"/>
        <v>1400</v>
      </c>
    </row>
    <row r="225" spans="1:21" ht="18" hidden="1" customHeight="1" x14ac:dyDescent="0.2">
      <c r="A225" s="150">
        <f t="shared" si="9"/>
        <v>224</v>
      </c>
      <c r="B225" s="150" t="s">
        <v>192</v>
      </c>
      <c r="C225" s="150" t="str">
        <f>VLOOKUP(B225,MEMBERS!B:C,2, )</f>
        <v>MR.HANIF AHSAN ZUBEDI</v>
      </c>
      <c r="D225" s="159">
        <v>46005</v>
      </c>
      <c r="E225" s="151">
        <v>300</v>
      </c>
      <c r="F225" s="151">
        <v>0</v>
      </c>
      <c r="G225" s="151">
        <v>0</v>
      </c>
      <c r="H225" s="151">
        <v>300</v>
      </c>
      <c r="I225" s="151">
        <v>0</v>
      </c>
      <c r="J225" s="151">
        <f>300*2+500*3</f>
        <v>2100</v>
      </c>
      <c r="K225" s="151">
        <v>0</v>
      </c>
      <c r="L225" s="151">
        <v>0</v>
      </c>
      <c r="M225" s="152">
        <v>0</v>
      </c>
      <c r="N225" s="151">
        <v>0</v>
      </c>
      <c r="O225" s="151">
        <v>0</v>
      </c>
      <c r="P225" s="151">
        <v>0</v>
      </c>
      <c r="Q225" s="151">
        <v>0</v>
      </c>
      <c r="R225" s="153">
        <v>0</v>
      </c>
      <c r="S225" s="153">
        <v>0</v>
      </c>
      <c r="T225" s="153">
        <v>0</v>
      </c>
      <c r="U225" s="153">
        <f t="shared" si="10"/>
        <v>2700</v>
      </c>
    </row>
    <row r="226" spans="1:21" ht="18" hidden="1" customHeight="1" x14ac:dyDescent="0.2">
      <c r="A226" s="150">
        <f t="shared" si="9"/>
        <v>225</v>
      </c>
      <c r="B226" s="150" t="s">
        <v>123</v>
      </c>
      <c r="C226" s="150" t="str">
        <f>VLOOKUP(B226,MEMBERS!B:C,2, )</f>
        <v>MR.MUIED AHMED DURRANI</v>
      </c>
      <c r="D226" s="159">
        <v>46005</v>
      </c>
      <c r="E226" s="151">
        <v>0</v>
      </c>
      <c r="F226" s="151">
        <v>0</v>
      </c>
      <c r="G226" s="151">
        <v>0</v>
      </c>
      <c r="H226" s="151">
        <v>0</v>
      </c>
      <c r="I226" s="151">
        <v>0</v>
      </c>
      <c r="J226" s="151">
        <v>300</v>
      </c>
      <c r="K226" s="151">
        <v>0</v>
      </c>
      <c r="L226" s="151">
        <v>0</v>
      </c>
      <c r="M226" s="152">
        <v>0</v>
      </c>
      <c r="N226" s="151">
        <v>0</v>
      </c>
      <c r="O226" s="151">
        <v>0</v>
      </c>
      <c r="P226" s="151">
        <v>0</v>
      </c>
      <c r="Q226" s="151">
        <v>0</v>
      </c>
      <c r="R226" s="153">
        <v>0</v>
      </c>
      <c r="S226" s="153">
        <v>0</v>
      </c>
      <c r="T226" s="153">
        <v>0</v>
      </c>
      <c r="U226" s="153">
        <f t="shared" si="10"/>
        <v>300</v>
      </c>
    </row>
    <row r="227" spans="1:21" ht="18" hidden="1" customHeight="1" x14ac:dyDescent="0.2">
      <c r="A227" s="150">
        <f t="shared" si="9"/>
        <v>226</v>
      </c>
      <c r="B227" s="150" t="s">
        <v>235</v>
      </c>
      <c r="C227" s="150" t="str">
        <f>VLOOKUP(B227,MEMBERS!B:C,2, )</f>
        <v>MR.IMRAN WAZEER</v>
      </c>
      <c r="D227" s="159">
        <v>46005</v>
      </c>
      <c r="E227" s="151">
        <f>300*2+600*3</f>
        <v>2400</v>
      </c>
      <c r="F227" s="151">
        <v>0</v>
      </c>
      <c r="G227" s="151">
        <v>0</v>
      </c>
      <c r="H227" s="151">
        <v>0</v>
      </c>
      <c r="I227" s="151">
        <v>0</v>
      </c>
      <c r="J227" s="151">
        <v>0</v>
      </c>
      <c r="K227" s="151">
        <v>0</v>
      </c>
      <c r="L227" s="151">
        <v>0</v>
      </c>
      <c r="M227" s="152">
        <v>0</v>
      </c>
      <c r="N227" s="151">
        <v>0</v>
      </c>
      <c r="O227" s="151">
        <v>0</v>
      </c>
      <c r="P227" s="151">
        <v>0</v>
      </c>
      <c r="Q227" s="151">
        <v>0</v>
      </c>
      <c r="R227" s="153">
        <v>0</v>
      </c>
      <c r="S227" s="153">
        <v>0</v>
      </c>
      <c r="T227" s="153">
        <v>0</v>
      </c>
      <c r="U227" s="153">
        <f t="shared" si="10"/>
        <v>2400</v>
      </c>
    </row>
    <row r="228" spans="1:21" ht="18" hidden="1" customHeight="1" x14ac:dyDescent="0.2">
      <c r="A228" s="150">
        <f t="shared" si="9"/>
        <v>227</v>
      </c>
      <c r="B228" s="150" t="s">
        <v>1004</v>
      </c>
      <c r="C228" s="150" t="str">
        <f>VLOOKUP(B228,MEMBERS!B:C,2, )</f>
        <v>MRS RIFFAT ZULFIQAR</v>
      </c>
      <c r="D228" s="159">
        <v>46005</v>
      </c>
      <c r="E228" s="151">
        <f>600*7</f>
        <v>4200</v>
      </c>
      <c r="F228" s="151">
        <v>0</v>
      </c>
      <c r="G228" s="151">
        <v>0</v>
      </c>
      <c r="H228" s="151">
        <v>0</v>
      </c>
      <c r="I228" s="151">
        <v>0</v>
      </c>
      <c r="J228" s="151">
        <v>0</v>
      </c>
      <c r="K228" s="151">
        <v>0</v>
      </c>
      <c r="L228" s="151">
        <v>0</v>
      </c>
      <c r="M228" s="152">
        <v>0</v>
      </c>
      <c r="N228" s="151">
        <v>0</v>
      </c>
      <c r="O228" s="151">
        <v>0</v>
      </c>
      <c r="P228" s="151">
        <v>0</v>
      </c>
      <c r="Q228" s="151">
        <v>0</v>
      </c>
      <c r="R228" s="153">
        <v>0</v>
      </c>
      <c r="S228" s="153">
        <v>0</v>
      </c>
      <c r="T228" s="153">
        <v>0</v>
      </c>
      <c r="U228" s="153">
        <f t="shared" si="10"/>
        <v>4200</v>
      </c>
    </row>
    <row r="229" spans="1:21" ht="18" hidden="1" customHeight="1" x14ac:dyDescent="0.2">
      <c r="A229" s="150">
        <f t="shared" si="9"/>
        <v>228</v>
      </c>
      <c r="B229" s="150" t="s">
        <v>1073</v>
      </c>
      <c r="C229" s="150" t="str">
        <f>VLOOKUP(B229,MEMBERS!B:C,2, )</f>
        <v>MR. GHULAM MUSTAFA</v>
      </c>
      <c r="D229" s="159">
        <v>46005</v>
      </c>
      <c r="E229" s="151">
        <f>600*3</f>
        <v>1800</v>
      </c>
      <c r="F229" s="151">
        <v>0</v>
      </c>
      <c r="G229" s="151">
        <v>0</v>
      </c>
      <c r="H229" s="151">
        <v>0</v>
      </c>
      <c r="I229" s="151">
        <v>0</v>
      </c>
      <c r="J229" s="151">
        <v>0</v>
      </c>
      <c r="K229" s="151">
        <v>0</v>
      </c>
      <c r="L229" s="151">
        <v>0</v>
      </c>
      <c r="M229" s="152">
        <v>0</v>
      </c>
      <c r="N229" s="151">
        <v>0</v>
      </c>
      <c r="O229" s="151">
        <v>0</v>
      </c>
      <c r="P229" s="151">
        <v>0</v>
      </c>
      <c r="Q229" s="151">
        <v>0</v>
      </c>
      <c r="R229" s="153">
        <v>0</v>
      </c>
      <c r="S229" s="153">
        <v>0</v>
      </c>
      <c r="T229" s="153">
        <v>0</v>
      </c>
      <c r="U229" s="153">
        <f t="shared" si="10"/>
        <v>1800</v>
      </c>
    </row>
    <row r="230" spans="1:21" ht="18" hidden="1" customHeight="1" x14ac:dyDescent="0.2">
      <c r="A230" s="150">
        <f t="shared" si="9"/>
        <v>229</v>
      </c>
      <c r="B230" s="150" t="s">
        <v>948</v>
      </c>
      <c r="C230" s="150" t="str">
        <f>VLOOKUP(B230,MEMBERS!B:C,2, )</f>
        <v>MR. TEHSEEN FAIZ</v>
      </c>
      <c r="D230" s="159">
        <v>46006</v>
      </c>
      <c r="E230" s="151">
        <v>0</v>
      </c>
      <c r="F230" s="151">
        <v>0</v>
      </c>
      <c r="G230" s="151">
        <v>0</v>
      </c>
      <c r="H230" s="151">
        <v>0</v>
      </c>
      <c r="I230" s="151">
        <v>0</v>
      </c>
      <c r="J230" s="151">
        <v>0</v>
      </c>
      <c r="K230" s="151">
        <f>300*3</f>
        <v>900</v>
      </c>
      <c r="L230" s="151">
        <v>0</v>
      </c>
      <c r="M230" s="152">
        <v>0</v>
      </c>
      <c r="N230" s="151">
        <v>0</v>
      </c>
      <c r="O230" s="151">
        <v>0</v>
      </c>
      <c r="P230" s="151">
        <v>0</v>
      </c>
      <c r="Q230" s="151">
        <v>0</v>
      </c>
      <c r="R230" s="153">
        <v>0</v>
      </c>
      <c r="S230" s="153">
        <v>0</v>
      </c>
      <c r="T230" s="153">
        <v>0</v>
      </c>
      <c r="U230" s="153">
        <f t="shared" si="10"/>
        <v>900</v>
      </c>
    </row>
    <row r="231" spans="1:21" ht="18" hidden="1" customHeight="1" x14ac:dyDescent="0.2">
      <c r="A231" s="150">
        <f t="shared" ref="A231:A256" si="11">IF(D231&lt;&gt;"", ROW()-1, "")</f>
        <v>230</v>
      </c>
      <c r="B231" s="150" t="s">
        <v>83</v>
      </c>
      <c r="C231" s="150" t="str">
        <f>VLOOKUP(B231,MEMBERS!B:C,2, )</f>
        <v>DR.SANTOSH KUMAR</v>
      </c>
      <c r="D231" s="159">
        <v>46006</v>
      </c>
      <c r="E231" s="151">
        <v>0</v>
      </c>
      <c r="F231" s="151">
        <v>150</v>
      </c>
      <c r="G231" s="151">
        <v>0</v>
      </c>
      <c r="H231" s="151">
        <v>0</v>
      </c>
      <c r="I231" s="151">
        <v>0</v>
      </c>
      <c r="J231" s="151">
        <v>0</v>
      </c>
      <c r="K231" s="151">
        <v>0</v>
      </c>
      <c r="L231" s="151">
        <v>0</v>
      </c>
      <c r="M231" s="152">
        <v>0</v>
      </c>
      <c r="N231" s="151">
        <v>0</v>
      </c>
      <c r="O231" s="151">
        <v>0</v>
      </c>
      <c r="P231" s="151">
        <v>0</v>
      </c>
      <c r="Q231" s="151">
        <v>0</v>
      </c>
      <c r="R231" s="153">
        <v>0</v>
      </c>
      <c r="S231" s="153">
        <v>0</v>
      </c>
      <c r="T231" s="153">
        <v>0</v>
      </c>
      <c r="U231" s="153">
        <f t="shared" ref="U231:U256" si="12">SUM(E231:T231)</f>
        <v>150</v>
      </c>
    </row>
    <row r="232" spans="1:21" ht="18" hidden="1" customHeight="1" x14ac:dyDescent="0.2">
      <c r="A232" s="150">
        <f t="shared" si="11"/>
        <v>231</v>
      </c>
      <c r="B232" s="150" t="s">
        <v>312</v>
      </c>
      <c r="C232" s="150" t="str">
        <f>VLOOKUP(B232,MEMBERS!B:C,2, )</f>
        <v>GM GHULAM DASTAGEER</v>
      </c>
      <c r="D232" s="159">
        <v>46006</v>
      </c>
      <c r="E232" s="151">
        <v>0</v>
      </c>
      <c r="F232" s="151">
        <v>150</v>
      </c>
      <c r="G232" s="151">
        <v>0</v>
      </c>
      <c r="H232" s="151">
        <v>0</v>
      </c>
      <c r="I232" s="151">
        <v>0</v>
      </c>
      <c r="J232" s="151">
        <v>0</v>
      </c>
      <c r="K232" s="151">
        <v>0</v>
      </c>
      <c r="L232" s="151">
        <v>0</v>
      </c>
      <c r="M232" s="152">
        <v>0</v>
      </c>
      <c r="N232" s="151">
        <v>0</v>
      </c>
      <c r="O232" s="151">
        <v>0</v>
      </c>
      <c r="P232" s="151">
        <v>0</v>
      </c>
      <c r="Q232" s="151">
        <v>0</v>
      </c>
      <c r="R232" s="153">
        <v>0</v>
      </c>
      <c r="S232" s="153">
        <v>0</v>
      </c>
      <c r="T232" s="153">
        <v>0</v>
      </c>
      <c r="U232" s="153">
        <f t="shared" si="12"/>
        <v>150</v>
      </c>
    </row>
    <row r="233" spans="1:21" ht="18" hidden="1" customHeight="1" x14ac:dyDescent="0.2">
      <c r="A233" s="150">
        <f t="shared" si="11"/>
        <v>232</v>
      </c>
      <c r="B233" s="150" t="s">
        <v>650</v>
      </c>
      <c r="C233" s="150" t="str">
        <f>VLOOKUP(B233,MEMBERS!B:C,2, )</f>
        <v>SHAHBAZ AHMED</v>
      </c>
      <c r="D233" s="159">
        <v>46006</v>
      </c>
      <c r="E233" s="151">
        <v>0</v>
      </c>
      <c r="F233" s="151">
        <v>300</v>
      </c>
      <c r="G233" s="151">
        <v>0</v>
      </c>
      <c r="H233" s="151">
        <v>0</v>
      </c>
      <c r="I233" s="151">
        <v>0</v>
      </c>
      <c r="J233" s="151">
        <v>0</v>
      </c>
      <c r="K233" s="151">
        <v>0</v>
      </c>
      <c r="L233" s="151">
        <v>0</v>
      </c>
      <c r="M233" s="152">
        <v>0</v>
      </c>
      <c r="N233" s="151">
        <v>0</v>
      </c>
      <c r="O233" s="151">
        <v>0</v>
      </c>
      <c r="P233" s="151">
        <v>0</v>
      </c>
      <c r="Q233" s="151">
        <v>0</v>
      </c>
      <c r="R233" s="153">
        <v>0</v>
      </c>
      <c r="S233" s="153">
        <v>0</v>
      </c>
      <c r="T233" s="153">
        <v>0</v>
      </c>
      <c r="U233" s="153">
        <f t="shared" si="12"/>
        <v>300</v>
      </c>
    </row>
    <row r="234" spans="1:21" ht="18" hidden="1" customHeight="1" x14ac:dyDescent="0.2">
      <c r="A234" s="150">
        <f t="shared" si="11"/>
        <v>233</v>
      </c>
      <c r="B234" s="150" t="s">
        <v>235</v>
      </c>
      <c r="C234" s="150" t="str">
        <f>VLOOKUP(B234,MEMBERS!B:C,2, )</f>
        <v>MR.IMRAN WAZEER</v>
      </c>
      <c r="D234" s="159">
        <v>46006</v>
      </c>
      <c r="E234" s="151">
        <v>0</v>
      </c>
      <c r="F234" s="151">
        <v>150</v>
      </c>
      <c r="G234" s="151">
        <v>0</v>
      </c>
      <c r="H234" s="151">
        <v>0</v>
      </c>
      <c r="I234" s="151">
        <v>0</v>
      </c>
      <c r="J234" s="151">
        <v>0</v>
      </c>
      <c r="K234" s="151">
        <v>0</v>
      </c>
      <c r="L234" s="151">
        <v>0</v>
      </c>
      <c r="M234" s="152">
        <v>0</v>
      </c>
      <c r="N234" s="151">
        <v>0</v>
      </c>
      <c r="O234" s="151">
        <v>0</v>
      </c>
      <c r="P234" s="151">
        <v>0</v>
      </c>
      <c r="Q234" s="151">
        <v>0</v>
      </c>
      <c r="R234" s="153">
        <v>0</v>
      </c>
      <c r="S234" s="153">
        <v>0</v>
      </c>
      <c r="T234" s="153">
        <v>0</v>
      </c>
      <c r="U234" s="153">
        <f t="shared" si="12"/>
        <v>150</v>
      </c>
    </row>
    <row r="235" spans="1:21" ht="18" hidden="1" customHeight="1" x14ac:dyDescent="0.2">
      <c r="A235" s="150">
        <f t="shared" si="11"/>
        <v>234</v>
      </c>
      <c r="B235" s="150" t="s">
        <v>385</v>
      </c>
      <c r="C235" s="150" t="str">
        <f>VLOOKUP(B235,MEMBERS!B:C,2, )</f>
        <v>AYSM MIRZA</v>
      </c>
      <c r="D235" s="159">
        <v>46006</v>
      </c>
      <c r="E235" s="151">
        <v>0</v>
      </c>
      <c r="F235" s="151">
        <v>150</v>
      </c>
      <c r="G235" s="151">
        <v>0</v>
      </c>
      <c r="H235" s="151">
        <v>0</v>
      </c>
      <c r="I235" s="151">
        <v>0</v>
      </c>
      <c r="J235" s="151">
        <v>0</v>
      </c>
      <c r="K235" s="151">
        <v>0</v>
      </c>
      <c r="L235" s="151">
        <v>0</v>
      </c>
      <c r="M235" s="152">
        <v>0</v>
      </c>
      <c r="N235" s="151">
        <v>0</v>
      </c>
      <c r="O235" s="151">
        <v>0</v>
      </c>
      <c r="P235" s="151">
        <v>0</v>
      </c>
      <c r="Q235" s="151">
        <v>0</v>
      </c>
      <c r="R235" s="153">
        <v>0</v>
      </c>
      <c r="S235" s="153">
        <v>0</v>
      </c>
      <c r="T235" s="153">
        <v>0</v>
      </c>
      <c r="U235" s="153">
        <f t="shared" si="12"/>
        <v>150</v>
      </c>
    </row>
    <row r="236" spans="1:21" ht="18" hidden="1" customHeight="1" x14ac:dyDescent="0.2">
      <c r="A236" s="150">
        <f t="shared" si="11"/>
        <v>235</v>
      </c>
      <c r="B236" s="150" t="s">
        <v>155</v>
      </c>
      <c r="C236" s="150" t="str">
        <f>VLOOKUP(B236,MEMBERS!B:C,2, )</f>
        <v>MR.PIR MUJEEB JAN SARHANDI</v>
      </c>
      <c r="D236" s="159">
        <v>46006</v>
      </c>
      <c r="E236" s="151">
        <v>0</v>
      </c>
      <c r="F236" s="151">
        <v>150</v>
      </c>
      <c r="G236" s="151">
        <v>0</v>
      </c>
      <c r="H236" s="151">
        <v>0</v>
      </c>
      <c r="I236" s="151">
        <v>0</v>
      </c>
      <c r="J236" s="151">
        <v>0</v>
      </c>
      <c r="K236" s="151">
        <v>0</v>
      </c>
      <c r="L236" s="151">
        <v>0</v>
      </c>
      <c r="M236" s="152">
        <v>0</v>
      </c>
      <c r="N236" s="151">
        <v>0</v>
      </c>
      <c r="O236" s="151">
        <v>0</v>
      </c>
      <c r="P236" s="151">
        <v>0</v>
      </c>
      <c r="Q236" s="151">
        <v>0</v>
      </c>
      <c r="R236" s="153">
        <v>0</v>
      </c>
      <c r="S236" s="153">
        <v>0</v>
      </c>
      <c r="T236" s="153">
        <v>0</v>
      </c>
      <c r="U236" s="153">
        <f t="shared" si="12"/>
        <v>150</v>
      </c>
    </row>
    <row r="237" spans="1:21" ht="18" hidden="1" customHeight="1" x14ac:dyDescent="0.2">
      <c r="A237" s="150">
        <f t="shared" si="11"/>
        <v>236</v>
      </c>
      <c r="B237" s="150" t="s">
        <v>359</v>
      </c>
      <c r="C237" s="150" t="str">
        <f>VLOOKUP(B237,MEMBERS!B:C,2, )</f>
        <v>DR.NASEEM MUNSHI</v>
      </c>
      <c r="D237" s="159">
        <v>46006</v>
      </c>
      <c r="E237" s="151">
        <v>0</v>
      </c>
      <c r="F237" s="151">
        <v>150</v>
      </c>
      <c r="G237" s="151">
        <v>0</v>
      </c>
      <c r="H237" s="151">
        <v>0</v>
      </c>
      <c r="I237" s="151">
        <v>0</v>
      </c>
      <c r="J237" s="151">
        <v>0</v>
      </c>
      <c r="K237" s="151">
        <v>0</v>
      </c>
      <c r="L237" s="151">
        <v>0</v>
      </c>
      <c r="M237" s="152">
        <v>0</v>
      </c>
      <c r="N237" s="151">
        <v>0</v>
      </c>
      <c r="O237" s="151">
        <v>0</v>
      </c>
      <c r="P237" s="151">
        <v>0</v>
      </c>
      <c r="Q237" s="151">
        <v>0</v>
      </c>
      <c r="R237" s="153">
        <v>0</v>
      </c>
      <c r="S237" s="153">
        <v>0</v>
      </c>
      <c r="T237" s="153">
        <v>0</v>
      </c>
      <c r="U237" s="153">
        <f t="shared" si="12"/>
        <v>150</v>
      </c>
    </row>
    <row r="238" spans="1:21" ht="18" hidden="1" customHeight="1" x14ac:dyDescent="0.2">
      <c r="A238" s="150">
        <f t="shared" si="11"/>
        <v>237</v>
      </c>
      <c r="B238" s="150" t="s">
        <v>756</v>
      </c>
      <c r="C238" s="150" t="s">
        <v>1173</v>
      </c>
      <c r="D238" s="159">
        <v>46007</v>
      </c>
      <c r="E238" s="151">
        <v>0</v>
      </c>
      <c r="F238" s="151">
        <v>0</v>
      </c>
      <c r="G238" s="151">
        <v>0</v>
      </c>
      <c r="H238" s="151">
        <v>0</v>
      </c>
      <c r="I238" s="151">
        <v>0</v>
      </c>
      <c r="J238" s="151">
        <v>0</v>
      </c>
      <c r="K238" s="151">
        <v>0</v>
      </c>
      <c r="L238" s="151">
        <v>0</v>
      </c>
      <c r="M238" s="152">
        <v>0</v>
      </c>
      <c r="N238" s="151">
        <v>0</v>
      </c>
      <c r="O238" s="151">
        <v>0</v>
      </c>
      <c r="P238" s="151">
        <v>2000</v>
      </c>
      <c r="Q238" s="151">
        <v>0</v>
      </c>
      <c r="R238" s="153">
        <v>0</v>
      </c>
      <c r="S238" s="153">
        <v>0</v>
      </c>
      <c r="T238" s="153">
        <v>0</v>
      </c>
      <c r="U238" s="153">
        <f t="shared" si="12"/>
        <v>2000</v>
      </c>
    </row>
    <row r="239" spans="1:21" ht="18" hidden="1" customHeight="1" x14ac:dyDescent="0.2">
      <c r="A239" s="150">
        <f t="shared" si="11"/>
        <v>238</v>
      </c>
      <c r="B239" s="150" t="s">
        <v>54</v>
      </c>
      <c r="C239" s="150" t="str">
        <f>VLOOKUP(B239,MEMBERS!B:C,2, )</f>
        <v>MR.ZEESHAN IQBAL</v>
      </c>
      <c r="D239" s="159">
        <v>46007</v>
      </c>
      <c r="E239" s="151">
        <v>0</v>
      </c>
      <c r="F239" s="151">
        <f>150+300</f>
        <v>450</v>
      </c>
      <c r="G239" s="151">
        <v>0</v>
      </c>
      <c r="H239" s="151">
        <v>0</v>
      </c>
      <c r="I239" s="151">
        <v>0</v>
      </c>
      <c r="J239" s="151">
        <v>0</v>
      </c>
      <c r="K239" s="151">
        <v>0</v>
      </c>
      <c r="L239" s="151">
        <v>0</v>
      </c>
      <c r="M239" s="152">
        <v>0</v>
      </c>
      <c r="N239" s="151">
        <v>0</v>
      </c>
      <c r="O239" s="151">
        <v>0</v>
      </c>
      <c r="P239" s="151">
        <v>0</v>
      </c>
      <c r="Q239" s="151">
        <v>0</v>
      </c>
      <c r="R239" s="153">
        <v>0</v>
      </c>
      <c r="S239" s="153">
        <v>0</v>
      </c>
      <c r="T239" s="153">
        <v>0</v>
      </c>
      <c r="U239" s="153">
        <f t="shared" si="12"/>
        <v>450</v>
      </c>
    </row>
    <row r="240" spans="1:21" ht="18" hidden="1" customHeight="1" x14ac:dyDescent="0.2">
      <c r="A240" s="150">
        <f t="shared" si="11"/>
        <v>239</v>
      </c>
      <c r="B240" s="150" t="s">
        <v>650</v>
      </c>
      <c r="C240" s="150" t="str">
        <f>VLOOKUP(B240,MEMBERS!B:C,2, )</f>
        <v>SHAHBAZ AHMED</v>
      </c>
      <c r="D240" s="159">
        <v>46007</v>
      </c>
      <c r="E240" s="151">
        <v>0</v>
      </c>
      <c r="F240" s="151">
        <v>300</v>
      </c>
      <c r="G240" s="151">
        <v>0</v>
      </c>
      <c r="H240" s="151">
        <v>0</v>
      </c>
      <c r="I240" s="151">
        <v>0</v>
      </c>
      <c r="J240" s="151">
        <v>0</v>
      </c>
      <c r="K240" s="151">
        <v>0</v>
      </c>
      <c r="L240" s="151">
        <v>0</v>
      </c>
      <c r="M240" s="152">
        <v>0</v>
      </c>
      <c r="N240" s="151">
        <v>0</v>
      </c>
      <c r="O240" s="151">
        <v>0</v>
      </c>
      <c r="P240" s="151">
        <v>0</v>
      </c>
      <c r="Q240" s="151">
        <v>0</v>
      </c>
      <c r="R240" s="153">
        <v>0</v>
      </c>
      <c r="S240" s="153">
        <v>0</v>
      </c>
      <c r="T240" s="153">
        <v>0</v>
      </c>
      <c r="U240" s="153">
        <f t="shared" si="12"/>
        <v>300</v>
      </c>
    </row>
    <row r="241" spans="1:21" ht="18" hidden="1" customHeight="1" x14ac:dyDescent="0.2">
      <c r="A241" s="150">
        <f t="shared" si="11"/>
        <v>240</v>
      </c>
      <c r="B241" s="150" t="s">
        <v>235</v>
      </c>
      <c r="C241" s="150" t="str">
        <f>VLOOKUP(B241,MEMBERS!B:C,2, )</f>
        <v>MR.IMRAN WAZEER</v>
      </c>
      <c r="D241" s="159">
        <v>46007</v>
      </c>
      <c r="E241" s="151">
        <v>0</v>
      </c>
      <c r="F241" s="151">
        <v>150</v>
      </c>
      <c r="G241" s="151">
        <v>0</v>
      </c>
      <c r="H241" s="151">
        <v>0</v>
      </c>
      <c r="I241" s="151">
        <v>0</v>
      </c>
      <c r="J241" s="151">
        <v>0</v>
      </c>
      <c r="K241" s="151">
        <v>0</v>
      </c>
      <c r="L241" s="151">
        <v>0</v>
      </c>
      <c r="M241" s="152">
        <v>0</v>
      </c>
      <c r="N241" s="151">
        <v>0</v>
      </c>
      <c r="O241" s="151">
        <v>0</v>
      </c>
      <c r="P241" s="151">
        <v>0</v>
      </c>
      <c r="Q241" s="151">
        <v>0</v>
      </c>
      <c r="R241" s="153">
        <v>0</v>
      </c>
      <c r="S241" s="153">
        <v>0</v>
      </c>
      <c r="T241" s="153">
        <v>0</v>
      </c>
      <c r="U241" s="153">
        <f t="shared" si="12"/>
        <v>150</v>
      </c>
    </row>
    <row r="242" spans="1:21" ht="18" hidden="1" customHeight="1" x14ac:dyDescent="0.2">
      <c r="A242" s="150">
        <f t="shared" si="11"/>
        <v>241</v>
      </c>
      <c r="B242" s="150" t="s">
        <v>761</v>
      </c>
      <c r="C242" s="150" t="str">
        <f>VLOOKUP(B242,MEMBERS!B:C,2, )</f>
        <v>MR. FAYAZ ALI SOOMRO</v>
      </c>
      <c r="D242" s="159">
        <v>46007</v>
      </c>
      <c r="E242" s="151">
        <v>0</v>
      </c>
      <c r="F242" s="151">
        <v>150</v>
      </c>
      <c r="G242" s="151">
        <v>0</v>
      </c>
      <c r="H242" s="151">
        <v>0</v>
      </c>
      <c r="I242" s="151">
        <v>0</v>
      </c>
      <c r="J242" s="151">
        <v>0</v>
      </c>
      <c r="K242" s="151">
        <v>0</v>
      </c>
      <c r="L242" s="151">
        <v>0</v>
      </c>
      <c r="M242" s="152">
        <v>0</v>
      </c>
      <c r="N242" s="151">
        <v>0</v>
      </c>
      <c r="O242" s="151">
        <v>0</v>
      </c>
      <c r="P242" s="151">
        <v>0</v>
      </c>
      <c r="Q242" s="151">
        <v>0</v>
      </c>
      <c r="R242" s="153">
        <v>0</v>
      </c>
      <c r="S242" s="153">
        <v>0</v>
      </c>
      <c r="T242" s="153">
        <v>0</v>
      </c>
      <c r="U242" s="153">
        <f t="shared" si="12"/>
        <v>150</v>
      </c>
    </row>
    <row r="243" spans="1:21" ht="18" hidden="1" customHeight="1" x14ac:dyDescent="0.2">
      <c r="A243" s="150">
        <f t="shared" si="11"/>
        <v>242</v>
      </c>
      <c r="B243" s="150" t="s">
        <v>217</v>
      </c>
      <c r="C243" s="150" t="str">
        <f>VLOOKUP(B243,MEMBERS!B:C,2, )</f>
        <v>MR.ZAIN FAROOQ</v>
      </c>
      <c r="D243" s="159">
        <v>46007</v>
      </c>
      <c r="E243" s="151">
        <v>0</v>
      </c>
      <c r="F243" s="151">
        <v>150</v>
      </c>
      <c r="G243" s="151">
        <v>0</v>
      </c>
      <c r="H243" s="151">
        <v>0</v>
      </c>
      <c r="I243" s="151">
        <v>0</v>
      </c>
      <c r="J243" s="151">
        <v>0</v>
      </c>
      <c r="K243" s="151">
        <v>0</v>
      </c>
      <c r="L243" s="151">
        <v>0</v>
      </c>
      <c r="M243" s="152">
        <v>0</v>
      </c>
      <c r="N243" s="151">
        <v>0</v>
      </c>
      <c r="O243" s="151">
        <v>0</v>
      </c>
      <c r="P243" s="151">
        <v>0</v>
      </c>
      <c r="Q243" s="151">
        <v>0</v>
      </c>
      <c r="R243" s="153">
        <v>0</v>
      </c>
      <c r="S243" s="153">
        <v>0</v>
      </c>
      <c r="T243" s="153">
        <v>0</v>
      </c>
      <c r="U243" s="153">
        <f t="shared" si="12"/>
        <v>150</v>
      </c>
    </row>
    <row r="244" spans="1:21" ht="18" hidden="1" customHeight="1" x14ac:dyDescent="0.2">
      <c r="A244" s="150">
        <f t="shared" si="11"/>
        <v>243</v>
      </c>
      <c r="B244" s="150" t="s">
        <v>273</v>
      </c>
      <c r="C244" s="150" t="str">
        <f>VLOOKUP(B244,MEMBERS!B:C,2, )</f>
        <v>MR.SYED MURTAZA ALI</v>
      </c>
      <c r="D244" s="159">
        <v>46007</v>
      </c>
      <c r="E244" s="151">
        <v>0</v>
      </c>
      <c r="F244" s="151">
        <v>150</v>
      </c>
      <c r="G244" s="151">
        <v>0</v>
      </c>
      <c r="H244" s="151">
        <v>0</v>
      </c>
      <c r="I244" s="151">
        <v>0</v>
      </c>
      <c r="J244" s="151">
        <v>0</v>
      </c>
      <c r="K244" s="151">
        <v>0</v>
      </c>
      <c r="L244" s="151">
        <v>0</v>
      </c>
      <c r="M244" s="152">
        <v>0</v>
      </c>
      <c r="N244" s="151">
        <v>0</v>
      </c>
      <c r="O244" s="151">
        <v>0</v>
      </c>
      <c r="P244" s="151">
        <v>0</v>
      </c>
      <c r="Q244" s="151">
        <v>0</v>
      </c>
      <c r="R244" s="153">
        <v>0</v>
      </c>
      <c r="S244" s="153">
        <v>0</v>
      </c>
      <c r="T244" s="153">
        <v>0</v>
      </c>
      <c r="U244" s="153">
        <f t="shared" si="12"/>
        <v>150</v>
      </c>
    </row>
    <row r="245" spans="1:21" ht="18" hidden="1" customHeight="1" x14ac:dyDescent="0.2">
      <c r="A245" s="150">
        <f t="shared" si="11"/>
        <v>244</v>
      </c>
      <c r="B245" s="150" t="s">
        <v>155</v>
      </c>
      <c r="C245" s="150" t="str">
        <f>VLOOKUP(B245,MEMBERS!B:C,2, )</f>
        <v>MR.PIR MUJEEB JAN SARHANDI</v>
      </c>
      <c r="D245" s="159">
        <v>46007</v>
      </c>
      <c r="E245" s="151">
        <v>0</v>
      </c>
      <c r="F245" s="151">
        <v>150</v>
      </c>
      <c r="G245" s="151">
        <v>0</v>
      </c>
      <c r="H245" s="151">
        <v>0</v>
      </c>
      <c r="I245" s="151">
        <v>0</v>
      </c>
      <c r="J245" s="151">
        <v>0</v>
      </c>
      <c r="K245" s="151">
        <v>0</v>
      </c>
      <c r="L245" s="151">
        <v>0</v>
      </c>
      <c r="M245" s="152">
        <v>0</v>
      </c>
      <c r="N245" s="151">
        <v>0</v>
      </c>
      <c r="O245" s="151">
        <v>0</v>
      </c>
      <c r="P245" s="151">
        <v>0</v>
      </c>
      <c r="Q245" s="151">
        <v>0</v>
      </c>
      <c r="R245" s="153">
        <v>0</v>
      </c>
      <c r="S245" s="153">
        <v>0</v>
      </c>
      <c r="T245" s="153">
        <v>0</v>
      </c>
      <c r="U245" s="153">
        <f t="shared" si="12"/>
        <v>150</v>
      </c>
    </row>
    <row r="246" spans="1:21" ht="18" hidden="1" customHeight="1" x14ac:dyDescent="0.2">
      <c r="A246" s="150">
        <f t="shared" si="11"/>
        <v>245</v>
      </c>
      <c r="B246" s="150" t="s">
        <v>197</v>
      </c>
      <c r="C246" s="150" t="str">
        <f>VLOOKUP(B246,MEMBERS!B:C,2, )</f>
        <v>MR.MUHAMMAD ATIF USMANI</v>
      </c>
      <c r="D246" s="159">
        <v>46007</v>
      </c>
      <c r="E246" s="151">
        <v>0</v>
      </c>
      <c r="F246" s="151">
        <v>150</v>
      </c>
      <c r="G246" s="151">
        <v>0</v>
      </c>
      <c r="H246" s="151">
        <v>0</v>
      </c>
      <c r="I246" s="151">
        <v>0</v>
      </c>
      <c r="J246" s="151">
        <v>0</v>
      </c>
      <c r="K246" s="151">
        <v>0</v>
      </c>
      <c r="L246" s="151">
        <v>0</v>
      </c>
      <c r="M246" s="152">
        <v>0</v>
      </c>
      <c r="N246" s="151">
        <v>0</v>
      </c>
      <c r="O246" s="151">
        <v>0</v>
      </c>
      <c r="P246" s="151">
        <v>0</v>
      </c>
      <c r="Q246" s="151">
        <v>0</v>
      </c>
      <c r="R246" s="153">
        <v>0</v>
      </c>
      <c r="S246" s="153">
        <v>0</v>
      </c>
      <c r="T246" s="153">
        <v>0</v>
      </c>
      <c r="U246" s="153">
        <f t="shared" si="12"/>
        <v>150</v>
      </c>
    </row>
    <row r="247" spans="1:21" ht="18" hidden="1" customHeight="1" x14ac:dyDescent="0.2">
      <c r="A247" s="150">
        <f t="shared" si="11"/>
        <v>246</v>
      </c>
      <c r="B247" s="150" t="s">
        <v>98</v>
      </c>
      <c r="C247" s="150" t="str">
        <f>VLOOKUP(B247,MEMBERS!B:C,2, )</f>
        <v>MR.HAFEEZ AHMED SIYAL</v>
      </c>
      <c r="D247" s="159">
        <v>46007</v>
      </c>
      <c r="E247" s="151">
        <v>0</v>
      </c>
      <c r="F247" s="151">
        <v>150</v>
      </c>
      <c r="G247" s="151">
        <v>0</v>
      </c>
      <c r="H247" s="151">
        <v>0</v>
      </c>
      <c r="I247" s="151">
        <v>0</v>
      </c>
      <c r="J247" s="151">
        <v>300</v>
      </c>
      <c r="K247" s="151">
        <v>0</v>
      </c>
      <c r="L247" s="151">
        <v>0</v>
      </c>
      <c r="M247" s="152">
        <v>0</v>
      </c>
      <c r="N247" s="151">
        <v>0</v>
      </c>
      <c r="O247" s="151">
        <v>0</v>
      </c>
      <c r="P247" s="151">
        <v>0</v>
      </c>
      <c r="Q247" s="151">
        <v>0</v>
      </c>
      <c r="R247" s="153">
        <v>0</v>
      </c>
      <c r="S247" s="153">
        <v>0</v>
      </c>
      <c r="T247" s="153">
        <v>0</v>
      </c>
      <c r="U247" s="153">
        <f t="shared" si="12"/>
        <v>450</v>
      </c>
    </row>
    <row r="248" spans="1:21" ht="18" hidden="1" customHeight="1" x14ac:dyDescent="0.2">
      <c r="A248" s="150">
        <f t="shared" si="11"/>
        <v>247</v>
      </c>
      <c r="B248" s="150" t="s">
        <v>151</v>
      </c>
      <c r="C248" s="150" t="str">
        <f>VLOOKUP(B248,MEMBERS!B:C,2, )</f>
        <v>MR.ZULQARNAIN</v>
      </c>
      <c r="D248" s="159">
        <v>46007</v>
      </c>
      <c r="E248" s="151">
        <f>300+600*2</f>
        <v>1500</v>
      </c>
      <c r="F248" s="151">
        <v>0</v>
      </c>
      <c r="G248" s="151">
        <v>0</v>
      </c>
      <c r="H248" s="151">
        <v>0</v>
      </c>
      <c r="I248" s="151">
        <v>0</v>
      </c>
      <c r="J248" s="151">
        <v>0</v>
      </c>
      <c r="K248" s="151">
        <v>0</v>
      </c>
      <c r="L248" s="151">
        <v>0</v>
      </c>
      <c r="M248" s="152">
        <v>0</v>
      </c>
      <c r="N248" s="151">
        <v>0</v>
      </c>
      <c r="O248" s="151">
        <v>0</v>
      </c>
      <c r="P248" s="151">
        <v>0</v>
      </c>
      <c r="Q248" s="151">
        <v>0</v>
      </c>
      <c r="R248" s="153">
        <v>0</v>
      </c>
      <c r="S248" s="153">
        <v>0</v>
      </c>
      <c r="T248" s="153">
        <v>0</v>
      </c>
      <c r="U248" s="153">
        <f t="shared" si="12"/>
        <v>1500</v>
      </c>
    </row>
    <row r="249" spans="1:21" ht="18" hidden="1" customHeight="1" x14ac:dyDescent="0.2">
      <c r="A249" s="150">
        <f t="shared" si="11"/>
        <v>248</v>
      </c>
      <c r="B249" s="150" t="s">
        <v>20</v>
      </c>
      <c r="C249" s="150" t="str">
        <f>VLOOKUP(B249,MEMBERS!B:C,2, )</f>
        <v>MR.BILAL AHMED</v>
      </c>
      <c r="D249" s="159">
        <v>46007</v>
      </c>
      <c r="E249" s="151">
        <v>0</v>
      </c>
      <c r="F249" s="151">
        <v>0</v>
      </c>
      <c r="G249" s="151">
        <v>0</v>
      </c>
      <c r="H249" s="151">
        <v>0</v>
      </c>
      <c r="I249" s="151">
        <v>0</v>
      </c>
      <c r="J249" s="151">
        <v>500</v>
      </c>
      <c r="K249" s="151">
        <v>0</v>
      </c>
      <c r="L249" s="151">
        <v>0</v>
      </c>
      <c r="M249" s="152">
        <v>0</v>
      </c>
      <c r="N249" s="151">
        <v>0</v>
      </c>
      <c r="O249" s="151">
        <v>0</v>
      </c>
      <c r="P249" s="151">
        <v>0</v>
      </c>
      <c r="Q249" s="151">
        <v>0</v>
      </c>
      <c r="R249" s="153">
        <v>0</v>
      </c>
      <c r="S249" s="153">
        <v>0</v>
      </c>
      <c r="T249" s="153">
        <v>0</v>
      </c>
      <c r="U249" s="153">
        <f t="shared" si="12"/>
        <v>500</v>
      </c>
    </row>
    <row r="250" spans="1:21" ht="18" customHeight="1" x14ac:dyDescent="0.2">
      <c r="A250" s="150">
        <f t="shared" si="11"/>
        <v>249</v>
      </c>
      <c r="B250" s="150" t="s">
        <v>454</v>
      </c>
      <c r="C250" s="150" t="str">
        <f>VLOOKUP(B250,MEMBERS!B:C,2, )</f>
        <v>Heritage club</v>
      </c>
      <c r="D250" s="159">
        <v>46008</v>
      </c>
      <c r="E250" s="151">
        <v>0</v>
      </c>
      <c r="F250" s="151">
        <v>0</v>
      </c>
      <c r="G250" s="151">
        <v>0</v>
      </c>
      <c r="H250" s="151">
        <v>0</v>
      </c>
      <c r="I250" s="151">
        <v>0</v>
      </c>
      <c r="J250" s="151">
        <v>0</v>
      </c>
      <c r="K250" s="151">
        <v>0</v>
      </c>
      <c r="L250" s="151">
        <v>0</v>
      </c>
      <c r="M250" s="152">
        <v>0</v>
      </c>
      <c r="N250" s="151">
        <v>0</v>
      </c>
      <c r="O250" s="342">
        <f>1500*4</f>
        <v>6000</v>
      </c>
      <c r="P250" s="151">
        <v>0</v>
      </c>
      <c r="Q250" s="151">
        <v>0</v>
      </c>
      <c r="R250" s="153">
        <v>0</v>
      </c>
      <c r="S250" s="153">
        <v>0</v>
      </c>
      <c r="T250" s="153">
        <v>0</v>
      </c>
      <c r="U250" s="153">
        <f t="shared" si="12"/>
        <v>6000</v>
      </c>
    </row>
    <row r="251" spans="1:21" ht="18" hidden="1" customHeight="1" x14ac:dyDescent="0.2">
      <c r="A251" s="150">
        <f t="shared" si="11"/>
        <v>250</v>
      </c>
      <c r="B251" s="150" t="s">
        <v>756</v>
      </c>
      <c r="C251" s="150" t="s">
        <v>1173</v>
      </c>
      <c r="D251" s="159">
        <v>46008</v>
      </c>
      <c r="E251" s="151">
        <v>0</v>
      </c>
      <c r="F251" s="151">
        <v>0</v>
      </c>
      <c r="G251" s="151">
        <v>0</v>
      </c>
      <c r="H251" s="151">
        <v>0</v>
      </c>
      <c r="I251" s="151">
        <v>0</v>
      </c>
      <c r="J251" s="151">
        <v>0</v>
      </c>
      <c r="K251" s="151">
        <f>650*4</f>
        <v>2600</v>
      </c>
      <c r="L251" s="151">
        <v>0</v>
      </c>
      <c r="M251" s="152">
        <v>0</v>
      </c>
      <c r="N251" s="151">
        <v>0</v>
      </c>
      <c r="O251" s="151">
        <v>0</v>
      </c>
      <c r="P251" s="151">
        <v>0</v>
      </c>
      <c r="Q251" s="151">
        <v>0</v>
      </c>
      <c r="R251" s="153">
        <v>0</v>
      </c>
      <c r="S251" s="153">
        <v>0</v>
      </c>
      <c r="T251" s="153">
        <v>0</v>
      </c>
      <c r="U251" s="153">
        <f t="shared" si="12"/>
        <v>2600</v>
      </c>
    </row>
    <row r="252" spans="1:21" ht="18" hidden="1" customHeight="1" x14ac:dyDescent="0.2">
      <c r="A252" s="150">
        <f t="shared" si="11"/>
        <v>251</v>
      </c>
      <c r="B252" s="150" t="s">
        <v>187</v>
      </c>
      <c r="C252" s="150" t="str">
        <f>VLOOKUP(B252,MEMBERS!B:C,2, )</f>
        <v>MR.SHAN ELAHI SEHGAL</v>
      </c>
      <c r="D252" s="159">
        <v>46008</v>
      </c>
      <c r="E252" s="151">
        <v>0</v>
      </c>
      <c r="F252" s="151">
        <v>0</v>
      </c>
      <c r="G252" s="151">
        <v>0</v>
      </c>
      <c r="H252" s="151">
        <v>0</v>
      </c>
      <c r="I252" s="151">
        <v>0</v>
      </c>
      <c r="J252" s="151">
        <v>0</v>
      </c>
      <c r="K252" s="289">
        <f>300+600</f>
        <v>900</v>
      </c>
      <c r="L252" s="151">
        <v>0</v>
      </c>
      <c r="M252" s="152">
        <v>0</v>
      </c>
      <c r="N252" s="151">
        <v>0</v>
      </c>
      <c r="O252" s="151">
        <v>0</v>
      </c>
      <c r="P252" s="151">
        <v>0</v>
      </c>
      <c r="Q252" s="151">
        <v>0</v>
      </c>
      <c r="R252" s="153">
        <v>0</v>
      </c>
      <c r="S252" s="153">
        <v>0</v>
      </c>
      <c r="T252" s="153">
        <v>0</v>
      </c>
      <c r="U252" s="153">
        <f t="shared" si="12"/>
        <v>900</v>
      </c>
    </row>
    <row r="253" spans="1:21" ht="18" hidden="1" customHeight="1" x14ac:dyDescent="0.2">
      <c r="A253" s="150">
        <f t="shared" si="11"/>
        <v>252</v>
      </c>
      <c r="B253" s="150" t="s">
        <v>235</v>
      </c>
      <c r="C253" s="150" t="str">
        <f>VLOOKUP(B253,MEMBERS!B:C,2, )</f>
        <v>MR.IMRAN WAZEER</v>
      </c>
      <c r="D253" s="159">
        <v>46008</v>
      </c>
      <c r="E253" s="151">
        <v>0</v>
      </c>
      <c r="F253" s="151">
        <v>0</v>
      </c>
      <c r="G253" s="151">
        <v>0</v>
      </c>
      <c r="H253" s="151">
        <v>0</v>
      </c>
      <c r="I253" s="151">
        <v>0</v>
      </c>
      <c r="J253" s="151">
        <v>0</v>
      </c>
      <c r="K253" s="151">
        <f>300*2</f>
        <v>600</v>
      </c>
      <c r="L253" s="151">
        <v>0</v>
      </c>
      <c r="M253" s="152">
        <v>0</v>
      </c>
      <c r="N253" s="151">
        <v>0</v>
      </c>
      <c r="O253" s="151">
        <v>0</v>
      </c>
      <c r="P253" s="151">
        <v>0</v>
      </c>
      <c r="Q253" s="151">
        <v>0</v>
      </c>
      <c r="R253" s="153">
        <v>0</v>
      </c>
      <c r="S253" s="153">
        <v>0</v>
      </c>
      <c r="T253" s="153">
        <v>0</v>
      </c>
      <c r="U253" s="153">
        <f t="shared" si="12"/>
        <v>600</v>
      </c>
    </row>
    <row r="254" spans="1:21" ht="18" hidden="1" customHeight="1" x14ac:dyDescent="0.2">
      <c r="A254" s="150">
        <f t="shared" si="11"/>
        <v>253</v>
      </c>
      <c r="B254" s="150" t="s">
        <v>217</v>
      </c>
      <c r="C254" s="150" t="str">
        <f>VLOOKUP(B254,MEMBERS!B:C,2, )</f>
        <v>MR.ZAIN FAROOQ</v>
      </c>
      <c r="D254" s="159">
        <v>46008</v>
      </c>
      <c r="E254" s="151">
        <v>0</v>
      </c>
      <c r="F254" s="151">
        <f>150*2</f>
        <v>300</v>
      </c>
      <c r="G254" s="151">
        <v>0</v>
      </c>
      <c r="H254" s="151">
        <v>0</v>
      </c>
      <c r="I254" s="151">
        <v>0</v>
      </c>
      <c r="J254" s="151">
        <v>0</v>
      </c>
      <c r="K254" s="151">
        <f>300*2</f>
        <v>600</v>
      </c>
      <c r="L254" s="151">
        <v>0</v>
      </c>
      <c r="M254" s="152">
        <v>0</v>
      </c>
      <c r="N254" s="151">
        <v>0</v>
      </c>
      <c r="O254" s="151">
        <v>0</v>
      </c>
      <c r="P254" s="151">
        <v>0</v>
      </c>
      <c r="Q254" s="151">
        <v>0</v>
      </c>
      <c r="R254" s="153">
        <v>0</v>
      </c>
      <c r="S254" s="153">
        <v>0</v>
      </c>
      <c r="T254" s="153">
        <v>0</v>
      </c>
      <c r="U254" s="153">
        <f t="shared" si="12"/>
        <v>900</v>
      </c>
    </row>
    <row r="255" spans="1:21" ht="18" hidden="1" customHeight="1" x14ac:dyDescent="0.2">
      <c r="A255" s="150">
        <f t="shared" si="11"/>
        <v>254</v>
      </c>
      <c r="B255" s="150" t="s">
        <v>263</v>
      </c>
      <c r="C255" s="150" t="str">
        <f>VLOOKUP(B255,MEMBERS!B:C,2, )</f>
        <v>MR.CAREL HEDRIK BURGER</v>
      </c>
      <c r="D255" s="159">
        <v>46008</v>
      </c>
      <c r="E255" s="151">
        <v>0</v>
      </c>
      <c r="F255" s="151">
        <v>0</v>
      </c>
      <c r="G255" s="151">
        <v>0</v>
      </c>
      <c r="H255" s="151">
        <v>0</v>
      </c>
      <c r="I255" s="151">
        <v>0</v>
      </c>
      <c r="J255" s="151">
        <v>0</v>
      </c>
      <c r="K255" s="151">
        <v>0</v>
      </c>
      <c r="L255" s="151">
        <v>0</v>
      </c>
      <c r="M255" s="152">
        <v>0</v>
      </c>
      <c r="N255" s="151">
        <v>0</v>
      </c>
      <c r="O255" s="151">
        <v>0</v>
      </c>
      <c r="P255" s="151">
        <v>6000</v>
      </c>
      <c r="Q255" s="151">
        <v>0</v>
      </c>
      <c r="R255" s="153">
        <v>0</v>
      </c>
      <c r="S255" s="153">
        <v>0</v>
      </c>
      <c r="T255" s="153">
        <v>0</v>
      </c>
      <c r="U255" s="153">
        <f t="shared" si="12"/>
        <v>6000</v>
      </c>
    </row>
    <row r="256" spans="1:21" ht="18" hidden="1" customHeight="1" x14ac:dyDescent="0.2">
      <c r="A256" s="150">
        <f t="shared" si="11"/>
        <v>255</v>
      </c>
      <c r="B256" s="150" t="s">
        <v>373</v>
      </c>
      <c r="C256" s="150" t="str">
        <f>VLOOKUP(B256,MEMBERS!B:C,2, )</f>
        <v>ASIF ASHFAQ</v>
      </c>
      <c r="D256" s="159">
        <v>46008</v>
      </c>
      <c r="E256" s="151">
        <v>0</v>
      </c>
      <c r="F256" s="151">
        <v>150</v>
      </c>
      <c r="G256" s="151">
        <v>0</v>
      </c>
      <c r="H256" s="151">
        <v>0</v>
      </c>
      <c r="I256" s="151">
        <v>0</v>
      </c>
      <c r="J256" s="151">
        <v>0</v>
      </c>
      <c r="K256" s="151">
        <v>0</v>
      </c>
      <c r="L256" s="151">
        <v>0</v>
      </c>
      <c r="M256" s="152">
        <v>0</v>
      </c>
      <c r="N256" s="151">
        <v>0</v>
      </c>
      <c r="O256" s="151">
        <v>0</v>
      </c>
      <c r="P256" s="151">
        <v>0</v>
      </c>
      <c r="Q256" s="151">
        <v>0</v>
      </c>
      <c r="R256" s="153">
        <v>0</v>
      </c>
      <c r="S256" s="153">
        <v>0</v>
      </c>
      <c r="T256" s="153">
        <v>0</v>
      </c>
      <c r="U256" s="153">
        <f t="shared" si="12"/>
        <v>150</v>
      </c>
    </row>
    <row r="257" spans="1:21" ht="18" hidden="1" customHeight="1" x14ac:dyDescent="0.2">
      <c r="A257" s="150">
        <f t="shared" ref="A257:A264" si="13">IF(D257&lt;&gt;"", ROW()-1, "")</f>
        <v>256</v>
      </c>
      <c r="B257" s="150" t="s">
        <v>83</v>
      </c>
      <c r="C257" s="150" t="str">
        <f>VLOOKUP(B257,MEMBERS!B:C,2, )</f>
        <v>DR.SANTOSH KUMAR</v>
      </c>
      <c r="D257" s="159">
        <v>46008</v>
      </c>
      <c r="E257" s="151">
        <v>0</v>
      </c>
      <c r="F257" s="151">
        <v>150</v>
      </c>
      <c r="G257" s="151">
        <v>0</v>
      </c>
      <c r="H257" s="151">
        <v>0</v>
      </c>
      <c r="I257" s="151">
        <v>0</v>
      </c>
      <c r="J257" s="151">
        <v>0</v>
      </c>
      <c r="K257" s="151">
        <v>0</v>
      </c>
      <c r="L257" s="151">
        <v>0</v>
      </c>
      <c r="M257" s="152">
        <v>0</v>
      </c>
      <c r="N257" s="151">
        <v>0</v>
      </c>
      <c r="O257" s="151">
        <v>0</v>
      </c>
      <c r="P257" s="151">
        <v>0</v>
      </c>
      <c r="Q257" s="151">
        <v>0</v>
      </c>
      <c r="R257" s="153">
        <v>0</v>
      </c>
      <c r="S257" s="153">
        <v>0</v>
      </c>
      <c r="T257" s="153">
        <v>0</v>
      </c>
      <c r="U257" s="153">
        <f t="shared" ref="U257:U264" si="14">SUM(E257:T257)</f>
        <v>150</v>
      </c>
    </row>
    <row r="258" spans="1:21" ht="18" hidden="1" customHeight="1" x14ac:dyDescent="0.2">
      <c r="A258" s="150">
        <f t="shared" si="13"/>
        <v>257</v>
      </c>
      <c r="B258" s="150" t="s">
        <v>54</v>
      </c>
      <c r="C258" s="150" t="str">
        <f>VLOOKUP(B258,MEMBERS!B:C,2, )</f>
        <v>MR.ZEESHAN IQBAL</v>
      </c>
      <c r="D258" s="159">
        <v>46008</v>
      </c>
      <c r="E258" s="151">
        <v>0</v>
      </c>
      <c r="F258" s="151">
        <f>150+300</f>
        <v>450</v>
      </c>
      <c r="G258" s="151">
        <v>0</v>
      </c>
      <c r="H258" s="151">
        <v>0</v>
      </c>
      <c r="I258" s="151">
        <v>0</v>
      </c>
      <c r="J258" s="151">
        <v>0</v>
      </c>
      <c r="K258" s="151">
        <v>0</v>
      </c>
      <c r="L258" s="151">
        <v>0</v>
      </c>
      <c r="M258" s="152">
        <v>0</v>
      </c>
      <c r="N258" s="151">
        <v>0</v>
      </c>
      <c r="O258" s="151">
        <v>0</v>
      </c>
      <c r="P258" s="151">
        <v>0</v>
      </c>
      <c r="Q258" s="151">
        <v>0</v>
      </c>
      <c r="R258" s="153">
        <v>0</v>
      </c>
      <c r="S258" s="153">
        <v>0</v>
      </c>
      <c r="T258" s="153">
        <v>0</v>
      </c>
      <c r="U258" s="153">
        <f t="shared" si="14"/>
        <v>450</v>
      </c>
    </row>
    <row r="259" spans="1:21" ht="18" hidden="1" customHeight="1" x14ac:dyDescent="0.2">
      <c r="A259" s="150">
        <f t="shared" si="13"/>
        <v>258</v>
      </c>
      <c r="B259" s="150" t="s">
        <v>650</v>
      </c>
      <c r="C259" s="150" t="str">
        <f>VLOOKUP(B259,MEMBERS!B:C,2, )</f>
        <v>SHAHBAZ AHMED</v>
      </c>
      <c r="D259" s="159">
        <v>46008</v>
      </c>
      <c r="E259" s="151">
        <v>0</v>
      </c>
      <c r="F259" s="151">
        <v>300</v>
      </c>
      <c r="G259" s="151">
        <v>0</v>
      </c>
      <c r="H259" s="151">
        <v>0</v>
      </c>
      <c r="I259" s="151">
        <v>0</v>
      </c>
      <c r="J259" s="151">
        <v>0</v>
      </c>
      <c r="K259" s="151">
        <v>0</v>
      </c>
      <c r="L259" s="151">
        <v>0</v>
      </c>
      <c r="M259" s="152">
        <v>0</v>
      </c>
      <c r="N259" s="151">
        <v>0</v>
      </c>
      <c r="O259" s="151">
        <v>0</v>
      </c>
      <c r="P259" s="151">
        <v>0</v>
      </c>
      <c r="Q259" s="151">
        <v>0</v>
      </c>
      <c r="R259" s="153">
        <v>0</v>
      </c>
      <c r="S259" s="153">
        <v>0</v>
      </c>
      <c r="T259" s="153">
        <v>0</v>
      </c>
      <c r="U259" s="153">
        <f t="shared" si="14"/>
        <v>300</v>
      </c>
    </row>
    <row r="260" spans="1:21" ht="18" hidden="1" customHeight="1" x14ac:dyDescent="0.2">
      <c r="A260" s="150">
        <f t="shared" si="13"/>
        <v>259</v>
      </c>
      <c r="B260" s="150" t="s">
        <v>44</v>
      </c>
      <c r="C260" s="150" t="str">
        <f>VLOOKUP(B260,MEMBERS!B:C,2, )</f>
        <v>MR.MUHAMMAD RIZWAN</v>
      </c>
      <c r="D260" s="159">
        <v>46008</v>
      </c>
      <c r="E260" s="151">
        <v>0</v>
      </c>
      <c r="F260" s="151">
        <f>150*2</f>
        <v>300</v>
      </c>
      <c r="G260" s="151">
        <v>0</v>
      </c>
      <c r="H260" s="151">
        <v>0</v>
      </c>
      <c r="I260" s="151">
        <v>0</v>
      </c>
      <c r="J260" s="151">
        <v>0</v>
      </c>
      <c r="K260" s="151">
        <v>0</v>
      </c>
      <c r="L260" s="151">
        <v>0</v>
      </c>
      <c r="M260" s="152">
        <v>0</v>
      </c>
      <c r="N260" s="151">
        <v>0</v>
      </c>
      <c r="O260" s="151">
        <v>0</v>
      </c>
      <c r="P260" s="151">
        <v>0</v>
      </c>
      <c r="Q260" s="151">
        <v>0</v>
      </c>
      <c r="R260" s="153">
        <v>0</v>
      </c>
      <c r="S260" s="153">
        <v>0</v>
      </c>
      <c r="T260" s="153">
        <v>0</v>
      </c>
      <c r="U260" s="153">
        <f t="shared" si="14"/>
        <v>300</v>
      </c>
    </row>
    <row r="261" spans="1:21" ht="18" hidden="1" customHeight="1" x14ac:dyDescent="0.2">
      <c r="A261" s="150">
        <f t="shared" si="13"/>
        <v>260</v>
      </c>
      <c r="B261" s="150" t="s">
        <v>1004</v>
      </c>
      <c r="C261" s="150" t="str">
        <f>VLOOKUP(B261,MEMBERS!B:C,2, )</f>
        <v>MRS RIFFAT ZULFIQAR</v>
      </c>
      <c r="D261" s="159">
        <v>46008</v>
      </c>
      <c r="E261" s="151">
        <v>0</v>
      </c>
      <c r="F261" s="151">
        <v>150</v>
      </c>
      <c r="G261" s="151">
        <v>0</v>
      </c>
      <c r="H261" s="151">
        <v>0</v>
      </c>
      <c r="I261" s="151">
        <v>0</v>
      </c>
      <c r="J261" s="151">
        <v>0</v>
      </c>
      <c r="K261" s="151">
        <v>0</v>
      </c>
      <c r="L261" s="151">
        <v>0</v>
      </c>
      <c r="M261" s="152">
        <v>0</v>
      </c>
      <c r="N261" s="151">
        <v>0</v>
      </c>
      <c r="O261" s="151">
        <v>0</v>
      </c>
      <c r="P261" s="151">
        <v>0</v>
      </c>
      <c r="Q261" s="151">
        <v>0</v>
      </c>
      <c r="R261" s="153">
        <v>0</v>
      </c>
      <c r="S261" s="153">
        <v>0</v>
      </c>
      <c r="T261" s="153">
        <v>0</v>
      </c>
      <c r="U261" s="153">
        <f t="shared" si="14"/>
        <v>150</v>
      </c>
    </row>
    <row r="262" spans="1:21" ht="18" hidden="1" customHeight="1" x14ac:dyDescent="0.2">
      <c r="A262" s="150">
        <f t="shared" si="13"/>
        <v>261</v>
      </c>
      <c r="B262" s="150" t="s">
        <v>1021</v>
      </c>
      <c r="C262" s="150" t="str">
        <f>VLOOKUP(B262,MEMBERS!B:C,2, )</f>
        <v>MR. AIJAZ ALI BALOCH</v>
      </c>
      <c r="D262" s="159">
        <v>46008</v>
      </c>
      <c r="E262" s="151">
        <v>0</v>
      </c>
      <c r="F262" s="151">
        <v>0</v>
      </c>
      <c r="G262" s="151">
        <v>0</v>
      </c>
      <c r="H262" s="151">
        <v>0</v>
      </c>
      <c r="I262" s="151">
        <v>0</v>
      </c>
      <c r="J262" s="151">
        <f>500*4</f>
        <v>2000</v>
      </c>
      <c r="K262" s="151">
        <v>0</v>
      </c>
      <c r="L262" s="151">
        <v>0</v>
      </c>
      <c r="M262" s="152">
        <v>0</v>
      </c>
      <c r="N262" s="151">
        <v>0</v>
      </c>
      <c r="O262" s="151">
        <v>0</v>
      </c>
      <c r="P262" s="151">
        <v>0</v>
      </c>
      <c r="Q262" s="151">
        <v>0</v>
      </c>
      <c r="R262" s="153">
        <v>0</v>
      </c>
      <c r="S262" s="153">
        <v>0</v>
      </c>
      <c r="T262" s="153">
        <v>0</v>
      </c>
      <c r="U262" s="153">
        <f t="shared" si="14"/>
        <v>2000</v>
      </c>
    </row>
    <row r="263" spans="1:21" ht="18" hidden="1" customHeight="1" x14ac:dyDescent="0.2">
      <c r="A263" s="150">
        <f t="shared" si="13"/>
        <v>262</v>
      </c>
      <c r="B263" s="150" t="s">
        <v>1073</v>
      </c>
      <c r="C263" s="150" t="str">
        <f>VLOOKUP(B263,MEMBERS!B:C,2, )</f>
        <v>MR. GHULAM MUSTAFA</v>
      </c>
      <c r="D263" s="159">
        <v>46008</v>
      </c>
      <c r="E263" s="151">
        <v>0</v>
      </c>
      <c r="F263" s="151">
        <v>0</v>
      </c>
      <c r="G263" s="151">
        <v>0</v>
      </c>
      <c r="H263" s="151">
        <v>0</v>
      </c>
      <c r="I263" s="151">
        <v>0</v>
      </c>
      <c r="J263" s="151">
        <f>300*5+500</f>
        <v>2000</v>
      </c>
      <c r="K263" s="151">
        <v>0</v>
      </c>
      <c r="L263" s="151">
        <v>0</v>
      </c>
      <c r="M263" s="152">
        <v>0</v>
      </c>
      <c r="N263" s="151">
        <v>0</v>
      </c>
      <c r="O263" s="151">
        <v>0</v>
      </c>
      <c r="P263" s="151">
        <v>0</v>
      </c>
      <c r="Q263" s="151">
        <v>0</v>
      </c>
      <c r="R263" s="153">
        <v>0</v>
      </c>
      <c r="S263" s="153">
        <v>0</v>
      </c>
      <c r="T263" s="153">
        <v>0</v>
      </c>
      <c r="U263" s="153">
        <f t="shared" si="14"/>
        <v>2000</v>
      </c>
    </row>
    <row r="264" spans="1:21" ht="18" customHeight="1" x14ac:dyDescent="0.2">
      <c r="A264" s="150">
        <f t="shared" si="13"/>
        <v>263</v>
      </c>
      <c r="B264" s="150" t="s">
        <v>454</v>
      </c>
      <c r="C264" s="150" t="str">
        <f>VLOOKUP(B264,MEMBERS!B:C,2, )</f>
        <v>Heritage club</v>
      </c>
      <c r="D264" s="159">
        <v>46009</v>
      </c>
      <c r="E264" s="151">
        <v>0</v>
      </c>
      <c r="F264" s="151">
        <v>0</v>
      </c>
      <c r="G264" s="151">
        <v>0</v>
      </c>
      <c r="H264" s="151">
        <v>0</v>
      </c>
      <c r="I264" s="151">
        <v>0</v>
      </c>
      <c r="J264" s="151">
        <v>0</v>
      </c>
      <c r="K264" s="151">
        <v>0</v>
      </c>
      <c r="L264" s="151">
        <v>0</v>
      </c>
      <c r="M264" s="152">
        <v>0</v>
      </c>
      <c r="N264" s="151">
        <v>0</v>
      </c>
      <c r="O264" s="342">
        <v>6000</v>
      </c>
      <c r="P264" s="151">
        <v>0</v>
      </c>
      <c r="Q264" s="151">
        <v>0</v>
      </c>
      <c r="R264" s="153">
        <v>0</v>
      </c>
      <c r="S264" s="153">
        <v>0</v>
      </c>
      <c r="T264" s="153">
        <v>0</v>
      </c>
      <c r="U264" s="153">
        <f t="shared" si="14"/>
        <v>6000</v>
      </c>
    </row>
    <row r="265" spans="1:21" ht="18" hidden="1" customHeight="1" x14ac:dyDescent="0.2">
      <c r="A265" s="150">
        <f t="shared" ref="A265:A267" si="15">IF(D265&lt;&gt;"", ROW()-1, "")</f>
        <v>264</v>
      </c>
      <c r="B265" s="150" t="s">
        <v>1024</v>
      </c>
      <c r="C265" s="150" t="str">
        <f>VLOOKUP(B265,MEMBERS!B:C,2, )</f>
        <v>MR. ANEEL ZAHOOR</v>
      </c>
      <c r="D265" s="159">
        <v>46009</v>
      </c>
      <c r="E265" s="151">
        <v>0</v>
      </c>
      <c r="F265" s="151">
        <v>0</v>
      </c>
      <c r="G265" s="151">
        <v>0</v>
      </c>
      <c r="H265" s="151">
        <v>0</v>
      </c>
      <c r="I265" s="151">
        <v>0</v>
      </c>
      <c r="J265" s="151">
        <f>300*2+500*2</f>
        <v>1600</v>
      </c>
      <c r="K265" s="151">
        <v>0</v>
      </c>
      <c r="L265" s="151">
        <v>0</v>
      </c>
      <c r="M265" s="152">
        <v>0</v>
      </c>
      <c r="N265" s="151">
        <v>0</v>
      </c>
      <c r="O265" s="151">
        <v>0</v>
      </c>
      <c r="P265" s="151">
        <v>30450</v>
      </c>
      <c r="Q265" s="151">
        <v>0</v>
      </c>
      <c r="R265" s="153">
        <v>0</v>
      </c>
      <c r="S265" s="153">
        <v>0</v>
      </c>
      <c r="T265" s="153">
        <v>0</v>
      </c>
      <c r="U265" s="153">
        <f t="shared" ref="U265:U267" si="16">SUM(E265:T265)</f>
        <v>32050</v>
      </c>
    </row>
    <row r="266" spans="1:21" ht="18" hidden="1" customHeight="1" x14ac:dyDescent="0.2">
      <c r="A266" s="150">
        <f t="shared" si="15"/>
        <v>265</v>
      </c>
      <c r="B266" s="150" t="s">
        <v>1053</v>
      </c>
      <c r="C266" s="150" t="str">
        <f>VLOOKUP(B266,MEMBERS!B:C,2, )</f>
        <v>MR. ZAMIR ALI SHAH</v>
      </c>
      <c r="D266" s="159">
        <v>46009</v>
      </c>
      <c r="E266" s="151">
        <v>0</v>
      </c>
      <c r="F266" s="151">
        <v>0</v>
      </c>
      <c r="G266" s="151">
        <v>0</v>
      </c>
      <c r="H266" s="151">
        <v>0</v>
      </c>
      <c r="I266" s="151">
        <v>0</v>
      </c>
      <c r="J266" s="151">
        <f>500*5</f>
        <v>2500</v>
      </c>
      <c r="K266" s="151">
        <v>0</v>
      </c>
      <c r="L266" s="151">
        <v>0</v>
      </c>
      <c r="M266" s="152">
        <v>0</v>
      </c>
      <c r="N266" s="151">
        <v>0</v>
      </c>
      <c r="O266" s="151">
        <v>0</v>
      </c>
      <c r="P266" s="151">
        <v>8200</v>
      </c>
      <c r="Q266" s="151">
        <v>0</v>
      </c>
      <c r="R266" s="153">
        <v>0</v>
      </c>
      <c r="S266" s="153">
        <v>0</v>
      </c>
      <c r="T266" s="153">
        <v>0</v>
      </c>
      <c r="U266" s="153">
        <f t="shared" si="16"/>
        <v>10700</v>
      </c>
    </row>
    <row r="267" spans="1:21" ht="18" hidden="1" customHeight="1" x14ac:dyDescent="0.2">
      <c r="A267" s="150">
        <f t="shared" si="15"/>
        <v>266</v>
      </c>
      <c r="B267" s="150" t="s">
        <v>263</v>
      </c>
      <c r="C267" s="150" t="str">
        <f>VLOOKUP(B267,MEMBERS!B:C,2, )</f>
        <v>MR.CAREL HEDRIK BURGER</v>
      </c>
      <c r="D267" s="159">
        <v>46010</v>
      </c>
      <c r="E267" s="151">
        <v>0</v>
      </c>
      <c r="F267" s="151">
        <v>0</v>
      </c>
      <c r="G267" s="151">
        <v>0</v>
      </c>
      <c r="H267" s="151">
        <v>0</v>
      </c>
      <c r="I267" s="151">
        <v>0</v>
      </c>
      <c r="J267" s="151">
        <v>0</v>
      </c>
      <c r="K267" s="151">
        <v>0</v>
      </c>
      <c r="L267" s="151">
        <v>0</v>
      </c>
      <c r="M267" s="152">
        <v>0</v>
      </c>
      <c r="N267" s="151">
        <v>0</v>
      </c>
      <c r="O267" s="151">
        <v>0</v>
      </c>
      <c r="P267" s="151">
        <v>10800</v>
      </c>
      <c r="Q267" s="151">
        <v>0</v>
      </c>
      <c r="R267" s="153">
        <v>0</v>
      </c>
      <c r="S267" s="153">
        <v>0</v>
      </c>
      <c r="T267" s="153">
        <v>0</v>
      </c>
      <c r="U267" s="153">
        <f t="shared" si="16"/>
        <v>10800</v>
      </c>
    </row>
    <row r="268" spans="1:21" ht="18" hidden="1" customHeight="1" x14ac:dyDescent="0.2">
      <c r="A268" s="150">
        <f t="shared" ref="A268:A294" si="17">IF(D268&lt;&gt;"", ROW()-1, "")</f>
        <v>267</v>
      </c>
      <c r="B268" s="150" t="s">
        <v>378</v>
      </c>
      <c r="C268" s="150" t="str">
        <f>VLOOKUP(B268,MEMBERS!B:C,2, )</f>
        <v>SABA AHSAN</v>
      </c>
      <c r="D268" s="159">
        <v>46010</v>
      </c>
      <c r="E268" s="151">
        <v>0</v>
      </c>
      <c r="F268" s="151">
        <v>0</v>
      </c>
      <c r="G268" s="151">
        <v>0</v>
      </c>
      <c r="H268" s="151">
        <v>0</v>
      </c>
      <c r="I268" s="151">
        <v>0</v>
      </c>
      <c r="J268" s="151">
        <v>0</v>
      </c>
      <c r="K268" s="151">
        <v>0</v>
      </c>
      <c r="L268" s="151">
        <v>0</v>
      </c>
      <c r="M268" s="152">
        <v>0</v>
      </c>
      <c r="N268" s="151">
        <v>0</v>
      </c>
      <c r="O268" s="151">
        <v>0</v>
      </c>
      <c r="P268" s="151">
        <v>950</v>
      </c>
      <c r="Q268" s="151">
        <v>0</v>
      </c>
      <c r="R268" s="153">
        <v>0</v>
      </c>
      <c r="S268" s="153">
        <v>0</v>
      </c>
      <c r="T268" s="153">
        <v>0</v>
      </c>
      <c r="U268" s="153">
        <f t="shared" ref="U268:U294" si="18">SUM(E268:T268)</f>
        <v>950</v>
      </c>
    </row>
    <row r="269" spans="1:21" ht="18" hidden="1" customHeight="1" x14ac:dyDescent="0.2">
      <c r="A269" s="150">
        <f t="shared" si="17"/>
        <v>268</v>
      </c>
      <c r="B269" s="150" t="s">
        <v>202</v>
      </c>
      <c r="C269" s="150" t="str">
        <f>VLOOKUP(B269,MEMBERS!B:C,2, )</f>
        <v>MR.MOHAMMAD ASHRAF SHAIKH</v>
      </c>
      <c r="D269" s="159">
        <v>46010</v>
      </c>
      <c r="E269" s="151">
        <f>300+600</f>
        <v>900</v>
      </c>
      <c r="F269" s="151">
        <v>0</v>
      </c>
      <c r="G269" s="151">
        <v>0</v>
      </c>
      <c r="H269" s="151">
        <v>0</v>
      </c>
      <c r="I269" s="151">
        <v>0</v>
      </c>
      <c r="J269" s="151">
        <v>0</v>
      </c>
      <c r="K269" s="151">
        <v>0</v>
      </c>
      <c r="L269" s="151">
        <v>0</v>
      </c>
      <c r="M269" s="152">
        <v>0</v>
      </c>
      <c r="N269" s="151">
        <v>0</v>
      </c>
      <c r="O269" s="151">
        <v>0</v>
      </c>
      <c r="P269" s="151">
        <v>0</v>
      </c>
      <c r="Q269" s="151">
        <v>0</v>
      </c>
      <c r="R269" s="153">
        <v>0</v>
      </c>
      <c r="S269" s="153">
        <v>0</v>
      </c>
      <c r="T269" s="153">
        <v>0</v>
      </c>
      <c r="U269" s="153">
        <f t="shared" si="18"/>
        <v>900</v>
      </c>
    </row>
    <row r="270" spans="1:21" ht="18" hidden="1" customHeight="1" x14ac:dyDescent="0.2">
      <c r="A270" s="150">
        <f t="shared" si="17"/>
        <v>269</v>
      </c>
      <c r="B270" s="150" t="s">
        <v>282</v>
      </c>
      <c r="C270" s="150" t="str">
        <f>VLOOKUP(B270,MEMBERS!B:C,2, )</f>
        <v>ZULFIQAR AHMED MEMON</v>
      </c>
      <c r="D270" s="159">
        <v>46010</v>
      </c>
      <c r="E270" s="151">
        <f>300+600</f>
        <v>900</v>
      </c>
      <c r="F270" s="151">
        <v>0</v>
      </c>
      <c r="G270" s="151">
        <v>0</v>
      </c>
      <c r="H270" s="151">
        <v>0</v>
      </c>
      <c r="I270" s="151">
        <v>0</v>
      </c>
      <c r="J270" s="151">
        <v>0</v>
      </c>
      <c r="K270" s="151">
        <v>0</v>
      </c>
      <c r="L270" s="151">
        <v>0</v>
      </c>
      <c r="M270" s="152">
        <v>0</v>
      </c>
      <c r="N270" s="151">
        <v>0</v>
      </c>
      <c r="O270" s="151">
        <v>0</v>
      </c>
      <c r="P270" s="151">
        <v>0</v>
      </c>
      <c r="Q270" s="151">
        <v>0</v>
      </c>
      <c r="R270" s="153">
        <v>0</v>
      </c>
      <c r="S270" s="153">
        <v>0</v>
      </c>
      <c r="T270" s="153">
        <v>0</v>
      </c>
      <c r="U270" s="153">
        <f t="shared" si="18"/>
        <v>900</v>
      </c>
    </row>
    <row r="271" spans="1:21" ht="18" hidden="1" customHeight="1" x14ac:dyDescent="0.2">
      <c r="A271" s="150">
        <f t="shared" si="17"/>
        <v>270</v>
      </c>
      <c r="B271" s="150" t="s">
        <v>54</v>
      </c>
      <c r="C271" s="150" t="str">
        <f>VLOOKUP(B271,MEMBERS!B:C,2, )</f>
        <v>MR.ZEESHAN IQBAL</v>
      </c>
      <c r="D271" s="159">
        <v>46010</v>
      </c>
      <c r="E271" s="151">
        <v>0</v>
      </c>
      <c r="F271" s="151">
        <f>150*2</f>
        <v>300</v>
      </c>
      <c r="G271" s="151">
        <v>0</v>
      </c>
      <c r="H271" s="151">
        <v>0</v>
      </c>
      <c r="I271" s="151">
        <v>0</v>
      </c>
      <c r="J271" s="151">
        <v>0</v>
      </c>
      <c r="K271" s="151">
        <v>0</v>
      </c>
      <c r="L271" s="151">
        <v>0</v>
      </c>
      <c r="M271" s="152">
        <v>0</v>
      </c>
      <c r="N271" s="151">
        <v>0</v>
      </c>
      <c r="O271" s="151">
        <v>0</v>
      </c>
      <c r="P271" s="151">
        <v>0</v>
      </c>
      <c r="Q271" s="151">
        <v>0</v>
      </c>
      <c r="R271" s="153">
        <v>0</v>
      </c>
      <c r="S271" s="153">
        <v>0</v>
      </c>
      <c r="T271" s="153">
        <v>0</v>
      </c>
      <c r="U271" s="153">
        <f t="shared" si="18"/>
        <v>300</v>
      </c>
    </row>
    <row r="272" spans="1:21" ht="18" hidden="1" customHeight="1" x14ac:dyDescent="0.2">
      <c r="A272" s="150">
        <f t="shared" si="17"/>
        <v>271</v>
      </c>
      <c r="B272" s="150" t="s">
        <v>359</v>
      </c>
      <c r="C272" s="150" t="str">
        <f>VLOOKUP(B272,MEMBERS!B:C,2, )</f>
        <v>DR.NASEEM MUNSHI</v>
      </c>
      <c r="D272" s="159">
        <v>46010</v>
      </c>
      <c r="E272" s="151">
        <v>0</v>
      </c>
      <c r="F272" s="151">
        <v>150</v>
      </c>
      <c r="G272" s="151">
        <v>0</v>
      </c>
      <c r="H272" s="151">
        <v>0</v>
      </c>
      <c r="I272" s="151">
        <v>0</v>
      </c>
      <c r="J272" s="151">
        <v>0</v>
      </c>
      <c r="K272" s="151">
        <v>0</v>
      </c>
      <c r="L272" s="151">
        <v>0</v>
      </c>
      <c r="M272" s="152">
        <v>0</v>
      </c>
      <c r="N272" s="151">
        <v>0</v>
      </c>
      <c r="O272" s="151">
        <v>0</v>
      </c>
      <c r="P272" s="151">
        <v>0</v>
      </c>
      <c r="Q272" s="151">
        <v>0</v>
      </c>
      <c r="R272" s="153">
        <v>0</v>
      </c>
      <c r="S272" s="153">
        <v>0</v>
      </c>
      <c r="T272" s="153">
        <v>0</v>
      </c>
      <c r="U272" s="153">
        <f t="shared" si="18"/>
        <v>150</v>
      </c>
    </row>
    <row r="273" spans="1:21" ht="18" hidden="1" customHeight="1" x14ac:dyDescent="0.2">
      <c r="A273" s="150">
        <f t="shared" si="17"/>
        <v>272</v>
      </c>
      <c r="B273" s="150" t="s">
        <v>650</v>
      </c>
      <c r="C273" s="150" t="str">
        <f>VLOOKUP(B273,MEMBERS!B:C,2, )</f>
        <v>SHAHBAZ AHMED</v>
      </c>
      <c r="D273" s="159">
        <v>46010</v>
      </c>
      <c r="E273" s="151">
        <v>0</v>
      </c>
      <c r="F273" s="151">
        <v>300</v>
      </c>
      <c r="G273" s="151">
        <v>0</v>
      </c>
      <c r="H273" s="151">
        <v>0</v>
      </c>
      <c r="I273" s="151">
        <v>0</v>
      </c>
      <c r="J273" s="151">
        <v>0</v>
      </c>
      <c r="K273" s="151">
        <v>0</v>
      </c>
      <c r="L273" s="151">
        <v>0</v>
      </c>
      <c r="M273" s="152">
        <v>0</v>
      </c>
      <c r="N273" s="151">
        <v>0</v>
      </c>
      <c r="O273" s="151">
        <v>0</v>
      </c>
      <c r="P273" s="151">
        <v>0</v>
      </c>
      <c r="Q273" s="151">
        <v>0</v>
      </c>
      <c r="R273" s="153">
        <v>0</v>
      </c>
      <c r="S273" s="153">
        <v>0</v>
      </c>
      <c r="T273" s="153">
        <v>0</v>
      </c>
      <c r="U273" s="153">
        <f t="shared" si="18"/>
        <v>300</v>
      </c>
    </row>
    <row r="274" spans="1:21" ht="18" hidden="1" customHeight="1" x14ac:dyDescent="0.2">
      <c r="A274" s="150">
        <f t="shared" si="17"/>
        <v>273</v>
      </c>
      <c r="B274" s="150" t="s">
        <v>197</v>
      </c>
      <c r="C274" s="150" t="str">
        <f>VLOOKUP(B274,MEMBERS!B:C,2, )</f>
        <v>MR.MUHAMMAD ATIF USMANI</v>
      </c>
      <c r="D274" s="159">
        <v>46010</v>
      </c>
      <c r="E274" s="151">
        <v>0</v>
      </c>
      <c r="F274" s="151">
        <v>150</v>
      </c>
      <c r="G274" s="151">
        <v>0</v>
      </c>
      <c r="H274" s="151">
        <v>0</v>
      </c>
      <c r="I274" s="151">
        <v>0</v>
      </c>
      <c r="J274" s="151">
        <v>0</v>
      </c>
      <c r="K274" s="151">
        <v>0</v>
      </c>
      <c r="L274" s="151">
        <v>0</v>
      </c>
      <c r="M274" s="152">
        <v>0</v>
      </c>
      <c r="N274" s="151">
        <v>0</v>
      </c>
      <c r="O274" s="151">
        <v>0</v>
      </c>
      <c r="P274" s="151">
        <v>0</v>
      </c>
      <c r="Q274" s="151">
        <v>0</v>
      </c>
      <c r="R274" s="153">
        <v>0</v>
      </c>
      <c r="S274" s="153">
        <v>0</v>
      </c>
      <c r="T274" s="153">
        <v>0</v>
      </c>
      <c r="U274" s="153">
        <f t="shared" si="18"/>
        <v>150</v>
      </c>
    </row>
    <row r="275" spans="1:21" ht="18" hidden="1" customHeight="1" x14ac:dyDescent="0.2">
      <c r="A275" s="150">
        <f t="shared" si="17"/>
        <v>274</v>
      </c>
      <c r="B275" s="150" t="s">
        <v>301</v>
      </c>
      <c r="C275" s="150" t="str">
        <f>VLOOKUP(B275,MEMBERS!B:C,2, )</f>
        <v>CAPT.HAMID UZ ZAFAR</v>
      </c>
      <c r="D275" s="159">
        <v>46010</v>
      </c>
      <c r="E275" s="151">
        <v>0</v>
      </c>
      <c r="F275" s="151">
        <f>150*2</f>
        <v>300</v>
      </c>
      <c r="G275" s="151">
        <v>0</v>
      </c>
      <c r="H275" s="151">
        <v>0</v>
      </c>
      <c r="I275" s="151">
        <v>0</v>
      </c>
      <c r="J275" s="151">
        <v>0</v>
      </c>
      <c r="K275" s="151">
        <v>0</v>
      </c>
      <c r="L275" s="151">
        <v>0</v>
      </c>
      <c r="M275" s="152">
        <v>0</v>
      </c>
      <c r="N275" s="151">
        <v>0</v>
      </c>
      <c r="O275" s="151">
        <v>0</v>
      </c>
      <c r="P275" s="151">
        <v>0</v>
      </c>
      <c r="Q275" s="151">
        <v>0</v>
      </c>
      <c r="R275" s="153">
        <v>0</v>
      </c>
      <c r="S275" s="153">
        <v>0</v>
      </c>
      <c r="T275" s="153">
        <v>0</v>
      </c>
      <c r="U275" s="153">
        <f t="shared" si="18"/>
        <v>300</v>
      </c>
    </row>
    <row r="276" spans="1:21" ht="18" hidden="1" customHeight="1" x14ac:dyDescent="0.2">
      <c r="A276" s="150">
        <f t="shared" si="17"/>
        <v>275</v>
      </c>
      <c r="B276" s="150" t="s">
        <v>98</v>
      </c>
      <c r="C276" s="150" t="str">
        <f>VLOOKUP(B276,MEMBERS!B:C,2, )</f>
        <v>MR.HAFEEZ AHMED SIYAL</v>
      </c>
      <c r="D276" s="159">
        <v>46010</v>
      </c>
      <c r="E276" s="151">
        <v>0</v>
      </c>
      <c r="F276" s="151">
        <v>0</v>
      </c>
      <c r="G276" s="151">
        <v>0</v>
      </c>
      <c r="H276" s="151">
        <v>0</v>
      </c>
      <c r="I276" s="151">
        <v>0</v>
      </c>
      <c r="J276" s="151">
        <f>300+500</f>
        <v>800</v>
      </c>
      <c r="K276" s="151">
        <v>0</v>
      </c>
      <c r="L276" s="151">
        <v>0</v>
      </c>
      <c r="M276" s="152">
        <v>0</v>
      </c>
      <c r="N276" s="151">
        <v>0</v>
      </c>
      <c r="O276" s="151">
        <v>0</v>
      </c>
      <c r="P276" s="151">
        <v>0</v>
      </c>
      <c r="Q276" s="151">
        <v>0</v>
      </c>
      <c r="R276" s="153">
        <v>0</v>
      </c>
      <c r="S276" s="153">
        <v>0</v>
      </c>
      <c r="T276" s="153">
        <v>0</v>
      </c>
      <c r="U276" s="153">
        <f t="shared" si="18"/>
        <v>800</v>
      </c>
    </row>
    <row r="277" spans="1:21" ht="18" hidden="1" customHeight="1" x14ac:dyDescent="0.2">
      <c r="A277" s="150">
        <f t="shared" si="17"/>
        <v>276</v>
      </c>
      <c r="B277" s="150" t="s">
        <v>1039</v>
      </c>
      <c r="C277" s="150" t="str">
        <f>VLOOKUP(B277,MEMBERS!B:C,2, )</f>
        <v>MR. AYAZ JAMRO</v>
      </c>
      <c r="D277" s="159">
        <v>46010</v>
      </c>
      <c r="E277" s="151">
        <v>0</v>
      </c>
      <c r="F277" s="151">
        <v>0</v>
      </c>
      <c r="G277" s="151">
        <v>0</v>
      </c>
      <c r="H277" s="151">
        <v>0</v>
      </c>
      <c r="I277" s="151">
        <v>0</v>
      </c>
      <c r="J277" s="151">
        <f>300*3</f>
        <v>900</v>
      </c>
      <c r="K277" s="151">
        <v>0</v>
      </c>
      <c r="L277" s="151">
        <v>0</v>
      </c>
      <c r="M277" s="152">
        <v>0</v>
      </c>
      <c r="N277" s="151">
        <v>0</v>
      </c>
      <c r="O277" s="151">
        <v>0</v>
      </c>
      <c r="P277" s="151">
        <v>0</v>
      </c>
      <c r="Q277" s="151">
        <v>0</v>
      </c>
      <c r="R277" s="153">
        <v>0</v>
      </c>
      <c r="S277" s="153">
        <v>0</v>
      </c>
      <c r="T277" s="153">
        <v>0</v>
      </c>
      <c r="U277" s="153">
        <f t="shared" si="18"/>
        <v>900</v>
      </c>
    </row>
    <row r="278" spans="1:21" ht="18" hidden="1" customHeight="1" x14ac:dyDescent="0.2">
      <c r="A278" s="150">
        <f t="shared" si="17"/>
        <v>277</v>
      </c>
      <c r="B278" s="150" t="s">
        <v>948</v>
      </c>
      <c r="C278" s="150" t="str">
        <f>VLOOKUP(B278,MEMBERS!B:C,2, )</f>
        <v>MR. TEHSEEN FAIZ</v>
      </c>
      <c r="D278" s="159">
        <v>46010</v>
      </c>
      <c r="E278" s="151">
        <v>0</v>
      </c>
      <c r="F278" s="151">
        <v>0</v>
      </c>
      <c r="G278" s="151">
        <v>0</v>
      </c>
      <c r="H278" s="151">
        <v>0</v>
      </c>
      <c r="I278" s="151">
        <v>0</v>
      </c>
      <c r="J278" s="151">
        <f>500*3</f>
        <v>1500</v>
      </c>
      <c r="K278" s="151">
        <v>0</v>
      </c>
      <c r="L278" s="151">
        <v>0</v>
      </c>
      <c r="M278" s="152">
        <v>0</v>
      </c>
      <c r="N278" s="151">
        <v>0</v>
      </c>
      <c r="O278" s="151">
        <v>0</v>
      </c>
      <c r="P278" s="151">
        <v>0</v>
      </c>
      <c r="Q278" s="151">
        <v>0</v>
      </c>
      <c r="R278" s="153">
        <v>0</v>
      </c>
      <c r="S278" s="153">
        <v>0</v>
      </c>
      <c r="T278" s="153">
        <v>0</v>
      </c>
      <c r="U278" s="153">
        <f t="shared" si="18"/>
        <v>1500</v>
      </c>
    </row>
    <row r="279" spans="1:21" ht="18" hidden="1" customHeight="1" x14ac:dyDescent="0.2">
      <c r="A279" s="150">
        <f t="shared" si="17"/>
        <v>278</v>
      </c>
      <c r="B279" s="150" t="s">
        <v>756</v>
      </c>
      <c r="C279" s="150" t="s">
        <v>1173</v>
      </c>
      <c r="D279" s="159">
        <v>46011</v>
      </c>
      <c r="E279" s="151">
        <v>0</v>
      </c>
      <c r="F279" s="151">
        <v>0</v>
      </c>
      <c r="G279" s="151">
        <v>0</v>
      </c>
      <c r="H279" s="151">
        <v>0</v>
      </c>
      <c r="I279" s="151">
        <v>0</v>
      </c>
      <c r="J279" s="151">
        <v>0</v>
      </c>
      <c r="K279" s="151">
        <v>0</v>
      </c>
      <c r="L279" s="151">
        <v>0</v>
      </c>
      <c r="M279" s="152">
        <v>0</v>
      </c>
      <c r="N279" s="151">
        <v>0</v>
      </c>
      <c r="O279" s="151">
        <v>0</v>
      </c>
      <c r="P279" s="289">
        <v>4000</v>
      </c>
      <c r="Q279" s="151">
        <v>0</v>
      </c>
      <c r="R279" s="153">
        <v>0</v>
      </c>
      <c r="S279" s="153">
        <v>0</v>
      </c>
      <c r="T279" s="153">
        <v>0</v>
      </c>
      <c r="U279" s="153">
        <f t="shared" si="18"/>
        <v>4000</v>
      </c>
    </row>
    <row r="280" spans="1:21" ht="18" hidden="1" customHeight="1" x14ac:dyDescent="0.2">
      <c r="A280" s="150">
        <f t="shared" si="17"/>
        <v>279</v>
      </c>
      <c r="B280" s="150" t="s">
        <v>263</v>
      </c>
      <c r="C280" s="150" t="str">
        <f>VLOOKUP(B280,MEMBERS!B:C,2, )</f>
        <v>MR.CAREL HEDRIK BURGER</v>
      </c>
      <c r="D280" s="159">
        <v>46011</v>
      </c>
      <c r="E280" s="151">
        <v>0</v>
      </c>
      <c r="F280" s="151">
        <v>0</v>
      </c>
      <c r="G280" s="151">
        <v>0</v>
      </c>
      <c r="H280" s="151">
        <v>0</v>
      </c>
      <c r="I280" s="151">
        <v>0</v>
      </c>
      <c r="J280" s="151">
        <v>0</v>
      </c>
      <c r="K280" s="151">
        <v>0</v>
      </c>
      <c r="L280" s="151">
        <v>0</v>
      </c>
      <c r="M280" s="152">
        <v>0</v>
      </c>
      <c r="N280" s="151">
        <v>0</v>
      </c>
      <c r="O280" s="151">
        <v>0</v>
      </c>
      <c r="P280" s="151">
        <v>8500</v>
      </c>
      <c r="Q280" s="151">
        <v>0</v>
      </c>
      <c r="R280" s="153">
        <v>0</v>
      </c>
      <c r="S280" s="153">
        <v>0</v>
      </c>
      <c r="T280" s="153">
        <v>0</v>
      </c>
      <c r="U280" s="153">
        <f t="shared" si="18"/>
        <v>8500</v>
      </c>
    </row>
    <row r="281" spans="1:21" ht="18" hidden="1" customHeight="1" x14ac:dyDescent="0.2">
      <c r="A281" s="150">
        <f t="shared" si="17"/>
        <v>280</v>
      </c>
      <c r="B281" s="150" t="s">
        <v>1024</v>
      </c>
      <c r="C281" s="150" t="str">
        <f>VLOOKUP(B281,MEMBERS!B:C,2, )</f>
        <v>MR. ANEEL ZAHOOR</v>
      </c>
      <c r="D281" s="159">
        <v>46011</v>
      </c>
      <c r="E281" s="151">
        <v>0</v>
      </c>
      <c r="F281" s="151">
        <v>0</v>
      </c>
      <c r="G281" s="151">
        <v>0</v>
      </c>
      <c r="H281" s="151">
        <v>0</v>
      </c>
      <c r="I281" s="151">
        <v>0</v>
      </c>
      <c r="J281" s="151">
        <v>0</v>
      </c>
      <c r="K281" s="151">
        <v>0</v>
      </c>
      <c r="L281" s="151">
        <v>0</v>
      </c>
      <c r="M281" s="152">
        <v>0</v>
      </c>
      <c r="N281" s="151">
        <v>0</v>
      </c>
      <c r="O281" s="151">
        <v>0</v>
      </c>
      <c r="P281" s="151">
        <v>27500</v>
      </c>
      <c r="Q281" s="151">
        <v>0</v>
      </c>
      <c r="R281" s="153">
        <v>0</v>
      </c>
      <c r="S281" s="153">
        <v>0</v>
      </c>
      <c r="T281" s="153">
        <v>0</v>
      </c>
      <c r="U281" s="153">
        <f t="shared" si="18"/>
        <v>27500</v>
      </c>
    </row>
    <row r="282" spans="1:21" ht="18" hidden="1" customHeight="1" x14ac:dyDescent="0.2">
      <c r="A282" s="150">
        <f t="shared" si="17"/>
        <v>281</v>
      </c>
      <c r="B282" s="150" t="s">
        <v>207</v>
      </c>
      <c r="C282" s="150" t="str">
        <f>VLOOKUP(B282,MEMBERS!B:C,2, )</f>
        <v>MR.ATHER TARIQ</v>
      </c>
      <c r="D282" s="159">
        <v>46011</v>
      </c>
      <c r="E282" s="151">
        <v>0</v>
      </c>
      <c r="F282" s="151">
        <v>0</v>
      </c>
      <c r="G282" s="151">
        <v>0</v>
      </c>
      <c r="H282" s="151">
        <v>0</v>
      </c>
      <c r="I282" s="151">
        <v>0</v>
      </c>
      <c r="J282" s="151">
        <v>0</v>
      </c>
      <c r="K282" s="151">
        <v>0</v>
      </c>
      <c r="L282" s="151">
        <v>0</v>
      </c>
      <c r="M282" s="152">
        <v>0</v>
      </c>
      <c r="N282" s="151">
        <v>0</v>
      </c>
      <c r="O282" s="151">
        <v>0</v>
      </c>
      <c r="P282" s="151">
        <v>300</v>
      </c>
      <c r="Q282" s="151">
        <v>0</v>
      </c>
      <c r="R282" s="153">
        <v>0</v>
      </c>
      <c r="S282" s="153">
        <v>0</v>
      </c>
      <c r="T282" s="153">
        <v>0</v>
      </c>
      <c r="U282" s="153">
        <f t="shared" si="18"/>
        <v>300</v>
      </c>
    </row>
    <row r="283" spans="1:21" ht="18" hidden="1" customHeight="1" x14ac:dyDescent="0.2">
      <c r="A283" s="150">
        <f t="shared" si="17"/>
        <v>282</v>
      </c>
      <c r="B283" s="150" t="s">
        <v>650</v>
      </c>
      <c r="C283" s="150" t="str">
        <f>VLOOKUP(B283,MEMBERS!B:C,2, )</f>
        <v>SHAHBAZ AHMED</v>
      </c>
      <c r="D283" s="159">
        <v>46011</v>
      </c>
      <c r="E283" s="151">
        <v>0</v>
      </c>
      <c r="F283" s="151">
        <v>300</v>
      </c>
      <c r="G283" s="151">
        <v>0</v>
      </c>
      <c r="H283" s="151">
        <v>0</v>
      </c>
      <c r="I283" s="151">
        <v>0</v>
      </c>
      <c r="J283" s="151">
        <v>0</v>
      </c>
      <c r="K283" s="151">
        <v>0</v>
      </c>
      <c r="L283" s="151">
        <v>0</v>
      </c>
      <c r="M283" s="152">
        <v>0</v>
      </c>
      <c r="N283" s="151">
        <v>0</v>
      </c>
      <c r="O283" s="151">
        <v>0</v>
      </c>
      <c r="P283" s="151">
        <v>0</v>
      </c>
      <c r="Q283" s="151">
        <v>0</v>
      </c>
      <c r="R283" s="153">
        <v>0</v>
      </c>
      <c r="S283" s="153">
        <v>0</v>
      </c>
      <c r="T283" s="153">
        <v>0</v>
      </c>
      <c r="U283" s="153">
        <f t="shared" si="18"/>
        <v>300</v>
      </c>
    </row>
    <row r="284" spans="1:21" ht="18" hidden="1" customHeight="1" x14ac:dyDescent="0.2">
      <c r="A284" s="150">
        <f t="shared" si="17"/>
        <v>283</v>
      </c>
      <c r="B284" s="150" t="s">
        <v>98</v>
      </c>
      <c r="C284" s="150" t="str">
        <f>VLOOKUP(B284,MEMBERS!B:C,2, )</f>
        <v>MR.HAFEEZ AHMED SIYAL</v>
      </c>
      <c r="D284" s="159">
        <v>46011</v>
      </c>
      <c r="E284" s="151">
        <v>0</v>
      </c>
      <c r="F284" s="151">
        <v>150</v>
      </c>
      <c r="G284" s="151">
        <v>0</v>
      </c>
      <c r="H284" s="151">
        <v>0</v>
      </c>
      <c r="I284" s="151">
        <v>0</v>
      </c>
      <c r="J284" s="151">
        <f>300+500</f>
        <v>800</v>
      </c>
      <c r="K284" s="151">
        <v>0</v>
      </c>
      <c r="L284" s="151">
        <v>0</v>
      </c>
      <c r="M284" s="152">
        <v>0</v>
      </c>
      <c r="N284" s="151">
        <v>0</v>
      </c>
      <c r="O284" s="151">
        <v>0</v>
      </c>
      <c r="P284" s="151">
        <v>0</v>
      </c>
      <c r="Q284" s="151">
        <v>0</v>
      </c>
      <c r="R284" s="153">
        <v>0</v>
      </c>
      <c r="S284" s="153">
        <v>0</v>
      </c>
      <c r="T284" s="153">
        <v>0</v>
      </c>
      <c r="U284" s="153">
        <f t="shared" si="18"/>
        <v>950</v>
      </c>
    </row>
    <row r="285" spans="1:21" ht="18" hidden="1" customHeight="1" x14ac:dyDescent="0.2">
      <c r="A285" s="150">
        <f t="shared" si="17"/>
        <v>284</v>
      </c>
      <c r="B285" s="150" t="s">
        <v>359</v>
      </c>
      <c r="C285" s="150" t="str">
        <f>VLOOKUP(B285,MEMBERS!B:C,2, )</f>
        <v>DR.NASEEM MUNSHI</v>
      </c>
      <c r="D285" s="159">
        <v>46011</v>
      </c>
      <c r="E285" s="151">
        <v>0</v>
      </c>
      <c r="F285" s="151">
        <v>150</v>
      </c>
      <c r="G285" s="151">
        <v>0</v>
      </c>
      <c r="H285" s="151">
        <v>0</v>
      </c>
      <c r="I285" s="151">
        <v>0</v>
      </c>
      <c r="J285" s="151">
        <v>0</v>
      </c>
      <c r="K285" s="151">
        <v>0</v>
      </c>
      <c r="L285" s="151">
        <v>0</v>
      </c>
      <c r="M285" s="152">
        <v>0</v>
      </c>
      <c r="N285" s="151">
        <v>0</v>
      </c>
      <c r="O285" s="151">
        <v>0</v>
      </c>
      <c r="P285" s="151">
        <v>0</v>
      </c>
      <c r="Q285" s="151">
        <v>0</v>
      </c>
      <c r="R285" s="153">
        <v>0</v>
      </c>
      <c r="S285" s="153">
        <v>0</v>
      </c>
      <c r="T285" s="153">
        <v>0</v>
      </c>
      <c r="U285" s="153">
        <f t="shared" si="18"/>
        <v>150</v>
      </c>
    </row>
    <row r="286" spans="1:21" ht="18" hidden="1" customHeight="1" x14ac:dyDescent="0.2">
      <c r="A286" s="150">
        <f t="shared" si="17"/>
        <v>285</v>
      </c>
      <c r="B286" s="150" t="s">
        <v>54</v>
      </c>
      <c r="C286" s="150" t="str">
        <f>VLOOKUP(B286,MEMBERS!B:C,2, )</f>
        <v>MR.ZEESHAN IQBAL</v>
      </c>
      <c r="D286" s="159">
        <v>46011</v>
      </c>
      <c r="E286" s="151">
        <v>0</v>
      </c>
      <c r="F286" s="151">
        <v>150</v>
      </c>
      <c r="G286" s="151">
        <v>0</v>
      </c>
      <c r="H286" s="151">
        <v>0</v>
      </c>
      <c r="I286" s="151">
        <v>0</v>
      </c>
      <c r="J286" s="151">
        <v>0</v>
      </c>
      <c r="K286" s="151">
        <v>0</v>
      </c>
      <c r="L286" s="151">
        <v>0</v>
      </c>
      <c r="M286" s="152">
        <v>0</v>
      </c>
      <c r="N286" s="151">
        <v>0</v>
      </c>
      <c r="O286" s="151">
        <v>0</v>
      </c>
      <c r="P286" s="151">
        <v>0</v>
      </c>
      <c r="Q286" s="151">
        <v>0</v>
      </c>
      <c r="R286" s="153">
        <v>0</v>
      </c>
      <c r="S286" s="153">
        <v>0</v>
      </c>
      <c r="T286" s="153">
        <v>0</v>
      </c>
      <c r="U286" s="153">
        <f t="shared" si="18"/>
        <v>150</v>
      </c>
    </row>
    <row r="287" spans="1:21" ht="18" hidden="1" customHeight="1" x14ac:dyDescent="0.2">
      <c r="A287" s="150">
        <f t="shared" si="17"/>
        <v>286</v>
      </c>
      <c r="B287" s="150" t="s">
        <v>315</v>
      </c>
      <c r="C287" s="150" t="str">
        <f>VLOOKUP(B287,MEMBERS!B:C,2, )</f>
        <v>DGM FATIMA ZAHID</v>
      </c>
      <c r="D287" s="159">
        <v>46011</v>
      </c>
      <c r="E287" s="151">
        <v>0</v>
      </c>
      <c r="F287" s="151">
        <v>0</v>
      </c>
      <c r="G287" s="151">
        <v>0</v>
      </c>
      <c r="H287" s="151">
        <v>0</v>
      </c>
      <c r="I287" s="151">
        <v>0</v>
      </c>
      <c r="J287" s="151">
        <v>300</v>
      </c>
      <c r="K287" s="151">
        <v>0</v>
      </c>
      <c r="L287" s="151">
        <v>0</v>
      </c>
      <c r="M287" s="152">
        <v>0</v>
      </c>
      <c r="N287" s="151">
        <v>0</v>
      </c>
      <c r="O287" s="151">
        <v>0</v>
      </c>
      <c r="P287" s="151">
        <v>0</v>
      </c>
      <c r="Q287" s="151">
        <v>0</v>
      </c>
      <c r="R287" s="153">
        <v>0</v>
      </c>
      <c r="S287" s="153">
        <v>0</v>
      </c>
      <c r="T287" s="153">
        <v>0</v>
      </c>
      <c r="U287" s="153">
        <f t="shared" si="18"/>
        <v>300</v>
      </c>
    </row>
    <row r="288" spans="1:21" ht="18" hidden="1" customHeight="1" x14ac:dyDescent="0.2">
      <c r="A288" s="150">
        <f t="shared" si="17"/>
        <v>287</v>
      </c>
      <c r="B288" s="150" t="s">
        <v>430</v>
      </c>
      <c r="C288" s="150" t="str">
        <f>VLOOKUP(B288,MEMBERS!B:C,2, )</f>
        <v>SYED JIBRAN MUSHTAQ</v>
      </c>
      <c r="D288" s="159">
        <v>46011</v>
      </c>
      <c r="E288" s="151">
        <v>0</v>
      </c>
      <c r="F288" s="151">
        <v>0</v>
      </c>
      <c r="G288" s="151">
        <v>0</v>
      </c>
      <c r="H288" s="151">
        <v>0</v>
      </c>
      <c r="I288" s="151">
        <v>0</v>
      </c>
      <c r="J288" s="151">
        <f>300+500</f>
        <v>800</v>
      </c>
      <c r="K288" s="151">
        <v>0</v>
      </c>
      <c r="L288" s="151">
        <v>0</v>
      </c>
      <c r="M288" s="152">
        <v>0</v>
      </c>
      <c r="N288" s="151">
        <v>0</v>
      </c>
      <c r="O288" s="151">
        <v>0</v>
      </c>
      <c r="P288" s="151">
        <v>0</v>
      </c>
      <c r="Q288" s="151">
        <v>0</v>
      </c>
      <c r="R288" s="153">
        <v>0</v>
      </c>
      <c r="S288" s="153">
        <v>0</v>
      </c>
      <c r="T288" s="153">
        <v>0</v>
      </c>
      <c r="U288" s="153">
        <f t="shared" si="18"/>
        <v>800</v>
      </c>
    </row>
    <row r="289" spans="1:21" ht="18" hidden="1" customHeight="1" x14ac:dyDescent="0.2">
      <c r="A289" s="150">
        <f t="shared" si="17"/>
        <v>288</v>
      </c>
      <c r="B289" s="150" t="s">
        <v>1021</v>
      </c>
      <c r="C289" s="150" t="str">
        <f>VLOOKUP(B289,MEMBERS!B:C,2, )</f>
        <v>MR. AIJAZ ALI BALOCH</v>
      </c>
      <c r="D289" s="159">
        <v>46011</v>
      </c>
      <c r="E289" s="151">
        <v>0</v>
      </c>
      <c r="F289" s="151">
        <v>0</v>
      </c>
      <c r="G289" s="151">
        <v>0</v>
      </c>
      <c r="H289" s="151">
        <v>0</v>
      </c>
      <c r="I289" s="151">
        <v>0</v>
      </c>
      <c r="J289" s="151">
        <f>300*3+500*7</f>
        <v>4400</v>
      </c>
      <c r="K289" s="151">
        <v>0</v>
      </c>
      <c r="L289" s="151">
        <v>0</v>
      </c>
      <c r="M289" s="152">
        <v>0</v>
      </c>
      <c r="N289" s="151">
        <v>0</v>
      </c>
      <c r="O289" s="151">
        <v>0</v>
      </c>
      <c r="P289" s="151">
        <v>0</v>
      </c>
      <c r="Q289" s="151">
        <v>0</v>
      </c>
      <c r="R289" s="153">
        <v>0</v>
      </c>
      <c r="S289" s="153">
        <v>0</v>
      </c>
      <c r="T289" s="153">
        <v>0</v>
      </c>
      <c r="U289" s="153">
        <f t="shared" si="18"/>
        <v>4400</v>
      </c>
    </row>
    <row r="290" spans="1:21" ht="18" hidden="1" customHeight="1" x14ac:dyDescent="0.2">
      <c r="A290" s="150">
        <f t="shared" si="17"/>
        <v>289</v>
      </c>
      <c r="B290" s="150" t="s">
        <v>221</v>
      </c>
      <c r="C290" s="150" t="str">
        <f>VLOOKUP(B290,MEMBERS!B:C,2, )</f>
        <v>MR.WAQAR UDDIN</v>
      </c>
      <c r="D290" s="159">
        <v>46011</v>
      </c>
      <c r="E290" s="151">
        <f>300+600*4</f>
        <v>2700</v>
      </c>
      <c r="F290" s="151">
        <v>0</v>
      </c>
      <c r="G290" s="151">
        <v>0</v>
      </c>
      <c r="H290" s="151">
        <v>0</v>
      </c>
      <c r="I290" s="151">
        <v>0</v>
      </c>
      <c r="J290" s="151">
        <v>0</v>
      </c>
      <c r="K290" s="151">
        <v>0</v>
      </c>
      <c r="L290" s="151">
        <v>0</v>
      </c>
      <c r="M290" s="152">
        <v>0</v>
      </c>
      <c r="N290" s="151">
        <v>0</v>
      </c>
      <c r="O290" s="151">
        <v>0</v>
      </c>
      <c r="P290" s="151">
        <v>0</v>
      </c>
      <c r="Q290" s="151">
        <v>0</v>
      </c>
      <c r="R290" s="153">
        <v>0</v>
      </c>
      <c r="S290" s="153">
        <v>0</v>
      </c>
      <c r="T290" s="153">
        <v>0</v>
      </c>
      <c r="U290" s="153">
        <f t="shared" si="18"/>
        <v>2700</v>
      </c>
    </row>
    <row r="291" spans="1:21" ht="18" hidden="1" customHeight="1" x14ac:dyDescent="0.2">
      <c r="A291" s="150">
        <f t="shared" si="17"/>
        <v>290</v>
      </c>
      <c r="B291" s="150" t="s">
        <v>123</v>
      </c>
      <c r="C291" s="150" t="str">
        <f>VLOOKUP(B291,MEMBERS!B:C,2, )</f>
        <v>MR.MUIED AHMED DURRANI</v>
      </c>
      <c r="D291" s="159">
        <v>46011</v>
      </c>
      <c r="E291" s="151">
        <f>600*3</f>
        <v>1800</v>
      </c>
      <c r="F291" s="151">
        <v>0</v>
      </c>
      <c r="G291" s="151">
        <v>0</v>
      </c>
      <c r="H291" s="151">
        <v>0</v>
      </c>
      <c r="I291" s="151">
        <v>0</v>
      </c>
      <c r="J291" s="151">
        <v>0</v>
      </c>
      <c r="K291" s="151">
        <v>0</v>
      </c>
      <c r="L291" s="151">
        <v>0</v>
      </c>
      <c r="M291" s="152">
        <v>0</v>
      </c>
      <c r="N291" s="151">
        <v>0</v>
      </c>
      <c r="O291" s="151">
        <v>0</v>
      </c>
      <c r="P291" s="151">
        <v>0</v>
      </c>
      <c r="Q291" s="151">
        <v>0</v>
      </c>
      <c r="R291" s="153">
        <v>0</v>
      </c>
      <c r="S291" s="153">
        <v>0</v>
      </c>
      <c r="T291" s="153">
        <v>0</v>
      </c>
      <c r="U291" s="153">
        <f t="shared" si="18"/>
        <v>1800</v>
      </c>
    </row>
    <row r="292" spans="1:21" ht="18" hidden="1" customHeight="1" x14ac:dyDescent="0.2">
      <c r="A292" s="150">
        <f t="shared" si="17"/>
        <v>291</v>
      </c>
      <c r="B292" s="150" t="s">
        <v>187</v>
      </c>
      <c r="C292" s="150" t="str">
        <f>VLOOKUP(B292,MEMBERS!B:C,2, )</f>
        <v>MR.SHAN ELAHI SEHGAL</v>
      </c>
      <c r="D292" s="159">
        <v>46011</v>
      </c>
      <c r="E292" s="151">
        <f>300*2+600</f>
        <v>1200</v>
      </c>
      <c r="F292" s="151">
        <v>0</v>
      </c>
      <c r="G292" s="151">
        <v>0</v>
      </c>
      <c r="H292" s="151">
        <v>0</v>
      </c>
      <c r="I292" s="151">
        <v>0</v>
      </c>
      <c r="J292" s="151">
        <v>0</v>
      </c>
      <c r="K292" s="151">
        <v>0</v>
      </c>
      <c r="L292" s="151">
        <v>0</v>
      </c>
      <c r="M292" s="152">
        <v>0</v>
      </c>
      <c r="N292" s="151">
        <v>0</v>
      </c>
      <c r="O292" s="151">
        <v>0</v>
      </c>
      <c r="P292" s="151">
        <v>0</v>
      </c>
      <c r="Q292" s="151">
        <v>0</v>
      </c>
      <c r="R292" s="153">
        <v>0</v>
      </c>
      <c r="S292" s="153">
        <v>0</v>
      </c>
      <c r="T292" s="153">
        <v>0</v>
      </c>
      <c r="U292" s="153">
        <f t="shared" si="18"/>
        <v>1200</v>
      </c>
    </row>
    <row r="293" spans="1:21" ht="18" hidden="1" customHeight="1" x14ac:dyDescent="0.2">
      <c r="A293" s="150">
        <f t="shared" si="17"/>
        <v>292</v>
      </c>
      <c r="B293" s="150" t="s">
        <v>113</v>
      </c>
      <c r="C293" s="150" t="str">
        <f>VLOOKUP(B293,MEMBERS!B:C,2, )</f>
        <v>MR.MANOJ KUMAR</v>
      </c>
      <c r="D293" s="159">
        <v>46011</v>
      </c>
      <c r="E293" s="151">
        <f>300+600</f>
        <v>900</v>
      </c>
      <c r="F293" s="151">
        <v>0</v>
      </c>
      <c r="G293" s="151">
        <v>0</v>
      </c>
      <c r="H293" s="151">
        <v>0</v>
      </c>
      <c r="I293" s="151">
        <v>0</v>
      </c>
      <c r="J293" s="151">
        <v>0</v>
      </c>
      <c r="K293" s="151">
        <v>0</v>
      </c>
      <c r="L293" s="151">
        <v>0</v>
      </c>
      <c r="M293" s="152">
        <v>0</v>
      </c>
      <c r="N293" s="151">
        <v>0</v>
      </c>
      <c r="O293" s="151">
        <v>0</v>
      </c>
      <c r="P293" s="151">
        <v>0</v>
      </c>
      <c r="Q293" s="151">
        <v>0</v>
      </c>
      <c r="R293" s="153">
        <v>0</v>
      </c>
      <c r="S293" s="153">
        <v>0</v>
      </c>
      <c r="T293" s="153">
        <v>0</v>
      </c>
      <c r="U293" s="153">
        <f t="shared" si="18"/>
        <v>900</v>
      </c>
    </row>
    <row r="294" spans="1:21" ht="18" hidden="1" customHeight="1" x14ac:dyDescent="0.2">
      <c r="A294" s="150">
        <f t="shared" si="17"/>
        <v>293</v>
      </c>
      <c r="B294" s="150" t="s">
        <v>756</v>
      </c>
      <c r="C294" s="150" t="s">
        <v>1173</v>
      </c>
      <c r="D294" s="159">
        <v>46012</v>
      </c>
      <c r="E294" s="151">
        <v>0</v>
      </c>
      <c r="F294" s="151">
        <v>0</v>
      </c>
      <c r="G294" s="151">
        <v>0</v>
      </c>
      <c r="H294" s="151">
        <v>0</v>
      </c>
      <c r="I294" s="151">
        <v>0</v>
      </c>
      <c r="J294" s="151">
        <v>0</v>
      </c>
      <c r="K294" s="151">
        <v>0</v>
      </c>
      <c r="L294" s="151">
        <v>0</v>
      </c>
      <c r="M294" s="152">
        <v>0</v>
      </c>
      <c r="N294" s="151">
        <v>0</v>
      </c>
      <c r="O294" s="151">
        <v>0</v>
      </c>
      <c r="P294" s="289">
        <v>7500</v>
      </c>
      <c r="Q294" s="151">
        <v>0</v>
      </c>
      <c r="R294" s="153">
        <v>0</v>
      </c>
      <c r="S294" s="153">
        <v>0</v>
      </c>
      <c r="T294" s="153">
        <v>0</v>
      </c>
      <c r="U294" s="153">
        <f t="shared" si="18"/>
        <v>7500</v>
      </c>
    </row>
    <row r="295" spans="1:21" ht="18" customHeight="1" x14ac:dyDescent="0.2">
      <c r="A295" s="150">
        <f t="shared" ref="A295:A303" si="19">IF(D295&lt;&gt;"", ROW()-1, "")</f>
        <v>294</v>
      </c>
      <c r="B295" s="150" t="s">
        <v>373</v>
      </c>
      <c r="C295" s="150" t="str">
        <f>VLOOKUP(B295,MEMBERS!B:C,2, )</f>
        <v>ASIF ASHFAQ</v>
      </c>
      <c r="D295" s="159">
        <v>46012</v>
      </c>
      <c r="E295" s="151">
        <v>0</v>
      </c>
      <c r="F295" s="151">
        <v>0</v>
      </c>
      <c r="G295" s="151">
        <v>0</v>
      </c>
      <c r="H295" s="151">
        <v>0</v>
      </c>
      <c r="I295" s="151">
        <v>0</v>
      </c>
      <c r="J295" s="151">
        <f>300*1+500*6</f>
        <v>3300</v>
      </c>
      <c r="K295" s="151">
        <v>0</v>
      </c>
      <c r="L295" s="151">
        <v>0</v>
      </c>
      <c r="M295" s="152">
        <v>0</v>
      </c>
      <c r="N295" s="151">
        <v>0</v>
      </c>
      <c r="O295" s="151">
        <f>1000+1500*3</f>
        <v>5500</v>
      </c>
      <c r="P295" s="151">
        <v>0</v>
      </c>
      <c r="Q295" s="151">
        <v>0</v>
      </c>
      <c r="R295" s="153">
        <v>0</v>
      </c>
      <c r="S295" s="153">
        <v>0</v>
      </c>
      <c r="T295" s="153">
        <v>0</v>
      </c>
      <c r="U295" s="153">
        <f t="shared" ref="U295:U303" si="20">SUM(E295:T295)</f>
        <v>8800</v>
      </c>
    </row>
    <row r="296" spans="1:21" ht="18" customHeight="1" x14ac:dyDescent="0.2">
      <c r="A296" s="150">
        <f t="shared" si="19"/>
        <v>295</v>
      </c>
      <c r="B296" s="150" t="s">
        <v>947</v>
      </c>
      <c r="C296" s="150" t="str">
        <f>VLOOKUP(B296,MEMBERS!B:C,2, )</f>
        <v>MR . SYED RAHAT HUSSAIN ZAIDI</v>
      </c>
      <c r="D296" s="159">
        <v>46012</v>
      </c>
      <c r="E296" s="151">
        <f>600*12</f>
        <v>7200</v>
      </c>
      <c r="F296" s="151">
        <v>0</v>
      </c>
      <c r="G296" s="151">
        <f>300*3+150*2</f>
        <v>1200</v>
      </c>
      <c r="H296" s="151">
        <f>600*6</f>
        <v>3600</v>
      </c>
      <c r="I296" s="151">
        <v>0</v>
      </c>
      <c r="J296" s="151">
        <f>300*2+500*5</f>
        <v>3100</v>
      </c>
      <c r="K296" s="151">
        <v>0</v>
      </c>
      <c r="L296" s="151">
        <v>0</v>
      </c>
      <c r="M296" s="152">
        <v>200</v>
      </c>
      <c r="N296" s="151">
        <v>0</v>
      </c>
      <c r="O296" s="151">
        <f>1000*2+1500*6</f>
        <v>11000</v>
      </c>
      <c r="P296" s="151">
        <v>0</v>
      </c>
      <c r="Q296" s="151">
        <v>0</v>
      </c>
      <c r="R296" s="153">
        <v>0</v>
      </c>
      <c r="S296" s="153">
        <v>0</v>
      </c>
      <c r="T296" s="153">
        <v>0</v>
      </c>
      <c r="U296" s="153">
        <f t="shared" si="20"/>
        <v>26300</v>
      </c>
    </row>
    <row r="297" spans="1:21" ht="18" hidden="1" customHeight="1" x14ac:dyDescent="0.2">
      <c r="A297" s="150">
        <f t="shared" si="19"/>
        <v>296</v>
      </c>
      <c r="B297" s="150" t="s">
        <v>44</v>
      </c>
      <c r="C297" s="150" t="str">
        <f>VLOOKUP(B297,MEMBERS!B:C,2, )</f>
        <v>MR.MUHAMMAD RIZWAN</v>
      </c>
      <c r="D297" s="159">
        <v>46012</v>
      </c>
      <c r="E297" s="151">
        <f>300+600</f>
        <v>900</v>
      </c>
      <c r="F297" s="151">
        <v>0</v>
      </c>
      <c r="G297" s="151">
        <v>0</v>
      </c>
      <c r="H297" s="151">
        <v>0</v>
      </c>
      <c r="I297" s="151">
        <v>0</v>
      </c>
      <c r="J297" s="151">
        <v>0</v>
      </c>
      <c r="K297" s="151">
        <v>0</v>
      </c>
      <c r="L297" s="151">
        <v>0</v>
      </c>
      <c r="M297" s="152">
        <v>0</v>
      </c>
      <c r="N297" s="151">
        <v>0</v>
      </c>
      <c r="O297" s="151">
        <v>0</v>
      </c>
      <c r="P297" s="151">
        <v>0</v>
      </c>
      <c r="Q297" s="151">
        <v>0</v>
      </c>
      <c r="R297" s="153">
        <v>0</v>
      </c>
      <c r="S297" s="153">
        <v>0</v>
      </c>
      <c r="T297" s="153">
        <v>0</v>
      </c>
      <c r="U297" s="153">
        <f t="shared" si="20"/>
        <v>900</v>
      </c>
    </row>
    <row r="298" spans="1:21" ht="18" hidden="1" customHeight="1" x14ac:dyDescent="0.2">
      <c r="A298" s="150">
        <f t="shared" si="19"/>
        <v>297</v>
      </c>
      <c r="B298" s="150" t="s">
        <v>182</v>
      </c>
      <c r="C298" s="150" t="str">
        <f>VLOOKUP(B298,MEMBERS!B:C,2, )</f>
        <v>MR.MUHAMMAD SALIQ SIDDIQUI</v>
      </c>
      <c r="D298" s="159">
        <v>46012</v>
      </c>
      <c r="E298" s="151">
        <f>600*4</f>
        <v>2400</v>
      </c>
      <c r="F298" s="151">
        <v>0</v>
      </c>
      <c r="G298" s="151">
        <v>0</v>
      </c>
      <c r="H298" s="151">
        <v>0</v>
      </c>
      <c r="I298" s="151">
        <v>0</v>
      </c>
      <c r="J298" s="151">
        <f>500*2</f>
        <v>1000</v>
      </c>
      <c r="K298" s="151">
        <v>0</v>
      </c>
      <c r="L298" s="151">
        <v>0</v>
      </c>
      <c r="M298" s="152">
        <v>0</v>
      </c>
      <c r="N298" s="151">
        <v>0</v>
      </c>
      <c r="O298" s="151">
        <v>0</v>
      </c>
      <c r="P298" s="151">
        <v>0</v>
      </c>
      <c r="Q298" s="151">
        <v>0</v>
      </c>
      <c r="R298" s="153">
        <v>0</v>
      </c>
      <c r="S298" s="153">
        <v>0</v>
      </c>
      <c r="T298" s="153">
        <v>0</v>
      </c>
      <c r="U298" s="153">
        <f t="shared" si="20"/>
        <v>3400</v>
      </c>
    </row>
    <row r="299" spans="1:21" ht="18" hidden="1" customHeight="1" x14ac:dyDescent="0.2">
      <c r="A299" s="150">
        <f t="shared" si="19"/>
        <v>298</v>
      </c>
      <c r="B299" s="150" t="s">
        <v>268</v>
      </c>
      <c r="C299" s="150" t="str">
        <f>VLOOKUP(B299,MEMBERS!B:C,2, )</f>
        <v>DGM AMJAD ALI SHAIKH</v>
      </c>
      <c r="D299" s="159">
        <v>46012</v>
      </c>
      <c r="E299" s="151">
        <v>0</v>
      </c>
      <c r="F299" s="151">
        <v>0</v>
      </c>
      <c r="G299" s="151">
        <v>0</v>
      </c>
      <c r="H299" s="151">
        <v>0</v>
      </c>
      <c r="I299" s="151">
        <v>0</v>
      </c>
      <c r="J299" s="151">
        <v>300</v>
      </c>
      <c r="K299" s="151">
        <v>0</v>
      </c>
      <c r="L299" s="151">
        <v>0</v>
      </c>
      <c r="M299" s="152">
        <v>0</v>
      </c>
      <c r="N299" s="151">
        <v>0</v>
      </c>
      <c r="O299" s="151">
        <v>0</v>
      </c>
      <c r="P299" s="151">
        <v>0</v>
      </c>
      <c r="Q299" s="151">
        <v>0</v>
      </c>
      <c r="R299" s="153">
        <v>0</v>
      </c>
      <c r="S299" s="153">
        <v>0</v>
      </c>
      <c r="T299" s="153">
        <v>0</v>
      </c>
      <c r="U299" s="153">
        <f t="shared" si="20"/>
        <v>300</v>
      </c>
    </row>
    <row r="300" spans="1:21" ht="18" hidden="1" customHeight="1" x14ac:dyDescent="0.2">
      <c r="A300" s="150">
        <f t="shared" si="19"/>
        <v>299</v>
      </c>
      <c r="B300" s="150" t="s">
        <v>795</v>
      </c>
      <c r="C300" s="150" t="str">
        <f>VLOOKUP(B300,MEMBERS!B:C,2, )</f>
        <v>MR. HASAN KARIM</v>
      </c>
      <c r="D300" s="159">
        <v>46012</v>
      </c>
      <c r="E300" s="151">
        <v>0</v>
      </c>
      <c r="F300" s="151">
        <v>0</v>
      </c>
      <c r="G300" s="151">
        <v>0</v>
      </c>
      <c r="H300" s="151">
        <v>0</v>
      </c>
      <c r="I300" s="151">
        <v>0</v>
      </c>
      <c r="J300" s="151">
        <v>0</v>
      </c>
      <c r="K300" s="151">
        <v>300</v>
      </c>
      <c r="L300" s="151">
        <v>0</v>
      </c>
      <c r="M300" s="152">
        <v>0</v>
      </c>
      <c r="N300" s="151">
        <v>0</v>
      </c>
      <c r="O300" s="151">
        <v>0</v>
      </c>
      <c r="P300" s="151">
        <v>0</v>
      </c>
      <c r="Q300" s="151">
        <v>0</v>
      </c>
      <c r="R300" s="153">
        <v>0</v>
      </c>
      <c r="S300" s="153">
        <v>0</v>
      </c>
      <c r="T300" s="153">
        <v>0</v>
      </c>
      <c r="U300" s="153">
        <f t="shared" si="20"/>
        <v>300</v>
      </c>
    </row>
    <row r="301" spans="1:21" ht="18" hidden="1" customHeight="1" x14ac:dyDescent="0.2">
      <c r="A301" s="150">
        <f t="shared" si="19"/>
        <v>300</v>
      </c>
      <c r="B301" s="150" t="s">
        <v>328</v>
      </c>
      <c r="C301" s="150" t="str">
        <f>VLOOKUP(B301,MEMBERS!B:C,2, )</f>
        <v>GM HAROON RASHEED</v>
      </c>
      <c r="D301" s="159">
        <v>46012</v>
      </c>
      <c r="E301" s="151">
        <v>0</v>
      </c>
      <c r="F301" s="151">
        <v>150</v>
      </c>
      <c r="G301" s="151">
        <v>0</v>
      </c>
      <c r="H301" s="151">
        <v>0</v>
      </c>
      <c r="I301" s="151">
        <v>0</v>
      </c>
      <c r="J301" s="151">
        <v>0</v>
      </c>
      <c r="K301" s="151">
        <v>0</v>
      </c>
      <c r="L301" s="151">
        <v>0</v>
      </c>
      <c r="M301" s="152">
        <v>0</v>
      </c>
      <c r="N301" s="151">
        <v>0</v>
      </c>
      <c r="O301" s="151">
        <v>0</v>
      </c>
      <c r="P301" s="151">
        <v>0</v>
      </c>
      <c r="Q301" s="151">
        <v>0</v>
      </c>
      <c r="R301" s="153">
        <v>0</v>
      </c>
      <c r="S301" s="153">
        <v>0</v>
      </c>
      <c r="T301" s="153">
        <v>0</v>
      </c>
      <c r="U301" s="153">
        <f t="shared" si="20"/>
        <v>150</v>
      </c>
    </row>
    <row r="302" spans="1:21" ht="18" hidden="1" customHeight="1" x14ac:dyDescent="0.2">
      <c r="A302" s="150">
        <f t="shared" si="19"/>
        <v>301</v>
      </c>
      <c r="B302" s="150" t="s">
        <v>155</v>
      </c>
      <c r="C302" s="150" t="str">
        <f>VLOOKUP(B302,MEMBERS!B:C,2, )</f>
        <v>MR.PIR MUJEEB JAN SARHANDI</v>
      </c>
      <c r="D302" s="159">
        <v>46012</v>
      </c>
      <c r="E302" s="151">
        <v>0</v>
      </c>
      <c r="F302" s="151">
        <v>150</v>
      </c>
      <c r="G302" s="151">
        <v>0</v>
      </c>
      <c r="H302" s="151">
        <v>0</v>
      </c>
      <c r="I302" s="151">
        <v>0</v>
      </c>
      <c r="J302" s="151">
        <v>0</v>
      </c>
      <c r="K302" s="151">
        <v>0</v>
      </c>
      <c r="L302" s="151">
        <v>0</v>
      </c>
      <c r="M302" s="152">
        <v>0</v>
      </c>
      <c r="N302" s="151">
        <v>0</v>
      </c>
      <c r="O302" s="151">
        <v>0</v>
      </c>
      <c r="P302" s="151">
        <v>0</v>
      </c>
      <c r="Q302" s="151">
        <v>0</v>
      </c>
      <c r="R302" s="153">
        <v>0</v>
      </c>
      <c r="S302" s="153">
        <v>0</v>
      </c>
      <c r="T302" s="153">
        <v>0</v>
      </c>
      <c r="U302" s="153">
        <f t="shared" si="20"/>
        <v>150</v>
      </c>
    </row>
    <row r="303" spans="1:21" ht="18" hidden="1" customHeight="1" x14ac:dyDescent="0.2">
      <c r="A303" s="150">
        <f t="shared" si="19"/>
        <v>302</v>
      </c>
      <c r="B303" s="150" t="s">
        <v>428</v>
      </c>
      <c r="C303" s="150" t="str">
        <f>VLOOKUP(B303,MEMBERS!B:C,2, )</f>
        <v>ALI LEGHARI</v>
      </c>
      <c r="D303" s="159">
        <v>46012</v>
      </c>
      <c r="E303" s="151">
        <v>0</v>
      </c>
      <c r="F303" s="151">
        <v>0</v>
      </c>
      <c r="G303" s="151">
        <v>0</v>
      </c>
      <c r="H303" s="151">
        <v>0</v>
      </c>
      <c r="I303" s="151">
        <v>0</v>
      </c>
      <c r="J303" s="151">
        <v>0</v>
      </c>
      <c r="K303" s="151">
        <v>0</v>
      </c>
      <c r="L303" s="151">
        <v>0</v>
      </c>
      <c r="M303" s="152">
        <v>0</v>
      </c>
      <c r="N303" s="151">
        <v>0</v>
      </c>
      <c r="O303" s="151">
        <v>0</v>
      </c>
      <c r="P303" s="151">
        <v>0</v>
      </c>
      <c r="Q303" s="151">
        <v>0</v>
      </c>
      <c r="R303" s="153">
        <v>0</v>
      </c>
      <c r="S303" s="153">
        <v>0</v>
      </c>
      <c r="T303" s="153">
        <v>365000</v>
      </c>
      <c r="U303" s="153">
        <f t="shared" si="20"/>
        <v>365000</v>
      </c>
    </row>
    <row r="304" spans="1:21" ht="18" hidden="1" customHeight="1" x14ac:dyDescent="0.2">
      <c r="A304" s="150">
        <f t="shared" ref="A304" si="21">IF(D304&lt;&gt;"", ROW()-1, "")</f>
        <v>303</v>
      </c>
      <c r="B304" s="150" t="s">
        <v>34</v>
      </c>
      <c r="C304" s="150" t="str">
        <f>VLOOKUP(B304,MEMBERS!B:C,2, )</f>
        <v>MR.SHIRAZ AHMED</v>
      </c>
      <c r="D304" s="159">
        <v>46013</v>
      </c>
      <c r="E304" s="151">
        <v>0</v>
      </c>
      <c r="F304" s="151">
        <v>0</v>
      </c>
      <c r="G304" s="151">
        <v>0</v>
      </c>
      <c r="H304" s="151">
        <v>0</v>
      </c>
      <c r="I304" s="151">
        <v>0</v>
      </c>
      <c r="J304" s="151">
        <f>300*2+500</f>
        <v>1100</v>
      </c>
      <c r="K304" s="151">
        <v>0</v>
      </c>
      <c r="L304" s="151">
        <v>0</v>
      </c>
      <c r="M304" s="152">
        <v>0</v>
      </c>
      <c r="N304" s="151">
        <v>0</v>
      </c>
      <c r="O304" s="151">
        <v>0</v>
      </c>
      <c r="P304" s="151">
        <v>0</v>
      </c>
      <c r="Q304" s="151">
        <v>0</v>
      </c>
      <c r="R304" s="153">
        <v>0</v>
      </c>
      <c r="S304" s="153">
        <v>0</v>
      </c>
      <c r="T304" s="153">
        <v>0</v>
      </c>
      <c r="U304" s="153">
        <f t="shared" ref="U304" si="22">SUM(E304:T304)</f>
        <v>1100</v>
      </c>
    </row>
    <row r="305" spans="1:21" ht="18" hidden="1" customHeight="1" x14ac:dyDescent="0.2">
      <c r="A305" s="150">
        <f t="shared" ref="A305:A348" si="23">IF(D305&lt;&gt;"", ROW()-1, "")</f>
        <v>304</v>
      </c>
      <c r="B305" s="150" t="s">
        <v>98</v>
      </c>
      <c r="C305" s="150" t="str">
        <f>VLOOKUP(B305,MEMBERS!B:C,2, )</f>
        <v>MR.HAFEEZ AHMED SIYAL</v>
      </c>
      <c r="D305" s="159">
        <v>46013</v>
      </c>
      <c r="E305" s="151">
        <v>0</v>
      </c>
      <c r="F305" s="151">
        <v>0</v>
      </c>
      <c r="G305" s="151">
        <v>0</v>
      </c>
      <c r="H305" s="151">
        <v>0</v>
      </c>
      <c r="I305" s="151">
        <v>0</v>
      </c>
      <c r="J305" s="151">
        <v>300</v>
      </c>
      <c r="K305" s="151">
        <v>0</v>
      </c>
      <c r="L305" s="151">
        <v>0</v>
      </c>
      <c r="M305" s="152">
        <v>0</v>
      </c>
      <c r="N305" s="151">
        <v>0</v>
      </c>
      <c r="O305" s="151">
        <v>0</v>
      </c>
      <c r="P305" s="151">
        <v>0</v>
      </c>
      <c r="Q305" s="151">
        <v>0</v>
      </c>
      <c r="R305" s="153">
        <v>0</v>
      </c>
      <c r="S305" s="153">
        <v>0</v>
      </c>
      <c r="T305" s="153">
        <v>0</v>
      </c>
      <c r="U305" s="153">
        <f t="shared" ref="U305:U348" si="24">SUM(E305:T305)</f>
        <v>300</v>
      </c>
    </row>
    <row r="306" spans="1:21" ht="18" hidden="1" customHeight="1" x14ac:dyDescent="0.2">
      <c r="A306" s="150">
        <f t="shared" si="23"/>
        <v>305</v>
      </c>
      <c r="B306" s="150" t="s">
        <v>1053</v>
      </c>
      <c r="C306" s="150" t="str">
        <f>VLOOKUP(B306,MEMBERS!B:C,2, )</f>
        <v>MR. ZAMIR ALI SHAH</v>
      </c>
      <c r="D306" s="159">
        <v>46013</v>
      </c>
      <c r="E306" s="151">
        <v>0</v>
      </c>
      <c r="F306" s="151">
        <v>0</v>
      </c>
      <c r="G306" s="151">
        <v>0</v>
      </c>
      <c r="H306" s="151">
        <v>0</v>
      </c>
      <c r="I306" s="151">
        <v>0</v>
      </c>
      <c r="J306" s="151">
        <f>500*13</f>
        <v>6500</v>
      </c>
      <c r="K306" s="151">
        <v>0</v>
      </c>
      <c r="L306" s="151">
        <v>0</v>
      </c>
      <c r="M306" s="152">
        <v>0</v>
      </c>
      <c r="N306" s="151">
        <v>0</v>
      </c>
      <c r="O306" s="151">
        <v>0</v>
      </c>
      <c r="P306" s="151">
        <v>0</v>
      </c>
      <c r="Q306" s="151">
        <v>0</v>
      </c>
      <c r="R306" s="153">
        <v>0</v>
      </c>
      <c r="S306" s="153">
        <v>0</v>
      </c>
      <c r="T306" s="153">
        <v>0</v>
      </c>
      <c r="U306" s="153">
        <f t="shared" si="24"/>
        <v>6500</v>
      </c>
    </row>
    <row r="307" spans="1:21" ht="18" hidden="1" customHeight="1" x14ac:dyDescent="0.2">
      <c r="A307" s="150">
        <f t="shared" si="23"/>
        <v>306</v>
      </c>
      <c r="B307" s="150" t="s">
        <v>385</v>
      </c>
      <c r="C307" s="150" t="str">
        <f>VLOOKUP(B307,MEMBERS!B:C,2, )</f>
        <v>AYSM MIRZA</v>
      </c>
      <c r="D307" s="159">
        <v>46013</v>
      </c>
      <c r="E307" s="151">
        <v>0</v>
      </c>
      <c r="F307" s="151">
        <v>0</v>
      </c>
      <c r="G307" s="151">
        <v>0</v>
      </c>
      <c r="H307" s="151">
        <v>0</v>
      </c>
      <c r="I307" s="151">
        <v>0</v>
      </c>
      <c r="J307" s="151">
        <v>300</v>
      </c>
      <c r="K307" s="151">
        <v>0</v>
      </c>
      <c r="L307" s="151">
        <v>0</v>
      </c>
      <c r="M307" s="152">
        <v>0</v>
      </c>
      <c r="N307" s="151">
        <v>0</v>
      </c>
      <c r="O307" s="151">
        <v>0</v>
      </c>
      <c r="P307" s="151">
        <v>0</v>
      </c>
      <c r="Q307" s="151">
        <v>0</v>
      </c>
      <c r="R307" s="153">
        <v>0</v>
      </c>
      <c r="S307" s="153">
        <v>0</v>
      </c>
      <c r="T307" s="153">
        <v>0</v>
      </c>
      <c r="U307" s="153">
        <f t="shared" si="24"/>
        <v>300</v>
      </c>
    </row>
    <row r="308" spans="1:21" ht="18" hidden="1" customHeight="1" x14ac:dyDescent="0.2">
      <c r="A308" s="150">
        <f t="shared" si="23"/>
        <v>307</v>
      </c>
      <c r="B308" s="150" t="s">
        <v>373</v>
      </c>
      <c r="C308" s="150" t="str">
        <f>VLOOKUP(B308,MEMBERS!B:C,2, )</f>
        <v>ASIF ASHFAQ</v>
      </c>
      <c r="D308" s="159">
        <v>46013</v>
      </c>
      <c r="E308" s="151">
        <v>0</v>
      </c>
      <c r="F308" s="151">
        <v>150</v>
      </c>
      <c r="G308" s="151">
        <v>0</v>
      </c>
      <c r="H308" s="151">
        <v>0</v>
      </c>
      <c r="I308" s="151">
        <v>0</v>
      </c>
      <c r="J308" s="151">
        <v>0</v>
      </c>
      <c r="K308" s="151">
        <v>0</v>
      </c>
      <c r="L308" s="151">
        <v>0</v>
      </c>
      <c r="M308" s="152">
        <v>0</v>
      </c>
      <c r="N308" s="151">
        <v>0</v>
      </c>
      <c r="O308" s="151">
        <v>0</v>
      </c>
      <c r="P308" s="151">
        <v>0</v>
      </c>
      <c r="Q308" s="151">
        <v>0</v>
      </c>
      <c r="R308" s="153">
        <v>0</v>
      </c>
      <c r="S308" s="153">
        <v>0</v>
      </c>
      <c r="T308" s="153">
        <v>0</v>
      </c>
      <c r="U308" s="153">
        <f t="shared" si="24"/>
        <v>150</v>
      </c>
    </row>
    <row r="309" spans="1:21" ht="18" hidden="1" customHeight="1" x14ac:dyDescent="0.2">
      <c r="A309" s="150">
        <f t="shared" si="23"/>
        <v>308</v>
      </c>
      <c r="B309" s="150" t="s">
        <v>98</v>
      </c>
      <c r="C309" s="150" t="str">
        <f>VLOOKUP(B309,MEMBERS!B:C,2, )</f>
        <v>MR.HAFEEZ AHMED SIYAL</v>
      </c>
      <c r="D309" s="159">
        <v>46013</v>
      </c>
      <c r="E309" s="151">
        <v>0</v>
      </c>
      <c r="F309" s="151">
        <f>150*2</f>
        <v>300</v>
      </c>
      <c r="G309" s="151">
        <v>0</v>
      </c>
      <c r="H309" s="151">
        <v>0</v>
      </c>
      <c r="I309" s="151">
        <v>0</v>
      </c>
      <c r="J309" s="151">
        <v>0</v>
      </c>
      <c r="K309" s="151">
        <v>0</v>
      </c>
      <c r="L309" s="151">
        <v>0</v>
      </c>
      <c r="M309" s="152">
        <v>0</v>
      </c>
      <c r="N309" s="151">
        <v>0</v>
      </c>
      <c r="O309" s="151">
        <v>0</v>
      </c>
      <c r="P309" s="151">
        <v>0</v>
      </c>
      <c r="Q309" s="151">
        <v>0</v>
      </c>
      <c r="R309" s="153">
        <v>0</v>
      </c>
      <c r="S309" s="153">
        <v>0</v>
      </c>
      <c r="T309" s="153">
        <v>0</v>
      </c>
      <c r="U309" s="153">
        <f t="shared" si="24"/>
        <v>300</v>
      </c>
    </row>
    <row r="310" spans="1:21" ht="18" hidden="1" customHeight="1" x14ac:dyDescent="0.2">
      <c r="A310" s="150">
        <f t="shared" si="23"/>
        <v>309</v>
      </c>
      <c r="B310" s="150" t="s">
        <v>650</v>
      </c>
      <c r="C310" s="150" t="str">
        <f>VLOOKUP(B310,MEMBERS!B:C,2, )</f>
        <v>SHAHBAZ AHMED</v>
      </c>
      <c r="D310" s="159">
        <v>46013</v>
      </c>
      <c r="E310" s="151">
        <v>0</v>
      </c>
      <c r="F310" s="151">
        <v>300</v>
      </c>
      <c r="G310" s="151">
        <v>0</v>
      </c>
      <c r="H310" s="151">
        <v>0</v>
      </c>
      <c r="I310" s="151">
        <v>0</v>
      </c>
      <c r="J310" s="151">
        <v>0</v>
      </c>
      <c r="K310" s="151">
        <v>0</v>
      </c>
      <c r="L310" s="151">
        <v>0</v>
      </c>
      <c r="M310" s="152">
        <v>0</v>
      </c>
      <c r="N310" s="151">
        <v>0</v>
      </c>
      <c r="O310" s="151">
        <v>0</v>
      </c>
      <c r="P310" s="151">
        <v>0</v>
      </c>
      <c r="Q310" s="151">
        <v>0</v>
      </c>
      <c r="R310" s="153">
        <v>0</v>
      </c>
      <c r="S310" s="153">
        <v>0</v>
      </c>
      <c r="T310" s="153">
        <v>0</v>
      </c>
      <c r="U310" s="153">
        <f t="shared" si="24"/>
        <v>300</v>
      </c>
    </row>
    <row r="311" spans="1:21" ht="18" hidden="1" customHeight="1" x14ac:dyDescent="0.2">
      <c r="A311" s="150">
        <f t="shared" si="23"/>
        <v>310</v>
      </c>
      <c r="B311" s="150" t="s">
        <v>1053</v>
      </c>
      <c r="C311" s="150" t="str">
        <f>VLOOKUP(B311,MEMBERS!B:C,2, )</f>
        <v>MR. ZAMIR ALI SHAH</v>
      </c>
      <c r="D311" s="159">
        <v>46013</v>
      </c>
      <c r="E311" s="151">
        <f>17*600</f>
        <v>10200</v>
      </c>
      <c r="F311" s="151">
        <v>0</v>
      </c>
      <c r="G311" s="151">
        <v>0</v>
      </c>
      <c r="H311" s="151">
        <v>0</v>
      </c>
      <c r="I311" s="151">
        <v>0</v>
      </c>
      <c r="J311" s="151">
        <v>0</v>
      </c>
      <c r="K311" s="151">
        <v>0</v>
      </c>
      <c r="L311" s="151">
        <v>0</v>
      </c>
      <c r="M311" s="152">
        <v>0</v>
      </c>
      <c r="N311" s="151">
        <v>0</v>
      </c>
      <c r="O311" s="151">
        <v>0</v>
      </c>
      <c r="P311" s="151">
        <v>0</v>
      </c>
      <c r="Q311" s="151">
        <v>0</v>
      </c>
      <c r="R311" s="153">
        <v>0</v>
      </c>
      <c r="S311" s="153">
        <v>0</v>
      </c>
      <c r="T311" s="153">
        <v>0</v>
      </c>
      <c r="U311" s="153">
        <f t="shared" si="24"/>
        <v>10200</v>
      </c>
    </row>
    <row r="312" spans="1:21" ht="18" hidden="1" customHeight="1" x14ac:dyDescent="0.2">
      <c r="A312" s="150">
        <f t="shared" si="23"/>
        <v>311</v>
      </c>
      <c r="B312" s="150" t="s">
        <v>10</v>
      </c>
      <c r="C312" s="150" t="str">
        <f>VLOOKUP(B312,MEMBERS!B:C,2, )</f>
        <v>MR. JABIR SHAHZAD</v>
      </c>
      <c r="D312" s="159">
        <v>46014</v>
      </c>
      <c r="E312" s="151">
        <v>0</v>
      </c>
      <c r="F312" s="151">
        <v>0</v>
      </c>
      <c r="G312" s="151">
        <v>0</v>
      </c>
      <c r="H312" s="151">
        <v>0</v>
      </c>
      <c r="I312" s="151">
        <v>0</v>
      </c>
      <c r="J312" s="289">
        <v>500</v>
      </c>
      <c r="K312" s="151">
        <v>0</v>
      </c>
      <c r="L312" s="151">
        <v>0</v>
      </c>
      <c r="M312" s="152">
        <v>0</v>
      </c>
      <c r="N312" s="151">
        <v>0</v>
      </c>
      <c r="O312" s="151">
        <v>0</v>
      </c>
      <c r="P312" s="151">
        <v>0</v>
      </c>
      <c r="Q312" s="151">
        <v>0</v>
      </c>
      <c r="R312" s="153">
        <v>0</v>
      </c>
      <c r="S312" s="153">
        <v>0</v>
      </c>
      <c r="T312" s="153">
        <v>0</v>
      </c>
      <c r="U312" s="153">
        <f t="shared" si="24"/>
        <v>500</v>
      </c>
    </row>
    <row r="313" spans="1:21" ht="18" hidden="1" customHeight="1" x14ac:dyDescent="0.2">
      <c r="A313" s="150">
        <f t="shared" ref="A313:A328" si="25">IF(D313&lt;&gt;"", ROW()-1, "")</f>
        <v>312</v>
      </c>
      <c r="B313" s="150" t="s">
        <v>59</v>
      </c>
      <c r="C313" s="150" t="str">
        <f>VLOOKUP(B313,MEMBERS!B:C,2, )</f>
        <v>MR.SAJJAD ALI</v>
      </c>
      <c r="D313" s="159">
        <v>46014</v>
      </c>
      <c r="E313" s="151">
        <v>0</v>
      </c>
      <c r="F313" s="151">
        <v>0</v>
      </c>
      <c r="G313" s="151">
        <v>0</v>
      </c>
      <c r="H313" s="151">
        <v>0</v>
      </c>
      <c r="I313" s="151">
        <v>0</v>
      </c>
      <c r="J313" s="151">
        <v>0</v>
      </c>
      <c r="K313" s="151">
        <v>0</v>
      </c>
      <c r="L313" s="151">
        <v>0</v>
      </c>
      <c r="M313" s="152">
        <v>0</v>
      </c>
      <c r="N313" s="151">
        <v>0</v>
      </c>
      <c r="O313" s="151">
        <v>0</v>
      </c>
      <c r="P313" s="151">
        <v>9500</v>
      </c>
      <c r="Q313" s="151">
        <v>0</v>
      </c>
      <c r="R313" s="153">
        <v>0</v>
      </c>
      <c r="S313" s="153">
        <v>0</v>
      </c>
      <c r="T313" s="153">
        <v>0</v>
      </c>
      <c r="U313" s="153">
        <f t="shared" ref="U313:U328" si="26">SUM(E313:T313)</f>
        <v>9500</v>
      </c>
    </row>
    <row r="314" spans="1:21" ht="18" hidden="1" customHeight="1" x14ac:dyDescent="0.2">
      <c r="A314" s="150">
        <f t="shared" si="25"/>
        <v>313</v>
      </c>
      <c r="B314" s="150" t="s">
        <v>756</v>
      </c>
      <c r="C314" s="150" t="e">
        <f>VLOOKUP(B314,MEMBERS!B:C,2, )</f>
        <v>#N/A</v>
      </c>
      <c r="D314" s="159">
        <v>46014</v>
      </c>
      <c r="E314" s="151">
        <v>0</v>
      </c>
      <c r="F314" s="151">
        <v>0</v>
      </c>
      <c r="G314" s="151">
        <v>0</v>
      </c>
      <c r="H314" s="151">
        <v>0</v>
      </c>
      <c r="I314" s="151">
        <v>0</v>
      </c>
      <c r="J314" s="151">
        <v>0</v>
      </c>
      <c r="K314" s="151">
        <v>0</v>
      </c>
      <c r="L314" s="151">
        <v>0</v>
      </c>
      <c r="M314" s="152">
        <v>0</v>
      </c>
      <c r="N314" s="151">
        <v>0</v>
      </c>
      <c r="O314" s="151">
        <v>0</v>
      </c>
      <c r="P314" s="289">
        <v>19250</v>
      </c>
      <c r="Q314" s="151">
        <v>0</v>
      </c>
      <c r="R314" s="153">
        <v>0</v>
      </c>
      <c r="S314" s="153">
        <v>0</v>
      </c>
      <c r="T314" s="153">
        <v>0</v>
      </c>
      <c r="U314" s="153">
        <f t="shared" si="26"/>
        <v>19250</v>
      </c>
    </row>
    <row r="315" spans="1:21" ht="18" hidden="1" customHeight="1" x14ac:dyDescent="0.2">
      <c r="A315" s="150">
        <f t="shared" si="25"/>
        <v>314</v>
      </c>
      <c r="B315" s="150" t="s">
        <v>454</v>
      </c>
      <c r="C315" s="343" t="str">
        <f>VLOOKUP(B315,MEMBERS!B:C,2, )</f>
        <v>Heritage club</v>
      </c>
      <c r="D315" s="159">
        <v>46014</v>
      </c>
      <c r="E315" s="151">
        <v>0</v>
      </c>
      <c r="F315" s="151">
        <v>0</v>
      </c>
      <c r="G315" s="151">
        <v>0</v>
      </c>
      <c r="H315" s="151">
        <v>0</v>
      </c>
      <c r="I315" s="151">
        <v>0</v>
      </c>
      <c r="J315" s="342">
        <f>500*4</f>
        <v>2000</v>
      </c>
      <c r="K315" s="151">
        <v>0</v>
      </c>
      <c r="L315" s="151">
        <v>0</v>
      </c>
      <c r="M315" s="152">
        <v>0</v>
      </c>
      <c r="N315" s="151">
        <v>0</v>
      </c>
      <c r="O315" s="151">
        <v>0</v>
      </c>
      <c r="P315" s="151">
        <v>0</v>
      </c>
      <c r="Q315" s="151">
        <v>0</v>
      </c>
      <c r="R315" s="153">
        <v>0</v>
      </c>
      <c r="S315" s="153">
        <v>0</v>
      </c>
      <c r="T315" s="153">
        <v>0</v>
      </c>
      <c r="U315" s="153">
        <f t="shared" si="26"/>
        <v>2000</v>
      </c>
    </row>
    <row r="316" spans="1:21" ht="18" hidden="1" customHeight="1" x14ac:dyDescent="0.2">
      <c r="A316" s="150">
        <f t="shared" si="25"/>
        <v>315</v>
      </c>
      <c r="B316" s="150" t="s">
        <v>88</v>
      </c>
      <c r="C316" s="150" t="str">
        <f>VLOOKUP(B316,MEMBERS!B:C,2, )</f>
        <v>DR.NAZEER HUSSAIN KALHORO</v>
      </c>
      <c r="D316" s="159">
        <v>46014</v>
      </c>
      <c r="E316" s="151">
        <v>0</v>
      </c>
      <c r="F316" s="151">
        <v>0</v>
      </c>
      <c r="G316" s="151">
        <v>0</v>
      </c>
      <c r="H316" s="151">
        <v>0</v>
      </c>
      <c r="I316" s="151">
        <v>0</v>
      </c>
      <c r="J316" s="151">
        <f>500*4</f>
        <v>2000</v>
      </c>
      <c r="K316" s="151">
        <v>0</v>
      </c>
      <c r="L316" s="151">
        <v>0</v>
      </c>
      <c r="M316" s="152">
        <v>0</v>
      </c>
      <c r="N316" s="151">
        <v>0</v>
      </c>
      <c r="O316" s="151">
        <v>0</v>
      </c>
      <c r="P316" s="151">
        <v>0</v>
      </c>
      <c r="Q316" s="151">
        <v>0</v>
      </c>
      <c r="R316" s="153">
        <v>0</v>
      </c>
      <c r="S316" s="153">
        <v>0</v>
      </c>
      <c r="T316" s="153">
        <v>0</v>
      </c>
      <c r="U316" s="153">
        <f t="shared" si="26"/>
        <v>2000</v>
      </c>
    </row>
    <row r="317" spans="1:21" ht="18" hidden="1" customHeight="1" x14ac:dyDescent="0.2">
      <c r="A317" s="150">
        <f t="shared" si="25"/>
        <v>316</v>
      </c>
      <c r="B317" s="150" t="s">
        <v>103</v>
      </c>
      <c r="C317" s="150" t="str">
        <f>VLOOKUP(B317,MEMBERS!B:C,2, )</f>
        <v>MR.IQBAL AHMED MALLAH</v>
      </c>
      <c r="D317" s="159">
        <v>46014</v>
      </c>
      <c r="E317" s="151">
        <v>0</v>
      </c>
      <c r="F317" s="151">
        <v>0</v>
      </c>
      <c r="G317" s="151">
        <v>0</v>
      </c>
      <c r="H317" s="151">
        <v>0</v>
      </c>
      <c r="I317" s="151">
        <v>0</v>
      </c>
      <c r="J317" s="151">
        <f>500*4+300*4</f>
        <v>3200</v>
      </c>
      <c r="K317" s="151">
        <v>0</v>
      </c>
      <c r="L317" s="151">
        <v>0</v>
      </c>
      <c r="M317" s="152">
        <v>0</v>
      </c>
      <c r="N317" s="151">
        <v>0</v>
      </c>
      <c r="O317" s="151">
        <v>0</v>
      </c>
      <c r="P317" s="151">
        <v>0</v>
      </c>
      <c r="Q317" s="151">
        <v>0</v>
      </c>
      <c r="R317" s="153">
        <v>0</v>
      </c>
      <c r="S317" s="153">
        <v>0</v>
      </c>
      <c r="T317" s="153">
        <v>0</v>
      </c>
      <c r="U317" s="153">
        <f t="shared" si="26"/>
        <v>3200</v>
      </c>
    </row>
    <row r="318" spans="1:21" ht="18" hidden="1" customHeight="1" x14ac:dyDescent="0.2">
      <c r="A318" s="150">
        <f t="shared" si="25"/>
        <v>317</v>
      </c>
      <c r="B318" s="150" t="s">
        <v>54</v>
      </c>
      <c r="C318" s="150" t="str">
        <f>VLOOKUP(B318,MEMBERS!B:C,2, )</f>
        <v>MR.ZEESHAN IQBAL</v>
      </c>
      <c r="D318" s="159">
        <v>46014</v>
      </c>
      <c r="E318" s="151">
        <v>0</v>
      </c>
      <c r="F318" s="151">
        <f>150*2</f>
        <v>300</v>
      </c>
      <c r="G318" s="151">
        <v>0</v>
      </c>
      <c r="H318" s="151">
        <v>0</v>
      </c>
      <c r="I318" s="151">
        <v>0</v>
      </c>
      <c r="J318" s="151">
        <v>0</v>
      </c>
      <c r="K318" s="151">
        <v>0</v>
      </c>
      <c r="L318" s="151">
        <v>0</v>
      </c>
      <c r="M318" s="152">
        <v>0</v>
      </c>
      <c r="N318" s="151">
        <v>0</v>
      </c>
      <c r="O318" s="151">
        <v>0</v>
      </c>
      <c r="P318" s="151">
        <v>0</v>
      </c>
      <c r="Q318" s="151">
        <v>0</v>
      </c>
      <c r="R318" s="153">
        <v>0</v>
      </c>
      <c r="S318" s="153">
        <v>0</v>
      </c>
      <c r="T318" s="153">
        <v>0</v>
      </c>
      <c r="U318" s="153">
        <f t="shared" si="26"/>
        <v>300</v>
      </c>
    </row>
    <row r="319" spans="1:21" ht="18" hidden="1" customHeight="1" x14ac:dyDescent="0.2">
      <c r="A319" s="150">
        <f t="shared" si="25"/>
        <v>318</v>
      </c>
      <c r="B319" s="150" t="s">
        <v>373</v>
      </c>
      <c r="C319" s="150" t="str">
        <f>VLOOKUP(B319,MEMBERS!B:C,2, )</f>
        <v>ASIF ASHFAQ</v>
      </c>
      <c r="D319" s="159">
        <v>46014</v>
      </c>
      <c r="E319" s="151">
        <v>0</v>
      </c>
      <c r="F319" s="151">
        <v>150</v>
      </c>
      <c r="G319" s="151">
        <v>0</v>
      </c>
      <c r="H319" s="151">
        <v>0</v>
      </c>
      <c r="I319" s="151">
        <v>0</v>
      </c>
      <c r="J319" s="151">
        <v>0</v>
      </c>
      <c r="K319" s="151">
        <v>0</v>
      </c>
      <c r="L319" s="151">
        <v>0</v>
      </c>
      <c r="M319" s="152">
        <v>0</v>
      </c>
      <c r="N319" s="151">
        <v>0</v>
      </c>
      <c r="O319" s="151">
        <v>0</v>
      </c>
      <c r="P319" s="151">
        <v>0</v>
      </c>
      <c r="Q319" s="151">
        <v>0</v>
      </c>
      <c r="R319" s="153">
        <v>0</v>
      </c>
      <c r="S319" s="153">
        <v>0</v>
      </c>
      <c r="T319" s="153">
        <v>0</v>
      </c>
      <c r="U319" s="153">
        <f t="shared" si="26"/>
        <v>150</v>
      </c>
    </row>
    <row r="320" spans="1:21" ht="18" hidden="1" customHeight="1" x14ac:dyDescent="0.2">
      <c r="A320" s="150">
        <f t="shared" si="25"/>
        <v>319</v>
      </c>
      <c r="B320" s="150" t="s">
        <v>1020</v>
      </c>
      <c r="C320" s="150" t="str">
        <f>VLOOKUP(B320,MEMBERS!B:C,2, )</f>
        <v>MR. MUNAWAR HUSSAIN</v>
      </c>
      <c r="D320" s="159">
        <v>46014</v>
      </c>
      <c r="E320" s="151">
        <v>0</v>
      </c>
      <c r="F320" s="151">
        <f>150*2</f>
        <v>300</v>
      </c>
      <c r="G320" s="151">
        <v>0</v>
      </c>
      <c r="H320" s="151">
        <v>0</v>
      </c>
      <c r="I320" s="151">
        <v>0</v>
      </c>
      <c r="J320" s="151">
        <v>0</v>
      </c>
      <c r="K320" s="151">
        <v>0</v>
      </c>
      <c r="L320" s="151">
        <v>0</v>
      </c>
      <c r="M320" s="152">
        <v>0</v>
      </c>
      <c r="N320" s="151">
        <v>0</v>
      </c>
      <c r="O320" s="151">
        <v>0</v>
      </c>
      <c r="P320" s="151">
        <v>0</v>
      </c>
      <c r="Q320" s="151">
        <v>0</v>
      </c>
      <c r="R320" s="153">
        <v>0</v>
      </c>
      <c r="S320" s="153">
        <v>0</v>
      </c>
      <c r="T320" s="153">
        <v>0</v>
      </c>
      <c r="U320" s="153">
        <f t="shared" si="26"/>
        <v>300</v>
      </c>
    </row>
    <row r="321" spans="1:21" ht="18" hidden="1" customHeight="1" x14ac:dyDescent="0.2">
      <c r="A321" s="150">
        <f t="shared" si="25"/>
        <v>320</v>
      </c>
      <c r="B321" s="150" t="s">
        <v>359</v>
      </c>
      <c r="C321" s="150" t="str">
        <f>VLOOKUP(B321,MEMBERS!B:C,2, )</f>
        <v>DR.NASEEM MUNSHI</v>
      </c>
      <c r="D321" s="159">
        <v>46014</v>
      </c>
      <c r="E321" s="151">
        <v>0</v>
      </c>
      <c r="F321" s="151">
        <v>150</v>
      </c>
      <c r="G321" s="151">
        <v>0</v>
      </c>
      <c r="H321" s="151">
        <v>0</v>
      </c>
      <c r="I321" s="151">
        <v>0</v>
      </c>
      <c r="J321" s="151">
        <v>0</v>
      </c>
      <c r="K321" s="151">
        <v>0</v>
      </c>
      <c r="L321" s="151">
        <v>0</v>
      </c>
      <c r="M321" s="152">
        <v>0</v>
      </c>
      <c r="N321" s="151">
        <v>0</v>
      </c>
      <c r="O321" s="151">
        <v>0</v>
      </c>
      <c r="P321" s="151">
        <v>0</v>
      </c>
      <c r="Q321" s="151">
        <v>0</v>
      </c>
      <c r="R321" s="153">
        <v>0</v>
      </c>
      <c r="S321" s="153">
        <v>0</v>
      </c>
      <c r="T321" s="153">
        <v>0</v>
      </c>
      <c r="U321" s="153">
        <f t="shared" si="26"/>
        <v>150</v>
      </c>
    </row>
    <row r="322" spans="1:21" ht="18" hidden="1" customHeight="1" x14ac:dyDescent="0.2">
      <c r="A322" s="150">
        <f t="shared" si="25"/>
        <v>321</v>
      </c>
      <c r="B322" s="150" t="s">
        <v>155</v>
      </c>
      <c r="C322" s="150" t="str">
        <f>VLOOKUP(B322,MEMBERS!B:C,2, )</f>
        <v>MR.PIR MUJEEB JAN SARHANDI</v>
      </c>
      <c r="D322" s="159">
        <v>46014</v>
      </c>
      <c r="E322" s="151">
        <v>0</v>
      </c>
      <c r="F322" s="151">
        <v>150</v>
      </c>
      <c r="G322" s="151">
        <v>0</v>
      </c>
      <c r="H322" s="151">
        <v>0</v>
      </c>
      <c r="I322" s="151">
        <v>0</v>
      </c>
      <c r="J322" s="151">
        <v>0</v>
      </c>
      <c r="K322" s="151">
        <v>0</v>
      </c>
      <c r="L322" s="151">
        <v>0</v>
      </c>
      <c r="M322" s="152">
        <v>0</v>
      </c>
      <c r="N322" s="151">
        <v>0</v>
      </c>
      <c r="O322" s="151">
        <v>0</v>
      </c>
      <c r="P322" s="151">
        <v>0</v>
      </c>
      <c r="Q322" s="151">
        <v>0</v>
      </c>
      <c r="R322" s="153">
        <v>0</v>
      </c>
      <c r="S322" s="153">
        <v>0</v>
      </c>
      <c r="T322" s="153">
        <v>0</v>
      </c>
      <c r="U322" s="153">
        <f t="shared" si="26"/>
        <v>150</v>
      </c>
    </row>
    <row r="323" spans="1:21" ht="18" hidden="1" customHeight="1" x14ac:dyDescent="0.2">
      <c r="A323" s="150">
        <f t="shared" si="25"/>
        <v>322</v>
      </c>
      <c r="B323" s="150" t="s">
        <v>1021</v>
      </c>
      <c r="C323" s="150" t="str">
        <f>VLOOKUP(B323,MEMBERS!B:C,2, )</f>
        <v>MR. AIJAZ ALI BALOCH</v>
      </c>
      <c r="D323" s="159">
        <v>46014</v>
      </c>
      <c r="E323" s="151">
        <v>0</v>
      </c>
      <c r="F323" s="151">
        <v>150</v>
      </c>
      <c r="G323" s="151">
        <v>0</v>
      </c>
      <c r="H323" s="151">
        <v>0</v>
      </c>
      <c r="I323" s="151">
        <v>0</v>
      </c>
      <c r="J323" s="151">
        <v>0</v>
      </c>
      <c r="K323" s="151">
        <v>0</v>
      </c>
      <c r="L323" s="151">
        <v>0</v>
      </c>
      <c r="M323" s="152">
        <v>0</v>
      </c>
      <c r="N323" s="151">
        <v>0</v>
      </c>
      <c r="O323" s="151">
        <v>0</v>
      </c>
      <c r="P323" s="151">
        <v>0</v>
      </c>
      <c r="Q323" s="151">
        <v>0</v>
      </c>
      <c r="R323" s="153">
        <v>0</v>
      </c>
      <c r="S323" s="153">
        <v>0</v>
      </c>
      <c r="T323" s="153">
        <v>0</v>
      </c>
      <c r="U323" s="153">
        <f t="shared" si="26"/>
        <v>150</v>
      </c>
    </row>
    <row r="324" spans="1:21" ht="18" hidden="1" customHeight="1" x14ac:dyDescent="0.2">
      <c r="A324" s="150">
        <f t="shared" si="25"/>
        <v>323</v>
      </c>
      <c r="B324" s="150" t="s">
        <v>113</v>
      </c>
      <c r="C324" s="150" t="str">
        <f>VLOOKUP(B324,MEMBERS!B:C,2, )</f>
        <v>MR.MANOJ KUMAR</v>
      </c>
      <c r="D324" s="159">
        <v>46014</v>
      </c>
      <c r="E324" s="151">
        <f>300+600*3</f>
        <v>2100</v>
      </c>
      <c r="F324" s="151">
        <v>0</v>
      </c>
      <c r="G324" s="151">
        <v>0</v>
      </c>
      <c r="H324" s="151">
        <v>0</v>
      </c>
      <c r="I324" s="151">
        <v>0</v>
      </c>
      <c r="J324" s="151">
        <v>0</v>
      </c>
      <c r="K324" s="151">
        <v>0</v>
      </c>
      <c r="L324" s="151">
        <v>0</v>
      </c>
      <c r="M324" s="152">
        <v>0</v>
      </c>
      <c r="N324" s="151">
        <v>0</v>
      </c>
      <c r="O324" s="151">
        <v>0</v>
      </c>
      <c r="P324" s="151">
        <v>0</v>
      </c>
      <c r="Q324" s="151">
        <v>0</v>
      </c>
      <c r="R324" s="153">
        <v>0</v>
      </c>
      <c r="S324" s="153">
        <v>0</v>
      </c>
      <c r="T324" s="153">
        <v>0</v>
      </c>
      <c r="U324" s="153">
        <f t="shared" si="26"/>
        <v>2100</v>
      </c>
    </row>
    <row r="325" spans="1:21" ht="18" hidden="1" customHeight="1" x14ac:dyDescent="0.2">
      <c r="A325" s="150">
        <f t="shared" si="25"/>
        <v>324</v>
      </c>
      <c r="B325" s="150" t="s">
        <v>192</v>
      </c>
      <c r="C325" s="150" t="str">
        <f>VLOOKUP(B325,MEMBERS!B:C,2, )</f>
        <v>MR.HANIF AHSAN ZUBEDI</v>
      </c>
      <c r="D325" s="159">
        <v>46014</v>
      </c>
      <c r="E325" s="151">
        <f>600*2+300</f>
        <v>1500</v>
      </c>
      <c r="F325" s="151">
        <v>0</v>
      </c>
      <c r="G325" s="151">
        <v>0</v>
      </c>
      <c r="H325" s="151">
        <v>0</v>
      </c>
      <c r="I325" s="151">
        <v>0</v>
      </c>
      <c r="J325" s="151">
        <v>0</v>
      </c>
      <c r="K325" s="151">
        <v>0</v>
      </c>
      <c r="L325" s="151">
        <v>0</v>
      </c>
      <c r="M325" s="152">
        <v>0</v>
      </c>
      <c r="N325" s="151">
        <v>0</v>
      </c>
      <c r="O325" s="151">
        <v>0</v>
      </c>
      <c r="P325" s="151">
        <v>0</v>
      </c>
      <c r="Q325" s="151">
        <v>0</v>
      </c>
      <c r="R325" s="153">
        <v>0</v>
      </c>
      <c r="S325" s="153">
        <v>0</v>
      </c>
      <c r="T325" s="153">
        <v>0</v>
      </c>
      <c r="U325" s="153">
        <f t="shared" si="26"/>
        <v>1500</v>
      </c>
    </row>
    <row r="326" spans="1:21" ht="18" hidden="1" customHeight="1" x14ac:dyDescent="0.2">
      <c r="A326" s="150">
        <f t="shared" si="25"/>
        <v>325</v>
      </c>
      <c r="B326" s="150" t="s">
        <v>454</v>
      </c>
      <c r="C326" s="343" t="str">
        <f>VLOOKUP(B326,MEMBERS!B:C,2, )</f>
        <v>Heritage club</v>
      </c>
      <c r="D326" s="159">
        <v>46014</v>
      </c>
      <c r="E326" s="342">
        <f>600*3</f>
        <v>1800</v>
      </c>
      <c r="F326" s="151">
        <v>0</v>
      </c>
      <c r="G326" s="151">
        <v>0</v>
      </c>
      <c r="H326" s="151">
        <v>0</v>
      </c>
      <c r="I326" s="151">
        <v>0</v>
      </c>
      <c r="J326" s="151">
        <v>0</v>
      </c>
      <c r="K326" s="151">
        <v>0</v>
      </c>
      <c r="L326" s="151">
        <v>0</v>
      </c>
      <c r="M326" s="152">
        <v>0</v>
      </c>
      <c r="N326" s="151">
        <v>0</v>
      </c>
      <c r="O326" s="151">
        <v>0</v>
      </c>
      <c r="P326" s="151">
        <v>0</v>
      </c>
      <c r="Q326" s="151">
        <v>0</v>
      </c>
      <c r="R326" s="153">
        <v>0</v>
      </c>
      <c r="S326" s="153">
        <v>0</v>
      </c>
      <c r="T326" s="153">
        <v>0</v>
      </c>
      <c r="U326" s="153">
        <f t="shared" si="26"/>
        <v>1800</v>
      </c>
    </row>
    <row r="327" spans="1:21" ht="18" hidden="1" customHeight="1" x14ac:dyDescent="0.2">
      <c r="A327" s="150">
        <f t="shared" si="25"/>
        <v>326</v>
      </c>
      <c r="B327" s="150" t="s">
        <v>454</v>
      </c>
      <c r="C327" s="150" t="str">
        <f>VLOOKUP(B327,MEMBERS!B:C,2, )</f>
        <v>Heritage club</v>
      </c>
      <c r="D327" s="159">
        <v>46015</v>
      </c>
      <c r="E327" s="151">
        <v>0</v>
      </c>
      <c r="F327" s="151">
        <v>0</v>
      </c>
      <c r="G327" s="151">
        <v>0</v>
      </c>
      <c r="H327" s="151">
        <v>0</v>
      </c>
      <c r="I327" s="151">
        <v>0</v>
      </c>
      <c r="J327" s="151">
        <v>0</v>
      </c>
      <c r="K327" s="151">
        <v>0</v>
      </c>
      <c r="L327" s="151">
        <v>0</v>
      </c>
      <c r="M327" s="152">
        <v>0</v>
      </c>
      <c r="N327" s="151">
        <v>0</v>
      </c>
      <c r="O327" s="151">
        <v>0</v>
      </c>
      <c r="P327" s="151">
        <v>0</v>
      </c>
      <c r="Q327" s="151">
        <v>0</v>
      </c>
      <c r="R327" s="153">
        <v>0</v>
      </c>
      <c r="S327" s="345">
        <v>480000</v>
      </c>
      <c r="T327" s="153">
        <v>0</v>
      </c>
      <c r="U327" s="153">
        <f t="shared" si="26"/>
        <v>480000</v>
      </c>
    </row>
    <row r="328" spans="1:21" ht="18" hidden="1" customHeight="1" x14ac:dyDescent="0.2">
      <c r="A328" s="150">
        <f t="shared" si="25"/>
        <v>327</v>
      </c>
      <c r="B328" s="150" t="s">
        <v>756</v>
      </c>
      <c r="C328" s="150" t="s">
        <v>1173</v>
      </c>
      <c r="D328" s="159">
        <v>46015</v>
      </c>
      <c r="E328" s="151">
        <v>0</v>
      </c>
      <c r="F328" s="151">
        <v>0</v>
      </c>
      <c r="G328" s="151">
        <v>0</v>
      </c>
      <c r="H328" s="151">
        <v>0</v>
      </c>
      <c r="I328" s="151">
        <v>0</v>
      </c>
      <c r="J328" s="151">
        <v>0</v>
      </c>
      <c r="K328" s="151">
        <v>0</v>
      </c>
      <c r="L328" s="151">
        <v>0</v>
      </c>
      <c r="M328" s="152">
        <v>0</v>
      </c>
      <c r="N328" s="151">
        <v>0</v>
      </c>
      <c r="O328" s="151">
        <v>0</v>
      </c>
      <c r="P328" s="346">
        <v>11500</v>
      </c>
      <c r="Q328" s="151">
        <v>0</v>
      </c>
      <c r="R328" s="153">
        <v>0</v>
      </c>
      <c r="S328" s="153">
        <v>0</v>
      </c>
      <c r="T328" s="153">
        <v>0</v>
      </c>
      <c r="U328" s="153">
        <f t="shared" si="26"/>
        <v>11500</v>
      </c>
    </row>
    <row r="329" spans="1:21" ht="18" hidden="1" customHeight="1" x14ac:dyDescent="0.2">
      <c r="A329" s="150">
        <f t="shared" ref="A329:A346" si="27">IF(D329&lt;&gt;"", ROW()-1, "")</f>
        <v>328</v>
      </c>
      <c r="B329" s="150" t="s">
        <v>373</v>
      </c>
      <c r="C329" s="150" t="str">
        <f>VLOOKUP(B329,MEMBERS!B:C,2, )</f>
        <v>ASIF ASHFAQ</v>
      </c>
      <c r="D329" s="159">
        <v>46015</v>
      </c>
      <c r="E329" s="151">
        <v>0</v>
      </c>
      <c r="F329" s="151">
        <v>0</v>
      </c>
      <c r="G329" s="151">
        <v>0</v>
      </c>
      <c r="H329" s="151">
        <f>300*2+600*4</f>
        <v>3000</v>
      </c>
      <c r="I329" s="151">
        <v>0</v>
      </c>
      <c r="J329" s="151">
        <v>0</v>
      </c>
      <c r="K329" s="151">
        <v>0</v>
      </c>
      <c r="L329" s="151">
        <v>0</v>
      </c>
      <c r="M329" s="152">
        <v>0</v>
      </c>
      <c r="N329" s="151">
        <v>0</v>
      </c>
      <c r="O329" s="151">
        <v>0</v>
      </c>
      <c r="P329" s="151">
        <v>0</v>
      </c>
      <c r="Q329" s="151">
        <v>0</v>
      </c>
      <c r="R329" s="153">
        <v>0</v>
      </c>
      <c r="S329" s="153">
        <v>0</v>
      </c>
      <c r="T329" s="153">
        <v>0</v>
      </c>
      <c r="U329" s="153">
        <f t="shared" ref="U329:U346" si="28">SUM(E329:T329)</f>
        <v>3000</v>
      </c>
    </row>
    <row r="330" spans="1:21" ht="18" hidden="1" customHeight="1" x14ac:dyDescent="0.2">
      <c r="A330" s="150">
        <f t="shared" si="27"/>
        <v>329</v>
      </c>
      <c r="B330" s="150" t="s">
        <v>192</v>
      </c>
      <c r="C330" s="150" t="str">
        <f>VLOOKUP(B330,MEMBERS!B:C,2, )</f>
        <v>MR.HANIF AHSAN ZUBEDI</v>
      </c>
      <c r="D330" s="159">
        <v>46015</v>
      </c>
      <c r="E330" s="151">
        <v>0</v>
      </c>
      <c r="F330" s="151">
        <v>0</v>
      </c>
      <c r="G330" s="151">
        <v>0</v>
      </c>
      <c r="H330" s="151">
        <v>0</v>
      </c>
      <c r="I330" s="151">
        <v>300</v>
      </c>
      <c r="J330" s="151">
        <v>300</v>
      </c>
      <c r="K330" s="151">
        <f>300*3+600*3</f>
        <v>2700</v>
      </c>
      <c r="L330" s="151">
        <v>0</v>
      </c>
      <c r="M330" s="152">
        <v>0</v>
      </c>
      <c r="N330" s="151">
        <v>0</v>
      </c>
      <c r="O330" s="151">
        <v>0</v>
      </c>
      <c r="P330" s="151">
        <v>0</v>
      </c>
      <c r="Q330" s="151">
        <v>0</v>
      </c>
      <c r="R330" s="153">
        <v>0</v>
      </c>
      <c r="S330" s="153">
        <v>0</v>
      </c>
      <c r="T330" s="153">
        <v>0</v>
      </c>
      <c r="U330" s="153">
        <f t="shared" si="28"/>
        <v>3300</v>
      </c>
    </row>
    <row r="331" spans="1:21" ht="18" hidden="1" customHeight="1" x14ac:dyDescent="0.2">
      <c r="A331" s="150">
        <f t="shared" si="27"/>
        <v>330</v>
      </c>
      <c r="B331" s="150" t="s">
        <v>10</v>
      </c>
      <c r="C331" s="150" t="str">
        <f>VLOOKUP(B331,MEMBERS!B:C,2, )</f>
        <v>MR. JABIR SHAHZAD</v>
      </c>
      <c r="D331" s="159">
        <v>46015</v>
      </c>
      <c r="E331" s="151">
        <v>0</v>
      </c>
      <c r="F331" s="151">
        <v>0</v>
      </c>
      <c r="G331" s="151">
        <v>0</v>
      </c>
      <c r="H331" s="151">
        <v>0</v>
      </c>
      <c r="I331" s="151">
        <v>0</v>
      </c>
      <c r="J331" s="151">
        <f>300*2</f>
        <v>600</v>
      </c>
      <c r="K331" s="151">
        <v>0</v>
      </c>
      <c r="L331" s="151">
        <v>0</v>
      </c>
      <c r="M331" s="152">
        <v>0</v>
      </c>
      <c r="N331" s="151">
        <v>0</v>
      </c>
      <c r="O331" s="151">
        <v>0</v>
      </c>
      <c r="P331" s="151">
        <v>0</v>
      </c>
      <c r="Q331" s="151">
        <v>0</v>
      </c>
      <c r="R331" s="153">
        <v>0</v>
      </c>
      <c r="S331" s="153">
        <v>0</v>
      </c>
      <c r="T331" s="153">
        <v>0</v>
      </c>
      <c r="U331" s="153">
        <f t="shared" si="28"/>
        <v>600</v>
      </c>
    </row>
    <row r="332" spans="1:21" ht="18" hidden="1" customHeight="1" x14ac:dyDescent="0.2">
      <c r="A332" s="150">
        <f t="shared" si="27"/>
        <v>331</v>
      </c>
      <c r="B332" s="150" t="s">
        <v>54</v>
      </c>
      <c r="C332" s="150" t="str">
        <f>VLOOKUP(B332,MEMBERS!B:C,2, )</f>
        <v>MR.ZEESHAN IQBAL</v>
      </c>
      <c r="D332" s="159">
        <v>46015</v>
      </c>
      <c r="E332" s="151">
        <v>0</v>
      </c>
      <c r="F332" s="151">
        <v>0</v>
      </c>
      <c r="G332" s="151">
        <v>0</v>
      </c>
      <c r="H332" s="151">
        <v>0</v>
      </c>
      <c r="I332" s="151">
        <v>0</v>
      </c>
      <c r="J332" s="151">
        <f>300+500</f>
        <v>800</v>
      </c>
      <c r="K332" s="151">
        <v>0</v>
      </c>
      <c r="L332" s="151">
        <v>0</v>
      </c>
      <c r="M332" s="152">
        <v>0</v>
      </c>
      <c r="N332" s="151">
        <v>0</v>
      </c>
      <c r="O332" s="151">
        <v>0</v>
      </c>
      <c r="P332" s="151">
        <v>0</v>
      </c>
      <c r="Q332" s="151">
        <v>0</v>
      </c>
      <c r="R332" s="153">
        <v>0</v>
      </c>
      <c r="S332" s="153">
        <v>0</v>
      </c>
      <c r="T332" s="153">
        <v>0</v>
      </c>
      <c r="U332" s="153">
        <f t="shared" si="28"/>
        <v>800</v>
      </c>
    </row>
    <row r="333" spans="1:21" ht="18" hidden="1" customHeight="1" x14ac:dyDescent="0.2">
      <c r="A333" s="150">
        <f t="shared" si="27"/>
        <v>332</v>
      </c>
      <c r="B333" s="150" t="s">
        <v>650</v>
      </c>
      <c r="C333" s="150" t="str">
        <f>VLOOKUP(B333,MEMBERS!B:C,2, )</f>
        <v>SHAHBAZ AHMED</v>
      </c>
      <c r="D333" s="159">
        <v>46015</v>
      </c>
      <c r="E333" s="151">
        <v>0</v>
      </c>
      <c r="F333" s="151">
        <v>300</v>
      </c>
      <c r="G333" s="151">
        <v>0</v>
      </c>
      <c r="H333" s="151">
        <v>0</v>
      </c>
      <c r="I333" s="151">
        <v>0</v>
      </c>
      <c r="J333" s="151">
        <v>0</v>
      </c>
      <c r="K333" s="151">
        <v>0</v>
      </c>
      <c r="L333" s="151">
        <v>0</v>
      </c>
      <c r="M333" s="152">
        <v>0</v>
      </c>
      <c r="N333" s="151">
        <v>0</v>
      </c>
      <c r="O333" s="151">
        <v>0</v>
      </c>
      <c r="P333" s="151">
        <v>0</v>
      </c>
      <c r="Q333" s="151">
        <v>0</v>
      </c>
      <c r="R333" s="153">
        <v>0</v>
      </c>
      <c r="S333" s="153">
        <v>0</v>
      </c>
      <c r="T333" s="153">
        <v>0</v>
      </c>
      <c r="U333" s="153">
        <f t="shared" si="28"/>
        <v>300</v>
      </c>
    </row>
    <row r="334" spans="1:21" ht="18" hidden="1" customHeight="1" x14ac:dyDescent="0.2">
      <c r="A334" s="150">
        <f t="shared" si="27"/>
        <v>333</v>
      </c>
      <c r="B334" s="150" t="s">
        <v>1004</v>
      </c>
      <c r="C334" s="150" t="str">
        <f>VLOOKUP(B334,MEMBERS!B:C,2, )</f>
        <v>MRS RIFFAT ZULFIQAR</v>
      </c>
      <c r="D334" s="159">
        <v>46015</v>
      </c>
      <c r="E334" s="151">
        <v>0</v>
      </c>
      <c r="F334" s="151">
        <f>150*2</f>
        <v>300</v>
      </c>
      <c r="G334" s="151">
        <v>0</v>
      </c>
      <c r="H334" s="151">
        <v>0</v>
      </c>
      <c r="I334" s="151">
        <v>0</v>
      </c>
      <c r="J334" s="151">
        <v>0</v>
      </c>
      <c r="K334" s="151">
        <v>0</v>
      </c>
      <c r="L334" s="151">
        <v>0</v>
      </c>
      <c r="M334" s="152">
        <v>0</v>
      </c>
      <c r="N334" s="151">
        <v>0</v>
      </c>
      <c r="O334" s="151">
        <v>0</v>
      </c>
      <c r="P334" s="151">
        <v>0</v>
      </c>
      <c r="Q334" s="151">
        <v>0</v>
      </c>
      <c r="R334" s="153">
        <v>0</v>
      </c>
      <c r="S334" s="153">
        <v>0</v>
      </c>
      <c r="T334" s="153">
        <v>0</v>
      </c>
      <c r="U334" s="153">
        <f t="shared" si="28"/>
        <v>300</v>
      </c>
    </row>
    <row r="335" spans="1:21" ht="18" hidden="1" customHeight="1" x14ac:dyDescent="0.2">
      <c r="A335" s="150">
        <f t="shared" si="27"/>
        <v>334</v>
      </c>
      <c r="B335" s="150" t="s">
        <v>756</v>
      </c>
      <c r="C335" s="150" t="e">
        <f>VLOOKUP(B335,MEMBERS!B:C,2, )</f>
        <v>#N/A</v>
      </c>
      <c r="D335" s="159">
        <v>46015</v>
      </c>
      <c r="E335" s="151">
        <f>300+600*2</f>
        <v>1500</v>
      </c>
      <c r="F335" s="151">
        <v>0</v>
      </c>
      <c r="G335" s="151">
        <v>0</v>
      </c>
      <c r="H335" s="151">
        <v>0</v>
      </c>
      <c r="I335" s="151">
        <v>0</v>
      </c>
      <c r="J335" s="151">
        <v>0</v>
      </c>
      <c r="K335" s="151">
        <v>0</v>
      </c>
      <c r="L335" s="151">
        <v>0</v>
      </c>
      <c r="M335" s="152">
        <v>0</v>
      </c>
      <c r="N335" s="151">
        <v>0</v>
      </c>
      <c r="O335" s="151">
        <v>0</v>
      </c>
      <c r="P335" s="151">
        <v>0</v>
      </c>
      <c r="Q335" s="151">
        <v>0</v>
      </c>
      <c r="R335" s="153">
        <v>0</v>
      </c>
      <c r="S335" s="153">
        <v>0</v>
      </c>
      <c r="T335" s="153">
        <v>0</v>
      </c>
      <c r="U335" s="153">
        <f t="shared" si="28"/>
        <v>1500</v>
      </c>
    </row>
    <row r="336" spans="1:21" ht="18" hidden="1" customHeight="1" x14ac:dyDescent="0.2">
      <c r="A336" s="150">
        <f t="shared" si="27"/>
        <v>335</v>
      </c>
      <c r="B336" s="150" t="s">
        <v>756</v>
      </c>
      <c r="C336" s="150" t="s">
        <v>1173</v>
      </c>
      <c r="D336" s="159">
        <v>46016</v>
      </c>
      <c r="E336" s="151">
        <v>0</v>
      </c>
      <c r="F336" s="151">
        <v>0</v>
      </c>
      <c r="G336" s="151">
        <v>0</v>
      </c>
      <c r="H336" s="151">
        <v>0</v>
      </c>
      <c r="I336" s="151">
        <v>0</v>
      </c>
      <c r="J336" s="151">
        <v>0</v>
      </c>
      <c r="K336" s="151">
        <v>0</v>
      </c>
      <c r="L336" s="151">
        <v>0</v>
      </c>
      <c r="M336" s="152">
        <v>0</v>
      </c>
      <c r="N336" s="151">
        <v>0</v>
      </c>
      <c r="O336" s="151">
        <v>0</v>
      </c>
      <c r="P336" s="346">
        <v>4500</v>
      </c>
      <c r="Q336" s="151">
        <v>0</v>
      </c>
      <c r="R336" s="153">
        <v>0</v>
      </c>
      <c r="S336" s="153">
        <v>0</v>
      </c>
      <c r="T336" s="153">
        <v>0</v>
      </c>
      <c r="U336" s="153">
        <f t="shared" si="28"/>
        <v>4500</v>
      </c>
    </row>
    <row r="337" spans="1:21" ht="18" hidden="1" customHeight="1" x14ac:dyDescent="0.2">
      <c r="A337" s="150">
        <f t="shared" si="27"/>
        <v>336</v>
      </c>
      <c r="B337" s="150" t="s">
        <v>378</v>
      </c>
      <c r="C337" s="150" t="str">
        <f>VLOOKUP(B337,MEMBERS!B:C,2, )</f>
        <v>SABA AHSAN</v>
      </c>
      <c r="D337" s="159">
        <v>46016</v>
      </c>
      <c r="E337" s="151">
        <v>0</v>
      </c>
      <c r="F337" s="151">
        <v>0</v>
      </c>
      <c r="G337" s="151">
        <v>0</v>
      </c>
      <c r="H337" s="151">
        <v>0</v>
      </c>
      <c r="I337" s="151">
        <v>0</v>
      </c>
      <c r="J337" s="151">
        <v>0</v>
      </c>
      <c r="K337" s="151">
        <v>0</v>
      </c>
      <c r="L337" s="151">
        <v>0</v>
      </c>
      <c r="M337" s="152">
        <v>0</v>
      </c>
      <c r="N337" s="151">
        <v>0</v>
      </c>
      <c r="O337" s="151">
        <v>0</v>
      </c>
      <c r="P337" s="151">
        <v>2000</v>
      </c>
      <c r="Q337" s="151">
        <v>0</v>
      </c>
      <c r="R337" s="153">
        <v>0</v>
      </c>
      <c r="S337" s="153">
        <v>0</v>
      </c>
      <c r="T337" s="153">
        <v>0</v>
      </c>
      <c r="U337" s="153">
        <f t="shared" si="28"/>
        <v>2000</v>
      </c>
    </row>
    <row r="338" spans="1:21" ht="18" customHeight="1" x14ac:dyDescent="0.2">
      <c r="A338" s="150">
        <f t="shared" si="27"/>
        <v>337</v>
      </c>
      <c r="B338" s="150" t="s">
        <v>138</v>
      </c>
      <c r="C338" s="150" t="str">
        <f>VLOOKUP(B338,MEMBERS!B:C,2, )</f>
        <v>DR.UMER QAZI</v>
      </c>
      <c r="D338" s="159">
        <v>46016</v>
      </c>
      <c r="E338" s="151">
        <v>0</v>
      </c>
      <c r="F338" s="151">
        <v>0</v>
      </c>
      <c r="G338" s="151">
        <v>0</v>
      </c>
      <c r="H338" s="151">
        <v>0</v>
      </c>
      <c r="I338" s="151">
        <v>0</v>
      </c>
      <c r="J338" s="151">
        <v>0</v>
      </c>
      <c r="K338" s="151">
        <v>0</v>
      </c>
      <c r="L338" s="151">
        <v>0</v>
      </c>
      <c r="M338" s="152">
        <v>0</v>
      </c>
      <c r="N338" s="151">
        <v>0</v>
      </c>
      <c r="O338" s="151">
        <f>1000*4+1500*4</f>
        <v>10000</v>
      </c>
      <c r="P338" s="151">
        <v>0</v>
      </c>
      <c r="Q338" s="151">
        <v>0</v>
      </c>
      <c r="R338" s="153">
        <v>0</v>
      </c>
      <c r="S338" s="153">
        <v>0</v>
      </c>
      <c r="T338" s="153">
        <v>0</v>
      </c>
      <c r="U338" s="153">
        <f t="shared" si="28"/>
        <v>10000</v>
      </c>
    </row>
    <row r="339" spans="1:21" ht="18" hidden="1" customHeight="1" x14ac:dyDescent="0.2">
      <c r="A339" s="150">
        <f t="shared" si="27"/>
        <v>338</v>
      </c>
      <c r="B339" s="150" t="s">
        <v>217</v>
      </c>
      <c r="C339" s="150" t="str">
        <f>VLOOKUP(B339,MEMBERS!B:C,2, )</f>
        <v>MR.ZAIN FAROOQ</v>
      </c>
      <c r="D339" s="159">
        <v>46016</v>
      </c>
      <c r="E339" s="151">
        <v>0</v>
      </c>
      <c r="F339" s="151">
        <v>0</v>
      </c>
      <c r="G339" s="151">
        <v>0</v>
      </c>
      <c r="H339" s="151">
        <v>0</v>
      </c>
      <c r="I339" s="151">
        <v>0</v>
      </c>
      <c r="J339" s="151">
        <f>300*2</f>
        <v>600</v>
      </c>
      <c r="K339" s="151">
        <v>0</v>
      </c>
      <c r="L339" s="151">
        <v>0</v>
      </c>
      <c r="M339" s="152">
        <v>0</v>
      </c>
      <c r="N339" s="151">
        <v>0</v>
      </c>
      <c r="O339" s="151">
        <v>0</v>
      </c>
      <c r="P339" s="151">
        <v>0</v>
      </c>
      <c r="Q339" s="151">
        <v>0</v>
      </c>
      <c r="R339" s="153">
        <v>0</v>
      </c>
      <c r="S339" s="153">
        <v>0</v>
      </c>
      <c r="T339" s="153">
        <v>0</v>
      </c>
      <c r="U339" s="153">
        <f t="shared" si="28"/>
        <v>600</v>
      </c>
    </row>
    <row r="340" spans="1:21" ht="18" hidden="1" customHeight="1" x14ac:dyDescent="0.2">
      <c r="A340" s="150">
        <f t="shared" si="27"/>
        <v>339</v>
      </c>
      <c r="B340" s="150" t="s">
        <v>226</v>
      </c>
      <c r="C340" s="150" t="str">
        <f>VLOOKUP(B340,MEMBERS!B:C,2, )</f>
        <v>MR.ASIF ALI</v>
      </c>
      <c r="D340" s="159">
        <v>46016</v>
      </c>
      <c r="E340" s="151">
        <v>0</v>
      </c>
      <c r="F340" s="151">
        <v>150</v>
      </c>
      <c r="G340" s="151">
        <v>0</v>
      </c>
      <c r="H340" s="151">
        <v>0</v>
      </c>
      <c r="I340" s="151">
        <v>0</v>
      </c>
      <c r="J340" s="151">
        <f>300*2+500*3</f>
        <v>2100</v>
      </c>
      <c r="K340" s="151">
        <v>0</v>
      </c>
      <c r="L340" s="151">
        <v>0</v>
      </c>
      <c r="M340" s="152">
        <v>0</v>
      </c>
      <c r="N340" s="151">
        <v>0</v>
      </c>
      <c r="O340" s="151">
        <v>0</v>
      </c>
      <c r="P340" s="151">
        <v>0</v>
      </c>
      <c r="Q340" s="151">
        <v>0</v>
      </c>
      <c r="R340" s="153">
        <v>0</v>
      </c>
      <c r="S340" s="153">
        <v>0</v>
      </c>
      <c r="T340" s="153">
        <v>0</v>
      </c>
      <c r="U340" s="153">
        <f t="shared" si="28"/>
        <v>2250</v>
      </c>
    </row>
    <row r="341" spans="1:21" ht="18" hidden="1" customHeight="1" x14ac:dyDescent="0.2">
      <c r="A341" s="150">
        <f t="shared" si="27"/>
        <v>340</v>
      </c>
      <c r="B341" s="150" t="s">
        <v>454</v>
      </c>
      <c r="C341" s="150" t="str">
        <f>VLOOKUP(B341,MEMBERS!B:C,2, )</f>
        <v>Heritage club</v>
      </c>
      <c r="D341" s="159">
        <v>46016</v>
      </c>
      <c r="E341" s="151">
        <v>0</v>
      </c>
      <c r="F341" s="151">
        <v>0</v>
      </c>
      <c r="G341" s="151">
        <v>0</v>
      </c>
      <c r="H341" s="151">
        <v>0</v>
      </c>
      <c r="I341" s="151">
        <v>0</v>
      </c>
      <c r="J341" s="151">
        <f>500*4</f>
        <v>2000</v>
      </c>
      <c r="K341" s="151">
        <v>0</v>
      </c>
      <c r="L341" s="151">
        <v>0</v>
      </c>
      <c r="M341" s="152">
        <v>0</v>
      </c>
      <c r="N341" s="151">
        <v>0</v>
      </c>
      <c r="O341" s="151">
        <v>0</v>
      </c>
      <c r="P341" s="151">
        <v>0</v>
      </c>
      <c r="Q341" s="151">
        <v>0</v>
      </c>
      <c r="R341" s="153">
        <v>0</v>
      </c>
      <c r="S341" s="153">
        <v>0</v>
      </c>
      <c r="T341" s="153">
        <v>0</v>
      </c>
      <c r="U341" s="153">
        <f t="shared" si="28"/>
        <v>2000</v>
      </c>
    </row>
    <row r="342" spans="1:21" ht="18" hidden="1" customHeight="1" x14ac:dyDescent="0.2">
      <c r="A342" s="150">
        <f t="shared" si="27"/>
        <v>341</v>
      </c>
      <c r="B342" s="150" t="s">
        <v>795</v>
      </c>
      <c r="C342" s="150" t="str">
        <f>VLOOKUP(B342,MEMBERS!B:C,2, )</f>
        <v>MR. HASAN KARIM</v>
      </c>
      <c r="D342" s="159">
        <v>46016</v>
      </c>
      <c r="E342" s="151">
        <f>300+600*9</f>
        <v>5700</v>
      </c>
      <c r="F342" s="151">
        <v>0</v>
      </c>
      <c r="G342" s="151">
        <v>0</v>
      </c>
      <c r="H342" s="151">
        <v>0</v>
      </c>
      <c r="I342" s="151">
        <v>0</v>
      </c>
      <c r="J342" s="151">
        <f>500*2</f>
        <v>1000</v>
      </c>
      <c r="K342" s="151">
        <v>300</v>
      </c>
      <c r="L342" s="151">
        <v>0</v>
      </c>
      <c r="M342" s="152">
        <v>0</v>
      </c>
      <c r="N342" s="151">
        <v>0</v>
      </c>
      <c r="O342" s="151">
        <v>0</v>
      </c>
      <c r="P342" s="151">
        <v>0</v>
      </c>
      <c r="Q342" s="151">
        <v>0</v>
      </c>
      <c r="R342" s="153">
        <v>0</v>
      </c>
      <c r="S342" s="153">
        <v>0</v>
      </c>
      <c r="T342" s="153">
        <v>0</v>
      </c>
      <c r="U342" s="153">
        <f t="shared" si="28"/>
        <v>7000</v>
      </c>
    </row>
    <row r="343" spans="1:21" ht="18" hidden="1" customHeight="1" x14ac:dyDescent="0.2">
      <c r="A343" s="150">
        <f t="shared" si="27"/>
        <v>342</v>
      </c>
      <c r="B343" s="150" t="s">
        <v>1020</v>
      </c>
      <c r="C343" s="150" t="str">
        <f>VLOOKUP(B343,MEMBERS!B:C,2, )</f>
        <v>MR. MUNAWAR HUSSAIN</v>
      </c>
      <c r="D343" s="159">
        <v>46016</v>
      </c>
      <c r="E343" s="151">
        <f>300*6</f>
        <v>1800</v>
      </c>
      <c r="F343" s="151">
        <f>150*2</f>
        <v>300</v>
      </c>
      <c r="G343" s="151">
        <v>0</v>
      </c>
      <c r="H343" s="151">
        <v>0</v>
      </c>
      <c r="I343" s="151">
        <v>0</v>
      </c>
      <c r="J343" s="151">
        <v>0</v>
      </c>
      <c r="K343" s="151">
        <v>0</v>
      </c>
      <c r="L343" s="151">
        <v>0</v>
      </c>
      <c r="M343" s="152">
        <v>0</v>
      </c>
      <c r="N343" s="151">
        <v>0</v>
      </c>
      <c r="O343" s="151">
        <v>0</v>
      </c>
      <c r="P343" s="151">
        <v>0</v>
      </c>
      <c r="Q343" s="151">
        <v>0</v>
      </c>
      <c r="R343" s="153">
        <v>0</v>
      </c>
      <c r="S343" s="153">
        <v>0</v>
      </c>
      <c r="T343" s="153">
        <v>0</v>
      </c>
      <c r="U343" s="153">
        <f t="shared" si="28"/>
        <v>2100</v>
      </c>
    </row>
    <row r="344" spans="1:21" ht="18" hidden="1" customHeight="1" x14ac:dyDescent="0.2">
      <c r="A344" s="150">
        <f t="shared" si="27"/>
        <v>343</v>
      </c>
      <c r="B344" s="150" t="s">
        <v>173</v>
      </c>
      <c r="C344" s="150" t="str">
        <f>VLOOKUP(B344,MEMBERS!B:C,2, )</f>
        <v>MR.MUHAMMAD ZAIN</v>
      </c>
      <c r="D344" s="159">
        <v>46016</v>
      </c>
      <c r="E344" s="151">
        <f>300*2</f>
        <v>600</v>
      </c>
      <c r="F344" s="151">
        <v>0</v>
      </c>
      <c r="G344" s="151">
        <v>0</v>
      </c>
      <c r="H344" s="151">
        <v>0</v>
      </c>
      <c r="I344" s="151">
        <v>0</v>
      </c>
      <c r="J344" s="151">
        <v>0</v>
      </c>
      <c r="K344" s="151">
        <v>0</v>
      </c>
      <c r="L344" s="151">
        <v>0</v>
      </c>
      <c r="M344" s="152">
        <v>0</v>
      </c>
      <c r="N344" s="151">
        <v>0</v>
      </c>
      <c r="O344" s="151">
        <v>0</v>
      </c>
      <c r="P344" s="151">
        <v>0</v>
      </c>
      <c r="Q344" s="151">
        <v>0</v>
      </c>
      <c r="R344" s="153">
        <v>0</v>
      </c>
      <c r="S344" s="153">
        <v>0</v>
      </c>
      <c r="T344" s="153">
        <v>0</v>
      </c>
      <c r="U344" s="153">
        <f t="shared" si="28"/>
        <v>600</v>
      </c>
    </row>
    <row r="345" spans="1:21" ht="18" hidden="1" customHeight="1" x14ac:dyDescent="0.2">
      <c r="A345" s="150">
        <f t="shared" si="27"/>
        <v>344</v>
      </c>
      <c r="B345" s="150" t="s">
        <v>155</v>
      </c>
      <c r="C345" s="150" t="str">
        <f>VLOOKUP(B345,MEMBERS!B:C,2, )</f>
        <v>MR.PIR MUJEEB JAN SARHANDI</v>
      </c>
      <c r="D345" s="159">
        <v>46016</v>
      </c>
      <c r="E345" s="151">
        <v>0</v>
      </c>
      <c r="F345" s="151">
        <v>150</v>
      </c>
      <c r="G345" s="151">
        <v>0</v>
      </c>
      <c r="H345" s="151">
        <v>0</v>
      </c>
      <c r="I345" s="151">
        <v>0</v>
      </c>
      <c r="J345" s="151">
        <v>0</v>
      </c>
      <c r="K345" s="151">
        <v>0</v>
      </c>
      <c r="L345" s="151">
        <v>0</v>
      </c>
      <c r="M345" s="152">
        <v>0</v>
      </c>
      <c r="N345" s="151">
        <v>0</v>
      </c>
      <c r="O345" s="151">
        <v>0</v>
      </c>
      <c r="P345" s="151">
        <v>0</v>
      </c>
      <c r="Q345" s="151">
        <v>0</v>
      </c>
      <c r="R345" s="153">
        <v>0</v>
      </c>
      <c r="S345" s="153">
        <v>0</v>
      </c>
      <c r="T345" s="153">
        <v>0</v>
      </c>
      <c r="U345" s="153">
        <f t="shared" si="28"/>
        <v>150</v>
      </c>
    </row>
    <row r="346" spans="1:21" ht="18" hidden="1" customHeight="1" x14ac:dyDescent="0.2">
      <c r="A346" s="150" t="str">
        <f t="shared" si="27"/>
        <v/>
      </c>
      <c r="B346" s="150" t="s">
        <v>428</v>
      </c>
      <c r="C346" s="150" t="str">
        <f>VLOOKUP(B346,MEMBERS!B:C,2, )</f>
        <v>ALI LEGHARI</v>
      </c>
      <c r="D346" s="159"/>
      <c r="E346" s="151">
        <v>0</v>
      </c>
      <c r="F346" s="151">
        <v>0</v>
      </c>
      <c r="G346" s="151">
        <v>0</v>
      </c>
      <c r="H346" s="151">
        <v>0</v>
      </c>
      <c r="I346" s="151">
        <v>0</v>
      </c>
      <c r="J346" s="151">
        <v>0</v>
      </c>
      <c r="K346" s="151">
        <v>0</v>
      </c>
      <c r="L346" s="151">
        <v>0</v>
      </c>
      <c r="M346" s="152">
        <v>0</v>
      </c>
      <c r="N346" s="151">
        <v>0</v>
      </c>
      <c r="O346" s="151">
        <v>0</v>
      </c>
      <c r="P346" s="151">
        <v>0</v>
      </c>
      <c r="Q346" s="151">
        <v>0</v>
      </c>
      <c r="R346" s="153">
        <v>0</v>
      </c>
      <c r="S346" s="363">
        <v>100000</v>
      </c>
      <c r="T346" s="153">
        <v>0</v>
      </c>
      <c r="U346" s="153">
        <f t="shared" si="28"/>
        <v>100000</v>
      </c>
    </row>
    <row r="347" spans="1:21" ht="18" hidden="1" customHeight="1" x14ac:dyDescent="0.2">
      <c r="A347" s="150" t="str">
        <f t="shared" si="23"/>
        <v/>
      </c>
      <c r="B347" s="150" t="s">
        <v>756</v>
      </c>
      <c r="C347" s="150" t="e">
        <f>VLOOKUP(B347,MEMBERS!B:C,2, )</f>
        <v>#N/A</v>
      </c>
      <c r="D347" s="159"/>
      <c r="E347" s="151">
        <v>0</v>
      </c>
      <c r="F347" s="151">
        <v>0</v>
      </c>
      <c r="G347" s="151">
        <v>0</v>
      </c>
      <c r="H347" s="151">
        <v>0</v>
      </c>
      <c r="I347" s="151">
        <v>0</v>
      </c>
      <c r="J347" s="151">
        <v>0</v>
      </c>
      <c r="K347" s="151">
        <v>0</v>
      </c>
      <c r="L347" s="151">
        <v>0</v>
      </c>
      <c r="M347" s="152">
        <v>0</v>
      </c>
      <c r="N347" s="151">
        <v>0</v>
      </c>
      <c r="O347" s="151">
        <v>0</v>
      </c>
      <c r="P347" s="151">
        <v>0</v>
      </c>
      <c r="Q347" s="151">
        <v>0</v>
      </c>
      <c r="R347" s="153">
        <v>0</v>
      </c>
      <c r="S347" s="153">
        <v>0</v>
      </c>
      <c r="T347" s="153">
        <v>0</v>
      </c>
      <c r="U347" s="153">
        <f t="shared" si="24"/>
        <v>0</v>
      </c>
    </row>
    <row r="348" spans="1:21" ht="18" hidden="1" customHeight="1" x14ac:dyDescent="0.2">
      <c r="A348" s="150" t="str">
        <f t="shared" si="23"/>
        <v/>
      </c>
      <c r="B348" s="150" t="s">
        <v>756</v>
      </c>
      <c r="C348" s="150" t="e">
        <f>VLOOKUP(B348,MEMBERS!B:C,2, )</f>
        <v>#N/A</v>
      </c>
      <c r="D348" s="159"/>
      <c r="E348" s="151">
        <v>0</v>
      </c>
      <c r="F348" s="151">
        <v>0</v>
      </c>
      <c r="G348" s="151">
        <v>0</v>
      </c>
      <c r="H348" s="151">
        <v>0</v>
      </c>
      <c r="I348" s="151">
        <v>0</v>
      </c>
      <c r="J348" s="151">
        <v>0</v>
      </c>
      <c r="K348" s="151">
        <v>0</v>
      </c>
      <c r="L348" s="151">
        <v>0</v>
      </c>
      <c r="M348" s="152">
        <v>0</v>
      </c>
      <c r="N348" s="151">
        <v>0</v>
      </c>
      <c r="O348" s="151">
        <v>0</v>
      </c>
      <c r="P348" s="151">
        <v>0</v>
      </c>
      <c r="Q348" s="151">
        <v>0</v>
      </c>
      <c r="R348" s="153">
        <v>0</v>
      </c>
      <c r="S348" s="153">
        <v>0</v>
      </c>
      <c r="T348" s="153">
        <v>0</v>
      </c>
      <c r="U348" s="153">
        <f t="shared" si="24"/>
        <v>0</v>
      </c>
    </row>
    <row r="349" spans="1:21" ht="15.75" customHeight="1" x14ac:dyDescent="0.25">
      <c r="C349" s="155" t="s">
        <v>1091</v>
      </c>
      <c r="E349" s="156">
        <f t="shared" ref="E349:U349" si="29">SUM(E2:E348)</f>
        <v>89100</v>
      </c>
      <c r="F349" s="156">
        <f t="shared" si="29"/>
        <v>34050</v>
      </c>
      <c r="G349" s="156">
        <f t="shared" si="29"/>
        <v>1500</v>
      </c>
      <c r="H349" s="156">
        <f t="shared" si="29"/>
        <v>7500</v>
      </c>
      <c r="I349" s="156">
        <f t="shared" si="29"/>
        <v>300</v>
      </c>
      <c r="J349" s="156">
        <f t="shared" si="29"/>
        <v>109100</v>
      </c>
      <c r="K349" s="156">
        <f t="shared" si="29"/>
        <v>17000</v>
      </c>
      <c r="L349" s="156">
        <f t="shared" si="29"/>
        <v>0</v>
      </c>
      <c r="M349" s="156">
        <f t="shared" si="29"/>
        <v>200</v>
      </c>
      <c r="N349" s="156">
        <f t="shared" si="29"/>
        <v>3000</v>
      </c>
      <c r="O349" s="156">
        <f t="shared" si="29"/>
        <v>78450</v>
      </c>
      <c r="P349" s="156">
        <f t="shared" si="29"/>
        <v>261400</v>
      </c>
      <c r="Q349" s="156">
        <f t="shared" si="29"/>
        <v>0</v>
      </c>
      <c r="R349" s="156">
        <f t="shared" si="29"/>
        <v>0</v>
      </c>
      <c r="S349" s="156">
        <f t="shared" si="29"/>
        <v>735000</v>
      </c>
      <c r="T349" s="156">
        <f t="shared" si="29"/>
        <v>508000</v>
      </c>
      <c r="U349" s="156">
        <f t="shared" si="29"/>
        <v>1844600</v>
      </c>
    </row>
    <row r="350" spans="1:21" ht="15" customHeight="1" x14ac:dyDescent="0.2">
      <c r="E350" s="155"/>
      <c r="F350" s="155"/>
      <c r="G350" s="155"/>
    </row>
    <row r="351" spans="1:21" ht="15" customHeight="1" x14ac:dyDescent="0.2">
      <c r="E351" s="155"/>
    </row>
    <row r="352" spans="1:21" ht="15" customHeight="1" x14ac:dyDescent="0.2">
      <c r="E352" s="155"/>
      <c r="F352" s="155"/>
      <c r="G352" s="155"/>
    </row>
    <row r="353" spans="3:18" ht="15" customHeight="1" x14ac:dyDescent="0.2">
      <c r="E353" s="155"/>
    </row>
    <row r="354" spans="3:18" ht="15" customHeight="1" x14ac:dyDescent="0.2">
      <c r="E354" s="155"/>
    </row>
    <row r="355" spans="3:18" ht="15" customHeight="1" x14ac:dyDescent="0.2">
      <c r="E355" s="155"/>
    </row>
    <row r="356" spans="3:18" ht="15" customHeight="1" x14ac:dyDescent="0.2">
      <c r="E356" s="155"/>
    </row>
    <row r="357" spans="3:18" ht="15" customHeight="1" x14ac:dyDescent="0.2">
      <c r="E357" s="155"/>
    </row>
    <row r="358" spans="3:18" ht="15" customHeight="1" x14ac:dyDescent="0.2">
      <c r="C358" s="155" t="s">
        <v>1268</v>
      </c>
      <c r="D358" s="155" t="s">
        <v>1269</v>
      </c>
      <c r="E358" s="155" t="s">
        <v>1270</v>
      </c>
      <c r="F358" s="156" t="s">
        <v>1230</v>
      </c>
    </row>
    <row r="359" spans="3:18" ht="15" customHeight="1" x14ac:dyDescent="0.2">
      <c r="C359" s="155">
        <v>1</v>
      </c>
      <c r="D359" s="155" t="s">
        <v>363</v>
      </c>
      <c r="E359" s="155">
        <v>300</v>
      </c>
      <c r="F359" s="156">
        <v>600</v>
      </c>
    </row>
    <row r="360" spans="3:18" ht="15" customHeight="1" x14ac:dyDescent="0.2">
      <c r="C360" s="155">
        <v>2</v>
      </c>
      <c r="D360" s="155" t="s">
        <v>6</v>
      </c>
      <c r="E360" s="155">
        <v>150</v>
      </c>
      <c r="F360" s="156">
        <v>300</v>
      </c>
    </row>
    <row r="361" spans="3:18" ht="15" customHeight="1" x14ac:dyDescent="0.2">
      <c r="C361" s="155">
        <v>3</v>
      </c>
      <c r="D361" s="155" t="s">
        <v>364</v>
      </c>
      <c r="E361" s="155">
        <v>150</v>
      </c>
      <c r="F361" s="156">
        <v>300</v>
      </c>
      <c r="M361" s="157" t="s">
        <v>1272</v>
      </c>
      <c r="N361" s="156" t="s">
        <v>362</v>
      </c>
      <c r="O361" s="156" t="s">
        <v>1273</v>
      </c>
      <c r="P361" s="156" t="s">
        <v>1274</v>
      </c>
      <c r="Q361" s="156" t="s">
        <v>1275</v>
      </c>
      <c r="R361" s="158" t="s">
        <v>1276</v>
      </c>
    </row>
    <row r="362" spans="3:18" ht="15" customHeight="1" x14ac:dyDescent="0.25">
      <c r="C362" s="155">
        <v>4</v>
      </c>
      <c r="D362" s="155" t="s">
        <v>365</v>
      </c>
      <c r="E362" s="155">
        <v>300</v>
      </c>
      <c r="F362" s="156">
        <v>600</v>
      </c>
      <c r="M362" s="156">
        <v>650</v>
      </c>
      <c r="N362" s="482">
        <v>46038</v>
      </c>
      <c r="O362" s="156" t="s">
        <v>1097</v>
      </c>
      <c r="P362" s="156">
        <v>1</v>
      </c>
      <c r="Q362" s="156">
        <v>3</v>
      </c>
    </row>
    <row r="363" spans="3:18" ht="15" customHeight="1" x14ac:dyDescent="0.2">
      <c r="C363" s="155">
        <v>5</v>
      </c>
      <c r="D363" s="155" t="s">
        <v>366</v>
      </c>
      <c r="E363" s="155">
        <v>150</v>
      </c>
      <c r="F363" s="156">
        <v>300</v>
      </c>
      <c r="P363" s="156">
        <f>E369*P362</f>
        <v>1000</v>
      </c>
      <c r="Q363" s="156">
        <f>F369*Q362</f>
        <v>4500</v>
      </c>
      <c r="R363" s="158">
        <f>P363+Q363</f>
        <v>5500</v>
      </c>
    </row>
    <row r="364" spans="3:18" ht="15" customHeight="1" x14ac:dyDescent="0.2">
      <c r="C364" s="155">
        <v>6</v>
      </c>
      <c r="D364" s="155" t="s">
        <v>367</v>
      </c>
      <c r="E364" s="155">
        <v>300</v>
      </c>
      <c r="F364" s="156">
        <v>500</v>
      </c>
    </row>
    <row r="365" spans="3:18" ht="15" customHeight="1" x14ac:dyDescent="0.2">
      <c r="C365" s="155">
        <v>7</v>
      </c>
      <c r="D365" s="155" t="s">
        <v>368</v>
      </c>
      <c r="E365" s="155">
        <v>300</v>
      </c>
      <c r="F365" s="156">
        <v>600</v>
      </c>
    </row>
    <row r="366" spans="3:18" ht="15" customHeight="1" x14ac:dyDescent="0.2">
      <c r="C366" s="155">
        <v>8</v>
      </c>
      <c r="D366" s="155" t="s">
        <v>369</v>
      </c>
      <c r="E366" s="155">
        <v>0</v>
      </c>
      <c r="F366" s="156">
        <v>0</v>
      </c>
      <c r="G366" s="156" t="s">
        <v>1271</v>
      </c>
      <c r="M366" s="157" t="s">
        <v>1277</v>
      </c>
      <c r="N366" s="156" t="s">
        <v>1278</v>
      </c>
    </row>
    <row r="367" spans="3:18" ht="15" customHeight="1" x14ac:dyDescent="0.2">
      <c r="C367" s="155">
        <v>9</v>
      </c>
      <c r="D367" s="155" t="s">
        <v>370</v>
      </c>
      <c r="E367" s="155">
        <v>200</v>
      </c>
      <c r="F367" s="156">
        <v>200</v>
      </c>
      <c r="G367" s="156">
        <v>1000</v>
      </c>
    </row>
    <row r="368" spans="3:18" ht="15" customHeight="1" x14ac:dyDescent="0.2">
      <c r="C368" s="481">
        <v>10</v>
      </c>
      <c r="D368" s="481" t="s">
        <v>371</v>
      </c>
      <c r="E368" s="155"/>
    </row>
    <row r="369" spans="3:20" ht="15" customHeight="1" x14ac:dyDescent="0.2">
      <c r="C369" s="155">
        <v>11</v>
      </c>
      <c r="D369" s="155" t="s">
        <v>1097</v>
      </c>
      <c r="E369" s="155">
        <v>1000</v>
      </c>
      <c r="F369" s="156">
        <v>1500</v>
      </c>
    </row>
    <row r="370" spans="3:20" ht="15" customHeight="1" x14ac:dyDescent="0.2">
      <c r="C370" s="481">
        <v>12</v>
      </c>
      <c r="D370" s="481" t="s">
        <v>1098</v>
      </c>
      <c r="E370" s="155"/>
    </row>
    <row r="371" spans="3:20" ht="15" customHeight="1" x14ac:dyDescent="0.2">
      <c r="C371" s="155">
        <v>13</v>
      </c>
      <c r="D371" s="155" t="s">
        <v>979</v>
      </c>
      <c r="E371" s="155">
        <v>20000</v>
      </c>
      <c r="F371" s="156">
        <v>25000</v>
      </c>
    </row>
    <row r="372" spans="3:20" ht="15" customHeight="1" x14ac:dyDescent="0.2">
      <c r="C372" s="155">
        <v>14</v>
      </c>
      <c r="D372" s="155" t="s">
        <v>1099</v>
      </c>
      <c r="E372" s="155">
        <v>3500</v>
      </c>
      <c r="F372" s="156">
        <v>0</v>
      </c>
      <c r="M372" s="157" t="s">
        <v>1272</v>
      </c>
      <c r="N372" s="156" t="s">
        <v>1279</v>
      </c>
      <c r="O372" s="156" t="s">
        <v>1280</v>
      </c>
      <c r="P372" s="156" t="s">
        <v>1281</v>
      </c>
      <c r="Q372" s="156" t="s">
        <v>1283</v>
      </c>
      <c r="R372" s="158" t="s">
        <v>1282</v>
      </c>
      <c r="S372" s="158" t="s">
        <v>1284</v>
      </c>
      <c r="T372" s="158" t="s">
        <v>1290</v>
      </c>
    </row>
    <row r="373" spans="3:20" ht="15" customHeight="1" x14ac:dyDescent="0.2">
      <c r="C373" s="481">
        <v>15</v>
      </c>
      <c r="D373" s="481" t="s">
        <v>434</v>
      </c>
      <c r="E373" s="155"/>
      <c r="M373" s="157">
        <v>650</v>
      </c>
      <c r="N373" s="482">
        <v>46038</v>
      </c>
      <c r="O373" s="351" t="s">
        <v>734</v>
      </c>
      <c r="P373" s="156">
        <v>2</v>
      </c>
      <c r="Q373" s="156">
        <v>700</v>
      </c>
      <c r="R373" s="158">
        <f>Q373*0.15</f>
        <v>105</v>
      </c>
      <c r="S373" s="158">
        <f>Q373+R373</f>
        <v>805</v>
      </c>
      <c r="T373" s="158">
        <v>805</v>
      </c>
    </row>
    <row r="374" spans="3:20" ht="15" customHeight="1" x14ac:dyDescent="0.2">
      <c r="C374" s="481">
        <v>16</v>
      </c>
      <c r="D374" s="481" t="s">
        <v>757</v>
      </c>
      <c r="E374" s="155"/>
    </row>
    <row r="375" spans="3:20" ht="15" customHeight="1" x14ac:dyDescent="0.2">
      <c r="E375" s="155"/>
    </row>
    <row r="376" spans="3:20" ht="15" customHeight="1" x14ac:dyDescent="0.2">
      <c r="E376" s="155"/>
    </row>
    <row r="377" spans="3:20" ht="15" customHeight="1" x14ac:dyDescent="0.2">
      <c r="E377" s="155"/>
    </row>
    <row r="378" spans="3:20" ht="15" customHeight="1" x14ac:dyDescent="0.2">
      <c r="E378" s="155"/>
    </row>
    <row r="379" spans="3:20" ht="15" customHeight="1" x14ac:dyDescent="0.2">
      <c r="E379" s="155"/>
      <c r="M379" s="157" t="s">
        <v>1286</v>
      </c>
    </row>
    <row r="380" spans="3:20" ht="15" customHeight="1" x14ac:dyDescent="0.2">
      <c r="E380" s="155"/>
    </row>
    <row r="381" spans="3:20" ht="15" customHeight="1" x14ac:dyDescent="0.2">
      <c r="E381" s="155"/>
    </row>
    <row r="382" spans="3:20" ht="15" customHeight="1" x14ac:dyDescent="0.2">
      <c r="E382" s="155"/>
    </row>
    <row r="383" spans="3:20" ht="15" customHeight="1" x14ac:dyDescent="0.2">
      <c r="E383" s="155"/>
    </row>
    <row r="384" spans="3:20" ht="15" customHeight="1" x14ac:dyDescent="0.2">
      <c r="E384" s="155"/>
      <c r="M384" s="157" t="s">
        <v>1288</v>
      </c>
    </row>
    <row r="385" spans="5:14" ht="15" customHeight="1" x14ac:dyDescent="0.2">
      <c r="E385" s="155"/>
      <c r="M385" s="157">
        <v>650</v>
      </c>
    </row>
    <row r="386" spans="5:14" ht="15" customHeight="1" x14ac:dyDescent="0.2">
      <c r="E386" s="155"/>
      <c r="M386" s="157" t="s">
        <v>1097</v>
      </c>
      <c r="N386" s="156">
        <f>R363</f>
        <v>5500</v>
      </c>
    </row>
    <row r="387" spans="5:14" ht="15" customHeight="1" x14ac:dyDescent="0.2">
      <c r="E387" s="155"/>
      <c r="M387" s="157" t="s">
        <v>1287</v>
      </c>
      <c r="N387" s="156">
        <f>S373</f>
        <v>805</v>
      </c>
    </row>
    <row r="388" spans="5:14" ht="15" customHeight="1" x14ac:dyDescent="0.2">
      <c r="E388" s="155"/>
      <c r="M388" s="157" t="s">
        <v>1289</v>
      </c>
      <c r="N388" s="156">
        <f>T373</f>
        <v>805</v>
      </c>
    </row>
    <row r="389" spans="5:14" ht="15" customHeight="1" x14ac:dyDescent="0.2">
      <c r="E389" s="155"/>
      <c r="M389" s="157" t="s">
        <v>1285</v>
      </c>
      <c r="N389" s="156">
        <v>0</v>
      </c>
    </row>
    <row r="390" spans="5:14" ht="15" customHeight="1" x14ac:dyDescent="0.2">
      <c r="E390" s="155"/>
      <c r="M390" s="157" t="s">
        <v>1291</v>
      </c>
      <c r="N390" s="156">
        <f>((N386+N387 + N389)-N388)</f>
        <v>5500</v>
      </c>
    </row>
    <row r="391" spans="5:14" ht="15" customHeight="1" x14ac:dyDescent="0.2">
      <c r="E391" s="155"/>
    </row>
    <row r="392" spans="5:14" ht="15" customHeight="1" x14ac:dyDescent="0.2">
      <c r="E392" s="155"/>
    </row>
    <row r="393" spans="5:14" ht="15" customHeight="1" x14ac:dyDescent="0.2">
      <c r="E393" s="155"/>
    </row>
    <row r="394" spans="5:14" ht="15" customHeight="1" x14ac:dyDescent="0.2">
      <c r="E394" s="155"/>
    </row>
    <row r="395" spans="5:14" ht="15" customHeight="1" x14ac:dyDescent="0.2">
      <c r="E395" s="155"/>
    </row>
    <row r="396" spans="5:14" ht="15" customHeight="1" x14ac:dyDescent="0.2">
      <c r="E396" s="155"/>
    </row>
    <row r="397" spans="5:14" ht="15" customHeight="1" x14ac:dyDescent="0.2">
      <c r="E397" s="155"/>
    </row>
    <row r="398" spans="5:14" ht="15" customHeight="1" x14ac:dyDescent="0.2">
      <c r="E398" s="155"/>
    </row>
    <row r="399" spans="5:14" ht="15" customHeight="1" x14ac:dyDescent="0.2">
      <c r="E399" s="155"/>
    </row>
    <row r="400" spans="5:14" ht="15" customHeight="1" x14ac:dyDescent="0.2">
      <c r="E400" s="155"/>
    </row>
    <row r="401" spans="5:5" ht="15" customHeight="1" x14ac:dyDescent="0.2">
      <c r="E401" s="155"/>
    </row>
    <row r="402" spans="5:5" ht="15" customHeight="1" x14ac:dyDescent="0.2">
      <c r="E402" s="155"/>
    </row>
    <row r="403" spans="5:5" ht="15" customHeight="1" x14ac:dyDescent="0.2">
      <c r="E403" s="155"/>
    </row>
    <row r="404" spans="5:5" ht="15" customHeight="1" x14ac:dyDescent="0.2">
      <c r="E404" s="155"/>
    </row>
    <row r="405" spans="5:5" ht="15" customHeight="1" x14ac:dyDescent="0.2">
      <c r="E405" s="155"/>
    </row>
    <row r="406" spans="5:5" ht="15" customHeight="1" x14ac:dyDescent="0.2">
      <c r="E406" s="155"/>
    </row>
    <row r="407" spans="5:5" ht="15" customHeight="1" x14ac:dyDescent="0.2">
      <c r="E407" s="155"/>
    </row>
    <row r="408" spans="5:5" ht="15" customHeight="1" x14ac:dyDescent="0.2">
      <c r="E408" s="155"/>
    </row>
    <row r="409" spans="5:5" ht="15" customHeight="1" x14ac:dyDescent="0.2">
      <c r="E409" s="155"/>
    </row>
    <row r="410" spans="5:5" ht="15" customHeight="1" x14ac:dyDescent="0.2">
      <c r="E410" s="155"/>
    </row>
    <row r="411" spans="5:5" ht="15" customHeight="1" x14ac:dyDescent="0.2">
      <c r="E411" s="155"/>
    </row>
    <row r="412" spans="5:5" ht="15" customHeight="1" x14ac:dyDescent="0.2">
      <c r="E412" s="155"/>
    </row>
    <row r="413" spans="5:5" ht="15" customHeight="1" x14ac:dyDescent="0.2">
      <c r="E413" s="155"/>
    </row>
    <row r="414" spans="5:5" ht="15" customHeight="1" x14ac:dyDescent="0.2">
      <c r="E414" s="155"/>
    </row>
    <row r="415" spans="5:5" ht="15" customHeight="1" x14ac:dyDescent="0.2">
      <c r="E415" s="155"/>
    </row>
    <row r="416" spans="5:5" ht="15" customHeight="1" x14ac:dyDescent="0.2">
      <c r="E416" s="155"/>
    </row>
    <row r="417" spans="5:5" ht="15" customHeight="1" x14ac:dyDescent="0.2">
      <c r="E417" s="155"/>
    </row>
    <row r="418" spans="5:5" ht="15" customHeight="1" x14ac:dyDescent="0.2">
      <c r="E418" s="155"/>
    </row>
    <row r="419" spans="5:5" ht="15" customHeight="1" x14ac:dyDescent="0.2">
      <c r="E419" s="155"/>
    </row>
    <row r="420" spans="5:5" ht="15" customHeight="1" x14ac:dyDescent="0.2">
      <c r="E420" s="155"/>
    </row>
    <row r="421" spans="5:5" ht="15" customHeight="1" x14ac:dyDescent="0.2">
      <c r="E421" s="155"/>
    </row>
    <row r="422" spans="5:5" ht="15" customHeight="1" x14ac:dyDescent="0.2">
      <c r="E422" s="155"/>
    </row>
    <row r="423" spans="5:5" ht="15" customHeight="1" x14ac:dyDescent="0.2">
      <c r="E423" s="155"/>
    </row>
    <row r="424" spans="5:5" ht="15" customHeight="1" x14ac:dyDescent="0.2">
      <c r="E424" s="155"/>
    </row>
    <row r="425" spans="5:5" ht="15" customHeight="1" x14ac:dyDescent="0.2">
      <c r="E425" s="155"/>
    </row>
    <row r="426" spans="5:5" ht="15" customHeight="1" x14ac:dyDescent="0.2">
      <c r="E426" s="155"/>
    </row>
    <row r="427" spans="5:5" ht="15" customHeight="1" x14ac:dyDescent="0.2">
      <c r="E427" s="155"/>
    </row>
    <row r="428" spans="5:5" ht="15" customHeight="1" x14ac:dyDescent="0.2">
      <c r="E428" s="155"/>
    </row>
    <row r="429" spans="5:5" ht="15" customHeight="1" x14ac:dyDescent="0.2">
      <c r="E429" s="155"/>
    </row>
    <row r="430" spans="5:5" ht="15" customHeight="1" x14ac:dyDescent="0.2">
      <c r="E430" s="155"/>
    </row>
    <row r="431" spans="5:5" ht="15" customHeight="1" x14ac:dyDescent="0.2">
      <c r="E431" s="155"/>
    </row>
    <row r="432" spans="5:5" ht="15" customHeight="1" x14ac:dyDescent="0.2">
      <c r="E432" s="155"/>
    </row>
    <row r="433" spans="5:5" ht="15" customHeight="1" x14ac:dyDescent="0.2">
      <c r="E433" s="155"/>
    </row>
    <row r="434" spans="5:5" ht="15" customHeight="1" x14ac:dyDescent="0.2">
      <c r="E434" s="155"/>
    </row>
    <row r="435" spans="5:5" ht="15" customHeight="1" x14ac:dyDescent="0.2">
      <c r="E435" s="155"/>
    </row>
    <row r="436" spans="5:5" ht="15" customHeight="1" x14ac:dyDescent="0.2">
      <c r="E436" s="155"/>
    </row>
    <row r="437" spans="5:5" ht="15" customHeight="1" x14ac:dyDescent="0.2">
      <c r="E437" s="155"/>
    </row>
    <row r="438" spans="5:5" ht="15" customHeight="1" x14ac:dyDescent="0.2">
      <c r="E438" s="155"/>
    </row>
    <row r="439" spans="5:5" ht="15" customHeight="1" x14ac:dyDescent="0.2">
      <c r="E439" s="155"/>
    </row>
    <row r="440" spans="5:5" ht="15" customHeight="1" x14ac:dyDescent="0.2">
      <c r="E440" s="155"/>
    </row>
    <row r="441" spans="5:5" ht="15" customHeight="1" x14ac:dyDescent="0.2">
      <c r="E441" s="155"/>
    </row>
    <row r="442" spans="5:5" ht="15" customHeight="1" x14ac:dyDescent="0.2">
      <c r="E442" s="155"/>
    </row>
    <row r="443" spans="5:5" ht="15" customHeight="1" x14ac:dyDescent="0.2">
      <c r="E443" s="155"/>
    </row>
    <row r="444" spans="5:5" ht="15" customHeight="1" x14ac:dyDescent="0.2">
      <c r="E444" s="155"/>
    </row>
    <row r="445" spans="5:5" ht="15" customHeight="1" x14ac:dyDescent="0.2">
      <c r="E445" s="155"/>
    </row>
    <row r="446" spans="5:5" ht="15" customHeight="1" x14ac:dyDescent="0.2">
      <c r="E446" s="155"/>
    </row>
    <row r="447" spans="5:5" ht="15" customHeight="1" x14ac:dyDescent="0.2">
      <c r="E447" s="155"/>
    </row>
    <row r="448" spans="5:5" ht="15" customHeight="1" x14ac:dyDescent="0.2">
      <c r="E448" s="155"/>
    </row>
    <row r="449" spans="5:5" ht="15" customHeight="1" x14ac:dyDescent="0.2">
      <c r="E449" s="155"/>
    </row>
    <row r="450" spans="5:5" ht="15" customHeight="1" x14ac:dyDescent="0.2">
      <c r="E450" s="155"/>
    </row>
    <row r="451" spans="5:5" ht="15" customHeight="1" x14ac:dyDescent="0.2">
      <c r="E451" s="155"/>
    </row>
    <row r="452" spans="5:5" ht="15" customHeight="1" x14ac:dyDescent="0.2">
      <c r="E452" s="155"/>
    </row>
    <row r="453" spans="5:5" ht="15" customHeight="1" x14ac:dyDescent="0.2">
      <c r="E453" s="155"/>
    </row>
    <row r="454" spans="5:5" ht="15" customHeight="1" x14ac:dyDescent="0.2">
      <c r="E454" s="155"/>
    </row>
    <row r="455" spans="5:5" ht="15" customHeight="1" x14ac:dyDescent="0.2">
      <c r="E455" s="155"/>
    </row>
    <row r="456" spans="5:5" ht="15" customHeight="1" x14ac:dyDescent="0.2">
      <c r="E456" s="155"/>
    </row>
    <row r="457" spans="5:5" ht="15" customHeight="1" x14ac:dyDescent="0.2">
      <c r="E457" s="155"/>
    </row>
    <row r="458" spans="5:5" ht="15" customHeight="1" x14ac:dyDescent="0.2">
      <c r="E458" s="155"/>
    </row>
    <row r="459" spans="5:5" ht="15" customHeight="1" x14ac:dyDescent="0.2">
      <c r="E459" s="155"/>
    </row>
    <row r="460" spans="5:5" ht="15" customHeight="1" x14ac:dyDescent="0.2">
      <c r="E460" s="155"/>
    </row>
    <row r="461" spans="5:5" ht="15" customHeight="1" x14ac:dyDescent="0.2">
      <c r="E461" s="155"/>
    </row>
    <row r="462" spans="5:5" ht="15" customHeight="1" x14ac:dyDescent="0.2">
      <c r="E462" s="155"/>
    </row>
    <row r="463" spans="5:5" ht="15" customHeight="1" x14ac:dyDescent="0.2">
      <c r="E463" s="155"/>
    </row>
    <row r="464" spans="5:5" ht="15" customHeight="1" x14ac:dyDescent="0.2">
      <c r="E464" s="155"/>
    </row>
    <row r="465" spans="5:5" ht="15" customHeight="1" x14ac:dyDescent="0.2">
      <c r="E465" s="155"/>
    </row>
    <row r="466" spans="5:5" ht="15" customHeight="1" x14ac:dyDescent="0.2">
      <c r="E466" s="155"/>
    </row>
    <row r="467" spans="5:5" ht="15" customHeight="1" x14ac:dyDescent="0.2">
      <c r="E467" s="155"/>
    </row>
    <row r="468" spans="5:5" ht="15" customHeight="1" x14ac:dyDescent="0.2">
      <c r="E468" s="155"/>
    </row>
    <row r="469" spans="5:5" ht="15" customHeight="1" x14ac:dyDescent="0.2">
      <c r="E469" s="155"/>
    </row>
    <row r="470" spans="5:5" ht="15" customHeight="1" x14ac:dyDescent="0.2">
      <c r="E470" s="155"/>
    </row>
    <row r="471" spans="5:5" ht="15" customHeight="1" x14ac:dyDescent="0.2">
      <c r="E471" s="155"/>
    </row>
    <row r="472" spans="5:5" ht="15" customHeight="1" x14ac:dyDescent="0.2">
      <c r="E472" s="155"/>
    </row>
    <row r="473" spans="5:5" ht="15" customHeight="1" x14ac:dyDescent="0.2">
      <c r="E473" s="155"/>
    </row>
    <row r="474" spans="5:5" ht="15" customHeight="1" x14ac:dyDescent="0.2">
      <c r="E474" s="155"/>
    </row>
    <row r="475" spans="5:5" ht="15" customHeight="1" x14ac:dyDescent="0.2">
      <c r="E475" s="155"/>
    </row>
    <row r="476" spans="5:5" ht="15" customHeight="1" x14ac:dyDescent="0.2">
      <c r="E476" s="155"/>
    </row>
    <row r="477" spans="5:5" ht="15" customHeight="1" x14ac:dyDescent="0.2">
      <c r="E477" s="155"/>
    </row>
    <row r="478" spans="5:5" ht="15" customHeight="1" x14ac:dyDescent="0.2">
      <c r="E478" s="155"/>
    </row>
    <row r="479" spans="5:5" ht="15" customHeight="1" x14ac:dyDescent="0.2">
      <c r="E479" s="155"/>
    </row>
    <row r="480" spans="5:5" ht="15" customHeight="1" x14ac:dyDescent="0.2">
      <c r="E480" s="155"/>
    </row>
    <row r="481" spans="5:5" ht="15" customHeight="1" x14ac:dyDescent="0.2">
      <c r="E481" s="155"/>
    </row>
    <row r="482" spans="5:5" ht="15" customHeight="1" x14ac:dyDescent="0.2">
      <c r="E482" s="155"/>
    </row>
    <row r="483" spans="5:5" ht="15" customHeight="1" x14ac:dyDescent="0.2">
      <c r="E483" s="155"/>
    </row>
    <row r="484" spans="5:5" ht="15" customHeight="1" x14ac:dyDescent="0.2">
      <c r="E484" s="155"/>
    </row>
    <row r="485" spans="5:5" ht="15" customHeight="1" x14ac:dyDescent="0.2">
      <c r="E485" s="155"/>
    </row>
    <row r="486" spans="5:5" ht="15" customHeight="1" x14ac:dyDescent="0.2">
      <c r="E486" s="155"/>
    </row>
    <row r="487" spans="5:5" ht="15" customHeight="1" x14ac:dyDescent="0.2">
      <c r="E487" s="155"/>
    </row>
    <row r="488" spans="5:5" ht="15" customHeight="1" x14ac:dyDescent="0.2">
      <c r="E488" s="155"/>
    </row>
    <row r="489" spans="5:5" ht="15" customHeight="1" x14ac:dyDescent="0.2">
      <c r="E489" s="155"/>
    </row>
    <row r="490" spans="5:5" ht="15" customHeight="1" x14ac:dyDescent="0.2">
      <c r="E490" s="155"/>
    </row>
    <row r="491" spans="5:5" ht="15" customHeight="1" x14ac:dyDescent="0.2">
      <c r="E491" s="155"/>
    </row>
    <row r="492" spans="5:5" ht="15" customHeight="1" x14ac:dyDescent="0.2">
      <c r="E492" s="155"/>
    </row>
    <row r="493" spans="5:5" ht="15" customHeight="1" x14ac:dyDescent="0.2">
      <c r="E493" s="155"/>
    </row>
    <row r="494" spans="5:5" ht="15" customHeight="1" x14ac:dyDescent="0.2">
      <c r="E494" s="155"/>
    </row>
    <row r="495" spans="5:5" ht="15" customHeight="1" x14ac:dyDescent="0.2">
      <c r="E495" s="155"/>
    </row>
    <row r="496" spans="5:5" ht="15" customHeight="1" x14ac:dyDescent="0.2">
      <c r="E496" s="155"/>
    </row>
    <row r="497" spans="5:5" ht="15" customHeight="1" x14ac:dyDescent="0.2">
      <c r="E497" s="155"/>
    </row>
    <row r="498" spans="5:5" ht="15" customHeight="1" x14ac:dyDescent="0.2">
      <c r="E498" s="155"/>
    </row>
    <row r="499" spans="5:5" ht="15" customHeight="1" x14ac:dyDescent="0.2">
      <c r="E499" s="155"/>
    </row>
    <row r="500" spans="5:5" ht="15" customHeight="1" x14ac:dyDescent="0.2">
      <c r="E500" s="155"/>
    </row>
    <row r="501" spans="5:5" ht="15" customHeight="1" x14ac:dyDescent="0.2">
      <c r="E501" s="155"/>
    </row>
    <row r="502" spans="5:5" ht="15" customHeight="1" x14ac:dyDescent="0.2">
      <c r="E502" s="155"/>
    </row>
    <row r="503" spans="5:5" ht="15" customHeight="1" x14ac:dyDescent="0.2">
      <c r="E503" s="155"/>
    </row>
    <row r="504" spans="5:5" ht="15" customHeight="1" x14ac:dyDescent="0.2">
      <c r="E504" s="155"/>
    </row>
    <row r="505" spans="5:5" ht="15" customHeight="1" x14ac:dyDescent="0.2">
      <c r="E505" s="155"/>
    </row>
    <row r="506" spans="5:5" ht="15" customHeight="1" x14ac:dyDescent="0.2">
      <c r="E506" s="155"/>
    </row>
    <row r="507" spans="5:5" ht="15" customHeight="1" x14ac:dyDescent="0.2">
      <c r="E507" s="155"/>
    </row>
    <row r="508" spans="5:5" ht="15" customHeight="1" x14ac:dyDescent="0.2">
      <c r="E508" s="155"/>
    </row>
    <row r="509" spans="5:5" ht="15" customHeight="1" x14ac:dyDescent="0.2">
      <c r="E509" s="155"/>
    </row>
    <row r="510" spans="5:5" ht="15" customHeight="1" x14ac:dyDescent="0.2">
      <c r="E510" s="155"/>
    </row>
    <row r="511" spans="5:5" ht="15" customHeight="1" x14ac:dyDescent="0.2">
      <c r="E511" s="155"/>
    </row>
    <row r="512" spans="5:5" ht="15" customHeight="1" x14ac:dyDescent="0.2">
      <c r="E512" s="155"/>
    </row>
    <row r="513" spans="5:5" ht="15" customHeight="1" x14ac:dyDescent="0.2">
      <c r="E513" s="155"/>
    </row>
    <row r="514" spans="5:5" ht="15" customHeight="1" x14ac:dyDescent="0.2">
      <c r="E514" s="155"/>
    </row>
    <row r="515" spans="5:5" ht="15" customHeight="1" x14ac:dyDescent="0.2">
      <c r="E515" s="155"/>
    </row>
    <row r="516" spans="5:5" ht="15" customHeight="1" x14ac:dyDescent="0.2">
      <c r="E516" s="155"/>
    </row>
    <row r="517" spans="5:5" ht="15" customHeight="1" x14ac:dyDescent="0.2">
      <c r="E517" s="155"/>
    </row>
    <row r="518" spans="5:5" ht="15" customHeight="1" x14ac:dyDescent="0.2">
      <c r="E518" s="155"/>
    </row>
    <row r="519" spans="5:5" ht="15" customHeight="1" x14ac:dyDescent="0.2">
      <c r="E519" s="155"/>
    </row>
    <row r="520" spans="5:5" ht="15" customHeight="1" x14ac:dyDescent="0.2">
      <c r="E520" s="155"/>
    </row>
    <row r="521" spans="5:5" ht="15" customHeight="1" x14ac:dyDescent="0.2">
      <c r="E521" s="155"/>
    </row>
    <row r="522" spans="5:5" ht="15" customHeight="1" x14ac:dyDescent="0.2">
      <c r="E522" s="155"/>
    </row>
    <row r="523" spans="5:5" ht="15" customHeight="1" x14ac:dyDescent="0.2">
      <c r="E523" s="155"/>
    </row>
    <row r="524" spans="5:5" ht="15" customHeight="1" x14ac:dyDescent="0.2">
      <c r="E524" s="155"/>
    </row>
    <row r="525" spans="5:5" ht="15" customHeight="1" x14ac:dyDescent="0.2">
      <c r="E525" s="155"/>
    </row>
    <row r="526" spans="5:5" ht="15" customHeight="1" x14ac:dyDescent="0.2">
      <c r="E526" s="155"/>
    </row>
    <row r="527" spans="5:5" ht="15" customHeight="1" x14ac:dyDescent="0.2">
      <c r="E527" s="155"/>
    </row>
    <row r="528" spans="5:5" ht="15" customHeight="1" x14ac:dyDescent="0.2">
      <c r="E528" s="155"/>
    </row>
    <row r="529" spans="5:5" ht="15" customHeight="1" x14ac:dyDescent="0.2">
      <c r="E529" s="155"/>
    </row>
    <row r="530" spans="5:5" ht="15" customHeight="1" x14ac:dyDescent="0.2">
      <c r="E530" s="155"/>
    </row>
    <row r="531" spans="5:5" ht="15" customHeight="1" x14ac:dyDescent="0.2">
      <c r="E531" s="155"/>
    </row>
    <row r="532" spans="5:5" ht="15" customHeight="1" x14ac:dyDescent="0.2">
      <c r="E532" s="155"/>
    </row>
    <row r="533" spans="5:5" ht="15" customHeight="1" x14ac:dyDescent="0.2">
      <c r="E533" s="155"/>
    </row>
    <row r="534" spans="5:5" ht="15" customHeight="1" x14ac:dyDescent="0.2">
      <c r="E534" s="155"/>
    </row>
    <row r="535" spans="5:5" ht="15" customHeight="1" x14ac:dyDescent="0.2">
      <c r="E535" s="155"/>
    </row>
    <row r="536" spans="5:5" ht="15" customHeight="1" x14ac:dyDescent="0.2">
      <c r="E536" s="155"/>
    </row>
    <row r="537" spans="5:5" ht="15" customHeight="1" x14ac:dyDescent="0.2">
      <c r="E537" s="155"/>
    </row>
    <row r="538" spans="5:5" ht="15" customHeight="1" x14ac:dyDescent="0.2">
      <c r="E538" s="155"/>
    </row>
    <row r="539" spans="5:5" ht="15" customHeight="1" x14ac:dyDescent="0.2">
      <c r="E539" s="155"/>
    </row>
    <row r="540" spans="5:5" ht="15" customHeight="1" x14ac:dyDescent="0.2">
      <c r="E540" s="155"/>
    </row>
    <row r="541" spans="5:5" ht="15" customHeight="1" x14ac:dyDescent="0.2">
      <c r="E541" s="155"/>
    </row>
    <row r="542" spans="5:5" ht="15" customHeight="1" x14ac:dyDescent="0.2">
      <c r="E542" s="155"/>
    </row>
    <row r="543" spans="5:5" ht="15" customHeight="1" x14ac:dyDescent="0.2">
      <c r="E543" s="155"/>
    </row>
    <row r="544" spans="5:5" ht="15" customHeight="1" x14ac:dyDescent="0.2">
      <c r="E544" s="155"/>
    </row>
    <row r="545" spans="5:5" ht="15" customHeight="1" x14ac:dyDescent="0.2">
      <c r="E545" s="155"/>
    </row>
    <row r="546" spans="5:5" ht="15" customHeight="1" x14ac:dyDescent="0.2">
      <c r="E546" s="155"/>
    </row>
    <row r="547" spans="5:5" ht="15" customHeight="1" x14ac:dyDescent="0.2">
      <c r="E547" s="155"/>
    </row>
    <row r="548" spans="5:5" ht="15" customHeight="1" x14ac:dyDescent="0.2">
      <c r="E548" s="155"/>
    </row>
    <row r="549" spans="5:5" ht="15" customHeight="1" x14ac:dyDescent="0.2">
      <c r="E549" s="155"/>
    </row>
    <row r="550" spans="5:5" ht="15" customHeight="1" x14ac:dyDescent="0.2">
      <c r="E550" s="155"/>
    </row>
    <row r="551" spans="5:5" ht="15" customHeight="1" x14ac:dyDescent="0.2">
      <c r="E551" s="155"/>
    </row>
    <row r="552" spans="5:5" ht="15" customHeight="1" x14ac:dyDescent="0.2">
      <c r="E552" s="155"/>
    </row>
    <row r="553" spans="5:5" ht="15" customHeight="1" x14ac:dyDescent="0.2">
      <c r="E553" s="155"/>
    </row>
    <row r="554" spans="5:5" ht="15" customHeight="1" x14ac:dyDescent="0.2">
      <c r="E554" s="155"/>
    </row>
    <row r="555" spans="5:5" ht="15" customHeight="1" x14ac:dyDescent="0.2">
      <c r="E555" s="155"/>
    </row>
    <row r="556" spans="5:5" ht="15" customHeight="1" x14ac:dyDescent="0.2">
      <c r="E556" s="155"/>
    </row>
    <row r="557" spans="5:5" ht="15" customHeight="1" x14ac:dyDescent="0.2">
      <c r="E557" s="155"/>
    </row>
    <row r="558" spans="5:5" ht="15" customHeight="1" x14ac:dyDescent="0.2">
      <c r="E558" s="155"/>
    </row>
    <row r="559" spans="5:5" ht="15" customHeight="1" x14ac:dyDescent="0.2">
      <c r="E559" s="155"/>
    </row>
    <row r="560" spans="5:5" ht="15" customHeight="1" x14ac:dyDescent="0.2">
      <c r="E560" s="155"/>
    </row>
    <row r="561" spans="5:5" ht="15" customHeight="1" x14ac:dyDescent="0.2">
      <c r="E561" s="155"/>
    </row>
    <row r="562" spans="5:5" ht="15" customHeight="1" x14ac:dyDescent="0.2">
      <c r="E562" s="155"/>
    </row>
    <row r="563" spans="5:5" ht="15" customHeight="1" x14ac:dyDescent="0.2">
      <c r="E563" s="155"/>
    </row>
    <row r="564" spans="5:5" ht="15" customHeight="1" x14ac:dyDescent="0.2">
      <c r="E564" s="155"/>
    </row>
    <row r="565" spans="5:5" ht="15" customHeight="1" x14ac:dyDescent="0.2">
      <c r="E565" s="155"/>
    </row>
    <row r="566" spans="5:5" ht="15" customHeight="1" x14ac:dyDescent="0.2">
      <c r="E566" s="155"/>
    </row>
    <row r="567" spans="5:5" ht="15" customHeight="1" x14ac:dyDescent="0.2">
      <c r="E567" s="155"/>
    </row>
    <row r="568" spans="5:5" ht="15" customHeight="1" x14ac:dyDescent="0.2">
      <c r="E568" s="155"/>
    </row>
    <row r="569" spans="5:5" ht="15" customHeight="1" x14ac:dyDescent="0.2">
      <c r="E569" s="155"/>
    </row>
    <row r="570" spans="5:5" ht="15" customHeight="1" x14ac:dyDescent="0.2">
      <c r="E570" s="155"/>
    </row>
    <row r="571" spans="5:5" ht="15" customHeight="1" x14ac:dyDescent="0.2">
      <c r="E571" s="155"/>
    </row>
    <row r="572" spans="5:5" ht="15" customHeight="1" x14ac:dyDescent="0.2">
      <c r="E572" s="155"/>
    </row>
    <row r="573" spans="5:5" ht="15" customHeight="1" x14ac:dyDescent="0.2">
      <c r="E573" s="155"/>
    </row>
    <row r="574" spans="5:5" ht="15" customHeight="1" x14ac:dyDescent="0.2">
      <c r="E574" s="155"/>
    </row>
    <row r="575" spans="5:5" ht="15" customHeight="1" x14ac:dyDescent="0.2">
      <c r="E575" s="155"/>
    </row>
    <row r="576" spans="5:5" ht="15" customHeight="1" x14ac:dyDescent="0.2">
      <c r="E576" s="155"/>
    </row>
    <row r="577" spans="5:5" ht="15" customHeight="1" x14ac:dyDescent="0.2">
      <c r="E577" s="155"/>
    </row>
    <row r="578" spans="5:5" ht="15" customHeight="1" x14ac:dyDescent="0.2">
      <c r="E578" s="155"/>
    </row>
    <row r="579" spans="5:5" ht="15" customHeight="1" x14ac:dyDescent="0.2">
      <c r="E579" s="155"/>
    </row>
    <row r="580" spans="5:5" ht="15" customHeight="1" x14ac:dyDescent="0.2">
      <c r="E580" s="155"/>
    </row>
    <row r="581" spans="5:5" ht="15" customHeight="1" x14ac:dyDescent="0.2">
      <c r="E581" s="155"/>
    </row>
    <row r="582" spans="5:5" ht="15" customHeight="1" x14ac:dyDescent="0.2">
      <c r="E582" s="155"/>
    </row>
    <row r="583" spans="5:5" ht="15" customHeight="1" x14ac:dyDescent="0.2">
      <c r="E583" s="155"/>
    </row>
    <row r="584" spans="5:5" ht="15" customHeight="1" x14ac:dyDescent="0.2">
      <c r="E584" s="155"/>
    </row>
    <row r="585" spans="5:5" ht="15" customHeight="1" x14ac:dyDescent="0.2">
      <c r="E585" s="155"/>
    </row>
    <row r="586" spans="5:5" ht="15" customHeight="1" x14ac:dyDescent="0.2">
      <c r="E586" s="155"/>
    </row>
    <row r="587" spans="5:5" ht="15" customHeight="1" x14ac:dyDescent="0.2">
      <c r="E587" s="155"/>
    </row>
    <row r="588" spans="5:5" ht="15" customHeight="1" x14ac:dyDescent="0.2">
      <c r="E588" s="155"/>
    </row>
    <row r="589" spans="5:5" ht="15" customHeight="1" x14ac:dyDescent="0.2">
      <c r="E589" s="155"/>
    </row>
    <row r="590" spans="5:5" ht="15" customHeight="1" x14ac:dyDescent="0.2">
      <c r="E590" s="155"/>
    </row>
    <row r="591" spans="5:5" ht="15" customHeight="1" x14ac:dyDescent="0.2">
      <c r="E591" s="155"/>
    </row>
    <row r="592" spans="5:5" ht="15" customHeight="1" x14ac:dyDescent="0.2">
      <c r="E592" s="155"/>
    </row>
    <row r="593" spans="5:5" ht="15" customHeight="1" x14ac:dyDescent="0.2">
      <c r="E593" s="155"/>
    </row>
    <row r="594" spans="5:5" ht="15" customHeight="1" x14ac:dyDescent="0.2">
      <c r="E594" s="155"/>
    </row>
    <row r="595" spans="5:5" ht="15" customHeight="1" x14ac:dyDescent="0.2">
      <c r="E595" s="155"/>
    </row>
    <row r="596" spans="5:5" ht="15" customHeight="1" x14ac:dyDescent="0.2">
      <c r="E596" s="155"/>
    </row>
    <row r="597" spans="5:5" ht="15" customHeight="1" x14ac:dyDescent="0.2">
      <c r="E597" s="155"/>
    </row>
    <row r="598" spans="5:5" ht="15" customHeight="1" x14ac:dyDescent="0.2">
      <c r="E598" s="155"/>
    </row>
    <row r="599" spans="5:5" ht="15" customHeight="1" x14ac:dyDescent="0.2">
      <c r="E599" s="155"/>
    </row>
    <row r="600" spans="5:5" ht="15" customHeight="1" x14ac:dyDescent="0.2">
      <c r="E600" s="155"/>
    </row>
    <row r="601" spans="5:5" ht="15" customHeight="1" x14ac:dyDescent="0.2">
      <c r="E601" s="155"/>
    </row>
    <row r="602" spans="5:5" ht="15" customHeight="1" x14ac:dyDescent="0.2">
      <c r="E602" s="155"/>
    </row>
    <row r="603" spans="5:5" ht="15" customHeight="1" x14ac:dyDescent="0.2">
      <c r="E603" s="155"/>
    </row>
    <row r="604" spans="5:5" ht="15" customHeight="1" x14ac:dyDescent="0.2">
      <c r="E604" s="155"/>
    </row>
    <row r="605" spans="5:5" ht="15" customHeight="1" x14ac:dyDescent="0.2">
      <c r="E605" s="155"/>
    </row>
    <row r="606" spans="5:5" ht="15" customHeight="1" x14ac:dyDescent="0.2">
      <c r="E606" s="155"/>
    </row>
    <row r="607" spans="5:5" ht="15" customHeight="1" x14ac:dyDescent="0.2">
      <c r="E607" s="155"/>
    </row>
    <row r="608" spans="5:5" ht="15" customHeight="1" x14ac:dyDescent="0.2">
      <c r="E608" s="155"/>
    </row>
    <row r="609" spans="5:5" ht="15" customHeight="1" x14ac:dyDescent="0.2">
      <c r="E609" s="155"/>
    </row>
    <row r="610" spans="5:5" ht="15" customHeight="1" x14ac:dyDescent="0.2">
      <c r="E610" s="155"/>
    </row>
    <row r="611" spans="5:5" ht="15" customHeight="1" x14ac:dyDescent="0.2">
      <c r="E611" s="155"/>
    </row>
    <row r="612" spans="5:5" ht="15" customHeight="1" x14ac:dyDescent="0.2">
      <c r="E612" s="155"/>
    </row>
    <row r="613" spans="5:5" ht="15" customHeight="1" x14ac:dyDescent="0.2">
      <c r="E613" s="155"/>
    </row>
    <row r="614" spans="5:5" ht="15" customHeight="1" x14ac:dyDescent="0.2">
      <c r="E614" s="155"/>
    </row>
    <row r="615" spans="5:5" ht="15" customHeight="1" x14ac:dyDescent="0.2">
      <c r="E615" s="155"/>
    </row>
    <row r="616" spans="5:5" ht="15" customHeight="1" x14ac:dyDescent="0.2">
      <c r="E616" s="155"/>
    </row>
    <row r="617" spans="5:5" ht="15" customHeight="1" x14ac:dyDescent="0.2">
      <c r="E617" s="155"/>
    </row>
    <row r="618" spans="5:5" ht="15" customHeight="1" x14ac:dyDescent="0.2">
      <c r="E618" s="155"/>
    </row>
    <row r="619" spans="5:5" ht="15" customHeight="1" x14ac:dyDescent="0.2">
      <c r="E619" s="155"/>
    </row>
    <row r="620" spans="5:5" ht="15" customHeight="1" x14ac:dyDescent="0.2">
      <c r="E620" s="155"/>
    </row>
    <row r="621" spans="5:5" ht="15" customHeight="1" x14ac:dyDescent="0.2">
      <c r="E621" s="155"/>
    </row>
    <row r="622" spans="5:5" ht="15" customHeight="1" x14ac:dyDescent="0.2">
      <c r="E622" s="155"/>
    </row>
    <row r="623" spans="5:5" ht="15" customHeight="1" x14ac:dyDescent="0.2">
      <c r="E623" s="155"/>
    </row>
    <row r="624" spans="5:5" ht="15" customHeight="1" x14ac:dyDescent="0.2">
      <c r="E624" s="155"/>
    </row>
    <row r="625" spans="5:5" ht="15" customHeight="1" x14ac:dyDescent="0.2">
      <c r="E625" s="155"/>
    </row>
    <row r="626" spans="5:5" ht="15" customHeight="1" x14ac:dyDescent="0.2">
      <c r="E626" s="155"/>
    </row>
    <row r="627" spans="5:5" ht="15" customHeight="1" x14ac:dyDescent="0.2">
      <c r="E627" s="155"/>
    </row>
    <row r="628" spans="5:5" ht="15" customHeight="1" x14ac:dyDescent="0.2">
      <c r="E628" s="155"/>
    </row>
    <row r="629" spans="5:5" ht="15" customHeight="1" x14ac:dyDescent="0.2">
      <c r="E629" s="155"/>
    </row>
    <row r="630" spans="5:5" ht="15" customHeight="1" x14ac:dyDescent="0.2">
      <c r="E630" s="155"/>
    </row>
    <row r="631" spans="5:5" ht="15" customHeight="1" x14ac:dyDescent="0.2">
      <c r="E631" s="155"/>
    </row>
    <row r="632" spans="5:5" ht="15" customHeight="1" x14ac:dyDescent="0.2">
      <c r="E632" s="155"/>
    </row>
    <row r="633" spans="5:5" ht="15" customHeight="1" x14ac:dyDescent="0.2">
      <c r="E633" s="155"/>
    </row>
    <row r="634" spans="5:5" ht="15" customHeight="1" x14ac:dyDescent="0.2">
      <c r="E634" s="155"/>
    </row>
    <row r="635" spans="5:5" ht="15" customHeight="1" x14ac:dyDescent="0.2">
      <c r="E635" s="155"/>
    </row>
    <row r="636" spans="5:5" ht="15" customHeight="1" x14ac:dyDescent="0.2">
      <c r="E636" s="155"/>
    </row>
    <row r="637" spans="5:5" ht="15" customHeight="1" x14ac:dyDescent="0.2">
      <c r="E637" s="155"/>
    </row>
    <row r="638" spans="5:5" ht="15" customHeight="1" x14ac:dyDescent="0.2">
      <c r="E638" s="155"/>
    </row>
    <row r="639" spans="5:5" ht="15" customHeight="1" x14ac:dyDescent="0.2">
      <c r="E639" s="155"/>
    </row>
    <row r="640" spans="5:5" ht="15" customHeight="1" x14ac:dyDescent="0.2">
      <c r="E640" s="155"/>
    </row>
    <row r="641" spans="5:5" ht="15" customHeight="1" x14ac:dyDescent="0.2">
      <c r="E641" s="155"/>
    </row>
    <row r="642" spans="5:5" ht="15" customHeight="1" x14ac:dyDescent="0.2">
      <c r="E642" s="155"/>
    </row>
    <row r="643" spans="5:5" ht="15" customHeight="1" x14ac:dyDescent="0.2">
      <c r="E643" s="155"/>
    </row>
    <row r="644" spans="5:5" ht="15" customHeight="1" x14ac:dyDescent="0.2">
      <c r="E644" s="155"/>
    </row>
    <row r="645" spans="5:5" ht="15" customHeight="1" x14ac:dyDescent="0.2">
      <c r="E645" s="155"/>
    </row>
    <row r="646" spans="5:5" ht="15" customHeight="1" x14ac:dyDescent="0.2">
      <c r="E646" s="155"/>
    </row>
    <row r="647" spans="5:5" ht="15" customHeight="1" x14ac:dyDescent="0.2">
      <c r="E647" s="155"/>
    </row>
    <row r="648" spans="5:5" ht="15" customHeight="1" x14ac:dyDescent="0.2">
      <c r="E648" s="155"/>
    </row>
    <row r="649" spans="5:5" ht="15" customHeight="1" x14ac:dyDescent="0.2">
      <c r="E649" s="155"/>
    </row>
    <row r="650" spans="5:5" ht="15" customHeight="1" x14ac:dyDescent="0.2">
      <c r="E650" s="155"/>
    </row>
    <row r="651" spans="5:5" ht="15" customHeight="1" x14ac:dyDescent="0.2">
      <c r="E651" s="155"/>
    </row>
    <row r="652" spans="5:5" ht="15" customHeight="1" x14ac:dyDescent="0.2">
      <c r="E652" s="155"/>
    </row>
    <row r="653" spans="5:5" ht="15" customHeight="1" x14ac:dyDescent="0.2">
      <c r="E653" s="155"/>
    </row>
    <row r="654" spans="5:5" ht="15" customHeight="1" x14ac:dyDescent="0.2">
      <c r="E654" s="155"/>
    </row>
    <row r="655" spans="5:5" ht="15" customHeight="1" x14ac:dyDescent="0.2">
      <c r="E655" s="155"/>
    </row>
    <row r="656" spans="5:5" ht="15" customHeight="1" x14ac:dyDescent="0.2">
      <c r="E656" s="155"/>
    </row>
    <row r="657" spans="5:5" ht="15" customHeight="1" x14ac:dyDescent="0.2">
      <c r="E657" s="155"/>
    </row>
    <row r="658" spans="5:5" ht="15" customHeight="1" x14ac:dyDescent="0.2">
      <c r="E658" s="155"/>
    </row>
    <row r="659" spans="5:5" ht="15" customHeight="1" x14ac:dyDescent="0.2">
      <c r="E659" s="155"/>
    </row>
    <row r="660" spans="5:5" ht="15" customHeight="1" x14ac:dyDescent="0.2">
      <c r="E660" s="155"/>
    </row>
    <row r="661" spans="5:5" ht="15" customHeight="1" x14ac:dyDescent="0.2">
      <c r="E661" s="155"/>
    </row>
    <row r="662" spans="5:5" ht="15" customHeight="1" x14ac:dyDescent="0.2">
      <c r="E662" s="155"/>
    </row>
    <row r="663" spans="5:5" ht="15" customHeight="1" x14ac:dyDescent="0.2">
      <c r="E663" s="155"/>
    </row>
    <row r="664" spans="5:5" ht="15" customHeight="1" x14ac:dyDescent="0.2">
      <c r="E664" s="155"/>
    </row>
    <row r="665" spans="5:5" ht="15" customHeight="1" x14ac:dyDescent="0.2">
      <c r="E665" s="155"/>
    </row>
    <row r="666" spans="5:5" ht="15" customHeight="1" x14ac:dyDescent="0.2">
      <c r="E666" s="155"/>
    </row>
    <row r="667" spans="5:5" ht="15" customHeight="1" x14ac:dyDescent="0.2">
      <c r="E667" s="155"/>
    </row>
    <row r="668" spans="5:5" ht="15" customHeight="1" x14ac:dyDescent="0.2">
      <c r="E668" s="155"/>
    </row>
    <row r="669" spans="5:5" ht="15" customHeight="1" x14ac:dyDescent="0.2">
      <c r="E669" s="155"/>
    </row>
    <row r="670" spans="5:5" ht="15" customHeight="1" x14ac:dyDescent="0.2">
      <c r="E670" s="155"/>
    </row>
    <row r="671" spans="5:5" ht="15" customHeight="1" x14ac:dyDescent="0.2">
      <c r="E671" s="155"/>
    </row>
    <row r="672" spans="5:5" ht="15" customHeight="1" x14ac:dyDescent="0.2">
      <c r="E672" s="155"/>
    </row>
    <row r="673" spans="5:5" ht="15" customHeight="1" x14ac:dyDescent="0.2">
      <c r="E673" s="155"/>
    </row>
    <row r="674" spans="5:5" ht="15" customHeight="1" x14ac:dyDescent="0.2">
      <c r="E674" s="155"/>
    </row>
    <row r="675" spans="5:5" ht="15" customHeight="1" x14ac:dyDescent="0.2">
      <c r="E675" s="155"/>
    </row>
    <row r="676" spans="5:5" ht="15" customHeight="1" x14ac:dyDescent="0.2">
      <c r="E676" s="155"/>
    </row>
    <row r="677" spans="5:5" ht="15" customHeight="1" x14ac:dyDescent="0.2">
      <c r="E677" s="155"/>
    </row>
    <row r="678" spans="5:5" ht="15" customHeight="1" x14ac:dyDescent="0.2">
      <c r="E678" s="155"/>
    </row>
    <row r="679" spans="5:5" ht="15" customHeight="1" x14ac:dyDescent="0.2">
      <c r="E679" s="155"/>
    </row>
    <row r="680" spans="5:5" ht="15" customHeight="1" x14ac:dyDescent="0.2">
      <c r="E680" s="155"/>
    </row>
    <row r="681" spans="5:5" ht="15" customHeight="1" x14ac:dyDescent="0.2">
      <c r="E681" s="155"/>
    </row>
    <row r="682" spans="5:5" ht="15" customHeight="1" x14ac:dyDescent="0.2">
      <c r="E682" s="155"/>
    </row>
    <row r="683" spans="5:5" ht="15" customHeight="1" x14ac:dyDescent="0.2">
      <c r="E683" s="155"/>
    </row>
    <row r="684" spans="5:5" ht="15" customHeight="1" x14ac:dyDescent="0.2">
      <c r="E684" s="155"/>
    </row>
    <row r="685" spans="5:5" ht="15" customHeight="1" x14ac:dyDescent="0.2">
      <c r="E685" s="155"/>
    </row>
    <row r="686" spans="5:5" ht="15" customHeight="1" x14ac:dyDescent="0.2">
      <c r="E686" s="155"/>
    </row>
    <row r="687" spans="5:5" ht="15" customHeight="1" x14ac:dyDescent="0.2">
      <c r="E687" s="155"/>
    </row>
    <row r="688" spans="5:5" ht="15" customHeight="1" x14ac:dyDescent="0.2">
      <c r="E688" s="155"/>
    </row>
    <row r="689" spans="5:5" ht="15" customHeight="1" x14ac:dyDescent="0.2">
      <c r="E689" s="155"/>
    </row>
    <row r="690" spans="5:5" ht="15" customHeight="1" x14ac:dyDescent="0.2">
      <c r="E690" s="155"/>
    </row>
    <row r="691" spans="5:5" ht="15" customHeight="1" x14ac:dyDescent="0.2">
      <c r="E691" s="155"/>
    </row>
    <row r="692" spans="5:5" ht="15" customHeight="1" x14ac:dyDescent="0.2">
      <c r="E692" s="155"/>
    </row>
    <row r="693" spans="5:5" ht="15" customHeight="1" x14ac:dyDescent="0.2">
      <c r="E693" s="155"/>
    </row>
    <row r="694" spans="5:5" ht="15" customHeight="1" x14ac:dyDescent="0.2">
      <c r="E694" s="155"/>
    </row>
    <row r="695" spans="5:5" ht="15" customHeight="1" x14ac:dyDescent="0.2">
      <c r="E695" s="155"/>
    </row>
    <row r="696" spans="5:5" ht="15" customHeight="1" x14ac:dyDescent="0.2">
      <c r="E696" s="155"/>
    </row>
    <row r="697" spans="5:5" ht="15" customHeight="1" x14ac:dyDescent="0.2">
      <c r="E697" s="155"/>
    </row>
    <row r="698" spans="5:5" ht="15" customHeight="1" x14ac:dyDescent="0.2">
      <c r="E698" s="155"/>
    </row>
    <row r="699" spans="5:5" ht="15" customHeight="1" x14ac:dyDescent="0.2">
      <c r="E699" s="155"/>
    </row>
    <row r="700" spans="5:5" ht="15" customHeight="1" x14ac:dyDescent="0.2">
      <c r="E700" s="155"/>
    </row>
    <row r="701" spans="5:5" ht="15" customHeight="1" x14ac:dyDescent="0.2">
      <c r="E701" s="155"/>
    </row>
    <row r="702" spans="5:5" ht="15" customHeight="1" x14ac:dyDescent="0.2">
      <c r="E702" s="155"/>
    </row>
    <row r="703" spans="5:5" ht="15" customHeight="1" x14ac:dyDescent="0.2">
      <c r="E703" s="155"/>
    </row>
    <row r="704" spans="5:5" ht="15" customHeight="1" x14ac:dyDescent="0.2">
      <c r="E704" s="155"/>
    </row>
    <row r="705" spans="5:5" ht="15" customHeight="1" x14ac:dyDescent="0.2">
      <c r="E705" s="155"/>
    </row>
    <row r="706" spans="5:5" ht="15" customHeight="1" x14ac:dyDescent="0.2">
      <c r="E706" s="155"/>
    </row>
    <row r="707" spans="5:5" ht="15" customHeight="1" x14ac:dyDescent="0.2">
      <c r="E707" s="155"/>
    </row>
    <row r="708" spans="5:5" ht="15" customHeight="1" x14ac:dyDescent="0.2">
      <c r="E708" s="155"/>
    </row>
    <row r="709" spans="5:5" ht="15" customHeight="1" x14ac:dyDescent="0.2">
      <c r="E709" s="155"/>
    </row>
    <row r="710" spans="5:5" ht="15" customHeight="1" x14ac:dyDescent="0.2">
      <c r="E710" s="155"/>
    </row>
    <row r="711" spans="5:5" ht="15" customHeight="1" x14ac:dyDescent="0.2">
      <c r="E711" s="155"/>
    </row>
    <row r="712" spans="5:5" ht="15" customHeight="1" x14ac:dyDescent="0.2">
      <c r="E712" s="155"/>
    </row>
    <row r="713" spans="5:5" ht="15" customHeight="1" x14ac:dyDescent="0.2">
      <c r="E713" s="155"/>
    </row>
    <row r="714" spans="5:5" ht="15" customHeight="1" x14ac:dyDescent="0.2">
      <c r="E714" s="155"/>
    </row>
    <row r="715" spans="5:5" ht="15" customHeight="1" x14ac:dyDescent="0.2">
      <c r="E715" s="155"/>
    </row>
    <row r="716" spans="5:5" ht="15" customHeight="1" x14ac:dyDescent="0.2">
      <c r="E716" s="155"/>
    </row>
    <row r="717" spans="5:5" ht="15" customHeight="1" x14ac:dyDescent="0.2">
      <c r="E717" s="155"/>
    </row>
    <row r="718" spans="5:5" ht="15" customHeight="1" x14ac:dyDescent="0.2">
      <c r="E718" s="155"/>
    </row>
    <row r="719" spans="5:5" ht="15" customHeight="1" x14ac:dyDescent="0.2">
      <c r="E719" s="155"/>
    </row>
    <row r="720" spans="5:5" ht="15" customHeight="1" x14ac:dyDescent="0.2">
      <c r="E720" s="155"/>
    </row>
    <row r="721" spans="5:5" ht="15" customHeight="1" x14ac:dyDescent="0.2">
      <c r="E721" s="155"/>
    </row>
    <row r="722" spans="5:5" ht="15" customHeight="1" x14ac:dyDescent="0.2">
      <c r="E722" s="155"/>
    </row>
    <row r="723" spans="5:5" ht="15" customHeight="1" x14ac:dyDescent="0.2">
      <c r="E723" s="155"/>
    </row>
    <row r="724" spans="5:5" ht="15" customHeight="1" x14ac:dyDescent="0.2">
      <c r="E724" s="155"/>
    </row>
    <row r="725" spans="5:5" ht="15" customHeight="1" x14ac:dyDescent="0.2">
      <c r="E725" s="155"/>
    </row>
    <row r="726" spans="5:5" ht="15" customHeight="1" x14ac:dyDescent="0.2">
      <c r="E726" s="155"/>
    </row>
    <row r="727" spans="5:5" ht="15" customHeight="1" x14ac:dyDescent="0.2">
      <c r="E727" s="155"/>
    </row>
    <row r="728" spans="5:5" ht="15" customHeight="1" x14ac:dyDescent="0.2">
      <c r="E728" s="155"/>
    </row>
    <row r="729" spans="5:5" ht="15" customHeight="1" x14ac:dyDescent="0.2">
      <c r="E729" s="155"/>
    </row>
    <row r="730" spans="5:5" ht="15" customHeight="1" x14ac:dyDescent="0.2">
      <c r="E730" s="155"/>
    </row>
    <row r="731" spans="5:5" ht="15" customHeight="1" x14ac:dyDescent="0.2">
      <c r="E731" s="155"/>
    </row>
    <row r="732" spans="5:5" ht="15" customHeight="1" x14ac:dyDescent="0.2">
      <c r="E732" s="155"/>
    </row>
    <row r="733" spans="5:5" ht="15" customHeight="1" x14ac:dyDescent="0.2">
      <c r="E733" s="155"/>
    </row>
    <row r="734" spans="5:5" ht="15" customHeight="1" x14ac:dyDescent="0.2">
      <c r="E734" s="155"/>
    </row>
    <row r="735" spans="5:5" ht="15" customHeight="1" x14ac:dyDescent="0.2">
      <c r="E735" s="155"/>
    </row>
    <row r="736" spans="5:5" ht="15" customHeight="1" x14ac:dyDescent="0.2">
      <c r="E736" s="155"/>
    </row>
    <row r="737" spans="5:5" ht="15" customHeight="1" x14ac:dyDescent="0.2">
      <c r="E737" s="155"/>
    </row>
    <row r="738" spans="5:5" ht="15" customHeight="1" x14ac:dyDescent="0.2">
      <c r="E738" s="155"/>
    </row>
    <row r="739" spans="5:5" ht="15" customHeight="1" x14ac:dyDescent="0.2">
      <c r="E739" s="155"/>
    </row>
    <row r="740" spans="5:5" ht="15" customHeight="1" x14ac:dyDescent="0.2">
      <c r="E740" s="155"/>
    </row>
    <row r="741" spans="5:5" ht="15" customHeight="1" x14ac:dyDescent="0.2">
      <c r="E741" s="155"/>
    </row>
    <row r="742" spans="5:5" ht="15" customHeight="1" x14ac:dyDescent="0.2">
      <c r="E742" s="155"/>
    </row>
    <row r="743" spans="5:5" ht="15" customHeight="1" x14ac:dyDescent="0.2">
      <c r="E743" s="155"/>
    </row>
    <row r="744" spans="5:5" ht="15" customHeight="1" x14ac:dyDescent="0.2">
      <c r="E744" s="155"/>
    </row>
    <row r="745" spans="5:5" ht="15" customHeight="1" x14ac:dyDescent="0.2">
      <c r="E745" s="155"/>
    </row>
    <row r="746" spans="5:5" ht="15" customHeight="1" x14ac:dyDescent="0.2">
      <c r="E746" s="155"/>
    </row>
    <row r="747" spans="5:5" ht="15" customHeight="1" x14ac:dyDescent="0.2">
      <c r="E747" s="155"/>
    </row>
    <row r="748" spans="5:5" ht="15" customHeight="1" x14ac:dyDescent="0.2">
      <c r="E748" s="155"/>
    </row>
    <row r="749" spans="5:5" ht="15" customHeight="1" x14ac:dyDescent="0.2">
      <c r="E749" s="155"/>
    </row>
    <row r="750" spans="5:5" ht="15" customHeight="1" x14ac:dyDescent="0.2">
      <c r="E750" s="155"/>
    </row>
    <row r="751" spans="5:5" ht="15" customHeight="1" x14ac:dyDescent="0.2">
      <c r="E751" s="155"/>
    </row>
    <row r="752" spans="5:5" ht="15" customHeight="1" x14ac:dyDescent="0.2">
      <c r="E752" s="155"/>
    </row>
    <row r="753" spans="5:5" ht="15" customHeight="1" x14ac:dyDescent="0.2">
      <c r="E753" s="155"/>
    </row>
    <row r="754" spans="5:5" ht="15" customHeight="1" x14ac:dyDescent="0.2">
      <c r="E754" s="155"/>
    </row>
    <row r="755" spans="5:5" ht="15" customHeight="1" x14ac:dyDescent="0.2">
      <c r="E755" s="155"/>
    </row>
    <row r="756" spans="5:5" ht="15" customHeight="1" x14ac:dyDescent="0.2">
      <c r="E756" s="155"/>
    </row>
    <row r="757" spans="5:5" ht="15" customHeight="1" x14ac:dyDescent="0.2">
      <c r="E757" s="155"/>
    </row>
    <row r="758" spans="5:5" ht="15" customHeight="1" x14ac:dyDescent="0.2">
      <c r="E758" s="155"/>
    </row>
    <row r="759" spans="5:5" ht="15" customHeight="1" x14ac:dyDescent="0.2">
      <c r="E759" s="155"/>
    </row>
    <row r="760" spans="5:5" ht="15" customHeight="1" x14ac:dyDescent="0.2">
      <c r="E760" s="155"/>
    </row>
    <row r="761" spans="5:5" ht="15" customHeight="1" x14ac:dyDescent="0.2">
      <c r="E761" s="155"/>
    </row>
    <row r="762" spans="5:5" ht="15" customHeight="1" x14ac:dyDescent="0.2">
      <c r="E762" s="155"/>
    </row>
    <row r="763" spans="5:5" ht="15" customHeight="1" x14ac:dyDescent="0.2">
      <c r="E763" s="155"/>
    </row>
    <row r="764" spans="5:5" ht="15" customHeight="1" x14ac:dyDescent="0.2">
      <c r="E764" s="155"/>
    </row>
    <row r="765" spans="5:5" ht="15" customHeight="1" x14ac:dyDescent="0.2">
      <c r="E765" s="155"/>
    </row>
    <row r="766" spans="5:5" ht="15" customHeight="1" x14ac:dyDescent="0.2">
      <c r="E766" s="155"/>
    </row>
    <row r="767" spans="5:5" ht="15" customHeight="1" x14ac:dyDescent="0.2">
      <c r="E767" s="155"/>
    </row>
    <row r="768" spans="5:5" ht="15" customHeight="1" x14ac:dyDescent="0.2">
      <c r="E768" s="155"/>
    </row>
    <row r="769" spans="5:5" ht="15" customHeight="1" x14ac:dyDescent="0.2">
      <c r="E769" s="155"/>
    </row>
    <row r="770" spans="5:5" ht="15" customHeight="1" x14ac:dyDescent="0.2">
      <c r="E770" s="155"/>
    </row>
    <row r="771" spans="5:5" ht="15" customHeight="1" x14ac:dyDescent="0.2">
      <c r="E771" s="155"/>
    </row>
    <row r="772" spans="5:5" ht="15" customHeight="1" x14ac:dyDescent="0.2">
      <c r="E772" s="155"/>
    </row>
    <row r="773" spans="5:5" ht="15" customHeight="1" x14ac:dyDescent="0.2">
      <c r="E773" s="155"/>
    </row>
    <row r="774" spans="5:5" ht="15" customHeight="1" x14ac:dyDescent="0.2">
      <c r="E774" s="155"/>
    </row>
    <row r="775" spans="5:5" ht="15" customHeight="1" x14ac:dyDescent="0.2">
      <c r="E775" s="155"/>
    </row>
    <row r="776" spans="5:5" ht="15" customHeight="1" x14ac:dyDescent="0.2">
      <c r="E776" s="155"/>
    </row>
    <row r="777" spans="5:5" ht="15" customHeight="1" x14ac:dyDescent="0.2">
      <c r="E777" s="155"/>
    </row>
    <row r="778" spans="5:5" ht="15" customHeight="1" x14ac:dyDescent="0.2">
      <c r="E778" s="155"/>
    </row>
    <row r="779" spans="5:5" ht="15" customHeight="1" x14ac:dyDescent="0.2">
      <c r="E779" s="155"/>
    </row>
    <row r="780" spans="5:5" ht="15" customHeight="1" x14ac:dyDescent="0.2">
      <c r="E780" s="155"/>
    </row>
    <row r="781" spans="5:5" ht="15" customHeight="1" x14ac:dyDescent="0.2">
      <c r="E781" s="155"/>
    </row>
    <row r="782" spans="5:5" ht="15" customHeight="1" x14ac:dyDescent="0.2">
      <c r="E782" s="155"/>
    </row>
    <row r="783" spans="5:5" ht="15" customHeight="1" x14ac:dyDescent="0.2">
      <c r="E783" s="155"/>
    </row>
    <row r="784" spans="5:5" ht="15" customHeight="1" x14ac:dyDescent="0.2">
      <c r="E784" s="155"/>
    </row>
    <row r="785" spans="5:5" ht="15" customHeight="1" x14ac:dyDescent="0.2">
      <c r="E785" s="155"/>
    </row>
    <row r="786" spans="5:5" ht="15" customHeight="1" x14ac:dyDescent="0.2">
      <c r="E786" s="155"/>
    </row>
    <row r="787" spans="5:5" ht="15" customHeight="1" x14ac:dyDescent="0.2">
      <c r="E787" s="155"/>
    </row>
    <row r="788" spans="5:5" ht="15" customHeight="1" x14ac:dyDescent="0.2">
      <c r="E788" s="155"/>
    </row>
    <row r="789" spans="5:5" ht="15" customHeight="1" x14ac:dyDescent="0.2">
      <c r="E789" s="155"/>
    </row>
    <row r="790" spans="5:5" ht="15" customHeight="1" x14ac:dyDescent="0.2">
      <c r="E790" s="155"/>
    </row>
    <row r="791" spans="5:5" ht="15" customHeight="1" x14ac:dyDescent="0.2">
      <c r="E791" s="155"/>
    </row>
    <row r="792" spans="5:5" ht="15" customHeight="1" x14ac:dyDescent="0.2">
      <c r="E792" s="155"/>
    </row>
    <row r="793" spans="5:5" ht="15" customHeight="1" x14ac:dyDescent="0.2">
      <c r="E793" s="155"/>
    </row>
    <row r="794" spans="5:5" ht="15" customHeight="1" x14ac:dyDescent="0.2">
      <c r="E794" s="155"/>
    </row>
    <row r="795" spans="5:5" ht="15" customHeight="1" x14ac:dyDescent="0.2">
      <c r="E795" s="155"/>
    </row>
    <row r="796" spans="5:5" ht="15" customHeight="1" x14ac:dyDescent="0.2">
      <c r="E796" s="155"/>
    </row>
    <row r="797" spans="5:5" ht="15" customHeight="1" x14ac:dyDescent="0.2">
      <c r="E797" s="155"/>
    </row>
    <row r="798" spans="5:5" ht="15" customHeight="1" x14ac:dyDescent="0.2">
      <c r="E798" s="155"/>
    </row>
    <row r="799" spans="5:5" ht="15" customHeight="1" x14ac:dyDescent="0.2">
      <c r="E799" s="155"/>
    </row>
    <row r="800" spans="5:5" ht="15" customHeight="1" x14ac:dyDescent="0.2">
      <c r="E800" s="155"/>
    </row>
    <row r="801" spans="5:5" ht="15" customHeight="1" x14ac:dyDescent="0.2">
      <c r="E801" s="155"/>
    </row>
    <row r="802" spans="5:5" ht="15" customHeight="1" x14ac:dyDescent="0.2">
      <c r="E802" s="155"/>
    </row>
    <row r="803" spans="5:5" ht="15" customHeight="1" x14ac:dyDescent="0.2">
      <c r="E803" s="155"/>
    </row>
    <row r="804" spans="5:5" ht="15" customHeight="1" x14ac:dyDescent="0.2">
      <c r="E804" s="155"/>
    </row>
    <row r="805" spans="5:5" ht="15" customHeight="1" x14ac:dyDescent="0.2">
      <c r="E805" s="155"/>
    </row>
    <row r="806" spans="5:5" ht="15" customHeight="1" x14ac:dyDescent="0.2">
      <c r="E806" s="155"/>
    </row>
    <row r="807" spans="5:5" ht="15" customHeight="1" x14ac:dyDescent="0.2">
      <c r="E807" s="155"/>
    </row>
    <row r="808" spans="5:5" ht="15" customHeight="1" x14ac:dyDescent="0.2">
      <c r="E808" s="155"/>
    </row>
    <row r="809" spans="5:5" ht="15" customHeight="1" x14ac:dyDescent="0.2">
      <c r="E809" s="155"/>
    </row>
    <row r="810" spans="5:5" ht="15" customHeight="1" x14ac:dyDescent="0.2">
      <c r="E810" s="155"/>
    </row>
    <row r="811" spans="5:5" ht="15" customHeight="1" x14ac:dyDescent="0.2">
      <c r="E811" s="155"/>
    </row>
    <row r="812" spans="5:5" ht="15" customHeight="1" x14ac:dyDescent="0.2">
      <c r="E812" s="155"/>
    </row>
    <row r="813" spans="5:5" ht="15" customHeight="1" x14ac:dyDescent="0.2">
      <c r="E813" s="155"/>
    </row>
    <row r="814" spans="5:5" ht="15" customHeight="1" x14ac:dyDescent="0.2">
      <c r="E814" s="155"/>
    </row>
    <row r="815" spans="5:5" ht="15" customHeight="1" x14ac:dyDescent="0.2">
      <c r="E815" s="155"/>
    </row>
    <row r="816" spans="5:5" ht="15" customHeight="1" x14ac:dyDescent="0.2">
      <c r="E816" s="155"/>
    </row>
    <row r="817" spans="5:5" ht="15" customHeight="1" x14ac:dyDescent="0.2">
      <c r="E817" s="155"/>
    </row>
    <row r="818" spans="5:5" ht="15" customHeight="1" x14ac:dyDescent="0.2">
      <c r="E818" s="155"/>
    </row>
    <row r="819" spans="5:5" ht="15" customHeight="1" x14ac:dyDescent="0.2">
      <c r="E819" s="155"/>
    </row>
    <row r="820" spans="5:5" ht="15" customHeight="1" x14ac:dyDescent="0.2">
      <c r="E820" s="155"/>
    </row>
    <row r="821" spans="5:5" ht="15" customHeight="1" x14ac:dyDescent="0.2">
      <c r="E821" s="155"/>
    </row>
    <row r="822" spans="5:5" ht="15" customHeight="1" x14ac:dyDescent="0.2">
      <c r="E822" s="155"/>
    </row>
    <row r="823" spans="5:5" ht="15" customHeight="1" x14ac:dyDescent="0.2">
      <c r="E823" s="155"/>
    </row>
    <row r="824" spans="5:5" ht="15" customHeight="1" x14ac:dyDescent="0.2">
      <c r="E824" s="155"/>
    </row>
    <row r="825" spans="5:5" ht="15" customHeight="1" x14ac:dyDescent="0.2">
      <c r="E825" s="155"/>
    </row>
    <row r="826" spans="5:5" ht="15" customHeight="1" x14ac:dyDescent="0.2">
      <c r="E826" s="155"/>
    </row>
    <row r="827" spans="5:5" ht="15" customHeight="1" x14ac:dyDescent="0.2">
      <c r="E827" s="155"/>
    </row>
    <row r="828" spans="5:5" ht="15" customHeight="1" x14ac:dyDescent="0.2">
      <c r="E828" s="155"/>
    </row>
    <row r="829" spans="5:5" ht="15" customHeight="1" x14ac:dyDescent="0.2">
      <c r="E829" s="155"/>
    </row>
    <row r="830" spans="5:5" ht="15" customHeight="1" x14ac:dyDescent="0.2">
      <c r="E830" s="155"/>
    </row>
    <row r="831" spans="5:5" ht="15" customHeight="1" x14ac:dyDescent="0.2">
      <c r="E831" s="155"/>
    </row>
    <row r="832" spans="5:5" ht="15" customHeight="1" x14ac:dyDescent="0.2">
      <c r="E832" s="155"/>
    </row>
    <row r="833" spans="5:5" ht="15" customHeight="1" x14ac:dyDescent="0.2">
      <c r="E833" s="155"/>
    </row>
    <row r="834" spans="5:5" ht="15" customHeight="1" x14ac:dyDescent="0.2">
      <c r="E834" s="155"/>
    </row>
    <row r="835" spans="5:5" ht="15" customHeight="1" x14ac:dyDescent="0.2">
      <c r="E835" s="155"/>
    </row>
    <row r="836" spans="5:5" ht="15" customHeight="1" x14ac:dyDescent="0.2">
      <c r="E836" s="155"/>
    </row>
    <row r="837" spans="5:5" ht="15" customHeight="1" x14ac:dyDescent="0.2">
      <c r="E837" s="155"/>
    </row>
    <row r="838" spans="5:5" ht="15" customHeight="1" x14ac:dyDescent="0.2">
      <c r="E838" s="155"/>
    </row>
    <row r="839" spans="5:5" ht="15" customHeight="1" x14ac:dyDescent="0.2">
      <c r="E839" s="155"/>
    </row>
    <row r="840" spans="5:5" ht="15" customHeight="1" x14ac:dyDescent="0.2">
      <c r="E840" s="155"/>
    </row>
    <row r="841" spans="5:5" ht="15" customHeight="1" x14ac:dyDescent="0.2">
      <c r="E841" s="155"/>
    </row>
    <row r="842" spans="5:5" ht="15" customHeight="1" x14ac:dyDescent="0.2">
      <c r="E842" s="155"/>
    </row>
    <row r="843" spans="5:5" ht="15" customHeight="1" x14ac:dyDescent="0.2">
      <c r="E843" s="155"/>
    </row>
    <row r="844" spans="5:5" ht="15" customHeight="1" x14ac:dyDescent="0.2">
      <c r="E844" s="155"/>
    </row>
    <row r="845" spans="5:5" ht="15" customHeight="1" x14ac:dyDescent="0.2">
      <c r="E845" s="155"/>
    </row>
    <row r="846" spans="5:5" ht="15" customHeight="1" x14ac:dyDescent="0.2">
      <c r="E846" s="155"/>
    </row>
    <row r="847" spans="5:5" ht="15" customHeight="1" x14ac:dyDescent="0.2">
      <c r="E847" s="155"/>
    </row>
    <row r="848" spans="5:5" ht="15" customHeight="1" x14ac:dyDescent="0.2">
      <c r="E848" s="155"/>
    </row>
    <row r="849" spans="5:5" ht="15" customHeight="1" x14ac:dyDescent="0.2">
      <c r="E849" s="155"/>
    </row>
    <row r="850" spans="5:5" ht="15" customHeight="1" x14ac:dyDescent="0.2">
      <c r="E850" s="155"/>
    </row>
    <row r="851" spans="5:5" ht="15" customHeight="1" x14ac:dyDescent="0.2">
      <c r="E851" s="155"/>
    </row>
    <row r="852" spans="5:5" ht="15" customHeight="1" x14ac:dyDescent="0.2">
      <c r="E852" s="155"/>
    </row>
    <row r="853" spans="5:5" ht="15" customHeight="1" x14ac:dyDescent="0.2">
      <c r="E853" s="155"/>
    </row>
    <row r="854" spans="5:5" ht="15" customHeight="1" x14ac:dyDescent="0.2">
      <c r="E854" s="155"/>
    </row>
    <row r="855" spans="5:5" ht="15" customHeight="1" x14ac:dyDescent="0.2">
      <c r="E855" s="155"/>
    </row>
    <row r="856" spans="5:5" ht="15" customHeight="1" x14ac:dyDescent="0.2">
      <c r="E856" s="155"/>
    </row>
    <row r="857" spans="5:5" ht="15" customHeight="1" x14ac:dyDescent="0.2">
      <c r="E857" s="155"/>
    </row>
    <row r="858" spans="5:5" ht="15" customHeight="1" x14ac:dyDescent="0.2">
      <c r="E858" s="155"/>
    </row>
    <row r="859" spans="5:5" ht="15" customHeight="1" x14ac:dyDescent="0.2">
      <c r="E859" s="155"/>
    </row>
    <row r="860" spans="5:5" ht="15" customHeight="1" x14ac:dyDescent="0.2">
      <c r="E860" s="155"/>
    </row>
    <row r="861" spans="5:5" ht="15" customHeight="1" x14ac:dyDescent="0.2">
      <c r="E861" s="155"/>
    </row>
    <row r="862" spans="5:5" ht="15" customHeight="1" x14ac:dyDescent="0.2">
      <c r="E862" s="155"/>
    </row>
    <row r="863" spans="5:5" ht="15" customHeight="1" x14ac:dyDescent="0.2">
      <c r="E863" s="155"/>
    </row>
    <row r="864" spans="5:5" ht="15" customHeight="1" x14ac:dyDescent="0.2">
      <c r="E864" s="155"/>
    </row>
    <row r="865" spans="5:5" ht="15" customHeight="1" x14ac:dyDescent="0.2">
      <c r="E865" s="155"/>
    </row>
    <row r="866" spans="5:5" ht="15" customHeight="1" x14ac:dyDescent="0.2">
      <c r="E866" s="155"/>
    </row>
    <row r="867" spans="5:5" ht="15" customHeight="1" x14ac:dyDescent="0.2">
      <c r="E867" s="155"/>
    </row>
    <row r="868" spans="5:5" ht="15" customHeight="1" x14ac:dyDescent="0.2">
      <c r="E868" s="155"/>
    </row>
    <row r="869" spans="5:5" ht="15" customHeight="1" x14ac:dyDescent="0.2">
      <c r="E869" s="155"/>
    </row>
    <row r="870" spans="5:5" ht="15" customHeight="1" x14ac:dyDescent="0.2">
      <c r="E870" s="155"/>
    </row>
    <row r="871" spans="5:5" ht="15" customHeight="1" x14ac:dyDescent="0.2">
      <c r="E871" s="155"/>
    </row>
    <row r="872" spans="5:5" ht="15" customHeight="1" x14ac:dyDescent="0.2">
      <c r="E872" s="155"/>
    </row>
    <row r="873" spans="5:5" ht="15" customHeight="1" x14ac:dyDescent="0.2">
      <c r="E873" s="155"/>
    </row>
    <row r="874" spans="5:5" ht="15" customHeight="1" x14ac:dyDescent="0.2">
      <c r="E874" s="155"/>
    </row>
    <row r="875" spans="5:5" ht="15" customHeight="1" x14ac:dyDescent="0.2">
      <c r="E875" s="155"/>
    </row>
    <row r="876" spans="5:5" ht="15" customHeight="1" x14ac:dyDescent="0.2">
      <c r="E876" s="155"/>
    </row>
    <row r="877" spans="5:5" ht="15" customHeight="1" x14ac:dyDescent="0.2">
      <c r="E877" s="155"/>
    </row>
    <row r="878" spans="5:5" ht="15" customHeight="1" x14ac:dyDescent="0.2">
      <c r="E878" s="155"/>
    </row>
    <row r="879" spans="5:5" ht="15" customHeight="1" x14ac:dyDescent="0.2">
      <c r="E879" s="155"/>
    </row>
    <row r="880" spans="5:5" ht="15" customHeight="1" x14ac:dyDescent="0.2">
      <c r="E880" s="155"/>
    </row>
    <row r="881" spans="5:5" ht="15" customHeight="1" x14ac:dyDescent="0.2">
      <c r="E881" s="155"/>
    </row>
    <row r="882" spans="5:5" ht="15" customHeight="1" x14ac:dyDescent="0.2">
      <c r="E882" s="155"/>
    </row>
    <row r="883" spans="5:5" ht="15" customHeight="1" x14ac:dyDescent="0.2">
      <c r="E883" s="155"/>
    </row>
    <row r="884" spans="5:5" ht="15" customHeight="1" x14ac:dyDescent="0.2">
      <c r="E884" s="155"/>
    </row>
    <row r="885" spans="5:5" ht="15" customHeight="1" x14ac:dyDescent="0.2">
      <c r="E885" s="155"/>
    </row>
    <row r="886" spans="5:5" ht="15" customHeight="1" x14ac:dyDescent="0.2">
      <c r="E886" s="155"/>
    </row>
    <row r="887" spans="5:5" ht="15" customHeight="1" x14ac:dyDescent="0.2">
      <c r="E887" s="155"/>
    </row>
    <row r="888" spans="5:5" ht="15" customHeight="1" x14ac:dyDescent="0.2">
      <c r="E888" s="155"/>
    </row>
    <row r="889" spans="5:5" ht="15" customHeight="1" x14ac:dyDescent="0.2">
      <c r="E889" s="155"/>
    </row>
    <row r="890" spans="5:5" ht="15" customHeight="1" x14ac:dyDescent="0.2">
      <c r="E890" s="155"/>
    </row>
    <row r="891" spans="5:5" ht="15" customHeight="1" x14ac:dyDescent="0.2">
      <c r="E891" s="155"/>
    </row>
    <row r="892" spans="5:5" ht="15" customHeight="1" x14ac:dyDescent="0.2">
      <c r="E892" s="155"/>
    </row>
    <row r="893" spans="5:5" ht="15" customHeight="1" x14ac:dyDescent="0.2">
      <c r="E893" s="155"/>
    </row>
    <row r="894" spans="5:5" ht="15" customHeight="1" x14ac:dyDescent="0.2">
      <c r="E894" s="155"/>
    </row>
    <row r="895" spans="5:5" ht="15" customHeight="1" x14ac:dyDescent="0.2">
      <c r="E895" s="155"/>
    </row>
    <row r="896" spans="5:5" ht="15" customHeight="1" x14ac:dyDescent="0.2">
      <c r="E896" s="155"/>
    </row>
    <row r="897" spans="5:5" ht="15" customHeight="1" x14ac:dyDescent="0.2">
      <c r="E897" s="155"/>
    </row>
    <row r="898" spans="5:5" ht="15" customHeight="1" x14ac:dyDescent="0.2">
      <c r="E898" s="155"/>
    </row>
    <row r="899" spans="5:5" ht="15" customHeight="1" x14ac:dyDescent="0.2">
      <c r="E899" s="155"/>
    </row>
    <row r="900" spans="5:5" ht="15" customHeight="1" x14ac:dyDescent="0.2">
      <c r="E900" s="155"/>
    </row>
    <row r="901" spans="5:5" ht="15" customHeight="1" x14ac:dyDescent="0.2">
      <c r="E901" s="155"/>
    </row>
    <row r="902" spans="5:5" ht="15" customHeight="1" x14ac:dyDescent="0.2">
      <c r="E902" s="155"/>
    </row>
    <row r="903" spans="5:5" ht="15" customHeight="1" x14ac:dyDescent="0.2">
      <c r="E903" s="155"/>
    </row>
    <row r="904" spans="5:5" ht="15" customHeight="1" x14ac:dyDescent="0.2">
      <c r="E904" s="155"/>
    </row>
    <row r="905" spans="5:5" ht="15" customHeight="1" x14ac:dyDescent="0.2">
      <c r="E905" s="155"/>
    </row>
    <row r="906" spans="5:5" ht="15" customHeight="1" x14ac:dyDescent="0.2">
      <c r="E906" s="155"/>
    </row>
    <row r="907" spans="5:5" ht="15" customHeight="1" x14ac:dyDescent="0.2">
      <c r="E907" s="155"/>
    </row>
    <row r="908" spans="5:5" ht="15" customHeight="1" x14ac:dyDescent="0.2">
      <c r="E908" s="155"/>
    </row>
    <row r="909" spans="5:5" ht="15" customHeight="1" x14ac:dyDescent="0.2">
      <c r="E909" s="155"/>
    </row>
    <row r="910" spans="5:5" ht="15" customHeight="1" x14ac:dyDescent="0.2">
      <c r="E910" s="155"/>
    </row>
    <row r="911" spans="5:5" ht="15" customHeight="1" x14ac:dyDescent="0.2">
      <c r="E911" s="155"/>
    </row>
    <row r="912" spans="5:5" ht="15" customHeight="1" x14ac:dyDescent="0.2">
      <c r="E912" s="155"/>
    </row>
    <row r="913" spans="5:5" ht="15" customHeight="1" x14ac:dyDescent="0.2">
      <c r="E913" s="155"/>
    </row>
    <row r="914" spans="5:5" ht="15" customHeight="1" x14ac:dyDescent="0.2">
      <c r="E914" s="155"/>
    </row>
    <row r="915" spans="5:5" ht="15" customHeight="1" x14ac:dyDescent="0.2">
      <c r="E915" s="155"/>
    </row>
    <row r="916" spans="5:5" ht="15" customHeight="1" x14ac:dyDescent="0.2">
      <c r="E916" s="155"/>
    </row>
    <row r="917" spans="5:5" ht="15" customHeight="1" x14ac:dyDescent="0.2">
      <c r="E917" s="155"/>
    </row>
    <row r="918" spans="5:5" ht="15" customHeight="1" x14ac:dyDescent="0.2">
      <c r="E918" s="155"/>
    </row>
    <row r="919" spans="5:5" ht="15" customHeight="1" x14ac:dyDescent="0.2">
      <c r="E919" s="155"/>
    </row>
    <row r="920" spans="5:5" ht="15" customHeight="1" x14ac:dyDescent="0.2">
      <c r="E920" s="155"/>
    </row>
    <row r="921" spans="5:5" ht="15" customHeight="1" x14ac:dyDescent="0.2">
      <c r="E921" s="155"/>
    </row>
    <row r="922" spans="5:5" ht="15" customHeight="1" x14ac:dyDescent="0.2">
      <c r="E922" s="155"/>
    </row>
    <row r="923" spans="5:5" ht="15" customHeight="1" x14ac:dyDescent="0.2">
      <c r="E923" s="155"/>
    </row>
    <row r="924" spans="5:5" ht="15" customHeight="1" x14ac:dyDescent="0.2">
      <c r="E924" s="155"/>
    </row>
    <row r="925" spans="5:5" ht="15" customHeight="1" x14ac:dyDescent="0.2">
      <c r="E925" s="155"/>
    </row>
    <row r="926" spans="5:5" ht="15" customHeight="1" x14ac:dyDescent="0.2">
      <c r="E926" s="155"/>
    </row>
    <row r="927" spans="5:5" ht="15" customHeight="1" x14ac:dyDescent="0.2">
      <c r="E927" s="155"/>
    </row>
    <row r="928" spans="5:5" ht="15" customHeight="1" x14ac:dyDescent="0.2">
      <c r="E928" s="155"/>
    </row>
    <row r="929" spans="5:5" ht="15" customHeight="1" x14ac:dyDescent="0.2">
      <c r="E929" s="155"/>
    </row>
    <row r="930" spans="5:5" ht="15" customHeight="1" x14ac:dyDescent="0.2">
      <c r="E930" s="155"/>
    </row>
    <row r="931" spans="5:5" ht="15" customHeight="1" x14ac:dyDescent="0.2">
      <c r="E931" s="155"/>
    </row>
    <row r="932" spans="5:5" ht="15" customHeight="1" x14ac:dyDescent="0.2">
      <c r="E932" s="155"/>
    </row>
    <row r="933" spans="5:5" ht="15" customHeight="1" x14ac:dyDescent="0.2">
      <c r="E933" s="155"/>
    </row>
    <row r="934" spans="5:5" ht="15" customHeight="1" x14ac:dyDescent="0.2">
      <c r="E934" s="155"/>
    </row>
    <row r="935" spans="5:5" ht="15" customHeight="1" x14ac:dyDescent="0.2">
      <c r="E935" s="155"/>
    </row>
    <row r="936" spans="5:5" ht="15" customHeight="1" x14ac:dyDescent="0.2">
      <c r="E936" s="155"/>
    </row>
    <row r="937" spans="5:5" ht="15" customHeight="1" x14ac:dyDescent="0.2">
      <c r="E937" s="155"/>
    </row>
    <row r="938" spans="5:5" ht="15" customHeight="1" x14ac:dyDescent="0.2">
      <c r="E938" s="155"/>
    </row>
    <row r="939" spans="5:5" ht="15" customHeight="1" x14ac:dyDescent="0.2">
      <c r="E939" s="155"/>
    </row>
    <row r="940" spans="5:5" ht="15" customHeight="1" x14ac:dyDescent="0.2">
      <c r="E940" s="155"/>
    </row>
    <row r="941" spans="5:5" ht="15" customHeight="1" x14ac:dyDescent="0.2">
      <c r="E941" s="155"/>
    </row>
    <row r="942" spans="5:5" ht="15" customHeight="1" x14ac:dyDescent="0.2">
      <c r="E942" s="155"/>
    </row>
    <row r="943" spans="5:5" ht="15" customHeight="1" x14ac:dyDescent="0.2">
      <c r="E943" s="155"/>
    </row>
    <row r="944" spans="5:5" ht="15" customHeight="1" x14ac:dyDescent="0.2">
      <c r="E944" s="155"/>
    </row>
    <row r="945" spans="5:5" ht="15" customHeight="1" x14ac:dyDescent="0.2">
      <c r="E945" s="155"/>
    </row>
    <row r="946" spans="5:5" ht="15" customHeight="1" x14ac:dyDescent="0.2">
      <c r="E946" s="155"/>
    </row>
    <row r="947" spans="5:5" ht="15" customHeight="1" x14ac:dyDescent="0.2">
      <c r="E947" s="155"/>
    </row>
    <row r="948" spans="5:5" ht="15" customHeight="1" x14ac:dyDescent="0.2">
      <c r="E948" s="155"/>
    </row>
    <row r="949" spans="5:5" ht="15" customHeight="1" x14ac:dyDescent="0.2">
      <c r="E949" s="155"/>
    </row>
    <row r="950" spans="5:5" ht="15" customHeight="1" x14ac:dyDescent="0.2">
      <c r="E950" s="155"/>
    </row>
    <row r="951" spans="5:5" ht="15" customHeight="1" x14ac:dyDescent="0.2">
      <c r="E951" s="155"/>
    </row>
    <row r="952" spans="5:5" ht="15" customHeight="1" x14ac:dyDescent="0.2">
      <c r="E952" s="155"/>
    </row>
    <row r="953" spans="5:5" ht="15" customHeight="1" x14ac:dyDescent="0.2">
      <c r="E953" s="155"/>
    </row>
    <row r="954" spans="5:5" ht="15" customHeight="1" x14ac:dyDescent="0.2">
      <c r="E954" s="155"/>
    </row>
    <row r="955" spans="5:5" ht="15" customHeight="1" x14ac:dyDescent="0.2">
      <c r="E955" s="155"/>
    </row>
    <row r="956" spans="5:5" ht="15" customHeight="1" x14ac:dyDescent="0.2">
      <c r="E956" s="155"/>
    </row>
    <row r="957" spans="5:5" ht="15" customHeight="1" x14ac:dyDescent="0.2">
      <c r="E957" s="155"/>
    </row>
    <row r="958" spans="5:5" ht="15" customHeight="1" x14ac:dyDescent="0.2">
      <c r="E958" s="155"/>
    </row>
    <row r="959" spans="5:5" ht="15" customHeight="1" x14ac:dyDescent="0.2">
      <c r="E959" s="155"/>
    </row>
    <row r="960" spans="5:5" ht="15" customHeight="1" x14ac:dyDescent="0.2">
      <c r="E960" s="155"/>
    </row>
    <row r="961" spans="5:5" ht="15" customHeight="1" x14ac:dyDescent="0.2">
      <c r="E961" s="155"/>
    </row>
    <row r="962" spans="5:5" ht="15" customHeight="1" x14ac:dyDescent="0.2">
      <c r="E962" s="155"/>
    </row>
    <row r="963" spans="5:5" ht="15" customHeight="1" x14ac:dyDescent="0.2">
      <c r="E963" s="155"/>
    </row>
    <row r="964" spans="5:5" ht="15" customHeight="1" x14ac:dyDescent="0.2">
      <c r="E964" s="155"/>
    </row>
    <row r="965" spans="5:5" ht="15" customHeight="1" x14ac:dyDescent="0.2">
      <c r="E965" s="155"/>
    </row>
    <row r="966" spans="5:5" ht="15" customHeight="1" x14ac:dyDescent="0.2">
      <c r="E966" s="155"/>
    </row>
    <row r="967" spans="5:5" ht="15" customHeight="1" x14ac:dyDescent="0.2">
      <c r="E967" s="155"/>
    </row>
    <row r="968" spans="5:5" ht="15" customHeight="1" x14ac:dyDescent="0.2">
      <c r="E968" s="155"/>
    </row>
    <row r="969" spans="5:5" ht="15" customHeight="1" x14ac:dyDescent="0.2">
      <c r="E969" s="155"/>
    </row>
    <row r="970" spans="5:5" ht="15" customHeight="1" x14ac:dyDescent="0.2">
      <c r="E970" s="155"/>
    </row>
    <row r="971" spans="5:5" ht="15" customHeight="1" x14ac:dyDescent="0.2">
      <c r="E971" s="155"/>
    </row>
    <row r="972" spans="5:5" ht="15" customHeight="1" x14ac:dyDescent="0.2">
      <c r="E972" s="155"/>
    </row>
    <row r="973" spans="5:5" ht="15" customHeight="1" x14ac:dyDescent="0.2">
      <c r="E973" s="155"/>
    </row>
    <row r="974" spans="5:5" ht="15" customHeight="1" x14ac:dyDescent="0.2">
      <c r="E974" s="155"/>
    </row>
    <row r="975" spans="5:5" ht="15" customHeight="1" x14ac:dyDescent="0.2">
      <c r="E975" s="155"/>
    </row>
    <row r="976" spans="5:5" ht="15" customHeight="1" x14ac:dyDescent="0.2">
      <c r="E976" s="155"/>
    </row>
    <row r="977" spans="5:5" ht="15" customHeight="1" x14ac:dyDescent="0.2">
      <c r="E977" s="155"/>
    </row>
    <row r="978" spans="5:5" ht="15" customHeight="1" x14ac:dyDescent="0.2">
      <c r="E978" s="155"/>
    </row>
    <row r="979" spans="5:5" ht="15" customHeight="1" x14ac:dyDescent="0.2">
      <c r="E979" s="155"/>
    </row>
    <row r="980" spans="5:5" ht="15" customHeight="1" x14ac:dyDescent="0.2">
      <c r="E980" s="155"/>
    </row>
    <row r="981" spans="5:5" ht="15" customHeight="1" x14ac:dyDescent="0.2">
      <c r="E981" s="155"/>
    </row>
    <row r="982" spans="5:5" ht="15" customHeight="1" x14ac:dyDescent="0.2">
      <c r="E982" s="155"/>
    </row>
    <row r="983" spans="5:5" ht="15" customHeight="1" x14ac:dyDescent="0.2">
      <c r="E983" s="155"/>
    </row>
    <row r="984" spans="5:5" ht="15" customHeight="1" x14ac:dyDescent="0.2">
      <c r="E984" s="155"/>
    </row>
    <row r="985" spans="5:5" ht="15" customHeight="1" x14ac:dyDescent="0.2">
      <c r="E985" s="155"/>
    </row>
    <row r="986" spans="5:5" ht="15" customHeight="1" x14ac:dyDescent="0.2">
      <c r="E986" s="155"/>
    </row>
    <row r="987" spans="5:5" ht="15" customHeight="1" x14ac:dyDescent="0.2">
      <c r="E987" s="155"/>
    </row>
    <row r="988" spans="5:5" ht="15" customHeight="1" x14ac:dyDescent="0.2">
      <c r="E988" s="155"/>
    </row>
    <row r="989" spans="5:5" ht="15" customHeight="1" x14ac:dyDescent="0.2">
      <c r="E989" s="155"/>
    </row>
    <row r="990" spans="5:5" ht="15" customHeight="1" x14ac:dyDescent="0.2">
      <c r="E990" s="155"/>
    </row>
    <row r="991" spans="5:5" ht="15" customHeight="1" x14ac:dyDescent="0.2">
      <c r="E991" s="155"/>
    </row>
    <row r="992" spans="5:5" ht="15" customHeight="1" x14ac:dyDescent="0.2">
      <c r="E992" s="155"/>
    </row>
    <row r="993" spans="5:5" ht="15" customHeight="1" x14ac:dyDescent="0.2">
      <c r="E993" s="155"/>
    </row>
    <row r="994" spans="5:5" ht="15" customHeight="1" x14ac:dyDescent="0.2">
      <c r="E994" s="155"/>
    </row>
    <row r="995" spans="5:5" ht="15" customHeight="1" x14ac:dyDescent="0.2">
      <c r="E995" s="155"/>
    </row>
    <row r="996" spans="5:5" ht="15" customHeight="1" x14ac:dyDescent="0.2">
      <c r="E996" s="155"/>
    </row>
    <row r="997" spans="5:5" ht="15" customHeight="1" x14ac:dyDescent="0.2">
      <c r="E997" s="155"/>
    </row>
    <row r="998" spans="5:5" ht="15" customHeight="1" x14ac:dyDescent="0.2">
      <c r="E998" s="155"/>
    </row>
    <row r="999" spans="5:5" ht="15" customHeight="1" x14ac:dyDescent="0.2">
      <c r="E999" s="155"/>
    </row>
    <row r="1000" spans="5:5" ht="15" customHeight="1" x14ac:dyDescent="0.2">
      <c r="E1000" s="155"/>
    </row>
    <row r="1001" spans="5:5" ht="15" customHeight="1" x14ac:dyDescent="0.2">
      <c r="E1001" s="155"/>
    </row>
    <row r="1002" spans="5:5" ht="15" customHeight="1" x14ac:dyDescent="0.2">
      <c r="E1002" s="155"/>
    </row>
    <row r="1003" spans="5:5" ht="15" customHeight="1" x14ac:dyDescent="0.2">
      <c r="E1003" s="155"/>
    </row>
    <row r="1004" spans="5:5" ht="15" customHeight="1" x14ac:dyDescent="0.2">
      <c r="E1004" s="155"/>
    </row>
    <row r="1005" spans="5:5" ht="15" customHeight="1" x14ac:dyDescent="0.2">
      <c r="E1005" s="155"/>
    </row>
    <row r="1006" spans="5:5" ht="15" customHeight="1" x14ac:dyDescent="0.2">
      <c r="E1006" s="155"/>
    </row>
    <row r="1007" spans="5:5" ht="15" customHeight="1" x14ac:dyDescent="0.2">
      <c r="E1007" s="155"/>
    </row>
    <row r="1008" spans="5:5" ht="15" customHeight="1" x14ac:dyDescent="0.2">
      <c r="E1008" s="155"/>
    </row>
    <row r="1009" spans="5:5" ht="15" customHeight="1" x14ac:dyDescent="0.2">
      <c r="E1009" s="155"/>
    </row>
    <row r="1010" spans="5:5" ht="15" customHeight="1" x14ac:dyDescent="0.2">
      <c r="E1010" s="155"/>
    </row>
    <row r="1011" spans="5:5" ht="15" customHeight="1" x14ac:dyDescent="0.2">
      <c r="E1011" s="155"/>
    </row>
    <row r="1012" spans="5:5" ht="15" customHeight="1" x14ac:dyDescent="0.2">
      <c r="E1012" s="155"/>
    </row>
    <row r="1013" spans="5:5" ht="15" customHeight="1" x14ac:dyDescent="0.2">
      <c r="E1013" s="155"/>
    </row>
    <row r="1014" spans="5:5" ht="15" customHeight="1" x14ac:dyDescent="0.2">
      <c r="E1014" s="155"/>
    </row>
    <row r="1015" spans="5:5" ht="15" customHeight="1" x14ac:dyDescent="0.2">
      <c r="E1015" s="155"/>
    </row>
    <row r="1016" spans="5:5" ht="15" customHeight="1" x14ac:dyDescent="0.2">
      <c r="E1016" s="155"/>
    </row>
    <row r="1017" spans="5:5" ht="15" customHeight="1" x14ac:dyDescent="0.2">
      <c r="E1017" s="155"/>
    </row>
    <row r="1018" spans="5:5" ht="15" customHeight="1" x14ac:dyDescent="0.2">
      <c r="E1018" s="155"/>
    </row>
    <row r="1019" spans="5:5" ht="15" customHeight="1" x14ac:dyDescent="0.2">
      <c r="E1019" s="155"/>
    </row>
    <row r="1020" spans="5:5" ht="15" customHeight="1" x14ac:dyDescent="0.2">
      <c r="E1020" s="155"/>
    </row>
    <row r="1021" spans="5:5" ht="15" customHeight="1" x14ac:dyDescent="0.2">
      <c r="E1021" s="155"/>
    </row>
    <row r="1022" spans="5:5" ht="15" customHeight="1" x14ac:dyDescent="0.2">
      <c r="E1022" s="155"/>
    </row>
    <row r="1023" spans="5:5" ht="15" customHeight="1" x14ac:dyDescent="0.2">
      <c r="E1023" s="155"/>
    </row>
    <row r="1024" spans="5:5" ht="15" customHeight="1" x14ac:dyDescent="0.2">
      <c r="E1024" s="155"/>
    </row>
    <row r="1025" spans="5:5" ht="15" customHeight="1" x14ac:dyDescent="0.2">
      <c r="E1025" s="155"/>
    </row>
    <row r="1026" spans="5:5" ht="15" customHeight="1" x14ac:dyDescent="0.2">
      <c r="E1026" s="155"/>
    </row>
    <row r="1027" spans="5:5" ht="15" customHeight="1" x14ac:dyDescent="0.2">
      <c r="E1027" s="155"/>
    </row>
    <row r="1028" spans="5:5" ht="15" customHeight="1" x14ac:dyDescent="0.2">
      <c r="E1028" s="155"/>
    </row>
    <row r="1029" spans="5:5" ht="15" customHeight="1" x14ac:dyDescent="0.2">
      <c r="E1029" s="155"/>
    </row>
    <row r="1030" spans="5:5" ht="15" customHeight="1" x14ac:dyDescent="0.2">
      <c r="E1030" s="155"/>
    </row>
    <row r="1031" spans="5:5" ht="15" customHeight="1" x14ac:dyDescent="0.2">
      <c r="E1031" s="155"/>
    </row>
    <row r="1032" spans="5:5" ht="15" customHeight="1" x14ac:dyDescent="0.2">
      <c r="E1032" s="155"/>
    </row>
    <row r="1033" spans="5:5" ht="15" customHeight="1" x14ac:dyDescent="0.2">
      <c r="E1033" s="155"/>
    </row>
    <row r="1034" spans="5:5" ht="15" customHeight="1" x14ac:dyDescent="0.2">
      <c r="E1034" s="155"/>
    </row>
    <row r="1035" spans="5:5" ht="15" customHeight="1" x14ac:dyDescent="0.2">
      <c r="E1035" s="155"/>
    </row>
    <row r="1036" spans="5:5" ht="15" customHeight="1" x14ac:dyDescent="0.2">
      <c r="E1036" s="155"/>
    </row>
    <row r="1037" spans="5:5" ht="15" customHeight="1" x14ac:dyDescent="0.2">
      <c r="E1037" s="155"/>
    </row>
    <row r="1038" spans="5:5" ht="15" customHeight="1" x14ac:dyDescent="0.2">
      <c r="E1038" s="155"/>
    </row>
    <row r="1039" spans="5:5" ht="15" customHeight="1" x14ac:dyDescent="0.2">
      <c r="E1039" s="155"/>
    </row>
    <row r="1040" spans="5:5" ht="15" customHeight="1" x14ac:dyDescent="0.2">
      <c r="E1040" s="155"/>
    </row>
    <row r="1041" spans="5:5" ht="15" customHeight="1" x14ac:dyDescent="0.2">
      <c r="E1041" s="155"/>
    </row>
    <row r="1042" spans="5:5" ht="15" customHeight="1" x14ac:dyDescent="0.2">
      <c r="E1042" s="155"/>
    </row>
    <row r="1043" spans="5:5" ht="15" customHeight="1" x14ac:dyDescent="0.2">
      <c r="E1043" s="155"/>
    </row>
    <row r="1044" spans="5:5" ht="15" customHeight="1" x14ac:dyDescent="0.2">
      <c r="E1044" s="155"/>
    </row>
    <row r="1045" spans="5:5" ht="15" customHeight="1" x14ac:dyDescent="0.2">
      <c r="E1045" s="155"/>
    </row>
    <row r="1046" spans="5:5" ht="15" customHeight="1" x14ac:dyDescent="0.2">
      <c r="E1046" s="155"/>
    </row>
    <row r="1047" spans="5:5" ht="15" customHeight="1" x14ac:dyDescent="0.2">
      <c r="E1047" s="155"/>
    </row>
    <row r="1048" spans="5:5" ht="15" customHeight="1" x14ac:dyDescent="0.2">
      <c r="E1048" s="155"/>
    </row>
    <row r="1049" spans="5:5" ht="15" customHeight="1" x14ac:dyDescent="0.2">
      <c r="E1049" s="155"/>
    </row>
    <row r="1050" spans="5:5" ht="15" customHeight="1" x14ac:dyDescent="0.2">
      <c r="E1050" s="155"/>
    </row>
    <row r="1051" spans="5:5" ht="15" customHeight="1" x14ac:dyDescent="0.2">
      <c r="E1051" s="155"/>
    </row>
    <row r="1052" spans="5:5" ht="15" customHeight="1" x14ac:dyDescent="0.2">
      <c r="E1052" s="155"/>
    </row>
    <row r="1053" spans="5:5" ht="15" customHeight="1" x14ac:dyDescent="0.2">
      <c r="E1053" s="155"/>
    </row>
    <row r="1054" spans="5:5" ht="15" customHeight="1" x14ac:dyDescent="0.2">
      <c r="E1054" s="155"/>
    </row>
    <row r="1055" spans="5:5" ht="15" customHeight="1" x14ac:dyDescent="0.2">
      <c r="E1055" s="155"/>
    </row>
    <row r="1056" spans="5:5" ht="15" customHeight="1" x14ac:dyDescent="0.2">
      <c r="E1056" s="155"/>
    </row>
    <row r="1057" spans="5:5" ht="15" customHeight="1" x14ac:dyDescent="0.2">
      <c r="E1057" s="155"/>
    </row>
    <row r="1058" spans="5:5" ht="15" customHeight="1" x14ac:dyDescent="0.2">
      <c r="E1058" s="155"/>
    </row>
    <row r="1059" spans="5:5" ht="15" customHeight="1" x14ac:dyDescent="0.2">
      <c r="E1059" s="155"/>
    </row>
    <row r="1060" spans="5:5" ht="15" customHeight="1" x14ac:dyDescent="0.2">
      <c r="E1060" s="155"/>
    </row>
    <row r="1061" spans="5:5" ht="15" customHeight="1" x14ac:dyDescent="0.2">
      <c r="E1061" s="155"/>
    </row>
    <row r="1062" spans="5:5" ht="15" customHeight="1" x14ac:dyDescent="0.2">
      <c r="E1062" s="155"/>
    </row>
    <row r="1063" spans="5:5" ht="15" customHeight="1" x14ac:dyDescent="0.2">
      <c r="E1063" s="155"/>
    </row>
    <row r="1064" spans="5:5" ht="15" customHeight="1" x14ac:dyDescent="0.2">
      <c r="E1064" s="155"/>
    </row>
    <row r="1065" spans="5:5" ht="15" customHeight="1" x14ac:dyDescent="0.2">
      <c r="E1065" s="155"/>
    </row>
    <row r="1066" spans="5:5" ht="15" customHeight="1" x14ac:dyDescent="0.2">
      <c r="E1066" s="155"/>
    </row>
    <row r="1067" spans="5:5" ht="15" customHeight="1" x14ac:dyDescent="0.2">
      <c r="E1067" s="155"/>
    </row>
    <row r="1068" spans="5:5" ht="15" customHeight="1" x14ac:dyDescent="0.2">
      <c r="E1068" s="155"/>
    </row>
    <row r="1069" spans="5:5" ht="15" customHeight="1" x14ac:dyDescent="0.2">
      <c r="E1069" s="155"/>
    </row>
    <row r="1070" spans="5:5" ht="15" customHeight="1" x14ac:dyDescent="0.2">
      <c r="E1070" s="155"/>
    </row>
    <row r="1071" spans="5:5" ht="15" customHeight="1" x14ac:dyDescent="0.2">
      <c r="E1071" s="155"/>
    </row>
    <row r="1072" spans="5:5" ht="15" customHeight="1" x14ac:dyDescent="0.2">
      <c r="E1072" s="155"/>
    </row>
    <row r="1073" spans="5:5" ht="15" customHeight="1" x14ac:dyDescent="0.2">
      <c r="E1073" s="155"/>
    </row>
    <row r="1074" spans="5:5" ht="15" customHeight="1" x14ac:dyDescent="0.2">
      <c r="E1074" s="155"/>
    </row>
    <row r="1075" spans="5:5" ht="15" customHeight="1" x14ac:dyDescent="0.2">
      <c r="E1075" s="155"/>
    </row>
    <row r="1076" spans="5:5" ht="15" customHeight="1" x14ac:dyDescent="0.2">
      <c r="E1076" s="155"/>
    </row>
    <row r="1077" spans="5:5" ht="15" customHeight="1" x14ac:dyDescent="0.2">
      <c r="E1077" s="155"/>
    </row>
    <row r="1078" spans="5:5" ht="15" customHeight="1" x14ac:dyDescent="0.2">
      <c r="E1078" s="155"/>
    </row>
    <row r="1079" spans="5:5" ht="15" customHeight="1" x14ac:dyDescent="0.2">
      <c r="E1079" s="155"/>
    </row>
    <row r="1080" spans="5:5" ht="15" customHeight="1" x14ac:dyDescent="0.2">
      <c r="E1080" s="155"/>
    </row>
    <row r="1081" spans="5:5" ht="15" customHeight="1" x14ac:dyDescent="0.2">
      <c r="E1081" s="155"/>
    </row>
    <row r="1082" spans="5:5" ht="15" customHeight="1" x14ac:dyDescent="0.2">
      <c r="E1082" s="155"/>
    </row>
    <row r="1083" spans="5:5" ht="15" customHeight="1" x14ac:dyDescent="0.2">
      <c r="E1083" s="155"/>
    </row>
    <row r="1084" spans="5:5" ht="15" customHeight="1" x14ac:dyDescent="0.2">
      <c r="E1084" s="155"/>
    </row>
    <row r="1085" spans="5:5" ht="15" customHeight="1" x14ac:dyDescent="0.2">
      <c r="E1085" s="155"/>
    </row>
    <row r="1086" spans="5:5" ht="15" customHeight="1" x14ac:dyDescent="0.2">
      <c r="E1086" s="155"/>
    </row>
    <row r="1087" spans="5:5" ht="15" customHeight="1" x14ac:dyDescent="0.2">
      <c r="E1087" s="155"/>
    </row>
    <row r="1088" spans="5:5" ht="15" customHeight="1" x14ac:dyDescent="0.2">
      <c r="E1088" s="155"/>
    </row>
    <row r="1089" spans="5:5" ht="15" customHeight="1" x14ac:dyDescent="0.2">
      <c r="E1089" s="155"/>
    </row>
    <row r="1090" spans="5:5" ht="15" customHeight="1" x14ac:dyDescent="0.2">
      <c r="E1090" s="155"/>
    </row>
    <row r="1091" spans="5:5" ht="15" customHeight="1" x14ac:dyDescent="0.2">
      <c r="E1091" s="155"/>
    </row>
    <row r="1092" spans="5:5" ht="15" customHeight="1" x14ac:dyDescent="0.2">
      <c r="E1092" s="155"/>
    </row>
    <row r="1093" spans="5:5" ht="15" customHeight="1" x14ac:dyDescent="0.2">
      <c r="E1093" s="155"/>
    </row>
    <row r="1094" spans="5:5" ht="15" customHeight="1" x14ac:dyDescent="0.2">
      <c r="E1094" s="155"/>
    </row>
    <row r="1095" spans="5:5" ht="15" customHeight="1" x14ac:dyDescent="0.2">
      <c r="E1095" s="155"/>
    </row>
    <row r="1096" spans="5:5" ht="15" customHeight="1" x14ac:dyDescent="0.2">
      <c r="E1096" s="155"/>
    </row>
    <row r="1097" spans="5:5" ht="15" customHeight="1" x14ac:dyDescent="0.2">
      <c r="E1097" s="155"/>
    </row>
    <row r="1098" spans="5:5" ht="15" customHeight="1" x14ac:dyDescent="0.2">
      <c r="E1098" s="155"/>
    </row>
    <row r="1099" spans="5:5" ht="15" customHeight="1" x14ac:dyDescent="0.2">
      <c r="E1099" s="155"/>
    </row>
    <row r="1100" spans="5:5" ht="15" customHeight="1" x14ac:dyDescent="0.2">
      <c r="E1100" s="155"/>
    </row>
    <row r="1101" spans="5:5" ht="15" customHeight="1" x14ac:dyDescent="0.2">
      <c r="E1101" s="155"/>
    </row>
    <row r="1102" spans="5:5" ht="15" customHeight="1" x14ac:dyDescent="0.2">
      <c r="E1102" s="155"/>
    </row>
    <row r="1103" spans="5:5" ht="15" customHeight="1" x14ac:dyDescent="0.2">
      <c r="E1103" s="155"/>
    </row>
    <row r="1104" spans="5:5" ht="15" customHeight="1" x14ac:dyDescent="0.2">
      <c r="E1104" s="155"/>
    </row>
    <row r="1105" spans="5:5" ht="15" customHeight="1" x14ac:dyDescent="0.2">
      <c r="E1105" s="155"/>
    </row>
    <row r="1106" spans="5:5" ht="15" customHeight="1" x14ac:dyDescent="0.2">
      <c r="E1106" s="155"/>
    </row>
    <row r="1107" spans="5:5" ht="15" customHeight="1" x14ac:dyDescent="0.2">
      <c r="E1107" s="155"/>
    </row>
    <row r="1108" spans="5:5" ht="15" customHeight="1" x14ac:dyDescent="0.2">
      <c r="E1108" s="155"/>
    </row>
    <row r="1109" spans="5:5" ht="15" customHeight="1" x14ac:dyDescent="0.2">
      <c r="E1109" s="155"/>
    </row>
    <row r="1110" spans="5:5" ht="15" customHeight="1" x14ac:dyDescent="0.2">
      <c r="E1110" s="155"/>
    </row>
    <row r="1111" spans="5:5" ht="15" customHeight="1" x14ac:dyDescent="0.2">
      <c r="E1111" s="155"/>
    </row>
    <row r="1112" spans="5:5" ht="15" customHeight="1" x14ac:dyDescent="0.2">
      <c r="E1112" s="155"/>
    </row>
    <row r="1113" spans="5:5" ht="15" customHeight="1" x14ac:dyDescent="0.2">
      <c r="E1113" s="155"/>
    </row>
    <row r="1114" spans="5:5" ht="15" customHeight="1" x14ac:dyDescent="0.2">
      <c r="E1114" s="155"/>
    </row>
    <row r="1115" spans="5:5" ht="15" customHeight="1" x14ac:dyDescent="0.2">
      <c r="E1115" s="155"/>
    </row>
    <row r="1116" spans="5:5" ht="15" customHeight="1" x14ac:dyDescent="0.2">
      <c r="E1116" s="155"/>
    </row>
    <row r="1117" spans="5:5" ht="15" customHeight="1" x14ac:dyDescent="0.2">
      <c r="E1117" s="155"/>
    </row>
    <row r="1118" spans="5:5" ht="15" customHeight="1" x14ac:dyDescent="0.2">
      <c r="E1118" s="155"/>
    </row>
    <row r="1119" spans="5:5" ht="15" customHeight="1" x14ac:dyDescent="0.2">
      <c r="E1119" s="155"/>
    </row>
    <row r="1120" spans="5:5" ht="15" customHeight="1" x14ac:dyDescent="0.2">
      <c r="E1120" s="155"/>
    </row>
    <row r="1121" spans="5:5" ht="15" customHeight="1" x14ac:dyDescent="0.2">
      <c r="E1121" s="155"/>
    </row>
    <row r="1122" spans="5:5" ht="15" customHeight="1" x14ac:dyDescent="0.2">
      <c r="E1122" s="155"/>
    </row>
    <row r="1123" spans="5:5" ht="15" customHeight="1" x14ac:dyDescent="0.2">
      <c r="E1123" s="155"/>
    </row>
    <row r="1124" spans="5:5" ht="15" customHeight="1" x14ac:dyDescent="0.2">
      <c r="E1124" s="155"/>
    </row>
    <row r="1125" spans="5:5" ht="15" customHeight="1" x14ac:dyDescent="0.2">
      <c r="E1125" s="155"/>
    </row>
    <row r="1126" spans="5:5" ht="15" customHeight="1" x14ac:dyDescent="0.2">
      <c r="E1126" s="155"/>
    </row>
    <row r="1127" spans="5:5" ht="15" customHeight="1" x14ac:dyDescent="0.2">
      <c r="E1127" s="155"/>
    </row>
    <row r="1128" spans="5:5" ht="15" customHeight="1" x14ac:dyDescent="0.2">
      <c r="E1128" s="155"/>
    </row>
    <row r="1129" spans="5:5" ht="15" customHeight="1" x14ac:dyDescent="0.2">
      <c r="E1129" s="155"/>
    </row>
    <row r="1130" spans="5:5" ht="15" customHeight="1" x14ac:dyDescent="0.2">
      <c r="E1130" s="155"/>
    </row>
    <row r="1131" spans="5:5" ht="15" customHeight="1" x14ac:dyDescent="0.2">
      <c r="E1131" s="155"/>
    </row>
    <row r="1132" spans="5:5" ht="15" customHeight="1" x14ac:dyDescent="0.2">
      <c r="E1132" s="155"/>
    </row>
    <row r="1133" spans="5:5" ht="15" customHeight="1" x14ac:dyDescent="0.2">
      <c r="E1133" s="155"/>
    </row>
    <row r="1134" spans="5:5" ht="15" customHeight="1" x14ac:dyDescent="0.2">
      <c r="E1134" s="155"/>
    </row>
    <row r="1135" spans="5:5" ht="15" customHeight="1" x14ac:dyDescent="0.2">
      <c r="E1135" s="155"/>
    </row>
    <row r="1136" spans="5:5" ht="15" customHeight="1" x14ac:dyDescent="0.2">
      <c r="E1136" s="155"/>
    </row>
    <row r="1137" spans="5:5" ht="15" customHeight="1" x14ac:dyDescent="0.2">
      <c r="E1137" s="155"/>
    </row>
    <row r="1138" spans="5:5" ht="15" customHeight="1" x14ac:dyDescent="0.2">
      <c r="E1138" s="155"/>
    </row>
    <row r="1139" spans="5:5" ht="15" customHeight="1" x14ac:dyDescent="0.2">
      <c r="E1139" s="155"/>
    </row>
    <row r="1140" spans="5:5" ht="15" customHeight="1" x14ac:dyDescent="0.2">
      <c r="E1140" s="155"/>
    </row>
    <row r="1141" spans="5:5" ht="15" customHeight="1" x14ac:dyDescent="0.2">
      <c r="E1141" s="155"/>
    </row>
    <row r="1142" spans="5:5" ht="15" customHeight="1" x14ac:dyDescent="0.2">
      <c r="E1142" s="155"/>
    </row>
    <row r="1143" spans="5:5" ht="15" customHeight="1" x14ac:dyDescent="0.2">
      <c r="E1143" s="155"/>
    </row>
    <row r="1144" spans="5:5" ht="15" customHeight="1" x14ac:dyDescent="0.2">
      <c r="E1144" s="155"/>
    </row>
    <row r="1145" spans="5:5" ht="15" customHeight="1" x14ac:dyDescent="0.2">
      <c r="E1145" s="155"/>
    </row>
    <row r="1146" spans="5:5" ht="15" customHeight="1" x14ac:dyDescent="0.2">
      <c r="E1146" s="155"/>
    </row>
    <row r="1147" spans="5:5" ht="15" customHeight="1" x14ac:dyDescent="0.2">
      <c r="E1147" s="155"/>
    </row>
    <row r="1148" spans="5:5" ht="15" customHeight="1" x14ac:dyDescent="0.2">
      <c r="E1148" s="155"/>
    </row>
    <row r="1149" spans="5:5" ht="15" customHeight="1" x14ac:dyDescent="0.2">
      <c r="E1149" s="155"/>
    </row>
    <row r="1150" spans="5:5" ht="15" customHeight="1" x14ac:dyDescent="0.2">
      <c r="E1150" s="155"/>
    </row>
    <row r="1151" spans="5:5" ht="15" customHeight="1" x14ac:dyDescent="0.2">
      <c r="E1151" s="155"/>
    </row>
    <row r="1152" spans="5:5" ht="15" customHeight="1" x14ac:dyDescent="0.2">
      <c r="E1152" s="155"/>
    </row>
    <row r="1153" spans="5:5" ht="15" customHeight="1" x14ac:dyDescent="0.2">
      <c r="E1153" s="155"/>
    </row>
    <row r="1154" spans="5:5" ht="15" customHeight="1" x14ac:dyDescent="0.2">
      <c r="E1154" s="155"/>
    </row>
    <row r="1155" spans="5:5" ht="15" customHeight="1" x14ac:dyDescent="0.2">
      <c r="E1155" s="155"/>
    </row>
    <row r="1156" spans="5:5" ht="15" customHeight="1" x14ac:dyDescent="0.2">
      <c r="E1156" s="155"/>
    </row>
    <row r="1157" spans="5:5" ht="15" customHeight="1" x14ac:dyDescent="0.2">
      <c r="E1157" s="155"/>
    </row>
    <row r="1158" spans="5:5" ht="15" customHeight="1" x14ac:dyDescent="0.2">
      <c r="E1158" s="155"/>
    </row>
    <row r="1159" spans="5:5" ht="15" customHeight="1" x14ac:dyDescent="0.2">
      <c r="E1159" s="155"/>
    </row>
    <row r="1160" spans="5:5" ht="15" customHeight="1" x14ac:dyDescent="0.2">
      <c r="E1160" s="155"/>
    </row>
    <row r="1161" spans="5:5" ht="15" customHeight="1" x14ac:dyDescent="0.2">
      <c r="E1161" s="155"/>
    </row>
    <row r="1162" spans="5:5" ht="15" customHeight="1" x14ac:dyDescent="0.2">
      <c r="E1162" s="155"/>
    </row>
    <row r="1163" spans="5:5" ht="15" customHeight="1" x14ac:dyDescent="0.2">
      <c r="E1163" s="155"/>
    </row>
    <row r="1164" spans="5:5" ht="15" customHeight="1" x14ac:dyDescent="0.2">
      <c r="E1164" s="155"/>
    </row>
    <row r="1165" spans="5:5" ht="15" customHeight="1" x14ac:dyDescent="0.2">
      <c r="E1165" s="155"/>
    </row>
    <row r="1166" spans="5:5" ht="15" customHeight="1" x14ac:dyDescent="0.2">
      <c r="E1166" s="155"/>
    </row>
    <row r="1167" spans="5:5" ht="15" customHeight="1" x14ac:dyDescent="0.2">
      <c r="E1167" s="155"/>
    </row>
    <row r="1168" spans="5:5" ht="15" customHeight="1" x14ac:dyDescent="0.2">
      <c r="E1168" s="155"/>
    </row>
    <row r="1169" spans="5:5" ht="15" customHeight="1" x14ac:dyDescent="0.2">
      <c r="E1169" s="155"/>
    </row>
    <row r="1170" spans="5:5" ht="15" customHeight="1" x14ac:dyDescent="0.2">
      <c r="E1170" s="155"/>
    </row>
    <row r="1171" spans="5:5" ht="15" customHeight="1" x14ac:dyDescent="0.2">
      <c r="E1171" s="155"/>
    </row>
    <row r="1172" spans="5:5" ht="15" customHeight="1" x14ac:dyDescent="0.2">
      <c r="E1172" s="155"/>
    </row>
    <row r="1173" spans="5:5" ht="15" customHeight="1" x14ac:dyDescent="0.2">
      <c r="E1173" s="155"/>
    </row>
    <row r="1174" spans="5:5" ht="15" customHeight="1" x14ac:dyDescent="0.2">
      <c r="E1174" s="155"/>
    </row>
    <row r="1175" spans="5:5" ht="15" customHeight="1" x14ac:dyDescent="0.2">
      <c r="E1175" s="155"/>
    </row>
    <row r="1176" spans="5:5" ht="15" customHeight="1" x14ac:dyDescent="0.2">
      <c r="E1176" s="155"/>
    </row>
    <row r="1177" spans="5:5" ht="15" customHeight="1" x14ac:dyDescent="0.2">
      <c r="E1177" s="155"/>
    </row>
    <row r="1178" spans="5:5" ht="15" customHeight="1" x14ac:dyDescent="0.2">
      <c r="E1178" s="155"/>
    </row>
    <row r="1179" spans="5:5" ht="15" customHeight="1" x14ac:dyDescent="0.2">
      <c r="E1179" s="155"/>
    </row>
    <row r="1180" spans="5:5" ht="15" customHeight="1" x14ac:dyDescent="0.2">
      <c r="E1180" s="155"/>
    </row>
    <row r="1181" spans="5:5" ht="15" customHeight="1" x14ac:dyDescent="0.2">
      <c r="E1181" s="155"/>
    </row>
    <row r="1182" spans="5:5" ht="15" customHeight="1" x14ac:dyDescent="0.2">
      <c r="E1182" s="155"/>
    </row>
    <row r="1183" spans="5:5" ht="15" customHeight="1" x14ac:dyDescent="0.2">
      <c r="E1183" s="155"/>
    </row>
    <row r="1184" spans="5:5" ht="15" customHeight="1" x14ac:dyDescent="0.2">
      <c r="E1184" s="155"/>
    </row>
    <row r="1185" spans="5:5" ht="15" customHeight="1" x14ac:dyDescent="0.2">
      <c r="E1185" s="155"/>
    </row>
    <row r="1186" spans="5:5" ht="15" customHeight="1" x14ac:dyDescent="0.2">
      <c r="E1186" s="155"/>
    </row>
    <row r="1187" spans="5:5" ht="15" customHeight="1" x14ac:dyDescent="0.2">
      <c r="E1187" s="155"/>
    </row>
    <row r="1188" spans="5:5" ht="15" customHeight="1" x14ac:dyDescent="0.2">
      <c r="E1188" s="155"/>
    </row>
    <row r="1189" spans="5:5" ht="15" customHeight="1" x14ac:dyDescent="0.2">
      <c r="E1189" s="155"/>
    </row>
    <row r="1190" spans="5:5" ht="15" customHeight="1" x14ac:dyDescent="0.2">
      <c r="E1190" s="155"/>
    </row>
    <row r="1191" spans="5:5" ht="15" customHeight="1" x14ac:dyDescent="0.2">
      <c r="E1191" s="155"/>
    </row>
    <row r="1192" spans="5:5" ht="15" customHeight="1" x14ac:dyDescent="0.2">
      <c r="E1192" s="155"/>
    </row>
    <row r="1193" spans="5:5" ht="15" customHeight="1" x14ac:dyDescent="0.2">
      <c r="E1193" s="155"/>
    </row>
    <row r="1194" spans="5:5" ht="15" customHeight="1" x14ac:dyDescent="0.2">
      <c r="E1194" s="155"/>
    </row>
    <row r="1195" spans="5:5" ht="15" customHeight="1" x14ac:dyDescent="0.2">
      <c r="E1195" s="155"/>
    </row>
    <row r="1196" spans="5:5" ht="15" customHeight="1" x14ac:dyDescent="0.2">
      <c r="E1196" s="155"/>
    </row>
    <row r="1197" spans="5:5" ht="15" customHeight="1" x14ac:dyDescent="0.2">
      <c r="E1197" s="155"/>
    </row>
    <row r="1198" spans="5:5" ht="15" customHeight="1" x14ac:dyDescent="0.2">
      <c r="E1198" s="155"/>
    </row>
    <row r="1199" spans="5:5" ht="15" customHeight="1" x14ac:dyDescent="0.2">
      <c r="E1199" s="155"/>
    </row>
    <row r="1200" spans="5:5" ht="15" customHeight="1" x14ac:dyDescent="0.2">
      <c r="E1200" s="155"/>
    </row>
    <row r="1201" spans="5:5" ht="15" customHeight="1" x14ac:dyDescent="0.2">
      <c r="E1201" s="155"/>
    </row>
    <row r="1202" spans="5:5" ht="15" customHeight="1" x14ac:dyDescent="0.2">
      <c r="E1202" s="155"/>
    </row>
    <row r="1203" spans="5:5" ht="15" customHeight="1" x14ac:dyDescent="0.2">
      <c r="E1203" s="155"/>
    </row>
    <row r="1204" spans="5:5" ht="15" customHeight="1" x14ac:dyDescent="0.2">
      <c r="E1204" s="155"/>
    </row>
    <row r="1205" spans="5:5" ht="15" customHeight="1" x14ac:dyDescent="0.2">
      <c r="E1205" s="155"/>
    </row>
    <row r="1206" spans="5:5" ht="15" customHeight="1" x14ac:dyDescent="0.2">
      <c r="E1206" s="155"/>
    </row>
    <row r="1207" spans="5:5" ht="15" customHeight="1" x14ac:dyDescent="0.2">
      <c r="E1207" s="155"/>
    </row>
    <row r="1208" spans="5:5" ht="15" customHeight="1" x14ac:dyDescent="0.2">
      <c r="E1208" s="155"/>
    </row>
    <row r="1209" spans="5:5" ht="15" customHeight="1" x14ac:dyDescent="0.2">
      <c r="E1209" s="155"/>
    </row>
    <row r="1210" spans="5:5" ht="15" customHeight="1" x14ac:dyDescent="0.2">
      <c r="E1210" s="155"/>
    </row>
    <row r="1211" spans="5:5" ht="15" customHeight="1" x14ac:dyDescent="0.2">
      <c r="E1211" s="155"/>
    </row>
    <row r="1212" spans="5:5" ht="15" customHeight="1" x14ac:dyDescent="0.2">
      <c r="E1212" s="155"/>
    </row>
    <row r="1213" spans="5:5" ht="15" customHeight="1" x14ac:dyDescent="0.2">
      <c r="E1213" s="155"/>
    </row>
    <row r="1214" spans="5:5" ht="15" customHeight="1" x14ac:dyDescent="0.2">
      <c r="E1214" s="155"/>
    </row>
    <row r="1215" spans="5:5" ht="15" customHeight="1" x14ac:dyDescent="0.2">
      <c r="E1215" s="155"/>
    </row>
    <row r="1216" spans="5:5" ht="15" customHeight="1" x14ac:dyDescent="0.2">
      <c r="E1216" s="155"/>
    </row>
    <row r="1217" spans="5:5" ht="15" customHeight="1" x14ac:dyDescent="0.2">
      <c r="E1217" s="155"/>
    </row>
    <row r="1218" spans="5:5" ht="15" customHeight="1" x14ac:dyDescent="0.2">
      <c r="E1218" s="155"/>
    </row>
    <row r="1219" spans="5:5" ht="15" customHeight="1" x14ac:dyDescent="0.2">
      <c r="E1219" s="155"/>
    </row>
    <row r="1220" spans="5:5" ht="15" customHeight="1" x14ac:dyDescent="0.2">
      <c r="E1220" s="155"/>
    </row>
    <row r="1221" spans="5:5" ht="15" customHeight="1" x14ac:dyDescent="0.2">
      <c r="E1221" s="155"/>
    </row>
    <row r="1222" spans="5:5" ht="15" customHeight="1" x14ac:dyDescent="0.2">
      <c r="E1222" s="155"/>
    </row>
    <row r="1223" spans="5:5" ht="15" customHeight="1" x14ac:dyDescent="0.2">
      <c r="E1223" s="155"/>
    </row>
    <row r="1224" spans="5:5" ht="15" customHeight="1" x14ac:dyDescent="0.2">
      <c r="E1224" s="155"/>
    </row>
    <row r="1225" spans="5:5" ht="15" customHeight="1" x14ac:dyDescent="0.2">
      <c r="E1225" s="155"/>
    </row>
    <row r="1226" spans="5:5" ht="15" customHeight="1" x14ac:dyDescent="0.2">
      <c r="E1226" s="155"/>
    </row>
    <row r="1227" spans="5:5" ht="15" customHeight="1" x14ac:dyDescent="0.2">
      <c r="E1227" s="155"/>
    </row>
    <row r="1228" spans="5:5" ht="15" customHeight="1" x14ac:dyDescent="0.2">
      <c r="E1228" s="155"/>
    </row>
    <row r="1229" spans="5:5" ht="15" customHeight="1" x14ac:dyDescent="0.2">
      <c r="E1229" s="155"/>
    </row>
    <row r="1230" spans="5:5" ht="15" customHeight="1" x14ac:dyDescent="0.2">
      <c r="E1230" s="155"/>
    </row>
    <row r="1231" spans="5:5" ht="15" customHeight="1" x14ac:dyDescent="0.2">
      <c r="E1231" s="155"/>
    </row>
    <row r="1232" spans="5:5" ht="15" customHeight="1" x14ac:dyDescent="0.2">
      <c r="E1232" s="155"/>
    </row>
    <row r="1233" spans="5:5" ht="15" customHeight="1" x14ac:dyDescent="0.2">
      <c r="E1233" s="155"/>
    </row>
    <row r="1234" spans="5:5" ht="15" customHeight="1" x14ac:dyDescent="0.2">
      <c r="E1234" s="155"/>
    </row>
    <row r="1235" spans="5:5" ht="15" customHeight="1" x14ac:dyDescent="0.2">
      <c r="E1235" s="155"/>
    </row>
    <row r="1236" spans="5:5" ht="15" customHeight="1" x14ac:dyDescent="0.2">
      <c r="E1236" s="155"/>
    </row>
    <row r="1237" spans="5:5" ht="15" customHeight="1" x14ac:dyDescent="0.2">
      <c r="E1237" s="155"/>
    </row>
    <row r="1238" spans="5:5" ht="15" customHeight="1" x14ac:dyDescent="0.2">
      <c r="E1238" s="155"/>
    </row>
    <row r="1239" spans="5:5" ht="15" customHeight="1" x14ac:dyDescent="0.2">
      <c r="E1239" s="155"/>
    </row>
    <row r="1240" spans="5:5" ht="15" customHeight="1" x14ac:dyDescent="0.2">
      <c r="E1240" s="155"/>
    </row>
    <row r="1241" spans="5:5" ht="15" customHeight="1" x14ac:dyDescent="0.2">
      <c r="E1241" s="155"/>
    </row>
    <row r="1242" spans="5:5" ht="15" customHeight="1" x14ac:dyDescent="0.2">
      <c r="E1242" s="155"/>
    </row>
    <row r="1243" spans="5:5" ht="15" customHeight="1" x14ac:dyDescent="0.2">
      <c r="E1243" s="155"/>
    </row>
    <row r="1244" spans="5:5" ht="15" customHeight="1" x14ac:dyDescent="0.2">
      <c r="E1244" s="155"/>
    </row>
    <row r="1245" spans="5:5" ht="15" customHeight="1" x14ac:dyDescent="0.2">
      <c r="E1245" s="155"/>
    </row>
    <row r="1246" spans="5:5" ht="15" customHeight="1" x14ac:dyDescent="0.2">
      <c r="E1246" s="155"/>
    </row>
    <row r="1247" spans="5:5" ht="15" customHeight="1" x14ac:dyDescent="0.2">
      <c r="E1247" s="155"/>
    </row>
    <row r="1248" spans="5:5" ht="15" customHeight="1" x14ac:dyDescent="0.2">
      <c r="E1248" s="155"/>
    </row>
    <row r="1249" spans="5:5" ht="15" customHeight="1" x14ac:dyDescent="0.2">
      <c r="E1249" s="155"/>
    </row>
    <row r="1250" spans="5:5" ht="15" customHeight="1" x14ac:dyDescent="0.2">
      <c r="E1250" s="155"/>
    </row>
    <row r="1251" spans="5:5" ht="15" customHeight="1" x14ac:dyDescent="0.2">
      <c r="E1251" s="155"/>
    </row>
    <row r="1252" spans="5:5" ht="15" customHeight="1" x14ac:dyDescent="0.2">
      <c r="E1252" s="155"/>
    </row>
    <row r="1253" spans="5:5" ht="15" customHeight="1" x14ac:dyDescent="0.2">
      <c r="E1253" s="155"/>
    </row>
    <row r="1254" spans="5:5" ht="15" customHeight="1" x14ac:dyDescent="0.2">
      <c r="E1254" s="155"/>
    </row>
    <row r="1255" spans="5:5" ht="15" customHeight="1" x14ac:dyDescent="0.2">
      <c r="E1255" s="155"/>
    </row>
    <row r="1256" spans="5:5" ht="15" customHeight="1" x14ac:dyDescent="0.2">
      <c r="E1256" s="155"/>
    </row>
    <row r="1257" spans="5:5" ht="15" customHeight="1" x14ac:dyDescent="0.2">
      <c r="E1257" s="155"/>
    </row>
    <row r="1258" spans="5:5" ht="15" customHeight="1" x14ac:dyDescent="0.2">
      <c r="E1258" s="155"/>
    </row>
    <row r="1259" spans="5:5" ht="15" customHeight="1" x14ac:dyDescent="0.2">
      <c r="E1259" s="155"/>
    </row>
    <row r="1260" spans="5:5" ht="15" customHeight="1" x14ac:dyDescent="0.2">
      <c r="E1260" s="155"/>
    </row>
    <row r="1261" spans="5:5" ht="15" customHeight="1" x14ac:dyDescent="0.2">
      <c r="E1261" s="155"/>
    </row>
    <row r="1262" spans="5:5" ht="15" customHeight="1" x14ac:dyDescent="0.2">
      <c r="E1262" s="155"/>
    </row>
    <row r="1263" spans="5:5" ht="15" customHeight="1" x14ac:dyDescent="0.2">
      <c r="E1263" s="155"/>
    </row>
    <row r="1264" spans="5:5" ht="15" customHeight="1" x14ac:dyDescent="0.2">
      <c r="E1264" s="155"/>
    </row>
    <row r="1265" spans="5:5" ht="15" customHeight="1" x14ac:dyDescent="0.2">
      <c r="E1265" s="155"/>
    </row>
    <row r="1266" spans="5:5" ht="15" customHeight="1" x14ac:dyDescent="0.2">
      <c r="E1266" s="155"/>
    </row>
    <row r="1267" spans="5:5" ht="15" customHeight="1" x14ac:dyDescent="0.2">
      <c r="E1267" s="155"/>
    </row>
    <row r="1268" spans="5:5" ht="15" customHeight="1" x14ac:dyDescent="0.2">
      <c r="E1268" s="155"/>
    </row>
    <row r="1269" spans="5:5" ht="15" customHeight="1" x14ac:dyDescent="0.2">
      <c r="E1269" s="155"/>
    </row>
    <row r="1270" spans="5:5" ht="15" customHeight="1" x14ac:dyDescent="0.2">
      <c r="E1270" s="155"/>
    </row>
    <row r="1271" spans="5:5" ht="15" customHeight="1" x14ac:dyDescent="0.2">
      <c r="E1271" s="155"/>
    </row>
    <row r="1272" spans="5:5" ht="15" customHeight="1" x14ac:dyDescent="0.2">
      <c r="E1272" s="155"/>
    </row>
    <row r="1273" spans="5:5" ht="15" customHeight="1" x14ac:dyDescent="0.2">
      <c r="E1273" s="155"/>
    </row>
    <row r="1274" spans="5:5" ht="15" customHeight="1" x14ac:dyDescent="0.2">
      <c r="E1274" s="155"/>
    </row>
    <row r="1275" spans="5:5" ht="15" customHeight="1" x14ac:dyDescent="0.2">
      <c r="E1275" s="155"/>
    </row>
    <row r="1276" spans="5:5" ht="15" customHeight="1" x14ac:dyDescent="0.2">
      <c r="E1276" s="155"/>
    </row>
    <row r="1277" spans="5:5" ht="15" customHeight="1" x14ac:dyDescent="0.2">
      <c r="E1277" s="155"/>
    </row>
    <row r="1278" spans="5:5" ht="15" customHeight="1" x14ac:dyDescent="0.2">
      <c r="E1278" s="155"/>
    </row>
    <row r="1279" spans="5:5" ht="15" customHeight="1" x14ac:dyDescent="0.2">
      <c r="E1279" s="155"/>
    </row>
    <row r="1280" spans="5:5" ht="15" customHeight="1" x14ac:dyDescent="0.2">
      <c r="E1280" s="155"/>
    </row>
    <row r="1281" spans="5:5" ht="15" customHeight="1" x14ac:dyDescent="0.2">
      <c r="E1281" s="155"/>
    </row>
    <row r="1282" spans="5:5" ht="15" customHeight="1" x14ac:dyDescent="0.2">
      <c r="E1282" s="155"/>
    </row>
    <row r="1283" spans="5:5" ht="15" customHeight="1" x14ac:dyDescent="0.2">
      <c r="E1283" s="155"/>
    </row>
    <row r="1284" spans="5:5" ht="15" customHeight="1" x14ac:dyDescent="0.2">
      <c r="E1284" s="155"/>
    </row>
    <row r="1285" spans="5:5" ht="15" customHeight="1" x14ac:dyDescent="0.2">
      <c r="E1285" s="155"/>
    </row>
    <row r="1286" spans="5:5" ht="15" customHeight="1" x14ac:dyDescent="0.2">
      <c r="E1286" s="155"/>
    </row>
    <row r="1287" spans="5:5" ht="15" customHeight="1" x14ac:dyDescent="0.2">
      <c r="E1287" s="155"/>
    </row>
    <row r="1288" spans="5:5" ht="15" customHeight="1" x14ac:dyDescent="0.2">
      <c r="E1288" s="155"/>
    </row>
    <row r="1289" spans="5:5" ht="15" customHeight="1" x14ac:dyDescent="0.2">
      <c r="E1289" s="155"/>
    </row>
    <row r="1290" spans="5:5" ht="15" customHeight="1" x14ac:dyDescent="0.2">
      <c r="E1290" s="155"/>
    </row>
    <row r="1291" spans="5:5" ht="15" customHeight="1" x14ac:dyDescent="0.2">
      <c r="E1291" s="155"/>
    </row>
    <row r="1292" spans="5:5" ht="15" customHeight="1" x14ac:dyDescent="0.2">
      <c r="E1292" s="155"/>
    </row>
    <row r="1293" spans="5:5" ht="15" customHeight="1" x14ac:dyDescent="0.2">
      <c r="E1293" s="155"/>
    </row>
    <row r="1294" spans="5:5" ht="15" customHeight="1" x14ac:dyDescent="0.2">
      <c r="E1294" s="155"/>
    </row>
    <row r="1295" spans="5:5" ht="15" customHeight="1" x14ac:dyDescent="0.2">
      <c r="E1295" s="155"/>
    </row>
    <row r="1296" spans="5:5" ht="15" customHeight="1" x14ac:dyDescent="0.2">
      <c r="E1296" s="155"/>
    </row>
    <row r="1297" spans="5:5" ht="15" customHeight="1" x14ac:dyDescent="0.2">
      <c r="E1297" s="155"/>
    </row>
    <row r="1298" spans="5:5" ht="15" customHeight="1" x14ac:dyDescent="0.2">
      <c r="E1298" s="155"/>
    </row>
    <row r="1299" spans="5:5" ht="15" customHeight="1" x14ac:dyDescent="0.2">
      <c r="E1299" s="155"/>
    </row>
    <row r="1300" spans="5:5" ht="15" customHeight="1" x14ac:dyDescent="0.2">
      <c r="E1300" s="155"/>
    </row>
    <row r="1301" spans="5:5" ht="15" customHeight="1" x14ac:dyDescent="0.2">
      <c r="E1301" s="155"/>
    </row>
    <row r="1302" spans="5:5" ht="15" customHeight="1" x14ac:dyDescent="0.2">
      <c r="E1302" s="155"/>
    </row>
    <row r="1303" spans="5:5" ht="15" customHeight="1" x14ac:dyDescent="0.2">
      <c r="E1303" s="155"/>
    </row>
    <row r="1304" spans="5:5" ht="15" customHeight="1" x14ac:dyDescent="0.2">
      <c r="E1304" s="155"/>
    </row>
    <row r="1305" spans="5:5" ht="15" customHeight="1" x14ac:dyDescent="0.2">
      <c r="E1305" s="155"/>
    </row>
    <row r="1306" spans="5:5" ht="15" customHeight="1" x14ac:dyDescent="0.2">
      <c r="E1306" s="155"/>
    </row>
    <row r="1307" spans="5:5" ht="15" customHeight="1" x14ac:dyDescent="0.2">
      <c r="E1307" s="155"/>
    </row>
    <row r="1308" spans="5:5" ht="15" customHeight="1" x14ac:dyDescent="0.2">
      <c r="E1308" s="155"/>
    </row>
    <row r="1309" spans="5:5" ht="15" customHeight="1" x14ac:dyDescent="0.2">
      <c r="E1309" s="155"/>
    </row>
    <row r="1310" spans="5:5" ht="15" customHeight="1" x14ac:dyDescent="0.2">
      <c r="E1310" s="155"/>
    </row>
    <row r="1311" spans="5:5" ht="15" customHeight="1" x14ac:dyDescent="0.2">
      <c r="E1311" s="155"/>
    </row>
    <row r="1312" spans="5:5" ht="15" customHeight="1" x14ac:dyDescent="0.2">
      <c r="E1312" s="155"/>
    </row>
    <row r="1313" spans="5:5" ht="15" customHeight="1" x14ac:dyDescent="0.2">
      <c r="E1313" s="155"/>
    </row>
    <row r="1314" spans="5:5" ht="15" customHeight="1" x14ac:dyDescent="0.2">
      <c r="E1314" s="155"/>
    </row>
    <row r="1315" spans="5:5" ht="15" customHeight="1" x14ac:dyDescent="0.2">
      <c r="E1315" s="155"/>
    </row>
    <row r="1316" spans="5:5" ht="15" customHeight="1" x14ac:dyDescent="0.2">
      <c r="E1316" s="155"/>
    </row>
    <row r="1317" spans="5:5" ht="15" customHeight="1" x14ac:dyDescent="0.2">
      <c r="E1317" s="155"/>
    </row>
    <row r="1318" spans="5:5" ht="15" customHeight="1" x14ac:dyDescent="0.2">
      <c r="E1318" s="155"/>
    </row>
    <row r="1319" spans="5:5" ht="15" customHeight="1" x14ac:dyDescent="0.2">
      <c r="E1319" s="155"/>
    </row>
    <row r="1320" spans="5:5" ht="15" customHeight="1" x14ac:dyDescent="0.2">
      <c r="E1320" s="155"/>
    </row>
    <row r="1321" spans="5:5" ht="15" customHeight="1" x14ac:dyDescent="0.2">
      <c r="E1321" s="155"/>
    </row>
    <row r="1322" spans="5:5" ht="15" customHeight="1" x14ac:dyDescent="0.2">
      <c r="E1322" s="155"/>
    </row>
    <row r="1323" spans="5:5" ht="15" customHeight="1" x14ac:dyDescent="0.2">
      <c r="E1323" s="155"/>
    </row>
    <row r="1324" spans="5:5" ht="15" customHeight="1" x14ac:dyDescent="0.2">
      <c r="E1324" s="155"/>
    </row>
    <row r="1325" spans="5:5" ht="15" customHeight="1" x14ac:dyDescent="0.2">
      <c r="E1325" s="155"/>
    </row>
    <row r="1326" spans="5:5" ht="15" customHeight="1" x14ac:dyDescent="0.2">
      <c r="E1326" s="155"/>
    </row>
    <row r="1327" spans="5:5" ht="15" customHeight="1" x14ac:dyDescent="0.2">
      <c r="E1327" s="155"/>
    </row>
    <row r="1328" spans="5:5" ht="15" customHeight="1" x14ac:dyDescent="0.2">
      <c r="E1328" s="155"/>
    </row>
    <row r="1329" spans="5:5" ht="15" customHeight="1" x14ac:dyDescent="0.2">
      <c r="E1329" s="155"/>
    </row>
    <row r="1330" spans="5:5" ht="15" customHeight="1" x14ac:dyDescent="0.2">
      <c r="E1330" s="155"/>
    </row>
    <row r="1331" spans="5:5" ht="15" customHeight="1" x14ac:dyDescent="0.2">
      <c r="E1331" s="155"/>
    </row>
    <row r="1332" spans="5:5" ht="15" customHeight="1" x14ac:dyDescent="0.2">
      <c r="E1332" s="155"/>
    </row>
    <row r="1333" spans="5:5" ht="15" customHeight="1" x14ac:dyDescent="0.2">
      <c r="E1333" s="155"/>
    </row>
    <row r="1334" spans="5:5" ht="15" customHeight="1" x14ac:dyDescent="0.2">
      <c r="E1334" s="155"/>
    </row>
    <row r="1335" spans="5:5" ht="15" customHeight="1" x14ac:dyDescent="0.2">
      <c r="E1335" s="155"/>
    </row>
    <row r="1336" spans="5:5" ht="15" customHeight="1" x14ac:dyDescent="0.2">
      <c r="E1336" s="155"/>
    </row>
    <row r="1337" spans="5:5" ht="15" customHeight="1" x14ac:dyDescent="0.2">
      <c r="E1337" s="155"/>
    </row>
    <row r="1338" spans="5:5" ht="15" customHeight="1" x14ac:dyDescent="0.2">
      <c r="E1338" s="155"/>
    </row>
    <row r="1339" spans="5:5" ht="15" customHeight="1" x14ac:dyDescent="0.2">
      <c r="E1339" s="155"/>
    </row>
    <row r="1340" spans="5:5" ht="15" customHeight="1" x14ac:dyDescent="0.2">
      <c r="E1340" s="155"/>
    </row>
    <row r="1341" spans="5:5" ht="15" customHeight="1" x14ac:dyDescent="0.2">
      <c r="E1341" s="155"/>
    </row>
    <row r="1342" spans="5:5" ht="15" customHeight="1" x14ac:dyDescent="0.2">
      <c r="E1342" s="155"/>
    </row>
    <row r="1343" spans="5:5" ht="15" customHeight="1" x14ac:dyDescent="0.2">
      <c r="E1343" s="155"/>
    </row>
    <row r="1344" spans="5:5" ht="15" customHeight="1" x14ac:dyDescent="0.2">
      <c r="E1344" s="155"/>
    </row>
    <row r="1345" spans="5:5" ht="15" customHeight="1" x14ac:dyDescent="0.2">
      <c r="E1345" s="155"/>
    </row>
    <row r="1346" spans="5:5" ht="15" customHeight="1" x14ac:dyDescent="0.2">
      <c r="E1346" s="155"/>
    </row>
    <row r="1347" spans="5:5" ht="15" customHeight="1" x14ac:dyDescent="0.2">
      <c r="E1347" s="155"/>
    </row>
    <row r="1348" spans="5:5" ht="15" customHeight="1" x14ac:dyDescent="0.2">
      <c r="E1348" s="155"/>
    </row>
    <row r="1349" spans="5:5" ht="15" customHeight="1" x14ac:dyDescent="0.2">
      <c r="E1349" s="155"/>
    </row>
    <row r="1350" spans="5:5" ht="15" customHeight="1" x14ac:dyDescent="0.2">
      <c r="E1350" s="155"/>
    </row>
    <row r="1351" spans="5:5" ht="15" customHeight="1" x14ac:dyDescent="0.2">
      <c r="E1351" s="155"/>
    </row>
    <row r="1352" spans="5:5" ht="15" customHeight="1" x14ac:dyDescent="0.2">
      <c r="E1352" s="155"/>
    </row>
    <row r="1353" spans="5:5" ht="15" customHeight="1" x14ac:dyDescent="0.2">
      <c r="E1353" s="155"/>
    </row>
    <row r="1354" spans="5:5" ht="15" customHeight="1" x14ac:dyDescent="0.2">
      <c r="E1354" s="155"/>
    </row>
    <row r="1355" spans="5:5" ht="15" customHeight="1" x14ac:dyDescent="0.2">
      <c r="E1355" s="155"/>
    </row>
    <row r="1356" spans="5:5" ht="15" customHeight="1" x14ac:dyDescent="0.2">
      <c r="E1356" s="155"/>
    </row>
    <row r="1357" spans="5:5" ht="15" customHeight="1" x14ac:dyDescent="0.2">
      <c r="E1357" s="155"/>
    </row>
    <row r="1358" spans="5:5" ht="15" customHeight="1" x14ac:dyDescent="0.2">
      <c r="E1358" s="155"/>
    </row>
    <row r="1359" spans="5:5" ht="15" customHeight="1" x14ac:dyDescent="0.2">
      <c r="E1359" s="155"/>
    </row>
    <row r="1360" spans="5:5" ht="15" customHeight="1" x14ac:dyDescent="0.2">
      <c r="E1360" s="155"/>
    </row>
    <row r="1361" spans="5:5" ht="15" customHeight="1" x14ac:dyDescent="0.2">
      <c r="E1361" s="155"/>
    </row>
    <row r="1362" spans="5:5" ht="15" customHeight="1" x14ac:dyDescent="0.2">
      <c r="E1362" s="155"/>
    </row>
    <row r="1363" spans="5:5" ht="15" customHeight="1" x14ac:dyDescent="0.2">
      <c r="E1363" s="155"/>
    </row>
    <row r="1364" spans="5:5" ht="15" customHeight="1" x14ac:dyDescent="0.2">
      <c r="E1364" s="155"/>
    </row>
    <row r="1365" spans="5:5" ht="15" customHeight="1" x14ac:dyDescent="0.2">
      <c r="E1365" s="155"/>
    </row>
    <row r="1366" spans="5:5" ht="15" customHeight="1" x14ac:dyDescent="0.2">
      <c r="E1366" s="155"/>
    </row>
    <row r="1367" spans="5:5" ht="15" customHeight="1" x14ac:dyDescent="0.2">
      <c r="E1367" s="155"/>
    </row>
    <row r="1368" spans="5:5" ht="15" customHeight="1" x14ac:dyDescent="0.2">
      <c r="E1368" s="155"/>
    </row>
    <row r="1369" spans="5:5" ht="15" customHeight="1" x14ac:dyDescent="0.2">
      <c r="E1369" s="155"/>
    </row>
    <row r="1370" spans="5:5" ht="15" customHeight="1" x14ac:dyDescent="0.2">
      <c r="E1370" s="155"/>
    </row>
    <row r="1371" spans="5:5" ht="15" customHeight="1" x14ac:dyDescent="0.2">
      <c r="E1371" s="155"/>
    </row>
    <row r="1372" spans="5:5" ht="15" customHeight="1" x14ac:dyDescent="0.2">
      <c r="E1372" s="155"/>
    </row>
    <row r="1373" spans="5:5" ht="15" customHeight="1" x14ac:dyDescent="0.2">
      <c r="E1373" s="155"/>
    </row>
    <row r="1374" spans="5:5" ht="15" customHeight="1" x14ac:dyDescent="0.2">
      <c r="E1374" s="155"/>
    </row>
    <row r="1375" spans="5:5" ht="15" customHeight="1" x14ac:dyDescent="0.2">
      <c r="E1375" s="155"/>
    </row>
    <row r="1376" spans="5:5" ht="15" customHeight="1" x14ac:dyDescent="0.2">
      <c r="E1376" s="155"/>
    </row>
    <row r="1377" spans="5:5" ht="15" customHeight="1" x14ac:dyDescent="0.2">
      <c r="E1377" s="155"/>
    </row>
    <row r="1378" spans="5:5" ht="15" customHeight="1" x14ac:dyDescent="0.2">
      <c r="E1378" s="155"/>
    </row>
    <row r="1379" spans="5:5" ht="15" customHeight="1" x14ac:dyDescent="0.2">
      <c r="E1379" s="155"/>
    </row>
    <row r="1380" spans="5:5" ht="15" customHeight="1" x14ac:dyDescent="0.2">
      <c r="E1380" s="155"/>
    </row>
    <row r="1381" spans="5:5" ht="15" customHeight="1" x14ac:dyDescent="0.2">
      <c r="E1381" s="155"/>
    </row>
    <row r="1382" spans="5:5" ht="15" customHeight="1" x14ac:dyDescent="0.2">
      <c r="E1382" s="155"/>
    </row>
    <row r="1383" spans="5:5" ht="15" customHeight="1" x14ac:dyDescent="0.2">
      <c r="E1383" s="155"/>
    </row>
    <row r="1384" spans="5:5" ht="15" customHeight="1" x14ac:dyDescent="0.2">
      <c r="E1384" s="155"/>
    </row>
    <row r="1385" spans="5:5" ht="15" customHeight="1" x14ac:dyDescent="0.2">
      <c r="E1385" s="155"/>
    </row>
    <row r="1386" spans="5:5" ht="15" customHeight="1" x14ac:dyDescent="0.2">
      <c r="E1386" s="155"/>
    </row>
    <row r="1387" spans="5:5" ht="15" customHeight="1" x14ac:dyDescent="0.2">
      <c r="E1387" s="155"/>
    </row>
    <row r="1388" spans="5:5" ht="15" customHeight="1" x14ac:dyDescent="0.2">
      <c r="E1388" s="155"/>
    </row>
    <row r="1389" spans="5:5" ht="15" customHeight="1" x14ac:dyDescent="0.2">
      <c r="E1389" s="155"/>
    </row>
    <row r="1390" spans="5:5" ht="15" customHeight="1" x14ac:dyDescent="0.2">
      <c r="E1390" s="155"/>
    </row>
    <row r="1391" spans="5:5" ht="15" customHeight="1" x14ac:dyDescent="0.2">
      <c r="E1391" s="155"/>
    </row>
    <row r="1392" spans="5:5" ht="15" customHeight="1" x14ac:dyDescent="0.2">
      <c r="E1392" s="155"/>
    </row>
    <row r="1393" spans="5:5" ht="15" customHeight="1" x14ac:dyDescent="0.2">
      <c r="E1393" s="155"/>
    </row>
    <row r="1394" spans="5:5" ht="15" customHeight="1" x14ac:dyDescent="0.2">
      <c r="E1394" s="155"/>
    </row>
    <row r="1395" spans="5:5" ht="15" customHeight="1" x14ac:dyDescent="0.2">
      <c r="E1395" s="155"/>
    </row>
    <row r="1396" spans="5:5" ht="15" customHeight="1" x14ac:dyDescent="0.2">
      <c r="E1396" s="155"/>
    </row>
    <row r="1397" spans="5:5" ht="15" customHeight="1" x14ac:dyDescent="0.2">
      <c r="E1397" s="155"/>
    </row>
    <row r="1398" spans="5:5" ht="15" customHeight="1" x14ac:dyDescent="0.2">
      <c r="E1398" s="155"/>
    </row>
    <row r="1399" spans="5:5" ht="15" customHeight="1" x14ac:dyDescent="0.2">
      <c r="E1399" s="155"/>
    </row>
    <row r="1400" spans="5:5" ht="15" customHeight="1" x14ac:dyDescent="0.2">
      <c r="E1400" s="155"/>
    </row>
    <row r="1401" spans="5:5" ht="15" customHeight="1" x14ac:dyDescent="0.2">
      <c r="E1401" s="155"/>
    </row>
    <row r="1402" spans="5:5" ht="15" customHeight="1" x14ac:dyDescent="0.2">
      <c r="E1402" s="155"/>
    </row>
    <row r="1403" spans="5:5" ht="15" customHeight="1" x14ac:dyDescent="0.2">
      <c r="E1403" s="155"/>
    </row>
    <row r="1404" spans="5:5" ht="15" customHeight="1" x14ac:dyDescent="0.2">
      <c r="E1404" s="155"/>
    </row>
    <row r="1405" spans="5:5" ht="15" customHeight="1" x14ac:dyDescent="0.2">
      <c r="E1405" s="155"/>
    </row>
    <row r="1406" spans="5:5" ht="15" customHeight="1" x14ac:dyDescent="0.2">
      <c r="E1406" s="155"/>
    </row>
    <row r="1407" spans="5:5" ht="15" customHeight="1" x14ac:dyDescent="0.2">
      <c r="E1407" s="155"/>
    </row>
    <row r="1408" spans="5:5" ht="15" customHeight="1" x14ac:dyDescent="0.2">
      <c r="E1408" s="155"/>
    </row>
    <row r="1409" spans="5:5" ht="15" customHeight="1" x14ac:dyDescent="0.2">
      <c r="E1409" s="155"/>
    </row>
    <row r="1410" spans="5:5" ht="15" customHeight="1" x14ac:dyDescent="0.2">
      <c r="E1410" s="155"/>
    </row>
    <row r="1411" spans="5:5" ht="15" customHeight="1" x14ac:dyDescent="0.2">
      <c r="E1411" s="155"/>
    </row>
    <row r="1412" spans="5:5" ht="15" customHeight="1" x14ac:dyDescent="0.2">
      <c r="E1412" s="155"/>
    </row>
    <row r="1413" spans="5:5" ht="15" customHeight="1" x14ac:dyDescent="0.2">
      <c r="E1413" s="155"/>
    </row>
    <row r="1414" spans="5:5" ht="15" customHeight="1" x14ac:dyDescent="0.2">
      <c r="E1414" s="155"/>
    </row>
    <row r="1415" spans="5:5" ht="15" customHeight="1" x14ac:dyDescent="0.2">
      <c r="E1415" s="155"/>
    </row>
    <row r="1416" spans="5:5" ht="15" customHeight="1" x14ac:dyDescent="0.2">
      <c r="E1416" s="155"/>
    </row>
    <row r="1417" spans="5:5" ht="15" customHeight="1" x14ac:dyDescent="0.2">
      <c r="E1417" s="155"/>
    </row>
    <row r="1418" spans="5:5" ht="15" customHeight="1" x14ac:dyDescent="0.2">
      <c r="E1418" s="155"/>
    </row>
    <row r="1419" spans="5:5" ht="15" customHeight="1" x14ac:dyDescent="0.2">
      <c r="E1419" s="155"/>
    </row>
    <row r="1420" spans="5:5" ht="15" customHeight="1" x14ac:dyDescent="0.2">
      <c r="E1420" s="155"/>
    </row>
    <row r="1421" spans="5:5" ht="15" customHeight="1" x14ac:dyDescent="0.2">
      <c r="E1421" s="155"/>
    </row>
    <row r="1422" spans="5:5" ht="15" customHeight="1" x14ac:dyDescent="0.2">
      <c r="E1422" s="155"/>
    </row>
    <row r="1423" spans="5:5" ht="15" customHeight="1" x14ac:dyDescent="0.2">
      <c r="E1423" s="155"/>
    </row>
    <row r="1424" spans="5:5" ht="15" customHeight="1" x14ac:dyDescent="0.2">
      <c r="E1424" s="155"/>
    </row>
    <row r="1425" spans="5:5" ht="15" customHeight="1" x14ac:dyDescent="0.2">
      <c r="E1425" s="155"/>
    </row>
    <row r="1426" spans="5:5" ht="15" customHeight="1" x14ac:dyDescent="0.2">
      <c r="E1426" s="155"/>
    </row>
    <row r="1427" spans="5:5" ht="15" customHeight="1" x14ac:dyDescent="0.2">
      <c r="E1427" s="155"/>
    </row>
    <row r="1428" spans="5:5" ht="15" customHeight="1" x14ac:dyDescent="0.2">
      <c r="E1428" s="155"/>
    </row>
    <row r="1429" spans="5:5" ht="15" customHeight="1" x14ac:dyDescent="0.2">
      <c r="E1429" s="155"/>
    </row>
    <row r="1430" spans="5:5" ht="15" customHeight="1" x14ac:dyDescent="0.2">
      <c r="E1430" s="155"/>
    </row>
    <row r="1431" spans="5:5" ht="15" customHeight="1" x14ac:dyDescent="0.2">
      <c r="E1431" s="155"/>
    </row>
    <row r="1432" spans="5:5" ht="15" customHeight="1" x14ac:dyDescent="0.2">
      <c r="E1432" s="155"/>
    </row>
    <row r="1433" spans="5:5" ht="15" customHeight="1" x14ac:dyDescent="0.2">
      <c r="E1433" s="155"/>
    </row>
    <row r="1434" spans="5:5" ht="15" customHeight="1" x14ac:dyDescent="0.2">
      <c r="E1434" s="155"/>
    </row>
    <row r="1435" spans="5:5" ht="15" customHeight="1" x14ac:dyDescent="0.2">
      <c r="E1435" s="155"/>
    </row>
    <row r="1436" spans="5:5" ht="15" customHeight="1" x14ac:dyDescent="0.2">
      <c r="E1436" s="155"/>
    </row>
    <row r="1437" spans="5:5" ht="15" customHeight="1" x14ac:dyDescent="0.2">
      <c r="E1437" s="155"/>
    </row>
    <row r="1438" spans="5:5" ht="15" customHeight="1" x14ac:dyDescent="0.2">
      <c r="E1438" s="155"/>
    </row>
    <row r="1439" spans="5:5" ht="15" customHeight="1" x14ac:dyDescent="0.2">
      <c r="E1439" s="155"/>
    </row>
    <row r="1440" spans="5:5" ht="15" customHeight="1" x14ac:dyDescent="0.2">
      <c r="E1440" s="155"/>
    </row>
    <row r="1441" spans="5:5" ht="15" customHeight="1" x14ac:dyDescent="0.2">
      <c r="E1441" s="155"/>
    </row>
    <row r="1442" spans="5:5" ht="15" customHeight="1" x14ac:dyDescent="0.2">
      <c r="E1442" s="155"/>
    </row>
    <row r="1443" spans="5:5" ht="15" customHeight="1" x14ac:dyDescent="0.2">
      <c r="E1443" s="155"/>
    </row>
    <row r="1444" spans="5:5" ht="15" customHeight="1" x14ac:dyDescent="0.2">
      <c r="E1444" s="155"/>
    </row>
    <row r="1445" spans="5:5" ht="15" customHeight="1" x14ac:dyDescent="0.2">
      <c r="E1445" s="155"/>
    </row>
    <row r="1446" spans="5:5" ht="15" customHeight="1" x14ac:dyDescent="0.2">
      <c r="E1446" s="155"/>
    </row>
    <row r="1447" spans="5:5" ht="15" customHeight="1" x14ac:dyDescent="0.2">
      <c r="E1447" s="155"/>
    </row>
    <row r="1448" spans="5:5" ht="15" customHeight="1" x14ac:dyDescent="0.2">
      <c r="E1448" s="155"/>
    </row>
    <row r="1449" spans="5:5" ht="15" customHeight="1" x14ac:dyDescent="0.2">
      <c r="E1449" s="155"/>
    </row>
    <row r="1450" spans="5:5" ht="15" customHeight="1" x14ac:dyDescent="0.2">
      <c r="E1450" s="155"/>
    </row>
    <row r="1451" spans="5:5" ht="15" customHeight="1" x14ac:dyDescent="0.2">
      <c r="E1451" s="155"/>
    </row>
    <row r="1452" spans="5:5" ht="15" customHeight="1" x14ac:dyDescent="0.2">
      <c r="E1452" s="155"/>
    </row>
    <row r="1453" spans="5:5" ht="15" customHeight="1" x14ac:dyDescent="0.2">
      <c r="E1453" s="155"/>
    </row>
    <row r="1454" spans="5:5" ht="15" customHeight="1" x14ac:dyDescent="0.2">
      <c r="E1454" s="155"/>
    </row>
    <row r="1455" spans="5:5" ht="15" customHeight="1" x14ac:dyDescent="0.2">
      <c r="E1455" s="155"/>
    </row>
    <row r="1456" spans="5:5" ht="15" customHeight="1" x14ac:dyDescent="0.2">
      <c r="E1456" s="155"/>
    </row>
    <row r="1457" spans="5:5" ht="15" customHeight="1" x14ac:dyDescent="0.2">
      <c r="E1457" s="155"/>
    </row>
    <row r="1458" spans="5:5" ht="15" customHeight="1" x14ac:dyDescent="0.2">
      <c r="E1458" s="155"/>
    </row>
    <row r="1459" spans="5:5" ht="15" customHeight="1" x14ac:dyDescent="0.2">
      <c r="E1459" s="155"/>
    </row>
    <row r="1460" spans="5:5" ht="15" customHeight="1" x14ac:dyDescent="0.2">
      <c r="E1460" s="155"/>
    </row>
    <row r="1461" spans="5:5" ht="15" customHeight="1" x14ac:dyDescent="0.2">
      <c r="E1461" s="155"/>
    </row>
    <row r="1462" spans="5:5" ht="15" customHeight="1" x14ac:dyDescent="0.2">
      <c r="E1462" s="155"/>
    </row>
    <row r="1463" spans="5:5" ht="15" customHeight="1" x14ac:dyDescent="0.2">
      <c r="E1463" s="155"/>
    </row>
    <row r="1464" spans="5:5" ht="15" customHeight="1" x14ac:dyDescent="0.2">
      <c r="E1464" s="155"/>
    </row>
    <row r="1465" spans="5:5" ht="15" customHeight="1" x14ac:dyDescent="0.2">
      <c r="E1465" s="155"/>
    </row>
    <row r="1466" spans="5:5" ht="15" customHeight="1" x14ac:dyDescent="0.2">
      <c r="E1466" s="155"/>
    </row>
    <row r="1467" spans="5:5" ht="15" customHeight="1" x14ac:dyDescent="0.2">
      <c r="E1467" s="155"/>
    </row>
    <row r="1468" spans="5:5" ht="15" customHeight="1" x14ac:dyDescent="0.2">
      <c r="E1468" s="155"/>
    </row>
    <row r="1469" spans="5:5" ht="15" customHeight="1" x14ac:dyDescent="0.2">
      <c r="E1469" s="155"/>
    </row>
    <row r="1470" spans="5:5" ht="15" customHeight="1" x14ac:dyDescent="0.2">
      <c r="E1470" s="155"/>
    </row>
    <row r="1471" spans="5:5" ht="15" customHeight="1" x14ac:dyDescent="0.2">
      <c r="E1471" s="155"/>
    </row>
    <row r="1472" spans="5:5" ht="15" customHeight="1" x14ac:dyDescent="0.2">
      <c r="E1472" s="155"/>
    </row>
    <row r="1473" spans="5:5" ht="15" customHeight="1" x14ac:dyDescent="0.2">
      <c r="E1473" s="155"/>
    </row>
    <row r="1474" spans="5:5" ht="15" customHeight="1" x14ac:dyDescent="0.2">
      <c r="E1474" s="155"/>
    </row>
    <row r="1475" spans="5:5" ht="15" customHeight="1" x14ac:dyDescent="0.2">
      <c r="E1475" s="155"/>
    </row>
    <row r="1476" spans="5:5" ht="15" customHeight="1" x14ac:dyDescent="0.2">
      <c r="E1476" s="155"/>
    </row>
    <row r="1477" spans="5:5" ht="15" customHeight="1" x14ac:dyDescent="0.2">
      <c r="E1477" s="155"/>
    </row>
    <row r="1478" spans="5:5" ht="15" customHeight="1" x14ac:dyDescent="0.2">
      <c r="E1478" s="155"/>
    </row>
    <row r="1479" spans="5:5" ht="15" customHeight="1" x14ac:dyDescent="0.2">
      <c r="E1479" s="155"/>
    </row>
    <row r="1480" spans="5:5" ht="15" customHeight="1" x14ac:dyDescent="0.2">
      <c r="E1480" s="155"/>
    </row>
    <row r="1481" spans="5:5" ht="15" customHeight="1" x14ac:dyDescent="0.2">
      <c r="E1481" s="155"/>
    </row>
    <row r="1482" spans="5:5" ht="15" customHeight="1" x14ac:dyDescent="0.2">
      <c r="E1482" s="155"/>
    </row>
    <row r="1483" spans="5:5" ht="15" customHeight="1" x14ac:dyDescent="0.2">
      <c r="E1483" s="155"/>
    </row>
    <row r="1484" spans="5:5" ht="15" customHeight="1" x14ac:dyDescent="0.2">
      <c r="E1484" s="155"/>
    </row>
    <row r="1485" spans="5:5" ht="15" customHeight="1" x14ac:dyDescent="0.2">
      <c r="E1485" s="155"/>
    </row>
    <row r="1486" spans="5:5" ht="15" customHeight="1" x14ac:dyDescent="0.2">
      <c r="E1486" s="155"/>
    </row>
    <row r="1487" spans="5:5" ht="15" customHeight="1" x14ac:dyDescent="0.2">
      <c r="E1487" s="155"/>
    </row>
    <row r="1488" spans="5:5" ht="15" customHeight="1" x14ac:dyDescent="0.2">
      <c r="E1488" s="155"/>
    </row>
    <row r="1489" spans="5:5" ht="15" customHeight="1" x14ac:dyDescent="0.2">
      <c r="E1489" s="155"/>
    </row>
    <row r="1490" spans="5:5" ht="15" customHeight="1" x14ac:dyDescent="0.2">
      <c r="E1490" s="155"/>
    </row>
    <row r="1491" spans="5:5" ht="15" customHeight="1" x14ac:dyDescent="0.2">
      <c r="E1491" s="155"/>
    </row>
    <row r="1492" spans="5:5" ht="15" customHeight="1" x14ac:dyDescent="0.2">
      <c r="E1492" s="155"/>
    </row>
    <row r="1493" spans="5:5" ht="15" customHeight="1" x14ac:dyDescent="0.2">
      <c r="E1493" s="155"/>
    </row>
    <row r="1494" spans="5:5" ht="15" customHeight="1" x14ac:dyDescent="0.2">
      <c r="E1494" s="155"/>
    </row>
    <row r="1495" spans="5:5" ht="15" customHeight="1" x14ac:dyDescent="0.2">
      <c r="E1495" s="155"/>
    </row>
    <row r="1496" spans="5:5" ht="15" customHeight="1" x14ac:dyDescent="0.2">
      <c r="E1496" s="155"/>
    </row>
    <row r="1497" spans="5:5" ht="15" customHeight="1" x14ac:dyDescent="0.2">
      <c r="E1497" s="155"/>
    </row>
    <row r="1498" spans="5:5" ht="15" customHeight="1" x14ac:dyDescent="0.2">
      <c r="E1498" s="155"/>
    </row>
    <row r="1499" spans="5:5" ht="15" customHeight="1" x14ac:dyDescent="0.2">
      <c r="E1499" s="155"/>
    </row>
    <row r="1500" spans="5:5" ht="15" customHeight="1" x14ac:dyDescent="0.2">
      <c r="E1500" s="155"/>
    </row>
    <row r="1501" spans="5:5" ht="15" customHeight="1" x14ac:dyDescent="0.2">
      <c r="E1501" s="155"/>
    </row>
    <row r="1502" spans="5:5" ht="15" customHeight="1" x14ac:dyDescent="0.2">
      <c r="E1502" s="155"/>
    </row>
    <row r="1503" spans="5:5" ht="15" customHeight="1" x14ac:dyDescent="0.2">
      <c r="E1503" s="155"/>
    </row>
    <row r="1504" spans="5:5" ht="15" customHeight="1" x14ac:dyDescent="0.2">
      <c r="E1504" s="155"/>
    </row>
    <row r="1505" spans="5:5" ht="15" customHeight="1" x14ac:dyDescent="0.2">
      <c r="E1505" s="155"/>
    </row>
    <row r="1506" spans="5:5" ht="15" customHeight="1" x14ac:dyDescent="0.2">
      <c r="E1506" s="155"/>
    </row>
    <row r="1507" spans="5:5" ht="15" customHeight="1" x14ac:dyDescent="0.2">
      <c r="E1507" s="155"/>
    </row>
    <row r="1508" spans="5:5" ht="15" customHeight="1" x14ac:dyDescent="0.2">
      <c r="E1508" s="155"/>
    </row>
    <row r="1509" spans="5:5" ht="15" customHeight="1" x14ac:dyDescent="0.2">
      <c r="E1509" s="155"/>
    </row>
    <row r="1510" spans="5:5" ht="15" customHeight="1" x14ac:dyDescent="0.2">
      <c r="E1510" s="155"/>
    </row>
    <row r="1511" spans="5:5" ht="15" customHeight="1" x14ac:dyDescent="0.2">
      <c r="E1511" s="155"/>
    </row>
    <row r="1512" spans="5:5" ht="15" customHeight="1" x14ac:dyDescent="0.2">
      <c r="E1512" s="155"/>
    </row>
    <row r="1513" spans="5:5" ht="15" customHeight="1" x14ac:dyDescent="0.2">
      <c r="E1513" s="155"/>
    </row>
    <row r="1514" spans="5:5" ht="15" customHeight="1" x14ac:dyDescent="0.2">
      <c r="E1514" s="155"/>
    </row>
    <row r="1515" spans="5:5" ht="15" customHeight="1" x14ac:dyDescent="0.2">
      <c r="E1515" s="155"/>
    </row>
    <row r="1516" spans="5:5" ht="15" customHeight="1" x14ac:dyDescent="0.2">
      <c r="E1516" s="155"/>
    </row>
    <row r="1517" spans="5:5" ht="15" customHeight="1" x14ac:dyDescent="0.2">
      <c r="E1517" s="155"/>
    </row>
    <row r="1518" spans="5:5" ht="15" customHeight="1" x14ac:dyDescent="0.2">
      <c r="E1518" s="155"/>
    </row>
    <row r="1519" spans="5:5" ht="15" customHeight="1" x14ac:dyDescent="0.2">
      <c r="E1519" s="155"/>
    </row>
    <row r="1520" spans="5:5" ht="15" customHeight="1" x14ac:dyDescent="0.2">
      <c r="E1520" s="155"/>
    </row>
    <row r="1521" spans="5:5" ht="15" customHeight="1" x14ac:dyDescent="0.2">
      <c r="E1521" s="155"/>
    </row>
    <row r="1522" spans="5:5" ht="15" customHeight="1" x14ac:dyDescent="0.2">
      <c r="E1522" s="155"/>
    </row>
    <row r="1523" spans="5:5" ht="15" customHeight="1" x14ac:dyDescent="0.2">
      <c r="E1523" s="155"/>
    </row>
    <row r="1524" spans="5:5" ht="15" customHeight="1" x14ac:dyDescent="0.2">
      <c r="E1524" s="155"/>
    </row>
    <row r="1525" spans="5:5" ht="15" customHeight="1" x14ac:dyDescent="0.2">
      <c r="E1525" s="155"/>
    </row>
    <row r="1526" spans="5:5" ht="15" customHeight="1" x14ac:dyDescent="0.2">
      <c r="E1526" s="155"/>
    </row>
    <row r="1527" spans="5:5" ht="15" customHeight="1" x14ac:dyDescent="0.2">
      <c r="E1527" s="155"/>
    </row>
    <row r="1528" spans="5:5" ht="15" customHeight="1" x14ac:dyDescent="0.2">
      <c r="E1528" s="155"/>
    </row>
    <row r="1529" spans="5:5" ht="15" customHeight="1" x14ac:dyDescent="0.2">
      <c r="E1529" s="155"/>
    </row>
    <row r="1530" spans="5:5" ht="15" customHeight="1" x14ac:dyDescent="0.2">
      <c r="E1530" s="155"/>
    </row>
    <row r="1531" spans="5:5" ht="15" customHeight="1" x14ac:dyDescent="0.2">
      <c r="E1531" s="155"/>
    </row>
    <row r="1532" spans="5:5" ht="15" customHeight="1" x14ac:dyDescent="0.2">
      <c r="E1532" s="155"/>
    </row>
    <row r="1533" spans="5:5" ht="15" customHeight="1" x14ac:dyDescent="0.2">
      <c r="E1533" s="155"/>
    </row>
    <row r="1534" spans="5:5" ht="15" customHeight="1" x14ac:dyDescent="0.2">
      <c r="E1534" s="155"/>
    </row>
    <row r="1535" spans="5:5" ht="15" customHeight="1" x14ac:dyDescent="0.2">
      <c r="E1535" s="155"/>
    </row>
    <row r="1536" spans="5:5" ht="15" customHeight="1" x14ac:dyDescent="0.2">
      <c r="E1536" s="155"/>
    </row>
    <row r="1537" spans="5:5" ht="15" customHeight="1" x14ac:dyDescent="0.2">
      <c r="E1537" s="155"/>
    </row>
    <row r="1538" spans="5:5" ht="15" customHeight="1" x14ac:dyDescent="0.2">
      <c r="E1538" s="155"/>
    </row>
    <row r="1539" spans="5:5" ht="15" customHeight="1" x14ac:dyDescent="0.2">
      <c r="E1539" s="155"/>
    </row>
    <row r="1540" spans="5:5" ht="15" customHeight="1" x14ac:dyDescent="0.2">
      <c r="E1540" s="155"/>
    </row>
    <row r="1541" spans="5:5" ht="15" customHeight="1" x14ac:dyDescent="0.2">
      <c r="E1541" s="155"/>
    </row>
    <row r="1542" spans="5:5" ht="15" customHeight="1" x14ac:dyDescent="0.2">
      <c r="E1542" s="155"/>
    </row>
    <row r="1543" spans="5:5" ht="15" customHeight="1" x14ac:dyDescent="0.2">
      <c r="E1543" s="155"/>
    </row>
    <row r="1544" spans="5:5" ht="15" customHeight="1" x14ac:dyDescent="0.2">
      <c r="E1544" s="155"/>
    </row>
    <row r="1545" spans="5:5" ht="15" customHeight="1" x14ac:dyDescent="0.2">
      <c r="E1545" s="155"/>
    </row>
    <row r="1546" spans="5:5" ht="15" customHeight="1" x14ac:dyDescent="0.2">
      <c r="E1546" s="155"/>
    </row>
    <row r="1547" spans="5:5" ht="15" customHeight="1" x14ac:dyDescent="0.2">
      <c r="E1547" s="155"/>
    </row>
    <row r="1548" spans="5:5" ht="15" customHeight="1" x14ac:dyDescent="0.2">
      <c r="E1548" s="155"/>
    </row>
    <row r="1549" spans="5:5" ht="15" customHeight="1" x14ac:dyDescent="0.2">
      <c r="E1549" s="155"/>
    </row>
    <row r="1550" spans="5:5" ht="15" customHeight="1" x14ac:dyDescent="0.2">
      <c r="E1550" s="155"/>
    </row>
    <row r="1551" spans="5:5" ht="15" customHeight="1" x14ac:dyDescent="0.2">
      <c r="E1551" s="155"/>
    </row>
    <row r="1552" spans="5:5" ht="15" customHeight="1" x14ac:dyDescent="0.2">
      <c r="E1552" s="155"/>
    </row>
    <row r="1553" spans="5:5" ht="15" customHeight="1" x14ac:dyDescent="0.2">
      <c r="E1553" s="155"/>
    </row>
    <row r="1554" spans="5:5" ht="15" customHeight="1" x14ac:dyDescent="0.2">
      <c r="E1554" s="155"/>
    </row>
    <row r="1555" spans="5:5" ht="15" customHeight="1" x14ac:dyDescent="0.2">
      <c r="E1555" s="155"/>
    </row>
    <row r="1556" spans="5:5" ht="15" customHeight="1" x14ac:dyDescent="0.2">
      <c r="E1556" s="155"/>
    </row>
    <row r="1557" spans="5:5" ht="15" customHeight="1" x14ac:dyDescent="0.2">
      <c r="E1557" s="155"/>
    </row>
    <row r="1558" spans="5:5" ht="15" customHeight="1" x14ac:dyDescent="0.2">
      <c r="E1558" s="155"/>
    </row>
    <row r="1559" spans="5:5" ht="15" customHeight="1" x14ac:dyDescent="0.2">
      <c r="E1559" s="155"/>
    </row>
    <row r="1560" spans="5:5" ht="15" customHeight="1" x14ac:dyDescent="0.2">
      <c r="E1560" s="155"/>
    </row>
    <row r="1561" spans="5:5" ht="15" customHeight="1" x14ac:dyDescent="0.2">
      <c r="E1561" s="155"/>
    </row>
    <row r="1562" spans="5:5" ht="15" customHeight="1" x14ac:dyDescent="0.2">
      <c r="E1562" s="155"/>
    </row>
    <row r="1563" spans="5:5" ht="15" customHeight="1" x14ac:dyDescent="0.2">
      <c r="E1563" s="155"/>
    </row>
    <row r="1564" spans="5:5" ht="15" customHeight="1" x14ac:dyDescent="0.2">
      <c r="E1564" s="155"/>
    </row>
    <row r="1565" spans="5:5" ht="15" customHeight="1" x14ac:dyDescent="0.2">
      <c r="E1565" s="155"/>
    </row>
    <row r="1566" spans="5:5" ht="15" customHeight="1" x14ac:dyDescent="0.2">
      <c r="E1566" s="155"/>
    </row>
    <row r="1567" spans="5:5" ht="15" customHeight="1" x14ac:dyDescent="0.2">
      <c r="E1567" s="155"/>
    </row>
    <row r="1568" spans="5:5" ht="15" customHeight="1" x14ac:dyDescent="0.2">
      <c r="E1568" s="155"/>
    </row>
    <row r="1569" spans="5:5" ht="15" customHeight="1" x14ac:dyDescent="0.2">
      <c r="E1569" s="155"/>
    </row>
    <row r="1570" spans="5:5" ht="15" customHeight="1" x14ac:dyDescent="0.2">
      <c r="E1570" s="155"/>
    </row>
    <row r="1571" spans="5:5" ht="15" customHeight="1" x14ac:dyDescent="0.2">
      <c r="E1571" s="155"/>
    </row>
    <row r="1572" spans="5:5" ht="15" customHeight="1" x14ac:dyDescent="0.2">
      <c r="E1572" s="155"/>
    </row>
    <row r="1573" spans="5:5" ht="15" customHeight="1" x14ac:dyDescent="0.2">
      <c r="E1573" s="155"/>
    </row>
    <row r="1574" spans="5:5" ht="15" customHeight="1" x14ac:dyDescent="0.2">
      <c r="E1574" s="155"/>
    </row>
    <row r="1575" spans="5:5" ht="15" customHeight="1" x14ac:dyDescent="0.2">
      <c r="E1575" s="155"/>
    </row>
    <row r="1576" spans="5:5" ht="15" customHeight="1" x14ac:dyDescent="0.2">
      <c r="E1576" s="155"/>
    </row>
    <row r="1577" spans="5:5" ht="15" customHeight="1" x14ac:dyDescent="0.2">
      <c r="E1577" s="155"/>
    </row>
    <row r="1578" spans="5:5" ht="15" customHeight="1" x14ac:dyDescent="0.2">
      <c r="E1578" s="155"/>
    </row>
    <row r="1579" spans="5:5" ht="15" customHeight="1" x14ac:dyDescent="0.2">
      <c r="E1579" s="155"/>
    </row>
    <row r="1580" spans="5:5" ht="15" customHeight="1" x14ac:dyDescent="0.2">
      <c r="E1580" s="155"/>
    </row>
    <row r="1581" spans="5:5" ht="15" customHeight="1" x14ac:dyDescent="0.2">
      <c r="E1581" s="155"/>
    </row>
    <row r="1582" spans="5:5" ht="15" customHeight="1" x14ac:dyDescent="0.2">
      <c r="E1582" s="155"/>
    </row>
    <row r="1583" spans="5:5" ht="15" customHeight="1" x14ac:dyDescent="0.2">
      <c r="E1583" s="155"/>
    </row>
    <row r="1584" spans="5:5" ht="15" customHeight="1" x14ac:dyDescent="0.2">
      <c r="E1584" s="155"/>
    </row>
    <row r="1585" spans="5:5" ht="15" customHeight="1" x14ac:dyDescent="0.2">
      <c r="E1585" s="155"/>
    </row>
    <row r="1586" spans="5:5" ht="15" customHeight="1" x14ac:dyDescent="0.2">
      <c r="E1586" s="155"/>
    </row>
    <row r="1587" spans="5:5" ht="15" customHeight="1" x14ac:dyDescent="0.2">
      <c r="E1587" s="155"/>
    </row>
    <row r="1588" spans="5:5" ht="15" customHeight="1" x14ac:dyDescent="0.2">
      <c r="E1588" s="155"/>
    </row>
    <row r="1589" spans="5:5" ht="15" customHeight="1" x14ac:dyDescent="0.2">
      <c r="E1589" s="155"/>
    </row>
    <row r="1590" spans="5:5" ht="15" customHeight="1" x14ac:dyDescent="0.2">
      <c r="E1590" s="155"/>
    </row>
    <row r="1591" spans="5:5" ht="15" customHeight="1" x14ac:dyDescent="0.2">
      <c r="E1591" s="155"/>
    </row>
    <row r="1592" spans="5:5" ht="15" customHeight="1" x14ac:dyDescent="0.2">
      <c r="E1592" s="155"/>
    </row>
    <row r="1593" spans="5:5" ht="15" customHeight="1" x14ac:dyDescent="0.2">
      <c r="E1593" s="155"/>
    </row>
    <row r="1594" spans="5:5" ht="15" customHeight="1" x14ac:dyDescent="0.2">
      <c r="E1594" s="155"/>
    </row>
    <row r="1595" spans="5:5" ht="15" customHeight="1" x14ac:dyDescent="0.2">
      <c r="E1595" s="155"/>
    </row>
    <row r="1596" spans="5:5" ht="15" customHeight="1" x14ac:dyDescent="0.2">
      <c r="E1596" s="155"/>
    </row>
    <row r="1597" spans="5:5" ht="15" customHeight="1" x14ac:dyDescent="0.2">
      <c r="E1597" s="155"/>
    </row>
    <row r="1598" spans="5:5" ht="15" customHeight="1" x14ac:dyDescent="0.2">
      <c r="E1598" s="155"/>
    </row>
    <row r="1599" spans="5:5" ht="15" customHeight="1" x14ac:dyDescent="0.2">
      <c r="E1599" s="155"/>
    </row>
    <row r="1600" spans="5:5" ht="15" customHeight="1" x14ac:dyDescent="0.2">
      <c r="E1600" s="155"/>
    </row>
    <row r="1601" spans="5:5" ht="15" customHeight="1" x14ac:dyDescent="0.2">
      <c r="E1601" s="155"/>
    </row>
    <row r="1602" spans="5:5" ht="15" customHeight="1" x14ac:dyDescent="0.2">
      <c r="E1602" s="155"/>
    </row>
    <row r="1603" spans="5:5" ht="15" customHeight="1" x14ac:dyDescent="0.2">
      <c r="E1603" s="155"/>
    </row>
    <row r="1604" spans="5:5" ht="15" customHeight="1" x14ac:dyDescent="0.2">
      <c r="E1604" s="155"/>
    </row>
    <row r="1605" spans="5:5" ht="15" customHeight="1" x14ac:dyDescent="0.2">
      <c r="E1605" s="155"/>
    </row>
    <row r="1606" spans="5:5" ht="15" customHeight="1" x14ac:dyDescent="0.2">
      <c r="E1606" s="155"/>
    </row>
    <row r="1607" spans="5:5" ht="15" customHeight="1" x14ac:dyDescent="0.2">
      <c r="E1607" s="155"/>
    </row>
    <row r="1608" spans="5:5" ht="15" customHeight="1" x14ac:dyDescent="0.2">
      <c r="E1608" s="155"/>
    </row>
    <row r="1609" spans="5:5" ht="15" customHeight="1" x14ac:dyDescent="0.2">
      <c r="E1609" s="155"/>
    </row>
    <row r="1610" spans="5:5" ht="15" customHeight="1" x14ac:dyDescent="0.2">
      <c r="E1610" s="155"/>
    </row>
    <row r="1611" spans="5:5" ht="15" customHeight="1" x14ac:dyDescent="0.2">
      <c r="E1611" s="155"/>
    </row>
    <row r="1612" spans="5:5" ht="15" customHeight="1" x14ac:dyDescent="0.2">
      <c r="E1612" s="155"/>
    </row>
    <row r="1613" spans="5:5" ht="15" customHeight="1" x14ac:dyDescent="0.2">
      <c r="E1613" s="155"/>
    </row>
    <row r="1614" spans="5:5" ht="15" customHeight="1" x14ac:dyDescent="0.2">
      <c r="E1614" s="155"/>
    </row>
    <row r="1615" spans="5:5" ht="15" customHeight="1" x14ac:dyDescent="0.2">
      <c r="E1615" s="155"/>
    </row>
    <row r="1616" spans="5:5" ht="15" customHeight="1" x14ac:dyDescent="0.2">
      <c r="E1616" s="155"/>
    </row>
    <row r="1617" spans="5:5" ht="15" customHeight="1" x14ac:dyDescent="0.2">
      <c r="E1617" s="155"/>
    </row>
    <row r="1618" spans="5:5" ht="15" customHeight="1" x14ac:dyDescent="0.2">
      <c r="E1618" s="155"/>
    </row>
    <row r="1619" spans="5:5" ht="15" customHeight="1" x14ac:dyDescent="0.2">
      <c r="E1619" s="155"/>
    </row>
  </sheetData>
  <autoFilter ref="A1:U349">
    <filterColumn colId="14">
      <filters>
        <filter val="10,000"/>
        <filter val="11,000"/>
        <filter val="11,200"/>
        <filter val="2,250"/>
        <filter val="4,000"/>
        <filter val="5,500"/>
        <filter val="6,000"/>
        <filter val="78,450"/>
      </filters>
    </filterColumn>
  </autoFilter>
  <phoneticPr fontId="8" type="noConversion"/>
  <conditionalFormatting sqref="B2:B8">
    <cfRule type="duplicateValues" dxfId="35" priority="27"/>
  </conditionalFormatting>
  <conditionalFormatting sqref="B9:B24">
    <cfRule type="duplicateValues" dxfId="34" priority="26"/>
  </conditionalFormatting>
  <conditionalFormatting sqref="B25:B34">
    <cfRule type="duplicateValues" dxfId="33" priority="25"/>
  </conditionalFormatting>
  <conditionalFormatting sqref="B35:B49">
    <cfRule type="duplicateValues" dxfId="32" priority="24"/>
  </conditionalFormatting>
  <conditionalFormatting sqref="B50:B62">
    <cfRule type="duplicateValues" dxfId="31" priority="20"/>
    <cfRule type="duplicateValues" dxfId="30" priority="29"/>
  </conditionalFormatting>
  <conditionalFormatting sqref="B63:B79">
    <cfRule type="duplicateValues" dxfId="29" priority="37"/>
  </conditionalFormatting>
  <conditionalFormatting sqref="B80:B94">
    <cfRule type="duplicateValues" dxfId="28" priority="38"/>
  </conditionalFormatting>
  <conditionalFormatting sqref="B106:B122">
    <cfRule type="duplicateValues" dxfId="27" priority="14"/>
  </conditionalFormatting>
  <conditionalFormatting sqref="B123:B137">
    <cfRule type="duplicateValues" dxfId="26" priority="46"/>
  </conditionalFormatting>
  <conditionalFormatting sqref="B138:B150">
    <cfRule type="duplicateValues" dxfId="25" priority="16"/>
  </conditionalFormatting>
  <conditionalFormatting sqref="B151:B160">
    <cfRule type="duplicateValues" dxfId="24" priority="17"/>
  </conditionalFormatting>
  <conditionalFormatting sqref="B161:B174">
    <cfRule type="duplicateValues" dxfId="23" priority="18"/>
  </conditionalFormatting>
  <conditionalFormatting sqref="B175:B191 B209:B212">
    <cfRule type="duplicateValues" dxfId="22" priority="49"/>
  </conditionalFormatting>
  <conditionalFormatting sqref="B239:B250">
    <cfRule type="duplicateValues" dxfId="21" priority="13"/>
  </conditionalFormatting>
  <conditionalFormatting sqref="B250:B263">
    <cfRule type="duplicateValues" dxfId="20" priority="55"/>
  </conditionalFormatting>
  <conditionalFormatting sqref="B265:B266">
    <cfRule type="duplicateValues" dxfId="19" priority="54"/>
  </conditionalFormatting>
  <conditionalFormatting sqref="B267:B278">
    <cfRule type="duplicateValues" dxfId="18" priority="10"/>
  </conditionalFormatting>
  <conditionalFormatting sqref="B279:B293">
    <cfRule type="duplicateValues" dxfId="17" priority="52"/>
  </conditionalFormatting>
  <conditionalFormatting sqref="B294:B302">
    <cfRule type="duplicateValues" dxfId="16" priority="51"/>
  </conditionalFormatting>
  <conditionalFormatting sqref="B313:B325">
    <cfRule type="duplicateValues" dxfId="15" priority="61"/>
  </conditionalFormatting>
  <conditionalFormatting sqref="B327:B334">
    <cfRule type="duplicateValues" dxfId="14" priority="60"/>
  </conditionalFormatting>
  <conditionalFormatting sqref="B337:B345">
    <cfRule type="duplicateValues" dxfId="13" priority="59"/>
  </conditionalFormatting>
  <conditionalFormatting sqref="O373">
    <cfRule type="duplicateValues" dxfId="12" priority="1"/>
  </conditionalFormatting>
  <conditionalFormatting sqref="O373">
    <cfRule type="duplicateValues" dxfId="11" priority="4"/>
  </conditionalFormatting>
  <conditionalFormatting sqref="O373">
    <cfRule type="duplicateValues" dxfId="10" priority="2"/>
    <cfRule type="duplicateValues" dxfId="9" priority="3"/>
  </conditionalFormatting>
  <pageMargins left="0.7" right="0.7" top="0.75" bottom="0.75" header="0" footer="0"/>
  <pageSetup scale="25" fitToHeight="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>
    <pageSetUpPr fitToPage="1"/>
  </sheetPr>
  <dimension ref="A1:L1446"/>
  <sheetViews>
    <sheetView zoomScaleNormal="100" workbookViewId="0">
      <selection activeCell="C1448" sqref="C1448"/>
    </sheetView>
  </sheetViews>
  <sheetFormatPr defaultColWidth="10" defaultRowHeight="15" x14ac:dyDescent="0.25"/>
  <cols>
    <col min="1" max="1" width="5.42578125" style="166" bestFit="1" customWidth="1"/>
    <col min="2" max="2" width="13.28515625" style="173" customWidth="1"/>
    <col min="3" max="3" width="41.7109375" style="173" bestFit="1" customWidth="1"/>
    <col min="4" max="4" width="10.140625" style="172" bestFit="1" customWidth="1"/>
    <col min="5" max="5" width="5.85546875" style="176" bestFit="1" customWidth="1"/>
    <col min="6" max="6" width="50.42578125" style="173" bestFit="1" customWidth="1"/>
    <col min="7" max="8" width="11.5703125" style="169" customWidth="1"/>
    <col min="9" max="9" width="11.5703125" customWidth="1"/>
    <col min="10" max="10" width="16.140625" style="166" bestFit="1" customWidth="1"/>
    <col min="11" max="11" width="16.28515625" style="166" bestFit="1" customWidth="1"/>
    <col min="12" max="12" width="5.85546875" style="166" bestFit="1" customWidth="1"/>
    <col min="13" max="17" width="9.140625" style="166" bestFit="1" customWidth="1"/>
    <col min="18" max="18" width="10.140625" style="166" bestFit="1" customWidth="1"/>
    <col min="19" max="19" width="7.28515625" style="166" bestFit="1" customWidth="1"/>
    <col min="20" max="20" width="11.28515625" style="166" bestFit="1" customWidth="1"/>
    <col min="21" max="23" width="3.28515625" style="166" bestFit="1" customWidth="1"/>
    <col min="24" max="24" width="5.140625" style="166" bestFit="1" customWidth="1"/>
    <col min="25" max="25" width="7.28515625" style="166" bestFit="1" customWidth="1"/>
    <col min="26" max="26" width="11.28515625" style="166" bestFit="1" customWidth="1"/>
    <col min="27" max="33" width="4.28515625" style="166" bestFit="1" customWidth="1"/>
    <col min="34" max="39" width="5.28515625" style="166" bestFit="1" customWidth="1"/>
    <col min="40" max="40" width="7" style="166" bestFit="1" customWidth="1"/>
    <col min="41" max="48" width="4.28515625" style="166" bestFit="1" customWidth="1"/>
    <col min="49" max="63" width="5.28515625" style="166" bestFit="1" customWidth="1"/>
    <col min="64" max="64" width="7" style="166" bestFit="1" customWidth="1"/>
    <col min="65" max="71" width="4.28515625" style="166" bestFit="1" customWidth="1"/>
    <col min="72" max="73" width="5.28515625" style="166" bestFit="1" customWidth="1"/>
    <col min="74" max="74" width="7" style="166" bestFit="1" customWidth="1"/>
    <col min="75" max="80" width="4.28515625" style="166" bestFit="1" customWidth="1"/>
    <col min="81" max="86" width="5.28515625" style="166" bestFit="1" customWidth="1"/>
    <col min="87" max="87" width="7" style="166" bestFit="1" customWidth="1"/>
    <col min="88" max="90" width="4.28515625" style="166" bestFit="1" customWidth="1"/>
    <col min="91" max="92" width="5.28515625" style="166" bestFit="1" customWidth="1"/>
    <col min="93" max="93" width="7" style="166" bestFit="1" customWidth="1"/>
    <col min="94" max="94" width="4.28515625" style="166" bestFit="1" customWidth="1"/>
    <col min="95" max="96" width="5.28515625" style="166" bestFit="1" customWidth="1"/>
    <col min="97" max="97" width="7" style="166" bestFit="1" customWidth="1"/>
    <col min="98" max="98" width="4.28515625" style="166" bestFit="1" customWidth="1"/>
    <col min="99" max="99" width="5.28515625" style="166" bestFit="1" customWidth="1"/>
    <col min="100" max="100" width="6.28515625" style="166" bestFit="1" customWidth="1"/>
    <col min="101" max="101" width="7" style="166" bestFit="1" customWidth="1"/>
    <col min="102" max="103" width="5.28515625" style="166" bestFit="1" customWidth="1"/>
    <col min="104" max="104" width="8" style="166" bestFit="1" customWidth="1"/>
    <col min="105" max="105" width="5.28515625" style="166" bestFit="1" customWidth="1"/>
    <col min="106" max="106" width="8" style="166" bestFit="1" customWidth="1"/>
    <col min="107" max="107" width="5.28515625" style="166" bestFit="1" customWidth="1"/>
    <col min="108" max="108" width="8" style="166" bestFit="1" customWidth="1"/>
    <col min="109" max="109" width="5.28515625" style="166" bestFit="1" customWidth="1"/>
    <col min="110" max="110" width="8" style="166" bestFit="1" customWidth="1"/>
    <col min="111" max="111" width="6.28515625" style="166" bestFit="1" customWidth="1"/>
    <col min="112" max="112" width="8" style="166" bestFit="1" customWidth="1"/>
    <col min="113" max="113" width="5.28515625" style="166" bestFit="1" customWidth="1"/>
    <col min="114" max="114" width="8" style="166" bestFit="1" customWidth="1"/>
    <col min="115" max="115" width="9.42578125" style="166" bestFit="1" customWidth="1"/>
    <col min="116" max="116" width="10" style="166"/>
    <col min="117" max="117" width="9.140625" style="166" bestFit="1" customWidth="1"/>
    <col min="118" max="118" width="7.28515625" style="166" bestFit="1" customWidth="1"/>
    <col min="119" max="119" width="12.140625" style="166" bestFit="1" customWidth="1"/>
    <col min="120" max="120" width="11.28515625" style="166" bestFit="1" customWidth="1"/>
    <col min="121" max="16384" width="10" style="166"/>
  </cols>
  <sheetData>
    <row r="1" spans="1:9" s="164" customFormat="1" ht="25.5" x14ac:dyDescent="0.25">
      <c r="A1" s="184" t="s">
        <v>696</v>
      </c>
      <c r="B1" s="184" t="s">
        <v>435</v>
      </c>
      <c r="C1" s="170" t="s">
        <v>372</v>
      </c>
      <c r="D1" s="170" t="s">
        <v>436</v>
      </c>
      <c r="E1" s="174" t="s">
        <v>437</v>
      </c>
      <c r="F1" s="170" t="s">
        <v>438</v>
      </c>
      <c r="G1" s="171" t="s">
        <v>414</v>
      </c>
      <c r="H1" s="333" t="s">
        <v>1233</v>
      </c>
      <c r="I1" s="338" t="s">
        <v>1089</v>
      </c>
    </row>
    <row r="2" spans="1:9" ht="12.75" hidden="1" x14ac:dyDescent="0.25">
      <c r="A2" s="167">
        <f>IF(D2&lt;&gt;"", ROW()-1, "")</f>
        <v>1</v>
      </c>
      <c r="B2" s="168" t="s">
        <v>1053</v>
      </c>
      <c r="C2" s="168" t="str">
        <f>VLOOKUP(B2,MEMBERS!B:C,2, )</f>
        <v>MR. ZAMIR ALI SHAH</v>
      </c>
      <c r="D2" s="188">
        <v>45992</v>
      </c>
      <c r="E2" s="175">
        <v>8</v>
      </c>
      <c r="F2" s="168" t="s">
        <v>899</v>
      </c>
      <c r="G2" s="165">
        <f>IFERROR(VLOOKUP(F2,'menu list'!B:C,2,FALSE)*E2,"0")</f>
        <v>1600</v>
      </c>
      <c r="H2" s="334">
        <f>G2*15/100</f>
        <v>240</v>
      </c>
      <c r="I2" s="165">
        <f>G2+H2</f>
        <v>1840</v>
      </c>
    </row>
    <row r="3" spans="1:9" ht="12.75" hidden="1" x14ac:dyDescent="0.25">
      <c r="A3" s="167">
        <f t="shared" ref="A3:A27" si="0">IF(D3&lt;&gt;"", ROW()-1, "")</f>
        <v>2</v>
      </c>
      <c r="B3" s="168" t="s">
        <v>1053</v>
      </c>
      <c r="C3" s="168" t="str">
        <f>VLOOKUP(B3,MEMBERS!B:C,2, )</f>
        <v>MR. ZAMIR ALI SHAH</v>
      </c>
      <c r="D3" s="188">
        <v>45992</v>
      </c>
      <c r="E3" s="175">
        <v>4</v>
      </c>
      <c r="F3" s="168" t="s">
        <v>1012</v>
      </c>
      <c r="G3" s="165">
        <f>IFERROR(VLOOKUP(F3,'menu list'!B:C,2,FALSE)*E3,"0")</f>
        <v>4000</v>
      </c>
      <c r="H3" s="334">
        <f t="shared" ref="H3:H66" si="1">G3*15/100</f>
        <v>600</v>
      </c>
      <c r="I3" s="165">
        <f t="shared" ref="I3:I66" si="2">G3+H3</f>
        <v>4600</v>
      </c>
    </row>
    <row r="4" spans="1:9" ht="12.75" hidden="1" x14ac:dyDescent="0.25">
      <c r="A4" s="167">
        <f t="shared" si="0"/>
        <v>3</v>
      </c>
      <c r="B4" s="168" t="s">
        <v>1053</v>
      </c>
      <c r="C4" s="168" t="str">
        <f>VLOOKUP(B4,MEMBERS!B:C,2, )</f>
        <v>MR. ZAMIR ALI SHAH</v>
      </c>
      <c r="D4" s="188">
        <v>45992</v>
      </c>
      <c r="E4" s="175">
        <v>1</v>
      </c>
      <c r="F4" s="168" t="s">
        <v>997</v>
      </c>
      <c r="G4" s="165">
        <f>IFERROR(VLOOKUP(F4,'menu list'!B:C,2,FALSE)*E4,"0")</f>
        <v>2000</v>
      </c>
      <c r="H4" s="334">
        <f t="shared" si="1"/>
        <v>300</v>
      </c>
      <c r="I4" s="165">
        <f t="shared" si="2"/>
        <v>2300</v>
      </c>
    </row>
    <row r="5" spans="1:9" ht="12.75" hidden="1" x14ac:dyDescent="0.25">
      <c r="A5" s="167">
        <f t="shared" si="0"/>
        <v>4</v>
      </c>
      <c r="B5" s="168" t="s">
        <v>1053</v>
      </c>
      <c r="C5" s="168" t="str">
        <f>VLOOKUP(B5,MEMBERS!B:C,2, )</f>
        <v>MR. ZAMIR ALI SHAH</v>
      </c>
      <c r="D5" s="188">
        <v>45992</v>
      </c>
      <c r="E5" s="175">
        <v>1</v>
      </c>
      <c r="F5" s="168" t="s">
        <v>828</v>
      </c>
      <c r="G5" s="165">
        <f>IFERROR(VLOOKUP(F5,'menu list'!B:C,2,FALSE)*E5,"0")</f>
        <v>850</v>
      </c>
      <c r="H5" s="334">
        <f t="shared" si="1"/>
        <v>127.5</v>
      </c>
      <c r="I5" s="165">
        <f t="shared" si="2"/>
        <v>977.5</v>
      </c>
    </row>
    <row r="6" spans="1:9" ht="12.75" hidden="1" x14ac:dyDescent="0.25">
      <c r="A6" s="167">
        <f t="shared" si="0"/>
        <v>5</v>
      </c>
      <c r="B6" s="168" t="s">
        <v>1053</v>
      </c>
      <c r="C6" s="168" t="str">
        <f>VLOOKUP(B6,MEMBERS!B:C,2, )</f>
        <v>MR. ZAMIR ALI SHAH</v>
      </c>
      <c r="D6" s="188">
        <v>45992</v>
      </c>
      <c r="E6" s="175">
        <v>1</v>
      </c>
      <c r="F6" s="168" t="s">
        <v>740</v>
      </c>
      <c r="G6" s="165">
        <f>IFERROR(VLOOKUP(F6,'menu list'!B:C,2,FALSE)*E6,"0")</f>
        <v>1800</v>
      </c>
      <c r="H6" s="334">
        <f t="shared" si="1"/>
        <v>270</v>
      </c>
      <c r="I6" s="165">
        <f t="shared" si="2"/>
        <v>2070</v>
      </c>
    </row>
    <row r="7" spans="1:9" ht="12.75" hidden="1" x14ac:dyDescent="0.25">
      <c r="A7" s="167">
        <f t="shared" si="0"/>
        <v>6</v>
      </c>
      <c r="B7" s="168" t="s">
        <v>1053</v>
      </c>
      <c r="C7" s="168" t="str">
        <f>VLOOKUP(B7,MEMBERS!B:C,2, )</f>
        <v>MR. ZAMIR ALI SHAH</v>
      </c>
      <c r="D7" s="188">
        <v>45992</v>
      </c>
      <c r="E7" s="175">
        <v>1</v>
      </c>
      <c r="F7" s="168" t="s">
        <v>559</v>
      </c>
      <c r="G7" s="165">
        <f>IFERROR(VLOOKUP(F7,'menu list'!B:C,2,FALSE)*E7,"0")</f>
        <v>999</v>
      </c>
      <c r="H7" s="334">
        <f t="shared" si="1"/>
        <v>149.85</v>
      </c>
      <c r="I7" s="165">
        <f t="shared" si="2"/>
        <v>1148.8499999999999</v>
      </c>
    </row>
    <row r="8" spans="1:9" ht="12.75" hidden="1" x14ac:dyDescent="0.25">
      <c r="A8" s="167">
        <f t="shared" si="0"/>
        <v>7</v>
      </c>
      <c r="B8" s="168" t="s">
        <v>1053</v>
      </c>
      <c r="C8" s="168" t="str">
        <f>VLOOKUP(B8,MEMBERS!B:C,2, )</f>
        <v>MR. ZAMIR ALI SHAH</v>
      </c>
      <c r="D8" s="188">
        <v>45992</v>
      </c>
      <c r="E8" s="175">
        <v>1</v>
      </c>
      <c r="F8" s="168" t="s">
        <v>441</v>
      </c>
      <c r="G8" s="165">
        <f>IFERROR(VLOOKUP(F8,'menu list'!B:C,2,FALSE)*E8,"0")</f>
        <v>200</v>
      </c>
      <c r="H8" s="334">
        <f t="shared" si="1"/>
        <v>30</v>
      </c>
      <c r="I8" s="165">
        <f t="shared" si="2"/>
        <v>230</v>
      </c>
    </row>
    <row r="9" spans="1:9" ht="12.75" hidden="1" x14ac:dyDescent="0.25">
      <c r="A9" s="167">
        <f t="shared" si="0"/>
        <v>8</v>
      </c>
      <c r="B9" s="168" t="s">
        <v>1053</v>
      </c>
      <c r="C9" s="168" t="str">
        <f>VLOOKUP(B9,MEMBERS!B:C,2, )</f>
        <v>MR. ZAMIR ALI SHAH</v>
      </c>
      <c r="D9" s="188">
        <v>45992</v>
      </c>
      <c r="E9" s="175">
        <v>1</v>
      </c>
      <c r="F9" s="168" t="s">
        <v>793</v>
      </c>
      <c r="G9" s="165">
        <f>IFERROR(VLOOKUP(F9,'menu list'!B:C,2,FALSE)*E9,"0")</f>
        <v>800</v>
      </c>
      <c r="H9" s="334">
        <f t="shared" si="1"/>
        <v>120</v>
      </c>
      <c r="I9" s="165">
        <f t="shared" si="2"/>
        <v>920</v>
      </c>
    </row>
    <row r="10" spans="1:9" ht="12.75" hidden="1" x14ac:dyDescent="0.25">
      <c r="A10" s="167">
        <f t="shared" si="0"/>
        <v>9</v>
      </c>
      <c r="B10" s="168" t="s">
        <v>1053</v>
      </c>
      <c r="C10" s="168" t="str">
        <f>VLOOKUP(B10,MEMBERS!B:C,2, )</f>
        <v>MR. ZAMIR ALI SHAH</v>
      </c>
      <c r="D10" s="188">
        <v>45992</v>
      </c>
      <c r="E10" s="175">
        <v>1</v>
      </c>
      <c r="F10" s="168" t="s">
        <v>440</v>
      </c>
      <c r="G10" s="165">
        <f>IFERROR(VLOOKUP(F10,'menu list'!B:C,2,FALSE)*E10,"0")</f>
        <v>150</v>
      </c>
      <c r="H10" s="334">
        <f t="shared" si="1"/>
        <v>22.5</v>
      </c>
      <c r="I10" s="165">
        <f t="shared" si="2"/>
        <v>172.5</v>
      </c>
    </row>
    <row r="11" spans="1:9" ht="12.75" hidden="1" x14ac:dyDescent="0.25">
      <c r="A11" s="167">
        <f t="shared" si="0"/>
        <v>10</v>
      </c>
      <c r="B11" s="168" t="s">
        <v>15</v>
      </c>
      <c r="C11" s="168" t="str">
        <f>VLOOKUP(B11,MEMBERS!B:C,2, )</f>
        <v>MR.GHULAM NABI OTHI</v>
      </c>
      <c r="D11" s="188">
        <v>45992</v>
      </c>
      <c r="E11" s="175">
        <v>1</v>
      </c>
      <c r="F11" s="168" t="s">
        <v>902</v>
      </c>
      <c r="G11" s="165">
        <f>IFERROR(VLOOKUP(F11,'menu list'!B:C,2,FALSE)*E11,"0")</f>
        <v>500</v>
      </c>
      <c r="H11" s="334">
        <f t="shared" si="1"/>
        <v>75</v>
      </c>
      <c r="I11" s="165">
        <f t="shared" si="2"/>
        <v>575</v>
      </c>
    </row>
    <row r="12" spans="1:9" ht="12.75" hidden="1" x14ac:dyDescent="0.25">
      <c r="A12" s="167">
        <f t="shared" ref="A12:A14" si="3">IF(D12&lt;&gt;"", ROW()-1, "")</f>
        <v>11</v>
      </c>
      <c r="B12" s="168" t="s">
        <v>15</v>
      </c>
      <c r="C12" s="168" t="str">
        <f>VLOOKUP(B12,MEMBERS!B:C,2, )</f>
        <v>MR.GHULAM NABI OTHI</v>
      </c>
      <c r="D12" s="188">
        <v>45992</v>
      </c>
      <c r="E12" s="175">
        <v>1</v>
      </c>
      <c r="F12" s="168" t="s">
        <v>664</v>
      </c>
      <c r="G12" s="165">
        <f>IFERROR(VLOOKUP(F12,'menu list'!B:C,2,FALSE)*E12,"0")</f>
        <v>400</v>
      </c>
      <c r="H12" s="334">
        <f t="shared" si="1"/>
        <v>60</v>
      </c>
      <c r="I12" s="165">
        <f t="shared" si="2"/>
        <v>460</v>
      </c>
    </row>
    <row r="13" spans="1:9" ht="12.75" hidden="1" x14ac:dyDescent="0.25">
      <c r="A13" s="167">
        <f t="shared" si="3"/>
        <v>12</v>
      </c>
      <c r="B13" s="168" t="s">
        <v>15</v>
      </c>
      <c r="C13" s="168" t="str">
        <f>VLOOKUP(B13,MEMBERS!B:C,2, )</f>
        <v>MR.GHULAM NABI OTHI</v>
      </c>
      <c r="D13" s="188">
        <v>45992</v>
      </c>
      <c r="E13" s="175">
        <v>1</v>
      </c>
      <c r="F13" s="168" t="s">
        <v>441</v>
      </c>
      <c r="G13" s="165">
        <f>IFERROR(VLOOKUP(F13,'menu list'!B:C,2,FALSE)*E13,"0")</f>
        <v>200</v>
      </c>
      <c r="H13" s="334">
        <f t="shared" si="1"/>
        <v>30</v>
      </c>
      <c r="I13" s="165">
        <f t="shared" si="2"/>
        <v>230</v>
      </c>
    </row>
    <row r="14" spans="1:9" ht="12.75" hidden="1" x14ac:dyDescent="0.25">
      <c r="A14" s="167">
        <f t="shared" si="3"/>
        <v>13</v>
      </c>
      <c r="B14" s="168" t="s">
        <v>15</v>
      </c>
      <c r="C14" s="168" t="str">
        <f>VLOOKUP(B14,MEMBERS!B:C,2, )</f>
        <v>MR.GHULAM NABI OTHI</v>
      </c>
      <c r="D14" s="188">
        <v>45992</v>
      </c>
      <c r="E14" s="175">
        <v>1</v>
      </c>
      <c r="F14" s="168" t="s">
        <v>440</v>
      </c>
      <c r="G14" s="165">
        <f>IFERROR(VLOOKUP(F14,'menu list'!B:C,2,FALSE)*E14,"0")</f>
        <v>150</v>
      </c>
      <c r="H14" s="334">
        <f t="shared" si="1"/>
        <v>22.5</v>
      </c>
      <c r="I14" s="165">
        <f t="shared" si="2"/>
        <v>172.5</v>
      </c>
    </row>
    <row r="15" spans="1:9" ht="12.75" hidden="1" x14ac:dyDescent="0.25">
      <c r="A15" s="167">
        <f t="shared" si="0"/>
        <v>14</v>
      </c>
      <c r="B15" s="168" t="s">
        <v>155</v>
      </c>
      <c r="C15" s="168" t="str">
        <f>VLOOKUP(B15,MEMBERS!B:C,2, )</f>
        <v>MR.PIR MUJEEB JAN SARHANDI</v>
      </c>
      <c r="D15" s="188">
        <v>45992</v>
      </c>
      <c r="E15" s="175">
        <v>2</v>
      </c>
      <c r="F15" s="168" t="s">
        <v>498</v>
      </c>
      <c r="G15" s="165">
        <f>IFERROR(VLOOKUP(F15,'menu list'!B:C,2,FALSE)*E15,"0")</f>
        <v>400</v>
      </c>
      <c r="H15" s="334">
        <f t="shared" si="1"/>
        <v>60</v>
      </c>
      <c r="I15" s="165">
        <f t="shared" si="2"/>
        <v>460</v>
      </c>
    </row>
    <row r="16" spans="1:9" ht="12.75" hidden="1" x14ac:dyDescent="0.25">
      <c r="A16" s="167">
        <f t="shared" si="0"/>
        <v>15</v>
      </c>
      <c r="B16" s="168" t="s">
        <v>118</v>
      </c>
      <c r="C16" s="168" t="str">
        <f>VLOOKUP(B16,MEMBERS!B:C,2, )</f>
        <v>DR.SAJJAD AHMED SOLANGI</v>
      </c>
      <c r="D16" s="188">
        <v>45992</v>
      </c>
      <c r="E16" s="175">
        <v>4</v>
      </c>
      <c r="F16" s="168" t="s">
        <v>653</v>
      </c>
      <c r="G16" s="165">
        <f>IFERROR(VLOOKUP(F16,'menu list'!B:C,2,FALSE)*E16,"0")</f>
        <v>1400</v>
      </c>
      <c r="H16" s="334">
        <f t="shared" si="1"/>
        <v>210</v>
      </c>
      <c r="I16" s="165">
        <f t="shared" si="2"/>
        <v>1610</v>
      </c>
    </row>
    <row r="17" spans="1:9" ht="12.75" hidden="1" x14ac:dyDescent="0.25">
      <c r="A17" s="167">
        <f t="shared" si="0"/>
        <v>16</v>
      </c>
      <c r="B17" s="168" t="s">
        <v>118</v>
      </c>
      <c r="C17" s="168" t="str">
        <f>VLOOKUP(B17,MEMBERS!B:C,2, )</f>
        <v>DR.SAJJAD AHMED SOLANGI</v>
      </c>
      <c r="D17" s="188">
        <v>45992</v>
      </c>
      <c r="E17" s="175">
        <v>1</v>
      </c>
      <c r="F17" s="168" t="s">
        <v>832</v>
      </c>
      <c r="G17" s="165">
        <f>IFERROR(VLOOKUP(F17,'menu list'!B:C,2,FALSE)*E17,"0")</f>
        <v>250</v>
      </c>
      <c r="H17" s="334">
        <f t="shared" si="1"/>
        <v>37.5</v>
      </c>
      <c r="I17" s="165">
        <f t="shared" si="2"/>
        <v>287.5</v>
      </c>
    </row>
    <row r="18" spans="1:9" ht="12.75" hidden="1" x14ac:dyDescent="0.25">
      <c r="A18" s="167">
        <f t="shared" si="0"/>
        <v>17</v>
      </c>
      <c r="B18" s="168" t="s">
        <v>118</v>
      </c>
      <c r="C18" s="168" t="str">
        <f>VLOOKUP(B18,MEMBERS!B:C,2, )</f>
        <v>DR.SAJJAD AHMED SOLANGI</v>
      </c>
      <c r="D18" s="188">
        <v>45992</v>
      </c>
      <c r="E18" s="175">
        <v>1</v>
      </c>
      <c r="F18" s="168" t="s">
        <v>740</v>
      </c>
      <c r="G18" s="165">
        <f>IFERROR(VLOOKUP(F18,'menu list'!B:C,2,FALSE)*E18,"0")</f>
        <v>1800</v>
      </c>
      <c r="H18" s="334">
        <f t="shared" si="1"/>
        <v>270</v>
      </c>
      <c r="I18" s="165">
        <f t="shared" si="2"/>
        <v>2070</v>
      </c>
    </row>
    <row r="19" spans="1:9" ht="12.75" hidden="1" x14ac:dyDescent="0.25">
      <c r="A19" s="167">
        <f t="shared" si="0"/>
        <v>18</v>
      </c>
      <c r="B19" s="168" t="s">
        <v>118</v>
      </c>
      <c r="C19" s="168" t="str">
        <f>VLOOKUP(B19,MEMBERS!B:C,2, )</f>
        <v>DR.SAJJAD AHMED SOLANGI</v>
      </c>
      <c r="D19" s="188">
        <v>45992</v>
      </c>
      <c r="E19" s="175">
        <v>1</v>
      </c>
      <c r="F19" s="168" t="s">
        <v>441</v>
      </c>
      <c r="G19" s="165">
        <f>IFERROR(VLOOKUP(F19,'menu list'!B:C,2,FALSE)*E19,"0")</f>
        <v>200</v>
      </c>
      <c r="H19" s="334">
        <f t="shared" si="1"/>
        <v>30</v>
      </c>
      <c r="I19" s="165">
        <f t="shared" si="2"/>
        <v>230</v>
      </c>
    </row>
    <row r="20" spans="1:9" ht="12.75" hidden="1" x14ac:dyDescent="0.25">
      <c r="A20" s="167">
        <f t="shared" si="0"/>
        <v>19</v>
      </c>
      <c r="B20" s="168" t="s">
        <v>118</v>
      </c>
      <c r="C20" s="168" t="str">
        <f>VLOOKUP(B20,MEMBERS!B:C,2, )</f>
        <v>DR.SAJJAD AHMED SOLANGI</v>
      </c>
      <c r="D20" s="188">
        <v>45992</v>
      </c>
      <c r="E20" s="175">
        <v>1</v>
      </c>
      <c r="F20" s="168" t="s">
        <v>793</v>
      </c>
      <c r="G20" s="165">
        <f>IFERROR(VLOOKUP(F20,'menu list'!B:C,2,FALSE)*E20,"0")</f>
        <v>800</v>
      </c>
      <c r="H20" s="334">
        <f t="shared" si="1"/>
        <v>120</v>
      </c>
      <c r="I20" s="165">
        <f t="shared" si="2"/>
        <v>920</v>
      </c>
    </row>
    <row r="21" spans="1:9" ht="12.75" hidden="1" x14ac:dyDescent="0.25">
      <c r="A21" s="167">
        <f t="shared" si="0"/>
        <v>20</v>
      </c>
      <c r="B21" s="168" t="s">
        <v>118</v>
      </c>
      <c r="C21" s="168" t="str">
        <f>VLOOKUP(B21,MEMBERS!B:C,2, )</f>
        <v>DR.SAJJAD AHMED SOLANGI</v>
      </c>
      <c r="D21" s="188">
        <v>45992</v>
      </c>
      <c r="E21" s="175">
        <v>6</v>
      </c>
      <c r="F21" s="168" t="s">
        <v>439</v>
      </c>
      <c r="G21" s="165">
        <f>IFERROR(VLOOKUP(F21,'menu list'!B:C,2,FALSE)*E21,"0")</f>
        <v>420</v>
      </c>
      <c r="H21" s="334">
        <f t="shared" si="1"/>
        <v>63</v>
      </c>
      <c r="I21" s="165">
        <f t="shared" si="2"/>
        <v>483</v>
      </c>
    </row>
    <row r="22" spans="1:9" ht="12.75" hidden="1" x14ac:dyDescent="0.25">
      <c r="A22" s="167">
        <f t="shared" si="0"/>
        <v>21</v>
      </c>
      <c r="B22" s="168" t="s">
        <v>118</v>
      </c>
      <c r="C22" s="168" t="str">
        <f>VLOOKUP(B22,MEMBERS!B:C,2, )</f>
        <v>DR.SAJJAD AHMED SOLANGI</v>
      </c>
      <c r="D22" s="188">
        <v>45992</v>
      </c>
      <c r="E22" s="175">
        <v>1</v>
      </c>
      <c r="F22" s="168" t="s">
        <v>440</v>
      </c>
      <c r="G22" s="165">
        <f>IFERROR(VLOOKUP(F22,'menu list'!B:C,2,FALSE)*E22,"0")</f>
        <v>150</v>
      </c>
      <c r="H22" s="334">
        <f t="shared" si="1"/>
        <v>22.5</v>
      </c>
      <c r="I22" s="165">
        <f t="shared" si="2"/>
        <v>172.5</v>
      </c>
    </row>
    <row r="23" spans="1:9" ht="12.75" hidden="1" x14ac:dyDescent="0.25">
      <c r="A23" s="167">
        <f t="shared" si="0"/>
        <v>22</v>
      </c>
      <c r="B23" s="168" t="s">
        <v>118</v>
      </c>
      <c r="C23" s="168" t="str">
        <f>VLOOKUP(B23,MEMBERS!B:C,2, )</f>
        <v>DR.SAJJAD AHMED SOLANGI</v>
      </c>
      <c r="D23" s="188">
        <v>45992</v>
      </c>
      <c r="E23" s="175">
        <v>1</v>
      </c>
      <c r="F23" s="168" t="s">
        <v>498</v>
      </c>
      <c r="G23" s="165">
        <f>IFERROR(VLOOKUP(F23,'menu list'!B:C,2,FALSE)*E23,"0")</f>
        <v>200</v>
      </c>
      <c r="H23" s="334">
        <f t="shared" si="1"/>
        <v>30</v>
      </c>
      <c r="I23" s="165">
        <f t="shared" si="2"/>
        <v>230</v>
      </c>
    </row>
    <row r="24" spans="1:9" ht="12.75" hidden="1" x14ac:dyDescent="0.25">
      <c r="A24" s="167">
        <f t="shared" si="0"/>
        <v>23</v>
      </c>
      <c r="B24" s="168" t="s">
        <v>118</v>
      </c>
      <c r="C24" s="168" t="str">
        <f>VLOOKUP(B24,MEMBERS!B:C,2, )</f>
        <v>DR.SAJJAD AHMED SOLANGI</v>
      </c>
      <c r="D24" s="188">
        <v>45992</v>
      </c>
      <c r="E24" s="175">
        <v>1</v>
      </c>
      <c r="F24" s="168" t="s">
        <v>442</v>
      </c>
      <c r="G24" s="165">
        <f>IFERROR(VLOOKUP(F24,'menu list'!B:C,2,FALSE)*E24,"0")</f>
        <v>150</v>
      </c>
      <c r="H24" s="334">
        <f t="shared" si="1"/>
        <v>22.5</v>
      </c>
      <c r="I24" s="165">
        <f t="shared" si="2"/>
        <v>172.5</v>
      </c>
    </row>
    <row r="25" spans="1:9" ht="12.75" hidden="1" x14ac:dyDescent="0.25">
      <c r="A25" s="167">
        <f t="shared" si="0"/>
        <v>24</v>
      </c>
      <c r="B25" s="168" t="s">
        <v>118</v>
      </c>
      <c r="C25" s="168" t="str">
        <f>VLOOKUP(B25,MEMBERS!B:C,2, )</f>
        <v>DR.SAJJAD AHMED SOLANGI</v>
      </c>
      <c r="D25" s="188">
        <v>45992</v>
      </c>
      <c r="E25" s="175">
        <v>1</v>
      </c>
      <c r="F25" s="168" t="s">
        <v>781</v>
      </c>
      <c r="G25" s="165">
        <f>IFERROR(VLOOKUP(F25,'menu list'!B:C,2,FALSE)*E25,"0")</f>
        <v>800</v>
      </c>
      <c r="H25" s="334">
        <f t="shared" si="1"/>
        <v>120</v>
      </c>
      <c r="I25" s="165">
        <f t="shared" si="2"/>
        <v>920</v>
      </c>
    </row>
    <row r="26" spans="1:9" ht="12.75" hidden="1" x14ac:dyDescent="0.25">
      <c r="A26" s="167">
        <f t="shared" si="0"/>
        <v>25</v>
      </c>
      <c r="B26" s="168" t="s">
        <v>103</v>
      </c>
      <c r="C26" s="168" t="str">
        <f>VLOOKUP(B26,MEMBERS!B:C,2, )</f>
        <v>MR.IQBAL AHMED MALLAH</v>
      </c>
      <c r="D26" s="188">
        <v>45993</v>
      </c>
      <c r="E26" s="175">
        <v>4</v>
      </c>
      <c r="F26" s="168" t="s">
        <v>1115</v>
      </c>
      <c r="G26" s="165">
        <f>IFERROR(VLOOKUP(F26,'menu list'!B:C,2,FALSE)*E26,"0")</f>
        <v>4000</v>
      </c>
      <c r="H26" s="334">
        <f t="shared" si="1"/>
        <v>600</v>
      </c>
      <c r="I26" s="165">
        <f t="shared" si="2"/>
        <v>4600</v>
      </c>
    </row>
    <row r="27" spans="1:9" ht="12.75" hidden="1" x14ac:dyDescent="0.25">
      <c r="A27" s="167">
        <f t="shared" si="0"/>
        <v>26</v>
      </c>
      <c r="B27" s="168" t="s">
        <v>103</v>
      </c>
      <c r="C27" s="168" t="str">
        <f>VLOOKUP(B27,MEMBERS!B:C,2, )</f>
        <v>MR.IQBAL AHMED MALLAH</v>
      </c>
      <c r="D27" s="188">
        <v>45993</v>
      </c>
      <c r="E27" s="175">
        <v>1</v>
      </c>
      <c r="F27" s="168" t="s">
        <v>846</v>
      </c>
      <c r="G27" s="165">
        <f>IFERROR(VLOOKUP(F27,'menu list'!B:C,2,FALSE)*E27,"0")</f>
        <v>1250</v>
      </c>
      <c r="H27" s="334">
        <f t="shared" si="1"/>
        <v>187.5</v>
      </c>
      <c r="I27" s="165">
        <f t="shared" si="2"/>
        <v>1437.5</v>
      </c>
    </row>
    <row r="28" spans="1:9" ht="12.75" hidden="1" x14ac:dyDescent="0.25">
      <c r="A28" s="167">
        <f t="shared" ref="A28:A46" si="4">IF(D28&lt;&gt;"", ROW()-1, "")</f>
        <v>27</v>
      </c>
      <c r="B28" s="168" t="s">
        <v>103</v>
      </c>
      <c r="C28" s="168" t="str">
        <f>VLOOKUP(B28,MEMBERS!B:C,2, )</f>
        <v>MR.IQBAL AHMED MALLAH</v>
      </c>
      <c r="D28" s="188">
        <v>45993</v>
      </c>
      <c r="E28" s="175">
        <v>1</v>
      </c>
      <c r="F28" s="168" t="s">
        <v>939</v>
      </c>
      <c r="G28" s="165">
        <f>IFERROR(VLOOKUP(F28,'menu list'!B:C,2,FALSE)*E28,"0")</f>
        <v>1200</v>
      </c>
      <c r="H28" s="334">
        <f t="shared" si="1"/>
        <v>180</v>
      </c>
      <c r="I28" s="165">
        <f t="shared" si="2"/>
        <v>1380</v>
      </c>
    </row>
    <row r="29" spans="1:9" ht="12.75" hidden="1" x14ac:dyDescent="0.25">
      <c r="A29" s="167">
        <f t="shared" si="4"/>
        <v>28</v>
      </c>
      <c r="B29" s="168" t="s">
        <v>103</v>
      </c>
      <c r="C29" s="168" t="str">
        <f>VLOOKUP(B29,MEMBERS!B:C,2, )</f>
        <v>MR.IQBAL AHMED MALLAH</v>
      </c>
      <c r="D29" s="188">
        <v>45993</v>
      </c>
      <c r="E29" s="175">
        <v>1</v>
      </c>
      <c r="F29" s="168" t="s">
        <v>915</v>
      </c>
      <c r="G29" s="165">
        <f>IFERROR(VLOOKUP(F29,'menu list'!B:C,2,FALSE)*E29,"0")</f>
        <v>999</v>
      </c>
      <c r="H29" s="334">
        <f t="shared" si="1"/>
        <v>149.85</v>
      </c>
      <c r="I29" s="165">
        <f t="shared" si="2"/>
        <v>1148.8499999999999</v>
      </c>
    </row>
    <row r="30" spans="1:9" ht="12.75" hidden="1" x14ac:dyDescent="0.25">
      <c r="A30" s="167">
        <f t="shared" si="4"/>
        <v>29</v>
      </c>
      <c r="B30" s="168" t="s">
        <v>103</v>
      </c>
      <c r="C30" s="168" t="str">
        <f>VLOOKUP(B30,MEMBERS!B:C,2, )</f>
        <v>MR.IQBAL AHMED MALLAH</v>
      </c>
      <c r="D30" s="188">
        <v>45993</v>
      </c>
      <c r="E30" s="175">
        <v>1</v>
      </c>
      <c r="F30" s="168" t="s">
        <v>440</v>
      </c>
      <c r="G30" s="165">
        <f>IFERROR(VLOOKUP(F30,'menu list'!B:C,2,FALSE)*E30,"0")</f>
        <v>150</v>
      </c>
      <c r="H30" s="334">
        <f t="shared" si="1"/>
        <v>22.5</v>
      </c>
      <c r="I30" s="165">
        <f t="shared" si="2"/>
        <v>172.5</v>
      </c>
    </row>
    <row r="31" spans="1:9" ht="12.75" hidden="1" x14ac:dyDescent="0.25">
      <c r="A31" s="167">
        <f t="shared" si="4"/>
        <v>30</v>
      </c>
      <c r="B31" s="168" t="s">
        <v>103</v>
      </c>
      <c r="C31" s="168" t="str">
        <f>VLOOKUP(B31,MEMBERS!B:C,2, )</f>
        <v>MR.IQBAL AHMED MALLAH</v>
      </c>
      <c r="D31" s="188">
        <v>45993</v>
      </c>
      <c r="E31" s="175">
        <v>1</v>
      </c>
      <c r="F31" s="168" t="s">
        <v>498</v>
      </c>
      <c r="G31" s="165">
        <f>IFERROR(VLOOKUP(F31,'menu list'!B:C,2,FALSE)*E31,"0")</f>
        <v>200</v>
      </c>
      <c r="H31" s="334">
        <f t="shared" si="1"/>
        <v>30</v>
      </c>
      <c r="I31" s="165">
        <f t="shared" si="2"/>
        <v>230</v>
      </c>
    </row>
    <row r="32" spans="1:9" ht="12.75" hidden="1" x14ac:dyDescent="0.25">
      <c r="A32" s="167">
        <f t="shared" si="4"/>
        <v>31</v>
      </c>
      <c r="B32" s="168" t="s">
        <v>103</v>
      </c>
      <c r="C32" s="168" t="str">
        <f>VLOOKUP(B32,MEMBERS!B:C,2, )</f>
        <v>MR.IQBAL AHMED MALLAH</v>
      </c>
      <c r="D32" s="188">
        <v>45993</v>
      </c>
      <c r="E32" s="175">
        <v>1</v>
      </c>
      <c r="F32" s="168" t="s">
        <v>442</v>
      </c>
      <c r="G32" s="165">
        <f>IFERROR(VLOOKUP(F32,'menu list'!B:C,2,FALSE)*E32,"0")</f>
        <v>150</v>
      </c>
      <c r="H32" s="334">
        <f t="shared" si="1"/>
        <v>22.5</v>
      </c>
      <c r="I32" s="165">
        <f t="shared" si="2"/>
        <v>172.5</v>
      </c>
    </row>
    <row r="33" spans="1:9" ht="12.75" hidden="1" x14ac:dyDescent="0.25">
      <c r="A33" s="167">
        <f t="shared" si="4"/>
        <v>32</v>
      </c>
      <c r="B33" s="168" t="s">
        <v>103</v>
      </c>
      <c r="C33" s="168" t="str">
        <f>VLOOKUP(B33,MEMBERS!B:C,2, )</f>
        <v>MR.IQBAL AHMED MALLAH</v>
      </c>
      <c r="D33" s="188">
        <v>45993</v>
      </c>
      <c r="E33" s="175">
        <v>3</v>
      </c>
      <c r="F33" s="168" t="s">
        <v>439</v>
      </c>
      <c r="G33" s="165">
        <f>IFERROR(VLOOKUP(F33,'menu list'!B:C,2,FALSE)*E33,"0")</f>
        <v>210</v>
      </c>
      <c r="H33" s="334">
        <f t="shared" si="1"/>
        <v>31.5</v>
      </c>
      <c r="I33" s="165">
        <f t="shared" si="2"/>
        <v>241.5</v>
      </c>
    </row>
    <row r="34" spans="1:9" ht="12.75" hidden="1" x14ac:dyDescent="0.25">
      <c r="A34" s="167">
        <f t="shared" si="4"/>
        <v>33</v>
      </c>
      <c r="B34" s="168" t="s">
        <v>108</v>
      </c>
      <c r="C34" s="168" t="str">
        <f>VLOOKUP(B34,MEMBERS!B:C,2, )</f>
        <v>MR.KANYO LAL</v>
      </c>
      <c r="D34" s="188">
        <v>45993</v>
      </c>
      <c r="E34" s="175">
        <v>2</v>
      </c>
      <c r="F34" s="168" t="s">
        <v>440</v>
      </c>
      <c r="G34" s="165">
        <f>IFERROR(VLOOKUP(F34,'menu list'!B:C,2,FALSE)*E34,"0")</f>
        <v>300</v>
      </c>
      <c r="H34" s="334">
        <f t="shared" si="1"/>
        <v>45</v>
      </c>
      <c r="I34" s="165">
        <f t="shared" si="2"/>
        <v>345</v>
      </c>
    </row>
    <row r="35" spans="1:9" ht="12.75" hidden="1" x14ac:dyDescent="0.25">
      <c r="A35" s="167">
        <f t="shared" si="4"/>
        <v>34</v>
      </c>
      <c r="B35" s="168" t="s">
        <v>108</v>
      </c>
      <c r="C35" s="168" t="str">
        <f>VLOOKUP(B35,MEMBERS!B:C,2, )</f>
        <v>MR.KANYO LAL</v>
      </c>
      <c r="D35" s="188">
        <v>45993</v>
      </c>
      <c r="E35" s="175">
        <v>1</v>
      </c>
      <c r="F35" s="168" t="s">
        <v>726</v>
      </c>
      <c r="G35" s="165">
        <f>IFERROR(VLOOKUP(F35,'menu list'!B:C,2,FALSE)*E35,"0")</f>
        <v>1300</v>
      </c>
      <c r="H35" s="334">
        <f t="shared" si="1"/>
        <v>195</v>
      </c>
      <c r="I35" s="165">
        <f t="shared" si="2"/>
        <v>1495</v>
      </c>
    </row>
    <row r="36" spans="1:9" ht="12.75" hidden="1" x14ac:dyDescent="0.25">
      <c r="A36" s="167">
        <f t="shared" si="4"/>
        <v>35</v>
      </c>
      <c r="B36" s="168" t="s">
        <v>108</v>
      </c>
      <c r="C36" s="168" t="str">
        <f>VLOOKUP(B36,MEMBERS!B:C,2, )</f>
        <v>MR.KANYO LAL</v>
      </c>
      <c r="D36" s="188">
        <v>45993</v>
      </c>
      <c r="E36" s="175">
        <v>1</v>
      </c>
      <c r="F36" s="168" t="s">
        <v>826</v>
      </c>
      <c r="G36" s="165">
        <f>IFERROR(VLOOKUP(F36,'menu list'!B:C,2,FALSE)*E36,"0")</f>
        <v>900</v>
      </c>
      <c r="H36" s="334">
        <f t="shared" si="1"/>
        <v>135</v>
      </c>
      <c r="I36" s="165">
        <f t="shared" si="2"/>
        <v>1035</v>
      </c>
    </row>
    <row r="37" spans="1:9" ht="12.75" hidden="1" x14ac:dyDescent="0.25">
      <c r="A37" s="167">
        <f t="shared" si="4"/>
        <v>36</v>
      </c>
      <c r="B37" s="168" t="s">
        <v>108</v>
      </c>
      <c r="C37" s="168" t="str">
        <f>VLOOKUP(B37,MEMBERS!B:C,2, )</f>
        <v>MR.KANYO LAL</v>
      </c>
      <c r="D37" s="188">
        <v>45993</v>
      </c>
      <c r="E37" s="175">
        <v>2</v>
      </c>
      <c r="F37" s="168" t="s">
        <v>923</v>
      </c>
      <c r="G37" s="165">
        <f>IFERROR(VLOOKUP(F37,'menu list'!B:C,2,FALSE)*E37,"0")</f>
        <v>800</v>
      </c>
      <c r="H37" s="334">
        <f t="shared" si="1"/>
        <v>120</v>
      </c>
      <c r="I37" s="165">
        <f t="shared" si="2"/>
        <v>920</v>
      </c>
    </row>
    <row r="38" spans="1:9" ht="12.75" hidden="1" x14ac:dyDescent="0.25">
      <c r="A38" s="167">
        <f t="shared" si="4"/>
        <v>37</v>
      </c>
      <c r="B38" s="168" t="s">
        <v>108</v>
      </c>
      <c r="C38" s="168" t="str">
        <f>VLOOKUP(B38,MEMBERS!B:C,2, )</f>
        <v>MR.KANYO LAL</v>
      </c>
      <c r="D38" s="188">
        <v>45993</v>
      </c>
      <c r="E38" s="175">
        <v>2</v>
      </c>
      <c r="F38" s="168" t="s">
        <v>793</v>
      </c>
      <c r="G38" s="165">
        <f>IFERROR(VLOOKUP(F38,'menu list'!B:C,2,FALSE)*E38,"0")</f>
        <v>1600</v>
      </c>
      <c r="H38" s="334">
        <f t="shared" si="1"/>
        <v>240</v>
      </c>
      <c r="I38" s="165">
        <f t="shared" si="2"/>
        <v>1840</v>
      </c>
    </row>
    <row r="39" spans="1:9" ht="12.75" hidden="1" x14ac:dyDescent="0.25">
      <c r="A39" s="167">
        <f t="shared" si="4"/>
        <v>38</v>
      </c>
      <c r="B39" s="168" t="s">
        <v>108</v>
      </c>
      <c r="C39" s="168" t="str">
        <f>VLOOKUP(B39,MEMBERS!B:C,2, )</f>
        <v>MR.KANYO LAL</v>
      </c>
      <c r="D39" s="188">
        <v>45993</v>
      </c>
      <c r="E39" s="175">
        <v>2</v>
      </c>
      <c r="F39" s="168" t="s">
        <v>504</v>
      </c>
      <c r="G39" s="165">
        <f>IFERROR(VLOOKUP(F39,'menu list'!B:C,2,FALSE)*E39,"0")</f>
        <v>260</v>
      </c>
      <c r="H39" s="334">
        <f t="shared" si="1"/>
        <v>39</v>
      </c>
      <c r="I39" s="165">
        <f t="shared" si="2"/>
        <v>299</v>
      </c>
    </row>
    <row r="40" spans="1:9" ht="12.75" hidden="1" x14ac:dyDescent="0.25">
      <c r="A40" s="167">
        <f t="shared" si="4"/>
        <v>39</v>
      </c>
      <c r="B40" s="168" t="s">
        <v>108</v>
      </c>
      <c r="C40" s="168" t="str">
        <f>VLOOKUP(B40,MEMBERS!B:C,2, )</f>
        <v>MR.KANYO LAL</v>
      </c>
      <c r="D40" s="188">
        <v>45993</v>
      </c>
      <c r="E40" s="175">
        <v>2</v>
      </c>
      <c r="F40" s="168" t="s">
        <v>443</v>
      </c>
      <c r="G40" s="165">
        <f>IFERROR(VLOOKUP(F40,'menu list'!B:C,2,FALSE)*E40,"0")</f>
        <v>300</v>
      </c>
      <c r="H40" s="334">
        <f t="shared" si="1"/>
        <v>45</v>
      </c>
      <c r="I40" s="165">
        <f t="shared" si="2"/>
        <v>345</v>
      </c>
    </row>
    <row r="41" spans="1:9" ht="12.75" hidden="1" x14ac:dyDescent="0.25">
      <c r="A41" s="167">
        <f t="shared" si="4"/>
        <v>40</v>
      </c>
      <c r="B41" s="168" t="s">
        <v>108</v>
      </c>
      <c r="C41" s="168" t="str">
        <f>VLOOKUP(B41,MEMBERS!B:C,2, )</f>
        <v>MR.KANYO LAL</v>
      </c>
      <c r="D41" s="188">
        <v>45993</v>
      </c>
      <c r="E41" s="175">
        <v>2</v>
      </c>
      <c r="F41" s="168" t="s">
        <v>439</v>
      </c>
      <c r="G41" s="165">
        <f>IFERROR(VLOOKUP(F41,'menu list'!B:C,2,FALSE)*E41,"0")</f>
        <v>140</v>
      </c>
      <c r="H41" s="334">
        <f t="shared" si="1"/>
        <v>21</v>
      </c>
      <c r="I41" s="165">
        <f t="shared" si="2"/>
        <v>161</v>
      </c>
    </row>
    <row r="42" spans="1:9" ht="12.75" hidden="1" x14ac:dyDescent="0.25">
      <c r="A42" s="167">
        <f t="shared" si="4"/>
        <v>41</v>
      </c>
      <c r="B42" s="168" t="s">
        <v>108</v>
      </c>
      <c r="C42" s="168" t="str">
        <f>VLOOKUP(B42,MEMBERS!B:C,2, )</f>
        <v>MR.KANYO LAL</v>
      </c>
      <c r="D42" s="188">
        <v>45993</v>
      </c>
      <c r="E42" s="175">
        <v>2</v>
      </c>
      <c r="F42" s="168" t="s">
        <v>442</v>
      </c>
      <c r="G42" s="165">
        <f>IFERROR(VLOOKUP(F42,'menu list'!B:C,2,FALSE)*E42,"0")</f>
        <v>300</v>
      </c>
      <c r="H42" s="334">
        <f t="shared" si="1"/>
        <v>45</v>
      </c>
      <c r="I42" s="165">
        <f t="shared" si="2"/>
        <v>345</v>
      </c>
    </row>
    <row r="43" spans="1:9" ht="12.75" hidden="1" x14ac:dyDescent="0.25">
      <c r="A43" s="167">
        <f t="shared" si="4"/>
        <v>42</v>
      </c>
      <c r="B43" s="168" t="s">
        <v>108</v>
      </c>
      <c r="C43" s="168" t="str">
        <f>VLOOKUP(B43,MEMBERS!B:C,2, )</f>
        <v>MR.KANYO LAL</v>
      </c>
      <c r="D43" s="188">
        <v>45993</v>
      </c>
      <c r="E43" s="175">
        <v>1</v>
      </c>
      <c r="F43" s="168" t="s">
        <v>570</v>
      </c>
      <c r="G43" s="165">
        <f>IFERROR(VLOOKUP(F43,'menu list'!B:C,2,FALSE)*E43,"0")</f>
        <v>150</v>
      </c>
      <c r="H43" s="334">
        <f t="shared" si="1"/>
        <v>22.5</v>
      </c>
      <c r="I43" s="165">
        <f t="shared" si="2"/>
        <v>172.5</v>
      </c>
    </row>
    <row r="44" spans="1:9" ht="12.75" hidden="1" x14ac:dyDescent="0.25">
      <c r="A44" s="167">
        <f t="shared" si="4"/>
        <v>43</v>
      </c>
      <c r="B44" s="168" t="s">
        <v>108</v>
      </c>
      <c r="C44" s="168" t="str">
        <f>VLOOKUP(B44,MEMBERS!B:C,2, )</f>
        <v>MR.KANYO LAL</v>
      </c>
      <c r="D44" s="188">
        <v>45993</v>
      </c>
      <c r="E44" s="175">
        <v>1</v>
      </c>
      <c r="F44" s="168" t="s">
        <v>666</v>
      </c>
      <c r="G44" s="165">
        <f>IFERROR(VLOOKUP(F44,'menu list'!B:C,2,FALSE)*E44,"0")</f>
        <v>350</v>
      </c>
      <c r="H44" s="334">
        <f t="shared" si="1"/>
        <v>52.5</v>
      </c>
      <c r="I44" s="165">
        <f t="shared" si="2"/>
        <v>402.5</v>
      </c>
    </row>
    <row r="45" spans="1:9" ht="12.75" hidden="1" x14ac:dyDescent="0.25">
      <c r="A45" s="167">
        <f t="shared" si="4"/>
        <v>44</v>
      </c>
      <c r="B45" s="168" t="s">
        <v>108</v>
      </c>
      <c r="C45" s="168" t="str">
        <f>VLOOKUP(B45,MEMBERS!B:C,2, )</f>
        <v>MR.KANYO LAL</v>
      </c>
      <c r="D45" s="188">
        <v>45993</v>
      </c>
      <c r="E45" s="175">
        <v>1</v>
      </c>
      <c r="F45" s="168" t="s">
        <v>441</v>
      </c>
      <c r="G45" s="165">
        <f>IFERROR(VLOOKUP(F45,'menu list'!B:C,2,FALSE)*E45,"0")</f>
        <v>200</v>
      </c>
      <c r="H45" s="334">
        <f t="shared" si="1"/>
        <v>30</v>
      </c>
      <c r="I45" s="165">
        <f t="shared" si="2"/>
        <v>230</v>
      </c>
    </row>
    <row r="46" spans="1:9" ht="12.75" hidden="1" x14ac:dyDescent="0.25">
      <c r="A46" s="167">
        <f t="shared" si="4"/>
        <v>45</v>
      </c>
      <c r="B46" s="168" t="s">
        <v>1053</v>
      </c>
      <c r="C46" s="168" t="str">
        <f>VLOOKUP(B46,MEMBERS!B:C,2, )</f>
        <v>MR. ZAMIR ALI SHAH</v>
      </c>
      <c r="D46" s="188">
        <v>45993</v>
      </c>
      <c r="E46" s="175">
        <v>1</v>
      </c>
      <c r="F46" s="168" t="s">
        <v>833</v>
      </c>
      <c r="G46" s="165">
        <f>IFERROR(VLOOKUP(F46,'menu list'!B:C,2,FALSE)*E46,"0")</f>
        <v>350</v>
      </c>
      <c r="H46" s="334">
        <f t="shared" si="1"/>
        <v>52.5</v>
      </c>
      <c r="I46" s="165">
        <f t="shared" si="2"/>
        <v>402.5</v>
      </c>
    </row>
    <row r="47" spans="1:9" ht="12.75" hidden="1" x14ac:dyDescent="0.25">
      <c r="A47" s="167">
        <f t="shared" ref="A47" si="5">IF(D47&lt;&gt;"", ROW()-1, "")</f>
        <v>46</v>
      </c>
      <c r="B47" s="168" t="s">
        <v>1053</v>
      </c>
      <c r="C47" s="168" t="str">
        <f>VLOOKUP(B47,MEMBERS!B:C,2, )</f>
        <v>MR. ZAMIR ALI SHAH</v>
      </c>
      <c r="D47" s="188">
        <v>45993</v>
      </c>
      <c r="E47" s="175">
        <v>1</v>
      </c>
      <c r="F47" s="168" t="s">
        <v>499</v>
      </c>
      <c r="G47" s="165">
        <f>IFERROR(VLOOKUP(F47,'menu list'!B:C,2,FALSE)*E47,"0")</f>
        <v>100</v>
      </c>
      <c r="H47" s="334">
        <f t="shared" si="1"/>
        <v>15</v>
      </c>
      <c r="I47" s="165">
        <f t="shared" si="2"/>
        <v>115</v>
      </c>
    </row>
    <row r="48" spans="1:9" ht="12.75" hidden="1" x14ac:dyDescent="0.25">
      <c r="A48" s="167">
        <f t="shared" ref="A48:A60" si="6">IF(D48&lt;&gt;"", ROW()-1, "")</f>
        <v>47</v>
      </c>
      <c r="B48" s="168" t="s">
        <v>1005</v>
      </c>
      <c r="C48" s="168" t="str">
        <f>VLOOKUP(B48,MEMBERS!B:C,2, )</f>
        <v>MR. AKSHAY RAJ</v>
      </c>
      <c r="D48" s="188">
        <v>45993</v>
      </c>
      <c r="E48" s="175">
        <v>10</v>
      </c>
      <c r="F48" s="168" t="s">
        <v>499</v>
      </c>
      <c r="G48" s="165">
        <f>IFERROR(VLOOKUP(F48,'menu list'!B:C,2,FALSE)*E48,"0")</f>
        <v>1000</v>
      </c>
      <c r="H48" s="334">
        <f t="shared" si="1"/>
        <v>150</v>
      </c>
      <c r="I48" s="165">
        <f t="shared" si="2"/>
        <v>1150</v>
      </c>
    </row>
    <row r="49" spans="1:9" ht="12.75" hidden="1" x14ac:dyDescent="0.25">
      <c r="A49" s="167">
        <f t="shared" si="6"/>
        <v>48</v>
      </c>
      <c r="B49" s="168" t="s">
        <v>1005</v>
      </c>
      <c r="C49" s="168" t="str">
        <f>VLOOKUP(B49,MEMBERS!B:C,2, )</f>
        <v>MR. AKSHAY RAJ</v>
      </c>
      <c r="D49" s="188">
        <v>45993</v>
      </c>
      <c r="E49" s="175">
        <v>6</v>
      </c>
      <c r="F49" s="168" t="s">
        <v>836</v>
      </c>
      <c r="G49" s="165">
        <f>IFERROR(VLOOKUP(F49,'menu list'!B:C,2,FALSE)*E49,"0")</f>
        <v>2100</v>
      </c>
      <c r="H49" s="334">
        <f t="shared" si="1"/>
        <v>315</v>
      </c>
      <c r="I49" s="165">
        <f t="shared" si="2"/>
        <v>2415</v>
      </c>
    </row>
    <row r="50" spans="1:9" ht="12.75" hidden="1" x14ac:dyDescent="0.25">
      <c r="A50" s="167">
        <f t="shared" si="6"/>
        <v>49</v>
      </c>
      <c r="B50" s="168" t="s">
        <v>1005</v>
      </c>
      <c r="C50" s="168" t="str">
        <f>VLOOKUP(B50,MEMBERS!B:C,2, )</f>
        <v>MR. AKSHAY RAJ</v>
      </c>
      <c r="D50" s="188">
        <v>45993</v>
      </c>
      <c r="E50" s="175">
        <v>3</v>
      </c>
      <c r="F50" s="168" t="s">
        <v>570</v>
      </c>
      <c r="G50" s="165">
        <f>IFERROR(VLOOKUP(F50,'menu list'!B:C,2,FALSE)*E50,"0")</f>
        <v>450</v>
      </c>
      <c r="H50" s="334">
        <f t="shared" si="1"/>
        <v>67.5</v>
      </c>
      <c r="I50" s="165">
        <f t="shared" si="2"/>
        <v>517.5</v>
      </c>
    </row>
    <row r="51" spans="1:9" ht="12.75" hidden="1" x14ac:dyDescent="0.25">
      <c r="A51" s="167">
        <f t="shared" si="6"/>
        <v>50</v>
      </c>
      <c r="B51" s="168" t="s">
        <v>1005</v>
      </c>
      <c r="C51" s="168" t="str">
        <f>VLOOKUP(B51,MEMBERS!B:C,2, )</f>
        <v>MR. AKSHAY RAJ</v>
      </c>
      <c r="D51" s="188">
        <v>45993</v>
      </c>
      <c r="E51" s="175">
        <v>1</v>
      </c>
      <c r="F51" s="168" t="s">
        <v>498</v>
      </c>
      <c r="G51" s="165">
        <f>IFERROR(VLOOKUP(F51,'menu list'!B:C,2,FALSE)*E51,"0")</f>
        <v>200</v>
      </c>
      <c r="H51" s="334">
        <f t="shared" si="1"/>
        <v>30</v>
      </c>
      <c r="I51" s="165">
        <f t="shared" si="2"/>
        <v>230</v>
      </c>
    </row>
    <row r="52" spans="1:9" ht="12.75" hidden="1" x14ac:dyDescent="0.25">
      <c r="A52" s="167">
        <f t="shared" si="6"/>
        <v>51</v>
      </c>
      <c r="B52" s="168" t="s">
        <v>1005</v>
      </c>
      <c r="C52" s="168" t="str">
        <f>VLOOKUP(B52,MEMBERS!B:C,2, )</f>
        <v>MR. AKSHAY RAJ</v>
      </c>
      <c r="D52" s="188">
        <v>45993</v>
      </c>
      <c r="E52" s="175">
        <v>2</v>
      </c>
      <c r="F52" s="168" t="s">
        <v>515</v>
      </c>
      <c r="G52" s="165">
        <f>IFERROR(VLOOKUP(F52,'menu list'!B:C,2,FALSE)*E52,"0")</f>
        <v>800</v>
      </c>
      <c r="H52" s="334">
        <f t="shared" si="1"/>
        <v>120</v>
      </c>
      <c r="I52" s="165">
        <f t="shared" si="2"/>
        <v>920</v>
      </c>
    </row>
    <row r="53" spans="1:9" ht="12.75" hidden="1" x14ac:dyDescent="0.25">
      <c r="A53" s="167">
        <f t="shared" si="6"/>
        <v>52</v>
      </c>
      <c r="B53" s="168" t="s">
        <v>1024</v>
      </c>
      <c r="C53" s="168" t="str">
        <f>VLOOKUP(B53,MEMBERS!B:C,2, )</f>
        <v>MR. ANEEL ZAHOOR</v>
      </c>
      <c r="D53" s="188">
        <v>45993</v>
      </c>
      <c r="E53" s="175">
        <v>2</v>
      </c>
      <c r="F53" s="168" t="s">
        <v>633</v>
      </c>
      <c r="G53" s="165">
        <f>IFERROR(VLOOKUP(F53,'menu list'!B:C,2,FALSE)*E53,"0")</f>
        <v>1400</v>
      </c>
      <c r="H53" s="334">
        <f t="shared" si="1"/>
        <v>210</v>
      </c>
      <c r="I53" s="165">
        <f t="shared" si="2"/>
        <v>1610</v>
      </c>
    </row>
    <row r="54" spans="1:9" ht="12.75" hidden="1" x14ac:dyDescent="0.25">
      <c r="A54" s="167">
        <f t="shared" si="6"/>
        <v>53</v>
      </c>
      <c r="B54" s="168" t="s">
        <v>308</v>
      </c>
      <c r="C54" s="168" t="str">
        <f>VLOOKUP(B54,MEMBERS!B:C,2, )</f>
        <v>DGM AZFAR ALI</v>
      </c>
      <c r="D54" s="188">
        <v>45993</v>
      </c>
      <c r="E54" s="175">
        <v>1</v>
      </c>
      <c r="F54" s="168" t="s">
        <v>832</v>
      </c>
      <c r="G54" s="165">
        <f>IFERROR(VLOOKUP(F54,'menu list'!B:C,2,FALSE)*E54,"0")</f>
        <v>250</v>
      </c>
      <c r="H54" s="334">
        <f t="shared" si="1"/>
        <v>37.5</v>
      </c>
      <c r="I54" s="165">
        <f t="shared" si="2"/>
        <v>287.5</v>
      </c>
    </row>
    <row r="55" spans="1:9" ht="12.75" hidden="1" x14ac:dyDescent="0.25">
      <c r="A55" s="167">
        <f t="shared" si="6"/>
        <v>54</v>
      </c>
      <c r="B55" s="168" t="s">
        <v>308</v>
      </c>
      <c r="C55" s="168" t="str">
        <f>VLOOKUP(B55,MEMBERS!B:C,2, )</f>
        <v>DGM AZFAR ALI</v>
      </c>
      <c r="D55" s="188">
        <v>45993</v>
      </c>
      <c r="E55" s="175">
        <v>1</v>
      </c>
      <c r="F55" s="168" t="s">
        <v>500</v>
      </c>
      <c r="G55" s="165">
        <f>IFERROR(VLOOKUP(F55,'menu list'!B:C,2,FALSE)*E55,"0")</f>
        <v>1250</v>
      </c>
      <c r="H55" s="334">
        <f t="shared" si="1"/>
        <v>187.5</v>
      </c>
      <c r="I55" s="165">
        <f t="shared" si="2"/>
        <v>1437.5</v>
      </c>
    </row>
    <row r="56" spans="1:9" ht="12.75" hidden="1" x14ac:dyDescent="0.25">
      <c r="A56" s="167">
        <f t="shared" si="6"/>
        <v>55</v>
      </c>
      <c r="B56" s="168" t="s">
        <v>308</v>
      </c>
      <c r="C56" s="168" t="str">
        <f>VLOOKUP(B56,MEMBERS!B:C,2, )</f>
        <v>DGM AZFAR ALI</v>
      </c>
      <c r="D56" s="188">
        <v>45993</v>
      </c>
      <c r="E56" s="175">
        <v>1</v>
      </c>
      <c r="F56" s="168" t="s">
        <v>497</v>
      </c>
      <c r="G56" s="165">
        <f>IFERROR(VLOOKUP(F56,'menu list'!B:C,2,FALSE)*E56,"0")</f>
        <v>250</v>
      </c>
      <c r="H56" s="334">
        <f t="shared" si="1"/>
        <v>37.5</v>
      </c>
      <c r="I56" s="165">
        <f t="shared" si="2"/>
        <v>287.5</v>
      </c>
    </row>
    <row r="57" spans="1:9" ht="12.75" hidden="1" x14ac:dyDescent="0.25">
      <c r="A57" s="167">
        <f t="shared" si="6"/>
        <v>56</v>
      </c>
      <c r="B57" s="168" t="s">
        <v>308</v>
      </c>
      <c r="C57" s="168" t="str">
        <f>VLOOKUP(B57,MEMBERS!B:C,2, )</f>
        <v>DGM AZFAR ALI</v>
      </c>
      <c r="D57" s="188">
        <v>45993</v>
      </c>
      <c r="E57" s="175">
        <v>2</v>
      </c>
      <c r="F57" s="168" t="s">
        <v>498</v>
      </c>
      <c r="G57" s="165">
        <f>IFERROR(VLOOKUP(F57,'menu list'!B:C,2,FALSE)*E57,"0")</f>
        <v>400</v>
      </c>
      <c r="H57" s="334">
        <f t="shared" si="1"/>
        <v>60</v>
      </c>
      <c r="I57" s="165">
        <f t="shared" si="2"/>
        <v>460</v>
      </c>
    </row>
    <row r="58" spans="1:9" ht="12.75" hidden="1" x14ac:dyDescent="0.25">
      <c r="A58" s="167">
        <f t="shared" si="6"/>
        <v>57</v>
      </c>
      <c r="B58" s="168" t="s">
        <v>308</v>
      </c>
      <c r="C58" s="168" t="str">
        <f>VLOOKUP(B58,MEMBERS!B:C,2, )</f>
        <v>DGM AZFAR ALI</v>
      </c>
      <c r="D58" s="188">
        <v>45993</v>
      </c>
      <c r="E58" s="175">
        <v>3</v>
      </c>
      <c r="F58" s="168" t="s">
        <v>775</v>
      </c>
      <c r="G58" s="165">
        <f>IFERROR(VLOOKUP(F58,'menu list'!B:C,2,FALSE)*E58,"0")</f>
        <v>300</v>
      </c>
      <c r="H58" s="334">
        <f t="shared" si="1"/>
        <v>45</v>
      </c>
      <c r="I58" s="165">
        <f t="shared" si="2"/>
        <v>345</v>
      </c>
    </row>
    <row r="59" spans="1:9" ht="12.75" hidden="1" x14ac:dyDescent="0.25">
      <c r="A59" s="167">
        <f t="shared" si="6"/>
        <v>58</v>
      </c>
      <c r="B59" s="168" t="s">
        <v>308</v>
      </c>
      <c r="C59" s="168" t="str">
        <f>VLOOKUP(B59,MEMBERS!B:C,2, )</f>
        <v>DGM AZFAR ALI</v>
      </c>
      <c r="D59" s="188">
        <v>45993</v>
      </c>
      <c r="E59" s="175">
        <v>1</v>
      </c>
      <c r="F59" s="168" t="s">
        <v>440</v>
      </c>
      <c r="G59" s="165">
        <f>IFERROR(VLOOKUP(F59,'menu list'!B:C,2,FALSE)*E59,"0")</f>
        <v>150</v>
      </c>
      <c r="H59" s="334">
        <f t="shared" si="1"/>
        <v>22.5</v>
      </c>
      <c r="I59" s="165">
        <f t="shared" si="2"/>
        <v>172.5</v>
      </c>
    </row>
    <row r="60" spans="1:9" ht="12.75" hidden="1" x14ac:dyDescent="0.25">
      <c r="A60" s="167">
        <f t="shared" si="6"/>
        <v>59</v>
      </c>
      <c r="B60" s="168" t="s">
        <v>395</v>
      </c>
      <c r="C60" s="168" t="str">
        <f>VLOOKUP(B60,MEMBERS!B:C,2, )</f>
        <v>BAHRIA INTERNATIONAL HOSPITAL</v>
      </c>
      <c r="D60" s="188">
        <v>45993</v>
      </c>
      <c r="E60" s="175">
        <v>8</v>
      </c>
      <c r="F60" s="168" t="s">
        <v>515</v>
      </c>
      <c r="G60" s="165">
        <f>IFERROR(VLOOKUP(F60,'menu list'!B:C,2,FALSE)*E60,"0")</f>
        <v>3200</v>
      </c>
      <c r="H60" s="334"/>
      <c r="I60" s="165">
        <f t="shared" si="2"/>
        <v>3200</v>
      </c>
    </row>
    <row r="61" spans="1:9" ht="12.75" hidden="1" x14ac:dyDescent="0.25">
      <c r="A61" s="167">
        <f t="shared" ref="A61:A74" si="7">IF(D61&lt;&gt;"", ROW()-1, "")</f>
        <v>60</v>
      </c>
      <c r="B61" s="168" t="s">
        <v>762</v>
      </c>
      <c r="C61" s="168" t="str">
        <f>VLOOKUP(B61,MEMBERS!B:C,2, )</f>
        <v>MR. KASHIF SAEED</v>
      </c>
      <c r="D61" s="188">
        <v>45993</v>
      </c>
      <c r="E61" s="175">
        <v>1</v>
      </c>
      <c r="F61" s="168" t="s">
        <v>500</v>
      </c>
      <c r="G61" s="165">
        <f>IFERROR(VLOOKUP(F61,'menu list'!B:C,2,FALSE)*E61,"0")</f>
        <v>1250</v>
      </c>
      <c r="H61" s="334">
        <f t="shared" si="1"/>
        <v>187.5</v>
      </c>
      <c r="I61" s="165">
        <f t="shared" si="2"/>
        <v>1437.5</v>
      </c>
    </row>
    <row r="62" spans="1:9" ht="12.75" hidden="1" x14ac:dyDescent="0.25">
      <c r="A62" s="167">
        <f t="shared" si="7"/>
        <v>61</v>
      </c>
      <c r="B62" s="168" t="s">
        <v>395</v>
      </c>
      <c r="C62" s="168" t="str">
        <f>VLOOKUP(B62,MEMBERS!B:C,2, )</f>
        <v>BAHRIA INTERNATIONAL HOSPITAL</v>
      </c>
      <c r="D62" s="188">
        <v>45993</v>
      </c>
      <c r="E62" s="175">
        <v>25</v>
      </c>
      <c r="F62" s="168" t="s">
        <v>775</v>
      </c>
      <c r="G62" s="165">
        <f>IFERROR(VLOOKUP(F62,'menu list'!B:C,2,FALSE)*E62,"0")</f>
        <v>2500</v>
      </c>
      <c r="H62" s="334"/>
      <c r="I62" s="165">
        <f t="shared" si="2"/>
        <v>2500</v>
      </c>
    </row>
    <row r="63" spans="1:9" ht="12.75" hidden="1" x14ac:dyDescent="0.25">
      <c r="A63" s="167">
        <f t="shared" si="7"/>
        <v>62</v>
      </c>
      <c r="B63" s="168" t="s">
        <v>395</v>
      </c>
      <c r="C63" s="168" t="str">
        <f>VLOOKUP(B63,MEMBERS!B:C,2, )</f>
        <v>BAHRIA INTERNATIONAL HOSPITAL</v>
      </c>
      <c r="D63" s="188">
        <v>45993</v>
      </c>
      <c r="E63" s="175">
        <v>10</v>
      </c>
      <c r="F63" s="168" t="s">
        <v>558</v>
      </c>
      <c r="G63" s="165">
        <f>IFERROR(VLOOKUP(F63,'menu list'!B:C,2,FALSE)*E63,"0")</f>
        <v>1500</v>
      </c>
      <c r="H63" s="334"/>
      <c r="I63" s="165">
        <f t="shared" si="2"/>
        <v>1500</v>
      </c>
    </row>
    <row r="64" spans="1:9" ht="12.75" hidden="1" x14ac:dyDescent="0.25">
      <c r="A64" s="167">
        <f t="shared" si="7"/>
        <v>63</v>
      </c>
      <c r="B64" s="168" t="s">
        <v>395</v>
      </c>
      <c r="C64" s="168" t="str">
        <f>VLOOKUP(B64,MEMBERS!B:C,2, )</f>
        <v>BAHRIA INTERNATIONAL HOSPITAL</v>
      </c>
      <c r="D64" s="188">
        <v>45993</v>
      </c>
      <c r="E64" s="175">
        <v>9</v>
      </c>
      <c r="F64" s="168" t="s">
        <v>516</v>
      </c>
      <c r="G64" s="165">
        <f>IFERROR(VLOOKUP(F64,'menu list'!B:C,2,FALSE)*E64,"0")</f>
        <v>2250</v>
      </c>
      <c r="H64" s="334"/>
      <c r="I64" s="165">
        <f t="shared" si="2"/>
        <v>2250</v>
      </c>
    </row>
    <row r="65" spans="1:9" ht="12.75" hidden="1" x14ac:dyDescent="0.25">
      <c r="A65" s="167">
        <f t="shared" si="7"/>
        <v>64</v>
      </c>
      <c r="B65" s="168" t="s">
        <v>69</v>
      </c>
      <c r="C65" s="168" t="str">
        <f>VLOOKUP(B65,MEMBERS!B:C,2, )</f>
        <v>MR.TARIQUE ZUBAIR</v>
      </c>
      <c r="D65" s="188">
        <v>45993</v>
      </c>
      <c r="E65" s="175">
        <v>1</v>
      </c>
      <c r="F65" s="168" t="s">
        <v>853</v>
      </c>
      <c r="G65" s="165">
        <v>0</v>
      </c>
      <c r="H65" s="334">
        <f t="shared" si="1"/>
        <v>0</v>
      </c>
      <c r="I65" s="165">
        <f t="shared" si="2"/>
        <v>0</v>
      </c>
    </row>
    <row r="66" spans="1:9" ht="12.75" hidden="1" x14ac:dyDescent="0.25">
      <c r="A66" s="167">
        <f t="shared" si="7"/>
        <v>65</v>
      </c>
      <c r="B66" s="168" t="s">
        <v>69</v>
      </c>
      <c r="C66" s="168" t="str">
        <f>VLOOKUP(B66,MEMBERS!B:C,2, )</f>
        <v>MR.TARIQUE ZUBAIR</v>
      </c>
      <c r="D66" s="188">
        <v>45993</v>
      </c>
      <c r="E66" s="175">
        <v>4</v>
      </c>
      <c r="F66" s="168" t="s">
        <v>439</v>
      </c>
      <c r="G66" s="165">
        <v>0</v>
      </c>
      <c r="H66" s="334">
        <f t="shared" si="1"/>
        <v>0</v>
      </c>
      <c r="I66" s="165">
        <f t="shared" si="2"/>
        <v>0</v>
      </c>
    </row>
    <row r="67" spans="1:9" ht="12.75" hidden="1" x14ac:dyDescent="0.25">
      <c r="A67" s="167">
        <f t="shared" si="7"/>
        <v>66</v>
      </c>
      <c r="B67" s="168" t="s">
        <v>374</v>
      </c>
      <c r="C67" s="168" t="str">
        <f>VLOOKUP(B67,MEMBERS!B:C,2, )</f>
        <v>AAMIR RASOOL</v>
      </c>
      <c r="D67" s="188">
        <v>45995</v>
      </c>
      <c r="E67" s="175">
        <v>1</v>
      </c>
      <c r="F67" s="168" t="s">
        <v>440</v>
      </c>
      <c r="G67" s="165">
        <f>IFERROR(VLOOKUP(F67,'menu list'!B:C,2,FALSE)*E67,"0")</f>
        <v>150</v>
      </c>
      <c r="H67" s="334">
        <f t="shared" ref="H67:H130" si="8">G67*15/100</f>
        <v>22.5</v>
      </c>
      <c r="I67" s="165">
        <f t="shared" ref="I67:I130" si="9">G67+H67</f>
        <v>172.5</v>
      </c>
    </row>
    <row r="68" spans="1:9" ht="12.75" hidden="1" x14ac:dyDescent="0.25">
      <c r="A68" s="167">
        <f t="shared" si="7"/>
        <v>67</v>
      </c>
      <c r="B68" s="168" t="s">
        <v>374</v>
      </c>
      <c r="C68" s="168" t="str">
        <f>VLOOKUP(B68,MEMBERS!B:C,2, )</f>
        <v>AAMIR RASOOL</v>
      </c>
      <c r="D68" s="188">
        <v>45995</v>
      </c>
      <c r="E68" s="175">
        <v>1</v>
      </c>
      <c r="F68" s="168" t="s">
        <v>604</v>
      </c>
      <c r="G68" s="165">
        <f>IFERROR(VLOOKUP(F68,'menu list'!B:C,2,FALSE)*E68,"0")</f>
        <v>450</v>
      </c>
      <c r="H68" s="334">
        <f t="shared" si="8"/>
        <v>67.5</v>
      </c>
      <c r="I68" s="165">
        <f t="shared" si="9"/>
        <v>517.5</v>
      </c>
    </row>
    <row r="69" spans="1:9" ht="12.75" hidden="1" x14ac:dyDescent="0.25">
      <c r="A69" s="167">
        <f t="shared" si="7"/>
        <v>68</v>
      </c>
      <c r="B69" s="168" t="s">
        <v>254</v>
      </c>
      <c r="C69" s="168" t="str">
        <f>VLOOKUP(B69,MEMBERS!B:C,2, )</f>
        <v>MR.SYED HAMID SHAH</v>
      </c>
      <c r="D69" s="188">
        <v>45995</v>
      </c>
      <c r="E69" s="175">
        <v>1</v>
      </c>
      <c r="F69" s="168" t="s">
        <v>828</v>
      </c>
      <c r="G69" s="165">
        <f>IFERROR(VLOOKUP(F69,'menu list'!B:C,2,FALSE)*E69,"0")</f>
        <v>850</v>
      </c>
      <c r="H69" s="334">
        <f t="shared" si="8"/>
        <v>127.5</v>
      </c>
      <c r="I69" s="165">
        <f t="shared" si="9"/>
        <v>977.5</v>
      </c>
    </row>
    <row r="70" spans="1:9" ht="12.75" hidden="1" x14ac:dyDescent="0.25">
      <c r="A70" s="167">
        <f t="shared" si="7"/>
        <v>69</v>
      </c>
      <c r="B70" s="168" t="s">
        <v>254</v>
      </c>
      <c r="C70" s="168" t="str">
        <f>VLOOKUP(B70,MEMBERS!B:C,2, )</f>
        <v>MR.SYED HAMID SHAH</v>
      </c>
      <c r="D70" s="188">
        <v>45995</v>
      </c>
      <c r="E70" s="175">
        <v>1</v>
      </c>
      <c r="F70" s="168" t="s">
        <v>440</v>
      </c>
      <c r="G70" s="165">
        <f>IFERROR(VLOOKUP(F70,'menu list'!B:C,2,FALSE)*E70,"0")</f>
        <v>150</v>
      </c>
      <c r="H70" s="334">
        <f t="shared" si="8"/>
        <v>22.5</v>
      </c>
      <c r="I70" s="165">
        <f t="shared" si="9"/>
        <v>172.5</v>
      </c>
    </row>
    <row r="71" spans="1:9" ht="12.75" hidden="1" x14ac:dyDescent="0.25">
      <c r="A71" s="167">
        <f t="shared" si="7"/>
        <v>70</v>
      </c>
      <c r="B71" s="168" t="s">
        <v>254</v>
      </c>
      <c r="C71" s="168" t="str">
        <f>VLOOKUP(B71,MEMBERS!B:C,2, )</f>
        <v>MR.SYED HAMID SHAH</v>
      </c>
      <c r="D71" s="188">
        <v>45995</v>
      </c>
      <c r="E71" s="175">
        <v>1</v>
      </c>
      <c r="F71" s="168" t="s">
        <v>1057</v>
      </c>
      <c r="G71" s="165">
        <f>IFERROR(VLOOKUP(F71,'menu list'!B:C,2,FALSE)*E71,"0")</f>
        <v>850</v>
      </c>
      <c r="H71" s="334">
        <f t="shared" si="8"/>
        <v>127.5</v>
      </c>
      <c r="I71" s="165">
        <f t="shared" si="9"/>
        <v>977.5</v>
      </c>
    </row>
    <row r="72" spans="1:9" ht="12.75" hidden="1" x14ac:dyDescent="0.25">
      <c r="A72" s="167">
        <f t="shared" si="7"/>
        <v>71</v>
      </c>
      <c r="B72" s="168" t="s">
        <v>254</v>
      </c>
      <c r="C72" s="168" t="str">
        <f>VLOOKUP(B72,MEMBERS!B:C,2, )</f>
        <v>MR.SYED HAMID SHAH</v>
      </c>
      <c r="D72" s="188">
        <v>45995</v>
      </c>
      <c r="E72" s="175">
        <v>1</v>
      </c>
      <c r="F72" s="168" t="s">
        <v>500</v>
      </c>
      <c r="G72" s="165">
        <f>IFERROR(VLOOKUP(F72,'menu list'!B:C,2,FALSE)*E72,"0")</f>
        <v>1250</v>
      </c>
      <c r="H72" s="334">
        <f t="shared" si="8"/>
        <v>187.5</v>
      </c>
      <c r="I72" s="165">
        <f t="shared" si="9"/>
        <v>1437.5</v>
      </c>
    </row>
    <row r="73" spans="1:9" ht="12.75" hidden="1" x14ac:dyDescent="0.25">
      <c r="A73" s="167">
        <f t="shared" si="7"/>
        <v>72</v>
      </c>
      <c r="B73" s="168" t="s">
        <v>254</v>
      </c>
      <c r="C73" s="168" t="str">
        <f>VLOOKUP(B73,MEMBERS!B:C,2, )</f>
        <v>MR.SYED HAMID SHAH</v>
      </c>
      <c r="D73" s="188">
        <v>45995</v>
      </c>
      <c r="E73" s="175">
        <v>4</v>
      </c>
      <c r="F73" s="168" t="s">
        <v>502</v>
      </c>
      <c r="G73" s="165">
        <f>IFERROR(VLOOKUP(F73,'menu list'!B:C,2,FALSE)*E73,"0")</f>
        <v>1400</v>
      </c>
      <c r="H73" s="334">
        <f t="shared" si="8"/>
        <v>210</v>
      </c>
      <c r="I73" s="165">
        <f t="shared" si="9"/>
        <v>1610</v>
      </c>
    </row>
    <row r="74" spans="1:9" ht="12.75" hidden="1" x14ac:dyDescent="0.25">
      <c r="A74" s="167">
        <f t="shared" si="7"/>
        <v>73</v>
      </c>
      <c r="B74" s="168" t="s">
        <v>418</v>
      </c>
      <c r="C74" s="168" t="str">
        <f>VLOOKUP(B74,MEMBERS!B:C,2, )</f>
        <v>ZAIB UR REHMAN</v>
      </c>
      <c r="D74" s="188">
        <v>45995</v>
      </c>
      <c r="E74" s="175">
        <v>1</v>
      </c>
      <c r="F74" s="168" t="s">
        <v>772</v>
      </c>
      <c r="G74" s="165">
        <f>IFERROR(VLOOKUP(F74,'menu list'!B:C,2,FALSE)*E74,"0")</f>
        <v>900</v>
      </c>
      <c r="H74" s="334">
        <f t="shared" si="8"/>
        <v>135</v>
      </c>
      <c r="I74" s="165">
        <f t="shared" si="9"/>
        <v>1035</v>
      </c>
    </row>
    <row r="75" spans="1:9" ht="12.75" hidden="1" x14ac:dyDescent="0.25">
      <c r="A75" s="167">
        <f t="shared" ref="A75:A111" si="10">IF(D75&lt;&gt;"", ROW()-1, "")</f>
        <v>74</v>
      </c>
      <c r="B75" s="168" t="s">
        <v>418</v>
      </c>
      <c r="C75" s="168" t="str">
        <f>VLOOKUP(B75,MEMBERS!B:C,2, )</f>
        <v>ZAIB UR REHMAN</v>
      </c>
      <c r="D75" s="188">
        <v>45995</v>
      </c>
      <c r="E75" s="175">
        <v>6</v>
      </c>
      <c r="F75" s="168" t="s">
        <v>439</v>
      </c>
      <c r="G75" s="165">
        <f>IFERROR(VLOOKUP(F75,'menu list'!B:C,2,FALSE)*E75,"0")</f>
        <v>420</v>
      </c>
      <c r="H75" s="334">
        <f t="shared" si="8"/>
        <v>63</v>
      </c>
      <c r="I75" s="165">
        <f t="shared" si="9"/>
        <v>483</v>
      </c>
    </row>
    <row r="76" spans="1:9" ht="12.75" hidden="1" x14ac:dyDescent="0.25">
      <c r="A76" s="167">
        <f t="shared" si="10"/>
        <v>75</v>
      </c>
      <c r="B76" s="168" t="s">
        <v>418</v>
      </c>
      <c r="C76" s="168" t="str">
        <f>VLOOKUP(B76,MEMBERS!B:C,2, )</f>
        <v>ZAIB UR REHMAN</v>
      </c>
      <c r="D76" s="188">
        <v>45995</v>
      </c>
      <c r="E76" s="175">
        <v>3</v>
      </c>
      <c r="F76" s="168" t="s">
        <v>870</v>
      </c>
      <c r="G76" s="165">
        <f>IFERROR(VLOOKUP(F76,'menu list'!B:C,2,FALSE)*E76,"0")</f>
        <v>3300</v>
      </c>
      <c r="H76" s="334">
        <f t="shared" si="8"/>
        <v>495</v>
      </c>
      <c r="I76" s="165">
        <f t="shared" si="9"/>
        <v>3795</v>
      </c>
    </row>
    <row r="77" spans="1:9" ht="12.75" hidden="1" x14ac:dyDescent="0.25">
      <c r="A77" s="167">
        <f t="shared" si="10"/>
        <v>76</v>
      </c>
      <c r="B77" s="168" t="s">
        <v>187</v>
      </c>
      <c r="C77" s="168" t="str">
        <f>VLOOKUP(B77,MEMBERS!B:C,2, )</f>
        <v>MR.SHAN ELAHI SEHGAL</v>
      </c>
      <c r="D77" s="188">
        <v>45995</v>
      </c>
      <c r="E77" s="175">
        <v>1</v>
      </c>
      <c r="F77" s="168" t="s">
        <v>894</v>
      </c>
      <c r="G77" s="165">
        <f>IFERROR(VLOOKUP(F77,'menu list'!B:C,2,FALSE)*E77,"0")</f>
        <v>300</v>
      </c>
      <c r="H77" s="334">
        <f t="shared" si="8"/>
        <v>45</v>
      </c>
      <c r="I77" s="165">
        <f t="shared" si="9"/>
        <v>345</v>
      </c>
    </row>
    <row r="78" spans="1:9" ht="12.75" hidden="1" x14ac:dyDescent="0.25">
      <c r="A78" s="167">
        <f t="shared" ref="A78:A79" si="11">IF(D78&lt;&gt;"", ROW()-1, "")</f>
        <v>77</v>
      </c>
      <c r="B78" s="168" t="s">
        <v>187</v>
      </c>
      <c r="C78" s="168" t="str">
        <f>VLOOKUP(B78,MEMBERS!B:C,2, )</f>
        <v>MR.SHAN ELAHI SEHGAL</v>
      </c>
      <c r="D78" s="188">
        <v>45995</v>
      </c>
      <c r="E78" s="175">
        <v>1</v>
      </c>
      <c r="F78" s="168" t="s">
        <v>775</v>
      </c>
      <c r="G78" s="165">
        <f>IFERROR(VLOOKUP(F78,'menu list'!B:C,2,FALSE)*E78,"0")</f>
        <v>100</v>
      </c>
      <c r="H78" s="334">
        <f t="shared" si="8"/>
        <v>15</v>
      </c>
      <c r="I78" s="165">
        <f t="shared" si="9"/>
        <v>115</v>
      </c>
    </row>
    <row r="79" spans="1:9" ht="12.75" hidden="1" x14ac:dyDescent="0.25">
      <c r="A79" s="167">
        <f t="shared" si="11"/>
        <v>78</v>
      </c>
      <c r="B79" s="168" t="s">
        <v>187</v>
      </c>
      <c r="C79" s="168" t="str">
        <f>VLOOKUP(B79,MEMBERS!B:C,2, )</f>
        <v>MR.SHAN ELAHI SEHGAL</v>
      </c>
      <c r="D79" s="188">
        <v>45995</v>
      </c>
      <c r="E79" s="175">
        <v>1</v>
      </c>
      <c r="F79" s="168" t="s">
        <v>499</v>
      </c>
      <c r="G79" s="165">
        <f>IFERROR(VLOOKUP(F79,'menu list'!B:C,2,FALSE)*E79,"0")</f>
        <v>100</v>
      </c>
      <c r="H79" s="334">
        <f t="shared" si="8"/>
        <v>15</v>
      </c>
      <c r="I79" s="165">
        <f t="shared" si="9"/>
        <v>115</v>
      </c>
    </row>
    <row r="80" spans="1:9" ht="12.75" hidden="1" x14ac:dyDescent="0.25">
      <c r="A80" s="167">
        <f t="shared" si="10"/>
        <v>79</v>
      </c>
      <c r="B80" s="168" t="s">
        <v>430</v>
      </c>
      <c r="C80" s="168" t="str">
        <f>VLOOKUP(B80,MEMBERS!B:C,2, )</f>
        <v>SYED JIBRAN MUSHTAQ</v>
      </c>
      <c r="D80" s="188">
        <v>45995</v>
      </c>
      <c r="E80" s="175">
        <v>1</v>
      </c>
      <c r="F80" s="168" t="s">
        <v>653</v>
      </c>
      <c r="G80" s="165">
        <f>IFERROR(VLOOKUP(F80,'menu list'!B:C,2,FALSE)*E80,"0")</f>
        <v>350</v>
      </c>
      <c r="H80" s="334">
        <f t="shared" si="8"/>
        <v>52.5</v>
      </c>
      <c r="I80" s="165">
        <f t="shared" si="9"/>
        <v>402.5</v>
      </c>
    </row>
    <row r="81" spans="1:9" ht="12.75" hidden="1" x14ac:dyDescent="0.25">
      <c r="A81" s="167">
        <f t="shared" si="10"/>
        <v>80</v>
      </c>
      <c r="B81" s="168" t="s">
        <v>430</v>
      </c>
      <c r="C81" s="168" t="str">
        <f>VLOOKUP(B81,MEMBERS!B:C,2, )</f>
        <v>SYED JIBRAN MUSHTAQ</v>
      </c>
      <c r="D81" s="188">
        <v>45995</v>
      </c>
      <c r="E81" s="175">
        <v>3</v>
      </c>
      <c r="F81" s="168" t="s">
        <v>713</v>
      </c>
      <c r="G81" s="165">
        <f>IFERROR(VLOOKUP(F81,'menu list'!B:C,2,FALSE)*E81,"0")</f>
        <v>1350</v>
      </c>
      <c r="H81" s="334">
        <f t="shared" si="8"/>
        <v>202.5</v>
      </c>
      <c r="I81" s="165">
        <f t="shared" si="9"/>
        <v>1552.5</v>
      </c>
    </row>
    <row r="82" spans="1:9" ht="12.75" hidden="1" x14ac:dyDescent="0.25">
      <c r="A82" s="167">
        <f t="shared" si="10"/>
        <v>81</v>
      </c>
      <c r="B82" s="168" t="s">
        <v>430</v>
      </c>
      <c r="C82" s="168" t="str">
        <f>VLOOKUP(B82,MEMBERS!B:C,2, )</f>
        <v>SYED JIBRAN MUSHTAQ</v>
      </c>
      <c r="D82" s="188">
        <v>45995</v>
      </c>
      <c r="E82" s="175">
        <v>1</v>
      </c>
      <c r="F82" s="168" t="s">
        <v>500</v>
      </c>
      <c r="G82" s="165">
        <f>IFERROR(VLOOKUP(F82,'menu list'!B:C,2,FALSE)*E82,"0")</f>
        <v>1250</v>
      </c>
      <c r="H82" s="334">
        <f t="shared" si="8"/>
        <v>187.5</v>
      </c>
      <c r="I82" s="165">
        <f t="shared" si="9"/>
        <v>1437.5</v>
      </c>
    </row>
    <row r="83" spans="1:9" ht="12.75" hidden="1" x14ac:dyDescent="0.25">
      <c r="A83" s="167">
        <f t="shared" si="10"/>
        <v>82</v>
      </c>
      <c r="B83" s="168" t="s">
        <v>430</v>
      </c>
      <c r="C83" s="168" t="str">
        <f>VLOOKUP(B83,MEMBERS!B:C,2, )</f>
        <v>SYED JIBRAN MUSHTAQ</v>
      </c>
      <c r="D83" s="188">
        <v>45995</v>
      </c>
      <c r="E83" s="175">
        <v>2</v>
      </c>
      <c r="F83" s="168" t="s">
        <v>502</v>
      </c>
      <c r="G83" s="165">
        <f>IFERROR(VLOOKUP(F83,'menu list'!B:C,2,FALSE)*E83,"0")</f>
        <v>700</v>
      </c>
      <c r="H83" s="334">
        <f t="shared" si="8"/>
        <v>105</v>
      </c>
      <c r="I83" s="165">
        <f t="shared" si="9"/>
        <v>805</v>
      </c>
    </row>
    <row r="84" spans="1:9" ht="12.75" hidden="1" x14ac:dyDescent="0.25">
      <c r="A84" s="167">
        <f t="shared" si="10"/>
        <v>83</v>
      </c>
      <c r="B84" s="168" t="s">
        <v>430</v>
      </c>
      <c r="C84" s="168" t="str">
        <f>VLOOKUP(B84,MEMBERS!B:C,2, )</f>
        <v>SYED JIBRAN MUSHTAQ</v>
      </c>
      <c r="D84" s="188">
        <v>45995</v>
      </c>
      <c r="E84" s="175">
        <v>1</v>
      </c>
      <c r="F84" s="168" t="s">
        <v>879</v>
      </c>
      <c r="G84" s="165">
        <f>IFERROR(VLOOKUP(F84,'menu list'!B:C,2,FALSE)*E84,"0")</f>
        <v>1000</v>
      </c>
      <c r="H84" s="334">
        <f t="shared" si="8"/>
        <v>150</v>
      </c>
      <c r="I84" s="165">
        <f t="shared" si="9"/>
        <v>1150</v>
      </c>
    </row>
    <row r="85" spans="1:9" ht="12.75" hidden="1" x14ac:dyDescent="0.25">
      <c r="A85" s="167">
        <f t="shared" si="10"/>
        <v>84</v>
      </c>
      <c r="B85" s="168" t="s">
        <v>430</v>
      </c>
      <c r="C85" s="168" t="str">
        <f>VLOOKUP(B85,MEMBERS!B:C,2, )</f>
        <v>SYED JIBRAN MUSHTAQ</v>
      </c>
      <c r="D85" s="188">
        <v>45995</v>
      </c>
      <c r="E85" s="175">
        <v>3</v>
      </c>
      <c r="F85" s="168" t="s">
        <v>439</v>
      </c>
      <c r="G85" s="165">
        <f>IFERROR(VLOOKUP(F85,'menu list'!B:C,2,FALSE)*E85,"0")</f>
        <v>210</v>
      </c>
      <c r="H85" s="334">
        <f t="shared" si="8"/>
        <v>31.5</v>
      </c>
      <c r="I85" s="165">
        <f t="shared" si="9"/>
        <v>241.5</v>
      </c>
    </row>
    <row r="86" spans="1:9" ht="12.75" hidden="1" x14ac:dyDescent="0.25">
      <c r="A86" s="167">
        <f t="shared" si="10"/>
        <v>85</v>
      </c>
      <c r="B86" s="168" t="s">
        <v>430</v>
      </c>
      <c r="C86" s="168" t="str">
        <f>VLOOKUP(B86,MEMBERS!B:C,2, )</f>
        <v>SYED JIBRAN MUSHTAQ</v>
      </c>
      <c r="D86" s="188">
        <v>45995</v>
      </c>
      <c r="E86" s="175">
        <v>1</v>
      </c>
      <c r="F86" s="168" t="s">
        <v>908</v>
      </c>
      <c r="G86" s="165">
        <f>IFERROR(VLOOKUP(F86,'menu list'!B:C,2,FALSE)*E86,"0")</f>
        <v>1200</v>
      </c>
      <c r="H86" s="334">
        <f t="shared" si="8"/>
        <v>180</v>
      </c>
      <c r="I86" s="165">
        <f t="shared" si="9"/>
        <v>1380</v>
      </c>
    </row>
    <row r="87" spans="1:9" ht="12.75" hidden="1" x14ac:dyDescent="0.25">
      <c r="A87" s="167">
        <f t="shared" si="10"/>
        <v>86</v>
      </c>
      <c r="B87" s="168" t="s">
        <v>430</v>
      </c>
      <c r="C87" s="168" t="str">
        <f>VLOOKUP(B87,MEMBERS!B:C,2, )</f>
        <v>SYED JIBRAN MUSHTAQ</v>
      </c>
      <c r="D87" s="188">
        <v>45995</v>
      </c>
      <c r="E87" s="175">
        <v>2</v>
      </c>
      <c r="F87" s="168" t="s">
        <v>440</v>
      </c>
      <c r="G87" s="165">
        <f>IFERROR(VLOOKUP(F87,'menu list'!B:C,2,FALSE)*E87,"0")</f>
        <v>300</v>
      </c>
      <c r="H87" s="334">
        <f t="shared" si="8"/>
        <v>45</v>
      </c>
      <c r="I87" s="165">
        <f t="shared" si="9"/>
        <v>345</v>
      </c>
    </row>
    <row r="88" spans="1:9" ht="12.75" hidden="1" x14ac:dyDescent="0.25">
      <c r="A88" s="167">
        <f t="shared" si="10"/>
        <v>87</v>
      </c>
      <c r="B88" s="168" t="s">
        <v>430</v>
      </c>
      <c r="C88" s="168" t="str">
        <f>VLOOKUP(B88,MEMBERS!B:C,2, )</f>
        <v>SYED JIBRAN MUSHTAQ</v>
      </c>
      <c r="D88" s="188">
        <v>45995</v>
      </c>
      <c r="E88" s="175">
        <v>1</v>
      </c>
      <c r="F88" s="168" t="s">
        <v>497</v>
      </c>
      <c r="G88" s="165">
        <f>IFERROR(VLOOKUP(F88,'menu list'!B:C,2,FALSE)*E88,"0")</f>
        <v>250</v>
      </c>
      <c r="H88" s="334">
        <f t="shared" si="8"/>
        <v>37.5</v>
      </c>
      <c r="I88" s="165">
        <f t="shared" si="9"/>
        <v>287.5</v>
      </c>
    </row>
    <row r="89" spans="1:9" ht="12.75" hidden="1" x14ac:dyDescent="0.25">
      <c r="A89" s="167">
        <f t="shared" si="10"/>
        <v>88</v>
      </c>
      <c r="B89" s="168" t="s">
        <v>430</v>
      </c>
      <c r="C89" s="168" t="str">
        <f>VLOOKUP(B89,MEMBERS!B:C,2, )</f>
        <v>SYED JIBRAN MUSHTAQ</v>
      </c>
      <c r="D89" s="188">
        <v>45995</v>
      </c>
      <c r="E89" s="175">
        <v>1</v>
      </c>
      <c r="F89" s="168" t="s">
        <v>910</v>
      </c>
      <c r="G89" s="165">
        <f>IFERROR(VLOOKUP(F89,'menu list'!B:C,2,FALSE)*E89,"0")</f>
        <v>300</v>
      </c>
      <c r="H89" s="334">
        <f t="shared" si="8"/>
        <v>45</v>
      </c>
      <c r="I89" s="165">
        <f t="shared" si="9"/>
        <v>345</v>
      </c>
    </row>
    <row r="90" spans="1:9" ht="12.75" hidden="1" x14ac:dyDescent="0.25">
      <c r="A90" s="167">
        <f t="shared" si="10"/>
        <v>89</v>
      </c>
      <c r="B90" s="168" t="s">
        <v>430</v>
      </c>
      <c r="C90" s="168" t="str">
        <f>VLOOKUP(B90,MEMBERS!B:C,2, )</f>
        <v>SYED JIBRAN MUSHTAQ</v>
      </c>
      <c r="D90" s="188">
        <v>45995</v>
      </c>
      <c r="E90" s="175">
        <v>4</v>
      </c>
      <c r="F90" s="168" t="s">
        <v>499</v>
      </c>
      <c r="G90" s="165">
        <f>IFERROR(VLOOKUP(F90,'menu list'!B:C,2,FALSE)*E90,"0")</f>
        <v>400</v>
      </c>
      <c r="H90" s="334">
        <f t="shared" si="8"/>
        <v>60</v>
      </c>
      <c r="I90" s="165">
        <f t="shared" si="9"/>
        <v>460</v>
      </c>
    </row>
    <row r="91" spans="1:9" ht="12.75" hidden="1" x14ac:dyDescent="0.25">
      <c r="A91" s="167">
        <f t="shared" si="10"/>
        <v>90</v>
      </c>
      <c r="B91" s="168" t="s">
        <v>197</v>
      </c>
      <c r="C91" s="168" t="str">
        <f>VLOOKUP(B91,MEMBERS!B:C,2, )</f>
        <v>MR.MUHAMMAD ATIF USMANI</v>
      </c>
      <c r="D91" s="188">
        <v>45994</v>
      </c>
      <c r="E91" s="175">
        <v>2</v>
      </c>
      <c r="F91" s="168" t="s">
        <v>653</v>
      </c>
      <c r="G91" s="165">
        <f>IFERROR(VLOOKUP(F91,'menu list'!B:C,2,FALSE)*E91,"0")</f>
        <v>700</v>
      </c>
      <c r="H91" s="334">
        <f t="shared" si="8"/>
        <v>105</v>
      </c>
      <c r="I91" s="165">
        <f t="shared" si="9"/>
        <v>805</v>
      </c>
    </row>
    <row r="92" spans="1:9" ht="12.75" hidden="1" x14ac:dyDescent="0.25">
      <c r="A92" s="167">
        <f t="shared" si="10"/>
        <v>91</v>
      </c>
      <c r="B92" s="168" t="s">
        <v>454</v>
      </c>
      <c r="C92" s="168" t="str">
        <f>VLOOKUP(B92,MEMBERS!B:C,2, )</f>
        <v>Heritage club</v>
      </c>
      <c r="D92" s="188">
        <v>45994</v>
      </c>
      <c r="E92" s="175">
        <v>4</v>
      </c>
      <c r="F92" s="168" t="s">
        <v>836</v>
      </c>
      <c r="G92" s="165">
        <f>IFERROR(VLOOKUP(F92,'menu list'!B:C,2,FALSE)*E92,"0")</f>
        <v>1400</v>
      </c>
      <c r="H92" s="334">
        <f t="shared" si="8"/>
        <v>210</v>
      </c>
      <c r="I92" s="165">
        <f t="shared" si="9"/>
        <v>1610</v>
      </c>
    </row>
    <row r="93" spans="1:9" ht="12.75" hidden="1" x14ac:dyDescent="0.25">
      <c r="A93" s="167">
        <f t="shared" si="10"/>
        <v>92</v>
      </c>
      <c r="B93" s="168" t="s">
        <v>454</v>
      </c>
      <c r="C93" s="168" t="str">
        <f>VLOOKUP(B93,MEMBERS!B:C,2, )</f>
        <v>Heritage club</v>
      </c>
      <c r="D93" s="188">
        <v>45994</v>
      </c>
      <c r="E93" s="175">
        <v>2</v>
      </c>
      <c r="F93" s="168" t="s">
        <v>500</v>
      </c>
      <c r="G93" s="165">
        <f>IFERROR(VLOOKUP(F93,'menu list'!B:C,2,FALSE)*E93,"0")</f>
        <v>2500</v>
      </c>
      <c r="H93" s="334">
        <f t="shared" si="8"/>
        <v>375</v>
      </c>
      <c r="I93" s="165">
        <f t="shared" si="9"/>
        <v>2875</v>
      </c>
    </row>
    <row r="94" spans="1:9" ht="12.75" hidden="1" x14ac:dyDescent="0.25">
      <c r="A94" s="167">
        <f t="shared" si="10"/>
        <v>93</v>
      </c>
      <c r="B94" s="168" t="s">
        <v>454</v>
      </c>
      <c r="C94" s="168" t="str">
        <f>VLOOKUP(B94,MEMBERS!B:C,2, )</f>
        <v>Heritage club</v>
      </c>
      <c r="D94" s="188">
        <v>45994</v>
      </c>
      <c r="E94" s="175">
        <v>1</v>
      </c>
      <c r="F94" s="168" t="s">
        <v>498</v>
      </c>
      <c r="G94" s="165">
        <f>IFERROR(VLOOKUP(F94,'menu list'!B:C,2,FALSE)*E94,"0")</f>
        <v>200</v>
      </c>
      <c r="H94" s="334">
        <f t="shared" si="8"/>
        <v>30</v>
      </c>
      <c r="I94" s="165">
        <f t="shared" si="9"/>
        <v>230</v>
      </c>
    </row>
    <row r="95" spans="1:9" ht="12.75" hidden="1" x14ac:dyDescent="0.25">
      <c r="A95" s="167">
        <f t="shared" si="10"/>
        <v>94</v>
      </c>
      <c r="B95" s="168" t="s">
        <v>378</v>
      </c>
      <c r="C95" s="168" t="str">
        <f>VLOOKUP(B95,MEMBERS!B:C,2, )</f>
        <v>SABA AHSAN</v>
      </c>
      <c r="D95" s="188">
        <v>45994</v>
      </c>
      <c r="E95" s="175">
        <v>1</v>
      </c>
      <c r="F95" s="168" t="s">
        <v>500</v>
      </c>
      <c r="G95" s="165">
        <f>IFERROR(VLOOKUP(F95,'menu list'!B:C,2,FALSE)*E95,"0")</f>
        <v>1250</v>
      </c>
      <c r="H95" s="334">
        <f t="shared" si="8"/>
        <v>187.5</v>
      </c>
      <c r="I95" s="165">
        <f t="shared" si="9"/>
        <v>1437.5</v>
      </c>
    </row>
    <row r="96" spans="1:9" ht="12.75" hidden="1" x14ac:dyDescent="0.25">
      <c r="A96" s="167">
        <f t="shared" si="10"/>
        <v>95</v>
      </c>
      <c r="B96" s="168" t="s">
        <v>378</v>
      </c>
      <c r="C96" s="168" t="str">
        <f>VLOOKUP(B96,MEMBERS!B:C,2, )</f>
        <v>SABA AHSAN</v>
      </c>
      <c r="D96" s="188">
        <v>45994</v>
      </c>
      <c r="E96" s="175">
        <v>1</v>
      </c>
      <c r="F96" s="168" t="s">
        <v>499</v>
      </c>
      <c r="G96" s="165">
        <f>IFERROR(VLOOKUP(F96,'menu list'!B:C,2,FALSE)*E96,"0")</f>
        <v>100</v>
      </c>
      <c r="H96" s="334">
        <f t="shared" si="8"/>
        <v>15</v>
      </c>
      <c r="I96" s="165">
        <f t="shared" si="9"/>
        <v>115</v>
      </c>
    </row>
    <row r="97" spans="1:9" ht="12.75" hidden="1" x14ac:dyDescent="0.25">
      <c r="A97" s="167">
        <f t="shared" si="10"/>
        <v>96</v>
      </c>
      <c r="B97" s="168" t="s">
        <v>1020</v>
      </c>
      <c r="C97" s="168" t="str">
        <f>VLOOKUP(B97,MEMBERS!B:C,2, )</f>
        <v>MR. MUNAWAR HUSSAIN</v>
      </c>
      <c r="D97" s="188">
        <v>45994</v>
      </c>
      <c r="E97" s="175">
        <v>1</v>
      </c>
      <c r="F97" s="168" t="s">
        <v>836</v>
      </c>
      <c r="G97" s="165">
        <f>IFERROR(VLOOKUP(F97,'menu list'!B:C,2,FALSE)*E97,"0")</f>
        <v>350</v>
      </c>
      <c r="H97" s="334">
        <f t="shared" si="8"/>
        <v>52.5</v>
      </c>
      <c r="I97" s="165">
        <f t="shared" si="9"/>
        <v>402.5</v>
      </c>
    </row>
    <row r="98" spans="1:9" ht="12.75" hidden="1" x14ac:dyDescent="0.25">
      <c r="A98" s="167">
        <f t="shared" si="10"/>
        <v>97</v>
      </c>
      <c r="B98" s="168" t="s">
        <v>1020</v>
      </c>
      <c r="C98" s="168" t="str">
        <f>VLOOKUP(B98,MEMBERS!B:C,2, )</f>
        <v>MR. MUNAWAR HUSSAIN</v>
      </c>
      <c r="D98" s="188">
        <v>45994</v>
      </c>
      <c r="E98" s="175">
        <v>1</v>
      </c>
      <c r="F98" s="168" t="s">
        <v>541</v>
      </c>
      <c r="G98" s="165">
        <f>IFERROR(VLOOKUP(F98,'menu list'!B:C,2,FALSE)*E98,"0")</f>
        <v>200</v>
      </c>
      <c r="H98" s="334">
        <f t="shared" si="8"/>
        <v>30</v>
      </c>
      <c r="I98" s="165">
        <f t="shared" si="9"/>
        <v>230</v>
      </c>
    </row>
    <row r="99" spans="1:9" ht="12.75" hidden="1" x14ac:dyDescent="0.25">
      <c r="A99" s="167">
        <f t="shared" si="10"/>
        <v>98</v>
      </c>
      <c r="B99" s="168" t="s">
        <v>390</v>
      </c>
      <c r="C99" s="168" t="str">
        <f>VLOOKUP(B99,MEMBERS!B:C,2, )</f>
        <v>RIAZ FAZAL</v>
      </c>
      <c r="D99" s="188">
        <v>45994</v>
      </c>
      <c r="E99" s="175">
        <v>1</v>
      </c>
      <c r="F99" s="168" t="s">
        <v>500</v>
      </c>
      <c r="G99" s="165">
        <f>IFERROR(VLOOKUP(F99,'menu list'!B:C,2,FALSE)*E99,"0")</f>
        <v>1250</v>
      </c>
      <c r="H99" s="334">
        <f t="shared" si="8"/>
        <v>187.5</v>
      </c>
      <c r="I99" s="165">
        <f t="shared" si="9"/>
        <v>1437.5</v>
      </c>
    </row>
    <row r="100" spans="1:9" ht="12.75" hidden="1" x14ac:dyDescent="0.25">
      <c r="A100" s="167">
        <f t="shared" si="10"/>
        <v>99</v>
      </c>
      <c r="B100" s="168" t="s">
        <v>258</v>
      </c>
      <c r="C100" s="168" t="str">
        <f>VLOOKUP(B100,MEMBERS!B:C,2, )</f>
        <v>BRIG DR. GHULAM MEHDI (Retd)</v>
      </c>
      <c r="D100" s="188">
        <v>45994</v>
      </c>
      <c r="E100" s="175">
        <v>1</v>
      </c>
      <c r="F100" s="168" t="s">
        <v>515</v>
      </c>
      <c r="G100" s="165">
        <f>IFERROR(VLOOKUP(F100,'menu list'!B:C,2,FALSE)*E100,"0")</f>
        <v>400</v>
      </c>
      <c r="H100" s="334">
        <f t="shared" si="8"/>
        <v>60</v>
      </c>
      <c r="I100" s="165">
        <f t="shared" si="9"/>
        <v>460</v>
      </c>
    </row>
    <row r="101" spans="1:9" ht="12.75" hidden="1" x14ac:dyDescent="0.25">
      <c r="A101" s="167">
        <f t="shared" si="10"/>
        <v>100</v>
      </c>
      <c r="B101" s="168" t="s">
        <v>395</v>
      </c>
      <c r="C101" s="168" t="str">
        <f>VLOOKUP(B101,MEMBERS!B:C,2, )</f>
        <v>BAHRIA INTERNATIONAL HOSPITAL</v>
      </c>
      <c r="D101" s="188">
        <v>45994</v>
      </c>
      <c r="E101" s="175">
        <v>30</v>
      </c>
      <c r="F101" s="168" t="s">
        <v>775</v>
      </c>
      <c r="G101" s="165">
        <f>IFERROR(VLOOKUP(F101,'menu list'!B:C,2,FALSE)*E101,"0")</f>
        <v>3000</v>
      </c>
      <c r="H101" s="334"/>
      <c r="I101" s="165">
        <f t="shared" si="9"/>
        <v>3000</v>
      </c>
    </row>
    <row r="102" spans="1:9" ht="12.75" hidden="1" x14ac:dyDescent="0.25">
      <c r="A102" s="167">
        <f t="shared" si="10"/>
        <v>101</v>
      </c>
      <c r="B102" s="168" t="s">
        <v>395</v>
      </c>
      <c r="C102" s="168" t="str">
        <f>VLOOKUP(B102,MEMBERS!B:C,2, )</f>
        <v>BAHRIA INTERNATIONAL HOSPITAL</v>
      </c>
      <c r="D102" s="188">
        <v>45994</v>
      </c>
      <c r="E102" s="175">
        <v>16</v>
      </c>
      <c r="F102" s="168" t="s">
        <v>516</v>
      </c>
      <c r="G102" s="165">
        <f>IFERROR(VLOOKUP(F102,'menu list'!B:C,2,FALSE)*E102,"0")</f>
        <v>4000</v>
      </c>
      <c r="H102" s="334"/>
      <c r="I102" s="165">
        <f t="shared" si="9"/>
        <v>4000</v>
      </c>
    </row>
    <row r="103" spans="1:9" ht="12.75" hidden="1" x14ac:dyDescent="0.25">
      <c r="A103" s="167">
        <f t="shared" si="10"/>
        <v>102</v>
      </c>
      <c r="B103" s="168" t="s">
        <v>395</v>
      </c>
      <c r="C103" s="168" t="str">
        <f>VLOOKUP(B103,MEMBERS!B:C,2, )</f>
        <v>BAHRIA INTERNATIONAL HOSPITAL</v>
      </c>
      <c r="D103" s="188">
        <v>45994</v>
      </c>
      <c r="E103" s="175">
        <v>10</v>
      </c>
      <c r="F103" s="168" t="s">
        <v>558</v>
      </c>
      <c r="G103" s="165">
        <f>IFERROR(VLOOKUP(F103,'menu list'!B:C,2,FALSE)*E103,"0")</f>
        <v>1500</v>
      </c>
      <c r="H103" s="334"/>
      <c r="I103" s="165">
        <f t="shared" si="9"/>
        <v>1500</v>
      </c>
    </row>
    <row r="104" spans="1:9" ht="12.75" hidden="1" x14ac:dyDescent="0.25">
      <c r="A104" s="167">
        <f t="shared" si="10"/>
        <v>103</v>
      </c>
      <c r="B104" s="168" t="s">
        <v>374</v>
      </c>
      <c r="C104" s="168" t="str">
        <f>VLOOKUP(B104,MEMBERS!B:C,2, )</f>
        <v>AAMIR RASOOL</v>
      </c>
      <c r="D104" s="188">
        <v>45994</v>
      </c>
      <c r="E104" s="175">
        <v>5</v>
      </c>
      <c r="F104" s="168" t="s">
        <v>653</v>
      </c>
      <c r="G104" s="165">
        <f>IFERROR(VLOOKUP(F104,'menu list'!B:C,2,FALSE)*E104,"0")</f>
        <v>1750</v>
      </c>
      <c r="H104" s="334">
        <f t="shared" si="8"/>
        <v>262.5</v>
      </c>
      <c r="I104" s="165">
        <f t="shared" si="9"/>
        <v>2012.5</v>
      </c>
    </row>
    <row r="105" spans="1:9" ht="12.75" hidden="1" x14ac:dyDescent="0.25">
      <c r="A105" s="167">
        <f t="shared" si="10"/>
        <v>104</v>
      </c>
      <c r="B105" s="168" t="s">
        <v>374</v>
      </c>
      <c r="C105" s="168" t="str">
        <f>VLOOKUP(B105,MEMBERS!B:C,2, )</f>
        <v>AAMIR RASOOL</v>
      </c>
      <c r="D105" s="188">
        <v>45994</v>
      </c>
      <c r="E105" s="175">
        <v>2</v>
      </c>
      <c r="F105" s="168" t="s">
        <v>440</v>
      </c>
      <c r="G105" s="165">
        <f>IFERROR(VLOOKUP(F105,'menu list'!B:C,2,FALSE)*E105,"0")</f>
        <v>300</v>
      </c>
      <c r="H105" s="334">
        <f t="shared" si="8"/>
        <v>45</v>
      </c>
      <c r="I105" s="165">
        <f t="shared" si="9"/>
        <v>345</v>
      </c>
    </row>
    <row r="106" spans="1:9" ht="12.75" hidden="1" x14ac:dyDescent="0.25">
      <c r="A106" s="167">
        <f t="shared" si="10"/>
        <v>105</v>
      </c>
      <c r="B106" s="168" t="s">
        <v>448</v>
      </c>
      <c r="C106" s="168" t="str">
        <f>VLOOKUP(B106,MEMBERS!B:C,2, )</f>
        <v xml:space="preserve">ARSLAN KHAN ABRO </v>
      </c>
      <c r="D106" s="188">
        <v>45994</v>
      </c>
      <c r="E106" s="175">
        <v>1</v>
      </c>
      <c r="F106" s="168" t="s">
        <v>500</v>
      </c>
      <c r="G106" s="165">
        <f>IFERROR(VLOOKUP(F106,'menu list'!B:C,2,FALSE)*E106,"0")</f>
        <v>1250</v>
      </c>
      <c r="H106" s="334">
        <f t="shared" si="8"/>
        <v>187.5</v>
      </c>
      <c r="I106" s="165">
        <f t="shared" si="9"/>
        <v>1437.5</v>
      </c>
    </row>
    <row r="107" spans="1:9" ht="12.75" hidden="1" x14ac:dyDescent="0.25">
      <c r="A107" s="167">
        <f t="shared" si="10"/>
        <v>106</v>
      </c>
      <c r="B107" s="168" t="s">
        <v>448</v>
      </c>
      <c r="C107" s="168" t="str">
        <f>VLOOKUP(B107,MEMBERS!B:C,2, )</f>
        <v xml:space="preserve">ARSLAN KHAN ABRO </v>
      </c>
      <c r="D107" s="188">
        <v>45994</v>
      </c>
      <c r="E107" s="175">
        <v>4</v>
      </c>
      <c r="F107" s="168" t="s">
        <v>498</v>
      </c>
      <c r="G107" s="165">
        <f>IFERROR(VLOOKUP(F107,'menu list'!B:C,2,FALSE)*E107,"0")</f>
        <v>800</v>
      </c>
      <c r="H107" s="334">
        <f t="shared" si="8"/>
        <v>120</v>
      </c>
      <c r="I107" s="165">
        <f t="shared" si="9"/>
        <v>920</v>
      </c>
    </row>
    <row r="108" spans="1:9" ht="12.75" hidden="1" x14ac:dyDescent="0.25">
      <c r="A108" s="167">
        <f t="shared" si="10"/>
        <v>107</v>
      </c>
      <c r="B108" s="168" t="s">
        <v>448</v>
      </c>
      <c r="C108" s="168" t="str">
        <f>VLOOKUP(B108,MEMBERS!B:C,2, )</f>
        <v xml:space="preserve">ARSLAN KHAN ABRO </v>
      </c>
      <c r="D108" s="188">
        <v>45994</v>
      </c>
      <c r="E108" s="175">
        <v>2</v>
      </c>
      <c r="F108" s="168" t="s">
        <v>440</v>
      </c>
      <c r="G108" s="165">
        <f>IFERROR(VLOOKUP(F108,'menu list'!B:C,2,FALSE)*E108,"0")</f>
        <v>300</v>
      </c>
      <c r="H108" s="334">
        <f t="shared" si="8"/>
        <v>45</v>
      </c>
      <c r="I108" s="165">
        <f t="shared" si="9"/>
        <v>345</v>
      </c>
    </row>
    <row r="109" spans="1:9" ht="12.75" hidden="1" x14ac:dyDescent="0.25">
      <c r="A109" s="167">
        <f t="shared" si="10"/>
        <v>108</v>
      </c>
      <c r="B109" s="168" t="s">
        <v>448</v>
      </c>
      <c r="C109" s="168" t="str">
        <f>VLOOKUP(B109,MEMBERS!B:C,2, )</f>
        <v xml:space="preserve">ARSLAN KHAN ABRO </v>
      </c>
      <c r="D109" s="188">
        <v>45994</v>
      </c>
      <c r="E109" s="175">
        <v>1</v>
      </c>
      <c r="F109" s="168" t="s">
        <v>858</v>
      </c>
      <c r="G109" s="165">
        <f>IFERROR(VLOOKUP(F109,'menu list'!B:C,2,FALSE)*E109,"0")</f>
        <v>500</v>
      </c>
      <c r="H109" s="334">
        <f t="shared" si="8"/>
        <v>75</v>
      </c>
      <c r="I109" s="165">
        <f t="shared" si="9"/>
        <v>575</v>
      </c>
    </row>
    <row r="110" spans="1:9" ht="12.75" hidden="1" x14ac:dyDescent="0.25">
      <c r="A110" s="167">
        <f t="shared" si="10"/>
        <v>109</v>
      </c>
      <c r="B110" s="168" t="s">
        <v>448</v>
      </c>
      <c r="C110" s="168" t="str">
        <f>VLOOKUP(B110,MEMBERS!B:C,2, )</f>
        <v xml:space="preserve">ARSLAN KHAN ABRO </v>
      </c>
      <c r="D110" s="188">
        <v>45994</v>
      </c>
      <c r="E110" s="175">
        <v>2</v>
      </c>
      <c r="F110" s="168" t="s">
        <v>611</v>
      </c>
      <c r="G110" s="165">
        <f>IFERROR(VLOOKUP(F110,'menu list'!B:C,2,FALSE)*E110,"0")</f>
        <v>800</v>
      </c>
      <c r="H110" s="334">
        <f t="shared" si="8"/>
        <v>120</v>
      </c>
      <c r="I110" s="165">
        <f t="shared" si="9"/>
        <v>920</v>
      </c>
    </row>
    <row r="111" spans="1:9" ht="12.75" hidden="1" x14ac:dyDescent="0.25">
      <c r="A111" s="167">
        <f t="shared" si="10"/>
        <v>110</v>
      </c>
      <c r="B111" s="168" t="s">
        <v>376</v>
      </c>
      <c r="C111" s="168" t="str">
        <f>VLOOKUP(B111,MEMBERS!B:C,2, )</f>
        <v>KHURRAM FIRDOUS</v>
      </c>
      <c r="D111" s="188">
        <v>45996</v>
      </c>
      <c r="E111" s="175">
        <v>4</v>
      </c>
      <c r="F111" s="168" t="s">
        <v>499</v>
      </c>
      <c r="G111" s="165">
        <f>IFERROR(VLOOKUP(F111,'menu list'!B:C,2,FALSE)*E111,"0")</f>
        <v>400</v>
      </c>
      <c r="H111" s="334">
        <f t="shared" si="8"/>
        <v>60</v>
      </c>
      <c r="I111" s="165">
        <f t="shared" si="9"/>
        <v>460</v>
      </c>
    </row>
    <row r="112" spans="1:9" ht="12.75" hidden="1" x14ac:dyDescent="0.25">
      <c r="A112" s="167">
        <f t="shared" ref="A112:A154" si="12">IF(D112&lt;&gt;"", ROW()-1, "")</f>
        <v>111</v>
      </c>
      <c r="B112" s="168" t="s">
        <v>376</v>
      </c>
      <c r="C112" s="168" t="str">
        <f>VLOOKUP(B112,MEMBERS!B:C,2, )</f>
        <v>KHURRAM FIRDOUS</v>
      </c>
      <c r="D112" s="188">
        <v>45996</v>
      </c>
      <c r="E112" s="175">
        <v>1</v>
      </c>
      <c r="F112" s="168" t="s">
        <v>440</v>
      </c>
      <c r="G112" s="165">
        <f>IFERROR(VLOOKUP(F112,'menu list'!B:C,2,FALSE)*E112,"0")</f>
        <v>150</v>
      </c>
      <c r="H112" s="334">
        <f t="shared" si="8"/>
        <v>22.5</v>
      </c>
      <c r="I112" s="165">
        <f t="shared" si="9"/>
        <v>172.5</v>
      </c>
    </row>
    <row r="113" spans="1:9" ht="12.75" hidden="1" x14ac:dyDescent="0.25">
      <c r="A113" s="167">
        <f t="shared" si="12"/>
        <v>112</v>
      </c>
      <c r="B113" s="168" t="s">
        <v>376</v>
      </c>
      <c r="C113" s="168" t="str">
        <f>VLOOKUP(B113,MEMBERS!B:C,2, )</f>
        <v>KHURRAM FIRDOUS</v>
      </c>
      <c r="D113" s="188">
        <v>45996</v>
      </c>
      <c r="E113" s="175">
        <v>3</v>
      </c>
      <c r="F113" s="168" t="s">
        <v>653</v>
      </c>
      <c r="G113" s="165">
        <f>IFERROR(VLOOKUP(F113,'menu list'!B:C,2,FALSE)*E113,"0")</f>
        <v>1050</v>
      </c>
      <c r="H113" s="334">
        <f t="shared" si="8"/>
        <v>157.5</v>
      </c>
      <c r="I113" s="165">
        <f t="shared" si="9"/>
        <v>1207.5</v>
      </c>
    </row>
    <row r="114" spans="1:9" ht="12.75" hidden="1" x14ac:dyDescent="0.25">
      <c r="A114" s="167">
        <f t="shared" si="12"/>
        <v>113</v>
      </c>
      <c r="B114" s="168" t="s">
        <v>376</v>
      </c>
      <c r="C114" s="168" t="str">
        <f>VLOOKUP(B114,MEMBERS!B:C,2, )</f>
        <v>KHURRAM FIRDOUS</v>
      </c>
      <c r="D114" s="188">
        <v>45996</v>
      </c>
      <c r="E114" s="175">
        <v>1</v>
      </c>
      <c r="F114" s="168" t="s">
        <v>787</v>
      </c>
      <c r="G114" s="165">
        <f>IFERROR(VLOOKUP(F114,'menu list'!B:C,2,FALSE)*E114,"0")</f>
        <v>900</v>
      </c>
      <c r="H114" s="334">
        <f t="shared" si="8"/>
        <v>135</v>
      </c>
      <c r="I114" s="165">
        <f t="shared" si="9"/>
        <v>1035</v>
      </c>
    </row>
    <row r="115" spans="1:9" ht="12.75" hidden="1" x14ac:dyDescent="0.25">
      <c r="A115" s="167">
        <f t="shared" si="12"/>
        <v>114</v>
      </c>
      <c r="B115" s="168" t="s">
        <v>376</v>
      </c>
      <c r="C115" s="168" t="str">
        <f>VLOOKUP(B115,MEMBERS!B:C,2, )</f>
        <v>KHURRAM FIRDOUS</v>
      </c>
      <c r="D115" s="188">
        <v>45996</v>
      </c>
      <c r="E115" s="175">
        <v>2</v>
      </c>
      <c r="F115" s="168" t="s">
        <v>939</v>
      </c>
      <c r="G115" s="165">
        <f>IFERROR(VLOOKUP(F115,'menu list'!B:C,2,FALSE)*E115,"0")</f>
        <v>2400</v>
      </c>
      <c r="H115" s="334">
        <f t="shared" si="8"/>
        <v>360</v>
      </c>
      <c r="I115" s="165">
        <f t="shared" si="9"/>
        <v>2760</v>
      </c>
    </row>
    <row r="116" spans="1:9" ht="12.75" hidden="1" x14ac:dyDescent="0.25">
      <c r="A116" s="167">
        <f t="shared" si="12"/>
        <v>115</v>
      </c>
      <c r="B116" s="168" t="s">
        <v>376</v>
      </c>
      <c r="C116" s="168" t="str">
        <f>VLOOKUP(B116,MEMBERS!B:C,2, )</f>
        <v>KHURRAM FIRDOUS</v>
      </c>
      <c r="D116" s="188">
        <v>45996</v>
      </c>
      <c r="E116" s="175">
        <v>3</v>
      </c>
      <c r="F116" s="168" t="s">
        <v>504</v>
      </c>
      <c r="G116" s="165">
        <f>IFERROR(VLOOKUP(F116,'menu list'!B:C,2,FALSE)*E116,"0")</f>
        <v>390</v>
      </c>
      <c r="H116" s="334">
        <f t="shared" si="8"/>
        <v>58.5</v>
      </c>
      <c r="I116" s="165">
        <f t="shared" si="9"/>
        <v>448.5</v>
      </c>
    </row>
    <row r="117" spans="1:9" ht="12.75" hidden="1" x14ac:dyDescent="0.25">
      <c r="A117" s="167">
        <f t="shared" si="12"/>
        <v>116</v>
      </c>
      <c r="B117" s="168" t="s">
        <v>376</v>
      </c>
      <c r="C117" s="168" t="str">
        <f>VLOOKUP(B117,MEMBERS!B:C,2, )</f>
        <v>KHURRAM FIRDOUS</v>
      </c>
      <c r="D117" s="188">
        <v>45996</v>
      </c>
      <c r="E117" s="175">
        <v>3</v>
      </c>
      <c r="F117" s="168" t="s">
        <v>439</v>
      </c>
      <c r="G117" s="165">
        <f>IFERROR(VLOOKUP(F117,'menu list'!B:C,2,FALSE)*E117,"0")</f>
        <v>210</v>
      </c>
      <c r="H117" s="334">
        <f t="shared" si="8"/>
        <v>31.5</v>
      </c>
      <c r="I117" s="165">
        <f t="shared" si="9"/>
        <v>241.5</v>
      </c>
    </row>
    <row r="118" spans="1:9" ht="12.75" hidden="1" x14ac:dyDescent="0.25">
      <c r="A118" s="167">
        <f t="shared" si="12"/>
        <v>117</v>
      </c>
      <c r="B118" s="168" t="s">
        <v>376</v>
      </c>
      <c r="C118" s="168" t="str">
        <f>VLOOKUP(B118,MEMBERS!B:C,2, )</f>
        <v>KHURRAM FIRDOUS</v>
      </c>
      <c r="D118" s="188">
        <v>45996</v>
      </c>
      <c r="E118" s="175">
        <v>1</v>
      </c>
      <c r="F118" s="168" t="s">
        <v>785</v>
      </c>
      <c r="G118" s="165">
        <f>IFERROR(VLOOKUP(F118,'menu list'!B:C,2,FALSE)*E118,"0")</f>
        <v>950</v>
      </c>
      <c r="H118" s="334">
        <f t="shared" si="8"/>
        <v>142.5</v>
      </c>
      <c r="I118" s="165">
        <f t="shared" si="9"/>
        <v>1092.5</v>
      </c>
    </row>
    <row r="119" spans="1:9" ht="12.75" hidden="1" x14ac:dyDescent="0.25">
      <c r="A119" s="167">
        <f t="shared" si="12"/>
        <v>118</v>
      </c>
      <c r="B119" s="168" t="s">
        <v>388</v>
      </c>
      <c r="C119" s="168" t="str">
        <f>VLOOKUP(B119,MEMBERS!B:C,2, )</f>
        <v>IFTIKHAR SHAH</v>
      </c>
      <c r="D119" s="188">
        <v>45996</v>
      </c>
      <c r="E119" s="175">
        <v>2</v>
      </c>
      <c r="F119" s="168" t="s">
        <v>740</v>
      </c>
      <c r="G119" s="165">
        <f>IFERROR(VLOOKUP(F119,'menu list'!B:C,2,FALSE)*E119,"0")</f>
        <v>3600</v>
      </c>
      <c r="H119" s="334">
        <f t="shared" si="8"/>
        <v>540</v>
      </c>
      <c r="I119" s="165">
        <f t="shared" si="9"/>
        <v>4140</v>
      </c>
    </row>
    <row r="120" spans="1:9" ht="12.75" hidden="1" x14ac:dyDescent="0.25">
      <c r="A120" s="167">
        <f t="shared" si="12"/>
        <v>119</v>
      </c>
      <c r="B120" s="168" t="s">
        <v>388</v>
      </c>
      <c r="C120" s="168" t="str">
        <f>VLOOKUP(B120,MEMBERS!B:C,2, )</f>
        <v>IFTIKHAR SHAH</v>
      </c>
      <c r="D120" s="188">
        <v>45996</v>
      </c>
      <c r="E120" s="175">
        <v>1</v>
      </c>
      <c r="F120" s="168" t="s">
        <v>739</v>
      </c>
      <c r="G120" s="165">
        <f>IFERROR(VLOOKUP(F120,'menu list'!B:C,2,FALSE)*E120,"0")</f>
        <v>400</v>
      </c>
      <c r="H120" s="334">
        <f t="shared" si="8"/>
        <v>60</v>
      </c>
      <c r="I120" s="165">
        <f t="shared" si="9"/>
        <v>460</v>
      </c>
    </row>
    <row r="121" spans="1:9" ht="12.75" hidden="1" x14ac:dyDescent="0.25">
      <c r="A121" s="167">
        <f t="shared" si="12"/>
        <v>120</v>
      </c>
      <c r="B121" s="168" t="s">
        <v>388</v>
      </c>
      <c r="C121" s="168" t="str">
        <f>VLOOKUP(B121,MEMBERS!B:C,2, )</f>
        <v>IFTIKHAR SHAH</v>
      </c>
      <c r="D121" s="188">
        <v>45996</v>
      </c>
      <c r="E121" s="175">
        <v>1</v>
      </c>
      <c r="F121" s="168" t="s">
        <v>441</v>
      </c>
      <c r="G121" s="165">
        <f>IFERROR(VLOOKUP(F121,'menu list'!B:C,2,FALSE)*E121,"0")</f>
        <v>200</v>
      </c>
      <c r="H121" s="334">
        <f t="shared" si="8"/>
        <v>30</v>
      </c>
      <c r="I121" s="165">
        <f t="shared" si="9"/>
        <v>230</v>
      </c>
    </row>
    <row r="122" spans="1:9" ht="12.75" hidden="1" x14ac:dyDescent="0.25">
      <c r="A122" s="167">
        <f t="shared" si="12"/>
        <v>121</v>
      </c>
      <c r="B122" s="168" t="s">
        <v>388</v>
      </c>
      <c r="C122" s="168" t="str">
        <f>VLOOKUP(B122,MEMBERS!B:C,2, )</f>
        <v>IFTIKHAR SHAH</v>
      </c>
      <c r="D122" s="188">
        <v>45996</v>
      </c>
      <c r="E122" s="175">
        <v>1</v>
      </c>
      <c r="F122" s="168" t="s">
        <v>866</v>
      </c>
      <c r="G122" s="165">
        <f>IFERROR(VLOOKUP(F122,'menu list'!B:C,2,FALSE)*E122,"0")</f>
        <v>500</v>
      </c>
      <c r="H122" s="334">
        <f t="shared" si="8"/>
        <v>75</v>
      </c>
      <c r="I122" s="165">
        <f t="shared" si="9"/>
        <v>575</v>
      </c>
    </row>
    <row r="123" spans="1:9" ht="12.75" hidden="1" x14ac:dyDescent="0.25">
      <c r="A123" s="167">
        <f t="shared" si="12"/>
        <v>122</v>
      </c>
      <c r="B123" s="168" t="s">
        <v>388</v>
      </c>
      <c r="C123" s="168" t="str">
        <f>VLOOKUP(B123,MEMBERS!B:C,2, )</f>
        <v>IFTIKHAR SHAH</v>
      </c>
      <c r="D123" s="188">
        <v>45996</v>
      </c>
      <c r="E123" s="175">
        <v>1</v>
      </c>
      <c r="F123" s="168" t="s">
        <v>440</v>
      </c>
      <c r="G123" s="165">
        <f>IFERROR(VLOOKUP(F123,'menu list'!B:C,2,FALSE)*E123,"0")</f>
        <v>150</v>
      </c>
      <c r="H123" s="334">
        <f t="shared" si="8"/>
        <v>22.5</v>
      </c>
      <c r="I123" s="165">
        <f t="shared" si="9"/>
        <v>172.5</v>
      </c>
    </row>
    <row r="124" spans="1:9" ht="12.75" hidden="1" x14ac:dyDescent="0.25">
      <c r="A124" s="167">
        <f t="shared" si="12"/>
        <v>123</v>
      </c>
      <c r="B124" s="168" t="s">
        <v>388</v>
      </c>
      <c r="C124" s="168" t="str">
        <f>VLOOKUP(B124,MEMBERS!B:C,2, )</f>
        <v>IFTIKHAR SHAH</v>
      </c>
      <c r="D124" s="188">
        <v>45996</v>
      </c>
      <c r="E124" s="175">
        <v>2</v>
      </c>
      <c r="F124" s="168" t="s">
        <v>439</v>
      </c>
      <c r="G124" s="165">
        <f>IFERROR(VLOOKUP(F124,'menu list'!B:C,2,FALSE)*E124,"0")</f>
        <v>140</v>
      </c>
      <c r="H124" s="334">
        <f t="shared" si="8"/>
        <v>21</v>
      </c>
      <c r="I124" s="165">
        <f t="shared" si="9"/>
        <v>161</v>
      </c>
    </row>
    <row r="125" spans="1:9" ht="12.75" hidden="1" x14ac:dyDescent="0.25">
      <c r="A125" s="167">
        <f t="shared" si="12"/>
        <v>124</v>
      </c>
      <c r="B125" s="168" t="s">
        <v>388</v>
      </c>
      <c r="C125" s="168" t="str">
        <f>VLOOKUP(B125,MEMBERS!B:C,2, )</f>
        <v>IFTIKHAR SHAH</v>
      </c>
      <c r="D125" s="188">
        <v>45996</v>
      </c>
      <c r="E125" s="175">
        <v>2</v>
      </c>
      <c r="F125" s="168" t="s">
        <v>443</v>
      </c>
      <c r="G125" s="165">
        <f>IFERROR(VLOOKUP(F125,'menu list'!B:C,2,FALSE)*E125,"0")</f>
        <v>300</v>
      </c>
      <c r="H125" s="334">
        <f t="shared" si="8"/>
        <v>45</v>
      </c>
      <c r="I125" s="165">
        <f t="shared" si="9"/>
        <v>345</v>
      </c>
    </row>
    <row r="126" spans="1:9" ht="12.75" hidden="1" x14ac:dyDescent="0.25">
      <c r="A126" s="167">
        <f t="shared" si="12"/>
        <v>125</v>
      </c>
      <c r="B126" s="168" t="s">
        <v>388</v>
      </c>
      <c r="C126" s="168" t="str">
        <f>VLOOKUP(B126,MEMBERS!B:C,2, )</f>
        <v>IFTIKHAR SHAH</v>
      </c>
      <c r="D126" s="188">
        <v>45996</v>
      </c>
      <c r="E126" s="175">
        <v>2</v>
      </c>
      <c r="F126" s="168" t="s">
        <v>504</v>
      </c>
      <c r="G126" s="165">
        <f>IFERROR(VLOOKUP(F126,'menu list'!B:C,2,FALSE)*E126,"0")</f>
        <v>260</v>
      </c>
      <c r="H126" s="334">
        <f t="shared" si="8"/>
        <v>39</v>
      </c>
      <c r="I126" s="165">
        <f t="shared" si="9"/>
        <v>299</v>
      </c>
    </row>
    <row r="127" spans="1:9" ht="12.75" hidden="1" x14ac:dyDescent="0.25">
      <c r="A127" s="167">
        <f t="shared" si="12"/>
        <v>126</v>
      </c>
      <c r="B127" s="168" t="s">
        <v>388</v>
      </c>
      <c r="C127" s="168" t="str">
        <f>VLOOKUP(B127,MEMBERS!B:C,2, )</f>
        <v>IFTIKHAR SHAH</v>
      </c>
      <c r="D127" s="188">
        <v>45996</v>
      </c>
      <c r="E127" s="175">
        <v>3</v>
      </c>
      <c r="F127" s="168" t="s">
        <v>848</v>
      </c>
      <c r="G127" s="165">
        <f>IFERROR(VLOOKUP(F127,'menu list'!B:C,2,FALSE)*E127,"0")</f>
        <v>600</v>
      </c>
      <c r="H127" s="334">
        <f t="shared" si="8"/>
        <v>90</v>
      </c>
      <c r="I127" s="165">
        <f t="shared" si="9"/>
        <v>690</v>
      </c>
    </row>
    <row r="128" spans="1:9" ht="12.75" hidden="1" x14ac:dyDescent="0.25">
      <c r="A128" s="167">
        <f t="shared" si="12"/>
        <v>127</v>
      </c>
      <c r="B128" s="168" t="s">
        <v>388</v>
      </c>
      <c r="C128" s="168" t="str">
        <f>VLOOKUP(B128,MEMBERS!B:C,2, )</f>
        <v>IFTIKHAR SHAH</v>
      </c>
      <c r="D128" s="188">
        <v>45996</v>
      </c>
      <c r="E128" s="175">
        <v>3</v>
      </c>
      <c r="F128" s="168" t="s">
        <v>498</v>
      </c>
      <c r="G128" s="165">
        <f>IFERROR(VLOOKUP(F128,'menu list'!B:C,2,FALSE)*E128,"0")</f>
        <v>600</v>
      </c>
      <c r="H128" s="334">
        <f t="shared" si="8"/>
        <v>90</v>
      </c>
      <c r="I128" s="165">
        <f t="shared" si="9"/>
        <v>690</v>
      </c>
    </row>
    <row r="129" spans="1:9" ht="12.75" hidden="1" x14ac:dyDescent="0.25">
      <c r="A129" s="167">
        <f t="shared" si="12"/>
        <v>128</v>
      </c>
      <c r="B129" s="168" t="s">
        <v>187</v>
      </c>
      <c r="C129" s="168" t="str">
        <f>VLOOKUP(B129,MEMBERS!B:C,2, )</f>
        <v>MR.SHAN ELAHI SEHGAL</v>
      </c>
      <c r="D129" s="188">
        <v>45996</v>
      </c>
      <c r="E129" s="175">
        <v>1</v>
      </c>
      <c r="F129" s="168" t="s">
        <v>499</v>
      </c>
      <c r="G129" s="165">
        <f>IFERROR(VLOOKUP(F129,'menu list'!B:C,2,FALSE)*E129,"0")</f>
        <v>100</v>
      </c>
      <c r="H129" s="334">
        <f t="shared" si="8"/>
        <v>15</v>
      </c>
      <c r="I129" s="165">
        <f t="shared" si="9"/>
        <v>115</v>
      </c>
    </row>
    <row r="130" spans="1:9" ht="12.75" hidden="1" x14ac:dyDescent="0.25">
      <c r="A130" s="167">
        <f t="shared" si="12"/>
        <v>129</v>
      </c>
      <c r="B130" s="168" t="s">
        <v>187</v>
      </c>
      <c r="C130" s="168" t="str">
        <f>VLOOKUP(B130,MEMBERS!B:C,2, )</f>
        <v>MR.SHAN ELAHI SEHGAL</v>
      </c>
      <c r="D130" s="188">
        <v>45996</v>
      </c>
      <c r="E130" s="175">
        <v>1</v>
      </c>
      <c r="F130" s="168" t="s">
        <v>739</v>
      </c>
      <c r="G130" s="165">
        <f>IFERROR(VLOOKUP(F130,'menu list'!B:C,2,FALSE)*E130,"0")</f>
        <v>400</v>
      </c>
      <c r="H130" s="334">
        <f t="shared" si="8"/>
        <v>60</v>
      </c>
      <c r="I130" s="165">
        <f t="shared" si="9"/>
        <v>460</v>
      </c>
    </row>
    <row r="131" spans="1:9" ht="12.75" hidden="1" x14ac:dyDescent="0.25">
      <c r="A131" s="167">
        <f t="shared" si="12"/>
        <v>130</v>
      </c>
      <c r="B131" s="168" t="s">
        <v>187</v>
      </c>
      <c r="C131" s="168" t="str">
        <f>VLOOKUP(B131,MEMBERS!B:C,2, )</f>
        <v>MR.SHAN ELAHI SEHGAL</v>
      </c>
      <c r="D131" s="188">
        <v>45996</v>
      </c>
      <c r="E131" s="175">
        <v>2</v>
      </c>
      <c r="F131" s="168" t="s">
        <v>439</v>
      </c>
      <c r="G131" s="165">
        <f>IFERROR(VLOOKUP(F131,'menu list'!B:C,2,FALSE)*E131,"0")</f>
        <v>140</v>
      </c>
      <c r="H131" s="334">
        <f t="shared" ref="H131:H194" si="13">G131*15/100</f>
        <v>21</v>
      </c>
      <c r="I131" s="165">
        <f t="shared" ref="I131:I194" si="14">G131+H131</f>
        <v>161</v>
      </c>
    </row>
    <row r="132" spans="1:9" ht="12.75" hidden="1" x14ac:dyDescent="0.25">
      <c r="A132" s="167">
        <f t="shared" si="12"/>
        <v>131</v>
      </c>
      <c r="B132" s="168" t="s">
        <v>187</v>
      </c>
      <c r="C132" s="168" t="str">
        <f>VLOOKUP(B132,MEMBERS!B:C,2, )</f>
        <v>MR.SHAN ELAHI SEHGAL</v>
      </c>
      <c r="D132" s="188">
        <v>45996</v>
      </c>
      <c r="E132" s="175">
        <v>1</v>
      </c>
      <c r="F132" s="168" t="s">
        <v>498</v>
      </c>
      <c r="G132" s="165">
        <f>IFERROR(VLOOKUP(F132,'menu list'!B:C,2,FALSE)*E132,"0")</f>
        <v>200</v>
      </c>
      <c r="H132" s="334">
        <f t="shared" si="13"/>
        <v>30</v>
      </c>
      <c r="I132" s="165">
        <f t="shared" si="14"/>
        <v>230</v>
      </c>
    </row>
    <row r="133" spans="1:9" ht="12.75" hidden="1" x14ac:dyDescent="0.25">
      <c r="A133" s="167">
        <f t="shared" si="12"/>
        <v>132</v>
      </c>
      <c r="B133" s="168" t="s">
        <v>1024</v>
      </c>
      <c r="C133" s="168" t="str">
        <f>VLOOKUP(B133,MEMBERS!B:C,2, )</f>
        <v>MR. ANEEL ZAHOOR</v>
      </c>
      <c r="D133" s="188">
        <v>45996</v>
      </c>
      <c r="E133" s="175">
        <v>1</v>
      </c>
      <c r="F133" s="168" t="s">
        <v>611</v>
      </c>
      <c r="G133" s="165">
        <f>IFERROR(VLOOKUP(F133,'menu list'!B:C,2,FALSE)*E133,"0")</f>
        <v>400</v>
      </c>
      <c r="H133" s="334">
        <f t="shared" si="13"/>
        <v>60</v>
      </c>
      <c r="I133" s="165">
        <f t="shared" si="14"/>
        <v>460</v>
      </c>
    </row>
    <row r="134" spans="1:9" ht="12.75" hidden="1" x14ac:dyDescent="0.25">
      <c r="A134" s="167">
        <f t="shared" si="12"/>
        <v>133</v>
      </c>
      <c r="B134" s="168" t="s">
        <v>1024</v>
      </c>
      <c r="C134" s="168" t="str">
        <f>VLOOKUP(B134,MEMBERS!B:C,2, )</f>
        <v>MR. ANEEL ZAHOOR</v>
      </c>
      <c r="D134" s="188">
        <v>45996</v>
      </c>
      <c r="E134" s="175">
        <v>2</v>
      </c>
      <c r="F134" s="168" t="s">
        <v>499</v>
      </c>
      <c r="G134" s="165">
        <f>IFERROR(VLOOKUP(F134,'menu list'!B:C,2,FALSE)*E134,"0")</f>
        <v>200</v>
      </c>
      <c r="H134" s="334">
        <f t="shared" si="13"/>
        <v>30</v>
      </c>
      <c r="I134" s="165">
        <f t="shared" si="14"/>
        <v>230</v>
      </c>
    </row>
    <row r="135" spans="1:9" ht="12.75" hidden="1" x14ac:dyDescent="0.25">
      <c r="A135" s="167">
        <f t="shared" ref="A135:A153" si="15">IF(D135&lt;&gt;"", ROW()-1, "")</f>
        <v>134</v>
      </c>
      <c r="B135" s="168" t="s">
        <v>1024</v>
      </c>
      <c r="C135" s="168" t="str">
        <f>VLOOKUP(B135,MEMBERS!B:C,2, )</f>
        <v>MR. ANEEL ZAHOOR</v>
      </c>
      <c r="D135" s="188">
        <v>45996</v>
      </c>
      <c r="E135" s="175">
        <v>2</v>
      </c>
      <c r="F135" s="168" t="s">
        <v>633</v>
      </c>
      <c r="G135" s="165">
        <f>IFERROR(VLOOKUP(F135,'menu list'!B:C,2,FALSE)*E135,"0")</f>
        <v>1400</v>
      </c>
      <c r="H135" s="334">
        <f t="shared" si="13"/>
        <v>210</v>
      </c>
      <c r="I135" s="165">
        <f t="shared" si="14"/>
        <v>1610</v>
      </c>
    </row>
    <row r="136" spans="1:9" ht="12.75" hidden="1" x14ac:dyDescent="0.25">
      <c r="A136" s="167">
        <f t="shared" si="15"/>
        <v>135</v>
      </c>
      <c r="B136" s="168" t="s">
        <v>1024</v>
      </c>
      <c r="C136" s="168" t="str">
        <f>VLOOKUP(B136,MEMBERS!B:C,2, )</f>
        <v>MR. ANEEL ZAHOOR</v>
      </c>
      <c r="D136" s="188">
        <v>45996</v>
      </c>
      <c r="E136" s="175">
        <v>2</v>
      </c>
      <c r="F136" s="168" t="s">
        <v>498</v>
      </c>
      <c r="G136" s="165">
        <f>IFERROR(VLOOKUP(F136,'menu list'!B:C,2,FALSE)*E136,"0")</f>
        <v>400</v>
      </c>
      <c r="H136" s="334">
        <f t="shared" si="13"/>
        <v>60</v>
      </c>
      <c r="I136" s="165">
        <f t="shared" si="14"/>
        <v>460</v>
      </c>
    </row>
    <row r="137" spans="1:9" ht="12.75" hidden="1" x14ac:dyDescent="0.25">
      <c r="A137" s="167">
        <f t="shared" si="15"/>
        <v>136</v>
      </c>
      <c r="B137" s="168" t="s">
        <v>385</v>
      </c>
      <c r="C137" s="168" t="str">
        <f>VLOOKUP(B137,MEMBERS!B:C,2, )</f>
        <v>AYSM MIRZA</v>
      </c>
      <c r="D137" s="188">
        <v>45996</v>
      </c>
      <c r="E137" s="175">
        <v>3</v>
      </c>
      <c r="F137" s="168" t="s">
        <v>442</v>
      </c>
      <c r="G137" s="165">
        <f>IFERROR(VLOOKUP(F137,'menu list'!B:C,2,FALSE)*E137,"0")</f>
        <v>450</v>
      </c>
      <c r="H137" s="334">
        <f t="shared" si="13"/>
        <v>67.5</v>
      </c>
      <c r="I137" s="165">
        <f t="shared" si="14"/>
        <v>517.5</v>
      </c>
    </row>
    <row r="138" spans="1:9" ht="12.75" hidden="1" x14ac:dyDescent="0.25">
      <c r="A138" s="167">
        <f t="shared" si="15"/>
        <v>137</v>
      </c>
      <c r="B138" s="168" t="s">
        <v>385</v>
      </c>
      <c r="C138" s="168" t="str">
        <f>VLOOKUP(B138,MEMBERS!B:C,2, )</f>
        <v>AYSM MIRZA</v>
      </c>
      <c r="D138" s="188">
        <v>45996</v>
      </c>
      <c r="E138" s="175">
        <v>2</v>
      </c>
      <c r="F138" s="168" t="s">
        <v>633</v>
      </c>
      <c r="G138" s="165">
        <f>IFERROR(VLOOKUP(F138,'menu list'!B:C,2,FALSE)*E138,"0")</f>
        <v>1400</v>
      </c>
      <c r="H138" s="334">
        <f t="shared" si="13"/>
        <v>210</v>
      </c>
      <c r="I138" s="165">
        <f t="shared" si="14"/>
        <v>1610</v>
      </c>
    </row>
    <row r="139" spans="1:9" ht="12.75" hidden="1" x14ac:dyDescent="0.25">
      <c r="A139" s="167">
        <f t="shared" si="15"/>
        <v>138</v>
      </c>
      <c r="B139" s="168" t="s">
        <v>385</v>
      </c>
      <c r="C139" s="168" t="str">
        <f>VLOOKUP(B139,MEMBERS!B:C,2, )</f>
        <v>AYSM MIRZA</v>
      </c>
      <c r="D139" s="188">
        <v>45996</v>
      </c>
      <c r="E139" s="175">
        <v>1</v>
      </c>
      <c r="F139" s="168" t="s">
        <v>784</v>
      </c>
      <c r="G139" s="165">
        <f>IFERROR(VLOOKUP(F139,'menu list'!B:C,2,FALSE)*E139,"0")</f>
        <v>750</v>
      </c>
      <c r="H139" s="334">
        <f t="shared" si="13"/>
        <v>112.5</v>
      </c>
      <c r="I139" s="165">
        <f t="shared" si="14"/>
        <v>862.5</v>
      </c>
    </row>
    <row r="140" spans="1:9" ht="12.75" hidden="1" x14ac:dyDescent="0.25">
      <c r="A140" s="167">
        <f t="shared" si="15"/>
        <v>139</v>
      </c>
      <c r="B140" s="168" t="s">
        <v>273</v>
      </c>
      <c r="C140" s="168" t="str">
        <f>VLOOKUP(B140,MEMBERS!B:C,2, )</f>
        <v>MR.SYED MURTAZA ALI</v>
      </c>
      <c r="D140" s="188">
        <v>45996</v>
      </c>
      <c r="E140" s="175">
        <v>1</v>
      </c>
      <c r="F140" s="168" t="s">
        <v>601</v>
      </c>
      <c r="G140" s="165">
        <f>IFERROR(VLOOKUP(F140,'menu list'!B:C,2,FALSE)*E140,"0")</f>
        <v>1200</v>
      </c>
      <c r="H140" s="334">
        <f t="shared" si="13"/>
        <v>180</v>
      </c>
      <c r="I140" s="165">
        <f t="shared" si="14"/>
        <v>1380</v>
      </c>
    </row>
    <row r="141" spans="1:9" ht="12.75" hidden="1" x14ac:dyDescent="0.25">
      <c r="A141" s="167">
        <f t="shared" si="15"/>
        <v>140</v>
      </c>
      <c r="B141" s="168" t="s">
        <v>273</v>
      </c>
      <c r="C141" s="168" t="str">
        <f>VLOOKUP(B141,MEMBERS!B:C,2, )</f>
        <v>MR.SYED MURTAZA ALI</v>
      </c>
      <c r="D141" s="188">
        <v>45996</v>
      </c>
      <c r="E141" s="175">
        <v>1</v>
      </c>
      <c r="F141" s="168" t="s">
        <v>442</v>
      </c>
      <c r="G141" s="165">
        <f>IFERROR(VLOOKUP(F141,'menu list'!B:C,2,FALSE)*E141,"0")</f>
        <v>150</v>
      </c>
      <c r="H141" s="334">
        <f t="shared" si="13"/>
        <v>22.5</v>
      </c>
      <c r="I141" s="165">
        <f t="shared" si="14"/>
        <v>172.5</v>
      </c>
    </row>
    <row r="142" spans="1:9" ht="12.75" hidden="1" x14ac:dyDescent="0.25">
      <c r="A142" s="167">
        <f t="shared" si="15"/>
        <v>141</v>
      </c>
      <c r="B142" s="168" t="s">
        <v>374</v>
      </c>
      <c r="C142" s="168" t="str">
        <f>VLOOKUP(B142,MEMBERS!B:C,2, )</f>
        <v>AAMIR RASOOL</v>
      </c>
      <c r="D142" s="188">
        <v>45996</v>
      </c>
      <c r="E142" s="175">
        <v>3</v>
      </c>
      <c r="F142" s="168" t="s">
        <v>766</v>
      </c>
      <c r="G142" s="165">
        <f>IFERROR(VLOOKUP(F142,'menu list'!B:C,2,FALSE)*E142,"0")</f>
        <v>1650</v>
      </c>
      <c r="H142" s="334">
        <f t="shared" si="13"/>
        <v>247.5</v>
      </c>
      <c r="I142" s="165">
        <f t="shared" si="14"/>
        <v>1897.5</v>
      </c>
    </row>
    <row r="143" spans="1:9" ht="12.75" hidden="1" x14ac:dyDescent="0.25">
      <c r="A143" s="167">
        <f t="shared" si="15"/>
        <v>142</v>
      </c>
      <c r="B143" s="168" t="s">
        <v>374</v>
      </c>
      <c r="C143" s="168" t="str">
        <f>VLOOKUP(B143,MEMBERS!B:C,2, )</f>
        <v>AAMIR RASOOL</v>
      </c>
      <c r="D143" s="188">
        <v>45996</v>
      </c>
      <c r="E143" s="175">
        <v>2</v>
      </c>
      <c r="F143" s="168" t="s">
        <v>858</v>
      </c>
      <c r="G143" s="165">
        <f>IFERROR(VLOOKUP(F143,'menu list'!B:C,2,FALSE)*E143,"0")</f>
        <v>1000</v>
      </c>
      <c r="H143" s="334">
        <f t="shared" si="13"/>
        <v>150</v>
      </c>
      <c r="I143" s="165">
        <f t="shared" si="14"/>
        <v>1150</v>
      </c>
    </row>
    <row r="144" spans="1:9" ht="12.75" hidden="1" x14ac:dyDescent="0.25">
      <c r="A144" s="167">
        <f t="shared" si="15"/>
        <v>143</v>
      </c>
      <c r="B144" s="168" t="s">
        <v>374</v>
      </c>
      <c r="C144" s="168" t="str">
        <f>VLOOKUP(B144,MEMBERS!B:C,2, )</f>
        <v>AAMIR RASOOL</v>
      </c>
      <c r="D144" s="188">
        <v>45996</v>
      </c>
      <c r="E144" s="175">
        <v>1</v>
      </c>
      <c r="F144" s="168" t="s">
        <v>844</v>
      </c>
      <c r="G144" s="165">
        <f>IFERROR(VLOOKUP(F144,'menu list'!B:C,2,FALSE)*E144,"0")</f>
        <v>900</v>
      </c>
      <c r="H144" s="334">
        <f t="shared" si="13"/>
        <v>135</v>
      </c>
      <c r="I144" s="165">
        <f t="shared" si="14"/>
        <v>1035</v>
      </c>
    </row>
    <row r="145" spans="1:9" ht="12.75" hidden="1" x14ac:dyDescent="0.25">
      <c r="A145" s="167">
        <f t="shared" si="15"/>
        <v>144</v>
      </c>
      <c r="B145" s="168" t="s">
        <v>374</v>
      </c>
      <c r="C145" s="168" t="str">
        <f>VLOOKUP(B145,MEMBERS!B:C,2, )</f>
        <v>AAMIR RASOOL</v>
      </c>
      <c r="D145" s="188">
        <v>45996</v>
      </c>
      <c r="E145" s="175">
        <v>2</v>
      </c>
      <c r="F145" s="168" t="s">
        <v>499</v>
      </c>
      <c r="G145" s="165">
        <f>IFERROR(VLOOKUP(F145,'menu list'!B:C,2,FALSE)*E145,"0")</f>
        <v>200</v>
      </c>
      <c r="H145" s="334">
        <f t="shared" si="13"/>
        <v>30</v>
      </c>
      <c r="I145" s="165">
        <f t="shared" si="14"/>
        <v>230</v>
      </c>
    </row>
    <row r="146" spans="1:9" ht="12.75" hidden="1" x14ac:dyDescent="0.25">
      <c r="A146" s="167">
        <f t="shared" si="15"/>
        <v>145</v>
      </c>
      <c r="B146" s="168" t="s">
        <v>374</v>
      </c>
      <c r="C146" s="168" t="str">
        <f>VLOOKUP(B146,MEMBERS!B:C,2, )</f>
        <v>AAMIR RASOOL</v>
      </c>
      <c r="D146" s="188">
        <v>45996</v>
      </c>
      <c r="E146" s="175">
        <v>1</v>
      </c>
      <c r="F146" s="168" t="s">
        <v>440</v>
      </c>
      <c r="G146" s="165">
        <f>IFERROR(VLOOKUP(F146,'menu list'!B:C,2,FALSE)*E146,"0")</f>
        <v>150</v>
      </c>
      <c r="H146" s="334">
        <f t="shared" si="13"/>
        <v>22.5</v>
      </c>
      <c r="I146" s="165">
        <f t="shared" si="14"/>
        <v>172.5</v>
      </c>
    </row>
    <row r="147" spans="1:9" ht="12.75" hidden="1" x14ac:dyDescent="0.25">
      <c r="A147" s="167">
        <f t="shared" si="15"/>
        <v>146</v>
      </c>
      <c r="B147" s="168" t="s">
        <v>374</v>
      </c>
      <c r="C147" s="168" t="str">
        <f>VLOOKUP(B147,MEMBERS!B:C,2, )</f>
        <v>AAMIR RASOOL</v>
      </c>
      <c r="D147" s="188">
        <v>45996</v>
      </c>
      <c r="E147" s="175">
        <v>4</v>
      </c>
      <c r="F147" s="168" t="s">
        <v>442</v>
      </c>
      <c r="G147" s="165">
        <f>IFERROR(VLOOKUP(F147,'menu list'!B:C,2,FALSE)*E147,"0")</f>
        <v>600</v>
      </c>
      <c r="H147" s="334">
        <f t="shared" si="13"/>
        <v>90</v>
      </c>
      <c r="I147" s="165">
        <f t="shared" si="14"/>
        <v>690</v>
      </c>
    </row>
    <row r="148" spans="1:9" ht="12.75" hidden="1" x14ac:dyDescent="0.25">
      <c r="A148" s="167">
        <f t="shared" si="15"/>
        <v>147</v>
      </c>
      <c r="B148" s="168" t="s">
        <v>44</v>
      </c>
      <c r="C148" s="168" t="str">
        <f>VLOOKUP(B148,MEMBERS!B:C,2, )</f>
        <v>MR.MUHAMMAD RIZWAN</v>
      </c>
      <c r="D148" s="188">
        <v>45996</v>
      </c>
      <c r="E148" s="175">
        <v>2</v>
      </c>
      <c r="F148" s="168" t="s">
        <v>498</v>
      </c>
      <c r="G148" s="165">
        <f>IFERROR(VLOOKUP(F148,'menu list'!B:C,2,FALSE)*E148,"0")</f>
        <v>400</v>
      </c>
      <c r="H148" s="334">
        <f t="shared" si="13"/>
        <v>60</v>
      </c>
      <c r="I148" s="165">
        <f t="shared" si="14"/>
        <v>460</v>
      </c>
    </row>
    <row r="149" spans="1:9" ht="12.75" hidden="1" x14ac:dyDescent="0.25">
      <c r="A149" s="167">
        <f t="shared" si="15"/>
        <v>148</v>
      </c>
      <c r="B149" s="168" t="s">
        <v>44</v>
      </c>
      <c r="C149" s="168" t="str">
        <f>VLOOKUP(B149,MEMBERS!B:C,2, )</f>
        <v>MR.MUHAMMAD RIZWAN</v>
      </c>
      <c r="D149" s="188">
        <v>45996</v>
      </c>
      <c r="E149" s="175">
        <v>1</v>
      </c>
      <c r="F149" s="168" t="s">
        <v>499</v>
      </c>
      <c r="G149" s="165">
        <f>IFERROR(VLOOKUP(F149,'menu list'!B:C,2,FALSE)*E149,"0")</f>
        <v>100</v>
      </c>
      <c r="H149" s="334">
        <f t="shared" si="13"/>
        <v>15</v>
      </c>
      <c r="I149" s="165">
        <f t="shared" si="14"/>
        <v>115</v>
      </c>
    </row>
    <row r="150" spans="1:9" ht="12.75" hidden="1" x14ac:dyDescent="0.25">
      <c r="A150" s="167">
        <f t="shared" si="15"/>
        <v>149</v>
      </c>
      <c r="B150" s="168" t="s">
        <v>395</v>
      </c>
      <c r="C150" s="168" t="str">
        <f>VLOOKUP(B150,MEMBERS!B:C,2, )</f>
        <v>BAHRIA INTERNATIONAL HOSPITAL</v>
      </c>
      <c r="D150" s="188">
        <v>45996</v>
      </c>
      <c r="E150" s="175">
        <v>8</v>
      </c>
      <c r="F150" s="168" t="s">
        <v>611</v>
      </c>
      <c r="G150" s="165">
        <f>IFERROR(VLOOKUP(F150,'menu list'!B:C,2,FALSE)*E150,"0")</f>
        <v>3200</v>
      </c>
      <c r="H150" s="334"/>
      <c r="I150" s="165">
        <f t="shared" si="14"/>
        <v>3200</v>
      </c>
    </row>
    <row r="151" spans="1:9" ht="12.75" hidden="1" x14ac:dyDescent="0.25">
      <c r="A151" s="167">
        <f t="shared" si="15"/>
        <v>150</v>
      </c>
      <c r="B151" s="168" t="s">
        <v>395</v>
      </c>
      <c r="C151" s="168" t="str">
        <f>VLOOKUP(B151,MEMBERS!B:C,2, )</f>
        <v>BAHRIA INTERNATIONAL HOSPITAL</v>
      </c>
      <c r="D151" s="188">
        <v>45996</v>
      </c>
      <c r="E151" s="175">
        <v>30</v>
      </c>
      <c r="F151" s="168" t="s">
        <v>775</v>
      </c>
      <c r="G151" s="165">
        <f>IFERROR(VLOOKUP(F151,'menu list'!B:C,2,FALSE)*E151,"0")</f>
        <v>3000</v>
      </c>
      <c r="H151" s="334"/>
      <c r="I151" s="165">
        <f t="shared" si="14"/>
        <v>3000</v>
      </c>
    </row>
    <row r="152" spans="1:9" ht="12.75" hidden="1" x14ac:dyDescent="0.25">
      <c r="A152" s="167">
        <f t="shared" si="15"/>
        <v>151</v>
      </c>
      <c r="B152" s="168" t="s">
        <v>395</v>
      </c>
      <c r="C152" s="168" t="str">
        <f>VLOOKUP(B152,MEMBERS!B:C,2, )</f>
        <v>BAHRIA INTERNATIONAL HOSPITAL</v>
      </c>
      <c r="D152" s="188">
        <v>45996</v>
      </c>
      <c r="E152" s="175">
        <v>15</v>
      </c>
      <c r="F152" s="168" t="s">
        <v>516</v>
      </c>
      <c r="G152" s="165">
        <f>IFERROR(VLOOKUP(F152,'menu list'!B:C,2,FALSE)*E152,"0")</f>
        <v>3750</v>
      </c>
      <c r="H152" s="334"/>
      <c r="I152" s="165">
        <f t="shared" si="14"/>
        <v>3750</v>
      </c>
    </row>
    <row r="153" spans="1:9" ht="12.75" hidden="1" x14ac:dyDescent="0.25">
      <c r="A153" s="167">
        <f t="shared" si="15"/>
        <v>152</v>
      </c>
      <c r="B153" s="168" t="s">
        <v>395</v>
      </c>
      <c r="C153" s="168" t="str">
        <f>VLOOKUP(B153,MEMBERS!B:C,2, )</f>
        <v>BAHRIA INTERNATIONAL HOSPITAL</v>
      </c>
      <c r="D153" s="188">
        <v>45996</v>
      </c>
      <c r="E153" s="175">
        <v>6</v>
      </c>
      <c r="F153" s="168" t="s">
        <v>558</v>
      </c>
      <c r="G153" s="165">
        <f>IFERROR(VLOOKUP(F153,'menu list'!B:C,2,FALSE)*E153,"0")</f>
        <v>900</v>
      </c>
      <c r="H153" s="334"/>
      <c r="I153" s="165">
        <f t="shared" si="14"/>
        <v>900</v>
      </c>
    </row>
    <row r="154" spans="1:9" ht="12.75" hidden="1" x14ac:dyDescent="0.25">
      <c r="A154" s="167">
        <f t="shared" si="12"/>
        <v>153</v>
      </c>
      <c r="B154" s="168" t="s">
        <v>258</v>
      </c>
      <c r="C154" s="168" t="str">
        <f>VLOOKUP(B154,MEMBERS!B:C,2, )</f>
        <v>BRIG DR. GHULAM MEHDI (Retd)</v>
      </c>
      <c r="D154" s="188">
        <v>45997</v>
      </c>
      <c r="E154" s="175">
        <v>2</v>
      </c>
      <c r="F154" s="168" t="s">
        <v>1163</v>
      </c>
      <c r="G154" s="165">
        <f>IFERROR(VLOOKUP(F154,'menu list'!B:C,2,FALSE)*E154,"0")</f>
        <v>2000</v>
      </c>
      <c r="H154" s="334">
        <f t="shared" si="13"/>
        <v>300</v>
      </c>
      <c r="I154" s="165">
        <f t="shared" si="14"/>
        <v>2300</v>
      </c>
    </row>
    <row r="155" spans="1:9" ht="12.75" hidden="1" x14ac:dyDescent="0.25">
      <c r="A155" s="167">
        <f t="shared" ref="A155:A218" si="16">IF(D155&lt;&gt;"", ROW()-1, "")</f>
        <v>154</v>
      </c>
      <c r="B155" s="168" t="s">
        <v>258</v>
      </c>
      <c r="C155" s="168" t="str">
        <f>VLOOKUP(B155,MEMBERS!B:C,2, )</f>
        <v>BRIG DR. GHULAM MEHDI (Retd)</v>
      </c>
      <c r="D155" s="188">
        <v>45997</v>
      </c>
      <c r="E155" s="175">
        <v>2</v>
      </c>
      <c r="F155" s="168" t="s">
        <v>1164</v>
      </c>
      <c r="G155" s="165">
        <f>IFERROR(VLOOKUP(F155,'menu list'!B:C,2,FALSE)*E155,"0")</f>
        <v>3600</v>
      </c>
      <c r="H155" s="334">
        <f t="shared" si="13"/>
        <v>540</v>
      </c>
      <c r="I155" s="165">
        <f t="shared" si="14"/>
        <v>4140</v>
      </c>
    </row>
    <row r="156" spans="1:9" ht="12.75" hidden="1" x14ac:dyDescent="0.25">
      <c r="A156" s="167">
        <f t="shared" si="16"/>
        <v>155</v>
      </c>
      <c r="B156" s="168" t="s">
        <v>258</v>
      </c>
      <c r="C156" s="168" t="str">
        <f>VLOOKUP(B156,MEMBERS!B:C,2, )</f>
        <v>BRIG DR. GHULAM MEHDI (Retd)</v>
      </c>
      <c r="D156" s="188">
        <v>45997</v>
      </c>
      <c r="E156" s="175">
        <v>1</v>
      </c>
      <c r="F156" s="168" t="s">
        <v>1167</v>
      </c>
      <c r="G156" s="165">
        <f>IFERROR(VLOOKUP(F156,'menu list'!B:C,2,FALSE)*E156,"0")</f>
        <v>1800</v>
      </c>
      <c r="H156" s="334">
        <f t="shared" si="13"/>
        <v>270</v>
      </c>
      <c r="I156" s="165">
        <f t="shared" si="14"/>
        <v>2070</v>
      </c>
    </row>
    <row r="157" spans="1:9" ht="12.75" hidden="1" x14ac:dyDescent="0.25">
      <c r="A157" s="167">
        <f t="shared" si="16"/>
        <v>156</v>
      </c>
      <c r="B157" s="168" t="s">
        <v>258</v>
      </c>
      <c r="C157" s="168" t="str">
        <f>VLOOKUP(B157,MEMBERS!B:C,2, )</f>
        <v>BRIG DR. GHULAM MEHDI (Retd)</v>
      </c>
      <c r="D157" s="188">
        <v>45997</v>
      </c>
      <c r="E157" s="175">
        <v>1</v>
      </c>
      <c r="F157" s="168" t="s">
        <v>733</v>
      </c>
      <c r="G157" s="165">
        <f>IFERROR(VLOOKUP(F157,'menu list'!B:C,2,FALSE)*E157,"0")</f>
        <v>300</v>
      </c>
      <c r="H157" s="334">
        <f t="shared" si="13"/>
        <v>45</v>
      </c>
      <c r="I157" s="165">
        <f t="shared" si="14"/>
        <v>345</v>
      </c>
    </row>
    <row r="158" spans="1:9" ht="12.75" hidden="1" x14ac:dyDescent="0.25">
      <c r="A158" s="167">
        <f t="shared" si="16"/>
        <v>157</v>
      </c>
      <c r="B158" s="168" t="s">
        <v>258</v>
      </c>
      <c r="C158" s="168" t="str">
        <f>VLOOKUP(B158,MEMBERS!B:C,2, )</f>
        <v>BRIG DR. GHULAM MEHDI (Retd)</v>
      </c>
      <c r="D158" s="188">
        <v>45997</v>
      </c>
      <c r="E158" s="175">
        <v>2</v>
      </c>
      <c r="F158" s="168" t="s">
        <v>499</v>
      </c>
      <c r="G158" s="165">
        <f>IFERROR(VLOOKUP(F158,'menu list'!B:C,2,FALSE)*E158,"0")</f>
        <v>200</v>
      </c>
      <c r="H158" s="334">
        <f t="shared" si="13"/>
        <v>30</v>
      </c>
      <c r="I158" s="165">
        <f t="shared" si="14"/>
        <v>230</v>
      </c>
    </row>
    <row r="159" spans="1:9" ht="12.75" hidden="1" x14ac:dyDescent="0.25">
      <c r="A159" s="167">
        <f t="shared" si="16"/>
        <v>158</v>
      </c>
      <c r="B159" s="168" t="s">
        <v>426</v>
      </c>
      <c r="C159" s="168" t="str">
        <f>VLOOKUP(B159,MEMBERS!B:C,2, )</f>
        <v>NASIR ABBAS</v>
      </c>
      <c r="D159" s="188">
        <v>45997</v>
      </c>
      <c r="E159" s="175">
        <v>3</v>
      </c>
      <c r="F159" s="168" t="s">
        <v>1165</v>
      </c>
      <c r="G159" s="165">
        <f>IFERROR(VLOOKUP(F159,'menu list'!B:C,2,FALSE)*E159,"0")</f>
        <v>3300</v>
      </c>
      <c r="H159" s="334">
        <f t="shared" si="13"/>
        <v>495</v>
      </c>
      <c r="I159" s="165">
        <f t="shared" si="14"/>
        <v>3795</v>
      </c>
    </row>
    <row r="160" spans="1:9" ht="12.75" hidden="1" x14ac:dyDescent="0.25">
      <c r="A160" s="167">
        <f t="shared" si="16"/>
        <v>159</v>
      </c>
      <c r="B160" s="168" t="s">
        <v>426</v>
      </c>
      <c r="C160" s="168" t="str">
        <f>VLOOKUP(B160,MEMBERS!B:C,2, )</f>
        <v>NASIR ABBAS</v>
      </c>
      <c r="D160" s="188">
        <v>45997</v>
      </c>
      <c r="E160" s="175">
        <v>3</v>
      </c>
      <c r="F160" s="168" t="s">
        <v>1166</v>
      </c>
      <c r="G160" s="165">
        <f>IFERROR(VLOOKUP(F160,'menu list'!B:C,2,FALSE)*E160,"0")</f>
        <v>4200</v>
      </c>
      <c r="H160" s="334">
        <f t="shared" si="13"/>
        <v>630</v>
      </c>
      <c r="I160" s="165">
        <f t="shared" si="14"/>
        <v>4830</v>
      </c>
    </row>
    <row r="161" spans="1:9" ht="12.75" hidden="1" x14ac:dyDescent="0.25">
      <c r="A161" s="167">
        <f t="shared" si="16"/>
        <v>160</v>
      </c>
      <c r="B161" s="168" t="s">
        <v>426</v>
      </c>
      <c r="C161" s="168" t="str">
        <f>VLOOKUP(B161,MEMBERS!B:C,2, )</f>
        <v>NASIR ABBAS</v>
      </c>
      <c r="D161" s="188">
        <v>45997</v>
      </c>
      <c r="E161" s="175">
        <v>3</v>
      </c>
      <c r="F161" s="168" t="s">
        <v>1164</v>
      </c>
      <c r="G161" s="165">
        <f>IFERROR(VLOOKUP(F161,'menu list'!B:C,2,FALSE)*E161,"0")</f>
        <v>5400</v>
      </c>
      <c r="H161" s="334">
        <f t="shared" si="13"/>
        <v>810</v>
      </c>
      <c r="I161" s="165">
        <f t="shared" si="14"/>
        <v>6210</v>
      </c>
    </row>
    <row r="162" spans="1:9" ht="12.75" hidden="1" x14ac:dyDescent="0.25">
      <c r="A162" s="167">
        <f t="shared" si="16"/>
        <v>161</v>
      </c>
      <c r="B162" s="168" t="s">
        <v>426</v>
      </c>
      <c r="C162" s="168" t="str">
        <f>VLOOKUP(B162,MEMBERS!B:C,2, )</f>
        <v>NASIR ABBAS</v>
      </c>
      <c r="D162" s="188">
        <v>45997</v>
      </c>
      <c r="E162" s="175">
        <v>2</v>
      </c>
      <c r="F162" s="168" t="s">
        <v>1163</v>
      </c>
      <c r="G162" s="165">
        <f>IFERROR(VLOOKUP(F162,'menu list'!B:C,2,FALSE)*E162,"0")</f>
        <v>2000</v>
      </c>
      <c r="H162" s="334">
        <f t="shared" si="13"/>
        <v>300</v>
      </c>
      <c r="I162" s="165">
        <f t="shared" si="14"/>
        <v>2300</v>
      </c>
    </row>
    <row r="163" spans="1:9" ht="12.75" hidden="1" x14ac:dyDescent="0.25">
      <c r="A163" s="167">
        <f t="shared" si="16"/>
        <v>162</v>
      </c>
      <c r="B163" s="168" t="s">
        <v>426</v>
      </c>
      <c r="C163" s="168" t="str">
        <f>VLOOKUP(B163,MEMBERS!B:C,2, )</f>
        <v>NASIR ABBAS</v>
      </c>
      <c r="D163" s="188">
        <v>45997</v>
      </c>
      <c r="E163" s="175">
        <v>3</v>
      </c>
      <c r="F163" s="168" t="s">
        <v>1167</v>
      </c>
      <c r="G163" s="165">
        <f>IFERROR(VLOOKUP(F163,'menu list'!B:C,2,FALSE)*E163,"0")</f>
        <v>5400</v>
      </c>
      <c r="H163" s="334">
        <f t="shared" si="13"/>
        <v>810</v>
      </c>
      <c r="I163" s="165">
        <f t="shared" si="14"/>
        <v>6210</v>
      </c>
    </row>
    <row r="164" spans="1:9" ht="12.75" hidden="1" x14ac:dyDescent="0.25">
      <c r="A164" s="167">
        <f t="shared" si="16"/>
        <v>163</v>
      </c>
      <c r="B164" s="168" t="s">
        <v>426</v>
      </c>
      <c r="C164" s="168" t="str">
        <f>VLOOKUP(B164,MEMBERS!B:C,2, )</f>
        <v>NASIR ABBAS</v>
      </c>
      <c r="D164" s="188">
        <v>45997</v>
      </c>
      <c r="E164" s="175">
        <v>1</v>
      </c>
      <c r="F164" s="168" t="s">
        <v>440</v>
      </c>
      <c r="G164" s="165">
        <f>IFERROR(VLOOKUP(F164,'menu list'!B:C,2,FALSE)*E164,"0")</f>
        <v>150</v>
      </c>
      <c r="H164" s="334">
        <f t="shared" si="13"/>
        <v>22.5</v>
      </c>
      <c r="I164" s="165">
        <f t="shared" si="14"/>
        <v>172.5</v>
      </c>
    </row>
    <row r="165" spans="1:9" ht="12.75" hidden="1" x14ac:dyDescent="0.25">
      <c r="A165" s="167">
        <f t="shared" si="16"/>
        <v>164</v>
      </c>
      <c r="B165" s="168" t="s">
        <v>426</v>
      </c>
      <c r="C165" s="168" t="str">
        <f>VLOOKUP(B165,MEMBERS!B:C,2, )</f>
        <v>NASIR ABBAS</v>
      </c>
      <c r="D165" s="188">
        <v>45997</v>
      </c>
      <c r="E165" s="175">
        <v>3</v>
      </c>
      <c r="F165" s="168" t="s">
        <v>1168</v>
      </c>
      <c r="G165" s="165">
        <f>IFERROR(VLOOKUP(F165,'menu list'!B:C,2,FALSE)*E165,"0")</f>
        <v>1350</v>
      </c>
      <c r="H165" s="334">
        <f t="shared" si="13"/>
        <v>202.5</v>
      </c>
      <c r="I165" s="165">
        <f t="shared" si="14"/>
        <v>1552.5</v>
      </c>
    </row>
    <row r="166" spans="1:9" ht="12.75" hidden="1" x14ac:dyDescent="0.25">
      <c r="A166" s="167">
        <f t="shared" si="16"/>
        <v>165</v>
      </c>
      <c r="B166" s="168" t="s">
        <v>430</v>
      </c>
      <c r="C166" s="168" t="str">
        <f>VLOOKUP(B166,MEMBERS!B:C,2, )</f>
        <v>SYED JIBRAN MUSHTAQ</v>
      </c>
      <c r="D166" s="188">
        <v>45997</v>
      </c>
      <c r="E166" s="175">
        <v>2</v>
      </c>
      <c r="F166" s="168" t="s">
        <v>499</v>
      </c>
      <c r="G166" s="165">
        <f>IFERROR(VLOOKUP(F166,'menu list'!B:C,2,FALSE)*E166,"0")</f>
        <v>200</v>
      </c>
      <c r="H166" s="334">
        <f t="shared" si="13"/>
        <v>30</v>
      </c>
      <c r="I166" s="165">
        <f t="shared" si="14"/>
        <v>230</v>
      </c>
    </row>
    <row r="167" spans="1:9" ht="12.75" hidden="1" x14ac:dyDescent="0.25">
      <c r="A167" s="167">
        <f t="shared" si="16"/>
        <v>166</v>
      </c>
      <c r="B167" s="168" t="s">
        <v>430</v>
      </c>
      <c r="C167" s="168" t="str">
        <f>VLOOKUP(B167,MEMBERS!B:C,2, )</f>
        <v>SYED JIBRAN MUSHTAQ</v>
      </c>
      <c r="D167" s="188">
        <v>45997</v>
      </c>
      <c r="E167" s="175">
        <v>2</v>
      </c>
      <c r="F167" s="168" t="s">
        <v>1167</v>
      </c>
      <c r="G167" s="165">
        <f>IFERROR(VLOOKUP(F167,'menu list'!B:C,2,FALSE)*E167,"0")</f>
        <v>3600</v>
      </c>
      <c r="H167" s="334">
        <f t="shared" si="13"/>
        <v>540</v>
      </c>
      <c r="I167" s="165">
        <f t="shared" si="14"/>
        <v>4140</v>
      </c>
    </row>
    <row r="168" spans="1:9" ht="12.75" hidden="1" x14ac:dyDescent="0.25">
      <c r="A168" s="167">
        <f t="shared" si="16"/>
        <v>167</v>
      </c>
      <c r="B168" s="168" t="s">
        <v>430</v>
      </c>
      <c r="C168" s="168" t="str">
        <f>VLOOKUP(B168,MEMBERS!B:C,2, )</f>
        <v>SYED JIBRAN MUSHTAQ</v>
      </c>
      <c r="D168" s="188">
        <v>45997</v>
      </c>
      <c r="E168" s="175">
        <v>2</v>
      </c>
      <c r="F168" s="168" t="s">
        <v>1165</v>
      </c>
      <c r="G168" s="165">
        <f>IFERROR(VLOOKUP(F168,'menu list'!B:C,2,FALSE)*E168,"0")</f>
        <v>2200</v>
      </c>
      <c r="H168" s="334">
        <f t="shared" si="13"/>
        <v>330</v>
      </c>
      <c r="I168" s="165">
        <f t="shared" si="14"/>
        <v>2530</v>
      </c>
    </row>
    <row r="169" spans="1:9" ht="12.75" hidden="1" x14ac:dyDescent="0.25">
      <c r="A169" s="167">
        <f t="shared" si="16"/>
        <v>168</v>
      </c>
      <c r="B169" s="168" t="s">
        <v>430</v>
      </c>
      <c r="C169" s="168" t="str">
        <f>VLOOKUP(B169,MEMBERS!B:C,2, )</f>
        <v>SYED JIBRAN MUSHTAQ</v>
      </c>
      <c r="D169" s="188">
        <v>45997</v>
      </c>
      <c r="E169" s="175">
        <v>1</v>
      </c>
      <c r="F169" s="168" t="s">
        <v>497</v>
      </c>
      <c r="G169" s="165">
        <f>IFERROR(VLOOKUP(F169,'menu list'!B:C,2,FALSE)*E169,"0")</f>
        <v>250</v>
      </c>
      <c r="H169" s="334">
        <f t="shared" si="13"/>
        <v>37.5</v>
      </c>
      <c r="I169" s="165">
        <f t="shared" si="14"/>
        <v>287.5</v>
      </c>
    </row>
    <row r="170" spans="1:9" ht="12.75" hidden="1" x14ac:dyDescent="0.25">
      <c r="A170" s="167">
        <f t="shared" si="16"/>
        <v>169</v>
      </c>
      <c r="B170" s="168" t="s">
        <v>430</v>
      </c>
      <c r="C170" s="168" t="str">
        <f>VLOOKUP(B170,MEMBERS!B:C,2, )</f>
        <v>SYED JIBRAN MUSHTAQ</v>
      </c>
      <c r="D170" s="188">
        <v>45997</v>
      </c>
      <c r="E170" s="175">
        <v>2</v>
      </c>
      <c r="F170" s="168" t="s">
        <v>1168</v>
      </c>
      <c r="G170" s="165">
        <f>IFERROR(VLOOKUP(F170,'menu list'!B:C,2,FALSE)*E170,"0")</f>
        <v>900</v>
      </c>
      <c r="H170" s="334">
        <f t="shared" si="13"/>
        <v>135</v>
      </c>
      <c r="I170" s="165">
        <f t="shared" si="14"/>
        <v>1035</v>
      </c>
    </row>
    <row r="171" spans="1:9" ht="12.75" hidden="1" x14ac:dyDescent="0.25">
      <c r="A171" s="167">
        <f t="shared" si="16"/>
        <v>170</v>
      </c>
      <c r="B171" s="168" t="s">
        <v>197</v>
      </c>
      <c r="C171" s="168" t="str">
        <f>VLOOKUP(B171,MEMBERS!B:C,2, )</f>
        <v>MR.MUHAMMAD ATIF USMANI</v>
      </c>
      <c r="D171" s="188">
        <v>45997</v>
      </c>
      <c r="E171" s="175">
        <v>1</v>
      </c>
      <c r="F171" s="168" t="s">
        <v>1167</v>
      </c>
      <c r="G171" s="165">
        <f>IFERROR(VLOOKUP(F171,'menu list'!B:C,2,FALSE)*E171,"0")</f>
        <v>1800</v>
      </c>
      <c r="H171" s="334">
        <f t="shared" si="13"/>
        <v>270</v>
      </c>
      <c r="I171" s="165">
        <f t="shared" si="14"/>
        <v>2070</v>
      </c>
    </row>
    <row r="172" spans="1:9" ht="12.75" hidden="1" x14ac:dyDescent="0.25">
      <c r="A172" s="167">
        <f t="shared" si="16"/>
        <v>171</v>
      </c>
      <c r="B172" s="168" t="s">
        <v>197</v>
      </c>
      <c r="C172" s="168" t="str">
        <f>VLOOKUP(B172,MEMBERS!B:C,2, )</f>
        <v>MR.MUHAMMAD ATIF USMANI</v>
      </c>
      <c r="D172" s="188">
        <v>45997</v>
      </c>
      <c r="E172" s="175">
        <v>1</v>
      </c>
      <c r="F172" s="168" t="s">
        <v>1165</v>
      </c>
      <c r="G172" s="165">
        <f>IFERROR(VLOOKUP(F172,'menu list'!B:C,2,FALSE)*E172,"0")</f>
        <v>1100</v>
      </c>
      <c r="H172" s="334">
        <f t="shared" si="13"/>
        <v>165</v>
      </c>
      <c r="I172" s="165">
        <f t="shared" si="14"/>
        <v>1265</v>
      </c>
    </row>
    <row r="173" spans="1:9" ht="12.75" hidden="1" x14ac:dyDescent="0.25">
      <c r="A173" s="167">
        <f t="shared" si="16"/>
        <v>172</v>
      </c>
      <c r="B173" s="168" t="s">
        <v>230</v>
      </c>
      <c r="C173" s="168" t="str">
        <f>VLOOKUP(B173,MEMBERS!B:C,2, )</f>
        <v>MR.FAISAL MERCHANT</v>
      </c>
      <c r="D173" s="188">
        <v>45997</v>
      </c>
      <c r="E173" s="175">
        <v>4</v>
      </c>
      <c r="F173" s="168" t="s">
        <v>1167</v>
      </c>
      <c r="G173" s="165">
        <f>IFERROR(VLOOKUP(F173,'menu list'!B:C,2,FALSE)*E173,"0")</f>
        <v>7200</v>
      </c>
      <c r="H173" s="334">
        <f t="shared" si="13"/>
        <v>1080</v>
      </c>
      <c r="I173" s="165">
        <f t="shared" si="14"/>
        <v>8280</v>
      </c>
    </row>
    <row r="174" spans="1:9" ht="12.75" hidden="1" x14ac:dyDescent="0.25">
      <c r="A174" s="167">
        <f t="shared" si="16"/>
        <v>173</v>
      </c>
      <c r="B174" s="168" t="s">
        <v>230</v>
      </c>
      <c r="C174" s="168" t="str">
        <f>VLOOKUP(B174,MEMBERS!B:C,2, )</f>
        <v>MR.FAISAL MERCHANT</v>
      </c>
      <c r="D174" s="188">
        <v>45997</v>
      </c>
      <c r="E174" s="175">
        <v>2</v>
      </c>
      <c r="F174" s="168" t="s">
        <v>1163</v>
      </c>
      <c r="G174" s="165">
        <f>IFERROR(VLOOKUP(F174,'menu list'!B:C,2,FALSE)*E174,"0")</f>
        <v>2000</v>
      </c>
      <c r="H174" s="334">
        <f t="shared" si="13"/>
        <v>300</v>
      </c>
      <c r="I174" s="165">
        <f t="shared" si="14"/>
        <v>2300</v>
      </c>
    </row>
    <row r="175" spans="1:9" ht="12.75" hidden="1" x14ac:dyDescent="0.25">
      <c r="A175" s="167">
        <f t="shared" si="16"/>
        <v>174</v>
      </c>
      <c r="B175" s="168" t="s">
        <v>230</v>
      </c>
      <c r="C175" s="168" t="str">
        <f>VLOOKUP(B175,MEMBERS!B:C,2, )</f>
        <v>MR.FAISAL MERCHANT</v>
      </c>
      <c r="D175" s="188">
        <v>45997</v>
      </c>
      <c r="E175" s="175">
        <v>2</v>
      </c>
      <c r="F175" s="168" t="s">
        <v>1164</v>
      </c>
      <c r="G175" s="165">
        <f>IFERROR(VLOOKUP(F175,'menu list'!B:C,2,FALSE)*E175,"0")</f>
        <v>3600</v>
      </c>
      <c r="H175" s="334">
        <f t="shared" si="13"/>
        <v>540</v>
      </c>
      <c r="I175" s="165">
        <f t="shared" si="14"/>
        <v>4140</v>
      </c>
    </row>
    <row r="176" spans="1:9" ht="12.75" hidden="1" x14ac:dyDescent="0.25">
      <c r="A176" s="167">
        <f t="shared" si="16"/>
        <v>175</v>
      </c>
      <c r="B176" s="168" t="s">
        <v>230</v>
      </c>
      <c r="C176" s="168" t="str">
        <f>VLOOKUP(B176,MEMBERS!B:C,2, )</f>
        <v>MR.FAISAL MERCHANT</v>
      </c>
      <c r="D176" s="188">
        <v>45997</v>
      </c>
      <c r="E176" s="175">
        <v>1</v>
      </c>
      <c r="F176" s="168" t="s">
        <v>1169</v>
      </c>
      <c r="G176" s="165">
        <f>IFERROR(VLOOKUP(F176,'menu list'!B:C,2,FALSE)*E176,"0")</f>
        <v>2000</v>
      </c>
      <c r="H176" s="334">
        <f t="shared" si="13"/>
        <v>300</v>
      </c>
      <c r="I176" s="165">
        <f t="shared" si="14"/>
        <v>2300</v>
      </c>
    </row>
    <row r="177" spans="1:9" ht="12.75" hidden="1" x14ac:dyDescent="0.25">
      <c r="A177" s="167">
        <f t="shared" si="16"/>
        <v>176</v>
      </c>
      <c r="B177" s="168" t="s">
        <v>230</v>
      </c>
      <c r="C177" s="168" t="str">
        <f>VLOOKUP(B177,MEMBERS!B:C,2, )</f>
        <v>MR.FAISAL MERCHANT</v>
      </c>
      <c r="D177" s="188">
        <v>45997</v>
      </c>
      <c r="E177" s="175">
        <v>4</v>
      </c>
      <c r="F177" s="168" t="s">
        <v>1165</v>
      </c>
      <c r="G177" s="165">
        <f>IFERROR(VLOOKUP(F177,'menu list'!B:C,2,FALSE)*E177,"0")</f>
        <v>4400</v>
      </c>
      <c r="H177" s="334">
        <f t="shared" si="13"/>
        <v>660</v>
      </c>
      <c r="I177" s="165">
        <f t="shared" si="14"/>
        <v>5060</v>
      </c>
    </row>
    <row r="178" spans="1:9" ht="12.75" hidden="1" x14ac:dyDescent="0.25">
      <c r="A178" s="167">
        <f t="shared" si="16"/>
        <v>177</v>
      </c>
      <c r="B178" s="168" t="s">
        <v>230</v>
      </c>
      <c r="C178" s="168" t="str">
        <f>VLOOKUP(B178,MEMBERS!B:C,2, )</f>
        <v>MR.FAISAL MERCHANT</v>
      </c>
      <c r="D178" s="188">
        <v>45997</v>
      </c>
      <c r="E178" s="175">
        <v>5</v>
      </c>
      <c r="F178" s="168" t="s">
        <v>499</v>
      </c>
      <c r="G178" s="165">
        <f>IFERROR(VLOOKUP(F178,'menu list'!B:C,2,FALSE)*E178,"0")</f>
        <v>500</v>
      </c>
      <c r="H178" s="334">
        <f t="shared" si="13"/>
        <v>75</v>
      </c>
      <c r="I178" s="165">
        <f t="shared" si="14"/>
        <v>575</v>
      </c>
    </row>
    <row r="179" spans="1:9" ht="12.75" hidden="1" x14ac:dyDescent="0.25">
      <c r="A179" s="167">
        <f t="shared" si="16"/>
        <v>178</v>
      </c>
      <c r="B179" s="168" t="s">
        <v>230</v>
      </c>
      <c r="C179" s="168" t="str">
        <f>VLOOKUP(B179,MEMBERS!B:C,2, )</f>
        <v>MR.FAISAL MERCHANT</v>
      </c>
      <c r="D179" s="188">
        <v>45997</v>
      </c>
      <c r="E179" s="175">
        <v>3</v>
      </c>
      <c r="F179" s="168" t="s">
        <v>1168</v>
      </c>
      <c r="G179" s="165">
        <f>IFERROR(VLOOKUP(F179,'menu list'!B:C,2,FALSE)*E179,"0")</f>
        <v>1350</v>
      </c>
      <c r="H179" s="334">
        <f t="shared" si="13"/>
        <v>202.5</v>
      </c>
      <c r="I179" s="165">
        <f t="shared" si="14"/>
        <v>1552.5</v>
      </c>
    </row>
    <row r="180" spans="1:9" ht="12.75" hidden="1" x14ac:dyDescent="0.25">
      <c r="A180" s="167">
        <f t="shared" si="16"/>
        <v>179</v>
      </c>
      <c r="B180" s="168" t="s">
        <v>15</v>
      </c>
      <c r="C180" s="168" t="str">
        <f>VLOOKUP(B180,MEMBERS!B:C,2, )</f>
        <v>MR.GHULAM NABI OTHI</v>
      </c>
      <c r="D180" s="188">
        <v>45997</v>
      </c>
      <c r="E180" s="175">
        <v>1</v>
      </c>
      <c r="F180" s="168" t="s">
        <v>440</v>
      </c>
      <c r="G180" s="165">
        <f>IFERROR(VLOOKUP(F180,'menu list'!B:C,2,FALSE)*E180,"0")</f>
        <v>150</v>
      </c>
      <c r="H180" s="334">
        <f t="shared" si="13"/>
        <v>22.5</v>
      </c>
      <c r="I180" s="165">
        <f t="shared" si="14"/>
        <v>172.5</v>
      </c>
    </row>
    <row r="181" spans="1:9" ht="12.75" hidden="1" x14ac:dyDescent="0.25">
      <c r="A181" s="167">
        <f t="shared" si="16"/>
        <v>180</v>
      </c>
      <c r="B181" s="168" t="s">
        <v>15</v>
      </c>
      <c r="C181" s="168" t="str">
        <f>VLOOKUP(B181,MEMBERS!B:C,2, )</f>
        <v>MR.GHULAM NABI OTHI</v>
      </c>
      <c r="D181" s="188">
        <v>45997</v>
      </c>
      <c r="E181" s="175">
        <v>1</v>
      </c>
      <c r="F181" s="168" t="s">
        <v>501</v>
      </c>
      <c r="G181" s="165">
        <f>IFERROR(VLOOKUP(F181,'menu list'!B:C,2,FALSE)*E181,"0")</f>
        <v>1200</v>
      </c>
      <c r="H181" s="334">
        <f t="shared" si="13"/>
        <v>180</v>
      </c>
      <c r="I181" s="165">
        <f t="shared" si="14"/>
        <v>1380</v>
      </c>
    </row>
    <row r="182" spans="1:9" ht="12.75" hidden="1" x14ac:dyDescent="0.25">
      <c r="A182" s="167">
        <f t="shared" si="16"/>
        <v>181</v>
      </c>
      <c r="B182" s="168" t="s">
        <v>15</v>
      </c>
      <c r="C182" s="168" t="str">
        <f>VLOOKUP(B182,MEMBERS!B:C,2, )</f>
        <v>MR.GHULAM NABI OTHI</v>
      </c>
      <c r="D182" s="188">
        <v>45997</v>
      </c>
      <c r="E182" s="175">
        <v>1</v>
      </c>
      <c r="F182" s="168" t="s">
        <v>439</v>
      </c>
      <c r="G182" s="165">
        <f>IFERROR(VLOOKUP(F182,'menu list'!B:C,2,FALSE)*E182,"0")</f>
        <v>70</v>
      </c>
      <c r="H182" s="334">
        <f t="shared" si="13"/>
        <v>10.5</v>
      </c>
      <c r="I182" s="165">
        <f t="shared" si="14"/>
        <v>80.5</v>
      </c>
    </row>
    <row r="183" spans="1:9" ht="12.75" hidden="1" x14ac:dyDescent="0.25">
      <c r="A183" s="167">
        <f t="shared" si="16"/>
        <v>182</v>
      </c>
      <c r="B183" s="168" t="s">
        <v>69</v>
      </c>
      <c r="C183" s="168" t="str">
        <f>VLOOKUP(B183,MEMBERS!B:C,2, )</f>
        <v>MR.TARIQUE ZUBAIR</v>
      </c>
      <c r="D183" s="188">
        <v>45997</v>
      </c>
      <c r="E183" s="175">
        <v>1</v>
      </c>
      <c r="F183" s="168" t="s">
        <v>1169</v>
      </c>
      <c r="G183" s="165">
        <f>IFERROR(VLOOKUP(F183,'menu list'!B:C,2,FALSE)*E183,"0")</f>
        <v>2000</v>
      </c>
      <c r="H183" s="334">
        <f t="shared" si="13"/>
        <v>300</v>
      </c>
      <c r="I183" s="165">
        <f t="shared" si="14"/>
        <v>2300</v>
      </c>
    </row>
    <row r="184" spans="1:9" ht="12.75" hidden="1" x14ac:dyDescent="0.25">
      <c r="A184" s="167">
        <f t="shared" si="16"/>
        <v>183</v>
      </c>
      <c r="B184" s="168" t="s">
        <v>69</v>
      </c>
      <c r="C184" s="168" t="str">
        <f>VLOOKUP(B184,MEMBERS!B:C,2, )</f>
        <v>MR.TARIQUE ZUBAIR</v>
      </c>
      <c r="D184" s="188">
        <v>45997</v>
      </c>
      <c r="E184" s="175">
        <v>2</v>
      </c>
      <c r="F184" s="168" t="s">
        <v>1166</v>
      </c>
      <c r="G184" s="165">
        <f>IFERROR(VLOOKUP(F184,'menu list'!B:C,2,FALSE)*E184,"0")</f>
        <v>2800</v>
      </c>
      <c r="H184" s="334">
        <f t="shared" si="13"/>
        <v>420</v>
      </c>
      <c r="I184" s="165">
        <f t="shared" si="14"/>
        <v>3220</v>
      </c>
    </row>
    <row r="185" spans="1:9" ht="12.75" hidden="1" x14ac:dyDescent="0.25">
      <c r="A185" s="167">
        <f t="shared" si="16"/>
        <v>184</v>
      </c>
      <c r="B185" s="168" t="s">
        <v>69</v>
      </c>
      <c r="C185" s="168" t="str">
        <f>VLOOKUP(B185,MEMBERS!B:C,2, )</f>
        <v>MR.TARIQUE ZUBAIR</v>
      </c>
      <c r="D185" s="188">
        <v>45997</v>
      </c>
      <c r="E185" s="175">
        <v>2</v>
      </c>
      <c r="F185" s="168" t="s">
        <v>1170</v>
      </c>
      <c r="G185" s="165">
        <f>IFERROR(VLOOKUP(F185,'menu list'!B:C,2,FALSE)*E185,"0")</f>
        <v>1600</v>
      </c>
      <c r="H185" s="334">
        <f t="shared" si="13"/>
        <v>240</v>
      </c>
      <c r="I185" s="165">
        <f t="shared" si="14"/>
        <v>1840</v>
      </c>
    </row>
    <row r="186" spans="1:9" ht="12.75" hidden="1" x14ac:dyDescent="0.25">
      <c r="A186" s="167">
        <f t="shared" si="16"/>
        <v>185</v>
      </c>
      <c r="B186" s="168" t="s">
        <v>69</v>
      </c>
      <c r="C186" s="168" t="str">
        <f>VLOOKUP(B186,MEMBERS!B:C,2, )</f>
        <v>MR.TARIQUE ZUBAIR</v>
      </c>
      <c r="D186" s="188">
        <v>45997</v>
      </c>
      <c r="E186" s="175">
        <v>2</v>
      </c>
      <c r="F186" s="168" t="s">
        <v>1163</v>
      </c>
      <c r="G186" s="165">
        <f>IFERROR(VLOOKUP(F186,'menu list'!B:C,2,FALSE)*E186,"0")</f>
        <v>2000</v>
      </c>
      <c r="H186" s="334">
        <f t="shared" si="13"/>
        <v>300</v>
      </c>
      <c r="I186" s="165">
        <f t="shared" si="14"/>
        <v>2300</v>
      </c>
    </row>
    <row r="187" spans="1:9" ht="12.75" hidden="1" x14ac:dyDescent="0.25">
      <c r="A187" s="167">
        <f t="shared" si="16"/>
        <v>186</v>
      </c>
      <c r="B187" s="168" t="s">
        <v>69</v>
      </c>
      <c r="C187" s="168" t="str">
        <f>VLOOKUP(B187,MEMBERS!B:C,2, )</f>
        <v>MR.TARIQUE ZUBAIR</v>
      </c>
      <c r="D187" s="188">
        <v>45997</v>
      </c>
      <c r="E187" s="175">
        <v>2</v>
      </c>
      <c r="F187" s="168" t="s">
        <v>1167</v>
      </c>
      <c r="G187" s="165">
        <f>IFERROR(VLOOKUP(F187,'menu list'!B:C,2,FALSE)*E187,"0")</f>
        <v>3600</v>
      </c>
      <c r="H187" s="334">
        <f t="shared" si="13"/>
        <v>540</v>
      </c>
      <c r="I187" s="165">
        <f t="shared" si="14"/>
        <v>4140</v>
      </c>
    </row>
    <row r="188" spans="1:9" ht="12.75" hidden="1" x14ac:dyDescent="0.25">
      <c r="A188" s="167">
        <f t="shared" si="16"/>
        <v>187</v>
      </c>
      <c r="B188" s="168" t="s">
        <v>69</v>
      </c>
      <c r="C188" s="168" t="str">
        <f>VLOOKUP(B188,MEMBERS!B:C,2, )</f>
        <v>MR.TARIQUE ZUBAIR</v>
      </c>
      <c r="D188" s="188">
        <v>45997</v>
      </c>
      <c r="E188" s="175">
        <v>4</v>
      </c>
      <c r="F188" s="168" t="s">
        <v>439</v>
      </c>
      <c r="G188" s="165">
        <f>IFERROR(VLOOKUP(F188,'menu list'!B:C,2,FALSE)*E188,"0")</f>
        <v>280</v>
      </c>
      <c r="H188" s="334">
        <f t="shared" si="13"/>
        <v>42</v>
      </c>
      <c r="I188" s="165">
        <f t="shared" si="14"/>
        <v>322</v>
      </c>
    </row>
    <row r="189" spans="1:9" ht="12.75" hidden="1" x14ac:dyDescent="0.25">
      <c r="A189" s="167">
        <f t="shared" si="16"/>
        <v>188</v>
      </c>
      <c r="B189" s="168" t="s">
        <v>69</v>
      </c>
      <c r="C189" s="168" t="str">
        <f>VLOOKUP(B189,MEMBERS!B:C,2, )</f>
        <v>MR.TARIQUE ZUBAIR</v>
      </c>
      <c r="D189" s="188">
        <v>45997</v>
      </c>
      <c r="E189" s="175">
        <v>6</v>
      </c>
      <c r="F189" s="168" t="s">
        <v>442</v>
      </c>
      <c r="G189" s="165">
        <f>IFERROR(VLOOKUP(F189,'menu list'!B:C,2,FALSE)*E189,"0")</f>
        <v>900</v>
      </c>
      <c r="H189" s="334">
        <f t="shared" si="13"/>
        <v>135</v>
      </c>
      <c r="I189" s="165">
        <f t="shared" si="14"/>
        <v>1035</v>
      </c>
    </row>
    <row r="190" spans="1:9" ht="12.75" hidden="1" x14ac:dyDescent="0.25">
      <c r="A190" s="167">
        <f t="shared" si="16"/>
        <v>189</v>
      </c>
      <c r="B190" s="168" t="s">
        <v>69</v>
      </c>
      <c r="C190" s="168" t="str">
        <f>VLOOKUP(B190,MEMBERS!B:C,2, )</f>
        <v>MR.TARIQUE ZUBAIR</v>
      </c>
      <c r="D190" s="188">
        <v>45997</v>
      </c>
      <c r="E190" s="175">
        <v>3</v>
      </c>
      <c r="F190" s="168" t="s">
        <v>1171</v>
      </c>
      <c r="G190" s="165">
        <f>IFERROR(VLOOKUP(F190,'menu list'!B:C,2,FALSE)*E190,"0")</f>
        <v>1650</v>
      </c>
      <c r="H190" s="334">
        <f t="shared" si="13"/>
        <v>247.5</v>
      </c>
      <c r="I190" s="165">
        <f t="shared" si="14"/>
        <v>1897.5</v>
      </c>
    </row>
    <row r="191" spans="1:9" ht="12.75" hidden="1" x14ac:dyDescent="0.25">
      <c r="A191" s="167">
        <f t="shared" si="16"/>
        <v>190</v>
      </c>
      <c r="B191" s="168" t="s">
        <v>192</v>
      </c>
      <c r="C191" s="168" t="str">
        <f>VLOOKUP(B191,MEMBERS!B:C,2, )</f>
        <v>MR.HANIF AHSAN ZUBEDI</v>
      </c>
      <c r="D191" s="188">
        <v>45997</v>
      </c>
      <c r="E191" s="175">
        <v>1</v>
      </c>
      <c r="F191" s="168" t="s">
        <v>786</v>
      </c>
      <c r="G191" s="165">
        <f>IFERROR(VLOOKUP(F191,'menu list'!B:C,2,FALSE)*E191,"0")</f>
        <v>1150</v>
      </c>
      <c r="H191" s="334">
        <f t="shared" si="13"/>
        <v>172.5</v>
      </c>
      <c r="I191" s="165">
        <f t="shared" si="14"/>
        <v>1322.5</v>
      </c>
    </row>
    <row r="192" spans="1:9" ht="12.75" hidden="1" x14ac:dyDescent="0.25">
      <c r="A192" s="167">
        <f t="shared" si="16"/>
        <v>191</v>
      </c>
      <c r="B192" s="168" t="s">
        <v>192</v>
      </c>
      <c r="C192" s="168" t="str">
        <f>VLOOKUP(B192,MEMBERS!B:C,2, )</f>
        <v>MR.HANIF AHSAN ZUBEDI</v>
      </c>
      <c r="D192" s="188">
        <v>45997</v>
      </c>
      <c r="E192" s="175">
        <v>1</v>
      </c>
      <c r="F192" s="168" t="s">
        <v>501</v>
      </c>
      <c r="G192" s="165">
        <v>900</v>
      </c>
      <c r="H192" s="334">
        <f t="shared" si="13"/>
        <v>135</v>
      </c>
      <c r="I192" s="165">
        <f t="shared" si="14"/>
        <v>1035</v>
      </c>
    </row>
    <row r="193" spans="1:9" ht="12.75" hidden="1" x14ac:dyDescent="0.25">
      <c r="A193" s="167">
        <f t="shared" si="16"/>
        <v>192</v>
      </c>
      <c r="B193" s="168" t="s">
        <v>192</v>
      </c>
      <c r="C193" s="168" t="str">
        <f>VLOOKUP(B193,MEMBERS!B:C,2, )</f>
        <v>MR.HANIF AHSAN ZUBEDI</v>
      </c>
      <c r="D193" s="188">
        <v>45997</v>
      </c>
      <c r="E193" s="175">
        <v>1</v>
      </c>
      <c r="F193" s="168" t="s">
        <v>522</v>
      </c>
      <c r="G193" s="165">
        <f>IFERROR(VLOOKUP(F193,'menu list'!B:C,2,FALSE)*E193,"0")</f>
        <v>1200</v>
      </c>
      <c r="H193" s="334">
        <f t="shared" si="13"/>
        <v>180</v>
      </c>
      <c r="I193" s="165">
        <f t="shared" si="14"/>
        <v>1380</v>
      </c>
    </row>
    <row r="194" spans="1:9" ht="12.75" hidden="1" x14ac:dyDescent="0.25">
      <c r="A194" s="167">
        <f t="shared" si="16"/>
        <v>193</v>
      </c>
      <c r="B194" s="168" t="s">
        <v>192</v>
      </c>
      <c r="C194" s="168" t="str">
        <f>VLOOKUP(B194,MEMBERS!B:C,2, )</f>
        <v>MR.HANIF AHSAN ZUBEDI</v>
      </c>
      <c r="D194" s="188">
        <v>45997</v>
      </c>
      <c r="E194" s="175">
        <v>2</v>
      </c>
      <c r="F194" s="168" t="s">
        <v>499</v>
      </c>
      <c r="G194" s="165">
        <f>IFERROR(VLOOKUP(F194,'menu list'!B:C,2,FALSE)*E194,"0")</f>
        <v>200</v>
      </c>
      <c r="H194" s="334">
        <f t="shared" si="13"/>
        <v>30</v>
      </c>
      <c r="I194" s="165">
        <f t="shared" si="14"/>
        <v>230</v>
      </c>
    </row>
    <row r="195" spans="1:9" ht="12.75" hidden="1" x14ac:dyDescent="0.25">
      <c r="A195" s="167">
        <f t="shared" si="16"/>
        <v>194</v>
      </c>
      <c r="B195" s="168" t="s">
        <v>192</v>
      </c>
      <c r="C195" s="168" t="str">
        <f>VLOOKUP(B195,MEMBERS!B:C,2, )</f>
        <v>MR.HANIF AHSAN ZUBEDI</v>
      </c>
      <c r="D195" s="188">
        <v>45997</v>
      </c>
      <c r="E195" s="175">
        <v>2</v>
      </c>
      <c r="F195" s="168" t="s">
        <v>442</v>
      </c>
      <c r="G195" s="165">
        <f>IFERROR(VLOOKUP(F195,'menu list'!B:C,2,FALSE)*E195,"0")</f>
        <v>300</v>
      </c>
      <c r="H195" s="334">
        <f t="shared" ref="H195:H258" si="17">G195*15/100</f>
        <v>45</v>
      </c>
      <c r="I195" s="165">
        <f t="shared" ref="I195:I258" si="18">G195+H195</f>
        <v>345</v>
      </c>
    </row>
    <row r="196" spans="1:9" ht="12.75" hidden="1" x14ac:dyDescent="0.25">
      <c r="A196" s="167">
        <f t="shared" si="16"/>
        <v>195</v>
      </c>
      <c r="B196" s="168" t="s">
        <v>103</v>
      </c>
      <c r="C196" s="168" t="str">
        <f>VLOOKUP(B196,MEMBERS!B:C,2, )</f>
        <v>MR.IQBAL AHMED MALLAH</v>
      </c>
      <c r="D196" s="188">
        <v>45997</v>
      </c>
      <c r="E196" s="175">
        <v>1</v>
      </c>
      <c r="F196" s="168" t="s">
        <v>522</v>
      </c>
      <c r="G196" s="165">
        <f>IFERROR(VLOOKUP(F196,'menu list'!B:C,2,FALSE)*E196,"0")</f>
        <v>1200</v>
      </c>
      <c r="H196" s="334">
        <f t="shared" si="17"/>
        <v>180</v>
      </c>
      <c r="I196" s="165">
        <f t="shared" si="18"/>
        <v>1380</v>
      </c>
    </row>
    <row r="197" spans="1:9" ht="12.75" hidden="1" x14ac:dyDescent="0.25">
      <c r="A197" s="167">
        <f t="shared" ref="A197:A199" si="19">IF(D197&lt;&gt;"", ROW()-1, "")</f>
        <v>196</v>
      </c>
      <c r="B197" s="168" t="s">
        <v>103</v>
      </c>
      <c r="C197" s="168" t="str">
        <f>VLOOKUP(B197,MEMBERS!B:C,2, )</f>
        <v>MR.IQBAL AHMED MALLAH</v>
      </c>
      <c r="D197" s="188">
        <v>45997</v>
      </c>
      <c r="E197" s="175">
        <v>2</v>
      </c>
      <c r="F197" s="168" t="s">
        <v>1163</v>
      </c>
      <c r="G197" s="165">
        <f>IFERROR(VLOOKUP(F197,'menu list'!B:C,2,FALSE)*E197,"0")</f>
        <v>2000</v>
      </c>
      <c r="H197" s="334">
        <f t="shared" si="17"/>
        <v>300</v>
      </c>
      <c r="I197" s="165">
        <f t="shared" si="18"/>
        <v>2300</v>
      </c>
    </row>
    <row r="198" spans="1:9" ht="12.75" hidden="1" x14ac:dyDescent="0.25">
      <c r="A198" s="167">
        <f t="shared" si="19"/>
        <v>197</v>
      </c>
      <c r="B198" s="168" t="s">
        <v>103</v>
      </c>
      <c r="C198" s="168" t="str">
        <f>VLOOKUP(B198,MEMBERS!B:C,2, )</f>
        <v>MR.IQBAL AHMED MALLAH</v>
      </c>
      <c r="D198" s="188">
        <v>45997</v>
      </c>
      <c r="E198" s="175">
        <v>2</v>
      </c>
      <c r="F198" s="168" t="s">
        <v>440</v>
      </c>
      <c r="G198" s="165">
        <f>IFERROR(VLOOKUP(F198,'menu list'!B:C,2,FALSE)*E198,"0")</f>
        <v>300</v>
      </c>
      <c r="H198" s="334">
        <f t="shared" si="17"/>
        <v>45</v>
      </c>
      <c r="I198" s="165">
        <f t="shared" si="18"/>
        <v>345</v>
      </c>
    </row>
    <row r="199" spans="1:9" ht="12.75" hidden="1" x14ac:dyDescent="0.25">
      <c r="A199" s="167">
        <f t="shared" si="19"/>
        <v>198</v>
      </c>
      <c r="B199" s="168" t="s">
        <v>103</v>
      </c>
      <c r="C199" s="168" t="str">
        <f>VLOOKUP(B199,MEMBERS!B:C,2, )</f>
        <v>MR.IQBAL AHMED MALLAH</v>
      </c>
      <c r="D199" s="188">
        <v>45997</v>
      </c>
      <c r="E199" s="175">
        <v>2</v>
      </c>
      <c r="F199" s="168" t="s">
        <v>439</v>
      </c>
      <c r="G199" s="165">
        <f>IFERROR(VLOOKUP(F199,'menu list'!B:C,2,FALSE)*E199,"0")</f>
        <v>140</v>
      </c>
      <c r="H199" s="334">
        <f t="shared" si="17"/>
        <v>21</v>
      </c>
      <c r="I199" s="165">
        <f t="shared" si="18"/>
        <v>161</v>
      </c>
    </row>
    <row r="200" spans="1:9" ht="12.75" hidden="1" x14ac:dyDescent="0.25">
      <c r="A200" s="167">
        <f t="shared" si="16"/>
        <v>199</v>
      </c>
      <c r="B200" s="168" t="s">
        <v>762</v>
      </c>
      <c r="C200" s="168" t="str">
        <f>VLOOKUP(B200,MEMBERS!B:C,2, )</f>
        <v>MR. KASHIF SAEED</v>
      </c>
      <c r="D200" s="188">
        <v>45997</v>
      </c>
      <c r="E200" s="175">
        <v>1</v>
      </c>
      <c r="F200" s="168" t="s">
        <v>500</v>
      </c>
      <c r="G200" s="165">
        <f>IFERROR(VLOOKUP(F200,'menu list'!B:C,2,FALSE)*E200,"0")</f>
        <v>1250</v>
      </c>
      <c r="H200" s="334">
        <f t="shared" si="17"/>
        <v>187.5</v>
      </c>
      <c r="I200" s="165">
        <f t="shared" si="18"/>
        <v>1437.5</v>
      </c>
    </row>
    <row r="201" spans="1:9" ht="12.75" hidden="1" x14ac:dyDescent="0.25">
      <c r="A201" s="167">
        <f t="shared" si="16"/>
        <v>200</v>
      </c>
      <c r="B201" s="168" t="s">
        <v>315</v>
      </c>
      <c r="C201" s="168" t="str">
        <f>VLOOKUP(B201,MEMBERS!B:C,2, )</f>
        <v>DGM FATIMA ZAHID</v>
      </c>
      <c r="D201" s="188">
        <v>45997</v>
      </c>
      <c r="E201" s="175">
        <v>2</v>
      </c>
      <c r="F201" s="168" t="s">
        <v>583</v>
      </c>
      <c r="G201" s="165">
        <f>IFERROR(VLOOKUP(F201,'menu list'!B:C,2,FALSE)*E201,"0")</f>
        <v>700</v>
      </c>
      <c r="H201" s="334">
        <f t="shared" si="17"/>
        <v>105</v>
      </c>
      <c r="I201" s="165">
        <f t="shared" si="18"/>
        <v>805</v>
      </c>
    </row>
    <row r="202" spans="1:9" ht="12.75" hidden="1" x14ac:dyDescent="0.25">
      <c r="A202" s="167">
        <f t="shared" si="16"/>
        <v>201</v>
      </c>
      <c r="B202" s="168" t="s">
        <v>315</v>
      </c>
      <c r="C202" s="168" t="str">
        <f>VLOOKUP(B202,MEMBERS!B:C,2, )</f>
        <v>DGM FATIMA ZAHID</v>
      </c>
      <c r="D202" s="188">
        <v>45997</v>
      </c>
      <c r="E202" s="175">
        <v>1</v>
      </c>
      <c r="F202" s="168" t="s">
        <v>498</v>
      </c>
      <c r="G202" s="165">
        <f>IFERROR(VLOOKUP(F202,'menu list'!B:C,2,FALSE)*E202,"0")</f>
        <v>200</v>
      </c>
      <c r="H202" s="334">
        <f t="shared" si="17"/>
        <v>30</v>
      </c>
      <c r="I202" s="165">
        <f t="shared" si="18"/>
        <v>230</v>
      </c>
    </row>
    <row r="203" spans="1:9" ht="12.75" hidden="1" x14ac:dyDescent="0.25">
      <c r="A203" s="167">
        <f t="shared" si="16"/>
        <v>202</v>
      </c>
      <c r="B203" s="168" t="s">
        <v>315</v>
      </c>
      <c r="C203" s="168" t="str">
        <f>VLOOKUP(B203,MEMBERS!B:C,2, )</f>
        <v>DGM FATIMA ZAHID</v>
      </c>
      <c r="D203" s="188">
        <v>45997</v>
      </c>
      <c r="E203" s="175">
        <v>2</v>
      </c>
      <c r="F203" s="168" t="s">
        <v>713</v>
      </c>
      <c r="G203" s="165">
        <f>IFERROR(VLOOKUP(F203,'menu list'!B:C,2,FALSE)*E203,"0")</f>
        <v>900</v>
      </c>
      <c r="H203" s="334">
        <f t="shared" si="17"/>
        <v>135</v>
      </c>
      <c r="I203" s="165">
        <f t="shared" si="18"/>
        <v>1035</v>
      </c>
    </row>
    <row r="204" spans="1:9" ht="12.75" hidden="1" x14ac:dyDescent="0.25">
      <c r="A204" s="167">
        <f t="shared" si="16"/>
        <v>203</v>
      </c>
      <c r="B204" s="168" t="s">
        <v>315</v>
      </c>
      <c r="C204" s="168" t="str">
        <f>VLOOKUP(B204,MEMBERS!B:C,2, )</f>
        <v>DGM FATIMA ZAHID</v>
      </c>
      <c r="D204" s="188">
        <v>45997</v>
      </c>
      <c r="E204" s="175">
        <v>2</v>
      </c>
      <c r="F204" s="168" t="s">
        <v>499</v>
      </c>
      <c r="G204" s="165">
        <f>IFERROR(VLOOKUP(F204,'menu list'!B:C,2,FALSE)*E204,"0")</f>
        <v>200</v>
      </c>
      <c r="H204" s="334">
        <f t="shared" si="17"/>
        <v>30</v>
      </c>
      <c r="I204" s="165">
        <f t="shared" si="18"/>
        <v>230</v>
      </c>
    </row>
    <row r="205" spans="1:9" ht="12.75" hidden="1" x14ac:dyDescent="0.25">
      <c r="A205" s="167">
        <f t="shared" si="16"/>
        <v>204</v>
      </c>
      <c r="B205" s="168" t="s">
        <v>312</v>
      </c>
      <c r="C205" s="168" t="str">
        <f>VLOOKUP(B205,MEMBERS!B:C,2, )</f>
        <v>GM GHULAM DASTAGEER</v>
      </c>
      <c r="D205" s="188">
        <v>45997</v>
      </c>
      <c r="E205" s="175">
        <v>1</v>
      </c>
      <c r="F205" s="168" t="s">
        <v>707</v>
      </c>
      <c r="G205" s="165">
        <f>IFERROR(VLOOKUP(F205,'menu list'!B:C,2,FALSE)*E205,"0")</f>
        <v>450</v>
      </c>
      <c r="H205" s="334">
        <f t="shared" si="17"/>
        <v>67.5</v>
      </c>
      <c r="I205" s="165">
        <f t="shared" si="18"/>
        <v>517.5</v>
      </c>
    </row>
    <row r="206" spans="1:9" ht="12.75" hidden="1" x14ac:dyDescent="0.25">
      <c r="A206" s="167">
        <f t="shared" si="16"/>
        <v>205</v>
      </c>
      <c r="B206" s="168" t="s">
        <v>312</v>
      </c>
      <c r="C206" s="168" t="str">
        <f>VLOOKUP(B206,MEMBERS!B:C,2, )</f>
        <v>GM GHULAM DASTAGEER</v>
      </c>
      <c r="D206" s="188">
        <v>45997</v>
      </c>
      <c r="E206" s="175">
        <v>1</v>
      </c>
      <c r="F206" s="168" t="s">
        <v>623</v>
      </c>
      <c r="G206" s="165">
        <f>IFERROR(VLOOKUP(F206,'menu list'!B:C,2,FALSE)*E206,"0")</f>
        <v>150</v>
      </c>
      <c r="H206" s="334">
        <f t="shared" si="17"/>
        <v>22.5</v>
      </c>
      <c r="I206" s="165">
        <f t="shared" si="18"/>
        <v>172.5</v>
      </c>
    </row>
    <row r="207" spans="1:9" ht="12.75" hidden="1" x14ac:dyDescent="0.25">
      <c r="A207" s="167">
        <f t="shared" si="16"/>
        <v>206</v>
      </c>
      <c r="B207" s="168" t="s">
        <v>312</v>
      </c>
      <c r="C207" s="168" t="str">
        <f>VLOOKUP(B207,MEMBERS!B:C,2, )</f>
        <v>GM GHULAM DASTAGEER</v>
      </c>
      <c r="D207" s="188">
        <v>45997</v>
      </c>
      <c r="E207" s="175">
        <v>1</v>
      </c>
      <c r="F207" s="168" t="s">
        <v>499</v>
      </c>
      <c r="G207" s="165">
        <f>IFERROR(VLOOKUP(F207,'menu list'!B:C,2,FALSE)*E207,"0")</f>
        <v>100</v>
      </c>
      <c r="H207" s="334">
        <f t="shared" si="17"/>
        <v>15</v>
      </c>
      <c r="I207" s="165">
        <f t="shared" si="18"/>
        <v>115</v>
      </c>
    </row>
    <row r="208" spans="1:9" ht="12.75" hidden="1" x14ac:dyDescent="0.25">
      <c r="A208" s="167">
        <f t="shared" si="16"/>
        <v>207</v>
      </c>
      <c r="B208" s="168" t="s">
        <v>312</v>
      </c>
      <c r="C208" s="168" t="str">
        <f>VLOOKUP(B208,MEMBERS!B:C,2, )</f>
        <v>GM GHULAM DASTAGEER</v>
      </c>
      <c r="D208" s="188">
        <v>45997</v>
      </c>
      <c r="E208" s="175">
        <v>1</v>
      </c>
      <c r="F208" s="168" t="s">
        <v>498</v>
      </c>
      <c r="G208" s="165">
        <f>IFERROR(VLOOKUP(F208,'menu list'!B:C,2,FALSE)*E208,"0")</f>
        <v>200</v>
      </c>
      <c r="H208" s="334">
        <f t="shared" si="17"/>
        <v>30</v>
      </c>
      <c r="I208" s="165">
        <f t="shared" si="18"/>
        <v>230</v>
      </c>
    </row>
    <row r="209" spans="1:9" ht="12.75" hidden="1" x14ac:dyDescent="0.25">
      <c r="A209" s="167">
        <f t="shared" si="16"/>
        <v>208</v>
      </c>
      <c r="B209" s="168" t="s">
        <v>103</v>
      </c>
      <c r="C209" s="168" t="str">
        <f>VLOOKUP(B209,MEMBERS!B:C,2, )</f>
        <v>MR.IQBAL AHMED MALLAH</v>
      </c>
      <c r="D209" s="188">
        <v>45997</v>
      </c>
      <c r="E209" s="175">
        <v>3</v>
      </c>
      <c r="F209" s="168" t="s">
        <v>1012</v>
      </c>
      <c r="G209" s="165">
        <f>IFERROR(VLOOKUP(F209,'menu list'!B:C,2,FALSE)*E209,"0")</f>
        <v>3000</v>
      </c>
      <c r="H209" s="334">
        <f t="shared" si="17"/>
        <v>450</v>
      </c>
      <c r="I209" s="165">
        <f t="shared" si="18"/>
        <v>3450</v>
      </c>
    </row>
    <row r="210" spans="1:9" ht="12.75" hidden="1" x14ac:dyDescent="0.25">
      <c r="A210" s="167">
        <f t="shared" si="16"/>
        <v>209</v>
      </c>
      <c r="B210" s="168" t="s">
        <v>1073</v>
      </c>
      <c r="C210" s="168" t="str">
        <f>VLOOKUP(B210,MEMBERS!B:C,2, )</f>
        <v>MR. GHULAM MUSTAFA</v>
      </c>
      <c r="D210" s="188">
        <v>45997</v>
      </c>
      <c r="E210" s="175">
        <v>2</v>
      </c>
      <c r="F210" s="168" t="s">
        <v>1012</v>
      </c>
      <c r="G210" s="165">
        <f>IFERROR(VLOOKUP(F210,'menu list'!B:C,2,FALSE)*E210,"0")</f>
        <v>2000</v>
      </c>
      <c r="H210" s="334">
        <f t="shared" si="17"/>
        <v>300</v>
      </c>
      <c r="I210" s="165">
        <f t="shared" si="18"/>
        <v>2300</v>
      </c>
    </row>
    <row r="211" spans="1:9" ht="12.75" hidden="1" x14ac:dyDescent="0.25">
      <c r="A211" s="167">
        <f t="shared" si="16"/>
        <v>210</v>
      </c>
      <c r="B211" s="168" t="s">
        <v>15</v>
      </c>
      <c r="C211" s="168" t="str">
        <f>VLOOKUP(B211,MEMBERS!B:C,2, )</f>
        <v>MR.GHULAM NABI OTHI</v>
      </c>
      <c r="D211" s="188">
        <v>45997</v>
      </c>
      <c r="E211" s="175">
        <v>7</v>
      </c>
      <c r="F211" s="168" t="s">
        <v>628</v>
      </c>
      <c r="G211" s="165">
        <f>IFERROR(VLOOKUP(F211,'menu list'!B:C,2,FALSE)*E211,"0")</f>
        <v>3850</v>
      </c>
      <c r="H211" s="334">
        <f t="shared" si="17"/>
        <v>577.5</v>
      </c>
      <c r="I211" s="165">
        <f t="shared" si="18"/>
        <v>4427.5</v>
      </c>
    </row>
    <row r="212" spans="1:9" ht="12.75" hidden="1" x14ac:dyDescent="0.25">
      <c r="A212" s="167">
        <f t="shared" si="16"/>
        <v>211</v>
      </c>
      <c r="B212" s="168" t="s">
        <v>15</v>
      </c>
      <c r="C212" s="168" t="str">
        <f>VLOOKUP(B212,MEMBERS!B:C,2, )</f>
        <v>MR.GHULAM NABI OTHI</v>
      </c>
      <c r="D212" s="188">
        <v>45997</v>
      </c>
      <c r="E212" s="175">
        <v>3</v>
      </c>
      <c r="F212" s="168" t="s">
        <v>646</v>
      </c>
      <c r="G212" s="165">
        <f>IFERROR(VLOOKUP(F212,'menu list'!B:C,2,FALSE)*E212,"0")</f>
        <v>3000</v>
      </c>
      <c r="H212" s="334">
        <f t="shared" si="17"/>
        <v>450</v>
      </c>
      <c r="I212" s="165">
        <f t="shared" si="18"/>
        <v>3450</v>
      </c>
    </row>
    <row r="213" spans="1:9" ht="12.75" hidden="1" x14ac:dyDescent="0.25">
      <c r="A213" s="167">
        <f t="shared" si="16"/>
        <v>212</v>
      </c>
      <c r="B213" s="168" t="s">
        <v>374</v>
      </c>
      <c r="C213" s="168" t="str">
        <f>VLOOKUP(B213,MEMBERS!B:C,2, )</f>
        <v>AAMIR RASOOL</v>
      </c>
      <c r="D213" s="188">
        <v>45997</v>
      </c>
      <c r="E213" s="175">
        <v>4</v>
      </c>
      <c r="F213" s="168" t="s">
        <v>645</v>
      </c>
      <c r="G213" s="165">
        <f>IFERROR(VLOOKUP(F213,'menu list'!B:C,2,FALSE)*E213,"0")</f>
        <v>3200</v>
      </c>
      <c r="H213" s="334">
        <f t="shared" si="17"/>
        <v>480</v>
      </c>
      <c r="I213" s="165">
        <f t="shared" si="18"/>
        <v>3680</v>
      </c>
    </row>
    <row r="214" spans="1:9" ht="12.75" hidden="1" x14ac:dyDescent="0.25">
      <c r="A214" s="167">
        <f t="shared" si="16"/>
        <v>213</v>
      </c>
      <c r="B214" s="168" t="s">
        <v>374</v>
      </c>
      <c r="C214" s="168" t="str">
        <f>VLOOKUP(B214,MEMBERS!B:C,2, )</f>
        <v>AAMIR RASOOL</v>
      </c>
      <c r="D214" s="188">
        <v>45997</v>
      </c>
      <c r="E214" s="175">
        <v>2</v>
      </c>
      <c r="F214" s="168" t="s">
        <v>733</v>
      </c>
      <c r="G214" s="165">
        <f>IFERROR(VLOOKUP(F214,'menu list'!B:C,2,FALSE)*E214,"0")</f>
        <v>600</v>
      </c>
      <c r="H214" s="334">
        <f t="shared" si="17"/>
        <v>90</v>
      </c>
      <c r="I214" s="165">
        <f t="shared" si="18"/>
        <v>690</v>
      </c>
    </row>
    <row r="215" spans="1:9" ht="12.75" hidden="1" x14ac:dyDescent="0.25">
      <c r="A215" s="167">
        <f t="shared" si="16"/>
        <v>214</v>
      </c>
      <c r="B215" s="168" t="s">
        <v>650</v>
      </c>
      <c r="C215" s="168" t="str">
        <f>VLOOKUP(B215,MEMBERS!B:C,2, )</f>
        <v>SHAHBAZ AHMED</v>
      </c>
      <c r="D215" s="188">
        <v>45997</v>
      </c>
      <c r="E215" s="175">
        <v>1</v>
      </c>
      <c r="F215" s="168" t="s">
        <v>440</v>
      </c>
      <c r="G215" s="165">
        <f>IFERROR(VLOOKUP(F215,'menu list'!B:C,2,FALSE)*E215,"0")</f>
        <v>150</v>
      </c>
      <c r="H215" s="334">
        <f t="shared" si="17"/>
        <v>22.5</v>
      </c>
      <c r="I215" s="165">
        <f t="shared" si="18"/>
        <v>172.5</v>
      </c>
    </row>
    <row r="216" spans="1:9" ht="12.75" hidden="1" x14ac:dyDescent="0.25">
      <c r="A216" s="167">
        <f t="shared" si="16"/>
        <v>215</v>
      </c>
      <c r="B216" s="168" t="s">
        <v>650</v>
      </c>
      <c r="C216" s="168" t="str">
        <f>VLOOKUP(B216,MEMBERS!B:C,2, )</f>
        <v>SHAHBAZ AHMED</v>
      </c>
      <c r="D216" s="188">
        <v>45997</v>
      </c>
      <c r="E216" s="175">
        <v>2</v>
      </c>
      <c r="F216" s="168" t="s">
        <v>828</v>
      </c>
      <c r="G216" s="165">
        <f>IFERROR(VLOOKUP(F216,'menu list'!B:C,2,FALSE)*E216,"0")</f>
        <v>1700</v>
      </c>
      <c r="H216" s="334">
        <f t="shared" si="17"/>
        <v>255</v>
      </c>
      <c r="I216" s="165">
        <f t="shared" si="18"/>
        <v>1955</v>
      </c>
    </row>
    <row r="217" spans="1:9" ht="12.75" hidden="1" x14ac:dyDescent="0.25">
      <c r="A217" s="167">
        <f t="shared" si="16"/>
        <v>216</v>
      </c>
      <c r="B217" s="168" t="s">
        <v>650</v>
      </c>
      <c r="C217" s="168" t="str">
        <f>VLOOKUP(B217,MEMBERS!B:C,2, )</f>
        <v>SHAHBAZ AHMED</v>
      </c>
      <c r="D217" s="188">
        <v>45997</v>
      </c>
      <c r="E217" s="175">
        <v>2</v>
      </c>
      <c r="F217" s="168" t="s">
        <v>634</v>
      </c>
      <c r="G217" s="165">
        <f>IFERROR(VLOOKUP(F217,'menu list'!B:C,2,FALSE)*E217,"0")</f>
        <v>1000</v>
      </c>
      <c r="H217" s="334">
        <f t="shared" si="17"/>
        <v>150</v>
      </c>
      <c r="I217" s="165">
        <f t="shared" si="18"/>
        <v>1150</v>
      </c>
    </row>
    <row r="218" spans="1:9" ht="12.75" hidden="1" x14ac:dyDescent="0.25">
      <c r="A218" s="167">
        <f t="shared" si="16"/>
        <v>217</v>
      </c>
      <c r="B218" s="168" t="s">
        <v>650</v>
      </c>
      <c r="C218" s="168" t="str">
        <f>VLOOKUP(B218,MEMBERS!B:C,2, )</f>
        <v>SHAHBAZ AHMED</v>
      </c>
      <c r="D218" s="188">
        <v>45997</v>
      </c>
      <c r="E218" s="175">
        <v>2</v>
      </c>
      <c r="F218" s="168" t="s">
        <v>853</v>
      </c>
      <c r="G218" s="165">
        <f>IFERROR(VLOOKUP(F218,'menu list'!B:C,2,FALSE)*E218,"0")</f>
        <v>1150</v>
      </c>
      <c r="H218" s="334">
        <f t="shared" si="17"/>
        <v>172.5</v>
      </c>
      <c r="I218" s="165">
        <f t="shared" si="18"/>
        <v>1322.5</v>
      </c>
    </row>
    <row r="219" spans="1:9" ht="12.75" hidden="1" x14ac:dyDescent="0.25">
      <c r="A219" s="167">
        <f t="shared" ref="A219:A274" si="20">IF(D219&lt;&gt;"", ROW()-1, "")</f>
        <v>218</v>
      </c>
      <c r="B219" s="168" t="s">
        <v>650</v>
      </c>
      <c r="C219" s="168" t="str">
        <f>VLOOKUP(B219,MEMBERS!B:C,2, )</f>
        <v>SHAHBAZ AHMED</v>
      </c>
      <c r="D219" s="188">
        <v>45997</v>
      </c>
      <c r="E219" s="175">
        <v>2</v>
      </c>
      <c r="F219" s="168" t="s">
        <v>836</v>
      </c>
      <c r="G219" s="165">
        <f>IFERROR(VLOOKUP(F219,'menu list'!B:C,2,FALSE)*E219,"0")</f>
        <v>700</v>
      </c>
      <c r="H219" s="334">
        <f t="shared" si="17"/>
        <v>105</v>
      </c>
      <c r="I219" s="165">
        <f t="shared" si="18"/>
        <v>805</v>
      </c>
    </row>
    <row r="220" spans="1:9" ht="12.75" hidden="1" x14ac:dyDescent="0.25">
      <c r="A220" s="167">
        <f t="shared" si="20"/>
        <v>219</v>
      </c>
      <c r="B220" s="168" t="s">
        <v>650</v>
      </c>
      <c r="C220" s="168" t="str">
        <f>VLOOKUP(B220,MEMBERS!B:C,2, )</f>
        <v>SHAHBAZ AHMED</v>
      </c>
      <c r="D220" s="188">
        <v>45997</v>
      </c>
      <c r="E220" s="175">
        <v>4</v>
      </c>
      <c r="F220" s="168" t="s">
        <v>498</v>
      </c>
      <c r="G220" s="165">
        <f>IFERROR(VLOOKUP(F220,'menu list'!B:C,2,FALSE)*E220,"0")</f>
        <v>800</v>
      </c>
      <c r="H220" s="334">
        <f t="shared" si="17"/>
        <v>120</v>
      </c>
      <c r="I220" s="165">
        <f t="shared" si="18"/>
        <v>920</v>
      </c>
    </row>
    <row r="221" spans="1:9" ht="12.75" hidden="1" x14ac:dyDescent="0.25">
      <c r="A221" s="167">
        <f t="shared" si="20"/>
        <v>220</v>
      </c>
      <c r="B221" s="168" t="s">
        <v>378</v>
      </c>
      <c r="C221" s="168" t="str">
        <f>VLOOKUP(B221,MEMBERS!B:C,2, )</f>
        <v>SABA AHSAN</v>
      </c>
      <c r="D221" s="188">
        <v>45997</v>
      </c>
      <c r="E221" s="175">
        <v>2</v>
      </c>
      <c r="F221" s="168" t="s">
        <v>500</v>
      </c>
      <c r="G221" s="165">
        <f>IFERROR(VLOOKUP(F221,'menu list'!B:C,2,FALSE)*E221,"0")</f>
        <v>2500</v>
      </c>
      <c r="H221" s="334">
        <f t="shared" si="17"/>
        <v>375</v>
      </c>
      <c r="I221" s="165">
        <f t="shared" si="18"/>
        <v>2875</v>
      </c>
    </row>
    <row r="222" spans="1:9" ht="12.75" hidden="1" x14ac:dyDescent="0.25">
      <c r="A222" s="167">
        <f t="shared" si="20"/>
        <v>221</v>
      </c>
      <c r="B222" s="168" t="s">
        <v>378</v>
      </c>
      <c r="C222" s="168" t="str">
        <f>VLOOKUP(B222,MEMBERS!B:C,2, )</f>
        <v>SABA AHSAN</v>
      </c>
      <c r="D222" s="188">
        <v>45997</v>
      </c>
      <c r="E222" s="175">
        <v>2</v>
      </c>
      <c r="F222" s="168" t="s">
        <v>498</v>
      </c>
      <c r="G222" s="165">
        <f>IFERROR(VLOOKUP(F222,'menu list'!B:C,2,FALSE)*E222,"0")</f>
        <v>400</v>
      </c>
      <c r="H222" s="334">
        <f t="shared" si="17"/>
        <v>60</v>
      </c>
      <c r="I222" s="165">
        <f t="shared" si="18"/>
        <v>460</v>
      </c>
    </row>
    <row r="223" spans="1:9" ht="12.75" hidden="1" x14ac:dyDescent="0.25">
      <c r="A223" s="167">
        <f t="shared" si="20"/>
        <v>222</v>
      </c>
      <c r="B223" s="168" t="s">
        <v>418</v>
      </c>
      <c r="C223" s="168" t="str">
        <f>VLOOKUP(B223,MEMBERS!B:C,2, )</f>
        <v>ZAIB UR REHMAN</v>
      </c>
      <c r="D223" s="188">
        <v>45997</v>
      </c>
      <c r="E223" s="175">
        <v>1</v>
      </c>
      <c r="F223" s="168" t="s">
        <v>499</v>
      </c>
      <c r="G223" s="165">
        <f>IFERROR(VLOOKUP(F223,'menu list'!B:C,2,FALSE)*E223,"0")</f>
        <v>100</v>
      </c>
      <c r="H223" s="334">
        <f t="shared" si="17"/>
        <v>15</v>
      </c>
      <c r="I223" s="165">
        <f t="shared" si="18"/>
        <v>115</v>
      </c>
    </row>
    <row r="224" spans="1:9" ht="12.75" hidden="1" x14ac:dyDescent="0.25">
      <c r="A224" s="167">
        <f t="shared" si="20"/>
        <v>223</v>
      </c>
      <c r="B224" s="168" t="s">
        <v>795</v>
      </c>
      <c r="C224" s="168" t="str">
        <f>VLOOKUP(B224,MEMBERS!B:C,2, )</f>
        <v>MR. HASAN KARIM</v>
      </c>
      <c r="D224" s="188">
        <v>45997</v>
      </c>
      <c r="E224" s="175">
        <v>1</v>
      </c>
      <c r="F224" s="168" t="s">
        <v>499</v>
      </c>
      <c r="G224" s="165">
        <f>IFERROR(VLOOKUP(F224,'menu list'!B:C,2,FALSE)*E224,"0")</f>
        <v>100</v>
      </c>
      <c r="H224" s="334">
        <f t="shared" si="17"/>
        <v>15</v>
      </c>
      <c r="I224" s="165">
        <f t="shared" si="18"/>
        <v>115</v>
      </c>
    </row>
    <row r="225" spans="1:9" ht="12.75" hidden="1" x14ac:dyDescent="0.25">
      <c r="A225" s="167">
        <f t="shared" si="20"/>
        <v>224</v>
      </c>
      <c r="B225" s="168" t="s">
        <v>795</v>
      </c>
      <c r="C225" s="168" t="str">
        <f>VLOOKUP(B225,MEMBERS!B:C,2, )</f>
        <v>MR. HASAN KARIM</v>
      </c>
      <c r="D225" s="188">
        <v>45997</v>
      </c>
      <c r="E225" s="175">
        <v>1</v>
      </c>
      <c r="F225" s="168" t="s">
        <v>653</v>
      </c>
      <c r="G225" s="165">
        <f>IFERROR(VLOOKUP(F225,'menu list'!B:C,2,FALSE)*E225,"0")</f>
        <v>350</v>
      </c>
      <c r="H225" s="334">
        <f t="shared" si="17"/>
        <v>52.5</v>
      </c>
      <c r="I225" s="165">
        <f t="shared" si="18"/>
        <v>402.5</v>
      </c>
    </row>
    <row r="226" spans="1:9" ht="12.75" hidden="1" x14ac:dyDescent="0.25">
      <c r="A226" s="167">
        <f t="shared" si="20"/>
        <v>225</v>
      </c>
      <c r="B226" s="168" t="s">
        <v>235</v>
      </c>
      <c r="C226" s="168" t="str">
        <f>VLOOKUP(B226,MEMBERS!B:C,2, )</f>
        <v>MR.IMRAN WAZEER</v>
      </c>
      <c r="D226" s="188">
        <v>45997</v>
      </c>
      <c r="E226" s="175">
        <v>1</v>
      </c>
      <c r="F226" s="168" t="s">
        <v>499</v>
      </c>
      <c r="G226" s="165">
        <f>IFERROR(VLOOKUP(F226,'menu list'!B:C,2,FALSE)*E226,"0")</f>
        <v>100</v>
      </c>
      <c r="H226" s="334">
        <f t="shared" si="17"/>
        <v>15</v>
      </c>
      <c r="I226" s="165">
        <f t="shared" si="18"/>
        <v>115</v>
      </c>
    </row>
    <row r="227" spans="1:9" ht="12.75" hidden="1" x14ac:dyDescent="0.25">
      <c r="A227" s="167">
        <f t="shared" si="20"/>
        <v>226</v>
      </c>
      <c r="B227" s="168" t="s">
        <v>235</v>
      </c>
      <c r="C227" s="168" t="str">
        <f>VLOOKUP(B227,MEMBERS!B:C,2, )</f>
        <v>MR.IMRAN WAZEER</v>
      </c>
      <c r="D227" s="188">
        <v>45997</v>
      </c>
      <c r="E227" s="175">
        <v>2</v>
      </c>
      <c r="F227" s="168" t="s">
        <v>497</v>
      </c>
      <c r="G227" s="165">
        <f>IFERROR(VLOOKUP(F227,'menu list'!B:C,2,FALSE)*E227,"0")</f>
        <v>500</v>
      </c>
      <c r="H227" s="334">
        <f t="shared" si="17"/>
        <v>75</v>
      </c>
      <c r="I227" s="165">
        <f t="shared" si="18"/>
        <v>575</v>
      </c>
    </row>
    <row r="228" spans="1:9" ht="12.75" hidden="1" x14ac:dyDescent="0.25">
      <c r="A228" s="167">
        <f t="shared" si="20"/>
        <v>227</v>
      </c>
      <c r="B228" s="168" t="s">
        <v>308</v>
      </c>
      <c r="C228" s="168" t="str">
        <f>VLOOKUP(B228,MEMBERS!B:C,2, )</f>
        <v>DGM AZFAR ALI</v>
      </c>
      <c r="D228" s="188">
        <v>45997</v>
      </c>
      <c r="E228" s="175">
        <v>1</v>
      </c>
      <c r="F228" s="168" t="s">
        <v>499</v>
      </c>
      <c r="G228" s="165">
        <f>IFERROR(VLOOKUP(F228,'menu list'!B:C,2,FALSE)*E228,"0")</f>
        <v>100</v>
      </c>
      <c r="H228" s="334">
        <f t="shared" si="17"/>
        <v>15</v>
      </c>
      <c r="I228" s="165">
        <f t="shared" si="18"/>
        <v>115</v>
      </c>
    </row>
    <row r="229" spans="1:9" ht="12.75" hidden="1" x14ac:dyDescent="0.25">
      <c r="A229" s="167">
        <f t="shared" si="20"/>
        <v>228</v>
      </c>
      <c r="B229" s="168" t="s">
        <v>418</v>
      </c>
      <c r="C229" s="168" t="str">
        <f>VLOOKUP(B229,MEMBERS!B:C,2, )</f>
        <v>ZAIB UR REHMAN</v>
      </c>
      <c r="D229" s="188">
        <v>45997</v>
      </c>
      <c r="E229" s="175">
        <v>1</v>
      </c>
      <c r="F229" s="168" t="s">
        <v>440</v>
      </c>
      <c r="G229" s="165">
        <f>IFERROR(VLOOKUP(F229,'menu list'!B:C,2,FALSE)*E229,"0")</f>
        <v>150</v>
      </c>
      <c r="H229" s="334">
        <f t="shared" si="17"/>
        <v>22.5</v>
      </c>
      <c r="I229" s="165">
        <f t="shared" si="18"/>
        <v>172.5</v>
      </c>
    </row>
    <row r="230" spans="1:9" ht="12.75" hidden="1" x14ac:dyDescent="0.25">
      <c r="A230" s="167">
        <f t="shared" si="20"/>
        <v>229</v>
      </c>
      <c r="B230" s="168" t="s">
        <v>73</v>
      </c>
      <c r="C230" s="168" t="str">
        <f>VLOOKUP(B230,MEMBERS!B:C,2, )</f>
        <v>MR.ATIF SHAFQAT</v>
      </c>
      <c r="D230" s="188">
        <v>45997</v>
      </c>
      <c r="E230" s="175">
        <v>2</v>
      </c>
      <c r="F230" s="168" t="s">
        <v>442</v>
      </c>
      <c r="G230" s="165">
        <f>IFERROR(VLOOKUP(F230,'menu list'!B:C,2,FALSE)*E230,"0")</f>
        <v>300</v>
      </c>
      <c r="H230" s="334">
        <f t="shared" si="17"/>
        <v>45</v>
      </c>
      <c r="I230" s="165">
        <f t="shared" si="18"/>
        <v>345</v>
      </c>
    </row>
    <row r="231" spans="1:9" ht="12.75" hidden="1" x14ac:dyDescent="0.25">
      <c r="A231" s="167">
        <f t="shared" si="20"/>
        <v>230</v>
      </c>
      <c r="B231" s="168" t="s">
        <v>73</v>
      </c>
      <c r="C231" s="168" t="str">
        <f>VLOOKUP(B231,MEMBERS!B:C,2, )</f>
        <v>MR.ATIF SHAFQAT</v>
      </c>
      <c r="D231" s="188">
        <v>45997</v>
      </c>
      <c r="E231" s="175">
        <v>1</v>
      </c>
      <c r="F231" s="168" t="s">
        <v>826</v>
      </c>
      <c r="G231" s="165">
        <f>IFERROR(VLOOKUP(F231,'menu list'!B:C,2,FALSE)*E231,"0")</f>
        <v>900</v>
      </c>
      <c r="H231" s="334">
        <f t="shared" si="17"/>
        <v>135</v>
      </c>
      <c r="I231" s="165">
        <f t="shared" si="18"/>
        <v>1035</v>
      </c>
    </row>
    <row r="232" spans="1:9" ht="12.75" hidden="1" x14ac:dyDescent="0.25">
      <c r="A232" s="167">
        <f t="shared" si="20"/>
        <v>231</v>
      </c>
      <c r="B232" s="168" t="s">
        <v>73</v>
      </c>
      <c r="C232" s="168" t="str">
        <f>VLOOKUP(B232,MEMBERS!B:C,2, )</f>
        <v>MR.ATIF SHAFQAT</v>
      </c>
      <c r="D232" s="188">
        <v>45997</v>
      </c>
      <c r="E232" s="175">
        <v>2</v>
      </c>
      <c r="F232" s="168" t="s">
        <v>853</v>
      </c>
      <c r="G232" s="165">
        <f>IFERROR(VLOOKUP(F232,'menu list'!B:C,2,FALSE)*E232,"0")</f>
        <v>1150</v>
      </c>
      <c r="H232" s="334">
        <f t="shared" si="17"/>
        <v>172.5</v>
      </c>
      <c r="I232" s="165">
        <f t="shared" si="18"/>
        <v>1322.5</v>
      </c>
    </row>
    <row r="233" spans="1:9" ht="12.75" hidden="1" x14ac:dyDescent="0.25">
      <c r="A233" s="167">
        <f t="shared" si="20"/>
        <v>232</v>
      </c>
      <c r="B233" s="168" t="s">
        <v>73</v>
      </c>
      <c r="C233" s="168" t="str">
        <f>VLOOKUP(B233,MEMBERS!B:C,2, )</f>
        <v>MR.ATIF SHAFQAT</v>
      </c>
      <c r="D233" s="188">
        <v>45997</v>
      </c>
      <c r="E233" s="175">
        <v>1</v>
      </c>
      <c r="F233" s="168" t="s">
        <v>500</v>
      </c>
      <c r="G233" s="165">
        <f>IFERROR(VLOOKUP(F233,'menu list'!B:C,2,FALSE)*E233,"0")</f>
        <v>1250</v>
      </c>
      <c r="H233" s="334">
        <f t="shared" si="17"/>
        <v>187.5</v>
      </c>
      <c r="I233" s="165">
        <f t="shared" si="18"/>
        <v>1437.5</v>
      </c>
    </row>
    <row r="234" spans="1:9" ht="12.75" hidden="1" x14ac:dyDescent="0.25">
      <c r="A234" s="167">
        <f t="shared" si="20"/>
        <v>233</v>
      </c>
      <c r="B234" s="168" t="s">
        <v>73</v>
      </c>
      <c r="C234" s="168" t="str">
        <f>VLOOKUP(B234,MEMBERS!B:C,2, )</f>
        <v>MR.ATIF SHAFQAT</v>
      </c>
      <c r="D234" s="188">
        <v>45997</v>
      </c>
      <c r="E234" s="175">
        <v>1</v>
      </c>
      <c r="F234" s="168" t="s">
        <v>439</v>
      </c>
      <c r="G234" s="165">
        <f>IFERROR(VLOOKUP(F234,'menu list'!B:C,2,FALSE)*E234,"0")</f>
        <v>70</v>
      </c>
      <c r="H234" s="334">
        <f t="shared" si="17"/>
        <v>10.5</v>
      </c>
      <c r="I234" s="165">
        <f t="shared" si="18"/>
        <v>80.5</v>
      </c>
    </row>
    <row r="235" spans="1:9" ht="12.75" hidden="1" x14ac:dyDescent="0.25">
      <c r="A235" s="167">
        <f t="shared" si="20"/>
        <v>234</v>
      </c>
      <c r="B235" s="168" t="s">
        <v>73</v>
      </c>
      <c r="C235" s="168" t="str">
        <f>VLOOKUP(B235,MEMBERS!B:C,2, )</f>
        <v>MR.ATIF SHAFQAT</v>
      </c>
      <c r="D235" s="188">
        <v>45997</v>
      </c>
      <c r="E235" s="175">
        <v>2</v>
      </c>
      <c r="F235" s="168" t="s">
        <v>443</v>
      </c>
      <c r="G235" s="165">
        <f>IFERROR(VLOOKUP(F235,'menu list'!B:C,2,FALSE)*E235,"0")</f>
        <v>300</v>
      </c>
      <c r="H235" s="334">
        <f t="shared" si="17"/>
        <v>45</v>
      </c>
      <c r="I235" s="165">
        <f t="shared" si="18"/>
        <v>345</v>
      </c>
    </row>
    <row r="236" spans="1:9" ht="12.75" hidden="1" x14ac:dyDescent="0.25">
      <c r="A236" s="167">
        <f t="shared" si="20"/>
        <v>235</v>
      </c>
      <c r="B236" s="168" t="s">
        <v>1053</v>
      </c>
      <c r="C236" s="168" t="str">
        <f>VLOOKUP(B236,MEMBERS!B:C,2, )</f>
        <v>MR. ZAMIR ALI SHAH</v>
      </c>
      <c r="D236" s="188">
        <v>45997</v>
      </c>
      <c r="E236" s="175">
        <v>1</v>
      </c>
      <c r="F236" s="168" t="s">
        <v>440</v>
      </c>
      <c r="G236" s="165">
        <f>IFERROR(VLOOKUP(F236,'menu list'!B:C,2,FALSE)*E236,"0")</f>
        <v>150</v>
      </c>
      <c r="H236" s="334">
        <f t="shared" si="17"/>
        <v>22.5</v>
      </c>
      <c r="I236" s="165">
        <f t="shared" si="18"/>
        <v>172.5</v>
      </c>
    </row>
    <row r="237" spans="1:9" ht="12.75" hidden="1" x14ac:dyDescent="0.25">
      <c r="A237" s="167">
        <f t="shared" si="20"/>
        <v>236</v>
      </c>
      <c r="B237" s="168" t="s">
        <v>187</v>
      </c>
      <c r="C237" s="168" t="str">
        <f>VLOOKUP(B237,MEMBERS!B:C,2, )</f>
        <v>MR.SHAN ELAHI SEHGAL</v>
      </c>
      <c r="D237" s="188">
        <v>45997</v>
      </c>
      <c r="E237" s="175">
        <v>1</v>
      </c>
      <c r="F237" s="168" t="s">
        <v>497</v>
      </c>
      <c r="G237" s="165">
        <f>IFERROR(VLOOKUP(F237,'menu list'!B:C,2,FALSE)*E237,"0")</f>
        <v>250</v>
      </c>
      <c r="H237" s="334">
        <f t="shared" si="17"/>
        <v>37.5</v>
      </c>
      <c r="I237" s="165">
        <f t="shared" si="18"/>
        <v>287.5</v>
      </c>
    </row>
    <row r="238" spans="1:9" ht="12.75" hidden="1" x14ac:dyDescent="0.25">
      <c r="A238" s="167">
        <f t="shared" si="20"/>
        <v>237</v>
      </c>
      <c r="B238" s="168" t="s">
        <v>235</v>
      </c>
      <c r="C238" s="168" t="str">
        <f>VLOOKUP(B238,MEMBERS!B:C,2, )</f>
        <v>MR.IMRAN WAZEER</v>
      </c>
      <c r="D238" s="188">
        <v>45997</v>
      </c>
      <c r="E238" s="175">
        <v>1</v>
      </c>
      <c r="F238" s="168" t="s">
        <v>497</v>
      </c>
      <c r="G238" s="165">
        <f>IFERROR(VLOOKUP(F238,'menu list'!B:C,2,FALSE)*E238,"0")</f>
        <v>250</v>
      </c>
      <c r="H238" s="334">
        <f t="shared" si="17"/>
        <v>37.5</v>
      </c>
      <c r="I238" s="165">
        <f t="shared" si="18"/>
        <v>287.5</v>
      </c>
    </row>
    <row r="239" spans="1:9" ht="12.75" hidden="1" x14ac:dyDescent="0.25">
      <c r="A239" s="167">
        <f t="shared" si="20"/>
        <v>238</v>
      </c>
      <c r="B239" s="168" t="s">
        <v>235</v>
      </c>
      <c r="C239" s="168" t="str">
        <f>VLOOKUP(B239,MEMBERS!B:C,2, )</f>
        <v>MR.IMRAN WAZEER</v>
      </c>
      <c r="D239" s="188">
        <v>45997</v>
      </c>
      <c r="E239" s="175">
        <v>1</v>
      </c>
      <c r="F239" s="168" t="s">
        <v>442</v>
      </c>
      <c r="G239" s="165">
        <f>IFERROR(VLOOKUP(F239,'menu list'!B:C,2,FALSE)*E239,"0")</f>
        <v>150</v>
      </c>
      <c r="H239" s="334">
        <f t="shared" si="17"/>
        <v>22.5</v>
      </c>
      <c r="I239" s="165">
        <f t="shared" si="18"/>
        <v>172.5</v>
      </c>
    </row>
    <row r="240" spans="1:9" ht="12.75" hidden="1" x14ac:dyDescent="0.25">
      <c r="A240" s="167">
        <f t="shared" si="20"/>
        <v>239</v>
      </c>
      <c r="B240" s="168" t="s">
        <v>948</v>
      </c>
      <c r="C240" s="168" t="str">
        <f>VLOOKUP(B240,MEMBERS!B:C,2, )</f>
        <v>MR. TEHSEEN FAIZ</v>
      </c>
      <c r="D240" s="188">
        <v>45997</v>
      </c>
      <c r="E240" s="175">
        <v>1</v>
      </c>
      <c r="F240" s="168" t="s">
        <v>633</v>
      </c>
      <c r="G240" s="165">
        <f>IFERROR(VLOOKUP(F240,'menu list'!B:C,2,FALSE)*E240,"0")</f>
        <v>700</v>
      </c>
      <c r="H240" s="334">
        <f t="shared" si="17"/>
        <v>105</v>
      </c>
      <c r="I240" s="165">
        <f t="shared" si="18"/>
        <v>805</v>
      </c>
    </row>
    <row r="241" spans="1:9" ht="12.75" hidden="1" x14ac:dyDescent="0.25">
      <c r="A241" s="167">
        <f t="shared" si="20"/>
        <v>240</v>
      </c>
      <c r="B241" s="168" t="s">
        <v>948</v>
      </c>
      <c r="C241" s="168" t="str">
        <f>VLOOKUP(B241,MEMBERS!B:C,2, )</f>
        <v>MR. TEHSEEN FAIZ</v>
      </c>
      <c r="D241" s="188">
        <v>45997</v>
      </c>
      <c r="E241" s="175">
        <v>1</v>
      </c>
      <c r="F241" s="168" t="s">
        <v>601</v>
      </c>
      <c r="G241" s="165">
        <f>IFERROR(VLOOKUP(F241,'menu list'!B:C,2,FALSE)*E241,"0")</f>
        <v>1200</v>
      </c>
      <c r="H241" s="334">
        <f t="shared" si="17"/>
        <v>180</v>
      </c>
      <c r="I241" s="165">
        <f t="shared" si="18"/>
        <v>1380</v>
      </c>
    </row>
    <row r="242" spans="1:9" ht="12.75" hidden="1" x14ac:dyDescent="0.25">
      <c r="A242" s="167">
        <f t="shared" si="20"/>
        <v>241</v>
      </c>
      <c r="B242" s="168" t="s">
        <v>948</v>
      </c>
      <c r="C242" s="168" t="str">
        <f>VLOOKUP(B242,MEMBERS!B:C,2, )</f>
        <v>MR. TEHSEEN FAIZ</v>
      </c>
      <c r="D242" s="188">
        <v>45997</v>
      </c>
      <c r="E242" s="175">
        <v>1</v>
      </c>
      <c r="F242" s="168" t="s">
        <v>500</v>
      </c>
      <c r="G242" s="165">
        <f>IFERROR(VLOOKUP(F242,'menu list'!B:C,2,FALSE)*E242,"0")</f>
        <v>1250</v>
      </c>
      <c r="H242" s="334">
        <f t="shared" si="17"/>
        <v>187.5</v>
      </c>
      <c r="I242" s="165">
        <f t="shared" si="18"/>
        <v>1437.5</v>
      </c>
    </row>
    <row r="243" spans="1:9" ht="12.75" hidden="1" x14ac:dyDescent="0.25">
      <c r="A243" s="167">
        <f t="shared" si="20"/>
        <v>242</v>
      </c>
      <c r="B243" s="168" t="s">
        <v>948</v>
      </c>
      <c r="C243" s="168" t="str">
        <f>VLOOKUP(B243,MEMBERS!B:C,2, )</f>
        <v>MR. TEHSEEN FAIZ</v>
      </c>
      <c r="D243" s="188">
        <v>45997</v>
      </c>
      <c r="E243" s="175">
        <v>1</v>
      </c>
      <c r="F243" s="168" t="s">
        <v>440</v>
      </c>
      <c r="G243" s="165">
        <f>IFERROR(VLOOKUP(F243,'menu list'!B:C,2,FALSE)*E243,"0")</f>
        <v>150</v>
      </c>
      <c r="H243" s="334">
        <f t="shared" si="17"/>
        <v>22.5</v>
      </c>
      <c r="I243" s="165">
        <f t="shared" si="18"/>
        <v>172.5</v>
      </c>
    </row>
    <row r="244" spans="1:9" ht="12.75" hidden="1" x14ac:dyDescent="0.25">
      <c r="A244" s="167">
        <f t="shared" si="20"/>
        <v>243</v>
      </c>
      <c r="B244" s="168" t="s">
        <v>948</v>
      </c>
      <c r="C244" s="168" t="str">
        <f>VLOOKUP(B244,MEMBERS!B:C,2, )</f>
        <v>MR. TEHSEEN FAIZ</v>
      </c>
      <c r="D244" s="188">
        <v>45997</v>
      </c>
      <c r="E244" s="175">
        <v>3</v>
      </c>
      <c r="F244" s="168" t="s">
        <v>442</v>
      </c>
      <c r="G244" s="165">
        <f>IFERROR(VLOOKUP(F244,'menu list'!B:C,2,FALSE)*E244,"0")</f>
        <v>450</v>
      </c>
      <c r="H244" s="334">
        <f t="shared" si="17"/>
        <v>67.5</v>
      </c>
      <c r="I244" s="165">
        <f t="shared" si="18"/>
        <v>517.5</v>
      </c>
    </row>
    <row r="245" spans="1:9" ht="12.75" hidden="1" x14ac:dyDescent="0.25">
      <c r="A245" s="167">
        <f t="shared" si="20"/>
        <v>244</v>
      </c>
      <c r="B245" s="168" t="s">
        <v>1051</v>
      </c>
      <c r="C245" s="168" t="str">
        <f>VLOOKUP(B245,MEMBERS!B:C,2, )</f>
        <v>MR. ZAHIR REHMAN</v>
      </c>
      <c r="D245" s="188">
        <v>45997</v>
      </c>
      <c r="E245" s="175">
        <v>5</v>
      </c>
      <c r="F245" s="168" t="s">
        <v>499</v>
      </c>
      <c r="G245" s="165">
        <f>IFERROR(VLOOKUP(F245,'menu list'!B:C,2,FALSE)*E245,"0")</f>
        <v>500</v>
      </c>
      <c r="H245" s="334">
        <f t="shared" si="17"/>
        <v>75</v>
      </c>
      <c r="I245" s="165">
        <f t="shared" si="18"/>
        <v>575</v>
      </c>
    </row>
    <row r="246" spans="1:9" ht="12.75" hidden="1" x14ac:dyDescent="0.25">
      <c r="A246" s="167">
        <f t="shared" si="20"/>
        <v>245</v>
      </c>
      <c r="B246" s="168" t="s">
        <v>1051</v>
      </c>
      <c r="C246" s="168" t="str">
        <f>VLOOKUP(B246,MEMBERS!B:C,2, )</f>
        <v>MR. ZAHIR REHMAN</v>
      </c>
      <c r="D246" s="188">
        <v>45997</v>
      </c>
      <c r="E246" s="175">
        <v>2</v>
      </c>
      <c r="F246" s="168" t="s">
        <v>802</v>
      </c>
      <c r="G246" s="165">
        <f>IFERROR(VLOOKUP(F246,'menu list'!B:C,2,FALSE)*E246,"0")</f>
        <v>1000</v>
      </c>
      <c r="H246" s="334">
        <f t="shared" si="17"/>
        <v>150</v>
      </c>
      <c r="I246" s="165">
        <f t="shared" si="18"/>
        <v>1150</v>
      </c>
    </row>
    <row r="247" spans="1:9" ht="12.75" hidden="1" x14ac:dyDescent="0.25">
      <c r="A247" s="167">
        <f t="shared" si="20"/>
        <v>246</v>
      </c>
      <c r="B247" s="168" t="s">
        <v>1051</v>
      </c>
      <c r="C247" s="168" t="str">
        <f>VLOOKUP(B247,MEMBERS!B:C,2, )</f>
        <v>MR. ZAHIR REHMAN</v>
      </c>
      <c r="D247" s="188">
        <v>45997</v>
      </c>
      <c r="E247" s="175">
        <v>3</v>
      </c>
      <c r="F247" s="168" t="s">
        <v>769</v>
      </c>
      <c r="G247" s="165">
        <f>IFERROR(VLOOKUP(F247,'menu list'!B:C,2,FALSE)*E247,"0")</f>
        <v>1650</v>
      </c>
      <c r="H247" s="334">
        <f t="shared" si="17"/>
        <v>247.5</v>
      </c>
      <c r="I247" s="165">
        <f t="shared" si="18"/>
        <v>1897.5</v>
      </c>
    </row>
    <row r="248" spans="1:9" ht="12.75" hidden="1" x14ac:dyDescent="0.25">
      <c r="A248" s="167">
        <f t="shared" si="20"/>
        <v>247</v>
      </c>
      <c r="B248" s="168" t="s">
        <v>1051</v>
      </c>
      <c r="C248" s="168" t="str">
        <f>VLOOKUP(B248,MEMBERS!B:C,2, )</f>
        <v>MR. ZAHIR REHMAN</v>
      </c>
      <c r="D248" s="188">
        <v>45997</v>
      </c>
      <c r="E248" s="175">
        <v>1</v>
      </c>
      <c r="F248" s="168" t="s">
        <v>898</v>
      </c>
      <c r="G248" s="165">
        <f>IFERROR(VLOOKUP(F248,'menu list'!B:C,2,FALSE)*E248,"0")</f>
        <v>1000</v>
      </c>
      <c r="H248" s="334">
        <f t="shared" si="17"/>
        <v>150</v>
      </c>
      <c r="I248" s="165">
        <f t="shared" si="18"/>
        <v>1150</v>
      </c>
    </row>
    <row r="249" spans="1:9" ht="12.75" hidden="1" x14ac:dyDescent="0.25">
      <c r="A249" s="167">
        <f t="shared" si="20"/>
        <v>248</v>
      </c>
      <c r="B249" s="168" t="s">
        <v>1051</v>
      </c>
      <c r="C249" s="168" t="str">
        <f>VLOOKUP(B249,MEMBERS!B:C,2, )</f>
        <v>MR. ZAHIR REHMAN</v>
      </c>
      <c r="D249" s="188">
        <v>45997</v>
      </c>
      <c r="E249" s="175">
        <v>3</v>
      </c>
      <c r="F249" s="168" t="s">
        <v>766</v>
      </c>
      <c r="G249" s="165">
        <f>IFERROR(VLOOKUP(F249,'menu list'!B:C,2,FALSE)*E249,"0")</f>
        <v>1650</v>
      </c>
      <c r="H249" s="334">
        <f t="shared" si="17"/>
        <v>247.5</v>
      </c>
      <c r="I249" s="165">
        <f t="shared" si="18"/>
        <v>1897.5</v>
      </c>
    </row>
    <row r="250" spans="1:9" ht="12.75" hidden="1" x14ac:dyDescent="0.25">
      <c r="A250" s="167">
        <f t="shared" si="20"/>
        <v>249</v>
      </c>
      <c r="B250" s="168" t="s">
        <v>1051</v>
      </c>
      <c r="C250" s="168" t="str">
        <f>VLOOKUP(B250,MEMBERS!B:C,2, )</f>
        <v>MR. ZAHIR REHMAN</v>
      </c>
      <c r="D250" s="188">
        <v>45997</v>
      </c>
      <c r="E250" s="175">
        <v>4</v>
      </c>
      <c r="F250" s="168" t="s">
        <v>1165</v>
      </c>
      <c r="G250" s="165">
        <f>IFERROR(VLOOKUP(F250,'menu list'!B:C,2,FALSE)*E250,"0")</f>
        <v>4400</v>
      </c>
      <c r="H250" s="334">
        <f t="shared" si="17"/>
        <v>660</v>
      </c>
      <c r="I250" s="165">
        <f t="shared" si="18"/>
        <v>5060</v>
      </c>
    </row>
    <row r="251" spans="1:9" ht="12.75" hidden="1" x14ac:dyDescent="0.25">
      <c r="A251" s="167">
        <f t="shared" si="20"/>
        <v>250</v>
      </c>
      <c r="B251" s="168" t="s">
        <v>1051</v>
      </c>
      <c r="C251" s="168" t="str">
        <f>VLOOKUP(B251,MEMBERS!B:C,2, )</f>
        <v>MR. ZAHIR REHMAN</v>
      </c>
      <c r="D251" s="188">
        <v>45997</v>
      </c>
      <c r="E251" s="175">
        <v>1</v>
      </c>
      <c r="F251" s="168" t="s">
        <v>1169</v>
      </c>
      <c r="G251" s="165">
        <f>IFERROR(VLOOKUP(F251,'menu list'!B:C,2,FALSE)*E251,"0")</f>
        <v>2000</v>
      </c>
      <c r="H251" s="334">
        <f t="shared" si="17"/>
        <v>300</v>
      </c>
      <c r="I251" s="165">
        <f t="shared" si="18"/>
        <v>2300</v>
      </c>
    </row>
    <row r="252" spans="1:9" ht="12.75" hidden="1" x14ac:dyDescent="0.25">
      <c r="A252" s="167">
        <f t="shared" si="20"/>
        <v>251</v>
      </c>
      <c r="B252" s="168" t="s">
        <v>1051</v>
      </c>
      <c r="C252" s="168" t="str">
        <f>VLOOKUP(B252,MEMBERS!B:C,2, )</f>
        <v>MR. ZAHIR REHMAN</v>
      </c>
      <c r="D252" s="188">
        <v>45997</v>
      </c>
      <c r="E252" s="175">
        <v>4</v>
      </c>
      <c r="F252" s="168" t="s">
        <v>1164</v>
      </c>
      <c r="G252" s="165">
        <f>IFERROR(VLOOKUP(F252,'menu list'!B:C,2,FALSE)*E252,"0")</f>
        <v>7200</v>
      </c>
      <c r="H252" s="334">
        <f t="shared" si="17"/>
        <v>1080</v>
      </c>
      <c r="I252" s="165">
        <f t="shared" si="18"/>
        <v>8280</v>
      </c>
    </row>
    <row r="253" spans="1:9" ht="12.75" hidden="1" x14ac:dyDescent="0.25">
      <c r="A253" s="167">
        <f t="shared" si="20"/>
        <v>252</v>
      </c>
      <c r="B253" s="168" t="s">
        <v>1051</v>
      </c>
      <c r="C253" s="168" t="str">
        <f>VLOOKUP(B253,MEMBERS!B:C,2, )</f>
        <v>MR. ZAHIR REHMAN</v>
      </c>
      <c r="D253" s="188">
        <v>45997</v>
      </c>
      <c r="E253" s="175">
        <v>1</v>
      </c>
      <c r="F253" s="168" t="s">
        <v>1163</v>
      </c>
      <c r="G253" s="165">
        <f>IFERROR(VLOOKUP(F253,'menu list'!B:C,2,FALSE)*E253,"0")</f>
        <v>1000</v>
      </c>
      <c r="H253" s="334">
        <f t="shared" si="17"/>
        <v>150</v>
      </c>
      <c r="I253" s="165">
        <f t="shared" si="18"/>
        <v>1150</v>
      </c>
    </row>
    <row r="254" spans="1:9" ht="12.75" hidden="1" x14ac:dyDescent="0.25">
      <c r="A254" s="167">
        <f t="shared" si="20"/>
        <v>253</v>
      </c>
      <c r="B254" s="168" t="s">
        <v>762</v>
      </c>
      <c r="C254" s="168" t="str">
        <f>VLOOKUP(B254,MEMBERS!B:C,2, )</f>
        <v>MR. KASHIF SAEED</v>
      </c>
      <c r="D254" s="188">
        <v>45997</v>
      </c>
      <c r="E254" s="175">
        <v>3</v>
      </c>
      <c r="F254" s="168" t="s">
        <v>499</v>
      </c>
      <c r="G254" s="165">
        <f>IFERROR(VLOOKUP(F254,'menu list'!B:C,2,FALSE)*E254,"0")</f>
        <v>300</v>
      </c>
      <c r="H254" s="334">
        <f t="shared" si="17"/>
        <v>45</v>
      </c>
      <c r="I254" s="165">
        <f t="shared" si="18"/>
        <v>345</v>
      </c>
    </row>
    <row r="255" spans="1:9" ht="12.75" hidden="1" x14ac:dyDescent="0.25">
      <c r="A255" s="167">
        <f t="shared" si="20"/>
        <v>254</v>
      </c>
      <c r="B255" s="168" t="s">
        <v>762</v>
      </c>
      <c r="C255" s="168" t="str">
        <f>VLOOKUP(B255,MEMBERS!B:C,2, )</f>
        <v>MR. KASHIF SAEED</v>
      </c>
      <c r="D255" s="188">
        <v>45997</v>
      </c>
      <c r="E255" s="175">
        <v>1</v>
      </c>
      <c r="F255" s="168" t="s">
        <v>1170</v>
      </c>
      <c r="G255" s="165">
        <f>IFERROR(VLOOKUP(F255,'menu list'!B:C,2,FALSE)*E255,"0")</f>
        <v>800</v>
      </c>
      <c r="H255" s="334">
        <f t="shared" si="17"/>
        <v>120</v>
      </c>
      <c r="I255" s="165">
        <f t="shared" si="18"/>
        <v>920</v>
      </c>
    </row>
    <row r="256" spans="1:9" ht="12.75" hidden="1" x14ac:dyDescent="0.25">
      <c r="A256" s="167">
        <f t="shared" si="20"/>
        <v>255</v>
      </c>
      <c r="B256" s="168" t="s">
        <v>762</v>
      </c>
      <c r="C256" s="168" t="str">
        <f>VLOOKUP(B256,MEMBERS!B:C,2, )</f>
        <v>MR. KASHIF SAEED</v>
      </c>
      <c r="D256" s="188">
        <v>45997</v>
      </c>
      <c r="E256" s="175">
        <v>2</v>
      </c>
      <c r="F256" s="168" t="s">
        <v>1164</v>
      </c>
      <c r="G256" s="165">
        <f>IFERROR(VLOOKUP(F256,'menu list'!B:C,2,FALSE)*E256,"0")</f>
        <v>3600</v>
      </c>
      <c r="H256" s="334">
        <f t="shared" si="17"/>
        <v>540</v>
      </c>
      <c r="I256" s="165">
        <f t="shared" si="18"/>
        <v>4140</v>
      </c>
    </row>
    <row r="257" spans="1:9" ht="12.75" hidden="1" x14ac:dyDescent="0.25">
      <c r="A257" s="167">
        <f t="shared" si="20"/>
        <v>256</v>
      </c>
      <c r="B257" s="168" t="s">
        <v>762</v>
      </c>
      <c r="C257" s="168" t="str">
        <f>VLOOKUP(B257,MEMBERS!B:C,2, )</f>
        <v>MR. KASHIF SAEED</v>
      </c>
      <c r="D257" s="188">
        <v>45997</v>
      </c>
      <c r="E257" s="175">
        <v>1</v>
      </c>
      <c r="F257" s="168" t="s">
        <v>1163</v>
      </c>
      <c r="G257" s="165">
        <f>IFERROR(VLOOKUP(F257,'menu list'!B:C,2,FALSE)*E257,"0")</f>
        <v>1000</v>
      </c>
      <c r="H257" s="334">
        <f t="shared" si="17"/>
        <v>150</v>
      </c>
      <c r="I257" s="165">
        <f t="shared" si="18"/>
        <v>1150</v>
      </c>
    </row>
    <row r="258" spans="1:9" ht="12.75" hidden="1" x14ac:dyDescent="0.25">
      <c r="A258" s="167">
        <f t="shared" si="20"/>
        <v>257</v>
      </c>
      <c r="B258" s="168" t="s">
        <v>88</v>
      </c>
      <c r="C258" s="168" t="str">
        <f>VLOOKUP(B258,MEMBERS!B:C,2, )</f>
        <v>DR.NAZEER HUSSAIN KALHORO</v>
      </c>
      <c r="D258" s="188">
        <v>45997</v>
      </c>
      <c r="E258" s="175">
        <v>2</v>
      </c>
      <c r="F258" s="168" t="s">
        <v>1163</v>
      </c>
      <c r="G258" s="165">
        <f>IFERROR(VLOOKUP(F258,'menu list'!B:C,2,FALSE)*E258,"0")</f>
        <v>2000</v>
      </c>
      <c r="H258" s="334">
        <f t="shared" si="17"/>
        <v>300</v>
      </c>
      <c r="I258" s="165">
        <f t="shared" si="18"/>
        <v>2300</v>
      </c>
    </row>
    <row r="259" spans="1:9" ht="12.75" hidden="1" x14ac:dyDescent="0.25">
      <c r="A259" s="167">
        <f t="shared" si="20"/>
        <v>258</v>
      </c>
      <c r="B259" s="168" t="s">
        <v>88</v>
      </c>
      <c r="C259" s="168" t="str">
        <f>VLOOKUP(B259,MEMBERS!B:C,2, )</f>
        <v>DR.NAZEER HUSSAIN KALHORO</v>
      </c>
      <c r="D259" s="188">
        <v>45997</v>
      </c>
      <c r="E259" s="175">
        <v>1</v>
      </c>
      <c r="F259" s="168" t="s">
        <v>440</v>
      </c>
      <c r="G259" s="165">
        <f>IFERROR(VLOOKUP(F259,'menu list'!B:C,2,FALSE)*E259,"0")</f>
        <v>150</v>
      </c>
      <c r="H259" s="334">
        <f t="shared" ref="H259:H322" si="21">G259*15/100</f>
        <v>22.5</v>
      </c>
      <c r="I259" s="165">
        <f t="shared" ref="I259:I322" si="22">G259+H259</f>
        <v>172.5</v>
      </c>
    </row>
    <row r="260" spans="1:9" ht="12.75" hidden="1" x14ac:dyDescent="0.25">
      <c r="A260" s="167">
        <f t="shared" si="20"/>
        <v>259</v>
      </c>
      <c r="B260" s="168" t="s">
        <v>88</v>
      </c>
      <c r="C260" s="168" t="str">
        <f>VLOOKUP(B260,MEMBERS!B:C,2, )</f>
        <v>DR.NAZEER HUSSAIN KALHORO</v>
      </c>
      <c r="D260" s="188">
        <v>45997</v>
      </c>
      <c r="E260" s="175">
        <v>2</v>
      </c>
      <c r="F260" s="168" t="s">
        <v>1166</v>
      </c>
      <c r="G260" s="165">
        <f>IFERROR(VLOOKUP(F260,'menu list'!B:C,2,FALSE)*E260,"0")</f>
        <v>2800</v>
      </c>
      <c r="H260" s="334">
        <f t="shared" si="21"/>
        <v>420</v>
      </c>
      <c r="I260" s="165">
        <f t="shared" si="22"/>
        <v>3220</v>
      </c>
    </row>
    <row r="261" spans="1:9" ht="12.75" hidden="1" x14ac:dyDescent="0.25">
      <c r="A261" s="167">
        <f t="shared" si="20"/>
        <v>260</v>
      </c>
      <c r="B261" s="168" t="s">
        <v>88</v>
      </c>
      <c r="C261" s="168" t="str">
        <f>VLOOKUP(B261,MEMBERS!B:C,2, )</f>
        <v>DR.NAZEER HUSSAIN KALHORO</v>
      </c>
      <c r="D261" s="188">
        <v>45997</v>
      </c>
      <c r="E261" s="175">
        <v>1</v>
      </c>
      <c r="F261" s="168" t="s">
        <v>786</v>
      </c>
      <c r="G261" s="165">
        <f>IFERROR(VLOOKUP(F261,'menu list'!B:C,2,FALSE)*E261,"0")</f>
        <v>1150</v>
      </c>
      <c r="H261" s="334">
        <f t="shared" si="21"/>
        <v>172.5</v>
      </c>
      <c r="I261" s="165">
        <f t="shared" si="22"/>
        <v>1322.5</v>
      </c>
    </row>
    <row r="262" spans="1:9" ht="12.75" hidden="1" x14ac:dyDescent="0.25">
      <c r="A262" s="167">
        <f t="shared" si="20"/>
        <v>261</v>
      </c>
      <c r="B262" s="168" t="s">
        <v>88</v>
      </c>
      <c r="C262" s="168" t="str">
        <f>VLOOKUP(B262,MEMBERS!B:C,2, )</f>
        <v>DR.NAZEER HUSSAIN KALHORO</v>
      </c>
      <c r="D262" s="188">
        <v>45997</v>
      </c>
      <c r="E262" s="175">
        <v>1</v>
      </c>
      <c r="F262" s="168" t="s">
        <v>1164</v>
      </c>
      <c r="G262" s="165">
        <f>IFERROR(VLOOKUP(F262,'menu list'!B:C,2,FALSE)*E262,"0")</f>
        <v>1800</v>
      </c>
      <c r="H262" s="334">
        <f t="shared" si="21"/>
        <v>270</v>
      </c>
      <c r="I262" s="165">
        <f t="shared" si="22"/>
        <v>2070</v>
      </c>
    </row>
    <row r="263" spans="1:9" ht="12.75" hidden="1" x14ac:dyDescent="0.25">
      <c r="A263" s="167">
        <f t="shared" si="20"/>
        <v>262</v>
      </c>
      <c r="B263" s="168" t="s">
        <v>88</v>
      </c>
      <c r="C263" s="168" t="str">
        <f>VLOOKUP(B263,MEMBERS!B:C,2, )</f>
        <v>DR.NAZEER HUSSAIN KALHORO</v>
      </c>
      <c r="D263" s="188">
        <v>45997</v>
      </c>
      <c r="E263" s="175">
        <v>2</v>
      </c>
      <c r="F263" s="168" t="s">
        <v>1165</v>
      </c>
      <c r="G263" s="165">
        <f>IFERROR(VLOOKUP(F263,'menu list'!B:C,2,FALSE)*E263,"0")</f>
        <v>2200</v>
      </c>
      <c r="H263" s="334">
        <f t="shared" si="21"/>
        <v>330</v>
      </c>
      <c r="I263" s="165">
        <f t="shared" si="22"/>
        <v>2530</v>
      </c>
    </row>
    <row r="264" spans="1:9" ht="12.75" hidden="1" x14ac:dyDescent="0.25">
      <c r="A264" s="167">
        <f t="shared" si="20"/>
        <v>263</v>
      </c>
      <c r="B264" s="168" t="s">
        <v>374</v>
      </c>
      <c r="C264" s="168" t="str">
        <f>VLOOKUP(B264,MEMBERS!B:C,2, )</f>
        <v>AAMIR RASOOL</v>
      </c>
      <c r="D264" s="188">
        <v>45997</v>
      </c>
      <c r="E264" s="175">
        <v>4</v>
      </c>
      <c r="F264" s="168" t="s">
        <v>1163</v>
      </c>
      <c r="G264" s="165">
        <f>IFERROR(VLOOKUP(F264,'menu list'!B:C,2,FALSE)*E264,"0")</f>
        <v>4000</v>
      </c>
      <c r="H264" s="334">
        <f t="shared" si="21"/>
        <v>600</v>
      </c>
      <c r="I264" s="165">
        <f t="shared" si="22"/>
        <v>4600</v>
      </c>
    </row>
    <row r="265" spans="1:9" ht="12.75" hidden="1" x14ac:dyDescent="0.25">
      <c r="A265" s="167">
        <f t="shared" si="20"/>
        <v>264</v>
      </c>
      <c r="B265" s="168" t="s">
        <v>374</v>
      </c>
      <c r="C265" s="168" t="str">
        <f>VLOOKUP(B265,MEMBERS!B:C,2, )</f>
        <v>AAMIR RASOOL</v>
      </c>
      <c r="D265" s="188">
        <v>45997</v>
      </c>
      <c r="E265" s="175">
        <v>2</v>
      </c>
      <c r="F265" s="168" t="s">
        <v>440</v>
      </c>
      <c r="G265" s="165">
        <f>IFERROR(VLOOKUP(F265,'menu list'!B:C,2,FALSE)*E265,"0")</f>
        <v>300</v>
      </c>
      <c r="H265" s="334">
        <f t="shared" si="21"/>
        <v>45</v>
      </c>
      <c r="I265" s="165">
        <f t="shared" si="22"/>
        <v>345</v>
      </c>
    </row>
    <row r="266" spans="1:9" ht="12.75" hidden="1" x14ac:dyDescent="0.25">
      <c r="A266" s="167">
        <f t="shared" si="20"/>
        <v>265</v>
      </c>
      <c r="B266" s="168" t="s">
        <v>374</v>
      </c>
      <c r="C266" s="168" t="str">
        <f>VLOOKUP(B266,MEMBERS!B:C,2, )</f>
        <v>AAMIR RASOOL</v>
      </c>
      <c r="D266" s="188">
        <v>45997</v>
      </c>
      <c r="E266" s="175">
        <v>3</v>
      </c>
      <c r="F266" s="168" t="s">
        <v>1166</v>
      </c>
      <c r="G266" s="165">
        <f>IFERROR(VLOOKUP(F266,'menu list'!B:C,2,FALSE)*E266,"0")</f>
        <v>4200</v>
      </c>
      <c r="H266" s="334">
        <f t="shared" si="21"/>
        <v>630</v>
      </c>
      <c r="I266" s="165">
        <f t="shared" si="22"/>
        <v>4830</v>
      </c>
    </row>
    <row r="267" spans="1:9" ht="12.75" hidden="1" x14ac:dyDescent="0.25">
      <c r="A267" s="167">
        <f t="shared" si="20"/>
        <v>266</v>
      </c>
      <c r="B267" s="168" t="s">
        <v>374</v>
      </c>
      <c r="C267" s="168" t="str">
        <f>VLOOKUP(B267,MEMBERS!B:C,2, )</f>
        <v>AAMIR RASOOL</v>
      </c>
      <c r="D267" s="188">
        <v>45997</v>
      </c>
      <c r="E267" s="175">
        <v>4</v>
      </c>
      <c r="F267" s="168" t="s">
        <v>1165</v>
      </c>
      <c r="G267" s="165">
        <f>IFERROR(VLOOKUP(F267,'menu list'!B:C,2,FALSE)*E267,"0")</f>
        <v>4400</v>
      </c>
      <c r="H267" s="334">
        <f t="shared" si="21"/>
        <v>660</v>
      </c>
      <c r="I267" s="165">
        <f t="shared" si="22"/>
        <v>5060</v>
      </c>
    </row>
    <row r="268" spans="1:9" ht="12.75" hidden="1" x14ac:dyDescent="0.25">
      <c r="A268" s="167">
        <f t="shared" si="20"/>
        <v>267</v>
      </c>
      <c r="B268" s="168" t="s">
        <v>374</v>
      </c>
      <c r="C268" s="168" t="str">
        <f>VLOOKUP(B268,MEMBERS!B:C,2, )</f>
        <v>AAMIR RASOOL</v>
      </c>
      <c r="D268" s="188">
        <v>45997</v>
      </c>
      <c r="E268" s="175">
        <v>2</v>
      </c>
      <c r="F268" s="168" t="s">
        <v>442</v>
      </c>
      <c r="G268" s="165">
        <f>IFERROR(VLOOKUP(F268,'menu list'!B:C,2,FALSE)*E268,"0")</f>
        <v>300</v>
      </c>
      <c r="H268" s="334">
        <f t="shared" si="21"/>
        <v>45</v>
      </c>
      <c r="I268" s="165">
        <f t="shared" si="22"/>
        <v>345</v>
      </c>
    </row>
    <row r="269" spans="1:9" ht="12.75" hidden="1" x14ac:dyDescent="0.25">
      <c r="A269" s="167">
        <f t="shared" si="20"/>
        <v>268</v>
      </c>
      <c r="B269" s="168" t="s">
        <v>374</v>
      </c>
      <c r="C269" s="168" t="str">
        <f>VLOOKUP(B269,MEMBERS!B:C,2, )</f>
        <v>AAMIR RASOOL</v>
      </c>
      <c r="D269" s="188">
        <v>45997</v>
      </c>
      <c r="E269" s="175">
        <v>2</v>
      </c>
      <c r="F269" s="168" t="s">
        <v>1167</v>
      </c>
      <c r="G269" s="165">
        <f>IFERROR(VLOOKUP(F269,'menu list'!B:C,2,FALSE)*E269,"0")</f>
        <v>3600</v>
      </c>
      <c r="H269" s="334">
        <f t="shared" si="21"/>
        <v>540</v>
      </c>
      <c r="I269" s="165">
        <f t="shared" si="22"/>
        <v>4140</v>
      </c>
    </row>
    <row r="270" spans="1:9" ht="12.75" hidden="1" x14ac:dyDescent="0.25">
      <c r="A270" s="167">
        <f t="shared" si="20"/>
        <v>269</v>
      </c>
      <c r="B270" s="168" t="s">
        <v>151</v>
      </c>
      <c r="C270" s="168" t="str">
        <f>VLOOKUP(B270,MEMBERS!B:C,2, )</f>
        <v>MR.ZULQARNAIN</v>
      </c>
      <c r="D270" s="188">
        <v>45997</v>
      </c>
      <c r="E270" s="175">
        <v>4</v>
      </c>
      <c r="F270" s="168" t="s">
        <v>501</v>
      </c>
      <c r="G270" s="165">
        <f>IFERROR(VLOOKUP(F270,'menu list'!B:C,2,FALSE)*E270,"0")</f>
        <v>4800</v>
      </c>
      <c r="H270" s="334">
        <f t="shared" si="21"/>
        <v>720</v>
      </c>
      <c r="I270" s="165">
        <f t="shared" si="22"/>
        <v>5520</v>
      </c>
    </row>
    <row r="271" spans="1:9" ht="12.75" hidden="1" x14ac:dyDescent="0.25">
      <c r="A271" s="167">
        <f t="shared" si="20"/>
        <v>270</v>
      </c>
      <c r="B271" s="168" t="s">
        <v>151</v>
      </c>
      <c r="C271" s="168" t="str">
        <f>VLOOKUP(B271,MEMBERS!B:C,2, )</f>
        <v>MR.ZULQARNAIN</v>
      </c>
      <c r="D271" s="188">
        <v>45997</v>
      </c>
      <c r="E271" s="175">
        <v>4</v>
      </c>
      <c r="F271" s="168" t="s">
        <v>1170</v>
      </c>
      <c r="G271" s="165">
        <f>IFERROR(VLOOKUP(F271,'menu list'!B:C,2,FALSE)*E271,"0")</f>
        <v>3200</v>
      </c>
      <c r="H271" s="334">
        <f t="shared" si="21"/>
        <v>480</v>
      </c>
      <c r="I271" s="165">
        <f t="shared" si="22"/>
        <v>3680</v>
      </c>
    </row>
    <row r="272" spans="1:9" ht="12.75" hidden="1" x14ac:dyDescent="0.25">
      <c r="A272" s="167">
        <f t="shared" si="20"/>
        <v>271</v>
      </c>
      <c r="B272" s="168" t="s">
        <v>151</v>
      </c>
      <c r="C272" s="168" t="str">
        <f>VLOOKUP(B272,MEMBERS!B:C,2, )</f>
        <v>MR.ZULQARNAIN</v>
      </c>
      <c r="D272" s="188">
        <v>45997</v>
      </c>
      <c r="E272" s="175">
        <v>3</v>
      </c>
      <c r="F272" s="168" t="s">
        <v>1164</v>
      </c>
      <c r="G272" s="165">
        <f>IFERROR(VLOOKUP(F272,'menu list'!B:C,2,FALSE)*E272,"0")</f>
        <v>5400</v>
      </c>
      <c r="H272" s="334">
        <f t="shared" si="21"/>
        <v>810</v>
      </c>
      <c r="I272" s="165">
        <f t="shared" si="22"/>
        <v>6210</v>
      </c>
    </row>
    <row r="273" spans="1:9" ht="12.75" hidden="1" x14ac:dyDescent="0.25">
      <c r="A273" s="167">
        <f t="shared" si="20"/>
        <v>272</v>
      </c>
      <c r="B273" s="168" t="s">
        <v>151</v>
      </c>
      <c r="C273" s="168" t="str">
        <f>VLOOKUP(B273,MEMBERS!B:C,2, )</f>
        <v>MR.ZULQARNAIN</v>
      </c>
      <c r="D273" s="188">
        <v>45997</v>
      </c>
      <c r="E273" s="175">
        <v>6</v>
      </c>
      <c r="F273" s="168" t="s">
        <v>499</v>
      </c>
      <c r="G273" s="165">
        <f>IFERROR(VLOOKUP(F273,'menu list'!B:C,2,FALSE)*E273,"0")</f>
        <v>600</v>
      </c>
      <c r="H273" s="334">
        <f t="shared" si="21"/>
        <v>90</v>
      </c>
      <c r="I273" s="165">
        <f t="shared" si="22"/>
        <v>690</v>
      </c>
    </row>
    <row r="274" spans="1:9" ht="12.75" hidden="1" x14ac:dyDescent="0.25">
      <c r="A274" s="167">
        <f t="shared" si="20"/>
        <v>273</v>
      </c>
      <c r="B274" s="168" t="s">
        <v>151</v>
      </c>
      <c r="C274" s="168" t="str">
        <f>VLOOKUP(B274,MEMBERS!B:C,2, )</f>
        <v>MR.ZULQARNAIN</v>
      </c>
      <c r="D274" s="188">
        <v>45997</v>
      </c>
      <c r="E274" s="175">
        <v>1</v>
      </c>
      <c r="F274" s="168" t="s">
        <v>1167</v>
      </c>
      <c r="G274" s="165">
        <f>IFERROR(VLOOKUP(F274,'menu list'!B:C,2,FALSE)*E274,"0")</f>
        <v>1800</v>
      </c>
      <c r="H274" s="334">
        <f t="shared" si="21"/>
        <v>270</v>
      </c>
      <c r="I274" s="165">
        <f t="shared" si="22"/>
        <v>2070</v>
      </c>
    </row>
    <row r="275" spans="1:9" ht="12.75" hidden="1" x14ac:dyDescent="0.25">
      <c r="A275" s="167">
        <f t="shared" ref="A275:A328" si="23">IF(D275&lt;&gt;"", ROW()-1, "")</f>
        <v>274</v>
      </c>
      <c r="B275" s="168" t="s">
        <v>650</v>
      </c>
      <c r="C275" s="168" t="str">
        <f>VLOOKUP(B275,MEMBERS!B:C,2, )</f>
        <v>SHAHBAZ AHMED</v>
      </c>
      <c r="D275" s="188">
        <v>45997</v>
      </c>
      <c r="E275" s="175">
        <v>2</v>
      </c>
      <c r="F275" s="168" t="s">
        <v>1164</v>
      </c>
      <c r="G275" s="165">
        <f>IFERROR(VLOOKUP(F275,'menu list'!B:C,2,FALSE)*E275,"0")</f>
        <v>3600</v>
      </c>
      <c r="H275" s="334">
        <f t="shared" si="21"/>
        <v>540</v>
      </c>
      <c r="I275" s="165">
        <f t="shared" si="22"/>
        <v>4140</v>
      </c>
    </row>
    <row r="276" spans="1:9" ht="12.75" hidden="1" x14ac:dyDescent="0.25">
      <c r="A276" s="167">
        <f t="shared" si="23"/>
        <v>275</v>
      </c>
      <c r="B276" s="168" t="s">
        <v>650</v>
      </c>
      <c r="C276" s="168" t="str">
        <f>VLOOKUP(B276,MEMBERS!B:C,2, )</f>
        <v>SHAHBAZ AHMED</v>
      </c>
      <c r="D276" s="188">
        <v>45997</v>
      </c>
      <c r="E276" s="175">
        <v>1</v>
      </c>
      <c r="F276" s="168" t="s">
        <v>1170</v>
      </c>
      <c r="G276" s="165">
        <f>IFERROR(VLOOKUP(F276,'menu list'!B:C,2,FALSE)*E276,"0")</f>
        <v>800</v>
      </c>
      <c r="H276" s="334">
        <f t="shared" si="21"/>
        <v>120</v>
      </c>
      <c r="I276" s="165">
        <f t="shared" si="22"/>
        <v>920</v>
      </c>
    </row>
    <row r="277" spans="1:9" ht="12.75" hidden="1" x14ac:dyDescent="0.25">
      <c r="A277" s="167">
        <f t="shared" si="23"/>
        <v>276</v>
      </c>
      <c r="B277" s="168" t="s">
        <v>650</v>
      </c>
      <c r="C277" s="168" t="str">
        <f>VLOOKUP(B277,MEMBERS!B:C,2, )</f>
        <v>SHAHBAZ AHMED</v>
      </c>
      <c r="D277" s="188">
        <v>45997</v>
      </c>
      <c r="E277" s="175">
        <v>1</v>
      </c>
      <c r="F277" s="168" t="s">
        <v>1163</v>
      </c>
      <c r="G277" s="165">
        <f>IFERROR(VLOOKUP(F277,'menu list'!B:C,2,FALSE)*E277,"0")</f>
        <v>1000</v>
      </c>
      <c r="H277" s="334">
        <f t="shared" si="21"/>
        <v>150</v>
      </c>
      <c r="I277" s="165">
        <f t="shared" si="22"/>
        <v>1150</v>
      </c>
    </row>
    <row r="278" spans="1:9" ht="12.75" hidden="1" x14ac:dyDescent="0.25">
      <c r="A278" s="167">
        <f t="shared" si="23"/>
        <v>277</v>
      </c>
      <c r="B278" s="168" t="s">
        <v>650</v>
      </c>
      <c r="C278" s="168" t="str">
        <f>VLOOKUP(B278,MEMBERS!B:C,2, )</f>
        <v>SHAHBAZ AHMED</v>
      </c>
      <c r="D278" s="188">
        <v>45997</v>
      </c>
      <c r="E278" s="175">
        <v>1</v>
      </c>
      <c r="F278" s="168" t="s">
        <v>501</v>
      </c>
      <c r="G278" s="165">
        <f>IFERROR(VLOOKUP(F278,'menu list'!B:C,2,FALSE)*E278,"0")</f>
        <v>1200</v>
      </c>
      <c r="H278" s="334">
        <f t="shared" si="21"/>
        <v>180</v>
      </c>
      <c r="I278" s="165">
        <f t="shared" si="22"/>
        <v>1380</v>
      </c>
    </row>
    <row r="279" spans="1:9" ht="12.75" hidden="1" x14ac:dyDescent="0.25">
      <c r="A279" s="167">
        <f t="shared" si="23"/>
        <v>278</v>
      </c>
      <c r="B279" s="168" t="s">
        <v>650</v>
      </c>
      <c r="C279" s="168" t="str">
        <f>VLOOKUP(B279,MEMBERS!B:C,2, )</f>
        <v>SHAHBAZ AHMED</v>
      </c>
      <c r="D279" s="188">
        <v>45997</v>
      </c>
      <c r="E279" s="175">
        <v>1</v>
      </c>
      <c r="F279" s="168" t="s">
        <v>1165</v>
      </c>
      <c r="G279" s="165">
        <f>IFERROR(VLOOKUP(F279,'menu list'!B:C,2,FALSE)*E279,"0")</f>
        <v>1100</v>
      </c>
      <c r="H279" s="334">
        <f t="shared" si="21"/>
        <v>165</v>
      </c>
      <c r="I279" s="165">
        <f t="shared" si="22"/>
        <v>1265</v>
      </c>
    </row>
    <row r="280" spans="1:9" ht="12.75" hidden="1" x14ac:dyDescent="0.25">
      <c r="A280" s="167">
        <f t="shared" si="23"/>
        <v>279</v>
      </c>
      <c r="B280" s="168" t="s">
        <v>650</v>
      </c>
      <c r="C280" s="168" t="str">
        <f>VLOOKUP(B280,MEMBERS!B:C,2, )</f>
        <v>SHAHBAZ AHMED</v>
      </c>
      <c r="D280" s="188">
        <v>45997</v>
      </c>
      <c r="E280" s="175">
        <v>4</v>
      </c>
      <c r="F280" s="168" t="s">
        <v>442</v>
      </c>
      <c r="G280" s="165">
        <f>IFERROR(VLOOKUP(F280,'menu list'!B:C,2,FALSE)*E280,"0")</f>
        <v>600</v>
      </c>
      <c r="H280" s="334">
        <f t="shared" si="21"/>
        <v>90</v>
      </c>
      <c r="I280" s="165">
        <f t="shared" si="22"/>
        <v>690</v>
      </c>
    </row>
    <row r="281" spans="1:9" ht="12.75" hidden="1" x14ac:dyDescent="0.25">
      <c r="A281" s="167">
        <f t="shared" si="23"/>
        <v>280</v>
      </c>
      <c r="B281" s="168" t="s">
        <v>287</v>
      </c>
      <c r="C281" s="168" t="str">
        <f>VLOOKUP(B281,MEMBERS!B:C,2, )</f>
        <v>DGM.REHAN TARIQ</v>
      </c>
      <c r="D281" s="188">
        <v>45997</v>
      </c>
      <c r="E281" s="175">
        <v>1</v>
      </c>
      <c r="F281" s="168" t="s">
        <v>1164</v>
      </c>
      <c r="G281" s="165">
        <f>IFERROR(VLOOKUP(F281,'menu list'!B:C,2,FALSE)*E281,"0")</f>
        <v>1800</v>
      </c>
      <c r="H281" s="334">
        <f t="shared" si="21"/>
        <v>270</v>
      </c>
      <c r="I281" s="165">
        <f t="shared" si="22"/>
        <v>2070</v>
      </c>
    </row>
    <row r="282" spans="1:9" ht="12.75" hidden="1" x14ac:dyDescent="0.25">
      <c r="A282" s="167">
        <f t="shared" si="23"/>
        <v>281</v>
      </c>
      <c r="B282" s="168" t="s">
        <v>287</v>
      </c>
      <c r="C282" s="168" t="str">
        <f>VLOOKUP(B282,MEMBERS!B:C,2, )</f>
        <v>DGM.REHAN TARIQ</v>
      </c>
      <c r="D282" s="188">
        <v>45997</v>
      </c>
      <c r="E282" s="175">
        <v>1</v>
      </c>
      <c r="F282" s="168" t="s">
        <v>1170</v>
      </c>
      <c r="G282" s="165">
        <f>IFERROR(VLOOKUP(F282,'menu list'!B:C,2,FALSE)*E282,"0")</f>
        <v>800</v>
      </c>
      <c r="H282" s="334">
        <f t="shared" si="21"/>
        <v>120</v>
      </c>
      <c r="I282" s="165">
        <f t="shared" si="22"/>
        <v>920</v>
      </c>
    </row>
    <row r="283" spans="1:9" ht="12.75" hidden="1" x14ac:dyDescent="0.25">
      <c r="A283" s="167">
        <f t="shared" si="23"/>
        <v>282</v>
      </c>
      <c r="B283" s="168" t="s">
        <v>287</v>
      </c>
      <c r="C283" s="168" t="str">
        <f>VLOOKUP(B283,MEMBERS!B:C,2, )</f>
        <v>DGM.REHAN TARIQ</v>
      </c>
      <c r="D283" s="188">
        <v>45997</v>
      </c>
      <c r="E283" s="175">
        <v>1</v>
      </c>
      <c r="F283" s="168" t="s">
        <v>1163</v>
      </c>
      <c r="G283" s="165">
        <f>IFERROR(VLOOKUP(F283,'menu list'!B:C,2,FALSE)*E283,"0")</f>
        <v>1000</v>
      </c>
      <c r="H283" s="334">
        <f t="shared" si="21"/>
        <v>150</v>
      </c>
      <c r="I283" s="165">
        <f t="shared" si="22"/>
        <v>1150</v>
      </c>
    </row>
    <row r="284" spans="1:9" ht="12.75" hidden="1" x14ac:dyDescent="0.25">
      <c r="A284" s="167">
        <f t="shared" si="23"/>
        <v>283</v>
      </c>
      <c r="B284" s="168" t="s">
        <v>287</v>
      </c>
      <c r="C284" s="168" t="str">
        <f>VLOOKUP(B284,MEMBERS!B:C,2, )</f>
        <v>DGM.REHAN TARIQ</v>
      </c>
      <c r="D284" s="188">
        <v>45997</v>
      </c>
      <c r="E284" s="175">
        <v>2</v>
      </c>
      <c r="F284" s="168" t="s">
        <v>623</v>
      </c>
      <c r="G284" s="165">
        <f>IFERROR(VLOOKUP(F284,'menu list'!B:C,2,FALSE)*E284,"0")</f>
        <v>300</v>
      </c>
      <c r="H284" s="334">
        <f t="shared" si="21"/>
        <v>45</v>
      </c>
      <c r="I284" s="165">
        <f t="shared" si="22"/>
        <v>345</v>
      </c>
    </row>
    <row r="285" spans="1:9" ht="12.75" hidden="1" x14ac:dyDescent="0.25">
      <c r="A285" s="167">
        <f t="shared" si="23"/>
        <v>284</v>
      </c>
      <c r="B285" s="168" t="s">
        <v>287</v>
      </c>
      <c r="C285" s="168" t="str">
        <f>VLOOKUP(B285,MEMBERS!B:C,2, )</f>
        <v>DGM.REHAN TARIQ</v>
      </c>
      <c r="D285" s="188">
        <v>45997</v>
      </c>
      <c r="E285" s="175">
        <v>1</v>
      </c>
      <c r="F285" s="168" t="s">
        <v>442</v>
      </c>
      <c r="G285" s="165">
        <f>IFERROR(VLOOKUP(F285,'menu list'!B:C,2,FALSE)*E285,"0")</f>
        <v>150</v>
      </c>
      <c r="H285" s="334">
        <f t="shared" si="21"/>
        <v>22.5</v>
      </c>
      <c r="I285" s="165">
        <f t="shared" si="22"/>
        <v>172.5</v>
      </c>
    </row>
    <row r="286" spans="1:9" ht="12.75" hidden="1" x14ac:dyDescent="0.25">
      <c r="A286" s="167">
        <f t="shared" si="23"/>
        <v>285</v>
      </c>
      <c r="B286" s="168" t="s">
        <v>187</v>
      </c>
      <c r="C286" s="168" t="str">
        <f>VLOOKUP(B286,MEMBERS!B:C,2, )</f>
        <v>MR.SHAN ELAHI SEHGAL</v>
      </c>
      <c r="D286" s="188">
        <v>45997</v>
      </c>
      <c r="E286" s="175">
        <v>2</v>
      </c>
      <c r="F286" s="168" t="s">
        <v>1164</v>
      </c>
      <c r="G286" s="165">
        <f>IFERROR(VLOOKUP(F286,'menu list'!B:C,2,FALSE)*E286,"0")</f>
        <v>3600</v>
      </c>
      <c r="H286" s="334">
        <f t="shared" si="21"/>
        <v>540</v>
      </c>
      <c r="I286" s="165">
        <f t="shared" si="22"/>
        <v>4140</v>
      </c>
    </row>
    <row r="287" spans="1:9" ht="12.75" hidden="1" x14ac:dyDescent="0.25">
      <c r="A287" s="167">
        <f t="shared" si="23"/>
        <v>286</v>
      </c>
      <c r="B287" s="168" t="s">
        <v>187</v>
      </c>
      <c r="C287" s="168" t="str">
        <f>VLOOKUP(B287,MEMBERS!B:C,2, )</f>
        <v>MR.SHAN ELAHI SEHGAL</v>
      </c>
      <c r="D287" s="188">
        <v>45997</v>
      </c>
      <c r="E287" s="175">
        <v>4</v>
      </c>
      <c r="F287" s="168" t="s">
        <v>1170</v>
      </c>
      <c r="G287" s="165">
        <f>IFERROR(VLOOKUP(F287,'menu list'!B:C,2,FALSE)*E287,"0")</f>
        <v>3200</v>
      </c>
      <c r="H287" s="334">
        <f t="shared" si="21"/>
        <v>480</v>
      </c>
      <c r="I287" s="165">
        <f t="shared" si="22"/>
        <v>3680</v>
      </c>
    </row>
    <row r="288" spans="1:9" ht="12.75" hidden="1" x14ac:dyDescent="0.25">
      <c r="A288" s="167">
        <f t="shared" si="23"/>
        <v>287</v>
      </c>
      <c r="B288" s="168" t="s">
        <v>187</v>
      </c>
      <c r="C288" s="168" t="str">
        <f>VLOOKUP(B288,MEMBERS!B:C,2, )</f>
        <v>MR.SHAN ELAHI SEHGAL</v>
      </c>
      <c r="D288" s="188">
        <v>45997</v>
      </c>
      <c r="E288" s="175">
        <v>1</v>
      </c>
      <c r="F288" s="168" t="s">
        <v>1163</v>
      </c>
      <c r="G288" s="165">
        <f>IFERROR(VLOOKUP(F288,'menu list'!B:C,2,FALSE)*E288,"0")</f>
        <v>1000</v>
      </c>
      <c r="H288" s="334">
        <f t="shared" si="21"/>
        <v>150</v>
      </c>
      <c r="I288" s="165">
        <f t="shared" si="22"/>
        <v>1150</v>
      </c>
    </row>
    <row r="289" spans="1:9" ht="12.75" hidden="1" x14ac:dyDescent="0.25">
      <c r="A289" s="167">
        <f t="shared" si="23"/>
        <v>288</v>
      </c>
      <c r="B289" s="168" t="s">
        <v>187</v>
      </c>
      <c r="C289" s="168" t="str">
        <f>VLOOKUP(B289,MEMBERS!B:C,2, )</f>
        <v>MR.SHAN ELAHI SEHGAL</v>
      </c>
      <c r="D289" s="188">
        <v>45997</v>
      </c>
      <c r="E289" s="175">
        <v>1</v>
      </c>
      <c r="F289" s="168" t="s">
        <v>501</v>
      </c>
      <c r="G289" s="165">
        <f>IFERROR(VLOOKUP(F289,'menu list'!B:C,2,FALSE)*E289,"0")</f>
        <v>1200</v>
      </c>
      <c r="H289" s="334">
        <f t="shared" si="21"/>
        <v>180</v>
      </c>
      <c r="I289" s="165">
        <f t="shared" si="22"/>
        <v>1380</v>
      </c>
    </row>
    <row r="290" spans="1:9" ht="12.75" hidden="1" x14ac:dyDescent="0.25">
      <c r="A290" s="167">
        <f t="shared" si="23"/>
        <v>289</v>
      </c>
      <c r="B290" s="168" t="s">
        <v>187</v>
      </c>
      <c r="C290" s="168" t="str">
        <f>VLOOKUP(B290,MEMBERS!B:C,2, )</f>
        <v>MR.SHAN ELAHI SEHGAL</v>
      </c>
      <c r="D290" s="188">
        <v>45997</v>
      </c>
      <c r="E290" s="175">
        <v>3</v>
      </c>
      <c r="F290" s="168" t="s">
        <v>439</v>
      </c>
      <c r="G290" s="165">
        <f>IFERROR(VLOOKUP(F290,'menu list'!B:C,2,FALSE)*E290,"0")</f>
        <v>210</v>
      </c>
      <c r="H290" s="334">
        <f t="shared" si="21"/>
        <v>31.5</v>
      </c>
      <c r="I290" s="165">
        <f t="shared" si="22"/>
        <v>241.5</v>
      </c>
    </row>
    <row r="291" spans="1:9" ht="12.75" hidden="1" x14ac:dyDescent="0.25">
      <c r="A291" s="167">
        <f t="shared" si="23"/>
        <v>290</v>
      </c>
      <c r="B291" s="168" t="s">
        <v>187</v>
      </c>
      <c r="C291" s="168" t="str">
        <f>VLOOKUP(B291,MEMBERS!B:C,2, )</f>
        <v>MR.SHAN ELAHI SEHGAL</v>
      </c>
      <c r="D291" s="188">
        <v>45997</v>
      </c>
      <c r="E291" s="175">
        <v>3</v>
      </c>
      <c r="F291" s="168" t="s">
        <v>499</v>
      </c>
      <c r="G291" s="165">
        <f>IFERROR(VLOOKUP(F291,'menu list'!B:C,2,FALSE)*E291,"0")</f>
        <v>300</v>
      </c>
      <c r="H291" s="334">
        <f t="shared" si="21"/>
        <v>45</v>
      </c>
      <c r="I291" s="165">
        <f t="shared" si="22"/>
        <v>345</v>
      </c>
    </row>
    <row r="292" spans="1:9" ht="12.75" hidden="1" x14ac:dyDescent="0.25">
      <c r="A292" s="167">
        <f t="shared" si="23"/>
        <v>291</v>
      </c>
      <c r="B292" s="168" t="s">
        <v>187</v>
      </c>
      <c r="C292" s="168" t="str">
        <f>VLOOKUP(B292,MEMBERS!B:C,2, )</f>
        <v>MR.SHAN ELAHI SEHGAL</v>
      </c>
      <c r="D292" s="188">
        <v>45997</v>
      </c>
      <c r="E292" s="175">
        <v>2</v>
      </c>
      <c r="F292" s="168" t="s">
        <v>1168</v>
      </c>
      <c r="G292" s="165">
        <f>IFERROR(VLOOKUP(F292,'menu list'!B:C,2,FALSE)*E292,"0")</f>
        <v>900</v>
      </c>
      <c r="H292" s="334">
        <f t="shared" si="21"/>
        <v>135</v>
      </c>
      <c r="I292" s="165">
        <f t="shared" si="22"/>
        <v>1035</v>
      </c>
    </row>
    <row r="293" spans="1:9" ht="12.75" hidden="1" x14ac:dyDescent="0.25">
      <c r="A293" s="167">
        <f t="shared" si="23"/>
        <v>292</v>
      </c>
      <c r="B293" s="168" t="s">
        <v>1073</v>
      </c>
      <c r="C293" s="168" t="str">
        <f>VLOOKUP(B293,MEMBERS!B:C,2, )</f>
        <v>MR. GHULAM MUSTAFA</v>
      </c>
      <c r="D293" s="188">
        <v>45997</v>
      </c>
      <c r="E293" s="175">
        <v>1</v>
      </c>
      <c r="F293" s="168" t="s">
        <v>440</v>
      </c>
      <c r="G293" s="165">
        <f>IFERROR(VLOOKUP(F293,'menu list'!B:C,2,FALSE)*E293,"0")</f>
        <v>150</v>
      </c>
      <c r="H293" s="334">
        <f t="shared" si="21"/>
        <v>22.5</v>
      </c>
      <c r="I293" s="165">
        <f t="shared" si="22"/>
        <v>172.5</v>
      </c>
    </row>
    <row r="294" spans="1:9" ht="12.75" hidden="1" x14ac:dyDescent="0.25">
      <c r="A294" s="167">
        <f t="shared" si="23"/>
        <v>293</v>
      </c>
      <c r="B294" s="168" t="s">
        <v>1073</v>
      </c>
      <c r="C294" s="168" t="str">
        <f>VLOOKUP(B294,MEMBERS!B:C,2, )</f>
        <v>MR. GHULAM MUSTAFA</v>
      </c>
      <c r="D294" s="188">
        <v>45997</v>
      </c>
      <c r="E294" s="175">
        <v>2</v>
      </c>
      <c r="F294" s="168" t="s">
        <v>1167</v>
      </c>
      <c r="G294" s="165">
        <f>IFERROR(VLOOKUP(F294,'menu list'!B:C,2,FALSE)*E294,"0")</f>
        <v>3600</v>
      </c>
      <c r="H294" s="334">
        <f t="shared" si="21"/>
        <v>540</v>
      </c>
      <c r="I294" s="165">
        <f t="shared" si="22"/>
        <v>4140</v>
      </c>
    </row>
    <row r="295" spans="1:9" ht="12.75" hidden="1" x14ac:dyDescent="0.25">
      <c r="A295" s="167">
        <f t="shared" si="23"/>
        <v>294</v>
      </c>
      <c r="B295" s="168" t="s">
        <v>1073</v>
      </c>
      <c r="C295" s="168" t="str">
        <f>VLOOKUP(B295,MEMBERS!B:C,2, )</f>
        <v>MR. GHULAM MUSTAFA</v>
      </c>
      <c r="D295" s="188">
        <v>45997</v>
      </c>
      <c r="E295" s="175">
        <v>4</v>
      </c>
      <c r="F295" s="168" t="s">
        <v>1165</v>
      </c>
      <c r="G295" s="165">
        <f>IFERROR(VLOOKUP(F295,'menu list'!B:C,2,FALSE)*E295,"0")</f>
        <v>4400</v>
      </c>
      <c r="H295" s="334">
        <f t="shared" si="21"/>
        <v>660</v>
      </c>
      <c r="I295" s="165">
        <f t="shared" si="22"/>
        <v>5060</v>
      </c>
    </row>
    <row r="296" spans="1:9" ht="12.75" hidden="1" x14ac:dyDescent="0.25">
      <c r="A296" s="167">
        <f t="shared" si="23"/>
        <v>295</v>
      </c>
      <c r="B296" s="168" t="s">
        <v>1073</v>
      </c>
      <c r="C296" s="168" t="str">
        <f>VLOOKUP(B296,MEMBERS!B:C,2, )</f>
        <v>MR. GHULAM MUSTAFA</v>
      </c>
      <c r="D296" s="188">
        <v>45997</v>
      </c>
      <c r="E296" s="175">
        <v>4</v>
      </c>
      <c r="F296" s="168" t="s">
        <v>501</v>
      </c>
      <c r="G296" s="165">
        <f>IFERROR(VLOOKUP(F296,'menu list'!B:C,2,FALSE)*E296,"0")</f>
        <v>4800</v>
      </c>
      <c r="H296" s="334">
        <f t="shared" si="21"/>
        <v>720</v>
      </c>
      <c r="I296" s="165">
        <f t="shared" si="22"/>
        <v>5520</v>
      </c>
    </row>
    <row r="297" spans="1:9" ht="12.75" hidden="1" x14ac:dyDescent="0.25">
      <c r="A297" s="167">
        <f t="shared" si="23"/>
        <v>296</v>
      </c>
      <c r="B297" s="168" t="s">
        <v>1073</v>
      </c>
      <c r="C297" s="168" t="str">
        <f>VLOOKUP(B297,MEMBERS!B:C,2, )</f>
        <v>MR. GHULAM MUSTAFA</v>
      </c>
      <c r="D297" s="188">
        <v>45997</v>
      </c>
      <c r="E297" s="175">
        <v>4</v>
      </c>
      <c r="F297" s="168" t="s">
        <v>439</v>
      </c>
      <c r="G297" s="165">
        <f>IFERROR(VLOOKUP(F297,'menu list'!B:C,2,FALSE)*E297,"0")</f>
        <v>280</v>
      </c>
      <c r="H297" s="334">
        <f t="shared" si="21"/>
        <v>42</v>
      </c>
      <c r="I297" s="165">
        <f t="shared" si="22"/>
        <v>322</v>
      </c>
    </row>
    <row r="298" spans="1:9" ht="12.75" hidden="1" x14ac:dyDescent="0.25">
      <c r="A298" s="167">
        <f t="shared" si="23"/>
        <v>297</v>
      </c>
      <c r="B298" s="168" t="s">
        <v>1073</v>
      </c>
      <c r="C298" s="168" t="str">
        <f>VLOOKUP(B298,MEMBERS!B:C,2, )</f>
        <v>MR. GHULAM MUSTAFA</v>
      </c>
      <c r="D298" s="188">
        <v>45997</v>
      </c>
      <c r="E298" s="175">
        <v>1</v>
      </c>
      <c r="F298" s="168" t="s">
        <v>1168</v>
      </c>
      <c r="G298" s="165">
        <f>IFERROR(VLOOKUP(F298,'menu list'!B:C,2,FALSE)*E298,"0")</f>
        <v>450</v>
      </c>
      <c r="H298" s="334">
        <f t="shared" si="21"/>
        <v>67.5</v>
      </c>
      <c r="I298" s="165">
        <f t="shared" si="22"/>
        <v>517.5</v>
      </c>
    </row>
    <row r="299" spans="1:9" ht="12.75" hidden="1" x14ac:dyDescent="0.25">
      <c r="A299" s="167">
        <f t="shared" si="23"/>
        <v>298</v>
      </c>
      <c r="B299" s="168" t="s">
        <v>1073</v>
      </c>
      <c r="C299" s="168" t="str">
        <f>VLOOKUP(B299,MEMBERS!B:C,2, )</f>
        <v>MR. GHULAM MUSTAFA</v>
      </c>
      <c r="D299" s="188">
        <v>45997</v>
      </c>
      <c r="E299" s="175">
        <v>1</v>
      </c>
      <c r="F299" s="168" t="s">
        <v>1163</v>
      </c>
      <c r="G299" s="165">
        <f>IFERROR(VLOOKUP(F299,'menu list'!B:C,2,FALSE)*E299,"0")</f>
        <v>1000</v>
      </c>
      <c r="H299" s="334">
        <f t="shared" si="21"/>
        <v>150</v>
      </c>
      <c r="I299" s="165">
        <f t="shared" si="22"/>
        <v>1150</v>
      </c>
    </row>
    <row r="300" spans="1:9" ht="12.75" hidden="1" x14ac:dyDescent="0.25">
      <c r="A300" s="167">
        <f t="shared" si="23"/>
        <v>299</v>
      </c>
      <c r="B300" s="168" t="s">
        <v>1073</v>
      </c>
      <c r="C300" s="168" t="str">
        <f>VLOOKUP(B300,MEMBERS!B:C,2, )</f>
        <v>MR. GHULAM MUSTAFA</v>
      </c>
      <c r="D300" s="188">
        <v>45997</v>
      </c>
      <c r="E300" s="175">
        <v>1</v>
      </c>
      <c r="F300" s="168" t="s">
        <v>1167</v>
      </c>
      <c r="G300" s="165">
        <f>IFERROR(VLOOKUP(F300,'menu list'!B:C,2,FALSE)*E300,"0")</f>
        <v>1800</v>
      </c>
      <c r="H300" s="334">
        <f t="shared" si="21"/>
        <v>270</v>
      </c>
      <c r="I300" s="165">
        <f t="shared" si="22"/>
        <v>2070</v>
      </c>
    </row>
    <row r="301" spans="1:9" ht="12.75" hidden="1" x14ac:dyDescent="0.25">
      <c r="A301" s="167">
        <f t="shared" si="23"/>
        <v>300</v>
      </c>
      <c r="B301" s="168" t="s">
        <v>1073</v>
      </c>
      <c r="C301" s="168" t="str">
        <f>VLOOKUP(B301,MEMBERS!B:C,2, )</f>
        <v>MR. GHULAM MUSTAFA</v>
      </c>
      <c r="D301" s="188">
        <v>45997</v>
      </c>
      <c r="E301" s="175">
        <v>1</v>
      </c>
      <c r="F301" s="168" t="s">
        <v>1170</v>
      </c>
      <c r="G301" s="165">
        <f>IFERROR(VLOOKUP(F301,'menu list'!B:C,2,FALSE)*E301,"0")</f>
        <v>800</v>
      </c>
      <c r="H301" s="334">
        <f t="shared" si="21"/>
        <v>120</v>
      </c>
      <c r="I301" s="165">
        <f t="shared" si="22"/>
        <v>920</v>
      </c>
    </row>
    <row r="302" spans="1:9" ht="12.75" hidden="1" x14ac:dyDescent="0.25">
      <c r="A302" s="167">
        <f t="shared" si="23"/>
        <v>301</v>
      </c>
      <c r="B302" s="168" t="s">
        <v>1073</v>
      </c>
      <c r="C302" s="168" t="str">
        <f>VLOOKUP(B302,MEMBERS!B:C,2, )</f>
        <v>MR. GHULAM MUSTAFA</v>
      </c>
      <c r="D302" s="188">
        <v>45997</v>
      </c>
      <c r="E302" s="175">
        <v>1</v>
      </c>
      <c r="F302" s="168" t="s">
        <v>1164</v>
      </c>
      <c r="G302" s="165">
        <f>IFERROR(VLOOKUP(F302,'menu list'!B:C,2,FALSE)*E302,"0")</f>
        <v>1800</v>
      </c>
      <c r="H302" s="334">
        <f t="shared" si="21"/>
        <v>270</v>
      </c>
      <c r="I302" s="165">
        <f t="shared" si="22"/>
        <v>2070</v>
      </c>
    </row>
    <row r="303" spans="1:9" ht="12.75" hidden="1" x14ac:dyDescent="0.25">
      <c r="A303" s="167">
        <f t="shared" si="23"/>
        <v>302</v>
      </c>
      <c r="B303" s="168" t="s">
        <v>1073</v>
      </c>
      <c r="C303" s="168" t="str">
        <f>VLOOKUP(B303,MEMBERS!B:C,2, )</f>
        <v>MR. GHULAM MUSTAFA</v>
      </c>
      <c r="D303" s="188">
        <v>45997</v>
      </c>
      <c r="E303" s="175">
        <v>2</v>
      </c>
      <c r="F303" s="168" t="s">
        <v>499</v>
      </c>
      <c r="G303" s="165">
        <f>IFERROR(VLOOKUP(F303,'menu list'!B:C,2,FALSE)*E303,"0")</f>
        <v>200</v>
      </c>
      <c r="H303" s="334">
        <f t="shared" si="21"/>
        <v>30</v>
      </c>
      <c r="I303" s="165">
        <f t="shared" si="22"/>
        <v>230</v>
      </c>
    </row>
    <row r="304" spans="1:9" ht="12.75" hidden="1" x14ac:dyDescent="0.25">
      <c r="A304" s="167">
        <f t="shared" si="23"/>
        <v>303</v>
      </c>
      <c r="B304" s="168" t="s">
        <v>1053</v>
      </c>
      <c r="C304" s="168" t="str">
        <f>VLOOKUP(B304,MEMBERS!B:C,2, )</f>
        <v>MR. ZAMIR ALI SHAH</v>
      </c>
      <c r="D304" s="188">
        <v>45998</v>
      </c>
      <c r="E304" s="175">
        <v>3</v>
      </c>
      <c r="F304" s="168" t="s">
        <v>1012</v>
      </c>
      <c r="G304" s="165">
        <f>IFERROR(VLOOKUP(F304,'menu list'!B:C,2,FALSE)*E304,"0")</f>
        <v>3000</v>
      </c>
      <c r="H304" s="334">
        <f t="shared" si="21"/>
        <v>450</v>
      </c>
      <c r="I304" s="165">
        <f t="shared" si="22"/>
        <v>3450</v>
      </c>
    </row>
    <row r="305" spans="1:9" ht="12.75" hidden="1" x14ac:dyDescent="0.25">
      <c r="A305" s="167">
        <f t="shared" si="23"/>
        <v>304</v>
      </c>
      <c r="B305" s="168" t="s">
        <v>244</v>
      </c>
      <c r="C305" s="168" t="str">
        <f>VLOOKUP(B305,MEMBERS!B:C,2, )</f>
        <v>MR.KHADIM HUSSAIN</v>
      </c>
      <c r="D305" s="188">
        <v>45998</v>
      </c>
      <c r="E305" s="175">
        <v>2</v>
      </c>
      <c r="F305" s="168" t="s">
        <v>440</v>
      </c>
      <c r="G305" s="165">
        <f>IFERROR(VLOOKUP(F305,'menu list'!B:C,2,FALSE)*E305,"0")</f>
        <v>300</v>
      </c>
      <c r="H305" s="334">
        <f t="shared" si="21"/>
        <v>45</v>
      </c>
      <c r="I305" s="165">
        <f t="shared" si="22"/>
        <v>345</v>
      </c>
    </row>
    <row r="306" spans="1:9" ht="12.75" hidden="1" x14ac:dyDescent="0.25">
      <c r="A306" s="167">
        <f t="shared" si="23"/>
        <v>305</v>
      </c>
      <c r="B306" s="168" t="s">
        <v>244</v>
      </c>
      <c r="C306" s="168" t="str">
        <f>VLOOKUP(B306,MEMBERS!B:C,2, )</f>
        <v>MR.KHADIM HUSSAIN</v>
      </c>
      <c r="D306" s="188">
        <v>45998</v>
      </c>
      <c r="E306" s="175">
        <v>4</v>
      </c>
      <c r="F306" s="168" t="s">
        <v>653</v>
      </c>
      <c r="G306" s="165">
        <f>IFERROR(VLOOKUP(F306,'menu list'!B:C,2,FALSE)*E306,"0")</f>
        <v>1400</v>
      </c>
      <c r="H306" s="334">
        <f t="shared" si="21"/>
        <v>210</v>
      </c>
      <c r="I306" s="165">
        <f t="shared" si="22"/>
        <v>1610</v>
      </c>
    </row>
    <row r="307" spans="1:9" ht="12.75" hidden="1" x14ac:dyDescent="0.25">
      <c r="A307" s="167">
        <f t="shared" si="23"/>
        <v>306</v>
      </c>
      <c r="B307" s="168" t="s">
        <v>244</v>
      </c>
      <c r="C307" s="168" t="str">
        <f>VLOOKUP(B307,MEMBERS!B:C,2, )</f>
        <v>MR.KHADIM HUSSAIN</v>
      </c>
      <c r="D307" s="188">
        <v>45998</v>
      </c>
      <c r="E307" s="175">
        <v>4</v>
      </c>
      <c r="F307" s="168" t="s">
        <v>833</v>
      </c>
      <c r="G307" s="165">
        <f>IFERROR(VLOOKUP(F307,'menu list'!B:C,2,FALSE)*E307,"0")</f>
        <v>1400</v>
      </c>
      <c r="H307" s="334">
        <f t="shared" si="21"/>
        <v>210</v>
      </c>
      <c r="I307" s="165">
        <f t="shared" si="22"/>
        <v>1610</v>
      </c>
    </row>
    <row r="308" spans="1:9" ht="12.75" hidden="1" x14ac:dyDescent="0.25">
      <c r="A308" s="167">
        <f t="shared" si="23"/>
        <v>307</v>
      </c>
      <c r="B308" s="168" t="s">
        <v>244</v>
      </c>
      <c r="C308" s="168" t="str">
        <f>VLOOKUP(B308,MEMBERS!B:C,2, )</f>
        <v>MR.KHADIM HUSSAIN</v>
      </c>
      <c r="D308" s="188">
        <v>45998</v>
      </c>
      <c r="E308" s="175">
        <v>1</v>
      </c>
      <c r="F308" s="168" t="s">
        <v>910</v>
      </c>
      <c r="G308" s="165">
        <f>IFERROR(VLOOKUP(F308,'menu list'!B:C,2,FALSE)*E308,"0")</f>
        <v>300</v>
      </c>
      <c r="H308" s="334">
        <f t="shared" si="21"/>
        <v>45</v>
      </c>
      <c r="I308" s="165">
        <f t="shared" si="22"/>
        <v>345</v>
      </c>
    </row>
    <row r="309" spans="1:9" ht="12.75" hidden="1" x14ac:dyDescent="0.25">
      <c r="A309" s="167">
        <f t="shared" si="23"/>
        <v>308</v>
      </c>
      <c r="B309" s="168" t="s">
        <v>244</v>
      </c>
      <c r="C309" s="168" t="str">
        <f>VLOOKUP(B309,MEMBERS!B:C,2, )</f>
        <v>MR.KHADIM HUSSAIN</v>
      </c>
      <c r="D309" s="188">
        <v>45998</v>
      </c>
      <c r="E309" s="175">
        <v>1</v>
      </c>
      <c r="F309" s="168" t="s">
        <v>601</v>
      </c>
      <c r="G309" s="165">
        <f>IFERROR(VLOOKUP(F309,'menu list'!B:C,2,FALSE)*E309,"0")</f>
        <v>1200</v>
      </c>
      <c r="H309" s="334">
        <f t="shared" si="21"/>
        <v>180</v>
      </c>
      <c r="I309" s="165">
        <f t="shared" si="22"/>
        <v>1380</v>
      </c>
    </row>
    <row r="310" spans="1:9" ht="12.75" hidden="1" x14ac:dyDescent="0.25">
      <c r="A310" s="167">
        <f t="shared" si="23"/>
        <v>309</v>
      </c>
      <c r="B310" s="168" t="s">
        <v>244</v>
      </c>
      <c r="C310" s="168" t="str">
        <f>VLOOKUP(B310,MEMBERS!B:C,2, )</f>
        <v>MR.KHADIM HUSSAIN</v>
      </c>
      <c r="D310" s="188">
        <v>45998</v>
      </c>
      <c r="E310" s="175">
        <v>1</v>
      </c>
      <c r="F310" s="168" t="s">
        <v>830</v>
      </c>
      <c r="G310" s="165">
        <f>IFERROR(VLOOKUP(F310,'menu list'!B:C,2,FALSE)*E310,"0")</f>
        <v>600</v>
      </c>
      <c r="H310" s="334">
        <f t="shared" si="21"/>
        <v>90</v>
      </c>
      <c r="I310" s="165">
        <f t="shared" si="22"/>
        <v>690</v>
      </c>
    </row>
    <row r="311" spans="1:9" ht="12.75" hidden="1" x14ac:dyDescent="0.25">
      <c r="A311" s="167">
        <f t="shared" si="23"/>
        <v>310</v>
      </c>
      <c r="B311" s="168" t="s">
        <v>244</v>
      </c>
      <c r="C311" s="168" t="str">
        <f>VLOOKUP(B311,MEMBERS!B:C,2, )</f>
        <v>MR.KHADIM HUSSAIN</v>
      </c>
      <c r="D311" s="188">
        <v>45998</v>
      </c>
      <c r="E311" s="175">
        <v>1</v>
      </c>
      <c r="F311" s="168" t="s">
        <v>786</v>
      </c>
      <c r="G311" s="165">
        <f>IFERROR(VLOOKUP(F311,'menu list'!B:C,2,FALSE)*E311,"0")</f>
        <v>1150</v>
      </c>
      <c r="H311" s="334">
        <f t="shared" si="21"/>
        <v>172.5</v>
      </c>
      <c r="I311" s="165">
        <f t="shared" si="22"/>
        <v>1322.5</v>
      </c>
    </row>
    <row r="312" spans="1:9" ht="12.75" hidden="1" x14ac:dyDescent="0.25">
      <c r="A312" s="167">
        <f t="shared" si="23"/>
        <v>311</v>
      </c>
      <c r="B312" s="168" t="s">
        <v>244</v>
      </c>
      <c r="C312" s="168" t="str">
        <f>VLOOKUP(B312,MEMBERS!B:C,2, )</f>
        <v>MR.KHADIM HUSSAIN</v>
      </c>
      <c r="D312" s="188">
        <v>45998</v>
      </c>
      <c r="E312" s="175">
        <v>1</v>
      </c>
      <c r="F312" s="168" t="s">
        <v>522</v>
      </c>
      <c r="G312" s="165">
        <f>IFERROR(VLOOKUP(F312,'menu list'!B:C,2,FALSE)*E312,"0")</f>
        <v>1200</v>
      </c>
      <c r="H312" s="334">
        <f t="shared" si="21"/>
        <v>180</v>
      </c>
      <c r="I312" s="165">
        <f t="shared" si="22"/>
        <v>1380</v>
      </c>
    </row>
    <row r="313" spans="1:9" ht="12.75" hidden="1" x14ac:dyDescent="0.25">
      <c r="A313" s="167">
        <f t="shared" si="23"/>
        <v>312</v>
      </c>
      <c r="B313" s="168" t="s">
        <v>244</v>
      </c>
      <c r="C313" s="168" t="str">
        <f>VLOOKUP(B313,MEMBERS!B:C,2, )</f>
        <v>MR.KHADIM HUSSAIN</v>
      </c>
      <c r="D313" s="188">
        <v>45998</v>
      </c>
      <c r="E313" s="175">
        <v>1</v>
      </c>
      <c r="F313" s="168" t="s">
        <v>939</v>
      </c>
      <c r="G313" s="165">
        <f>IFERROR(VLOOKUP(F313,'menu list'!B:C,2,FALSE)*E313,"0")</f>
        <v>1200</v>
      </c>
      <c r="H313" s="334">
        <f t="shared" si="21"/>
        <v>180</v>
      </c>
      <c r="I313" s="165">
        <f t="shared" si="22"/>
        <v>1380</v>
      </c>
    </row>
    <row r="314" spans="1:9" ht="12.75" hidden="1" x14ac:dyDescent="0.25">
      <c r="A314" s="167">
        <f t="shared" si="23"/>
        <v>313</v>
      </c>
      <c r="B314" s="168" t="s">
        <v>244</v>
      </c>
      <c r="C314" s="168" t="str">
        <f>VLOOKUP(B314,MEMBERS!B:C,2, )</f>
        <v>MR.KHADIM HUSSAIN</v>
      </c>
      <c r="D314" s="188">
        <v>45998</v>
      </c>
      <c r="E314" s="175">
        <v>6</v>
      </c>
      <c r="F314" s="168" t="s">
        <v>886</v>
      </c>
      <c r="G314" s="165">
        <f>IFERROR(VLOOKUP(F314,'menu list'!B:C,2,FALSE)*E314,"0")</f>
        <v>900</v>
      </c>
      <c r="H314" s="334">
        <f t="shared" si="21"/>
        <v>135</v>
      </c>
      <c r="I314" s="165">
        <f t="shared" si="22"/>
        <v>1035</v>
      </c>
    </row>
    <row r="315" spans="1:9" ht="12.75" hidden="1" x14ac:dyDescent="0.25">
      <c r="A315" s="167">
        <f t="shared" si="23"/>
        <v>314</v>
      </c>
      <c r="B315" s="168" t="s">
        <v>244</v>
      </c>
      <c r="C315" s="168" t="str">
        <f>VLOOKUP(B315,MEMBERS!B:C,2, )</f>
        <v>MR.KHADIM HUSSAIN</v>
      </c>
      <c r="D315" s="188">
        <v>45998</v>
      </c>
      <c r="E315" s="175">
        <v>7</v>
      </c>
      <c r="F315" s="168" t="s">
        <v>442</v>
      </c>
      <c r="G315" s="165">
        <f>IFERROR(VLOOKUP(F315,'menu list'!B:C,2,FALSE)*E315,"0")</f>
        <v>1050</v>
      </c>
      <c r="H315" s="334">
        <f t="shared" si="21"/>
        <v>157.5</v>
      </c>
      <c r="I315" s="165">
        <f t="shared" si="22"/>
        <v>1207.5</v>
      </c>
    </row>
    <row r="316" spans="1:9" ht="12.75" hidden="1" x14ac:dyDescent="0.25">
      <c r="A316" s="167">
        <f t="shared" si="23"/>
        <v>315</v>
      </c>
      <c r="B316" s="168" t="s">
        <v>54</v>
      </c>
      <c r="C316" s="168" t="str">
        <f>VLOOKUP(B316,MEMBERS!B:C,2, )</f>
        <v>MR.ZEESHAN IQBAL</v>
      </c>
      <c r="D316" s="188">
        <v>45998</v>
      </c>
      <c r="E316" s="175">
        <v>1</v>
      </c>
      <c r="F316" s="168" t="s">
        <v>786</v>
      </c>
      <c r="G316" s="165">
        <f>IFERROR(VLOOKUP(F316,'menu list'!B:C,2,FALSE)*E316,"0")</f>
        <v>1150</v>
      </c>
      <c r="H316" s="334">
        <f t="shared" si="21"/>
        <v>172.5</v>
      </c>
      <c r="I316" s="165">
        <f t="shared" si="22"/>
        <v>1322.5</v>
      </c>
    </row>
    <row r="317" spans="1:9" ht="12.75" hidden="1" x14ac:dyDescent="0.25">
      <c r="A317" s="167">
        <f t="shared" si="23"/>
        <v>316</v>
      </c>
      <c r="B317" s="168" t="s">
        <v>54</v>
      </c>
      <c r="C317" s="168" t="str">
        <f>VLOOKUP(B317,MEMBERS!B:C,2, )</f>
        <v>MR.ZEESHAN IQBAL</v>
      </c>
      <c r="D317" s="188">
        <v>45998</v>
      </c>
      <c r="E317" s="175">
        <v>1</v>
      </c>
      <c r="F317" s="168" t="s">
        <v>802</v>
      </c>
      <c r="G317" s="165">
        <f>IFERROR(VLOOKUP(F317,'menu list'!B:C,2,FALSE)*E317,"0")</f>
        <v>500</v>
      </c>
      <c r="H317" s="334">
        <f t="shared" si="21"/>
        <v>75</v>
      </c>
      <c r="I317" s="165">
        <f t="shared" si="22"/>
        <v>575</v>
      </c>
    </row>
    <row r="318" spans="1:9" ht="12.75" hidden="1" x14ac:dyDescent="0.25">
      <c r="A318" s="167">
        <f t="shared" si="23"/>
        <v>317</v>
      </c>
      <c r="B318" s="168" t="s">
        <v>54</v>
      </c>
      <c r="C318" s="168" t="str">
        <f>VLOOKUP(B318,MEMBERS!B:C,2, )</f>
        <v>MR.ZEESHAN IQBAL</v>
      </c>
      <c r="D318" s="188">
        <v>45998</v>
      </c>
      <c r="E318" s="175">
        <v>1</v>
      </c>
      <c r="F318" s="168" t="s">
        <v>500</v>
      </c>
      <c r="G318" s="165">
        <f>IFERROR(VLOOKUP(F318,'menu list'!B:C,2,FALSE)*E318,"0")</f>
        <v>1250</v>
      </c>
      <c r="H318" s="334">
        <f t="shared" si="21"/>
        <v>187.5</v>
      </c>
      <c r="I318" s="165">
        <f t="shared" si="22"/>
        <v>1437.5</v>
      </c>
    </row>
    <row r="319" spans="1:9" ht="12.75" hidden="1" x14ac:dyDescent="0.25">
      <c r="A319" s="167">
        <f t="shared" si="23"/>
        <v>318</v>
      </c>
      <c r="B319" s="168" t="s">
        <v>54</v>
      </c>
      <c r="C319" s="168" t="str">
        <f>VLOOKUP(B319,MEMBERS!B:C,2, )</f>
        <v>MR.ZEESHAN IQBAL</v>
      </c>
      <c r="D319" s="188">
        <v>45998</v>
      </c>
      <c r="E319" s="175">
        <v>1</v>
      </c>
      <c r="F319" s="168" t="s">
        <v>906</v>
      </c>
      <c r="G319" s="165">
        <f>IFERROR(VLOOKUP(F319,'menu list'!B:C,2,FALSE)*E319,"0")</f>
        <v>1400</v>
      </c>
      <c r="H319" s="334">
        <f t="shared" si="21"/>
        <v>210</v>
      </c>
      <c r="I319" s="165">
        <f t="shared" si="22"/>
        <v>1610</v>
      </c>
    </row>
    <row r="320" spans="1:9" ht="12.75" hidden="1" x14ac:dyDescent="0.25">
      <c r="A320" s="167">
        <f t="shared" si="23"/>
        <v>319</v>
      </c>
      <c r="B320" s="168" t="s">
        <v>54</v>
      </c>
      <c r="C320" s="168" t="str">
        <f>VLOOKUP(B320,MEMBERS!B:C,2, )</f>
        <v>MR.ZEESHAN IQBAL</v>
      </c>
      <c r="D320" s="188">
        <v>45998</v>
      </c>
      <c r="E320" s="175">
        <v>1</v>
      </c>
      <c r="F320" s="168" t="s">
        <v>601</v>
      </c>
      <c r="G320" s="165">
        <f>IFERROR(VLOOKUP(F320,'menu list'!B:C,2,FALSE)*E320,"0")</f>
        <v>1200</v>
      </c>
      <c r="H320" s="334">
        <f t="shared" si="21"/>
        <v>180</v>
      </c>
      <c r="I320" s="165">
        <f t="shared" si="22"/>
        <v>1380</v>
      </c>
    </row>
    <row r="321" spans="1:9" ht="12.75" hidden="1" x14ac:dyDescent="0.25">
      <c r="A321" s="167">
        <f t="shared" si="23"/>
        <v>320</v>
      </c>
      <c r="B321" s="168" t="s">
        <v>1053</v>
      </c>
      <c r="C321" s="168" t="str">
        <f>VLOOKUP(B321,MEMBERS!B:C,2, )</f>
        <v>MR. ZAMIR ALI SHAH</v>
      </c>
      <c r="D321" s="188">
        <v>45998</v>
      </c>
      <c r="E321" s="175">
        <v>3</v>
      </c>
      <c r="F321" s="168" t="s">
        <v>833</v>
      </c>
      <c r="G321" s="165">
        <f>IFERROR(VLOOKUP(F321,'menu list'!B:C,2,FALSE)*E321,"0")</f>
        <v>1050</v>
      </c>
      <c r="H321" s="334">
        <f t="shared" si="21"/>
        <v>157.5</v>
      </c>
      <c r="I321" s="165">
        <f t="shared" si="22"/>
        <v>1207.5</v>
      </c>
    </row>
    <row r="322" spans="1:9" ht="12.75" hidden="1" x14ac:dyDescent="0.25">
      <c r="A322" s="167">
        <f t="shared" si="23"/>
        <v>321</v>
      </c>
      <c r="B322" s="168" t="s">
        <v>1053</v>
      </c>
      <c r="C322" s="168" t="str">
        <f>VLOOKUP(B322,MEMBERS!B:C,2, )</f>
        <v>MR. ZAMIR ALI SHAH</v>
      </c>
      <c r="D322" s="188">
        <v>45998</v>
      </c>
      <c r="E322" s="175">
        <v>3</v>
      </c>
      <c r="F322" s="168" t="s">
        <v>1057</v>
      </c>
      <c r="G322" s="165">
        <f>IFERROR(VLOOKUP(F322,'menu list'!B:C,2,FALSE)*E322,"0")</f>
        <v>2550</v>
      </c>
      <c r="H322" s="334">
        <f t="shared" si="21"/>
        <v>382.5</v>
      </c>
      <c r="I322" s="165">
        <f t="shared" si="22"/>
        <v>2932.5</v>
      </c>
    </row>
    <row r="323" spans="1:9" ht="12.75" hidden="1" x14ac:dyDescent="0.25">
      <c r="A323" s="167">
        <f t="shared" si="23"/>
        <v>322</v>
      </c>
      <c r="B323" s="168" t="s">
        <v>1053</v>
      </c>
      <c r="C323" s="168" t="str">
        <f>VLOOKUP(B323,MEMBERS!B:C,2, )</f>
        <v>MR. ZAMIR ALI SHAH</v>
      </c>
      <c r="D323" s="188">
        <v>45998</v>
      </c>
      <c r="E323" s="175">
        <v>2</v>
      </c>
      <c r="F323" s="168" t="s">
        <v>440</v>
      </c>
      <c r="G323" s="165">
        <f>IFERROR(VLOOKUP(F323,'menu list'!B:C,2,FALSE)*E323,"0")</f>
        <v>300</v>
      </c>
      <c r="H323" s="334">
        <f t="shared" ref="H323:H386" si="24">G323*15/100</f>
        <v>45</v>
      </c>
      <c r="I323" s="165">
        <f t="shared" ref="I323:I386" si="25">G323+H323</f>
        <v>345</v>
      </c>
    </row>
    <row r="324" spans="1:9" ht="12.75" hidden="1" x14ac:dyDescent="0.25">
      <c r="A324" s="167">
        <f t="shared" si="23"/>
        <v>323</v>
      </c>
      <c r="B324" s="168" t="s">
        <v>1053</v>
      </c>
      <c r="C324" s="168" t="str">
        <f>VLOOKUP(B324,MEMBERS!B:C,2, )</f>
        <v>MR. ZAMIR ALI SHAH</v>
      </c>
      <c r="D324" s="188">
        <v>45998</v>
      </c>
      <c r="E324" s="175">
        <v>1</v>
      </c>
      <c r="F324" s="168" t="s">
        <v>772</v>
      </c>
      <c r="G324" s="165">
        <f>IFERROR(VLOOKUP(F324,'menu list'!B:C,2,FALSE)*E324,"0")</f>
        <v>900</v>
      </c>
      <c r="H324" s="334">
        <f t="shared" si="24"/>
        <v>135</v>
      </c>
      <c r="I324" s="165">
        <f t="shared" si="25"/>
        <v>1035</v>
      </c>
    </row>
    <row r="325" spans="1:9" ht="12.75" hidden="1" x14ac:dyDescent="0.25">
      <c r="A325" s="167">
        <f t="shared" si="23"/>
        <v>324</v>
      </c>
      <c r="B325" s="168" t="s">
        <v>1053</v>
      </c>
      <c r="C325" s="168" t="str">
        <f>VLOOKUP(B325,MEMBERS!B:C,2, )</f>
        <v>MR. ZAMIR ALI SHAH</v>
      </c>
      <c r="D325" s="188">
        <v>45998</v>
      </c>
      <c r="E325" s="175">
        <v>4</v>
      </c>
      <c r="F325" s="168" t="s">
        <v>633</v>
      </c>
      <c r="G325" s="165">
        <f>IFERROR(VLOOKUP(F325,'menu list'!B:C,2,FALSE)*E325,"0")</f>
        <v>2800</v>
      </c>
      <c r="H325" s="334">
        <f t="shared" si="24"/>
        <v>420</v>
      </c>
      <c r="I325" s="165">
        <f t="shared" si="25"/>
        <v>3220</v>
      </c>
    </row>
    <row r="326" spans="1:9" ht="12.75" hidden="1" x14ac:dyDescent="0.25">
      <c r="A326" s="167">
        <f t="shared" si="23"/>
        <v>325</v>
      </c>
      <c r="B326" s="168" t="s">
        <v>1053</v>
      </c>
      <c r="C326" s="168" t="str">
        <f>VLOOKUP(B326,MEMBERS!B:C,2, )</f>
        <v>MR. ZAMIR ALI SHAH</v>
      </c>
      <c r="D326" s="188">
        <v>45998</v>
      </c>
      <c r="E326" s="175">
        <v>3</v>
      </c>
      <c r="F326" s="168" t="s">
        <v>504</v>
      </c>
      <c r="G326" s="165">
        <f>IFERROR(VLOOKUP(F326,'menu list'!B:C,2,FALSE)*E326,"0")</f>
        <v>390</v>
      </c>
      <c r="H326" s="334">
        <f t="shared" si="24"/>
        <v>58.5</v>
      </c>
      <c r="I326" s="165">
        <f t="shared" si="25"/>
        <v>448.5</v>
      </c>
    </row>
    <row r="327" spans="1:9" ht="12.75" hidden="1" x14ac:dyDescent="0.25">
      <c r="A327" s="167">
        <f t="shared" si="23"/>
        <v>326</v>
      </c>
      <c r="B327" s="168" t="s">
        <v>1053</v>
      </c>
      <c r="C327" s="168" t="str">
        <f>VLOOKUP(B327,MEMBERS!B:C,2, )</f>
        <v>MR. ZAMIR ALI SHAH</v>
      </c>
      <c r="D327" s="188">
        <v>45998</v>
      </c>
      <c r="E327" s="175">
        <v>1</v>
      </c>
      <c r="F327" s="168" t="s">
        <v>1168</v>
      </c>
      <c r="G327" s="165">
        <f>IFERROR(VLOOKUP(F327,'menu list'!B:C,2,FALSE)*E327,"0")</f>
        <v>450</v>
      </c>
      <c r="H327" s="334">
        <f t="shared" si="24"/>
        <v>67.5</v>
      </c>
      <c r="I327" s="165">
        <f t="shared" si="25"/>
        <v>517.5</v>
      </c>
    </row>
    <row r="328" spans="1:9" ht="12.75" hidden="1" x14ac:dyDescent="0.25">
      <c r="A328" s="167">
        <f t="shared" si="23"/>
        <v>327</v>
      </c>
      <c r="B328" s="168" t="s">
        <v>1053</v>
      </c>
      <c r="C328" s="168" t="str">
        <f>VLOOKUP(B328,MEMBERS!B:C,2, )</f>
        <v>MR. ZAMIR ALI SHAH</v>
      </c>
      <c r="D328" s="188">
        <v>45998</v>
      </c>
      <c r="E328" s="175">
        <v>1</v>
      </c>
      <c r="F328" s="168" t="s">
        <v>442</v>
      </c>
      <c r="G328" s="165">
        <f>IFERROR(VLOOKUP(F328,'menu list'!B:C,2,FALSE)*E328,"0")</f>
        <v>150</v>
      </c>
      <c r="H328" s="334">
        <f t="shared" si="24"/>
        <v>22.5</v>
      </c>
      <c r="I328" s="165">
        <f t="shared" si="25"/>
        <v>172.5</v>
      </c>
    </row>
    <row r="329" spans="1:9" ht="12.75" hidden="1" x14ac:dyDescent="0.25">
      <c r="A329" s="167">
        <f t="shared" ref="A329" si="26">IF(D329&lt;&gt;"", ROW()-1, "")</f>
        <v>328</v>
      </c>
      <c r="B329" s="168" t="s">
        <v>240</v>
      </c>
      <c r="C329" s="168" t="str">
        <f>VLOOKUP(B329,MEMBERS!B:C,2, )</f>
        <v>MR.SYED SALMAN RAZA</v>
      </c>
      <c r="D329" s="188">
        <v>45998</v>
      </c>
      <c r="E329" s="175">
        <v>1</v>
      </c>
      <c r="F329" s="168" t="s">
        <v>922</v>
      </c>
      <c r="G329" s="165">
        <f>IFERROR(VLOOKUP(F329,'menu list'!B:C,2,FALSE)*E329,"0")</f>
        <v>750</v>
      </c>
      <c r="H329" s="334">
        <f t="shared" si="24"/>
        <v>112.5</v>
      </c>
      <c r="I329" s="165">
        <f t="shared" si="25"/>
        <v>862.5</v>
      </c>
    </row>
    <row r="330" spans="1:9" ht="12.75" hidden="1" x14ac:dyDescent="0.25">
      <c r="A330" s="167">
        <f t="shared" ref="A330:A342" si="27">IF(D330&lt;&gt;"", ROW()-1, "")</f>
        <v>329</v>
      </c>
      <c r="B330" s="168" t="s">
        <v>240</v>
      </c>
      <c r="C330" s="168" t="str">
        <f>VLOOKUP(B330,MEMBERS!B:C,2, )</f>
        <v>MR.SYED SALMAN RAZA</v>
      </c>
      <c r="D330" s="188">
        <v>45998</v>
      </c>
      <c r="E330" s="175">
        <v>1</v>
      </c>
      <c r="F330" s="168" t="s">
        <v>785</v>
      </c>
      <c r="G330" s="165">
        <f>IFERROR(VLOOKUP(F330,'menu list'!B:C,2,FALSE)*E330,"0")</f>
        <v>950</v>
      </c>
      <c r="H330" s="334">
        <f t="shared" si="24"/>
        <v>142.5</v>
      </c>
      <c r="I330" s="165">
        <f t="shared" si="25"/>
        <v>1092.5</v>
      </c>
    </row>
    <row r="331" spans="1:9" ht="12.75" hidden="1" x14ac:dyDescent="0.25">
      <c r="A331" s="167">
        <f t="shared" si="27"/>
        <v>330</v>
      </c>
      <c r="B331" s="168" t="s">
        <v>240</v>
      </c>
      <c r="C331" s="168" t="str">
        <f>VLOOKUP(B331,MEMBERS!B:C,2, )</f>
        <v>MR.SYED SALMAN RAZA</v>
      </c>
      <c r="D331" s="188">
        <v>45998</v>
      </c>
      <c r="E331" s="175">
        <v>1</v>
      </c>
      <c r="F331" s="168" t="s">
        <v>770</v>
      </c>
      <c r="G331" s="165">
        <f>IFERROR(VLOOKUP(F331,'menu list'!B:C,2,FALSE)*E331,"0")</f>
        <v>1000</v>
      </c>
      <c r="H331" s="334">
        <f t="shared" si="24"/>
        <v>150</v>
      </c>
      <c r="I331" s="165">
        <f t="shared" si="25"/>
        <v>1150</v>
      </c>
    </row>
    <row r="332" spans="1:9" ht="12.75" hidden="1" x14ac:dyDescent="0.25">
      <c r="A332" s="167">
        <f t="shared" si="27"/>
        <v>331</v>
      </c>
      <c r="B332" s="168" t="s">
        <v>795</v>
      </c>
      <c r="C332" s="168" t="str">
        <f>VLOOKUP(B332,MEMBERS!B:C,2, )</f>
        <v>MR. HASAN KARIM</v>
      </c>
      <c r="D332" s="188">
        <v>45998</v>
      </c>
      <c r="E332" s="175">
        <v>1</v>
      </c>
      <c r="F332" s="168" t="s">
        <v>836</v>
      </c>
      <c r="G332" s="165">
        <f>IFERROR(VLOOKUP(F332,'menu list'!B:C,2,FALSE)*E332,"0")</f>
        <v>350</v>
      </c>
      <c r="H332" s="334">
        <f t="shared" si="24"/>
        <v>52.5</v>
      </c>
      <c r="I332" s="165">
        <f t="shared" si="25"/>
        <v>402.5</v>
      </c>
    </row>
    <row r="333" spans="1:9" ht="12.75" hidden="1" x14ac:dyDescent="0.25">
      <c r="A333" s="167">
        <f t="shared" si="27"/>
        <v>332</v>
      </c>
      <c r="B333" s="168" t="s">
        <v>795</v>
      </c>
      <c r="C333" s="168" t="str">
        <f>VLOOKUP(B333,MEMBERS!B:C,2, )</f>
        <v>MR. HASAN KARIM</v>
      </c>
      <c r="D333" s="188">
        <v>45998</v>
      </c>
      <c r="E333" s="175">
        <v>1</v>
      </c>
      <c r="F333" s="168" t="s">
        <v>775</v>
      </c>
      <c r="G333" s="165">
        <f>IFERROR(VLOOKUP(F333,'menu list'!B:C,2,FALSE)*E333,"0")</f>
        <v>100</v>
      </c>
      <c r="H333" s="334">
        <f t="shared" si="24"/>
        <v>15</v>
      </c>
      <c r="I333" s="165">
        <f t="shared" si="25"/>
        <v>115</v>
      </c>
    </row>
    <row r="334" spans="1:9" ht="12.75" hidden="1" x14ac:dyDescent="0.25">
      <c r="A334" s="167">
        <f t="shared" si="27"/>
        <v>333</v>
      </c>
      <c r="B334" s="168" t="s">
        <v>263</v>
      </c>
      <c r="C334" s="168" t="str">
        <f>VLOOKUP(B334,MEMBERS!B:C,2, )</f>
        <v>MR.CAREL HEDRIK BURGER</v>
      </c>
      <c r="D334" s="188">
        <v>45998</v>
      </c>
      <c r="E334" s="175">
        <v>2</v>
      </c>
      <c r="F334" s="168" t="s">
        <v>802</v>
      </c>
      <c r="G334" s="165">
        <f>IFERROR(VLOOKUP(F334,'menu list'!B:C,2,FALSE)*E334,"0")</f>
        <v>1000</v>
      </c>
      <c r="H334" s="334">
        <f t="shared" si="24"/>
        <v>150</v>
      </c>
      <c r="I334" s="165">
        <f t="shared" si="25"/>
        <v>1150</v>
      </c>
    </row>
    <row r="335" spans="1:9" ht="12.75" hidden="1" x14ac:dyDescent="0.25">
      <c r="A335" s="167">
        <f t="shared" si="27"/>
        <v>334</v>
      </c>
      <c r="B335" s="168" t="s">
        <v>263</v>
      </c>
      <c r="C335" s="168" t="str">
        <f>VLOOKUP(B335,MEMBERS!B:C,2, )</f>
        <v>MR.CAREL HEDRIK BURGER</v>
      </c>
      <c r="D335" s="188">
        <v>45998</v>
      </c>
      <c r="E335" s="175">
        <v>1</v>
      </c>
      <c r="F335" s="168" t="s">
        <v>633</v>
      </c>
      <c r="G335" s="165">
        <f>IFERROR(VLOOKUP(F335,'menu list'!B:C,2,FALSE)*E335,"0")</f>
        <v>700</v>
      </c>
      <c r="H335" s="334">
        <f t="shared" si="24"/>
        <v>105</v>
      </c>
      <c r="I335" s="165">
        <f t="shared" si="25"/>
        <v>805</v>
      </c>
    </row>
    <row r="336" spans="1:9" ht="12.75" hidden="1" x14ac:dyDescent="0.25">
      <c r="A336" s="167">
        <f t="shared" si="27"/>
        <v>335</v>
      </c>
      <c r="B336" s="168" t="s">
        <v>263</v>
      </c>
      <c r="C336" s="168" t="str">
        <f>VLOOKUP(B336,MEMBERS!B:C,2, )</f>
        <v>MR.CAREL HEDRIK BURGER</v>
      </c>
      <c r="D336" s="188">
        <v>45998</v>
      </c>
      <c r="E336" s="175">
        <v>2</v>
      </c>
      <c r="F336" s="168" t="s">
        <v>442</v>
      </c>
      <c r="G336" s="165">
        <f>IFERROR(VLOOKUP(F336,'menu list'!B:C,2,FALSE)*E336,"0")</f>
        <v>300</v>
      </c>
      <c r="H336" s="334">
        <f t="shared" si="24"/>
        <v>45</v>
      </c>
      <c r="I336" s="165">
        <f t="shared" si="25"/>
        <v>345</v>
      </c>
    </row>
    <row r="337" spans="1:9" ht="12.75" hidden="1" x14ac:dyDescent="0.25">
      <c r="A337" s="167">
        <f t="shared" si="27"/>
        <v>336</v>
      </c>
      <c r="B337" s="168" t="s">
        <v>192</v>
      </c>
      <c r="C337" s="168" t="str">
        <f>VLOOKUP(B337,MEMBERS!B:C,2, )</f>
        <v>MR.HANIF AHSAN ZUBEDI</v>
      </c>
      <c r="D337" s="188">
        <v>45998</v>
      </c>
      <c r="E337" s="175">
        <v>3</v>
      </c>
      <c r="F337" s="168" t="s">
        <v>499</v>
      </c>
      <c r="G337" s="165">
        <f>IFERROR(VLOOKUP(F337,'menu list'!B:C,2,FALSE)*E337,"0")</f>
        <v>300</v>
      </c>
      <c r="H337" s="334">
        <f t="shared" si="24"/>
        <v>45</v>
      </c>
      <c r="I337" s="165">
        <f t="shared" si="25"/>
        <v>345</v>
      </c>
    </row>
    <row r="338" spans="1:9" ht="12.75" hidden="1" x14ac:dyDescent="0.25">
      <c r="A338" s="167">
        <f t="shared" si="27"/>
        <v>337</v>
      </c>
      <c r="B338" s="168" t="s">
        <v>192</v>
      </c>
      <c r="C338" s="168" t="str">
        <f>VLOOKUP(B338,MEMBERS!B:C,2, )</f>
        <v>MR.HANIF AHSAN ZUBEDI</v>
      </c>
      <c r="D338" s="188">
        <v>45998</v>
      </c>
      <c r="E338" s="175">
        <v>1</v>
      </c>
      <c r="F338" s="168" t="s">
        <v>498</v>
      </c>
      <c r="G338" s="165">
        <f>IFERROR(VLOOKUP(F338,'menu list'!B:C,2,FALSE)*E338,"0")</f>
        <v>200</v>
      </c>
      <c r="H338" s="334">
        <f t="shared" si="24"/>
        <v>30</v>
      </c>
      <c r="I338" s="165">
        <f t="shared" si="25"/>
        <v>230</v>
      </c>
    </row>
    <row r="339" spans="1:9" ht="12.75" hidden="1" x14ac:dyDescent="0.25">
      <c r="A339" s="167">
        <f t="shared" si="27"/>
        <v>338</v>
      </c>
      <c r="B339" s="168" t="s">
        <v>192</v>
      </c>
      <c r="C339" s="168" t="str">
        <f>VLOOKUP(B339,MEMBERS!B:C,2, )</f>
        <v>MR.HANIF AHSAN ZUBEDI</v>
      </c>
      <c r="D339" s="188">
        <v>45998</v>
      </c>
      <c r="E339" s="175">
        <v>2</v>
      </c>
      <c r="F339" s="168" t="s">
        <v>499</v>
      </c>
      <c r="G339" s="165">
        <f>IFERROR(VLOOKUP(F339,'menu list'!B:C,2,FALSE)*E339,"0")</f>
        <v>200</v>
      </c>
      <c r="H339" s="334">
        <f t="shared" si="24"/>
        <v>30</v>
      </c>
      <c r="I339" s="165">
        <f t="shared" si="25"/>
        <v>230</v>
      </c>
    </row>
    <row r="340" spans="1:9" ht="12.75" hidden="1" x14ac:dyDescent="0.25">
      <c r="A340" s="167">
        <f t="shared" si="27"/>
        <v>339</v>
      </c>
      <c r="B340" s="168" t="s">
        <v>20</v>
      </c>
      <c r="C340" s="168" t="str">
        <f>VLOOKUP(B340,MEMBERS!B:C,2, )</f>
        <v>MR.BILAL AHMED</v>
      </c>
      <c r="D340" s="188">
        <v>45998</v>
      </c>
      <c r="E340" s="175">
        <v>1</v>
      </c>
      <c r="F340" s="168" t="s">
        <v>802</v>
      </c>
      <c r="G340" s="165">
        <f>IFERROR(VLOOKUP(F340,'menu list'!B:C,2,FALSE)*E340,"0")</f>
        <v>500</v>
      </c>
      <c r="H340" s="334">
        <f t="shared" si="24"/>
        <v>75</v>
      </c>
      <c r="I340" s="165">
        <f t="shared" si="25"/>
        <v>575</v>
      </c>
    </row>
    <row r="341" spans="1:9" ht="12.75" hidden="1" x14ac:dyDescent="0.25">
      <c r="A341" s="167">
        <f t="shared" si="27"/>
        <v>340</v>
      </c>
      <c r="B341" s="168" t="s">
        <v>342</v>
      </c>
      <c r="C341" s="168" t="str">
        <f>VLOOKUP(B341,MEMBERS!B:C,2, )</f>
        <v xml:space="preserve">JAM FEROZ </v>
      </c>
      <c r="D341" s="188">
        <v>45998</v>
      </c>
      <c r="E341" s="175">
        <v>1</v>
      </c>
      <c r="F341" s="168" t="s">
        <v>653</v>
      </c>
      <c r="G341" s="165">
        <f>IFERROR(VLOOKUP(F341,'menu list'!B:C,2,FALSE)*E341,"0")</f>
        <v>350</v>
      </c>
      <c r="H341" s="334">
        <f t="shared" si="24"/>
        <v>52.5</v>
      </c>
      <c r="I341" s="165">
        <f t="shared" si="25"/>
        <v>402.5</v>
      </c>
    </row>
    <row r="342" spans="1:9" ht="12.75" hidden="1" x14ac:dyDescent="0.25">
      <c r="A342" s="167">
        <f t="shared" si="27"/>
        <v>341</v>
      </c>
      <c r="B342" s="168" t="s">
        <v>342</v>
      </c>
      <c r="C342" s="168" t="str">
        <f>VLOOKUP(B342,MEMBERS!B:C,2, )</f>
        <v xml:space="preserve">JAM FEROZ </v>
      </c>
      <c r="D342" s="188">
        <v>45998</v>
      </c>
      <c r="E342" s="175">
        <v>1</v>
      </c>
      <c r="F342" s="168" t="s">
        <v>939</v>
      </c>
      <c r="G342" s="165">
        <f>IFERROR(VLOOKUP(F342,'menu list'!B:C,2,FALSE)*E342,"0")</f>
        <v>1200</v>
      </c>
      <c r="H342" s="334">
        <f t="shared" si="24"/>
        <v>180</v>
      </c>
      <c r="I342" s="165">
        <f t="shared" si="25"/>
        <v>1380</v>
      </c>
    </row>
    <row r="343" spans="1:9" ht="12.75" hidden="1" x14ac:dyDescent="0.25">
      <c r="A343" s="167">
        <f t="shared" ref="A343:A359" si="28">IF(D343&lt;&gt;"", ROW()-1, "")</f>
        <v>342</v>
      </c>
      <c r="B343" s="168" t="s">
        <v>342</v>
      </c>
      <c r="C343" s="168" t="str">
        <f>VLOOKUP(B343,MEMBERS!B:C,2, )</f>
        <v xml:space="preserve">JAM FEROZ </v>
      </c>
      <c r="D343" s="188">
        <v>45998</v>
      </c>
      <c r="E343" s="175">
        <v>1</v>
      </c>
      <c r="F343" s="168" t="s">
        <v>858</v>
      </c>
      <c r="G343" s="165">
        <f>IFERROR(VLOOKUP(F343,'menu list'!B:C,2,FALSE)*E343,"0")</f>
        <v>500</v>
      </c>
      <c r="H343" s="334">
        <f t="shared" si="24"/>
        <v>75</v>
      </c>
      <c r="I343" s="165">
        <f t="shared" si="25"/>
        <v>575</v>
      </c>
    </row>
    <row r="344" spans="1:9" ht="12.75" hidden="1" x14ac:dyDescent="0.25">
      <c r="A344" s="167">
        <f t="shared" si="28"/>
        <v>343</v>
      </c>
      <c r="B344" s="168" t="s">
        <v>342</v>
      </c>
      <c r="C344" s="168" t="str">
        <f>VLOOKUP(B344,MEMBERS!B:C,2, )</f>
        <v xml:space="preserve">JAM FEROZ </v>
      </c>
      <c r="D344" s="188">
        <v>45998</v>
      </c>
      <c r="E344" s="175">
        <v>1</v>
      </c>
      <c r="F344" s="168" t="s">
        <v>740</v>
      </c>
      <c r="G344" s="165">
        <f>IFERROR(VLOOKUP(F344,'menu list'!B:C,2,FALSE)*E344,"0")</f>
        <v>1800</v>
      </c>
      <c r="H344" s="334">
        <f t="shared" si="24"/>
        <v>270</v>
      </c>
      <c r="I344" s="165">
        <f t="shared" si="25"/>
        <v>2070</v>
      </c>
    </row>
    <row r="345" spans="1:9" ht="12.75" hidden="1" x14ac:dyDescent="0.25">
      <c r="A345" s="167">
        <f t="shared" si="28"/>
        <v>344</v>
      </c>
      <c r="B345" s="168" t="s">
        <v>342</v>
      </c>
      <c r="C345" s="168" t="str">
        <f>VLOOKUP(B345,MEMBERS!B:C,2, )</f>
        <v xml:space="preserve">JAM FEROZ </v>
      </c>
      <c r="D345" s="188">
        <v>45998</v>
      </c>
      <c r="E345" s="175">
        <v>1</v>
      </c>
      <c r="F345" s="168" t="s">
        <v>781</v>
      </c>
      <c r="G345" s="165">
        <f>IFERROR(VLOOKUP(F345,'menu list'!B:C,2,FALSE)*E345,"0")</f>
        <v>800</v>
      </c>
      <c r="H345" s="334">
        <f t="shared" si="24"/>
        <v>120</v>
      </c>
      <c r="I345" s="165">
        <f t="shared" si="25"/>
        <v>920</v>
      </c>
    </row>
    <row r="346" spans="1:9" ht="12.75" hidden="1" x14ac:dyDescent="0.25">
      <c r="A346" s="167">
        <f t="shared" si="28"/>
        <v>345</v>
      </c>
      <c r="B346" s="168" t="s">
        <v>342</v>
      </c>
      <c r="C346" s="168" t="str">
        <f>VLOOKUP(B346,MEMBERS!B:C,2, )</f>
        <v xml:space="preserve">JAM FEROZ </v>
      </c>
      <c r="D346" s="188">
        <v>45998</v>
      </c>
      <c r="E346" s="175">
        <v>1</v>
      </c>
      <c r="F346" s="168" t="s">
        <v>440</v>
      </c>
      <c r="G346" s="165">
        <f>IFERROR(VLOOKUP(F346,'menu list'!B:C,2,FALSE)*E346,"0")</f>
        <v>150</v>
      </c>
      <c r="H346" s="334">
        <f t="shared" si="24"/>
        <v>22.5</v>
      </c>
      <c r="I346" s="165">
        <f t="shared" si="25"/>
        <v>172.5</v>
      </c>
    </row>
    <row r="347" spans="1:9" ht="12.75" hidden="1" x14ac:dyDescent="0.25">
      <c r="A347" s="167">
        <f t="shared" si="28"/>
        <v>346</v>
      </c>
      <c r="B347" s="168" t="s">
        <v>342</v>
      </c>
      <c r="C347" s="168" t="str">
        <f>VLOOKUP(B347,MEMBERS!B:C,2, )</f>
        <v xml:space="preserve">JAM FEROZ </v>
      </c>
      <c r="D347" s="188">
        <v>45998</v>
      </c>
      <c r="E347" s="175">
        <v>3</v>
      </c>
      <c r="F347" s="168" t="s">
        <v>439</v>
      </c>
      <c r="G347" s="165">
        <f>IFERROR(VLOOKUP(F347,'menu list'!B:C,2,FALSE)*E347,"0")</f>
        <v>210</v>
      </c>
      <c r="H347" s="334">
        <f t="shared" si="24"/>
        <v>31.5</v>
      </c>
      <c r="I347" s="165">
        <f t="shared" si="25"/>
        <v>241.5</v>
      </c>
    </row>
    <row r="348" spans="1:9" ht="12.75" hidden="1" x14ac:dyDescent="0.25">
      <c r="A348" s="167">
        <f t="shared" si="28"/>
        <v>347</v>
      </c>
      <c r="B348" s="168" t="s">
        <v>342</v>
      </c>
      <c r="C348" s="168" t="str">
        <f>VLOOKUP(B348,MEMBERS!B:C,2, )</f>
        <v xml:space="preserve">JAM FEROZ </v>
      </c>
      <c r="D348" s="188">
        <v>45998</v>
      </c>
      <c r="E348" s="175">
        <v>1</v>
      </c>
      <c r="F348" s="168" t="s">
        <v>443</v>
      </c>
      <c r="G348" s="165">
        <f>IFERROR(VLOOKUP(F348,'menu list'!B:C,2,FALSE)*E348,"0")</f>
        <v>150</v>
      </c>
      <c r="H348" s="334">
        <f t="shared" si="24"/>
        <v>22.5</v>
      </c>
      <c r="I348" s="165">
        <f t="shared" si="25"/>
        <v>172.5</v>
      </c>
    </row>
    <row r="349" spans="1:9" ht="12.75" hidden="1" x14ac:dyDescent="0.25">
      <c r="A349" s="167">
        <f t="shared" si="28"/>
        <v>348</v>
      </c>
      <c r="B349" s="168" t="s">
        <v>342</v>
      </c>
      <c r="C349" s="168" t="str">
        <f>VLOOKUP(B349,MEMBERS!B:C,2, )</f>
        <v xml:space="preserve">JAM FEROZ </v>
      </c>
      <c r="D349" s="188">
        <v>45998</v>
      </c>
      <c r="E349" s="175">
        <v>1</v>
      </c>
      <c r="F349" s="168" t="s">
        <v>441</v>
      </c>
      <c r="G349" s="165">
        <f>IFERROR(VLOOKUP(F349,'menu list'!B:C,2,FALSE)*E349,"0")</f>
        <v>200</v>
      </c>
      <c r="H349" s="334">
        <f t="shared" si="24"/>
        <v>30</v>
      </c>
      <c r="I349" s="165">
        <f t="shared" si="25"/>
        <v>230</v>
      </c>
    </row>
    <row r="350" spans="1:9" ht="12.75" hidden="1" x14ac:dyDescent="0.25">
      <c r="A350" s="167">
        <f t="shared" si="28"/>
        <v>349</v>
      </c>
      <c r="B350" s="168" t="s">
        <v>1052</v>
      </c>
      <c r="C350" s="168" t="str">
        <f>VLOOKUP(B350,MEMBERS!B:C,2, )</f>
        <v>MR. YASIR RASHEED</v>
      </c>
      <c r="D350" s="188">
        <v>45998</v>
      </c>
      <c r="E350" s="175">
        <v>1</v>
      </c>
      <c r="F350" s="168" t="s">
        <v>922</v>
      </c>
      <c r="G350" s="165">
        <f>IFERROR(VLOOKUP(F350,'menu list'!B:C,2,FALSE)*E350,"0")</f>
        <v>750</v>
      </c>
      <c r="H350" s="334">
        <f t="shared" si="24"/>
        <v>112.5</v>
      </c>
      <c r="I350" s="165">
        <f t="shared" si="25"/>
        <v>862.5</v>
      </c>
    </row>
    <row r="351" spans="1:9" ht="12.75" hidden="1" x14ac:dyDescent="0.25">
      <c r="A351" s="167">
        <f t="shared" si="28"/>
        <v>350</v>
      </c>
      <c r="B351" s="168" t="s">
        <v>1052</v>
      </c>
      <c r="C351" s="168" t="str">
        <f>VLOOKUP(B351,MEMBERS!B:C,2, )</f>
        <v>MR. YASIR RASHEED</v>
      </c>
      <c r="D351" s="188">
        <v>45998</v>
      </c>
      <c r="E351" s="175">
        <v>1</v>
      </c>
      <c r="F351" s="168" t="s">
        <v>633</v>
      </c>
      <c r="G351" s="165">
        <f>IFERROR(VLOOKUP(F351,'menu list'!B:C,2,FALSE)*E351,"0")</f>
        <v>700</v>
      </c>
      <c r="H351" s="334">
        <f t="shared" si="24"/>
        <v>105</v>
      </c>
      <c r="I351" s="165">
        <f t="shared" si="25"/>
        <v>805</v>
      </c>
    </row>
    <row r="352" spans="1:9" ht="12.75" hidden="1" x14ac:dyDescent="0.25">
      <c r="A352" s="167">
        <f t="shared" si="28"/>
        <v>351</v>
      </c>
      <c r="B352" s="168" t="s">
        <v>1052</v>
      </c>
      <c r="C352" s="168" t="str">
        <f>VLOOKUP(B352,MEMBERS!B:C,2, )</f>
        <v>MR. YASIR RASHEED</v>
      </c>
      <c r="D352" s="188">
        <v>45998</v>
      </c>
      <c r="E352" s="175">
        <v>2</v>
      </c>
      <c r="F352" s="168" t="s">
        <v>497</v>
      </c>
      <c r="G352" s="165">
        <f>IFERROR(VLOOKUP(F352,'menu list'!B:C,2,FALSE)*E352,"0")</f>
        <v>500</v>
      </c>
      <c r="H352" s="334">
        <f t="shared" si="24"/>
        <v>75</v>
      </c>
      <c r="I352" s="165">
        <f t="shared" si="25"/>
        <v>575</v>
      </c>
    </row>
    <row r="353" spans="1:9" ht="12.75" hidden="1" x14ac:dyDescent="0.25">
      <c r="A353" s="167">
        <f t="shared" si="28"/>
        <v>352</v>
      </c>
      <c r="B353" s="168" t="s">
        <v>1052</v>
      </c>
      <c r="C353" s="168" t="str">
        <f>VLOOKUP(B353,MEMBERS!B:C,2, )</f>
        <v>MR. YASIR RASHEED</v>
      </c>
      <c r="D353" s="188">
        <v>45998</v>
      </c>
      <c r="E353" s="175">
        <v>2</v>
      </c>
      <c r="F353" s="168" t="s">
        <v>570</v>
      </c>
      <c r="G353" s="165">
        <f>IFERROR(VLOOKUP(F353,'menu list'!B:C,2,FALSE)*E353,"0")</f>
        <v>300</v>
      </c>
      <c r="H353" s="334">
        <f t="shared" si="24"/>
        <v>45</v>
      </c>
      <c r="I353" s="165">
        <f t="shared" si="25"/>
        <v>345</v>
      </c>
    </row>
    <row r="354" spans="1:9" ht="12.75" hidden="1" x14ac:dyDescent="0.25">
      <c r="A354" s="167">
        <f t="shared" si="28"/>
        <v>353</v>
      </c>
      <c r="B354" s="168" t="s">
        <v>1052</v>
      </c>
      <c r="C354" s="168" t="str">
        <f>VLOOKUP(B354,MEMBERS!B:C,2, )</f>
        <v>MR. YASIR RASHEED</v>
      </c>
      <c r="D354" s="188">
        <v>45998</v>
      </c>
      <c r="E354" s="175">
        <v>2</v>
      </c>
      <c r="F354" s="168" t="s">
        <v>499</v>
      </c>
      <c r="G354" s="165">
        <f>IFERROR(VLOOKUP(F354,'menu list'!B:C,2,FALSE)*E354,"0")</f>
        <v>200</v>
      </c>
      <c r="H354" s="334">
        <f t="shared" si="24"/>
        <v>30</v>
      </c>
      <c r="I354" s="165">
        <f t="shared" si="25"/>
        <v>230</v>
      </c>
    </row>
    <row r="355" spans="1:9" ht="12.75" hidden="1" x14ac:dyDescent="0.25">
      <c r="A355" s="167">
        <f t="shared" si="28"/>
        <v>354</v>
      </c>
      <c r="B355" s="168" t="s">
        <v>1053</v>
      </c>
      <c r="C355" s="168" t="str">
        <f>VLOOKUP(B355,MEMBERS!B:C,2, )</f>
        <v>MR. ZAMIR ALI SHAH</v>
      </c>
      <c r="D355" s="188">
        <v>45998</v>
      </c>
      <c r="E355" s="175">
        <v>2</v>
      </c>
      <c r="F355" s="168" t="s">
        <v>440</v>
      </c>
      <c r="G355" s="165">
        <f>IFERROR(VLOOKUP(F355,'menu list'!B:C,2,FALSE)*E355,"0")</f>
        <v>300</v>
      </c>
      <c r="H355" s="334">
        <f t="shared" si="24"/>
        <v>45</v>
      </c>
      <c r="I355" s="165">
        <f t="shared" si="25"/>
        <v>345</v>
      </c>
    </row>
    <row r="356" spans="1:9" ht="12.75" hidden="1" x14ac:dyDescent="0.25">
      <c r="A356" s="167">
        <f t="shared" si="28"/>
        <v>355</v>
      </c>
      <c r="B356" s="168" t="s">
        <v>1053</v>
      </c>
      <c r="C356" s="168" t="str">
        <f>VLOOKUP(B356,MEMBERS!B:C,2, )</f>
        <v>MR. ZAMIR ALI SHAH</v>
      </c>
      <c r="D356" s="188">
        <v>45998</v>
      </c>
      <c r="E356" s="175">
        <v>2</v>
      </c>
      <c r="F356" s="168" t="s">
        <v>902</v>
      </c>
      <c r="G356" s="165">
        <f>IFERROR(VLOOKUP(F356,'menu list'!B:C,2,FALSE)*E356,"0")</f>
        <v>1000</v>
      </c>
      <c r="H356" s="334">
        <f t="shared" si="24"/>
        <v>150</v>
      </c>
      <c r="I356" s="165">
        <f t="shared" si="25"/>
        <v>1150</v>
      </c>
    </row>
    <row r="357" spans="1:9" ht="12.75" hidden="1" x14ac:dyDescent="0.25">
      <c r="A357" s="167">
        <f t="shared" si="28"/>
        <v>356</v>
      </c>
      <c r="B357" s="168" t="s">
        <v>1053</v>
      </c>
      <c r="C357" s="168" t="str">
        <f>VLOOKUP(B357,MEMBERS!B:C,2, )</f>
        <v>MR. ZAMIR ALI SHAH</v>
      </c>
      <c r="D357" s="188">
        <v>45998</v>
      </c>
      <c r="E357" s="175">
        <v>2</v>
      </c>
      <c r="F357" s="168" t="s">
        <v>500</v>
      </c>
      <c r="G357" s="165">
        <f>IFERROR(VLOOKUP(F357,'menu list'!B:C,2,FALSE)*E357,"0")</f>
        <v>2500</v>
      </c>
      <c r="H357" s="334">
        <f t="shared" si="24"/>
        <v>375</v>
      </c>
      <c r="I357" s="165">
        <f t="shared" si="25"/>
        <v>2875</v>
      </c>
    </row>
    <row r="358" spans="1:9" ht="12.75" hidden="1" x14ac:dyDescent="0.25">
      <c r="A358" s="167">
        <f t="shared" si="28"/>
        <v>357</v>
      </c>
      <c r="B358" s="168" t="s">
        <v>1053</v>
      </c>
      <c r="C358" s="168" t="str">
        <f>VLOOKUP(B358,MEMBERS!B:C,2, )</f>
        <v>MR. ZAMIR ALI SHAH</v>
      </c>
      <c r="D358" s="188">
        <v>45998</v>
      </c>
      <c r="E358" s="175">
        <v>2</v>
      </c>
      <c r="F358" s="168" t="s">
        <v>1057</v>
      </c>
      <c r="G358" s="165">
        <f>IFERROR(VLOOKUP(F358,'menu list'!B:C,2,FALSE)*E358,"0")</f>
        <v>1700</v>
      </c>
      <c r="H358" s="334">
        <f t="shared" si="24"/>
        <v>255</v>
      </c>
      <c r="I358" s="165">
        <f t="shared" si="25"/>
        <v>1955</v>
      </c>
    </row>
    <row r="359" spans="1:9" ht="12.75" hidden="1" x14ac:dyDescent="0.25">
      <c r="A359" s="167">
        <f t="shared" si="28"/>
        <v>358</v>
      </c>
      <c r="B359" s="168" t="s">
        <v>430</v>
      </c>
      <c r="C359" s="168" t="str">
        <f>VLOOKUP(B359,MEMBERS!B:C,2, )</f>
        <v>SYED JIBRAN MUSHTAQ</v>
      </c>
      <c r="D359" s="188">
        <v>45998</v>
      </c>
      <c r="E359" s="175">
        <v>3</v>
      </c>
      <c r="F359" s="168" t="s">
        <v>499</v>
      </c>
      <c r="G359" s="165">
        <f>IFERROR(VLOOKUP(F359,'menu list'!B:C,2,FALSE)*E359,"0")</f>
        <v>300</v>
      </c>
      <c r="H359" s="334">
        <f t="shared" si="24"/>
        <v>45</v>
      </c>
      <c r="I359" s="165">
        <f t="shared" si="25"/>
        <v>345</v>
      </c>
    </row>
    <row r="360" spans="1:9" ht="12.75" hidden="1" x14ac:dyDescent="0.25">
      <c r="A360" s="167">
        <f t="shared" ref="A360:A400" si="29">IF(D360&lt;&gt;"", ROW()-1, "")</f>
        <v>359</v>
      </c>
      <c r="B360" s="168" t="s">
        <v>430</v>
      </c>
      <c r="C360" s="168" t="str">
        <f>VLOOKUP(B360,MEMBERS!B:C,2, )</f>
        <v>SYED JIBRAN MUSHTAQ</v>
      </c>
      <c r="D360" s="188">
        <v>45998</v>
      </c>
      <c r="E360" s="175">
        <v>1</v>
      </c>
      <c r="F360" s="168" t="s">
        <v>440</v>
      </c>
      <c r="G360" s="165">
        <f>IFERROR(VLOOKUP(F360,'menu list'!B:C,2,FALSE)*E360,"0")</f>
        <v>150</v>
      </c>
      <c r="H360" s="334">
        <f t="shared" si="24"/>
        <v>22.5</v>
      </c>
      <c r="I360" s="165">
        <f t="shared" si="25"/>
        <v>172.5</v>
      </c>
    </row>
    <row r="361" spans="1:9" ht="12.75" hidden="1" x14ac:dyDescent="0.25">
      <c r="A361" s="167">
        <f t="shared" si="29"/>
        <v>360</v>
      </c>
      <c r="B361" s="168" t="s">
        <v>430</v>
      </c>
      <c r="C361" s="168" t="str">
        <f>VLOOKUP(B361,MEMBERS!B:C,2, )</f>
        <v>SYED JIBRAN MUSHTAQ</v>
      </c>
      <c r="D361" s="188">
        <v>45998</v>
      </c>
      <c r="E361" s="175">
        <v>1</v>
      </c>
      <c r="F361" s="168" t="s">
        <v>497</v>
      </c>
      <c r="G361" s="165">
        <f>IFERROR(VLOOKUP(F361,'menu list'!B:C,2,FALSE)*E361,"0")</f>
        <v>250</v>
      </c>
      <c r="H361" s="334">
        <f t="shared" si="24"/>
        <v>37.5</v>
      </c>
      <c r="I361" s="165">
        <f t="shared" si="25"/>
        <v>287.5</v>
      </c>
    </row>
    <row r="362" spans="1:9" ht="12.75" hidden="1" customHeight="1" x14ac:dyDescent="0.25">
      <c r="A362" s="167">
        <f t="shared" si="29"/>
        <v>361</v>
      </c>
      <c r="B362" s="168" t="s">
        <v>430</v>
      </c>
      <c r="C362" s="168" t="str">
        <f>VLOOKUP(B362,MEMBERS!B:C,2, )</f>
        <v>SYED JIBRAN MUSHTAQ</v>
      </c>
      <c r="D362" s="188">
        <v>45998</v>
      </c>
      <c r="E362" s="175">
        <v>6</v>
      </c>
      <c r="F362" s="168" t="s">
        <v>558</v>
      </c>
      <c r="G362" s="165" t="s">
        <v>1172</v>
      </c>
      <c r="H362" s="334"/>
      <c r="I362" s="165"/>
    </row>
    <row r="363" spans="1:9" ht="12.75" hidden="1" x14ac:dyDescent="0.25">
      <c r="A363" s="167">
        <f t="shared" si="29"/>
        <v>362</v>
      </c>
      <c r="B363" s="168" t="s">
        <v>430</v>
      </c>
      <c r="C363" s="168" t="str">
        <f>VLOOKUP(B363,MEMBERS!B:C,2, )</f>
        <v>SYED JIBRAN MUSHTAQ</v>
      </c>
      <c r="D363" s="188">
        <v>45998</v>
      </c>
      <c r="E363" s="175">
        <v>4</v>
      </c>
      <c r="F363" s="168" t="s">
        <v>641</v>
      </c>
      <c r="G363" s="165" t="s">
        <v>1172</v>
      </c>
      <c r="H363" s="334"/>
      <c r="I363" s="165"/>
    </row>
    <row r="364" spans="1:9" ht="12.75" hidden="1" x14ac:dyDescent="0.25">
      <c r="A364" s="167">
        <f t="shared" si="29"/>
        <v>363</v>
      </c>
      <c r="B364" s="168" t="s">
        <v>273</v>
      </c>
      <c r="C364" s="168" t="str">
        <f>VLOOKUP(B364,MEMBERS!B:C,2, )</f>
        <v>MR.SYED MURTAZA ALI</v>
      </c>
      <c r="D364" s="188">
        <v>45998</v>
      </c>
      <c r="E364" s="175">
        <v>2</v>
      </c>
      <c r="F364" s="168" t="s">
        <v>641</v>
      </c>
      <c r="G364" s="165" t="s">
        <v>1172</v>
      </c>
      <c r="H364" s="334"/>
      <c r="I364" s="165"/>
    </row>
    <row r="365" spans="1:9" ht="12.75" hidden="1" x14ac:dyDescent="0.25">
      <c r="A365" s="167">
        <f t="shared" si="29"/>
        <v>364</v>
      </c>
      <c r="B365" s="168" t="s">
        <v>263</v>
      </c>
      <c r="C365" s="168" t="str">
        <f>VLOOKUP(B365,MEMBERS!B:C,2, )</f>
        <v>MR.CAREL HEDRIK BURGER</v>
      </c>
      <c r="D365" s="188">
        <v>45998</v>
      </c>
      <c r="E365" s="175">
        <v>8</v>
      </c>
      <c r="F365" s="168" t="s">
        <v>1017</v>
      </c>
      <c r="G365" s="165">
        <f>IFERROR(VLOOKUP(F365,'menu list'!B:C,2,FALSE)*E365,"0")</f>
        <v>14800</v>
      </c>
      <c r="H365" s="334">
        <f t="shared" si="24"/>
        <v>2220</v>
      </c>
      <c r="I365" s="165">
        <f t="shared" si="25"/>
        <v>17020</v>
      </c>
    </row>
    <row r="366" spans="1:9" ht="12.75" hidden="1" x14ac:dyDescent="0.25">
      <c r="A366" s="167">
        <f t="shared" si="29"/>
        <v>365</v>
      </c>
      <c r="B366" s="168" t="s">
        <v>263</v>
      </c>
      <c r="C366" s="168" t="str">
        <f>VLOOKUP(B366,MEMBERS!B:C,2, )</f>
        <v>MR.CAREL HEDRIK BURGER</v>
      </c>
      <c r="D366" s="188">
        <v>45998</v>
      </c>
      <c r="E366" s="175">
        <v>2</v>
      </c>
      <c r="F366" s="168" t="s">
        <v>440</v>
      </c>
      <c r="G366" s="165">
        <f>IFERROR(VLOOKUP(F366,'menu list'!B:C,2,FALSE)*E366,"0")</f>
        <v>300</v>
      </c>
      <c r="H366" s="334">
        <f t="shared" si="24"/>
        <v>45</v>
      </c>
      <c r="I366" s="165">
        <f t="shared" si="25"/>
        <v>345</v>
      </c>
    </row>
    <row r="367" spans="1:9" ht="12.75" hidden="1" x14ac:dyDescent="0.25">
      <c r="A367" s="167">
        <f t="shared" si="29"/>
        <v>366</v>
      </c>
      <c r="B367" s="168" t="s">
        <v>263</v>
      </c>
      <c r="C367" s="168" t="str">
        <f>VLOOKUP(B367,MEMBERS!B:C,2, )</f>
        <v>MR.CAREL HEDRIK BURGER</v>
      </c>
      <c r="D367" s="188">
        <v>45998</v>
      </c>
      <c r="E367" s="175">
        <v>4</v>
      </c>
      <c r="F367" s="168" t="s">
        <v>582</v>
      </c>
      <c r="G367" s="165">
        <f>IFERROR(VLOOKUP(F367,'menu list'!B:C,2,FALSE)*E367,"0")</f>
        <v>1200</v>
      </c>
      <c r="H367" s="334">
        <f t="shared" si="24"/>
        <v>180</v>
      </c>
      <c r="I367" s="165">
        <f t="shared" si="25"/>
        <v>1380</v>
      </c>
    </row>
    <row r="368" spans="1:9" ht="12.75" hidden="1" x14ac:dyDescent="0.25">
      <c r="A368" s="167">
        <f t="shared" si="29"/>
        <v>367</v>
      </c>
      <c r="B368" s="168" t="s">
        <v>263</v>
      </c>
      <c r="C368" s="168" t="str">
        <f>VLOOKUP(B368,MEMBERS!B:C,2, )</f>
        <v>MR.CAREL HEDRIK BURGER</v>
      </c>
      <c r="D368" s="188">
        <v>45998</v>
      </c>
      <c r="E368" s="175">
        <v>2</v>
      </c>
      <c r="F368" s="168" t="s">
        <v>836</v>
      </c>
      <c r="G368" s="165">
        <f>IFERROR(VLOOKUP(F368,'menu list'!B:C,2,FALSE)*E368,"0")</f>
        <v>700</v>
      </c>
      <c r="H368" s="334">
        <f t="shared" si="24"/>
        <v>105</v>
      </c>
      <c r="I368" s="165">
        <f t="shared" si="25"/>
        <v>805</v>
      </c>
    </row>
    <row r="369" spans="1:9" ht="12.75" hidden="1" x14ac:dyDescent="0.25">
      <c r="A369" s="167">
        <f t="shared" si="29"/>
        <v>368</v>
      </c>
      <c r="B369" s="168" t="s">
        <v>282</v>
      </c>
      <c r="C369" s="168" t="str">
        <f>VLOOKUP(B369,MEMBERS!B:C,2, )</f>
        <v>ZULFIQAR AHMED MEMON</v>
      </c>
      <c r="D369" s="188">
        <v>45998</v>
      </c>
      <c r="E369" s="175">
        <v>8</v>
      </c>
      <c r="F369" s="168" t="s">
        <v>1017</v>
      </c>
      <c r="G369" s="165">
        <f>IFERROR(VLOOKUP(F369,'menu list'!B:C,2,FALSE)*E369,"0")</f>
        <v>14800</v>
      </c>
      <c r="H369" s="334">
        <f t="shared" si="24"/>
        <v>2220</v>
      </c>
      <c r="I369" s="165">
        <f t="shared" si="25"/>
        <v>17020</v>
      </c>
    </row>
    <row r="370" spans="1:9" ht="12.75" hidden="1" x14ac:dyDescent="0.25">
      <c r="A370" s="167">
        <f t="shared" si="29"/>
        <v>369</v>
      </c>
      <c r="B370" s="168" t="s">
        <v>282</v>
      </c>
      <c r="C370" s="168" t="str">
        <f>VLOOKUP(B370,MEMBERS!B:C,2, )</f>
        <v>ZULFIQAR AHMED MEMON</v>
      </c>
      <c r="D370" s="188">
        <v>45998</v>
      </c>
      <c r="E370" s="175">
        <v>2</v>
      </c>
      <c r="F370" s="168" t="s">
        <v>440</v>
      </c>
      <c r="G370" s="165">
        <f>IFERROR(VLOOKUP(F370,'menu list'!B:C,2,FALSE)*E370,"0")</f>
        <v>300</v>
      </c>
      <c r="H370" s="334">
        <f t="shared" si="24"/>
        <v>45</v>
      </c>
      <c r="I370" s="165">
        <f t="shared" si="25"/>
        <v>345</v>
      </c>
    </row>
    <row r="371" spans="1:9" ht="12.75" hidden="1" x14ac:dyDescent="0.25">
      <c r="A371" s="167">
        <f t="shared" si="29"/>
        <v>370</v>
      </c>
      <c r="B371" s="168" t="s">
        <v>282</v>
      </c>
      <c r="C371" s="168" t="str">
        <f>VLOOKUP(B371,MEMBERS!B:C,2, )</f>
        <v>ZULFIQAR AHMED MEMON</v>
      </c>
      <c r="D371" s="188">
        <v>45998</v>
      </c>
      <c r="E371" s="175">
        <v>4</v>
      </c>
      <c r="F371" s="168" t="s">
        <v>582</v>
      </c>
      <c r="G371" s="165">
        <f>IFERROR(VLOOKUP(F371,'menu list'!B:C,2,FALSE)*E371,"0")</f>
        <v>1200</v>
      </c>
      <c r="H371" s="334">
        <f t="shared" si="24"/>
        <v>180</v>
      </c>
      <c r="I371" s="165">
        <f t="shared" si="25"/>
        <v>1380</v>
      </c>
    </row>
    <row r="372" spans="1:9" ht="12.75" hidden="1" x14ac:dyDescent="0.25">
      <c r="A372" s="167">
        <f t="shared" si="29"/>
        <v>371</v>
      </c>
      <c r="B372" s="168" t="s">
        <v>273</v>
      </c>
      <c r="C372" s="168" t="str">
        <f>VLOOKUP(B372,MEMBERS!B:C,2, )</f>
        <v>MR.SYED MURTAZA ALI</v>
      </c>
      <c r="D372" s="188">
        <v>45998</v>
      </c>
      <c r="E372" s="175">
        <v>1</v>
      </c>
      <c r="F372" s="168" t="s">
        <v>641</v>
      </c>
      <c r="G372" s="165">
        <f>IFERROR(VLOOKUP(F372,'menu list'!B:C,2,FALSE)*E372,"0")</f>
        <v>1550</v>
      </c>
      <c r="H372" s="334">
        <f t="shared" si="24"/>
        <v>232.5</v>
      </c>
      <c r="I372" s="165">
        <f t="shared" si="25"/>
        <v>1782.5</v>
      </c>
    </row>
    <row r="373" spans="1:9" ht="12.75" hidden="1" x14ac:dyDescent="0.25">
      <c r="A373" s="167">
        <f t="shared" si="29"/>
        <v>372</v>
      </c>
      <c r="B373" s="168" t="s">
        <v>273</v>
      </c>
      <c r="C373" s="168" t="str">
        <f>VLOOKUP(B373,MEMBERS!B:C,2, )</f>
        <v>MR.SYED MURTAZA ALI</v>
      </c>
      <c r="D373" s="188">
        <v>45998</v>
      </c>
      <c r="E373" s="175">
        <v>1</v>
      </c>
      <c r="F373" s="168" t="s">
        <v>440</v>
      </c>
      <c r="G373" s="165">
        <f>IFERROR(VLOOKUP(F373,'menu list'!B:C,2,FALSE)*E373,"0")</f>
        <v>150</v>
      </c>
      <c r="H373" s="334">
        <f t="shared" si="24"/>
        <v>22.5</v>
      </c>
      <c r="I373" s="165">
        <f t="shared" si="25"/>
        <v>172.5</v>
      </c>
    </row>
    <row r="374" spans="1:9" ht="12.75" hidden="1" x14ac:dyDescent="0.25">
      <c r="A374" s="167">
        <f t="shared" si="29"/>
        <v>373</v>
      </c>
      <c r="B374" s="168" t="s">
        <v>273</v>
      </c>
      <c r="C374" s="168" t="str">
        <f>VLOOKUP(B374,MEMBERS!B:C,2, )</f>
        <v>MR.SYED MURTAZA ALI</v>
      </c>
      <c r="D374" s="188">
        <v>45998</v>
      </c>
      <c r="E374" s="175">
        <v>2</v>
      </c>
      <c r="F374" s="168" t="s">
        <v>582</v>
      </c>
      <c r="G374" s="165">
        <f>IFERROR(VLOOKUP(F374,'menu list'!B:C,2,FALSE)*E374,"0")</f>
        <v>600</v>
      </c>
      <c r="H374" s="334">
        <f t="shared" si="24"/>
        <v>90</v>
      </c>
      <c r="I374" s="165">
        <f t="shared" si="25"/>
        <v>690</v>
      </c>
    </row>
    <row r="375" spans="1:9" ht="12.75" hidden="1" x14ac:dyDescent="0.25">
      <c r="A375" s="167">
        <f t="shared" si="29"/>
        <v>374</v>
      </c>
      <c r="B375" s="168" t="s">
        <v>273</v>
      </c>
      <c r="C375" s="168" t="str">
        <f>VLOOKUP(B375,MEMBERS!B:C,2, )</f>
        <v>MR.SYED MURTAZA ALI</v>
      </c>
      <c r="D375" s="188">
        <v>45998</v>
      </c>
      <c r="E375" s="175">
        <v>1</v>
      </c>
      <c r="F375" s="168" t="s">
        <v>643</v>
      </c>
      <c r="G375" s="165">
        <f>IFERROR(VLOOKUP(F375,'menu list'!B:C,2,FALSE)*E375,"0")</f>
        <v>300</v>
      </c>
      <c r="H375" s="334">
        <f t="shared" si="24"/>
        <v>45</v>
      </c>
      <c r="I375" s="165">
        <f t="shared" si="25"/>
        <v>345</v>
      </c>
    </row>
    <row r="376" spans="1:9" ht="12.75" hidden="1" x14ac:dyDescent="0.25">
      <c r="A376" s="167">
        <f t="shared" si="29"/>
        <v>375</v>
      </c>
      <c r="B376" s="168" t="s">
        <v>426</v>
      </c>
      <c r="C376" s="168" t="str">
        <f>VLOOKUP(B376,MEMBERS!B:C,2, )</f>
        <v>NASIR ABBAS</v>
      </c>
      <c r="D376" s="188">
        <v>45998</v>
      </c>
      <c r="E376" s="175">
        <v>7</v>
      </c>
      <c r="F376" s="168" t="s">
        <v>641</v>
      </c>
      <c r="G376" s="165">
        <f>IFERROR(VLOOKUP(F376,'menu list'!B:C,2,FALSE)*E376,"0")</f>
        <v>10850</v>
      </c>
      <c r="H376" s="334">
        <f t="shared" si="24"/>
        <v>1627.5</v>
      </c>
      <c r="I376" s="165">
        <f t="shared" si="25"/>
        <v>12477.5</v>
      </c>
    </row>
    <row r="377" spans="1:9" ht="12.75" hidden="1" x14ac:dyDescent="0.25">
      <c r="A377" s="167">
        <f t="shared" si="29"/>
        <v>376</v>
      </c>
      <c r="B377" s="168" t="s">
        <v>426</v>
      </c>
      <c r="C377" s="168" t="str">
        <f>VLOOKUP(B377,MEMBERS!B:C,2, )</f>
        <v>NASIR ABBAS</v>
      </c>
      <c r="D377" s="188">
        <v>45998</v>
      </c>
      <c r="E377" s="175">
        <v>1</v>
      </c>
      <c r="F377" s="168" t="s">
        <v>440</v>
      </c>
      <c r="G377" s="165">
        <f>IFERROR(VLOOKUP(F377,'menu list'!B:C,2,FALSE)*E377,"0")</f>
        <v>150</v>
      </c>
      <c r="H377" s="334">
        <f t="shared" si="24"/>
        <v>22.5</v>
      </c>
      <c r="I377" s="165">
        <f t="shared" si="25"/>
        <v>172.5</v>
      </c>
    </row>
    <row r="378" spans="1:9" ht="12.75" hidden="1" x14ac:dyDescent="0.25">
      <c r="A378" s="167">
        <f t="shared" si="29"/>
        <v>377</v>
      </c>
      <c r="B378" s="168" t="s">
        <v>426</v>
      </c>
      <c r="C378" s="168" t="str">
        <f>VLOOKUP(B378,MEMBERS!B:C,2, )</f>
        <v>NASIR ABBAS</v>
      </c>
      <c r="D378" s="188">
        <v>45998</v>
      </c>
      <c r="E378" s="175">
        <v>5</v>
      </c>
      <c r="F378" s="168" t="s">
        <v>582</v>
      </c>
      <c r="G378" s="165">
        <f>IFERROR(VLOOKUP(F378,'menu list'!B:C,2,FALSE)*E378,"0")</f>
        <v>1500</v>
      </c>
      <c r="H378" s="334">
        <f t="shared" si="24"/>
        <v>225</v>
      </c>
      <c r="I378" s="165">
        <f t="shared" si="25"/>
        <v>1725</v>
      </c>
    </row>
    <row r="379" spans="1:9" ht="12.75" hidden="1" x14ac:dyDescent="0.25">
      <c r="A379" s="167">
        <f t="shared" si="29"/>
        <v>378</v>
      </c>
      <c r="B379" s="168" t="s">
        <v>426</v>
      </c>
      <c r="C379" s="168" t="str">
        <f>VLOOKUP(B379,MEMBERS!B:C,2, )</f>
        <v>NASIR ABBAS</v>
      </c>
      <c r="D379" s="188">
        <v>45998</v>
      </c>
      <c r="E379" s="175">
        <v>2</v>
      </c>
      <c r="F379" s="168" t="s">
        <v>442</v>
      </c>
      <c r="G379" s="165">
        <f>IFERROR(VLOOKUP(F379,'menu list'!B:C,2,FALSE)*E379,"0")</f>
        <v>300</v>
      </c>
      <c r="H379" s="334">
        <f t="shared" si="24"/>
        <v>45</v>
      </c>
      <c r="I379" s="165">
        <f t="shared" si="25"/>
        <v>345</v>
      </c>
    </row>
    <row r="380" spans="1:9" ht="12.75" hidden="1" x14ac:dyDescent="0.25">
      <c r="A380" s="167">
        <f t="shared" si="29"/>
        <v>379</v>
      </c>
      <c r="B380" s="168" t="s">
        <v>146</v>
      </c>
      <c r="C380" s="168" t="str">
        <f>VLOOKUP(B380,MEMBERS!B:C,2, )</f>
        <v>MR.KHALID JAVED</v>
      </c>
      <c r="D380" s="188">
        <v>45998</v>
      </c>
      <c r="E380" s="175">
        <v>4</v>
      </c>
      <c r="F380" s="168" t="s">
        <v>641</v>
      </c>
      <c r="G380" s="165">
        <f>IFERROR(VLOOKUP(F380,'menu list'!B:C,2,FALSE)*E380,"0")</f>
        <v>6200</v>
      </c>
      <c r="H380" s="334">
        <f t="shared" si="24"/>
        <v>930</v>
      </c>
      <c r="I380" s="165">
        <f t="shared" si="25"/>
        <v>7130</v>
      </c>
    </row>
    <row r="381" spans="1:9" ht="12.75" hidden="1" x14ac:dyDescent="0.25">
      <c r="A381" s="167">
        <f t="shared" si="29"/>
        <v>380</v>
      </c>
      <c r="B381" s="168" t="s">
        <v>146</v>
      </c>
      <c r="C381" s="168" t="str">
        <f>VLOOKUP(B381,MEMBERS!B:C,2, )</f>
        <v>MR.KHALID JAVED</v>
      </c>
      <c r="D381" s="188">
        <v>45998</v>
      </c>
      <c r="E381" s="175">
        <v>1</v>
      </c>
      <c r="F381" s="168" t="s">
        <v>440</v>
      </c>
      <c r="G381" s="165">
        <f>IFERROR(VLOOKUP(F381,'menu list'!B:C,2,FALSE)*E381,"0")</f>
        <v>150</v>
      </c>
      <c r="H381" s="334">
        <f t="shared" si="24"/>
        <v>22.5</v>
      </c>
      <c r="I381" s="165">
        <f t="shared" si="25"/>
        <v>172.5</v>
      </c>
    </row>
    <row r="382" spans="1:9" ht="12.75" hidden="1" x14ac:dyDescent="0.25">
      <c r="A382" s="167">
        <f t="shared" si="29"/>
        <v>381</v>
      </c>
      <c r="B382" s="168" t="s">
        <v>192</v>
      </c>
      <c r="C382" s="168" t="str">
        <f>VLOOKUP(B382,MEMBERS!B:C,2, )</f>
        <v>MR.HANIF AHSAN ZUBEDI</v>
      </c>
      <c r="D382" s="188">
        <v>45998</v>
      </c>
      <c r="E382" s="175">
        <f>12+2</f>
        <v>14</v>
      </c>
      <c r="F382" s="168" t="s">
        <v>641</v>
      </c>
      <c r="G382" s="165">
        <f>IFERROR(VLOOKUP(F382,'menu list'!B:C,2,FALSE)*E382,"0")</f>
        <v>21700</v>
      </c>
      <c r="H382" s="334">
        <f t="shared" si="24"/>
        <v>3255</v>
      </c>
      <c r="I382" s="165">
        <f t="shared" si="25"/>
        <v>24955</v>
      </c>
    </row>
    <row r="383" spans="1:9" ht="12.75" hidden="1" x14ac:dyDescent="0.25">
      <c r="A383" s="167">
        <f t="shared" si="29"/>
        <v>382</v>
      </c>
      <c r="B383" s="168" t="s">
        <v>192</v>
      </c>
      <c r="C383" s="168" t="str">
        <f>VLOOKUP(B383,MEMBERS!B:C,2, )</f>
        <v>MR.HANIF AHSAN ZUBEDI</v>
      </c>
      <c r="D383" s="188">
        <v>45998</v>
      </c>
      <c r="E383" s="175">
        <f>3+1</f>
        <v>4</v>
      </c>
      <c r="F383" s="168" t="s">
        <v>440</v>
      </c>
      <c r="G383" s="165">
        <f>IFERROR(VLOOKUP(F383,'menu list'!B:C,2,FALSE)*E383,"0")</f>
        <v>600</v>
      </c>
      <c r="H383" s="334">
        <f t="shared" si="24"/>
        <v>90</v>
      </c>
      <c r="I383" s="165">
        <f t="shared" si="25"/>
        <v>690</v>
      </c>
    </row>
    <row r="384" spans="1:9" ht="12.75" hidden="1" x14ac:dyDescent="0.25">
      <c r="A384" s="167">
        <f t="shared" si="29"/>
        <v>383</v>
      </c>
      <c r="B384" s="168" t="s">
        <v>192</v>
      </c>
      <c r="C384" s="168" t="str">
        <f>VLOOKUP(B384,MEMBERS!B:C,2, )</f>
        <v>MR.HANIF AHSAN ZUBEDI</v>
      </c>
      <c r="D384" s="188">
        <v>45998</v>
      </c>
      <c r="E384" s="175">
        <v>5</v>
      </c>
      <c r="F384" s="168" t="s">
        <v>659</v>
      </c>
      <c r="G384" s="165">
        <f>IFERROR(VLOOKUP(F384,'menu list'!B:C,2,FALSE)*E384,"0")</f>
        <v>3875</v>
      </c>
      <c r="H384" s="334">
        <f t="shared" si="24"/>
        <v>581.25</v>
      </c>
      <c r="I384" s="165">
        <f t="shared" si="25"/>
        <v>4456.25</v>
      </c>
    </row>
    <row r="385" spans="1:9" ht="12.75" hidden="1" x14ac:dyDescent="0.25">
      <c r="A385" s="167">
        <f t="shared" si="29"/>
        <v>384</v>
      </c>
      <c r="B385" s="168" t="s">
        <v>88</v>
      </c>
      <c r="C385" s="168" t="str">
        <f>VLOOKUP(B385,MEMBERS!B:C,2, )</f>
        <v>DR.NAZEER HUSSAIN KALHORO</v>
      </c>
      <c r="D385" s="188">
        <v>45998</v>
      </c>
      <c r="E385" s="175">
        <v>5</v>
      </c>
      <c r="F385" s="168" t="s">
        <v>1017</v>
      </c>
      <c r="G385" s="165">
        <f>IFERROR(VLOOKUP(F385,'menu list'!B:C,2,FALSE)*E385,"0")</f>
        <v>9250</v>
      </c>
      <c r="H385" s="334">
        <f t="shared" si="24"/>
        <v>1387.5</v>
      </c>
      <c r="I385" s="165">
        <f t="shared" si="25"/>
        <v>10637.5</v>
      </c>
    </row>
    <row r="386" spans="1:9" ht="12.75" hidden="1" x14ac:dyDescent="0.25">
      <c r="A386" s="167">
        <f t="shared" si="29"/>
        <v>385</v>
      </c>
      <c r="B386" s="168" t="s">
        <v>88</v>
      </c>
      <c r="C386" s="168" t="str">
        <f>VLOOKUP(B386,MEMBERS!B:C,2, )</f>
        <v>DR.NAZEER HUSSAIN KALHORO</v>
      </c>
      <c r="D386" s="188">
        <v>45998</v>
      </c>
      <c r="E386" s="175">
        <v>1</v>
      </c>
      <c r="F386" s="168" t="s">
        <v>440</v>
      </c>
      <c r="G386" s="165">
        <f>IFERROR(VLOOKUP(F386,'menu list'!B:C,2,FALSE)*E386,"0")</f>
        <v>150</v>
      </c>
      <c r="H386" s="334">
        <f t="shared" si="24"/>
        <v>22.5</v>
      </c>
      <c r="I386" s="165">
        <f t="shared" si="25"/>
        <v>172.5</v>
      </c>
    </row>
    <row r="387" spans="1:9" ht="12.75" hidden="1" x14ac:dyDescent="0.25">
      <c r="A387" s="167">
        <f t="shared" si="29"/>
        <v>386</v>
      </c>
      <c r="B387" s="168" t="s">
        <v>88</v>
      </c>
      <c r="C387" s="168" t="str">
        <f>VLOOKUP(B387,MEMBERS!B:C,2, )</f>
        <v>DR.NAZEER HUSSAIN KALHORO</v>
      </c>
      <c r="D387" s="188">
        <v>45998</v>
      </c>
      <c r="E387" s="175">
        <v>1</v>
      </c>
      <c r="F387" s="168" t="s">
        <v>499</v>
      </c>
      <c r="G387" s="165">
        <f>IFERROR(VLOOKUP(F387,'menu list'!B:C,2,FALSE)*E387,"0")</f>
        <v>100</v>
      </c>
      <c r="H387" s="334">
        <f t="shared" ref="H387:H450" si="30">G387*15/100</f>
        <v>15</v>
      </c>
      <c r="I387" s="165">
        <f t="shared" ref="I387:I450" si="31">G387+H387</f>
        <v>115</v>
      </c>
    </row>
    <row r="388" spans="1:9" ht="12.75" hidden="1" x14ac:dyDescent="0.25">
      <c r="A388" s="167">
        <f t="shared" si="29"/>
        <v>387</v>
      </c>
      <c r="B388" s="168" t="s">
        <v>88</v>
      </c>
      <c r="C388" s="168" t="str">
        <f>VLOOKUP(B388,MEMBERS!B:C,2, )</f>
        <v>DR.NAZEER HUSSAIN KALHORO</v>
      </c>
      <c r="D388" s="188">
        <v>45998</v>
      </c>
      <c r="E388" s="175">
        <v>2</v>
      </c>
      <c r="F388" s="168" t="s">
        <v>442</v>
      </c>
      <c r="G388" s="165">
        <f>IFERROR(VLOOKUP(F388,'menu list'!B:C,2,FALSE)*E388,"0")</f>
        <v>300</v>
      </c>
      <c r="H388" s="334">
        <f t="shared" si="30"/>
        <v>45</v>
      </c>
      <c r="I388" s="165">
        <f t="shared" si="31"/>
        <v>345</v>
      </c>
    </row>
    <row r="389" spans="1:9" ht="12.75" hidden="1" x14ac:dyDescent="0.25">
      <c r="A389" s="167">
        <f t="shared" si="29"/>
        <v>388</v>
      </c>
      <c r="B389" s="168" t="s">
        <v>88</v>
      </c>
      <c r="C389" s="168" t="str">
        <f>VLOOKUP(B389,MEMBERS!B:C,2, )</f>
        <v>DR.NAZEER HUSSAIN KALHORO</v>
      </c>
      <c r="D389" s="188">
        <v>45998</v>
      </c>
      <c r="E389" s="175">
        <v>1</v>
      </c>
      <c r="F389" s="168" t="s">
        <v>1018</v>
      </c>
      <c r="G389" s="165">
        <f>IFERROR(VLOOKUP(F389,'menu list'!B:C,2,FALSE)*E389,"0")</f>
        <v>925</v>
      </c>
      <c r="H389" s="334">
        <f t="shared" si="30"/>
        <v>138.75</v>
      </c>
      <c r="I389" s="165">
        <f t="shared" si="31"/>
        <v>1063.75</v>
      </c>
    </row>
    <row r="390" spans="1:9" ht="12.75" hidden="1" x14ac:dyDescent="0.25">
      <c r="A390" s="167">
        <f t="shared" si="29"/>
        <v>389</v>
      </c>
      <c r="B390" s="168" t="s">
        <v>795</v>
      </c>
      <c r="C390" s="168" t="str">
        <f>VLOOKUP(B390,MEMBERS!B:C,2, )</f>
        <v>MR. HASAN KARIM</v>
      </c>
      <c r="D390" s="188">
        <v>45998</v>
      </c>
      <c r="E390" s="175">
        <v>2</v>
      </c>
      <c r="F390" s="168" t="s">
        <v>1017</v>
      </c>
      <c r="G390" s="165">
        <f>IFERROR(VLOOKUP(F390,'menu list'!B:C,2,FALSE)*E390,"0")</f>
        <v>3700</v>
      </c>
      <c r="H390" s="334">
        <f t="shared" si="30"/>
        <v>555</v>
      </c>
      <c r="I390" s="165">
        <f t="shared" si="31"/>
        <v>4255</v>
      </c>
    </row>
    <row r="391" spans="1:9" ht="12.75" hidden="1" x14ac:dyDescent="0.25">
      <c r="A391" s="167">
        <f t="shared" si="29"/>
        <v>390</v>
      </c>
      <c r="B391" s="168" t="s">
        <v>795</v>
      </c>
      <c r="C391" s="168" t="str">
        <f>VLOOKUP(B391,MEMBERS!B:C,2, )</f>
        <v>MR. HASAN KARIM</v>
      </c>
      <c r="D391" s="188">
        <v>45998</v>
      </c>
      <c r="E391" s="175">
        <v>1</v>
      </c>
      <c r="F391" s="168" t="s">
        <v>582</v>
      </c>
      <c r="G391" s="165">
        <f>IFERROR(VLOOKUP(F391,'menu list'!B:C,2,FALSE)*E391,"0")</f>
        <v>300</v>
      </c>
      <c r="H391" s="334">
        <f t="shared" si="30"/>
        <v>45</v>
      </c>
      <c r="I391" s="165">
        <f t="shared" si="31"/>
        <v>345</v>
      </c>
    </row>
    <row r="392" spans="1:9" ht="12.75" hidden="1" x14ac:dyDescent="0.25">
      <c r="A392" s="167">
        <f t="shared" si="29"/>
        <v>391</v>
      </c>
      <c r="B392" s="168" t="s">
        <v>287</v>
      </c>
      <c r="C392" s="168" t="str">
        <f>VLOOKUP(B392,MEMBERS!B:C,2, )</f>
        <v>DGM.REHAN TARIQ</v>
      </c>
      <c r="D392" s="188">
        <v>45998</v>
      </c>
      <c r="E392" s="175">
        <v>2</v>
      </c>
      <c r="F392" s="168" t="s">
        <v>1017</v>
      </c>
      <c r="G392" s="165">
        <f>IFERROR(VLOOKUP(F392,'menu list'!B:C,2,FALSE)*E392,"0")</f>
        <v>3700</v>
      </c>
      <c r="H392" s="334">
        <f t="shared" si="30"/>
        <v>555</v>
      </c>
      <c r="I392" s="165">
        <f t="shared" si="31"/>
        <v>4255</v>
      </c>
    </row>
    <row r="393" spans="1:9" ht="12.75" hidden="1" x14ac:dyDescent="0.25">
      <c r="A393" s="167">
        <f t="shared" si="29"/>
        <v>392</v>
      </c>
      <c r="B393" s="168" t="s">
        <v>287</v>
      </c>
      <c r="C393" s="168" t="str">
        <f>VLOOKUP(B393,MEMBERS!B:C,2, )</f>
        <v>DGM.REHAN TARIQ</v>
      </c>
      <c r="D393" s="188">
        <v>45998</v>
      </c>
      <c r="E393" s="175">
        <v>2</v>
      </c>
      <c r="F393" s="168" t="s">
        <v>499</v>
      </c>
      <c r="G393" s="165">
        <f>IFERROR(VLOOKUP(F393,'menu list'!B:C,2,FALSE)*E393,"0")</f>
        <v>200</v>
      </c>
      <c r="H393" s="334">
        <f t="shared" si="30"/>
        <v>30</v>
      </c>
      <c r="I393" s="165">
        <f t="shared" si="31"/>
        <v>230</v>
      </c>
    </row>
    <row r="394" spans="1:9" ht="12.75" hidden="1" x14ac:dyDescent="0.25">
      <c r="A394" s="167">
        <f t="shared" si="29"/>
        <v>393</v>
      </c>
      <c r="B394" s="168" t="s">
        <v>430</v>
      </c>
      <c r="C394" s="168" t="str">
        <f>VLOOKUP(B394,MEMBERS!B:C,2, )</f>
        <v>SYED JIBRAN MUSHTAQ</v>
      </c>
      <c r="D394" s="188">
        <v>45998</v>
      </c>
      <c r="E394" s="175">
        <v>2</v>
      </c>
      <c r="F394" s="168" t="s">
        <v>1017</v>
      </c>
      <c r="G394" s="165">
        <f>IFERROR(VLOOKUP(F394,'menu list'!B:C,2,FALSE)*E394,"0")</f>
        <v>3700</v>
      </c>
      <c r="H394" s="334">
        <f t="shared" si="30"/>
        <v>555</v>
      </c>
      <c r="I394" s="165">
        <f t="shared" si="31"/>
        <v>4255</v>
      </c>
    </row>
    <row r="395" spans="1:9" ht="12.75" hidden="1" x14ac:dyDescent="0.25">
      <c r="A395" s="167">
        <f t="shared" si="29"/>
        <v>394</v>
      </c>
      <c r="B395" s="168" t="s">
        <v>430</v>
      </c>
      <c r="C395" s="168" t="str">
        <f>VLOOKUP(B395,MEMBERS!B:C,2, )</f>
        <v>SYED JIBRAN MUSHTAQ</v>
      </c>
      <c r="D395" s="188">
        <v>45998</v>
      </c>
      <c r="E395" s="175">
        <v>3</v>
      </c>
      <c r="F395" s="168" t="s">
        <v>836</v>
      </c>
      <c r="G395" s="165">
        <f>IFERROR(VLOOKUP(F395,'menu list'!B:C,2,FALSE)*E395,"0")</f>
        <v>1050</v>
      </c>
      <c r="H395" s="334">
        <f t="shared" si="30"/>
        <v>157.5</v>
      </c>
      <c r="I395" s="165">
        <f t="shared" si="31"/>
        <v>1207.5</v>
      </c>
    </row>
    <row r="396" spans="1:9" ht="12.75" hidden="1" x14ac:dyDescent="0.25">
      <c r="A396" s="167">
        <f t="shared" si="29"/>
        <v>395</v>
      </c>
      <c r="B396" s="168" t="s">
        <v>430</v>
      </c>
      <c r="C396" s="168" t="str">
        <f>VLOOKUP(B396,MEMBERS!B:C,2, )</f>
        <v>SYED JIBRAN MUSHTAQ</v>
      </c>
      <c r="D396" s="188">
        <v>45998</v>
      </c>
      <c r="E396" s="175">
        <v>2</v>
      </c>
      <c r="F396" s="168" t="s">
        <v>499</v>
      </c>
      <c r="G396" s="165">
        <f>IFERROR(VLOOKUP(F396,'menu list'!B:C,2,FALSE)*E396,"0")</f>
        <v>200</v>
      </c>
      <c r="H396" s="334">
        <f t="shared" si="30"/>
        <v>30</v>
      </c>
      <c r="I396" s="165">
        <f t="shared" si="31"/>
        <v>230</v>
      </c>
    </row>
    <row r="397" spans="1:9" ht="12.75" hidden="1" x14ac:dyDescent="0.25">
      <c r="A397" s="167">
        <f t="shared" si="29"/>
        <v>396</v>
      </c>
      <c r="B397" s="168" t="s">
        <v>258</v>
      </c>
      <c r="C397" s="168" t="str">
        <f>VLOOKUP(B397,MEMBERS!B:C,2, )</f>
        <v>BRIG DR. GHULAM MEHDI (Retd)</v>
      </c>
      <c r="D397" s="188">
        <v>45998</v>
      </c>
      <c r="E397" s="175">
        <v>2</v>
      </c>
      <c r="F397" s="168" t="s">
        <v>1017</v>
      </c>
      <c r="G397" s="165">
        <f>IFERROR(VLOOKUP(F397,'menu list'!B:C,2,FALSE)*E397,"0")</f>
        <v>3700</v>
      </c>
      <c r="H397" s="334">
        <f t="shared" si="30"/>
        <v>555</v>
      </c>
      <c r="I397" s="165">
        <f t="shared" si="31"/>
        <v>4255</v>
      </c>
    </row>
    <row r="398" spans="1:9" ht="12.75" hidden="1" x14ac:dyDescent="0.25">
      <c r="A398" s="167">
        <f t="shared" si="29"/>
        <v>397</v>
      </c>
      <c r="B398" s="168" t="s">
        <v>258</v>
      </c>
      <c r="C398" s="168" t="str">
        <f>VLOOKUP(B398,MEMBERS!B:C,2, )</f>
        <v>BRIG DR. GHULAM MEHDI (Retd)</v>
      </c>
      <c r="D398" s="188">
        <v>45998</v>
      </c>
      <c r="E398" s="175">
        <v>2</v>
      </c>
      <c r="F398" s="168" t="s">
        <v>582</v>
      </c>
      <c r="G398" s="165">
        <f>IFERROR(VLOOKUP(F398,'menu list'!B:C,2,FALSE)*E398,"0")</f>
        <v>600</v>
      </c>
      <c r="H398" s="334">
        <f t="shared" si="30"/>
        <v>90</v>
      </c>
      <c r="I398" s="165">
        <f t="shared" si="31"/>
        <v>690</v>
      </c>
    </row>
    <row r="399" spans="1:9" ht="12.75" hidden="1" x14ac:dyDescent="0.25">
      <c r="A399" s="167">
        <f t="shared" si="29"/>
        <v>398</v>
      </c>
      <c r="B399" s="168" t="s">
        <v>258</v>
      </c>
      <c r="C399" s="168" t="str">
        <f>VLOOKUP(B399,MEMBERS!B:C,2, )</f>
        <v>BRIG DR. GHULAM MEHDI (Retd)</v>
      </c>
      <c r="D399" s="188">
        <v>45998</v>
      </c>
      <c r="E399" s="175">
        <v>1</v>
      </c>
      <c r="F399" s="168" t="s">
        <v>499</v>
      </c>
      <c r="G399" s="165">
        <f>IFERROR(VLOOKUP(F399,'menu list'!B:C,2,FALSE)*E399,"0")</f>
        <v>100</v>
      </c>
      <c r="H399" s="334">
        <f t="shared" si="30"/>
        <v>15</v>
      </c>
      <c r="I399" s="165">
        <f t="shared" si="31"/>
        <v>115</v>
      </c>
    </row>
    <row r="400" spans="1:9" ht="12.75" hidden="1" x14ac:dyDescent="0.25">
      <c r="A400" s="167">
        <f t="shared" si="29"/>
        <v>399</v>
      </c>
      <c r="B400" s="168" t="s">
        <v>420</v>
      </c>
      <c r="C400" s="168" t="str">
        <f>VLOOKUP(B400,MEMBERS!B:C,2, )</f>
        <v>SADDAM HUSSAIN</v>
      </c>
      <c r="D400" s="188">
        <v>45999</v>
      </c>
      <c r="E400" s="175">
        <v>1</v>
      </c>
      <c r="F400" s="168" t="s">
        <v>653</v>
      </c>
      <c r="G400" s="165">
        <f>IFERROR(VLOOKUP(F400,'menu list'!B:C,2,FALSE)*E400,"0")</f>
        <v>350</v>
      </c>
      <c r="H400" s="334">
        <f t="shared" si="30"/>
        <v>52.5</v>
      </c>
      <c r="I400" s="165">
        <f t="shared" si="31"/>
        <v>402.5</v>
      </c>
    </row>
    <row r="401" spans="1:9" ht="12.75" hidden="1" x14ac:dyDescent="0.25">
      <c r="A401" s="167">
        <f t="shared" ref="A401" si="32">IF(D401&lt;&gt;"", ROW()-1, "")</f>
        <v>400</v>
      </c>
      <c r="B401" s="168" t="s">
        <v>420</v>
      </c>
      <c r="C401" s="168" t="str">
        <f>VLOOKUP(B401,MEMBERS!B:C,2, )</f>
        <v>SADDAM HUSSAIN</v>
      </c>
      <c r="D401" s="188">
        <v>45999</v>
      </c>
      <c r="E401" s="175">
        <v>3</v>
      </c>
      <c r="F401" s="168" t="s">
        <v>902</v>
      </c>
      <c r="G401" s="165">
        <f>IFERROR(VLOOKUP(F401,'menu list'!B:C,2,FALSE)*E401,"0")</f>
        <v>1500</v>
      </c>
      <c r="H401" s="334">
        <f t="shared" si="30"/>
        <v>225</v>
      </c>
      <c r="I401" s="165">
        <f t="shared" si="31"/>
        <v>1725</v>
      </c>
    </row>
    <row r="402" spans="1:9" ht="12.75" hidden="1" x14ac:dyDescent="0.25">
      <c r="A402" s="167">
        <f t="shared" ref="A402:A433" si="33">IF(D402&lt;&gt;"", ROW()-1, "")</f>
        <v>401</v>
      </c>
      <c r="B402" s="168" t="s">
        <v>420</v>
      </c>
      <c r="C402" s="168" t="str">
        <f>VLOOKUP(B402,MEMBERS!B:C,2, )</f>
        <v>SADDAM HUSSAIN</v>
      </c>
      <c r="D402" s="188">
        <v>45999</v>
      </c>
      <c r="E402" s="175">
        <v>1</v>
      </c>
      <c r="F402" s="168" t="s">
        <v>500</v>
      </c>
      <c r="G402" s="165">
        <f>IFERROR(VLOOKUP(F402,'menu list'!B:C,2,FALSE)*E402,"0")</f>
        <v>1250</v>
      </c>
      <c r="H402" s="334">
        <f t="shared" si="30"/>
        <v>187.5</v>
      </c>
      <c r="I402" s="165">
        <f t="shared" si="31"/>
        <v>1437.5</v>
      </c>
    </row>
    <row r="403" spans="1:9" ht="12.75" hidden="1" x14ac:dyDescent="0.25">
      <c r="A403" s="167">
        <f t="shared" si="33"/>
        <v>402</v>
      </c>
      <c r="B403" s="168" t="s">
        <v>420</v>
      </c>
      <c r="C403" s="168" t="str">
        <f>VLOOKUP(B403,MEMBERS!B:C,2, )</f>
        <v>SADDAM HUSSAIN</v>
      </c>
      <c r="D403" s="188">
        <v>45999</v>
      </c>
      <c r="E403" s="175">
        <v>2</v>
      </c>
      <c r="F403" s="168" t="s">
        <v>497</v>
      </c>
      <c r="G403" s="165">
        <f>IFERROR(VLOOKUP(F403,'menu list'!B:C,2,FALSE)*E403,"0")</f>
        <v>500</v>
      </c>
      <c r="H403" s="334">
        <f t="shared" si="30"/>
        <v>75</v>
      </c>
      <c r="I403" s="165">
        <f t="shared" si="31"/>
        <v>575</v>
      </c>
    </row>
    <row r="404" spans="1:9" ht="12.75" hidden="1" x14ac:dyDescent="0.25">
      <c r="A404" s="167">
        <f t="shared" si="33"/>
        <v>403</v>
      </c>
      <c r="B404" s="168" t="s">
        <v>420</v>
      </c>
      <c r="C404" s="168" t="str">
        <f>VLOOKUP(B404,MEMBERS!B:C,2, )</f>
        <v>SADDAM HUSSAIN</v>
      </c>
      <c r="D404" s="188">
        <v>45999</v>
      </c>
      <c r="E404" s="175">
        <v>1</v>
      </c>
      <c r="F404" s="168" t="s">
        <v>444</v>
      </c>
      <c r="G404" s="165">
        <f>IFERROR(VLOOKUP(F404,'menu list'!B:C,2,FALSE)*E404,"0")</f>
        <v>200</v>
      </c>
      <c r="H404" s="334">
        <f t="shared" si="30"/>
        <v>30</v>
      </c>
      <c r="I404" s="165">
        <f t="shared" si="31"/>
        <v>230</v>
      </c>
    </row>
    <row r="405" spans="1:9" ht="12.75" hidden="1" x14ac:dyDescent="0.25">
      <c r="A405" s="167">
        <f t="shared" si="33"/>
        <v>404</v>
      </c>
      <c r="B405" s="168" t="s">
        <v>420</v>
      </c>
      <c r="C405" s="168" t="str">
        <f>VLOOKUP(B405,MEMBERS!B:C,2, )</f>
        <v>SADDAM HUSSAIN</v>
      </c>
      <c r="D405" s="188">
        <v>45999</v>
      </c>
      <c r="E405" s="175">
        <v>2</v>
      </c>
      <c r="F405" s="168" t="s">
        <v>440</v>
      </c>
      <c r="G405" s="165">
        <f>IFERROR(VLOOKUP(F405,'menu list'!B:C,2,FALSE)*E405,"0")</f>
        <v>300</v>
      </c>
      <c r="H405" s="334">
        <f t="shared" si="30"/>
        <v>45</v>
      </c>
      <c r="I405" s="165">
        <f t="shared" si="31"/>
        <v>345</v>
      </c>
    </row>
    <row r="406" spans="1:9" ht="12.75" hidden="1" x14ac:dyDescent="0.25">
      <c r="A406" s="167">
        <f t="shared" si="33"/>
        <v>405</v>
      </c>
      <c r="B406" s="168" t="s">
        <v>15</v>
      </c>
      <c r="C406" s="168" t="str">
        <f>VLOOKUP(B406,MEMBERS!B:C,2, )</f>
        <v>MR.GHULAM NABI OTHI</v>
      </c>
      <c r="D406" s="188">
        <v>45999</v>
      </c>
      <c r="E406" s="175">
        <v>1</v>
      </c>
      <c r="F406" s="168" t="s">
        <v>440</v>
      </c>
      <c r="G406" s="165">
        <f>IFERROR(VLOOKUP(F406,'menu list'!B:C,2,FALSE)*E406,"0")</f>
        <v>150</v>
      </c>
      <c r="H406" s="334">
        <f t="shared" si="30"/>
        <v>22.5</v>
      </c>
      <c r="I406" s="165">
        <f t="shared" si="31"/>
        <v>172.5</v>
      </c>
    </row>
    <row r="407" spans="1:9" ht="12.75" hidden="1" x14ac:dyDescent="0.25">
      <c r="A407" s="167">
        <f t="shared" si="33"/>
        <v>406</v>
      </c>
      <c r="B407" s="168" t="s">
        <v>15</v>
      </c>
      <c r="C407" s="168" t="str">
        <f>VLOOKUP(B407,MEMBERS!B:C,2, )</f>
        <v>MR.GHULAM NABI OTHI</v>
      </c>
      <c r="D407" s="188">
        <v>45999</v>
      </c>
      <c r="E407" s="175">
        <v>2</v>
      </c>
      <c r="F407" s="168" t="s">
        <v>499</v>
      </c>
      <c r="G407" s="165">
        <f>IFERROR(VLOOKUP(F407,'menu list'!B:C,2,FALSE)*E407,"0")</f>
        <v>200</v>
      </c>
      <c r="H407" s="334">
        <f t="shared" si="30"/>
        <v>30</v>
      </c>
      <c r="I407" s="165">
        <f t="shared" si="31"/>
        <v>230</v>
      </c>
    </row>
    <row r="408" spans="1:9" ht="12.75" hidden="1" x14ac:dyDescent="0.25">
      <c r="A408" s="167">
        <f t="shared" si="33"/>
        <v>407</v>
      </c>
      <c r="B408" s="168" t="s">
        <v>15</v>
      </c>
      <c r="C408" s="168" t="str">
        <f>VLOOKUP(B408,MEMBERS!B:C,2, )</f>
        <v>MR.GHULAM NABI OTHI</v>
      </c>
      <c r="D408" s="188">
        <v>45999</v>
      </c>
      <c r="E408" s="175">
        <v>2</v>
      </c>
      <c r="F408" s="168" t="s">
        <v>733</v>
      </c>
      <c r="G408" s="165">
        <f>IFERROR(VLOOKUP(F408,'menu list'!B:C,2,FALSE)*E408,"0")</f>
        <v>600</v>
      </c>
      <c r="H408" s="334">
        <f t="shared" si="30"/>
        <v>90</v>
      </c>
      <c r="I408" s="165">
        <f t="shared" si="31"/>
        <v>690</v>
      </c>
    </row>
    <row r="409" spans="1:9" ht="12.75" hidden="1" x14ac:dyDescent="0.25">
      <c r="A409" s="167">
        <f t="shared" si="33"/>
        <v>408</v>
      </c>
      <c r="B409" s="168" t="s">
        <v>342</v>
      </c>
      <c r="C409" s="168" t="str">
        <f>VLOOKUP(B409,MEMBERS!B:C,2, )</f>
        <v xml:space="preserve">JAM FEROZ </v>
      </c>
      <c r="D409" s="188">
        <v>45999</v>
      </c>
      <c r="E409" s="175">
        <v>2</v>
      </c>
      <c r="F409" s="168" t="s">
        <v>1011</v>
      </c>
      <c r="G409" s="165">
        <f>IFERROR(VLOOKUP(F409,'menu list'!B:C,2,FALSE)*E409,"0")</f>
        <v>3600</v>
      </c>
      <c r="H409" s="334">
        <f t="shared" si="30"/>
        <v>540</v>
      </c>
      <c r="I409" s="165">
        <f t="shared" si="31"/>
        <v>4140</v>
      </c>
    </row>
    <row r="410" spans="1:9" ht="12.75" hidden="1" x14ac:dyDescent="0.25">
      <c r="A410" s="167">
        <f t="shared" si="33"/>
        <v>409</v>
      </c>
      <c r="B410" s="168" t="s">
        <v>342</v>
      </c>
      <c r="C410" s="168" t="str">
        <f>VLOOKUP(B410,MEMBERS!B:C,2, )</f>
        <v xml:space="preserve">JAM FEROZ </v>
      </c>
      <c r="D410" s="188">
        <v>45999</v>
      </c>
      <c r="E410" s="175">
        <v>2</v>
      </c>
      <c r="F410" s="168" t="s">
        <v>770</v>
      </c>
      <c r="G410" s="165">
        <f>IFERROR(VLOOKUP(F410,'menu list'!B:C,2,FALSE)*E410,"0")</f>
        <v>2000</v>
      </c>
      <c r="H410" s="334">
        <f t="shared" si="30"/>
        <v>300</v>
      </c>
      <c r="I410" s="165">
        <f t="shared" si="31"/>
        <v>2300</v>
      </c>
    </row>
    <row r="411" spans="1:9" ht="12.75" hidden="1" x14ac:dyDescent="0.25">
      <c r="A411" s="167">
        <f t="shared" si="33"/>
        <v>410</v>
      </c>
      <c r="B411" s="168" t="s">
        <v>342</v>
      </c>
      <c r="C411" s="168" t="str">
        <f>VLOOKUP(B411,MEMBERS!B:C,2, )</f>
        <v xml:space="preserve">JAM FEROZ </v>
      </c>
      <c r="D411" s="188">
        <v>45999</v>
      </c>
      <c r="E411" s="175">
        <v>5</v>
      </c>
      <c r="F411" s="168" t="s">
        <v>439</v>
      </c>
      <c r="G411" s="165">
        <f>IFERROR(VLOOKUP(F411,'menu list'!B:C,2,FALSE)*E411,"0")</f>
        <v>350</v>
      </c>
      <c r="H411" s="334">
        <f t="shared" si="30"/>
        <v>52.5</v>
      </c>
      <c r="I411" s="165">
        <f t="shared" si="31"/>
        <v>402.5</v>
      </c>
    </row>
    <row r="412" spans="1:9" ht="12.75" hidden="1" x14ac:dyDescent="0.25">
      <c r="A412" s="167">
        <f t="shared" si="33"/>
        <v>411</v>
      </c>
      <c r="B412" s="168" t="s">
        <v>342</v>
      </c>
      <c r="C412" s="168" t="str">
        <f>VLOOKUP(B412,MEMBERS!B:C,2, )</f>
        <v xml:space="preserve">JAM FEROZ </v>
      </c>
      <c r="D412" s="188">
        <v>45999</v>
      </c>
      <c r="E412" s="175">
        <v>1</v>
      </c>
      <c r="F412" s="168" t="s">
        <v>793</v>
      </c>
      <c r="G412" s="165">
        <f>IFERROR(VLOOKUP(F412,'menu list'!B:C,2,FALSE)*E412,"0")</f>
        <v>800</v>
      </c>
      <c r="H412" s="334">
        <f t="shared" si="30"/>
        <v>120</v>
      </c>
      <c r="I412" s="165">
        <f t="shared" si="31"/>
        <v>920</v>
      </c>
    </row>
    <row r="413" spans="1:9" ht="12.75" hidden="1" x14ac:dyDescent="0.25">
      <c r="A413" s="167">
        <f t="shared" si="33"/>
        <v>412</v>
      </c>
      <c r="B413" s="168" t="s">
        <v>342</v>
      </c>
      <c r="C413" s="168" t="str">
        <f>VLOOKUP(B413,MEMBERS!B:C,2, )</f>
        <v xml:space="preserve">JAM FEROZ </v>
      </c>
      <c r="D413" s="188">
        <v>45999</v>
      </c>
      <c r="E413" s="175">
        <v>1</v>
      </c>
      <c r="F413" s="168" t="s">
        <v>441</v>
      </c>
      <c r="G413" s="165">
        <f>IFERROR(VLOOKUP(F413,'menu list'!B:C,2,FALSE)*E413,"0")</f>
        <v>200</v>
      </c>
      <c r="H413" s="334">
        <f t="shared" si="30"/>
        <v>30</v>
      </c>
      <c r="I413" s="165">
        <f t="shared" si="31"/>
        <v>230</v>
      </c>
    </row>
    <row r="414" spans="1:9" ht="12.75" hidden="1" x14ac:dyDescent="0.25">
      <c r="A414" s="167">
        <f t="shared" si="33"/>
        <v>413</v>
      </c>
      <c r="B414" s="168" t="s">
        <v>342</v>
      </c>
      <c r="C414" s="168" t="str">
        <f>VLOOKUP(B414,MEMBERS!B:C,2, )</f>
        <v xml:space="preserve">JAM FEROZ </v>
      </c>
      <c r="D414" s="188">
        <v>45999</v>
      </c>
      <c r="E414" s="175">
        <v>2</v>
      </c>
      <c r="F414" s="168" t="s">
        <v>500</v>
      </c>
      <c r="G414" s="165">
        <f>IFERROR(VLOOKUP(F414,'menu list'!B:C,2,FALSE)*E414,"0")</f>
        <v>2500</v>
      </c>
      <c r="H414" s="334">
        <f t="shared" si="30"/>
        <v>375</v>
      </c>
      <c r="I414" s="165">
        <f t="shared" si="31"/>
        <v>2875</v>
      </c>
    </row>
    <row r="415" spans="1:9" ht="12.75" hidden="1" x14ac:dyDescent="0.25">
      <c r="A415" s="167">
        <f t="shared" si="33"/>
        <v>414</v>
      </c>
      <c r="B415" s="168" t="s">
        <v>342</v>
      </c>
      <c r="C415" s="168" t="str">
        <f>VLOOKUP(B415,MEMBERS!B:C,2, )</f>
        <v xml:space="preserve">JAM FEROZ </v>
      </c>
      <c r="D415" s="188">
        <v>45999</v>
      </c>
      <c r="E415" s="175">
        <v>3</v>
      </c>
      <c r="F415" s="168" t="s">
        <v>836</v>
      </c>
      <c r="G415" s="165">
        <f>IFERROR(VLOOKUP(F415,'menu list'!B:C,2,FALSE)*E415,"0")</f>
        <v>1050</v>
      </c>
      <c r="H415" s="334">
        <f t="shared" si="30"/>
        <v>157.5</v>
      </c>
      <c r="I415" s="165">
        <f t="shared" si="31"/>
        <v>1207.5</v>
      </c>
    </row>
    <row r="416" spans="1:9" ht="12.75" hidden="1" x14ac:dyDescent="0.25">
      <c r="A416" s="167">
        <f t="shared" si="33"/>
        <v>415</v>
      </c>
      <c r="B416" s="168" t="s">
        <v>342</v>
      </c>
      <c r="C416" s="168" t="str">
        <f>VLOOKUP(B416,MEMBERS!B:C,2, )</f>
        <v xml:space="preserve">JAM FEROZ </v>
      </c>
      <c r="D416" s="188">
        <v>45999</v>
      </c>
      <c r="E416" s="175">
        <v>1</v>
      </c>
      <c r="F416" s="168" t="s">
        <v>440</v>
      </c>
      <c r="G416" s="165">
        <f>IFERROR(VLOOKUP(F416,'menu list'!B:C,2,FALSE)*E416,"0")</f>
        <v>150</v>
      </c>
      <c r="H416" s="334">
        <f t="shared" si="30"/>
        <v>22.5</v>
      </c>
      <c r="I416" s="165">
        <f t="shared" si="31"/>
        <v>172.5</v>
      </c>
    </row>
    <row r="417" spans="1:9" ht="12.75" hidden="1" x14ac:dyDescent="0.25">
      <c r="A417" s="167">
        <f t="shared" si="33"/>
        <v>416</v>
      </c>
      <c r="B417" s="168" t="s">
        <v>69</v>
      </c>
      <c r="C417" s="168" t="str">
        <f>VLOOKUP(B417,MEMBERS!B:C,2, )</f>
        <v>MR.TARIQUE ZUBAIR</v>
      </c>
      <c r="D417" s="188">
        <v>45999</v>
      </c>
      <c r="E417" s="175">
        <v>1</v>
      </c>
      <c r="F417" s="168" t="s">
        <v>785</v>
      </c>
      <c r="G417" s="165">
        <f>IFERROR(VLOOKUP(F417,'menu list'!B:C,2,FALSE)*E417,"0")</f>
        <v>950</v>
      </c>
      <c r="H417" s="334">
        <f t="shared" si="30"/>
        <v>142.5</v>
      </c>
      <c r="I417" s="165">
        <f t="shared" si="31"/>
        <v>1092.5</v>
      </c>
    </row>
    <row r="418" spans="1:9" ht="12.75" hidden="1" x14ac:dyDescent="0.25">
      <c r="A418" s="167">
        <f t="shared" si="33"/>
        <v>417</v>
      </c>
      <c r="B418" s="168" t="s">
        <v>1039</v>
      </c>
      <c r="C418" s="168" t="str">
        <f>VLOOKUP(B418,MEMBERS!B:C,2, )</f>
        <v>MR. AYAZ JAMRO</v>
      </c>
      <c r="D418" s="188">
        <v>45999</v>
      </c>
      <c r="E418" s="175">
        <v>1</v>
      </c>
      <c r="F418" s="168" t="s">
        <v>707</v>
      </c>
      <c r="G418" s="165">
        <f>IFERROR(VLOOKUP(F418,'menu list'!B:C,2,FALSE)*E418,"0")</f>
        <v>450</v>
      </c>
      <c r="H418" s="334">
        <f t="shared" si="30"/>
        <v>67.5</v>
      </c>
      <c r="I418" s="165">
        <f t="shared" si="31"/>
        <v>517.5</v>
      </c>
    </row>
    <row r="419" spans="1:9" ht="12.75" hidden="1" x14ac:dyDescent="0.25">
      <c r="A419" s="167">
        <f t="shared" si="33"/>
        <v>418</v>
      </c>
      <c r="B419" s="168" t="s">
        <v>1039</v>
      </c>
      <c r="C419" s="168" t="str">
        <f>VLOOKUP(B419,MEMBERS!B:C,2, )</f>
        <v>MR. AYAZ JAMRO</v>
      </c>
      <c r="D419" s="188">
        <v>45999</v>
      </c>
      <c r="E419" s="175">
        <v>1</v>
      </c>
      <c r="F419" s="168" t="s">
        <v>853</v>
      </c>
      <c r="G419" s="165">
        <f>IFERROR(VLOOKUP(F419,'menu list'!B:C,2,FALSE)*E419,"0")</f>
        <v>575</v>
      </c>
      <c r="H419" s="334">
        <f t="shared" si="30"/>
        <v>86.25</v>
      </c>
      <c r="I419" s="165">
        <f t="shared" si="31"/>
        <v>661.25</v>
      </c>
    </row>
    <row r="420" spans="1:9" ht="12.75" hidden="1" x14ac:dyDescent="0.25">
      <c r="A420" s="167">
        <f t="shared" si="33"/>
        <v>419</v>
      </c>
      <c r="B420" s="168" t="s">
        <v>1039</v>
      </c>
      <c r="C420" s="168" t="str">
        <f>VLOOKUP(B420,MEMBERS!B:C,2, )</f>
        <v>MR. AYAZ JAMRO</v>
      </c>
      <c r="D420" s="188">
        <v>45999</v>
      </c>
      <c r="E420" s="175">
        <v>1</v>
      </c>
      <c r="F420" s="168" t="s">
        <v>623</v>
      </c>
      <c r="G420" s="165">
        <f>IFERROR(VLOOKUP(F420,'menu list'!B:C,2,FALSE)*E420,"0")</f>
        <v>150</v>
      </c>
      <c r="H420" s="334">
        <f t="shared" si="30"/>
        <v>22.5</v>
      </c>
      <c r="I420" s="165">
        <f t="shared" si="31"/>
        <v>172.5</v>
      </c>
    </row>
    <row r="421" spans="1:9" ht="12.75" hidden="1" x14ac:dyDescent="0.25">
      <c r="A421" s="167">
        <f t="shared" si="33"/>
        <v>420</v>
      </c>
      <c r="B421" s="168" t="s">
        <v>1039</v>
      </c>
      <c r="C421" s="168" t="str">
        <f>VLOOKUP(B421,MEMBERS!B:C,2, )</f>
        <v>MR. AYAZ JAMRO</v>
      </c>
      <c r="D421" s="188">
        <v>45999</v>
      </c>
      <c r="E421" s="175">
        <v>1</v>
      </c>
      <c r="F421" s="168" t="s">
        <v>499</v>
      </c>
      <c r="G421" s="165">
        <f>IFERROR(VLOOKUP(F421,'menu list'!B:C,2,FALSE)*E421,"0")</f>
        <v>100</v>
      </c>
      <c r="H421" s="334">
        <f t="shared" si="30"/>
        <v>15</v>
      </c>
      <c r="I421" s="165">
        <f t="shared" si="31"/>
        <v>115</v>
      </c>
    </row>
    <row r="422" spans="1:9" ht="12.75" hidden="1" x14ac:dyDescent="0.25">
      <c r="A422" s="167">
        <f t="shared" si="33"/>
        <v>421</v>
      </c>
      <c r="B422" s="168" t="s">
        <v>1039</v>
      </c>
      <c r="C422" s="168" t="str">
        <f>VLOOKUP(B422,MEMBERS!B:C,2, )</f>
        <v>MR. AYAZ JAMRO</v>
      </c>
      <c r="D422" s="188">
        <v>45999</v>
      </c>
      <c r="E422" s="175">
        <v>1</v>
      </c>
      <c r="F422" s="168" t="s">
        <v>583</v>
      </c>
      <c r="G422" s="165">
        <f>IFERROR(VLOOKUP(F422,'menu list'!B:C,2,FALSE)*E422,"0")</f>
        <v>350</v>
      </c>
      <c r="H422" s="334">
        <f t="shared" si="30"/>
        <v>52.5</v>
      </c>
      <c r="I422" s="165">
        <f t="shared" si="31"/>
        <v>402.5</v>
      </c>
    </row>
    <row r="423" spans="1:9" ht="12.75" hidden="1" x14ac:dyDescent="0.25">
      <c r="A423" s="167">
        <f t="shared" si="33"/>
        <v>422</v>
      </c>
      <c r="B423" s="168" t="s">
        <v>98</v>
      </c>
      <c r="C423" s="168" t="str">
        <f>VLOOKUP(B423,MEMBERS!B:C,2, )</f>
        <v>MR.HAFEEZ AHMED SIYAL</v>
      </c>
      <c r="D423" s="188">
        <v>45999</v>
      </c>
      <c r="E423" s="175">
        <v>1</v>
      </c>
      <c r="F423" s="168" t="s">
        <v>499</v>
      </c>
      <c r="G423" s="165">
        <f>IFERROR(VLOOKUP(F423,'menu list'!B:C,2,FALSE)*E423,"0")</f>
        <v>100</v>
      </c>
      <c r="H423" s="334">
        <f t="shared" si="30"/>
        <v>15</v>
      </c>
      <c r="I423" s="165">
        <f t="shared" si="31"/>
        <v>115</v>
      </c>
    </row>
    <row r="424" spans="1:9" ht="12.75" hidden="1" x14ac:dyDescent="0.25">
      <c r="A424" s="167">
        <f t="shared" si="33"/>
        <v>423</v>
      </c>
      <c r="B424" s="168" t="s">
        <v>323</v>
      </c>
      <c r="C424" s="168" t="str">
        <f>VLOOKUP(B424,MEMBERS!B:C,2, )</f>
        <v>DR.FAKHRUNISSA WAHEED</v>
      </c>
      <c r="D424" s="188">
        <v>45999</v>
      </c>
      <c r="E424" s="175">
        <v>2</v>
      </c>
      <c r="F424" s="168" t="s">
        <v>664</v>
      </c>
      <c r="G424" s="165">
        <f>IFERROR(VLOOKUP(F424,'menu list'!B:C,2,FALSE)*E424,"0")</f>
        <v>800</v>
      </c>
      <c r="H424" s="334">
        <f t="shared" si="30"/>
        <v>120</v>
      </c>
      <c r="I424" s="165">
        <f t="shared" si="31"/>
        <v>920</v>
      </c>
    </row>
    <row r="425" spans="1:9" ht="12.75" hidden="1" x14ac:dyDescent="0.25">
      <c r="A425" s="167">
        <f t="shared" si="33"/>
        <v>424</v>
      </c>
      <c r="B425" s="168" t="s">
        <v>323</v>
      </c>
      <c r="C425" s="168" t="str">
        <f>VLOOKUP(B425,MEMBERS!B:C,2, )</f>
        <v>DR.FAKHRUNISSA WAHEED</v>
      </c>
      <c r="D425" s="188">
        <v>45999</v>
      </c>
      <c r="E425" s="175">
        <v>1</v>
      </c>
      <c r="F425" s="168" t="s">
        <v>730</v>
      </c>
      <c r="G425" s="165">
        <f>IFERROR(VLOOKUP(F425,'menu list'!B:C,2,FALSE)*E425,"0")</f>
        <v>1000</v>
      </c>
      <c r="H425" s="334">
        <f t="shared" si="30"/>
        <v>150</v>
      </c>
      <c r="I425" s="165">
        <f t="shared" si="31"/>
        <v>1150</v>
      </c>
    </row>
    <row r="426" spans="1:9" ht="12.75" hidden="1" x14ac:dyDescent="0.25">
      <c r="A426" s="167">
        <f t="shared" si="33"/>
        <v>425</v>
      </c>
      <c r="B426" s="168" t="s">
        <v>323</v>
      </c>
      <c r="C426" s="168" t="str">
        <f>VLOOKUP(B426,MEMBERS!B:C,2, )</f>
        <v>DR.FAKHRUNISSA WAHEED</v>
      </c>
      <c r="D426" s="188">
        <v>45999</v>
      </c>
      <c r="E426" s="175">
        <v>1</v>
      </c>
      <c r="F426" s="168" t="s">
        <v>898</v>
      </c>
      <c r="G426" s="165">
        <f>IFERROR(VLOOKUP(F426,'menu list'!B:C,2,FALSE)*E426,"0")</f>
        <v>1000</v>
      </c>
      <c r="H426" s="334">
        <f t="shared" si="30"/>
        <v>150</v>
      </c>
      <c r="I426" s="165">
        <f t="shared" si="31"/>
        <v>1150</v>
      </c>
    </row>
    <row r="427" spans="1:9" ht="12.75" hidden="1" x14ac:dyDescent="0.25">
      <c r="A427" s="167">
        <f t="shared" si="33"/>
        <v>426</v>
      </c>
      <c r="B427" s="168" t="s">
        <v>323</v>
      </c>
      <c r="C427" s="168" t="str">
        <f>VLOOKUP(B427,MEMBERS!B:C,2, )</f>
        <v>DR.FAKHRUNISSA WAHEED</v>
      </c>
      <c r="D427" s="188">
        <v>45999</v>
      </c>
      <c r="E427" s="175">
        <v>1</v>
      </c>
      <c r="F427" s="168" t="s">
        <v>802</v>
      </c>
      <c r="G427" s="165">
        <f>IFERROR(VLOOKUP(F427,'menu list'!B:C,2,FALSE)*E427,"0")</f>
        <v>500</v>
      </c>
      <c r="H427" s="334">
        <f t="shared" si="30"/>
        <v>75</v>
      </c>
      <c r="I427" s="165">
        <f t="shared" si="31"/>
        <v>575</v>
      </c>
    </row>
    <row r="428" spans="1:9" ht="12.75" hidden="1" x14ac:dyDescent="0.25">
      <c r="A428" s="167">
        <f t="shared" si="33"/>
        <v>427</v>
      </c>
      <c r="B428" s="168" t="s">
        <v>323</v>
      </c>
      <c r="C428" s="168" t="str">
        <f>VLOOKUP(B428,MEMBERS!B:C,2, )</f>
        <v>DR.FAKHRUNISSA WAHEED</v>
      </c>
      <c r="D428" s="188">
        <v>45999</v>
      </c>
      <c r="E428" s="175">
        <v>3</v>
      </c>
      <c r="F428" s="168" t="s">
        <v>623</v>
      </c>
      <c r="G428" s="165">
        <f>IFERROR(VLOOKUP(F428,'menu list'!B:C,2,FALSE)*E428,"0")</f>
        <v>450</v>
      </c>
      <c r="H428" s="334">
        <f t="shared" si="30"/>
        <v>67.5</v>
      </c>
      <c r="I428" s="165">
        <f t="shared" si="31"/>
        <v>517.5</v>
      </c>
    </row>
    <row r="429" spans="1:9" ht="12.75" hidden="1" x14ac:dyDescent="0.25">
      <c r="A429" s="167">
        <f t="shared" si="33"/>
        <v>428</v>
      </c>
      <c r="B429" s="168" t="s">
        <v>323</v>
      </c>
      <c r="C429" s="168" t="str">
        <f>VLOOKUP(B429,MEMBERS!B:C,2, )</f>
        <v>DR.FAKHRUNISSA WAHEED</v>
      </c>
      <c r="D429" s="188">
        <v>45999</v>
      </c>
      <c r="E429" s="175">
        <v>2</v>
      </c>
      <c r="F429" s="168" t="s">
        <v>439</v>
      </c>
      <c r="G429" s="165">
        <f>IFERROR(VLOOKUP(F429,'menu list'!B:C,2,FALSE)*E429,"0")</f>
        <v>140</v>
      </c>
      <c r="H429" s="334">
        <f t="shared" si="30"/>
        <v>21</v>
      </c>
      <c r="I429" s="165">
        <f t="shared" si="31"/>
        <v>161</v>
      </c>
    </row>
    <row r="430" spans="1:9" ht="12.75" hidden="1" x14ac:dyDescent="0.25">
      <c r="A430" s="167">
        <f t="shared" si="33"/>
        <v>429</v>
      </c>
      <c r="B430" s="168" t="s">
        <v>323</v>
      </c>
      <c r="C430" s="168" t="str">
        <f>VLOOKUP(B430,MEMBERS!B:C,2, )</f>
        <v>DR.FAKHRUNISSA WAHEED</v>
      </c>
      <c r="D430" s="188">
        <v>45999</v>
      </c>
      <c r="E430" s="175">
        <v>1</v>
      </c>
      <c r="F430" s="168" t="s">
        <v>440</v>
      </c>
      <c r="G430" s="165">
        <f>IFERROR(VLOOKUP(F430,'menu list'!B:C,2,FALSE)*E430,"0")</f>
        <v>150</v>
      </c>
      <c r="H430" s="334">
        <f t="shared" si="30"/>
        <v>22.5</v>
      </c>
      <c r="I430" s="165">
        <f t="shared" si="31"/>
        <v>172.5</v>
      </c>
    </row>
    <row r="431" spans="1:9" ht="12.75" hidden="1" x14ac:dyDescent="0.25">
      <c r="A431" s="167">
        <f t="shared" si="33"/>
        <v>430</v>
      </c>
      <c r="B431" s="168" t="s">
        <v>323</v>
      </c>
      <c r="C431" s="168" t="str">
        <f>VLOOKUP(B431,MEMBERS!B:C,2, )</f>
        <v>DR.FAKHRUNISSA WAHEED</v>
      </c>
      <c r="D431" s="188">
        <v>45999</v>
      </c>
      <c r="E431" s="175">
        <v>1</v>
      </c>
      <c r="F431" s="168" t="s">
        <v>497</v>
      </c>
      <c r="G431" s="165">
        <f>IFERROR(VLOOKUP(F431,'menu list'!B:C,2,FALSE)*E431,"0")</f>
        <v>250</v>
      </c>
      <c r="H431" s="334">
        <f t="shared" si="30"/>
        <v>37.5</v>
      </c>
      <c r="I431" s="165">
        <f t="shared" si="31"/>
        <v>287.5</v>
      </c>
    </row>
    <row r="432" spans="1:9" ht="12.75" hidden="1" x14ac:dyDescent="0.25">
      <c r="A432" s="167">
        <f t="shared" si="33"/>
        <v>431</v>
      </c>
      <c r="B432" s="168" t="s">
        <v>323</v>
      </c>
      <c r="C432" s="168" t="str">
        <f>VLOOKUP(B432,MEMBERS!B:C,2, )</f>
        <v>DR.FAKHRUNISSA WAHEED</v>
      </c>
      <c r="D432" s="188">
        <v>45999</v>
      </c>
      <c r="E432" s="175">
        <v>4</v>
      </c>
      <c r="F432" s="168" t="s">
        <v>442</v>
      </c>
      <c r="G432" s="165">
        <f>IFERROR(VLOOKUP(F432,'menu list'!B:C,2,FALSE)*E432,"0")</f>
        <v>600</v>
      </c>
      <c r="H432" s="334">
        <f t="shared" si="30"/>
        <v>90</v>
      </c>
      <c r="I432" s="165">
        <f t="shared" si="31"/>
        <v>690</v>
      </c>
    </row>
    <row r="433" spans="1:9" ht="12.75" hidden="1" x14ac:dyDescent="0.25">
      <c r="A433" s="167">
        <f t="shared" si="33"/>
        <v>432</v>
      </c>
      <c r="B433" s="168" t="s">
        <v>29</v>
      </c>
      <c r="C433" s="168" t="str">
        <f>VLOOKUP(B433,MEMBERS!B:C,2, )</f>
        <v>MR.SYED TAHIR ABBAS</v>
      </c>
      <c r="D433" s="188">
        <v>46000</v>
      </c>
      <c r="E433" s="175">
        <v>2</v>
      </c>
      <c r="F433" s="168" t="s">
        <v>707</v>
      </c>
      <c r="G433" s="165">
        <f>IFERROR(VLOOKUP(F433,'menu list'!B:C,2,FALSE)*E433,"0")</f>
        <v>900</v>
      </c>
      <c r="H433" s="334">
        <f t="shared" si="30"/>
        <v>135</v>
      </c>
      <c r="I433" s="165">
        <f t="shared" si="31"/>
        <v>1035</v>
      </c>
    </row>
    <row r="434" spans="1:9" ht="12.75" hidden="1" x14ac:dyDescent="0.25">
      <c r="A434" s="167">
        <f t="shared" ref="A434:A473" si="34">IF(D434&lt;&gt;"", ROW()-1, "")</f>
        <v>433</v>
      </c>
      <c r="B434" s="168" t="s">
        <v>29</v>
      </c>
      <c r="C434" s="168" t="str">
        <f>VLOOKUP(B434,MEMBERS!B:C,2, )</f>
        <v>MR.SYED TAHIR ABBAS</v>
      </c>
      <c r="D434" s="188">
        <v>46000</v>
      </c>
      <c r="E434" s="175">
        <v>2</v>
      </c>
      <c r="F434" s="168" t="s">
        <v>921</v>
      </c>
      <c r="G434" s="165">
        <f>IFERROR(VLOOKUP(F434,'menu list'!B:C,2,FALSE)*E434,"0")</f>
        <v>600</v>
      </c>
      <c r="H434" s="334">
        <f t="shared" si="30"/>
        <v>90</v>
      </c>
      <c r="I434" s="165">
        <f t="shared" si="31"/>
        <v>690</v>
      </c>
    </row>
    <row r="435" spans="1:9" ht="12.75" hidden="1" x14ac:dyDescent="0.25">
      <c r="A435" s="167">
        <f t="shared" si="34"/>
        <v>434</v>
      </c>
      <c r="B435" s="168" t="s">
        <v>29</v>
      </c>
      <c r="C435" s="168" t="str">
        <f>VLOOKUP(B435,MEMBERS!B:C,2, )</f>
        <v>MR.SYED TAHIR ABBAS</v>
      </c>
      <c r="D435" s="188">
        <v>46000</v>
      </c>
      <c r="E435" s="175">
        <v>3</v>
      </c>
      <c r="F435" s="168" t="s">
        <v>623</v>
      </c>
      <c r="G435" s="165">
        <f>IFERROR(VLOOKUP(F435,'menu list'!B:C,2,FALSE)*E435,"0")</f>
        <v>450</v>
      </c>
      <c r="H435" s="334">
        <f t="shared" si="30"/>
        <v>67.5</v>
      </c>
      <c r="I435" s="165">
        <f t="shared" si="31"/>
        <v>517.5</v>
      </c>
    </row>
    <row r="436" spans="1:9" ht="12.75" hidden="1" x14ac:dyDescent="0.25">
      <c r="A436" s="167">
        <f t="shared" si="34"/>
        <v>435</v>
      </c>
      <c r="B436" s="168" t="s">
        <v>29</v>
      </c>
      <c r="C436" s="168" t="str">
        <f>VLOOKUP(B436,MEMBERS!B:C,2, )</f>
        <v>MR.SYED TAHIR ABBAS</v>
      </c>
      <c r="D436" s="188">
        <v>46000</v>
      </c>
      <c r="E436" s="175">
        <v>5</v>
      </c>
      <c r="F436" s="168" t="s">
        <v>532</v>
      </c>
      <c r="G436" s="165">
        <f>IFERROR(VLOOKUP(F436,'menu list'!B:C,2,FALSE)*E436,"0")</f>
        <v>300</v>
      </c>
      <c r="H436" s="334">
        <f t="shared" si="30"/>
        <v>45</v>
      </c>
      <c r="I436" s="165">
        <f t="shared" si="31"/>
        <v>345</v>
      </c>
    </row>
    <row r="437" spans="1:9" ht="12.75" hidden="1" x14ac:dyDescent="0.25">
      <c r="A437" s="167">
        <f t="shared" si="34"/>
        <v>436</v>
      </c>
      <c r="B437" s="168" t="s">
        <v>29</v>
      </c>
      <c r="C437" s="168" t="str">
        <f>VLOOKUP(B437,MEMBERS!B:C,2, )</f>
        <v>MR.SYED TAHIR ABBAS</v>
      </c>
      <c r="D437" s="188">
        <v>46000</v>
      </c>
      <c r="E437" s="175">
        <v>4</v>
      </c>
      <c r="F437" s="168" t="s">
        <v>498</v>
      </c>
      <c r="G437" s="165">
        <f>IFERROR(VLOOKUP(F437,'menu list'!B:C,2,FALSE)*E437,"0")</f>
        <v>800</v>
      </c>
      <c r="H437" s="334">
        <f t="shared" si="30"/>
        <v>120</v>
      </c>
      <c r="I437" s="165">
        <f t="shared" si="31"/>
        <v>920</v>
      </c>
    </row>
    <row r="438" spans="1:9" ht="12.75" hidden="1" x14ac:dyDescent="0.25">
      <c r="A438" s="167">
        <f t="shared" si="34"/>
        <v>437</v>
      </c>
      <c r="B438" s="168" t="s">
        <v>29</v>
      </c>
      <c r="C438" s="168" t="str">
        <f>VLOOKUP(B438,MEMBERS!B:C,2, )</f>
        <v>MR.SYED TAHIR ABBAS</v>
      </c>
      <c r="D438" s="188">
        <v>46000</v>
      </c>
      <c r="E438" s="175">
        <v>1</v>
      </c>
      <c r="F438" s="168" t="s">
        <v>440</v>
      </c>
      <c r="G438" s="165">
        <f>IFERROR(VLOOKUP(F438,'menu list'!B:C,2,FALSE)*E438,"0")</f>
        <v>150</v>
      </c>
      <c r="H438" s="334">
        <f t="shared" si="30"/>
        <v>22.5</v>
      </c>
      <c r="I438" s="165">
        <f t="shared" si="31"/>
        <v>172.5</v>
      </c>
    </row>
    <row r="439" spans="1:9" ht="12.75" hidden="1" x14ac:dyDescent="0.25">
      <c r="A439" s="167">
        <f t="shared" si="34"/>
        <v>438</v>
      </c>
      <c r="B439" s="168" t="s">
        <v>650</v>
      </c>
      <c r="C439" s="168" t="str">
        <f>VLOOKUP(B439,MEMBERS!B:C,2, )</f>
        <v>SHAHBAZ AHMED</v>
      </c>
      <c r="D439" s="188">
        <v>46000</v>
      </c>
      <c r="E439" s="175">
        <v>2</v>
      </c>
      <c r="F439" s="168" t="s">
        <v>826</v>
      </c>
      <c r="G439" s="165">
        <f>IFERROR(VLOOKUP(F439,'menu list'!B:C,2,FALSE)*E439,"0")</f>
        <v>1800</v>
      </c>
      <c r="H439" s="334">
        <f t="shared" si="30"/>
        <v>270</v>
      </c>
      <c r="I439" s="165">
        <f t="shared" si="31"/>
        <v>2070</v>
      </c>
    </row>
    <row r="440" spans="1:9" ht="12.75" hidden="1" x14ac:dyDescent="0.25">
      <c r="A440" s="167">
        <f t="shared" si="34"/>
        <v>439</v>
      </c>
      <c r="B440" s="168" t="s">
        <v>650</v>
      </c>
      <c r="C440" s="168" t="str">
        <f>VLOOKUP(B440,MEMBERS!B:C,2, )</f>
        <v>SHAHBAZ AHMED</v>
      </c>
      <c r="D440" s="188">
        <v>46000</v>
      </c>
      <c r="E440" s="175">
        <v>2</v>
      </c>
      <c r="F440" s="168" t="s">
        <v>730</v>
      </c>
      <c r="G440" s="165">
        <f>IFERROR(VLOOKUP(F440,'menu list'!B:C,2,FALSE)*E440,"0")</f>
        <v>2000</v>
      </c>
      <c r="H440" s="334">
        <f t="shared" si="30"/>
        <v>300</v>
      </c>
      <c r="I440" s="165">
        <f t="shared" si="31"/>
        <v>2300</v>
      </c>
    </row>
    <row r="441" spans="1:9" ht="12.75" hidden="1" x14ac:dyDescent="0.25">
      <c r="A441" s="167">
        <f t="shared" si="34"/>
        <v>440</v>
      </c>
      <c r="B441" s="168" t="s">
        <v>650</v>
      </c>
      <c r="C441" s="168" t="str">
        <f>VLOOKUP(B441,MEMBERS!B:C,2, )</f>
        <v>SHAHBAZ AHMED</v>
      </c>
      <c r="D441" s="188">
        <v>46000</v>
      </c>
      <c r="E441" s="175">
        <v>1</v>
      </c>
      <c r="F441" s="168" t="s">
        <v>910</v>
      </c>
      <c r="G441" s="165">
        <f>IFERROR(VLOOKUP(F441,'menu list'!B:C,2,FALSE)*E441,"0")</f>
        <v>300</v>
      </c>
      <c r="H441" s="334">
        <f t="shared" si="30"/>
        <v>45</v>
      </c>
      <c r="I441" s="165">
        <f t="shared" si="31"/>
        <v>345</v>
      </c>
    </row>
    <row r="442" spans="1:9" ht="12.75" hidden="1" x14ac:dyDescent="0.25">
      <c r="A442" s="167">
        <f t="shared" si="34"/>
        <v>441</v>
      </c>
      <c r="B442" s="168" t="s">
        <v>650</v>
      </c>
      <c r="C442" s="168" t="str">
        <f>VLOOKUP(B442,MEMBERS!B:C,2, )</f>
        <v>SHAHBAZ AHMED</v>
      </c>
      <c r="D442" s="188">
        <v>46000</v>
      </c>
      <c r="E442" s="175">
        <v>1</v>
      </c>
      <c r="F442" s="168" t="s">
        <v>898</v>
      </c>
      <c r="G442" s="165">
        <f>IFERROR(VLOOKUP(F442,'menu list'!B:C,2,FALSE)*E442,"0")</f>
        <v>1000</v>
      </c>
      <c r="H442" s="334">
        <f t="shared" si="30"/>
        <v>150</v>
      </c>
      <c r="I442" s="165">
        <f t="shared" si="31"/>
        <v>1150</v>
      </c>
    </row>
    <row r="443" spans="1:9" ht="12.75" hidden="1" x14ac:dyDescent="0.25">
      <c r="A443" s="167">
        <f t="shared" si="34"/>
        <v>442</v>
      </c>
      <c r="B443" s="168" t="s">
        <v>650</v>
      </c>
      <c r="C443" s="168" t="str">
        <f>VLOOKUP(B443,MEMBERS!B:C,2, )</f>
        <v>SHAHBAZ AHMED</v>
      </c>
      <c r="D443" s="188">
        <v>46000</v>
      </c>
      <c r="E443" s="175">
        <v>1</v>
      </c>
      <c r="F443" s="168" t="s">
        <v>773</v>
      </c>
      <c r="G443" s="165">
        <f>IFERROR(VLOOKUP(F443,'menu list'!B:C,2,FALSE)*E443,"0")</f>
        <v>800</v>
      </c>
      <c r="H443" s="334">
        <f t="shared" si="30"/>
        <v>120</v>
      </c>
      <c r="I443" s="165">
        <f t="shared" si="31"/>
        <v>920</v>
      </c>
    </row>
    <row r="444" spans="1:9" ht="12.75" hidden="1" x14ac:dyDescent="0.25">
      <c r="A444" s="167">
        <f t="shared" si="34"/>
        <v>443</v>
      </c>
      <c r="B444" s="168" t="s">
        <v>650</v>
      </c>
      <c r="C444" s="168" t="str">
        <f>VLOOKUP(B444,MEMBERS!B:C,2, )</f>
        <v>SHAHBAZ AHMED</v>
      </c>
      <c r="D444" s="188">
        <v>46000</v>
      </c>
      <c r="E444" s="175">
        <v>1</v>
      </c>
      <c r="F444" s="168" t="s">
        <v>915</v>
      </c>
      <c r="G444" s="165">
        <f>IFERROR(VLOOKUP(F444,'menu list'!B:C,2,FALSE)*E444,"0")</f>
        <v>999</v>
      </c>
      <c r="H444" s="334">
        <f t="shared" si="30"/>
        <v>149.85</v>
      </c>
      <c r="I444" s="165">
        <f t="shared" si="31"/>
        <v>1148.8499999999999</v>
      </c>
    </row>
    <row r="445" spans="1:9" ht="12.75" hidden="1" x14ac:dyDescent="0.25">
      <c r="A445" s="167">
        <f t="shared" si="34"/>
        <v>444</v>
      </c>
      <c r="B445" s="168" t="s">
        <v>650</v>
      </c>
      <c r="C445" s="168" t="str">
        <f>VLOOKUP(B445,MEMBERS!B:C,2, )</f>
        <v>SHAHBAZ AHMED</v>
      </c>
      <c r="D445" s="188">
        <v>46000</v>
      </c>
      <c r="E445" s="175">
        <v>1</v>
      </c>
      <c r="F445" s="168" t="s">
        <v>939</v>
      </c>
      <c r="G445" s="165">
        <f>IFERROR(VLOOKUP(F445,'menu list'!B:C,2,FALSE)*E445,"0")</f>
        <v>1200</v>
      </c>
      <c r="H445" s="334">
        <f t="shared" si="30"/>
        <v>180</v>
      </c>
      <c r="I445" s="165">
        <f t="shared" si="31"/>
        <v>1380</v>
      </c>
    </row>
    <row r="446" spans="1:9" ht="12.75" hidden="1" x14ac:dyDescent="0.25">
      <c r="A446" s="167">
        <f t="shared" si="34"/>
        <v>445</v>
      </c>
      <c r="B446" s="168" t="s">
        <v>650</v>
      </c>
      <c r="C446" s="168" t="str">
        <f>VLOOKUP(B446,MEMBERS!B:C,2, )</f>
        <v>SHAHBAZ AHMED</v>
      </c>
      <c r="D446" s="188">
        <v>46000</v>
      </c>
      <c r="E446" s="175">
        <v>1</v>
      </c>
      <c r="F446" s="168" t="s">
        <v>786</v>
      </c>
      <c r="G446" s="165">
        <f>IFERROR(VLOOKUP(F446,'menu list'!B:C,2,FALSE)*E446,"0")</f>
        <v>1150</v>
      </c>
      <c r="H446" s="334">
        <f t="shared" si="30"/>
        <v>172.5</v>
      </c>
      <c r="I446" s="165">
        <f t="shared" si="31"/>
        <v>1322.5</v>
      </c>
    </row>
    <row r="447" spans="1:9" ht="12.75" hidden="1" x14ac:dyDescent="0.25">
      <c r="A447" s="167">
        <f t="shared" si="34"/>
        <v>446</v>
      </c>
      <c r="B447" s="168" t="s">
        <v>650</v>
      </c>
      <c r="C447" s="168" t="str">
        <f>VLOOKUP(B447,MEMBERS!B:C,2, )</f>
        <v>SHAHBAZ AHMED</v>
      </c>
      <c r="D447" s="188">
        <v>46000</v>
      </c>
      <c r="E447" s="175">
        <v>1</v>
      </c>
      <c r="F447" s="168" t="s">
        <v>830</v>
      </c>
      <c r="G447" s="165">
        <f>IFERROR(VLOOKUP(F447,'menu list'!B:C,2,FALSE)*E447,"0")</f>
        <v>600</v>
      </c>
      <c r="H447" s="334">
        <f t="shared" si="30"/>
        <v>90</v>
      </c>
      <c r="I447" s="165">
        <f t="shared" si="31"/>
        <v>690</v>
      </c>
    </row>
    <row r="448" spans="1:9" ht="12.75" hidden="1" x14ac:dyDescent="0.25">
      <c r="A448" s="167">
        <f t="shared" si="34"/>
        <v>447</v>
      </c>
      <c r="B448" s="168" t="s">
        <v>650</v>
      </c>
      <c r="C448" s="168" t="str">
        <f>VLOOKUP(B448,MEMBERS!B:C,2, )</f>
        <v>SHAHBAZ AHMED</v>
      </c>
      <c r="D448" s="188">
        <v>46000</v>
      </c>
      <c r="E448" s="175">
        <v>1</v>
      </c>
      <c r="F448" s="168" t="s">
        <v>441</v>
      </c>
      <c r="G448" s="165">
        <f>IFERROR(VLOOKUP(F448,'menu list'!B:C,2,FALSE)*E448,"0")</f>
        <v>200</v>
      </c>
      <c r="H448" s="334">
        <f t="shared" si="30"/>
        <v>30</v>
      </c>
      <c r="I448" s="165">
        <f t="shared" si="31"/>
        <v>230</v>
      </c>
    </row>
    <row r="449" spans="1:9" ht="12.75" hidden="1" x14ac:dyDescent="0.25">
      <c r="A449" s="167">
        <f t="shared" si="34"/>
        <v>448</v>
      </c>
      <c r="B449" s="168" t="s">
        <v>650</v>
      </c>
      <c r="C449" s="168" t="str">
        <f>VLOOKUP(B449,MEMBERS!B:C,2, )</f>
        <v>SHAHBAZ AHMED</v>
      </c>
      <c r="D449" s="188">
        <v>46000</v>
      </c>
      <c r="E449" s="175">
        <v>3</v>
      </c>
      <c r="F449" s="168" t="s">
        <v>440</v>
      </c>
      <c r="G449" s="165">
        <f>IFERROR(VLOOKUP(F449,'menu list'!B:C,2,FALSE)*E449,"0")</f>
        <v>450</v>
      </c>
      <c r="H449" s="334">
        <f t="shared" si="30"/>
        <v>67.5</v>
      </c>
      <c r="I449" s="165">
        <f t="shared" si="31"/>
        <v>517.5</v>
      </c>
    </row>
    <row r="450" spans="1:9" ht="12.75" hidden="1" x14ac:dyDescent="0.25">
      <c r="A450" s="167">
        <f t="shared" si="34"/>
        <v>449</v>
      </c>
      <c r="B450" s="168" t="s">
        <v>650</v>
      </c>
      <c r="C450" s="168" t="str">
        <f>VLOOKUP(B450,MEMBERS!B:C,2, )</f>
        <v>SHAHBAZ AHMED</v>
      </c>
      <c r="D450" s="188">
        <v>46000</v>
      </c>
      <c r="E450" s="175">
        <v>7</v>
      </c>
      <c r="F450" s="168" t="s">
        <v>439</v>
      </c>
      <c r="G450" s="165">
        <f>IFERROR(VLOOKUP(F450,'menu list'!B:C,2,FALSE)*E450,"0")</f>
        <v>490</v>
      </c>
      <c r="H450" s="334">
        <f t="shared" si="30"/>
        <v>73.5</v>
      </c>
      <c r="I450" s="165">
        <f t="shared" si="31"/>
        <v>563.5</v>
      </c>
    </row>
    <row r="451" spans="1:9" ht="12.75" hidden="1" x14ac:dyDescent="0.25">
      <c r="A451" s="167">
        <f t="shared" si="34"/>
        <v>450</v>
      </c>
      <c r="B451" s="168" t="s">
        <v>650</v>
      </c>
      <c r="C451" s="168" t="str">
        <f>VLOOKUP(B451,MEMBERS!B:C,2, )</f>
        <v>SHAHBAZ AHMED</v>
      </c>
      <c r="D451" s="188">
        <v>46000</v>
      </c>
      <c r="E451" s="175">
        <v>7</v>
      </c>
      <c r="F451" s="168" t="s">
        <v>443</v>
      </c>
      <c r="G451" s="165">
        <f>IFERROR(VLOOKUP(F451,'menu list'!B:C,2,FALSE)*E451,"0")</f>
        <v>1050</v>
      </c>
      <c r="H451" s="334">
        <f t="shared" ref="H451:H514" si="35">G451*15/100</f>
        <v>157.5</v>
      </c>
      <c r="I451" s="165">
        <f t="shared" ref="I451:I514" si="36">G451+H451</f>
        <v>1207.5</v>
      </c>
    </row>
    <row r="452" spans="1:9" ht="12.75" hidden="1" x14ac:dyDescent="0.25">
      <c r="A452" s="167">
        <f t="shared" si="34"/>
        <v>451</v>
      </c>
      <c r="B452" s="168" t="s">
        <v>650</v>
      </c>
      <c r="C452" s="168" t="str">
        <f>VLOOKUP(B452,MEMBERS!B:C,2, )</f>
        <v>SHAHBAZ AHMED</v>
      </c>
      <c r="D452" s="188">
        <v>46000</v>
      </c>
      <c r="E452" s="175">
        <v>2</v>
      </c>
      <c r="F452" s="168" t="s">
        <v>616</v>
      </c>
      <c r="G452" s="165">
        <f>IFERROR(VLOOKUP(F452,'menu list'!B:C,2,FALSE)*E452,"0")</f>
        <v>800</v>
      </c>
      <c r="H452" s="334">
        <f t="shared" si="35"/>
        <v>120</v>
      </c>
      <c r="I452" s="165">
        <f t="shared" si="36"/>
        <v>920</v>
      </c>
    </row>
    <row r="453" spans="1:9" ht="12.75" hidden="1" x14ac:dyDescent="0.25">
      <c r="A453" s="167">
        <f t="shared" si="34"/>
        <v>452</v>
      </c>
      <c r="B453" s="168" t="s">
        <v>375</v>
      </c>
      <c r="C453" s="168" t="str">
        <f>VLOOKUP(B453,MEMBERS!B:C,2, )</f>
        <v>HUSSAIN WAJID</v>
      </c>
      <c r="D453" s="188">
        <v>46000</v>
      </c>
      <c r="E453" s="175">
        <v>3</v>
      </c>
      <c r="F453" s="168" t="s">
        <v>853</v>
      </c>
      <c r="G453" s="165">
        <f>IFERROR(VLOOKUP(F453,'menu list'!B:C,2,FALSE)*E453,"0")</f>
        <v>1725</v>
      </c>
      <c r="H453" s="334">
        <f t="shared" si="35"/>
        <v>258.75</v>
      </c>
      <c r="I453" s="165">
        <f t="shared" si="36"/>
        <v>1983.75</v>
      </c>
    </row>
    <row r="454" spans="1:9" ht="12.75" hidden="1" x14ac:dyDescent="0.25">
      <c r="A454" s="167">
        <f t="shared" si="34"/>
        <v>453</v>
      </c>
      <c r="B454" s="168" t="s">
        <v>375</v>
      </c>
      <c r="C454" s="168" t="str">
        <f>VLOOKUP(B454,MEMBERS!B:C,2, )</f>
        <v>HUSSAIN WAJID</v>
      </c>
      <c r="D454" s="188">
        <v>46000</v>
      </c>
      <c r="E454" s="175">
        <v>4</v>
      </c>
      <c r="F454" s="168" t="s">
        <v>442</v>
      </c>
      <c r="G454" s="165">
        <f>IFERROR(VLOOKUP(F454,'menu list'!B:C,2,FALSE)*E454,"0")</f>
        <v>600</v>
      </c>
      <c r="H454" s="334">
        <f t="shared" si="35"/>
        <v>90</v>
      </c>
      <c r="I454" s="165">
        <f t="shared" si="36"/>
        <v>690</v>
      </c>
    </row>
    <row r="455" spans="1:9" ht="12.75" hidden="1" x14ac:dyDescent="0.25">
      <c r="A455" s="167">
        <f t="shared" si="34"/>
        <v>454</v>
      </c>
      <c r="B455" s="168" t="s">
        <v>395</v>
      </c>
      <c r="C455" s="168" t="str">
        <f>VLOOKUP(B455,MEMBERS!B:C,2, )</f>
        <v>BAHRIA INTERNATIONAL HOSPITAL</v>
      </c>
      <c r="D455" s="188">
        <v>46000</v>
      </c>
      <c r="E455" s="175">
        <v>40</v>
      </c>
      <c r="F455" s="168" t="s">
        <v>775</v>
      </c>
      <c r="G455" s="165">
        <f>IFERROR(VLOOKUP(F455,'menu list'!B:C,2,FALSE)*E455,"0")</f>
        <v>4000</v>
      </c>
      <c r="H455" s="334"/>
      <c r="I455" s="165">
        <f t="shared" si="36"/>
        <v>4000</v>
      </c>
    </row>
    <row r="456" spans="1:9" ht="12.75" hidden="1" x14ac:dyDescent="0.25">
      <c r="A456" s="167">
        <f t="shared" si="34"/>
        <v>455</v>
      </c>
      <c r="B456" s="168" t="s">
        <v>395</v>
      </c>
      <c r="C456" s="168" t="str">
        <f>VLOOKUP(B456,MEMBERS!B:C,2, )</f>
        <v>BAHRIA INTERNATIONAL HOSPITAL</v>
      </c>
      <c r="D456" s="188">
        <v>46000</v>
      </c>
      <c r="E456" s="175">
        <v>12</v>
      </c>
      <c r="F456" s="168" t="s">
        <v>516</v>
      </c>
      <c r="G456" s="165">
        <f>IFERROR(VLOOKUP(F456,'menu list'!B:C,2,FALSE)*E456,"0")</f>
        <v>3000</v>
      </c>
      <c r="H456" s="334"/>
      <c r="I456" s="165">
        <f t="shared" si="36"/>
        <v>3000</v>
      </c>
    </row>
    <row r="457" spans="1:9" ht="12.75" hidden="1" x14ac:dyDescent="0.25">
      <c r="A457" s="167">
        <f t="shared" si="34"/>
        <v>456</v>
      </c>
      <c r="B457" s="168" t="s">
        <v>395</v>
      </c>
      <c r="C457" s="168" t="str">
        <f>VLOOKUP(B457,MEMBERS!B:C,2, )</f>
        <v>BAHRIA INTERNATIONAL HOSPITAL</v>
      </c>
      <c r="D457" s="188">
        <v>46000</v>
      </c>
      <c r="E457" s="175">
        <v>9</v>
      </c>
      <c r="F457" s="168" t="s">
        <v>558</v>
      </c>
      <c r="G457" s="165">
        <f>IFERROR(VLOOKUP(F457,'menu list'!B:C,2,FALSE)*E457,"0")</f>
        <v>1350</v>
      </c>
      <c r="H457" s="334"/>
      <c r="I457" s="165">
        <f t="shared" si="36"/>
        <v>1350</v>
      </c>
    </row>
    <row r="458" spans="1:9" ht="12.75" hidden="1" x14ac:dyDescent="0.25">
      <c r="A458" s="167">
        <f t="shared" si="34"/>
        <v>457</v>
      </c>
      <c r="B458" s="168" t="s">
        <v>390</v>
      </c>
      <c r="C458" s="168" t="str">
        <f>VLOOKUP(B458,MEMBERS!B:C,2, )</f>
        <v>RIAZ FAZAL</v>
      </c>
      <c r="D458" s="188">
        <v>46000</v>
      </c>
      <c r="E458" s="175">
        <v>2</v>
      </c>
      <c r="F458" s="168" t="s">
        <v>440</v>
      </c>
      <c r="G458" s="165">
        <f>IFERROR(VLOOKUP(F458,'menu list'!B:C,2,FALSE)*E458,"0")</f>
        <v>300</v>
      </c>
      <c r="H458" s="334">
        <f t="shared" si="35"/>
        <v>45</v>
      </c>
      <c r="I458" s="165">
        <f t="shared" si="36"/>
        <v>345</v>
      </c>
    </row>
    <row r="459" spans="1:9" ht="12.75" hidden="1" x14ac:dyDescent="0.25">
      <c r="A459" s="167">
        <f t="shared" si="34"/>
        <v>458</v>
      </c>
      <c r="B459" s="168" t="s">
        <v>454</v>
      </c>
      <c r="C459" s="168" t="str">
        <f>VLOOKUP(B459,MEMBERS!B:C,2, )</f>
        <v>Heritage club</v>
      </c>
      <c r="D459" s="188">
        <v>46000</v>
      </c>
      <c r="E459" s="175">
        <v>1</v>
      </c>
      <c r="F459" s="168" t="s">
        <v>498</v>
      </c>
      <c r="G459" s="165">
        <f>IFERROR(VLOOKUP(F459,'menu list'!B:C,2,FALSE)*E459,"0")</f>
        <v>200</v>
      </c>
      <c r="H459" s="334">
        <f t="shared" si="35"/>
        <v>30</v>
      </c>
      <c r="I459" s="165">
        <f t="shared" si="36"/>
        <v>230</v>
      </c>
    </row>
    <row r="460" spans="1:9" ht="12.75" hidden="1" x14ac:dyDescent="0.25">
      <c r="A460" s="167">
        <f t="shared" si="34"/>
        <v>459</v>
      </c>
      <c r="B460" s="168" t="s">
        <v>454</v>
      </c>
      <c r="C460" s="168" t="str">
        <f>VLOOKUP(B460,MEMBERS!B:C,2, )</f>
        <v>Heritage club</v>
      </c>
      <c r="D460" s="188">
        <v>46000</v>
      </c>
      <c r="E460" s="175">
        <v>1</v>
      </c>
      <c r="F460" s="168" t="s">
        <v>499</v>
      </c>
      <c r="G460" s="165">
        <f>IFERROR(VLOOKUP(F460,'menu list'!B:C,2,FALSE)*E460,"0")</f>
        <v>100</v>
      </c>
      <c r="H460" s="334">
        <f t="shared" si="35"/>
        <v>15</v>
      </c>
      <c r="I460" s="165">
        <f t="shared" si="36"/>
        <v>115</v>
      </c>
    </row>
    <row r="461" spans="1:9" ht="12.75" hidden="1" x14ac:dyDescent="0.25">
      <c r="A461" s="167">
        <f t="shared" si="34"/>
        <v>460</v>
      </c>
      <c r="B461" s="168" t="s">
        <v>390</v>
      </c>
      <c r="C461" s="168" t="str">
        <f>VLOOKUP(B461,MEMBERS!B:C,2, )</f>
        <v>RIAZ FAZAL</v>
      </c>
      <c r="D461" s="188">
        <v>46000</v>
      </c>
      <c r="E461" s="175">
        <v>1</v>
      </c>
      <c r="F461" s="168" t="s">
        <v>500</v>
      </c>
      <c r="G461" s="165">
        <f>IFERROR(VLOOKUP(F461,'menu list'!B:C,2,FALSE)*E461,"0")</f>
        <v>1250</v>
      </c>
      <c r="H461" s="334">
        <f t="shared" si="35"/>
        <v>187.5</v>
      </c>
      <c r="I461" s="165">
        <f t="shared" si="36"/>
        <v>1437.5</v>
      </c>
    </row>
    <row r="462" spans="1:9" ht="12.75" hidden="1" x14ac:dyDescent="0.25">
      <c r="A462" s="167">
        <f t="shared" si="34"/>
        <v>461</v>
      </c>
      <c r="B462" s="168" t="s">
        <v>374</v>
      </c>
      <c r="C462" s="168" t="str">
        <f>VLOOKUP(B462,MEMBERS!B:C,2, )</f>
        <v>AAMIR RASOOL</v>
      </c>
      <c r="D462" s="188">
        <v>46000</v>
      </c>
      <c r="E462" s="175">
        <v>2</v>
      </c>
      <c r="F462" s="168" t="s">
        <v>500</v>
      </c>
      <c r="G462" s="165">
        <f>IFERROR(VLOOKUP(F462,'menu list'!B:C,2,FALSE)*E462,"0")</f>
        <v>2500</v>
      </c>
      <c r="H462" s="334">
        <f t="shared" si="35"/>
        <v>375</v>
      </c>
      <c r="I462" s="165">
        <f t="shared" si="36"/>
        <v>2875</v>
      </c>
    </row>
    <row r="463" spans="1:9" ht="12.75" hidden="1" x14ac:dyDescent="0.25">
      <c r="A463" s="167">
        <f t="shared" si="34"/>
        <v>462</v>
      </c>
      <c r="B463" s="168" t="s">
        <v>374</v>
      </c>
      <c r="C463" s="168" t="str">
        <f>VLOOKUP(B463,MEMBERS!B:C,2, )</f>
        <v>AAMIR RASOOL</v>
      </c>
      <c r="D463" s="188">
        <v>46000</v>
      </c>
      <c r="E463" s="175">
        <v>1</v>
      </c>
      <c r="F463" s="168" t="s">
        <v>440</v>
      </c>
      <c r="G463" s="165">
        <f>IFERROR(VLOOKUP(F463,'menu list'!B:C,2,FALSE)*E463,"0")</f>
        <v>150</v>
      </c>
      <c r="H463" s="334">
        <f t="shared" si="35"/>
        <v>22.5</v>
      </c>
      <c r="I463" s="165">
        <f t="shared" si="36"/>
        <v>172.5</v>
      </c>
    </row>
    <row r="464" spans="1:9" ht="12.75" hidden="1" x14ac:dyDescent="0.25">
      <c r="A464" s="167">
        <f t="shared" ref="A464:A472" si="37">IF(D464&lt;&gt;"", ROW()-1, "")</f>
        <v>463</v>
      </c>
      <c r="B464" s="168" t="s">
        <v>374</v>
      </c>
      <c r="C464" s="168" t="str">
        <f>VLOOKUP(B464,MEMBERS!B:C,2, )</f>
        <v>AAMIR RASOOL</v>
      </c>
      <c r="D464" s="188">
        <v>46000</v>
      </c>
      <c r="E464" s="175">
        <v>6</v>
      </c>
      <c r="F464" s="168" t="s">
        <v>498</v>
      </c>
      <c r="G464" s="165">
        <f>IFERROR(VLOOKUP(F464,'menu list'!B:C,2,FALSE)*E464,"0")</f>
        <v>1200</v>
      </c>
      <c r="H464" s="334">
        <f t="shared" si="35"/>
        <v>180</v>
      </c>
      <c r="I464" s="165">
        <f t="shared" si="36"/>
        <v>1380</v>
      </c>
    </row>
    <row r="465" spans="1:11" ht="12.75" hidden="1" x14ac:dyDescent="0.25">
      <c r="A465" s="167">
        <f t="shared" si="37"/>
        <v>464</v>
      </c>
      <c r="B465" s="168" t="s">
        <v>374</v>
      </c>
      <c r="C465" s="168" t="str">
        <f>VLOOKUP(B465,MEMBERS!B:C,2, )</f>
        <v>AAMIR RASOOL</v>
      </c>
      <c r="D465" s="188">
        <v>46000</v>
      </c>
      <c r="E465" s="175">
        <v>2</v>
      </c>
      <c r="F465" s="168" t="s">
        <v>1057</v>
      </c>
      <c r="G465" s="165">
        <f>IFERROR(VLOOKUP(F465,'menu list'!B:C,2,FALSE)*E465,"0")</f>
        <v>1700</v>
      </c>
      <c r="H465" s="334">
        <f t="shared" si="35"/>
        <v>255</v>
      </c>
      <c r="I465" s="165">
        <f t="shared" si="36"/>
        <v>1955</v>
      </c>
    </row>
    <row r="466" spans="1:11" ht="12.75" hidden="1" x14ac:dyDescent="0.25">
      <c r="A466" s="167">
        <f t="shared" si="37"/>
        <v>465</v>
      </c>
      <c r="B466" s="168" t="s">
        <v>374</v>
      </c>
      <c r="C466" s="168" t="str">
        <f>VLOOKUP(B466,MEMBERS!B:C,2, )</f>
        <v>AAMIR RASOOL</v>
      </c>
      <c r="D466" s="188">
        <v>46000</v>
      </c>
      <c r="E466" s="175">
        <v>2</v>
      </c>
      <c r="F466" s="168" t="s">
        <v>858</v>
      </c>
      <c r="G466" s="165">
        <f>IFERROR(VLOOKUP(F466,'menu list'!B:C,2,FALSE)*E466,"0")</f>
        <v>1000</v>
      </c>
      <c r="H466" s="334">
        <f t="shared" si="35"/>
        <v>150</v>
      </c>
      <c r="I466" s="165">
        <f t="shared" si="36"/>
        <v>1150</v>
      </c>
    </row>
    <row r="467" spans="1:11" ht="12.75" hidden="1" x14ac:dyDescent="0.25">
      <c r="A467" s="167">
        <f t="shared" si="37"/>
        <v>466</v>
      </c>
      <c r="B467" s="168" t="s">
        <v>448</v>
      </c>
      <c r="C467" s="168" t="str">
        <f>VLOOKUP(B467,MEMBERS!B:C,2, )</f>
        <v xml:space="preserve">ARSLAN KHAN ABRO </v>
      </c>
      <c r="D467" s="188">
        <v>46000</v>
      </c>
      <c r="E467" s="175">
        <v>2</v>
      </c>
      <c r="F467" s="168" t="s">
        <v>440</v>
      </c>
      <c r="G467" s="165">
        <f>IFERROR(VLOOKUP(F467,'menu list'!B:C,2,FALSE)*E467,"0")</f>
        <v>300</v>
      </c>
      <c r="H467" s="334">
        <f t="shared" si="35"/>
        <v>45</v>
      </c>
      <c r="I467" s="165">
        <f t="shared" si="36"/>
        <v>345</v>
      </c>
    </row>
    <row r="468" spans="1:11" ht="12.75" hidden="1" x14ac:dyDescent="0.25">
      <c r="A468" s="167">
        <f t="shared" si="37"/>
        <v>467</v>
      </c>
      <c r="B468" s="168" t="s">
        <v>448</v>
      </c>
      <c r="C468" s="168" t="str">
        <f>VLOOKUP(B468,MEMBERS!B:C,2, )</f>
        <v xml:space="preserve">ARSLAN KHAN ABRO </v>
      </c>
      <c r="D468" s="188">
        <v>46000</v>
      </c>
      <c r="E468" s="175">
        <v>1</v>
      </c>
      <c r="F468" s="168" t="s">
        <v>801</v>
      </c>
      <c r="G468" s="165">
        <f>IFERROR(VLOOKUP(F468,'menu list'!B:C,2,FALSE)*E468,"0")</f>
        <v>700</v>
      </c>
      <c r="H468" s="334">
        <f t="shared" si="35"/>
        <v>105</v>
      </c>
      <c r="I468" s="165">
        <f t="shared" si="36"/>
        <v>805</v>
      </c>
    </row>
    <row r="469" spans="1:11" ht="12.75" hidden="1" x14ac:dyDescent="0.25">
      <c r="A469" s="167">
        <f t="shared" si="37"/>
        <v>468</v>
      </c>
      <c r="B469" s="168" t="s">
        <v>448</v>
      </c>
      <c r="C469" s="168" t="str">
        <f>VLOOKUP(B469,MEMBERS!B:C,2, )</f>
        <v xml:space="preserve">ARSLAN KHAN ABRO </v>
      </c>
      <c r="D469" s="188">
        <v>46000</v>
      </c>
      <c r="E469" s="175">
        <v>1</v>
      </c>
      <c r="F469" s="168" t="s">
        <v>498</v>
      </c>
      <c r="G469" s="165">
        <f>IFERROR(VLOOKUP(F469,'menu list'!B:C,2,FALSE)*E469,"0")</f>
        <v>200</v>
      </c>
      <c r="H469" s="334">
        <f t="shared" si="35"/>
        <v>30</v>
      </c>
      <c r="I469" s="165">
        <f t="shared" si="36"/>
        <v>230</v>
      </c>
    </row>
    <row r="470" spans="1:11" ht="12.75" hidden="1" x14ac:dyDescent="0.25">
      <c r="A470" s="167">
        <f t="shared" si="37"/>
        <v>469</v>
      </c>
      <c r="B470" s="168" t="s">
        <v>448</v>
      </c>
      <c r="C470" s="168" t="str">
        <f>VLOOKUP(B470,MEMBERS!B:C,2, )</f>
        <v xml:space="preserve">ARSLAN KHAN ABRO </v>
      </c>
      <c r="D470" s="188">
        <v>46000</v>
      </c>
      <c r="E470" s="175">
        <v>1</v>
      </c>
      <c r="F470" s="168" t="s">
        <v>853</v>
      </c>
      <c r="G470" s="165">
        <f>IFERROR(VLOOKUP(F470,'menu list'!B:C,2,FALSE)*E470,"0")</f>
        <v>575</v>
      </c>
      <c r="H470" s="334">
        <f t="shared" si="35"/>
        <v>86.25</v>
      </c>
      <c r="I470" s="165">
        <f t="shared" si="36"/>
        <v>661.25</v>
      </c>
    </row>
    <row r="471" spans="1:11" ht="12.75" hidden="1" x14ac:dyDescent="0.25">
      <c r="A471" s="167">
        <f t="shared" si="37"/>
        <v>470</v>
      </c>
      <c r="B471" s="168" t="s">
        <v>454</v>
      </c>
      <c r="C471" s="168" t="str">
        <f>VLOOKUP(B471,MEMBERS!B:C,2, )</f>
        <v>Heritage club</v>
      </c>
      <c r="D471" s="188">
        <v>46000</v>
      </c>
      <c r="E471" s="175">
        <v>1</v>
      </c>
      <c r="F471" s="168" t="s">
        <v>583</v>
      </c>
      <c r="G471" s="165">
        <f>IFERROR(VLOOKUP(F471,'menu list'!B:C,2,FALSE)*E471,"0")</f>
        <v>350</v>
      </c>
      <c r="H471" s="334">
        <f t="shared" si="35"/>
        <v>52.5</v>
      </c>
      <c r="I471" s="165">
        <f t="shared" si="36"/>
        <v>402.5</v>
      </c>
      <c r="J471" s="166" t="s">
        <v>1174</v>
      </c>
      <c r="K471" s="166" t="s">
        <v>1175</v>
      </c>
    </row>
    <row r="472" spans="1:11" ht="12.75" hidden="1" x14ac:dyDescent="0.25">
      <c r="A472" s="167">
        <f t="shared" si="37"/>
        <v>471</v>
      </c>
      <c r="B472" s="168" t="s">
        <v>454</v>
      </c>
      <c r="C472" s="168" t="str">
        <f>VLOOKUP(B472,MEMBERS!B:C,2, )</f>
        <v>Heritage club</v>
      </c>
      <c r="D472" s="188">
        <v>46000</v>
      </c>
      <c r="E472" s="175">
        <v>1</v>
      </c>
      <c r="F472" s="168" t="s">
        <v>502</v>
      </c>
      <c r="G472" s="165">
        <f>IFERROR(VLOOKUP(F472,'menu list'!B:C,2,FALSE)*E472,"0")</f>
        <v>350</v>
      </c>
      <c r="H472" s="334">
        <f t="shared" si="35"/>
        <v>52.5</v>
      </c>
      <c r="I472" s="165">
        <f t="shared" si="36"/>
        <v>402.5</v>
      </c>
      <c r="J472" s="166">
        <v>805</v>
      </c>
      <c r="K472" s="166" t="s">
        <v>1176</v>
      </c>
    </row>
    <row r="473" spans="1:11" ht="12.75" hidden="1" x14ac:dyDescent="0.25">
      <c r="A473" s="167">
        <f t="shared" si="34"/>
        <v>472</v>
      </c>
      <c r="B473" s="168" t="s">
        <v>454</v>
      </c>
      <c r="C473" s="168" t="str">
        <f>VLOOKUP(B473,MEMBERS!B:C,2, )</f>
        <v>Heritage club</v>
      </c>
      <c r="D473" s="188">
        <v>46001</v>
      </c>
      <c r="E473" s="175">
        <v>1</v>
      </c>
      <c r="F473" s="168" t="s">
        <v>1177</v>
      </c>
      <c r="G473" s="165">
        <v>0</v>
      </c>
      <c r="H473" s="334">
        <f t="shared" si="35"/>
        <v>0</v>
      </c>
      <c r="I473" s="165">
        <f t="shared" si="36"/>
        <v>0</v>
      </c>
    </row>
    <row r="474" spans="1:11" ht="12.75" hidden="1" x14ac:dyDescent="0.25">
      <c r="A474" s="167">
        <f t="shared" ref="A474:A517" si="38">IF(D474&lt;&gt;"", ROW()-1, "")</f>
        <v>473</v>
      </c>
      <c r="B474" s="168" t="s">
        <v>385</v>
      </c>
      <c r="C474" s="168" t="str">
        <f>VLOOKUP(B474,MEMBERS!B:C,2, )</f>
        <v>AYSM MIRZA</v>
      </c>
      <c r="D474" s="188">
        <v>46001</v>
      </c>
      <c r="E474" s="175">
        <v>1</v>
      </c>
      <c r="F474" s="168" t="s">
        <v>499</v>
      </c>
      <c r="G474" s="165">
        <f>IFERROR(VLOOKUP(F474,'menu list'!B:C,2,FALSE)*E474,"0")</f>
        <v>100</v>
      </c>
      <c r="H474" s="334">
        <f t="shared" si="35"/>
        <v>15</v>
      </c>
      <c r="I474" s="165">
        <f t="shared" si="36"/>
        <v>115</v>
      </c>
    </row>
    <row r="475" spans="1:11" ht="12.75" hidden="1" x14ac:dyDescent="0.25">
      <c r="A475" s="167">
        <f t="shared" si="38"/>
        <v>474</v>
      </c>
      <c r="B475" s="168" t="s">
        <v>385</v>
      </c>
      <c r="C475" s="168" t="str">
        <f>VLOOKUP(B475,MEMBERS!B:C,2, )</f>
        <v>AYSM MIRZA</v>
      </c>
      <c r="D475" s="188">
        <v>46001</v>
      </c>
      <c r="E475" s="175">
        <v>2</v>
      </c>
      <c r="F475" s="168" t="s">
        <v>498</v>
      </c>
      <c r="G475" s="165">
        <f>IFERROR(VLOOKUP(F475,'menu list'!B:C,2,FALSE)*E475,"0")</f>
        <v>400</v>
      </c>
      <c r="H475" s="334">
        <f t="shared" si="35"/>
        <v>60</v>
      </c>
      <c r="I475" s="165">
        <f t="shared" si="36"/>
        <v>460</v>
      </c>
    </row>
    <row r="476" spans="1:11" ht="12.75" hidden="1" x14ac:dyDescent="0.25">
      <c r="A476" s="167">
        <f t="shared" si="38"/>
        <v>475</v>
      </c>
      <c r="B476" s="168" t="s">
        <v>385</v>
      </c>
      <c r="C476" s="168" t="str">
        <f>VLOOKUP(B476,MEMBERS!B:C,2, )</f>
        <v>AYSM MIRZA</v>
      </c>
      <c r="D476" s="188">
        <v>46001</v>
      </c>
      <c r="E476" s="175">
        <v>2</v>
      </c>
      <c r="F476" s="168" t="s">
        <v>634</v>
      </c>
      <c r="G476" s="165">
        <f>IFERROR(VLOOKUP(F476,'menu list'!B:C,2,FALSE)*E476,"0")</f>
        <v>1000</v>
      </c>
      <c r="H476" s="334">
        <f t="shared" si="35"/>
        <v>150</v>
      </c>
      <c r="I476" s="165">
        <f t="shared" si="36"/>
        <v>1150</v>
      </c>
    </row>
    <row r="477" spans="1:11" ht="12.75" hidden="1" x14ac:dyDescent="0.25">
      <c r="A477" s="167">
        <f t="shared" ref="A477:A502" si="39">IF(D477&lt;&gt;"", ROW()-1, "")</f>
        <v>476</v>
      </c>
      <c r="B477" s="168" t="s">
        <v>385</v>
      </c>
      <c r="C477" s="168" t="str">
        <f>VLOOKUP(B477,MEMBERS!B:C,2, )</f>
        <v>AYSM MIRZA</v>
      </c>
      <c r="D477" s="188">
        <v>46001</v>
      </c>
      <c r="E477" s="175">
        <v>4</v>
      </c>
      <c r="F477" s="168" t="s">
        <v>633</v>
      </c>
      <c r="G477" s="165">
        <f>IFERROR(VLOOKUP(F477,'menu list'!B:C,2,FALSE)*E477,"0")</f>
        <v>2800</v>
      </c>
      <c r="H477" s="334">
        <f t="shared" si="35"/>
        <v>420</v>
      </c>
      <c r="I477" s="165">
        <f t="shared" si="36"/>
        <v>3220</v>
      </c>
    </row>
    <row r="478" spans="1:11" ht="12.75" hidden="1" x14ac:dyDescent="0.25">
      <c r="A478" s="167">
        <f t="shared" si="39"/>
        <v>477</v>
      </c>
      <c r="B478" s="168" t="s">
        <v>385</v>
      </c>
      <c r="C478" s="168" t="str">
        <f>VLOOKUP(B478,MEMBERS!B:C,2, )</f>
        <v>AYSM MIRZA</v>
      </c>
      <c r="D478" s="188">
        <v>46001</v>
      </c>
      <c r="E478" s="175">
        <v>1</v>
      </c>
      <c r="F478" s="168" t="s">
        <v>601</v>
      </c>
      <c r="G478" s="165">
        <f>IFERROR(VLOOKUP(F478,'menu list'!B:C,2,FALSE)*E478,"0")</f>
        <v>1200</v>
      </c>
      <c r="H478" s="334">
        <f t="shared" si="35"/>
        <v>180</v>
      </c>
      <c r="I478" s="165">
        <f t="shared" si="36"/>
        <v>1380</v>
      </c>
    </row>
    <row r="479" spans="1:11" ht="12.75" hidden="1" x14ac:dyDescent="0.25">
      <c r="A479" s="167">
        <f t="shared" si="39"/>
        <v>478</v>
      </c>
      <c r="B479" s="168" t="s">
        <v>20</v>
      </c>
      <c r="C479" s="168" t="str">
        <f>VLOOKUP(B479,MEMBERS!B:C,2, )</f>
        <v>MR.BILAL AHMED</v>
      </c>
      <c r="D479" s="188">
        <v>46001</v>
      </c>
      <c r="E479" s="175">
        <v>3</v>
      </c>
      <c r="F479" s="168" t="s">
        <v>836</v>
      </c>
      <c r="G479" s="165">
        <f>IFERROR(VLOOKUP(F479,'menu list'!B:C,2,FALSE)*E479,"0")</f>
        <v>1050</v>
      </c>
      <c r="H479" s="334">
        <f t="shared" si="35"/>
        <v>157.5</v>
      </c>
      <c r="I479" s="165">
        <f t="shared" si="36"/>
        <v>1207.5</v>
      </c>
    </row>
    <row r="480" spans="1:11" ht="12.75" hidden="1" x14ac:dyDescent="0.25">
      <c r="A480" s="167">
        <f t="shared" si="39"/>
        <v>479</v>
      </c>
      <c r="B480" s="168" t="s">
        <v>20</v>
      </c>
      <c r="C480" s="168" t="str">
        <f>VLOOKUP(B480,MEMBERS!B:C,2, )</f>
        <v>MR.BILAL AHMED</v>
      </c>
      <c r="D480" s="188">
        <v>46001</v>
      </c>
      <c r="E480" s="175">
        <v>1</v>
      </c>
      <c r="F480" s="168" t="s">
        <v>440</v>
      </c>
      <c r="G480" s="165">
        <f>IFERROR(VLOOKUP(F480,'menu list'!B:C,2,FALSE)*E480,"0")</f>
        <v>150</v>
      </c>
      <c r="H480" s="334">
        <f t="shared" si="35"/>
        <v>22.5</v>
      </c>
      <c r="I480" s="165">
        <f t="shared" si="36"/>
        <v>172.5</v>
      </c>
    </row>
    <row r="481" spans="1:12" ht="12.75" hidden="1" x14ac:dyDescent="0.25">
      <c r="A481" s="167">
        <f t="shared" si="39"/>
        <v>480</v>
      </c>
      <c r="B481" s="168" t="s">
        <v>98</v>
      </c>
      <c r="C481" s="168" t="str">
        <f>VLOOKUP(B481,MEMBERS!B:C,2, )</f>
        <v>MR.HAFEEZ AHMED SIYAL</v>
      </c>
      <c r="D481" s="188">
        <v>46001</v>
      </c>
      <c r="E481" s="175">
        <v>1</v>
      </c>
      <c r="F481" s="168" t="s">
        <v>833</v>
      </c>
      <c r="G481" s="165">
        <f>IFERROR(VLOOKUP(F481,'menu list'!B:C,2,FALSE)*E481,"0")</f>
        <v>350</v>
      </c>
      <c r="H481" s="334">
        <f t="shared" si="35"/>
        <v>52.5</v>
      </c>
      <c r="I481" s="165">
        <f t="shared" si="36"/>
        <v>402.5</v>
      </c>
    </row>
    <row r="482" spans="1:12" ht="12.75" hidden="1" x14ac:dyDescent="0.25">
      <c r="A482" s="167">
        <f t="shared" si="39"/>
        <v>481</v>
      </c>
      <c r="B482" s="168" t="s">
        <v>454</v>
      </c>
      <c r="C482" s="168" t="str">
        <f>VLOOKUP(B482,MEMBERS!B:C,2, )</f>
        <v>Heritage club</v>
      </c>
      <c r="D482" s="188">
        <v>46001</v>
      </c>
      <c r="E482" s="175">
        <v>2</v>
      </c>
      <c r="F482" s="168" t="s">
        <v>497</v>
      </c>
      <c r="G482" s="165">
        <f>IFERROR(VLOOKUP(F482,'menu list'!B:C,2,FALSE)*E482,"0")</f>
        <v>500</v>
      </c>
      <c r="H482" s="334">
        <f t="shared" si="35"/>
        <v>75</v>
      </c>
      <c r="I482" s="165">
        <f t="shared" si="36"/>
        <v>575</v>
      </c>
      <c r="J482" s="166" t="s">
        <v>1173</v>
      </c>
      <c r="K482" s="166" t="s">
        <v>1178</v>
      </c>
      <c r="L482" s="166">
        <v>172</v>
      </c>
    </row>
    <row r="483" spans="1:12" ht="12.75" hidden="1" x14ac:dyDescent="0.25">
      <c r="A483" s="167">
        <f t="shared" si="39"/>
        <v>482</v>
      </c>
      <c r="B483" s="168" t="s">
        <v>454</v>
      </c>
      <c r="C483" s="168" t="str">
        <f>VLOOKUP(B483,MEMBERS!B:C,2, )</f>
        <v>Heritage club</v>
      </c>
      <c r="D483" s="188">
        <v>46001</v>
      </c>
      <c r="E483" s="175">
        <v>1</v>
      </c>
      <c r="F483" s="168" t="s">
        <v>634</v>
      </c>
      <c r="G483" s="165">
        <f>IFERROR(VLOOKUP(F483,'menu list'!B:C,2,FALSE)*E483,"0")</f>
        <v>500</v>
      </c>
      <c r="H483" s="334">
        <f t="shared" si="35"/>
        <v>75</v>
      </c>
      <c r="I483" s="165">
        <f t="shared" si="36"/>
        <v>575</v>
      </c>
      <c r="J483" s="166">
        <v>1150</v>
      </c>
      <c r="K483" s="166" t="s">
        <v>1179</v>
      </c>
      <c r="L483" s="166">
        <v>19</v>
      </c>
    </row>
    <row r="484" spans="1:12" ht="12.75" hidden="1" x14ac:dyDescent="0.25">
      <c r="A484" s="167">
        <f t="shared" si="39"/>
        <v>483</v>
      </c>
      <c r="B484" s="168" t="s">
        <v>376</v>
      </c>
      <c r="C484" s="168" t="str">
        <f>VLOOKUP(B484,MEMBERS!B:C,2, )</f>
        <v>KHURRAM FIRDOUS</v>
      </c>
      <c r="D484" s="188">
        <v>46001</v>
      </c>
      <c r="E484" s="175">
        <v>1</v>
      </c>
      <c r="F484" s="168" t="s">
        <v>500</v>
      </c>
      <c r="G484" s="165">
        <f>IFERROR(VLOOKUP(F484,'menu list'!B:C,2,FALSE)*E484,"0")</f>
        <v>1250</v>
      </c>
      <c r="H484" s="334">
        <f t="shared" si="35"/>
        <v>187.5</v>
      </c>
      <c r="I484" s="165">
        <f t="shared" si="36"/>
        <v>1437.5</v>
      </c>
    </row>
    <row r="485" spans="1:12" ht="12.75" hidden="1" x14ac:dyDescent="0.25">
      <c r="A485" s="167">
        <f t="shared" si="39"/>
        <v>484</v>
      </c>
      <c r="B485" s="168" t="s">
        <v>376</v>
      </c>
      <c r="C485" s="168" t="str">
        <f>VLOOKUP(B485,MEMBERS!B:C,2, )</f>
        <v>KHURRAM FIRDOUS</v>
      </c>
      <c r="D485" s="188">
        <v>46001</v>
      </c>
      <c r="E485" s="175">
        <v>1</v>
      </c>
      <c r="F485" s="168" t="s">
        <v>634</v>
      </c>
      <c r="G485" s="165">
        <f>IFERROR(VLOOKUP(F485,'menu list'!B:C,2,FALSE)*E485,"0")</f>
        <v>500</v>
      </c>
      <c r="H485" s="334">
        <f t="shared" si="35"/>
        <v>75</v>
      </c>
      <c r="I485" s="165">
        <f t="shared" si="36"/>
        <v>575</v>
      </c>
    </row>
    <row r="486" spans="1:12" ht="12.75" hidden="1" x14ac:dyDescent="0.25">
      <c r="A486" s="167">
        <f t="shared" si="39"/>
        <v>485</v>
      </c>
      <c r="B486" s="168" t="s">
        <v>376</v>
      </c>
      <c r="C486" s="168" t="str">
        <f>VLOOKUP(B486,MEMBERS!B:C,2, )</f>
        <v>KHURRAM FIRDOUS</v>
      </c>
      <c r="D486" s="188">
        <v>46001</v>
      </c>
      <c r="E486" s="175">
        <v>1</v>
      </c>
      <c r="F486" s="168" t="s">
        <v>497</v>
      </c>
      <c r="G486" s="165">
        <f>IFERROR(VLOOKUP(F486,'menu list'!B:C,2,FALSE)*E486,"0")</f>
        <v>250</v>
      </c>
      <c r="H486" s="334">
        <f t="shared" si="35"/>
        <v>37.5</v>
      </c>
      <c r="I486" s="165">
        <f t="shared" si="36"/>
        <v>287.5</v>
      </c>
    </row>
    <row r="487" spans="1:12" ht="12.75" hidden="1" x14ac:dyDescent="0.25">
      <c r="A487" s="167">
        <f t="shared" si="39"/>
        <v>486</v>
      </c>
      <c r="B487" s="168" t="s">
        <v>376</v>
      </c>
      <c r="C487" s="168" t="str">
        <f>VLOOKUP(B487,MEMBERS!B:C,2, )</f>
        <v>KHURRAM FIRDOUS</v>
      </c>
      <c r="D487" s="188">
        <v>46001</v>
      </c>
      <c r="E487" s="175">
        <v>1</v>
      </c>
      <c r="F487" s="168" t="s">
        <v>440</v>
      </c>
      <c r="G487" s="165">
        <f>IFERROR(VLOOKUP(F487,'menu list'!B:C,2,FALSE)*E487,"0")</f>
        <v>150</v>
      </c>
      <c r="H487" s="334">
        <f t="shared" si="35"/>
        <v>22.5</v>
      </c>
      <c r="I487" s="165">
        <f t="shared" si="36"/>
        <v>172.5</v>
      </c>
    </row>
    <row r="488" spans="1:12" ht="12.75" hidden="1" x14ac:dyDescent="0.25">
      <c r="A488" s="167">
        <f t="shared" si="39"/>
        <v>487</v>
      </c>
      <c r="B488" s="168" t="s">
        <v>1020</v>
      </c>
      <c r="C488" s="168" t="str">
        <f>VLOOKUP(B488,MEMBERS!B:C,2, )</f>
        <v>MR. MUNAWAR HUSSAIN</v>
      </c>
      <c r="D488" s="188">
        <v>46001</v>
      </c>
      <c r="E488" s="175">
        <v>1</v>
      </c>
      <c r="F488" s="168" t="s">
        <v>499</v>
      </c>
      <c r="G488" s="165">
        <f>IFERROR(VLOOKUP(F488,'menu list'!B:C,2,FALSE)*E488,"0")</f>
        <v>100</v>
      </c>
      <c r="H488" s="334">
        <f t="shared" si="35"/>
        <v>15</v>
      </c>
      <c r="I488" s="165">
        <f t="shared" si="36"/>
        <v>115</v>
      </c>
    </row>
    <row r="489" spans="1:12" ht="12.75" hidden="1" x14ac:dyDescent="0.25">
      <c r="A489" s="167">
        <f t="shared" si="39"/>
        <v>488</v>
      </c>
      <c r="B489" s="168" t="s">
        <v>1020</v>
      </c>
      <c r="C489" s="168" t="str">
        <f>VLOOKUP(B489,MEMBERS!B:C,2, )</f>
        <v>MR. MUNAWAR HUSSAIN</v>
      </c>
      <c r="D489" s="188">
        <v>46001</v>
      </c>
      <c r="E489" s="175">
        <v>1</v>
      </c>
      <c r="F489" s="168" t="s">
        <v>653</v>
      </c>
      <c r="G489" s="165">
        <f>IFERROR(VLOOKUP(F489,'menu list'!B:C,2,FALSE)*E489,"0")</f>
        <v>350</v>
      </c>
      <c r="H489" s="334">
        <f t="shared" si="35"/>
        <v>52.5</v>
      </c>
      <c r="I489" s="165">
        <f t="shared" si="36"/>
        <v>402.5</v>
      </c>
    </row>
    <row r="490" spans="1:12" ht="12.75" hidden="1" x14ac:dyDescent="0.25">
      <c r="A490" s="167">
        <f t="shared" si="39"/>
        <v>489</v>
      </c>
      <c r="B490" s="168" t="s">
        <v>1020</v>
      </c>
      <c r="C490" s="168" t="str">
        <f>VLOOKUP(B490,MEMBERS!B:C,2, )</f>
        <v>MR. MUNAWAR HUSSAIN</v>
      </c>
      <c r="D490" s="188">
        <v>46001</v>
      </c>
      <c r="E490" s="175">
        <v>1</v>
      </c>
      <c r="F490" s="168" t="s">
        <v>859</v>
      </c>
      <c r="G490" s="165">
        <f>IFERROR(VLOOKUP(F490,'menu list'!B:C,2,FALSE)*E490,"0")</f>
        <v>500</v>
      </c>
      <c r="H490" s="334">
        <f t="shared" si="35"/>
        <v>75</v>
      </c>
      <c r="I490" s="165">
        <f t="shared" si="36"/>
        <v>575</v>
      </c>
    </row>
    <row r="491" spans="1:12" ht="12.75" hidden="1" x14ac:dyDescent="0.25">
      <c r="A491" s="167">
        <f t="shared" si="39"/>
        <v>490</v>
      </c>
      <c r="B491" s="168" t="s">
        <v>1020</v>
      </c>
      <c r="C491" s="168" t="str">
        <f>VLOOKUP(B491,MEMBERS!B:C,2, )</f>
        <v>MR. MUNAWAR HUSSAIN</v>
      </c>
      <c r="D491" s="188">
        <v>46001</v>
      </c>
      <c r="E491" s="175">
        <v>1</v>
      </c>
      <c r="F491" s="168" t="s">
        <v>504</v>
      </c>
      <c r="G491" s="165">
        <f>IFERROR(VLOOKUP(F491,'menu list'!B:C,2,FALSE)*E491,"0")</f>
        <v>130</v>
      </c>
      <c r="H491" s="334">
        <f t="shared" si="35"/>
        <v>19.5</v>
      </c>
      <c r="I491" s="165">
        <f t="shared" si="36"/>
        <v>149.5</v>
      </c>
    </row>
    <row r="492" spans="1:12" ht="12.75" hidden="1" x14ac:dyDescent="0.25">
      <c r="A492" s="167">
        <f t="shared" si="39"/>
        <v>491</v>
      </c>
      <c r="B492" s="168" t="s">
        <v>1020</v>
      </c>
      <c r="C492" s="168" t="str">
        <f>VLOOKUP(B492,MEMBERS!B:C,2, )</f>
        <v>MR. MUNAWAR HUSSAIN</v>
      </c>
      <c r="D492" s="188">
        <v>46001</v>
      </c>
      <c r="E492" s="175">
        <v>1</v>
      </c>
      <c r="F492" s="168" t="s">
        <v>442</v>
      </c>
      <c r="G492" s="165">
        <f>IFERROR(VLOOKUP(F492,'menu list'!B:C,2,FALSE)*E492,"0")</f>
        <v>150</v>
      </c>
      <c r="H492" s="334">
        <f t="shared" si="35"/>
        <v>22.5</v>
      </c>
      <c r="I492" s="165">
        <f t="shared" si="36"/>
        <v>172.5</v>
      </c>
    </row>
    <row r="493" spans="1:12" ht="12.75" hidden="1" x14ac:dyDescent="0.25">
      <c r="A493" s="167">
        <f t="shared" si="39"/>
        <v>492</v>
      </c>
      <c r="B493" s="168" t="s">
        <v>1020</v>
      </c>
      <c r="C493" s="168" t="str">
        <f>VLOOKUP(B493,MEMBERS!B:C,2, )</f>
        <v>MR. MUNAWAR HUSSAIN</v>
      </c>
      <c r="D493" s="188">
        <v>46001</v>
      </c>
      <c r="E493" s="175">
        <v>1</v>
      </c>
      <c r="F493" s="168" t="s">
        <v>441</v>
      </c>
      <c r="G493" s="165">
        <f>IFERROR(VLOOKUP(F493,'menu list'!B:C,2,FALSE)*E493,"0")</f>
        <v>200</v>
      </c>
      <c r="H493" s="334">
        <f t="shared" si="35"/>
        <v>30</v>
      </c>
      <c r="I493" s="165">
        <f t="shared" si="36"/>
        <v>230</v>
      </c>
    </row>
    <row r="494" spans="1:12" ht="12.75" hidden="1" x14ac:dyDescent="0.25">
      <c r="A494" s="167">
        <f t="shared" si="39"/>
        <v>493</v>
      </c>
      <c r="B494" s="168" t="s">
        <v>1020</v>
      </c>
      <c r="C494" s="168" t="str">
        <f>VLOOKUP(B494,MEMBERS!B:C,2, )</f>
        <v>MR. MUNAWAR HUSSAIN</v>
      </c>
      <c r="D494" s="188">
        <v>46001</v>
      </c>
      <c r="E494" s="175">
        <v>1</v>
      </c>
      <c r="F494" s="168" t="s">
        <v>439</v>
      </c>
      <c r="G494" s="165">
        <f>IFERROR(VLOOKUP(F494,'menu list'!B:C,2,FALSE)*E494,"0")</f>
        <v>70</v>
      </c>
      <c r="H494" s="334">
        <f t="shared" si="35"/>
        <v>10.5</v>
      </c>
      <c r="I494" s="165">
        <f t="shared" si="36"/>
        <v>80.5</v>
      </c>
    </row>
    <row r="495" spans="1:12" ht="12.75" hidden="1" x14ac:dyDescent="0.25">
      <c r="A495" s="167">
        <f t="shared" si="39"/>
        <v>494</v>
      </c>
      <c r="B495" s="168" t="s">
        <v>1024</v>
      </c>
      <c r="C495" s="168" t="str">
        <f>VLOOKUP(B495,MEMBERS!B:C,2, )</f>
        <v>MR. ANEEL ZAHOOR</v>
      </c>
      <c r="D495" s="188">
        <v>46001</v>
      </c>
      <c r="E495" s="175">
        <v>1</v>
      </c>
      <c r="F495" s="168" t="s">
        <v>499</v>
      </c>
      <c r="G495" s="165">
        <f>IFERROR(VLOOKUP(F495,'menu list'!B:C,2,FALSE)*E495,"0")</f>
        <v>100</v>
      </c>
      <c r="H495" s="334">
        <f t="shared" si="35"/>
        <v>15</v>
      </c>
      <c r="I495" s="165">
        <f t="shared" si="36"/>
        <v>115</v>
      </c>
    </row>
    <row r="496" spans="1:12" ht="12.75" hidden="1" x14ac:dyDescent="0.25">
      <c r="A496" s="167">
        <f t="shared" si="39"/>
        <v>495</v>
      </c>
      <c r="B496" s="168" t="s">
        <v>1024</v>
      </c>
      <c r="C496" s="168" t="str">
        <f>VLOOKUP(B496,MEMBERS!B:C,2, )</f>
        <v>MR. ANEEL ZAHOOR</v>
      </c>
      <c r="D496" s="188">
        <v>46001</v>
      </c>
      <c r="E496" s="175">
        <v>1</v>
      </c>
      <c r="F496" s="168" t="s">
        <v>633</v>
      </c>
      <c r="G496" s="165">
        <f>IFERROR(VLOOKUP(F496,'menu list'!B:C,2,FALSE)*E496,"0")</f>
        <v>700</v>
      </c>
      <c r="H496" s="334">
        <f t="shared" si="35"/>
        <v>105</v>
      </c>
      <c r="I496" s="165">
        <f t="shared" si="36"/>
        <v>805</v>
      </c>
    </row>
    <row r="497" spans="1:9" ht="12.75" hidden="1" x14ac:dyDescent="0.25">
      <c r="A497" s="167">
        <f t="shared" si="39"/>
        <v>496</v>
      </c>
      <c r="B497" s="168" t="s">
        <v>98</v>
      </c>
      <c r="C497" s="168" t="str">
        <f>VLOOKUP(B497,MEMBERS!B:C,2, )</f>
        <v>MR.HAFEEZ AHMED SIYAL</v>
      </c>
      <c r="D497" s="188">
        <v>46001</v>
      </c>
      <c r="E497" s="175">
        <v>1</v>
      </c>
      <c r="F497" s="168" t="s">
        <v>499</v>
      </c>
      <c r="G497" s="165">
        <f>IFERROR(VLOOKUP(F497,'menu list'!B:C,2,FALSE)*E497,"0")</f>
        <v>100</v>
      </c>
      <c r="H497" s="334">
        <f t="shared" si="35"/>
        <v>15</v>
      </c>
      <c r="I497" s="165">
        <f t="shared" si="36"/>
        <v>115</v>
      </c>
    </row>
    <row r="498" spans="1:9" ht="12.75" hidden="1" x14ac:dyDescent="0.25">
      <c r="A498" s="167">
        <f t="shared" si="39"/>
        <v>497</v>
      </c>
      <c r="B498" s="168" t="s">
        <v>385</v>
      </c>
      <c r="C498" s="168" t="str">
        <f>VLOOKUP(B498,MEMBERS!B:C,2, )</f>
        <v>AYSM MIRZA</v>
      </c>
      <c r="D498" s="188">
        <v>46001</v>
      </c>
      <c r="E498" s="175">
        <v>1</v>
      </c>
      <c r="F498" s="168" t="s">
        <v>499</v>
      </c>
      <c r="G498" s="165">
        <f>IFERROR(VLOOKUP(F498,'menu list'!B:C,2,FALSE)*E498,"0")</f>
        <v>100</v>
      </c>
      <c r="H498" s="334">
        <f t="shared" si="35"/>
        <v>15</v>
      </c>
      <c r="I498" s="165">
        <f t="shared" si="36"/>
        <v>115</v>
      </c>
    </row>
    <row r="499" spans="1:9" ht="12.75" hidden="1" x14ac:dyDescent="0.25">
      <c r="A499" s="167">
        <f t="shared" si="39"/>
        <v>498</v>
      </c>
      <c r="B499" s="168" t="s">
        <v>385</v>
      </c>
      <c r="C499" s="168" t="str">
        <f>VLOOKUP(B499,MEMBERS!B:C,2, )</f>
        <v>AYSM MIRZA</v>
      </c>
      <c r="D499" s="188">
        <v>46001</v>
      </c>
      <c r="E499" s="175">
        <v>1</v>
      </c>
      <c r="F499" s="168" t="s">
        <v>442</v>
      </c>
      <c r="G499" s="165">
        <f>IFERROR(VLOOKUP(F499,'menu list'!B:C,2,FALSE)*E499,"0")</f>
        <v>150</v>
      </c>
      <c r="H499" s="334">
        <f t="shared" si="35"/>
        <v>22.5</v>
      </c>
      <c r="I499" s="165">
        <f t="shared" si="36"/>
        <v>172.5</v>
      </c>
    </row>
    <row r="500" spans="1:9" ht="12.75" hidden="1" x14ac:dyDescent="0.25">
      <c r="A500" s="167">
        <f t="shared" si="39"/>
        <v>499</v>
      </c>
      <c r="B500" s="168" t="s">
        <v>69</v>
      </c>
      <c r="C500" s="168" t="str">
        <f>VLOOKUP(B500,MEMBERS!B:C,2, )</f>
        <v>MR.TARIQUE ZUBAIR</v>
      </c>
      <c r="D500" s="188">
        <v>46001</v>
      </c>
      <c r="E500" s="175">
        <v>1</v>
      </c>
      <c r="F500" s="168" t="s">
        <v>500</v>
      </c>
      <c r="G500" s="165">
        <f>IFERROR(VLOOKUP(F500,'menu list'!B:C,2,FALSE)*E500,"0")</f>
        <v>1250</v>
      </c>
      <c r="H500" s="334">
        <f t="shared" si="35"/>
        <v>187.5</v>
      </c>
      <c r="I500" s="165">
        <f t="shared" si="36"/>
        <v>1437.5</v>
      </c>
    </row>
    <row r="501" spans="1:9" ht="12.75" hidden="1" x14ac:dyDescent="0.25">
      <c r="A501" s="167">
        <f t="shared" si="39"/>
        <v>500</v>
      </c>
      <c r="B501" s="168" t="s">
        <v>69</v>
      </c>
      <c r="C501" s="168" t="str">
        <f>VLOOKUP(B501,MEMBERS!B:C,2, )</f>
        <v>MR.TARIQUE ZUBAIR</v>
      </c>
      <c r="D501" s="188">
        <v>46001</v>
      </c>
      <c r="E501" s="175">
        <v>2</v>
      </c>
      <c r="F501" s="168" t="s">
        <v>442</v>
      </c>
      <c r="G501" s="165">
        <f>IFERROR(VLOOKUP(F501,'menu list'!B:C,2,FALSE)*E501,"0")</f>
        <v>300</v>
      </c>
      <c r="H501" s="334">
        <f t="shared" si="35"/>
        <v>45</v>
      </c>
      <c r="I501" s="165">
        <f t="shared" si="36"/>
        <v>345</v>
      </c>
    </row>
    <row r="502" spans="1:9" ht="12.75" hidden="1" x14ac:dyDescent="0.25">
      <c r="A502" s="167">
        <f t="shared" si="39"/>
        <v>501</v>
      </c>
      <c r="B502" s="168" t="s">
        <v>650</v>
      </c>
      <c r="C502" s="168" t="str">
        <f>VLOOKUP(B502,MEMBERS!B:C,2, )</f>
        <v>SHAHBAZ AHMED</v>
      </c>
      <c r="D502" s="188">
        <v>46001</v>
      </c>
      <c r="E502" s="175">
        <v>1</v>
      </c>
      <c r="F502" s="168" t="s">
        <v>499</v>
      </c>
      <c r="G502" s="165">
        <f>IFERROR(VLOOKUP(F502,'menu list'!B:C,2,FALSE)*E502,"0")</f>
        <v>100</v>
      </c>
      <c r="H502" s="334">
        <f t="shared" si="35"/>
        <v>15</v>
      </c>
      <c r="I502" s="165">
        <f t="shared" si="36"/>
        <v>115</v>
      </c>
    </row>
    <row r="503" spans="1:9" ht="12.75" hidden="1" x14ac:dyDescent="0.25">
      <c r="A503" s="167">
        <f t="shared" si="38"/>
        <v>502</v>
      </c>
      <c r="B503" s="168" t="s">
        <v>378</v>
      </c>
      <c r="C503" s="168" t="str">
        <f>VLOOKUP(B503,MEMBERS!B:C,2, )</f>
        <v>SABA AHSAN</v>
      </c>
      <c r="D503" s="188">
        <v>46001</v>
      </c>
      <c r="E503" s="175">
        <v>1</v>
      </c>
      <c r="F503" s="168" t="s">
        <v>499</v>
      </c>
      <c r="G503" s="165">
        <f>IFERROR(VLOOKUP(F503,'menu list'!B:C,2,FALSE)*E503,"0")</f>
        <v>100</v>
      </c>
      <c r="H503" s="334">
        <f t="shared" si="35"/>
        <v>15</v>
      </c>
      <c r="I503" s="165">
        <f t="shared" si="36"/>
        <v>115</v>
      </c>
    </row>
    <row r="504" spans="1:9" ht="12.75" hidden="1" x14ac:dyDescent="0.25">
      <c r="A504" s="167">
        <f t="shared" si="38"/>
        <v>503</v>
      </c>
      <c r="B504" s="168" t="s">
        <v>378</v>
      </c>
      <c r="C504" s="168" t="str">
        <f>VLOOKUP(B504,MEMBERS!B:C,2, )</f>
        <v>SABA AHSAN</v>
      </c>
      <c r="D504" s="188">
        <v>46001</v>
      </c>
      <c r="E504" s="175">
        <v>1</v>
      </c>
      <c r="F504" s="168" t="s">
        <v>500</v>
      </c>
      <c r="G504" s="165">
        <f>IFERROR(VLOOKUP(F504,'menu list'!B:C,2,FALSE)*E504,"0")</f>
        <v>1250</v>
      </c>
      <c r="H504" s="334">
        <f t="shared" si="35"/>
        <v>187.5</v>
      </c>
      <c r="I504" s="165">
        <f t="shared" si="36"/>
        <v>1437.5</v>
      </c>
    </row>
    <row r="505" spans="1:9" ht="12.75" hidden="1" x14ac:dyDescent="0.25">
      <c r="A505" s="167">
        <f t="shared" si="38"/>
        <v>504</v>
      </c>
      <c r="B505" s="168" t="s">
        <v>378</v>
      </c>
      <c r="C505" s="168" t="str">
        <f>VLOOKUP(B505,MEMBERS!B:C,2, )</f>
        <v>SABA AHSAN</v>
      </c>
      <c r="D505" s="188">
        <v>46001</v>
      </c>
      <c r="E505" s="175">
        <v>1</v>
      </c>
      <c r="F505" s="168" t="s">
        <v>836</v>
      </c>
      <c r="G505" s="165">
        <f>IFERROR(VLOOKUP(F505,'menu list'!B:C,2,FALSE)*E505,"0")</f>
        <v>350</v>
      </c>
      <c r="H505" s="334">
        <f t="shared" si="35"/>
        <v>52.5</v>
      </c>
      <c r="I505" s="165">
        <f t="shared" si="36"/>
        <v>402.5</v>
      </c>
    </row>
    <row r="506" spans="1:9" ht="12.75" hidden="1" x14ac:dyDescent="0.25">
      <c r="A506" s="167">
        <f t="shared" si="38"/>
        <v>505</v>
      </c>
      <c r="B506" s="168" t="s">
        <v>164</v>
      </c>
      <c r="C506" s="168" t="str">
        <f>VLOOKUP(B506,MEMBERS!B:C,2, )</f>
        <v>MR.ASHOK KUMAR</v>
      </c>
      <c r="D506" s="188">
        <v>46001</v>
      </c>
      <c r="E506" s="175">
        <v>3</v>
      </c>
      <c r="F506" s="168" t="s">
        <v>633</v>
      </c>
      <c r="G506" s="165">
        <f>IFERROR(VLOOKUP(F506,'menu list'!B:C,2,FALSE)*E506,"0")</f>
        <v>2100</v>
      </c>
      <c r="H506" s="334">
        <f t="shared" si="35"/>
        <v>315</v>
      </c>
      <c r="I506" s="165">
        <f t="shared" si="36"/>
        <v>2415</v>
      </c>
    </row>
    <row r="507" spans="1:9" ht="12.75" hidden="1" x14ac:dyDescent="0.25">
      <c r="A507" s="167">
        <f t="shared" si="38"/>
        <v>506</v>
      </c>
      <c r="B507" s="168" t="s">
        <v>164</v>
      </c>
      <c r="C507" s="168" t="str">
        <f>VLOOKUP(B507,MEMBERS!B:C,2, )</f>
        <v>MR.ASHOK KUMAR</v>
      </c>
      <c r="D507" s="188">
        <v>46001</v>
      </c>
      <c r="E507" s="175">
        <v>1</v>
      </c>
      <c r="F507" s="168" t="s">
        <v>500</v>
      </c>
      <c r="G507" s="165">
        <f>IFERROR(VLOOKUP(F507,'menu list'!B:C,2,FALSE)*E507,"0")</f>
        <v>1250</v>
      </c>
      <c r="H507" s="334">
        <f t="shared" si="35"/>
        <v>187.5</v>
      </c>
      <c r="I507" s="165">
        <f t="shared" si="36"/>
        <v>1437.5</v>
      </c>
    </row>
    <row r="508" spans="1:9" ht="12.75" hidden="1" x14ac:dyDescent="0.25">
      <c r="A508" s="167">
        <f t="shared" si="38"/>
        <v>507</v>
      </c>
      <c r="B508" s="168" t="s">
        <v>164</v>
      </c>
      <c r="C508" s="168" t="str">
        <f>VLOOKUP(B508,MEMBERS!B:C,2, )</f>
        <v>MR.ASHOK KUMAR</v>
      </c>
      <c r="D508" s="188">
        <v>46001</v>
      </c>
      <c r="E508" s="175">
        <v>4</v>
      </c>
      <c r="F508" s="168" t="s">
        <v>499</v>
      </c>
      <c r="G508" s="165">
        <f>IFERROR(VLOOKUP(F508,'menu list'!B:C,2,FALSE)*E508,"0")</f>
        <v>400</v>
      </c>
      <c r="H508" s="334">
        <f t="shared" si="35"/>
        <v>60</v>
      </c>
      <c r="I508" s="165">
        <f t="shared" si="36"/>
        <v>460</v>
      </c>
    </row>
    <row r="509" spans="1:9" ht="12.75" hidden="1" x14ac:dyDescent="0.25">
      <c r="A509" s="167">
        <f t="shared" si="38"/>
        <v>508</v>
      </c>
      <c r="B509" s="168" t="s">
        <v>39</v>
      </c>
      <c r="C509" s="168" t="str">
        <f>VLOOKUP(B509,MEMBERS!B:C,2, )</f>
        <v>MR.SYED ABDULLAH ALI</v>
      </c>
      <c r="D509" s="188">
        <v>46001</v>
      </c>
      <c r="E509" s="175">
        <v>1</v>
      </c>
      <c r="F509" s="168" t="s">
        <v>499</v>
      </c>
      <c r="G509" s="165">
        <f>IFERROR(VLOOKUP(F509,'menu list'!B:C,2,FALSE)*E509,"0")</f>
        <v>100</v>
      </c>
      <c r="H509" s="334">
        <f t="shared" si="35"/>
        <v>15</v>
      </c>
      <c r="I509" s="165">
        <f t="shared" si="36"/>
        <v>115</v>
      </c>
    </row>
    <row r="510" spans="1:9" ht="12.75" hidden="1" x14ac:dyDescent="0.25">
      <c r="A510" s="167">
        <f t="shared" si="38"/>
        <v>509</v>
      </c>
      <c r="B510" s="168" t="s">
        <v>39</v>
      </c>
      <c r="C510" s="168" t="str">
        <f>VLOOKUP(B510,MEMBERS!B:C,2, )</f>
        <v>MR.SYED ABDULLAH ALI</v>
      </c>
      <c r="D510" s="188">
        <v>46001</v>
      </c>
      <c r="E510" s="175">
        <v>1</v>
      </c>
      <c r="F510" s="168" t="s">
        <v>497</v>
      </c>
      <c r="G510" s="165">
        <f>IFERROR(VLOOKUP(F510,'menu list'!B:C,2,FALSE)*E510,"0")</f>
        <v>250</v>
      </c>
      <c r="H510" s="334">
        <f t="shared" si="35"/>
        <v>37.5</v>
      </c>
      <c r="I510" s="165">
        <f t="shared" si="36"/>
        <v>287.5</v>
      </c>
    </row>
    <row r="511" spans="1:9" ht="12.75" hidden="1" x14ac:dyDescent="0.25">
      <c r="A511" s="167">
        <f t="shared" si="38"/>
        <v>510</v>
      </c>
      <c r="B511" s="168" t="s">
        <v>1024</v>
      </c>
      <c r="C511" s="168" t="str">
        <f>VLOOKUP(B511,MEMBERS!B:C,2, )</f>
        <v>MR. ANEEL ZAHOOR</v>
      </c>
      <c r="D511" s="188">
        <v>46001</v>
      </c>
      <c r="E511" s="175">
        <v>1</v>
      </c>
      <c r="F511" s="168" t="s">
        <v>770</v>
      </c>
      <c r="G511" s="165">
        <f>IFERROR(VLOOKUP(F511,'menu list'!B:C,2,FALSE)*E511,"0")</f>
        <v>1000</v>
      </c>
      <c r="H511" s="334">
        <f t="shared" si="35"/>
        <v>150</v>
      </c>
      <c r="I511" s="165">
        <f t="shared" si="36"/>
        <v>1150</v>
      </c>
    </row>
    <row r="512" spans="1:9" ht="12.75" hidden="1" x14ac:dyDescent="0.25">
      <c r="A512" s="167">
        <f t="shared" si="38"/>
        <v>511</v>
      </c>
      <c r="B512" s="168" t="s">
        <v>1024</v>
      </c>
      <c r="C512" s="168" t="str">
        <f>VLOOKUP(B512,MEMBERS!B:C,2, )</f>
        <v>MR. ANEEL ZAHOOR</v>
      </c>
      <c r="D512" s="188">
        <v>46001</v>
      </c>
      <c r="E512" s="175">
        <v>1</v>
      </c>
      <c r="F512" s="168" t="s">
        <v>870</v>
      </c>
      <c r="G512" s="165">
        <f>IFERROR(VLOOKUP(F512,'menu list'!B:C,2,FALSE)*E512,"0")</f>
        <v>1100</v>
      </c>
      <c r="H512" s="334">
        <f t="shared" si="35"/>
        <v>165</v>
      </c>
      <c r="I512" s="165">
        <f t="shared" si="36"/>
        <v>1265</v>
      </c>
    </row>
    <row r="513" spans="1:9" ht="12.75" hidden="1" x14ac:dyDescent="0.25">
      <c r="A513" s="167">
        <f t="shared" si="38"/>
        <v>512</v>
      </c>
      <c r="B513" s="168" t="s">
        <v>1024</v>
      </c>
      <c r="C513" s="168" t="str">
        <f>VLOOKUP(B513,MEMBERS!B:C,2, )</f>
        <v>MR. ANEEL ZAHOOR</v>
      </c>
      <c r="D513" s="188">
        <v>46001</v>
      </c>
      <c r="E513" s="175">
        <v>2</v>
      </c>
      <c r="F513" s="168" t="s">
        <v>504</v>
      </c>
      <c r="G513" s="165">
        <f>IFERROR(VLOOKUP(F513,'menu list'!B:C,2,FALSE)*E513,"0")</f>
        <v>260</v>
      </c>
      <c r="H513" s="334">
        <f t="shared" si="35"/>
        <v>39</v>
      </c>
      <c r="I513" s="165">
        <f t="shared" si="36"/>
        <v>299</v>
      </c>
    </row>
    <row r="514" spans="1:9" ht="12.75" hidden="1" x14ac:dyDescent="0.25">
      <c r="A514" s="167">
        <f t="shared" si="38"/>
        <v>513</v>
      </c>
      <c r="B514" s="168" t="s">
        <v>1024</v>
      </c>
      <c r="C514" s="168" t="str">
        <f>VLOOKUP(B514,MEMBERS!B:C,2, )</f>
        <v>MR. ANEEL ZAHOOR</v>
      </c>
      <c r="D514" s="188">
        <v>46001</v>
      </c>
      <c r="E514" s="175">
        <v>2</v>
      </c>
      <c r="F514" s="168" t="s">
        <v>443</v>
      </c>
      <c r="G514" s="165">
        <f>IFERROR(VLOOKUP(F514,'menu list'!B:C,2,FALSE)*E514,"0")</f>
        <v>300</v>
      </c>
      <c r="H514" s="334">
        <f t="shared" si="35"/>
        <v>45</v>
      </c>
      <c r="I514" s="165">
        <f t="shared" si="36"/>
        <v>345</v>
      </c>
    </row>
    <row r="515" spans="1:9" ht="12.75" hidden="1" x14ac:dyDescent="0.25">
      <c r="A515" s="167">
        <f t="shared" si="38"/>
        <v>514</v>
      </c>
      <c r="B515" s="168" t="s">
        <v>1024</v>
      </c>
      <c r="C515" s="168" t="str">
        <f>VLOOKUP(B515,MEMBERS!B:C,2, )</f>
        <v>MR. ANEEL ZAHOOR</v>
      </c>
      <c r="D515" s="188">
        <v>46001</v>
      </c>
      <c r="E515" s="175">
        <v>1</v>
      </c>
      <c r="F515" s="168" t="s">
        <v>786</v>
      </c>
      <c r="G515" s="165">
        <f>IFERROR(VLOOKUP(F515,'menu list'!B:C,2,FALSE)*E515,"0")</f>
        <v>1150</v>
      </c>
      <c r="H515" s="334">
        <f t="shared" ref="H515:H578" si="40">G515*15/100</f>
        <v>172.5</v>
      </c>
      <c r="I515" s="165">
        <f t="shared" ref="I515:I578" si="41">G515+H515</f>
        <v>1322.5</v>
      </c>
    </row>
    <row r="516" spans="1:9" ht="12.75" hidden="1" x14ac:dyDescent="0.25">
      <c r="A516" s="167">
        <f t="shared" si="38"/>
        <v>515</v>
      </c>
      <c r="B516" s="168" t="s">
        <v>1024</v>
      </c>
      <c r="C516" s="168" t="str">
        <f>VLOOKUP(B516,MEMBERS!B:C,2, )</f>
        <v>MR. ANEEL ZAHOOR</v>
      </c>
      <c r="D516" s="188">
        <v>46001</v>
      </c>
      <c r="E516" s="175">
        <v>1</v>
      </c>
      <c r="F516" s="168" t="s">
        <v>915</v>
      </c>
      <c r="G516" s="165">
        <f>IFERROR(VLOOKUP(F516,'menu list'!B:C,2,FALSE)*E516,"0")</f>
        <v>999</v>
      </c>
      <c r="H516" s="334">
        <f t="shared" si="40"/>
        <v>149.85</v>
      </c>
      <c r="I516" s="165">
        <f t="shared" si="41"/>
        <v>1148.8499999999999</v>
      </c>
    </row>
    <row r="517" spans="1:9" ht="12.75" hidden="1" x14ac:dyDescent="0.25">
      <c r="A517" s="167">
        <f t="shared" si="38"/>
        <v>516</v>
      </c>
      <c r="B517" s="168" t="s">
        <v>235</v>
      </c>
      <c r="C517" s="168" t="str">
        <f>VLOOKUP(B517,MEMBERS!B:C,2, )</f>
        <v>MR.IMRAN WAZEER</v>
      </c>
      <c r="D517" s="188">
        <v>46001</v>
      </c>
      <c r="E517" s="175">
        <v>1</v>
      </c>
      <c r="F517" s="168" t="s">
        <v>440</v>
      </c>
      <c r="G517" s="165">
        <f>IFERROR(VLOOKUP(F517,'menu list'!B:C,2,FALSE)*E517,"0")</f>
        <v>150</v>
      </c>
      <c r="H517" s="334">
        <f t="shared" si="40"/>
        <v>22.5</v>
      </c>
      <c r="I517" s="165">
        <f t="shared" si="41"/>
        <v>172.5</v>
      </c>
    </row>
    <row r="518" spans="1:9" ht="12.75" hidden="1" x14ac:dyDescent="0.25">
      <c r="A518" s="167">
        <f t="shared" ref="A518:A522" si="42">IF(D518&lt;&gt;"", ROW()-1, "")</f>
        <v>517</v>
      </c>
      <c r="B518" s="168" t="s">
        <v>235</v>
      </c>
      <c r="C518" s="168" t="str">
        <f>VLOOKUP(B518,MEMBERS!B:C,2, )</f>
        <v>MR.IMRAN WAZEER</v>
      </c>
      <c r="D518" s="188">
        <v>46001</v>
      </c>
      <c r="E518" s="175">
        <v>1</v>
      </c>
      <c r="F518" s="168" t="s">
        <v>801</v>
      </c>
      <c r="G518" s="165">
        <f>IFERROR(VLOOKUP(F518,'menu list'!B:C,2,FALSE)*E518,"0")</f>
        <v>700</v>
      </c>
      <c r="H518" s="334">
        <f t="shared" si="40"/>
        <v>105</v>
      </c>
      <c r="I518" s="165">
        <f t="shared" si="41"/>
        <v>805</v>
      </c>
    </row>
    <row r="519" spans="1:9" ht="12.75" hidden="1" x14ac:dyDescent="0.25">
      <c r="A519" s="167">
        <f t="shared" si="42"/>
        <v>518</v>
      </c>
      <c r="B519" s="168" t="s">
        <v>235</v>
      </c>
      <c r="C519" s="168" t="str">
        <f>VLOOKUP(B519,MEMBERS!B:C,2, )</f>
        <v>MR.IMRAN WAZEER</v>
      </c>
      <c r="D519" s="188">
        <v>46001</v>
      </c>
      <c r="E519" s="175">
        <v>2</v>
      </c>
      <c r="F519" s="168" t="s">
        <v>803</v>
      </c>
      <c r="G519" s="165">
        <f>IFERROR(VLOOKUP(F519,'menu list'!B:C,2,FALSE)*E519,"0")</f>
        <v>500</v>
      </c>
      <c r="H519" s="334">
        <f t="shared" si="40"/>
        <v>75</v>
      </c>
      <c r="I519" s="165">
        <f t="shared" si="41"/>
        <v>575</v>
      </c>
    </row>
    <row r="520" spans="1:9" ht="12.75" hidden="1" x14ac:dyDescent="0.25">
      <c r="A520" s="167">
        <f t="shared" si="42"/>
        <v>519</v>
      </c>
      <c r="B520" s="168" t="s">
        <v>235</v>
      </c>
      <c r="C520" s="168" t="str">
        <f>VLOOKUP(B520,MEMBERS!B:C,2, )</f>
        <v>MR.IMRAN WAZEER</v>
      </c>
      <c r="D520" s="188">
        <v>46001</v>
      </c>
      <c r="E520" s="175">
        <v>1</v>
      </c>
      <c r="F520" s="168" t="s">
        <v>497</v>
      </c>
      <c r="G520" s="165">
        <f>IFERROR(VLOOKUP(F520,'menu list'!B:C,2,FALSE)*E520,"0")</f>
        <v>250</v>
      </c>
      <c r="H520" s="334">
        <f t="shared" si="40"/>
        <v>37.5</v>
      </c>
      <c r="I520" s="165">
        <f t="shared" si="41"/>
        <v>287.5</v>
      </c>
    </row>
    <row r="521" spans="1:9" ht="12.75" hidden="1" x14ac:dyDescent="0.25">
      <c r="A521" s="167">
        <f t="shared" si="42"/>
        <v>520</v>
      </c>
      <c r="B521" s="168" t="s">
        <v>235</v>
      </c>
      <c r="C521" s="168" t="str">
        <f>VLOOKUP(B521,MEMBERS!B:C,2, )</f>
        <v>MR.IMRAN WAZEER</v>
      </c>
      <c r="D521" s="188">
        <v>46001</v>
      </c>
      <c r="E521" s="175">
        <v>1</v>
      </c>
      <c r="F521" s="168" t="s">
        <v>634</v>
      </c>
      <c r="G521" s="165">
        <f>IFERROR(VLOOKUP(F521,'menu list'!B:C,2,FALSE)*E521,"0")</f>
        <v>500</v>
      </c>
      <c r="H521" s="334">
        <f t="shared" si="40"/>
        <v>75</v>
      </c>
      <c r="I521" s="165">
        <f t="shared" si="41"/>
        <v>575</v>
      </c>
    </row>
    <row r="522" spans="1:9" ht="12.75" hidden="1" x14ac:dyDescent="0.25">
      <c r="A522" s="167">
        <f t="shared" si="42"/>
        <v>521</v>
      </c>
      <c r="B522" s="168" t="s">
        <v>15</v>
      </c>
      <c r="C522" s="168" t="str">
        <f>VLOOKUP(B522,MEMBERS!B:C,2, )</f>
        <v>MR.GHULAM NABI OTHI</v>
      </c>
      <c r="D522" s="188">
        <v>46002</v>
      </c>
      <c r="E522" s="175">
        <v>1</v>
      </c>
      <c r="F522" s="168" t="s">
        <v>503</v>
      </c>
      <c r="G522" s="165">
        <f>IFERROR(VLOOKUP(F522,'menu list'!B:C,2,FALSE)*E522,"0")</f>
        <v>1200</v>
      </c>
      <c r="H522" s="334">
        <f t="shared" si="40"/>
        <v>180</v>
      </c>
      <c r="I522" s="165">
        <f t="shared" si="41"/>
        <v>1380</v>
      </c>
    </row>
    <row r="523" spans="1:9" ht="12.75" hidden="1" x14ac:dyDescent="0.25">
      <c r="A523" s="167">
        <f t="shared" ref="A523:A556" si="43">IF(D523&lt;&gt;"", ROW()-1, "")</f>
        <v>522</v>
      </c>
      <c r="B523" s="168" t="s">
        <v>15</v>
      </c>
      <c r="C523" s="168" t="str">
        <f>VLOOKUP(B523,MEMBERS!B:C,2, )</f>
        <v>MR.GHULAM NABI OTHI</v>
      </c>
      <c r="D523" s="188">
        <v>46002</v>
      </c>
      <c r="E523" s="175">
        <v>2</v>
      </c>
      <c r="F523" s="168" t="s">
        <v>440</v>
      </c>
      <c r="G523" s="165">
        <f>IFERROR(VLOOKUP(F523,'menu list'!B:C,2,FALSE)*E523,"0")</f>
        <v>300</v>
      </c>
      <c r="H523" s="334">
        <f t="shared" si="40"/>
        <v>45</v>
      </c>
      <c r="I523" s="165">
        <f t="shared" si="41"/>
        <v>345</v>
      </c>
    </row>
    <row r="524" spans="1:9" ht="12.75" hidden="1" x14ac:dyDescent="0.25">
      <c r="A524" s="167">
        <f t="shared" si="43"/>
        <v>523</v>
      </c>
      <c r="B524" s="168" t="s">
        <v>15</v>
      </c>
      <c r="C524" s="168" t="str">
        <f>VLOOKUP(B524,MEMBERS!B:C,2, )</f>
        <v>MR.GHULAM NABI OTHI</v>
      </c>
      <c r="D524" s="188">
        <v>46002</v>
      </c>
      <c r="E524" s="175">
        <v>2</v>
      </c>
      <c r="F524" s="168" t="s">
        <v>915</v>
      </c>
      <c r="G524" s="165">
        <f>IFERROR(VLOOKUP(F524,'menu list'!B:C,2,FALSE)*E524,"0")</f>
        <v>1998</v>
      </c>
      <c r="H524" s="334">
        <f t="shared" si="40"/>
        <v>299.7</v>
      </c>
      <c r="I524" s="165">
        <f t="shared" si="41"/>
        <v>2297.6999999999998</v>
      </c>
    </row>
    <row r="525" spans="1:9" ht="12.75" hidden="1" x14ac:dyDescent="0.25">
      <c r="A525" s="167">
        <f t="shared" si="43"/>
        <v>524</v>
      </c>
      <c r="B525" s="168" t="s">
        <v>15</v>
      </c>
      <c r="C525" s="168" t="str">
        <f>VLOOKUP(B525,MEMBERS!B:C,2, )</f>
        <v>MR.GHULAM NABI OTHI</v>
      </c>
      <c r="D525" s="188">
        <v>46002</v>
      </c>
      <c r="E525" s="175">
        <v>1</v>
      </c>
      <c r="F525" s="168" t="s">
        <v>786</v>
      </c>
      <c r="G525" s="165">
        <f>IFERROR(VLOOKUP(F525,'menu list'!B:C,2,FALSE)*E525,"0")</f>
        <v>1150</v>
      </c>
      <c r="H525" s="334">
        <f t="shared" si="40"/>
        <v>172.5</v>
      </c>
      <c r="I525" s="165">
        <f t="shared" si="41"/>
        <v>1322.5</v>
      </c>
    </row>
    <row r="526" spans="1:9" ht="12.75" hidden="1" x14ac:dyDescent="0.25">
      <c r="A526" s="167">
        <f t="shared" si="43"/>
        <v>525</v>
      </c>
      <c r="B526" s="168" t="s">
        <v>15</v>
      </c>
      <c r="C526" s="168" t="str">
        <f>VLOOKUP(B526,MEMBERS!B:C,2, )</f>
        <v>MR.GHULAM NABI OTHI</v>
      </c>
      <c r="D526" s="188">
        <v>46002</v>
      </c>
      <c r="E526" s="175">
        <v>1</v>
      </c>
      <c r="F526" s="168" t="s">
        <v>770</v>
      </c>
      <c r="G526" s="165">
        <f>IFERROR(VLOOKUP(F526,'menu list'!B:C,2,FALSE)*E526,"0")</f>
        <v>1000</v>
      </c>
      <c r="H526" s="334">
        <f t="shared" si="40"/>
        <v>150</v>
      </c>
      <c r="I526" s="165">
        <f t="shared" si="41"/>
        <v>1150</v>
      </c>
    </row>
    <row r="527" spans="1:9" ht="12.75" hidden="1" x14ac:dyDescent="0.25">
      <c r="A527" s="167">
        <f t="shared" si="43"/>
        <v>526</v>
      </c>
      <c r="B527" s="168" t="s">
        <v>15</v>
      </c>
      <c r="C527" s="168" t="str">
        <f>VLOOKUP(B527,MEMBERS!B:C,2, )</f>
        <v>MR.GHULAM NABI OTHI</v>
      </c>
      <c r="D527" s="188">
        <v>46002</v>
      </c>
      <c r="E527" s="175">
        <v>2</v>
      </c>
      <c r="F527" s="168" t="s">
        <v>939</v>
      </c>
      <c r="G527" s="165">
        <f>IFERROR(VLOOKUP(F527,'menu list'!B:C,2,FALSE)*E527,"0")</f>
        <v>2400</v>
      </c>
      <c r="H527" s="334">
        <f t="shared" si="40"/>
        <v>360</v>
      </c>
      <c r="I527" s="165">
        <f t="shared" si="41"/>
        <v>2760</v>
      </c>
    </row>
    <row r="528" spans="1:9" ht="12.75" hidden="1" x14ac:dyDescent="0.25">
      <c r="A528" s="167">
        <f t="shared" si="43"/>
        <v>527</v>
      </c>
      <c r="B528" s="168" t="s">
        <v>15</v>
      </c>
      <c r="C528" s="168" t="str">
        <f>VLOOKUP(B528,MEMBERS!B:C,2, )</f>
        <v>MR.GHULAM NABI OTHI</v>
      </c>
      <c r="D528" s="188">
        <v>46002</v>
      </c>
      <c r="E528" s="175">
        <v>4</v>
      </c>
      <c r="F528" s="168" t="s">
        <v>504</v>
      </c>
      <c r="G528" s="165">
        <f>IFERROR(VLOOKUP(F528,'menu list'!B:C,2,FALSE)*E528,"0")</f>
        <v>520</v>
      </c>
      <c r="H528" s="334">
        <f t="shared" si="40"/>
        <v>78</v>
      </c>
      <c r="I528" s="165">
        <f t="shared" si="41"/>
        <v>598</v>
      </c>
    </row>
    <row r="529" spans="1:9" ht="12.75" hidden="1" x14ac:dyDescent="0.25">
      <c r="A529" s="167">
        <f t="shared" si="43"/>
        <v>528</v>
      </c>
      <c r="B529" s="168" t="s">
        <v>15</v>
      </c>
      <c r="C529" s="168" t="str">
        <f>VLOOKUP(B529,MEMBERS!B:C,2, )</f>
        <v>MR.GHULAM NABI OTHI</v>
      </c>
      <c r="D529" s="188">
        <v>46002</v>
      </c>
      <c r="E529" s="175">
        <v>1</v>
      </c>
      <c r="F529" s="168" t="s">
        <v>441</v>
      </c>
      <c r="G529" s="165">
        <f>IFERROR(VLOOKUP(F529,'menu list'!B:C,2,FALSE)*E529,"0")</f>
        <v>200</v>
      </c>
      <c r="H529" s="334">
        <f t="shared" si="40"/>
        <v>30</v>
      </c>
      <c r="I529" s="165">
        <f t="shared" si="41"/>
        <v>230</v>
      </c>
    </row>
    <row r="530" spans="1:9" ht="12.75" hidden="1" x14ac:dyDescent="0.25">
      <c r="A530" s="167">
        <f t="shared" si="43"/>
        <v>529</v>
      </c>
      <c r="B530" s="168" t="s">
        <v>15</v>
      </c>
      <c r="C530" s="168" t="str">
        <f>VLOOKUP(B530,MEMBERS!B:C,2, )</f>
        <v>MR.GHULAM NABI OTHI</v>
      </c>
      <c r="D530" s="188">
        <v>46002</v>
      </c>
      <c r="E530" s="175">
        <v>2</v>
      </c>
      <c r="F530" s="168" t="s">
        <v>439</v>
      </c>
      <c r="G530" s="165">
        <f>IFERROR(VLOOKUP(F530,'menu list'!B:C,2,FALSE)*E530,"0")</f>
        <v>140</v>
      </c>
      <c r="H530" s="334">
        <f t="shared" si="40"/>
        <v>21</v>
      </c>
      <c r="I530" s="165">
        <f t="shared" si="41"/>
        <v>161</v>
      </c>
    </row>
    <row r="531" spans="1:9" ht="12.75" hidden="1" x14ac:dyDescent="0.25">
      <c r="A531" s="167">
        <f t="shared" si="43"/>
        <v>530</v>
      </c>
      <c r="B531" s="168" t="s">
        <v>15</v>
      </c>
      <c r="C531" s="168" t="str">
        <f>VLOOKUP(B531,MEMBERS!B:C,2, )</f>
        <v>MR.GHULAM NABI OTHI</v>
      </c>
      <c r="D531" s="188">
        <v>46002</v>
      </c>
      <c r="E531" s="175">
        <v>3</v>
      </c>
      <c r="F531" s="168" t="s">
        <v>593</v>
      </c>
      <c r="G531" s="165">
        <f>IFERROR(VLOOKUP(F531,'menu list'!B:C,2,FALSE)*E531,"0")</f>
        <v>900</v>
      </c>
      <c r="H531" s="334">
        <f t="shared" si="40"/>
        <v>135</v>
      </c>
      <c r="I531" s="165">
        <f t="shared" si="41"/>
        <v>1035</v>
      </c>
    </row>
    <row r="532" spans="1:9" ht="12.75" hidden="1" x14ac:dyDescent="0.25">
      <c r="A532" s="167">
        <f t="shared" si="43"/>
        <v>531</v>
      </c>
      <c r="B532" s="168" t="s">
        <v>273</v>
      </c>
      <c r="C532" s="168" t="str">
        <f>VLOOKUP(B532,MEMBERS!B:C,2, )</f>
        <v>MR.SYED MURTAZA ALI</v>
      </c>
      <c r="D532" s="188">
        <v>46002</v>
      </c>
      <c r="E532" s="175">
        <v>1</v>
      </c>
      <c r="F532" s="168" t="s">
        <v>844</v>
      </c>
      <c r="G532" s="165">
        <f>IFERROR(VLOOKUP(F532,'menu list'!B:C,2,FALSE)*E532,"0")</f>
        <v>900</v>
      </c>
      <c r="H532" s="334">
        <f t="shared" si="40"/>
        <v>135</v>
      </c>
      <c r="I532" s="165">
        <f t="shared" si="41"/>
        <v>1035</v>
      </c>
    </row>
    <row r="533" spans="1:9" ht="12.75" hidden="1" x14ac:dyDescent="0.25">
      <c r="A533" s="167">
        <f t="shared" si="43"/>
        <v>532</v>
      </c>
      <c r="B533" s="168" t="s">
        <v>273</v>
      </c>
      <c r="C533" s="168" t="str">
        <f>VLOOKUP(B533,MEMBERS!B:C,2, )</f>
        <v>MR.SYED MURTAZA ALI</v>
      </c>
      <c r="D533" s="188">
        <v>46002</v>
      </c>
      <c r="E533" s="175">
        <v>1</v>
      </c>
      <c r="F533" s="168" t="s">
        <v>803</v>
      </c>
      <c r="G533" s="165">
        <f>IFERROR(VLOOKUP(F533,'menu list'!B:C,2,FALSE)*E533,"0")</f>
        <v>250</v>
      </c>
      <c r="H533" s="334">
        <f t="shared" si="40"/>
        <v>37.5</v>
      </c>
      <c r="I533" s="165">
        <f t="shared" si="41"/>
        <v>287.5</v>
      </c>
    </row>
    <row r="534" spans="1:9" ht="12.75" hidden="1" x14ac:dyDescent="0.25">
      <c r="A534" s="167">
        <f t="shared" si="43"/>
        <v>533</v>
      </c>
      <c r="B534" s="168" t="s">
        <v>273</v>
      </c>
      <c r="C534" s="168" t="str">
        <f>VLOOKUP(B534,MEMBERS!B:C,2, )</f>
        <v>MR.SYED MURTAZA ALI</v>
      </c>
      <c r="D534" s="188">
        <v>46002</v>
      </c>
      <c r="E534" s="175">
        <v>1</v>
      </c>
      <c r="F534" s="168" t="s">
        <v>442</v>
      </c>
      <c r="G534" s="165">
        <f>IFERROR(VLOOKUP(F534,'menu list'!B:C,2,FALSE)*E534,"0")</f>
        <v>150</v>
      </c>
      <c r="H534" s="334">
        <f t="shared" si="40"/>
        <v>22.5</v>
      </c>
      <c r="I534" s="165">
        <f t="shared" si="41"/>
        <v>172.5</v>
      </c>
    </row>
    <row r="535" spans="1:9" ht="12.75" hidden="1" x14ac:dyDescent="0.25">
      <c r="A535" s="167">
        <f t="shared" si="43"/>
        <v>534</v>
      </c>
      <c r="B535" s="168" t="s">
        <v>263</v>
      </c>
      <c r="C535" s="168" t="str">
        <f>VLOOKUP(B535,MEMBERS!B:C,2, )</f>
        <v>MR.CAREL HEDRIK BURGER</v>
      </c>
      <c r="D535" s="188">
        <v>46002</v>
      </c>
      <c r="E535" s="175">
        <v>2</v>
      </c>
      <c r="F535" s="168" t="s">
        <v>640</v>
      </c>
      <c r="G535" s="165">
        <f>IFERROR(VLOOKUP(F535,'menu list'!B:C,2,FALSE)*E535,"0")</f>
        <v>400</v>
      </c>
      <c r="H535" s="334">
        <f t="shared" si="40"/>
        <v>60</v>
      </c>
      <c r="I535" s="165">
        <f t="shared" si="41"/>
        <v>460</v>
      </c>
    </row>
    <row r="536" spans="1:9" ht="12.75" hidden="1" x14ac:dyDescent="0.25">
      <c r="A536" s="167">
        <f t="shared" si="43"/>
        <v>535</v>
      </c>
      <c r="B536" s="168" t="s">
        <v>263</v>
      </c>
      <c r="C536" s="168" t="str">
        <f>VLOOKUP(B536,MEMBERS!B:C,2, )</f>
        <v>MR.CAREL HEDRIK BURGER</v>
      </c>
      <c r="D536" s="188">
        <v>46002</v>
      </c>
      <c r="E536" s="175">
        <v>1</v>
      </c>
      <c r="F536" s="168" t="s">
        <v>500</v>
      </c>
      <c r="G536" s="165">
        <f>IFERROR(VLOOKUP(F536,'menu list'!B:C,2,FALSE)*E536,"0")</f>
        <v>1250</v>
      </c>
      <c r="H536" s="334">
        <f t="shared" si="40"/>
        <v>187.5</v>
      </c>
      <c r="I536" s="165">
        <f t="shared" si="41"/>
        <v>1437.5</v>
      </c>
    </row>
    <row r="537" spans="1:9" ht="12.75" hidden="1" x14ac:dyDescent="0.25">
      <c r="A537" s="167">
        <f t="shared" si="43"/>
        <v>536</v>
      </c>
      <c r="B537" s="168" t="s">
        <v>69</v>
      </c>
      <c r="C537" s="168" t="str">
        <f>VLOOKUP(B537,MEMBERS!B:C,2, )</f>
        <v>MR.TARIQUE ZUBAIR</v>
      </c>
      <c r="D537" s="188">
        <v>46002</v>
      </c>
      <c r="E537" s="175">
        <v>4</v>
      </c>
      <c r="F537" s="168" t="s">
        <v>439</v>
      </c>
      <c r="G537" s="165">
        <f>IFERROR(VLOOKUP(F537,'menu list'!B:C,2,FALSE)*E537,"0")</f>
        <v>280</v>
      </c>
      <c r="H537" s="334">
        <f t="shared" si="40"/>
        <v>42</v>
      </c>
      <c r="I537" s="165">
        <f t="shared" si="41"/>
        <v>322</v>
      </c>
    </row>
    <row r="538" spans="1:9" ht="12.75" hidden="1" x14ac:dyDescent="0.25">
      <c r="A538" s="167">
        <f t="shared" si="43"/>
        <v>537</v>
      </c>
      <c r="B538" s="168" t="s">
        <v>69</v>
      </c>
      <c r="C538" s="168" t="str">
        <f>VLOOKUP(B538,MEMBERS!B:C,2, )</f>
        <v>MR.TARIQUE ZUBAIR</v>
      </c>
      <c r="D538" s="188">
        <v>46002</v>
      </c>
      <c r="E538" s="175">
        <v>1</v>
      </c>
      <c r="F538" s="168" t="s">
        <v>939</v>
      </c>
      <c r="G538" s="165">
        <f>IFERROR(VLOOKUP(F538,'menu list'!B:C,2,FALSE)*E538,"0")</f>
        <v>1200</v>
      </c>
      <c r="H538" s="334">
        <f t="shared" si="40"/>
        <v>180</v>
      </c>
      <c r="I538" s="165">
        <f t="shared" si="41"/>
        <v>1380</v>
      </c>
    </row>
    <row r="539" spans="1:9" ht="12.75" hidden="1" x14ac:dyDescent="0.25">
      <c r="A539" s="167">
        <f t="shared" si="43"/>
        <v>538</v>
      </c>
      <c r="B539" s="168" t="s">
        <v>376</v>
      </c>
      <c r="C539" s="168" t="str">
        <f>VLOOKUP(B539,MEMBERS!B:C,2, )</f>
        <v>KHURRAM FIRDOUS</v>
      </c>
      <c r="D539" s="188">
        <v>46003</v>
      </c>
      <c r="E539" s="175">
        <v>2</v>
      </c>
      <c r="F539" s="168" t="s">
        <v>442</v>
      </c>
      <c r="G539" s="165">
        <f>IFERROR(VLOOKUP(F539,'menu list'!B:C,2,FALSE)*E539,"0")</f>
        <v>300</v>
      </c>
      <c r="H539" s="334">
        <f t="shared" si="40"/>
        <v>45</v>
      </c>
      <c r="I539" s="165">
        <f t="shared" si="41"/>
        <v>345</v>
      </c>
    </row>
    <row r="540" spans="1:9" ht="12.75" hidden="1" x14ac:dyDescent="0.25">
      <c r="A540" s="167">
        <f t="shared" si="43"/>
        <v>539</v>
      </c>
      <c r="B540" s="168" t="s">
        <v>395</v>
      </c>
      <c r="C540" s="168" t="str">
        <f>VLOOKUP(B540,MEMBERS!B:C,2, )</f>
        <v>BAHRIA INTERNATIONAL HOSPITAL</v>
      </c>
      <c r="D540" s="188">
        <v>46003</v>
      </c>
      <c r="E540" s="175">
        <v>30</v>
      </c>
      <c r="F540" s="168" t="s">
        <v>775</v>
      </c>
      <c r="G540" s="165">
        <f>IFERROR(VLOOKUP(F540,'menu list'!B:C,2,FALSE)*E540,"0")</f>
        <v>3000</v>
      </c>
      <c r="H540" s="334"/>
      <c r="I540" s="165">
        <f t="shared" si="41"/>
        <v>3000</v>
      </c>
    </row>
    <row r="541" spans="1:9" ht="12.75" hidden="1" x14ac:dyDescent="0.25">
      <c r="A541" s="167">
        <f t="shared" si="43"/>
        <v>540</v>
      </c>
      <c r="B541" s="168" t="s">
        <v>395</v>
      </c>
      <c r="C541" s="168" t="str">
        <f>VLOOKUP(B541,MEMBERS!B:C,2, )</f>
        <v>BAHRIA INTERNATIONAL HOSPITAL</v>
      </c>
      <c r="D541" s="188">
        <v>46003</v>
      </c>
      <c r="E541" s="175">
        <v>11</v>
      </c>
      <c r="F541" s="168" t="s">
        <v>516</v>
      </c>
      <c r="G541" s="165">
        <f>IFERROR(VLOOKUP(F541,'menu list'!B:C,2,FALSE)*E541,"0")</f>
        <v>2750</v>
      </c>
      <c r="H541" s="334"/>
      <c r="I541" s="165">
        <f t="shared" si="41"/>
        <v>2750</v>
      </c>
    </row>
    <row r="542" spans="1:9" ht="12.75" hidden="1" x14ac:dyDescent="0.25">
      <c r="A542" s="167">
        <f t="shared" si="43"/>
        <v>541</v>
      </c>
      <c r="B542" s="168" t="s">
        <v>395</v>
      </c>
      <c r="C542" s="168" t="str">
        <f>VLOOKUP(B542,MEMBERS!B:C,2, )</f>
        <v>BAHRIA INTERNATIONAL HOSPITAL</v>
      </c>
      <c r="D542" s="188">
        <v>46003</v>
      </c>
      <c r="E542" s="175">
        <v>8</v>
      </c>
      <c r="F542" s="168" t="s">
        <v>515</v>
      </c>
      <c r="G542" s="165">
        <f>IFERROR(VLOOKUP(F542,'menu list'!B:C,2,FALSE)*E542,"0")</f>
        <v>3200</v>
      </c>
      <c r="H542" s="334"/>
      <c r="I542" s="165">
        <f t="shared" si="41"/>
        <v>3200</v>
      </c>
    </row>
    <row r="543" spans="1:9" ht="12.75" hidden="1" x14ac:dyDescent="0.25">
      <c r="A543" s="167">
        <f t="shared" si="43"/>
        <v>542</v>
      </c>
      <c r="B543" s="168" t="s">
        <v>15</v>
      </c>
      <c r="C543" s="168" t="str">
        <f>VLOOKUP(B543,MEMBERS!B:C,2, )</f>
        <v>MR.GHULAM NABI OTHI</v>
      </c>
      <c r="D543" s="188">
        <v>46003</v>
      </c>
      <c r="E543" s="175">
        <v>1</v>
      </c>
      <c r="F543" s="168" t="s">
        <v>733</v>
      </c>
      <c r="G543" s="165">
        <f>IFERROR(VLOOKUP(F543,'menu list'!B:C,2,FALSE)*E543,"0")</f>
        <v>300</v>
      </c>
      <c r="H543" s="334">
        <f t="shared" si="40"/>
        <v>45</v>
      </c>
      <c r="I543" s="165">
        <f t="shared" si="41"/>
        <v>345</v>
      </c>
    </row>
    <row r="544" spans="1:9" ht="12.75" hidden="1" x14ac:dyDescent="0.25">
      <c r="A544" s="167">
        <f t="shared" si="43"/>
        <v>543</v>
      </c>
      <c r="B544" s="168" t="s">
        <v>15</v>
      </c>
      <c r="C544" s="168" t="str">
        <f>VLOOKUP(B544,MEMBERS!B:C,2, )</f>
        <v>MR.GHULAM NABI OTHI</v>
      </c>
      <c r="D544" s="188">
        <v>46003</v>
      </c>
      <c r="E544" s="175">
        <v>16</v>
      </c>
      <c r="F544" s="168" t="s">
        <v>628</v>
      </c>
      <c r="G544" s="165">
        <f>IFERROR(VLOOKUP(F544,'menu list'!B:C,2,FALSE)*E544,"0")</f>
        <v>8800</v>
      </c>
      <c r="H544" s="334">
        <f t="shared" si="40"/>
        <v>1320</v>
      </c>
      <c r="I544" s="165">
        <f t="shared" si="41"/>
        <v>10120</v>
      </c>
    </row>
    <row r="545" spans="1:9" ht="12.75" hidden="1" x14ac:dyDescent="0.25">
      <c r="A545" s="167">
        <f t="shared" si="43"/>
        <v>544</v>
      </c>
      <c r="B545" s="168" t="s">
        <v>273</v>
      </c>
      <c r="C545" s="168" t="str">
        <f>VLOOKUP(B545,MEMBERS!B:C,2, )</f>
        <v>MR.SYED MURTAZA ALI</v>
      </c>
      <c r="D545" s="188">
        <v>46003</v>
      </c>
      <c r="E545" s="175">
        <v>2</v>
      </c>
      <c r="F545" s="168" t="s">
        <v>833</v>
      </c>
      <c r="G545" s="165">
        <f>IFERROR(VLOOKUP(F545,'menu list'!B:C,2,FALSE)*E545,"0")</f>
        <v>700</v>
      </c>
      <c r="H545" s="334">
        <f t="shared" si="40"/>
        <v>105</v>
      </c>
      <c r="I545" s="165">
        <f t="shared" si="41"/>
        <v>805</v>
      </c>
    </row>
    <row r="546" spans="1:9" ht="12.75" hidden="1" x14ac:dyDescent="0.25">
      <c r="A546" s="167">
        <f t="shared" si="43"/>
        <v>545</v>
      </c>
      <c r="B546" s="168" t="s">
        <v>376</v>
      </c>
      <c r="C546" s="168" t="str">
        <f>VLOOKUP(B546,MEMBERS!B:C,2, )</f>
        <v>KHURRAM FIRDOUS</v>
      </c>
      <c r="D546" s="188">
        <v>46003</v>
      </c>
      <c r="E546" s="175">
        <v>1</v>
      </c>
      <c r="F546" s="168" t="s">
        <v>440</v>
      </c>
      <c r="G546" s="165">
        <f>IFERROR(VLOOKUP(F546,'menu list'!B:C,2,FALSE)*E546,"0")</f>
        <v>150</v>
      </c>
      <c r="H546" s="334">
        <f t="shared" si="40"/>
        <v>22.5</v>
      </c>
      <c r="I546" s="165">
        <f t="shared" si="41"/>
        <v>172.5</v>
      </c>
    </row>
    <row r="547" spans="1:9" ht="12.75" hidden="1" x14ac:dyDescent="0.25">
      <c r="A547" s="167">
        <f t="shared" si="43"/>
        <v>546</v>
      </c>
      <c r="B547" s="168" t="s">
        <v>376</v>
      </c>
      <c r="C547" s="168" t="str">
        <f>VLOOKUP(B547,MEMBERS!B:C,2, )</f>
        <v>KHURRAM FIRDOUS</v>
      </c>
      <c r="D547" s="188">
        <v>46003</v>
      </c>
      <c r="E547" s="175">
        <v>1</v>
      </c>
      <c r="F547" s="168" t="s">
        <v>775</v>
      </c>
      <c r="G547" s="165">
        <f>IFERROR(VLOOKUP(F547,'menu list'!B:C,2,FALSE)*E547,"0")</f>
        <v>100</v>
      </c>
      <c r="H547" s="334">
        <f t="shared" si="40"/>
        <v>15</v>
      </c>
      <c r="I547" s="165">
        <f t="shared" si="41"/>
        <v>115</v>
      </c>
    </row>
    <row r="548" spans="1:9" ht="12.75" hidden="1" x14ac:dyDescent="0.25">
      <c r="A548" s="167">
        <f t="shared" si="43"/>
        <v>547</v>
      </c>
      <c r="B548" s="168" t="s">
        <v>376</v>
      </c>
      <c r="C548" s="168" t="str">
        <f>VLOOKUP(B548,MEMBERS!B:C,2, )</f>
        <v>KHURRAM FIRDOUS</v>
      </c>
      <c r="D548" s="188">
        <v>46003</v>
      </c>
      <c r="E548" s="175">
        <v>1</v>
      </c>
      <c r="F548" s="168" t="s">
        <v>498</v>
      </c>
      <c r="G548" s="165">
        <f>IFERROR(VLOOKUP(F548,'menu list'!B:C,2,FALSE)*E548,"0")</f>
        <v>200</v>
      </c>
      <c r="H548" s="334">
        <f t="shared" si="40"/>
        <v>30</v>
      </c>
      <c r="I548" s="165">
        <f t="shared" si="41"/>
        <v>230</v>
      </c>
    </row>
    <row r="549" spans="1:9" ht="12.75" hidden="1" x14ac:dyDescent="0.25">
      <c r="A549" s="167">
        <f t="shared" si="43"/>
        <v>548</v>
      </c>
      <c r="B549" s="168" t="s">
        <v>376</v>
      </c>
      <c r="C549" s="168" t="str">
        <f>VLOOKUP(B549,MEMBERS!B:C,2, )</f>
        <v>KHURRAM FIRDOUS</v>
      </c>
      <c r="D549" s="188">
        <v>46003</v>
      </c>
      <c r="E549" s="175">
        <v>1</v>
      </c>
      <c r="F549" s="168" t="s">
        <v>787</v>
      </c>
      <c r="G549" s="165">
        <f>IFERROR(VLOOKUP(F549,'menu list'!B:C,2,FALSE)*E549,"0")</f>
        <v>900</v>
      </c>
      <c r="H549" s="334">
        <f t="shared" si="40"/>
        <v>135</v>
      </c>
      <c r="I549" s="165">
        <f t="shared" si="41"/>
        <v>1035</v>
      </c>
    </row>
    <row r="550" spans="1:9" ht="12.75" hidden="1" x14ac:dyDescent="0.25">
      <c r="A550" s="167">
        <f t="shared" si="43"/>
        <v>549</v>
      </c>
      <c r="B550" s="168" t="s">
        <v>376</v>
      </c>
      <c r="C550" s="168" t="str">
        <f>VLOOKUP(B550,MEMBERS!B:C,2, )</f>
        <v>KHURRAM FIRDOUS</v>
      </c>
      <c r="D550" s="188">
        <v>46003</v>
      </c>
      <c r="E550" s="175">
        <v>2</v>
      </c>
      <c r="F550" s="168" t="s">
        <v>500</v>
      </c>
      <c r="G550" s="165">
        <f>IFERROR(VLOOKUP(F550,'menu list'!B:C,2,FALSE)*E550,"0")</f>
        <v>2500</v>
      </c>
      <c r="H550" s="334">
        <f t="shared" si="40"/>
        <v>375</v>
      </c>
      <c r="I550" s="165">
        <f t="shared" si="41"/>
        <v>2875</v>
      </c>
    </row>
    <row r="551" spans="1:9" ht="12.75" hidden="1" x14ac:dyDescent="0.25">
      <c r="A551" s="167">
        <f t="shared" si="43"/>
        <v>550</v>
      </c>
      <c r="B551" s="168" t="s">
        <v>376</v>
      </c>
      <c r="C551" s="168" t="str">
        <f>VLOOKUP(B551,MEMBERS!B:C,2, )</f>
        <v>KHURRAM FIRDOUS</v>
      </c>
      <c r="D551" s="188">
        <v>46003</v>
      </c>
      <c r="E551" s="175">
        <v>1</v>
      </c>
      <c r="F551" s="168" t="s">
        <v>901</v>
      </c>
      <c r="G551" s="165">
        <f>IFERROR(VLOOKUP(F551,'menu list'!B:C,2,FALSE)*E551,"0")</f>
        <v>800</v>
      </c>
      <c r="H551" s="334">
        <f t="shared" si="40"/>
        <v>120</v>
      </c>
      <c r="I551" s="165">
        <f t="shared" si="41"/>
        <v>920</v>
      </c>
    </row>
    <row r="552" spans="1:9" ht="12.75" hidden="1" x14ac:dyDescent="0.25">
      <c r="A552" s="167">
        <f t="shared" si="43"/>
        <v>551</v>
      </c>
      <c r="B552" s="168" t="s">
        <v>376</v>
      </c>
      <c r="C552" s="168" t="str">
        <f>VLOOKUP(B552,MEMBERS!B:C,2, )</f>
        <v>KHURRAM FIRDOUS</v>
      </c>
      <c r="D552" s="188">
        <v>46003</v>
      </c>
      <c r="E552" s="175">
        <v>1</v>
      </c>
      <c r="F552" s="168" t="s">
        <v>497</v>
      </c>
      <c r="G552" s="165">
        <f>IFERROR(VLOOKUP(F552,'menu list'!B:C,2,FALSE)*E552,"0")</f>
        <v>250</v>
      </c>
      <c r="H552" s="334">
        <f t="shared" si="40"/>
        <v>37.5</v>
      </c>
      <c r="I552" s="165">
        <f t="shared" si="41"/>
        <v>287.5</v>
      </c>
    </row>
    <row r="553" spans="1:9" ht="12.75" hidden="1" x14ac:dyDescent="0.25">
      <c r="A553" s="167">
        <f t="shared" si="43"/>
        <v>552</v>
      </c>
      <c r="B553" s="168" t="s">
        <v>376</v>
      </c>
      <c r="C553" s="168" t="str">
        <f>VLOOKUP(B553,MEMBERS!B:C,2, )</f>
        <v>KHURRAM FIRDOUS</v>
      </c>
      <c r="D553" s="188">
        <v>46003</v>
      </c>
      <c r="E553" s="175">
        <v>2</v>
      </c>
      <c r="F553" s="168" t="s">
        <v>623</v>
      </c>
      <c r="G553" s="165">
        <f>IFERROR(VLOOKUP(F553,'menu list'!B:C,2,FALSE)*E553,"0")</f>
        <v>300</v>
      </c>
      <c r="H553" s="334">
        <f t="shared" si="40"/>
        <v>45</v>
      </c>
      <c r="I553" s="165">
        <f t="shared" si="41"/>
        <v>345</v>
      </c>
    </row>
    <row r="554" spans="1:9" ht="12.75" hidden="1" x14ac:dyDescent="0.25">
      <c r="A554" s="167">
        <f t="shared" si="43"/>
        <v>553</v>
      </c>
      <c r="B554" s="168" t="s">
        <v>376</v>
      </c>
      <c r="C554" s="168" t="str">
        <f>VLOOKUP(B554,MEMBERS!B:C,2, )</f>
        <v>KHURRAM FIRDOUS</v>
      </c>
      <c r="D554" s="188">
        <v>46003</v>
      </c>
      <c r="E554" s="175">
        <v>1</v>
      </c>
      <c r="F554" s="168" t="s">
        <v>440</v>
      </c>
      <c r="G554" s="165">
        <f>IFERROR(VLOOKUP(F554,'menu list'!B:C,2,FALSE)*E554,"0")</f>
        <v>150</v>
      </c>
      <c r="H554" s="334">
        <f t="shared" si="40"/>
        <v>22.5</v>
      </c>
      <c r="I554" s="165">
        <f t="shared" si="41"/>
        <v>172.5</v>
      </c>
    </row>
    <row r="555" spans="1:9" ht="12.75" hidden="1" x14ac:dyDescent="0.25">
      <c r="A555" s="167">
        <f t="shared" si="43"/>
        <v>554</v>
      </c>
      <c r="B555" s="168" t="s">
        <v>376</v>
      </c>
      <c r="C555" s="168" t="str">
        <f>VLOOKUP(B555,MEMBERS!B:C,2, )</f>
        <v>KHURRAM FIRDOUS</v>
      </c>
      <c r="D555" s="188">
        <v>46003</v>
      </c>
      <c r="E555" s="175">
        <v>1</v>
      </c>
      <c r="F555" s="168" t="s">
        <v>653</v>
      </c>
      <c r="G555" s="165">
        <f>IFERROR(VLOOKUP(F555,'menu list'!B:C,2,FALSE)*E555,"0")</f>
        <v>350</v>
      </c>
      <c r="H555" s="334">
        <f t="shared" si="40"/>
        <v>52.5</v>
      </c>
      <c r="I555" s="165">
        <f t="shared" si="41"/>
        <v>402.5</v>
      </c>
    </row>
    <row r="556" spans="1:9" ht="12.75" hidden="1" x14ac:dyDescent="0.25">
      <c r="A556" s="167">
        <f t="shared" si="43"/>
        <v>555</v>
      </c>
      <c r="B556" s="168" t="s">
        <v>113</v>
      </c>
      <c r="C556" s="168" t="str">
        <f>VLOOKUP(B556,MEMBERS!B:C,2, )</f>
        <v>MR.MANOJ KUMAR</v>
      </c>
      <c r="D556" s="188">
        <v>46003</v>
      </c>
      <c r="E556" s="175">
        <v>2</v>
      </c>
      <c r="F556" s="168" t="s">
        <v>653</v>
      </c>
      <c r="G556" s="165">
        <f>IFERROR(VLOOKUP(F556,'menu list'!B:C,2,FALSE)*E556,"0")</f>
        <v>700</v>
      </c>
      <c r="H556" s="334">
        <f t="shared" si="40"/>
        <v>105</v>
      </c>
      <c r="I556" s="165">
        <f t="shared" si="41"/>
        <v>805</v>
      </c>
    </row>
    <row r="557" spans="1:9" ht="12.75" hidden="1" x14ac:dyDescent="0.25">
      <c r="A557" s="167">
        <f t="shared" ref="A557:A600" si="44">IF(D557&lt;&gt;"", ROW()-1, "")</f>
        <v>556</v>
      </c>
      <c r="B557" s="168" t="s">
        <v>113</v>
      </c>
      <c r="C557" s="168" t="str">
        <f>VLOOKUP(B557,MEMBERS!B:C,2, )</f>
        <v>MR.MANOJ KUMAR</v>
      </c>
      <c r="D557" s="188">
        <v>46003</v>
      </c>
      <c r="E557" s="175">
        <v>2</v>
      </c>
      <c r="F557" s="168" t="s">
        <v>500</v>
      </c>
      <c r="G557" s="165">
        <f>IFERROR(VLOOKUP(F557,'menu list'!B:C,2,FALSE)*E557,"0")</f>
        <v>2500</v>
      </c>
      <c r="H557" s="334">
        <f t="shared" si="40"/>
        <v>375</v>
      </c>
      <c r="I557" s="165">
        <f t="shared" si="41"/>
        <v>2875</v>
      </c>
    </row>
    <row r="558" spans="1:9" ht="12.75" hidden="1" x14ac:dyDescent="0.25">
      <c r="A558" s="167">
        <f t="shared" si="44"/>
        <v>557</v>
      </c>
      <c r="B558" s="168" t="s">
        <v>113</v>
      </c>
      <c r="C558" s="168" t="str">
        <f>VLOOKUP(B558,MEMBERS!B:C,2, )</f>
        <v>MR.MANOJ KUMAR</v>
      </c>
      <c r="D558" s="188">
        <v>46003</v>
      </c>
      <c r="E558" s="175">
        <v>1</v>
      </c>
      <c r="F558" s="168" t="s">
        <v>785</v>
      </c>
      <c r="G558" s="165">
        <f>IFERROR(VLOOKUP(F558,'menu list'!B:C,2,FALSE)*E558,"0")</f>
        <v>950</v>
      </c>
      <c r="H558" s="334">
        <f t="shared" si="40"/>
        <v>142.5</v>
      </c>
      <c r="I558" s="165">
        <f t="shared" si="41"/>
        <v>1092.5</v>
      </c>
    </row>
    <row r="559" spans="1:9" ht="12.75" hidden="1" x14ac:dyDescent="0.25">
      <c r="A559" s="167">
        <f t="shared" si="44"/>
        <v>558</v>
      </c>
      <c r="B559" s="168" t="s">
        <v>113</v>
      </c>
      <c r="C559" s="168" t="str">
        <f>VLOOKUP(B559,MEMBERS!B:C,2, )</f>
        <v>MR.MANOJ KUMAR</v>
      </c>
      <c r="D559" s="188">
        <v>46003</v>
      </c>
      <c r="E559" s="175">
        <v>1</v>
      </c>
      <c r="F559" s="168" t="s">
        <v>786</v>
      </c>
      <c r="G559" s="165">
        <f>IFERROR(VLOOKUP(F559,'menu list'!B:C,2,FALSE)*E559,"0")</f>
        <v>1150</v>
      </c>
      <c r="H559" s="334">
        <f t="shared" si="40"/>
        <v>172.5</v>
      </c>
      <c r="I559" s="165">
        <f t="shared" si="41"/>
        <v>1322.5</v>
      </c>
    </row>
    <row r="560" spans="1:9" ht="12.75" hidden="1" x14ac:dyDescent="0.25">
      <c r="A560" s="167">
        <f t="shared" si="44"/>
        <v>559</v>
      </c>
      <c r="B560" s="168" t="s">
        <v>113</v>
      </c>
      <c r="C560" s="168" t="str">
        <f>VLOOKUP(B560,MEMBERS!B:C,2, )</f>
        <v>MR.MANOJ KUMAR</v>
      </c>
      <c r="D560" s="188">
        <v>46003</v>
      </c>
      <c r="E560" s="175">
        <v>2</v>
      </c>
      <c r="F560" s="168" t="s">
        <v>861</v>
      </c>
      <c r="G560" s="165">
        <f>IFERROR(VLOOKUP(F560,'menu list'!B:C,2,FALSE)*E560,"0")</f>
        <v>1600</v>
      </c>
      <c r="H560" s="334">
        <f t="shared" si="40"/>
        <v>240</v>
      </c>
      <c r="I560" s="165">
        <f t="shared" si="41"/>
        <v>1840</v>
      </c>
    </row>
    <row r="561" spans="1:9" ht="12.75" hidden="1" x14ac:dyDescent="0.25">
      <c r="A561" s="167">
        <f t="shared" si="44"/>
        <v>560</v>
      </c>
      <c r="B561" s="168" t="s">
        <v>113</v>
      </c>
      <c r="C561" s="168" t="str">
        <f>VLOOKUP(B561,MEMBERS!B:C,2, )</f>
        <v>MR.MANOJ KUMAR</v>
      </c>
      <c r="D561" s="188">
        <v>46003</v>
      </c>
      <c r="E561" s="175">
        <v>2</v>
      </c>
      <c r="F561" s="168" t="s">
        <v>504</v>
      </c>
      <c r="G561" s="165">
        <f>IFERROR(VLOOKUP(F561,'menu list'!B:C,2,FALSE)*E561,"0")</f>
        <v>260</v>
      </c>
      <c r="H561" s="334">
        <f t="shared" si="40"/>
        <v>39</v>
      </c>
      <c r="I561" s="165">
        <f t="shared" si="41"/>
        <v>299</v>
      </c>
    </row>
    <row r="562" spans="1:9" ht="12.75" hidden="1" x14ac:dyDescent="0.25">
      <c r="A562" s="167">
        <f t="shared" si="44"/>
        <v>561</v>
      </c>
      <c r="B562" s="168" t="s">
        <v>113</v>
      </c>
      <c r="C562" s="168" t="str">
        <f>VLOOKUP(B562,MEMBERS!B:C,2, )</f>
        <v>MR.MANOJ KUMAR</v>
      </c>
      <c r="D562" s="188">
        <v>46003</v>
      </c>
      <c r="E562" s="175">
        <v>2</v>
      </c>
      <c r="F562" s="168" t="s">
        <v>439</v>
      </c>
      <c r="G562" s="165">
        <f>IFERROR(VLOOKUP(F562,'menu list'!B:C,2,FALSE)*E562,"0")</f>
        <v>140</v>
      </c>
      <c r="H562" s="334">
        <f t="shared" si="40"/>
        <v>21</v>
      </c>
      <c r="I562" s="165">
        <f t="shared" si="41"/>
        <v>161</v>
      </c>
    </row>
    <row r="563" spans="1:9" ht="12.75" hidden="1" x14ac:dyDescent="0.25">
      <c r="A563" s="167">
        <f t="shared" si="44"/>
        <v>562</v>
      </c>
      <c r="B563" s="168" t="s">
        <v>113</v>
      </c>
      <c r="C563" s="168" t="str">
        <f>VLOOKUP(B563,MEMBERS!B:C,2, )</f>
        <v>MR.MANOJ KUMAR</v>
      </c>
      <c r="D563" s="188">
        <v>46003</v>
      </c>
      <c r="E563" s="175">
        <v>1</v>
      </c>
      <c r="F563" s="168" t="s">
        <v>440</v>
      </c>
      <c r="G563" s="165">
        <f>IFERROR(VLOOKUP(F563,'menu list'!B:C,2,FALSE)*E563,"0")</f>
        <v>150</v>
      </c>
      <c r="H563" s="334">
        <f t="shared" si="40"/>
        <v>22.5</v>
      </c>
      <c r="I563" s="165">
        <f t="shared" si="41"/>
        <v>172.5</v>
      </c>
    </row>
    <row r="564" spans="1:9" ht="12.75" hidden="1" x14ac:dyDescent="0.25">
      <c r="A564" s="167">
        <f t="shared" si="44"/>
        <v>563</v>
      </c>
      <c r="B564" s="168" t="s">
        <v>113</v>
      </c>
      <c r="C564" s="168" t="str">
        <f>VLOOKUP(B564,MEMBERS!B:C,2, )</f>
        <v>MR.MANOJ KUMAR</v>
      </c>
      <c r="D564" s="188">
        <v>46003</v>
      </c>
      <c r="E564" s="175">
        <v>10</v>
      </c>
      <c r="F564" s="168" t="s">
        <v>442</v>
      </c>
      <c r="G564" s="165">
        <f>IFERROR(VLOOKUP(F564,'menu list'!B:C,2,FALSE)*E564,"0")</f>
        <v>1500</v>
      </c>
      <c r="H564" s="334">
        <f t="shared" si="40"/>
        <v>225</v>
      </c>
      <c r="I564" s="165">
        <f t="shared" si="41"/>
        <v>1725</v>
      </c>
    </row>
    <row r="565" spans="1:9" ht="12.75" hidden="1" x14ac:dyDescent="0.25">
      <c r="A565" s="167">
        <f t="shared" si="44"/>
        <v>564</v>
      </c>
      <c r="B565" s="168" t="s">
        <v>113</v>
      </c>
      <c r="C565" s="168" t="str">
        <f>VLOOKUP(B565,MEMBERS!B:C,2, )</f>
        <v>MR.MANOJ KUMAR</v>
      </c>
      <c r="D565" s="188">
        <v>46003</v>
      </c>
      <c r="E565" s="175">
        <v>1</v>
      </c>
      <c r="F565" s="168" t="s">
        <v>497</v>
      </c>
      <c r="G565" s="165">
        <f>IFERROR(VLOOKUP(F565,'menu list'!B:C,2,FALSE)*E565,"0")</f>
        <v>250</v>
      </c>
      <c r="H565" s="334">
        <f t="shared" si="40"/>
        <v>37.5</v>
      </c>
      <c r="I565" s="165">
        <f t="shared" si="41"/>
        <v>287.5</v>
      </c>
    </row>
    <row r="566" spans="1:9" ht="12.75" hidden="1" x14ac:dyDescent="0.25">
      <c r="A566" s="167">
        <f t="shared" si="44"/>
        <v>565</v>
      </c>
      <c r="B566" s="168" t="s">
        <v>1053</v>
      </c>
      <c r="C566" s="168" t="str">
        <f>VLOOKUP(B566,MEMBERS!B:C,2, )</f>
        <v>MR. ZAMIR ALI SHAH</v>
      </c>
      <c r="D566" s="188">
        <v>46003</v>
      </c>
      <c r="E566" s="175">
        <v>2</v>
      </c>
      <c r="F566" s="168" t="s">
        <v>853</v>
      </c>
      <c r="G566" s="165">
        <f>IFERROR(VLOOKUP(F566,'menu list'!B:C,2,FALSE)*E566,"0")</f>
        <v>1150</v>
      </c>
      <c r="H566" s="334">
        <f t="shared" si="40"/>
        <v>172.5</v>
      </c>
      <c r="I566" s="165">
        <f t="shared" si="41"/>
        <v>1322.5</v>
      </c>
    </row>
    <row r="567" spans="1:9" ht="12.75" hidden="1" x14ac:dyDescent="0.25">
      <c r="A567" s="167">
        <f t="shared" si="44"/>
        <v>566</v>
      </c>
      <c r="B567" s="168" t="s">
        <v>1053</v>
      </c>
      <c r="C567" s="168" t="str">
        <f>VLOOKUP(B567,MEMBERS!B:C,2, )</f>
        <v>MR. ZAMIR ALI SHAH</v>
      </c>
      <c r="D567" s="188">
        <v>46003</v>
      </c>
      <c r="E567" s="175">
        <v>2</v>
      </c>
      <c r="F567" s="168" t="s">
        <v>846</v>
      </c>
      <c r="G567" s="165">
        <f>IFERROR(VLOOKUP(F567,'menu list'!B:C,2,FALSE)*E567,"0")</f>
        <v>2500</v>
      </c>
      <c r="H567" s="334">
        <f t="shared" si="40"/>
        <v>375</v>
      </c>
      <c r="I567" s="165">
        <f t="shared" si="41"/>
        <v>2875</v>
      </c>
    </row>
    <row r="568" spans="1:9" ht="12.75" hidden="1" x14ac:dyDescent="0.25">
      <c r="A568" s="167">
        <f t="shared" si="44"/>
        <v>567</v>
      </c>
      <c r="B568" s="168" t="s">
        <v>1053</v>
      </c>
      <c r="C568" s="168" t="str">
        <f>VLOOKUP(B568,MEMBERS!B:C,2, )</f>
        <v>MR. ZAMIR ALI SHAH</v>
      </c>
      <c r="D568" s="188">
        <v>46003</v>
      </c>
      <c r="E568" s="175">
        <v>2</v>
      </c>
      <c r="F568" s="168" t="s">
        <v>498</v>
      </c>
      <c r="G568" s="165">
        <f>IFERROR(VLOOKUP(F568,'menu list'!B:C,2,FALSE)*E568,"0")</f>
        <v>400</v>
      </c>
      <c r="H568" s="334">
        <f t="shared" si="40"/>
        <v>60</v>
      </c>
      <c r="I568" s="165">
        <f t="shared" si="41"/>
        <v>460</v>
      </c>
    </row>
    <row r="569" spans="1:9" ht="12.75" hidden="1" x14ac:dyDescent="0.25">
      <c r="A569" s="167">
        <f t="shared" si="44"/>
        <v>568</v>
      </c>
      <c r="B569" s="168" t="s">
        <v>1053</v>
      </c>
      <c r="C569" s="168" t="str">
        <f>VLOOKUP(B569,MEMBERS!B:C,2, )</f>
        <v>MR. ZAMIR ALI SHAH</v>
      </c>
      <c r="D569" s="188">
        <v>46003</v>
      </c>
      <c r="E569" s="175">
        <v>1</v>
      </c>
      <c r="F569" s="168" t="s">
        <v>440</v>
      </c>
      <c r="G569" s="165">
        <f>IFERROR(VLOOKUP(F569,'menu list'!B:C,2,FALSE)*E569,"0")</f>
        <v>150</v>
      </c>
      <c r="H569" s="334">
        <f t="shared" si="40"/>
        <v>22.5</v>
      </c>
      <c r="I569" s="165">
        <f t="shared" si="41"/>
        <v>172.5</v>
      </c>
    </row>
    <row r="570" spans="1:9" ht="12.75" hidden="1" x14ac:dyDescent="0.25">
      <c r="A570" s="167">
        <f t="shared" si="44"/>
        <v>569</v>
      </c>
      <c r="B570" s="168" t="s">
        <v>1053</v>
      </c>
      <c r="C570" s="168" t="str">
        <f>VLOOKUP(B570,MEMBERS!B:C,2, )</f>
        <v>MR. ZAMIR ALI SHAH</v>
      </c>
      <c r="D570" s="188">
        <v>46003</v>
      </c>
      <c r="E570" s="175">
        <v>2</v>
      </c>
      <c r="F570" s="168" t="s">
        <v>826</v>
      </c>
      <c r="G570" s="165">
        <f>IFERROR(VLOOKUP(F570,'menu list'!B:C,2,FALSE)*E570,"0")</f>
        <v>1800</v>
      </c>
      <c r="H570" s="334">
        <f t="shared" si="40"/>
        <v>270</v>
      </c>
      <c r="I570" s="165">
        <f t="shared" si="41"/>
        <v>2070</v>
      </c>
    </row>
    <row r="571" spans="1:9" ht="12.75" hidden="1" x14ac:dyDescent="0.25">
      <c r="A571" s="167">
        <f t="shared" ref="A571:A599" si="45">IF(D571&lt;&gt;"", ROW()-1, "")</f>
        <v>570</v>
      </c>
      <c r="B571" s="168" t="s">
        <v>1053</v>
      </c>
      <c r="C571" s="168" t="str">
        <f>VLOOKUP(B571,MEMBERS!B:C,2, )</f>
        <v>MR. ZAMIR ALI SHAH</v>
      </c>
      <c r="D571" s="188">
        <v>46003</v>
      </c>
      <c r="E571" s="175">
        <v>2</v>
      </c>
      <c r="F571" s="168" t="s">
        <v>915</v>
      </c>
      <c r="G571" s="165">
        <f>IFERROR(VLOOKUP(F571,'menu list'!B:C,2,FALSE)*E571,"0")</f>
        <v>1998</v>
      </c>
      <c r="H571" s="334">
        <f t="shared" si="40"/>
        <v>299.7</v>
      </c>
      <c r="I571" s="165">
        <f t="shared" si="41"/>
        <v>2297.6999999999998</v>
      </c>
    </row>
    <row r="572" spans="1:9" ht="12.75" hidden="1" x14ac:dyDescent="0.25">
      <c r="A572" s="167">
        <f t="shared" si="45"/>
        <v>571</v>
      </c>
      <c r="B572" s="168" t="s">
        <v>1053</v>
      </c>
      <c r="C572" s="168" t="str">
        <f>VLOOKUP(B572,MEMBERS!B:C,2, )</f>
        <v>MR. ZAMIR ALI SHAH</v>
      </c>
      <c r="D572" s="188">
        <v>46003</v>
      </c>
      <c r="E572" s="175">
        <v>1</v>
      </c>
      <c r="F572" s="168" t="s">
        <v>786</v>
      </c>
      <c r="G572" s="165">
        <f>IFERROR(VLOOKUP(F572,'menu list'!B:C,2,FALSE)*E572,"0")</f>
        <v>1150</v>
      </c>
      <c r="H572" s="334">
        <f t="shared" si="40"/>
        <v>172.5</v>
      </c>
      <c r="I572" s="165">
        <f t="shared" si="41"/>
        <v>1322.5</v>
      </c>
    </row>
    <row r="573" spans="1:9" ht="12.75" hidden="1" x14ac:dyDescent="0.25">
      <c r="A573" s="167">
        <f t="shared" si="45"/>
        <v>572</v>
      </c>
      <c r="B573" s="168" t="s">
        <v>1053</v>
      </c>
      <c r="C573" s="168" t="str">
        <f>VLOOKUP(B573,MEMBERS!B:C,2, )</f>
        <v>MR. ZAMIR ALI SHAH</v>
      </c>
      <c r="D573" s="188">
        <v>46003</v>
      </c>
      <c r="E573" s="175">
        <v>1</v>
      </c>
      <c r="F573" s="168" t="s">
        <v>939</v>
      </c>
      <c r="G573" s="165">
        <f>IFERROR(VLOOKUP(F573,'menu list'!B:C,2,FALSE)*E573,"0")</f>
        <v>1200</v>
      </c>
      <c r="H573" s="334">
        <f t="shared" si="40"/>
        <v>180</v>
      </c>
      <c r="I573" s="165">
        <f t="shared" si="41"/>
        <v>1380</v>
      </c>
    </row>
    <row r="574" spans="1:9" ht="12.75" hidden="1" x14ac:dyDescent="0.25">
      <c r="A574" s="167">
        <f t="shared" si="45"/>
        <v>573</v>
      </c>
      <c r="B574" s="168" t="s">
        <v>1053</v>
      </c>
      <c r="C574" s="168" t="str">
        <f>VLOOKUP(B574,MEMBERS!B:C,2, )</f>
        <v>MR. ZAMIR ALI SHAH</v>
      </c>
      <c r="D574" s="188">
        <v>46003</v>
      </c>
      <c r="E574" s="175">
        <v>1</v>
      </c>
      <c r="F574" s="168" t="s">
        <v>861</v>
      </c>
      <c r="G574" s="165">
        <f>IFERROR(VLOOKUP(F574,'menu list'!B:C,2,FALSE)*E574,"0")</f>
        <v>800</v>
      </c>
      <c r="H574" s="334">
        <f t="shared" si="40"/>
        <v>120</v>
      </c>
      <c r="I574" s="165">
        <f t="shared" si="41"/>
        <v>920</v>
      </c>
    </row>
    <row r="575" spans="1:9" ht="12.75" hidden="1" x14ac:dyDescent="0.25">
      <c r="A575" s="167">
        <f t="shared" si="45"/>
        <v>574</v>
      </c>
      <c r="B575" s="168" t="s">
        <v>1053</v>
      </c>
      <c r="C575" s="168" t="str">
        <f>VLOOKUP(B575,MEMBERS!B:C,2, )</f>
        <v>MR. ZAMIR ALI SHAH</v>
      </c>
      <c r="D575" s="188">
        <v>46003</v>
      </c>
      <c r="E575" s="175">
        <v>1</v>
      </c>
      <c r="F575" s="168" t="s">
        <v>898</v>
      </c>
      <c r="G575" s="165">
        <f>IFERROR(VLOOKUP(F575,'menu list'!B:C,2,FALSE)*E575,"0")</f>
        <v>1000</v>
      </c>
      <c r="H575" s="334">
        <f t="shared" si="40"/>
        <v>150</v>
      </c>
      <c r="I575" s="165">
        <f t="shared" si="41"/>
        <v>1150</v>
      </c>
    </row>
    <row r="576" spans="1:9" ht="12.75" hidden="1" x14ac:dyDescent="0.25">
      <c r="A576" s="167">
        <f t="shared" si="45"/>
        <v>575</v>
      </c>
      <c r="B576" s="168" t="s">
        <v>1053</v>
      </c>
      <c r="C576" s="168" t="str">
        <f>VLOOKUP(B576,MEMBERS!B:C,2, )</f>
        <v>MR. ZAMIR ALI SHAH</v>
      </c>
      <c r="D576" s="188">
        <v>46003</v>
      </c>
      <c r="E576" s="175">
        <v>6</v>
      </c>
      <c r="F576" s="168" t="s">
        <v>504</v>
      </c>
      <c r="G576" s="165">
        <f>IFERROR(VLOOKUP(F576,'menu list'!B:C,2,FALSE)*E576,"0")</f>
        <v>780</v>
      </c>
      <c r="H576" s="334">
        <f t="shared" si="40"/>
        <v>117</v>
      </c>
      <c r="I576" s="165">
        <f t="shared" si="41"/>
        <v>897</v>
      </c>
    </row>
    <row r="577" spans="1:9" ht="12.75" hidden="1" x14ac:dyDescent="0.25">
      <c r="A577" s="167">
        <f t="shared" si="45"/>
        <v>576</v>
      </c>
      <c r="B577" s="168" t="s">
        <v>1053</v>
      </c>
      <c r="C577" s="168" t="str">
        <f>VLOOKUP(B577,MEMBERS!B:C,2, )</f>
        <v>MR. ZAMIR ALI SHAH</v>
      </c>
      <c r="D577" s="188">
        <v>46003</v>
      </c>
      <c r="E577" s="175">
        <v>3</v>
      </c>
      <c r="F577" s="168" t="s">
        <v>443</v>
      </c>
      <c r="G577" s="165">
        <f>IFERROR(VLOOKUP(F577,'menu list'!B:C,2,FALSE)*E577,"0")</f>
        <v>450</v>
      </c>
      <c r="H577" s="334">
        <f t="shared" si="40"/>
        <v>67.5</v>
      </c>
      <c r="I577" s="165">
        <f t="shared" si="41"/>
        <v>517.5</v>
      </c>
    </row>
    <row r="578" spans="1:9" ht="12.75" hidden="1" x14ac:dyDescent="0.25">
      <c r="A578" s="167">
        <f t="shared" si="45"/>
        <v>577</v>
      </c>
      <c r="B578" s="168" t="s">
        <v>1053</v>
      </c>
      <c r="C578" s="168" t="str">
        <f>VLOOKUP(B578,MEMBERS!B:C,2, )</f>
        <v>MR. ZAMIR ALI SHAH</v>
      </c>
      <c r="D578" s="188">
        <v>46003</v>
      </c>
      <c r="E578" s="175">
        <v>5</v>
      </c>
      <c r="F578" s="168" t="s">
        <v>439</v>
      </c>
      <c r="G578" s="165">
        <f>IFERROR(VLOOKUP(F578,'menu list'!B:C,2,FALSE)*E578,"0")</f>
        <v>350</v>
      </c>
      <c r="H578" s="334">
        <f t="shared" si="40"/>
        <v>52.5</v>
      </c>
      <c r="I578" s="165">
        <f t="shared" si="41"/>
        <v>402.5</v>
      </c>
    </row>
    <row r="579" spans="1:9" ht="12.75" hidden="1" x14ac:dyDescent="0.25">
      <c r="A579" s="167">
        <f t="shared" si="45"/>
        <v>578</v>
      </c>
      <c r="B579" s="168" t="s">
        <v>1053</v>
      </c>
      <c r="C579" s="168" t="str">
        <f>VLOOKUP(B579,MEMBERS!B:C,2, )</f>
        <v>MR. ZAMIR ALI SHAH</v>
      </c>
      <c r="D579" s="188">
        <v>46003</v>
      </c>
      <c r="E579" s="175">
        <v>3</v>
      </c>
      <c r="F579" s="168" t="s">
        <v>441</v>
      </c>
      <c r="G579" s="165">
        <f>IFERROR(VLOOKUP(F579,'menu list'!B:C,2,FALSE)*E579,"0")</f>
        <v>600</v>
      </c>
      <c r="H579" s="334">
        <f t="shared" ref="H579:H642" si="46">G579*15/100</f>
        <v>90</v>
      </c>
      <c r="I579" s="165">
        <f t="shared" ref="I579:I642" si="47">G579+H579</f>
        <v>690</v>
      </c>
    </row>
    <row r="580" spans="1:9" ht="12.75" hidden="1" x14ac:dyDescent="0.25">
      <c r="A580" s="167">
        <f t="shared" si="45"/>
        <v>579</v>
      </c>
      <c r="B580" s="168" t="s">
        <v>1053</v>
      </c>
      <c r="C580" s="168" t="str">
        <f>VLOOKUP(B580,MEMBERS!B:C,2, )</f>
        <v>MR. ZAMIR ALI SHAH</v>
      </c>
      <c r="D580" s="188">
        <v>46003</v>
      </c>
      <c r="E580" s="175">
        <v>2</v>
      </c>
      <c r="F580" s="168" t="s">
        <v>793</v>
      </c>
      <c r="G580" s="165">
        <f>IFERROR(VLOOKUP(F580,'menu list'!B:C,2,FALSE)*E580,"0")</f>
        <v>1600</v>
      </c>
      <c r="H580" s="334">
        <f t="shared" si="46"/>
        <v>240</v>
      </c>
      <c r="I580" s="165">
        <f t="shared" si="47"/>
        <v>1840</v>
      </c>
    </row>
    <row r="581" spans="1:9" ht="12.75" hidden="1" x14ac:dyDescent="0.25">
      <c r="A581" s="167">
        <f t="shared" si="45"/>
        <v>580</v>
      </c>
      <c r="B581" s="168" t="s">
        <v>1053</v>
      </c>
      <c r="C581" s="168" t="str">
        <f>VLOOKUP(B581,MEMBERS!B:C,2, )</f>
        <v>MR. ZAMIR ALI SHAH</v>
      </c>
      <c r="D581" s="188">
        <v>46003</v>
      </c>
      <c r="E581" s="175">
        <v>2</v>
      </c>
      <c r="F581" s="168" t="s">
        <v>442</v>
      </c>
      <c r="G581" s="165">
        <f>IFERROR(VLOOKUP(F581,'menu list'!B:C,2,FALSE)*E581,"0")</f>
        <v>300</v>
      </c>
      <c r="H581" s="334">
        <f t="shared" si="46"/>
        <v>45</v>
      </c>
      <c r="I581" s="165">
        <f t="shared" si="47"/>
        <v>345</v>
      </c>
    </row>
    <row r="582" spans="1:9" ht="12.75" hidden="1" x14ac:dyDescent="0.25">
      <c r="A582" s="167">
        <f t="shared" si="45"/>
        <v>581</v>
      </c>
      <c r="B582" s="168" t="s">
        <v>1053</v>
      </c>
      <c r="C582" s="168" t="str">
        <f>VLOOKUP(B582,MEMBERS!B:C,2, )</f>
        <v>MR. ZAMIR ALI SHAH</v>
      </c>
      <c r="D582" s="188">
        <v>46003</v>
      </c>
      <c r="E582" s="175">
        <v>2</v>
      </c>
      <c r="F582" s="168" t="s">
        <v>440</v>
      </c>
      <c r="G582" s="165">
        <f>IFERROR(VLOOKUP(F582,'menu list'!B:C,2,FALSE)*E582,"0")</f>
        <v>300</v>
      </c>
      <c r="H582" s="334">
        <f t="shared" si="46"/>
        <v>45</v>
      </c>
      <c r="I582" s="165">
        <f t="shared" si="47"/>
        <v>345</v>
      </c>
    </row>
    <row r="583" spans="1:9" ht="12.75" hidden="1" x14ac:dyDescent="0.25">
      <c r="A583" s="167">
        <f t="shared" si="45"/>
        <v>582</v>
      </c>
      <c r="B583" s="168" t="s">
        <v>1053</v>
      </c>
      <c r="C583" s="168" t="str">
        <f>VLOOKUP(B583,MEMBERS!B:C,2, )</f>
        <v>MR. ZAMIR ALI SHAH</v>
      </c>
      <c r="D583" s="188">
        <v>46003</v>
      </c>
      <c r="E583" s="175">
        <v>1</v>
      </c>
      <c r="F583" s="168" t="s">
        <v>497</v>
      </c>
      <c r="G583" s="165">
        <f>IFERROR(VLOOKUP(F583,'menu list'!B:C,2,FALSE)*E583,"0")</f>
        <v>250</v>
      </c>
      <c r="H583" s="334">
        <f t="shared" si="46"/>
        <v>37.5</v>
      </c>
      <c r="I583" s="165">
        <f t="shared" si="47"/>
        <v>287.5</v>
      </c>
    </row>
    <row r="584" spans="1:9" ht="12.75" hidden="1" x14ac:dyDescent="0.25">
      <c r="A584" s="167">
        <f t="shared" si="45"/>
        <v>583</v>
      </c>
      <c r="B584" s="168" t="s">
        <v>123</v>
      </c>
      <c r="C584" s="168" t="str">
        <f>VLOOKUP(B584,MEMBERS!B:C,2, )</f>
        <v>MR.MUIED AHMED DURRANI</v>
      </c>
      <c r="D584" s="188">
        <v>46003</v>
      </c>
      <c r="E584" s="175">
        <v>1</v>
      </c>
      <c r="F584" s="168" t="s">
        <v>853</v>
      </c>
      <c r="G584" s="165">
        <f>IFERROR(VLOOKUP(F584,'menu list'!B:C,2,FALSE)*E584,"0")</f>
        <v>575</v>
      </c>
      <c r="H584" s="334">
        <f t="shared" si="46"/>
        <v>86.25</v>
      </c>
      <c r="I584" s="165">
        <f t="shared" si="47"/>
        <v>661.25</v>
      </c>
    </row>
    <row r="585" spans="1:9" ht="12.75" hidden="1" x14ac:dyDescent="0.25">
      <c r="A585" s="167">
        <f t="shared" si="45"/>
        <v>584</v>
      </c>
      <c r="B585" s="168" t="s">
        <v>123</v>
      </c>
      <c r="C585" s="168" t="str">
        <f>VLOOKUP(B585,MEMBERS!B:C,2, )</f>
        <v>MR.MUIED AHMED DURRANI</v>
      </c>
      <c r="D585" s="188">
        <v>46003</v>
      </c>
      <c r="E585" s="175">
        <v>1</v>
      </c>
      <c r="F585" s="168" t="s">
        <v>793</v>
      </c>
      <c r="G585" s="165">
        <f>IFERROR(VLOOKUP(F585,'menu list'!B:C,2,FALSE)*E585,"0")</f>
        <v>800</v>
      </c>
      <c r="H585" s="334">
        <f t="shared" si="46"/>
        <v>120</v>
      </c>
      <c r="I585" s="165">
        <f t="shared" si="47"/>
        <v>920</v>
      </c>
    </row>
    <row r="586" spans="1:9" ht="12.75" hidden="1" x14ac:dyDescent="0.25">
      <c r="A586" s="167">
        <f t="shared" si="45"/>
        <v>585</v>
      </c>
      <c r="B586" s="168" t="s">
        <v>123</v>
      </c>
      <c r="C586" s="168" t="str">
        <f>VLOOKUP(B586,MEMBERS!B:C,2, )</f>
        <v>MR.MUIED AHMED DURRANI</v>
      </c>
      <c r="D586" s="188">
        <v>46003</v>
      </c>
      <c r="E586" s="175">
        <v>2</v>
      </c>
      <c r="F586" s="168" t="s">
        <v>653</v>
      </c>
      <c r="G586" s="165">
        <f>IFERROR(VLOOKUP(F586,'menu list'!B:C,2,FALSE)*E586,"0")</f>
        <v>700</v>
      </c>
      <c r="H586" s="334">
        <f t="shared" si="46"/>
        <v>105</v>
      </c>
      <c r="I586" s="165">
        <f t="shared" si="47"/>
        <v>805</v>
      </c>
    </row>
    <row r="587" spans="1:9" ht="12.75" hidden="1" x14ac:dyDescent="0.25">
      <c r="A587" s="167">
        <f t="shared" si="45"/>
        <v>586</v>
      </c>
      <c r="B587" s="168" t="s">
        <v>123</v>
      </c>
      <c r="C587" s="168" t="str">
        <f>VLOOKUP(B587,MEMBERS!B:C,2, )</f>
        <v>MR.MUIED AHMED DURRANI</v>
      </c>
      <c r="D587" s="188">
        <v>46003</v>
      </c>
      <c r="E587" s="175">
        <v>1</v>
      </c>
      <c r="F587" s="168" t="s">
        <v>836</v>
      </c>
      <c r="G587" s="165">
        <f>IFERROR(VLOOKUP(F587,'menu list'!B:C,2,FALSE)*E587,"0")</f>
        <v>350</v>
      </c>
      <c r="H587" s="334">
        <f t="shared" si="46"/>
        <v>52.5</v>
      </c>
      <c r="I587" s="165">
        <f t="shared" si="47"/>
        <v>402.5</v>
      </c>
    </row>
    <row r="588" spans="1:9" ht="12.75" hidden="1" x14ac:dyDescent="0.25">
      <c r="A588" s="167">
        <f t="shared" si="45"/>
        <v>587</v>
      </c>
      <c r="B588" s="168" t="s">
        <v>123</v>
      </c>
      <c r="C588" s="168" t="str">
        <f>VLOOKUP(B588,MEMBERS!B:C,2, )</f>
        <v>MR.MUIED AHMED DURRANI</v>
      </c>
      <c r="D588" s="188">
        <v>46003</v>
      </c>
      <c r="E588" s="175">
        <v>2</v>
      </c>
      <c r="F588" s="168" t="s">
        <v>498</v>
      </c>
      <c r="G588" s="165">
        <f>IFERROR(VLOOKUP(F588,'menu list'!B:C,2,FALSE)*E588,"0")</f>
        <v>400</v>
      </c>
      <c r="H588" s="334">
        <f t="shared" si="46"/>
        <v>60</v>
      </c>
      <c r="I588" s="165">
        <f t="shared" si="47"/>
        <v>460</v>
      </c>
    </row>
    <row r="589" spans="1:9" ht="12.75" hidden="1" x14ac:dyDescent="0.25">
      <c r="A589" s="167">
        <f t="shared" si="45"/>
        <v>588</v>
      </c>
      <c r="B589" s="168" t="s">
        <v>123</v>
      </c>
      <c r="C589" s="168" t="str">
        <f>VLOOKUP(B589,MEMBERS!B:C,2, )</f>
        <v>MR.MUIED AHMED DURRANI</v>
      </c>
      <c r="D589" s="188">
        <v>46003</v>
      </c>
      <c r="E589" s="175">
        <v>1</v>
      </c>
      <c r="F589" s="168" t="s">
        <v>440</v>
      </c>
      <c r="G589" s="165">
        <f>IFERROR(VLOOKUP(F589,'menu list'!B:C,2,FALSE)*E589,"0")</f>
        <v>150</v>
      </c>
      <c r="H589" s="334">
        <f t="shared" si="46"/>
        <v>22.5</v>
      </c>
      <c r="I589" s="165">
        <f t="shared" si="47"/>
        <v>172.5</v>
      </c>
    </row>
    <row r="590" spans="1:9" ht="12.75" hidden="1" x14ac:dyDescent="0.25">
      <c r="A590" s="167">
        <f t="shared" si="45"/>
        <v>589</v>
      </c>
      <c r="B590" s="168" t="s">
        <v>59</v>
      </c>
      <c r="C590" s="168" t="str">
        <f>VLOOKUP(B590,MEMBERS!B:C,2, )</f>
        <v>MR.SAJJAD ALI</v>
      </c>
      <c r="D590" s="188">
        <v>46003</v>
      </c>
      <c r="E590" s="175">
        <v>1</v>
      </c>
      <c r="F590" s="168" t="s">
        <v>772</v>
      </c>
      <c r="G590" s="165">
        <f>IFERROR(VLOOKUP(F590,'menu list'!B:C,2,FALSE)*E590,"0")</f>
        <v>900</v>
      </c>
      <c r="H590" s="334">
        <f t="shared" si="46"/>
        <v>135</v>
      </c>
      <c r="I590" s="165">
        <f t="shared" si="47"/>
        <v>1035</v>
      </c>
    </row>
    <row r="591" spans="1:9" ht="12.75" hidden="1" x14ac:dyDescent="0.25">
      <c r="A591" s="167">
        <f t="shared" si="45"/>
        <v>590</v>
      </c>
      <c r="B591" s="168" t="s">
        <v>59</v>
      </c>
      <c r="C591" s="168" t="str">
        <f>VLOOKUP(B591,MEMBERS!B:C,2, )</f>
        <v>MR.SAJJAD ALI</v>
      </c>
      <c r="D591" s="188">
        <v>46003</v>
      </c>
      <c r="E591" s="175">
        <v>1</v>
      </c>
      <c r="F591" s="168" t="s">
        <v>846</v>
      </c>
      <c r="G591" s="165">
        <f>IFERROR(VLOOKUP(F591,'menu list'!B:C,2,FALSE)*E591,"0")</f>
        <v>1250</v>
      </c>
      <c r="H591" s="334">
        <f t="shared" si="46"/>
        <v>187.5</v>
      </c>
      <c r="I591" s="165">
        <f t="shared" si="47"/>
        <v>1437.5</v>
      </c>
    </row>
    <row r="592" spans="1:9" ht="12.75" hidden="1" x14ac:dyDescent="0.25">
      <c r="A592" s="167">
        <f t="shared" si="45"/>
        <v>591</v>
      </c>
      <c r="B592" s="168" t="s">
        <v>59</v>
      </c>
      <c r="C592" s="168" t="str">
        <f>VLOOKUP(B592,MEMBERS!B:C,2, )</f>
        <v>MR.SAJJAD ALI</v>
      </c>
      <c r="D592" s="188">
        <v>46003</v>
      </c>
      <c r="E592" s="175">
        <v>1</v>
      </c>
      <c r="F592" s="168" t="s">
        <v>915</v>
      </c>
      <c r="G592" s="165">
        <f>IFERROR(VLOOKUP(F592,'menu list'!B:C,2,FALSE)*E592,"0")</f>
        <v>999</v>
      </c>
      <c r="H592" s="334">
        <f t="shared" si="46"/>
        <v>149.85</v>
      </c>
      <c r="I592" s="165">
        <f t="shared" si="47"/>
        <v>1148.8499999999999</v>
      </c>
    </row>
    <row r="593" spans="1:9" ht="12.75" hidden="1" x14ac:dyDescent="0.25">
      <c r="A593" s="167">
        <f t="shared" si="45"/>
        <v>592</v>
      </c>
      <c r="B593" s="168" t="s">
        <v>59</v>
      </c>
      <c r="C593" s="168" t="str">
        <f>VLOOKUP(B593,MEMBERS!B:C,2, )</f>
        <v>MR.SAJJAD ALI</v>
      </c>
      <c r="D593" s="188">
        <v>46003</v>
      </c>
      <c r="E593" s="175">
        <v>4</v>
      </c>
      <c r="F593" s="168" t="s">
        <v>861</v>
      </c>
      <c r="G593" s="165">
        <f>IFERROR(VLOOKUP(F593,'menu list'!B:C,2,FALSE)*E593,"0")</f>
        <v>3200</v>
      </c>
      <c r="H593" s="334">
        <f t="shared" si="46"/>
        <v>480</v>
      </c>
      <c r="I593" s="165">
        <f t="shared" si="47"/>
        <v>3680</v>
      </c>
    </row>
    <row r="594" spans="1:9" ht="12.75" hidden="1" x14ac:dyDescent="0.25">
      <c r="A594" s="167">
        <f t="shared" si="45"/>
        <v>593</v>
      </c>
      <c r="B594" s="168" t="s">
        <v>59</v>
      </c>
      <c r="C594" s="168" t="str">
        <f>VLOOKUP(B594,MEMBERS!B:C,2, )</f>
        <v>MR.SAJJAD ALI</v>
      </c>
      <c r="D594" s="188">
        <v>46003</v>
      </c>
      <c r="E594" s="175">
        <v>2</v>
      </c>
      <c r="F594" s="168" t="s">
        <v>992</v>
      </c>
      <c r="G594" s="165">
        <f>IFERROR(VLOOKUP(F594,'menu list'!B:C,2,FALSE)*E594,"0")</f>
        <v>1200</v>
      </c>
      <c r="H594" s="334">
        <f t="shared" si="46"/>
        <v>180</v>
      </c>
      <c r="I594" s="165">
        <f t="shared" si="47"/>
        <v>1380</v>
      </c>
    </row>
    <row r="595" spans="1:9" ht="12.75" hidden="1" x14ac:dyDescent="0.25">
      <c r="A595" s="167">
        <f t="shared" si="45"/>
        <v>594</v>
      </c>
      <c r="B595" s="168" t="s">
        <v>59</v>
      </c>
      <c r="C595" s="168" t="str">
        <f>VLOOKUP(B595,MEMBERS!B:C,2, )</f>
        <v>MR.SAJJAD ALI</v>
      </c>
      <c r="D595" s="188">
        <v>46003</v>
      </c>
      <c r="E595" s="175">
        <v>8</v>
      </c>
      <c r="F595" s="168" t="s">
        <v>443</v>
      </c>
      <c r="G595" s="165">
        <f>IFERROR(VLOOKUP(F595,'menu list'!B:C,2,FALSE)*E595,"0")</f>
        <v>1200</v>
      </c>
      <c r="H595" s="334">
        <f t="shared" si="46"/>
        <v>180</v>
      </c>
      <c r="I595" s="165">
        <f t="shared" si="47"/>
        <v>1380</v>
      </c>
    </row>
    <row r="596" spans="1:9" ht="12.75" hidden="1" x14ac:dyDescent="0.25">
      <c r="A596" s="167">
        <f t="shared" si="45"/>
        <v>595</v>
      </c>
      <c r="B596" s="168" t="s">
        <v>59</v>
      </c>
      <c r="C596" s="168" t="str">
        <f>VLOOKUP(B596,MEMBERS!B:C,2, )</f>
        <v>MR.SAJJAD ALI</v>
      </c>
      <c r="D596" s="188">
        <v>46003</v>
      </c>
      <c r="E596" s="175">
        <v>1</v>
      </c>
      <c r="F596" s="168" t="s">
        <v>499</v>
      </c>
      <c r="G596" s="165">
        <f>IFERROR(VLOOKUP(F596,'menu list'!B:C,2,FALSE)*E596,"0")</f>
        <v>100</v>
      </c>
      <c r="H596" s="334">
        <f t="shared" si="46"/>
        <v>15</v>
      </c>
      <c r="I596" s="165">
        <f t="shared" si="47"/>
        <v>115</v>
      </c>
    </row>
    <row r="597" spans="1:9" ht="12.75" hidden="1" x14ac:dyDescent="0.25">
      <c r="A597" s="167">
        <f t="shared" si="45"/>
        <v>596</v>
      </c>
      <c r="B597" s="168" t="s">
        <v>59</v>
      </c>
      <c r="C597" s="168" t="str">
        <f>VLOOKUP(B597,MEMBERS!B:C,2, )</f>
        <v>MR.SAJJAD ALI</v>
      </c>
      <c r="D597" s="188">
        <v>46003</v>
      </c>
      <c r="E597" s="175">
        <v>3</v>
      </c>
      <c r="F597" s="168" t="s">
        <v>442</v>
      </c>
      <c r="G597" s="165">
        <f>IFERROR(VLOOKUP(F597,'menu list'!B:C,2,FALSE)*E597,"0")</f>
        <v>450</v>
      </c>
      <c r="H597" s="334">
        <f t="shared" si="46"/>
        <v>67.5</v>
      </c>
      <c r="I597" s="165">
        <f t="shared" si="47"/>
        <v>517.5</v>
      </c>
    </row>
    <row r="598" spans="1:9" ht="12.75" hidden="1" x14ac:dyDescent="0.25">
      <c r="A598" s="167">
        <f t="shared" si="45"/>
        <v>597</v>
      </c>
      <c r="B598" s="168" t="s">
        <v>59</v>
      </c>
      <c r="C598" s="168" t="str">
        <f>VLOOKUP(B598,MEMBERS!B:C,2, )</f>
        <v>MR.SAJJAD ALI</v>
      </c>
      <c r="D598" s="188">
        <v>46003</v>
      </c>
      <c r="E598" s="175">
        <v>1</v>
      </c>
      <c r="F598" s="168" t="s">
        <v>441</v>
      </c>
      <c r="G598" s="165">
        <f>IFERROR(VLOOKUP(F598,'menu list'!B:C,2,FALSE)*E598,"0")</f>
        <v>200</v>
      </c>
      <c r="H598" s="334">
        <f t="shared" si="46"/>
        <v>30</v>
      </c>
      <c r="I598" s="165">
        <f t="shared" si="47"/>
        <v>230</v>
      </c>
    </row>
    <row r="599" spans="1:9" ht="12.75" hidden="1" x14ac:dyDescent="0.25">
      <c r="A599" s="167">
        <f t="shared" si="45"/>
        <v>598</v>
      </c>
      <c r="B599" s="168" t="s">
        <v>59</v>
      </c>
      <c r="C599" s="168" t="str">
        <f>VLOOKUP(B599,MEMBERS!B:C,2, )</f>
        <v>MR.SAJJAD ALI</v>
      </c>
      <c r="D599" s="188">
        <v>46003</v>
      </c>
      <c r="E599" s="175">
        <v>1</v>
      </c>
      <c r="F599" s="168" t="s">
        <v>793</v>
      </c>
      <c r="G599" s="165">
        <f>IFERROR(VLOOKUP(F599,'menu list'!B:C,2,FALSE)*E599,"0")</f>
        <v>800</v>
      </c>
      <c r="H599" s="334">
        <f t="shared" si="46"/>
        <v>120</v>
      </c>
      <c r="I599" s="165">
        <f t="shared" si="47"/>
        <v>920</v>
      </c>
    </row>
    <row r="600" spans="1:9" ht="12.75" hidden="1" x14ac:dyDescent="0.25">
      <c r="A600" s="167">
        <f t="shared" si="44"/>
        <v>599</v>
      </c>
      <c r="B600" s="168" t="s">
        <v>762</v>
      </c>
      <c r="C600" s="168" t="str">
        <f>VLOOKUP(B600,MEMBERS!B:C,2, )</f>
        <v>MR. KASHIF SAEED</v>
      </c>
      <c r="D600" s="188">
        <v>46003</v>
      </c>
      <c r="E600" s="175">
        <v>3</v>
      </c>
      <c r="F600" s="168" t="s">
        <v>442</v>
      </c>
      <c r="G600" s="165">
        <f>IFERROR(VLOOKUP(F600,'menu list'!B:C,2,FALSE)*E600,"0")</f>
        <v>450</v>
      </c>
      <c r="H600" s="334">
        <f t="shared" si="46"/>
        <v>67.5</v>
      </c>
      <c r="I600" s="165">
        <f t="shared" si="47"/>
        <v>517.5</v>
      </c>
    </row>
    <row r="601" spans="1:9" ht="12.75" hidden="1" x14ac:dyDescent="0.25">
      <c r="A601" s="167">
        <f t="shared" ref="A601:A613" si="48">IF(D601&lt;&gt;"", ROW()-1, "")</f>
        <v>600</v>
      </c>
      <c r="B601" s="168" t="s">
        <v>762</v>
      </c>
      <c r="C601" s="168" t="str">
        <f>VLOOKUP(B601,MEMBERS!B:C,2, )</f>
        <v>MR. KASHIF SAEED</v>
      </c>
      <c r="D601" s="188">
        <v>46003</v>
      </c>
      <c r="E601" s="175">
        <v>1</v>
      </c>
      <c r="F601" s="168" t="s">
        <v>906</v>
      </c>
      <c r="G601" s="165">
        <f>IFERROR(VLOOKUP(F601,'menu list'!B:C,2,FALSE)*E601,"0")</f>
        <v>1400</v>
      </c>
      <c r="H601" s="334">
        <f t="shared" si="46"/>
        <v>210</v>
      </c>
      <c r="I601" s="165">
        <f t="shared" si="47"/>
        <v>1610</v>
      </c>
    </row>
    <row r="602" spans="1:9" ht="12.75" hidden="1" x14ac:dyDescent="0.25">
      <c r="A602" s="167">
        <f t="shared" si="48"/>
        <v>601</v>
      </c>
      <c r="B602" s="168" t="s">
        <v>762</v>
      </c>
      <c r="C602" s="168" t="str">
        <f>VLOOKUP(B602,MEMBERS!B:C,2, )</f>
        <v>MR. KASHIF SAEED</v>
      </c>
      <c r="D602" s="188">
        <v>46003</v>
      </c>
      <c r="E602" s="175">
        <v>2</v>
      </c>
      <c r="F602" s="168" t="s">
        <v>828</v>
      </c>
      <c r="G602" s="165">
        <f>IFERROR(VLOOKUP(F602,'menu list'!B:C,2,FALSE)*E602,"0")</f>
        <v>1700</v>
      </c>
      <c r="H602" s="334">
        <f t="shared" si="46"/>
        <v>255</v>
      </c>
      <c r="I602" s="165">
        <f t="shared" si="47"/>
        <v>1955</v>
      </c>
    </row>
    <row r="603" spans="1:9" ht="12.75" hidden="1" x14ac:dyDescent="0.25">
      <c r="A603" s="167">
        <f t="shared" si="48"/>
        <v>602</v>
      </c>
      <c r="B603" s="168" t="s">
        <v>762</v>
      </c>
      <c r="C603" s="168" t="str">
        <f>VLOOKUP(B603,MEMBERS!B:C,2, )</f>
        <v>MR. KASHIF SAEED</v>
      </c>
      <c r="D603" s="188">
        <v>46003</v>
      </c>
      <c r="E603" s="175">
        <v>2</v>
      </c>
      <c r="F603" s="168" t="s">
        <v>1057</v>
      </c>
      <c r="G603" s="165">
        <f>IFERROR(VLOOKUP(F603,'menu list'!B:C,2,FALSE)*E603,"0")</f>
        <v>1700</v>
      </c>
      <c r="H603" s="334">
        <f t="shared" si="46"/>
        <v>255</v>
      </c>
      <c r="I603" s="165">
        <f t="shared" si="47"/>
        <v>1955</v>
      </c>
    </row>
    <row r="604" spans="1:9" ht="12.75" hidden="1" x14ac:dyDescent="0.25">
      <c r="A604" s="167">
        <f t="shared" si="48"/>
        <v>603</v>
      </c>
      <c r="B604" s="168" t="s">
        <v>762</v>
      </c>
      <c r="C604" s="168" t="str">
        <f>VLOOKUP(B604,MEMBERS!B:C,2, )</f>
        <v>MR. KASHIF SAEED</v>
      </c>
      <c r="D604" s="188">
        <v>46003</v>
      </c>
      <c r="E604" s="175">
        <v>4</v>
      </c>
      <c r="F604" s="168" t="s">
        <v>653</v>
      </c>
      <c r="G604" s="165">
        <f>IFERROR(VLOOKUP(F604,'menu list'!B:C,2,FALSE)*E604,"0")</f>
        <v>1400</v>
      </c>
      <c r="H604" s="334">
        <f t="shared" si="46"/>
        <v>210</v>
      </c>
      <c r="I604" s="165">
        <f t="shared" si="47"/>
        <v>1610</v>
      </c>
    </row>
    <row r="605" spans="1:9" ht="12.75" hidden="1" x14ac:dyDescent="0.25">
      <c r="A605" s="167">
        <f t="shared" si="48"/>
        <v>604</v>
      </c>
      <c r="B605" s="168" t="s">
        <v>762</v>
      </c>
      <c r="C605" s="168" t="str">
        <f>VLOOKUP(B605,MEMBERS!B:C,2, )</f>
        <v>MR. KASHIF SAEED</v>
      </c>
      <c r="D605" s="188">
        <v>46003</v>
      </c>
      <c r="E605" s="175">
        <v>1</v>
      </c>
      <c r="F605" s="168" t="s">
        <v>522</v>
      </c>
      <c r="G605" s="165">
        <f>IFERROR(VLOOKUP(F605,'menu list'!B:C,2,FALSE)*E605,"0")</f>
        <v>1200</v>
      </c>
      <c r="H605" s="334">
        <f t="shared" si="46"/>
        <v>180</v>
      </c>
      <c r="I605" s="165">
        <f t="shared" si="47"/>
        <v>1380</v>
      </c>
    </row>
    <row r="606" spans="1:9" ht="12.75" hidden="1" x14ac:dyDescent="0.25">
      <c r="A606" s="167">
        <f t="shared" si="48"/>
        <v>605</v>
      </c>
      <c r="B606" s="168" t="s">
        <v>762</v>
      </c>
      <c r="C606" s="168" t="str">
        <f>VLOOKUP(B606,MEMBERS!B:C,2, )</f>
        <v>MR. KASHIF SAEED</v>
      </c>
      <c r="D606" s="188">
        <v>46003</v>
      </c>
      <c r="E606" s="175">
        <v>1</v>
      </c>
      <c r="F606" s="168" t="s">
        <v>822</v>
      </c>
      <c r="G606" s="165">
        <f>IFERROR(VLOOKUP(F606,'menu list'!B:C,2,FALSE)*E606,"0")</f>
        <v>1500</v>
      </c>
      <c r="H606" s="334">
        <f t="shared" si="46"/>
        <v>225</v>
      </c>
      <c r="I606" s="165">
        <f t="shared" si="47"/>
        <v>1725</v>
      </c>
    </row>
    <row r="607" spans="1:9" ht="12.75" hidden="1" x14ac:dyDescent="0.25">
      <c r="A607" s="167">
        <f t="shared" si="48"/>
        <v>606</v>
      </c>
      <c r="B607" s="168" t="s">
        <v>762</v>
      </c>
      <c r="C607" s="168" t="str">
        <f>VLOOKUP(B607,MEMBERS!B:C,2, )</f>
        <v>MR. KASHIF SAEED</v>
      </c>
      <c r="D607" s="188">
        <v>46003</v>
      </c>
      <c r="E607" s="175">
        <v>1</v>
      </c>
      <c r="F607" s="168" t="s">
        <v>786</v>
      </c>
      <c r="G607" s="165">
        <f>IFERROR(VLOOKUP(F607,'menu list'!B:C,2,FALSE)*E607,"0")</f>
        <v>1150</v>
      </c>
      <c r="H607" s="334">
        <f t="shared" si="46"/>
        <v>172.5</v>
      </c>
      <c r="I607" s="165">
        <f t="shared" si="47"/>
        <v>1322.5</v>
      </c>
    </row>
    <row r="608" spans="1:9" ht="12.75" hidden="1" x14ac:dyDescent="0.25">
      <c r="A608" s="167">
        <f t="shared" si="48"/>
        <v>607</v>
      </c>
      <c r="B608" s="168" t="s">
        <v>762</v>
      </c>
      <c r="C608" s="168" t="str">
        <f>VLOOKUP(B608,MEMBERS!B:C,2, )</f>
        <v>MR. KASHIF SAEED</v>
      </c>
      <c r="D608" s="188">
        <v>46003</v>
      </c>
      <c r="E608" s="175">
        <v>2</v>
      </c>
      <c r="F608" s="168" t="s">
        <v>806</v>
      </c>
      <c r="G608" s="165">
        <f>IFERROR(VLOOKUP(F608,'menu list'!B:C,2,FALSE)*E608,"0")</f>
        <v>1200</v>
      </c>
      <c r="H608" s="334">
        <f t="shared" si="46"/>
        <v>180</v>
      </c>
      <c r="I608" s="165">
        <f t="shared" si="47"/>
        <v>1380</v>
      </c>
    </row>
    <row r="609" spans="1:9" ht="12.75" hidden="1" x14ac:dyDescent="0.25">
      <c r="A609" s="167">
        <f t="shared" si="48"/>
        <v>608</v>
      </c>
      <c r="B609" s="168" t="s">
        <v>762</v>
      </c>
      <c r="C609" s="168" t="str">
        <f>VLOOKUP(B609,MEMBERS!B:C,2, )</f>
        <v>MR. KASHIF SAEED</v>
      </c>
      <c r="D609" s="188">
        <v>46003</v>
      </c>
      <c r="E609" s="175">
        <v>5</v>
      </c>
      <c r="F609" s="168" t="s">
        <v>504</v>
      </c>
      <c r="G609" s="165">
        <f>IFERROR(VLOOKUP(F609,'menu list'!B:C,2,FALSE)*E609,"0")</f>
        <v>650</v>
      </c>
      <c r="H609" s="334">
        <f t="shared" si="46"/>
        <v>97.5</v>
      </c>
      <c r="I609" s="165">
        <f t="shared" si="47"/>
        <v>747.5</v>
      </c>
    </row>
    <row r="610" spans="1:9" ht="12.75" hidden="1" x14ac:dyDescent="0.25">
      <c r="A610" s="167">
        <f t="shared" si="48"/>
        <v>609</v>
      </c>
      <c r="B610" s="168" t="s">
        <v>762</v>
      </c>
      <c r="C610" s="168" t="str">
        <f>VLOOKUP(B610,MEMBERS!B:C,2, )</f>
        <v>MR. KASHIF SAEED</v>
      </c>
      <c r="D610" s="188">
        <v>46003</v>
      </c>
      <c r="E610" s="175">
        <v>1</v>
      </c>
      <c r="F610" s="168" t="s">
        <v>440</v>
      </c>
      <c r="G610" s="165">
        <f>IFERROR(VLOOKUP(F610,'menu list'!B:C,2,FALSE)*E610,"0")</f>
        <v>150</v>
      </c>
      <c r="H610" s="334">
        <f t="shared" si="46"/>
        <v>22.5</v>
      </c>
      <c r="I610" s="165">
        <f t="shared" si="47"/>
        <v>172.5</v>
      </c>
    </row>
    <row r="611" spans="1:9" ht="12.75" hidden="1" x14ac:dyDescent="0.25">
      <c r="A611" s="167">
        <f t="shared" si="48"/>
        <v>610</v>
      </c>
      <c r="B611" s="168" t="s">
        <v>762</v>
      </c>
      <c r="C611" s="168" t="str">
        <f>VLOOKUP(B611,MEMBERS!B:C,2, )</f>
        <v>MR. KASHIF SAEED</v>
      </c>
      <c r="D611" s="188">
        <v>46003</v>
      </c>
      <c r="E611" s="175">
        <v>1</v>
      </c>
      <c r="F611" s="168" t="s">
        <v>515</v>
      </c>
      <c r="G611" s="165">
        <f>IFERROR(VLOOKUP(F611,'menu list'!B:C,2,FALSE)*E611,"0")</f>
        <v>400</v>
      </c>
      <c r="H611" s="334">
        <f t="shared" si="46"/>
        <v>60</v>
      </c>
      <c r="I611" s="165">
        <f t="shared" si="47"/>
        <v>460</v>
      </c>
    </row>
    <row r="612" spans="1:9" ht="12.75" hidden="1" x14ac:dyDescent="0.25">
      <c r="A612" s="167">
        <f t="shared" si="48"/>
        <v>611</v>
      </c>
      <c r="B612" s="168" t="s">
        <v>762</v>
      </c>
      <c r="C612" s="168" t="str">
        <f>VLOOKUP(B612,MEMBERS!B:C,2, )</f>
        <v>MR. KASHIF SAEED</v>
      </c>
      <c r="D612" s="188">
        <v>46003</v>
      </c>
      <c r="E612" s="175">
        <v>2</v>
      </c>
      <c r="F612" s="168" t="s">
        <v>498</v>
      </c>
      <c r="G612" s="165">
        <f>IFERROR(VLOOKUP(F612,'menu list'!B:C,2,FALSE)*E612,"0")</f>
        <v>400</v>
      </c>
      <c r="H612" s="334">
        <f t="shared" si="46"/>
        <v>60</v>
      </c>
      <c r="I612" s="165">
        <f t="shared" si="47"/>
        <v>460</v>
      </c>
    </row>
    <row r="613" spans="1:9" ht="12.75" hidden="1" x14ac:dyDescent="0.25">
      <c r="A613" s="167">
        <f t="shared" si="48"/>
        <v>612</v>
      </c>
      <c r="B613" s="168" t="s">
        <v>54</v>
      </c>
      <c r="C613" s="168" t="str">
        <f>VLOOKUP(B613,MEMBERS!B:C,2, )</f>
        <v>MR.ZEESHAN IQBAL</v>
      </c>
      <c r="D613" s="188">
        <v>46003</v>
      </c>
      <c r="E613" s="175">
        <v>1</v>
      </c>
      <c r="F613" s="168" t="s">
        <v>803</v>
      </c>
      <c r="G613" s="165">
        <f>IFERROR(VLOOKUP(F613,'menu list'!B:C,2,FALSE)*E613,"0")</f>
        <v>250</v>
      </c>
      <c r="H613" s="334">
        <f t="shared" si="46"/>
        <v>37.5</v>
      </c>
      <c r="I613" s="165">
        <f t="shared" si="47"/>
        <v>287.5</v>
      </c>
    </row>
    <row r="614" spans="1:9" ht="12.75" hidden="1" x14ac:dyDescent="0.25">
      <c r="A614" s="167">
        <f t="shared" ref="A614:A620" si="49">IF(D614&lt;&gt;"", ROW()-1, "")</f>
        <v>613</v>
      </c>
      <c r="B614" s="168" t="s">
        <v>948</v>
      </c>
      <c r="C614" s="168" t="str">
        <f>VLOOKUP(B614,MEMBERS!B:C,2, )</f>
        <v>MR. TEHSEEN FAIZ</v>
      </c>
      <c r="D614" s="188">
        <v>46003</v>
      </c>
      <c r="E614" s="175">
        <v>1</v>
      </c>
      <c r="F614" s="168" t="s">
        <v>860</v>
      </c>
      <c r="G614" s="165">
        <f>IFERROR(VLOOKUP(F614,'menu list'!B:C,2,FALSE)*E614,"0")</f>
        <v>300</v>
      </c>
      <c r="H614" s="334">
        <f t="shared" si="46"/>
        <v>45</v>
      </c>
      <c r="I614" s="165">
        <f t="shared" si="47"/>
        <v>345</v>
      </c>
    </row>
    <row r="615" spans="1:9" ht="12.75" hidden="1" x14ac:dyDescent="0.25">
      <c r="A615" s="167">
        <f t="shared" si="49"/>
        <v>614</v>
      </c>
      <c r="B615" s="168" t="s">
        <v>948</v>
      </c>
      <c r="C615" s="168" t="str">
        <f>VLOOKUP(B615,MEMBERS!B:C,2, )</f>
        <v>MR. TEHSEEN FAIZ</v>
      </c>
      <c r="D615" s="188">
        <v>46003</v>
      </c>
      <c r="E615" s="175">
        <v>1</v>
      </c>
      <c r="F615" s="168" t="s">
        <v>915</v>
      </c>
      <c r="G615" s="165">
        <f>IFERROR(VLOOKUP(F615,'menu list'!B:C,2,FALSE)*E615,"0")</f>
        <v>999</v>
      </c>
      <c r="H615" s="334">
        <f t="shared" si="46"/>
        <v>149.85</v>
      </c>
      <c r="I615" s="165">
        <f t="shared" si="47"/>
        <v>1148.8499999999999</v>
      </c>
    </row>
    <row r="616" spans="1:9" ht="12.75" hidden="1" x14ac:dyDescent="0.25">
      <c r="A616" s="167">
        <f t="shared" si="49"/>
        <v>615</v>
      </c>
      <c r="B616" s="168" t="s">
        <v>948</v>
      </c>
      <c r="C616" s="168" t="str">
        <f>VLOOKUP(B616,MEMBERS!B:C,2, )</f>
        <v>MR. TEHSEEN FAIZ</v>
      </c>
      <c r="D616" s="188">
        <v>46003</v>
      </c>
      <c r="E616" s="175">
        <v>1</v>
      </c>
      <c r="F616" s="168" t="s">
        <v>503</v>
      </c>
      <c r="G616" s="165">
        <f>IFERROR(VLOOKUP(F616,'menu list'!B:C,2,FALSE)*E616,"0")</f>
        <v>1200</v>
      </c>
      <c r="H616" s="334">
        <f t="shared" si="46"/>
        <v>180</v>
      </c>
      <c r="I616" s="165">
        <f t="shared" si="47"/>
        <v>1380</v>
      </c>
    </row>
    <row r="617" spans="1:9" ht="12.75" hidden="1" x14ac:dyDescent="0.25">
      <c r="A617" s="167">
        <f t="shared" si="49"/>
        <v>616</v>
      </c>
      <c r="B617" s="168" t="s">
        <v>948</v>
      </c>
      <c r="C617" s="168" t="str">
        <f>VLOOKUP(B617,MEMBERS!B:C,2, )</f>
        <v>MR. TEHSEEN FAIZ</v>
      </c>
      <c r="D617" s="188">
        <v>46003</v>
      </c>
      <c r="E617" s="175">
        <v>1</v>
      </c>
      <c r="F617" s="168" t="s">
        <v>939</v>
      </c>
      <c r="G617" s="165">
        <f>IFERROR(VLOOKUP(F617,'menu list'!B:C,2,FALSE)*E617,"0")</f>
        <v>1200</v>
      </c>
      <c r="H617" s="334">
        <f t="shared" si="46"/>
        <v>180</v>
      </c>
      <c r="I617" s="165">
        <f t="shared" si="47"/>
        <v>1380</v>
      </c>
    </row>
    <row r="618" spans="1:9" ht="12.75" hidden="1" x14ac:dyDescent="0.25">
      <c r="A618" s="167">
        <f t="shared" si="49"/>
        <v>617</v>
      </c>
      <c r="B618" s="168" t="s">
        <v>948</v>
      </c>
      <c r="C618" s="168" t="str">
        <f>VLOOKUP(B618,MEMBERS!B:C,2, )</f>
        <v>MR. TEHSEEN FAIZ</v>
      </c>
      <c r="D618" s="188">
        <v>46003</v>
      </c>
      <c r="E618" s="175">
        <v>1</v>
      </c>
      <c r="F618" s="168" t="s">
        <v>780</v>
      </c>
      <c r="G618" s="165">
        <f>IFERROR(VLOOKUP(F618,'menu list'!B:C,2,FALSE)*E618,"0")</f>
        <v>800</v>
      </c>
      <c r="H618" s="334">
        <f t="shared" si="46"/>
        <v>120</v>
      </c>
      <c r="I618" s="165">
        <f t="shared" si="47"/>
        <v>920</v>
      </c>
    </row>
    <row r="619" spans="1:9" ht="12.75" hidden="1" x14ac:dyDescent="0.25">
      <c r="A619" s="167">
        <f t="shared" si="49"/>
        <v>618</v>
      </c>
      <c r="B619" s="168" t="s">
        <v>948</v>
      </c>
      <c r="C619" s="168" t="str">
        <f>VLOOKUP(B619,MEMBERS!B:C,2, )</f>
        <v>MR. TEHSEEN FAIZ</v>
      </c>
      <c r="D619" s="188">
        <v>46003</v>
      </c>
      <c r="E619" s="175">
        <v>1</v>
      </c>
      <c r="F619" s="168" t="s">
        <v>786</v>
      </c>
      <c r="G619" s="165">
        <f>IFERROR(VLOOKUP(F619,'menu list'!B:C,2,FALSE)*E619,"0")</f>
        <v>1150</v>
      </c>
      <c r="H619" s="334">
        <f t="shared" si="46"/>
        <v>172.5</v>
      </c>
      <c r="I619" s="165">
        <f t="shared" si="47"/>
        <v>1322.5</v>
      </c>
    </row>
    <row r="620" spans="1:9" ht="12.75" hidden="1" x14ac:dyDescent="0.25">
      <c r="A620" s="167">
        <f t="shared" si="49"/>
        <v>619</v>
      </c>
      <c r="B620" s="168" t="s">
        <v>1073</v>
      </c>
      <c r="C620" s="168" t="str">
        <f>VLOOKUP(B620,MEMBERS!B:C,2, )</f>
        <v>MR. GHULAM MUSTAFA</v>
      </c>
      <c r="D620" s="188">
        <v>46004</v>
      </c>
      <c r="E620" s="175">
        <v>2</v>
      </c>
      <c r="F620" s="168" t="s">
        <v>440</v>
      </c>
      <c r="G620" s="165">
        <f>IFERROR(VLOOKUP(F620,'menu list'!B:C,2,FALSE)*E620,"0")</f>
        <v>300</v>
      </c>
      <c r="H620" s="334">
        <f t="shared" si="46"/>
        <v>45</v>
      </c>
      <c r="I620" s="165">
        <f t="shared" si="47"/>
        <v>345</v>
      </c>
    </row>
    <row r="621" spans="1:9" ht="12.75" hidden="1" x14ac:dyDescent="0.25">
      <c r="A621" s="167">
        <f t="shared" ref="A621:A684" si="50">IF(D621&lt;&gt;"", ROW()-1, "")</f>
        <v>620</v>
      </c>
      <c r="B621" s="168" t="s">
        <v>1073</v>
      </c>
      <c r="C621" s="168" t="str">
        <f>VLOOKUP(B621,MEMBERS!B:C,2, )</f>
        <v>MR. GHULAM MUSTAFA</v>
      </c>
      <c r="D621" s="188">
        <v>46004</v>
      </c>
      <c r="E621" s="175">
        <v>3</v>
      </c>
      <c r="F621" s="168" t="s">
        <v>442</v>
      </c>
      <c r="G621" s="165">
        <f>IFERROR(VLOOKUP(F621,'menu list'!B:C,2,FALSE)*E621,"0")</f>
        <v>450</v>
      </c>
      <c r="H621" s="334">
        <f t="shared" si="46"/>
        <v>67.5</v>
      </c>
      <c r="I621" s="165">
        <f t="shared" si="47"/>
        <v>517.5</v>
      </c>
    </row>
    <row r="622" spans="1:9" ht="12.75" hidden="1" x14ac:dyDescent="0.25">
      <c r="A622" s="167">
        <f t="shared" si="50"/>
        <v>621</v>
      </c>
      <c r="B622" s="168" t="s">
        <v>1073</v>
      </c>
      <c r="C622" s="168" t="str">
        <f>VLOOKUP(B622,MEMBERS!B:C,2, )</f>
        <v>MR. GHULAM MUSTAFA</v>
      </c>
      <c r="D622" s="188">
        <v>46004</v>
      </c>
      <c r="E622" s="175">
        <v>4</v>
      </c>
      <c r="F622" s="168" t="s">
        <v>1184</v>
      </c>
      <c r="G622" s="165">
        <f>IFERROR(VLOOKUP(F622,'menu list'!B:C,2,FALSE)*E622,"0")</f>
        <v>3200</v>
      </c>
      <c r="H622" s="334">
        <f t="shared" si="46"/>
        <v>480</v>
      </c>
      <c r="I622" s="165">
        <f t="shared" si="47"/>
        <v>3680</v>
      </c>
    </row>
    <row r="623" spans="1:9" ht="12.75" hidden="1" x14ac:dyDescent="0.25">
      <c r="A623" s="167">
        <f t="shared" si="50"/>
        <v>622</v>
      </c>
      <c r="B623" s="168" t="s">
        <v>1073</v>
      </c>
      <c r="C623" s="168" t="str">
        <f>VLOOKUP(B623,MEMBERS!B:C,2, )</f>
        <v>MR. GHULAM MUSTAFA</v>
      </c>
      <c r="D623" s="188">
        <v>46004</v>
      </c>
      <c r="E623" s="175">
        <v>4</v>
      </c>
      <c r="F623" s="168" t="s">
        <v>733</v>
      </c>
      <c r="G623" s="165">
        <f>IFERROR(VLOOKUP(F623,'menu list'!B:C,2,FALSE)*E623,"0")</f>
        <v>1200</v>
      </c>
      <c r="H623" s="334">
        <f t="shared" si="46"/>
        <v>180</v>
      </c>
      <c r="I623" s="165">
        <f t="shared" si="47"/>
        <v>1380</v>
      </c>
    </row>
    <row r="624" spans="1:9" ht="12.75" hidden="1" x14ac:dyDescent="0.25">
      <c r="A624" s="167">
        <f t="shared" si="50"/>
        <v>623</v>
      </c>
      <c r="B624" s="168" t="s">
        <v>1006</v>
      </c>
      <c r="C624" s="168" t="str">
        <f>VLOOKUP(B624,MEMBERS!B:C,2, )</f>
        <v>MR. RAJESH KUMAR CHAWLA</v>
      </c>
      <c r="D624" s="188">
        <v>46004</v>
      </c>
      <c r="E624" s="175">
        <v>2</v>
      </c>
      <c r="F624" s="168" t="s">
        <v>440</v>
      </c>
      <c r="G624" s="165">
        <f>IFERROR(VLOOKUP(F624,'menu list'!B:C,2,FALSE)*E624,"0")</f>
        <v>300</v>
      </c>
      <c r="H624" s="334">
        <f t="shared" si="46"/>
        <v>45</v>
      </c>
      <c r="I624" s="165">
        <f t="shared" si="47"/>
        <v>345</v>
      </c>
    </row>
    <row r="625" spans="1:9" ht="12.75" hidden="1" x14ac:dyDescent="0.25">
      <c r="A625" s="167">
        <f t="shared" si="50"/>
        <v>624</v>
      </c>
      <c r="B625" s="168" t="s">
        <v>1006</v>
      </c>
      <c r="C625" s="168" t="str">
        <f>VLOOKUP(B625,MEMBERS!B:C,2, )</f>
        <v>MR. RAJESH KUMAR CHAWLA</v>
      </c>
      <c r="D625" s="188">
        <v>46004</v>
      </c>
      <c r="E625" s="175">
        <v>2</v>
      </c>
      <c r="F625" s="168" t="s">
        <v>442</v>
      </c>
      <c r="G625" s="165">
        <f>IFERROR(VLOOKUP(F625,'menu list'!B:C,2,FALSE)*E625,"0")</f>
        <v>300</v>
      </c>
      <c r="H625" s="334">
        <f t="shared" si="46"/>
        <v>45</v>
      </c>
      <c r="I625" s="165">
        <f t="shared" si="47"/>
        <v>345</v>
      </c>
    </row>
    <row r="626" spans="1:9" ht="12.75" hidden="1" x14ac:dyDescent="0.25">
      <c r="A626" s="167">
        <f t="shared" si="50"/>
        <v>625</v>
      </c>
      <c r="B626" s="168" t="s">
        <v>1006</v>
      </c>
      <c r="C626" s="168" t="str">
        <f>VLOOKUP(B626,MEMBERS!B:C,2, )</f>
        <v>MR. RAJESH KUMAR CHAWLA</v>
      </c>
      <c r="D626" s="188">
        <v>46004</v>
      </c>
      <c r="E626" s="175">
        <v>2</v>
      </c>
      <c r="F626" s="168" t="s">
        <v>733</v>
      </c>
      <c r="G626" s="165">
        <f>IFERROR(VLOOKUP(F626,'menu list'!B:C,2,FALSE)*E626,"0")</f>
        <v>600</v>
      </c>
      <c r="H626" s="334">
        <f t="shared" si="46"/>
        <v>90</v>
      </c>
      <c r="I626" s="165">
        <f t="shared" si="47"/>
        <v>690</v>
      </c>
    </row>
    <row r="627" spans="1:9" ht="12.75" hidden="1" x14ac:dyDescent="0.25">
      <c r="A627" s="167">
        <f t="shared" si="50"/>
        <v>626</v>
      </c>
      <c r="B627" s="168" t="s">
        <v>1052</v>
      </c>
      <c r="C627" s="168" t="str">
        <f>VLOOKUP(B627,MEMBERS!B:C,2, )</f>
        <v>MR. YASIR RASHEED</v>
      </c>
      <c r="D627" s="188">
        <v>46004</v>
      </c>
      <c r="E627" s="175">
        <v>2</v>
      </c>
      <c r="F627" s="168" t="s">
        <v>1184</v>
      </c>
      <c r="G627" s="165">
        <f>IFERROR(VLOOKUP(F627,'menu list'!B:C,2,FALSE)*E627,"0")</f>
        <v>1600</v>
      </c>
      <c r="H627" s="334">
        <f t="shared" si="46"/>
        <v>240</v>
      </c>
      <c r="I627" s="165">
        <f t="shared" si="47"/>
        <v>1840</v>
      </c>
    </row>
    <row r="628" spans="1:9" ht="12.75" hidden="1" x14ac:dyDescent="0.25">
      <c r="A628" s="167">
        <f t="shared" si="50"/>
        <v>627</v>
      </c>
      <c r="B628" s="168" t="s">
        <v>1052</v>
      </c>
      <c r="C628" s="168" t="str">
        <f>VLOOKUP(B628,MEMBERS!B:C,2, )</f>
        <v>MR. YASIR RASHEED</v>
      </c>
      <c r="D628" s="188">
        <v>46004</v>
      </c>
      <c r="E628" s="175">
        <v>3</v>
      </c>
      <c r="F628" s="168" t="s">
        <v>499</v>
      </c>
      <c r="G628" s="165">
        <f>IFERROR(VLOOKUP(F628,'menu list'!B:C,2,FALSE)*E628,"0")</f>
        <v>300</v>
      </c>
      <c r="H628" s="334">
        <f t="shared" si="46"/>
        <v>45</v>
      </c>
      <c r="I628" s="165">
        <f t="shared" si="47"/>
        <v>345</v>
      </c>
    </row>
    <row r="629" spans="1:9" ht="12.75" hidden="1" x14ac:dyDescent="0.25">
      <c r="A629" s="167">
        <f t="shared" si="50"/>
        <v>628</v>
      </c>
      <c r="B629" s="168" t="s">
        <v>1052</v>
      </c>
      <c r="C629" s="168" t="str">
        <f>VLOOKUP(B629,MEMBERS!B:C,2, )</f>
        <v>MR. YASIR RASHEED</v>
      </c>
      <c r="D629" s="188">
        <v>46004</v>
      </c>
      <c r="E629" s="175">
        <v>2</v>
      </c>
      <c r="F629" s="168" t="s">
        <v>442</v>
      </c>
      <c r="G629" s="165">
        <f>IFERROR(VLOOKUP(F629,'menu list'!B:C,2,FALSE)*E629,"0")</f>
        <v>300</v>
      </c>
      <c r="H629" s="334">
        <f t="shared" si="46"/>
        <v>45</v>
      </c>
      <c r="I629" s="165">
        <f t="shared" si="47"/>
        <v>345</v>
      </c>
    </row>
    <row r="630" spans="1:9" ht="12.75" hidden="1" x14ac:dyDescent="0.25">
      <c r="A630" s="167">
        <f t="shared" si="50"/>
        <v>629</v>
      </c>
      <c r="B630" s="168" t="s">
        <v>454</v>
      </c>
      <c r="C630" s="168" t="str">
        <f>VLOOKUP(B630,MEMBERS!B:C,2, )</f>
        <v>Heritage club</v>
      </c>
      <c r="D630" s="188">
        <v>46004</v>
      </c>
      <c r="E630" s="175">
        <v>5</v>
      </c>
      <c r="F630" s="168" t="s">
        <v>440</v>
      </c>
      <c r="G630" s="165">
        <f>IFERROR(VLOOKUP(F630,'menu list'!B:C,2,FALSE)*E630,"0")</f>
        <v>750</v>
      </c>
      <c r="H630" s="334">
        <f t="shared" si="46"/>
        <v>112.5</v>
      </c>
      <c r="I630" s="165">
        <f t="shared" si="47"/>
        <v>862.5</v>
      </c>
    </row>
    <row r="631" spans="1:9" ht="12.75" hidden="1" x14ac:dyDescent="0.25">
      <c r="A631" s="167">
        <f t="shared" si="50"/>
        <v>630</v>
      </c>
      <c r="B631" s="168" t="s">
        <v>454</v>
      </c>
      <c r="C631" s="168" t="str">
        <f>VLOOKUP(B631,MEMBERS!B:C,2, )</f>
        <v>Heritage club</v>
      </c>
      <c r="D631" s="188">
        <v>46004</v>
      </c>
      <c r="E631" s="175">
        <v>4</v>
      </c>
      <c r="F631" s="168" t="s">
        <v>442</v>
      </c>
      <c r="G631" s="165">
        <f>IFERROR(VLOOKUP(F631,'menu list'!B:C,2,FALSE)*E631,"0")</f>
        <v>600</v>
      </c>
      <c r="H631" s="334">
        <f t="shared" si="46"/>
        <v>90</v>
      </c>
      <c r="I631" s="165">
        <f t="shared" si="47"/>
        <v>690</v>
      </c>
    </row>
    <row r="632" spans="1:9" ht="12.75" hidden="1" x14ac:dyDescent="0.25">
      <c r="A632" s="167">
        <f t="shared" si="50"/>
        <v>631</v>
      </c>
      <c r="B632" s="168" t="s">
        <v>430</v>
      </c>
      <c r="C632" s="168" t="str">
        <f>VLOOKUP(B632,MEMBERS!B:C,2, )</f>
        <v>SYED JIBRAN MUSHTAQ</v>
      </c>
      <c r="D632" s="188">
        <v>46004</v>
      </c>
      <c r="E632" s="175">
        <v>2</v>
      </c>
      <c r="F632" s="168" t="s">
        <v>1184</v>
      </c>
      <c r="G632" s="165">
        <f>IFERROR(VLOOKUP(F632,'menu list'!B:C,2,FALSE)*E632,"0")</f>
        <v>1600</v>
      </c>
      <c r="H632" s="334">
        <f t="shared" si="46"/>
        <v>240</v>
      </c>
      <c r="I632" s="165">
        <f t="shared" si="47"/>
        <v>1840</v>
      </c>
    </row>
    <row r="633" spans="1:9" ht="12.75" hidden="1" x14ac:dyDescent="0.25">
      <c r="A633" s="167">
        <f t="shared" si="50"/>
        <v>632</v>
      </c>
      <c r="B633" s="168" t="s">
        <v>430</v>
      </c>
      <c r="C633" s="168" t="str">
        <f>VLOOKUP(B633,MEMBERS!B:C,2, )</f>
        <v>SYED JIBRAN MUSHTAQ</v>
      </c>
      <c r="D633" s="188">
        <v>46004</v>
      </c>
      <c r="E633" s="175">
        <v>2</v>
      </c>
      <c r="F633" s="168" t="s">
        <v>440</v>
      </c>
      <c r="G633" s="165">
        <f>IFERROR(VLOOKUP(F633,'menu list'!B:C,2,FALSE)*E633,"0")</f>
        <v>300</v>
      </c>
      <c r="H633" s="334">
        <f t="shared" si="46"/>
        <v>45</v>
      </c>
      <c r="I633" s="165">
        <f t="shared" si="47"/>
        <v>345</v>
      </c>
    </row>
    <row r="634" spans="1:9" ht="12.75" hidden="1" x14ac:dyDescent="0.25">
      <c r="A634" s="167">
        <f t="shared" si="50"/>
        <v>633</v>
      </c>
      <c r="B634" s="168" t="s">
        <v>430</v>
      </c>
      <c r="C634" s="168" t="str">
        <f>VLOOKUP(B634,MEMBERS!B:C,2, )</f>
        <v>SYED JIBRAN MUSHTAQ</v>
      </c>
      <c r="D634" s="188">
        <v>46004</v>
      </c>
      <c r="E634" s="175">
        <v>3</v>
      </c>
      <c r="F634" s="168" t="s">
        <v>499</v>
      </c>
      <c r="G634" s="165">
        <f>IFERROR(VLOOKUP(F634,'menu list'!B:C,2,FALSE)*E634,"0")</f>
        <v>300</v>
      </c>
      <c r="H634" s="334">
        <f t="shared" si="46"/>
        <v>45</v>
      </c>
      <c r="I634" s="165">
        <f t="shared" si="47"/>
        <v>345</v>
      </c>
    </row>
    <row r="635" spans="1:9" ht="12.75" hidden="1" x14ac:dyDescent="0.25">
      <c r="A635" s="167">
        <f t="shared" si="50"/>
        <v>634</v>
      </c>
      <c r="B635" s="168" t="s">
        <v>430</v>
      </c>
      <c r="C635" s="168" t="str">
        <f>VLOOKUP(B635,MEMBERS!B:C,2, )</f>
        <v>SYED JIBRAN MUSHTAQ</v>
      </c>
      <c r="D635" s="188">
        <v>46004</v>
      </c>
      <c r="E635" s="175">
        <v>2</v>
      </c>
      <c r="F635" s="168" t="s">
        <v>442</v>
      </c>
      <c r="G635" s="165">
        <f>IFERROR(VLOOKUP(F635,'menu list'!B:C,2,FALSE)*E635,"0")</f>
        <v>300</v>
      </c>
      <c r="H635" s="334">
        <f t="shared" si="46"/>
        <v>45</v>
      </c>
      <c r="I635" s="165">
        <f t="shared" si="47"/>
        <v>345</v>
      </c>
    </row>
    <row r="636" spans="1:9" ht="12.75" hidden="1" x14ac:dyDescent="0.25">
      <c r="A636" s="167">
        <f t="shared" si="50"/>
        <v>635</v>
      </c>
      <c r="B636" s="168" t="s">
        <v>430</v>
      </c>
      <c r="C636" s="168" t="str">
        <f>VLOOKUP(B636,MEMBERS!B:C,2, )</f>
        <v>SYED JIBRAN MUSHTAQ</v>
      </c>
      <c r="D636" s="188">
        <v>46004</v>
      </c>
      <c r="E636" s="175">
        <v>2</v>
      </c>
      <c r="F636" s="168" t="s">
        <v>733</v>
      </c>
      <c r="G636" s="165">
        <f>IFERROR(VLOOKUP(F636,'menu list'!B:C,2,FALSE)*E636,"0")</f>
        <v>600</v>
      </c>
      <c r="H636" s="334">
        <f t="shared" si="46"/>
        <v>90</v>
      </c>
      <c r="I636" s="165">
        <f t="shared" si="47"/>
        <v>690</v>
      </c>
    </row>
    <row r="637" spans="1:9" ht="12.75" hidden="1" x14ac:dyDescent="0.25">
      <c r="A637" s="167">
        <f t="shared" si="50"/>
        <v>636</v>
      </c>
      <c r="B637" s="168" t="s">
        <v>88</v>
      </c>
      <c r="C637" s="168" t="str">
        <f>VLOOKUP(B637,MEMBERS!B:C,2, )</f>
        <v>DR.NAZEER HUSSAIN KALHORO</v>
      </c>
      <c r="D637" s="188">
        <v>46004</v>
      </c>
      <c r="E637" s="175">
        <v>2</v>
      </c>
      <c r="F637" s="168" t="s">
        <v>645</v>
      </c>
      <c r="G637" s="165">
        <f>IFERROR(VLOOKUP(F637,'menu list'!B:C,2,FALSE)*E637,"0")</f>
        <v>1600</v>
      </c>
      <c r="H637" s="334">
        <f t="shared" si="46"/>
        <v>240</v>
      </c>
      <c r="I637" s="165">
        <f t="shared" si="47"/>
        <v>1840</v>
      </c>
    </row>
    <row r="638" spans="1:9" ht="12.75" hidden="1" x14ac:dyDescent="0.25">
      <c r="A638" s="167">
        <f t="shared" si="50"/>
        <v>637</v>
      </c>
      <c r="B638" s="168" t="s">
        <v>88</v>
      </c>
      <c r="C638" s="168" t="str">
        <f>VLOOKUP(B638,MEMBERS!B:C,2, )</f>
        <v>DR.NAZEER HUSSAIN KALHORO</v>
      </c>
      <c r="D638" s="188">
        <v>46004</v>
      </c>
      <c r="E638" s="175">
        <v>1</v>
      </c>
      <c r="F638" s="168" t="s">
        <v>440</v>
      </c>
      <c r="G638" s="165">
        <f>IFERROR(VLOOKUP(F638,'menu list'!B:C,2,FALSE)*E638,"0")</f>
        <v>150</v>
      </c>
      <c r="H638" s="334">
        <f t="shared" si="46"/>
        <v>22.5</v>
      </c>
      <c r="I638" s="165">
        <f t="shared" si="47"/>
        <v>172.5</v>
      </c>
    </row>
    <row r="639" spans="1:9" ht="12.75" hidden="1" x14ac:dyDescent="0.25">
      <c r="A639" s="167">
        <f t="shared" si="50"/>
        <v>638</v>
      </c>
      <c r="B639" s="168" t="s">
        <v>88</v>
      </c>
      <c r="C639" s="168" t="str">
        <f>VLOOKUP(B639,MEMBERS!B:C,2, )</f>
        <v>DR.NAZEER HUSSAIN KALHORO</v>
      </c>
      <c r="D639" s="188">
        <v>46004</v>
      </c>
      <c r="E639" s="175">
        <v>1</v>
      </c>
      <c r="F639" s="168" t="s">
        <v>733</v>
      </c>
      <c r="G639" s="165">
        <f>IFERROR(VLOOKUP(F639,'menu list'!B:C,2,FALSE)*E639,"0")</f>
        <v>300</v>
      </c>
      <c r="H639" s="334">
        <f t="shared" si="46"/>
        <v>45</v>
      </c>
      <c r="I639" s="165">
        <f t="shared" si="47"/>
        <v>345</v>
      </c>
    </row>
    <row r="640" spans="1:9" ht="12.75" hidden="1" x14ac:dyDescent="0.25">
      <c r="A640" s="167">
        <f t="shared" si="50"/>
        <v>639</v>
      </c>
      <c r="B640" s="168" t="s">
        <v>64</v>
      </c>
      <c r="C640" s="168" t="str">
        <f>VLOOKUP(B640,MEMBERS!B:C,2, )</f>
        <v>MR.DILEEP KUMAR</v>
      </c>
      <c r="D640" s="188">
        <v>46004</v>
      </c>
      <c r="E640" s="175">
        <v>33</v>
      </c>
      <c r="F640" s="168" t="s">
        <v>1185</v>
      </c>
      <c r="G640" s="165">
        <f>IFERROR(VLOOKUP(F640,'menu list'!B:C,2,FALSE)*E640,"0")</f>
        <v>33000</v>
      </c>
      <c r="H640" s="334">
        <f t="shared" si="46"/>
        <v>4950</v>
      </c>
      <c r="I640" s="165">
        <f t="shared" si="47"/>
        <v>37950</v>
      </c>
    </row>
    <row r="641" spans="1:9" ht="12.75" hidden="1" x14ac:dyDescent="0.25">
      <c r="A641" s="167">
        <f t="shared" si="50"/>
        <v>640</v>
      </c>
      <c r="B641" s="168" t="s">
        <v>64</v>
      </c>
      <c r="C641" s="168" t="str">
        <f>VLOOKUP(B641,MEMBERS!B:C,2, )</f>
        <v>MR.DILEEP KUMAR</v>
      </c>
      <c r="D641" s="188">
        <v>46004</v>
      </c>
      <c r="E641" s="175">
        <v>2</v>
      </c>
      <c r="F641" s="168" t="s">
        <v>440</v>
      </c>
      <c r="G641" s="165">
        <f>IFERROR(VLOOKUP(F641,'menu list'!B:C,2,FALSE)*E641,"0")</f>
        <v>300</v>
      </c>
      <c r="H641" s="334">
        <f t="shared" si="46"/>
        <v>45</v>
      </c>
      <c r="I641" s="165">
        <f t="shared" si="47"/>
        <v>345</v>
      </c>
    </row>
    <row r="642" spans="1:9" ht="12.75" hidden="1" x14ac:dyDescent="0.25">
      <c r="A642" s="167">
        <f t="shared" si="50"/>
        <v>641</v>
      </c>
      <c r="B642" s="168" t="s">
        <v>64</v>
      </c>
      <c r="C642" s="168" t="str">
        <f>VLOOKUP(B642,MEMBERS!B:C,2, )</f>
        <v>MR.DILEEP KUMAR</v>
      </c>
      <c r="D642" s="188">
        <v>46004</v>
      </c>
      <c r="E642" s="175">
        <v>2</v>
      </c>
      <c r="F642" s="168" t="s">
        <v>733</v>
      </c>
      <c r="G642" s="165">
        <f>IFERROR(VLOOKUP(F642,'menu list'!B:C,2,FALSE)*E642,"0")</f>
        <v>600</v>
      </c>
      <c r="H642" s="334">
        <f t="shared" si="46"/>
        <v>90</v>
      </c>
      <c r="I642" s="165">
        <f t="shared" si="47"/>
        <v>690</v>
      </c>
    </row>
    <row r="643" spans="1:9" ht="12.75" hidden="1" x14ac:dyDescent="0.25">
      <c r="A643" s="167">
        <f t="shared" si="50"/>
        <v>642</v>
      </c>
      <c r="B643" s="168" t="s">
        <v>64</v>
      </c>
      <c r="C643" s="168" t="str">
        <f>VLOOKUP(B643,MEMBERS!B:C,2, )</f>
        <v>MR.DILEEP KUMAR</v>
      </c>
      <c r="D643" s="188">
        <v>46004</v>
      </c>
      <c r="E643" s="175">
        <v>1</v>
      </c>
      <c r="F643" s="168" t="s">
        <v>646</v>
      </c>
      <c r="G643" s="165">
        <f>IFERROR(VLOOKUP(F643,'menu list'!B:C,2,FALSE)*E643,"0")</f>
        <v>1000</v>
      </c>
      <c r="H643" s="334">
        <f t="shared" ref="H643:H706" si="51">G643*15/100</f>
        <v>150</v>
      </c>
      <c r="I643" s="165">
        <f t="shared" ref="I643:I706" si="52">G643+H643</f>
        <v>1150</v>
      </c>
    </row>
    <row r="644" spans="1:9" ht="12.75" hidden="1" x14ac:dyDescent="0.25">
      <c r="A644" s="167">
        <f t="shared" si="50"/>
        <v>643</v>
      </c>
      <c r="B644" s="168" t="s">
        <v>64</v>
      </c>
      <c r="C644" s="168" t="str">
        <f>VLOOKUP(B644,MEMBERS!B:C,2, )</f>
        <v>MR.DILEEP KUMAR</v>
      </c>
      <c r="D644" s="188">
        <v>46004</v>
      </c>
      <c r="E644" s="175">
        <v>2</v>
      </c>
      <c r="F644" s="168" t="s">
        <v>499</v>
      </c>
      <c r="G644" s="165">
        <f>IFERROR(VLOOKUP(F644,'menu list'!B:C,2,FALSE)*E644,"0")</f>
        <v>200</v>
      </c>
      <c r="H644" s="334">
        <f t="shared" si="51"/>
        <v>30</v>
      </c>
      <c r="I644" s="165">
        <f t="shared" si="52"/>
        <v>230</v>
      </c>
    </row>
    <row r="645" spans="1:9" ht="12.75" hidden="1" x14ac:dyDescent="0.25">
      <c r="A645" s="167">
        <f t="shared" si="50"/>
        <v>644</v>
      </c>
      <c r="B645" s="168" t="s">
        <v>64</v>
      </c>
      <c r="C645" s="168" t="str">
        <f>VLOOKUP(B645,MEMBERS!B:C,2, )</f>
        <v>MR.DILEEP KUMAR</v>
      </c>
      <c r="D645" s="188">
        <v>46004</v>
      </c>
      <c r="E645" s="175">
        <v>2</v>
      </c>
      <c r="F645" s="168" t="s">
        <v>440</v>
      </c>
      <c r="G645" s="165">
        <f>IFERROR(VLOOKUP(F645,'menu list'!B:C,2,FALSE)*E645,"0")</f>
        <v>300</v>
      </c>
      <c r="H645" s="334">
        <f t="shared" si="51"/>
        <v>45</v>
      </c>
      <c r="I645" s="165">
        <f t="shared" si="52"/>
        <v>345</v>
      </c>
    </row>
    <row r="646" spans="1:9" ht="12.75" hidden="1" x14ac:dyDescent="0.25">
      <c r="A646" s="167">
        <f t="shared" si="50"/>
        <v>645</v>
      </c>
      <c r="B646" s="168" t="s">
        <v>69</v>
      </c>
      <c r="C646" s="168" t="str">
        <f>VLOOKUP(B646,MEMBERS!B:C,2, )</f>
        <v>MR.TARIQUE ZUBAIR</v>
      </c>
      <c r="D646" s="188">
        <v>46004</v>
      </c>
      <c r="E646" s="175">
        <v>2</v>
      </c>
      <c r="F646" s="168" t="s">
        <v>656</v>
      </c>
      <c r="G646" s="165">
        <f>IFERROR(VLOOKUP(F646,'menu list'!B:C,2,FALSE)*E646,"0")</f>
        <v>1500</v>
      </c>
      <c r="H646" s="334">
        <f t="shared" si="51"/>
        <v>225</v>
      </c>
      <c r="I646" s="165">
        <f t="shared" si="52"/>
        <v>1725</v>
      </c>
    </row>
    <row r="647" spans="1:9" ht="12.75" hidden="1" x14ac:dyDescent="0.25">
      <c r="A647" s="167">
        <f t="shared" si="50"/>
        <v>646</v>
      </c>
      <c r="B647" s="168" t="s">
        <v>69</v>
      </c>
      <c r="C647" s="168" t="str">
        <f>VLOOKUP(B647,MEMBERS!B:C,2, )</f>
        <v>MR.TARIQUE ZUBAIR</v>
      </c>
      <c r="D647" s="188">
        <v>46004</v>
      </c>
      <c r="E647" s="175">
        <v>4</v>
      </c>
      <c r="F647" s="168" t="s">
        <v>645</v>
      </c>
      <c r="G647" s="165">
        <f>IFERROR(VLOOKUP(F647,'menu list'!B:C,2,FALSE)*E647,"0")</f>
        <v>3200</v>
      </c>
      <c r="H647" s="334">
        <f t="shared" si="51"/>
        <v>480</v>
      </c>
      <c r="I647" s="165">
        <f t="shared" si="52"/>
        <v>3680</v>
      </c>
    </row>
    <row r="648" spans="1:9" ht="12.75" hidden="1" x14ac:dyDescent="0.25">
      <c r="A648" s="167">
        <f t="shared" si="50"/>
        <v>647</v>
      </c>
      <c r="B648" s="168" t="s">
        <v>69</v>
      </c>
      <c r="C648" s="168" t="str">
        <f>VLOOKUP(B648,MEMBERS!B:C,2, )</f>
        <v>MR.TARIQUE ZUBAIR</v>
      </c>
      <c r="D648" s="188">
        <v>46004</v>
      </c>
      <c r="E648" s="175">
        <v>3</v>
      </c>
      <c r="F648" s="168" t="s">
        <v>442</v>
      </c>
      <c r="G648" s="165">
        <f>IFERROR(VLOOKUP(F648,'menu list'!B:C,2,FALSE)*E648,"0")</f>
        <v>450</v>
      </c>
      <c r="H648" s="334">
        <f t="shared" si="51"/>
        <v>67.5</v>
      </c>
      <c r="I648" s="165">
        <f t="shared" si="52"/>
        <v>517.5</v>
      </c>
    </row>
    <row r="649" spans="1:9" ht="12.75" hidden="1" x14ac:dyDescent="0.25">
      <c r="A649" s="167">
        <f t="shared" si="50"/>
        <v>648</v>
      </c>
      <c r="B649" s="168" t="s">
        <v>164</v>
      </c>
      <c r="C649" s="168" t="str">
        <f>VLOOKUP(B649,MEMBERS!B:C,2, )</f>
        <v>MR.ASHOK KUMAR</v>
      </c>
      <c r="D649" s="188">
        <v>46004</v>
      </c>
      <c r="E649" s="175">
        <v>1</v>
      </c>
      <c r="F649" s="168" t="s">
        <v>497</v>
      </c>
      <c r="G649" s="165">
        <f>IFERROR(VLOOKUP(F649,'menu list'!B:C,2,FALSE)*E649,"0")</f>
        <v>250</v>
      </c>
      <c r="H649" s="334">
        <f t="shared" si="51"/>
        <v>37.5</v>
      </c>
      <c r="I649" s="165">
        <f t="shared" si="52"/>
        <v>287.5</v>
      </c>
    </row>
    <row r="650" spans="1:9" ht="12.75" hidden="1" x14ac:dyDescent="0.25">
      <c r="A650" s="167">
        <f t="shared" si="50"/>
        <v>649</v>
      </c>
      <c r="B650" s="168" t="s">
        <v>164</v>
      </c>
      <c r="C650" s="168" t="str">
        <f>VLOOKUP(B650,MEMBERS!B:C,2, )</f>
        <v>MR.ASHOK KUMAR</v>
      </c>
      <c r="D650" s="188">
        <v>46004</v>
      </c>
      <c r="E650" s="175">
        <v>5</v>
      </c>
      <c r="F650" s="168" t="s">
        <v>499</v>
      </c>
      <c r="G650" s="165">
        <f>IFERROR(VLOOKUP(F650,'menu list'!B:C,2,FALSE)*E650,"0")</f>
        <v>500</v>
      </c>
      <c r="H650" s="334">
        <f t="shared" si="51"/>
        <v>75</v>
      </c>
      <c r="I650" s="165">
        <f t="shared" si="52"/>
        <v>575</v>
      </c>
    </row>
    <row r="651" spans="1:9" ht="12.75" hidden="1" x14ac:dyDescent="0.25">
      <c r="A651" s="167">
        <f t="shared" si="50"/>
        <v>650</v>
      </c>
      <c r="B651" s="168" t="s">
        <v>164</v>
      </c>
      <c r="C651" s="168" t="str">
        <f>VLOOKUP(B651,MEMBERS!B:C,2, )</f>
        <v>MR.ASHOK KUMAR</v>
      </c>
      <c r="D651" s="188">
        <v>46004</v>
      </c>
      <c r="E651" s="175">
        <v>1</v>
      </c>
      <c r="F651" s="168" t="s">
        <v>733</v>
      </c>
      <c r="G651" s="165">
        <f>IFERROR(VLOOKUP(F651,'menu list'!B:C,2,FALSE)*E651,"0")</f>
        <v>300</v>
      </c>
      <c r="H651" s="334">
        <f t="shared" si="51"/>
        <v>45</v>
      </c>
      <c r="I651" s="165">
        <f t="shared" si="52"/>
        <v>345</v>
      </c>
    </row>
    <row r="652" spans="1:9" ht="12.75" hidden="1" x14ac:dyDescent="0.25">
      <c r="A652" s="167">
        <f t="shared" si="50"/>
        <v>651</v>
      </c>
      <c r="B652" s="168" t="s">
        <v>378</v>
      </c>
      <c r="C652" s="168" t="str">
        <f>VLOOKUP(B652,MEMBERS!B:C,2, )</f>
        <v>SABA AHSAN</v>
      </c>
      <c r="D652" s="188">
        <v>46004</v>
      </c>
      <c r="E652" s="175">
        <v>1</v>
      </c>
      <c r="F652" s="168" t="s">
        <v>707</v>
      </c>
      <c r="G652" s="165">
        <f>IFERROR(VLOOKUP(F652,'menu list'!B:C,2,FALSE)*E652,"0")</f>
        <v>450</v>
      </c>
      <c r="H652" s="334">
        <f t="shared" si="51"/>
        <v>67.5</v>
      </c>
      <c r="I652" s="165">
        <f t="shared" si="52"/>
        <v>517.5</v>
      </c>
    </row>
    <row r="653" spans="1:9" ht="12.75" hidden="1" x14ac:dyDescent="0.25">
      <c r="A653" s="167">
        <f t="shared" si="50"/>
        <v>652</v>
      </c>
      <c r="B653" s="168" t="s">
        <v>378</v>
      </c>
      <c r="C653" s="168" t="str">
        <f>VLOOKUP(B653,MEMBERS!B:C,2, )</f>
        <v>SABA AHSAN</v>
      </c>
      <c r="D653" s="188">
        <v>46004</v>
      </c>
      <c r="E653" s="175">
        <v>1</v>
      </c>
      <c r="F653" s="168" t="s">
        <v>919</v>
      </c>
      <c r="G653" s="165">
        <f>IFERROR(VLOOKUP(F653,'menu list'!B:C,2,FALSE)*E653,"0")</f>
        <v>390</v>
      </c>
      <c r="H653" s="334">
        <f t="shared" si="51"/>
        <v>58.5</v>
      </c>
      <c r="I653" s="165">
        <f t="shared" si="52"/>
        <v>448.5</v>
      </c>
    </row>
    <row r="654" spans="1:9" ht="12.75" hidden="1" x14ac:dyDescent="0.25">
      <c r="A654" s="167">
        <f t="shared" si="50"/>
        <v>653</v>
      </c>
      <c r="B654" s="168" t="s">
        <v>378</v>
      </c>
      <c r="C654" s="168" t="str">
        <f>VLOOKUP(B654,MEMBERS!B:C,2, )</f>
        <v>SABA AHSAN</v>
      </c>
      <c r="D654" s="188">
        <v>46004</v>
      </c>
      <c r="E654" s="175">
        <v>1</v>
      </c>
      <c r="F654" s="168" t="s">
        <v>498</v>
      </c>
      <c r="G654" s="165">
        <f>IFERROR(VLOOKUP(F654,'menu list'!B:C,2,FALSE)*E654,"0")</f>
        <v>200</v>
      </c>
      <c r="H654" s="334">
        <f t="shared" si="51"/>
        <v>30</v>
      </c>
      <c r="I654" s="165">
        <f t="shared" si="52"/>
        <v>230</v>
      </c>
    </row>
    <row r="655" spans="1:9" ht="12.75" hidden="1" x14ac:dyDescent="0.25">
      <c r="A655" s="167">
        <f t="shared" si="50"/>
        <v>654</v>
      </c>
      <c r="B655" s="168" t="s">
        <v>378</v>
      </c>
      <c r="C655" s="168" t="str">
        <f>VLOOKUP(B655,MEMBERS!B:C,2, )</f>
        <v>SABA AHSAN</v>
      </c>
      <c r="D655" s="188">
        <v>46004</v>
      </c>
      <c r="E655" s="175">
        <v>3</v>
      </c>
      <c r="F655" s="168" t="s">
        <v>623</v>
      </c>
      <c r="G655" s="165">
        <f>IFERROR(VLOOKUP(F655,'menu list'!B:C,2,FALSE)*E655,"0")</f>
        <v>450</v>
      </c>
      <c r="H655" s="334">
        <f t="shared" si="51"/>
        <v>67.5</v>
      </c>
      <c r="I655" s="165">
        <f t="shared" si="52"/>
        <v>517.5</v>
      </c>
    </row>
    <row r="656" spans="1:9" ht="12.75" hidden="1" x14ac:dyDescent="0.25">
      <c r="A656" s="167">
        <f t="shared" si="50"/>
        <v>655</v>
      </c>
      <c r="B656" s="168" t="s">
        <v>263</v>
      </c>
      <c r="C656" s="168" t="str">
        <f>VLOOKUP(B656,MEMBERS!B:C,2, )</f>
        <v>MR.CAREL HEDRIK BURGER</v>
      </c>
      <c r="D656" s="188">
        <v>46004</v>
      </c>
      <c r="E656" s="175">
        <v>2</v>
      </c>
      <c r="F656" s="168" t="s">
        <v>707</v>
      </c>
      <c r="G656" s="165">
        <f>IFERROR(VLOOKUP(F656,'menu list'!B:C,2,FALSE)*E656,"0")</f>
        <v>900</v>
      </c>
      <c r="H656" s="334">
        <f t="shared" si="51"/>
        <v>135</v>
      </c>
      <c r="I656" s="165">
        <f t="shared" si="52"/>
        <v>1035</v>
      </c>
    </row>
    <row r="657" spans="1:9" ht="12.75" hidden="1" x14ac:dyDescent="0.25">
      <c r="A657" s="167">
        <f t="shared" si="50"/>
        <v>656</v>
      </c>
      <c r="B657" s="168" t="s">
        <v>263</v>
      </c>
      <c r="C657" s="168" t="str">
        <f>VLOOKUP(B657,MEMBERS!B:C,2, )</f>
        <v>MR.CAREL HEDRIK BURGER</v>
      </c>
      <c r="D657" s="188">
        <v>46004</v>
      </c>
      <c r="E657" s="175">
        <v>4</v>
      </c>
      <c r="F657" s="168" t="s">
        <v>552</v>
      </c>
      <c r="G657" s="165">
        <f>IFERROR(VLOOKUP(F657,'menu list'!B:C,2,FALSE)*E657,"0")</f>
        <v>600</v>
      </c>
      <c r="H657" s="334">
        <f t="shared" si="51"/>
        <v>90</v>
      </c>
      <c r="I657" s="165">
        <f t="shared" si="52"/>
        <v>690</v>
      </c>
    </row>
    <row r="658" spans="1:9" ht="12.75" hidden="1" x14ac:dyDescent="0.25">
      <c r="A658" s="167">
        <f t="shared" si="50"/>
        <v>657</v>
      </c>
      <c r="B658" s="168" t="s">
        <v>263</v>
      </c>
      <c r="C658" s="168" t="str">
        <f>VLOOKUP(B658,MEMBERS!B:C,2, )</f>
        <v>MR.CAREL HEDRIK BURGER</v>
      </c>
      <c r="D658" s="188">
        <v>46004</v>
      </c>
      <c r="E658" s="175">
        <v>2</v>
      </c>
      <c r="F658" s="168" t="s">
        <v>836</v>
      </c>
      <c r="G658" s="165">
        <f>IFERROR(VLOOKUP(F658,'menu list'!B:C,2,FALSE)*E658,"0")</f>
        <v>700</v>
      </c>
      <c r="H658" s="334">
        <f t="shared" si="51"/>
        <v>105</v>
      </c>
      <c r="I658" s="165">
        <f t="shared" si="52"/>
        <v>805</v>
      </c>
    </row>
    <row r="659" spans="1:9" ht="12.75" hidden="1" x14ac:dyDescent="0.25">
      <c r="A659" s="167">
        <f t="shared" si="50"/>
        <v>658</v>
      </c>
      <c r="B659" s="168" t="s">
        <v>263</v>
      </c>
      <c r="C659" s="168" t="str">
        <f>VLOOKUP(B659,MEMBERS!B:C,2, )</f>
        <v>MR.CAREL HEDRIK BURGER</v>
      </c>
      <c r="D659" s="188">
        <v>46004</v>
      </c>
      <c r="E659" s="175">
        <v>1</v>
      </c>
      <c r="F659" s="168" t="s">
        <v>499</v>
      </c>
      <c r="G659" s="165">
        <f>IFERROR(VLOOKUP(F659,'menu list'!B:C,2,FALSE)*E659,"0")</f>
        <v>100</v>
      </c>
      <c r="H659" s="334">
        <f t="shared" si="51"/>
        <v>15</v>
      </c>
      <c r="I659" s="165">
        <f t="shared" si="52"/>
        <v>115</v>
      </c>
    </row>
    <row r="660" spans="1:9" ht="12.75" hidden="1" x14ac:dyDescent="0.25">
      <c r="A660" s="167">
        <f t="shared" si="50"/>
        <v>659</v>
      </c>
      <c r="B660" s="168" t="s">
        <v>15</v>
      </c>
      <c r="C660" s="168" t="str">
        <f>VLOOKUP(B660,MEMBERS!B:C,2, )</f>
        <v>MR.GHULAM NABI OTHI</v>
      </c>
      <c r="D660" s="188">
        <v>46004</v>
      </c>
      <c r="E660" s="175">
        <v>8</v>
      </c>
      <c r="F660" s="168" t="s">
        <v>645</v>
      </c>
      <c r="G660" s="165">
        <v>8000</v>
      </c>
      <c r="H660" s="334">
        <f t="shared" si="51"/>
        <v>1200</v>
      </c>
      <c r="I660" s="165">
        <f t="shared" si="52"/>
        <v>9200</v>
      </c>
    </row>
    <row r="661" spans="1:9" ht="12.75" hidden="1" x14ac:dyDescent="0.25">
      <c r="A661" s="167">
        <f t="shared" si="50"/>
        <v>660</v>
      </c>
      <c r="B661" s="168" t="s">
        <v>15</v>
      </c>
      <c r="C661" s="168" t="str">
        <f>VLOOKUP(B661,MEMBERS!B:C,2, )</f>
        <v>MR.GHULAM NABI OTHI</v>
      </c>
      <c r="D661" s="188">
        <v>46004</v>
      </c>
      <c r="E661" s="175">
        <v>2</v>
      </c>
      <c r="F661" s="168" t="s">
        <v>1186</v>
      </c>
      <c r="G661" s="165">
        <v>2000</v>
      </c>
      <c r="H661" s="334">
        <f t="shared" si="51"/>
        <v>300</v>
      </c>
      <c r="I661" s="165">
        <f t="shared" si="52"/>
        <v>2300</v>
      </c>
    </row>
    <row r="662" spans="1:9" ht="12.75" hidden="1" x14ac:dyDescent="0.25">
      <c r="A662" s="167">
        <f t="shared" si="50"/>
        <v>661</v>
      </c>
      <c r="B662" s="168" t="s">
        <v>15</v>
      </c>
      <c r="C662" s="168" t="str">
        <f>VLOOKUP(B662,MEMBERS!B:C,2, )</f>
        <v>MR.GHULAM NABI OTHI</v>
      </c>
      <c r="D662" s="188">
        <v>46004</v>
      </c>
      <c r="E662" s="175">
        <v>1</v>
      </c>
      <c r="F662" s="168" t="s">
        <v>440</v>
      </c>
      <c r="G662" s="165">
        <f>IFERROR(VLOOKUP(F662,'menu list'!B:C,2,FALSE)*E662,"0")</f>
        <v>150</v>
      </c>
      <c r="H662" s="334">
        <f t="shared" si="51"/>
        <v>22.5</v>
      </c>
      <c r="I662" s="165">
        <f t="shared" si="52"/>
        <v>172.5</v>
      </c>
    </row>
    <row r="663" spans="1:9" ht="12.75" hidden="1" x14ac:dyDescent="0.25">
      <c r="A663" s="167">
        <f t="shared" si="50"/>
        <v>662</v>
      </c>
      <c r="B663" s="168" t="s">
        <v>15</v>
      </c>
      <c r="C663" s="168" t="str">
        <f>VLOOKUP(B663,MEMBERS!B:C,2, )</f>
        <v>MR.GHULAM NABI OTHI</v>
      </c>
      <c r="D663" s="188">
        <v>46004</v>
      </c>
      <c r="E663" s="175">
        <v>1</v>
      </c>
      <c r="F663" s="168" t="s">
        <v>499</v>
      </c>
      <c r="G663" s="165">
        <f>IFERROR(VLOOKUP(F663,'menu list'!B:C,2,FALSE)*E663,"0")</f>
        <v>100</v>
      </c>
      <c r="H663" s="334">
        <f t="shared" si="51"/>
        <v>15</v>
      </c>
      <c r="I663" s="165">
        <f t="shared" si="52"/>
        <v>115</v>
      </c>
    </row>
    <row r="664" spans="1:9" ht="12.75" hidden="1" x14ac:dyDescent="0.25">
      <c r="A664" s="167">
        <f t="shared" si="50"/>
        <v>663</v>
      </c>
      <c r="B664" s="168" t="s">
        <v>948</v>
      </c>
      <c r="C664" s="168" t="str">
        <f>VLOOKUP(B664,MEMBERS!B:C,2, )</f>
        <v>MR. TEHSEEN FAIZ</v>
      </c>
      <c r="D664" s="188">
        <v>46004</v>
      </c>
      <c r="E664" s="175">
        <v>1</v>
      </c>
      <c r="F664" s="168" t="s">
        <v>785</v>
      </c>
      <c r="G664" s="165">
        <f>IFERROR(VLOOKUP(F664,'menu list'!B:C,2,FALSE)*E664,"0")</f>
        <v>950</v>
      </c>
      <c r="H664" s="334">
        <f t="shared" si="51"/>
        <v>142.5</v>
      </c>
      <c r="I664" s="165">
        <f t="shared" si="52"/>
        <v>1092.5</v>
      </c>
    </row>
    <row r="665" spans="1:9" ht="12.75" hidden="1" x14ac:dyDescent="0.25">
      <c r="A665" s="167">
        <f t="shared" si="50"/>
        <v>664</v>
      </c>
      <c r="B665" s="168" t="s">
        <v>948</v>
      </c>
      <c r="C665" s="168" t="str">
        <f>VLOOKUP(B665,MEMBERS!B:C,2, )</f>
        <v>MR. TEHSEEN FAIZ</v>
      </c>
      <c r="D665" s="188">
        <v>46004</v>
      </c>
      <c r="E665" s="175">
        <v>1</v>
      </c>
      <c r="F665" s="168" t="s">
        <v>500</v>
      </c>
      <c r="G665" s="165">
        <f>IFERROR(VLOOKUP(F665,'menu list'!B:C,2,FALSE)*E665,"0")</f>
        <v>1250</v>
      </c>
      <c r="H665" s="334">
        <f t="shared" si="51"/>
        <v>187.5</v>
      </c>
      <c r="I665" s="165">
        <f t="shared" si="52"/>
        <v>1437.5</v>
      </c>
    </row>
    <row r="666" spans="1:9" ht="12.75" hidden="1" x14ac:dyDescent="0.25">
      <c r="A666" s="167">
        <f t="shared" si="50"/>
        <v>665</v>
      </c>
      <c r="B666" s="168" t="s">
        <v>948</v>
      </c>
      <c r="C666" s="168" t="str">
        <f>VLOOKUP(B666,MEMBERS!B:C,2, )</f>
        <v>MR. TEHSEEN FAIZ</v>
      </c>
      <c r="D666" s="188">
        <v>46004</v>
      </c>
      <c r="E666" s="175">
        <v>2</v>
      </c>
      <c r="F666" s="168" t="s">
        <v>803</v>
      </c>
      <c r="G666" s="165">
        <f>IFERROR(VLOOKUP(F666,'menu list'!B:C,2,FALSE)*E666,"0")</f>
        <v>500</v>
      </c>
      <c r="H666" s="334">
        <f t="shared" si="51"/>
        <v>75</v>
      </c>
      <c r="I666" s="165">
        <f t="shared" si="52"/>
        <v>575</v>
      </c>
    </row>
    <row r="667" spans="1:9" ht="12.75" hidden="1" x14ac:dyDescent="0.25">
      <c r="A667" s="167">
        <f t="shared" si="50"/>
        <v>666</v>
      </c>
      <c r="B667" s="168" t="s">
        <v>15</v>
      </c>
      <c r="C667" s="168" t="str">
        <f>VLOOKUP(B667,MEMBERS!B:C,2, )</f>
        <v>MR.GHULAM NABI OTHI</v>
      </c>
      <c r="D667" s="188">
        <v>46004</v>
      </c>
      <c r="E667" s="175">
        <v>2</v>
      </c>
      <c r="F667" s="168" t="s">
        <v>440</v>
      </c>
      <c r="G667" s="165">
        <f>IFERROR(VLOOKUP(F667,'menu list'!B:C,2,FALSE)*E667,"0")</f>
        <v>300</v>
      </c>
      <c r="H667" s="334">
        <f t="shared" si="51"/>
        <v>45</v>
      </c>
      <c r="I667" s="165">
        <f t="shared" si="52"/>
        <v>345</v>
      </c>
    </row>
    <row r="668" spans="1:9" ht="12.75" hidden="1" x14ac:dyDescent="0.25">
      <c r="A668" s="167">
        <f t="shared" si="50"/>
        <v>667</v>
      </c>
      <c r="B668" s="168" t="s">
        <v>15</v>
      </c>
      <c r="C668" s="168" t="str">
        <f>VLOOKUP(B668,MEMBERS!B:C,2, )</f>
        <v>MR.GHULAM NABI OTHI</v>
      </c>
      <c r="D668" s="188">
        <v>46004</v>
      </c>
      <c r="E668" s="175">
        <v>1</v>
      </c>
      <c r="F668" s="168" t="s">
        <v>786</v>
      </c>
      <c r="G668" s="165">
        <f>IFERROR(VLOOKUP(F668,'menu list'!B:C,2,FALSE)*E668,"0")</f>
        <v>1150</v>
      </c>
      <c r="H668" s="334">
        <f t="shared" si="51"/>
        <v>172.5</v>
      </c>
      <c r="I668" s="165">
        <f t="shared" si="52"/>
        <v>1322.5</v>
      </c>
    </row>
    <row r="669" spans="1:9" ht="12.75" hidden="1" x14ac:dyDescent="0.25">
      <c r="A669" s="167">
        <f t="shared" si="50"/>
        <v>668</v>
      </c>
      <c r="B669" s="168" t="s">
        <v>15</v>
      </c>
      <c r="C669" s="168" t="str">
        <f>VLOOKUP(B669,MEMBERS!B:C,2, )</f>
        <v>MR.GHULAM NABI OTHI</v>
      </c>
      <c r="D669" s="188">
        <v>46004</v>
      </c>
      <c r="E669" s="175">
        <v>1</v>
      </c>
      <c r="F669" s="168" t="s">
        <v>733</v>
      </c>
      <c r="G669" s="165">
        <f>IFERROR(VLOOKUP(F669,'menu list'!B:C,2,FALSE)*E669,"0")</f>
        <v>300</v>
      </c>
      <c r="H669" s="334">
        <f t="shared" si="51"/>
        <v>45</v>
      </c>
      <c r="I669" s="165">
        <f t="shared" si="52"/>
        <v>345</v>
      </c>
    </row>
    <row r="670" spans="1:9" ht="12.75" hidden="1" x14ac:dyDescent="0.25">
      <c r="A670" s="167">
        <f t="shared" si="50"/>
        <v>669</v>
      </c>
      <c r="B670" s="168" t="s">
        <v>93</v>
      </c>
      <c r="C670" s="168" t="str">
        <f>VLOOKUP(B670,MEMBERS!B:C,2, )</f>
        <v>MR.NIZAM UDDIN NIZAMANI</v>
      </c>
      <c r="D670" s="188">
        <v>46004</v>
      </c>
      <c r="E670" s="175">
        <v>1</v>
      </c>
      <c r="F670" s="168" t="s">
        <v>833</v>
      </c>
      <c r="G670" s="165">
        <f>IFERROR(VLOOKUP(F670,'menu list'!B:C,2,FALSE)*E670,"0")</f>
        <v>350</v>
      </c>
      <c r="H670" s="334">
        <f t="shared" si="51"/>
        <v>52.5</v>
      </c>
      <c r="I670" s="165">
        <f t="shared" si="52"/>
        <v>402.5</v>
      </c>
    </row>
    <row r="671" spans="1:9" ht="12.75" hidden="1" x14ac:dyDescent="0.25">
      <c r="A671" s="167">
        <f t="shared" si="50"/>
        <v>670</v>
      </c>
      <c r="B671" s="168" t="s">
        <v>93</v>
      </c>
      <c r="C671" s="168" t="str">
        <f>VLOOKUP(B671,MEMBERS!B:C,2, )</f>
        <v>MR.NIZAM UDDIN NIZAMANI</v>
      </c>
      <c r="D671" s="188">
        <v>46004</v>
      </c>
      <c r="E671" s="175">
        <v>1</v>
      </c>
      <c r="F671" s="168" t="s">
        <v>499</v>
      </c>
      <c r="G671" s="165">
        <f>IFERROR(VLOOKUP(F671,'menu list'!B:C,2,FALSE)*E671,"0")</f>
        <v>100</v>
      </c>
      <c r="H671" s="334">
        <f t="shared" si="51"/>
        <v>15</v>
      </c>
      <c r="I671" s="165">
        <f t="shared" si="52"/>
        <v>115</v>
      </c>
    </row>
    <row r="672" spans="1:9" ht="12.75" hidden="1" x14ac:dyDescent="0.25">
      <c r="A672" s="167">
        <f t="shared" si="50"/>
        <v>671</v>
      </c>
      <c r="B672" s="168" t="s">
        <v>93</v>
      </c>
      <c r="C672" s="168" t="str">
        <f>VLOOKUP(B672,MEMBERS!B:C,2, )</f>
        <v>MR.NIZAM UDDIN NIZAMANI</v>
      </c>
      <c r="D672" s="188">
        <v>46004</v>
      </c>
      <c r="E672" s="175">
        <v>1</v>
      </c>
      <c r="F672" s="168" t="s">
        <v>633</v>
      </c>
      <c r="G672" s="165">
        <f>IFERROR(VLOOKUP(F672,'menu list'!B:C,2,FALSE)*E672,"0")</f>
        <v>700</v>
      </c>
      <c r="H672" s="334">
        <f t="shared" si="51"/>
        <v>105</v>
      </c>
      <c r="I672" s="165">
        <f t="shared" si="52"/>
        <v>805</v>
      </c>
    </row>
    <row r="673" spans="1:9" ht="12.75" hidden="1" x14ac:dyDescent="0.25">
      <c r="A673" s="167">
        <f t="shared" si="50"/>
        <v>672</v>
      </c>
      <c r="B673" s="168" t="s">
        <v>177</v>
      </c>
      <c r="C673" s="168" t="str">
        <f>VLOOKUP(B673,MEMBERS!B:C,2, )</f>
        <v>MR.QAMARUZZAMAN</v>
      </c>
      <c r="D673" s="188">
        <v>46004</v>
      </c>
      <c r="E673" s="175">
        <v>3</v>
      </c>
      <c r="F673" s="168" t="s">
        <v>500</v>
      </c>
      <c r="G673" s="165">
        <f>IFERROR(VLOOKUP(F673,'menu list'!B:C,2,FALSE)*E673,"0")</f>
        <v>3750</v>
      </c>
      <c r="H673" s="334">
        <f t="shared" si="51"/>
        <v>562.5</v>
      </c>
      <c r="I673" s="165">
        <f t="shared" si="52"/>
        <v>4312.5</v>
      </c>
    </row>
    <row r="674" spans="1:9" ht="12.75" hidden="1" x14ac:dyDescent="0.25">
      <c r="A674" s="167">
        <f t="shared" si="50"/>
        <v>673</v>
      </c>
      <c r="B674" s="168" t="s">
        <v>177</v>
      </c>
      <c r="C674" s="168" t="str">
        <f>VLOOKUP(B674,MEMBERS!B:C,2, )</f>
        <v>MR.QAMARUZZAMAN</v>
      </c>
      <c r="D674" s="188">
        <v>46004</v>
      </c>
      <c r="E674" s="175">
        <v>1</v>
      </c>
      <c r="F674" s="168" t="s">
        <v>801</v>
      </c>
      <c r="G674" s="165">
        <f>IFERROR(VLOOKUP(F674,'menu list'!B:C,2,FALSE)*E674,"0")</f>
        <v>700</v>
      </c>
      <c r="H674" s="334">
        <f t="shared" si="51"/>
        <v>105</v>
      </c>
      <c r="I674" s="165">
        <f t="shared" si="52"/>
        <v>805</v>
      </c>
    </row>
    <row r="675" spans="1:9" ht="12.75" hidden="1" x14ac:dyDescent="0.25">
      <c r="A675" s="167">
        <f t="shared" si="50"/>
        <v>674</v>
      </c>
      <c r="B675" s="168" t="s">
        <v>177</v>
      </c>
      <c r="C675" s="168" t="str">
        <f>VLOOKUP(B675,MEMBERS!B:C,2, )</f>
        <v>MR.QAMARUZZAMAN</v>
      </c>
      <c r="D675" s="188">
        <v>46004</v>
      </c>
      <c r="E675" s="175">
        <v>4</v>
      </c>
      <c r="F675" s="168" t="s">
        <v>633</v>
      </c>
      <c r="G675" s="165">
        <f>IFERROR(VLOOKUP(F675,'menu list'!B:C,2,FALSE)*E675,"0")</f>
        <v>2800</v>
      </c>
      <c r="H675" s="334">
        <f t="shared" si="51"/>
        <v>420</v>
      </c>
      <c r="I675" s="165">
        <f t="shared" si="52"/>
        <v>3220</v>
      </c>
    </row>
    <row r="676" spans="1:9" ht="12.75" hidden="1" x14ac:dyDescent="0.25">
      <c r="A676" s="167">
        <f t="shared" si="50"/>
        <v>675</v>
      </c>
      <c r="B676" s="168" t="s">
        <v>177</v>
      </c>
      <c r="C676" s="168" t="str">
        <f>VLOOKUP(B676,MEMBERS!B:C,2, )</f>
        <v>MR.QAMARUZZAMAN</v>
      </c>
      <c r="D676" s="188">
        <v>46004</v>
      </c>
      <c r="E676" s="175">
        <v>3</v>
      </c>
      <c r="F676" s="168" t="s">
        <v>442</v>
      </c>
      <c r="G676" s="165">
        <f>IFERROR(VLOOKUP(F676,'menu list'!B:C,2,FALSE)*E676,"0")</f>
        <v>450</v>
      </c>
      <c r="H676" s="334">
        <f t="shared" si="51"/>
        <v>67.5</v>
      </c>
      <c r="I676" s="165">
        <f t="shared" si="52"/>
        <v>517.5</v>
      </c>
    </row>
    <row r="677" spans="1:9" ht="12.75" hidden="1" x14ac:dyDescent="0.25">
      <c r="A677" s="167">
        <f t="shared" si="50"/>
        <v>676</v>
      </c>
      <c r="B677" s="168" t="s">
        <v>177</v>
      </c>
      <c r="C677" s="168" t="str">
        <f>VLOOKUP(B677,MEMBERS!B:C,2, )</f>
        <v>MR.QAMARUZZAMAN</v>
      </c>
      <c r="D677" s="188">
        <v>46004</v>
      </c>
      <c r="E677" s="175">
        <v>1</v>
      </c>
      <c r="F677" s="168" t="s">
        <v>440</v>
      </c>
      <c r="G677" s="165">
        <f>IFERROR(VLOOKUP(F677,'menu list'!B:C,2,FALSE)*E677,"0")</f>
        <v>150</v>
      </c>
      <c r="H677" s="334">
        <f t="shared" si="51"/>
        <v>22.5</v>
      </c>
      <c r="I677" s="165">
        <f t="shared" si="52"/>
        <v>172.5</v>
      </c>
    </row>
    <row r="678" spans="1:9" ht="12.75" hidden="1" x14ac:dyDescent="0.25">
      <c r="A678" s="167">
        <f t="shared" si="50"/>
        <v>677</v>
      </c>
      <c r="B678" s="168" t="s">
        <v>795</v>
      </c>
      <c r="C678" s="168" t="str">
        <f>VLOOKUP(B678,MEMBERS!B:C,2, )</f>
        <v>MR. HASAN KARIM</v>
      </c>
      <c r="D678" s="188">
        <v>46004</v>
      </c>
      <c r="E678" s="175">
        <v>1</v>
      </c>
      <c r="F678" s="168" t="s">
        <v>499</v>
      </c>
      <c r="G678" s="165">
        <f>IFERROR(VLOOKUP(F678,'menu list'!B:C,2,FALSE)*E678,"0")</f>
        <v>100</v>
      </c>
      <c r="H678" s="334">
        <f t="shared" si="51"/>
        <v>15</v>
      </c>
      <c r="I678" s="165">
        <f t="shared" si="52"/>
        <v>115</v>
      </c>
    </row>
    <row r="679" spans="1:9" ht="12.75" hidden="1" x14ac:dyDescent="0.25">
      <c r="A679" s="167">
        <f t="shared" si="50"/>
        <v>678</v>
      </c>
      <c r="B679" s="168" t="s">
        <v>795</v>
      </c>
      <c r="C679" s="168" t="str">
        <f>VLOOKUP(B679,MEMBERS!B:C,2, )</f>
        <v>MR. HASAN KARIM</v>
      </c>
      <c r="D679" s="188">
        <v>46004</v>
      </c>
      <c r="E679" s="175">
        <v>1</v>
      </c>
      <c r="F679" s="168" t="s">
        <v>653</v>
      </c>
      <c r="G679" s="165">
        <f>IFERROR(VLOOKUP(F679,'menu list'!B:C,2,FALSE)*E679,"0")</f>
        <v>350</v>
      </c>
      <c r="H679" s="334">
        <f t="shared" si="51"/>
        <v>52.5</v>
      </c>
      <c r="I679" s="165">
        <f t="shared" si="52"/>
        <v>402.5</v>
      </c>
    </row>
    <row r="680" spans="1:9" ht="12.75" hidden="1" x14ac:dyDescent="0.25">
      <c r="A680" s="167">
        <f t="shared" si="50"/>
        <v>679</v>
      </c>
      <c r="B680" s="168" t="s">
        <v>373</v>
      </c>
      <c r="C680" s="168" t="str">
        <f>VLOOKUP(B680,MEMBERS!B:C,2, )</f>
        <v>ASIF ASHFAQ</v>
      </c>
      <c r="D680" s="188">
        <v>46004</v>
      </c>
      <c r="E680" s="175">
        <v>4</v>
      </c>
      <c r="F680" s="168" t="s">
        <v>896</v>
      </c>
      <c r="G680" s="165">
        <f>IFERROR(VLOOKUP(F680,'menu list'!B:C,2,FALSE)*E680,"0")</f>
        <v>6000</v>
      </c>
      <c r="H680" s="334">
        <f t="shared" si="51"/>
        <v>900</v>
      </c>
      <c r="I680" s="165">
        <f t="shared" si="52"/>
        <v>6900</v>
      </c>
    </row>
    <row r="681" spans="1:9" ht="12.75" hidden="1" x14ac:dyDescent="0.25">
      <c r="A681" s="167">
        <f t="shared" si="50"/>
        <v>680</v>
      </c>
      <c r="B681" s="168" t="s">
        <v>373</v>
      </c>
      <c r="C681" s="168" t="str">
        <f>VLOOKUP(B681,MEMBERS!B:C,2, )</f>
        <v>ASIF ASHFAQ</v>
      </c>
      <c r="D681" s="188">
        <v>46004</v>
      </c>
      <c r="E681" s="175">
        <v>4</v>
      </c>
      <c r="F681" s="168" t="s">
        <v>740</v>
      </c>
      <c r="G681" s="165">
        <f>IFERROR(VLOOKUP(F681,'menu list'!B:C,2,FALSE)*E681,"0")</f>
        <v>7200</v>
      </c>
      <c r="H681" s="334">
        <f t="shared" si="51"/>
        <v>1080</v>
      </c>
      <c r="I681" s="165">
        <f t="shared" si="52"/>
        <v>8280</v>
      </c>
    </row>
    <row r="682" spans="1:9" ht="12.75" hidden="1" x14ac:dyDescent="0.25">
      <c r="A682" s="167">
        <f t="shared" si="50"/>
        <v>681</v>
      </c>
      <c r="B682" s="168" t="s">
        <v>373</v>
      </c>
      <c r="C682" s="168" t="str">
        <f>VLOOKUP(B682,MEMBERS!B:C,2, )</f>
        <v>ASIF ASHFAQ</v>
      </c>
      <c r="D682" s="188">
        <v>46004</v>
      </c>
      <c r="E682" s="175">
        <v>4</v>
      </c>
      <c r="F682" s="168" t="s">
        <v>1187</v>
      </c>
      <c r="G682" s="165">
        <f>IFERROR(VLOOKUP(F682,'menu list'!B:C,2,FALSE)*E682,"0")</f>
        <v>8000</v>
      </c>
      <c r="H682" s="334">
        <f t="shared" si="51"/>
        <v>1200</v>
      </c>
      <c r="I682" s="165">
        <f t="shared" si="52"/>
        <v>9200</v>
      </c>
    </row>
    <row r="683" spans="1:9" ht="12.75" hidden="1" x14ac:dyDescent="0.25">
      <c r="A683" s="167">
        <f t="shared" si="50"/>
        <v>682</v>
      </c>
      <c r="B683" s="168" t="s">
        <v>373</v>
      </c>
      <c r="C683" s="168" t="str">
        <f>VLOOKUP(B683,MEMBERS!B:C,2, )</f>
        <v>ASIF ASHFAQ</v>
      </c>
      <c r="D683" s="188">
        <v>46004</v>
      </c>
      <c r="E683" s="175">
        <v>2</v>
      </c>
      <c r="F683" s="168" t="s">
        <v>786</v>
      </c>
      <c r="G683" s="165">
        <f>IFERROR(VLOOKUP(F683,'menu list'!B:C,2,FALSE)*E683,"0")</f>
        <v>2300</v>
      </c>
      <c r="H683" s="334">
        <f t="shared" si="51"/>
        <v>345</v>
      </c>
      <c r="I683" s="165">
        <f t="shared" si="52"/>
        <v>2645</v>
      </c>
    </row>
    <row r="684" spans="1:9" ht="12.75" hidden="1" x14ac:dyDescent="0.25">
      <c r="A684" s="167">
        <f t="shared" si="50"/>
        <v>683</v>
      </c>
      <c r="B684" s="168" t="s">
        <v>373</v>
      </c>
      <c r="C684" s="168" t="str">
        <f>VLOOKUP(B684,MEMBERS!B:C,2, )</f>
        <v>ASIF ASHFAQ</v>
      </c>
      <c r="D684" s="188">
        <v>46004</v>
      </c>
      <c r="E684" s="175">
        <v>2</v>
      </c>
      <c r="F684" s="168" t="s">
        <v>792</v>
      </c>
      <c r="G684" s="165">
        <f>IFERROR(VLOOKUP(F684,'menu list'!B:C,2,FALSE)*E684,"0")</f>
        <v>2400</v>
      </c>
      <c r="H684" s="334">
        <f t="shared" si="51"/>
        <v>360</v>
      </c>
      <c r="I684" s="165">
        <f t="shared" si="52"/>
        <v>2760</v>
      </c>
    </row>
    <row r="685" spans="1:9" ht="12.75" hidden="1" x14ac:dyDescent="0.25">
      <c r="A685" s="167">
        <f t="shared" ref="A685:A749" si="53">IF(D685&lt;&gt;"", ROW()-1, "")</f>
        <v>684</v>
      </c>
      <c r="B685" s="168" t="s">
        <v>373</v>
      </c>
      <c r="C685" s="168" t="str">
        <f>VLOOKUP(B685,MEMBERS!B:C,2, )</f>
        <v>ASIF ASHFAQ</v>
      </c>
      <c r="D685" s="188">
        <v>46004</v>
      </c>
      <c r="E685" s="175">
        <v>2</v>
      </c>
      <c r="F685" s="168" t="s">
        <v>822</v>
      </c>
      <c r="G685" s="165">
        <f>IFERROR(VLOOKUP(F685,'menu list'!B:C,2,FALSE)*E685,"0")</f>
        <v>3000</v>
      </c>
      <c r="H685" s="334">
        <f t="shared" si="51"/>
        <v>450</v>
      </c>
      <c r="I685" s="165">
        <f t="shared" si="52"/>
        <v>3450</v>
      </c>
    </row>
    <row r="686" spans="1:9" ht="12.75" hidden="1" x14ac:dyDescent="0.25">
      <c r="A686" s="167">
        <f t="shared" si="53"/>
        <v>685</v>
      </c>
      <c r="B686" s="168" t="s">
        <v>373</v>
      </c>
      <c r="C686" s="168" t="str">
        <f>VLOOKUP(B686,MEMBERS!B:C,2, )</f>
        <v>ASIF ASHFAQ</v>
      </c>
      <c r="D686" s="188">
        <v>46004</v>
      </c>
      <c r="E686" s="175">
        <v>4</v>
      </c>
      <c r="F686" s="168" t="s">
        <v>441</v>
      </c>
      <c r="G686" s="165">
        <f>IFERROR(VLOOKUP(F686,'menu list'!B:C,2,FALSE)*E686,"0")</f>
        <v>800</v>
      </c>
      <c r="H686" s="334">
        <f t="shared" si="51"/>
        <v>120</v>
      </c>
      <c r="I686" s="165">
        <f t="shared" si="52"/>
        <v>920</v>
      </c>
    </row>
    <row r="687" spans="1:9" ht="12.75" hidden="1" x14ac:dyDescent="0.25">
      <c r="A687" s="167">
        <f t="shared" si="53"/>
        <v>686</v>
      </c>
      <c r="B687" s="168" t="s">
        <v>373</v>
      </c>
      <c r="C687" s="168" t="str">
        <f>VLOOKUP(B687,MEMBERS!B:C,2, )</f>
        <v>ASIF ASHFAQ</v>
      </c>
      <c r="D687" s="188">
        <v>46004</v>
      </c>
      <c r="E687" s="175">
        <v>2</v>
      </c>
      <c r="F687" s="168" t="s">
        <v>793</v>
      </c>
      <c r="G687" s="165">
        <f>IFERROR(VLOOKUP(F687,'menu list'!B:C,2,FALSE)*E687,"0")</f>
        <v>1600</v>
      </c>
      <c r="H687" s="334">
        <f t="shared" si="51"/>
        <v>240</v>
      </c>
      <c r="I687" s="165">
        <f t="shared" si="52"/>
        <v>1840</v>
      </c>
    </row>
    <row r="688" spans="1:9" ht="12.75" hidden="1" x14ac:dyDescent="0.25">
      <c r="A688" s="167">
        <f t="shared" si="53"/>
        <v>687</v>
      </c>
      <c r="B688" s="168" t="s">
        <v>373</v>
      </c>
      <c r="C688" s="168" t="str">
        <f>VLOOKUP(B688,MEMBERS!B:C,2, )</f>
        <v>ASIF ASHFAQ</v>
      </c>
      <c r="D688" s="188">
        <v>46004</v>
      </c>
      <c r="E688" s="175">
        <v>4</v>
      </c>
      <c r="F688" s="168" t="s">
        <v>440</v>
      </c>
      <c r="G688" s="165">
        <f>IFERROR(VLOOKUP(F688,'menu list'!B:C,2,FALSE)*E688,"0")</f>
        <v>600</v>
      </c>
      <c r="H688" s="334">
        <f t="shared" si="51"/>
        <v>90</v>
      </c>
      <c r="I688" s="165">
        <f t="shared" si="52"/>
        <v>690</v>
      </c>
    </row>
    <row r="689" spans="1:9" ht="12.75" hidden="1" x14ac:dyDescent="0.25">
      <c r="A689" s="167">
        <f t="shared" si="53"/>
        <v>688</v>
      </c>
      <c r="B689" s="168" t="s">
        <v>373</v>
      </c>
      <c r="C689" s="168" t="str">
        <f>VLOOKUP(B689,MEMBERS!B:C,2, )</f>
        <v>ASIF ASHFAQ</v>
      </c>
      <c r="D689" s="188">
        <v>46004</v>
      </c>
      <c r="E689" s="175">
        <v>10</v>
      </c>
      <c r="F689" s="168" t="s">
        <v>442</v>
      </c>
      <c r="G689" s="165">
        <f>IFERROR(VLOOKUP(F689,'menu list'!B:C,2,FALSE)*E689,"0")</f>
        <v>1500</v>
      </c>
      <c r="H689" s="334">
        <f t="shared" si="51"/>
        <v>225</v>
      </c>
      <c r="I689" s="165">
        <f t="shared" si="52"/>
        <v>1725</v>
      </c>
    </row>
    <row r="690" spans="1:9" ht="12.75" hidden="1" x14ac:dyDescent="0.25">
      <c r="A690" s="167">
        <f t="shared" si="53"/>
        <v>689</v>
      </c>
      <c r="B690" s="168" t="s">
        <v>373</v>
      </c>
      <c r="C690" s="168" t="str">
        <f>VLOOKUP(B690,MEMBERS!B:C,2, )</f>
        <v>ASIF ASHFAQ</v>
      </c>
      <c r="D690" s="188">
        <v>46004</v>
      </c>
      <c r="E690" s="175">
        <v>15</v>
      </c>
      <c r="F690" s="168" t="s">
        <v>1168</v>
      </c>
      <c r="G690" s="165">
        <f>IFERROR(VLOOKUP(F690,'menu list'!B:C,2,FALSE)*E690,"0")</f>
        <v>6750</v>
      </c>
      <c r="H690" s="334">
        <f t="shared" si="51"/>
        <v>1012.5</v>
      </c>
      <c r="I690" s="165">
        <f t="shared" si="52"/>
        <v>7762.5</v>
      </c>
    </row>
    <row r="691" spans="1:9" ht="12.75" hidden="1" x14ac:dyDescent="0.25">
      <c r="A691" s="167">
        <f t="shared" si="53"/>
        <v>690</v>
      </c>
      <c r="B691" s="168" t="s">
        <v>388</v>
      </c>
      <c r="C691" s="168" t="str">
        <f>VLOOKUP(B691,MEMBERS!B:C,2, )</f>
        <v>IFTIKHAR SHAH</v>
      </c>
      <c r="D691" s="188">
        <v>46004</v>
      </c>
      <c r="E691" s="175">
        <v>13</v>
      </c>
      <c r="F691" s="168" t="s">
        <v>724</v>
      </c>
      <c r="G691" s="165">
        <f>IFERROR(VLOOKUP(F691,'menu list'!B:C,2,FALSE)*E691,"0")</f>
        <v>5200</v>
      </c>
      <c r="H691" s="334">
        <f t="shared" si="51"/>
        <v>780</v>
      </c>
      <c r="I691" s="165">
        <f t="shared" si="52"/>
        <v>5980</v>
      </c>
    </row>
    <row r="692" spans="1:9" ht="12.75" hidden="1" x14ac:dyDescent="0.25">
      <c r="A692" s="167">
        <f t="shared" si="53"/>
        <v>691</v>
      </c>
      <c r="B692" s="168" t="s">
        <v>388</v>
      </c>
      <c r="C692" s="168" t="str">
        <f>VLOOKUP(B692,MEMBERS!B:C,2, )</f>
        <v>IFTIKHAR SHAH</v>
      </c>
      <c r="D692" s="188">
        <v>46004</v>
      </c>
      <c r="E692" s="175">
        <v>50</v>
      </c>
      <c r="F692" s="168" t="s">
        <v>443</v>
      </c>
      <c r="G692" s="165">
        <f>IFERROR(VLOOKUP(F692,'menu list'!B:C,2,FALSE)*E692,"0")</f>
        <v>7500</v>
      </c>
      <c r="H692" s="334">
        <f t="shared" si="51"/>
        <v>1125</v>
      </c>
      <c r="I692" s="165">
        <f t="shared" si="52"/>
        <v>8625</v>
      </c>
    </row>
    <row r="693" spans="1:9" ht="12.75" hidden="1" x14ac:dyDescent="0.25">
      <c r="A693" s="167">
        <f t="shared" si="53"/>
        <v>692</v>
      </c>
      <c r="B693" s="168" t="s">
        <v>388</v>
      </c>
      <c r="C693" s="168" t="str">
        <f>VLOOKUP(B693,MEMBERS!B:C,2, )</f>
        <v>IFTIKHAR SHAH</v>
      </c>
      <c r="D693" s="188">
        <v>46004</v>
      </c>
      <c r="E693" s="175">
        <v>20</v>
      </c>
      <c r="F693" s="168" t="s">
        <v>739</v>
      </c>
      <c r="G693" s="165">
        <f>IFERROR(VLOOKUP(F693,'menu list'!B:C,2,FALSE)*E693,"0")</f>
        <v>8000</v>
      </c>
      <c r="H693" s="334">
        <f t="shared" si="51"/>
        <v>1200</v>
      </c>
      <c r="I693" s="165">
        <f t="shared" si="52"/>
        <v>9200</v>
      </c>
    </row>
    <row r="694" spans="1:9" ht="12.75" hidden="1" x14ac:dyDescent="0.25">
      <c r="A694" s="167">
        <f t="shared" si="53"/>
        <v>693</v>
      </c>
      <c r="B694" s="168" t="s">
        <v>388</v>
      </c>
      <c r="C694" s="168" t="str">
        <f>VLOOKUP(B694,MEMBERS!B:C,2, )</f>
        <v>IFTIKHAR SHAH</v>
      </c>
      <c r="D694" s="188">
        <v>46004</v>
      </c>
      <c r="E694" s="175">
        <v>27</v>
      </c>
      <c r="F694" s="168" t="s">
        <v>1168</v>
      </c>
      <c r="G694" s="165">
        <f>IFERROR(VLOOKUP(F694,'menu list'!B:C,2,FALSE)*E694,"0")</f>
        <v>12150</v>
      </c>
      <c r="H694" s="334">
        <f t="shared" si="51"/>
        <v>1822.5</v>
      </c>
      <c r="I694" s="165">
        <f t="shared" si="52"/>
        <v>13972.5</v>
      </c>
    </row>
    <row r="695" spans="1:9" ht="12.75" hidden="1" x14ac:dyDescent="0.25">
      <c r="A695" s="167">
        <f t="shared" si="53"/>
        <v>694</v>
      </c>
      <c r="B695" s="168" t="s">
        <v>388</v>
      </c>
      <c r="C695" s="168" t="str">
        <f>VLOOKUP(B695,MEMBERS!B:C,2, )</f>
        <v>IFTIKHAR SHAH</v>
      </c>
      <c r="D695" s="188">
        <v>46004</v>
      </c>
      <c r="E695" s="175">
        <v>10</v>
      </c>
      <c r="F695" s="168" t="s">
        <v>579</v>
      </c>
      <c r="G695" s="165">
        <f>IFERROR(VLOOKUP(F695,'menu list'!B:C,2,FALSE)*E695,"0")</f>
        <v>15000</v>
      </c>
      <c r="H695" s="334">
        <f t="shared" si="51"/>
        <v>2250</v>
      </c>
      <c r="I695" s="165">
        <f t="shared" si="52"/>
        <v>17250</v>
      </c>
    </row>
    <row r="696" spans="1:9" ht="12.75" hidden="1" x14ac:dyDescent="0.25">
      <c r="A696" s="167">
        <f t="shared" si="53"/>
        <v>695</v>
      </c>
      <c r="B696" s="168" t="s">
        <v>388</v>
      </c>
      <c r="C696" s="168" t="str">
        <f>VLOOKUP(B696,MEMBERS!B:C,2, )</f>
        <v>IFTIKHAR SHAH</v>
      </c>
      <c r="D696" s="188">
        <v>46004</v>
      </c>
      <c r="E696" s="175">
        <v>12</v>
      </c>
      <c r="F696" s="168" t="s">
        <v>1011</v>
      </c>
      <c r="G696" s="165">
        <f>IFERROR(VLOOKUP(F696,'menu list'!B:C,2,FALSE)*E696,"0")</f>
        <v>21600</v>
      </c>
      <c r="H696" s="334">
        <f t="shared" si="51"/>
        <v>3240</v>
      </c>
      <c r="I696" s="165">
        <f t="shared" si="52"/>
        <v>24840</v>
      </c>
    </row>
    <row r="697" spans="1:9" ht="12.75" hidden="1" x14ac:dyDescent="0.25">
      <c r="A697" s="167">
        <f t="shared" si="53"/>
        <v>696</v>
      </c>
      <c r="B697" s="168" t="s">
        <v>64</v>
      </c>
      <c r="C697" s="168" t="str">
        <f>VLOOKUP(B697,MEMBERS!B:C,2, )</f>
        <v>MR.DILEEP KUMAR</v>
      </c>
      <c r="D697" s="188">
        <v>46004</v>
      </c>
      <c r="E697" s="175">
        <v>1</v>
      </c>
      <c r="F697" s="168" t="s">
        <v>939</v>
      </c>
      <c r="G697" s="165">
        <f>IFERROR(VLOOKUP(F697,'menu list'!B:C,2,FALSE)*E697,"0")</f>
        <v>1200</v>
      </c>
      <c r="H697" s="334">
        <f t="shared" si="51"/>
        <v>180</v>
      </c>
      <c r="I697" s="165">
        <f t="shared" si="52"/>
        <v>1380</v>
      </c>
    </row>
    <row r="698" spans="1:9" ht="12.75" hidden="1" x14ac:dyDescent="0.25">
      <c r="A698" s="167">
        <f t="shared" si="53"/>
        <v>697</v>
      </c>
      <c r="B698" s="168" t="s">
        <v>64</v>
      </c>
      <c r="C698" s="168" t="str">
        <f>VLOOKUP(B698,MEMBERS!B:C,2, )</f>
        <v>MR.DILEEP KUMAR</v>
      </c>
      <c r="D698" s="188">
        <v>46004</v>
      </c>
      <c r="E698" s="175">
        <v>2</v>
      </c>
      <c r="F698" s="168" t="s">
        <v>440</v>
      </c>
      <c r="G698" s="165">
        <f>IFERROR(VLOOKUP(F698,'menu list'!B:C,2,FALSE)*E698,"0")</f>
        <v>300</v>
      </c>
      <c r="H698" s="334">
        <f t="shared" si="51"/>
        <v>45</v>
      </c>
      <c r="I698" s="165">
        <f t="shared" si="52"/>
        <v>345</v>
      </c>
    </row>
    <row r="699" spans="1:9" ht="12.75" hidden="1" x14ac:dyDescent="0.25">
      <c r="A699" s="167">
        <f t="shared" si="53"/>
        <v>698</v>
      </c>
      <c r="B699" s="168" t="s">
        <v>64</v>
      </c>
      <c r="C699" s="168" t="str">
        <f>VLOOKUP(B699,MEMBERS!B:C,2, )</f>
        <v>MR.DILEEP KUMAR</v>
      </c>
      <c r="D699" s="188">
        <v>46004</v>
      </c>
      <c r="E699" s="175">
        <v>1</v>
      </c>
      <c r="F699" s="168" t="s">
        <v>786</v>
      </c>
      <c r="G699" s="165">
        <f>IFERROR(VLOOKUP(F699,'menu list'!B:C,2,FALSE)*E699,"0")</f>
        <v>1150</v>
      </c>
      <c r="H699" s="334">
        <f t="shared" si="51"/>
        <v>172.5</v>
      </c>
      <c r="I699" s="165">
        <f t="shared" si="52"/>
        <v>1322.5</v>
      </c>
    </row>
    <row r="700" spans="1:9" ht="12.75" hidden="1" x14ac:dyDescent="0.25">
      <c r="A700" s="167">
        <f t="shared" si="53"/>
        <v>699</v>
      </c>
      <c r="B700" s="168" t="s">
        <v>64</v>
      </c>
      <c r="C700" s="168" t="str">
        <f>VLOOKUP(B700,MEMBERS!B:C,2, )</f>
        <v>MR.DILEEP KUMAR</v>
      </c>
      <c r="D700" s="188">
        <v>46004</v>
      </c>
      <c r="E700" s="175">
        <v>2</v>
      </c>
      <c r="F700" s="168" t="s">
        <v>634</v>
      </c>
      <c r="G700" s="165">
        <f>IFERROR(VLOOKUP(F700,'menu list'!B:C,2,FALSE)*E700,"0")</f>
        <v>1000</v>
      </c>
      <c r="H700" s="334">
        <f t="shared" si="51"/>
        <v>150</v>
      </c>
      <c r="I700" s="165">
        <f t="shared" si="52"/>
        <v>1150</v>
      </c>
    </row>
    <row r="701" spans="1:9" ht="12.75" hidden="1" x14ac:dyDescent="0.25">
      <c r="A701" s="167">
        <f t="shared" si="53"/>
        <v>700</v>
      </c>
      <c r="B701" s="168" t="s">
        <v>418</v>
      </c>
      <c r="C701" s="168" t="str">
        <f>VLOOKUP(B701,MEMBERS!B:C,2, )</f>
        <v>ZAIB UR REHMAN</v>
      </c>
      <c r="D701" s="188">
        <v>46004</v>
      </c>
      <c r="E701" s="175">
        <v>1</v>
      </c>
      <c r="F701" s="168" t="s">
        <v>440</v>
      </c>
      <c r="G701" s="165">
        <f>IFERROR(VLOOKUP(F701,'menu list'!B:C,2,FALSE)*E701,"0")</f>
        <v>150</v>
      </c>
      <c r="H701" s="334">
        <f t="shared" si="51"/>
        <v>22.5</v>
      </c>
      <c r="I701" s="165">
        <f t="shared" si="52"/>
        <v>172.5</v>
      </c>
    </row>
    <row r="702" spans="1:9" ht="12.75" hidden="1" x14ac:dyDescent="0.25">
      <c r="A702" s="167">
        <f t="shared" si="53"/>
        <v>701</v>
      </c>
      <c r="B702" s="168" t="s">
        <v>15</v>
      </c>
      <c r="C702" s="168" t="str">
        <f>VLOOKUP(B702,MEMBERS!B:C,2, )</f>
        <v>MR.GHULAM NABI OTHI</v>
      </c>
      <c r="D702" s="188">
        <v>46004</v>
      </c>
      <c r="E702" s="175">
        <v>1</v>
      </c>
      <c r="F702" s="168" t="s">
        <v>939</v>
      </c>
      <c r="G702" s="165">
        <f>IFERROR(VLOOKUP(F702,'menu list'!B:C,2,FALSE)*E702,"0")</f>
        <v>1200</v>
      </c>
      <c r="H702" s="334">
        <f t="shared" si="51"/>
        <v>180</v>
      </c>
      <c r="I702" s="165">
        <f t="shared" si="52"/>
        <v>1380</v>
      </c>
    </row>
    <row r="703" spans="1:9" ht="12.75" hidden="1" x14ac:dyDescent="0.25">
      <c r="A703" s="167">
        <f t="shared" si="53"/>
        <v>702</v>
      </c>
      <c r="B703" s="168" t="s">
        <v>15</v>
      </c>
      <c r="C703" s="168" t="str">
        <f>VLOOKUP(B703,MEMBERS!B:C,2, )</f>
        <v>MR.GHULAM NABI OTHI</v>
      </c>
      <c r="D703" s="188">
        <v>46004</v>
      </c>
      <c r="E703" s="175">
        <v>1</v>
      </c>
      <c r="F703" s="168" t="s">
        <v>1012</v>
      </c>
      <c r="G703" s="165">
        <f>IFERROR(VLOOKUP(F703,'menu list'!B:C,2,FALSE)*E703,"0")</f>
        <v>1000</v>
      </c>
      <c r="H703" s="334">
        <f t="shared" si="51"/>
        <v>150</v>
      </c>
      <c r="I703" s="165">
        <f t="shared" si="52"/>
        <v>1150</v>
      </c>
    </row>
    <row r="704" spans="1:9" ht="12.75" hidden="1" x14ac:dyDescent="0.25">
      <c r="A704" s="167">
        <f t="shared" si="53"/>
        <v>703</v>
      </c>
      <c r="B704" s="168" t="s">
        <v>20</v>
      </c>
      <c r="C704" s="168" t="str">
        <f>VLOOKUP(B704,MEMBERS!B:C,2, )</f>
        <v>MR.BILAL AHMED</v>
      </c>
      <c r="D704" s="188">
        <v>46004</v>
      </c>
      <c r="E704" s="175">
        <v>1</v>
      </c>
      <c r="F704" s="168" t="s">
        <v>803</v>
      </c>
      <c r="G704" s="165">
        <f>IFERROR(VLOOKUP(F704,'menu list'!B:C,2,FALSE)*E704,"0")</f>
        <v>250</v>
      </c>
      <c r="H704" s="334">
        <f t="shared" si="51"/>
        <v>37.5</v>
      </c>
      <c r="I704" s="165">
        <f t="shared" si="52"/>
        <v>287.5</v>
      </c>
    </row>
    <row r="705" spans="1:9" ht="12.75" hidden="1" x14ac:dyDescent="0.25">
      <c r="A705" s="167">
        <f t="shared" si="53"/>
        <v>704</v>
      </c>
      <c r="B705" s="168" t="s">
        <v>192</v>
      </c>
      <c r="C705" s="168" t="str">
        <f>VLOOKUP(B705,MEMBERS!B:C,2, )</f>
        <v>MR.HANIF AHSAN ZUBEDI</v>
      </c>
      <c r="D705" s="188">
        <v>46004</v>
      </c>
      <c r="E705" s="175">
        <v>2</v>
      </c>
      <c r="F705" s="168" t="s">
        <v>499</v>
      </c>
      <c r="G705" s="165">
        <f>IFERROR(VLOOKUP(F705,'menu list'!B:C,2,FALSE)*E705,"0")</f>
        <v>200</v>
      </c>
      <c r="H705" s="334">
        <f t="shared" si="51"/>
        <v>30</v>
      </c>
      <c r="I705" s="165">
        <f t="shared" si="52"/>
        <v>230</v>
      </c>
    </row>
    <row r="706" spans="1:9" ht="12.75" hidden="1" x14ac:dyDescent="0.25">
      <c r="A706" s="167">
        <f t="shared" si="53"/>
        <v>705</v>
      </c>
      <c r="B706" s="168" t="s">
        <v>306</v>
      </c>
      <c r="C706" s="168" t="str">
        <f>VLOOKUP(B706,MEMBERS!B:C,2, )</f>
        <v>BRIG.KHALID MEHMOOD</v>
      </c>
      <c r="D706" s="188">
        <v>46004</v>
      </c>
      <c r="E706" s="175">
        <v>6</v>
      </c>
      <c r="F706" s="168" t="s">
        <v>915</v>
      </c>
      <c r="G706" s="165">
        <f>IFERROR(VLOOKUP(F706,'menu list'!B:C,2,FALSE)*E706,"0")</f>
        <v>5994</v>
      </c>
      <c r="H706" s="334">
        <f t="shared" si="51"/>
        <v>899.1</v>
      </c>
      <c r="I706" s="165">
        <f t="shared" si="52"/>
        <v>6893.1</v>
      </c>
    </row>
    <row r="707" spans="1:9" ht="12.75" hidden="1" x14ac:dyDescent="0.25">
      <c r="A707" s="167">
        <f t="shared" si="53"/>
        <v>706</v>
      </c>
      <c r="B707" s="168" t="s">
        <v>98</v>
      </c>
      <c r="C707" s="168" t="str">
        <f>VLOOKUP(B707,MEMBERS!B:C,2, )</f>
        <v>MR.HAFEEZ AHMED SIYAL</v>
      </c>
      <c r="D707" s="188">
        <v>46004</v>
      </c>
      <c r="E707" s="175">
        <v>2</v>
      </c>
      <c r="F707" s="168" t="s">
        <v>499</v>
      </c>
      <c r="G707" s="165">
        <f>IFERROR(VLOOKUP(F707,'menu list'!B:C,2,FALSE)*E707,"0")</f>
        <v>200</v>
      </c>
      <c r="H707" s="334">
        <f t="shared" ref="H707:H770" si="54">G707*15/100</f>
        <v>30</v>
      </c>
      <c r="I707" s="165">
        <f t="shared" ref="I707:I771" si="55">G707+H707</f>
        <v>230</v>
      </c>
    </row>
    <row r="708" spans="1:9" ht="12.75" hidden="1" x14ac:dyDescent="0.25">
      <c r="A708" s="167">
        <f t="shared" si="53"/>
        <v>707</v>
      </c>
      <c r="B708" s="168" t="s">
        <v>98</v>
      </c>
      <c r="C708" s="168" t="str">
        <f>VLOOKUP(B708,MEMBERS!B:C,2, )</f>
        <v>MR.HAFEEZ AHMED SIYAL</v>
      </c>
      <c r="D708" s="188">
        <v>46004</v>
      </c>
      <c r="E708" s="175">
        <v>1</v>
      </c>
      <c r="F708" s="168" t="s">
        <v>833</v>
      </c>
      <c r="G708" s="165">
        <f>IFERROR(VLOOKUP(F708,'menu list'!B:C,2,FALSE)*E708,"0")</f>
        <v>350</v>
      </c>
      <c r="H708" s="334">
        <f t="shared" si="54"/>
        <v>52.5</v>
      </c>
      <c r="I708" s="165">
        <f t="shared" si="55"/>
        <v>402.5</v>
      </c>
    </row>
    <row r="709" spans="1:9" ht="12.75" hidden="1" x14ac:dyDescent="0.25">
      <c r="A709" s="167">
        <f t="shared" si="53"/>
        <v>708</v>
      </c>
      <c r="B709" s="168" t="s">
        <v>430</v>
      </c>
      <c r="C709" s="168" t="str">
        <f>VLOOKUP(B709,MEMBERS!B:C,2, )</f>
        <v>SYED JIBRAN MUSHTAQ</v>
      </c>
      <c r="D709" s="188">
        <v>46004</v>
      </c>
      <c r="E709" s="175">
        <v>1</v>
      </c>
      <c r="F709" s="168" t="s">
        <v>500</v>
      </c>
      <c r="G709" s="165">
        <f>IFERROR(VLOOKUP(F709,'menu list'!B:C,2,FALSE)*E709,"0")</f>
        <v>1250</v>
      </c>
      <c r="H709" s="334">
        <f t="shared" si="54"/>
        <v>187.5</v>
      </c>
      <c r="I709" s="165">
        <f t="shared" si="55"/>
        <v>1437.5</v>
      </c>
    </row>
    <row r="710" spans="1:9" ht="12.75" hidden="1" x14ac:dyDescent="0.25">
      <c r="A710" s="167">
        <f t="shared" si="53"/>
        <v>709</v>
      </c>
      <c r="B710" s="168" t="s">
        <v>430</v>
      </c>
      <c r="C710" s="168" t="str">
        <f>VLOOKUP(B710,MEMBERS!B:C,2, )</f>
        <v>SYED JIBRAN MUSHTAQ</v>
      </c>
      <c r="D710" s="188">
        <v>46004</v>
      </c>
      <c r="E710" s="175">
        <v>1</v>
      </c>
      <c r="F710" s="168" t="s">
        <v>499</v>
      </c>
      <c r="G710" s="165">
        <f>IFERROR(VLOOKUP(F710,'menu list'!B:C,2,FALSE)*E710,"0")</f>
        <v>100</v>
      </c>
      <c r="H710" s="334">
        <f t="shared" si="54"/>
        <v>15</v>
      </c>
      <c r="I710" s="165">
        <f t="shared" si="55"/>
        <v>115</v>
      </c>
    </row>
    <row r="711" spans="1:9" ht="12.75" hidden="1" x14ac:dyDescent="0.25">
      <c r="A711" s="167">
        <f t="shared" si="53"/>
        <v>710</v>
      </c>
      <c r="B711" s="168" t="s">
        <v>187</v>
      </c>
      <c r="C711" s="168" t="str">
        <f>VLOOKUP(B711,MEMBERS!B:C,2, )</f>
        <v>MR.SHAN ELAHI SEHGAL</v>
      </c>
      <c r="D711" s="188">
        <v>46004</v>
      </c>
      <c r="E711" s="175">
        <v>1</v>
      </c>
      <c r="F711" s="168" t="s">
        <v>739</v>
      </c>
      <c r="G711" s="165">
        <f>IFERROR(VLOOKUP(F711,'menu list'!B:C,2,FALSE)*E711,"0")</f>
        <v>400</v>
      </c>
      <c r="H711" s="334">
        <f t="shared" si="54"/>
        <v>60</v>
      </c>
      <c r="I711" s="165">
        <f t="shared" si="55"/>
        <v>460</v>
      </c>
    </row>
    <row r="712" spans="1:9" ht="12.75" hidden="1" x14ac:dyDescent="0.25">
      <c r="A712" s="167">
        <f t="shared" si="53"/>
        <v>711</v>
      </c>
      <c r="B712" s="168" t="s">
        <v>187</v>
      </c>
      <c r="C712" s="168" t="str">
        <f>VLOOKUP(B712,MEMBERS!B:C,2, )</f>
        <v>MR.SHAN ELAHI SEHGAL</v>
      </c>
      <c r="D712" s="188">
        <v>46004</v>
      </c>
      <c r="E712" s="175">
        <v>1</v>
      </c>
      <c r="F712" s="168" t="s">
        <v>499</v>
      </c>
      <c r="G712" s="165">
        <f>IFERROR(VLOOKUP(F712,'menu list'!B:C,2,FALSE)*E712,"0")</f>
        <v>100</v>
      </c>
      <c r="H712" s="334">
        <f t="shared" si="54"/>
        <v>15</v>
      </c>
      <c r="I712" s="165">
        <f t="shared" si="55"/>
        <v>115</v>
      </c>
    </row>
    <row r="713" spans="1:9" ht="12.75" hidden="1" x14ac:dyDescent="0.25">
      <c r="A713" s="167">
        <f t="shared" si="53"/>
        <v>712</v>
      </c>
      <c r="B713" s="168" t="s">
        <v>187</v>
      </c>
      <c r="C713" s="168" t="str">
        <f>VLOOKUP(B713,MEMBERS!B:C,2, )</f>
        <v>MR.SHAN ELAHI SEHGAL</v>
      </c>
      <c r="D713" s="188">
        <v>46004</v>
      </c>
      <c r="E713" s="175">
        <v>2</v>
      </c>
      <c r="F713" s="168" t="s">
        <v>439</v>
      </c>
      <c r="G713" s="165">
        <f>IFERROR(VLOOKUP(F713,'menu list'!B:C,2,FALSE)*E713,"0")</f>
        <v>140</v>
      </c>
      <c r="H713" s="334">
        <f t="shared" si="54"/>
        <v>21</v>
      </c>
      <c r="I713" s="165">
        <f t="shared" si="55"/>
        <v>161</v>
      </c>
    </row>
    <row r="714" spans="1:9" ht="12.75" hidden="1" x14ac:dyDescent="0.25">
      <c r="A714" s="167">
        <f t="shared" si="53"/>
        <v>713</v>
      </c>
      <c r="B714" s="168" t="s">
        <v>187</v>
      </c>
      <c r="C714" s="168" t="str">
        <f>VLOOKUP(B714,MEMBERS!B:C,2, )</f>
        <v>MR.SHAN ELAHI SEHGAL</v>
      </c>
      <c r="D714" s="188">
        <v>46004</v>
      </c>
      <c r="E714" s="175">
        <v>1</v>
      </c>
      <c r="F714" s="168" t="s">
        <v>498</v>
      </c>
      <c r="G714" s="165">
        <f>IFERROR(VLOOKUP(F714,'menu list'!B:C,2,FALSE)*E714,"0")</f>
        <v>200</v>
      </c>
      <c r="H714" s="334">
        <f t="shared" si="54"/>
        <v>30</v>
      </c>
      <c r="I714" s="165">
        <f t="shared" si="55"/>
        <v>230</v>
      </c>
    </row>
    <row r="715" spans="1:9" ht="12.75" hidden="1" x14ac:dyDescent="0.25">
      <c r="A715" s="167">
        <f t="shared" si="53"/>
        <v>714</v>
      </c>
      <c r="B715" s="168" t="s">
        <v>454</v>
      </c>
      <c r="C715" s="168" t="str">
        <f>VLOOKUP(B715,MEMBERS!B:C,2, )</f>
        <v>Heritage club</v>
      </c>
      <c r="D715" s="188">
        <v>46004</v>
      </c>
      <c r="E715" s="175">
        <v>1</v>
      </c>
      <c r="F715" s="168" t="s">
        <v>628</v>
      </c>
      <c r="G715" s="165">
        <v>1000</v>
      </c>
      <c r="H715" s="334">
        <f t="shared" si="54"/>
        <v>150</v>
      </c>
      <c r="I715" s="165">
        <f t="shared" si="55"/>
        <v>1150</v>
      </c>
    </row>
    <row r="716" spans="1:9" ht="12.75" hidden="1" x14ac:dyDescent="0.25">
      <c r="A716" s="167">
        <f t="shared" si="53"/>
        <v>715</v>
      </c>
      <c r="B716" s="168" t="s">
        <v>454</v>
      </c>
      <c r="C716" s="168" t="str">
        <f>VLOOKUP(B716,MEMBERS!B:C,2, )</f>
        <v>Heritage club</v>
      </c>
      <c r="D716" s="188">
        <v>46004</v>
      </c>
      <c r="E716" s="175">
        <v>5</v>
      </c>
      <c r="F716" s="168" t="s">
        <v>645</v>
      </c>
      <c r="G716" s="165">
        <f>IFERROR(VLOOKUP(F716,'menu list'!B:C,2,FALSE)*E716,"0")</f>
        <v>4000</v>
      </c>
      <c r="H716" s="334">
        <f t="shared" si="54"/>
        <v>600</v>
      </c>
      <c r="I716" s="165">
        <f t="shared" si="55"/>
        <v>4600</v>
      </c>
    </row>
    <row r="717" spans="1:9" ht="12.75" hidden="1" x14ac:dyDescent="0.25">
      <c r="A717" s="167">
        <f t="shared" si="53"/>
        <v>716</v>
      </c>
      <c r="B717" s="168" t="s">
        <v>454</v>
      </c>
      <c r="C717" s="168" t="str">
        <f>VLOOKUP(B717,MEMBERS!B:C,2, )</f>
        <v>Heritage club</v>
      </c>
      <c r="D717" s="188">
        <v>46004</v>
      </c>
      <c r="E717" s="175">
        <v>7</v>
      </c>
      <c r="F717" s="168" t="s">
        <v>646</v>
      </c>
      <c r="G717" s="165">
        <f>IFERROR(VLOOKUP(F717,'menu list'!B:C,2,FALSE)*E717,"0")</f>
        <v>7000</v>
      </c>
      <c r="H717" s="334">
        <f t="shared" si="54"/>
        <v>1050</v>
      </c>
      <c r="I717" s="165">
        <f t="shared" si="55"/>
        <v>8050</v>
      </c>
    </row>
    <row r="718" spans="1:9" ht="12.75" hidden="1" x14ac:dyDescent="0.25">
      <c r="A718" s="167">
        <f t="shared" si="53"/>
        <v>717</v>
      </c>
      <c r="B718" s="168" t="s">
        <v>454</v>
      </c>
      <c r="C718" s="168" t="str">
        <f>VLOOKUP(B718,MEMBERS!B:C,2, )</f>
        <v>Heritage club</v>
      </c>
      <c r="D718" s="188">
        <v>46004</v>
      </c>
      <c r="E718" s="175">
        <v>10</v>
      </c>
      <c r="F718" s="168" t="s">
        <v>440</v>
      </c>
      <c r="G718" s="165">
        <f>IFERROR(VLOOKUP(F718,'menu list'!B:C,2,FALSE)*E718,"0")</f>
        <v>1500</v>
      </c>
      <c r="H718" s="334">
        <f t="shared" si="54"/>
        <v>225</v>
      </c>
      <c r="I718" s="165">
        <f t="shared" si="55"/>
        <v>1725</v>
      </c>
    </row>
    <row r="719" spans="1:9" ht="12.75" hidden="1" x14ac:dyDescent="0.25">
      <c r="A719" s="167">
        <f t="shared" si="53"/>
        <v>718</v>
      </c>
      <c r="B719" s="168" t="s">
        <v>454</v>
      </c>
      <c r="C719" s="168" t="str">
        <f>VLOOKUP(B719,MEMBERS!B:C,2, )</f>
        <v>Heritage club</v>
      </c>
      <c r="D719" s="188">
        <v>46004</v>
      </c>
      <c r="E719" s="175">
        <v>5</v>
      </c>
      <c r="F719" s="168" t="s">
        <v>499</v>
      </c>
      <c r="G719" s="165">
        <f>IFERROR(VLOOKUP(F719,'menu list'!B:C,2,FALSE)*E719,"0")</f>
        <v>500</v>
      </c>
      <c r="H719" s="334">
        <f t="shared" si="54"/>
        <v>75</v>
      </c>
      <c r="I719" s="165">
        <f t="shared" si="55"/>
        <v>575</v>
      </c>
    </row>
    <row r="720" spans="1:9" ht="12.75" hidden="1" x14ac:dyDescent="0.25">
      <c r="A720" s="167">
        <f t="shared" si="53"/>
        <v>719</v>
      </c>
      <c r="B720" s="168" t="s">
        <v>98</v>
      </c>
      <c r="C720" s="168" t="str">
        <f>VLOOKUP(B720,MEMBERS!B:C,2, )</f>
        <v>MR.HAFEEZ AHMED SIYAL</v>
      </c>
      <c r="D720" s="188">
        <v>46005</v>
      </c>
      <c r="E720" s="175">
        <v>3</v>
      </c>
      <c r="F720" s="168" t="s">
        <v>664</v>
      </c>
      <c r="G720" s="165">
        <f>IFERROR(VLOOKUP(F720,'menu list'!B:C,2,FALSE)*E720,"0")</f>
        <v>1200</v>
      </c>
      <c r="H720" s="334">
        <f t="shared" si="54"/>
        <v>180</v>
      </c>
      <c r="I720" s="165">
        <f t="shared" si="55"/>
        <v>1380</v>
      </c>
    </row>
    <row r="721" spans="1:9" ht="12.75" hidden="1" x14ac:dyDescent="0.25">
      <c r="A721" s="167">
        <f t="shared" si="53"/>
        <v>720</v>
      </c>
      <c r="B721" s="168" t="s">
        <v>98</v>
      </c>
      <c r="C721" s="168" t="str">
        <f>VLOOKUP(B721,MEMBERS!B:C,2, )</f>
        <v>MR.HAFEEZ AHMED SIYAL</v>
      </c>
      <c r="D721" s="188">
        <v>46005</v>
      </c>
      <c r="E721" s="175">
        <v>2</v>
      </c>
      <c r="F721" s="168" t="s">
        <v>442</v>
      </c>
      <c r="G721" s="165">
        <f>IFERROR(VLOOKUP(F721,'menu list'!B:C,2,FALSE)*E721,"0")</f>
        <v>300</v>
      </c>
      <c r="H721" s="334">
        <f t="shared" si="54"/>
        <v>45</v>
      </c>
      <c r="I721" s="165">
        <f t="shared" si="55"/>
        <v>345</v>
      </c>
    </row>
    <row r="722" spans="1:9" ht="12.75" hidden="1" x14ac:dyDescent="0.25">
      <c r="A722" s="167">
        <f t="shared" si="53"/>
        <v>721</v>
      </c>
      <c r="B722" s="168" t="s">
        <v>98</v>
      </c>
      <c r="C722" s="168" t="str">
        <f>VLOOKUP(B722,MEMBERS!B:C,2, )</f>
        <v>MR.HAFEEZ AHMED SIYAL</v>
      </c>
      <c r="D722" s="188">
        <v>46005</v>
      </c>
      <c r="E722" s="175">
        <v>3</v>
      </c>
      <c r="F722" s="168" t="s">
        <v>439</v>
      </c>
      <c r="G722" s="165">
        <f>IFERROR(VLOOKUP(F722,'menu list'!B:C,2,FALSE)*E722,"0")</f>
        <v>210</v>
      </c>
      <c r="H722" s="334">
        <f t="shared" si="54"/>
        <v>31.5</v>
      </c>
      <c r="I722" s="165">
        <f t="shared" si="55"/>
        <v>241.5</v>
      </c>
    </row>
    <row r="723" spans="1:9" ht="12.75" hidden="1" x14ac:dyDescent="0.25">
      <c r="A723" s="167">
        <f t="shared" si="53"/>
        <v>722</v>
      </c>
      <c r="B723" s="168" t="s">
        <v>98</v>
      </c>
      <c r="C723" s="168" t="str">
        <f>VLOOKUP(B723,MEMBERS!B:C,2, )</f>
        <v>MR.HAFEEZ AHMED SIYAL</v>
      </c>
      <c r="D723" s="188">
        <v>46005</v>
      </c>
      <c r="E723" s="175">
        <v>1</v>
      </c>
      <c r="F723" s="168" t="s">
        <v>848</v>
      </c>
      <c r="G723" s="165">
        <f>IFERROR(VLOOKUP(F723,'menu list'!B:C,2,FALSE)*E723,"0")</f>
        <v>200</v>
      </c>
      <c r="H723" s="334">
        <f t="shared" si="54"/>
        <v>30</v>
      </c>
      <c r="I723" s="165">
        <f t="shared" si="55"/>
        <v>230</v>
      </c>
    </row>
    <row r="724" spans="1:9" ht="12.75" hidden="1" x14ac:dyDescent="0.25">
      <c r="A724" s="167">
        <f t="shared" si="53"/>
        <v>723</v>
      </c>
      <c r="B724" s="168" t="s">
        <v>98</v>
      </c>
      <c r="C724" s="168" t="str">
        <f>VLOOKUP(B724,MEMBERS!B:C,2, )</f>
        <v>MR.HAFEEZ AHMED SIYAL</v>
      </c>
      <c r="D724" s="188">
        <v>46005</v>
      </c>
      <c r="E724" s="175">
        <v>1</v>
      </c>
      <c r="F724" s="168" t="s">
        <v>868</v>
      </c>
      <c r="G724" s="165">
        <f>IFERROR(VLOOKUP(F724,'menu list'!B:C,2,FALSE)*E724,"0")</f>
        <v>1000</v>
      </c>
      <c r="H724" s="334">
        <f t="shared" si="54"/>
        <v>150</v>
      </c>
      <c r="I724" s="165">
        <f t="shared" si="55"/>
        <v>1150</v>
      </c>
    </row>
    <row r="725" spans="1:9" ht="12.75" hidden="1" x14ac:dyDescent="0.25">
      <c r="A725" s="167">
        <f t="shared" ref="A725" si="56">IF(D725&lt;&gt;"", ROW()-1, "")</f>
        <v>724</v>
      </c>
      <c r="B725" s="168" t="s">
        <v>98</v>
      </c>
      <c r="C725" s="168" t="str">
        <f>VLOOKUP(B725,MEMBERS!B:C,2, )</f>
        <v>MR.HAFEEZ AHMED SIYAL</v>
      </c>
      <c r="D725" s="188">
        <v>46005</v>
      </c>
      <c r="E725" s="175">
        <v>1</v>
      </c>
      <c r="F725" s="168" t="s">
        <v>499</v>
      </c>
      <c r="G725" s="165">
        <f>IFERROR(VLOOKUP(F725,'menu list'!B:C,2,FALSE)*E725,"0")</f>
        <v>100</v>
      </c>
      <c r="H725" s="334">
        <f t="shared" si="54"/>
        <v>15</v>
      </c>
      <c r="I725" s="165">
        <f t="shared" si="55"/>
        <v>115</v>
      </c>
    </row>
    <row r="726" spans="1:9" ht="12.75" hidden="1" x14ac:dyDescent="0.25">
      <c r="A726" s="167">
        <f t="shared" si="53"/>
        <v>725</v>
      </c>
      <c r="B726" s="168" t="s">
        <v>142</v>
      </c>
      <c r="C726" s="168" t="str">
        <f>VLOOKUP(B726,MEMBERS!B:C,2, )</f>
        <v>MR.MUHAMMAD HANIF</v>
      </c>
      <c r="D726" s="188">
        <v>46005</v>
      </c>
      <c r="E726" s="175">
        <v>2</v>
      </c>
      <c r="F726" s="168" t="s">
        <v>830</v>
      </c>
      <c r="G726" s="165">
        <f>IFERROR(VLOOKUP(F726,'menu list'!B:C,2,FALSE)*E726,"0")</f>
        <v>1200</v>
      </c>
      <c r="H726" s="334">
        <f t="shared" si="54"/>
        <v>180</v>
      </c>
      <c r="I726" s="165">
        <f t="shared" si="55"/>
        <v>1380</v>
      </c>
    </row>
    <row r="727" spans="1:9" ht="12.75" hidden="1" x14ac:dyDescent="0.25">
      <c r="A727" s="167">
        <f t="shared" si="53"/>
        <v>726</v>
      </c>
      <c r="B727" s="168" t="s">
        <v>142</v>
      </c>
      <c r="C727" s="168" t="str">
        <f>VLOOKUP(B727,MEMBERS!B:C,2, )</f>
        <v>MR.MUHAMMAD HANIF</v>
      </c>
      <c r="D727" s="188">
        <v>46005</v>
      </c>
      <c r="E727" s="175">
        <v>2</v>
      </c>
      <c r="F727" s="168" t="s">
        <v>939</v>
      </c>
      <c r="G727" s="165">
        <f>IFERROR(VLOOKUP(F727,'menu list'!B:C,2,FALSE)*E727,"0")</f>
        <v>2400</v>
      </c>
      <c r="H727" s="334">
        <f t="shared" si="54"/>
        <v>360</v>
      </c>
      <c r="I727" s="165">
        <f t="shared" si="55"/>
        <v>2760</v>
      </c>
    </row>
    <row r="728" spans="1:9" ht="12.75" hidden="1" x14ac:dyDescent="0.25">
      <c r="A728" s="167">
        <f t="shared" si="53"/>
        <v>727</v>
      </c>
      <c r="B728" s="168" t="s">
        <v>142</v>
      </c>
      <c r="C728" s="168" t="str">
        <f>VLOOKUP(B728,MEMBERS!B:C,2, )</f>
        <v>MR.MUHAMMAD HANIF</v>
      </c>
      <c r="D728" s="188">
        <v>46005</v>
      </c>
      <c r="E728" s="175">
        <v>3</v>
      </c>
      <c r="F728" s="168" t="s">
        <v>786</v>
      </c>
      <c r="G728" s="165">
        <f>IFERROR(VLOOKUP(F728,'menu list'!B:C,2,FALSE)*E728,"0")</f>
        <v>3450</v>
      </c>
      <c r="H728" s="334">
        <f t="shared" si="54"/>
        <v>517.5</v>
      </c>
      <c r="I728" s="165">
        <f t="shared" si="55"/>
        <v>3967.5</v>
      </c>
    </row>
    <row r="729" spans="1:9" ht="12.75" hidden="1" x14ac:dyDescent="0.25">
      <c r="A729" s="167">
        <f t="shared" si="53"/>
        <v>728</v>
      </c>
      <c r="B729" s="168" t="s">
        <v>142</v>
      </c>
      <c r="C729" s="168" t="str">
        <f>VLOOKUP(B729,MEMBERS!B:C,2, )</f>
        <v>MR.MUHAMMAD HANIF</v>
      </c>
      <c r="D729" s="188">
        <v>46005</v>
      </c>
      <c r="E729" s="175">
        <v>3</v>
      </c>
      <c r="F729" s="168" t="s">
        <v>522</v>
      </c>
      <c r="G729" s="165">
        <f>IFERROR(VLOOKUP(F729,'menu list'!B:C,2,FALSE)*E729,"0")</f>
        <v>3600</v>
      </c>
      <c r="H729" s="334">
        <f t="shared" si="54"/>
        <v>540</v>
      </c>
      <c r="I729" s="165">
        <f t="shared" si="55"/>
        <v>4140</v>
      </c>
    </row>
    <row r="730" spans="1:9" ht="12.75" hidden="1" x14ac:dyDescent="0.25">
      <c r="A730" s="167">
        <f t="shared" si="53"/>
        <v>729</v>
      </c>
      <c r="B730" s="168" t="s">
        <v>142</v>
      </c>
      <c r="C730" s="168" t="str">
        <f>VLOOKUP(B730,MEMBERS!B:C,2, )</f>
        <v>MR.MUHAMMAD HANIF</v>
      </c>
      <c r="D730" s="188">
        <v>46005</v>
      </c>
      <c r="E730" s="175">
        <v>4</v>
      </c>
      <c r="F730" s="168" t="s">
        <v>441</v>
      </c>
      <c r="G730" s="165">
        <f>IFERROR(VLOOKUP(F730,'menu list'!B:C,2,FALSE)*E730,"0")</f>
        <v>800</v>
      </c>
      <c r="H730" s="334">
        <f t="shared" si="54"/>
        <v>120</v>
      </c>
      <c r="I730" s="165">
        <f t="shared" si="55"/>
        <v>920</v>
      </c>
    </row>
    <row r="731" spans="1:9" ht="12.75" hidden="1" x14ac:dyDescent="0.25">
      <c r="A731" s="167">
        <f t="shared" si="53"/>
        <v>730</v>
      </c>
      <c r="B731" s="168" t="s">
        <v>142</v>
      </c>
      <c r="C731" s="168" t="str">
        <f>VLOOKUP(B731,MEMBERS!B:C,2, )</f>
        <v>MR.MUHAMMAD HANIF</v>
      </c>
      <c r="D731" s="188">
        <v>46005</v>
      </c>
      <c r="E731" s="175">
        <v>2</v>
      </c>
      <c r="F731" s="168" t="s">
        <v>793</v>
      </c>
      <c r="G731" s="165">
        <f>IFERROR(VLOOKUP(F731,'menu list'!B:C,2,FALSE)*E731,"0")</f>
        <v>1600</v>
      </c>
      <c r="H731" s="334">
        <f t="shared" si="54"/>
        <v>240</v>
      </c>
      <c r="I731" s="165">
        <f t="shared" si="55"/>
        <v>1840</v>
      </c>
    </row>
    <row r="732" spans="1:9" ht="12.75" hidden="1" x14ac:dyDescent="0.25">
      <c r="A732" s="167">
        <f t="shared" si="53"/>
        <v>731</v>
      </c>
      <c r="B732" s="168" t="s">
        <v>142</v>
      </c>
      <c r="C732" s="168" t="str">
        <f>VLOOKUP(B732,MEMBERS!B:C,2, )</f>
        <v>MR.MUHAMMAD HANIF</v>
      </c>
      <c r="D732" s="188">
        <v>46005</v>
      </c>
      <c r="E732" s="175">
        <v>2</v>
      </c>
      <c r="F732" s="168" t="s">
        <v>806</v>
      </c>
      <c r="G732" s="165">
        <f>IFERROR(VLOOKUP(F732,'menu list'!B:C,2,FALSE)*E732,"0")</f>
        <v>1200</v>
      </c>
      <c r="H732" s="334">
        <f t="shared" si="54"/>
        <v>180</v>
      </c>
      <c r="I732" s="165">
        <f t="shared" si="55"/>
        <v>1380</v>
      </c>
    </row>
    <row r="733" spans="1:9" ht="12.75" hidden="1" x14ac:dyDescent="0.25">
      <c r="A733" s="167">
        <f t="shared" si="53"/>
        <v>732</v>
      </c>
      <c r="B733" s="168" t="s">
        <v>142</v>
      </c>
      <c r="C733" s="168" t="str">
        <f>VLOOKUP(B733,MEMBERS!B:C,2, )</f>
        <v>MR.MUHAMMAD HANIF</v>
      </c>
      <c r="D733" s="188">
        <v>46005</v>
      </c>
      <c r="E733" s="175">
        <v>8</v>
      </c>
      <c r="F733" s="168" t="s">
        <v>623</v>
      </c>
      <c r="G733" s="165">
        <f>IFERROR(VLOOKUP(F733,'menu list'!B:C,2,FALSE)*E733,"0")</f>
        <v>1200</v>
      </c>
      <c r="H733" s="334">
        <f t="shared" si="54"/>
        <v>180</v>
      </c>
      <c r="I733" s="165">
        <f t="shared" si="55"/>
        <v>1380</v>
      </c>
    </row>
    <row r="734" spans="1:9" ht="12.75" hidden="1" x14ac:dyDescent="0.25">
      <c r="A734" s="167">
        <f t="shared" si="53"/>
        <v>733</v>
      </c>
      <c r="B734" s="168" t="s">
        <v>142</v>
      </c>
      <c r="C734" s="168" t="str">
        <f>VLOOKUP(B734,MEMBERS!B:C,2, )</f>
        <v>MR.MUHAMMAD HANIF</v>
      </c>
      <c r="D734" s="188">
        <v>46005</v>
      </c>
      <c r="E734" s="175">
        <v>3</v>
      </c>
      <c r="F734" s="168" t="s">
        <v>504</v>
      </c>
      <c r="G734" s="165">
        <f>IFERROR(VLOOKUP(F734,'menu list'!B:C,2,FALSE)*E734,"0")</f>
        <v>390</v>
      </c>
      <c r="H734" s="334">
        <f t="shared" si="54"/>
        <v>58.5</v>
      </c>
      <c r="I734" s="165">
        <f t="shared" si="55"/>
        <v>448.5</v>
      </c>
    </row>
    <row r="735" spans="1:9" ht="12.75" hidden="1" x14ac:dyDescent="0.25">
      <c r="A735" s="167">
        <f t="shared" si="53"/>
        <v>734</v>
      </c>
      <c r="B735" s="168" t="s">
        <v>142</v>
      </c>
      <c r="C735" s="168" t="str">
        <f>VLOOKUP(B735,MEMBERS!B:C,2, )</f>
        <v>MR.MUHAMMAD HANIF</v>
      </c>
      <c r="D735" s="188">
        <v>46005</v>
      </c>
      <c r="E735" s="175">
        <v>3</v>
      </c>
      <c r="F735" s="168" t="s">
        <v>443</v>
      </c>
      <c r="G735" s="165">
        <f>IFERROR(VLOOKUP(F735,'menu list'!B:C,2,FALSE)*E735,"0")</f>
        <v>450</v>
      </c>
      <c r="H735" s="334">
        <f t="shared" si="54"/>
        <v>67.5</v>
      </c>
      <c r="I735" s="165">
        <f t="shared" si="55"/>
        <v>517.5</v>
      </c>
    </row>
    <row r="736" spans="1:9" ht="12.75" hidden="1" x14ac:dyDescent="0.25">
      <c r="A736" s="167">
        <f t="shared" si="53"/>
        <v>735</v>
      </c>
      <c r="B736" s="168" t="s">
        <v>142</v>
      </c>
      <c r="C736" s="168" t="str">
        <f>VLOOKUP(B736,MEMBERS!B:C,2, )</f>
        <v>MR.MUHAMMAD HANIF</v>
      </c>
      <c r="D736" s="188">
        <v>46005</v>
      </c>
      <c r="E736" s="175">
        <v>3</v>
      </c>
      <c r="F736" s="168" t="s">
        <v>439</v>
      </c>
      <c r="G736" s="165">
        <f>IFERROR(VLOOKUP(F736,'menu list'!B:C,2,FALSE)*E736,"0")</f>
        <v>210</v>
      </c>
      <c r="H736" s="334">
        <f t="shared" si="54"/>
        <v>31.5</v>
      </c>
      <c r="I736" s="165">
        <f t="shared" si="55"/>
        <v>241.5</v>
      </c>
    </row>
    <row r="737" spans="1:9" ht="12.75" hidden="1" x14ac:dyDescent="0.25">
      <c r="A737" s="167">
        <f t="shared" si="53"/>
        <v>736</v>
      </c>
      <c r="B737" s="168" t="s">
        <v>308</v>
      </c>
      <c r="C737" s="168" t="str">
        <f>VLOOKUP(B737,MEMBERS!B:C,2, )</f>
        <v>DGM AZFAR ALI</v>
      </c>
      <c r="D737" s="188">
        <v>46005</v>
      </c>
      <c r="E737" s="175">
        <v>1</v>
      </c>
      <c r="F737" s="168" t="s">
        <v>499</v>
      </c>
      <c r="G737" s="165">
        <f>IFERROR(VLOOKUP(F737,'menu list'!B:C,2,FALSE)*E737,"0")</f>
        <v>100</v>
      </c>
      <c r="H737" s="334">
        <f t="shared" si="54"/>
        <v>15</v>
      </c>
      <c r="I737" s="165">
        <f t="shared" si="55"/>
        <v>115</v>
      </c>
    </row>
    <row r="738" spans="1:9" ht="12.75" hidden="1" x14ac:dyDescent="0.25">
      <c r="A738" s="167">
        <f t="shared" si="53"/>
        <v>737</v>
      </c>
      <c r="B738" s="168" t="s">
        <v>54</v>
      </c>
      <c r="C738" s="168" t="str">
        <f>VLOOKUP(B738,MEMBERS!B:C,2, )</f>
        <v>MR.ZEESHAN IQBAL</v>
      </c>
      <c r="D738" s="188">
        <v>46005</v>
      </c>
      <c r="E738" s="175">
        <v>1</v>
      </c>
      <c r="F738" s="168" t="s">
        <v>440</v>
      </c>
      <c r="G738" s="165">
        <f>IFERROR(VLOOKUP(F738,'menu list'!B:C,2,FALSE)*E738,"0")</f>
        <v>150</v>
      </c>
      <c r="H738" s="334">
        <f t="shared" si="54"/>
        <v>22.5</v>
      </c>
      <c r="I738" s="165">
        <f t="shared" si="55"/>
        <v>172.5</v>
      </c>
    </row>
    <row r="739" spans="1:9" ht="12.75" hidden="1" x14ac:dyDescent="0.25">
      <c r="A739" s="167">
        <f t="shared" si="53"/>
        <v>738</v>
      </c>
      <c r="B739" s="168" t="s">
        <v>54</v>
      </c>
      <c r="C739" s="168" t="str">
        <f>VLOOKUP(B739,MEMBERS!B:C,2, )</f>
        <v>MR.ZEESHAN IQBAL</v>
      </c>
      <c r="D739" s="188">
        <v>46005</v>
      </c>
      <c r="E739" s="175">
        <v>1</v>
      </c>
      <c r="F739" s="168" t="s">
        <v>497</v>
      </c>
      <c r="G739" s="165">
        <f>IFERROR(VLOOKUP(F739,'menu list'!B:C,2,FALSE)*E739,"0")</f>
        <v>250</v>
      </c>
      <c r="H739" s="334">
        <f t="shared" si="54"/>
        <v>37.5</v>
      </c>
      <c r="I739" s="165">
        <f t="shared" si="55"/>
        <v>287.5</v>
      </c>
    </row>
    <row r="740" spans="1:9" ht="12.75" hidden="1" x14ac:dyDescent="0.25">
      <c r="A740" s="167">
        <f t="shared" si="53"/>
        <v>739</v>
      </c>
      <c r="B740" s="168" t="s">
        <v>249</v>
      </c>
      <c r="C740" s="168" t="str">
        <f>VLOOKUP(B740,MEMBERS!B:C,2, )</f>
        <v>MUHAMMAD EBRAHIM TIWANA</v>
      </c>
      <c r="D740" s="188">
        <v>46005</v>
      </c>
      <c r="E740" s="175">
        <v>1</v>
      </c>
      <c r="F740" s="168" t="s">
        <v>516</v>
      </c>
      <c r="G740" s="165">
        <f>IFERROR(VLOOKUP(F740,'menu list'!B:C,2,FALSE)*E740,"0")</f>
        <v>250</v>
      </c>
      <c r="H740" s="334">
        <f t="shared" si="54"/>
        <v>37.5</v>
      </c>
      <c r="I740" s="165">
        <f t="shared" si="55"/>
        <v>287.5</v>
      </c>
    </row>
    <row r="741" spans="1:9" ht="12.75" hidden="1" x14ac:dyDescent="0.25">
      <c r="A741" s="167">
        <f t="shared" si="53"/>
        <v>740</v>
      </c>
      <c r="B741" s="168" t="s">
        <v>249</v>
      </c>
      <c r="C741" s="168" t="str">
        <f>VLOOKUP(B741,MEMBERS!B:C,2, )</f>
        <v>MUHAMMAD EBRAHIM TIWANA</v>
      </c>
      <c r="D741" s="188">
        <v>46005</v>
      </c>
      <c r="E741" s="175">
        <v>1</v>
      </c>
      <c r="F741" s="168" t="s">
        <v>515</v>
      </c>
      <c r="G741" s="165">
        <f>IFERROR(VLOOKUP(F741,'menu list'!B:C,2,FALSE)*E741,"0")</f>
        <v>400</v>
      </c>
      <c r="H741" s="334">
        <f t="shared" si="54"/>
        <v>60</v>
      </c>
      <c r="I741" s="165">
        <f t="shared" si="55"/>
        <v>460</v>
      </c>
    </row>
    <row r="742" spans="1:9" ht="12.75" hidden="1" x14ac:dyDescent="0.25">
      <c r="A742" s="167">
        <f t="shared" si="53"/>
        <v>741</v>
      </c>
      <c r="B742" s="168" t="s">
        <v>249</v>
      </c>
      <c r="C742" s="168" t="str">
        <f>VLOOKUP(B742,MEMBERS!B:C,2, )</f>
        <v>MUHAMMAD EBRAHIM TIWANA</v>
      </c>
      <c r="D742" s="188">
        <v>46005</v>
      </c>
      <c r="E742" s="175">
        <v>2</v>
      </c>
      <c r="F742" s="168" t="s">
        <v>558</v>
      </c>
      <c r="G742" s="165">
        <f>IFERROR(VLOOKUP(F742,'menu list'!B:C,2,FALSE)*E742,"0")</f>
        <v>300</v>
      </c>
      <c r="H742" s="334">
        <f t="shared" si="54"/>
        <v>45</v>
      </c>
      <c r="I742" s="165">
        <f t="shared" si="55"/>
        <v>345</v>
      </c>
    </row>
    <row r="743" spans="1:9" ht="12.75" hidden="1" x14ac:dyDescent="0.25">
      <c r="A743" s="167">
        <f t="shared" si="53"/>
        <v>742</v>
      </c>
      <c r="B743" s="168" t="s">
        <v>1073</v>
      </c>
      <c r="C743" s="168" t="str">
        <f>VLOOKUP(B743,MEMBERS!B:C,2, )</f>
        <v>MR. GHULAM MUSTAFA</v>
      </c>
      <c r="D743" s="188">
        <v>46005</v>
      </c>
      <c r="E743" s="175">
        <v>1</v>
      </c>
      <c r="F743" s="168" t="s">
        <v>440</v>
      </c>
      <c r="G743" s="165">
        <f>IFERROR(VLOOKUP(F743,'menu list'!B:C,2,FALSE)*E743,"0")</f>
        <v>150</v>
      </c>
      <c r="H743" s="334">
        <f t="shared" si="54"/>
        <v>22.5</v>
      </c>
      <c r="I743" s="165">
        <f t="shared" si="55"/>
        <v>172.5</v>
      </c>
    </row>
    <row r="744" spans="1:9" ht="12.75" hidden="1" x14ac:dyDescent="0.25">
      <c r="A744" s="167">
        <f t="shared" si="53"/>
        <v>743</v>
      </c>
      <c r="B744" s="168" t="s">
        <v>1073</v>
      </c>
      <c r="C744" s="168" t="str">
        <f>VLOOKUP(B744,MEMBERS!B:C,2, )</f>
        <v>MR. GHULAM MUSTAFA</v>
      </c>
      <c r="D744" s="188">
        <v>46005</v>
      </c>
      <c r="E744" s="175">
        <v>1</v>
      </c>
      <c r="F744" s="168" t="s">
        <v>832</v>
      </c>
      <c r="G744" s="165">
        <f>IFERROR(VLOOKUP(F744,'menu list'!B:C,2,FALSE)*E744,"0")</f>
        <v>250</v>
      </c>
      <c r="H744" s="334">
        <f t="shared" si="54"/>
        <v>37.5</v>
      </c>
      <c r="I744" s="165">
        <f t="shared" si="55"/>
        <v>287.5</v>
      </c>
    </row>
    <row r="745" spans="1:9" ht="12.75" hidden="1" x14ac:dyDescent="0.25">
      <c r="A745" s="167">
        <f t="shared" si="53"/>
        <v>744</v>
      </c>
      <c r="B745" s="168" t="s">
        <v>1073</v>
      </c>
      <c r="C745" s="168" t="str">
        <f>VLOOKUP(B745,MEMBERS!B:C,2, )</f>
        <v>MR. GHULAM MUSTAFA</v>
      </c>
      <c r="D745" s="188">
        <v>46005</v>
      </c>
      <c r="E745" s="175">
        <v>2</v>
      </c>
      <c r="F745" s="168" t="s">
        <v>833</v>
      </c>
      <c r="G745" s="165">
        <f>IFERROR(VLOOKUP(F745,'menu list'!B:C,2,FALSE)*E745,"0")</f>
        <v>700</v>
      </c>
      <c r="H745" s="334">
        <f t="shared" si="54"/>
        <v>105</v>
      </c>
      <c r="I745" s="165">
        <f t="shared" si="55"/>
        <v>805</v>
      </c>
    </row>
    <row r="746" spans="1:9" ht="12.75" hidden="1" x14ac:dyDescent="0.25">
      <c r="A746" s="167">
        <f t="shared" si="53"/>
        <v>745</v>
      </c>
      <c r="B746" s="168" t="s">
        <v>1073</v>
      </c>
      <c r="C746" s="168" t="str">
        <f>VLOOKUP(B746,MEMBERS!B:C,2, )</f>
        <v>MR. GHULAM MUSTAFA</v>
      </c>
      <c r="D746" s="188">
        <v>46005</v>
      </c>
      <c r="E746" s="175">
        <v>1</v>
      </c>
      <c r="F746" s="168" t="s">
        <v>939</v>
      </c>
      <c r="G746" s="165">
        <f>IFERROR(VLOOKUP(F746,'menu list'!B:C,2,FALSE)*E746,"0")</f>
        <v>1200</v>
      </c>
      <c r="H746" s="334">
        <f t="shared" si="54"/>
        <v>180</v>
      </c>
      <c r="I746" s="165">
        <f t="shared" si="55"/>
        <v>1380</v>
      </c>
    </row>
    <row r="747" spans="1:9" ht="12.75" hidden="1" x14ac:dyDescent="0.25">
      <c r="A747" s="167">
        <f t="shared" si="53"/>
        <v>746</v>
      </c>
      <c r="B747" s="168" t="s">
        <v>1073</v>
      </c>
      <c r="C747" s="168" t="str">
        <f>VLOOKUP(B747,MEMBERS!B:C,2, )</f>
        <v>MR. GHULAM MUSTAFA</v>
      </c>
      <c r="D747" s="188">
        <v>46005</v>
      </c>
      <c r="E747" s="175">
        <v>1</v>
      </c>
      <c r="F747" s="168" t="s">
        <v>785</v>
      </c>
      <c r="G747" s="165">
        <f>IFERROR(VLOOKUP(F747,'menu list'!B:C,2,FALSE)*E747,"0")</f>
        <v>950</v>
      </c>
      <c r="H747" s="334">
        <f t="shared" si="54"/>
        <v>142.5</v>
      </c>
      <c r="I747" s="165">
        <f t="shared" si="55"/>
        <v>1092.5</v>
      </c>
    </row>
    <row r="748" spans="1:9" ht="12.75" hidden="1" x14ac:dyDescent="0.25">
      <c r="A748" s="167">
        <f t="shared" si="53"/>
        <v>747</v>
      </c>
      <c r="B748" s="168" t="s">
        <v>1024</v>
      </c>
      <c r="C748" s="168" t="str">
        <f>VLOOKUP(B748,MEMBERS!B:C,2, )</f>
        <v>MR. ANEEL ZAHOOR</v>
      </c>
      <c r="D748" s="188">
        <v>46005</v>
      </c>
      <c r="E748" s="175">
        <v>1</v>
      </c>
      <c r="F748" s="168" t="s">
        <v>499</v>
      </c>
      <c r="G748" s="165">
        <f>IFERROR(VLOOKUP(F748,'menu list'!B:C,2,FALSE)*E748,"0")</f>
        <v>100</v>
      </c>
      <c r="H748" s="334">
        <f t="shared" si="54"/>
        <v>15</v>
      </c>
      <c r="I748" s="165">
        <f t="shared" si="55"/>
        <v>115</v>
      </c>
    </row>
    <row r="749" spans="1:9" ht="12.75" hidden="1" x14ac:dyDescent="0.25">
      <c r="A749" s="167">
        <f t="shared" si="53"/>
        <v>748</v>
      </c>
      <c r="B749" s="168" t="s">
        <v>249</v>
      </c>
      <c r="C749" s="168" t="str">
        <f>VLOOKUP(B749,MEMBERS!B:C,2, )</f>
        <v>MUHAMMAD EBRAHIM TIWANA</v>
      </c>
      <c r="D749" s="188">
        <v>46005</v>
      </c>
      <c r="E749" s="175">
        <v>4</v>
      </c>
      <c r="F749" s="168" t="s">
        <v>500</v>
      </c>
      <c r="G749" s="165">
        <f>IFERROR(VLOOKUP(F749,'menu list'!B:C,2,FALSE)*E749,"0")</f>
        <v>5000</v>
      </c>
      <c r="H749" s="334">
        <f t="shared" si="54"/>
        <v>750</v>
      </c>
      <c r="I749" s="165">
        <f t="shared" si="55"/>
        <v>5750</v>
      </c>
    </row>
    <row r="750" spans="1:9" ht="12.75" hidden="1" x14ac:dyDescent="0.25">
      <c r="A750" s="167">
        <f t="shared" ref="A750:A813" si="57">IF(D750&lt;&gt;"", ROW()-1, "")</f>
        <v>749</v>
      </c>
      <c r="B750" s="168" t="s">
        <v>249</v>
      </c>
      <c r="C750" s="168" t="str">
        <f>VLOOKUP(B750,MEMBERS!B:C,2, )</f>
        <v>MUHAMMAD EBRAHIM TIWANA</v>
      </c>
      <c r="D750" s="188">
        <v>46005</v>
      </c>
      <c r="E750" s="175">
        <v>2</v>
      </c>
      <c r="F750" s="168" t="s">
        <v>786</v>
      </c>
      <c r="G750" s="165">
        <f>IFERROR(VLOOKUP(F750,'menu list'!B:C,2,FALSE)*E750,"0")</f>
        <v>2300</v>
      </c>
      <c r="H750" s="334">
        <f t="shared" si="54"/>
        <v>345</v>
      </c>
      <c r="I750" s="165">
        <f t="shared" si="55"/>
        <v>2645</v>
      </c>
    </row>
    <row r="751" spans="1:9" ht="12.75" hidden="1" x14ac:dyDescent="0.25">
      <c r="A751" s="167">
        <f t="shared" si="57"/>
        <v>750</v>
      </c>
      <c r="B751" s="168" t="s">
        <v>249</v>
      </c>
      <c r="C751" s="168" t="str">
        <f>VLOOKUP(B751,MEMBERS!B:C,2, )</f>
        <v>MUHAMMAD EBRAHIM TIWANA</v>
      </c>
      <c r="D751" s="188">
        <v>46005</v>
      </c>
      <c r="E751" s="175">
        <v>1</v>
      </c>
      <c r="F751" s="168" t="s">
        <v>939</v>
      </c>
      <c r="G751" s="165">
        <f>IFERROR(VLOOKUP(F751,'menu list'!B:C,2,FALSE)*E751,"0")</f>
        <v>1200</v>
      </c>
      <c r="H751" s="334">
        <f t="shared" si="54"/>
        <v>180</v>
      </c>
      <c r="I751" s="165">
        <f t="shared" si="55"/>
        <v>1380</v>
      </c>
    </row>
    <row r="752" spans="1:9" ht="12.75" hidden="1" x14ac:dyDescent="0.25">
      <c r="A752" s="167">
        <f t="shared" si="57"/>
        <v>751</v>
      </c>
      <c r="B752" s="168" t="s">
        <v>249</v>
      </c>
      <c r="C752" s="168" t="str">
        <f>VLOOKUP(B752,MEMBERS!B:C,2, )</f>
        <v>MUHAMMAD EBRAHIM TIWANA</v>
      </c>
      <c r="D752" s="188">
        <v>46005</v>
      </c>
      <c r="E752" s="175">
        <v>1</v>
      </c>
      <c r="F752" s="168" t="s">
        <v>772</v>
      </c>
      <c r="G752" s="165">
        <f>IFERROR(VLOOKUP(F752,'menu list'!B:C,2,FALSE)*E752,"0")</f>
        <v>900</v>
      </c>
      <c r="H752" s="334">
        <f t="shared" si="54"/>
        <v>135</v>
      </c>
      <c r="I752" s="165">
        <f t="shared" si="55"/>
        <v>1035</v>
      </c>
    </row>
    <row r="753" spans="1:9" ht="12.75" hidden="1" x14ac:dyDescent="0.25">
      <c r="A753" s="167">
        <f t="shared" si="57"/>
        <v>752</v>
      </c>
      <c r="B753" s="168" t="s">
        <v>249</v>
      </c>
      <c r="C753" s="168" t="str">
        <f>VLOOKUP(B753,MEMBERS!B:C,2, )</f>
        <v>MUHAMMAD EBRAHIM TIWANA</v>
      </c>
      <c r="D753" s="188">
        <v>46005</v>
      </c>
      <c r="E753" s="175">
        <v>1</v>
      </c>
      <c r="F753" s="168" t="s">
        <v>852</v>
      </c>
      <c r="G753" s="165">
        <f>IFERROR(VLOOKUP(F753,'menu list'!B:C,2,FALSE)*E753,"0")</f>
        <v>850</v>
      </c>
      <c r="H753" s="334">
        <f t="shared" si="54"/>
        <v>127.5</v>
      </c>
      <c r="I753" s="165">
        <f t="shared" si="55"/>
        <v>977.5</v>
      </c>
    </row>
    <row r="754" spans="1:9" ht="12.75" hidden="1" x14ac:dyDescent="0.25">
      <c r="A754" s="167">
        <f t="shared" si="57"/>
        <v>753</v>
      </c>
      <c r="B754" s="168" t="s">
        <v>249</v>
      </c>
      <c r="C754" s="168" t="str">
        <f>VLOOKUP(B754,MEMBERS!B:C,2, )</f>
        <v>MUHAMMAD EBRAHIM TIWANA</v>
      </c>
      <c r="D754" s="188">
        <v>46005</v>
      </c>
      <c r="E754" s="175">
        <v>3</v>
      </c>
      <c r="F754" s="168" t="s">
        <v>504</v>
      </c>
      <c r="G754" s="165">
        <f>IFERROR(VLOOKUP(F754,'menu list'!B:C,2,FALSE)*E754,"0")</f>
        <v>390</v>
      </c>
      <c r="H754" s="334">
        <f t="shared" si="54"/>
        <v>58.5</v>
      </c>
      <c r="I754" s="165">
        <f t="shared" si="55"/>
        <v>448.5</v>
      </c>
    </row>
    <row r="755" spans="1:9" ht="12.75" hidden="1" x14ac:dyDescent="0.25">
      <c r="A755" s="167">
        <f t="shared" si="57"/>
        <v>754</v>
      </c>
      <c r="B755" s="168" t="s">
        <v>249</v>
      </c>
      <c r="C755" s="168" t="str">
        <f>VLOOKUP(B755,MEMBERS!B:C,2, )</f>
        <v>MUHAMMAD EBRAHIM TIWANA</v>
      </c>
      <c r="D755" s="188">
        <v>46005</v>
      </c>
      <c r="E755" s="175">
        <v>1</v>
      </c>
      <c r="F755" s="168" t="s">
        <v>499</v>
      </c>
      <c r="G755" s="165">
        <f>IFERROR(VLOOKUP(F755,'menu list'!B:C,2,FALSE)*E755,"0")</f>
        <v>100</v>
      </c>
      <c r="H755" s="334">
        <f t="shared" si="54"/>
        <v>15</v>
      </c>
      <c r="I755" s="165">
        <f t="shared" si="55"/>
        <v>115</v>
      </c>
    </row>
    <row r="756" spans="1:9" ht="12.75" hidden="1" x14ac:dyDescent="0.25">
      <c r="A756" s="167">
        <f t="shared" si="57"/>
        <v>755</v>
      </c>
      <c r="B756" s="168" t="s">
        <v>249</v>
      </c>
      <c r="C756" s="168" t="str">
        <f>VLOOKUP(B756,MEMBERS!B:C,2, )</f>
        <v>MUHAMMAD EBRAHIM TIWANA</v>
      </c>
      <c r="D756" s="188">
        <v>46005</v>
      </c>
      <c r="E756" s="175">
        <v>2</v>
      </c>
      <c r="F756" s="168" t="s">
        <v>442</v>
      </c>
      <c r="G756" s="165">
        <f>IFERROR(VLOOKUP(F756,'menu list'!B:C,2,FALSE)*E756,"0")</f>
        <v>300</v>
      </c>
      <c r="H756" s="334">
        <f t="shared" si="54"/>
        <v>45</v>
      </c>
      <c r="I756" s="165">
        <f t="shared" si="55"/>
        <v>345</v>
      </c>
    </row>
    <row r="757" spans="1:9" ht="12.75" hidden="1" x14ac:dyDescent="0.25">
      <c r="A757" s="167">
        <f t="shared" si="57"/>
        <v>756</v>
      </c>
      <c r="B757" s="168" t="s">
        <v>395</v>
      </c>
      <c r="C757" s="168" t="str">
        <f>VLOOKUP(B757,MEMBERS!B:C,2, )</f>
        <v>BAHRIA INTERNATIONAL HOSPITAL</v>
      </c>
      <c r="D757" s="188">
        <v>46005</v>
      </c>
      <c r="E757" s="175">
        <v>20</v>
      </c>
      <c r="F757" s="168" t="s">
        <v>516</v>
      </c>
      <c r="G757" s="165">
        <f>IFERROR(VLOOKUP(F757,'menu list'!B:C,2,FALSE)*E757,"0")</f>
        <v>5000</v>
      </c>
      <c r="H757" s="334"/>
      <c r="I757" s="165">
        <f t="shared" si="55"/>
        <v>5000</v>
      </c>
    </row>
    <row r="758" spans="1:9" ht="12.75" hidden="1" x14ac:dyDescent="0.25">
      <c r="A758" s="167">
        <f t="shared" si="57"/>
        <v>757</v>
      </c>
      <c r="B758" s="168" t="s">
        <v>395</v>
      </c>
      <c r="C758" s="168" t="str">
        <f>VLOOKUP(B758,MEMBERS!B:C,2, )</f>
        <v>BAHRIA INTERNATIONAL HOSPITAL</v>
      </c>
      <c r="D758" s="188">
        <v>46005</v>
      </c>
      <c r="E758" s="175">
        <v>10</v>
      </c>
      <c r="F758" s="168" t="s">
        <v>558</v>
      </c>
      <c r="G758" s="165">
        <f>IFERROR(VLOOKUP(F758,'menu list'!B:C,2,FALSE)*E758,"0")</f>
        <v>1500</v>
      </c>
      <c r="H758" s="334"/>
      <c r="I758" s="165">
        <f t="shared" si="55"/>
        <v>1500</v>
      </c>
    </row>
    <row r="759" spans="1:9" ht="12.75" hidden="1" x14ac:dyDescent="0.25">
      <c r="A759" s="167">
        <f t="shared" si="57"/>
        <v>758</v>
      </c>
      <c r="B759" s="168" t="s">
        <v>395</v>
      </c>
      <c r="C759" s="168" t="str">
        <f>VLOOKUP(B759,MEMBERS!B:C,2, )</f>
        <v>BAHRIA INTERNATIONAL HOSPITAL</v>
      </c>
      <c r="D759" s="188">
        <v>46005</v>
      </c>
      <c r="E759" s="175">
        <v>30</v>
      </c>
      <c r="F759" s="168" t="s">
        <v>775</v>
      </c>
      <c r="G759" s="165">
        <f>IFERROR(VLOOKUP(F759,'menu list'!B:C,2,FALSE)*E759,"0")</f>
        <v>3000</v>
      </c>
      <c r="H759" s="334"/>
      <c r="I759" s="165">
        <f t="shared" si="55"/>
        <v>3000</v>
      </c>
    </row>
    <row r="760" spans="1:9" ht="12.75" hidden="1" x14ac:dyDescent="0.25">
      <c r="A760" s="167">
        <f t="shared" si="57"/>
        <v>759</v>
      </c>
      <c r="B760" s="168" t="s">
        <v>192</v>
      </c>
      <c r="C760" s="168" t="str">
        <f>VLOOKUP(B760,MEMBERS!B:C,2, )</f>
        <v>MR.HANIF AHSAN ZUBEDI</v>
      </c>
      <c r="D760" s="188">
        <v>46005</v>
      </c>
      <c r="E760" s="175">
        <v>1</v>
      </c>
      <c r="F760" s="168" t="s">
        <v>499</v>
      </c>
      <c r="G760" s="165">
        <f>IFERROR(VLOOKUP(F760,'menu list'!B:C,2,FALSE)*E760,"0")</f>
        <v>100</v>
      </c>
      <c r="H760" s="334">
        <f t="shared" si="54"/>
        <v>15</v>
      </c>
      <c r="I760" s="165">
        <f t="shared" si="55"/>
        <v>115</v>
      </c>
    </row>
    <row r="761" spans="1:9" ht="12.75" hidden="1" x14ac:dyDescent="0.25">
      <c r="A761" s="167">
        <f t="shared" si="57"/>
        <v>760</v>
      </c>
      <c r="B761" s="168" t="s">
        <v>795</v>
      </c>
      <c r="C761" s="168" t="str">
        <f>VLOOKUP(B761,MEMBERS!B:C,2, )</f>
        <v>MR. HASAN KARIM</v>
      </c>
      <c r="D761" s="188">
        <v>46005</v>
      </c>
      <c r="E761" s="175">
        <v>1</v>
      </c>
      <c r="F761" s="168" t="s">
        <v>499</v>
      </c>
      <c r="G761" s="165">
        <f>IFERROR(VLOOKUP(F761,'menu list'!B:C,2,FALSE)*E761,"0")</f>
        <v>100</v>
      </c>
      <c r="H761" s="334">
        <f t="shared" si="54"/>
        <v>15</v>
      </c>
      <c r="I761" s="165">
        <f t="shared" si="55"/>
        <v>115</v>
      </c>
    </row>
    <row r="762" spans="1:9" ht="12.75" hidden="1" x14ac:dyDescent="0.25">
      <c r="A762" s="167">
        <f t="shared" si="57"/>
        <v>761</v>
      </c>
      <c r="B762" s="168" t="s">
        <v>795</v>
      </c>
      <c r="C762" s="168" t="str">
        <f>VLOOKUP(B762,MEMBERS!B:C,2, )</f>
        <v>MR. HASAN KARIM</v>
      </c>
      <c r="D762" s="188">
        <v>46005</v>
      </c>
      <c r="E762" s="175">
        <v>2</v>
      </c>
      <c r="F762" s="168" t="s">
        <v>498</v>
      </c>
      <c r="G762" s="165">
        <f>IFERROR(VLOOKUP(F762,'menu list'!B:C,2,FALSE)*E762,"0")</f>
        <v>400</v>
      </c>
      <c r="H762" s="334">
        <f t="shared" si="54"/>
        <v>60</v>
      </c>
      <c r="I762" s="165">
        <f t="shared" si="55"/>
        <v>460</v>
      </c>
    </row>
    <row r="763" spans="1:9" ht="12.75" hidden="1" x14ac:dyDescent="0.25">
      <c r="A763" s="167">
        <f t="shared" si="57"/>
        <v>762</v>
      </c>
      <c r="B763" s="168" t="s">
        <v>88</v>
      </c>
      <c r="C763" s="168" t="str">
        <f>VLOOKUP(B763,MEMBERS!B:C,2, )</f>
        <v>DR.NAZEER HUSSAIN KALHORO</v>
      </c>
      <c r="D763" s="188">
        <v>46005</v>
      </c>
      <c r="E763" s="175">
        <v>2</v>
      </c>
      <c r="F763" s="168" t="s">
        <v>499</v>
      </c>
      <c r="G763" s="165">
        <f>IFERROR(VLOOKUP(F763,'menu list'!B:C,2,FALSE)*E763,"0")</f>
        <v>200</v>
      </c>
      <c r="H763" s="334">
        <f t="shared" si="54"/>
        <v>30</v>
      </c>
      <c r="I763" s="165">
        <f t="shared" si="55"/>
        <v>230</v>
      </c>
    </row>
    <row r="764" spans="1:9" ht="12.75" hidden="1" x14ac:dyDescent="0.25">
      <c r="A764" s="167">
        <f t="shared" si="57"/>
        <v>763</v>
      </c>
      <c r="B764" s="168" t="s">
        <v>39</v>
      </c>
      <c r="C764" s="168" t="str">
        <f>VLOOKUP(B764,MEMBERS!B:C,2, )</f>
        <v>MR.SYED ABDULLAH ALI</v>
      </c>
      <c r="D764" s="188">
        <v>46005</v>
      </c>
      <c r="E764" s="175">
        <v>4</v>
      </c>
      <c r="F764" s="168" t="s">
        <v>498</v>
      </c>
      <c r="G764" s="165">
        <f>IFERROR(VLOOKUP(F764,'menu list'!B:C,2,FALSE)*E764,"0")</f>
        <v>800</v>
      </c>
      <c r="H764" s="334">
        <f t="shared" si="54"/>
        <v>120</v>
      </c>
      <c r="I764" s="165">
        <f t="shared" si="55"/>
        <v>920</v>
      </c>
    </row>
    <row r="765" spans="1:9" ht="12.75" hidden="1" x14ac:dyDescent="0.25">
      <c r="A765" s="167">
        <f t="shared" si="57"/>
        <v>764</v>
      </c>
      <c r="B765" s="168" t="s">
        <v>39</v>
      </c>
      <c r="C765" s="168" t="str">
        <f>VLOOKUP(B765,MEMBERS!B:C,2, )</f>
        <v>MR.SYED ABDULLAH ALI</v>
      </c>
      <c r="D765" s="188">
        <v>46005</v>
      </c>
      <c r="E765" s="175">
        <v>1</v>
      </c>
      <c r="F765" s="168" t="s">
        <v>440</v>
      </c>
      <c r="G765" s="165">
        <f>IFERROR(VLOOKUP(F765,'menu list'!B:C,2,FALSE)*E765,"0")</f>
        <v>150</v>
      </c>
      <c r="H765" s="334">
        <f t="shared" si="54"/>
        <v>22.5</v>
      </c>
      <c r="I765" s="165">
        <f t="shared" si="55"/>
        <v>172.5</v>
      </c>
    </row>
    <row r="766" spans="1:9" ht="12.75" hidden="1" x14ac:dyDescent="0.25">
      <c r="A766" s="167">
        <f t="shared" si="57"/>
        <v>765</v>
      </c>
      <c r="B766" s="168" t="s">
        <v>374</v>
      </c>
      <c r="C766" s="168" t="str">
        <f>VLOOKUP(B766,MEMBERS!B:C,2, )</f>
        <v>AAMIR RASOOL</v>
      </c>
      <c r="D766" s="188">
        <v>46005</v>
      </c>
      <c r="E766" s="175">
        <v>1</v>
      </c>
      <c r="F766" s="168" t="s">
        <v>1057</v>
      </c>
      <c r="G766" s="165">
        <f>IFERROR(VLOOKUP(F766,'menu list'!B:C,2,FALSE)*E766,"0")</f>
        <v>850</v>
      </c>
      <c r="H766" s="334">
        <f t="shared" si="54"/>
        <v>127.5</v>
      </c>
      <c r="I766" s="165">
        <f t="shared" si="55"/>
        <v>977.5</v>
      </c>
    </row>
    <row r="767" spans="1:9" ht="12.75" hidden="1" x14ac:dyDescent="0.25">
      <c r="A767" s="167">
        <f t="shared" si="57"/>
        <v>766</v>
      </c>
      <c r="B767" s="168" t="s">
        <v>374</v>
      </c>
      <c r="C767" s="168" t="str">
        <f>VLOOKUP(B767,MEMBERS!B:C,2, )</f>
        <v>AAMIR RASOOL</v>
      </c>
      <c r="D767" s="188">
        <v>46005</v>
      </c>
      <c r="E767" s="175">
        <v>1</v>
      </c>
      <c r="F767" s="168" t="s">
        <v>633</v>
      </c>
      <c r="G767" s="165">
        <f>IFERROR(VLOOKUP(F767,'menu list'!B:C,2,FALSE)*E767,"0")</f>
        <v>700</v>
      </c>
      <c r="H767" s="334">
        <f t="shared" si="54"/>
        <v>105</v>
      </c>
      <c r="I767" s="165">
        <f t="shared" si="55"/>
        <v>805</v>
      </c>
    </row>
    <row r="768" spans="1:9" ht="12.75" hidden="1" x14ac:dyDescent="0.25">
      <c r="A768" s="167">
        <f t="shared" si="57"/>
        <v>767</v>
      </c>
      <c r="B768" s="168" t="s">
        <v>374</v>
      </c>
      <c r="C768" s="168" t="str">
        <f>VLOOKUP(B768,MEMBERS!B:C,2, )</f>
        <v>AAMIR RASOOL</v>
      </c>
      <c r="D768" s="188">
        <v>46005</v>
      </c>
      <c r="E768" s="175">
        <v>2</v>
      </c>
      <c r="F768" s="168" t="s">
        <v>442</v>
      </c>
      <c r="G768" s="165">
        <f>IFERROR(VLOOKUP(F768,'menu list'!B:C,2,FALSE)*E768,"0")</f>
        <v>300</v>
      </c>
      <c r="H768" s="334">
        <f t="shared" si="54"/>
        <v>45</v>
      </c>
      <c r="I768" s="165">
        <f t="shared" si="55"/>
        <v>345</v>
      </c>
    </row>
    <row r="769" spans="1:10" ht="12.75" hidden="1" x14ac:dyDescent="0.25">
      <c r="A769" s="167">
        <f t="shared" si="57"/>
        <v>768</v>
      </c>
      <c r="B769" s="168" t="s">
        <v>374</v>
      </c>
      <c r="C769" s="168" t="str">
        <f>VLOOKUP(B769,MEMBERS!B:C,2, )</f>
        <v>AAMIR RASOOL</v>
      </c>
      <c r="D769" s="188">
        <v>46005</v>
      </c>
      <c r="E769" s="175">
        <v>2</v>
      </c>
      <c r="F769" s="168" t="s">
        <v>499</v>
      </c>
      <c r="G769" s="165">
        <f>IFERROR(VLOOKUP(F769,'menu list'!B:C,2,FALSE)*E769,"0")</f>
        <v>200</v>
      </c>
      <c r="H769" s="334">
        <f t="shared" si="54"/>
        <v>30</v>
      </c>
      <c r="I769" s="165">
        <f t="shared" si="55"/>
        <v>230</v>
      </c>
    </row>
    <row r="770" spans="1:10" ht="12.75" hidden="1" x14ac:dyDescent="0.25">
      <c r="A770" s="167">
        <f t="shared" si="57"/>
        <v>769</v>
      </c>
      <c r="B770" s="168" t="s">
        <v>374</v>
      </c>
      <c r="C770" s="168" t="str">
        <f>VLOOKUP(B770,MEMBERS!B:C,2, )</f>
        <v>AAMIR RASOOL</v>
      </c>
      <c r="D770" s="188">
        <v>46005</v>
      </c>
      <c r="E770" s="175">
        <v>1</v>
      </c>
      <c r="F770" s="168" t="s">
        <v>804</v>
      </c>
      <c r="G770" s="165">
        <f>IFERROR(VLOOKUP(F770,'menu list'!B:C,2,FALSE)*E770,"0")</f>
        <v>270</v>
      </c>
      <c r="H770" s="334">
        <f t="shared" si="54"/>
        <v>40.5</v>
      </c>
      <c r="I770" s="165">
        <f t="shared" si="55"/>
        <v>310.5</v>
      </c>
    </row>
    <row r="771" spans="1:10" ht="12.75" hidden="1" x14ac:dyDescent="0.25">
      <c r="A771" s="310">
        <f t="shared" si="57"/>
        <v>770</v>
      </c>
      <c r="B771" s="311" t="s">
        <v>454</v>
      </c>
      <c r="C771" s="311" t="str">
        <f>VLOOKUP(B771,MEMBERS!B:C,2, )</f>
        <v>Heritage club</v>
      </c>
      <c r="D771" s="312">
        <v>46005</v>
      </c>
      <c r="E771" s="313">
        <v>1</v>
      </c>
      <c r="F771" s="311" t="s">
        <v>498</v>
      </c>
      <c r="G771" s="314">
        <f>IFERROR(VLOOKUP(F771,'menu list'!B:C,2,FALSE)*E771,"0")</f>
        <v>200</v>
      </c>
      <c r="H771" s="334">
        <f t="shared" ref="H771:H834" si="58">G771*15/100</f>
        <v>30</v>
      </c>
      <c r="I771" s="165">
        <f t="shared" si="55"/>
        <v>230</v>
      </c>
      <c r="J771" s="336" t="s">
        <v>1090</v>
      </c>
    </row>
    <row r="772" spans="1:10" ht="12.75" hidden="1" x14ac:dyDescent="0.25">
      <c r="A772" s="310">
        <f t="shared" si="57"/>
        <v>771</v>
      </c>
      <c r="B772" s="311" t="s">
        <v>454</v>
      </c>
      <c r="C772" s="311" t="str">
        <f>VLOOKUP(B772,MEMBERS!B:C,2, )</f>
        <v>Heritage club</v>
      </c>
      <c r="D772" s="312">
        <v>46005</v>
      </c>
      <c r="E772" s="313">
        <v>1</v>
      </c>
      <c r="F772" s="311" t="s">
        <v>499</v>
      </c>
      <c r="G772" s="314">
        <f>IFERROR(VLOOKUP(F772,'menu list'!B:C,2,FALSE)*E772,"0")</f>
        <v>100</v>
      </c>
      <c r="H772" s="334">
        <f t="shared" si="58"/>
        <v>15</v>
      </c>
      <c r="I772" s="165">
        <f t="shared" ref="I772:I835" si="59">G772+H772</f>
        <v>115</v>
      </c>
      <c r="J772" s="336" t="s">
        <v>1090</v>
      </c>
    </row>
    <row r="773" spans="1:10" ht="12.75" hidden="1" x14ac:dyDescent="0.25">
      <c r="A773" s="167">
        <f t="shared" si="57"/>
        <v>772</v>
      </c>
      <c r="B773" s="168" t="s">
        <v>69</v>
      </c>
      <c r="C773" s="168" t="str">
        <f>VLOOKUP(B773,MEMBERS!B:C,2, )</f>
        <v>MR.TARIQUE ZUBAIR</v>
      </c>
      <c r="D773" s="315">
        <v>46005</v>
      </c>
      <c r="E773" s="175">
        <v>1</v>
      </c>
      <c r="F773" s="168" t="s">
        <v>770</v>
      </c>
      <c r="G773" s="165">
        <v>0</v>
      </c>
      <c r="H773" s="334">
        <f t="shared" si="58"/>
        <v>0</v>
      </c>
      <c r="I773" s="165">
        <f t="shared" si="59"/>
        <v>0</v>
      </c>
    </row>
    <row r="774" spans="1:10" ht="12.75" hidden="1" x14ac:dyDescent="0.25">
      <c r="A774" s="167">
        <f t="shared" si="57"/>
        <v>773</v>
      </c>
      <c r="B774" s="168" t="s">
        <v>69</v>
      </c>
      <c r="C774" s="168" t="str">
        <f>VLOOKUP(B774,MEMBERS!B:C,2, )</f>
        <v>MR.TARIQUE ZUBAIR</v>
      </c>
      <c r="D774" s="315">
        <v>46005</v>
      </c>
      <c r="E774" s="175">
        <v>4</v>
      </c>
      <c r="F774" s="168" t="s">
        <v>439</v>
      </c>
      <c r="G774" s="165">
        <v>0</v>
      </c>
      <c r="H774" s="334">
        <f t="shared" si="58"/>
        <v>0</v>
      </c>
      <c r="I774" s="165">
        <f t="shared" si="59"/>
        <v>0</v>
      </c>
    </row>
    <row r="775" spans="1:10" ht="12.75" hidden="1" x14ac:dyDescent="0.25">
      <c r="A775" s="167">
        <f t="shared" si="57"/>
        <v>774</v>
      </c>
      <c r="B775" s="168" t="s">
        <v>192</v>
      </c>
      <c r="C775" s="168" t="str">
        <f>VLOOKUP(B775,MEMBERS!B:C,2, )</f>
        <v>MR.HANIF AHSAN ZUBEDI</v>
      </c>
      <c r="D775" s="315">
        <v>46005</v>
      </c>
      <c r="E775" s="175">
        <v>8</v>
      </c>
      <c r="F775" s="168" t="s">
        <v>641</v>
      </c>
      <c r="G775" s="165">
        <f>IFERROR(VLOOKUP(F775,'menu list'!B:C,2,FALSE)*E775,"0")</f>
        <v>12400</v>
      </c>
      <c r="H775" s="334">
        <f t="shared" si="58"/>
        <v>1860</v>
      </c>
      <c r="I775" s="165">
        <f t="shared" si="59"/>
        <v>14260</v>
      </c>
    </row>
    <row r="776" spans="1:10" ht="12.75" hidden="1" x14ac:dyDescent="0.25">
      <c r="A776" s="167">
        <f t="shared" si="57"/>
        <v>775</v>
      </c>
      <c r="B776" s="168" t="s">
        <v>192</v>
      </c>
      <c r="C776" s="168" t="str">
        <f>VLOOKUP(B776,MEMBERS!B:C,2, )</f>
        <v>MR.HANIF AHSAN ZUBEDI</v>
      </c>
      <c r="D776" s="315">
        <v>46005</v>
      </c>
      <c r="E776" s="175">
        <v>4</v>
      </c>
      <c r="F776" s="168" t="s">
        <v>659</v>
      </c>
      <c r="G776" s="165">
        <f>IFERROR(VLOOKUP(F776,'menu list'!B:C,2,FALSE)*E776,"0")</f>
        <v>3100</v>
      </c>
      <c r="H776" s="334">
        <f t="shared" si="58"/>
        <v>465</v>
      </c>
      <c r="I776" s="165">
        <f t="shared" si="59"/>
        <v>3565</v>
      </c>
    </row>
    <row r="777" spans="1:10" ht="12.75" hidden="1" x14ac:dyDescent="0.25">
      <c r="A777" s="167">
        <f t="shared" si="57"/>
        <v>776</v>
      </c>
      <c r="B777" s="168" t="s">
        <v>192</v>
      </c>
      <c r="C777" s="168" t="str">
        <f>VLOOKUP(B777,MEMBERS!B:C,2, )</f>
        <v>MR.HANIF AHSAN ZUBEDI</v>
      </c>
      <c r="D777" s="315">
        <v>46005</v>
      </c>
      <c r="E777" s="175">
        <v>2</v>
      </c>
      <c r="F777" s="168" t="s">
        <v>582</v>
      </c>
      <c r="G777" s="165">
        <f>IFERROR(VLOOKUP(F777,'menu list'!B:C,2,FALSE)*E777,"0")</f>
        <v>600</v>
      </c>
      <c r="H777" s="334">
        <f t="shared" si="58"/>
        <v>90</v>
      </c>
      <c r="I777" s="165">
        <f t="shared" si="59"/>
        <v>690</v>
      </c>
    </row>
    <row r="778" spans="1:10" ht="12.75" hidden="1" x14ac:dyDescent="0.25">
      <c r="A778" s="167">
        <f t="shared" si="57"/>
        <v>777</v>
      </c>
      <c r="B778" s="168" t="s">
        <v>192</v>
      </c>
      <c r="C778" s="168" t="str">
        <f>VLOOKUP(B778,MEMBERS!B:C,2, )</f>
        <v>MR.HANIF AHSAN ZUBEDI</v>
      </c>
      <c r="D778" s="315">
        <v>46005</v>
      </c>
      <c r="E778" s="175">
        <v>2</v>
      </c>
      <c r="F778" s="168" t="s">
        <v>440</v>
      </c>
      <c r="G778" s="165">
        <f>IFERROR(VLOOKUP(F778,'menu list'!B:C,2,FALSE)*E778,"0")</f>
        <v>300</v>
      </c>
      <c r="H778" s="334">
        <f t="shared" si="58"/>
        <v>45</v>
      </c>
      <c r="I778" s="165">
        <f t="shared" si="59"/>
        <v>345</v>
      </c>
    </row>
    <row r="779" spans="1:10" ht="12.75" hidden="1" x14ac:dyDescent="0.25">
      <c r="A779" s="167">
        <f t="shared" si="57"/>
        <v>778</v>
      </c>
      <c r="B779" s="168" t="s">
        <v>88</v>
      </c>
      <c r="C779" s="168" t="str">
        <f>VLOOKUP(B779,MEMBERS!B:C,2, )</f>
        <v>DR.NAZEER HUSSAIN KALHORO</v>
      </c>
      <c r="D779" s="315">
        <v>46005</v>
      </c>
      <c r="E779" s="175">
        <v>5</v>
      </c>
      <c r="F779" s="168" t="s">
        <v>1017</v>
      </c>
      <c r="G779" s="165">
        <f>IFERROR(VLOOKUP(F779,'menu list'!B:C,2,FALSE)*E779,"0")</f>
        <v>9250</v>
      </c>
      <c r="H779" s="334">
        <f t="shared" si="58"/>
        <v>1387.5</v>
      </c>
      <c r="I779" s="165">
        <f t="shared" si="59"/>
        <v>10637.5</v>
      </c>
    </row>
    <row r="780" spans="1:10" ht="12.75" hidden="1" x14ac:dyDescent="0.25">
      <c r="A780" s="167">
        <f t="shared" si="57"/>
        <v>779</v>
      </c>
      <c r="B780" s="168" t="s">
        <v>88</v>
      </c>
      <c r="C780" s="168" t="str">
        <f>VLOOKUP(B780,MEMBERS!B:C,2, )</f>
        <v>DR.NAZEER HUSSAIN KALHORO</v>
      </c>
      <c r="D780" s="315">
        <v>46005</v>
      </c>
      <c r="E780" s="175">
        <v>2</v>
      </c>
      <c r="F780" s="168" t="s">
        <v>1018</v>
      </c>
      <c r="G780" s="165">
        <f>IFERROR(VLOOKUP(F780,'menu list'!B:C,2,FALSE)*E780,"0")</f>
        <v>1850</v>
      </c>
      <c r="H780" s="334">
        <f t="shared" si="58"/>
        <v>277.5</v>
      </c>
      <c r="I780" s="165">
        <f t="shared" si="59"/>
        <v>2127.5</v>
      </c>
    </row>
    <row r="781" spans="1:10" ht="12.75" hidden="1" x14ac:dyDescent="0.25">
      <c r="A781" s="167">
        <f t="shared" si="57"/>
        <v>780</v>
      </c>
      <c r="B781" s="168" t="s">
        <v>88</v>
      </c>
      <c r="C781" s="168" t="str">
        <f>VLOOKUP(B781,MEMBERS!B:C,2, )</f>
        <v>DR.NAZEER HUSSAIN KALHORO</v>
      </c>
      <c r="D781" s="315">
        <v>46005</v>
      </c>
      <c r="E781" s="175">
        <v>1</v>
      </c>
      <c r="F781" s="168" t="s">
        <v>499</v>
      </c>
      <c r="G781" s="165">
        <f>IFERROR(VLOOKUP(F781,'menu list'!B:C,2,FALSE)*E781,"0")</f>
        <v>100</v>
      </c>
      <c r="H781" s="334">
        <f t="shared" si="58"/>
        <v>15</v>
      </c>
      <c r="I781" s="165">
        <f t="shared" si="59"/>
        <v>115</v>
      </c>
    </row>
    <row r="782" spans="1:10" ht="12.75" hidden="1" x14ac:dyDescent="0.25">
      <c r="A782" s="167">
        <f t="shared" si="57"/>
        <v>781</v>
      </c>
      <c r="B782" s="168" t="s">
        <v>88</v>
      </c>
      <c r="C782" s="168" t="str">
        <f>VLOOKUP(B782,MEMBERS!B:C,2, )</f>
        <v>DR.NAZEER HUSSAIN KALHORO</v>
      </c>
      <c r="D782" s="315">
        <v>46005</v>
      </c>
      <c r="E782" s="175">
        <v>1</v>
      </c>
      <c r="F782" s="168" t="s">
        <v>440</v>
      </c>
      <c r="G782" s="165">
        <f>IFERROR(VLOOKUP(F782,'menu list'!B:C,2,FALSE)*E782,"0")</f>
        <v>150</v>
      </c>
      <c r="H782" s="334">
        <f t="shared" si="58"/>
        <v>22.5</v>
      </c>
      <c r="I782" s="165">
        <f t="shared" si="59"/>
        <v>172.5</v>
      </c>
    </row>
    <row r="783" spans="1:10" ht="12.75" hidden="1" x14ac:dyDescent="0.25">
      <c r="A783" s="167">
        <f t="shared" si="57"/>
        <v>782</v>
      </c>
      <c r="B783" s="168" t="s">
        <v>308</v>
      </c>
      <c r="C783" s="168" t="str">
        <f>VLOOKUP(B783,MEMBERS!B:C,2, )</f>
        <v>DGM AZFAR ALI</v>
      </c>
      <c r="D783" s="315">
        <v>46005</v>
      </c>
      <c r="E783" s="175">
        <v>6</v>
      </c>
      <c r="F783" s="168" t="s">
        <v>641</v>
      </c>
      <c r="G783" s="165">
        <f>IFERROR(VLOOKUP(F783,'menu list'!B:C,2,FALSE)*E783,"0")</f>
        <v>9300</v>
      </c>
      <c r="H783" s="334">
        <f t="shared" si="58"/>
        <v>1395</v>
      </c>
      <c r="I783" s="165">
        <f t="shared" si="59"/>
        <v>10695</v>
      </c>
    </row>
    <row r="784" spans="1:10" ht="12.75" hidden="1" x14ac:dyDescent="0.25">
      <c r="A784" s="167">
        <f t="shared" si="57"/>
        <v>783</v>
      </c>
      <c r="B784" s="168" t="s">
        <v>308</v>
      </c>
      <c r="C784" s="168" t="str">
        <f>VLOOKUP(B784,MEMBERS!B:C,2, )</f>
        <v>DGM AZFAR ALI</v>
      </c>
      <c r="D784" s="315">
        <v>46005</v>
      </c>
      <c r="E784" s="175">
        <v>2</v>
      </c>
      <c r="F784" s="168" t="s">
        <v>582</v>
      </c>
      <c r="G784" s="165">
        <f>IFERROR(VLOOKUP(F784,'menu list'!B:C,2,FALSE)*E784,"0")</f>
        <v>600</v>
      </c>
      <c r="H784" s="334">
        <f t="shared" si="58"/>
        <v>90</v>
      </c>
      <c r="I784" s="165">
        <f t="shared" si="59"/>
        <v>690</v>
      </c>
    </row>
    <row r="785" spans="1:9" ht="12.75" hidden="1" x14ac:dyDescent="0.25">
      <c r="A785" s="167">
        <f t="shared" si="57"/>
        <v>784</v>
      </c>
      <c r="B785" s="168" t="s">
        <v>308</v>
      </c>
      <c r="C785" s="168" t="str">
        <f>VLOOKUP(B785,MEMBERS!B:C,2, )</f>
        <v>DGM AZFAR ALI</v>
      </c>
      <c r="D785" s="315">
        <v>46005</v>
      </c>
      <c r="E785" s="175">
        <v>3</v>
      </c>
      <c r="F785" s="168" t="s">
        <v>440</v>
      </c>
      <c r="G785" s="165">
        <f>IFERROR(VLOOKUP(F785,'menu list'!B:C,2,FALSE)*E785,"0")</f>
        <v>450</v>
      </c>
      <c r="H785" s="334">
        <f t="shared" si="58"/>
        <v>67.5</v>
      </c>
      <c r="I785" s="165">
        <f t="shared" si="59"/>
        <v>517.5</v>
      </c>
    </row>
    <row r="786" spans="1:9" ht="12.75" hidden="1" x14ac:dyDescent="0.25">
      <c r="A786" s="167">
        <f t="shared" si="57"/>
        <v>785</v>
      </c>
      <c r="B786" s="168" t="s">
        <v>308</v>
      </c>
      <c r="C786" s="168" t="str">
        <f>VLOOKUP(B786,MEMBERS!B:C,2, )</f>
        <v>DGM AZFAR ALI</v>
      </c>
      <c r="D786" s="315">
        <v>46005</v>
      </c>
      <c r="E786" s="175">
        <v>1</v>
      </c>
      <c r="F786" s="168" t="s">
        <v>836</v>
      </c>
      <c r="G786" s="165">
        <f>IFERROR(VLOOKUP(F786,'menu list'!B:C,2,FALSE)*E786,"0")</f>
        <v>350</v>
      </c>
      <c r="H786" s="334">
        <f t="shared" si="58"/>
        <v>52.5</v>
      </c>
      <c r="I786" s="165">
        <f t="shared" si="59"/>
        <v>402.5</v>
      </c>
    </row>
    <row r="787" spans="1:9" ht="12.75" hidden="1" x14ac:dyDescent="0.25">
      <c r="A787" s="167">
        <f t="shared" si="57"/>
        <v>786</v>
      </c>
      <c r="B787" s="168" t="s">
        <v>308</v>
      </c>
      <c r="C787" s="168" t="str">
        <f>VLOOKUP(B787,MEMBERS!B:C,2, )</f>
        <v>DGM AZFAR ALI</v>
      </c>
      <c r="D787" s="315">
        <v>46005</v>
      </c>
      <c r="E787" s="175">
        <v>3</v>
      </c>
      <c r="F787" s="168" t="s">
        <v>659</v>
      </c>
      <c r="G787" s="165">
        <f>IFERROR(VLOOKUP(F787,'menu list'!B:C,2,FALSE)*E787,"0")</f>
        <v>2325</v>
      </c>
      <c r="H787" s="334">
        <f t="shared" si="58"/>
        <v>348.75</v>
      </c>
      <c r="I787" s="165">
        <f t="shared" si="59"/>
        <v>2673.75</v>
      </c>
    </row>
    <row r="788" spans="1:9" ht="12.75" hidden="1" x14ac:dyDescent="0.25">
      <c r="A788" s="167">
        <f t="shared" si="57"/>
        <v>787</v>
      </c>
      <c r="B788" s="168" t="s">
        <v>258</v>
      </c>
      <c r="C788" s="168" t="str">
        <f>VLOOKUP(B788,MEMBERS!B:C,2, )</f>
        <v>BRIG DR. GHULAM MEHDI (Retd)</v>
      </c>
      <c r="D788" s="315">
        <v>46005</v>
      </c>
      <c r="E788" s="175">
        <v>3</v>
      </c>
      <c r="F788" s="168" t="s">
        <v>641</v>
      </c>
      <c r="G788" s="165">
        <f>IFERROR(VLOOKUP(F788,'menu list'!B:C,2,FALSE)*E788,"0")</f>
        <v>4650</v>
      </c>
      <c r="H788" s="334">
        <f t="shared" si="58"/>
        <v>697.5</v>
      </c>
      <c r="I788" s="165">
        <f t="shared" si="59"/>
        <v>5347.5</v>
      </c>
    </row>
    <row r="789" spans="1:9" ht="12.75" hidden="1" x14ac:dyDescent="0.25">
      <c r="A789" s="167">
        <f t="shared" si="57"/>
        <v>788</v>
      </c>
      <c r="B789" s="168" t="s">
        <v>258</v>
      </c>
      <c r="C789" s="168" t="str">
        <f>VLOOKUP(B789,MEMBERS!B:C,2, )</f>
        <v>BRIG DR. GHULAM MEHDI (Retd)</v>
      </c>
      <c r="D789" s="315">
        <v>46005</v>
      </c>
      <c r="E789" s="175">
        <v>2</v>
      </c>
      <c r="F789" s="168" t="s">
        <v>582</v>
      </c>
      <c r="G789" s="165">
        <f>IFERROR(VLOOKUP(F789,'menu list'!B:C,2,FALSE)*E789,"0")</f>
        <v>600</v>
      </c>
      <c r="H789" s="334">
        <f t="shared" si="58"/>
        <v>90</v>
      </c>
      <c r="I789" s="165">
        <f t="shared" si="59"/>
        <v>690</v>
      </c>
    </row>
    <row r="790" spans="1:9" ht="12.75" hidden="1" x14ac:dyDescent="0.25">
      <c r="A790" s="167">
        <f t="shared" si="57"/>
        <v>789</v>
      </c>
      <c r="B790" s="168" t="s">
        <v>258</v>
      </c>
      <c r="C790" s="168" t="str">
        <f>VLOOKUP(B790,MEMBERS!B:C,2, )</f>
        <v>BRIG DR. GHULAM MEHDI (Retd)</v>
      </c>
      <c r="D790" s="315">
        <v>46005</v>
      </c>
      <c r="E790" s="175">
        <v>1</v>
      </c>
      <c r="F790" s="168" t="s">
        <v>440</v>
      </c>
      <c r="G790" s="165">
        <f>IFERROR(VLOOKUP(F790,'menu list'!B:C,2,FALSE)*E790,"0")</f>
        <v>150</v>
      </c>
      <c r="H790" s="334">
        <f t="shared" si="58"/>
        <v>22.5</v>
      </c>
      <c r="I790" s="165">
        <f t="shared" si="59"/>
        <v>172.5</v>
      </c>
    </row>
    <row r="791" spans="1:9" ht="12.75" hidden="1" x14ac:dyDescent="0.25">
      <c r="A791" s="167">
        <f t="shared" si="57"/>
        <v>790</v>
      </c>
      <c r="B791" s="168" t="s">
        <v>263</v>
      </c>
      <c r="C791" s="168" t="str">
        <f>VLOOKUP(B791,MEMBERS!B:C,2, )</f>
        <v>MR.CAREL HEDRIK BURGER</v>
      </c>
      <c r="D791" s="315">
        <v>46005</v>
      </c>
      <c r="E791" s="175">
        <v>8</v>
      </c>
      <c r="F791" s="168" t="s">
        <v>1017</v>
      </c>
      <c r="G791" s="165">
        <f>IFERROR(VLOOKUP(F791,'menu list'!B:C,2,FALSE)*E791,"0")</f>
        <v>14800</v>
      </c>
      <c r="H791" s="334">
        <f t="shared" si="58"/>
        <v>2220</v>
      </c>
      <c r="I791" s="165">
        <f t="shared" si="59"/>
        <v>17020</v>
      </c>
    </row>
    <row r="792" spans="1:9" ht="12.75" hidden="1" x14ac:dyDescent="0.25">
      <c r="A792" s="167">
        <f t="shared" si="57"/>
        <v>791</v>
      </c>
      <c r="B792" s="168" t="s">
        <v>263</v>
      </c>
      <c r="C792" s="168" t="str">
        <f>VLOOKUP(B792,MEMBERS!B:C,2, )</f>
        <v>MR.CAREL HEDRIK BURGER</v>
      </c>
      <c r="D792" s="315">
        <v>46005</v>
      </c>
      <c r="E792" s="175">
        <v>4</v>
      </c>
      <c r="F792" s="168" t="s">
        <v>582</v>
      </c>
      <c r="G792" s="165">
        <f>IFERROR(VLOOKUP(F792,'menu list'!B:C,2,FALSE)*E792,"0")</f>
        <v>1200</v>
      </c>
      <c r="H792" s="334">
        <f t="shared" si="58"/>
        <v>180</v>
      </c>
      <c r="I792" s="165">
        <f t="shared" si="59"/>
        <v>1380</v>
      </c>
    </row>
    <row r="793" spans="1:9" ht="12.75" hidden="1" x14ac:dyDescent="0.25">
      <c r="A793" s="167">
        <f t="shared" si="57"/>
        <v>792</v>
      </c>
      <c r="B793" s="168" t="s">
        <v>263</v>
      </c>
      <c r="C793" s="168" t="str">
        <f>VLOOKUP(B793,MEMBERS!B:C,2, )</f>
        <v>MR.CAREL HEDRIK BURGER</v>
      </c>
      <c r="D793" s="315">
        <v>46005</v>
      </c>
      <c r="E793" s="175">
        <v>1</v>
      </c>
      <c r="F793" s="168" t="s">
        <v>836</v>
      </c>
      <c r="G793" s="165">
        <f>IFERROR(VLOOKUP(F793,'menu list'!B:C,2,FALSE)*E793,"0")</f>
        <v>350</v>
      </c>
      <c r="H793" s="334">
        <f t="shared" si="58"/>
        <v>52.5</v>
      </c>
      <c r="I793" s="165">
        <f t="shared" si="59"/>
        <v>402.5</v>
      </c>
    </row>
    <row r="794" spans="1:9" ht="12.75" hidden="1" x14ac:dyDescent="0.25">
      <c r="A794" s="167">
        <f t="shared" si="57"/>
        <v>793</v>
      </c>
      <c r="B794" s="168" t="s">
        <v>263</v>
      </c>
      <c r="C794" s="168" t="str">
        <f>VLOOKUP(B794,MEMBERS!B:C,2, )</f>
        <v>MR.CAREL HEDRIK BURGER</v>
      </c>
      <c r="D794" s="315">
        <v>46005</v>
      </c>
      <c r="E794" s="175">
        <v>2</v>
      </c>
      <c r="F794" s="168" t="s">
        <v>440</v>
      </c>
      <c r="G794" s="165">
        <f>IFERROR(VLOOKUP(F794,'menu list'!B:C,2,FALSE)*E794,"0")</f>
        <v>300</v>
      </c>
      <c r="H794" s="334">
        <f t="shared" si="58"/>
        <v>45</v>
      </c>
      <c r="I794" s="165">
        <f t="shared" si="59"/>
        <v>345</v>
      </c>
    </row>
    <row r="795" spans="1:9" ht="12.75" hidden="1" x14ac:dyDescent="0.25">
      <c r="A795" s="167">
        <f t="shared" si="57"/>
        <v>794</v>
      </c>
      <c r="B795" s="168" t="s">
        <v>263</v>
      </c>
      <c r="C795" s="168" t="str">
        <f>VLOOKUP(B795,MEMBERS!B:C,2, )</f>
        <v>MR.CAREL HEDRIK BURGER</v>
      </c>
      <c r="D795" s="315">
        <v>46005</v>
      </c>
      <c r="E795" s="175">
        <v>5</v>
      </c>
      <c r="F795" s="168" t="s">
        <v>442</v>
      </c>
      <c r="G795" s="165">
        <f>IFERROR(VLOOKUP(F795,'menu list'!B:C,2,FALSE)*E795,"0")</f>
        <v>750</v>
      </c>
      <c r="H795" s="334">
        <f t="shared" si="58"/>
        <v>112.5</v>
      </c>
      <c r="I795" s="165">
        <f t="shared" si="59"/>
        <v>862.5</v>
      </c>
    </row>
    <row r="796" spans="1:9" ht="12.75" hidden="1" x14ac:dyDescent="0.25">
      <c r="A796" s="167">
        <f t="shared" si="57"/>
        <v>795</v>
      </c>
      <c r="B796" s="168" t="s">
        <v>315</v>
      </c>
      <c r="C796" s="168" t="str">
        <f>VLOOKUP(B796,MEMBERS!B:C,2, )</f>
        <v>DGM FATIMA ZAHID</v>
      </c>
      <c r="D796" s="315">
        <v>46005</v>
      </c>
      <c r="E796" s="175">
        <v>4</v>
      </c>
      <c r="F796" s="168" t="s">
        <v>1017</v>
      </c>
      <c r="G796" s="165">
        <f>IFERROR(VLOOKUP(F796,'menu list'!B:C,2,FALSE)*E796,"0")</f>
        <v>7400</v>
      </c>
      <c r="H796" s="334">
        <f t="shared" si="58"/>
        <v>1110</v>
      </c>
      <c r="I796" s="165">
        <f t="shared" si="59"/>
        <v>8510</v>
      </c>
    </row>
    <row r="797" spans="1:9" ht="12.75" hidden="1" x14ac:dyDescent="0.25">
      <c r="A797" s="167">
        <f t="shared" si="57"/>
        <v>796</v>
      </c>
      <c r="B797" s="168" t="s">
        <v>315</v>
      </c>
      <c r="C797" s="168" t="str">
        <f>VLOOKUP(B797,MEMBERS!B:C,2, )</f>
        <v>DGM FATIMA ZAHID</v>
      </c>
      <c r="D797" s="315">
        <v>46005</v>
      </c>
      <c r="E797" s="175">
        <v>2</v>
      </c>
      <c r="F797" s="168" t="s">
        <v>1018</v>
      </c>
      <c r="G797" s="165">
        <f>IFERROR(VLOOKUP(F797,'menu list'!B:C,2,FALSE)*E797,"0")</f>
        <v>1850</v>
      </c>
      <c r="H797" s="334">
        <f t="shared" si="58"/>
        <v>277.5</v>
      </c>
      <c r="I797" s="165">
        <f t="shared" si="59"/>
        <v>2127.5</v>
      </c>
    </row>
    <row r="798" spans="1:9" ht="12.75" hidden="1" x14ac:dyDescent="0.25">
      <c r="A798" s="167">
        <f t="shared" si="57"/>
        <v>797</v>
      </c>
      <c r="B798" s="168" t="s">
        <v>315</v>
      </c>
      <c r="C798" s="168" t="str">
        <f>VLOOKUP(B798,MEMBERS!B:C,2, )</f>
        <v>DGM FATIMA ZAHID</v>
      </c>
      <c r="D798" s="315">
        <v>46005</v>
      </c>
      <c r="E798" s="175">
        <v>3</v>
      </c>
      <c r="F798" s="168" t="s">
        <v>836</v>
      </c>
      <c r="G798" s="165">
        <f>IFERROR(VLOOKUP(F798,'menu list'!B:C,2,FALSE)*E798,"0")</f>
        <v>1050</v>
      </c>
      <c r="H798" s="334">
        <f t="shared" si="58"/>
        <v>157.5</v>
      </c>
      <c r="I798" s="165">
        <f t="shared" si="59"/>
        <v>1207.5</v>
      </c>
    </row>
    <row r="799" spans="1:9" ht="12.75" hidden="1" x14ac:dyDescent="0.25">
      <c r="A799" s="167">
        <f t="shared" si="57"/>
        <v>798</v>
      </c>
      <c r="B799" s="168" t="s">
        <v>315</v>
      </c>
      <c r="C799" s="168" t="str">
        <f>VLOOKUP(B799,MEMBERS!B:C,2, )</f>
        <v>DGM FATIMA ZAHID</v>
      </c>
      <c r="D799" s="315">
        <v>46005</v>
      </c>
      <c r="E799" s="175">
        <v>1</v>
      </c>
      <c r="F799" s="168" t="s">
        <v>440</v>
      </c>
      <c r="G799" s="165">
        <f>IFERROR(VLOOKUP(F799,'menu list'!B:C,2,FALSE)*E799,"0")</f>
        <v>150</v>
      </c>
      <c r="H799" s="334">
        <f t="shared" si="58"/>
        <v>22.5</v>
      </c>
      <c r="I799" s="165">
        <f t="shared" si="59"/>
        <v>172.5</v>
      </c>
    </row>
    <row r="800" spans="1:9" ht="12.75" hidden="1" x14ac:dyDescent="0.25">
      <c r="A800" s="167">
        <f t="shared" si="57"/>
        <v>799</v>
      </c>
      <c r="B800" s="168" t="s">
        <v>650</v>
      </c>
      <c r="C800" s="168" t="str">
        <f>VLOOKUP(B800,MEMBERS!B:C,2, )</f>
        <v>SHAHBAZ AHMED</v>
      </c>
      <c r="D800" s="315">
        <v>46005</v>
      </c>
      <c r="E800" s="175">
        <v>2</v>
      </c>
      <c r="F800" s="168" t="s">
        <v>1017</v>
      </c>
      <c r="G800" s="165">
        <f>IFERROR(VLOOKUP(F800,'menu list'!B:C,2,FALSE)*E800,"0")</f>
        <v>3700</v>
      </c>
      <c r="H800" s="334">
        <f t="shared" si="58"/>
        <v>555</v>
      </c>
      <c r="I800" s="165">
        <f t="shared" si="59"/>
        <v>4255</v>
      </c>
    </row>
    <row r="801" spans="1:9" ht="12.75" hidden="1" x14ac:dyDescent="0.25">
      <c r="A801" s="167">
        <f t="shared" si="57"/>
        <v>800</v>
      </c>
      <c r="B801" s="168" t="s">
        <v>650</v>
      </c>
      <c r="C801" s="168" t="str">
        <f>VLOOKUP(B801,MEMBERS!B:C,2, )</f>
        <v>SHAHBAZ AHMED</v>
      </c>
      <c r="D801" s="315">
        <v>46005</v>
      </c>
      <c r="E801" s="175">
        <v>1</v>
      </c>
      <c r="F801" s="168" t="s">
        <v>440</v>
      </c>
      <c r="G801" s="165">
        <f>IFERROR(VLOOKUP(F801,'menu list'!B:C,2,FALSE)*E801,"0")</f>
        <v>150</v>
      </c>
      <c r="H801" s="334">
        <f t="shared" si="58"/>
        <v>22.5</v>
      </c>
      <c r="I801" s="165">
        <f t="shared" si="59"/>
        <v>172.5</v>
      </c>
    </row>
    <row r="802" spans="1:9" ht="12.75" hidden="1" x14ac:dyDescent="0.25">
      <c r="A802" s="167">
        <f t="shared" si="57"/>
        <v>801</v>
      </c>
      <c r="B802" s="168" t="s">
        <v>235</v>
      </c>
      <c r="C802" s="168" t="str">
        <f>VLOOKUP(B802,MEMBERS!B:C,2, )</f>
        <v>MR.IMRAN WAZEER</v>
      </c>
      <c r="D802" s="315">
        <v>46005</v>
      </c>
      <c r="E802" s="175">
        <v>3</v>
      </c>
      <c r="F802" s="168" t="s">
        <v>641</v>
      </c>
      <c r="G802" s="165">
        <f>IFERROR(VLOOKUP(F802,'menu list'!B:C,2,FALSE)*E802,"0")</f>
        <v>4650</v>
      </c>
      <c r="H802" s="334">
        <f t="shared" si="58"/>
        <v>697.5</v>
      </c>
      <c r="I802" s="165">
        <f t="shared" si="59"/>
        <v>5347.5</v>
      </c>
    </row>
    <row r="803" spans="1:9" ht="12.75" hidden="1" x14ac:dyDescent="0.25">
      <c r="A803" s="167">
        <f t="shared" si="57"/>
        <v>802</v>
      </c>
      <c r="B803" s="168" t="s">
        <v>235</v>
      </c>
      <c r="C803" s="168" t="str">
        <f>VLOOKUP(B803,MEMBERS!B:C,2, )</f>
        <v>MR.IMRAN WAZEER</v>
      </c>
      <c r="D803" s="315">
        <v>46005</v>
      </c>
      <c r="E803" s="175">
        <v>1</v>
      </c>
      <c r="F803" s="168" t="s">
        <v>440</v>
      </c>
      <c r="G803" s="165">
        <f>IFERROR(VLOOKUP(F803,'menu list'!B:C,2,FALSE)*E803,"0")</f>
        <v>150</v>
      </c>
      <c r="H803" s="334">
        <f t="shared" si="58"/>
        <v>22.5</v>
      </c>
      <c r="I803" s="165">
        <f t="shared" si="59"/>
        <v>172.5</v>
      </c>
    </row>
    <row r="804" spans="1:9" ht="12.75" hidden="1" x14ac:dyDescent="0.25">
      <c r="A804" s="167">
        <f t="shared" si="57"/>
        <v>803</v>
      </c>
      <c r="B804" s="168" t="s">
        <v>235</v>
      </c>
      <c r="C804" s="168" t="str">
        <f>VLOOKUP(B804,MEMBERS!B:C,2, )</f>
        <v>MR.IMRAN WAZEER</v>
      </c>
      <c r="D804" s="315">
        <v>46005</v>
      </c>
      <c r="E804" s="175">
        <v>2</v>
      </c>
      <c r="F804" s="168" t="s">
        <v>582</v>
      </c>
      <c r="G804" s="165">
        <f>IFERROR(VLOOKUP(F804,'menu list'!B:C,2,FALSE)*E804,"0")</f>
        <v>600</v>
      </c>
      <c r="H804" s="334">
        <f t="shared" si="58"/>
        <v>90</v>
      </c>
      <c r="I804" s="165">
        <f t="shared" si="59"/>
        <v>690</v>
      </c>
    </row>
    <row r="805" spans="1:9" ht="12.75" hidden="1" x14ac:dyDescent="0.25">
      <c r="A805" s="167">
        <f t="shared" si="57"/>
        <v>804</v>
      </c>
      <c r="B805" s="168" t="s">
        <v>1004</v>
      </c>
      <c r="C805" s="168" t="str">
        <f>VLOOKUP(B805,MEMBERS!B:C,2, )</f>
        <v>MRS RIFFAT ZULFIQAR</v>
      </c>
      <c r="D805" s="315">
        <v>46005</v>
      </c>
      <c r="E805" s="175">
        <v>11</v>
      </c>
      <c r="F805" s="168" t="s">
        <v>641</v>
      </c>
      <c r="G805" s="165">
        <f>IFERROR(VLOOKUP(F805,'menu list'!B:C,2,FALSE)*E805,"0")</f>
        <v>17050</v>
      </c>
      <c r="H805" s="334">
        <f t="shared" si="58"/>
        <v>2557.5</v>
      </c>
      <c r="I805" s="165">
        <f t="shared" si="59"/>
        <v>19607.5</v>
      </c>
    </row>
    <row r="806" spans="1:9" ht="12.75" hidden="1" x14ac:dyDescent="0.25">
      <c r="A806" s="167">
        <f t="shared" si="57"/>
        <v>805</v>
      </c>
      <c r="B806" s="168" t="s">
        <v>1004</v>
      </c>
      <c r="C806" s="168" t="str">
        <f>VLOOKUP(B806,MEMBERS!B:C,2, )</f>
        <v>MRS RIFFAT ZULFIQAR</v>
      </c>
      <c r="D806" s="315">
        <v>46005</v>
      </c>
      <c r="E806" s="175">
        <v>2</v>
      </c>
      <c r="F806" s="168" t="s">
        <v>659</v>
      </c>
      <c r="G806" s="165">
        <f>IFERROR(VLOOKUP(F806,'menu list'!B:C,2,FALSE)*E806,"0")</f>
        <v>1550</v>
      </c>
      <c r="H806" s="334">
        <f t="shared" si="58"/>
        <v>232.5</v>
      </c>
      <c r="I806" s="165">
        <f t="shared" si="59"/>
        <v>1782.5</v>
      </c>
    </row>
    <row r="807" spans="1:9" ht="12.75" hidden="1" x14ac:dyDescent="0.25">
      <c r="A807" s="167">
        <f t="shared" si="57"/>
        <v>806</v>
      </c>
      <c r="B807" s="168" t="s">
        <v>1004</v>
      </c>
      <c r="C807" s="168" t="str">
        <f>VLOOKUP(B807,MEMBERS!B:C,2, )</f>
        <v>MRS RIFFAT ZULFIQAR</v>
      </c>
      <c r="D807" s="315">
        <v>46005</v>
      </c>
      <c r="E807" s="175">
        <v>2</v>
      </c>
      <c r="F807" s="168" t="s">
        <v>836</v>
      </c>
      <c r="G807" s="165">
        <f>IFERROR(VLOOKUP(F807,'menu list'!B:C,2,FALSE)*E807,"0")</f>
        <v>700</v>
      </c>
      <c r="H807" s="334">
        <f t="shared" si="58"/>
        <v>105</v>
      </c>
      <c r="I807" s="165">
        <f t="shared" si="59"/>
        <v>805</v>
      </c>
    </row>
    <row r="808" spans="1:9" ht="12.75" hidden="1" x14ac:dyDescent="0.25">
      <c r="A808" s="167">
        <f t="shared" si="57"/>
        <v>807</v>
      </c>
      <c r="B808" s="168" t="s">
        <v>1004</v>
      </c>
      <c r="C808" s="168" t="str">
        <f>VLOOKUP(B808,MEMBERS!B:C,2, )</f>
        <v>MRS RIFFAT ZULFIQAR</v>
      </c>
      <c r="D808" s="315">
        <v>46005</v>
      </c>
      <c r="E808" s="175">
        <v>3</v>
      </c>
      <c r="F808" s="168" t="s">
        <v>440</v>
      </c>
      <c r="G808" s="165">
        <f>IFERROR(VLOOKUP(F808,'menu list'!B:C,2,FALSE)*E808,"0")</f>
        <v>450</v>
      </c>
      <c r="H808" s="334">
        <f t="shared" si="58"/>
        <v>67.5</v>
      </c>
      <c r="I808" s="165">
        <f t="shared" si="59"/>
        <v>517.5</v>
      </c>
    </row>
    <row r="809" spans="1:9" ht="12.75" hidden="1" x14ac:dyDescent="0.25">
      <c r="A809" s="167">
        <f t="shared" si="57"/>
        <v>808</v>
      </c>
      <c r="B809" s="168" t="s">
        <v>1004</v>
      </c>
      <c r="C809" s="168" t="str">
        <f>VLOOKUP(B809,MEMBERS!B:C,2, )</f>
        <v>MRS RIFFAT ZULFIQAR</v>
      </c>
      <c r="D809" s="315">
        <v>46005</v>
      </c>
      <c r="E809" s="175">
        <v>2</v>
      </c>
      <c r="F809" s="168" t="s">
        <v>582</v>
      </c>
      <c r="G809" s="165">
        <f>IFERROR(VLOOKUP(F809,'menu list'!B:C,2,FALSE)*E809,"0")</f>
        <v>600</v>
      </c>
      <c r="H809" s="334">
        <f t="shared" si="58"/>
        <v>90</v>
      </c>
      <c r="I809" s="165">
        <f t="shared" si="59"/>
        <v>690</v>
      </c>
    </row>
    <row r="810" spans="1:9" ht="12.75" hidden="1" x14ac:dyDescent="0.25">
      <c r="A810" s="167">
        <f t="shared" si="57"/>
        <v>809</v>
      </c>
      <c r="B810" s="168" t="s">
        <v>1004</v>
      </c>
      <c r="C810" s="168" t="str">
        <f>VLOOKUP(B810,MEMBERS!B:C,2, )</f>
        <v>MRS RIFFAT ZULFIQAR</v>
      </c>
      <c r="D810" s="315">
        <v>46005</v>
      </c>
      <c r="E810" s="175">
        <v>4</v>
      </c>
      <c r="F810" s="168" t="s">
        <v>442</v>
      </c>
      <c r="G810" s="165">
        <f>IFERROR(VLOOKUP(F810,'menu list'!B:C,2,FALSE)*E810,"0")</f>
        <v>600</v>
      </c>
      <c r="H810" s="334">
        <f t="shared" si="58"/>
        <v>90</v>
      </c>
      <c r="I810" s="165">
        <f t="shared" si="59"/>
        <v>690</v>
      </c>
    </row>
    <row r="811" spans="1:9" ht="12.75" hidden="1" x14ac:dyDescent="0.25">
      <c r="A811" s="167">
        <f t="shared" si="57"/>
        <v>810</v>
      </c>
      <c r="B811" s="168" t="s">
        <v>287</v>
      </c>
      <c r="C811" s="168" t="str">
        <f>VLOOKUP(B811,MEMBERS!B:C,2, )</f>
        <v>DGM.REHAN TARIQ</v>
      </c>
      <c r="D811" s="315">
        <v>46005</v>
      </c>
      <c r="E811" s="175">
        <v>2</v>
      </c>
      <c r="F811" s="168" t="s">
        <v>641</v>
      </c>
      <c r="G811" s="165">
        <f>IFERROR(VLOOKUP(F811,'menu list'!B:C,2,FALSE)*E811,"0")</f>
        <v>3100</v>
      </c>
      <c r="H811" s="334">
        <f t="shared" si="58"/>
        <v>465</v>
      </c>
      <c r="I811" s="165">
        <f t="shared" si="59"/>
        <v>3565</v>
      </c>
    </row>
    <row r="812" spans="1:9" ht="12.75" hidden="1" x14ac:dyDescent="0.25">
      <c r="A812" s="167">
        <f t="shared" si="57"/>
        <v>811</v>
      </c>
      <c r="B812" s="168" t="s">
        <v>287</v>
      </c>
      <c r="C812" s="168" t="str">
        <f>VLOOKUP(B812,MEMBERS!B:C,2, )</f>
        <v>DGM.REHAN TARIQ</v>
      </c>
      <c r="D812" s="315">
        <v>46005</v>
      </c>
      <c r="E812" s="175">
        <v>1</v>
      </c>
      <c r="F812" s="168" t="s">
        <v>440</v>
      </c>
      <c r="G812" s="165">
        <f>IFERROR(VLOOKUP(F812,'menu list'!B:C,2,FALSE)*E812,"0")</f>
        <v>150</v>
      </c>
      <c r="H812" s="334">
        <f t="shared" si="58"/>
        <v>22.5</v>
      </c>
      <c r="I812" s="165">
        <f t="shared" si="59"/>
        <v>172.5</v>
      </c>
    </row>
    <row r="813" spans="1:9" ht="12.75" hidden="1" x14ac:dyDescent="0.25">
      <c r="A813" s="167">
        <f t="shared" si="57"/>
        <v>812</v>
      </c>
      <c r="B813" s="168" t="s">
        <v>263</v>
      </c>
      <c r="C813" s="168" t="str">
        <f>VLOOKUP(B813,MEMBERS!B:C,2, )</f>
        <v>MR.CAREL HEDRIK BURGER</v>
      </c>
      <c r="D813" s="315">
        <v>46006</v>
      </c>
      <c r="E813" s="175">
        <v>2</v>
      </c>
      <c r="F813" s="168" t="s">
        <v>802</v>
      </c>
      <c r="G813" s="165">
        <f>IFERROR(VLOOKUP(F813,'menu list'!B:C,2,FALSE)*E813,"0")</f>
        <v>1000</v>
      </c>
      <c r="H813" s="334">
        <f t="shared" si="58"/>
        <v>150</v>
      </c>
      <c r="I813" s="165">
        <f t="shared" si="59"/>
        <v>1150</v>
      </c>
    </row>
    <row r="814" spans="1:9" ht="12.75" hidden="1" x14ac:dyDescent="0.25">
      <c r="A814" s="167">
        <f t="shared" ref="A814:A815" si="60">IF(D814&lt;&gt;"", ROW()-1, "")</f>
        <v>813</v>
      </c>
      <c r="B814" s="168" t="s">
        <v>263</v>
      </c>
      <c r="C814" s="168" t="str">
        <f>VLOOKUP(B814,MEMBERS!B:C,2, )</f>
        <v>MR.CAREL HEDRIK BURGER</v>
      </c>
      <c r="D814" s="315">
        <v>46006</v>
      </c>
      <c r="E814" s="175">
        <v>3</v>
      </c>
      <c r="F814" s="168" t="s">
        <v>442</v>
      </c>
      <c r="G814" s="165">
        <f>IFERROR(VLOOKUP(F814,'menu list'!B:C,2,FALSE)*E814,"0")</f>
        <v>450</v>
      </c>
      <c r="H814" s="334">
        <f t="shared" si="58"/>
        <v>67.5</v>
      </c>
      <c r="I814" s="165">
        <f t="shared" si="59"/>
        <v>517.5</v>
      </c>
    </row>
    <row r="815" spans="1:9" ht="12.75" hidden="1" x14ac:dyDescent="0.25">
      <c r="A815" s="167">
        <f t="shared" si="60"/>
        <v>814</v>
      </c>
      <c r="B815" s="168" t="s">
        <v>164</v>
      </c>
      <c r="C815" s="168" t="str">
        <f>VLOOKUP(B815,MEMBERS!B:C,2, )</f>
        <v>MR.ASHOK KUMAR</v>
      </c>
      <c r="D815" s="315">
        <v>46006</v>
      </c>
      <c r="E815" s="175">
        <v>1</v>
      </c>
      <c r="F815" s="168" t="s">
        <v>440</v>
      </c>
      <c r="G815" s="165">
        <f>IFERROR(VLOOKUP(F815,'menu list'!B:C,2,FALSE)*E815,"0")</f>
        <v>150</v>
      </c>
      <c r="H815" s="334">
        <f t="shared" si="58"/>
        <v>22.5</v>
      </c>
      <c r="I815" s="165">
        <f t="shared" si="59"/>
        <v>172.5</v>
      </c>
    </row>
    <row r="816" spans="1:9" ht="12.75" hidden="1" x14ac:dyDescent="0.25">
      <c r="A816" s="167">
        <f t="shared" ref="A816:A824" si="61">IF(D816&lt;&gt;"", ROW()-1, "")</f>
        <v>815</v>
      </c>
      <c r="B816" s="168" t="s">
        <v>164</v>
      </c>
      <c r="C816" s="168" t="str">
        <f>VLOOKUP(B816,MEMBERS!B:C,2, )</f>
        <v>MR.ASHOK KUMAR</v>
      </c>
      <c r="D816" s="315">
        <v>46006</v>
      </c>
      <c r="E816" s="175">
        <v>3</v>
      </c>
      <c r="F816" s="168" t="s">
        <v>643</v>
      </c>
      <c r="G816" s="165">
        <f>IFERROR(VLOOKUP(F816,'menu list'!B:C,2,FALSE)*E816,"0")</f>
        <v>900</v>
      </c>
      <c r="H816" s="334">
        <f t="shared" si="58"/>
        <v>135</v>
      </c>
      <c r="I816" s="165">
        <f t="shared" si="59"/>
        <v>1035</v>
      </c>
    </row>
    <row r="817" spans="1:9" ht="12.75" hidden="1" x14ac:dyDescent="0.25">
      <c r="A817" s="167">
        <f t="shared" si="61"/>
        <v>816</v>
      </c>
      <c r="B817" s="168" t="s">
        <v>306</v>
      </c>
      <c r="C817" s="168" t="str">
        <f>VLOOKUP(B817,MEMBERS!B:C,2, )</f>
        <v>BRIG.KHALID MEHMOOD</v>
      </c>
      <c r="D817" s="315">
        <v>46006</v>
      </c>
      <c r="E817" s="175">
        <v>1</v>
      </c>
      <c r="F817" s="168" t="s">
        <v>508</v>
      </c>
      <c r="G817" s="165">
        <v>1600</v>
      </c>
      <c r="H817" s="334">
        <f t="shared" si="58"/>
        <v>240</v>
      </c>
      <c r="I817" s="165">
        <f t="shared" si="59"/>
        <v>1840</v>
      </c>
    </row>
    <row r="818" spans="1:9" ht="12.75" hidden="1" x14ac:dyDescent="0.25">
      <c r="A818" s="167">
        <f t="shared" si="61"/>
        <v>817</v>
      </c>
      <c r="B818" s="168" t="s">
        <v>948</v>
      </c>
      <c r="C818" s="168" t="str">
        <f>VLOOKUP(B818,MEMBERS!B:C,2, )</f>
        <v>MR. TEHSEEN FAIZ</v>
      </c>
      <c r="D818" s="315">
        <v>46006</v>
      </c>
      <c r="E818" s="175">
        <v>1</v>
      </c>
      <c r="F818" s="168" t="s">
        <v>500</v>
      </c>
      <c r="G818" s="165">
        <f>IFERROR(VLOOKUP(F818,'menu list'!B:C,2,FALSE)*E818,"0")</f>
        <v>1250</v>
      </c>
      <c r="H818" s="334">
        <f t="shared" si="58"/>
        <v>187.5</v>
      </c>
      <c r="I818" s="165">
        <f t="shared" si="59"/>
        <v>1437.5</v>
      </c>
    </row>
    <row r="819" spans="1:9" ht="12.75" hidden="1" x14ac:dyDescent="0.25">
      <c r="A819" s="167">
        <f t="shared" si="61"/>
        <v>818</v>
      </c>
      <c r="B819" s="168" t="s">
        <v>948</v>
      </c>
      <c r="C819" s="168" t="str">
        <f>VLOOKUP(B819,MEMBERS!B:C,2, )</f>
        <v>MR. TEHSEEN FAIZ</v>
      </c>
      <c r="D819" s="315">
        <v>46006</v>
      </c>
      <c r="E819" s="175">
        <v>2</v>
      </c>
      <c r="F819" s="168" t="s">
        <v>805</v>
      </c>
      <c r="G819" s="165">
        <f>IFERROR(VLOOKUP(F819,'menu list'!B:C,2,FALSE)*E819,"0")</f>
        <v>1080</v>
      </c>
      <c r="H819" s="334">
        <f t="shared" si="58"/>
        <v>162</v>
      </c>
      <c r="I819" s="165">
        <f t="shared" si="59"/>
        <v>1242</v>
      </c>
    </row>
    <row r="820" spans="1:9" ht="12.75" hidden="1" x14ac:dyDescent="0.25">
      <c r="A820" s="167">
        <f t="shared" si="61"/>
        <v>819</v>
      </c>
      <c r="B820" s="168" t="s">
        <v>948</v>
      </c>
      <c r="C820" s="168" t="str">
        <f>VLOOKUP(B820,MEMBERS!B:C,2, )</f>
        <v>MR. TEHSEEN FAIZ</v>
      </c>
      <c r="D820" s="315">
        <v>46006</v>
      </c>
      <c r="E820" s="175">
        <v>1</v>
      </c>
      <c r="F820" s="168" t="s">
        <v>440</v>
      </c>
      <c r="G820" s="165">
        <f>IFERROR(VLOOKUP(F820,'menu list'!B:C,2,FALSE)*E820,"0")</f>
        <v>150</v>
      </c>
      <c r="H820" s="334">
        <f t="shared" si="58"/>
        <v>22.5</v>
      </c>
      <c r="I820" s="165">
        <f t="shared" si="59"/>
        <v>172.5</v>
      </c>
    </row>
    <row r="821" spans="1:9" ht="12.75" hidden="1" x14ac:dyDescent="0.25">
      <c r="A821" s="167">
        <f t="shared" si="61"/>
        <v>820</v>
      </c>
      <c r="B821" s="168" t="s">
        <v>948</v>
      </c>
      <c r="C821" s="168" t="str">
        <f>VLOOKUP(B821,MEMBERS!B:C,2, )</f>
        <v>MR. TEHSEEN FAIZ</v>
      </c>
      <c r="D821" s="315">
        <v>46006</v>
      </c>
      <c r="E821" s="175">
        <v>1</v>
      </c>
      <c r="F821" s="168" t="s">
        <v>634</v>
      </c>
      <c r="G821" s="165">
        <f>IFERROR(VLOOKUP(F821,'menu list'!B:C,2,FALSE)*E821,"0")</f>
        <v>500</v>
      </c>
      <c r="H821" s="334">
        <f t="shared" si="58"/>
        <v>75</v>
      </c>
      <c r="I821" s="165">
        <f t="shared" si="59"/>
        <v>575</v>
      </c>
    </row>
    <row r="822" spans="1:9" ht="12.75" hidden="1" x14ac:dyDescent="0.25">
      <c r="A822" s="167">
        <f t="shared" si="61"/>
        <v>821</v>
      </c>
      <c r="B822" s="168" t="s">
        <v>948</v>
      </c>
      <c r="C822" s="168" t="str">
        <f>VLOOKUP(B822,MEMBERS!B:C,2, )</f>
        <v>MR. TEHSEEN FAIZ</v>
      </c>
      <c r="D822" s="315">
        <v>46006</v>
      </c>
      <c r="E822" s="175">
        <v>2</v>
      </c>
      <c r="F822" s="168" t="s">
        <v>442</v>
      </c>
      <c r="G822" s="165">
        <f>IFERROR(VLOOKUP(F822,'menu list'!B:C,2,FALSE)*E822,"0")</f>
        <v>300</v>
      </c>
      <c r="H822" s="334">
        <f t="shared" si="58"/>
        <v>45</v>
      </c>
      <c r="I822" s="165">
        <f t="shared" si="59"/>
        <v>345</v>
      </c>
    </row>
    <row r="823" spans="1:9" ht="12.75" hidden="1" x14ac:dyDescent="0.25">
      <c r="A823" s="167">
        <f t="shared" si="61"/>
        <v>822</v>
      </c>
      <c r="B823" s="168" t="s">
        <v>235</v>
      </c>
      <c r="C823" s="168" t="str">
        <f>VLOOKUP(B823,MEMBERS!B:C,2, )</f>
        <v>MR.IMRAN WAZEER</v>
      </c>
      <c r="D823" s="315">
        <v>46007</v>
      </c>
      <c r="E823" s="175">
        <v>1</v>
      </c>
      <c r="F823" s="168" t="s">
        <v>440</v>
      </c>
      <c r="G823" s="165">
        <f>IFERROR(VLOOKUP(F823,'menu list'!B:C,2,FALSE)*E823,"0")</f>
        <v>150</v>
      </c>
      <c r="H823" s="334">
        <f t="shared" si="58"/>
        <v>22.5</v>
      </c>
      <c r="I823" s="165">
        <f t="shared" si="59"/>
        <v>172.5</v>
      </c>
    </row>
    <row r="824" spans="1:9" ht="12.75" hidden="1" x14ac:dyDescent="0.25">
      <c r="A824" s="167">
        <f t="shared" si="61"/>
        <v>823</v>
      </c>
      <c r="B824" s="168" t="s">
        <v>235</v>
      </c>
      <c r="C824" s="168" t="str">
        <f>VLOOKUP(B824,MEMBERS!B:C,2, )</f>
        <v>MR.IMRAN WAZEER</v>
      </c>
      <c r="D824" s="315">
        <v>46007</v>
      </c>
      <c r="E824" s="175">
        <v>1</v>
      </c>
      <c r="F824" s="168" t="s">
        <v>861</v>
      </c>
      <c r="G824" s="165">
        <f>IFERROR(VLOOKUP(F824,'menu list'!B:C,2,FALSE)*E824,"0")</f>
        <v>800</v>
      </c>
      <c r="H824" s="334">
        <f t="shared" si="58"/>
        <v>120</v>
      </c>
      <c r="I824" s="165">
        <f t="shared" si="59"/>
        <v>920</v>
      </c>
    </row>
    <row r="825" spans="1:9" ht="12.75" hidden="1" x14ac:dyDescent="0.25">
      <c r="A825" s="167">
        <f t="shared" ref="A825:A850" si="62">IF(D825&lt;&gt;"", ROW()-1, "")</f>
        <v>824</v>
      </c>
      <c r="B825" s="168" t="s">
        <v>235</v>
      </c>
      <c r="C825" s="168" t="str">
        <f>VLOOKUP(B825,MEMBERS!B:C,2, )</f>
        <v>MR.IMRAN WAZEER</v>
      </c>
      <c r="D825" s="315">
        <v>46007</v>
      </c>
      <c r="E825" s="175">
        <v>1</v>
      </c>
      <c r="F825" s="168" t="s">
        <v>901</v>
      </c>
      <c r="G825" s="165">
        <f>IFERROR(VLOOKUP(F825,'menu list'!B:C,2,FALSE)*E825,"0")</f>
        <v>800</v>
      </c>
      <c r="H825" s="334">
        <f t="shared" si="58"/>
        <v>120</v>
      </c>
      <c r="I825" s="165">
        <f t="shared" si="59"/>
        <v>920</v>
      </c>
    </row>
    <row r="826" spans="1:9" ht="12.75" hidden="1" x14ac:dyDescent="0.25">
      <c r="A826" s="167">
        <f t="shared" si="62"/>
        <v>825</v>
      </c>
      <c r="B826" s="168" t="s">
        <v>235</v>
      </c>
      <c r="C826" s="168" t="str">
        <f>VLOOKUP(B826,MEMBERS!B:C,2, )</f>
        <v>MR.IMRAN WAZEER</v>
      </c>
      <c r="D826" s="315">
        <v>46007</v>
      </c>
      <c r="E826" s="175">
        <v>1</v>
      </c>
      <c r="F826" s="168" t="s">
        <v>910</v>
      </c>
      <c r="G826" s="165">
        <f>IFERROR(VLOOKUP(F826,'menu list'!B:C,2,FALSE)*E826,"0")</f>
        <v>300</v>
      </c>
      <c r="H826" s="334">
        <f t="shared" si="58"/>
        <v>45</v>
      </c>
      <c r="I826" s="165">
        <f t="shared" si="59"/>
        <v>345</v>
      </c>
    </row>
    <row r="827" spans="1:9" ht="12.75" hidden="1" x14ac:dyDescent="0.25">
      <c r="A827" s="167">
        <f t="shared" si="62"/>
        <v>826</v>
      </c>
      <c r="B827" s="168" t="s">
        <v>235</v>
      </c>
      <c r="C827" s="168" t="str">
        <f>VLOOKUP(B827,MEMBERS!B:C,2, )</f>
        <v>MR.IMRAN WAZEER</v>
      </c>
      <c r="D827" s="315">
        <v>46007</v>
      </c>
      <c r="E827" s="175">
        <v>1</v>
      </c>
      <c r="F827" s="168" t="s">
        <v>786</v>
      </c>
      <c r="G827" s="165">
        <f>IFERROR(VLOOKUP(F827,'menu list'!B:C,2,FALSE)*E827,"0")</f>
        <v>1150</v>
      </c>
      <c r="H827" s="334">
        <f t="shared" si="58"/>
        <v>172.5</v>
      </c>
      <c r="I827" s="165">
        <f t="shared" si="59"/>
        <v>1322.5</v>
      </c>
    </row>
    <row r="828" spans="1:9" ht="12.75" hidden="1" x14ac:dyDescent="0.25">
      <c r="A828" s="167">
        <f t="shared" si="62"/>
        <v>827</v>
      </c>
      <c r="B828" s="168" t="s">
        <v>235</v>
      </c>
      <c r="C828" s="168" t="str">
        <f>VLOOKUP(B828,MEMBERS!B:C,2, )</f>
        <v>MR.IMRAN WAZEER</v>
      </c>
      <c r="D828" s="315">
        <v>46007</v>
      </c>
      <c r="E828" s="175">
        <v>1</v>
      </c>
      <c r="F828" s="168" t="s">
        <v>939</v>
      </c>
      <c r="G828" s="165">
        <f>IFERROR(VLOOKUP(F828,'menu list'!B:C,2,FALSE)*E828,"0")</f>
        <v>1200</v>
      </c>
      <c r="H828" s="334">
        <f t="shared" si="58"/>
        <v>180</v>
      </c>
      <c r="I828" s="165">
        <f t="shared" si="59"/>
        <v>1380</v>
      </c>
    </row>
    <row r="829" spans="1:9" ht="12.75" hidden="1" x14ac:dyDescent="0.25">
      <c r="A829" s="167">
        <f t="shared" si="62"/>
        <v>828</v>
      </c>
      <c r="B829" s="168" t="s">
        <v>235</v>
      </c>
      <c r="C829" s="168" t="str">
        <f>VLOOKUP(B829,MEMBERS!B:C,2, )</f>
        <v>MR.IMRAN WAZEER</v>
      </c>
      <c r="D829" s="315">
        <v>46007</v>
      </c>
      <c r="E829" s="175">
        <v>1</v>
      </c>
      <c r="F829" s="168" t="s">
        <v>915</v>
      </c>
      <c r="G829" s="165">
        <f>IFERROR(VLOOKUP(F829,'menu list'!B:C,2,FALSE)*E829,"0")</f>
        <v>999</v>
      </c>
      <c r="H829" s="334">
        <f t="shared" si="58"/>
        <v>149.85</v>
      </c>
      <c r="I829" s="165">
        <f t="shared" si="59"/>
        <v>1148.8499999999999</v>
      </c>
    </row>
    <row r="830" spans="1:9" ht="12.75" hidden="1" x14ac:dyDescent="0.25">
      <c r="A830" s="167">
        <f t="shared" si="62"/>
        <v>829</v>
      </c>
      <c r="B830" s="168" t="s">
        <v>235</v>
      </c>
      <c r="C830" s="168" t="str">
        <f>VLOOKUP(B830,MEMBERS!B:C,2, )</f>
        <v>MR.IMRAN WAZEER</v>
      </c>
      <c r="D830" s="315">
        <v>46007</v>
      </c>
      <c r="E830" s="175">
        <v>3</v>
      </c>
      <c r="F830" s="168" t="s">
        <v>439</v>
      </c>
      <c r="G830" s="165">
        <f>IFERROR(VLOOKUP(F830,'menu list'!B:C,2,FALSE)*E830,"0")</f>
        <v>210</v>
      </c>
      <c r="H830" s="334">
        <f t="shared" si="58"/>
        <v>31.5</v>
      </c>
      <c r="I830" s="165">
        <f t="shared" si="59"/>
        <v>241.5</v>
      </c>
    </row>
    <row r="831" spans="1:9" ht="12.75" hidden="1" x14ac:dyDescent="0.25">
      <c r="A831" s="167">
        <f t="shared" si="62"/>
        <v>830</v>
      </c>
      <c r="B831" s="168" t="s">
        <v>235</v>
      </c>
      <c r="C831" s="168" t="str">
        <f>VLOOKUP(B831,MEMBERS!B:C,2, )</f>
        <v>MR.IMRAN WAZEER</v>
      </c>
      <c r="D831" s="315">
        <v>46007</v>
      </c>
      <c r="E831" s="175">
        <v>3</v>
      </c>
      <c r="F831" s="168" t="s">
        <v>443</v>
      </c>
      <c r="G831" s="165">
        <f>IFERROR(VLOOKUP(F831,'menu list'!B:C,2,FALSE)*E831,"0")</f>
        <v>450</v>
      </c>
      <c r="H831" s="334">
        <f t="shared" si="58"/>
        <v>67.5</v>
      </c>
      <c r="I831" s="165">
        <f t="shared" si="59"/>
        <v>517.5</v>
      </c>
    </row>
    <row r="832" spans="1:9" ht="12.75" hidden="1" x14ac:dyDescent="0.25">
      <c r="A832" s="167">
        <f t="shared" si="62"/>
        <v>831</v>
      </c>
      <c r="B832" s="168" t="s">
        <v>235</v>
      </c>
      <c r="C832" s="168" t="str">
        <f>VLOOKUP(B832,MEMBERS!B:C,2, )</f>
        <v>MR.IMRAN WAZEER</v>
      </c>
      <c r="D832" s="315">
        <v>46007</v>
      </c>
      <c r="E832" s="175">
        <v>1</v>
      </c>
      <c r="F832" s="168" t="s">
        <v>770</v>
      </c>
      <c r="G832" s="165">
        <f>IFERROR(VLOOKUP(F832,'menu list'!B:C,2,FALSE)*E832,"0")</f>
        <v>1000</v>
      </c>
      <c r="H832" s="334">
        <f t="shared" si="58"/>
        <v>150</v>
      </c>
      <c r="I832" s="165">
        <f t="shared" si="59"/>
        <v>1150</v>
      </c>
    </row>
    <row r="833" spans="1:9" ht="12.75" hidden="1" x14ac:dyDescent="0.25">
      <c r="A833" s="167">
        <f t="shared" si="62"/>
        <v>832</v>
      </c>
      <c r="B833" s="168" t="s">
        <v>235</v>
      </c>
      <c r="C833" s="168" t="str">
        <f>VLOOKUP(B833,MEMBERS!B:C,2, )</f>
        <v>MR.IMRAN WAZEER</v>
      </c>
      <c r="D833" s="315">
        <v>46007</v>
      </c>
      <c r="E833" s="175">
        <v>1</v>
      </c>
      <c r="F833" s="168" t="s">
        <v>498</v>
      </c>
      <c r="G833" s="165">
        <f>IFERROR(VLOOKUP(F833,'menu list'!B:C,2,FALSE)*E833,"0")</f>
        <v>200</v>
      </c>
      <c r="H833" s="334">
        <f t="shared" si="58"/>
        <v>30</v>
      </c>
      <c r="I833" s="165">
        <f t="shared" si="59"/>
        <v>230</v>
      </c>
    </row>
    <row r="834" spans="1:9" ht="12.75" hidden="1" x14ac:dyDescent="0.25">
      <c r="A834" s="167">
        <f t="shared" si="62"/>
        <v>833</v>
      </c>
      <c r="B834" s="168" t="s">
        <v>235</v>
      </c>
      <c r="C834" s="168" t="str">
        <f>VLOOKUP(B834,MEMBERS!B:C,2, )</f>
        <v>MR.IMRAN WAZEER</v>
      </c>
      <c r="D834" s="315">
        <v>46007</v>
      </c>
      <c r="E834" s="175">
        <v>1</v>
      </c>
      <c r="F834" s="168" t="s">
        <v>836</v>
      </c>
      <c r="G834" s="165">
        <f>IFERROR(VLOOKUP(F834,'menu list'!B:C,2,FALSE)*E834,"0")</f>
        <v>350</v>
      </c>
      <c r="H834" s="334">
        <f t="shared" si="58"/>
        <v>52.5</v>
      </c>
      <c r="I834" s="165">
        <f t="shared" si="59"/>
        <v>402.5</v>
      </c>
    </row>
    <row r="835" spans="1:9" ht="12.75" hidden="1" x14ac:dyDescent="0.25">
      <c r="A835" s="167">
        <f t="shared" si="62"/>
        <v>834</v>
      </c>
      <c r="B835" s="168" t="s">
        <v>395</v>
      </c>
      <c r="C835" s="168" t="str">
        <f>VLOOKUP(B835,MEMBERS!B:C,2, )</f>
        <v>BAHRIA INTERNATIONAL HOSPITAL</v>
      </c>
      <c r="D835" s="315">
        <v>46007</v>
      </c>
      <c r="E835" s="175">
        <v>21</v>
      </c>
      <c r="F835" s="168" t="s">
        <v>516</v>
      </c>
      <c r="G835" s="165">
        <f>IFERROR(VLOOKUP(F835,'menu list'!B:C,2,FALSE)*E835,"0")</f>
        <v>5250</v>
      </c>
      <c r="H835" s="334"/>
      <c r="I835" s="165">
        <f t="shared" si="59"/>
        <v>5250</v>
      </c>
    </row>
    <row r="836" spans="1:9" ht="12.75" hidden="1" x14ac:dyDescent="0.25">
      <c r="A836" s="167">
        <f t="shared" si="62"/>
        <v>835</v>
      </c>
      <c r="B836" s="168" t="s">
        <v>395</v>
      </c>
      <c r="C836" s="168" t="str">
        <f>VLOOKUP(B836,MEMBERS!B:C,2, )</f>
        <v>BAHRIA INTERNATIONAL HOSPITAL</v>
      </c>
      <c r="D836" s="315">
        <v>46007</v>
      </c>
      <c r="E836" s="175">
        <v>6</v>
      </c>
      <c r="F836" s="168" t="s">
        <v>660</v>
      </c>
      <c r="G836" s="165">
        <f>IFERROR(VLOOKUP(F836,'menu list'!B:C,2,FALSE)*E836,"0")</f>
        <v>900</v>
      </c>
      <c r="H836" s="334"/>
      <c r="I836" s="165">
        <f t="shared" ref="I836:I899" si="63">G836+H836</f>
        <v>900</v>
      </c>
    </row>
    <row r="837" spans="1:9" ht="12.75" hidden="1" x14ac:dyDescent="0.25">
      <c r="A837" s="167">
        <f t="shared" si="62"/>
        <v>836</v>
      </c>
      <c r="B837" s="168" t="s">
        <v>395</v>
      </c>
      <c r="C837" s="168" t="str">
        <f>VLOOKUP(B837,MEMBERS!B:C,2, )</f>
        <v>BAHRIA INTERNATIONAL HOSPITAL</v>
      </c>
      <c r="D837" s="315">
        <v>46007</v>
      </c>
      <c r="E837" s="175">
        <v>30</v>
      </c>
      <c r="F837" s="168" t="s">
        <v>775</v>
      </c>
      <c r="G837" s="165">
        <f>IFERROR(VLOOKUP(F837,'menu list'!B:C,2,FALSE)*E837,"0")</f>
        <v>3000</v>
      </c>
      <c r="H837" s="334"/>
      <c r="I837" s="165">
        <f t="shared" si="63"/>
        <v>3000</v>
      </c>
    </row>
    <row r="838" spans="1:9" ht="12.75" hidden="1" x14ac:dyDescent="0.25">
      <c r="A838" s="167">
        <f t="shared" si="62"/>
        <v>837</v>
      </c>
      <c r="B838" s="168" t="s">
        <v>395</v>
      </c>
      <c r="C838" s="168" t="str">
        <f>VLOOKUP(B838,MEMBERS!B:C,2, )</f>
        <v>BAHRIA INTERNATIONAL HOSPITAL</v>
      </c>
      <c r="D838" s="315">
        <v>46007</v>
      </c>
      <c r="E838" s="175">
        <v>15</v>
      </c>
      <c r="F838" s="168" t="s">
        <v>558</v>
      </c>
      <c r="G838" s="165">
        <f>IFERROR(VLOOKUP(F838,'menu list'!B:C,2,FALSE)*E838,"0")</f>
        <v>2250</v>
      </c>
      <c r="H838" s="334"/>
      <c r="I838" s="165">
        <f t="shared" si="63"/>
        <v>2250</v>
      </c>
    </row>
    <row r="839" spans="1:9" ht="12.75" hidden="1" x14ac:dyDescent="0.25">
      <c r="A839" s="167">
        <f t="shared" si="62"/>
        <v>838</v>
      </c>
      <c r="B839" s="168" t="s">
        <v>395</v>
      </c>
      <c r="C839" s="168" t="str">
        <f>VLOOKUP(B839,MEMBERS!B:C,2, )</f>
        <v>BAHRIA INTERNATIONAL HOSPITAL</v>
      </c>
      <c r="D839" s="315">
        <v>46007</v>
      </c>
      <c r="E839" s="175">
        <v>6</v>
      </c>
      <c r="F839" s="168" t="s">
        <v>515</v>
      </c>
      <c r="G839" s="165">
        <f>IFERROR(VLOOKUP(F839,'menu list'!B:C,2,FALSE)*E839,"0")</f>
        <v>2400</v>
      </c>
      <c r="H839" s="334"/>
      <c r="I839" s="165">
        <f t="shared" si="63"/>
        <v>2400</v>
      </c>
    </row>
    <row r="840" spans="1:9" ht="12.75" hidden="1" x14ac:dyDescent="0.25">
      <c r="A840" s="167">
        <f t="shared" si="62"/>
        <v>839</v>
      </c>
      <c r="B840" s="168" t="s">
        <v>761</v>
      </c>
      <c r="C840" s="168" t="str">
        <f>VLOOKUP(B840,MEMBERS!B:C,2, )</f>
        <v>MR. FAYAZ ALI SOOMRO</v>
      </c>
      <c r="D840" s="315">
        <v>46007</v>
      </c>
      <c r="E840" s="175">
        <v>4</v>
      </c>
      <c r="F840" s="168" t="s">
        <v>901</v>
      </c>
      <c r="G840" s="165">
        <f>IFERROR(VLOOKUP(F840,'menu list'!B:C,2,FALSE)*E840,"0")</f>
        <v>3200</v>
      </c>
      <c r="H840" s="334">
        <f t="shared" ref="H840:H898" si="64">G840*15/100</f>
        <v>480</v>
      </c>
      <c r="I840" s="165">
        <f t="shared" si="63"/>
        <v>3680</v>
      </c>
    </row>
    <row r="841" spans="1:9" ht="12.75" hidden="1" x14ac:dyDescent="0.25">
      <c r="A841" s="167">
        <f t="shared" si="62"/>
        <v>840</v>
      </c>
      <c r="B841" s="168" t="s">
        <v>761</v>
      </c>
      <c r="C841" s="168" t="str">
        <f>VLOOKUP(B841,MEMBERS!B:C,2, )</f>
        <v>MR. FAYAZ ALI SOOMRO</v>
      </c>
      <c r="D841" s="315">
        <v>46007</v>
      </c>
      <c r="E841" s="175">
        <v>1</v>
      </c>
      <c r="F841" s="168" t="s">
        <v>915</v>
      </c>
      <c r="G841" s="165">
        <f>IFERROR(VLOOKUP(F841,'menu list'!B:C,2,FALSE)*E841,"0")</f>
        <v>999</v>
      </c>
      <c r="H841" s="334">
        <f t="shared" si="64"/>
        <v>149.85</v>
      </c>
      <c r="I841" s="165">
        <f t="shared" si="63"/>
        <v>1148.8499999999999</v>
      </c>
    </row>
    <row r="842" spans="1:9" ht="12.75" hidden="1" x14ac:dyDescent="0.25">
      <c r="A842" s="167">
        <f t="shared" si="62"/>
        <v>841</v>
      </c>
      <c r="B842" s="168" t="s">
        <v>761</v>
      </c>
      <c r="C842" s="168" t="str">
        <f>VLOOKUP(B842,MEMBERS!B:C,2, )</f>
        <v>MR. FAYAZ ALI SOOMRO</v>
      </c>
      <c r="D842" s="315">
        <v>46007</v>
      </c>
      <c r="E842" s="175">
        <v>1</v>
      </c>
      <c r="F842" s="168" t="s">
        <v>522</v>
      </c>
      <c r="G842" s="165">
        <f>IFERROR(VLOOKUP(F842,'menu list'!B:C,2,FALSE)*E842,"0")</f>
        <v>1200</v>
      </c>
      <c r="H842" s="334">
        <f t="shared" si="64"/>
        <v>180</v>
      </c>
      <c r="I842" s="165">
        <f t="shared" si="63"/>
        <v>1380</v>
      </c>
    </row>
    <row r="843" spans="1:9" ht="12.75" hidden="1" x14ac:dyDescent="0.25">
      <c r="A843" s="167">
        <f t="shared" si="62"/>
        <v>842</v>
      </c>
      <c r="B843" s="168" t="s">
        <v>761</v>
      </c>
      <c r="C843" s="168" t="str">
        <f>VLOOKUP(B843,MEMBERS!B:C,2, )</f>
        <v>MR. FAYAZ ALI SOOMRO</v>
      </c>
      <c r="D843" s="315">
        <v>46007</v>
      </c>
      <c r="E843" s="175">
        <v>1</v>
      </c>
      <c r="F843" s="168" t="s">
        <v>786</v>
      </c>
      <c r="G843" s="165">
        <f>IFERROR(VLOOKUP(F843,'menu list'!B:C,2,FALSE)*E843,"0")</f>
        <v>1150</v>
      </c>
      <c r="H843" s="334">
        <f t="shared" si="64"/>
        <v>172.5</v>
      </c>
      <c r="I843" s="165">
        <f t="shared" si="63"/>
        <v>1322.5</v>
      </c>
    </row>
    <row r="844" spans="1:9" ht="12.75" hidden="1" x14ac:dyDescent="0.25">
      <c r="A844" s="167">
        <f t="shared" si="62"/>
        <v>843</v>
      </c>
      <c r="B844" s="168" t="s">
        <v>761</v>
      </c>
      <c r="C844" s="168" t="str">
        <f>VLOOKUP(B844,MEMBERS!B:C,2, )</f>
        <v>MR. FAYAZ ALI SOOMRO</v>
      </c>
      <c r="D844" s="315">
        <v>46007</v>
      </c>
      <c r="E844" s="175">
        <v>1</v>
      </c>
      <c r="F844" s="168" t="s">
        <v>939</v>
      </c>
      <c r="G844" s="165">
        <f>IFERROR(VLOOKUP(F844,'menu list'!B:C,2,FALSE)*E844,"0")</f>
        <v>1200</v>
      </c>
      <c r="H844" s="334">
        <f t="shared" si="64"/>
        <v>180</v>
      </c>
      <c r="I844" s="165">
        <f t="shared" si="63"/>
        <v>1380</v>
      </c>
    </row>
    <row r="845" spans="1:9" ht="12.75" hidden="1" x14ac:dyDescent="0.25">
      <c r="A845" s="167">
        <f t="shared" si="62"/>
        <v>844</v>
      </c>
      <c r="B845" s="168" t="s">
        <v>761</v>
      </c>
      <c r="C845" s="168" t="str">
        <f>VLOOKUP(B845,MEMBERS!B:C,2, )</f>
        <v>MR. FAYAZ ALI SOOMRO</v>
      </c>
      <c r="D845" s="315">
        <v>46007</v>
      </c>
      <c r="E845" s="175">
        <v>1</v>
      </c>
      <c r="F845" s="168" t="s">
        <v>501</v>
      </c>
      <c r="G845" s="165">
        <f>IFERROR(VLOOKUP(F845,'menu list'!B:C,2,FALSE)*E845,"0")</f>
        <v>1200</v>
      </c>
      <c r="H845" s="334">
        <f t="shared" si="64"/>
        <v>180</v>
      </c>
      <c r="I845" s="165">
        <f t="shared" si="63"/>
        <v>1380</v>
      </c>
    </row>
    <row r="846" spans="1:9" ht="12.75" hidden="1" x14ac:dyDescent="0.25">
      <c r="A846" s="167">
        <f t="shared" si="62"/>
        <v>845</v>
      </c>
      <c r="B846" s="168" t="s">
        <v>20</v>
      </c>
      <c r="C846" s="168" t="str">
        <f>VLOOKUP(B846,MEMBERS!B:C,2, )</f>
        <v>MR.BILAL AHMED</v>
      </c>
      <c r="D846" s="315">
        <v>46007</v>
      </c>
      <c r="E846" s="175">
        <v>2</v>
      </c>
      <c r="F846" s="168" t="s">
        <v>499</v>
      </c>
      <c r="G846" s="165">
        <f>IFERROR(VLOOKUP(F846,'menu list'!B:C,2,FALSE)*E846,"0")</f>
        <v>200</v>
      </c>
      <c r="H846" s="334">
        <f t="shared" si="64"/>
        <v>30</v>
      </c>
      <c r="I846" s="165">
        <f t="shared" si="63"/>
        <v>230</v>
      </c>
    </row>
    <row r="847" spans="1:9" ht="12.75" hidden="1" x14ac:dyDescent="0.25">
      <c r="A847" s="167">
        <f t="shared" si="62"/>
        <v>846</v>
      </c>
      <c r="B847" s="168" t="s">
        <v>20</v>
      </c>
      <c r="C847" s="168" t="str">
        <f>VLOOKUP(B847,MEMBERS!B:C,2, )</f>
        <v>MR.BILAL AHMED</v>
      </c>
      <c r="D847" s="315">
        <v>46007</v>
      </c>
      <c r="E847" s="175">
        <v>2</v>
      </c>
      <c r="F847" s="168" t="s">
        <v>836</v>
      </c>
      <c r="G847" s="165">
        <f>IFERROR(VLOOKUP(F847,'menu list'!B:C,2,FALSE)*E847,"0")</f>
        <v>700</v>
      </c>
      <c r="H847" s="334">
        <f t="shared" si="64"/>
        <v>105</v>
      </c>
      <c r="I847" s="165">
        <f t="shared" si="63"/>
        <v>805</v>
      </c>
    </row>
    <row r="848" spans="1:9" ht="12.75" hidden="1" x14ac:dyDescent="0.25">
      <c r="A848" s="167">
        <f t="shared" si="62"/>
        <v>847</v>
      </c>
      <c r="B848" s="168" t="s">
        <v>69</v>
      </c>
      <c r="C848" s="168" t="str">
        <f>VLOOKUP(B848,MEMBERS!B:C,2, )</f>
        <v>MR.TARIQUE ZUBAIR</v>
      </c>
      <c r="D848" s="315">
        <v>46007</v>
      </c>
      <c r="E848" s="175">
        <v>1</v>
      </c>
      <c r="F848" s="168" t="s">
        <v>500</v>
      </c>
      <c r="G848" s="165">
        <f>IFERROR(VLOOKUP(F848,'menu list'!B:C,2,FALSE)*E848,"0")</f>
        <v>1250</v>
      </c>
      <c r="H848" s="334">
        <f t="shared" si="64"/>
        <v>187.5</v>
      </c>
      <c r="I848" s="165">
        <f t="shared" si="63"/>
        <v>1437.5</v>
      </c>
    </row>
    <row r="849" spans="1:10" ht="12.75" hidden="1" x14ac:dyDescent="0.25">
      <c r="A849" s="167">
        <f t="shared" si="62"/>
        <v>848</v>
      </c>
      <c r="B849" s="168" t="s">
        <v>69</v>
      </c>
      <c r="C849" s="168" t="str">
        <f>VLOOKUP(B849,MEMBERS!B:C,2, )</f>
        <v>MR.TARIQUE ZUBAIR</v>
      </c>
      <c r="D849" s="315">
        <v>46007</v>
      </c>
      <c r="E849" s="175">
        <v>1</v>
      </c>
      <c r="F849" s="168" t="s">
        <v>442</v>
      </c>
      <c r="G849" s="165">
        <f>IFERROR(VLOOKUP(F849,'menu list'!B:C,2,FALSE)*E849,"0")</f>
        <v>150</v>
      </c>
      <c r="H849" s="334">
        <f t="shared" si="64"/>
        <v>22.5</v>
      </c>
      <c r="I849" s="165">
        <f t="shared" si="63"/>
        <v>172.5</v>
      </c>
    </row>
    <row r="850" spans="1:10" ht="12.75" hidden="1" x14ac:dyDescent="0.25">
      <c r="A850" s="167">
        <f t="shared" si="62"/>
        <v>849</v>
      </c>
      <c r="B850" s="319" t="s">
        <v>187</v>
      </c>
      <c r="C850" s="319" t="str">
        <f>VLOOKUP(B850,MEMBERS!B:C,2, )</f>
        <v>MR.SHAN ELAHI SEHGAL</v>
      </c>
      <c r="D850" s="320">
        <v>46008</v>
      </c>
      <c r="E850" s="321">
        <v>1</v>
      </c>
      <c r="F850" s="319" t="s">
        <v>500</v>
      </c>
      <c r="G850" s="322">
        <f>IFERROR(VLOOKUP(F850,'menu list'!B:C,2,FALSE)*E850,"0")</f>
        <v>1250</v>
      </c>
      <c r="H850" s="334">
        <f t="shared" si="64"/>
        <v>187.5</v>
      </c>
      <c r="I850" s="165">
        <f t="shared" si="63"/>
        <v>1437.5</v>
      </c>
      <c r="J850" s="337" t="s">
        <v>1188</v>
      </c>
    </row>
    <row r="851" spans="1:10" ht="12.75" hidden="1" x14ac:dyDescent="0.25">
      <c r="A851" s="167">
        <f t="shared" ref="A851:A872" si="65">IF(D851&lt;&gt;"", ROW()-1, "")</f>
        <v>850</v>
      </c>
      <c r="B851" s="319" t="s">
        <v>187</v>
      </c>
      <c r="C851" s="319" t="str">
        <f>VLOOKUP(B851,MEMBERS!B:C,2, )</f>
        <v>MR.SHAN ELAHI SEHGAL</v>
      </c>
      <c r="D851" s="320">
        <v>46008</v>
      </c>
      <c r="E851" s="321">
        <v>2</v>
      </c>
      <c r="F851" s="319" t="s">
        <v>634</v>
      </c>
      <c r="G851" s="322">
        <f>IFERROR(VLOOKUP(F851,'menu list'!B:C,2,FALSE)*E851,"0")</f>
        <v>1000</v>
      </c>
      <c r="H851" s="334">
        <f t="shared" si="64"/>
        <v>150</v>
      </c>
      <c r="I851" s="165">
        <f t="shared" si="63"/>
        <v>1150</v>
      </c>
      <c r="J851" s="331"/>
    </row>
    <row r="852" spans="1:10" ht="12.75" hidden="1" x14ac:dyDescent="0.25">
      <c r="A852" s="167">
        <f t="shared" si="65"/>
        <v>851</v>
      </c>
      <c r="B852" s="319" t="s">
        <v>187</v>
      </c>
      <c r="C852" s="319" t="str">
        <f>VLOOKUP(B852,MEMBERS!B:C,2, )</f>
        <v>MR.SHAN ELAHI SEHGAL</v>
      </c>
      <c r="D852" s="320">
        <v>46008</v>
      </c>
      <c r="E852" s="321">
        <v>2</v>
      </c>
      <c r="F852" s="319" t="s">
        <v>442</v>
      </c>
      <c r="G852" s="322">
        <f>IFERROR(VLOOKUP(F852,'menu list'!B:C,2,FALSE)*E852,"0")</f>
        <v>300</v>
      </c>
      <c r="H852" s="334">
        <f t="shared" si="64"/>
        <v>45</v>
      </c>
      <c r="I852" s="165">
        <f t="shared" si="63"/>
        <v>345</v>
      </c>
      <c r="J852" s="331"/>
    </row>
    <row r="853" spans="1:10" ht="12.75" hidden="1" x14ac:dyDescent="0.25">
      <c r="A853" s="167">
        <f t="shared" si="65"/>
        <v>852</v>
      </c>
      <c r="B853" s="168" t="s">
        <v>217</v>
      </c>
      <c r="C853" s="168" t="str">
        <f>VLOOKUP(B853,MEMBERS!B:C,2, )</f>
        <v>MR.ZAIN FAROOQ</v>
      </c>
      <c r="D853" s="323">
        <v>46008</v>
      </c>
      <c r="E853" s="175">
        <v>1</v>
      </c>
      <c r="F853" s="168" t="s">
        <v>634</v>
      </c>
      <c r="G853" s="165">
        <f>IFERROR(VLOOKUP(F853,'menu list'!B:C,2,FALSE)*E853,"0")</f>
        <v>500</v>
      </c>
      <c r="H853" s="334">
        <f t="shared" si="64"/>
        <v>75</v>
      </c>
      <c r="I853" s="165">
        <f t="shared" si="63"/>
        <v>575</v>
      </c>
    </row>
    <row r="854" spans="1:10" ht="12.75" hidden="1" x14ac:dyDescent="0.25">
      <c r="A854" s="167">
        <f t="shared" si="65"/>
        <v>853</v>
      </c>
      <c r="B854" s="168" t="s">
        <v>235</v>
      </c>
      <c r="C854" s="168" t="str">
        <f>VLOOKUP(B854,MEMBERS!B:C,2, )</f>
        <v>MR.IMRAN WAZEER</v>
      </c>
      <c r="D854" s="323">
        <v>46008</v>
      </c>
      <c r="E854" s="175">
        <v>1</v>
      </c>
      <c r="F854" s="168" t="s">
        <v>803</v>
      </c>
      <c r="G854" s="165">
        <f>IFERROR(VLOOKUP(F854,'menu list'!B:C,2,FALSE)*E854,"0")</f>
        <v>250</v>
      </c>
      <c r="H854" s="334">
        <f t="shared" si="64"/>
        <v>37.5</v>
      </c>
      <c r="I854" s="165">
        <f t="shared" si="63"/>
        <v>287.5</v>
      </c>
    </row>
    <row r="855" spans="1:10" ht="12.75" hidden="1" x14ac:dyDescent="0.25">
      <c r="A855" s="167">
        <f t="shared" si="65"/>
        <v>854</v>
      </c>
      <c r="B855" s="168" t="s">
        <v>235</v>
      </c>
      <c r="C855" s="168" t="str">
        <f>VLOOKUP(B855,MEMBERS!B:C,2, )</f>
        <v>MR.IMRAN WAZEER</v>
      </c>
      <c r="D855" s="323">
        <v>46008</v>
      </c>
      <c r="E855" s="175">
        <v>1</v>
      </c>
      <c r="F855" s="168" t="s">
        <v>633</v>
      </c>
      <c r="G855" s="165">
        <f>IFERROR(VLOOKUP(F855,'menu list'!B:C,2,FALSE)*E855,"0")</f>
        <v>700</v>
      </c>
      <c r="H855" s="334">
        <f t="shared" si="64"/>
        <v>105</v>
      </c>
      <c r="I855" s="165">
        <f t="shared" si="63"/>
        <v>805</v>
      </c>
    </row>
    <row r="856" spans="1:10" ht="12.75" hidden="1" x14ac:dyDescent="0.25">
      <c r="A856" s="167">
        <f t="shared" si="65"/>
        <v>855</v>
      </c>
      <c r="B856" s="168" t="s">
        <v>235</v>
      </c>
      <c r="C856" s="168" t="str">
        <f>VLOOKUP(B856,MEMBERS!B:C,2, )</f>
        <v>MR.IMRAN WAZEER</v>
      </c>
      <c r="D856" s="323">
        <v>46008</v>
      </c>
      <c r="E856" s="175">
        <v>1</v>
      </c>
      <c r="F856" s="168" t="s">
        <v>499</v>
      </c>
      <c r="G856" s="165">
        <f>IFERROR(VLOOKUP(F856,'menu list'!B:C,2,FALSE)*E856,"0")</f>
        <v>100</v>
      </c>
      <c r="H856" s="334">
        <f t="shared" si="64"/>
        <v>15</v>
      </c>
      <c r="I856" s="165">
        <f t="shared" si="63"/>
        <v>115</v>
      </c>
    </row>
    <row r="857" spans="1:10" ht="12.75" hidden="1" x14ac:dyDescent="0.25">
      <c r="A857" s="167">
        <f t="shared" si="65"/>
        <v>856</v>
      </c>
      <c r="B857" s="168" t="s">
        <v>1073</v>
      </c>
      <c r="C857" s="168" t="str">
        <f>VLOOKUP(B857,MEMBERS!B:C,2, )</f>
        <v>MR. GHULAM MUSTAFA</v>
      </c>
      <c r="D857" s="323">
        <v>46008</v>
      </c>
      <c r="E857" s="175">
        <v>1</v>
      </c>
      <c r="F857" s="168" t="s">
        <v>801</v>
      </c>
      <c r="G857" s="165">
        <f>IFERROR(VLOOKUP(F857,'menu list'!B:C,2,FALSE)*E857,"0")</f>
        <v>700</v>
      </c>
      <c r="H857" s="334">
        <f t="shared" si="64"/>
        <v>105</v>
      </c>
      <c r="I857" s="165">
        <f t="shared" si="63"/>
        <v>805</v>
      </c>
    </row>
    <row r="858" spans="1:10" ht="12.75" hidden="1" x14ac:dyDescent="0.25">
      <c r="A858" s="167">
        <f t="shared" si="65"/>
        <v>857</v>
      </c>
      <c r="B858" s="168" t="s">
        <v>1073</v>
      </c>
      <c r="C858" s="168" t="str">
        <f>VLOOKUP(B858,MEMBERS!B:C,2, )</f>
        <v>MR. GHULAM MUSTAFA</v>
      </c>
      <c r="D858" s="323">
        <v>46008</v>
      </c>
      <c r="E858" s="175">
        <v>1</v>
      </c>
      <c r="F858" s="168" t="s">
        <v>653</v>
      </c>
      <c r="G858" s="165">
        <f>IFERROR(VLOOKUP(F858,'menu list'!B:C,2,FALSE)*E858,"0")</f>
        <v>350</v>
      </c>
      <c r="H858" s="334">
        <f t="shared" si="64"/>
        <v>52.5</v>
      </c>
      <c r="I858" s="165">
        <f t="shared" si="63"/>
        <v>402.5</v>
      </c>
    </row>
    <row r="859" spans="1:10" ht="12.75" hidden="1" x14ac:dyDescent="0.25">
      <c r="A859" s="167">
        <f t="shared" si="65"/>
        <v>858</v>
      </c>
      <c r="B859" s="168" t="s">
        <v>1073</v>
      </c>
      <c r="C859" s="168" t="str">
        <f>VLOOKUP(B859,MEMBERS!B:C,2, )</f>
        <v>MR. GHULAM MUSTAFA</v>
      </c>
      <c r="D859" s="323">
        <v>46008</v>
      </c>
      <c r="E859" s="175">
        <v>1</v>
      </c>
      <c r="F859" s="168" t="s">
        <v>832</v>
      </c>
      <c r="G859" s="165">
        <f>IFERROR(VLOOKUP(F859,'menu list'!B:C,2,FALSE)*E859,"0")</f>
        <v>250</v>
      </c>
      <c r="H859" s="334">
        <f t="shared" si="64"/>
        <v>37.5</v>
      </c>
      <c r="I859" s="165">
        <f t="shared" si="63"/>
        <v>287.5</v>
      </c>
    </row>
    <row r="860" spans="1:10" ht="12.75" hidden="1" x14ac:dyDescent="0.25">
      <c r="A860" s="167">
        <f t="shared" si="65"/>
        <v>859</v>
      </c>
      <c r="B860" s="168" t="s">
        <v>1073</v>
      </c>
      <c r="C860" s="168" t="str">
        <f>VLOOKUP(B860,MEMBERS!B:C,2, )</f>
        <v>MR. GHULAM MUSTAFA</v>
      </c>
      <c r="D860" s="323">
        <v>46008</v>
      </c>
      <c r="E860" s="175">
        <v>1</v>
      </c>
      <c r="F860" s="168" t="s">
        <v>497</v>
      </c>
      <c r="G860" s="165">
        <f>IFERROR(VLOOKUP(F860,'menu list'!B:C,2,FALSE)*E860,"0")</f>
        <v>250</v>
      </c>
      <c r="H860" s="334">
        <f t="shared" si="64"/>
        <v>37.5</v>
      </c>
      <c r="I860" s="165">
        <f t="shared" si="63"/>
        <v>287.5</v>
      </c>
    </row>
    <row r="861" spans="1:10" ht="12.75" hidden="1" x14ac:dyDescent="0.25">
      <c r="A861" s="167">
        <f t="shared" si="65"/>
        <v>860</v>
      </c>
      <c r="B861" s="168" t="s">
        <v>1073</v>
      </c>
      <c r="C861" s="168" t="str">
        <f>VLOOKUP(B861,MEMBERS!B:C,2, )</f>
        <v>MR. GHULAM MUSTAFA</v>
      </c>
      <c r="D861" s="323">
        <v>46008</v>
      </c>
      <c r="E861" s="175">
        <v>1</v>
      </c>
      <c r="F861" s="168" t="s">
        <v>664</v>
      </c>
      <c r="G861" s="165">
        <f>IFERROR(VLOOKUP(F861,'menu list'!B:C,2,FALSE)*E861,"0")</f>
        <v>400</v>
      </c>
      <c r="H861" s="334">
        <f t="shared" si="64"/>
        <v>60</v>
      </c>
      <c r="I861" s="165">
        <f t="shared" si="63"/>
        <v>460</v>
      </c>
    </row>
    <row r="862" spans="1:10" ht="12.75" hidden="1" x14ac:dyDescent="0.25">
      <c r="A862" s="167">
        <f t="shared" si="65"/>
        <v>861</v>
      </c>
      <c r="B862" s="168" t="s">
        <v>1073</v>
      </c>
      <c r="C862" s="168" t="str">
        <f>VLOOKUP(B862,MEMBERS!B:C,2, )</f>
        <v>MR. GHULAM MUSTAFA</v>
      </c>
      <c r="D862" s="323">
        <v>46008</v>
      </c>
      <c r="E862" s="175">
        <v>1</v>
      </c>
      <c r="F862" s="168" t="s">
        <v>560</v>
      </c>
      <c r="G862" s="165">
        <f>IFERROR(VLOOKUP(F862,'menu list'!B:C,2,FALSE)*E862,"0")</f>
        <v>300</v>
      </c>
      <c r="H862" s="334">
        <f t="shared" si="64"/>
        <v>45</v>
      </c>
      <c r="I862" s="165">
        <f t="shared" si="63"/>
        <v>345</v>
      </c>
    </row>
    <row r="863" spans="1:10" ht="12.75" hidden="1" x14ac:dyDescent="0.25">
      <c r="A863" s="167">
        <f t="shared" si="65"/>
        <v>862</v>
      </c>
      <c r="B863" s="168" t="s">
        <v>1073</v>
      </c>
      <c r="C863" s="168" t="str">
        <f>VLOOKUP(B863,MEMBERS!B:C,2, )</f>
        <v>MR. GHULAM MUSTAFA</v>
      </c>
      <c r="D863" s="323">
        <v>46008</v>
      </c>
      <c r="E863" s="175">
        <v>1</v>
      </c>
      <c r="F863" s="168" t="s">
        <v>501</v>
      </c>
      <c r="G863" s="165">
        <f>IFERROR(VLOOKUP(F863,'menu list'!B:C,2,FALSE)*E863,"0")</f>
        <v>1200</v>
      </c>
      <c r="H863" s="334">
        <f t="shared" si="64"/>
        <v>180</v>
      </c>
      <c r="I863" s="165">
        <f t="shared" si="63"/>
        <v>1380</v>
      </c>
    </row>
    <row r="864" spans="1:10" ht="12.75" hidden="1" x14ac:dyDescent="0.25">
      <c r="A864" s="167">
        <f t="shared" si="65"/>
        <v>863</v>
      </c>
      <c r="B864" s="168" t="s">
        <v>1073</v>
      </c>
      <c r="C864" s="168" t="str">
        <f>VLOOKUP(B864,MEMBERS!B:C,2, )</f>
        <v>MR. GHULAM MUSTAFA</v>
      </c>
      <c r="D864" s="323">
        <v>46008</v>
      </c>
      <c r="E864" s="175">
        <v>1</v>
      </c>
      <c r="F864" s="168" t="s">
        <v>915</v>
      </c>
      <c r="G864" s="165">
        <f>IFERROR(VLOOKUP(F864,'menu list'!B:C,2,FALSE)*E864,"0")</f>
        <v>999</v>
      </c>
      <c r="H864" s="334">
        <f t="shared" si="64"/>
        <v>149.85</v>
      </c>
      <c r="I864" s="165">
        <f t="shared" si="63"/>
        <v>1148.8499999999999</v>
      </c>
    </row>
    <row r="865" spans="1:9" ht="12.75" hidden="1" x14ac:dyDescent="0.25">
      <c r="A865" s="167">
        <f t="shared" si="65"/>
        <v>864</v>
      </c>
      <c r="B865" s="168" t="s">
        <v>1073</v>
      </c>
      <c r="C865" s="168" t="str">
        <f>VLOOKUP(B865,MEMBERS!B:C,2, )</f>
        <v>MR. GHULAM MUSTAFA</v>
      </c>
      <c r="D865" s="323">
        <v>46008</v>
      </c>
      <c r="E865" s="175">
        <v>1</v>
      </c>
      <c r="F865" s="168" t="s">
        <v>728</v>
      </c>
      <c r="G865" s="165">
        <f>IFERROR(VLOOKUP(F865,'menu list'!B:C,2,FALSE)*E865,"0")</f>
        <v>900</v>
      </c>
      <c r="H865" s="334">
        <f t="shared" si="64"/>
        <v>135</v>
      </c>
      <c r="I865" s="165">
        <f t="shared" si="63"/>
        <v>1035</v>
      </c>
    </row>
    <row r="866" spans="1:9" ht="12.75" hidden="1" x14ac:dyDescent="0.25">
      <c r="A866" s="167">
        <f t="shared" si="65"/>
        <v>865</v>
      </c>
      <c r="B866" s="168" t="s">
        <v>1073</v>
      </c>
      <c r="C866" s="168" t="str">
        <f>VLOOKUP(B866,MEMBERS!B:C,2, )</f>
        <v>MR. GHULAM MUSTAFA</v>
      </c>
      <c r="D866" s="323">
        <v>46008</v>
      </c>
      <c r="E866" s="175">
        <v>1</v>
      </c>
      <c r="F866" s="168" t="s">
        <v>859</v>
      </c>
      <c r="G866" s="165">
        <f>IFERROR(VLOOKUP(F866,'menu list'!B:C,2,FALSE)*E866,"0")</f>
        <v>500</v>
      </c>
      <c r="H866" s="334">
        <f t="shared" si="64"/>
        <v>75</v>
      </c>
      <c r="I866" s="165">
        <f t="shared" si="63"/>
        <v>575</v>
      </c>
    </row>
    <row r="867" spans="1:9" ht="12.75" hidden="1" x14ac:dyDescent="0.25">
      <c r="A867" s="167">
        <f t="shared" si="65"/>
        <v>866</v>
      </c>
      <c r="B867" s="168" t="s">
        <v>1073</v>
      </c>
      <c r="C867" s="168" t="str">
        <f>VLOOKUP(B867,MEMBERS!B:C,2, )</f>
        <v>MR. GHULAM MUSTAFA</v>
      </c>
      <c r="D867" s="323">
        <v>46008</v>
      </c>
      <c r="E867" s="175">
        <v>2</v>
      </c>
      <c r="F867" s="168" t="s">
        <v>439</v>
      </c>
      <c r="G867" s="165">
        <f>IFERROR(VLOOKUP(F867,'menu list'!B:C,2,FALSE)*E867,"0")</f>
        <v>140</v>
      </c>
      <c r="H867" s="334">
        <f t="shared" si="64"/>
        <v>21</v>
      </c>
      <c r="I867" s="165">
        <f t="shared" si="63"/>
        <v>161</v>
      </c>
    </row>
    <row r="868" spans="1:9" ht="12.75" hidden="1" x14ac:dyDescent="0.25">
      <c r="A868" s="167">
        <f t="shared" si="65"/>
        <v>867</v>
      </c>
      <c r="B868" s="168" t="s">
        <v>1073</v>
      </c>
      <c r="C868" s="168" t="str">
        <f>VLOOKUP(B868,MEMBERS!B:C,2, )</f>
        <v>MR. GHULAM MUSTAFA</v>
      </c>
      <c r="D868" s="323">
        <v>46008</v>
      </c>
      <c r="E868" s="175">
        <v>2</v>
      </c>
      <c r="F868" s="168" t="s">
        <v>504</v>
      </c>
      <c r="G868" s="165">
        <f>IFERROR(VLOOKUP(F868,'menu list'!B:C,2,FALSE)*E868,"0")</f>
        <v>260</v>
      </c>
      <c r="H868" s="334">
        <f t="shared" si="64"/>
        <v>39</v>
      </c>
      <c r="I868" s="165">
        <f t="shared" si="63"/>
        <v>299</v>
      </c>
    </row>
    <row r="869" spans="1:9" ht="12.75" hidden="1" x14ac:dyDescent="0.25">
      <c r="A869" s="167">
        <f t="shared" si="65"/>
        <v>868</v>
      </c>
      <c r="B869" s="168" t="s">
        <v>1073</v>
      </c>
      <c r="C869" s="168" t="str">
        <f>VLOOKUP(B869,MEMBERS!B:C,2, )</f>
        <v>MR. GHULAM MUSTAFA</v>
      </c>
      <c r="D869" s="323">
        <v>46008</v>
      </c>
      <c r="E869" s="175">
        <v>2</v>
      </c>
      <c r="F869" s="168" t="s">
        <v>443</v>
      </c>
      <c r="G869" s="165">
        <f>IFERROR(VLOOKUP(F869,'menu list'!B:C,2,FALSE)*E869,"0")</f>
        <v>300</v>
      </c>
      <c r="H869" s="334">
        <f t="shared" si="64"/>
        <v>45</v>
      </c>
      <c r="I869" s="165">
        <f t="shared" si="63"/>
        <v>345</v>
      </c>
    </row>
    <row r="870" spans="1:9" ht="12.75" hidden="1" x14ac:dyDescent="0.25">
      <c r="A870" s="167">
        <f t="shared" si="65"/>
        <v>869</v>
      </c>
      <c r="B870" s="168" t="s">
        <v>1073</v>
      </c>
      <c r="C870" s="168" t="str">
        <f>VLOOKUP(B870,MEMBERS!B:C,2, )</f>
        <v>MR. GHULAM MUSTAFA</v>
      </c>
      <c r="D870" s="323">
        <v>46008</v>
      </c>
      <c r="E870" s="175">
        <v>1</v>
      </c>
      <c r="F870" s="168" t="s">
        <v>440</v>
      </c>
      <c r="G870" s="165">
        <f>IFERROR(VLOOKUP(F870,'menu list'!B:C,2,FALSE)*E870,"0")</f>
        <v>150</v>
      </c>
      <c r="H870" s="334">
        <f t="shared" si="64"/>
        <v>22.5</v>
      </c>
      <c r="I870" s="165">
        <f t="shared" si="63"/>
        <v>172.5</v>
      </c>
    </row>
    <row r="871" spans="1:9" ht="12.75" hidden="1" x14ac:dyDescent="0.25">
      <c r="A871" s="167">
        <f t="shared" si="65"/>
        <v>870</v>
      </c>
      <c r="B871" s="168" t="s">
        <v>1073</v>
      </c>
      <c r="C871" s="168" t="str">
        <f>VLOOKUP(B871,MEMBERS!B:C,2, )</f>
        <v>MR. GHULAM MUSTAFA</v>
      </c>
      <c r="D871" s="323">
        <v>46008</v>
      </c>
      <c r="E871" s="175">
        <v>1</v>
      </c>
      <c r="F871" s="168" t="s">
        <v>442</v>
      </c>
      <c r="G871" s="165">
        <f>IFERROR(VLOOKUP(F871,'menu list'!B:C,2,FALSE)*E871,"0")</f>
        <v>150</v>
      </c>
      <c r="H871" s="334">
        <f t="shared" si="64"/>
        <v>22.5</v>
      </c>
      <c r="I871" s="165">
        <f t="shared" si="63"/>
        <v>172.5</v>
      </c>
    </row>
    <row r="872" spans="1:9" ht="12.75" hidden="1" x14ac:dyDescent="0.25">
      <c r="A872" s="167">
        <f t="shared" si="65"/>
        <v>871</v>
      </c>
      <c r="B872" s="168" t="s">
        <v>217</v>
      </c>
      <c r="C872" s="168" t="str">
        <f>VLOOKUP(B872,MEMBERS!B:C,2, )</f>
        <v>MR.ZAIN FAROOQ</v>
      </c>
      <c r="D872" s="323">
        <v>46008</v>
      </c>
      <c r="E872" s="175">
        <v>2</v>
      </c>
      <c r="F872" s="168" t="s">
        <v>806</v>
      </c>
      <c r="G872" s="165">
        <f>IFERROR(VLOOKUP(F872,'menu list'!B:C,2,FALSE)*E872,"0")</f>
        <v>1200</v>
      </c>
      <c r="H872" s="334">
        <f t="shared" si="64"/>
        <v>180</v>
      </c>
      <c r="I872" s="165">
        <f t="shared" si="63"/>
        <v>1380</v>
      </c>
    </row>
    <row r="873" spans="1:9" ht="12.75" hidden="1" x14ac:dyDescent="0.25">
      <c r="A873" s="167">
        <f t="shared" ref="A873:A883" si="66">IF(D873&lt;&gt;"", ROW()-1, "")</f>
        <v>872</v>
      </c>
      <c r="B873" s="168" t="s">
        <v>187</v>
      </c>
      <c r="C873" s="168" t="str">
        <f>VLOOKUP(B873,MEMBERS!B:C,2, )</f>
        <v>MR.SHAN ELAHI SEHGAL</v>
      </c>
      <c r="D873" s="323">
        <v>46008</v>
      </c>
      <c r="E873" s="175">
        <v>1</v>
      </c>
      <c r="F873" s="168" t="s">
        <v>498</v>
      </c>
      <c r="G873" s="165">
        <f>IFERROR(VLOOKUP(F873,'menu list'!B:C,2,FALSE)*E873,"0")</f>
        <v>200</v>
      </c>
      <c r="H873" s="334">
        <f t="shared" si="64"/>
        <v>30</v>
      </c>
      <c r="I873" s="165">
        <f t="shared" si="63"/>
        <v>230</v>
      </c>
    </row>
    <row r="874" spans="1:9" ht="12.75" hidden="1" x14ac:dyDescent="0.25">
      <c r="A874" s="167">
        <f t="shared" si="66"/>
        <v>873</v>
      </c>
      <c r="B874" s="168" t="s">
        <v>187</v>
      </c>
      <c r="C874" s="168" t="str">
        <f>VLOOKUP(B874,MEMBERS!B:C,2, )</f>
        <v>MR.SHAN ELAHI SEHGAL</v>
      </c>
      <c r="D874" s="323">
        <v>46008</v>
      </c>
      <c r="E874" s="175">
        <v>1</v>
      </c>
      <c r="F874" s="168" t="s">
        <v>499</v>
      </c>
      <c r="G874" s="165">
        <f>IFERROR(VLOOKUP(F874,'menu list'!B:C,2,FALSE)*E874,"0")</f>
        <v>100</v>
      </c>
      <c r="H874" s="334">
        <f t="shared" si="64"/>
        <v>15</v>
      </c>
      <c r="I874" s="165">
        <f t="shared" si="63"/>
        <v>115</v>
      </c>
    </row>
    <row r="875" spans="1:9" ht="12.75" hidden="1" x14ac:dyDescent="0.25">
      <c r="A875" s="167">
        <f t="shared" si="66"/>
        <v>874</v>
      </c>
      <c r="B875" s="168" t="s">
        <v>187</v>
      </c>
      <c r="C875" s="168" t="str">
        <f>VLOOKUP(B875,MEMBERS!B:C,2, )</f>
        <v>MR.SHAN ELAHI SEHGAL</v>
      </c>
      <c r="D875" s="323">
        <v>46008</v>
      </c>
      <c r="E875" s="175">
        <v>2</v>
      </c>
      <c r="F875" s="168" t="s">
        <v>775</v>
      </c>
      <c r="G875" s="165">
        <f>IFERROR(VLOOKUP(F875,'menu list'!B:C,2,FALSE)*E875,"0")</f>
        <v>200</v>
      </c>
      <c r="H875" s="334">
        <f t="shared" si="64"/>
        <v>30</v>
      </c>
      <c r="I875" s="165">
        <f t="shared" si="63"/>
        <v>230</v>
      </c>
    </row>
    <row r="876" spans="1:9" ht="12.75" hidden="1" x14ac:dyDescent="0.25">
      <c r="A876" s="167">
        <f t="shared" si="66"/>
        <v>875</v>
      </c>
      <c r="B876" s="168" t="s">
        <v>1021</v>
      </c>
      <c r="C876" s="168" t="str">
        <f>VLOOKUP(B876,MEMBERS!B:C,2, )</f>
        <v>MR. AIJAZ ALI BALOCH</v>
      </c>
      <c r="D876" s="323">
        <v>46008</v>
      </c>
      <c r="E876" s="175">
        <v>5</v>
      </c>
      <c r="F876" s="168" t="s">
        <v>439</v>
      </c>
      <c r="G876" s="165">
        <f>IFERROR(VLOOKUP(F876,'menu list'!B:C,2,FALSE)*E876,"0")</f>
        <v>350</v>
      </c>
      <c r="H876" s="334">
        <f t="shared" si="64"/>
        <v>52.5</v>
      </c>
      <c r="I876" s="165">
        <f t="shared" si="63"/>
        <v>402.5</v>
      </c>
    </row>
    <row r="877" spans="1:9" ht="12.75" hidden="1" x14ac:dyDescent="0.25">
      <c r="A877" s="167">
        <f t="shared" si="66"/>
        <v>876</v>
      </c>
      <c r="B877" s="168" t="s">
        <v>1021</v>
      </c>
      <c r="C877" s="168" t="str">
        <f>VLOOKUP(B877,MEMBERS!B:C,2, )</f>
        <v>MR. AIJAZ ALI BALOCH</v>
      </c>
      <c r="D877" s="323">
        <v>46008</v>
      </c>
      <c r="E877" s="175">
        <v>1</v>
      </c>
      <c r="F877" s="168" t="s">
        <v>1011</v>
      </c>
      <c r="G877" s="165">
        <f>IFERROR(VLOOKUP(F877,'menu list'!B:C,2,FALSE)*E877,"0")</f>
        <v>1800</v>
      </c>
      <c r="H877" s="334">
        <f t="shared" si="64"/>
        <v>270</v>
      </c>
      <c r="I877" s="165">
        <f t="shared" si="63"/>
        <v>2070</v>
      </c>
    </row>
    <row r="878" spans="1:9" ht="12.75" hidden="1" x14ac:dyDescent="0.25">
      <c r="A878" s="167">
        <f t="shared" si="66"/>
        <v>877</v>
      </c>
      <c r="B878" s="168" t="s">
        <v>1021</v>
      </c>
      <c r="C878" s="168" t="str">
        <f>VLOOKUP(B878,MEMBERS!B:C,2, )</f>
        <v>MR. AIJAZ ALI BALOCH</v>
      </c>
      <c r="D878" s="323">
        <v>46008</v>
      </c>
      <c r="E878" s="175">
        <v>2</v>
      </c>
      <c r="F878" s="168" t="s">
        <v>443</v>
      </c>
      <c r="G878" s="165">
        <f>IFERROR(VLOOKUP(F878,'menu list'!B:C,2,FALSE)*E878,"0")</f>
        <v>300</v>
      </c>
      <c r="H878" s="334">
        <f t="shared" si="64"/>
        <v>45</v>
      </c>
      <c r="I878" s="165">
        <f t="shared" si="63"/>
        <v>345</v>
      </c>
    </row>
    <row r="879" spans="1:9" ht="12.75" hidden="1" x14ac:dyDescent="0.25">
      <c r="A879" s="167">
        <f t="shared" si="66"/>
        <v>878</v>
      </c>
      <c r="B879" s="168" t="s">
        <v>1021</v>
      </c>
      <c r="C879" s="168" t="str">
        <f>VLOOKUP(B879,MEMBERS!B:C,2, )</f>
        <v>MR. AIJAZ ALI BALOCH</v>
      </c>
      <c r="D879" s="323">
        <v>46008</v>
      </c>
      <c r="E879" s="175">
        <v>2</v>
      </c>
      <c r="F879" s="168" t="s">
        <v>504</v>
      </c>
      <c r="G879" s="165">
        <f>IFERROR(VLOOKUP(F879,'menu list'!B:C,2,FALSE)*E879,"0")</f>
        <v>260</v>
      </c>
      <c r="H879" s="334">
        <f t="shared" si="64"/>
        <v>39</v>
      </c>
      <c r="I879" s="165">
        <f t="shared" si="63"/>
        <v>299</v>
      </c>
    </row>
    <row r="880" spans="1:9" ht="12.75" hidden="1" x14ac:dyDescent="0.25">
      <c r="A880" s="167">
        <f t="shared" si="66"/>
        <v>879</v>
      </c>
      <c r="B880" s="168" t="s">
        <v>1021</v>
      </c>
      <c r="C880" s="168" t="str">
        <f>VLOOKUP(B880,MEMBERS!B:C,2, )</f>
        <v>MR. AIJAZ ALI BALOCH</v>
      </c>
      <c r="D880" s="323">
        <v>46008</v>
      </c>
      <c r="E880" s="175">
        <v>1</v>
      </c>
      <c r="F880" s="168" t="s">
        <v>910</v>
      </c>
      <c r="G880" s="165">
        <f>IFERROR(VLOOKUP(F880,'menu list'!B:C,2,FALSE)*E880,"0")</f>
        <v>300</v>
      </c>
      <c r="H880" s="334">
        <f t="shared" si="64"/>
        <v>45</v>
      </c>
      <c r="I880" s="165">
        <f t="shared" si="63"/>
        <v>345</v>
      </c>
    </row>
    <row r="881" spans="1:9" ht="12.75" hidden="1" x14ac:dyDescent="0.25">
      <c r="A881" s="167">
        <f t="shared" si="66"/>
        <v>880</v>
      </c>
      <c r="B881" s="168" t="s">
        <v>1021</v>
      </c>
      <c r="C881" s="168" t="str">
        <f>VLOOKUP(B881,MEMBERS!B:C,2, )</f>
        <v>MR. AIJAZ ALI BALOCH</v>
      </c>
      <c r="D881" s="323">
        <v>46008</v>
      </c>
      <c r="E881" s="175">
        <v>4</v>
      </c>
      <c r="F881" s="168" t="s">
        <v>502</v>
      </c>
      <c r="G881" s="165">
        <f>IFERROR(VLOOKUP(F881,'menu list'!B:C,2,FALSE)*E881,"0")</f>
        <v>1400</v>
      </c>
      <c r="H881" s="334">
        <f t="shared" si="64"/>
        <v>210</v>
      </c>
      <c r="I881" s="165">
        <f t="shared" si="63"/>
        <v>1610</v>
      </c>
    </row>
    <row r="882" spans="1:9" ht="12.75" hidden="1" x14ac:dyDescent="0.25">
      <c r="A882" s="167">
        <f t="shared" si="66"/>
        <v>881</v>
      </c>
      <c r="B882" s="168" t="s">
        <v>1021</v>
      </c>
      <c r="C882" s="168" t="str">
        <f>VLOOKUP(B882,MEMBERS!B:C,2, )</f>
        <v>MR. AIJAZ ALI BALOCH</v>
      </c>
      <c r="D882" s="323">
        <v>46008</v>
      </c>
      <c r="E882" s="175">
        <v>4</v>
      </c>
      <c r="F882" s="168" t="s">
        <v>442</v>
      </c>
      <c r="G882" s="165">
        <f>IFERROR(VLOOKUP(F882,'menu list'!B:C,2,FALSE)*E882,"0")</f>
        <v>600</v>
      </c>
      <c r="H882" s="334">
        <f t="shared" si="64"/>
        <v>90</v>
      </c>
      <c r="I882" s="165">
        <f t="shared" si="63"/>
        <v>690</v>
      </c>
    </row>
    <row r="883" spans="1:9" ht="12.75" hidden="1" x14ac:dyDescent="0.25">
      <c r="A883" s="167">
        <f t="shared" si="66"/>
        <v>882</v>
      </c>
      <c r="B883" s="168" t="s">
        <v>1021</v>
      </c>
      <c r="C883" s="168" t="str">
        <f>VLOOKUP(B883,MEMBERS!B:C,2, )</f>
        <v>MR. AIJAZ ALI BALOCH</v>
      </c>
      <c r="D883" s="323">
        <v>46008</v>
      </c>
      <c r="E883" s="175">
        <v>1</v>
      </c>
      <c r="F883" s="168" t="s">
        <v>440</v>
      </c>
      <c r="G883" s="165">
        <f>IFERROR(VLOOKUP(F883,'menu list'!B:C,2,FALSE)*E883,"0")</f>
        <v>150</v>
      </c>
      <c r="H883" s="334">
        <f t="shared" si="64"/>
        <v>22.5</v>
      </c>
      <c r="I883" s="165">
        <f t="shared" si="63"/>
        <v>172.5</v>
      </c>
    </row>
    <row r="884" spans="1:9" ht="12.75" hidden="1" x14ac:dyDescent="0.25">
      <c r="A884" s="167">
        <f t="shared" ref="A884:A898" si="67">IF(D884&lt;&gt;"", ROW()-1, "")</f>
        <v>883</v>
      </c>
      <c r="B884" s="168" t="s">
        <v>1021</v>
      </c>
      <c r="C884" s="168" t="str">
        <f>VLOOKUP(B884,MEMBERS!B:C,2, )</f>
        <v>MR. AIJAZ ALI BALOCH</v>
      </c>
      <c r="D884" s="323">
        <v>46008</v>
      </c>
      <c r="E884" s="175">
        <v>1</v>
      </c>
      <c r="F884" s="168" t="s">
        <v>1011</v>
      </c>
      <c r="G884" s="165">
        <f>IFERROR(VLOOKUP(F884,'menu list'!B:C,2,FALSE)*E884,"0")</f>
        <v>1800</v>
      </c>
      <c r="H884" s="334">
        <f t="shared" si="64"/>
        <v>270</v>
      </c>
      <c r="I884" s="165">
        <f t="shared" si="63"/>
        <v>2070</v>
      </c>
    </row>
    <row r="885" spans="1:9" ht="12.75" hidden="1" x14ac:dyDescent="0.25">
      <c r="A885" s="167">
        <f t="shared" si="67"/>
        <v>884</v>
      </c>
      <c r="B885" s="168" t="s">
        <v>1021</v>
      </c>
      <c r="C885" s="168" t="str">
        <f>VLOOKUP(B885,MEMBERS!B:C,2, )</f>
        <v>MR. AIJAZ ALI BALOCH</v>
      </c>
      <c r="D885" s="323">
        <v>46008</v>
      </c>
      <c r="E885" s="175">
        <v>1</v>
      </c>
      <c r="F885" s="168" t="s">
        <v>522</v>
      </c>
      <c r="G885" s="165">
        <f>IFERROR(VLOOKUP(F885,'menu list'!B:C,2,FALSE)*E885,"0")</f>
        <v>1200</v>
      </c>
      <c r="H885" s="334">
        <f t="shared" si="64"/>
        <v>180</v>
      </c>
      <c r="I885" s="165">
        <f t="shared" si="63"/>
        <v>1380</v>
      </c>
    </row>
    <row r="886" spans="1:9" ht="12.75" hidden="1" x14ac:dyDescent="0.25">
      <c r="A886" s="167">
        <f t="shared" si="67"/>
        <v>885</v>
      </c>
      <c r="B886" s="168" t="s">
        <v>1021</v>
      </c>
      <c r="C886" s="168" t="str">
        <f>VLOOKUP(B886,MEMBERS!B:C,2, )</f>
        <v>MR. AIJAZ ALI BALOCH</v>
      </c>
      <c r="D886" s="323">
        <v>46008</v>
      </c>
      <c r="E886" s="175">
        <v>1</v>
      </c>
      <c r="F886" s="168" t="s">
        <v>786</v>
      </c>
      <c r="G886" s="165">
        <f>IFERROR(VLOOKUP(F886,'menu list'!B:C,2,FALSE)*E886,"0")</f>
        <v>1150</v>
      </c>
      <c r="H886" s="334">
        <f t="shared" si="64"/>
        <v>172.5</v>
      </c>
      <c r="I886" s="165">
        <f t="shared" si="63"/>
        <v>1322.5</v>
      </c>
    </row>
    <row r="887" spans="1:9" ht="12.75" hidden="1" x14ac:dyDescent="0.25">
      <c r="A887" s="167">
        <f t="shared" si="67"/>
        <v>886</v>
      </c>
      <c r="B887" s="168" t="s">
        <v>1021</v>
      </c>
      <c r="C887" s="168" t="str">
        <f>VLOOKUP(B887,MEMBERS!B:C,2, )</f>
        <v>MR. AIJAZ ALI BALOCH</v>
      </c>
      <c r="D887" s="323">
        <v>46008</v>
      </c>
      <c r="E887" s="175">
        <v>1</v>
      </c>
      <c r="F887" s="168" t="s">
        <v>910</v>
      </c>
      <c r="G887" s="165">
        <f>IFERROR(VLOOKUP(F887,'menu list'!B:C,2,FALSE)*E887,"0")</f>
        <v>300</v>
      </c>
      <c r="H887" s="334">
        <f t="shared" si="64"/>
        <v>45</v>
      </c>
      <c r="I887" s="165">
        <f t="shared" si="63"/>
        <v>345</v>
      </c>
    </row>
    <row r="888" spans="1:9" ht="12.75" hidden="1" x14ac:dyDescent="0.25">
      <c r="A888" s="167">
        <f t="shared" si="67"/>
        <v>887</v>
      </c>
      <c r="B888" s="168" t="s">
        <v>1021</v>
      </c>
      <c r="C888" s="168" t="str">
        <f>VLOOKUP(B888,MEMBERS!B:C,2, )</f>
        <v>MR. AIJAZ ALI BALOCH</v>
      </c>
      <c r="D888" s="323">
        <v>46008</v>
      </c>
      <c r="E888" s="175">
        <v>1</v>
      </c>
      <c r="F888" s="168" t="s">
        <v>785</v>
      </c>
      <c r="G888" s="165">
        <f>IFERROR(VLOOKUP(F888,'menu list'!B:C,2,FALSE)*E888,"0")</f>
        <v>950</v>
      </c>
      <c r="H888" s="334">
        <f t="shared" si="64"/>
        <v>142.5</v>
      </c>
      <c r="I888" s="165">
        <f t="shared" si="63"/>
        <v>1092.5</v>
      </c>
    </row>
    <row r="889" spans="1:9" ht="12.75" hidden="1" x14ac:dyDescent="0.25">
      <c r="A889" s="167">
        <f t="shared" si="67"/>
        <v>888</v>
      </c>
      <c r="B889" s="168" t="s">
        <v>1021</v>
      </c>
      <c r="C889" s="168" t="str">
        <f>VLOOKUP(B889,MEMBERS!B:C,2, )</f>
        <v>MR. AIJAZ ALI BALOCH</v>
      </c>
      <c r="D889" s="323">
        <v>46008</v>
      </c>
      <c r="E889" s="175">
        <v>1</v>
      </c>
      <c r="F889" s="168" t="s">
        <v>939</v>
      </c>
      <c r="G889" s="165">
        <f>IFERROR(VLOOKUP(F889,'menu list'!B:C,2,FALSE)*E889,"0")</f>
        <v>1200</v>
      </c>
      <c r="H889" s="334">
        <f t="shared" si="64"/>
        <v>180</v>
      </c>
      <c r="I889" s="165">
        <f t="shared" si="63"/>
        <v>1380</v>
      </c>
    </row>
    <row r="890" spans="1:9" ht="12.75" hidden="1" x14ac:dyDescent="0.25">
      <c r="A890" s="167">
        <f t="shared" si="67"/>
        <v>889</v>
      </c>
      <c r="B890" s="168" t="s">
        <v>1021</v>
      </c>
      <c r="C890" s="168" t="str">
        <f>VLOOKUP(B890,MEMBERS!B:C,2, )</f>
        <v>MR. AIJAZ ALI BALOCH</v>
      </c>
      <c r="D890" s="323">
        <v>46008</v>
      </c>
      <c r="E890" s="175">
        <v>1</v>
      </c>
      <c r="F890" s="168" t="s">
        <v>915</v>
      </c>
      <c r="G890" s="165">
        <f>IFERROR(VLOOKUP(F890,'menu list'!B:C,2,FALSE)*E890,"0")</f>
        <v>999</v>
      </c>
      <c r="H890" s="334">
        <f t="shared" si="64"/>
        <v>149.85</v>
      </c>
      <c r="I890" s="165">
        <f t="shared" si="63"/>
        <v>1148.8499999999999</v>
      </c>
    </row>
    <row r="891" spans="1:9" ht="12.75" hidden="1" x14ac:dyDescent="0.25">
      <c r="A891" s="167">
        <f t="shared" si="67"/>
        <v>890</v>
      </c>
      <c r="B891" s="168" t="s">
        <v>1021</v>
      </c>
      <c r="C891" s="168" t="str">
        <f>VLOOKUP(B891,MEMBERS!B:C,2, )</f>
        <v>MR. AIJAZ ALI BALOCH</v>
      </c>
      <c r="D891" s="323">
        <v>46008</v>
      </c>
      <c r="E891" s="175">
        <v>1</v>
      </c>
      <c r="F891" s="168" t="s">
        <v>793</v>
      </c>
      <c r="G891" s="165">
        <f>IFERROR(VLOOKUP(F891,'menu list'!B:C,2,FALSE)*E891,"0")</f>
        <v>800</v>
      </c>
      <c r="H891" s="334">
        <f t="shared" si="64"/>
        <v>120</v>
      </c>
      <c r="I891" s="165">
        <f t="shared" si="63"/>
        <v>920</v>
      </c>
    </row>
    <row r="892" spans="1:9" ht="12.75" hidden="1" x14ac:dyDescent="0.25">
      <c r="A892" s="167">
        <f t="shared" si="67"/>
        <v>891</v>
      </c>
      <c r="B892" s="168" t="s">
        <v>1021</v>
      </c>
      <c r="C892" s="168" t="str">
        <f>VLOOKUP(B892,MEMBERS!B:C,2, )</f>
        <v>MR. AIJAZ ALI BALOCH</v>
      </c>
      <c r="D892" s="323">
        <v>46008</v>
      </c>
      <c r="E892" s="175">
        <v>1</v>
      </c>
      <c r="F892" s="168" t="s">
        <v>441</v>
      </c>
      <c r="G892" s="165">
        <f>IFERROR(VLOOKUP(F892,'menu list'!B:C,2,FALSE)*E892,"0")</f>
        <v>200</v>
      </c>
      <c r="H892" s="334">
        <f t="shared" si="64"/>
        <v>30</v>
      </c>
      <c r="I892" s="165">
        <f t="shared" si="63"/>
        <v>230</v>
      </c>
    </row>
    <row r="893" spans="1:9" ht="12.75" hidden="1" x14ac:dyDescent="0.25">
      <c r="A893" s="167">
        <f t="shared" si="67"/>
        <v>892</v>
      </c>
      <c r="B893" s="168" t="s">
        <v>1021</v>
      </c>
      <c r="C893" s="168" t="str">
        <f>VLOOKUP(B893,MEMBERS!B:C,2, )</f>
        <v>MR. AIJAZ ALI BALOCH</v>
      </c>
      <c r="D893" s="323">
        <v>46008</v>
      </c>
      <c r="E893" s="175">
        <v>1</v>
      </c>
      <c r="F893" s="168" t="s">
        <v>861</v>
      </c>
      <c r="G893" s="165">
        <f>IFERROR(VLOOKUP(F893,'menu list'!B:C,2,FALSE)*E893,"0")</f>
        <v>800</v>
      </c>
      <c r="H893" s="334">
        <f t="shared" si="64"/>
        <v>120</v>
      </c>
      <c r="I893" s="165">
        <f t="shared" si="63"/>
        <v>920</v>
      </c>
    </row>
    <row r="894" spans="1:9" ht="12.75" hidden="1" x14ac:dyDescent="0.25">
      <c r="A894" s="167">
        <f t="shared" si="67"/>
        <v>893</v>
      </c>
      <c r="B894" s="168" t="s">
        <v>1021</v>
      </c>
      <c r="C894" s="168" t="str">
        <f>VLOOKUP(B894,MEMBERS!B:C,2, )</f>
        <v>MR. AIJAZ ALI BALOCH</v>
      </c>
      <c r="D894" s="323">
        <v>46008</v>
      </c>
      <c r="E894" s="175">
        <v>2</v>
      </c>
      <c r="F894" s="168" t="s">
        <v>1057</v>
      </c>
      <c r="G894" s="165">
        <f>IFERROR(VLOOKUP(F894,'menu list'!B:C,2,FALSE)*E894,"0")</f>
        <v>1700</v>
      </c>
      <c r="H894" s="334">
        <f t="shared" si="64"/>
        <v>255</v>
      </c>
      <c r="I894" s="165">
        <f t="shared" si="63"/>
        <v>1955</v>
      </c>
    </row>
    <row r="895" spans="1:9" ht="12.75" hidden="1" x14ac:dyDescent="0.25">
      <c r="A895" s="167">
        <f t="shared" si="67"/>
        <v>894</v>
      </c>
      <c r="B895" s="168" t="s">
        <v>1021</v>
      </c>
      <c r="C895" s="168" t="str">
        <f>VLOOKUP(B895,MEMBERS!B:C,2, )</f>
        <v>MR. AIJAZ ALI BALOCH</v>
      </c>
      <c r="D895" s="323">
        <v>46008</v>
      </c>
      <c r="E895" s="175">
        <v>2</v>
      </c>
      <c r="F895" s="168" t="s">
        <v>502</v>
      </c>
      <c r="G895" s="165">
        <f>IFERROR(VLOOKUP(F895,'menu list'!B:C,2,FALSE)*E895,"0")</f>
        <v>700</v>
      </c>
      <c r="H895" s="334">
        <f t="shared" si="64"/>
        <v>105</v>
      </c>
      <c r="I895" s="165">
        <f t="shared" si="63"/>
        <v>805</v>
      </c>
    </row>
    <row r="896" spans="1:9" ht="12.75" hidden="1" x14ac:dyDescent="0.25">
      <c r="A896" s="167">
        <f t="shared" ref="A896:A897" si="68">IF(D896&lt;&gt;"", ROW()-1, "")</f>
        <v>895</v>
      </c>
      <c r="B896" s="168" t="s">
        <v>1021</v>
      </c>
      <c r="C896" s="168" t="str">
        <f>VLOOKUP(B896,MEMBERS!B:C,2, )</f>
        <v>MR. AIJAZ ALI BALOCH</v>
      </c>
      <c r="D896" s="323">
        <v>46008</v>
      </c>
      <c r="E896" s="175">
        <v>3</v>
      </c>
      <c r="F896" s="168" t="s">
        <v>499</v>
      </c>
      <c r="G896" s="165">
        <f>IFERROR(VLOOKUP(F896,'menu list'!B:C,2,FALSE)*E896,"0")</f>
        <v>300</v>
      </c>
      <c r="H896" s="334">
        <f t="shared" si="64"/>
        <v>45</v>
      </c>
      <c r="I896" s="165">
        <f t="shared" si="63"/>
        <v>345</v>
      </c>
    </row>
    <row r="897" spans="1:9" ht="12.75" hidden="1" x14ac:dyDescent="0.25">
      <c r="A897" s="167">
        <f t="shared" si="68"/>
        <v>896</v>
      </c>
      <c r="B897" s="168" t="s">
        <v>1021</v>
      </c>
      <c r="C897" s="168" t="str">
        <f>VLOOKUP(B897,MEMBERS!B:C,2, )</f>
        <v>MR. AIJAZ ALI BALOCH</v>
      </c>
      <c r="D897" s="323">
        <v>46008</v>
      </c>
      <c r="E897" s="175">
        <v>14</v>
      </c>
      <c r="F897" s="168" t="s">
        <v>1186</v>
      </c>
      <c r="G897" s="165">
        <f>IFERROR(VLOOKUP(F897,'menu list'!B:C,2,FALSE)*E897,"0")</f>
        <v>14000</v>
      </c>
      <c r="H897" s="334">
        <f t="shared" si="64"/>
        <v>2100</v>
      </c>
      <c r="I897" s="165">
        <f t="shared" si="63"/>
        <v>16100</v>
      </c>
    </row>
    <row r="898" spans="1:9" ht="12.75" hidden="1" x14ac:dyDescent="0.25">
      <c r="A898" s="167">
        <f t="shared" si="67"/>
        <v>897</v>
      </c>
      <c r="B898" s="168" t="s">
        <v>1020</v>
      </c>
      <c r="C898" s="168" t="str">
        <f>VLOOKUP(B898,MEMBERS!B:C,2, )</f>
        <v>MR. MUNAWAR HUSSAIN</v>
      </c>
      <c r="D898" s="323">
        <v>46008</v>
      </c>
      <c r="E898" s="175">
        <v>1</v>
      </c>
      <c r="F898" s="168" t="s">
        <v>440</v>
      </c>
      <c r="G898" s="165">
        <f>IFERROR(VLOOKUP(F898,'menu list'!B:C,2,FALSE)*E898,"0")</f>
        <v>150</v>
      </c>
      <c r="H898" s="334">
        <f t="shared" si="64"/>
        <v>22.5</v>
      </c>
      <c r="I898" s="165">
        <f t="shared" si="63"/>
        <v>172.5</v>
      </c>
    </row>
    <row r="899" spans="1:9" ht="12.75" hidden="1" x14ac:dyDescent="0.25">
      <c r="A899" s="167">
        <f t="shared" ref="A899:A906" si="69">IF(D899&lt;&gt;"", ROW()-1, "")</f>
        <v>898</v>
      </c>
      <c r="B899" s="168" t="s">
        <v>1020</v>
      </c>
      <c r="C899" s="168" t="str">
        <f>VLOOKUP(B899,MEMBERS!B:C,2, )</f>
        <v>MR. MUNAWAR HUSSAIN</v>
      </c>
      <c r="D899" s="323">
        <v>46008</v>
      </c>
      <c r="E899" s="175">
        <v>1</v>
      </c>
      <c r="F899" s="168" t="s">
        <v>653</v>
      </c>
      <c r="G899" s="165">
        <f>IFERROR(VLOOKUP(F899,'menu list'!B:C,2,FALSE)*E899,"0")</f>
        <v>350</v>
      </c>
      <c r="H899" s="334">
        <f t="shared" ref="H899:H962" si="70">G899*15/100</f>
        <v>52.5</v>
      </c>
      <c r="I899" s="165">
        <f t="shared" si="63"/>
        <v>402.5</v>
      </c>
    </row>
    <row r="900" spans="1:9" ht="12.75" hidden="1" x14ac:dyDescent="0.25">
      <c r="A900" s="167">
        <f t="shared" si="69"/>
        <v>899</v>
      </c>
      <c r="B900" s="168" t="s">
        <v>1020</v>
      </c>
      <c r="C900" s="168" t="str">
        <f>VLOOKUP(B900,MEMBERS!B:C,2, )</f>
        <v>MR. MUNAWAR HUSSAIN</v>
      </c>
      <c r="D900" s="323">
        <v>46008</v>
      </c>
      <c r="E900" s="175">
        <v>1</v>
      </c>
      <c r="F900" s="168" t="s">
        <v>833</v>
      </c>
      <c r="G900" s="165">
        <f>IFERROR(VLOOKUP(F900,'menu list'!B:C,2,FALSE)*E900,"0")</f>
        <v>350</v>
      </c>
      <c r="H900" s="334">
        <f t="shared" si="70"/>
        <v>52.5</v>
      </c>
      <c r="I900" s="165">
        <f t="shared" ref="I900:I963" si="71">G900+H900</f>
        <v>402.5</v>
      </c>
    </row>
    <row r="901" spans="1:9" ht="12.75" hidden="1" x14ac:dyDescent="0.25">
      <c r="A901" s="167">
        <f t="shared" si="69"/>
        <v>900</v>
      </c>
      <c r="B901" s="168" t="s">
        <v>1020</v>
      </c>
      <c r="C901" s="168" t="str">
        <f>VLOOKUP(B901,MEMBERS!B:C,2, )</f>
        <v>MR. MUNAWAR HUSSAIN</v>
      </c>
      <c r="D901" s="323">
        <v>46008</v>
      </c>
      <c r="E901" s="175">
        <v>1</v>
      </c>
      <c r="F901" s="168" t="s">
        <v>724</v>
      </c>
      <c r="G901" s="165">
        <f>IFERROR(VLOOKUP(F901,'menu list'!B:C,2,FALSE)*E901,"0")</f>
        <v>400</v>
      </c>
      <c r="H901" s="334">
        <f t="shared" si="70"/>
        <v>60</v>
      </c>
      <c r="I901" s="165">
        <f t="shared" si="71"/>
        <v>460</v>
      </c>
    </row>
    <row r="902" spans="1:9" ht="12.75" hidden="1" x14ac:dyDescent="0.25">
      <c r="A902" s="167">
        <f t="shared" si="69"/>
        <v>901</v>
      </c>
      <c r="B902" s="168" t="s">
        <v>1020</v>
      </c>
      <c r="C902" s="168" t="str">
        <f>VLOOKUP(B902,MEMBERS!B:C,2, )</f>
        <v>MR. MUNAWAR HUSSAIN</v>
      </c>
      <c r="D902" s="323">
        <v>46008</v>
      </c>
      <c r="E902" s="175">
        <v>1</v>
      </c>
      <c r="F902" s="168" t="s">
        <v>601</v>
      </c>
      <c r="G902" s="165">
        <f>IFERROR(VLOOKUP(F902,'menu list'!B:C,2,FALSE)*E902,"0")</f>
        <v>1200</v>
      </c>
      <c r="H902" s="334">
        <f t="shared" si="70"/>
        <v>180</v>
      </c>
      <c r="I902" s="165">
        <f t="shared" si="71"/>
        <v>1380</v>
      </c>
    </row>
    <row r="903" spans="1:9" ht="12.75" hidden="1" x14ac:dyDescent="0.25">
      <c r="A903" s="167">
        <f t="shared" si="69"/>
        <v>902</v>
      </c>
      <c r="B903" s="168" t="s">
        <v>1020</v>
      </c>
      <c r="C903" s="168" t="str">
        <f>VLOOKUP(B903,MEMBERS!B:C,2, )</f>
        <v>MR. MUNAWAR HUSSAIN</v>
      </c>
      <c r="D903" s="323">
        <v>46008</v>
      </c>
      <c r="E903" s="175">
        <v>1</v>
      </c>
      <c r="F903" s="168" t="s">
        <v>439</v>
      </c>
      <c r="G903" s="165">
        <f>IFERROR(VLOOKUP(F903,'menu list'!B:C,2,FALSE)*E903,"0")</f>
        <v>70</v>
      </c>
      <c r="H903" s="334">
        <f t="shared" si="70"/>
        <v>10.5</v>
      </c>
      <c r="I903" s="165">
        <f t="shared" si="71"/>
        <v>80.5</v>
      </c>
    </row>
    <row r="904" spans="1:9" ht="12.75" hidden="1" x14ac:dyDescent="0.25">
      <c r="A904" s="167">
        <f t="shared" si="69"/>
        <v>903</v>
      </c>
      <c r="B904" s="168" t="s">
        <v>1020</v>
      </c>
      <c r="C904" s="168" t="str">
        <f>VLOOKUP(B904,MEMBERS!B:C,2, )</f>
        <v>MR. MUNAWAR HUSSAIN</v>
      </c>
      <c r="D904" s="323">
        <v>46008</v>
      </c>
      <c r="E904" s="175">
        <v>1</v>
      </c>
      <c r="F904" s="168" t="s">
        <v>504</v>
      </c>
      <c r="G904" s="165">
        <f>IFERROR(VLOOKUP(F904,'menu list'!B:C,2,FALSE)*E904,"0")</f>
        <v>130</v>
      </c>
      <c r="H904" s="334">
        <f t="shared" si="70"/>
        <v>19.5</v>
      </c>
      <c r="I904" s="165">
        <f t="shared" si="71"/>
        <v>149.5</v>
      </c>
    </row>
    <row r="905" spans="1:9" ht="12.75" hidden="1" x14ac:dyDescent="0.25">
      <c r="A905" s="167">
        <f t="shared" si="69"/>
        <v>904</v>
      </c>
      <c r="B905" s="168" t="s">
        <v>1020</v>
      </c>
      <c r="C905" s="168" t="str">
        <f>VLOOKUP(B905,MEMBERS!B:C,2, )</f>
        <v>MR. MUNAWAR HUSSAIN</v>
      </c>
      <c r="D905" s="323">
        <v>46008</v>
      </c>
      <c r="E905" s="175">
        <v>1</v>
      </c>
      <c r="F905" s="168" t="s">
        <v>836</v>
      </c>
      <c r="G905" s="165">
        <f>IFERROR(VLOOKUP(F905,'menu list'!B:C,2,FALSE)*E905,"0")</f>
        <v>350</v>
      </c>
      <c r="H905" s="334">
        <f t="shared" si="70"/>
        <v>52.5</v>
      </c>
      <c r="I905" s="165">
        <f t="shared" si="71"/>
        <v>402.5</v>
      </c>
    </row>
    <row r="906" spans="1:9" ht="12.75" hidden="1" x14ac:dyDescent="0.25">
      <c r="A906" s="167">
        <f t="shared" si="69"/>
        <v>905</v>
      </c>
      <c r="B906" s="168" t="s">
        <v>1024</v>
      </c>
      <c r="C906" s="168" t="str">
        <f>VLOOKUP(B906,MEMBERS!B:C,2, )</f>
        <v>MR. ANEEL ZAHOOR</v>
      </c>
      <c r="D906" s="323">
        <v>46009</v>
      </c>
      <c r="E906" s="175">
        <v>3</v>
      </c>
      <c r="F906" s="168" t="s">
        <v>633</v>
      </c>
      <c r="G906" s="165">
        <f>IFERROR(VLOOKUP(F906,'menu list'!B:C,2,FALSE)*E906,"0")</f>
        <v>2100</v>
      </c>
      <c r="H906" s="334">
        <f t="shared" si="70"/>
        <v>315</v>
      </c>
      <c r="I906" s="165">
        <f t="shared" si="71"/>
        <v>2415</v>
      </c>
    </row>
    <row r="907" spans="1:9" ht="12.75" hidden="1" x14ac:dyDescent="0.25">
      <c r="A907" s="167">
        <f t="shared" ref="A907:A940" si="72">IF(D907&lt;&gt;"", ROW()-1, "")</f>
        <v>906</v>
      </c>
      <c r="B907" s="168" t="s">
        <v>1024</v>
      </c>
      <c r="C907" s="168" t="str">
        <f>VLOOKUP(B907,MEMBERS!B:C,2, )</f>
        <v>MR. ANEEL ZAHOOR</v>
      </c>
      <c r="D907" s="323">
        <v>46009</v>
      </c>
      <c r="E907" s="175">
        <v>2</v>
      </c>
      <c r="F907" s="168" t="s">
        <v>775</v>
      </c>
      <c r="G907" s="165">
        <f>IFERROR(VLOOKUP(F907,'menu list'!B:C,2,FALSE)*E907,"0")</f>
        <v>200</v>
      </c>
      <c r="H907" s="334">
        <f t="shared" si="70"/>
        <v>30</v>
      </c>
      <c r="I907" s="165">
        <f t="shared" si="71"/>
        <v>230</v>
      </c>
    </row>
    <row r="908" spans="1:9" ht="12.75" hidden="1" x14ac:dyDescent="0.25">
      <c r="A908" s="167">
        <f t="shared" si="72"/>
        <v>907</v>
      </c>
      <c r="B908" s="168" t="s">
        <v>1024</v>
      </c>
      <c r="C908" s="168" t="str">
        <f>VLOOKUP(B908,MEMBERS!B:C,2, )</f>
        <v>MR. ANEEL ZAHOOR</v>
      </c>
      <c r="D908" s="323">
        <v>46009</v>
      </c>
      <c r="E908" s="175">
        <v>2</v>
      </c>
      <c r="F908" s="168" t="s">
        <v>498</v>
      </c>
      <c r="G908" s="165">
        <f>IFERROR(VLOOKUP(F908,'menu list'!B:C,2,FALSE)*E908,"0")</f>
        <v>400</v>
      </c>
      <c r="H908" s="334">
        <f t="shared" si="70"/>
        <v>60</v>
      </c>
      <c r="I908" s="165">
        <f t="shared" si="71"/>
        <v>460</v>
      </c>
    </row>
    <row r="909" spans="1:9" ht="12.75" hidden="1" x14ac:dyDescent="0.25">
      <c r="A909" s="167">
        <f t="shared" si="72"/>
        <v>908</v>
      </c>
      <c r="B909" s="168" t="s">
        <v>1024</v>
      </c>
      <c r="C909" s="168" t="str">
        <f>VLOOKUP(B909,MEMBERS!B:C,2, )</f>
        <v>MR. ANEEL ZAHOOR</v>
      </c>
      <c r="D909" s="323">
        <v>46009</v>
      </c>
      <c r="E909" s="175">
        <v>2</v>
      </c>
      <c r="F909" s="168" t="s">
        <v>442</v>
      </c>
      <c r="G909" s="165">
        <f>IFERROR(VLOOKUP(F909,'menu list'!B:C,2,FALSE)*E909,"0")</f>
        <v>300</v>
      </c>
      <c r="H909" s="334">
        <f t="shared" si="70"/>
        <v>45</v>
      </c>
      <c r="I909" s="165">
        <f t="shared" si="71"/>
        <v>345</v>
      </c>
    </row>
    <row r="910" spans="1:9" ht="12.75" hidden="1" x14ac:dyDescent="0.25">
      <c r="A910" s="167">
        <f t="shared" si="72"/>
        <v>909</v>
      </c>
      <c r="B910" s="168" t="s">
        <v>1024</v>
      </c>
      <c r="C910" s="168" t="str">
        <f>VLOOKUP(B910,MEMBERS!B:C,2, )</f>
        <v>MR. ANEEL ZAHOOR</v>
      </c>
      <c r="D910" s="323">
        <v>46009</v>
      </c>
      <c r="E910" s="175">
        <v>1</v>
      </c>
      <c r="F910" s="168" t="s">
        <v>499</v>
      </c>
      <c r="G910" s="165">
        <f>IFERROR(VLOOKUP(F910,'menu list'!B:C,2,FALSE)*E910,"0")</f>
        <v>100</v>
      </c>
      <c r="H910" s="334">
        <f t="shared" si="70"/>
        <v>15</v>
      </c>
      <c r="I910" s="165">
        <f t="shared" si="71"/>
        <v>115</v>
      </c>
    </row>
    <row r="911" spans="1:9" ht="12.75" hidden="1" x14ac:dyDescent="0.25">
      <c r="A911" s="167">
        <f t="shared" si="72"/>
        <v>910</v>
      </c>
      <c r="B911" s="168" t="s">
        <v>1024</v>
      </c>
      <c r="C911" s="168" t="str">
        <f>VLOOKUP(B911,MEMBERS!B:C,2, )</f>
        <v>MR. ANEEL ZAHOOR</v>
      </c>
      <c r="D911" s="323">
        <v>46009</v>
      </c>
      <c r="E911" s="175">
        <v>2</v>
      </c>
      <c r="F911" s="168" t="s">
        <v>440</v>
      </c>
      <c r="G911" s="165">
        <f>IFERROR(VLOOKUP(F911,'menu list'!B:C,2,FALSE)*E911,"0")</f>
        <v>300</v>
      </c>
      <c r="H911" s="334">
        <f t="shared" si="70"/>
        <v>45</v>
      </c>
      <c r="I911" s="165">
        <f t="shared" si="71"/>
        <v>345</v>
      </c>
    </row>
    <row r="912" spans="1:9" ht="12.75" hidden="1" x14ac:dyDescent="0.25">
      <c r="A912" s="167">
        <f t="shared" si="72"/>
        <v>911</v>
      </c>
      <c r="B912" s="168" t="s">
        <v>1024</v>
      </c>
      <c r="C912" s="168" t="str">
        <f>VLOOKUP(B912,MEMBERS!B:C,2, )</f>
        <v>MR. ANEEL ZAHOOR</v>
      </c>
      <c r="D912" s="323">
        <v>46009</v>
      </c>
      <c r="E912" s="175">
        <v>1</v>
      </c>
      <c r="F912" s="168" t="s">
        <v>740</v>
      </c>
      <c r="G912" s="165">
        <f>IFERROR(VLOOKUP(F912,'menu list'!B:C,2,FALSE)*E912,"0")</f>
        <v>1800</v>
      </c>
      <c r="H912" s="334">
        <f t="shared" si="70"/>
        <v>270</v>
      </c>
      <c r="I912" s="165">
        <f t="shared" si="71"/>
        <v>2070</v>
      </c>
    </row>
    <row r="913" spans="1:9" ht="12.75" hidden="1" x14ac:dyDescent="0.25">
      <c r="A913" s="167">
        <f t="shared" si="72"/>
        <v>912</v>
      </c>
      <c r="B913" s="168" t="s">
        <v>1024</v>
      </c>
      <c r="C913" s="168" t="str">
        <f>VLOOKUP(B913,MEMBERS!B:C,2, )</f>
        <v>MR. ANEEL ZAHOOR</v>
      </c>
      <c r="D913" s="323">
        <v>46009</v>
      </c>
      <c r="E913" s="175">
        <v>1</v>
      </c>
      <c r="F913" s="168" t="s">
        <v>772</v>
      </c>
      <c r="G913" s="165">
        <f>IFERROR(VLOOKUP(F913,'menu list'!B:C,2,FALSE)*E913,"0")</f>
        <v>900</v>
      </c>
      <c r="H913" s="334">
        <f t="shared" si="70"/>
        <v>135</v>
      </c>
      <c r="I913" s="165">
        <f t="shared" si="71"/>
        <v>1035</v>
      </c>
    </row>
    <row r="914" spans="1:9" ht="12.75" hidden="1" x14ac:dyDescent="0.25">
      <c r="A914" s="167">
        <f t="shared" si="72"/>
        <v>913</v>
      </c>
      <c r="B914" s="168" t="s">
        <v>1024</v>
      </c>
      <c r="C914" s="168" t="str">
        <f>VLOOKUP(B914,MEMBERS!B:C,2, )</f>
        <v>MR. ANEEL ZAHOOR</v>
      </c>
      <c r="D914" s="323">
        <v>46009</v>
      </c>
      <c r="E914" s="175">
        <v>1</v>
      </c>
      <c r="F914" s="168" t="s">
        <v>939</v>
      </c>
      <c r="G914" s="165">
        <f>IFERROR(VLOOKUP(F914,'menu list'!B:C,2,FALSE)*E914,"0")</f>
        <v>1200</v>
      </c>
      <c r="H914" s="334">
        <f t="shared" si="70"/>
        <v>180</v>
      </c>
      <c r="I914" s="165">
        <f t="shared" si="71"/>
        <v>1380</v>
      </c>
    </row>
    <row r="915" spans="1:9" ht="12.75" hidden="1" x14ac:dyDescent="0.25">
      <c r="A915" s="167">
        <f t="shared" si="72"/>
        <v>914</v>
      </c>
      <c r="B915" s="168" t="s">
        <v>1024</v>
      </c>
      <c r="C915" s="168" t="str">
        <f>VLOOKUP(B915,MEMBERS!B:C,2, )</f>
        <v>MR. ANEEL ZAHOOR</v>
      </c>
      <c r="D915" s="323">
        <v>46009</v>
      </c>
      <c r="E915" s="175">
        <v>5</v>
      </c>
      <c r="F915" s="168" t="s">
        <v>439</v>
      </c>
      <c r="G915" s="165">
        <f>IFERROR(VLOOKUP(F915,'menu list'!B:C,2,FALSE)*E915,"0")</f>
        <v>350</v>
      </c>
      <c r="H915" s="334">
        <f t="shared" si="70"/>
        <v>52.5</v>
      </c>
      <c r="I915" s="165">
        <f t="shared" si="71"/>
        <v>402.5</v>
      </c>
    </row>
    <row r="916" spans="1:9" ht="12.75" hidden="1" x14ac:dyDescent="0.25">
      <c r="A916" s="167">
        <f t="shared" si="72"/>
        <v>915</v>
      </c>
      <c r="B916" s="168" t="s">
        <v>1024</v>
      </c>
      <c r="C916" s="168" t="str">
        <f>VLOOKUP(B916,MEMBERS!B:C,2, )</f>
        <v>MR. ANEEL ZAHOOR</v>
      </c>
      <c r="D916" s="323">
        <v>46009</v>
      </c>
      <c r="E916" s="175">
        <v>1</v>
      </c>
      <c r="F916" s="168" t="s">
        <v>497</v>
      </c>
      <c r="G916" s="165">
        <f>IFERROR(VLOOKUP(F916,'menu list'!B:C,2,FALSE)*E916,"0")</f>
        <v>250</v>
      </c>
      <c r="H916" s="334">
        <f t="shared" si="70"/>
        <v>37.5</v>
      </c>
      <c r="I916" s="165">
        <f t="shared" si="71"/>
        <v>287.5</v>
      </c>
    </row>
    <row r="917" spans="1:9" ht="12.75" hidden="1" x14ac:dyDescent="0.25">
      <c r="A917" s="167">
        <f t="shared" si="72"/>
        <v>916</v>
      </c>
      <c r="B917" s="168" t="s">
        <v>1024</v>
      </c>
      <c r="C917" s="168" t="str">
        <f>VLOOKUP(B917,MEMBERS!B:C,2, )</f>
        <v>MR. ANEEL ZAHOOR</v>
      </c>
      <c r="D917" s="323">
        <v>46009</v>
      </c>
      <c r="E917" s="175">
        <v>4</v>
      </c>
      <c r="F917" s="168" t="s">
        <v>504</v>
      </c>
      <c r="G917" s="165">
        <f>IFERROR(VLOOKUP(F917,'menu list'!B:C,2,FALSE)*E917,"0")</f>
        <v>520</v>
      </c>
      <c r="H917" s="334">
        <f t="shared" si="70"/>
        <v>78</v>
      </c>
      <c r="I917" s="165">
        <f t="shared" si="71"/>
        <v>598</v>
      </c>
    </row>
    <row r="918" spans="1:9" ht="12.75" hidden="1" x14ac:dyDescent="0.25">
      <c r="A918" s="167">
        <f t="shared" si="72"/>
        <v>917</v>
      </c>
      <c r="B918" s="168" t="s">
        <v>1024</v>
      </c>
      <c r="C918" s="168" t="str">
        <f>VLOOKUP(B918,MEMBERS!B:C,2, )</f>
        <v>MR. ANEEL ZAHOOR</v>
      </c>
      <c r="D918" s="323">
        <v>46009</v>
      </c>
      <c r="E918" s="175">
        <v>4</v>
      </c>
      <c r="F918" s="168" t="s">
        <v>442</v>
      </c>
      <c r="G918" s="165">
        <f>IFERROR(VLOOKUP(F918,'menu list'!B:C,2,FALSE)*E918,"0")</f>
        <v>600</v>
      </c>
      <c r="H918" s="334">
        <f t="shared" si="70"/>
        <v>90</v>
      </c>
      <c r="I918" s="165">
        <f t="shared" si="71"/>
        <v>690</v>
      </c>
    </row>
    <row r="919" spans="1:9" ht="12.75" hidden="1" x14ac:dyDescent="0.25">
      <c r="A919" s="167">
        <f t="shared" si="72"/>
        <v>918</v>
      </c>
      <c r="B919" s="168" t="s">
        <v>1024</v>
      </c>
      <c r="C919" s="168" t="str">
        <f>VLOOKUP(B919,MEMBERS!B:C,2, )</f>
        <v>MR. ANEEL ZAHOOR</v>
      </c>
      <c r="D919" s="323">
        <v>46009</v>
      </c>
      <c r="E919" s="175">
        <v>1</v>
      </c>
      <c r="F919" s="168" t="s">
        <v>502</v>
      </c>
      <c r="G919" s="165">
        <f>IFERROR(VLOOKUP(F919,'menu list'!B:C,2,FALSE)*E919,"0")</f>
        <v>350</v>
      </c>
      <c r="H919" s="334">
        <f t="shared" si="70"/>
        <v>52.5</v>
      </c>
      <c r="I919" s="165">
        <f t="shared" si="71"/>
        <v>402.5</v>
      </c>
    </row>
    <row r="920" spans="1:9" ht="12.75" hidden="1" x14ac:dyDescent="0.25">
      <c r="A920" s="167">
        <f t="shared" si="72"/>
        <v>919</v>
      </c>
      <c r="B920" s="168" t="s">
        <v>1024</v>
      </c>
      <c r="C920" s="168" t="str">
        <f>VLOOKUP(B920,MEMBERS!B:C,2, )</f>
        <v>MR. ANEEL ZAHOOR</v>
      </c>
      <c r="D920" s="323">
        <v>46009</v>
      </c>
      <c r="E920" s="175">
        <v>1</v>
      </c>
      <c r="F920" s="168" t="s">
        <v>852</v>
      </c>
      <c r="G920" s="165">
        <f>IFERROR(VLOOKUP(F920,'menu list'!B:C,2,FALSE)*E920,"0")</f>
        <v>850</v>
      </c>
      <c r="H920" s="334">
        <f t="shared" si="70"/>
        <v>127.5</v>
      </c>
      <c r="I920" s="165">
        <f t="shared" si="71"/>
        <v>977.5</v>
      </c>
    </row>
    <row r="921" spans="1:9" ht="12.75" hidden="1" x14ac:dyDescent="0.25">
      <c r="A921" s="167">
        <f t="shared" si="72"/>
        <v>920</v>
      </c>
      <c r="B921" s="168" t="s">
        <v>1053</v>
      </c>
      <c r="C921" s="168" t="str">
        <f>VLOOKUP(B921,MEMBERS!B:C,2, )</f>
        <v>MR. ZAMIR ALI SHAH</v>
      </c>
      <c r="D921" s="323">
        <v>46009</v>
      </c>
      <c r="E921" s="175">
        <v>1</v>
      </c>
      <c r="F921" s="168" t="s">
        <v>836</v>
      </c>
      <c r="G921" s="165">
        <f>IFERROR(VLOOKUP(F921,'menu list'!B:C,2,FALSE)*E921,"0")</f>
        <v>350</v>
      </c>
      <c r="H921" s="334">
        <f t="shared" si="70"/>
        <v>52.5</v>
      </c>
      <c r="I921" s="165">
        <f t="shared" si="71"/>
        <v>402.5</v>
      </c>
    </row>
    <row r="922" spans="1:9" ht="12.75" hidden="1" x14ac:dyDescent="0.25">
      <c r="A922" s="167">
        <f t="shared" si="72"/>
        <v>921</v>
      </c>
      <c r="B922" s="168" t="s">
        <v>1053</v>
      </c>
      <c r="C922" s="168" t="str">
        <f>VLOOKUP(B922,MEMBERS!B:C,2, )</f>
        <v>MR. ZAMIR ALI SHAH</v>
      </c>
      <c r="D922" s="323">
        <v>46009</v>
      </c>
      <c r="E922" s="175">
        <v>1</v>
      </c>
      <c r="F922" s="168" t="s">
        <v>500</v>
      </c>
      <c r="G922" s="165">
        <f>IFERROR(VLOOKUP(F922,'menu list'!B:C,2,FALSE)*E922,"0")</f>
        <v>1250</v>
      </c>
      <c r="H922" s="334">
        <f t="shared" si="70"/>
        <v>187.5</v>
      </c>
      <c r="I922" s="165">
        <f t="shared" si="71"/>
        <v>1437.5</v>
      </c>
    </row>
    <row r="923" spans="1:9" ht="12.75" hidden="1" x14ac:dyDescent="0.25">
      <c r="A923" s="167">
        <f t="shared" si="72"/>
        <v>922</v>
      </c>
      <c r="B923" s="168" t="s">
        <v>1053</v>
      </c>
      <c r="C923" s="168" t="str">
        <f>VLOOKUP(B923,MEMBERS!B:C,2, )</f>
        <v>MR. ZAMIR ALI SHAH</v>
      </c>
      <c r="D923" s="323">
        <v>46009</v>
      </c>
      <c r="E923" s="175">
        <v>2</v>
      </c>
      <c r="F923" s="168" t="s">
        <v>499</v>
      </c>
      <c r="G923" s="165">
        <f>IFERROR(VLOOKUP(F923,'menu list'!B:C,2,FALSE)*E923,"0")</f>
        <v>200</v>
      </c>
      <c r="H923" s="334">
        <f t="shared" si="70"/>
        <v>30</v>
      </c>
      <c r="I923" s="165">
        <f t="shared" si="71"/>
        <v>230</v>
      </c>
    </row>
    <row r="924" spans="1:9" ht="12.75" hidden="1" x14ac:dyDescent="0.25">
      <c r="A924" s="167">
        <f t="shared" si="72"/>
        <v>923</v>
      </c>
      <c r="B924" s="168" t="s">
        <v>1053</v>
      </c>
      <c r="C924" s="168" t="str">
        <f>VLOOKUP(B924,MEMBERS!B:C,2, )</f>
        <v>MR. ZAMIR ALI SHAH</v>
      </c>
      <c r="D924" s="323">
        <v>46009</v>
      </c>
      <c r="E924" s="175">
        <v>1</v>
      </c>
      <c r="F924" s="168" t="s">
        <v>498</v>
      </c>
      <c r="G924" s="165">
        <f>IFERROR(VLOOKUP(F924,'menu list'!B:C,2,FALSE)*E924,"0")</f>
        <v>200</v>
      </c>
      <c r="H924" s="334">
        <f t="shared" si="70"/>
        <v>30</v>
      </c>
      <c r="I924" s="165">
        <f t="shared" si="71"/>
        <v>230</v>
      </c>
    </row>
    <row r="925" spans="1:9" ht="12.75" hidden="1" x14ac:dyDescent="0.25">
      <c r="A925" s="167">
        <f t="shared" si="72"/>
        <v>924</v>
      </c>
      <c r="B925" s="168" t="s">
        <v>1053</v>
      </c>
      <c r="C925" s="168" t="str">
        <f>VLOOKUP(B925,MEMBERS!B:C,2, )</f>
        <v>MR. ZAMIR ALI SHAH</v>
      </c>
      <c r="D925" s="323">
        <v>46009</v>
      </c>
      <c r="E925" s="175">
        <v>1</v>
      </c>
      <c r="F925" s="168" t="s">
        <v>634</v>
      </c>
      <c r="G925" s="165">
        <f>IFERROR(VLOOKUP(F925,'menu list'!B:C,2,FALSE)*E925,"0")</f>
        <v>500</v>
      </c>
      <c r="H925" s="334">
        <f t="shared" si="70"/>
        <v>75</v>
      </c>
      <c r="I925" s="165">
        <f t="shared" si="71"/>
        <v>575</v>
      </c>
    </row>
    <row r="926" spans="1:9" ht="12.75" hidden="1" x14ac:dyDescent="0.25">
      <c r="A926" s="167">
        <f t="shared" si="72"/>
        <v>925</v>
      </c>
      <c r="B926" s="168" t="s">
        <v>1053</v>
      </c>
      <c r="C926" s="168" t="str">
        <f>VLOOKUP(B926,MEMBERS!B:C,2, )</f>
        <v>MR. ZAMIR ALI SHAH</v>
      </c>
      <c r="D926" s="323">
        <v>46009</v>
      </c>
      <c r="E926" s="175">
        <v>1</v>
      </c>
      <c r="F926" s="168" t="s">
        <v>785</v>
      </c>
      <c r="G926" s="165">
        <f>IFERROR(VLOOKUP(F926,'menu list'!B:C,2,FALSE)*E926,"0")</f>
        <v>950</v>
      </c>
      <c r="H926" s="334">
        <f t="shared" si="70"/>
        <v>142.5</v>
      </c>
      <c r="I926" s="165">
        <f t="shared" si="71"/>
        <v>1092.5</v>
      </c>
    </row>
    <row r="927" spans="1:9" ht="12.75" hidden="1" x14ac:dyDescent="0.25">
      <c r="A927" s="167">
        <f t="shared" si="72"/>
        <v>926</v>
      </c>
      <c r="B927" s="168" t="s">
        <v>1053</v>
      </c>
      <c r="C927" s="168" t="str">
        <f>VLOOKUP(B927,MEMBERS!B:C,2, )</f>
        <v>MR. ZAMIR ALI SHAH</v>
      </c>
      <c r="D927" s="323">
        <v>46009</v>
      </c>
      <c r="E927" s="175">
        <v>1</v>
      </c>
      <c r="F927" s="168" t="s">
        <v>440</v>
      </c>
      <c r="G927" s="165">
        <f>IFERROR(VLOOKUP(F927,'menu list'!B:C,2,FALSE)*E927,"0")</f>
        <v>150</v>
      </c>
      <c r="H927" s="334">
        <f t="shared" si="70"/>
        <v>22.5</v>
      </c>
      <c r="I927" s="165">
        <f t="shared" si="71"/>
        <v>172.5</v>
      </c>
    </row>
    <row r="928" spans="1:9" ht="12.75" hidden="1" x14ac:dyDescent="0.25">
      <c r="A928" s="167">
        <f t="shared" si="72"/>
        <v>927</v>
      </c>
      <c r="B928" s="168" t="s">
        <v>385</v>
      </c>
      <c r="C928" s="168" t="str">
        <f>VLOOKUP(B928,MEMBERS!B:C,2, )</f>
        <v>AYSM MIRZA</v>
      </c>
      <c r="D928" s="323">
        <v>46009</v>
      </c>
      <c r="E928" s="175">
        <v>2</v>
      </c>
      <c r="F928" s="168" t="s">
        <v>532</v>
      </c>
      <c r="G928" s="165">
        <f>IFERROR(VLOOKUP(F928,'menu list'!B:C,2,FALSE)*E928,"0")</f>
        <v>120</v>
      </c>
      <c r="H928" s="334">
        <f t="shared" si="70"/>
        <v>18</v>
      </c>
      <c r="I928" s="165">
        <f t="shared" si="71"/>
        <v>138</v>
      </c>
    </row>
    <row r="929" spans="1:9" ht="12.75" hidden="1" x14ac:dyDescent="0.25">
      <c r="A929" s="167">
        <f t="shared" si="72"/>
        <v>928</v>
      </c>
      <c r="B929" s="168" t="s">
        <v>385</v>
      </c>
      <c r="C929" s="168" t="str">
        <f>VLOOKUP(B929,MEMBERS!B:C,2, )</f>
        <v>AYSM MIRZA</v>
      </c>
      <c r="D929" s="323">
        <v>46009</v>
      </c>
      <c r="E929" s="175">
        <v>1</v>
      </c>
      <c r="F929" s="168" t="s">
        <v>707</v>
      </c>
      <c r="G929" s="165">
        <f>IFERROR(VLOOKUP(F929,'menu list'!B:C,2,FALSE)*E929,"0")</f>
        <v>450</v>
      </c>
      <c r="H929" s="334">
        <f t="shared" si="70"/>
        <v>67.5</v>
      </c>
      <c r="I929" s="165">
        <f t="shared" si="71"/>
        <v>517.5</v>
      </c>
    </row>
    <row r="930" spans="1:9" ht="12.75" hidden="1" x14ac:dyDescent="0.25">
      <c r="A930" s="167">
        <f t="shared" si="72"/>
        <v>929</v>
      </c>
      <c r="B930" s="168" t="s">
        <v>385</v>
      </c>
      <c r="C930" s="168" t="str">
        <f>VLOOKUP(B930,MEMBERS!B:C,2, )</f>
        <v>AYSM MIRZA</v>
      </c>
      <c r="D930" s="323">
        <v>46009</v>
      </c>
      <c r="E930" s="175">
        <v>1</v>
      </c>
      <c r="F930" s="168" t="s">
        <v>498</v>
      </c>
      <c r="G930" s="165">
        <f>IFERROR(VLOOKUP(F930,'menu list'!B:C,2,FALSE)*E930,"0")</f>
        <v>200</v>
      </c>
      <c r="H930" s="334">
        <f t="shared" si="70"/>
        <v>30</v>
      </c>
      <c r="I930" s="165">
        <f t="shared" si="71"/>
        <v>230</v>
      </c>
    </row>
    <row r="931" spans="1:9" ht="12.75" hidden="1" x14ac:dyDescent="0.25">
      <c r="A931" s="167">
        <f t="shared" si="72"/>
        <v>930</v>
      </c>
      <c r="B931" s="168" t="s">
        <v>187</v>
      </c>
      <c r="C931" s="168" t="str">
        <f>VLOOKUP(B931,MEMBERS!B:C,2, )</f>
        <v>MR.SHAN ELAHI SEHGAL</v>
      </c>
      <c r="D931" s="323">
        <v>46009</v>
      </c>
      <c r="E931" s="175">
        <v>2</v>
      </c>
      <c r="F931" s="168" t="s">
        <v>440</v>
      </c>
      <c r="G931" s="165">
        <f>IFERROR(VLOOKUP(F931,'menu list'!B:C,2,FALSE)*E931,"0")</f>
        <v>300</v>
      </c>
      <c r="H931" s="334">
        <f t="shared" si="70"/>
        <v>45</v>
      </c>
      <c r="I931" s="165">
        <f t="shared" si="71"/>
        <v>345</v>
      </c>
    </row>
    <row r="932" spans="1:9" ht="12.75" hidden="1" x14ac:dyDescent="0.25">
      <c r="A932" s="167">
        <f t="shared" si="72"/>
        <v>931</v>
      </c>
      <c r="B932" s="168" t="s">
        <v>187</v>
      </c>
      <c r="C932" s="168" t="str">
        <f>VLOOKUP(B932,MEMBERS!B:C,2, )</f>
        <v>MR.SHAN ELAHI SEHGAL</v>
      </c>
      <c r="D932" s="323">
        <v>46009</v>
      </c>
      <c r="E932" s="175">
        <v>1</v>
      </c>
      <c r="F932" s="168" t="s">
        <v>915</v>
      </c>
      <c r="G932" s="165">
        <f>IFERROR(VLOOKUP(F932,'menu list'!B:C,2,FALSE)*E932,"0")</f>
        <v>999</v>
      </c>
      <c r="H932" s="334">
        <f t="shared" si="70"/>
        <v>149.85</v>
      </c>
      <c r="I932" s="165">
        <f t="shared" si="71"/>
        <v>1148.8499999999999</v>
      </c>
    </row>
    <row r="933" spans="1:9" ht="12.75" hidden="1" x14ac:dyDescent="0.25">
      <c r="A933" s="167">
        <f t="shared" si="72"/>
        <v>932</v>
      </c>
      <c r="B933" s="168" t="s">
        <v>187</v>
      </c>
      <c r="C933" s="168" t="str">
        <f>VLOOKUP(B933,MEMBERS!B:C,2, )</f>
        <v>MR.SHAN ELAHI SEHGAL</v>
      </c>
      <c r="D933" s="323">
        <v>46009</v>
      </c>
      <c r="E933" s="175">
        <v>1</v>
      </c>
      <c r="F933" s="168" t="s">
        <v>522</v>
      </c>
      <c r="G933" s="165">
        <f>IFERROR(VLOOKUP(F933,'menu list'!B:C,2,FALSE)*E933,"0")</f>
        <v>1200</v>
      </c>
      <c r="H933" s="334">
        <f t="shared" si="70"/>
        <v>180</v>
      </c>
      <c r="I933" s="165">
        <f t="shared" si="71"/>
        <v>1380</v>
      </c>
    </row>
    <row r="934" spans="1:9" ht="12.75" hidden="1" x14ac:dyDescent="0.25">
      <c r="A934" s="167">
        <f t="shared" si="72"/>
        <v>933</v>
      </c>
      <c r="B934" s="168" t="s">
        <v>187</v>
      </c>
      <c r="C934" s="168" t="str">
        <f>VLOOKUP(B934,MEMBERS!B:C,2, )</f>
        <v>MR.SHAN ELAHI SEHGAL</v>
      </c>
      <c r="D934" s="323">
        <v>46009</v>
      </c>
      <c r="E934" s="175">
        <v>1</v>
      </c>
      <c r="F934" s="168" t="s">
        <v>939</v>
      </c>
      <c r="G934" s="165">
        <f>IFERROR(VLOOKUP(F934,'menu list'!B:C,2,FALSE)*E934,"0")</f>
        <v>1200</v>
      </c>
      <c r="H934" s="334">
        <f t="shared" si="70"/>
        <v>180</v>
      </c>
      <c r="I934" s="165">
        <f t="shared" si="71"/>
        <v>1380</v>
      </c>
    </row>
    <row r="935" spans="1:9" ht="12.75" hidden="1" x14ac:dyDescent="0.25">
      <c r="A935" s="167">
        <f t="shared" si="72"/>
        <v>934</v>
      </c>
      <c r="B935" s="168" t="s">
        <v>187</v>
      </c>
      <c r="C935" s="168" t="str">
        <f>VLOOKUP(B935,MEMBERS!B:C,2, )</f>
        <v>MR.SHAN ELAHI SEHGAL</v>
      </c>
      <c r="D935" s="323">
        <v>46009</v>
      </c>
      <c r="E935" s="175">
        <v>8</v>
      </c>
      <c r="F935" s="168" t="s">
        <v>439</v>
      </c>
      <c r="G935" s="165">
        <f>IFERROR(VLOOKUP(F935,'menu list'!B:C,2,FALSE)*E935,"0")</f>
        <v>560</v>
      </c>
      <c r="H935" s="334">
        <f t="shared" si="70"/>
        <v>84</v>
      </c>
      <c r="I935" s="165">
        <f t="shared" si="71"/>
        <v>644</v>
      </c>
    </row>
    <row r="936" spans="1:9" ht="12.75" hidden="1" x14ac:dyDescent="0.25">
      <c r="A936" s="167">
        <f t="shared" si="72"/>
        <v>935</v>
      </c>
      <c r="B936" s="168" t="s">
        <v>187</v>
      </c>
      <c r="C936" s="168" t="str">
        <f>VLOOKUP(B936,MEMBERS!B:C,2, )</f>
        <v>MR.SHAN ELAHI SEHGAL</v>
      </c>
      <c r="D936" s="323">
        <v>46009</v>
      </c>
      <c r="E936" s="175">
        <v>1</v>
      </c>
      <c r="F936" s="168" t="s">
        <v>832</v>
      </c>
      <c r="G936" s="165">
        <f>IFERROR(VLOOKUP(F936,'menu list'!B:C,2,FALSE)*E936,"0")</f>
        <v>250</v>
      </c>
      <c r="H936" s="334">
        <f t="shared" si="70"/>
        <v>37.5</v>
      </c>
      <c r="I936" s="165">
        <f t="shared" si="71"/>
        <v>287.5</v>
      </c>
    </row>
    <row r="937" spans="1:9" ht="12.75" hidden="1" x14ac:dyDescent="0.25">
      <c r="A937" s="167">
        <f t="shared" si="72"/>
        <v>936</v>
      </c>
      <c r="B937" s="168" t="s">
        <v>187</v>
      </c>
      <c r="C937" s="168" t="str">
        <f>VLOOKUP(B937,MEMBERS!B:C,2, )</f>
        <v>MR.SHAN ELAHI SEHGAL</v>
      </c>
      <c r="D937" s="323">
        <v>46009</v>
      </c>
      <c r="E937" s="175">
        <v>1</v>
      </c>
      <c r="F937" s="168" t="s">
        <v>833</v>
      </c>
      <c r="G937" s="165">
        <f>IFERROR(VLOOKUP(F937,'menu list'!B:C,2,FALSE)*E937,"0")</f>
        <v>350</v>
      </c>
      <c r="H937" s="334">
        <f t="shared" si="70"/>
        <v>52.5</v>
      </c>
      <c r="I937" s="165">
        <f t="shared" si="71"/>
        <v>402.5</v>
      </c>
    </row>
    <row r="938" spans="1:9" ht="12.75" hidden="1" x14ac:dyDescent="0.25">
      <c r="A938" s="167">
        <f t="shared" si="72"/>
        <v>937</v>
      </c>
      <c r="B938" s="168" t="s">
        <v>187</v>
      </c>
      <c r="C938" s="168" t="str">
        <f>VLOOKUP(B938,MEMBERS!B:C,2, )</f>
        <v>MR.SHAN ELAHI SEHGAL</v>
      </c>
      <c r="D938" s="323">
        <v>46009</v>
      </c>
      <c r="E938" s="175">
        <v>1</v>
      </c>
      <c r="F938" s="168" t="s">
        <v>442</v>
      </c>
      <c r="G938" s="165">
        <f>IFERROR(VLOOKUP(F938,'menu list'!B:C,2,FALSE)*E938,"0")</f>
        <v>150</v>
      </c>
      <c r="H938" s="334">
        <f t="shared" si="70"/>
        <v>22.5</v>
      </c>
      <c r="I938" s="165">
        <f t="shared" si="71"/>
        <v>172.5</v>
      </c>
    </row>
    <row r="939" spans="1:9" ht="12.75" hidden="1" x14ac:dyDescent="0.25">
      <c r="A939" s="167">
        <f t="shared" si="72"/>
        <v>938</v>
      </c>
      <c r="B939" s="168" t="s">
        <v>187</v>
      </c>
      <c r="C939" s="168" t="str">
        <f>VLOOKUP(B939,MEMBERS!B:C,2, )</f>
        <v>MR.SHAN ELAHI SEHGAL</v>
      </c>
      <c r="D939" s="323">
        <v>46009</v>
      </c>
      <c r="E939" s="175">
        <v>1</v>
      </c>
      <c r="F939" s="168" t="s">
        <v>501</v>
      </c>
      <c r="G939" s="165">
        <f>IFERROR(VLOOKUP(F939,'menu list'!B:C,2,FALSE)*E939,"0")</f>
        <v>1200</v>
      </c>
      <c r="H939" s="334">
        <f t="shared" si="70"/>
        <v>180</v>
      </c>
      <c r="I939" s="165">
        <f t="shared" si="71"/>
        <v>1380</v>
      </c>
    </row>
    <row r="940" spans="1:9" ht="12.75" hidden="1" x14ac:dyDescent="0.25">
      <c r="A940" s="167">
        <f t="shared" si="72"/>
        <v>939</v>
      </c>
      <c r="B940" s="168" t="s">
        <v>263</v>
      </c>
      <c r="C940" s="168" t="str">
        <f>VLOOKUP(B940,MEMBERS!B:C,2, )</f>
        <v>MR.CAREL HEDRIK BURGER</v>
      </c>
      <c r="D940" s="323">
        <v>46010</v>
      </c>
      <c r="E940" s="175">
        <v>1</v>
      </c>
      <c r="F940" s="168" t="s">
        <v>498</v>
      </c>
      <c r="G940" s="165">
        <f>IFERROR(VLOOKUP(F940,'menu list'!B:C,2,FALSE)*E940,"0")</f>
        <v>200</v>
      </c>
      <c r="H940" s="334">
        <f t="shared" si="70"/>
        <v>30</v>
      </c>
      <c r="I940" s="165">
        <f t="shared" si="71"/>
        <v>230</v>
      </c>
    </row>
    <row r="941" spans="1:9" ht="12.75" hidden="1" x14ac:dyDescent="0.25">
      <c r="A941" s="167">
        <f t="shared" ref="A941:A1004" si="73">IF(D941&lt;&gt;"", ROW()-1, "")</f>
        <v>940</v>
      </c>
      <c r="B941" s="168" t="s">
        <v>187</v>
      </c>
      <c r="C941" s="168" t="str">
        <f>VLOOKUP(B941,MEMBERS!B:C,2, )</f>
        <v>MR.SHAN ELAHI SEHGAL</v>
      </c>
      <c r="D941" s="323">
        <v>46010</v>
      </c>
      <c r="E941" s="175">
        <v>1</v>
      </c>
      <c r="F941" s="168" t="s">
        <v>498</v>
      </c>
      <c r="G941" s="165">
        <f>IFERROR(VLOOKUP(F941,'menu list'!B:C,2,FALSE)*E941,"0")</f>
        <v>200</v>
      </c>
      <c r="H941" s="334">
        <f t="shared" si="70"/>
        <v>30</v>
      </c>
      <c r="I941" s="165">
        <f t="shared" si="71"/>
        <v>230</v>
      </c>
    </row>
    <row r="942" spans="1:9" ht="12.75" hidden="1" x14ac:dyDescent="0.25">
      <c r="A942" s="167">
        <f t="shared" si="73"/>
        <v>941</v>
      </c>
      <c r="B942" s="168" t="s">
        <v>273</v>
      </c>
      <c r="C942" s="168" t="str">
        <f>VLOOKUP(B942,MEMBERS!B:C,2, )</f>
        <v>MR.SYED MURTAZA ALI</v>
      </c>
      <c r="D942" s="323">
        <v>46010</v>
      </c>
      <c r="E942" s="175">
        <v>1</v>
      </c>
      <c r="F942" s="168" t="s">
        <v>633</v>
      </c>
      <c r="G942" s="165">
        <f>IFERROR(VLOOKUP(F942,'menu list'!B:C,2,FALSE)*E942,"0")</f>
        <v>700</v>
      </c>
      <c r="H942" s="334">
        <f t="shared" si="70"/>
        <v>105</v>
      </c>
      <c r="I942" s="165">
        <f t="shared" si="71"/>
        <v>805</v>
      </c>
    </row>
    <row r="943" spans="1:9" ht="12.75" hidden="1" x14ac:dyDescent="0.25">
      <c r="A943" s="167">
        <f t="shared" si="73"/>
        <v>942</v>
      </c>
      <c r="B943" s="168" t="s">
        <v>273</v>
      </c>
      <c r="C943" s="168" t="str">
        <f>VLOOKUP(B943,MEMBERS!B:C,2, )</f>
        <v>MR.SYED MURTAZA ALI</v>
      </c>
      <c r="D943" s="323">
        <v>46010</v>
      </c>
      <c r="E943" s="175">
        <v>1</v>
      </c>
      <c r="F943" s="168" t="s">
        <v>803</v>
      </c>
      <c r="G943" s="165">
        <f>IFERROR(VLOOKUP(F943,'menu list'!B:C,2,FALSE)*E943,"0")</f>
        <v>250</v>
      </c>
      <c r="H943" s="334">
        <f t="shared" si="70"/>
        <v>37.5</v>
      </c>
      <c r="I943" s="165">
        <f t="shared" si="71"/>
        <v>287.5</v>
      </c>
    </row>
    <row r="944" spans="1:9" ht="12.75" hidden="1" x14ac:dyDescent="0.25">
      <c r="A944" s="167">
        <f t="shared" si="73"/>
        <v>943</v>
      </c>
      <c r="B944" s="168" t="s">
        <v>1039</v>
      </c>
      <c r="C944" s="168" t="str">
        <f>VLOOKUP(B944,MEMBERS!B:C,2, )</f>
        <v>MR. AYAZ JAMRO</v>
      </c>
      <c r="D944" s="323">
        <v>46010</v>
      </c>
      <c r="E944" s="175">
        <v>1</v>
      </c>
      <c r="F944" s="168" t="s">
        <v>440</v>
      </c>
      <c r="G944" s="165">
        <f>IFERROR(VLOOKUP(F944,'menu list'!B:C,2,FALSE)*E944,"0")</f>
        <v>150</v>
      </c>
      <c r="H944" s="334">
        <f t="shared" si="70"/>
        <v>22.5</v>
      </c>
      <c r="I944" s="165">
        <f t="shared" si="71"/>
        <v>172.5</v>
      </c>
    </row>
    <row r="945" spans="1:9" ht="12.75" hidden="1" x14ac:dyDescent="0.25">
      <c r="A945" s="167">
        <f t="shared" si="73"/>
        <v>944</v>
      </c>
      <c r="B945" s="168" t="s">
        <v>1039</v>
      </c>
      <c r="C945" s="168" t="str">
        <f>VLOOKUP(B945,MEMBERS!B:C,2, )</f>
        <v>MR. AYAZ JAMRO</v>
      </c>
      <c r="D945" s="323">
        <v>46010</v>
      </c>
      <c r="E945" s="175">
        <v>1</v>
      </c>
      <c r="F945" s="168" t="s">
        <v>664</v>
      </c>
      <c r="G945" s="165">
        <f>IFERROR(VLOOKUP(F945,'menu list'!B:C,2,FALSE)*E945,"0")</f>
        <v>400</v>
      </c>
      <c r="H945" s="334">
        <f t="shared" si="70"/>
        <v>60</v>
      </c>
      <c r="I945" s="165">
        <f t="shared" si="71"/>
        <v>460</v>
      </c>
    </row>
    <row r="946" spans="1:9" ht="12.75" hidden="1" x14ac:dyDescent="0.25">
      <c r="A946" s="167">
        <f t="shared" si="73"/>
        <v>945</v>
      </c>
      <c r="B946" s="168" t="s">
        <v>1039</v>
      </c>
      <c r="C946" s="168" t="str">
        <f>VLOOKUP(B946,MEMBERS!B:C,2, )</f>
        <v>MR. AYAZ JAMRO</v>
      </c>
      <c r="D946" s="323">
        <v>46010</v>
      </c>
      <c r="E946" s="175">
        <v>1</v>
      </c>
      <c r="F946" s="168" t="s">
        <v>853</v>
      </c>
      <c r="G946" s="165">
        <f>IFERROR(VLOOKUP(F946,'menu list'!B:C,2,FALSE)*E946,"0")</f>
        <v>575</v>
      </c>
      <c r="H946" s="334">
        <f t="shared" si="70"/>
        <v>86.25</v>
      </c>
      <c r="I946" s="165">
        <f t="shared" si="71"/>
        <v>661.25</v>
      </c>
    </row>
    <row r="947" spans="1:9" ht="12.75" hidden="1" x14ac:dyDescent="0.25">
      <c r="A947" s="167">
        <f t="shared" si="73"/>
        <v>946</v>
      </c>
      <c r="B947" s="168" t="s">
        <v>1039</v>
      </c>
      <c r="C947" s="168" t="str">
        <f>VLOOKUP(B947,MEMBERS!B:C,2, )</f>
        <v>MR. AYAZ JAMRO</v>
      </c>
      <c r="D947" s="323">
        <v>46010</v>
      </c>
      <c r="E947" s="175">
        <v>1</v>
      </c>
      <c r="F947" s="168" t="s">
        <v>787</v>
      </c>
      <c r="G947" s="165">
        <f>IFERROR(VLOOKUP(F947,'menu list'!B:C,2,FALSE)*E947,"0")</f>
        <v>900</v>
      </c>
      <c r="H947" s="334">
        <f t="shared" si="70"/>
        <v>135</v>
      </c>
      <c r="I947" s="165">
        <f t="shared" si="71"/>
        <v>1035</v>
      </c>
    </row>
    <row r="948" spans="1:9" ht="12.75" hidden="1" x14ac:dyDescent="0.25">
      <c r="A948" s="167">
        <f t="shared" si="73"/>
        <v>947</v>
      </c>
      <c r="B948" s="168" t="s">
        <v>1039</v>
      </c>
      <c r="C948" s="168" t="str">
        <f>VLOOKUP(B948,MEMBERS!B:C,2, )</f>
        <v>MR. AYAZ JAMRO</v>
      </c>
      <c r="D948" s="323">
        <v>46010</v>
      </c>
      <c r="E948" s="175">
        <v>1</v>
      </c>
      <c r="F948" s="168" t="s">
        <v>601</v>
      </c>
      <c r="G948" s="165">
        <f>IFERROR(VLOOKUP(F948,'menu list'!B:C,2,FALSE)*E948,"0")</f>
        <v>1200</v>
      </c>
      <c r="H948" s="334">
        <f t="shared" si="70"/>
        <v>180</v>
      </c>
      <c r="I948" s="165">
        <f t="shared" si="71"/>
        <v>1380</v>
      </c>
    </row>
    <row r="949" spans="1:9" ht="12.75" hidden="1" x14ac:dyDescent="0.25">
      <c r="A949" s="167">
        <f t="shared" si="73"/>
        <v>948</v>
      </c>
      <c r="B949" s="168" t="s">
        <v>1039</v>
      </c>
      <c r="C949" s="168" t="str">
        <f>VLOOKUP(B949,MEMBERS!B:C,2, )</f>
        <v>MR. AYAZ JAMRO</v>
      </c>
      <c r="D949" s="323">
        <v>46010</v>
      </c>
      <c r="E949" s="175">
        <v>2</v>
      </c>
      <c r="F949" s="168" t="s">
        <v>439</v>
      </c>
      <c r="G949" s="165">
        <f>IFERROR(VLOOKUP(F949,'menu list'!B:C,2,FALSE)*E949,"0")</f>
        <v>140</v>
      </c>
      <c r="H949" s="334">
        <f t="shared" si="70"/>
        <v>21</v>
      </c>
      <c r="I949" s="165">
        <f t="shared" si="71"/>
        <v>161</v>
      </c>
    </row>
    <row r="950" spans="1:9" ht="12.75" hidden="1" x14ac:dyDescent="0.25">
      <c r="A950" s="167">
        <f t="shared" si="73"/>
        <v>949</v>
      </c>
      <c r="B950" s="168" t="s">
        <v>1039</v>
      </c>
      <c r="C950" s="168" t="str">
        <f>VLOOKUP(B950,MEMBERS!B:C,2, )</f>
        <v>MR. AYAZ JAMRO</v>
      </c>
      <c r="D950" s="323">
        <v>46010</v>
      </c>
      <c r="E950" s="175">
        <v>1</v>
      </c>
      <c r="F950" s="168" t="s">
        <v>504</v>
      </c>
      <c r="G950" s="165">
        <f>IFERROR(VLOOKUP(F950,'menu list'!B:C,2,FALSE)*E950,"0")</f>
        <v>130</v>
      </c>
      <c r="H950" s="334">
        <f t="shared" si="70"/>
        <v>19.5</v>
      </c>
      <c r="I950" s="165">
        <f t="shared" si="71"/>
        <v>149.5</v>
      </c>
    </row>
    <row r="951" spans="1:9" ht="12.75" hidden="1" x14ac:dyDescent="0.25">
      <c r="A951" s="167">
        <f t="shared" si="73"/>
        <v>950</v>
      </c>
      <c r="B951" s="168" t="s">
        <v>1039</v>
      </c>
      <c r="C951" s="168" t="str">
        <f>VLOOKUP(B951,MEMBERS!B:C,2, )</f>
        <v>MR. AYAZ JAMRO</v>
      </c>
      <c r="D951" s="323">
        <v>46010</v>
      </c>
      <c r="E951" s="175">
        <v>2</v>
      </c>
      <c r="F951" s="168" t="s">
        <v>442</v>
      </c>
      <c r="G951" s="165">
        <f>IFERROR(VLOOKUP(F951,'menu list'!B:C,2,FALSE)*E951,"0")</f>
        <v>300</v>
      </c>
      <c r="H951" s="334">
        <f t="shared" si="70"/>
        <v>45</v>
      </c>
      <c r="I951" s="165">
        <f t="shared" si="71"/>
        <v>345</v>
      </c>
    </row>
    <row r="952" spans="1:9" ht="12.75" hidden="1" x14ac:dyDescent="0.25">
      <c r="A952" s="167">
        <f t="shared" si="73"/>
        <v>951</v>
      </c>
      <c r="B952" s="168" t="s">
        <v>1039</v>
      </c>
      <c r="C952" s="168" t="str">
        <f>VLOOKUP(B952,MEMBERS!B:C,2, )</f>
        <v>MR. AYAZ JAMRO</v>
      </c>
      <c r="D952" s="323">
        <v>46010</v>
      </c>
      <c r="E952" s="175">
        <v>1</v>
      </c>
      <c r="F952" s="168" t="s">
        <v>836</v>
      </c>
      <c r="G952" s="165">
        <f>IFERROR(VLOOKUP(F952,'menu list'!B:C,2,FALSE)*E952,"0")</f>
        <v>350</v>
      </c>
      <c r="H952" s="334">
        <f t="shared" si="70"/>
        <v>52.5</v>
      </c>
      <c r="I952" s="165">
        <f t="shared" si="71"/>
        <v>402.5</v>
      </c>
    </row>
    <row r="953" spans="1:9" ht="12.75" hidden="1" x14ac:dyDescent="0.25">
      <c r="A953" s="167">
        <f t="shared" si="73"/>
        <v>952</v>
      </c>
      <c r="B953" s="168" t="s">
        <v>762</v>
      </c>
      <c r="C953" s="168" t="str">
        <f>VLOOKUP(B953,MEMBERS!B:C,2, )</f>
        <v>MR. KASHIF SAEED</v>
      </c>
      <c r="D953" s="323">
        <v>46010</v>
      </c>
      <c r="E953" s="175">
        <v>1</v>
      </c>
      <c r="F953" s="168" t="s">
        <v>828</v>
      </c>
      <c r="G953" s="165">
        <f>IFERROR(VLOOKUP(F953,'menu list'!B:C,2,FALSE)*E953,"0")</f>
        <v>850</v>
      </c>
      <c r="H953" s="334">
        <f t="shared" si="70"/>
        <v>127.5</v>
      </c>
      <c r="I953" s="165">
        <f t="shared" si="71"/>
        <v>977.5</v>
      </c>
    </row>
    <row r="954" spans="1:9" ht="12.75" hidden="1" x14ac:dyDescent="0.25">
      <c r="A954" s="167">
        <f t="shared" si="73"/>
        <v>953</v>
      </c>
      <c r="B954" s="168" t="s">
        <v>762</v>
      </c>
      <c r="C954" s="168" t="str">
        <f>VLOOKUP(B954,MEMBERS!B:C,2, )</f>
        <v>MR. KASHIF SAEED</v>
      </c>
      <c r="D954" s="323">
        <v>46010</v>
      </c>
      <c r="E954" s="175">
        <v>1</v>
      </c>
      <c r="F954" s="168" t="s">
        <v>801</v>
      </c>
      <c r="G954" s="165">
        <f>IFERROR(VLOOKUP(F954,'menu list'!B:C,2,FALSE)*E954,"0")</f>
        <v>700</v>
      </c>
      <c r="H954" s="334">
        <f t="shared" si="70"/>
        <v>105</v>
      </c>
      <c r="I954" s="165">
        <f t="shared" si="71"/>
        <v>805</v>
      </c>
    </row>
    <row r="955" spans="1:9" ht="12.75" hidden="1" x14ac:dyDescent="0.25">
      <c r="A955" s="167">
        <f t="shared" si="73"/>
        <v>954</v>
      </c>
      <c r="B955" s="168" t="s">
        <v>762</v>
      </c>
      <c r="C955" s="168" t="str">
        <f>VLOOKUP(B955,MEMBERS!B:C,2, )</f>
        <v>MR. KASHIF SAEED</v>
      </c>
      <c r="D955" s="323">
        <v>46010</v>
      </c>
      <c r="E955" s="175">
        <v>1</v>
      </c>
      <c r="F955" s="168" t="s">
        <v>898</v>
      </c>
      <c r="G955" s="165">
        <f>IFERROR(VLOOKUP(F955,'menu list'!B:C,2,FALSE)*E955,"0")</f>
        <v>1000</v>
      </c>
      <c r="H955" s="334">
        <f t="shared" si="70"/>
        <v>150</v>
      </c>
      <c r="I955" s="165">
        <f t="shared" si="71"/>
        <v>1150</v>
      </c>
    </row>
    <row r="956" spans="1:9" ht="12.75" hidden="1" x14ac:dyDescent="0.25">
      <c r="A956" s="167">
        <f t="shared" si="73"/>
        <v>955</v>
      </c>
      <c r="B956" s="168" t="s">
        <v>762</v>
      </c>
      <c r="C956" s="168" t="str">
        <f>VLOOKUP(B956,MEMBERS!B:C,2, )</f>
        <v>MR. KASHIF SAEED</v>
      </c>
      <c r="D956" s="323">
        <v>46010</v>
      </c>
      <c r="E956" s="175">
        <v>1</v>
      </c>
      <c r="F956" s="168" t="s">
        <v>812</v>
      </c>
      <c r="G956" s="165">
        <f>IFERROR(VLOOKUP(F956,'menu list'!B:C,2,FALSE)*E956,"0")</f>
        <v>950</v>
      </c>
      <c r="H956" s="334">
        <f t="shared" si="70"/>
        <v>142.5</v>
      </c>
      <c r="I956" s="165">
        <f t="shared" si="71"/>
        <v>1092.5</v>
      </c>
    </row>
    <row r="957" spans="1:9" ht="12.75" hidden="1" x14ac:dyDescent="0.25">
      <c r="A957" s="167">
        <f t="shared" si="73"/>
        <v>956</v>
      </c>
      <c r="B957" s="168" t="s">
        <v>762</v>
      </c>
      <c r="C957" s="168" t="str">
        <f>VLOOKUP(B957,MEMBERS!B:C,2, )</f>
        <v>MR. KASHIF SAEED</v>
      </c>
      <c r="D957" s="323">
        <v>46010</v>
      </c>
      <c r="E957" s="175">
        <v>2</v>
      </c>
      <c r="F957" s="168" t="s">
        <v>502</v>
      </c>
      <c r="G957" s="165">
        <f>IFERROR(VLOOKUP(F957,'menu list'!B:C,2,FALSE)*E957,"0")</f>
        <v>700</v>
      </c>
      <c r="H957" s="334">
        <f t="shared" si="70"/>
        <v>105</v>
      </c>
      <c r="I957" s="165">
        <f t="shared" si="71"/>
        <v>805</v>
      </c>
    </row>
    <row r="958" spans="1:9" ht="12.75" hidden="1" x14ac:dyDescent="0.25">
      <c r="A958" s="167">
        <f t="shared" si="73"/>
        <v>957</v>
      </c>
      <c r="B958" s="168" t="s">
        <v>762</v>
      </c>
      <c r="C958" s="168" t="str">
        <f>VLOOKUP(B958,MEMBERS!B:C,2, )</f>
        <v>MR. KASHIF SAEED</v>
      </c>
      <c r="D958" s="323">
        <v>46010</v>
      </c>
      <c r="E958" s="175">
        <v>1</v>
      </c>
      <c r="F958" s="168" t="s">
        <v>442</v>
      </c>
      <c r="G958" s="165">
        <f>IFERROR(VLOOKUP(F958,'menu list'!B:C,2,FALSE)*E958,"0")</f>
        <v>150</v>
      </c>
      <c r="H958" s="334">
        <f t="shared" si="70"/>
        <v>22.5</v>
      </c>
      <c r="I958" s="165">
        <f t="shared" si="71"/>
        <v>172.5</v>
      </c>
    </row>
    <row r="959" spans="1:9" ht="12.75" hidden="1" x14ac:dyDescent="0.25">
      <c r="A959" s="167">
        <f t="shared" si="73"/>
        <v>958</v>
      </c>
      <c r="B959" s="168" t="s">
        <v>762</v>
      </c>
      <c r="C959" s="168" t="str">
        <f>VLOOKUP(B959,MEMBERS!B:C,2, )</f>
        <v>MR. KASHIF SAEED</v>
      </c>
      <c r="D959" s="323">
        <v>46010</v>
      </c>
      <c r="E959" s="175">
        <v>1</v>
      </c>
      <c r="F959" s="168" t="s">
        <v>440</v>
      </c>
      <c r="G959" s="165">
        <f>IFERROR(VLOOKUP(F959,'menu list'!B:C,2,FALSE)*E959,"0")</f>
        <v>150</v>
      </c>
      <c r="H959" s="334">
        <f t="shared" si="70"/>
        <v>22.5</v>
      </c>
      <c r="I959" s="165">
        <f t="shared" si="71"/>
        <v>172.5</v>
      </c>
    </row>
    <row r="960" spans="1:9" ht="12.75" hidden="1" x14ac:dyDescent="0.25">
      <c r="A960" s="167">
        <f t="shared" si="73"/>
        <v>959</v>
      </c>
      <c r="B960" s="168" t="s">
        <v>762</v>
      </c>
      <c r="C960" s="168" t="str">
        <f>VLOOKUP(B960,MEMBERS!B:C,2, )</f>
        <v>MR. KASHIF SAEED</v>
      </c>
      <c r="D960" s="323">
        <v>46010</v>
      </c>
      <c r="E960" s="175">
        <v>1</v>
      </c>
      <c r="F960" s="168" t="s">
        <v>611</v>
      </c>
      <c r="G960" s="165">
        <f>IFERROR(VLOOKUP(F960,'menu list'!B:C,2,FALSE)*E960,"0")</f>
        <v>400</v>
      </c>
      <c r="H960" s="334">
        <f t="shared" si="70"/>
        <v>60</v>
      </c>
      <c r="I960" s="165">
        <f t="shared" si="71"/>
        <v>460</v>
      </c>
    </row>
    <row r="961" spans="1:9" ht="12.75" hidden="1" x14ac:dyDescent="0.25">
      <c r="A961" s="167">
        <f t="shared" si="73"/>
        <v>960</v>
      </c>
      <c r="B961" s="168" t="s">
        <v>282</v>
      </c>
      <c r="C961" s="168" t="str">
        <f>VLOOKUP(B961,MEMBERS!B:C,2, )</f>
        <v>ZULFIQAR AHMED MEMON</v>
      </c>
      <c r="D961" s="323">
        <v>46010</v>
      </c>
      <c r="E961" s="175">
        <v>4</v>
      </c>
      <c r="F961" s="168" t="s">
        <v>633</v>
      </c>
      <c r="G961" s="165">
        <f>IFERROR(VLOOKUP(F961,'menu list'!B:C,2,FALSE)*E961,"0")</f>
        <v>2800</v>
      </c>
      <c r="H961" s="334">
        <f t="shared" si="70"/>
        <v>420</v>
      </c>
      <c r="I961" s="165">
        <f t="shared" si="71"/>
        <v>3220</v>
      </c>
    </row>
    <row r="962" spans="1:9" ht="12.75" hidden="1" x14ac:dyDescent="0.25">
      <c r="A962" s="167">
        <f t="shared" si="73"/>
        <v>961</v>
      </c>
      <c r="B962" s="168" t="s">
        <v>282</v>
      </c>
      <c r="C962" s="168" t="str">
        <f>VLOOKUP(B962,MEMBERS!B:C,2, )</f>
        <v>ZULFIQAR AHMED MEMON</v>
      </c>
      <c r="D962" s="323">
        <v>46010</v>
      </c>
      <c r="E962" s="175">
        <v>1</v>
      </c>
      <c r="F962" s="168" t="s">
        <v>500</v>
      </c>
      <c r="G962" s="165">
        <f>IFERROR(VLOOKUP(F962,'menu list'!B:C,2,FALSE)*E962,"0")</f>
        <v>1250</v>
      </c>
      <c r="H962" s="334">
        <f t="shared" si="70"/>
        <v>187.5</v>
      </c>
      <c r="I962" s="165">
        <f t="shared" si="71"/>
        <v>1437.5</v>
      </c>
    </row>
    <row r="963" spans="1:9" ht="12.75" hidden="1" x14ac:dyDescent="0.25">
      <c r="A963" s="167">
        <f t="shared" si="73"/>
        <v>962</v>
      </c>
      <c r="B963" s="168" t="s">
        <v>282</v>
      </c>
      <c r="C963" s="168" t="str">
        <f>VLOOKUP(B963,MEMBERS!B:C,2, )</f>
        <v>ZULFIQAR AHMED MEMON</v>
      </c>
      <c r="D963" s="323">
        <v>46010</v>
      </c>
      <c r="E963" s="175">
        <v>2</v>
      </c>
      <c r="F963" s="168" t="s">
        <v>803</v>
      </c>
      <c r="G963" s="165">
        <f>IFERROR(VLOOKUP(F963,'menu list'!B:C,2,FALSE)*E963,"0")</f>
        <v>500</v>
      </c>
      <c r="H963" s="334">
        <f t="shared" ref="H963:H1026" si="74">G963*15/100</f>
        <v>75</v>
      </c>
      <c r="I963" s="165">
        <f t="shared" si="71"/>
        <v>575</v>
      </c>
    </row>
    <row r="964" spans="1:9" ht="12.75" hidden="1" x14ac:dyDescent="0.25">
      <c r="A964" s="167">
        <f t="shared" si="73"/>
        <v>963</v>
      </c>
      <c r="B964" s="168" t="s">
        <v>282</v>
      </c>
      <c r="C964" s="168" t="str">
        <f>VLOOKUP(B964,MEMBERS!B:C,2, )</f>
        <v>ZULFIQAR AHMED MEMON</v>
      </c>
      <c r="D964" s="323">
        <v>46010</v>
      </c>
      <c r="E964" s="175">
        <v>1</v>
      </c>
      <c r="F964" s="168" t="s">
        <v>440</v>
      </c>
      <c r="G964" s="165">
        <f>IFERROR(VLOOKUP(F964,'menu list'!B:C,2,FALSE)*E964,"0")</f>
        <v>150</v>
      </c>
      <c r="H964" s="334">
        <f t="shared" si="74"/>
        <v>22.5</v>
      </c>
      <c r="I964" s="165">
        <f t="shared" ref="I964:I1027" si="75">G964+H964</f>
        <v>172.5</v>
      </c>
    </row>
    <row r="965" spans="1:9" ht="12.75" hidden="1" x14ac:dyDescent="0.25">
      <c r="A965" s="167">
        <f t="shared" si="73"/>
        <v>964</v>
      </c>
      <c r="B965" s="168" t="s">
        <v>282</v>
      </c>
      <c r="C965" s="168" t="str">
        <f>VLOOKUP(B965,MEMBERS!B:C,2, )</f>
        <v>ZULFIQAR AHMED MEMON</v>
      </c>
      <c r="D965" s="323">
        <v>46010</v>
      </c>
      <c r="E965" s="175">
        <v>3</v>
      </c>
      <c r="F965" s="168" t="s">
        <v>442</v>
      </c>
      <c r="G965" s="165">
        <f>IFERROR(VLOOKUP(F965,'menu list'!B:C,2,FALSE)*E965,"0")</f>
        <v>450</v>
      </c>
      <c r="H965" s="334">
        <f t="shared" si="74"/>
        <v>67.5</v>
      </c>
      <c r="I965" s="165">
        <f t="shared" si="75"/>
        <v>517.5</v>
      </c>
    </row>
    <row r="966" spans="1:9" ht="12.75" hidden="1" x14ac:dyDescent="0.25">
      <c r="A966" s="167">
        <f t="shared" si="73"/>
        <v>965</v>
      </c>
      <c r="B966" s="168" t="s">
        <v>395</v>
      </c>
      <c r="C966" s="168" t="str">
        <f>VLOOKUP(B966,MEMBERS!B:C,2, )</f>
        <v>BAHRIA INTERNATIONAL HOSPITAL</v>
      </c>
      <c r="D966" s="323">
        <v>46010</v>
      </c>
      <c r="E966" s="175">
        <v>30</v>
      </c>
      <c r="F966" s="168" t="s">
        <v>775</v>
      </c>
      <c r="G966" s="165">
        <f>IFERROR(VLOOKUP(F966,'menu list'!B:C,2,FALSE)*E966,"0")</f>
        <v>3000</v>
      </c>
      <c r="H966" s="334"/>
      <c r="I966" s="165">
        <f t="shared" si="75"/>
        <v>3000</v>
      </c>
    </row>
    <row r="967" spans="1:9" ht="12.75" hidden="1" x14ac:dyDescent="0.25">
      <c r="A967" s="167">
        <f t="shared" si="73"/>
        <v>966</v>
      </c>
      <c r="B967" s="168" t="s">
        <v>395</v>
      </c>
      <c r="C967" s="168" t="str">
        <f>VLOOKUP(B967,MEMBERS!B:C,2, )</f>
        <v>BAHRIA INTERNATIONAL HOSPITAL</v>
      </c>
      <c r="D967" s="323">
        <v>46010</v>
      </c>
      <c r="E967" s="175">
        <v>12</v>
      </c>
      <c r="F967" s="168" t="s">
        <v>516</v>
      </c>
      <c r="G967" s="165">
        <f>IFERROR(VLOOKUP(F967,'menu list'!B:C,2,FALSE)*E967,"0")</f>
        <v>3000</v>
      </c>
      <c r="H967" s="334"/>
      <c r="I967" s="165">
        <f t="shared" si="75"/>
        <v>3000</v>
      </c>
    </row>
    <row r="968" spans="1:9" ht="12.75" hidden="1" x14ac:dyDescent="0.25">
      <c r="A968" s="167">
        <f t="shared" si="73"/>
        <v>967</v>
      </c>
      <c r="B968" s="168" t="s">
        <v>395</v>
      </c>
      <c r="C968" s="168" t="str">
        <f>VLOOKUP(B968,MEMBERS!B:C,2, )</f>
        <v>BAHRIA INTERNATIONAL HOSPITAL</v>
      </c>
      <c r="D968" s="323">
        <v>46010</v>
      </c>
      <c r="E968" s="175">
        <v>10</v>
      </c>
      <c r="F968" s="168" t="s">
        <v>558</v>
      </c>
      <c r="G968" s="165">
        <f>IFERROR(VLOOKUP(F968,'menu list'!B:C,2,FALSE)*E968,"0")</f>
        <v>1500</v>
      </c>
      <c r="H968" s="334"/>
      <c r="I968" s="165">
        <f t="shared" si="75"/>
        <v>1500</v>
      </c>
    </row>
    <row r="969" spans="1:9" ht="12.75" hidden="1" x14ac:dyDescent="0.25">
      <c r="A969" s="167">
        <f t="shared" si="73"/>
        <v>968</v>
      </c>
      <c r="B969" s="168" t="s">
        <v>395</v>
      </c>
      <c r="C969" s="168" t="str">
        <f>VLOOKUP(B969,MEMBERS!B:C,2, )</f>
        <v>BAHRIA INTERNATIONAL HOSPITAL</v>
      </c>
      <c r="D969" s="323">
        <v>46010</v>
      </c>
      <c r="E969" s="175">
        <v>6</v>
      </c>
      <c r="F969" s="168" t="s">
        <v>660</v>
      </c>
      <c r="G969" s="165">
        <f>IFERROR(VLOOKUP(F969,'menu list'!B:C,2,FALSE)*E969,"0")</f>
        <v>900</v>
      </c>
      <c r="H969" s="334"/>
      <c r="I969" s="165">
        <f t="shared" si="75"/>
        <v>900</v>
      </c>
    </row>
    <row r="970" spans="1:9" ht="12.75" hidden="1" x14ac:dyDescent="0.25">
      <c r="A970" s="167">
        <f t="shared" si="73"/>
        <v>969</v>
      </c>
      <c r="B970" s="168" t="s">
        <v>395</v>
      </c>
      <c r="C970" s="168" t="str">
        <f>VLOOKUP(B970,MEMBERS!B:C,2, )</f>
        <v>BAHRIA INTERNATIONAL HOSPITAL</v>
      </c>
      <c r="D970" s="323">
        <v>46010</v>
      </c>
      <c r="E970" s="175">
        <v>2</v>
      </c>
      <c r="F970" s="168" t="s">
        <v>705</v>
      </c>
      <c r="G970" s="165">
        <f>IFERROR(VLOOKUP(F970,'menu list'!B:C,2,FALSE)*E970,"0")</f>
        <v>1600</v>
      </c>
      <c r="H970" s="334"/>
      <c r="I970" s="165">
        <f t="shared" si="75"/>
        <v>1600</v>
      </c>
    </row>
    <row r="971" spans="1:9" ht="12.75" hidden="1" x14ac:dyDescent="0.25">
      <c r="A971" s="167">
        <f t="shared" si="73"/>
        <v>970</v>
      </c>
      <c r="B971" s="168" t="s">
        <v>98</v>
      </c>
      <c r="C971" s="168" t="str">
        <f>VLOOKUP(B971,MEMBERS!B:C,2, )</f>
        <v>MR.HAFEEZ AHMED SIYAL</v>
      </c>
      <c r="D971" s="323">
        <v>46010</v>
      </c>
      <c r="E971" s="175">
        <v>4</v>
      </c>
      <c r="F971" s="168" t="s">
        <v>833</v>
      </c>
      <c r="G971" s="165">
        <f>IFERROR(VLOOKUP(F971,'menu list'!B:C,2,FALSE)*E971,"0")</f>
        <v>1400</v>
      </c>
      <c r="H971" s="334">
        <f t="shared" si="74"/>
        <v>210</v>
      </c>
      <c r="I971" s="165">
        <f t="shared" si="75"/>
        <v>1610</v>
      </c>
    </row>
    <row r="972" spans="1:9" ht="12.75" hidden="1" x14ac:dyDescent="0.25">
      <c r="A972" s="167">
        <f t="shared" si="73"/>
        <v>971</v>
      </c>
      <c r="B972" s="168" t="s">
        <v>98</v>
      </c>
      <c r="C972" s="168" t="str">
        <f>VLOOKUP(B972,MEMBERS!B:C,2, )</f>
        <v>MR.HAFEEZ AHMED SIYAL</v>
      </c>
      <c r="D972" s="323">
        <v>46010</v>
      </c>
      <c r="E972" s="175">
        <v>1</v>
      </c>
      <c r="F972" s="168" t="s">
        <v>858</v>
      </c>
      <c r="G972" s="165">
        <f>IFERROR(VLOOKUP(F972,'menu list'!B:C,2,FALSE)*E972,"0")</f>
        <v>500</v>
      </c>
      <c r="H972" s="334">
        <f t="shared" si="74"/>
        <v>75</v>
      </c>
      <c r="I972" s="165">
        <f t="shared" si="75"/>
        <v>575</v>
      </c>
    </row>
    <row r="973" spans="1:9" ht="12.75" hidden="1" x14ac:dyDescent="0.25">
      <c r="A973" s="167">
        <f t="shared" si="73"/>
        <v>972</v>
      </c>
      <c r="B973" s="168" t="s">
        <v>98</v>
      </c>
      <c r="C973" s="168" t="str">
        <f>VLOOKUP(B973,MEMBERS!B:C,2, )</f>
        <v>MR.HAFEEZ AHMED SIYAL</v>
      </c>
      <c r="D973" s="323">
        <v>46010</v>
      </c>
      <c r="E973" s="175">
        <v>1</v>
      </c>
      <c r="F973" s="168" t="s">
        <v>497</v>
      </c>
      <c r="G973" s="165">
        <f>IFERROR(VLOOKUP(F973,'menu list'!B:C,2,FALSE)*E973,"0")</f>
        <v>250</v>
      </c>
      <c r="H973" s="334">
        <f t="shared" si="74"/>
        <v>37.5</v>
      </c>
      <c r="I973" s="165">
        <f t="shared" si="75"/>
        <v>287.5</v>
      </c>
    </row>
    <row r="974" spans="1:9" ht="12.75" hidden="1" x14ac:dyDescent="0.25">
      <c r="A974" s="167">
        <f t="shared" si="73"/>
        <v>973</v>
      </c>
      <c r="B974" s="168" t="s">
        <v>98</v>
      </c>
      <c r="C974" s="168" t="str">
        <f>VLOOKUP(B974,MEMBERS!B:C,2, )</f>
        <v>MR.HAFEEZ AHMED SIYAL</v>
      </c>
      <c r="D974" s="323">
        <v>46010</v>
      </c>
      <c r="E974" s="175">
        <v>1</v>
      </c>
      <c r="F974" s="168" t="s">
        <v>499</v>
      </c>
      <c r="G974" s="165">
        <f>IFERROR(VLOOKUP(F974,'menu list'!B:C,2,FALSE)*E974,"0")</f>
        <v>100</v>
      </c>
      <c r="H974" s="334">
        <f t="shared" si="74"/>
        <v>15</v>
      </c>
      <c r="I974" s="165">
        <f t="shared" si="75"/>
        <v>115</v>
      </c>
    </row>
    <row r="975" spans="1:9" ht="12.75" hidden="1" x14ac:dyDescent="0.25">
      <c r="A975" s="167">
        <f t="shared" si="73"/>
        <v>974</v>
      </c>
      <c r="B975" s="168" t="s">
        <v>312</v>
      </c>
      <c r="C975" s="168" t="str">
        <f>VLOOKUP(B975,MEMBERS!B:C,2, )</f>
        <v>GM GHULAM DASTAGEER</v>
      </c>
      <c r="D975" s="323">
        <v>46010</v>
      </c>
      <c r="E975" s="175">
        <v>1</v>
      </c>
      <c r="F975" s="168" t="s">
        <v>858</v>
      </c>
      <c r="G975" s="165">
        <f>IFERROR(VLOOKUP(F975,'menu list'!B:C,2,FALSE)*E975,"0")</f>
        <v>500</v>
      </c>
      <c r="H975" s="334">
        <f t="shared" si="74"/>
        <v>75</v>
      </c>
      <c r="I975" s="165">
        <f t="shared" si="75"/>
        <v>575</v>
      </c>
    </row>
    <row r="976" spans="1:9" ht="12.75" hidden="1" x14ac:dyDescent="0.25">
      <c r="A976" s="167">
        <f t="shared" si="73"/>
        <v>975</v>
      </c>
      <c r="B976" s="168" t="s">
        <v>312</v>
      </c>
      <c r="C976" s="168" t="str">
        <f>VLOOKUP(B976,MEMBERS!B:C,2, )</f>
        <v>GM GHULAM DASTAGEER</v>
      </c>
      <c r="D976" s="323">
        <v>46010</v>
      </c>
      <c r="E976" s="175">
        <v>1</v>
      </c>
      <c r="F976" s="168" t="s">
        <v>497</v>
      </c>
      <c r="G976" s="165">
        <f>IFERROR(VLOOKUP(F976,'menu list'!B:C,2,FALSE)*E976,"0")</f>
        <v>250</v>
      </c>
      <c r="H976" s="334">
        <f t="shared" si="74"/>
        <v>37.5</v>
      </c>
      <c r="I976" s="165">
        <f t="shared" si="75"/>
        <v>287.5</v>
      </c>
    </row>
    <row r="977" spans="1:9" ht="12.75" hidden="1" x14ac:dyDescent="0.25">
      <c r="A977" s="167">
        <f t="shared" si="73"/>
        <v>976</v>
      </c>
      <c r="B977" s="168" t="s">
        <v>312</v>
      </c>
      <c r="C977" s="168" t="str">
        <f>VLOOKUP(B977,MEMBERS!B:C,2, )</f>
        <v>GM GHULAM DASTAGEER</v>
      </c>
      <c r="D977" s="323">
        <v>46010</v>
      </c>
      <c r="E977" s="175">
        <v>1</v>
      </c>
      <c r="F977" s="168" t="s">
        <v>499</v>
      </c>
      <c r="G977" s="165">
        <f>IFERROR(VLOOKUP(F977,'menu list'!B:C,2,FALSE)*E977,"0")</f>
        <v>100</v>
      </c>
      <c r="H977" s="334">
        <f t="shared" si="74"/>
        <v>15</v>
      </c>
      <c r="I977" s="165">
        <f t="shared" si="75"/>
        <v>115</v>
      </c>
    </row>
    <row r="978" spans="1:9" ht="12.75" hidden="1" x14ac:dyDescent="0.25">
      <c r="A978" s="167">
        <f t="shared" si="73"/>
        <v>977</v>
      </c>
      <c r="B978" s="168" t="s">
        <v>430</v>
      </c>
      <c r="C978" s="168" t="str">
        <f>VLOOKUP(B978,MEMBERS!B:C,2, )</f>
        <v>SYED JIBRAN MUSHTAQ</v>
      </c>
      <c r="D978" s="323">
        <v>46010</v>
      </c>
      <c r="E978" s="175">
        <v>2</v>
      </c>
      <c r="F978" s="168" t="s">
        <v>1190</v>
      </c>
      <c r="G978" s="165">
        <v>900</v>
      </c>
      <c r="H978" s="334">
        <f t="shared" si="74"/>
        <v>135</v>
      </c>
      <c r="I978" s="165">
        <f t="shared" si="75"/>
        <v>1035</v>
      </c>
    </row>
    <row r="979" spans="1:9" ht="12.75" hidden="1" x14ac:dyDescent="0.25">
      <c r="A979" s="167">
        <f t="shared" si="73"/>
        <v>978</v>
      </c>
      <c r="B979" s="168" t="s">
        <v>948</v>
      </c>
      <c r="C979" s="168" t="str">
        <f>VLOOKUP(B979,MEMBERS!B:C,2, )</f>
        <v>MR. TEHSEEN FAIZ</v>
      </c>
      <c r="D979" s="323">
        <v>46010</v>
      </c>
      <c r="E979" s="175">
        <v>1</v>
      </c>
      <c r="F979" s="168" t="s">
        <v>497</v>
      </c>
      <c r="G979" s="165">
        <f>IFERROR(VLOOKUP(F979,'menu list'!B:C,2,FALSE)*E979,"0")</f>
        <v>250</v>
      </c>
      <c r="H979" s="334">
        <f t="shared" si="74"/>
        <v>37.5</v>
      </c>
      <c r="I979" s="165">
        <f t="shared" si="75"/>
        <v>287.5</v>
      </c>
    </row>
    <row r="980" spans="1:9" ht="12.75" hidden="1" x14ac:dyDescent="0.25">
      <c r="A980" s="167">
        <f t="shared" si="73"/>
        <v>979</v>
      </c>
      <c r="B980" s="168" t="s">
        <v>374</v>
      </c>
      <c r="C980" s="168" t="str">
        <f>VLOOKUP(B980,MEMBERS!B:C,2, )</f>
        <v>AAMIR RASOOL</v>
      </c>
      <c r="D980" s="323">
        <v>46010</v>
      </c>
      <c r="E980" s="175">
        <v>1</v>
      </c>
      <c r="F980" s="168" t="s">
        <v>500</v>
      </c>
      <c r="G980" s="165">
        <f>IFERROR(VLOOKUP(F980,'menu list'!B:C,2,FALSE)*E980,"0")</f>
        <v>1250</v>
      </c>
      <c r="H980" s="334">
        <f t="shared" si="74"/>
        <v>187.5</v>
      </c>
      <c r="I980" s="165">
        <f t="shared" si="75"/>
        <v>1437.5</v>
      </c>
    </row>
    <row r="981" spans="1:9" ht="12.75" hidden="1" x14ac:dyDescent="0.25">
      <c r="A981" s="167">
        <f t="shared" si="73"/>
        <v>980</v>
      </c>
      <c r="B981" s="168" t="s">
        <v>374</v>
      </c>
      <c r="C981" s="168" t="str">
        <f>VLOOKUP(B981,MEMBERS!B:C,2, )</f>
        <v>AAMIR RASOOL</v>
      </c>
      <c r="D981" s="323">
        <v>46010</v>
      </c>
      <c r="E981" s="175">
        <v>2</v>
      </c>
      <c r="F981" s="168" t="s">
        <v>498</v>
      </c>
      <c r="G981" s="165">
        <f>IFERROR(VLOOKUP(F981,'menu list'!B:C,2,FALSE)*E981,"0")</f>
        <v>400</v>
      </c>
      <c r="H981" s="334">
        <f t="shared" si="74"/>
        <v>60</v>
      </c>
      <c r="I981" s="165">
        <f t="shared" si="75"/>
        <v>460</v>
      </c>
    </row>
    <row r="982" spans="1:9" ht="12.75" hidden="1" x14ac:dyDescent="0.25">
      <c r="A982" s="167">
        <f t="shared" si="73"/>
        <v>981</v>
      </c>
      <c r="B982" s="168" t="s">
        <v>374</v>
      </c>
      <c r="C982" s="168" t="str">
        <f>VLOOKUP(B982,MEMBERS!B:C,2, )</f>
        <v>AAMIR RASOOL</v>
      </c>
      <c r="D982" s="323">
        <v>46010</v>
      </c>
      <c r="E982" s="175">
        <v>1</v>
      </c>
      <c r="F982" s="168" t="s">
        <v>440</v>
      </c>
      <c r="G982" s="165">
        <f>IFERROR(VLOOKUP(F982,'menu list'!B:C,2,FALSE)*E982,"0")</f>
        <v>150</v>
      </c>
      <c r="H982" s="334">
        <f t="shared" si="74"/>
        <v>22.5</v>
      </c>
      <c r="I982" s="165">
        <f t="shared" si="75"/>
        <v>172.5</v>
      </c>
    </row>
    <row r="983" spans="1:9" ht="12.75" hidden="1" x14ac:dyDescent="0.25">
      <c r="A983" s="167">
        <f t="shared" si="73"/>
        <v>982</v>
      </c>
      <c r="B983" s="168" t="s">
        <v>426</v>
      </c>
      <c r="C983" s="168" t="str">
        <f>VLOOKUP(B983,MEMBERS!B:C,2, )</f>
        <v>NASIR ABBAS</v>
      </c>
      <c r="D983" s="323">
        <v>46011</v>
      </c>
      <c r="E983" s="175">
        <v>2</v>
      </c>
      <c r="F983" s="168" t="s">
        <v>713</v>
      </c>
      <c r="G983" s="165">
        <f>IFERROR(VLOOKUP(F983,'menu list'!B:C,2,FALSE)*E983,"0")</f>
        <v>900</v>
      </c>
      <c r="H983" s="334">
        <f t="shared" si="74"/>
        <v>135</v>
      </c>
      <c r="I983" s="165">
        <f t="shared" si="75"/>
        <v>1035</v>
      </c>
    </row>
    <row r="984" spans="1:9" ht="12.75" hidden="1" x14ac:dyDescent="0.25">
      <c r="A984" s="167">
        <f t="shared" si="73"/>
        <v>983</v>
      </c>
      <c r="B984" s="168" t="s">
        <v>426</v>
      </c>
      <c r="C984" s="168" t="str">
        <f>VLOOKUP(B984,MEMBERS!B:C,2, )</f>
        <v>NASIR ABBAS</v>
      </c>
      <c r="D984" s="323">
        <v>46011</v>
      </c>
      <c r="E984" s="175">
        <v>5</v>
      </c>
      <c r="F984" s="168" t="s">
        <v>921</v>
      </c>
      <c r="G984" s="165">
        <f>IFERROR(VLOOKUP(F984,'menu list'!B:C,2,FALSE)*E984,"0")</f>
        <v>1500</v>
      </c>
      <c r="H984" s="334">
        <f t="shared" si="74"/>
        <v>225</v>
      </c>
      <c r="I984" s="165">
        <f t="shared" si="75"/>
        <v>1725</v>
      </c>
    </row>
    <row r="985" spans="1:9" ht="12.75" hidden="1" x14ac:dyDescent="0.25">
      <c r="A985" s="167">
        <f t="shared" si="73"/>
        <v>984</v>
      </c>
      <c r="B985" s="168" t="s">
        <v>426</v>
      </c>
      <c r="C985" s="168" t="str">
        <f>VLOOKUP(B985,MEMBERS!B:C,2, )</f>
        <v>NASIR ABBAS</v>
      </c>
      <c r="D985" s="323">
        <v>46011</v>
      </c>
      <c r="E985" s="175">
        <v>2</v>
      </c>
      <c r="F985" s="168" t="s">
        <v>974</v>
      </c>
      <c r="G985" s="165">
        <f>IFERROR(VLOOKUP(F985,'menu list'!B:C,2,FALSE)*E985,"0")</f>
        <v>900</v>
      </c>
      <c r="H985" s="334">
        <f t="shared" si="74"/>
        <v>135</v>
      </c>
      <c r="I985" s="165">
        <f t="shared" si="75"/>
        <v>1035</v>
      </c>
    </row>
    <row r="986" spans="1:9" ht="12.75" hidden="1" x14ac:dyDescent="0.25">
      <c r="A986" s="167">
        <f t="shared" si="73"/>
        <v>985</v>
      </c>
      <c r="B986" s="168" t="s">
        <v>426</v>
      </c>
      <c r="C986" s="168" t="str">
        <f>VLOOKUP(B986,MEMBERS!B:C,2, )</f>
        <v>NASIR ABBAS</v>
      </c>
      <c r="D986" s="323">
        <v>46011</v>
      </c>
      <c r="E986" s="175">
        <v>8</v>
      </c>
      <c r="F986" s="168" t="s">
        <v>886</v>
      </c>
      <c r="G986" s="165">
        <f>IFERROR(VLOOKUP(F986,'menu list'!B:C,2,FALSE)*E986,"0")</f>
        <v>1200</v>
      </c>
      <c r="H986" s="334">
        <f t="shared" si="74"/>
        <v>180</v>
      </c>
      <c r="I986" s="165">
        <f t="shared" si="75"/>
        <v>1380</v>
      </c>
    </row>
    <row r="987" spans="1:9" ht="12.75" hidden="1" x14ac:dyDescent="0.25">
      <c r="A987" s="167">
        <f t="shared" si="73"/>
        <v>986</v>
      </c>
      <c r="B987" s="168" t="s">
        <v>426</v>
      </c>
      <c r="C987" s="168" t="str">
        <f>VLOOKUP(B987,MEMBERS!B:C,2, )</f>
        <v>NASIR ABBAS</v>
      </c>
      <c r="D987" s="323">
        <v>46011</v>
      </c>
      <c r="E987" s="175">
        <v>5</v>
      </c>
      <c r="F987" s="168" t="s">
        <v>498</v>
      </c>
      <c r="G987" s="165">
        <f>IFERROR(VLOOKUP(F987,'menu list'!B:C,2,FALSE)*E987,"0")</f>
        <v>1000</v>
      </c>
      <c r="H987" s="334">
        <f t="shared" si="74"/>
        <v>150</v>
      </c>
      <c r="I987" s="165">
        <f t="shared" si="75"/>
        <v>1150</v>
      </c>
    </row>
    <row r="988" spans="1:9" ht="12.75" hidden="1" x14ac:dyDescent="0.25">
      <c r="A988" s="167">
        <f t="shared" si="73"/>
        <v>987</v>
      </c>
      <c r="B988" s="168" t="s">
        <v>426</v>
      </c>
      <c r="C988" s="168" t="str">
        <f>VLOOKUP(B988,MEMBERS!B:C,2, )</f>
        <v>NASIR ABBAS</v>
      </c>
      <c r="D988" s="323">
        <v>46011</v>
      </c>
      <c r="E988" s="175">
        <v>5</v>
      </c>
      <c r="F988" s="168" t="s">
        <v>1191</v>
      </c>
      <c r="G988" s="165">
        <f>IFERROR(VLOOKUP(F988,'menu list'!B:C,2,FALSE)*E988,"0")</f>
        <v>2000</v>
      </c>
      <c r="H988" s="334">
        <f t="shared" si="74"/>
        <v>300</v>
      </c>
      <c r="I988" s="165">
        <f t="shared" si="75"/>
        <v>2300</v>
      </c>
    </row>
    <row r="989" spans="1:9" ht="12.75" hidden="1" x14ac:dyDescent="0.25">
      <c r="A989" s="167">
        <f t="shared" si="73"/>
        <v>988</v>
      </c>
      <c r="B989" s="168" t="s">
        <v>426</v>
      </c>
      <c r="C989" s="168" t="str">
        <f>VLOOKUP(B989,MEMBERS!B:C,2, )</f>
        <v>NASIR ABBAS</v>
      </c>
      <c r="D989" s="323">
        <v>46011</v>
      </c>
      <c r="E989" s="175">
        <v>1</v>
      </c>
      <c r="F989" s="168" t="s">
        <v>440</v>
      </c>
      <c r="G989" s="165">
        <f>IFERROR(VLOOKUP(F989,'menu list'!B:C,2,FALSE)*E989,"0")</f>
        <v>150</v>
      </c>
      <c r="H989" s="334">
        <f t="shared" si="74"/>
        <v>22.5</v>
      </c>
      <c r="I989" s="165">
        <f t="shared" si="75"/>
        <v>172.5</v>
      </c>
    </row>
    <row r="990" spans="1:9" ht="12.75" hidden="1" x14ac:dyDescent="0.25">
      <c r="A990" s="167">
        <f t="shared" si="73"/>
        <v>989</v>
      </c>
      <c r="B990" s="168" t="s">
        <v>113</v>
      </c>
      <c r="C990" s="168" t="str">
        <f>VLOOKUP(B990,MEMBERS!B:C,2, )</f>
        <v>MR.MANOJ KUMAR</v>
      </c>
      <c r="D990" s="323">
        <v>46011</v>
      </c>
      <c r="E990" s="175">
        <v>1</v>
      </c>
      <c r="F990" s="168" t="s">
        <v>440</v>
      </c>
      <c r="G990" s="165">
        <f>IFERROR(VLOOKUP(F990,'menu list'!B:C,2,FALSE)*E990,"0")</f>
        <v>150</v>
      </c>
      <c r="H990" s="334">
        <f t="shared" si="74"/>
        <v>22.5</v>
      </c>
      <c r="I990" s="165">
        <f t="shared" si="75"/>
        <v>172.5</v>
      </c>
    </row>
    <row r="991" spans="1:9" ht="12.75" hidden="1" x14ac:dyDescent="0.25">
      <c r="A991" s="167">
        <f t="shared" si="73"/>
        <v>990</v>
      </c>
      <c r="B991" s="168" t="s">
        <v>113</v>
      </c>
      <c r="C991" s="168" t="str">
        <f>VLOOKUP(B991,MEMBERS!B:C,2, )</f>
        <v>MR.MANOJ KUMAR</v>
      </c>
      <c r="D991" s="323">
        <v>46011</v>
      </c>
      <c r="E991" s="175">
        <v>1</v>
      </c>
      <c r="F991" s="168" t="s">
        <v>799</v>
      </c>
      <c r="G991" s="165">
        <f>IFERROR(VLOOKUP(F991,'menu list'!B:C,2,FALSE)*E991,"0")</f>
        <v>1700</v>
      </c>
      <c r="H991" s="334">
        <f t="shared" si="74"/>
        <v>255</v>
      </c>
      <c r="I991" s="165">
        <f t="shared" si="75"/>
        <v>1955</v>
      </c>
    </row>
    <row r="992" spans="1:9" ht="12.75" hidden="1" x14ac:dyDescent="0.25">
      <c r="A992" s="167">
        <f t="shared" si="73"/>
        <v>991</v>
      </c>
      <c r="B992" s="168" t="s">
        <v>113</v>
      </c>
      <c r="C992" s="168" t="str">
        <f>VLOOKUP(B992,MEMBERS!B:C,2, )</f>
        <v>MR.MANOJ KUMAR</v>
      </c>
      <c r="D992" s="323">
        <v>46011</v>
      </c>
      <c r="E992" s="175">
        <v>1</v>
      </c>
      <c r="F992" s="168" t="s">
        <v>772</v>
      </c>
      <c r="G992" s="165">
        <f>IFERROR(VLOOKUP(F992,'menu list'!B:C,2,FALSE)*E992,"0")</f>
        <v>900</v>
      </c>
      <c r="H992" s="334">
        <f t="shared" si="74"/>
        <v>135</v>
      </c>
      <c r="I992" s="165">
        <f t="shared" si="75"/>
        <v>1035</v>
      </c>
    </row>
    <row r="993" spans="1:9" ht="12.75" hidden="1" x14ac:dyDescent="0.25">
      <c r="A993" s="167">
        <f t="shared" si="73"/>
        <v>992</v>
      </c>
      <c r="B993" s="168" t="s">
        <v>113</v>
      </c>
      <c r="C993" s="168" t="str">
        <f>VLOOKUP(B993,MEMBERS!B:C,2, )</f>
        <v>MR.MANOJ KUMAR</v>
      </c>
      <c r="D993" s="323">
        <v>46011</v>
      </c>
      <c r="E993" s="175">
        <v>1</v>
      </c>
      <c r="F993" s="168" t="s">
        <v>793</v>
      </c>
      <c r="G993" s="165">
        <f>IFERROR(VLOOKUP(F993,'menu list'!B:C,2,FALSE)*E993,"0")</f>
        <v>800</v>
      </c>
      <c r="H993" s="334">
        <f t="shared" si="74"/>
        <v>120</v>
      </c>
      <c r="I993" s="165">
        <f t="shared" si="75"/>
        <v>920</v>
      </c>
    </row>
    <row r="994" spans="1:9" ht="12.75" hidden="1" x14ac:dyDescent="0.25">
      <c r="A994" s="167">
        <f t="shared" si="73"/>
        <v>993</v>
      </c>
      <c r="B994" s="168" t="s">
        <v>113</v>
      </c>
      <c r="C994" s="168" t="str">
        <f>VLOOKUP(B994,MEMBERS!B:C,2, )</f>
        <v>MR.MANOJ KUMAR</v>
      </c>
      <c r="D994" s="323">
        <v>46011</v>
      </c>
      <c r="E994" s="175">
        <v>2</v>
      </c>
      <c r="F994" s="168" t="s">
        <v>439</v>
      </c>
      <c r="G994" s="165">
        <f>IFERROR(VLOOKUP(F994,'menu list'!B:C,2,FALSE)*E994,"0")</f>
        <v>140</v>
      </c>
      <c r="H994" s="334">
        <f t="shared" si="74"/>
        <v>21</v>
      </c>
      <c r="I994" s="165">
        <f t="shared" si="75"/>
        <v>161</v>
      </c>
    </row>
    <row r="995" spans="1:9" ht="12.75" hidden="1" x14ac:dyDescent="0.25">
      <c r="A995" s="167">
        <f t="shared" si="73"/>
        <v>994</v>
      </c>
      <c r="B995" s="168" t="s">
        <v>113</v>
      </c>
      <c r="C995" s="168" t="str">
        <f>VLOOKUP(B995,MEMBERS!B:C,2, )</f>
        <v>MR.MANOJ KUMAR</v>
      </c>
      <c r="D995" s="323">
        <v>46011</v>
      </c>
      <c r="E995" s="175">
        <v>2</v>
      </c>
      <c r="F995" s="168" t="s">
        <v>504</v>
      </c>
      <c r="G995" s="165">
        <f>IFERROR(VLOOKUP(F995,'menu list'!B:C,2,FALSE)*E995,"0")</f>
        <v>260</v>
      </c>
      <c r="H995" s="334">
        <f t="shared" si="74"/>
        <v>39</v>
      </c>
      <c r="I995" s="165">
        <f t="shared" si="75"/>
        <v>299</v>
      </c>
    </row>
    <row r="996" spans="1:9" ht="12.75" hidden="1" x14ac:dyDescent="0.25">
      <c r="A996" s="167">
        <f t="shared" si="73"/>
        <v>995</v>
      </c>
      <c r="B996" s="168" t="s">
        <v>113</v>
      </c>
      <c r="C996" s="168" t="str">
        <f>VLOOKUP(B996,MEMBERS!B:C,2, )</f>
        <v>MR.MANOJ KUMAR</v>
      </c>
      <c r="D996" s="323">
        <v>46011</v>
      </c>
      <c r="E996" s="175">
        <v>1</v>
      </c>
      <c r="F996" s="168" t="s">
        <v>441</v>
      </c>
      <c r="G996" s="165">
        <f>IFERROR(VLOOKUP(F996,'menu list'!B:C,2,FALSE)*E996,"0")</f>
        <v>200</v>
      </c>
      <c r="H996" s="334">
        <f t="shared" si="74"/>
        <v>30</v>
      </c>
      <c r="I996" s="165">
        <f t="shared" si="75"/>
        <v>230</v>
      </c>
    </row>
    <row r="997" spans="1:9" ht="12.75" hidden="1" x14ac:dyDescent="0.25">
      <c r="A997" s="167">
        <f t="shared" si="73"/>
        <v>996</v>
      </c>
      <c r="B997" s="168" t="s">
        <v>197</v>
      </c>
      <c r="C997" s="168" t="str">
        <f>VLOOKUP(B997,MEMBERS!B:C,2, )</f>
        <v>MR.MUHAMMAD ATIF USMANI</v>
      </c>
      <c r="D997" s="323">
        <v>46011</v>
      </c>
      <c r="E997" s="175">
        <v>1</v>
      </c>
      <c r="F997" s="168" t="s">
        <v>653</v>
      </c>
      <c r="G997" s="165">
        <f>IFERROR(VLOOKUP(F997,'menu list'!B:C,2,FALSE)*E997,"0")</f>
        <v>350</v>
      </c>
      <c r="H997" s="334">
        <f t="shared" si="74"/>
        <v>52.5</v>
      </c>
      <c r="I997" s="165">
        <f t="shared" si="75"/>
        <v>402.5</v>
      </c>
    </row>
    <row r="998" spans="1:9" ht="12.75" hidden="1" x14ac:dyDescent="0.25">
      <c r="A998" s="167">
        <f t="shared" si="73"/>
        <v>997</v>
      </c>
      <c r="B998" s="168" t="s">
        <v>197</v>
      </c>
      <c r="C998" s="168" t="str">
        <f>VLOOKUP(B998,MEMBERS!B:C,2, )</f>
        <v>MR.MUHAMMAD ATIF USMANI</v>
      </c>
      <c r="D998" s="323">
        <v>46011</v>
      </c>
      <c r="E998" s="175">
        <v>1</v>
      </c>
      <c r="F998" s="168" t="s">
        <v>939</v>
      </c>
      <c r="G998" s="165">
        <f>IFERROR(VLOOKUP(F998,'menu list'!B:C,2,FALSE)*E998,"0")</f>
        <v>1200</v>
      </c>
      <c r="H998" s="334">
        <f t="shared" si="74"/>
        <v>180</v>
      </c>
      <c r="I998" s="165">
        <f t="shared" si="75"/>
        <v>1380</v>
      </c>
    </row>
    <row r="999" spans="1:9" ht="12.75" hidden="1" x14ac:dyDescent="0.25">
      <c r="A999" s="167">
        <f t="shared" si="73"/>
        <v>998</v>
      </c>
      <c r="B999" s="168" t="s">
        <v>197</v>
      </c>
      <c r="C999" s="168" t="str">
        <f>VLOOKUP(B999,MEMBERS!B:C,2, )</f>
        <v>MR.MUHAMMAD ATIF USMANI</v>
      </c>
      <c r="D999" s="323">
        <v>46011</v>
      </c>
      <c r="E999" s="175">
        <v>2</v>
      </c>
      <c r="F999" s="168" t="s">
        <v>439</v>
      </c>
      <c r="G999" s="165">
        <f>IFERROR(VLOOKUP(F999,'menu list'!B:C,2,FALSE)*E999,"0")</f>
        <v>140</v>
      </c>
      <c r="H999" s="334">
        <f t="shared" si="74"/>
        <v>21</v>
      </c>
      <c r="I999" s="165">
        <f t="shared" si="75"/>
        <v>161</v>
      </c>
    </row>
    <row r="1000" spans="1:9" ht="12.75" hidden="1" x14ac:dyDescent="0.25">
      <c r="A1000" s="167">
        <f t="shared" si="73"/>
        <v>999</v>
      </c>
      <c r="B1000" s="168" t="s">
        <v>197</v>
      </c>
      <c r="C1000" s="168" t="str">
        <f>VLOOKUP(B1000,MEMBERS!B:C,2, )</f>
        <v>MR.MUHAMMAD ATIF USMANI</v>
      </c>
      <c r="D1000" s="323">
        <v>46011</v>
      </c>
      <c r="E1000" s="175">
        <v>1</v>
      </c>
      <c r="F1000" s="168" t="s">
        <v>440</v>
      </c>
      <c r="G1000" s="165">
        <f>IFERROR(VLOOKUP(F1000,'menu list'!B:C,2,FALSE)*E1000,"0")</f>
        <v>150</v>
      </c>
      <c r="H1000" s="334">
        <f t="shared" si="74"/>
        <v>22.5</v>
      </c>
      <c r="I1000" s="165">
        <f t="shared" si="75"/>
        <v>172.5</v>
      </c>
    </row>
    <row r="1001" spans="1:9" ht="12.75" hidden="1" x14ac:dyDescent="0.25">
      <c r="A1001" s="167">
        <f t="shared" si="73"/>
        <v>1000</v>
      </c>
      <c r="B1001" s="168" t="s">
        <v>93</v>
      </c>
      <c r="C1001" s="168" t="str">
        <f>VLOOKUP(B1001,MEMBERS!B:C,2, )</f>
        <v>MR.NIZAM UDDIN NIZAMANI</v>
      </c>
      <c r="D1001" s="323">
        <v>46011</v>
      </c>
      <c r="E1001" s="175">
        <v>1</v>
      </c>
      <c r="F1001" s="168" t="s">
        <v>833</v>
      </c>
      <c r="G1001" s="165">
        <f>IFERROR(VLOOKUP(F1001,'menu list'!B:C,2,FALSE)*E1001,"0")</f>
        <v>350</v>
      </c>
      <c r="H1001" s="334">
        <f t="shared" si="74"/>
        <v>52.5</v>
      </c>
      <c r="I1001" s="165">
        <f t="shared" si="75"/>
        <v>402.5</v>
      </c>
    </row>
    <row r="1002" spans="1:9" ht="12.75" hidden="1" x14ac:dyDescent="0.25">
      <c r="A1002" s="167">
        <f t="shared" si="73"/>
        <v>1001</v>
      </c>
      <c r="B1002" s="168" t="s">
        <v>93</v>
      </c>
      <c r="C1002" s="168" t="str">
        <f>VLOOKUP(B1002,MEMBERS!B:C,2, )</f>
        <v>MR.NIZAM UDDIN NIZAMANI</v>
      </c>
      <c r="D1002" s="323">
        <v>46011</v>
      </c>
      <c r="E1002" s="175">
        <v>1</v>
      </c>
      <c r="F1002" s="168" t="s">
        <v>793</v>
      </c>
      <c r="G1002" s="165">
        <f>IFERROR(VLOOKUP(F1002,'menu list'!B:C,2,FALSE)*E1002,"0")</f>
        <v>800</v>
      </c>
      <c r="H1002" s="334">
        <f t="shared" si="74"/>
        <v>120</v>
      </c>
      <c r="I1002" s="165">
        <f t="shared" si="75"/>
        <v>920</v>
      </c>
    </row>
    <row r="1003" spans="1:9" ht="12.75" hidden="1" x14ac:dyDescent="0.25">
      <c r="A1003" s="167">
        <f t="shared" si="73"/>
        <v>1002</v>
      </c>
      <c r="B1003" s="168" t="s">
        <v>93</v>
      </c>
      <c r="C1003" s="168" t="str">
        <f>VLOOKUP(B1003,MEMBERS!B:C,2, )</f>
        <v>MR.NIZAM UDDIN NIZAMANI</v>
      </c>
      <c r="D1003" s="323">
        <v>46011</v>
      </c>
      <c r="E1003" s="175">
        <v>3</v>
      </c>
      <c r="F1003" s="168" t="s">
        <v>439</v>
      </c>
      <c r="G1003" s="165">
        <f>IFERROR(VLOOKUP(F1003,'menu list'!B:C,2,FALSE)*E1003,"0")</f>
        <v>210</v>
      </c>
      <c r="H1003" s="334">
        <f t="shared" si="74"/>
        <v>31.5</v>
      </c>
      <c r="I1003" s="165">
        <f t="shared" si="75"/>
        <v>241.5</v>
      </c>
    </row>
    <row r="1004" spans="1:9" ht="12.75" hidden="1" x14ac:dyDescent="0.25">
      <c r="A1004" s="167">
        <f t="shared" si="73"/>
        <v>1003</v>
      </c>
      <c r="B1004" s="168" t="s">
        <v>93</v>
      </c>
      <c r="C1004" s="168" t="str">
        <f>VLOOKUP(B1004,MEMBERS!B:C,2, )</f>
        <v>MR.NIZAM UDDIN NIZAMANI</v>
      </c>
      <c r="D1004" s="323">
        <v>46011</v>
      </c>
      <c r="E1004" s="175">
        <v>1</v>
      </c>
      <c r="F1004" s="168" t="s">
        <v>939</v>
      </c>
      <c r="G1004" s="165">
        <f>IFERROR(VLOOKUP(F1004,'menu list'!B:C,2,FALSE)*E1004,"0")</f>
        <v>1200</v>
      </c>
      <c r="H1004" s="334">
        <f t="shared" si="74"/>
        <v>180</v>
      </c>
      <c r="I1004" s="165">
        <f t="shared" si="75"/>
        <v>1380</v>
      </c>
    </row>
    <row r="1005" spans="1:9" ht="12.75" hidden="1" x14ac:dyDescent="0.25">
      <c r="A1005" s="167">
        <f t="shared" ref="A1005:A1063" si="76">IF(D1005&lt;&gt;"", ROW()-1, "")</f>
        <v>1004</v>
      </c>
      <c r="B1005" s="168" t="s">
        <v>93</v>
      </c>
      <c r="C1005" s="168" t="str">
        <f>VLOOKUP(B1005,MEMBERS!B:C,2, )</f>
        <v>MR.NIZAM UDDIN NIZAMANI</v>
      </c>
      <c r="D1005" s="323">
        <v>46011</v>
      </c>
      <c r="E1005" s="175">
        <v>1</v>
      </c>
      <c r="F1005" s="168" t="s">
        <v>441</v>
      </c>
      <c r="G1005" s="165">
        <f>IFERROR(VLOOKUP(F1005,'menu list'!B:C,2,FALSE)*E1005,"0")</f>
        <v>200</v>
      </c>
      <c r="H1005" s="334">
        <f t="shared" si="74"/>
        <v>30</v>
      </c>
      <c r="I1005" s="165">
        <f t="shared" si="75"/>
        <v>230</v>
      </c>
    </row>
    <row r="1006" spans="1:9" ht="12.75" hidden="1" x14ac:dyDescent="0.25">
      <c r="A1006" s="167">
        <f t="shared" si="76"/>
        <v>1005</v>
      </c>
      <c r="B1006" s="168" t="s">
        <v>430</v>
      </c>
      <c r="C1006" s="168" t="str">
        <f>VLOOKUP(B1006,MEMBERS!B:C,2, )</f>
        <v>SYED JIBRAN MUSHTAQ</v>
      </c>
      <c r="D1006" s="323">
        <v>46011</v>
      </c>
      <c r="E1006" s="175">
        <v>1</v>
      </c>
      <c r="F1006" s="168" t="s">
        <v>772</v>
      </c>
      <c r="G1006" s="165">
        <f>IFERROR(VLOOKUP(F1006,'menu list'!B:C,2,FALSE)*E1006,"0")</f>
        <v>900</v>
      </c>
      <c r="H1006" s="334">
        <f t="shared" si="74"/>
        <v>135</v>
      </c>
      <c r="I1006" s="165">
        <f t="shared" si="75"/>
        <v>1035</v>
      </c>
    </row>
    <row r="1007" spans="1:9" ht="12.75" hidden="1" x14ac:dyDescent="0.25">
      <c r="A1007" s="167">
        <f t="shared" si="76"/>
        <v>1006</v>
      </c>
      <c r="B1007" s="168" t="s">
        <v>430</v>
      </c>
      <c r="C1007" s="168" t="str">
        <f>VLOOKUP(B1007,MEMBERS!B:C,2, )</f>
        <v>SYED JIBRAN MUSHTAQ</v>
      </c>
      <c r="D1007" s="323">
        <v>46011</v>
      </c>
      <c r="E1007" s="175">
        <v>1</v>
      </c>
      <c r="F1007" s="168" t="s">
        <v>522</v>
      </c>
      <c r="G1007" s="165">
        <f>IFERROR(VLOOKUP(F1007,'menu list'!B:C,2,FALSE)*E1007,"0")</f>
        <v>1200</v>
      </c>
      <c r="H1007" s="334">
        <f t="shared" si="74"/>
        <v>180</v>
      </c>
      <c r="I1007" s="165">
        <f t="shared" si="75"/>
        <v>1380</v>
      </c>
    </row>
    <row r="1008" spans="1:9" ht="12.75" hidden="1" x14ac:dyDescent="0.25">
      <c r="A1008" s="167">
        <f t="shared" si="76"/>
        <v>1007</v>
      </c>
      <c r="B1008" s="168" t="s">
        <v>430</v>
      </c>
      <c r="C1008" s="168" t="str">
        <f>VLOOKUP(B1008,MEMBERS!B:C,2, )</f>
        <v>SYED JIBRAN MUSHTAQ</v>
      </c>
      <c r="D1008" s="323">
        <v>46011</v>
      </c>
      <c r="E1008" s="175">
        <v>3</v>
      </c>
      <c r="F1008" s="168" t="s">
        <v>439</v>
      </c>
      <c r="G1008" s="165">
        <f>IFERROR(VLOOKUP(F1008,'menu list'!B:C,2,FALSE)*E1008,"0")</f>
        <v>210</v>
      </c>
      <c r="H1008" s="334">
        <f t="shared" si="74"/>
        <v>31.5</v>
      </c>
      <c r="I1008" s="165">
        <f t="shared" si="75"/>
        <v>241.5</v>
      </c>
    </row>
    <row r="1009" spans="1:9" ht="12.75" hidden="1" x14ac:dyDescent="0.25">
      <c r="A1009" s="167">
        <f t="shared" si="76"/>
        <v>1008</v>
      </c>
      <c r="B1009" s="168" t="s">
        <v>1021</v>
      </c>
      <c r="C1009" s="168" t="str">
        <f>VLOOKUP(B1009,MEMBERS!B:C,2, )</f>
        <v>MR. AIJAZ ALI BALOCH</v>
      </c>
      <c r="D1009" s="323">
        <v>46011</v>
      </c>
      <c r="E1009" s="175">
        <v>2</v>
      </c>
      <c r="F1009" s="168" t="s">
        <v>786</v>
      </c>
      <c r="G1009" s="165">
        <f>IFERROR(VLOOKUP(F1009,'menu list'!B:C,2,FALSE)*E1009,"0")</f>
        <v>2300</v>
      </c>
      <c r="H1009" s="334">
        <f t="shared" si="74"/>
        <v>345</v>
      </c>
      <c r="I1009" s="165">
        <f t="shared" si="75"/>
        <v>2645</v>
      </c>
    </row>
    <row r="1010" spans="1:9" ht="12.75" hidden="1" x14ac:dyDescent="0.25">
      <c r="A1010" s="167">
        <f t="shared" si="76"/>
        <v>1009</v>
      </c>
      <c r="B1010" s="168" t="s">
        <v>1021</v>
      </c>
      <c r="C1010" s="168" t="str">
        <f>VLOOKUP(B1010,MEMBERS!B:C,2, )</f>
        <v>MR. AIJAZ ALI BALOCH</v>
      </c>
      <c r="D1010" s="323">
        <v>46011</v>
      </c>
      <c r="E1010" s="175">
        <v>2</v>
      </c>
      <c r="F1010" s="168" t="s">
        <v>939</v>
      </c>
      <c r="G1010" s="165">
        <f>IFERROR(VLOOKUP(F1010,'menu list'!B:C,2,FALSE)*E1010,"0")</f>
        <v>2400</v>
      </c>
      <c r="H1010" s="334">
        <f t="shared" si="74"/>
        <v>360</v>
      </c>
      <c r="I1010" s="165">
        <f t="shared" si="75"/>
        <v>2760</v>
      </c>
    </row>
    <row r="1011" spans="1:9" ht="12.75" hidden="1" x14ac:dyDescent="0.25">
      <c r="A1011" s="167">
        <f t="shared" si="76"/>
        <v>1010</v>
      </c>
      <c r="B1011" s="168" t="s">
        <v>1021</v>
      </c>
      <c r="C1011" s="168" t="str">
        <f>VLOOKUP(B1011,MEMBERS!B:C,2, )</f>
        <v>MR. AIJAZ ALI BALOCH</v>
      </c>
      <c r="D1011" s="323">
        <v>46011</v>
      </c>
      <c r="E1011" s="175">
        <v>2</v>
      </c>
      <c r="F1011" s="168" t="s">
        <v>522</v>
      </c>
      <c r="G1011" s="165">
        <f>IFERROR(VLOOKUP(F1011,'menu list'!B:C,2,FALSE)*E1011,"0")</f>
        <v>2400</v>
      </c>
      <c r="H1011" s="334">
        <f t="shared" si="74"/>
        <v>360</v>
      </c>
      <c r="I1011" s="165">
        <f t="shared" si="75"/>
        <v>2760</v>
      </c>
    </row>
    <row r="1012" spans="1:9" ht="12.75" hidden="1" x14ac:dyDescent="0.25">
      <c r="A1012" s="167">
        <f t="shared" si="76"/>
        <v>1011</v>
      </c>
      <c r="B1012" s="168" t="s">
        <v>1021</v>
      </c>
      <c r="C1012" s="168" t="str">
        <f>VLOOKUP(B1012,MEMBERS!B:C,2, )</f>
        <v>MR. AIJAZ ALI BALOCH</v>
      </c>
      <c r="D1012" s="323">
        <v>46011</v>
      </c>
      <c r="E1012" s="175">
        <v>2</v>
      </c>
      <c r="F1012" s="168" t="s">
        <v>915</v>
      </c>
      <c r="G1012" s="165">
        <f>IFERROR(VLOOKUP(F1012,'menu list'!B:C,2,FALSE)*E1012,"0")</f>
        <v>1998</v>
      </c>
      <c r="H1012" s="334">
        <f t="shared" si="74"/>
        <v>299.7</v>
      </c>
      <c r="I1012" s="165">
        <f t="shared" si="75"/>
        <v>2297.6999999999998</v>
      </c>
    </row>
    <row r="1013" spans="1:9" ht="12.75" hidden="1" x14ac:dyDescent="0.25">
      <c r="A1013" s="167">
        <f t="shared" si="76"/>
        <v>1012</v>
      </c>
      <c r="B1013" s="168" t="s">
        <v>1021</v>
      </c>
      <c r="C1013" s="168" t="str">
        <f>VLOOKUP(B1013,MEMBERS!B:C,2, )</f>
        <v>MR. AIJAZ ALI BALOCH</v>
      </c>
      <c r="D1013" s="323">
        <v>46011</v>
      </c>
      <c r="E1013" s="175">
        <v>1</v>
      </c>
      <c r="F1013" s="168" t="s">
        <v>787</v>
      </c>
      <c r="G1013" s="165">
        <f>IFERROR(VLOOKUP(F1013,'menu list'!B:C,2,FALSE)*E1013,"0")</f>
        <v>900</v>
      </c>
      <c r="H1013" s="334">
        <f t="shared" si="74"/>
        <v>135</v>
      </c>
      <c r="I1013" s="165">
        <f t="shared" si="75"/>
        <v>1035</v>
      </c>
    </row>
    <row r="1014" spans="1:9" ht="12.75" hidden="1" x14ac:dyDescent="0.25">
      <c r="A1014" s="167">
        <f t="shared" si="76"/>
        <v>1013</v>
      </c>
      <c r="B1014" s="168" t="s">
        <v>1021</v>
      </c>
      <c r="C1014" s="168" t="str">
        <f>VLOOKUP(B1014,MEMBERS!B:C,2, )</f>
        <v>MR. AIJAZ ALI BALOCH</v>
      </c>
      <c r="D1014" s="323">
        <v>46011</v>
      </c>
      <c r="E1014" s="175">
        <v>2</v>
      </c>
      <c r="F1014" s="168" t="s">
        <v>772</v>
      </c>
      <c r="G1014" s="165">
        <f>IFERROR(VLOOKUP(F1014,'menu list'!B:C,2,FALSE)*E1014,"0")</f>
        <v>1800</v>
      </c>
      <c r="H1014" s="334">
        <f t="shared" si="74"/>
        <v>270</v>
      </c>
      <c r="I1014" s="165">
        <f t="shared" si="75"/>
        <v>2070</v>
      </c>
    </row>
    <row r="1015" spans="1:9" ht="12.75" hidden="1" x14ac:dyDescent="0.25">
      <c r="A1015" s="167">
        <f t="shared" si="76"/>
        <v>1014</v>
      </c>
      <c r="B1015" s="168" t="s">
        <v>1021</v>
      </c>
      <c r="C1015" s="168" t="str">
        <f>VLOOKUP(B1015,MEMBERS!B:C,2, )</f>
        <v>MR. AIJAZ ALI BALOCH</v>
      </c>
      <c r="D1015" s="323">
        <v>46011</v>
      </c>
      <c r="E1015" s="175">
        <v>1</v>
      </c>
      <c r="F1015" s="168" t="s">
        <v>726</v>
      </c>
      <c r="G1015" s="165">
        <f>IFERROR(VLOOKUP(F1015,'menu list'!B:C,2,FALSE)*E1015,"0")</f>
        <v>1300</v>
      </c>
      <c r="H1015" s="334">
        <f t="shared" si="74"/>
        <v>195</v>
      </c>
      <c r="I1015" s="165">
        <f t="shared" si="75"/>
        <v>1495</v>
      </c>
    </row>
    <row r="1016" spans="1:9" ht="12.75" hidden="1" x14ac:dyDescent="0.25">
      <c r="A1016" s="167">
        <f t="shared" si="76"/>
        <v>1015</v>
      </c>
      <c r="B1016" s="168" t="s">
        <v>1021</v>
      </c>
      <c r="C1016" s="168" t="str">
        <f>VLOOKUP(B1016,MEMBERS!B:C,2, )</f>
        <v>MR. AIJAZ ALI BALOCH</v>
      </c>
      <c r="D1016" s="323">
        <v>46011</v>
      </c>
      <c r="E1016" s="175">
        <v>3</v>
      </c>
      <c r="F1016" s="168" t="s">
        <v>633</v>
      </c>
      <c r="G1016" s="165">
        <f>IFERROR(VLOOKUP(F1016,'menu list'!B:C,2,FALSE)*E1016,"0")</f>
        <v>2100</v>
      </c>
      <c r="H1016" s="334">
        <f t="shared" si="74"/>
        <v>315</v>
      </c>
      <c r="I1016" s="165">
        <f t="shared" si="75"/>
        <v>2415</v>
      </c>
    </row>
    <row r="1017" spans="1:9" ht="12.75" hidden="1" x14ac:dyDescent="0.25">
      <c r="A1017" s="167">
        <f t="shared" si="76"/>
        <v>1016</v>
      </c>
      <c r="B1017" s="168" t="s">
        <v>1021</v>
      </c>
      <c r="C1017" s="168" t="str">
        <f>VLOOKUP(B1017,MEMBERS!B:C,2, )</f>
        <v>MR. AIJAZ ALI BALOCH</v>
      </c>
      <c r="D1017" s="323">
        <v>46011</v>
      </c>
      <c r="E1017" s="175">
        <v>5</v>
      </c>
      <c r="F1017" s="168" t="s">
        <v>439</v>
      </c>
      <c r="G1017" s="165">
        <f>IFERROR(VLOOKUP(F1017,'menu list'!B:C,2,FALSE)*E1017,"0")</f>
        <v>350</v>
      </c>
      <c r="H1017" s="334">
        <f t="shared" si="74"/>
        <v>52.5</v>
      </c>
      <c r="I1017" s="165">
        <f t="shared" si="75"/>
        <v>402.5</v>
      </c>
    </row>
    <row r="1018" spans="1:9" ht="12.75" hidden="1" x14ac:dyDescent="0.25">
      <c r="A1018" s="167">
        <f t="shared" si="76"/>
        <v>1017</v>
      </c>
      <c r="B1018" s="168" t="s">
        <v>1021</v>
      </c>
      <c r="C1018" s="168" t="str">
        <f>VLOOKUP(B1018,MEMBERS!B:C,2, )</f>
        <v>MR. AIJAZ ALI BALOCH</v>
      </c>
      <c r="D1018" s="323">
        <v>46011</v>
      </c>
      <c r="E1018" s="175">
        <v>5</v>
      </c>
      <c r="F1018" s="168" t="s">
        <v>504</v>
      </c>
      <c r="G1018" s="165">
        <f>IFERROR(VLOOKUP(F1018,'menu list'!B:C,2,FALSE)*E1018,"0")</f>
        <v>650</v>
      </c>
      <c r="H1018" s="334">
        <f t="shared" si="74"/>
        <v>97.5</v>
      </c>
      <c r="I1018" s="165">
        <f t="shared" si="75"/>
        <v>747.5</v>
      </c>
    </row>
    <row r="1019" spans="1:9" ht="12.75" hidden="1" x14ac:dyDescent="0.25">
      <c r="A1019" s="167">
        <f t="shared" si="76"/>
        <v>1018</v>
      </c>
      <c r="B1019" s="168" t="s">
        <v>1021</v>
      </c>
      <c r="C1019" s="168" t="str">
        <f>VLOOKUP(B1019,MEMBERS!B:C,2, )</f>
        <v>MR. AIJAZ ALI BALOCH</v>
      </c>
      <c r="D1019" s="323">
        <v>46011</v>
      </c>
      <c r="E1019" s="175">
        <v>2</v>
      </c>
      <c r="F1019" s="168" t="s">
        <v>441</v>
      </c>
      <c r="G1019" s="165">
        <f>IFERROR(VLOOKUP(F1019,'menu list'!B:C,2,FALSE)*E1019,"0")</f>
        <v>400</v>
      </c>
      <c r="H1019" s="334">
        <f t="shared" si="74"/>
        <v>60</v>
      </c>
      <c r="I1019" s="165">
        <f t="shared" si="75"/>
        <v>460</v>
      </c>
    </row>
    <row r="1020" spans="1:9" ht="12.75" hidden="1" x14ac:dyDescent="0.25">
      <c r="A1020" s="167">
        <f t="shared" si="76"/>
        <v>1019</v>
      </c>
      <c r="B1020" s="168" t="s">
        <v>1021</v>
      </c>
      <c r="C1020" s="168" t="str">
        <f>VLOOKUP(B1020,MEMBERS!B:C,2, )</f>
        <v>MR. AIJAZ ALI BALOCH</v>
      </c>
      <c r="D1020" s="323">
        <v>46011</v>
      </c>
      <c r="E1020" s="175">
        <v>2</v>
      </c>
      <c r="F1020" s="168" t="s">
        <v>793</v>
      </c>
      <c r="G1020" s="165">
        <f>IFERROR(VLOOKUP(F1020,'menu list'!B:C,2,FALSE)*E1020,"0")</f>
        <v>1600</v>
      </c>
      <c r="H1020" s="334">
        <f t="shared" si="74"/>
        <v>240</v>
      </c>
      <c r="I1020" s="165">
        <f t="shared" si="75"/>
        <v>1840</v>
      </c>
    </row>
    <row r="1021" spans="1:9" ht="12.75" hidden="1" x14ac:dyDescent="0.25">
      <c r="A1021" s="167">
        <f t="shared" si="76"/>
        <v>1020</v>
      </c>
      <c r="B1021" s="168" t="s">
        <v>1021</v>
      </c>
      <c r="C1021" s="168" t="str">
        <f>VLOOKUP(B1021,MEMBERS!B:C,2, )</f>
        <v>MR. AIJAZ ALI BALOCH</v>
      </c>
      <c r="D1021" s="323">
        <v>46011</v>
      </c>
      <c r="E1021" s="175">
        <v>3</v>
      </c>
      <c r="F1021" s="168" t="s">
        <v>502</v>
      </c>
      <c r="G1021" s="165">
        <f>IFERROR(VLOOKUP(F1021,'menu list'!B:C,2,FALSE)*E1021,"0")</f>
        <v>1050</v>
      </c>
      <c r="H1021" s="334">
        <f t="shared" si="74"/>
        <v>157.5</v>
      </c>
      <c r="I1021" s="165">
        <f t="shared" si="75"/>
        <v>1207.5</v>
      </c>
    </row>
    <row r="1022" spans="1:9" ht="12.75" hidden="1" x14ac:dyDescent="0.25">
      <c r="A1022" s="167">
        <f t="shared" si="76"/>
        <v>1021</v>
      </c>
      <c r="B1022" s="168" t="s">
        <v>1021</v>
      </c>
      <c r="C1022" s="168" t="str">
        <f>VLOOKUP(B1022,MEMBERS!B:C,2, )</f>
        <v>MR. AIJAZ ALI BALOCH</v>
      </c>
      <c r="D1022" s="323">
        <v>46011</v>
      </c>
      <c r="E1022" s="175">
        <v>4</v>
      </c>
      <c r="F1022" s="168" t="s">
        <v>442</v>
      </c>
      <c r="G1022" s="165">
        <f>IFERROR(VLOOKUP(F1022,'menu list'!B:C,2,FALSE)*E1022,"0")</f>
        <v>600</v>
      </c>
      <c r="H1022" s="334">
        <f t="shared" si="74"/>
        <v>90</v>
      </c>
      <c r="I1022" s="165">
        <f t="shared" si="75"/>
        <v>690</v>
      </c>
    </row>
    <row r="1023" spans="1:9" ht="12.75" hidden="1" x14ac:dyDescent="0.25">
      <c r="A1023" s="167">
        <f t="shared" si="76"/>
        <v>1022</v>
      </c>
      <c r="B1023" s="168" t="s">
        <v>1021</v>
      </c>
      <c r="C1023" s="168" t="str">
        <f>VLOOKUP(B1023,MEMBERS!B:C,2, )</f>
        <v>MR. AIJAZ ALI BALOCH</v>
      </c>
      <c r="D1023" s="323">
        <v>46011</v>
      </c>
      <c r="E1023" s="175">
        <v>2</v>
      </c>
      <c r="F1023" s="168" t="s">
        <v>440</v>
      </c>
      <c r="G1023" s="165">
        <f>IFERROR(VLOOKUP(F1023,'menu list'!B:C,2,FALSE)*E1023,"0")</f>
        <v>300</v>
      </c>
      <c r="H1023" s="334">
        <f t="shared" si="74"/>
        <v>45</v>
      </c>
      <c r="I1023" s="165">
        <f t="shared" si="75"/>
        <v>345</v>
      </c>
    </row>
    <row r="1024" spans="1:9" ht="12.75" hidden="1" x14ac:dyDescent="0.25">
      <c r="A1024" s="167">
        <f t="shared" si="76"/>
        <v>1023</v>
      </c>
      <c r="B1024" s="168" t="s">
        <v>1021</v>
      </c>
      <c r="C1024" s="168" t="str">
        <f>VLOOKUP(B1024,MEMBERS!B:C,2, )</f>
        <v>MR. AIJAZ ALI BALOCH</v>
      </c>
      <c r="D1024" s="323">
        <v>46011</v>
      </c>
      <c r="E1024" s="175">
        <v>4</v>
      </c>
      <c r="F1024" s="168" t="s">
        <v>439</v>
      </c>
      <c r="G1024" s="165">
        <f>IFERROR(VLOOKUP(F1024,'menu list'!B:C,2,FALSE)*E1024,"0")</f>
        <v>280</v>
      </c>
      <c r="H1024" s="334">
        <f t="shared" si="74"/>
        <v>42</v>
      </c>
      <c r="I1024" s="165">
        <f t="shared" si="75"/>
        <v>322</v>
      </c>
    </row>
    <row r="1025" spans="1:9" ht="12.75" hidden="1" x14ac:dyDescent="0.25">
      <c r="A1025" s="167">
        <f t="shared" si="76"/>
        <v>1024</v>
      </c>
      <c r="B1025" s="168" t="s">
        <v>98</v>
      </c>
      <c r="C1025" s="168" t="str">
        <f>VLOOKUP(B1025,MEMBERS!B:C,2, )</f>
        <v>MR.HAFEEZ AHMED SIYAL</v>
      </c>
      <c r="D1025" s="323">
        <v>46011</v>
      </c>
      <c r="E1025" s="175">
        <v>1</v>
      </c>
      <c r="F1025" s="168" t="s">
        <v>500</v>
      </c>
      <c r="G1025" s="165">
        <f>IFERROR(VLOOKUP(F1025,'menu list'!B:C,2,FALSE)*E1025,"0")</f>
        <v>1250</v>
      </c>
      <c r="H1025" s="334">
        <f t="shared" si="74"/>
        <v>187.5</v>
      </c>
      <c r="I1025" s="165">
        <f t="shared" si="75"/>
        <v>1437.5</v>
      </c>
    </row>
    <row r="1026" spans="1:9" ht="12.75" hidden="1" x14ac:dyDescent="0.25">
      <c r="A1026" s="167">
        <f t="shared" si="76"/>
        <v>1025</v>
      </c>
      <c r="B1026" s="168" t="s">
        <v>98</v>
      </c>
      <c r="C1026" s="168" t="str">
        <f>VLOOKUP(B1026,MEMBERS!B:C,2, )</f>
        <v>MR.HAFEEZ AHMED SIYAL</v>
      </c>
      <c r="D1026" s="323">
        <v>46011</v>
      </c>
      <c r="E1026" s="175">
        <v>3</v>
      </c>
      <c r="F1026" s="168" t="s">
        <v>833</v>
      </c>
      <c r="G1026" s="165">
        <f>IFERROR(VLOOKUP(F1026,'menu list'!B:C,2,FALSE)*E1026,"0")</f>
        <v>1050</v>
      </c>
      <c r="H1026" s="334">
        <f t="shared" si="74"/>
        <v>157.5</v>
      </c>
      <c r="I1026" s="165">
        <f t="shared" si="75"/>
        <v>1207.5</v>
      </c>
    </row>
    <row r="1027" spans="1:9" ht="12.75" hidden="1" x14ac:dyDescent="0.25">
      <c r="A1027" s="167">
        <f t="shared" si="76"/>
        <v>1026</v>
      </c>
      <c r="B1027" s="168" t="s">
        <v>98</v>
      </c>
      <c r="C1027" s="168" t="str">
        <f>VLOOKUP(B1027,MEMBERS!B:C,2, )</f>
        <v>MR.HAFEEZ AHMED SIYAL</v>
      </c>
      <c r="D1027" s="323">
        <v>46011</v>
      </c>
      <c r="E1027" s="175">
        <v>1</v>
      </c>
      <c r="F1027" s="168" t="s">
        <v>440</v>
      </c>
      <c r="G1027" s="165">
        <f>IFERROR(VLOOKUP(F1027,'menu list'!B:C,2,FALSE)*E1027,"0")</f>
        <v>150</v>
      </c>
      <c r="H1027" s="334">
        <f t="shared" ref="H1027:H1090" si="77">G1027*15/100</f>
        <v>22.5</v>
      </c>
      <c r="I1027" s="165">
        <f t="shared" si="75"/>
        <v>172.5</v>
      </c>
    </row>
    <row r="1028" spans="1:9" ht="12.75" hidden="1" x14ac:dyDescent="0.25">
      <c r="A1028" s="167">
        <f t="shared" si="76"/>
        <v>1027</v>
      </c>
      <c r="B1028" s="168" t="s">
        <v>221</v>
      </c>
      <c r="C1028" s="168" t="str">
        <f>VLOOKUP(B1028,MEMBERS!B:C,2, )</f>
        <v>MR.WAQAR UDDIN</v>
      </c>
      <c r="D1028" s="323">
        <v>46011</v>
      </c>
      <c r="E1028" s="175">
        <v>3</v>
      </c>
      <c r="F1028" s="168" t="s">
        <v>770</v>
      </c>
      <c r="G1028" s="165">
        <f>IFERROR(VLOOKUP(F1028,'menu list'!B:C,2,FALSE)*E1028,"0")</f>
        <v>3000</v>
      </c>
      <c r="H1028" s="334">
        <f t="shared" si="77"/>
        <v>450</v>
      </c>
      <c r="I1028" s="165">
        <f t="shared" ref="I1028:I1091" si="78">G1028+H1028</f>
        <v>3450</v>
      </c>
    </row>
    <row r="1029" spans="1:9" ht="12.75" hidden="1" x14ac:dyDescent="0.25">
      <c r="A1029" s="167">
        <f t="shared" si="76"/>
        <v>1028</v>
      </c>
      <c r="B1029" s="168" t="s">
        <v>221</v>
      </c>
      <c r="C1029" s="168" t="str">
        <f>VLOOKUP(B1029,MEMBERS!B:C,2, )</f>
        <v>MR.WAQAR UDDIN</v>
      </c>
      <c r="D1029" s="323">
        <v>46011</v>
      </c>
      <c r="E1029" s="175">
        <v>3</v>
      </c>
      <c r="F1029" s="168" t="s">
        <v>740</v>
      </c>
      <c r="G1029" s="165">
        <f>IFERROR(VLOOKUP(F1029,'menu list'!B:C,2,FALSE)*E1029,"0")</f>
        <v>5400</v>
      </c>
      <c r="H1029" s="334">
        <f t="shared" si="77"/>
        <v>810</v>
      </c>
      <c r="I1029" s="165">
        <f t="shared" si="78"/>
        <v>6210</v>
      </c>
    </row>
    <row r="1030" spans="1:9" ht="12.75" hidden="1" x14ac:dyDescent="0.25">
      <c r="A1030" s="167">
        <f t="shared" si="76"/>
        <v>1029</v>
      </c>
      <c r="B1030" s="168" t="s">
        <v>221</v>
      </c>
      <c r="C1030" s="168" t="str">
        <f>VLOOKUP(B1030,MEMBERS!B:C,2, )</f>
        <v>MR.WAQAR UDDIN</v>
      </c>
      <c r="D1030" s="323">
        <v>46011</v>
      </c>
      <c r="E1030" s="175">
        <v>3</v>
      </c>
      <c r="F1030" s="168" t="s">
        <v>910</v>
      </c>
      <c r="G1030" s="165">
        <f>IFERROR(VLOOKUP(F1030,'menu list'!B:C,2,FALSE)*E1030,"0")</f>
        <v>900</v>
      </c>
      <c r="H1030" s="334">
        <f t="shared" si="77"/>
        <v>135</v>
      </c>
      <c r="I1030" s="165">
        <f t="shared" si="78"/>
        <v>1035</v>
      </c>
    </row>
    <row r="1031" spans="1:9" ht="12.75" hidden="1" x14ac:dyDescent="0.25">
      <c r="A1031" s="167">
        <f t="shared" si="76"/>
        <v>1030</v>
      </c>
      <c r="B1031" s="168" t="s">
        <v>221</v>
      </c>
      <c r="C1031" s="168" t="str">
        <f>VLOOKUP(B1031,MEMBERS!B:C,2, )</f>
        <v>MR.WAQAR UDDIN</v>
      </c>
      <c r="D1031" s="323">
        <v>46011</v>
      </c>
      <c r="E1031" s="175">
        <v>3</v>
      </c>
      <c r="F1031" s="168" t="s">
        <v>559</v>
      </c>
      <c r="G1031" s="165">
        <f>IFERROR(VLOOKUP(F1031,'menu list'!B:C,2,FALSE)*E1031,"0")</f>
        <v>2997</v>
      </c>
      <c r="H1031" s="334">
        <f t="shared" si="77"/>
        <v>449.55</v>
      </c>
      <c r="I1031" s="165">
        <f t="shared" si="78"/>
        <v>3446.55</v>
      </c>
    </row>
    <row r="1032" spans="1:9" ht="12.75" hidden="1" x14ac:dyDescent="0.25">
      <c r="A1032" s="167">
        <f t="shared" si="76"/>
        <v>1031</v>
      </c>
      <c r="B1032" s="168" t="s">
        <v>221</v>
      </c>
      <c r="C1032" s="168" t="str">
        <f>VLOOKUP(B1032,MEMBERS!B:C,2, )</f>
        <v>MR.WAQAR UDDIN</v>
      </c>
      <c r="D1032" s="323">
        <v>46011</v>
      </c>
      <c r="E1032" s="175">
        <v>3</v>
      </c>
      <c r="F1032" s="168" t="s">
        <v>440</v>
      </c>
      <c r="G1032" s="165">
        <f>IFERROR(VLOOKUP(F1032,'menu list'!B:C,2,FALSE)*E1032,"0")</f>
        <v>450</v>
      </c>
      <c r="H1032" s="334">
        <f t="shared" si="77"/>
        <v>67.5</v>
      </c>
      <c r="I1032" s="165">
        <f t="shared" si="78"/>
        <v>517.5</v>
      </c>
    </row>
    <row r="1033" spans="1:9" ht="12.75" hidden="1" x14ac:dyDescent="0.25">
      <c r="A1033" s="167">
        <f t="shared" si="76"/>
        <v>1032</v>
      </c>
      <c r="B1033" s="168" t="s">
        <v>221</v>
      </c>
      <c r="C1033" s="168" t="str">
        <f>VLOOKUP(B1033,MEMBERS!B:C,2, )</f>
        <v>MR.WAQAR UDDIN</v>
      </c>
      <c r="D1033" s="323">
        <v>46011</v>
      </c>
      <c r="E1033" s="175">
        <v>2</v>
      </c>
      <c r="F1033" s="168" t="s">
        <v>846</v>
      </c>
      <c r="G1033" s="165">
        <f>IFERROR(VLOOKUP(F1033,'menu list'!B:C,2,FALSE)*E1033,"0")</f>
        <v>2500</v>
      </c>
      <c r="H1033" s="334">
        <f t="shared" si="77"/>
        <v>375</v>
      </c>
      <c r="I1033" s="165">
        <f t="shared" si="78"/>
        <v>2875</v>
      </c>
    </row>
    <row r="1034" spans="1:9" ht="12.75" hidden="1" x14ac:dyDescent="0.25">
      <c r="A1034" s="167">
        <f t="shared" si="76"/>
        <v>1033</v>
      </c>
      <c r="B1034" s="168" t="s">
        <v>221</v>
      </c>
      <c r="C1034" s="168" t="str">
        <f>VLOOKUP(B1034,MEMBERS!B:C,2, )</f>
        <v>MR.WAQAR UDDIN</v>
      </c>
      <c r="D1034" s="323">
        <v>46011</v>
      </c>
      <c r="E1034" s="175">
        <v>8</v>
      </c>
      <c r="F1034" s="168" t="s">
        <v>439</v>
      </c>
      <c r="G1034" s="165">
        <f>IFERROR(VLOOKUP(F1034,'menu list'!B:C,2,FALSE)*E1034,"0")</f>
        <v>560</v>
      </c>
      <c r="H1034" s="334">
        <f t="shared" si="77"/>
        <v>84</v>
      </c>
      <c r="I1034" s="165">
        <f t="shared" si="78"/>
        <v>644</v>
      </c>
    </row>
    <row r="1035" spans="1:9" ht="12.75" hidden="1" x14ac:dyDescent="0.25">
      <c r="A1035" s="167">
        <f t="shared" si="76"/>
        <v>1034</v>
      </c>
      <c r="B1035" s="168" t="s">
        <v>315</v>
      </c>
      <c r="C1035" s="168" t="str">
        <f>VLOOKUP(B1035,MEMBERS!B:C,2, )</f>
        <v>DGM FATIMA ZAHID</v>
      </c>
      <c r="D1035" s="323">
        <v>46011</v>
      </c>
      <c r="E1035" s="175">
        <v>1</v>
      </c>
      <c r="F1035" s="168" t="s">
        <v>853</v>
      </c>
      <c r="G1035" s="165">
        <f>IFERROR(VLOOKUP(F1035,'menu list'!B:C,2,FALSE)*E1035,"0")</f>
        <v>575</v>
      </c>
      <c r="H1035" s="334">
        <f t="shared" si="77"/>
        <v>86.25</v>
      </c>
      <c r="I1035" s="165">
        <f t="shared" si="78"/>
        <v>661.25</v>
      </c>
    </row>
    <row r="1036" spans="1:9" ht="12.75" hidden="1" x14ac:dyDescent="0.25">
      <c r="A1036" s="167">
        <f t="shared" si="76"/>
        <v>1035</v>
      </c>
      <c r="B1036" s="168" t="s">
        <v>315</v>
      </c>
      <c r="C1036" s="168" t="str">
        <f>VLOOKUP(B1036,MEMBERS!B:C,2, )</f>
        <v>DGM FATIMA ZAHID</v>
      </c>
      <c r="D1036" s="323">
        <v>46011</v>
      </c>
      <c r="E1036" s="175">
        <v>1</v>
      </c>
      <c r="F1036" s="168" t="s">
        <v>846</v>
      </c>
      <c r="G1036" s="165">
        <f>IFERROR(VLOOKUP(F1036,'menu list'!B:C,2,FALSE)*E1036,"0")</f>
        <v>1250</v>
      </c>
      <c r="H1036" s="334">
        <f t="shared" si="77"/>
        <v>187.5</v>
      </c>
      <c r="I1036" s="165">
        <f t="shared" si="78"/>
        <v>1437.5</v>
      </c>
    </row>
    <row r="1037" spans="1:9" ht="12.75" hidden="1" x14ac:dyDescent="0.25">
      <c r="A1037" s="167">
        <f t="shared" si="76"/>
        <v>1036</v>
      </c>
      <c r="B1037" s="168" t="s">
        <v>315</v>
      </c>
      <c r="C1037" s="168" t="str">
        <f>VLOOKUP(B1037,MEMBERS!B:C,2, )</f>
        <v>DGM FATIMA ZAHID</v>
      </c>
      <c r="D1037" s="323">
        <v>46011</v>
      </c>
      <c r="E1037" s="175">
        <v>2</v>
      </c>
      <c r="F1037" s="168" t="s">
        <v>803</v>
      </c>
      <c r="G1037" s="165">
        <f>IFERROR(VLOOKUP(F1037,'menu list'!B:C,2,FALSE)*E1037,"0")</f>
        <v>500</v>
      </c>
      <c r="H1037" s="334">
        <f t="shared" si="77"/>
        <v>75</v>
      </c>
      <c r="I1037" s="165">
        <f t="shared" si="78"/>
        <v>575</v>
      </c>
    </row>
    <row r="1038" spans="1:9" ht="12.75" hidden="1" x14ac:dyDescent="0.25">
      <c r="A1038" s="167">
        <f t="shared" si="76"/>
        <v>1037</v>
      </c>
      <c r="B1038" s="168" t="s">
        <v>315</v>
      </c>
      <c r="C1038" s="168" t="str">
        <f>VLOOKUP(B1038,MEMBERS!B:C,2, )</f>
        <v>DGM FATIMA ZAHID</v>
      </c>
      <c r="D1038" s="323">
        <v>46011</v>
      </c>
      <c r="E1038" s="175">
        <v>1</v>
      </c>
      <c r="F1038" s="168" t="s">
        <v>713</v>
      </c>
      <c r="G1038" s="165">
        <f>IFERROR(VLOOKUP(F1038,'menu list'!B:C,2,FALSE)*E1038,"0")</f>
        <v>450</v>
      </c>
      <c r="H1038" s="334">
        <f t="shared" si="77"/>
        <v>67.5</v>
      </c>
      <c r="I1038" s="165">
        <f t="shared" si="78"/>
        <v>517.5</v>
      </c>
    </row>
    <row r="1039" spans="1:9" ht="12.75" hidden="1" x14ac:dyDescent="0.25">
      <c r="A1039" s="167">
        <f t="shared" si="76"/>
        <v>1038</v>
      </c>
      <c r="B1039" s="168" t="s">
        <v>315</v>
      </c>
      <c r="C1039" s="168" t="str">
        <f>VLOOKUP(B1039,MEMBERS!B:C,2, )</f>
        <v>DGM FATIMA ZAHID</v>
      </c>
      <c r="D1039" s="323">
        <v>46011</v>
      </c>
      <c r="E1039" s="175">
        <v>1</v>
      </c>
      <c r="F1039" s="168" t="s">
        <v>442</v>
      </c>
      <c r="G1039" s="165">
        <f>IFERROR(VLOOKUP(F1039,'menu list'!B:C,2,FALSE)*E1039,"0")</f>
        <v>150</v>
      </c>
      <c r="H1039" s="334">
        <f t="shared" si="77"/>
        <v>22.5</v>
      </c>
      <c r="I1039" s="165">
        <f t="shared" si="78"/>
        <v>172.5</v>
      </c>
    </row>
    <row r="1040" spans="1:9" ht="12.75" hidden="1" x14ac:dyDescent="0.25">
      <c r="A1040" s="167">
        <f t="shared" si="76"/>
        <v>1039</v>
      </c>
      <c r="B1040" s="168" t="s">
        <v>315</v>
      </c>
      <c r="C1040" s="168" t="str">
        <f>VLOOKUP(B1040,MEMBERS!B:C,2, )</f>
        <v>DGM FATIMA ZAHID</v>
      </c>
      <c r="D1040" s="323">
        <v>46011</v>
      </c>
      <c r="E1040" s="175">
        <v>2</v>
      </c>
      <c r="F1040" s="168" t="s">
        <v>836</v>
      </c>
      <c r="G1040" s="165">
        <f>IFERROR(VLOOKUP(F1040,'menu list'!B:C,2,FALSE)*E1040,"0")</f>
        <v>700</v>
      </c>
      <c r="H1040" s="334">
        <f t="shared" si="77"/>
        <v>105</v>
      </c>
      <c r="I1040" s="165">
        <f t="shared" si="78"/>
        <v>805</v>
      </c>
    </row>
    <row r="1041" spans="1:9" ht="12.75" hidden="1" x14ac:dyDescent="0.25">
      <c r="A1041" s="167">
        <f t="shared" si="76"/>
        <v>1040</v>
      </c>
      <c r="B1041" s="168" t="s">
        <v>315</v>
      </c>
      <c r="C1041" s="168" t="str">
        <f>VLOOKUP(B1041,MEMBERS!B:C,2, )</f>
        <v>DGM FATIMA ZAHID</v>
      </c>
      <c r="D1041" s="323">
        <v>46011</v>
      </c>
      <c r="E1041" s="175">
        <v>1</v>
      </c>
      <c r="F1041" s="168" t="s">
        <v>498</v>
      </c>
      <c r="G1041" s="165">
        <f>IFERROR(VLOOKUP(F1041,'menu list'!B:C,2,FALSE)*E1041,"0")</f>
        <v>200</v>
      </c>
      <c r="H1041" s="334">
        <f t="shared" si="77"/>
        <v>30</v>
      </c>
      <c r="I1041" s="165">
        <f t="shared" si="78"/>
        <v>230</v>
      </c>
    </row>
    <row r="1042" spans="1:9" ht="12.75" hidden="1" x14ac:dyDescent="0.25">
      <c r="A1042" s="167">
        <f t="shared" si="76"/>
        <v>1041</v>
      </c>
      <c r="B1042" s="168" t="s">
        <v>187</v>
      </c>
      <c r="C1042" s="168" t="str">
        <f>VLOOKUP(B1042,MEMBERS!B:C,2, )</f>
        <v>MR.SHAN ELAHI SEHGAL</v>
      </c>
      <c r="D1042" s="323">
        <v>46011</v>
      </c>
      <c r="E1042" s="175">
        <v>1</v>
      </c>
      <c r="F1042" s="168" t="s">
        <v>440</v>
      </c>
      <c r="G1042" s="165">
        <f>IFERROR(VLOOKUP(F1042,'menu list'!B:C,2,FALSE)*E1042,"0")</f>
        <v>150</v>
      </c>
      <c r="H1042" s="334">
        <f t="shared" si="77"/>
        <v>22.5</v>
      </c>
      <c r="I1042" s="165">
        <f t="shared" si="78"/>
        <v>172.5</v>
      </c>
    </row>
    <row r="1043" spans="1:9" ht="12.75" hidden="1" x14ac:dyDescent="0.25">
      <c r="A1043" s="167">
        <f t="shared" si="76"/>
        <v>1042</v>
      </c>
      <c r="B1043" s="168" t="s">
        <v>187</v>
      </c>
      <c r="C1043" s="168" t="str">
        <f>VLOOKUP(B1043,MEMBERS!B:C,2, )</f>
        <v>MR.SHAN ELAHI SEHGAL</v>
      </c>
      <c r="D1043" s="323">
        <v>46011</v>
      </c>
      <c r="E1043" s="175">
        <v>3</v>
      </c>
      <c r="F1043" s="168" t="s">
        <v>498</v>
      </c>
      <c r="G1043" s="165">
        <f>IFERROR(VLOOKUP(F1043,'menu list'!B:C,2,FALSE)*E1043,"0")</f>
        <v>600</v>
      </c>
      <c r="H1043" s="334">
        <f t="shared" si="77"/>
        <v>90</v>
      </c>
      <c r="I1043" s="165">
        <f t="shared" si="78"/>
        <v>690</v>
      </c>
    </row>
    <row r="1044" spans="1:9" ht="12.75" hidden="1" x14ac:dyDescent="0.25">
      <c r="A1044" s="167">
        <f t="shared" si="76"/>
        <v>1043</v>
      </c>
      <c r="B1044" s="168" t="s">
        <v>187</v>
      </c>
      <c r="C1044" s="168" t="str">
        <f>VLOOKUP(B1044,MEMBERS!B:C,2, )</f>
        <v>MR.SHAN ELAHI SEHGAL</v>
      </c>
      <c r="D1044" s="323">
        <v>46011</v>
      </c>
      <c r="E1044" s="175">
        <v>2</v>
      </c>
      <c r="F1044" s="168" t="s">
        <v>500</v>
      </c>
      <c r="G1044" s="165">
        <f>IFERROR(VLOOKUP(F1044,'menu list'!B:C,2,FALSE)*E1044,"0")</f>
        <v>2500</v>
      </c>
      <c r="H1044" s="334">
        <f t="shared" si="77"/>
        <v>375</v>
      </c>
      <c r="I1044" s="165">
        <f t="shared" si="78"/>
        <v>2875</v>
      </c>
    </row>
    <row r="1045" spans="1:9" ht="12.75" hidden="1" x14ac:dyDescent="0.25">
      <c r="A1045" s="167">
        <f t="shared" si="76"/>
        <v>1044</v>
      </c>
      <c r="B1045" s="168" t="s">
        <v>187</v>
      </c>
      <c r="C1045" s="168" t="str">
        <f>VLOOKUP(B1045,MEMBERS!B:C,2, )</f>
        <v>MR.SHAN ELAHI SEHGAL</v>
      </c>
      <c r="D1045" s="323">
        <v>46011</v>
      </c>
      <c r="E1045" s="175">
        <v>1</v>
      </c>
      <c r="F1045" s="168" t="s">
        <v>498</v>
      </c>
      <c r="G1045" s="165">
        <f>IFERROR(VLOOKUP(F1045,'menu list'!B:C,2,FALSE)*E1045,"0")</f>
        <v>200</v>
      </c>
      <c r="H1045" s="334">
        <f t="shared" si="77"/>
        <v>30</v>
      </c>
      <c r="I1045" s="165">
        <f t="shared" si="78"/>
        <v>230</v>
      </c>
    </row>
    <row r="1046" spans="1:9" ht="12.75" hidden="1" x14ac:dyDescent="0.25">
      <c r="A1046" s="167">
        <f t="shared" si="76"/>
        <v>1045</v>
      </c>
      <c r="B1046" s="168" t="s">
        <v>187</v>
      </c>
      <c r="C1046" s="168" t="str">
        <f>VLOOKUP(B1046,MEMBERS!B:C,2, )</f>
        <v>MR.SHAN ELAHI SEHGAL</v>
      </c>
      <c r="D1046" s="323">
        <v>46011</v>
      </c>
      <c r="E1046" s="175">
        <v>2</v>
      </c>
      <c r="F1046" s="168" t="s">
        <v>442</v>
      </c>
      <c r="G1046" s="165">
        <f>IFERROR(VLOOKUP(F1046,'menu list'!B:C,2,FALSE)*E1046,"0")</f>
        <v>300</v>
      </c>
      <c r="H1046" s="334">
        <f t="shared" si="77"/>
        <v>45</v>
      </c>
      <c r="I1046" s="165">
        <f t="shared" si="78"/>
        <v>345</v>
      </c>
    </row>
    <row r="1047" spans="1:9" ht="12.75" hidden="1" x14ac:dyDescent="0.25">
      <c r="A1047" s="167">
        <f t="shared" si="76"/>
        <v>1046</v>
      </c>
      <c r="B1047" s="168" t="s">
        <v>374</v>
      </c>
      <c r="C1047" s="168" t="str">
        <f>VLOOKUP(B1047,MEMBERS!B:C,2, )</f>
        <v>AAMIR RASOOL</v>
      </c>
      <c r="D1047" s="323">
        <v>46011</v>
      </c>
      <c r="E1047" s="175">
        <v>1</v>
      </c>
      <c r="F1047" s="168" t="s">
        <v>500</v>
      </c>
      <c r="G1047" s="165">
        <f>IFERROR(VLOOKUP(F1047,'menu list'!B:C,2,FALSE)*E1047,"0")</f>
        <v>1250</v>
      </c>
      <c r="H1047" s="334">
        <f t="shared" si="77"/>
        <v>187.5</v>
      </c>
      <c r="I1047" s="165">
        <f t="shared" si="78"/>
        <v>1437.5</v>
      </c>
    </row>
    <row r="1048" spans="1:9" ht="12.75" hidden="1" x14ac:dyDescent="0.25">
      <c r="A1048" s="167">
        <f t="shared" si="76"/>
        <v>1047</v>
      </c>
      <c r="B1048" s="168" t="s">
        <v>374</v>
      </c>
      <c r="C1048" s="168" t="str">
        <f>VLOOKUP(B1048,MEMBERS!B:C,2, )</f>
        <v>AAMIR RASOOL</v>
      </c>
      <c r="D1048" s="323">
        <v>46011</v>
      </c>
      <c r="E1048" s="175">
        <v>1</v>
      </c>
      <c r="F1048" s="168" t="s">
        <v>1057</v>
      </c>
      <c r="G1048" s="165">
        <f>IFERROR(VLOOKUP(F1048,'menu list'!B:C,2,FALSE)*E1048,"0")</f>
        <v>850</v>
      </c>
      <c r="H1048" s="334">
        <f t="shared" si="77"/>
        <v>127.5</v>
      </c>
      <c r="I1048" s="165">
        <f t="shared" si="78"/>
        <v>977.5</v>
      </c>
    </row>
    <row r="1049" spans="1:9" ht="12.75" hidden="1" x14ac:dyDescent="0.25">
      <c r="A1049" s="167">
        <f t="shared" si="76"/>
        <v>1048</v>
      </c>
      <c r="B1049" s="168" t="s">
        <v>374</v>
      </c>
      <c r="C1049" s="168" t="str">
        <f>VLOOKUP(B1049,MEMBERS!B:C,2, )</f>
        <v>AAMIR RASOOL</v>
      </c>
      <c r="D1049" s="323">
        <v>46011</v>
      </c>
      <c r="E1049" s="175">
        <v>2</v>
      </c>
      <c r="F1049" s="168" t="s">
        <v>440</v>
      </c>
      <c r="G1049" s="165">
        <f>IFERROR(VLOOKUP(F1049,'menu list'!B:C,2,FALSE)*E1049,"0")</f>
        <v>300</v>
      </c>
      <c r="H1049" s="334">
        <f t="shared" si="77"/>
        <v>45</v>
      </c>
      <c r="I1049" s="165">
        <f t="shared" si="78"/>
        <v>345</v>
      </c>
    </row>
    <row r="1050" spans="1:9" ht="12.75" hidden="1" x14ac:dyDescent="0.25">
      <c r="A1050" s="167">
        <f t="shared" si="76"/>
        <v>1049</v>
      </c>
      <c r="B1050" s="168" t="s">
        <v>430</v>
      </c>
      <c r="C1050" s="168" t="str">
        <f>VLOOKUP(B1050,MEMBERS!B:C,2, )</f>
        <v>SYED JIBRAN MUSHTAQ</v>
      </c>
      <c r="D1050" s="323">
        <v>46011</v>
      </c>
      <c r="E1050" s="175">
        <v>2</v>
      </c>
      <c r="F1050" s="168" t="s">
        <v>633</v>
      </c>
      <c r="G1050" s="165">
        <f>IFERROR(VLOOKUP(F1050,'menu list'!B:C,2,FALSE)*E1050,"0")</f>
        <v>1400</v>
      </c>
      <c r="H1050" s="334">
        <f t="shared" si="77"/>
        <v>210</v>
      </c>
      <c r="I1050" s="165">
        <f t="shared" si="78"/>
        <v>1610</v>
      </c>
    </row>
    <row r="1051" spans="1:9" ht="12.75" hidden="1" x14ac:dyDescent="0.25">
      <c r="A1051" s="167">
        <f t="shared" si="76"/>
        <v>1050</v>
      </c>
      <c r="B1051" s="168" t="s">
        <v>430</v>
      </c>
      <c r="C1051" s="168" t="str">
        <f>VLOOKUP(B1051,MEMBERS!B:C,2, )</f>
        <v>SYED JIBRAN MUSHTAQ</v>
      </c>
      <c r="D1051" s="323">
        <v>46011</v>
      </c>
      <c r="E1051" s="175">
        <v>2</v>
      </c>
      <c r="F1051" s="168" t="s">
        <v>499</v>
      </c>
      <c r="G1051" s="165">
        <f>IFERROR(VLOOKUP(F1051,'menu list'!B:C,2,FALSE)*E1051,"0")</f>
        <v>200</v>
      </c>
      <c r="H1051" s="334">
        <f t="shared" si="77"/>
        <v>30</v>
      </c>
      <c r="I1051" s="165">
        <f t="shared" si="78"/>
        <v>230</v>
      </c>
    </row>
    <row r="1052" spans="1:9" ht="12.75" hidden="1" x14ac:dyDescent="0.25">
      <c r="A1052" s="167">
        <f t="shared" si="76"/>
        <v>1051</v>
      </c>
      <c r="B1052" s="168" t="s">
        <v>98</v>
      </c>
      <c r="C1052" s="168" t="str">
        <f>VLOOKUP(B1052,MEMBERS!B:C,2, )</f>
        <v>MR.HAFEEZ AHMED SIYAL</v>
      </c>
      <c r="D1052" s="323">
        <v>46011</v>
      </c>
      <c r="E1052" s="175">
        <v>1</v>
      </c>
      <c r="F1052" s="168" t="s">
        <v>858</v>
      </c>
      <c r="G1052" s="165">
        <f>IFERROR(VLOOKUP(F1052,'menu list'!B:C,2,FALSE)*E1052,"0")</f>
        <v>500</v>
      </c>
      <c r="H1052" s="334">
        <f t="shared" si="77"/>
        <v>75</v>
      </c>
      <c r="I1052" s="165">
        <f t="shared" si="78"/>
        <v>575</v>
      </c>
    </row>
    <row r="1053" spans="1:9" ht="12.75" hidden="1" x14ac:dyDescent="0.25">
      <c r="A1053" s="167">
        <f t="shared" si="76"/>
        <v>1052</v>
      </c>
      <c r="B1053" s="168" t="s">
        <v>1053</v>
      </c>
      <c r="C1053" s="168" t="str">
        <f>VLOOKUP(B1053,MEMBERS!B:C,2, )</f>
        <v>MR. ZAMIR ALI SHAH</v>
      </c>
      <c r="D1053" s="323">
        <v>46011</v>
      </c>
      <c r="E1053" s="175">
        <v>4</v>
      </c>
      <c r="F1053" s="168" t="s">
        <v>1012</v>
      </c>
      <c r="G1053" s="165">
        <f>IFERROR(VLOOKUP(F1053,'menu list'!B:C,2,FALSE)*E1053,"0")</f>
        <v>4000</v>
      </c>
      <c r="H1053" s="334">
        <f t="shared" si="77"/>
        <v>600</v>
      </c>
      <c r="I1053" s="165">
        <f t="shared" si="78"/>
        <v>4600</v>
      </c>
    </row>
    <row r="1054" spans="1:9" ht="12.75" hidden="1" x14ac:dyDescent="0.25">
      <c r="A1054" s="167">
        <f t="shared" si="76"/>
        <v>1053</v>
      </c>
      <c r="B1054" s="168" t="s">
        <v>795</v>
      </c>
      <c r="C1054" s="168" t="str">
        <f>VLOOKUP(B1054,MEMBERS!B:C,2, )</f>
        <v>MR. HASAN KARIM</v>
      </c>
      <c r="D1054" s="323">
        <v>46011</v>
      </c>
      <c r="E1054" s="175">
        <v>2</v>
      </c>
      <c r="F1054" s="168" t="s">
        <v>498</v>
      </c>
      <c r="G1054" s="165">
        <f>IFERROR(VLOOKUP(F1054,'menu list'!B:C,2,FALSE)*E1054,"0")</f>
        <v>400</v>
      </c>
      <c r="H1054" s="334">
        <f t="shared" si="77"/>
        <v>60</v>
      </c>
      <c r="I1054" s="165">
        <f t="shared" si="78"/>
        <v>460</v>
      </c>
    </row>
    <row r="1055" spans="1:9" ht="12.75" hidden="1" x14ac:dyDescent="0.25">
      <c r="A1055" s="167">
        <f t="shared" si="76"/>
        <v>1054</v>
      </c>
      <c r="B1055" s="168" t="s">
        <v>795</v>
      </c>
      <c r="C1055" s="168" t="str">
        <f>VLOOKUP(B1055,MEMBERS!B:C,2, )</f>
        <v>MR. HASAN KARIM</v>
      </c>
      <c r="D1055" s="323">
        <v>46011</v>
      </c>
      <c r="E1055" s="175">
        <v>1</v>
      </c>
      <c r="F1055" s="168" t="s">
        <v>497</v>
      </c>
      <c r="G1055" s="165">
        <f>IFERROR(VLOOKUP(F1055,'menu list'!B:C,2,FALSE)*E1055,"0")</f>
        <v>250</v>
      </c>
      <c r="H1055" s="334">
        <f t="shared" si="77"/>
        <v>37.5</v>
      </c>
      <c r="I1055" s="165">
        <f t="shared" si="78"/>
        <v>287.5</v>
      </c>
    </row>
    <row r="1056" spans="1:9" ht="12.75" hidden="1" x14ac:dyDescent="0.25">
      <c r="A1056" s="167">
        <f t="shared" si="76"/>
        <v>1055</v>
      </c>
      <c r="B1056" s="168" t="s">
        <v>795</v>
      </c>
      <c r="C1056" s="168" t="str">
        <f>VLOOKUP(B1056,MEMBERS!B:C,2, )</f>
        <v>MR. HASAN KARIM</v>
      </c>
      <c r="D1056" s="323">
        <v>46011</v>
      </c>
      <c r="E1056" s="175">
        <v>1</v>
      </c>
      <c r="F1056" s="168" t="s">
        <v>499</v>
      </c>
      <c r="G1056" s="165">
        <f>IFERROR(VLOOKUP(F1056,'menu list'!B:C,2,FALSE)*E1056,"0")</f>
        <v>100</v>
      </c>
      <c r="H1056" s="334">
        <f t="shared" si="77"/>
        <v>15</v>
      </c>
      <c r="I1056" s="165">
        <f t="shared" si="78"/>
        <v>115</v>
      </c>
    </row>
    <row r="1057" spans="1:9" ht="12.75" hidden="1" x14ac:dyDescent="0.25">
      <c r="A1057" s="167">
        <f t="shared" si="76"/>
        <v>1056</v>
      </c>
      <c r="B1057" s="168" t="s">
        <v>1024</v>
      </c>
      <c r="C1057" s="168" t="str">
        <f>VLOOKUP(B1057,MEMBERS!B:C,2, )</f>
        <v>MR. ANEEL ZAHOOR</v>
      </c>
      <c r="D1057" s="323">
        <v>46011</v>
      </c>
      <c r="E1057" s="175">
        <v>1</v>
      </c>
      <c r="F1057" s="168" t="s">
        <v>440</v>
      </c>
      <c r="G1057" s="165">
        <f>IFERROR(VLOOKUP(F1057,'menu list'!B:C,2,FALSE)*E1057,"0")</f>
        <v>150</v>
      </c>
      <c r="H1057" s="334">
        <f t="shared" si="77"/>
        <v>22.5</v>
      </c>
      <c r="I1057" s="165">
        <f t="shared" si="78"/>
        <v>172.5</v>
      </c>
    </row>
    <row r="1058" spans="1:9" ht="12.75" hidden="1" x14ac:dyDescent="0.25">
      <c r="A1058" s="167">
        <f t="shared" si="76"/>
        <v>1057</v>
      </c>
      <c r="B1058" s="168" t="s">
        <v>1024</v>
      </c>
      <c r="C1058" s="168" t="str">
        <f>VLOOKUP(B1058,MEMBERS!B:C,2, )</f>
        <v>MR. ANEEL ZAHOOR</v>
      </c>
      <c r="D1058" s="323">
        <v>46011</v>
      </c>
      <c r="E1058" s="175">
        <v>1</v>
      </c>
      <c r="F1058" s="168" t="s">
        <v>500</v>
      </c>
      <c r="G1058" s="165">
        <f>IFERROR(VLOOKUP(F1058,'menu list'!B:C,2,FALSE)*E1058,"0")</f>
        <v>1250</v>
      </c>
      <c r="H1058" s="334">
        <f t="shared" si="77"/>
        <v>187.5</v>
      </c>
      <c r="I1058" s="165">
        <f t="shared" si="78"/>
        <v>1437.5</v>
      </c>
    </row>
    <row r="1059" spans="1:9" ht="12.75" hidden="1" x14ac:dyDescent="0.25">
      <c r="A1059" s="167">
        <f t="shared" si="76"/>
        <v>1058</v>
      </c>
      <c r="B1059" s="168" t="s">
        <v>1024</v>
      </c>
      <c r="C1059" s="168" t="str">
        <f>VLOOKUP(B1059,MEMBERS!B:C,2, )</f>
        <v>MR. ANEEL ZAHOOR</v>
      </c>
      <c r="D1059" s="323">
        <v>46011</v>
      </c>
      <c r="E1059" s="175">
        <v>1</v>
      </c>
      <c r="F1059" s="168" t="s">
        <v>498</v>
      </c>
      <c r="G1059" s="165">
        <f>IFERROR(VLOOKUP(F1059,'menu list'!B:C,2,FALSE)*E1059,"0")</f>
        <v>200</v>
      </c>
      <c r="H1059" s="334">
        <f t="shared" si="77"/>
        <v>30</v>
      </c>
      <c r="I1059" s="165">
        <f t="shared" si="78"/>
        <v>230</v>
      </c>
    </row>
    <row r="1060" spans="1:9" ht="12.75" hidden="1" x14ac:dyDescent="0.25">
      <c r="A1060" s="167">
        <f t="shared" si="76"/>
        <v>1059</v>
      </c>
      <c r="B1060" s="168" t="s">
        <v>1024</v>
      </c>
      <c r="C1060" s="168" t="str">
        <f>VLOOKUP(B1060,MEMBERS!B:C,2, )</f>
        <v>MR. ANEEL ZAHOOR</v>
      </c>
      <c r="D1060" s="323">
        <v>46011</v>
      </c>
      <c r="E1060" s="175">
        <v>2</v>
      </c>
      <c r="F1060" s="168" t="s">
        <v>442</v>
      </c>
      <c r="G1060" s="165">
        <f>IFERROR(VLOOKUP(F1060,'menu list'!B:C,2,FALSE)*E1060,"0")</f>
        <v>300</v>
      </c>
      <c r="H1060" s="334">
        <f t="shared" si="77"/>
        <v>45</v>
      </c>
      <c r="I1060" s="165">
        <f t="shared" si="78"/>
        <v>345</v>
      </c>
    </row>
    <row r="1061" spans="1:9" ht="12.75" hidden="1" x14ac:dyDescent="0.25">
      <c r="A1061" s="167">
        <f t="shared" si="76"/>
        <v>1060</v>
      </c>
      <c r="B1061" s="168" t="s">
        <v>948</v>
      </c>
      <c r="C1061" s="168" t="str">
        <f>VLOOKUP(B1061,MEMBERS!B:C,2, )</f>
        <v>MR. TEHSEEN FAIZ</v>
      </c>
      <c r="D1061" s="323">
        <v>46011</v>
      </c>
      <c r="E1061" s="175">
        <v>1</v>
      </c>
      <c r="F1061" s="168" t="s">
        <v>500</v>
      </c>
      <c r="G1061" s="165">
        <f>IFERROR(VLOOKUP(F1061,'menu list'!B:C,2,FALSE)*E1061,"0")</f>
        <v>1250</v>
      </c>
      <c r="H1061" s="334">
        <f t="shared" si="77"/>
        <v>187.5</v>
      </c>
      <c r="I1061" s="165">
        <f t="shared" si="78"/>
        <v>1437.5</v>
      </c>
    </row>
    <row r="1062" spans="1:9" ht="12.75" hidden="1" x14ac:dyDescent="0.25">
      <c r="A1062" s="167">
        <f t="shared" si="76"/>
        <v>1061</v>
      </c>
      <c r="B1062" s="168" t="s">
        <v>948</v>
      </c>
      <c r="C1062" s="168" t="str">
        <f>VLOOKUP(B1062,MEMBERS!B:C,2, )</f>
        <v>MR. TEHSEEN FAIZ</v>
      </c>
      <c r="D1062" s="323">
        <v>46011</v>
      </c>
      <c r="E1062" s="175">
        <v>1</v>
      </c>
      <c r="F1062" s="168" t="s">
        <v>802</v>
      </c>
      <c r="G1062" s="165">
        <f>IFERROR(VLOOKUP(F1062,'menu list'!B:C,2,FALSE)*E1062,"0")</f>
        <v>500</v>
      </c>
      <c r="H1062" s="334">
        <f t="shared" si="77"/>
        <v>75</v>
      </c>
      <c r="I1062" s="165">
        <f t="shared" si="78"/>
        <v>575</v>
      </c>
    </row>
    <row r="1063" spans="1:9" ht="12.75" hidden="1" x14ac:dyDescent="0.25">
      <c r="A1063" s="167">
        <f t="shared" si="76"/>
        <v>1062</v>
      </c>
      <c r="B1063" s="168" t="s">
        <v>374</v>
      </c>
      <c r="C1063" s="168" t="str">
        <f>VLOOKUP(B1063,MEMBERS!B:C,2, )</f>
        <v>AAMIR RASOOL</v>
      </c>
      <c r="D1063" s="323">
        <v>46011</v>
      </c>
      <c r="E1063" s="175">
        <v>1</v>
      </c>
      <c r="F1063" s="168" t="s">
        <v>861</v>
      </c>
      <c r="G1063" s="165">
        <f>IFERROR(VLOOKUP(F1063,'menu list'!B:C,2,FALSE)*E1063,"0")</f>
        <v>800</v>
      </c>
      <c r="H1063" s="334">
        <f t="shared" si="77"/>
        <v>120</v>
      </c>
      <c r="I1063" s="165">
        <f t="shared" si="78"/>
        <v>920</v>
      </c>
    </row>
    <row r="1064" spans="1:9" ht="12.75" hidden="1" x14ac:dyDescent="0.25">
      <c r="A1064" s="167">
        <f t="shared" ref="A1064:A1127" si="79">IF(D1064&lt;&gt;"", ROW()-1, "")</f>
        <v>1063</v>
      </c>
      <c r="B1064" s="168" t="s">
        <v>374</v>
      </c>
      <c r="C1064" s="168" t="str">
        <f>VLOOKUP(B1064,MEMBERS!B:C,2, )</f>
        <v>AAMIR RASOOL</v>
      </c>
      <c r="D1064" s="323">
        <v>46011</v>
      </c>
      <c r="E1064" s="175">
        <v>1</v>
      </c>
      <c r="F1064" s="168" t="s">
        <v>939</v>
      </c>
      <c r="G1064" s="165">
        <f>IFERROR(VLOOKUP(F1064,'menu list'!B:C,2,FALSE)*E1064,"0")</f>
        <v>1200</v>
      </c>
      <c r="H1064" s="334">
        <f t="shared" si="77"/>
        <v>180</v>
      </c>
      <c r="I1064" s="165">
        <f t="shared" si="78"/>
        <v>1380</v>
      </c>
    </row>
    <row r="1065" spans="1:9" ht="12.75" hidden="1" x14ac:dyDescent="0.25">
      <c r="A1065" s="167">
        <f t="shared" si="79"/>
        <v>1064</v>
      </c>
      <c r="B1065" s="168" t="s">
        <v>374</v>
      </c>
      <c r="C1065" s="168" t="str">
        <f>VLOOKUP(B1065,MEMBERS!B:C,2, )</f>
        <v>AAMIR RASOOL</v>
      </c>
      <c r="D1065" s="323">
        <v>46011</v>
      </c>
      <c r="E1065" s="175">
        <v>1</v>
      </c>
      <c r="F1065" s="168" t="s">
        <v>786</v>
      </c>
      <c r="G1065" s="165">
        <f>IFERROR(VLOOKUP(F1065,'menu list'!B:C,2,FALSE)*E1065,"0")</f>
        <v>1150</v>
      </c>
      <c r="H1065" s="334">
        <f t="shared" si="77"/>
        <v>172.5</v>
      </c>
      <c r="I1065" s="165">
        <f t="shared" si="78"/>
        <v>1322.5</v>
      </c>
    </row>
    <row r="1066" spans="1:9" ht="12.75" hidden="1" x14ac:dyDescent="0.25">
      <c r="A1066" s="167">
        <f t="shared" si="79"/>
        <v>1065</v>
      </c>
      <c r="B1066" s="168" t="s">
        <v>374</v>
      </c>
      <c r="C1066" s="168" t="str">
        <f>VLOOKUP(B1066,MEMBERS!B:C,2, )</f>
        <v>AAMIR RASOOL</v>
      </c>
      <c r="D1066" s="323">
        <v>46011</v>
      </c>
      <c r="E1066" s="175">
        <v>1</v>
      </c>
      <c r="F1066" s="168" t="s">
        <v>739</v>
      </c>
      <c r="G1066" s="165">
        <f>IFERROR(VLOOKUP(F1066,'menu list'!B:C,2,FALSE)*E1066,"0")</f>
        <v>400</v>
      </c>
      <c r="H1066" s="334">
        <f t="shared" si="77"/>
        <v>60</v>
      </c>
      <c r="I1066" s="165">
        <f t="shared" si="78"/>
        <v>460</v>
      </c>
    </row>
    <row r="1067" spans="1:9" ht="12.75" hidden="1" x14ac:dyDescent="0.25">
      <c r="A1067" s="167">
        <f t="shared" si="79"/>
        <v>1066</v>
      </c>
      <c r="B1067" s="168" t="s">
        <v>374</v>
      </c>
      <c r="C1067" s="168" t="str">
        <f>VLOOKUP(B1067,MEMBERS!B:C,2, )</f>
        <v>AAMIR RASOOL</v>
      </c>
      <c r="D1067" s="323">
        <v>46011</v>
      </c>
      <c r="E1067" s="175">
        <v>1</v>
      </c>
      <c r="F1067" s="168" t="s">
        <v>1011</v>
      </c>
      <c r="G1067" s="165">
        <f>IFERROR(VLOOKUP(F1067,'menu list'!B:C,2,FALSE)*E1067,"0")</f>
        <v>1800</v>
      </c>
      <c r="H1067" s="334">
        <f t="shared" si="77"/>
        <v>270</v>
      </c>
      <c r="I1067" s="165">
        <f t="shared" si="78"/>
        <v>2070</v>
      </c>
    </row>
    <row r="1068" spans="1:9" ht="12.75" hidden="1" x14ac:dyDescent="0.25">
      <c r="A1068" s="167">
        <f t="shared" si="79"/>
        <v>1067</v>
      </c>
      <c r="B1068" s="168" t="s">
        <v>374</v>
      </c>
      <c r="C1068" s="168" t="str">
        <f>VLOOKUP(B1068,MEMBERS!B:C,2, )</f>
        <v>AAMIR RASOOL</v>
      </c>
      <c r="D1068" s="323">
        <v>46011</v>
      </c>
      <c r="E1068" s="175">
        <v>1</v>
      </c>
      <c r="F1068" s="168" t="s">
        <v>793</v>
      </c>
      <c r="G1068" s="165">
        <f>IFERROR(VLOOKUP(F1068,'menu list'!B:C,2,FALSE)*E1068,"0")</f>
        <v>800</v>
      </c>
      <c r="H1068" s="334">
        <f t="shared" si="77"/>
        <v>120</v>
      </c>
      <c r="I1068" s="165">
        <f t="shared" si="78"/>
        <v>920</v>
      </c>
    </row>
    <row r="1069" spans="1:9" ht="12.75" hidden="1" x14ac:dyDescent="0.25">
      <c r="A1069" s="167">
        <f t="shared" si="79"/>
        <v>1068</v>
      </c>
      <c r="B1069" s="168" t="s">
        <v>374</v>
      </c>
      <c r="C1069" s="168" t="str">
        <f>VLOOKUP(B1069,MEMBERS!B:C,2, )</f>
        <v>AAMIR RASOOL</v>
      </c>
      <c r="D1069" s="323">
        <v>46011</v>
      </c>
      <c r="E1069" s="175">
        <v>7</v>
      </c>
      <c r="F1069" s="168" t="s">
        <v>439</v>
      </c>
      <c r="G1069" s="165">
        <f>IFERROR(VLOOKUP(F1069,'menu list'!B:C,2,FALSE)*E1069,"0")</f>
        <v>490</v>
      </c>
      <c r="H1069" s="334">
        <f t="shared" si="77"/>
        <v>73.5</v>
      </c>
      <c r="I1069" s="165">
        <f t="shared" si="78"/>
        <v>563.5</v>
      </c>
    </row>
    <row r="1070" spans="1:9" ht="12.75" hidden="1" x14ac:dyDescent="0.25">
      <c r="A1070" s="167">
        <f t="shared" si="79"/>
        <v>1069</v>
      </c>
      <c r="B1070" s="168" t="s">
        <v>374</v>
      </c>
      <c r="C1070" s="168" t="str">
        <f>VLOOKUP(B1070,MEMBERS!B:C,2, )</f>
        <v>AAMIR RASOOL</v>
      </c>
      <c r="D1070" s="323">
        <v>46011</v>
      </c>
      <c r="E1070" s="175">
        <v>1</v>
      </c>
      <c r="F1070" s="168" t="s">
        <v>440</v>
      </c>
      <c r="G1070" s="165">
        <f>IFERROR(VLOOKUP(F1070,'menu list'!B:C,2,FALSE)*E1070,"0")</f>
        <v>150</v>
      </c>
      <c r="H1070" s="334">
        <f t="shared" si="77"/>
        <v>22.5</v>
      </c>
      <c r="I1070" s="165">
        <f t="shared" si="78"/>
        <v>172.5</v>
      </c>
    </row>
    <row r="1071" spans="1:9" ht="12.75" hidden="1" x14ac:dyDescent="0.25">
      <c r="A1071" s="167">
        <f t="shared" si="79"/>
        <v>1070</v>
      </c>
      <c r="B1071" s="168" t="s">
        <v>454</v>
      </c>
      <c r="C1071" s="168" t="str">
        <f>VLOOKUP(B1071,MEMBERS!B:C,2, )</f>
        <v>Heritage club</v>
      </c>
      <c r="D1071" s="323">
        <v>46011</v>
      </c>
      <c r="E1071" s="175">
        <v>2</v>
      </c>
      <c r="F1071" s="168" t="s">
        <v>440</v>
      </c>
      <c r="G1071" s="165">
        <f>IFERROR(VLOOKUP(F1071,'menu list'!B:C,2,FALSE)*E1071,"0")</f>
        <v>300</v>
      </c>
      <c r="H1071" s="334">
        <f t="shared" si="77"/>
        <v>45</v>
      </c>
      <c r="I1071" s="165">
        <f t="shared" si="78"/>
        <v>345</v>
      </c>
    </row>
    <row r="1072" spans="1:9" ht="12.75" hidden="1" x14ac:dyDescent="0.25">
      <c r="A1072" s="167">
        <f t="shared" si="79"/>
        <v>1071</v>
      </c>
      <c r="B1072" s="168" t="s">
        <v>454</v>
      </c>
      <c r="C1072" s="168" t="str">
        <f>VLOOKUP(B1072,MEMBERS!B:C,2, )</f>
        <v>Heritage club</v>
      </c>
      <c r="D1072" s="323">
        <v>46011</v>
      </c>
      <c r="E1072" s="175">
        <v>4</v>
      </c>
      <c r="F1072" s="168" t="s">
        <v>498</v>
      </c>
      <c r="G1072" s="165">
        <f>IFERROR(VLOOKUP(F1072,'menu list'!B:C,2,FALSE)*E1072,"0")</f>
        <v>800</v>
      </c>
      <c r="H1072" s="334">
        <f t="shared" si="77"/>
        <v>120</v>
      </c>
      <c r="I1072" s="165">
        <f t="shared" si="78"/>
        <v>920</v>
      </c>
    </row>
    <row r="1073" spans="1:9" ht="12.75" hidden="1" x14ac:dyDescent="0.25">
      <c r="A1073" s="167">
        <f t="shared" si="79"/>
        <v>1072</v>
      </c>
      <c r="B1073" s="168" t="s">
        <v>454</v>
      </c>
      <c r="C1073" s="168" t="str">
        <f>VLOOKUP(B1073,MEMBERS!B:C,2, )</f>
        <v>Heritage club</v>
      </c>
      <c r="D1073" s="323">
        <v>46011</v>
      </c>
      <c r="E1073" s="175">
        <v>1</v>
      </c>
      <c r="F1073" s="168" t="s">
        <v>772</v>
      </c>
      <c r="G1073" s="165">
        <f>IFERROR(VLOOKUP(F1073,'menu list'!B:C,2,FALSE)*E1073,"0")</f>
        <v>900</v>
      </c>
      <c r="H1073" s="334">
        <f t="shared" si="77"/>
        <v>135</v>
      </c>
      <c r="I1073" s="165">
        <f t="shared" si="78"/>
        <v>1035</v>
      </c>
    </row>
    <row r="1074" spans="1:9" ht="12.75" hidden="1" x14ac:dyDescent="0.25">
      <c r="A1074" s="167">
        <f t="shared" si="79"/>
        <v>1073</v>
      </c>
      <c r="B1074" s="168" t="s">
        <v>454</v>
      </c>
      <c r="C1074" s="168" t="str">
        <f>VLOOKUP(B1074,MEMBERS!B:C,2, )</f>
        <v>Heritage club</v>
      </c>
      <c r="D1074" s="323">
        <v>46011</v>
      </c>
      <c r="E1074" s="175">
        <v>5</v>
      </c>
      <c r="F1074" s="168" t="s">
        <v>439</v>
      </c>
      <c r="G1074" s="165">
        <f>IFERROR(VLOOKUP(F1074,'menu list'!B:C,2,FALSE)*E1074,"0")</f>
        <v>350</v>
      </c>
      <c r="H1074" s="334">
        <f t="shared" si="77"/>
        <v>52.5</v>
      </c>
      <c r="I1074" s="165">
        <f t="shared" si="78"/>
        <v>402.5</v>
      </c>
    </row>
    <row r="1075" spans="1:9" ht="12.75" hidden="1" x14ac:dyDescent="0.25">
      <c r="A1075" s="167">
        <f t="shared" si="79"/>
        <v>1074</v>
      </c>
      <c r="B1075" s="168" t="s">
        <v>1053</v>
      </c>
      <c r="C1075" s="168" t="str">
        <f>VLOOKUP(B1075,MEMBERS!B:C,2, )</f>
        <v>MR. ZAMIR ALI SHAH</v>
      </c>
      <c r="D1075" s="323">
        <v>46011</v>
      </c>
      <c r="E1075" s="175">
        <v>3</v>
      </c>
      <c r="F1075" s="168" t="s">
        <v>440</v>
      </c>
      <c r="G1075" s="165">
        <f>IFERROR(VLOOKUP(F1075,'menu list'!B:C,2,FALSE)*E1075,"0")</f>
        <v>450</v>
      </c>
      <c r="H1075" s="334">
        <f t="shared" si="77"/>
        <v>67.5</v>
      </c>
      <c r="I1075" s="165">
        <f t="shared" si="78"/>
        <v>517.5</v>
      </c>
    </row>
    <row r="1076" spans="1:9" ht="12.75" hidden="1" x14ac:dyDescent="0.25">
      <c r="A1076" s="167">
        <f t="shared" si="79"/>
        <v>1075</v>
      </c>
      <c r="B1076" s="168" t="s">
        <v>1053</v>
      </c>
      <c r="C1076" s="168" t="str">
        <f>VLOOKUP(B1076,MEMBERS!B:C,2, )</f>
        <v>MR. ZAMIR ALI SHAH</v>
      </c>
      <c r="D1076" s="323">
        <v>46011</v>
      </c>
      <c r="E1076" s="175">
        <v>1</v>
      </c>
      <c r="F1076" s="168" t="s">
        <v>1057</v>
      </c>
      <c r="G1076" s="165">
        <f>IFERROR(VLOOKUP(F1076,'menu list'!B:C,2,FALSE)*E1076,"0")</f>
        <v>850</v>
      </c>
      <c r="H1076" s="334">
        <f t="shared" si="77"/>
        <v>127.5</v>
      </c>
      <c r="I1076" s="165">
        <f t="shared" si="78"/>
        <v>977.5</v>
      </c>
    </row>
    <row r="1077" spans="1:9" ht="12.75" hidden="1" x14ac:dyDescent="0.25">
      <c r="A1077" s="167">
        <f t="shared" si="79"/>
        <v>1076</v>
      </c>
      <c r="B1077" s="168" t="s">
        <v>1053</v>
      </c>
      <c r="C1077" s="168" t="str">
        <f>VLOOKUP(B1077,MEMBERS!B:C,2, )</f>
        <v>MR. ZAMIR ALI SHAH</v>
      </c>
      <c r="D1077" s="323">
        <v>46011</v>
      </c>
      <c r="E1077" s="175">
        <v>1</v>
      </c>
      <c r="F1077" s="168" t="s">
        <v>799</v>
      </c>
      <c r="G1077" s="165">
        <f>IFERROR(VLOOKUP(F1077,'menu list'!B:C,2,FALSE)*E1077,"0")</f>
        <v>1700</v>
      </c>
      <c r="H1077" s="334">
        <f t="shared" si="77"/>
        <v>255</v>
      </c>
      <c r="I1077" s="165">
        <f t="shared" si="78"/>
        <v>1955</v>
      </c>
    </row>
    <row r="1078" spans="1:9" ht="12.75" hidden="1" x14ac:dyDescent="0.25">
      <c r="A1078" s="167">
        <f t="shared" si="79"/>
        <v>1077</v>
      </c>
      <c r="B1078" s="168" t="s">
        <v>1053</v>
      </c>
      <c r="C1078" s="168" t="str">
        <f>VLOOKUP(B1078,MEMBERS!B:C,2, )</f>
        <v>MR. ZAMIR ALI SHAH</v>
      </c>
      <c r="D1078" s="323">
        <v>46011</v>
      </c>
      <c r="E1078" s="175">
        <v>1</v>
      </c>
      <c r="F1078" s="168" t="s">
        <v>939</v>
      </c>
      <c r="G1078" s="165">
        <f>IFERROR(VLOOKUP(F1078,'menu list'!B:C,2,FALSE)*E1078,"0")</f>
        <v>1200</v>
      </c>
      <c r="H1078" s="334">
        <f t="shared" si="77"/>
        <v>180</v>
      </c>
      <c r="I1078" s="165">
        <f t="shared" si="78"/>
        <v>1380</v>
      </c>
    </row>
    <row r="1079" spans="1:9" ht="12.75" hidden="1" x14ac:dyDescent="0.25">
      <c r="A1079" s="167">
        <f t="shared" si="79"/>
        <v>1078</v>
      </c>
      <c r="B1079" s="168" t="s">
        <v>1053</v>
      </c>
      <c r="C1079" s="168" t="str">
        <f>VLOOKUP(B1079,MEMBERS!B:C,2, )</f>
        <v>MR. ZAMIR ALI SHAH</v>
      </c>
      <c r="D1079" s="323">
        <v>46011</v>
      </c>
      <c r="E1079" s="175">
        <v>1</v>
      </c>
      <c r="F1079" s="168" t="s">
        <v>501</v>
      </c>
      <c r="G1079" s="165">
        <f>IFERROR(VLOOKUP(F1079,'menu list'!B:C,2,FALSE)*E1079,"0")</f>
        <v>1200</v>
      </c>
      <c r="H1079" s="334">
        <f t="shared" si="77"/>
        <v>180</v>
      </c>
      <c r="I1079" s="165">
        <f t="shared" si="78"/>
        <v>1380</v>
      </c>
    </row>
    <row r="1080" spans="1:9" ht="12.75" hidden="1" x14ac:dyDescent="0.25">
      <c r="A1080" s="167">
        <f t="shared" si="79"/>
        <v>1079</v>
      </c>
      <c r="B1080" s="168" t="s">
        <v>1053</v>
      </c>
      <c r="C1080" s="168" t="str">
        <f>VLOOKUP(B1080,MEMBERS!B:C,2, )</f>
        <v>MR. ZAMIR ALI SHAH</v>
      </c>
      <c r="D1080" s="323">
        <v>46011</v>
      </c>
      <c r="E1080" s="175">
        <v>2</v>
      </c>
      <c r="F1080" s="168" t="s">
        <v>786</v>
      </c>
      <c r="G1080" s="165">
        <f>IFERROR(VLOOKUP(F1080,'menu list'!B:C,2,FALSE)*E1080,"0")</f>
        <v>2300</v>
      </c>
      <c r="H1080" s="334">
        <f t="shared" si="77"/>
        <v>345</v>
      </c>
      <c r="I1080" s="165">
        <f t="shared" si="78"/>
        <v>2645</v>
      </c>
    </row>
    <row r="1081" spans="1:9" ht="12.75" hidden="1" x14ac:dyDescent="0.25">
      <c r="A1081" s="167">
        <f t="shared" si="79"/>
        <v>1080</v>
      </c>
      <c r="B1081" s="168" t="s">
        <v>20</v>
      </c>
      <c r="C1081" s="168" t="str">
        <f>VLOOKUP(B1081,MEMBERS!B:C,2, )</f>
        <v>MR.BILAL AHMED</v>
      </c>
      <c r="D1081" s="323">
        <v>46011</v>
      </c>
      <c r="E1081" s="175">
        <v>4</v>
      </c>
      <c r="F1081" s="168" t="s">
        <v>498</v>
      </c>
      <c r="G1081" s="165">
        <f>IFERROR(VLOOKUP(F1081,'menu list'!B:C,2,FALSE)*E1081,"0")</f>
        <v>800</v>
      </c>
      <c r="H1081" s="334">
        <f t="shared" si="77"/>
        <v>120</v>
      </c>
      <c r="I1081" s="165">
        <f t="shared" si="78"/>
        <v>920</v>
      </c>
    </row>
    <row r="1082" spans="1:9" ht="12.75" hidden="1" x14ac:dyDescent="0.25">
      <c r="A1082" s="167">
        <f t="shared" si="79"/>
        <v>1081</v>
      </c>
      <c r="B1082" s="168" t="s">
        <v>20</v>
      </c>
      <c r="C1082" s="168" t="str">
        <f>VLOOKUP(B1082,MEMBERS!B:C,2, )</f>
        <v>MR.BILAL AHMED</v>
      </c>
      <c r="D1082" s="323">
        <v>46011</v>
      </c>
      <c r="E1082" s="175">
        <v>2</v>
      </c>
      <c r="F1082" s="168" t="s">
        <v>500</v>
      </c>
      <c r="G1082" s="165">
        <f>IFERROR(VLOOKUP(F1082,'menu list'!B:C,2,FALSE)*E1082,"0")</f>
        <v>2500</v>
      </c>
      <c r="H1082" s="334">
        <f t="shared" si="77"/>
        <v>375</v>
      </c>
      <c r="I1082" s="165">
        <f t="shared" si="78"/>
        <v>2875</v>
      </c>
    </row>
    <row r="1083" spans="1:9" ht="12.75" hidden="1" x14ac:dyDescent="0.25">
      <c r="A1083" s="167">
        <f t="shared" si="79"/>
        <v>1082</v>
      </c>
      <c r="B1083" s="168" t="s">
        <v>20</v>
      </c>
      <c r="C1083" s="168" t="str">
        <f>VLOOKUP(B1083,MEMBERS!B:C,2, )</f>
        <v>MR.BILAL AHMED</v>
      </c>
      <c r="D1083" s="323">
        <v>46011</v>
      </c>
      <c r="E1083" s="175">
        <v>4</v>
      </c>
      <c r="F1083" s="168" t="s">
        <v>499</v>
      </c>
      <c r="G1083" s="165">
        <f>IFERROR(VLOOKUP(F1083,'menu list'!B:C,2,FALSE)*E1083,"0")</f>
        <v>400</v>
      </c>
      <c r="H1083" s="334">
        <f t="shared" si="77"/>
        <v>60</v>
      </c>
      <c r="I1083" s="165">
        <f t="shared" si="78"/>
        <v>460</v>
      </c>
    </row>
    <row r="1084" spans="1:9" ht="12.75" hidden="1" x14ac:dyDescent="0.25">
      <c r="A1084" s="167">
        <f t="shared" si="79"/>
        <v>1083</v>
      </c>
      <c r="B1084" s="168" t="s">
        <v>795</v>
      </c>
      <c r="C1084" s="168" t="str">
        <f>VLOOKUP(B1084,MEMBERS!B:C,2, )</f>
        <v>MR. HASAN KARIM</v>
      </c>
      <c r="D1084" s="323">
        <v>46011</v>
      </c>
      <c r="E1084" s="175">
        <v>1</v>
      </c>
      <c r="F1084" s="168" t="s">
        <v>499</v>
      </c>
      <c r="G1084" s="165">
        <f>IFERROR(VLOOKUP(F1084,'menu list'!B:C,2,FALSE)*E1084,"0")</f>
        <v>100</v>
      </c>
      <c r="H1084" s="334">
        <f t="shared" si="77"/>
        <v>15</v>
      </c>
      <c r="I1084" s="165">
        <f t="shared" si="78"/>
        <v>115</v>
      </c>
    </row>
    <row r="1085" spans="1:9" ht="12.75" hidden="1" x14ac:dyDescent="0.25">
      <c r="A1085" s="167">
        <f t="shared" si="79"/>
        <v>1084</v>
      </c>
      <c r="B1085" s="168" t="s">
        <v>795</v>
      </c>
      <c r="C1085" s="168" t="str">
        <f>VLOOKUP(B1085,MEMBERS!B:C,2, )</f>
        <v>MR. HASAN KARIM</v>
      </c>
      <c r="D1085" s="323">
        <v>46011</v>
      </c>
      <c r="E1085" s="175">
        <v>1</v>
      </c>
      <c r="F1085" s="168" t="s">
        <v>653</v>
      </c>
      <c r="G1085" s="165">
        <f>IFERROR(VLOOKUP(F1085,'menu list'!B:C,2,FALSE)*E1085,"0")</f>
        <v>350</v>
      </c>
      <c r="H1085" s="334">
        <f t="shared" si="77"/>
        <v>52.5</v>
      </c>
      <c r="I1085" s="165">
        <f t="shared" si="78"/>
        <v>402.5</v>
      </c>
    </row>
    <row r="1086" spans="1:9" ht="12.75" hidden="1" x14ac:dyDescent="0.25">
      <c r="A1086" s="167">
        <f t="shared" si="79"/>
        <v>1085</v>
      </c>
      <c r="B1086" s="168" t="s">
        <v>25</v>
      </c>
      <c r="C1086" s="168" t="str">
        <f>VLOOKUP(B1086,MEMBERS!B:C,2, )</f>
        <v>MR.MUHAMMAD ARIF</v>
      </c>
      <c r="D1086" s="323">
        <v>46011</v>
      </c>
      <c r="E1086" s="175">
        <v>1</v>
      </c>
      <c r="F1086" s="168" t="s">
        <v>786</v>
      </c>
      <c r="G1086" s="165">
        <f>IFERROR(VLOOKUP(F1086,'menu list'!B:C,2,FALSE)*E1086,"0")</f>
        <v>1150</v>
      </c>
      <c r="H1086" s="334">
        <f t="shared" si="77"/>
        <v>172.5</v>
      </c>
      <c r="I1086" s="165">
        <f t="shared" si="78"/>
        <v>1322.5</v>
      </c>
    </row>
    <row r="1087" spans="1:9" ht="12.75" hidden="1" x14ac:dyDescent="0.25">
      <c r="A1087" s="167">
        <f t="shared" si="79"/>
        <v>1086</v>
      </c>
      <c r="B1087" s="168" t="s">
        <v>25</v>
      </c>
      <c r="C1087" s="168" t="str">
        <f>VLOOKUP(B1087,MEMBERS!B:C,2, )</f>
        <v>MR.MUHAMMAD ARIF</v>
      </c>
      <c r="D1087" s="323">
        <v>46011</v>
      </c>
      <c r="E1087" s="175">
        <v>1</v>
      </c>
      <c r="F1087" s="168" t="s">
        <v>915</v>
      </c>
      <c r="G1087" s="165">
        <f>IFERROR(VLOOKUP(F1087,'menu list'!B:C,2,FALSE)*E1087,"0")</f>
        <v>999</v>
      </c>
      <c r="H1087" s="334">
        <f t="shared" si="77"/>
        <v>149.85</v>
      </c>
      <c r="I1087" s="165">
        <f t="shared" si="78"/>
        <v>1148.8499999999999</v>
      </c>
    </row>
    <row r="1088" spans="1:9" ht="12.75" hidden="1" x14ac:dyDescent="0.25">
      <c r="A1088" s="167">
        <f t="shared" si="79"/>
        <v>1087</v>
      </c>
      <c r="B1088" s="168" t="s">
        <v>25</v>
      </c>
      <c r="C1088" s="168" t="str">
        <f>VLOOKUP(B1088,MEMBERS!B:C,2, )</f>
        <v>MR.MUHAMMAD ARIF</v>
      </c>
      <c r="D1088" s="323">
        <v>46011</v>
      </c>
      <c r="E1088" s="175">
        <v>1</v>
      </c>
      <c r="F1088" s="168" t="s">
        <v>822</v>
      </c>
      <c r="G1088" s="165">
        <f>IFERROR(VLOOKUP(F1088,'menu list'!B:C,2,FALSE)*E1088,"0")</f>
        <v>1500</v>
      </c>
      <c r="H1088" s="334">
        <f t="shared" si="77"/>
        <v>225</v>
      </c>
      <c r="I1088" s="165">
        <f t="shared" si="78"/>
        <v>1725</v>
      </c>
    </row>
    <row r="1089" spans="1:9" ht="12.75" hidden="1" x14ac:dyDescent="0.25">
      <c r="A1089" s="167">
        <f t="shared" si="79"/>
        <v>1088</v>
      </c>
      <c r="B1089" s="168" t="s">
        <v>25</v>
      </c>
      <c r="C1089" s="168" t="str">
        <f>VLOOKUP(B1089,MEMBERS!B:C,2, )</f>
        <v>MR.MUHAMMAD ARIF</v>
      </c>
      <c r="D1089" s="323">
        <v>46011</v>
      </c>
      <c r="E1089" s="175">
        <v>1</v>
      </c>
      <c r="F1089" s="168" t="s">
        <v>939</v>
      </c>
      <c r="G1089" s="165">
        <f>IFERROR(VLOOKUP(F1089,'menu list'!B:C,2,FALSE)*E1089,"0")</f>
        <v>1200</v>
      </c>
      <c r="H1089" s="334">
        <f t="shared" si="77"/>
        <v>180</v>
      </c>
      <c r="I1089" s="165">
        <f t="shared" si="78"/>
        <v>1380</v>
      </c>
    </row>
    <row r="1090" spans="1:9" ht="12.75" hidden="1" x14ac:dyDescent="0.25">
      <c r="A1090" s="167">
        <f t="shared" si="79"/>
        <v>1089</v>
      </c>
      <c r="B1090" s="168" t="s">
        <v>25</v>
      </c>
      <c r="C1090" s="168" t="str">
        <f>VLOOKUP(B1090,MEMBERS!B:C,2, )</f>
        <v>MR.MUHAMMAD ARIF</v>
      </c>
      <c r="D1090" s="323">
        <v>46011</v>
      </c>
      <c r="E1090" s="175">
        <v>1</v>
      </c>
      <c r="F1090" s="168" t="s">
        <v>770</v>
      </c>
      <c r="G1090" s="165">
        <f>IFERROR(VLOOKUP(F1090,'menu list'!B:C,2,FALSE)*E1090,"0")</f>
        <v>1000</v>
      </c>
      <c r="H1090" s="334">
        <f t="shared" si="77"/>
        <v>150</v>
      </c>
      <c r="I1090" s="165">
        <f t="shared" si="78"/>
        <v>1150</v>
      </c>
    </row>
    <row r="1091" spans="1:9" ht="12.75" hidden="1" x14ac:dyDescent="0.25">
      <c r="A1091" s="167">
        <f t="shared" si="79"/>
        <v>1090</v>
      </c>
      <c r="B1091" s="168" t="s">
        <v>25</v>
      </c>
      <c r="C1091" s="168" t="str">
        <f>VLOOKUP(B1091,MEMBERS!B:C,2, )</f>
        <v>MR.MUHAMMAD ARIF</v>
      </c>
      <c r="D1091" s="323">
        <v>46011</v>
      </c>
      <c r="E1091" s="175">
        <v>1</v>
      </c>
      <c r="F1091" s="168" t="s">
        <v>802</v>
      </c>
      <c r="G1091" s="165">
        <f>IFERROR(VLOOKUP(F1091,'menu list'!B:C,2,FALSE)*E1091,"0")</f>
        <v>500</v>
      </c>
      <c r="H1091" s="334">
        <f t="shared" ref="H1091:H1154" si="80">G1091*15/100</f>
        <v>75</v>
      </c>
      <c r="I1091" s="165">
        <f t="shared" si="78"/>
        <v>575</v>
      </c>
    </row>
    <row r="1092" spans="1:9" ht="12.75" hidden="1" x14ac:dyDescent="0.25">
      <c r="A1092" s="167">
        <f t="shared" si="79"/>
        <v>1091</v>
      </c>
      <c r="B1092" s="168" t="s">
        <v>25</v>
      </c>
      <c r="C1092" s="168" t="str">
        <f>VLOOKUP(B1092,MEMBERS!B:C,2, )</f>
        <v>MR.MUHAMMAD ARIF</v>
      </c>
      <c r="D1092" s="323">
        <v>46011</v>
      </c>
      <c r="E1092" s="175">
        <v>1</v>
      </c>
      <c r="F1092" s="168" t="s">
        <v>887</v>
      </c>
      <c r="G1092" s="165">
        <f>IFERROR(VLOOKUP(F1092,'menu list'!B:C,2,FALSE)*E1092,"0")</f>
        <v>1050</v>
      </c>
      <c r="H1092" s="334">
        <f t="shared" si="80"/>
        <v>157.5</v>
      </c>
      <c r="I1092" s="165">
        <f t="shared" ref="I1092:I1155" si="81">G1092+H1092</f>
        <v>1207.5</v>
      </c>
    </row>
    <row r="1093" spans="1:9" ht="12.75" hidden="1" x14ac:dyDescent="0.25">
      <c r="A1093" s="167">
        <f t="shared" si="79"/>
        <v>1092</v>
      </c>
      <c r="B1093" s="168" t="s">
        <v>25</v>
      </c>
      <c r="C1093" s="168" t="str">
        <f>VLOOKUP(B1093,MEMBERS!B:C,2, )</f>
        <v>MR.MUHAMMAD ARIF</v>
      </c>
      <c r="D1093" s="323">
        <v>46011</v>
      </c>
      <c r="E1093" s="175">
        <v>7</v>
      </c>
      <c r="F1093" s="168" t="s">
        <v>439</v>
      </c>
      <c r="G1093" s="165">
        <f>IFERROR(VLOOKUP(F1093,'menu list'!B:C,2,FALSE)*E1093,"0")</f>
        <v>490</v>
      </c>
      <c r="H1093" s="334">
        <f t="shared" si="80"/>
        <v>73.5</v>
      </c>
      <c r="I1093" s="165">
        <f t="shared" si="81"/>
        <v>563.5</v>
      </c>
    </row>
    <row r="1094" spans="1:9" ht="12.75" hidden="1" x14ac:dyDescent="0.25">
      <c r="A1094" s="167">
        <f t="shared" si="79"/>
        <v>1093</v>
      </c>
      <c r="B1094" s="168" t="s">
        <v>25</v>
      </c>
      <c r="C1094" s="168" t="str">
        <f>VLOOKUP(B1094,MEMBERS!B:C,2, )</f>
        <v>MR.MUHAMMAD ARIF</v>
      </c>
      <c r="D1094" s="323">
        <v>46011</v>
      </c>
      <c r="E1094" s="175">
        <v>1</v>
      </c>
      <c r="F1094" s="168" t="s">
        <v>793</v>
      </c>
      <c r="G1094" s="165">
        <f>IFERROR(VLOOKUP(F1094,'menu list'!B:C,2,FALSE)*E1094,"0")</f>
        <v>800</v>
      </c>
      <c r="H1094" s="334">
        <f t="shared" si="80"/>
        <v>120</v>
      </c>
      <c r="I1094" s="165">
        <f t="shared" si="81"/>
        <v>920</v>
      </c>
    </row>
    <row r="1095" spans="1:9" ht="12.75" hidden="1" x14ac:dyDescent="0.25">
      <c r="A1095" s="167">
        <f t="shared" si="79"/>
        <v>1094</v>
      </c>
      <c r="B1095" s="168" t="s">
        <v>25</v>
      </c>
      <c r="C1095" s="168" t="str">
        <f>VLOOKUP(B1095,MEMBERS!B:C,2, )</f>
        <v>MR.MUHAMMAD ARIF</v>
      </c>
      <c r="D1095" s="323">
        <v>46011</v>
      </c>
      <c r="E1095" s="175">
        <v>2</v>
      </c>
      <c r="F1095" s="168" t="s">
        <v>441</v>
      </c>
      <c r="G1095" s="165">
        <f>IFERROR(VLOOKUP(F1095,'menu list'!B:C,2,FALSE)*E1095,"0")</f>
        <v>400</v>
      </c>
      <c r="H1095" s="334">
        <f t="shared" si="80"/>
        <v>60</v>
      </c>
      <c r="I1095" s="165">
        <f t="shared" si="81"/>
        <v>460</v>
      </c>
    </row>
    <row r="1096" spans="1:9" ht="12.75" hidden="1" x14ac:dyDescent="0.25">
      <c r="A1096" s="167">
        <f t="shared" si="79"/>
        <v>1095</v>
      </c>
      <c r="B1096" s="168" t="s">
        <v>25</v>
      </c>
      <c r="C1096" s="168" t="str">
        <f>VLOOKUP(B1096,MEMBERS!B:C,2, )</f>
        <v>MR.MUHAMMAD ARIF</v>
      </c>
      <c r="D1096" s="323">
        <v>46011</v>
      </c>
      <c r="E1096" s="175">
        <v>1</v>
      </c>
      <c r="F1096" s="168" t="s">
        <v>440</v>
      </c>
      <c r="G1096" s="165">
        <f>IFERROR(VLOOKUP(F1096,'menu list'!B:C,2,FALSE)*E1096,"0")</f>
        <v>150</v>
      </c>
      <c r="H1096" s="334">
        <f t="shared" si="80"/>
        <v>22.5</v>
      </c>
      <c r="I1096" s="165">
        <f t="shared" si="81"/>
        <v>172.5</v>
      </c>
    </row>
    <row r="1097" spans="1:9" ht="12.75" hidden="1" x14ac:dyDescent="0.25">
      <c r="A1097" s="167">
        <f t="shared" si="79"/>
        <v>1096</v>
      </c>
      <c r="B1097" s="168" t="s">
        <v>25</v>
      </c>
      <c r="C1097" s="168" t="str">
        <f>VLOOKUP(B1097,MEMBERS!B:C,2, )</f>
        <v>MR.MUHAMMAD ARIF</v>
      </c>
      <c r="D1097" s="323">
        <v>46011</v>
      </c>
      <c r="E1097" s="175">
        <v>2</v>
      </c>
      <c r="F1097" s="168" t="s">
        <v>439</v>
      </c>
      <c r="G1097" s="165">
        <f>IFERROR(VLOOKUP(F1097,'menu list'!B:C,2,FALSE)*E1097,"0")</f>
        <v>140</v>
      </c>
      <c r="H1097" s="334">
        <f t="shared" si="80"/>
        <v>21</v>
      </c>
      <c r="I1097" s="165">
        <f t="shared" si="81"/>
        <v>161</v>
      </c>
    </row>
    <row r="1098" spans="1:9" ht="12.75" hidden="1" x14ac:dyDescent="0.25">
      <c r="A1098" s="167">
        <f t="shared" si="79"/>
        <v>1097</v>
      </c>
      <c r="B1098" s="168" t="s">
        <v>25</v>
      </c>
      <c r="C1098" s="168" t="str">
        <f>VLOOKUP(B1098,MEMBERS!B:C,2, )</f>
        <v>MR.MUHAMMAD ARIF</v>
      </c>
      <c r="D1098" s="323">
        <v>46011</v>
      </c>
      <c r="E1098" s="175">
        <v>6</v>
      </c>
      <c r="F1098" s="168" t="s">
        <v>836</v>
      </c>
      <c r="G1098" s="165">
        <f>IFERROR(VLOOKUP(F1098,'menu list'!B:C,2,FALSE)*E1098,"0")</f>
        <v>2100</v>
      </c>
      <c r="H1098" s="334">
        <f t="shared" si="80"/>
        <v>315</v>
      </c>
      <c r="I1098" s="165">
        <f t="shared" si="81"/>
        <v>2415</v>
      </c>
    </row>
    <row r="1099" spans="1:9" ht="12.75" hidden="1" x14ac:dyDescent="0.25">
      <c r="A1099" s="167">
        <f t="shared" si="79"/>
        <v>1098</v>
      </c>
      <c r="B1099" s="168" t="s">
        <v>795</v>
      </c>
      <c r="C1099" s="168" t="str">
        <f>VLOOKUP(B1099,MEMBERS!B:C,2, )</f>
        <v>MR. HASAN KARIM</v>
      </c>
      <c r="D1099" s="323">
        <v>46011</v>
      </c>
      <c r="E1099" s="175">
        <v>1</v>
      </c>
      <c r="F1099" s="168" t="s">
        <v>853</v>
      </c>
      <c r="G1099" s="165">
        <f>IFERROR(VLOOKUP(F1099,'menu list'!B:C,2,FALSE)*E1099,"0")</f>
        <v>575</v>
      </c>
      <c r="H1099" s="334">
        <f t="shared" si="80"/>
        <v>86.25</v>
      </c>
      <c r="I1099" s="165">
        <f t="shared" si="81"/>
        <v>661.25</v>
      </c>
    </row>
    <row r="1100" spans="1:9" ht="12.75" hidden="1" x14ac:dyDescent="0.25">
      <c r="A1100" s="167">
        <f t="shared" si="79"/>
        <v>1099</v>
      </c>
      <c r="B1100" s="168" t="s">
        <v>795</v>
      </c>
      <c r="C1100" s="168" t="str">
        <f>VLOOKUP(B1100,MEMBERS!B:C,2, )</f>
        <v>MR. HASAN KARIM</v>
      </c>
      <c r="D1100" s="323">
        <v>46011</v>
      </c>
      <c r="E1100" s="175">
        <v>1</v>
      </c>
      <c r="F1100" s="168" t="s">
        <v>836</v>
      </c>
      <c r="G1100" s="165">
        <f>IFERROR(VLOOKUP(F1100,'menu list'!B:C,2,FALSE)*E1100,"0")</f>
        <v>350</v>
      </c>
      <c r="H1100" s="334">
        <f t="shared" si="80"/>
        <v>52.5</v>
      </c>
      <c r="I1100" s="165">
        <f t="shared" si="81"/>
        <v>402.5</v>
      </c>
    </row>
    <row r="1101" spans="1:9" ht="12.75" hidden="1" x14ac:dyDescent="0.25">
      <c r="A1101" s="167">
        <f t="shared" si="79"/>
        <v>1100</v>
      </c>
      <c r="B1101" s="168" t="s">
        <v>795</v>
      </c>
      <c r="C1101" s="168" t="str">
        <f>VLOOKUP(B1101,MEMBERS!B:C,2, )</f>
        <v>MR. HASAN KARIM</v>
      </c>
      <c r="D1101" s="323">
        <v>46011</v>
      </c>
      <c r="E1101" s="175">
        <v>1</v>
      </c>
      <c r="F1101" s="168" t="s">
        <v>499</v>
      </c>
      <c r="G1101" s="165">
        <f>IFERROR(VLOOKUP(F1101,'menu list'!B:C,2,FALSE)*E1101,"0")</f>
        <v>100</v>
      </c>
      <c r="H1101" s="334">
        <f t="shared" si="80"/>
        <v>15</v>
      </c>
      <c r="I1101" s="165">
        <f t="shared" si="81"/>
        <v>115</v>
      </c>
    </row>
    <row r="1102" spans="1:9" ht="12.75" hidden="1" x14ac:dyDescent="0.25">
      <c r="A1102" s="167">
        <f t="shared" si="79"/>
        <v>1101</v>
      </c>
      <c r="B1102" s="168" t="s">
        <v>182</v>
      </c>
      <c r="C1102" s="168" t="str">
        <f>VLOOKUP(B1102,MEMBERS!B:C,2, )</f>
        <v>MR.MUHAMMAD SALIQ SIDDIQUI</v>
      </c>
      <c r="D1102" s="323">
        <v>46012</v>
      </c>
      <c r="E1102" s="175">
        <v>3</v>
      </c>
      <c r="F1102" s="168" t="s">
        <v>502</v>
      </c>
      <c r="G1102" s="165">
        <f>IFERROR(VLOOKUP(F1102,'menu list'!B:C,2,FALSE)*E1102,"0")</f>
        <v>1050</v>
      </c>
      <c r="H1102" s="334">
        <f t="shared" si="80"/>
        <v>157.5</v>
      </c>
      <c r="I1102" s="165">
        <f t="shared" si="81"/>
        <v>1207.5</v>
      </c>
    </row>
    <row r="1103" spans="1:9" ht="12.75" hidden="1" x14ac:dyDescent="0.25">
      <c r="A1103" s="167">
        <f t="shared" si="79"/>
        <v>1102</v>
      </c>
      <c r="B1103" s="168" t="s">
        <v>795</v>
      </c>
      <c r="C1103" s="168" t="str">
        <f>VLOOKUP(B1103,MEMBERS!B:C,2, )</f>
        <v>MR. HASAN KARIM</v>
      </c>
      <c r="D1103" s="323">
        <v>46012</v>
      </c>
      <c r="E1103" s="175">
        <v>2</v>
      </c>
      <c r="F1103" s="168" t="s">
        <v>497</v>
      </c>
      <c r="G1103" s="165">
        <f>IFERROR(VLOOKUP(F1103,'menu list'!B:C,2,FALSE)*E1103,"0")</f>
        <v>500</v>
      </c>
      <c r="H1103" s="334">
        <f t="shared" si="80"/>
        <v>75</v>
      </c>
      <c r="I1103" s="165">
        <f t="shared" si="81"/>
        <v>575</v>
      </c>
    </row>
    <row r="1104" spans="1:9" ht="12.75" hidden="1" x14ac:dyDescent="0.25">
      <c r="A1104" s="167">
        <f t="shared" si="79"/>
        <v>1103</v>
      </c>
      <c r="B1104" s="168" t="s">
        <v>795</v>
      </c>
      <c r="C1104" s="168" t="str">
        <f>VLOOKUP(B1104,MEMBERS!B:C,2, )</f>
        <v>MR. HASAN KARIM</v>
      </c>
      <c r="D1104" s="323">
        <v>46012</v>
      </c>
      <c r="E1104" s="175">
        <v>1</v>
      </c>
      <c r="F1104" s="168" t="s">
        <v>846</v>
      </c>
      <c r="G1104" s="165">
        <f>IFERROR(VLOOKUP(F1104,'menu list'!B:C,2,FALSE)*E1104,"0")</f>
        <v>1250</v>
      </c>
      <c r="H1104" s="334">
        <f t="shared" si="80"/>
        <v>187.5</v>
      </c>
      <c r="I1104" s="165">
        <f t="shared" si="81"/>
        <v>1437.5</v>
      </c>
    </row>
    <row r="1105" spans="1:9" ht="12.75" hidden="1" x14ac:dyDescent="0.25">
      <c r="A1105" s="167">
        <f t="shared" si="79"/>
        <v>1104</v>
      </c>
      <c r="B1105" s="168" t="s">
        <v>795</v>
      </c>
      <c r="C1105" s="168" t="str">
        <f>VLOOKUP(B1105,MEMBERS!B:C,2, )</f>
        <v>MR. HASAN KARIM</v>
      </c>
      <c r="D1105" s="323">
        <v>46012</v>
      </c>
      <c r="E1105" s="175">
        <v>2</v>
      </c>
      <c r="F1105" s="168" t="s">
        <v>772</v>
      </c>
      <c r="G1105" s="165">
        <f>IFERROR(VLOOKUP(F1105,'menu list'!B:C,2,FALSE)*E1105,"0")</f>
        <v>1800</v>
      </c>
      <c r="H1105" s="334">
        <f t="shared" si="80"/>
        <v>270</v>
      </c>
      <c r="I1105" s="165">
        <f t="shared" si="81"/>
        <v>2070</v>
      </c>
    </row>
    <row r="1106" spans="1:9" ht="12.75" hidden="1" x14ac:dyDescent="0.25">
      <c r="A1106" s="167">
        <f t="shared" si="79"/>
        <v>1105</v>
      </c>
      <c r="B1106" s="168" t="s">
        <v>795</v>
      </c>
      <c r="C1106" s="168" t="str">
        <f>VLOOKUP(B1106,MEMBERS!B:C,2, )</f>
        <v>MR. HASAN KARIM</v>
      </c>
      <c r="D1106" s="323">
        <v>46012</v>
      </c>
      <c r="E1106" s="175">
        <v>1</v>
      </c>
      <c r="F1106" s="168" t="s">
        <v>540</v>
      </c>
      <c r="G1106" s="165">
        <f>IFERROR(VLOOKUP(F1106,'menu list'!B:C,2,FALSE)*E1106,"0")</f>
        <v>800</v>
      </c>
      <c r="H1106" s="334">
        <f t="shared" si="80"/>
        <v>120</v>
      </c>
      <c r="I1106" s="165">
        <f t="shared" si="81"/>
        <v>920</v>
      </c>
    </row>
    <row r="1107" spans="1:9" ht="12.75" hidden="1" x14ac:dyDescent="0.25">
      <c r="A1107" s="167">
        <f t="shared" si="79"/>
        <v>1106</v>
      </c>
      <c r="B1107" s="168" t="s">
        <v>795</v>
      </c>
      <c r="C1107" s="168" t="str">
        <f>VLOOKUP(B1107,MEMBERS!B:C,2, )</f>
        <v>MR. HASAN KARIM</v>
      </c>
      <c r="D1107" s="323">
        <v>46012</v>
      </c>
      <c r="E1107" s="175">
        <v>1</v>
      </c>
      <c r="F1107" s="168" t="s">
        <v>723</v>
      </c>
      <c r="G1107" s="165">
        <f>IFERROR(VLOOKUP(F1107,'menu list'!B:C,2,FALSE)*E1107,"0")</f>
        <v>400</v>
      </c>
      <c r="H1107" s="334">
        <f t="shared" si="80"/>
        <v>60</v>
      </c>
      <c r="I1107" s="165">
        <f t="shared" si="81"/>
        <v>460</v>
      </c>
    </row>
    <row r="1108" spans="1:9" ht="12.75" hidden="1" x14ac:dyDescent="0.25">
      <c r="A1108" s="167">
        <f t="shared" si="79"/>
        <v>1107</v>
      </c>
      <c r="B1108" s="168" t="s">
        <v>795</v>
      </c>
      <c r="C1108" s="168" t="str">
        <f>VLOOKUP(B1108,MEMBERS!B:C,2, )</f>
        <v>MR. HASAN KARIM</v>
      </c>
      <c r="D1108" s="323">
        <v>46012</v>
      </c>
      <c r="E1108" s="175">
        <v>1</v>
      </c>
      <c r="F1108" s="168" t="s">
        <v>504</v>
      </c>
      <c r="G1108" s="165">
        <f>IFERROR(VLOOKUP(F1108,'menu list'!B:C,2,FALSE)*E1108,"0")</f>
        <v>130</v>
      </c>
      <c r="H1108" s="334">
        <f t="shared" si="80"/>
        <v>19.5</v>
      </c>
      <c r="I1108" s="165">
        <f t="shared" si="81"/>
        <v>149.5</v>
      </c>
    </row>
    <row r="1109" spans="1:9" ht="12.75" hidden="1" x14ac:dyDescent="0.25">
      <c r="A1109" s="167">
        <f t="shared" si="79"/>
        <v>1108</v>
      </c>
      <c r="B1109" s="168" t="s">
        <v>795</v>
      </c>
      <c r="C1109" s="168" t="str">
        <f>VLOOKUP(B1109,MEMBERS!B:C,2, )</f>
        <v>MR. HASAN KARIM</v>
      </c>
      <c r="D1109" s="323">
        <v>46012</v>
      </c>
      <c r="E1109" s="175">
        <v>8</v>
      </c>
      <c r="F1109" s="168" t="s">
        <v>439</v>
      </c>
      <c r="G1109" s="165">
        <f>IFERROR(VLOOKUP(F1109,'menu list'!B:C,2,FALSE)*E1109,"0")</f>
        <v>560</v>
      </c>
      <c r="H1109" s="334">
        <f t="shared" si="80"/>
        <v>84</v>
      </c>
      <c r="I1109" s="165">
        <f t="shared" si="81"/>
        <v>644</v>
      </c>
    </row>
    <row r="1110" spans="1:9" ht="12.75" hidden="1" x14ac:dyDescent="0.25">
      <c r="A1110" s="167">
        <f t="shared" si="79"/>
        <v>1109</v>
      </c>
      <c r="B1110" s="168" t="s">
        <v>795</v>
      </c>
      <c r="C1110" s="168" t="str">
        <f>VLOOKUP(B1110,MEMBERS!B:C,2, )</f>
        <v>MR. HASAN KARIM</v>
      </c>
      <c r="D1110" s="323">
        <v>46012</v>
      </c>
      <c r="E1110" s="175">
        <v>2</v>
      </c>
      <c r="F1110" s="168" t="s">
        <v>440</v>
      </c>
      <c r="G1110" s="165">
        <f>IFERROR(VLOOKUP(F1110,'menu list'!B:C,2,FALSE)*E1110,"0")</f>
        <v>300</v>
      </c>
      <c r="H1110" s="334">
        <f t="shared" si="80"/>
        <v>45</v>
      </c>
      <c r="I1110" s="165">
        <f t="shared" si="81"/>
        <v>345</v>
      </c>
    </row>
    <row r="1111" spans="1:9" ht="12.75" hidden="1" x14ac:dyDescent="0.25">
      <c r="A1111" s="167">
        <f t="shared" si="79"/>
        <v>1110</v>
      </c>
      <c r="B1111" s="168" t="s">
        <v>795</v>
      </c>
      <c r="C1111" s="168" t="str">
        <f>VLOOKUP(B1111,MEMBERS!B:C,2, )</f>
        <v>MR. HASAN KARIM</v>
      </c>
      <c r="D1111" s="323">
        <v>46012</v>
      </c>
      <c r="E1111" s="175">
        <v>4</v>
      </c>
      <c r="F1111" s="168" t="s">
        <v>499</v>
      </c>
      <c r="G1111" s="165">
        <f>IFERROR(VLOOKUP(F1111,'menu list'!B:C,2,FALSE)*E1111,"0")</f>
        <v>400</v>
      </c>
      <c r="H1111" s="334">
        <f t="shared" si="80"/>
        <v>60</v>
      </c>
      <c r="I1111" s="165">
        <f t="shared" si="81"/>
        <v>460</v>
      </c>
    </row>
    <row r="1112" spans="1:9" ht="12.75" hidden="1" x14ac:dyDescent="0.25">
      <c r="A1112" s="167">
        <f t="shared" si="79"/>
        <v>1111</v>
      </c>
      <c r="B1112" s="168" t="s">
        <v>795</v>
      </c>
      <c r="C1112" s="168" t="str">
        <f>VLOOKUP(B1112,MEMBERS!B:C,2, )</f>
        <v>MR. HASAN KARIM</v>
      </c>
      <c r="D1112" s="323">
        <v>46012</v>
      </c>
      <c r="E1112" s="175">
        <v>1</v>
      </c>
      <c r="F1112" s="168" t="s">
        <v>836</v>
      </c>
      <c r="G1112" s="165">
        <f>IFERROR(VLOOKUP(F1112,'menu list'!B:C,2,FALSE)*E1112,"0")</f>
        <v>350</v>
      </c>
      <c r="H1112" s="334">
        <f t="shared" si="80"/>
        <v>52.5</v>
      </c>
      <c r="I1112" s="165">
        <f t="shared" si="81"/>
        <v>402.5</v>
      </c>
    </row>
    <row r="1113" spans="1:9" ht="12.75" hidden="1" x14ac:dyDescent="0.25">
      <c r="A1113" s="167">
        <f t="shared" si="79"/>
        <v>1112</v>
      </c>
      <c r="B1113" s="168" t="s">
        <v>795</v>
      </c>
      <c r="C1113" s="168" t="str">
        <f>VLOOKUP(B1113,MEMBERS!B:C,2, )</f>
        <v>MR. HASAN KARIM</v>
      </c>
      <c r="D1113" s="323">
        <v>46012</v>
      </c>
      <c r="E1113" s="175">
        <v>1</v>
      </c>
      <c r="F1113" s="168" t="s">
        <v>666</v>
      </c>
      <c r="G1113" s="165">
        <f>IFERROR(VLOOKUP(F1113,'menu list'!B:C,2,FALSE)*E1113,"0")</f>
        <v>350</v>
      </c>
      <c r="H1113" s="334">
        <f t="shared" si="80"/>
        <v>52.5</v>
      </c>
      <c r="I1113" s="165">
        <f t="shared" si="81"/>
        <v>402.5</v>
      </c>
    </row>
    <row r="1114" spans="1:9" ht="12.75" hidden="1" x14ac:dyDescent="0.25">
      <c r="A1114" s="167">
        <f t="shared" si="79"/>
        <v>1113</v>
      </c>
      <c r="B1114" s="168" t="s">
        <v>795</v>
      </c>
      <c r="C1114" s="168" t="str">
        <f>VLOOKUP(B1114,MEMBERS!B:C,2, )</f>
        <v>MR. HASAN KARIM</v>
      </c>
      <c r="D1114" s="323">
        <v>46012</v>
      </c>
      <c r="E1114" s="175">
        <v>3</v>
      </c>
      <c r="F1114" s="168" t="s">
        <v>848</v>
      </c>
      <c r="G1114" s="165">
        <f>IFERROR(VLOOKUP(F1114,'menu list'!B:C,2,FALSE)*E1114,"0")</f>
        <v>600</v>
      </c>
      <c r="H1114" s="334">
        <f t="shared" si="80"/>
        <v>90</v>
      </c>
      <c r="I1114" s="165">
        <f t="shared" si="81"/>
        <v>690</v>
      </c>
    </row>
    <row r="1115" spans="1:9" ht="12.75" hidden="1" x14ac:dyDescent="0.25">
      <c r="A1115" s="167">
        <f t="shared" si="79"/>
        <v>1114</v>
      </c>
      <c r="B1115" s="168" t="s">
        <v>795</v>
      </c>
      <c r="C1115" s="168" t="str">
        <f>VLOOKUP(B1115,MEMBERS!B:C,2, )</f>
        <v>MR. HASAN KARIM</v>
      </c>
      <c r="D1115" s="323">
        <v>46012</v>
      </c>
      <c r="E1115" s="175">
        <v>1</v>
      </c>
      <c r="F1115" s="168" t="s">
        <v>442</v>
      </c>
      <c r="G1115" s="165">
        <f>IFERROR(VLOOKUP(F1115,'menu list'!B:C,2,FALSE)*E1115,"0")</f>
        <v>150</v>
      </c>
      <c r="H1115" s="334">
        <f t="shared" si="80"/>
        <v>22.5</v>
      </c>
      <c r="I1115" s="165">
        <f t="shared" si="81"/>
        <v>172.5</v>
      </c>
    </row>
    <row r="1116" spans="1:9" ht="12.75" hidden="1" x14ac:dyDescent="0.25">
      <c r="A1116" s="167">
        <f t="shared" si="79"/>
        <v>1115</v>
      </c>
      <c r="B1116" s="168" t="s">
        <v>373</v>
      </c>
      <c r="C1116" s="168" t="str">
        <f>VLOOKUP(B1116,MEMBERS!B:C,2, )</f>
        <v>ASIF ASHFAQ</v>
      </c>
      <c r="D1116" s="323">
        <v>46012</v>
      </c>
      <c r="E1116" s="175">
        <v>2</v>
      </c>
      <c r="F1116" s="168" t="s">
        <v>440</v>
      </c>
      <c r="G1116" s="165">
        <f>IFERROR(VLOOKUP(F1116,'menu list'!B:C,2,FALSE)*E1116,"0")</f>
        <v>300</v>
      </c>
      <c r="H1116" s="334">
        <f t="shared" si="80"/>
        <v>45</v>
      </c>
      <c r="I1116" s="165">
        <f t="shared" si="81"/>
        <v>345</v>
      </c>
    </row>
    <row r="1117" spans="1:9" ht="12.75" hidden="1" x14ac:dyDescent="0.25">
      <c r="A1117" s="167">
        <f t="shared" si="79"/>
        <v>1116</v>
      </c>
      <c r="B1117" s="168" t="s">
        <v>373</v>
      </c>
      <c r="C1117" s="168" t="str">
        <f>VLOOKUP(B1117,MEMBERS!B:C,2, )</f>
        <v>ASIF ASHFAQ</v>
      </c>
      <c r="D1117" s="323">
        <v>46012</v>
      </c>
      <c r="E1117" s="175">
        <v>1</v>
      </c>
      <c r="F1117" s="168" t="s">
        <v>498</v>
      </c>
      <c r="G1117" s="165">
        <f>IFERROR(VLOOKUP(F1117,'menu list'!B:C,2,FALSE)*E1117,"0")</f>
        <v>200</v>
      </c>
      <c r="H1117" s="334">
        <f t="shared" si="80"/>
        <v>30</v>
      </c>
      <c r="I1117" s="165">
        <f t="shared" si="81"/>
        <v>230</v>
      </c>
    </row>
    <row r="1118" spans="1:9" ht="12.75" hidden="1" x14ac:dyDescent="0.25">
      <c r="A1118" s="167">
        <f t="shared" si="79"/>
        <v>1117</v>
      </c>
      <c r="B1118" s="168" t="s">
        <v>359</v>
      </c>
      <c r="C1118" s="168" t="str">
        <f>VLOOKUP(B1118,MEMBERS!B:C,2, )</f>
        <v>DR.NASEEM MUNSHI</v>
      </c>
      <c r="D1118" s="323">
        <v>46012</v>
      </c>
      <c r="E1118" s="175">
        <v>3</v>
      </c>
      <c r="F1118" s="168" t="s">
        <v>500</v>
      </c>
      <c r="G1118" s="165">
        <f>IFERROR(VLOOKUP(F1118,'menu list'!B:C,2,FALSE)*E1118,"0")</f>
        <v>3750</v>
      </c>
      <c r="H1118" s="334">
        <f t="shared" si="80"/>
        <v>562.5</v>
      </c>
      <c r="I1118" s="165">
        <f t="shared" si="81"/>
        <v>4312.5</v>
      </c>
    </row>
    <row r="1119" spans="1:9" ht="12.75" hidden="1" x14ac:dyDescent="0.25">
      <c r="A1119" s="167">
        <f t="shared" si="79"/>
        <v>1118</v>
      </c>
      <c r="B1119" s="168" t="s">
        <v>359</v>
      </c>
      <c r="C1119" s="168" t="str">
        <f>VLOOKUP(B1119,MEMBERS!B:C,2, )</f>
        <v>DR.NASEEM MUNSHI</v>
      </c>
      <c r="D1119" s="323">
        <v>46012</v>
      </c>
      <c r="E1119" s="175">
        <v>1</v>
      </c>
      <c r="F1119" s="168" t="s">
        <v>784</v>
      </c>
      <c r="G1119" s="165">
        <f>IFERROR(VLOOKUP(F1119,'menu list'!B:C,2,FALSE)*E1119,"0")</f>
        <v>750</v>
      </c>
      <c r="H1119" s="334">
        <f t="shared" si="80"/>
        <v>112.5</v>
      </c>
      <c r="I1119" s="165">
        <f t="shared" si="81"/>
        <v>862.5</v>
      </c>
    </row>
    <row r="1120" spans="1:9" ht="12.75" hidden="1" x14ac:dyDescent="0.25">
      <c r="A1120" s="167">
        <f t="shared" si="79"/>
        <v>1119</v>
      </c>
      <c r="B1120" s="168" t="s">
        <v>947</v>
      </c>
      <c r="C1120" s="168" t="str">
        <f>VLOOKUP(B1120,MEMBERS!B:C,2, )</f>
        <v>MR . SYED RAHAT HUSSAIN ZAIDI</v>
      </c>
      <c r="D1120" s="323">
        <v>46012</v>
      </c>
      <c r="E1120" s="175">
        <v>3</v>
      </c>
      <c r="F1120" s="168" t="s">
        <v>601</v>
      </c>
      <c r="G1120" s="165">
        <f>IFERROR(VLOOKUP(F1120,'menu list'!B:C,2,FALSE)*E1120,"0")</f>
        <v>3600</v>
      </c>
      <c r="H1120" s="334">
        <f t="shared" si="80"/>
        <v>540</v>
      </c>
      <c r="I1120" s="165">
        <f t="shared" si="81"/>
        <v>4140</v>
      </c>
    </row>
    <row r="1121" spans="1:9" ht="12.75" hidden="1" x14ac:dyDescent="0.25">
      <c r="A1121" s="167">
        <f t="shared" si="79"/>
        <v>1120</v>
      </c>
      <c r="B1121" s="168" t="s">
        <v>947</v>
      </c>
      <c r="C1121" s="168" t="str">
        <f>VLOOKUP(B1121,MEMBERS!B:C,2, )</f>
        <v>MR . SYED RAHAT HUSSAIN ZAIDI</v>
      </c>
      <c r="D1121" s="323">
        <v>46012</v>
      </c>
      <c r="E1121" s="175">
        <v>5</v>
      </c>
      <c r="F1121" s="168" t="s">
        <v>853</v>
      </c>
      <c r="G1121" s="165">
        <f>IFERROR(VLOOKUP(F1121,'menu list'!B:C,2,FALSE)*E1121,"0")</f>
        <v>2875</v>
      </c>
      <c r="H1121" s="334">
        <f t="shared" si="80"/>
        <v>431.25</v>
      </c>
      <c r="I1121" s="165">
        <f t="shared" si="81"/>
        <v>3306.25</v>
      </c>
    </row>
    <row r="1122" spans="1:9" ht="12.75" hidden="1" x14ac:dyDescent="0.25">
      <c r="A1122" s="167">
        <f t="shared" si="79"/>
        <v>1121</v>
      </c>
      <c r="B1122" s="168" t="s">
        <v>947</v>
      </c>
      <c r="C1122" s="168" t="str">
        <f>VLOOKUP(B1122,MEMBERS!B:C,2, )</f>
        <v>MR . SYED RAHAT HUSSAIN ZAIDI</v>
      </c>
      <c r="D1122" s="323">
        <v>46012</v>
      </c>
      <c r="E1122" s="175">
        <v>33</v>
      </c>
      <c r="F1122" s="168" t="s">
        <v>497</v>
      </c>
      <c r="G1122" s="165">
        <f>IFERROR(VLOOKUP(F1122,'menu list'!B:C,2,FALSE)*E1122,"0")</f>
        <v>8250</v>
      </c>
      <c r="H1122" s="334">
        <f t="shared" si="80"/>
        <v>1237.5</v>
      </c>
      <c r="I1122" s="165">
        <f t="shared" si="81"/>
        <v>9487.5</v>
      </c>
    </row>
    <row r="1123" spans="1:9" ht="12.75" hidden="1" x14ac:dyDescent="0.25">
      <c r="A1123" s="167">
        <f t="shared" si="79"/>
        <v>1122</v>
      </c>
      <c r="B1123" s="168" t="s">
        <v>947</v>
      </c>
      <c r="C1123" s="168" t="str">
        <f>VLOOKUP(B1123,MEMBERS!B:C,2, )</f>
        <v>MR . SYED RAHAT HUSSAIN ZAIDI</v>
      </c>
      <c r="D1123" s="323">
        <v>46012</v>
      </c>
      <c r="E1123" s="175">
        <v>20</v>
      </c>
      <c r="F1123" s="168" t="s">
        <v>498</v>
      </c>
      <c r="G1123" s="165">
        <f>IFERROR(VLOOKUP(F1123,'menu list'!B:C,2,FALSE)*E1123,"0")</f>
        <v>4000</v>
      </c>
      <c r="H1123" s="334">
        <f t="shared" si="80"/>
        <v>600</v>
      </c>
      <c r="I1123" s="165">
        <f t="shared" si="81"/>
        <v>4600</v>
      </c>
    </row>
    <row r="1124" spans="1:9" ht="12.75" hidden="1" x14ac:dyDescent="0.25">
      <c r="A1124" s="167">
        <f t="shared" si="79"/>
        <v>1123</v>
      </c>
      <c r="B1124" s="168" t="s">
        <v>947</v>
      </c>
      <c r="C1124" s="168" t="str">
        <f>VLOOKUP(B1124,MEMBERS!B:C,2, )</f>
        <v>MR . SYED RAHAT HUSSAIN ZAIDI</v>
      </c>
      <c r="D1124" s="323">
        <v>46012</v>
      </c>
      <c r="E1124" s="175">
        <v>4</v>
      </c>
      <c r="F1124" s="168" t="s">
        <v>442</v>
      </c>
      <c r="G1124" s="165">
        <f>IFERROR(VLOOKUP(F1124,'menu list'!B:C,2,FALSE)*E1124,"0")</f>
        <v>600</v>
      </c>
      <c r="H1124" s="334">
        <f t="shared" si="80"/>
        <v>90</v>
      </c>
      <c r="I1124" s="165">
        <f t="shared" si="81"/>
        <v>690</v>
      </c>
    </row>
    <row r="1125" spans="1:9" ht="12.75" hidden="1" x14ac:dyDescent="0.25">
      <c r="A1125" s="167">
        <f t="shared" si="79"/>
        <v>1124</v>
      </c>
      <c r="B1125" s="168" t="s">
        <v>98</v>
      </c>
      <c r="C1125" s="168" t="str">
        <f>VLOOKUP(B1125,MEMBERS!B:C,2, )</f>
        <v>MR.HAFEEZ AHMED SIYAL</v>
      </c>
      <c r="D1125" s="323">
        <v>46012</v>
      </c>
      <c r="E1125" s="175">
        <v>1</v>
      </c>
      <c r="F1125" s="168" t="s">
        <v>833</v>
      </c>
      <c r="G1125" s="165">
        <f>IFERROR(VLOOKUP(F1125,'menu list'!B:C,2,FALSE)*E1125,"0")</f>
        <v>350</v>
      </c>
      <c r="H1125" s="334">
        <f t="shared" si="80"/>
        <v>52.5</v>
      </c>
      <c r="I1125" s="165">
        <f t="shared" si="81"/>
        <v>402.5</v>
      </c>
    </row>
    <row r="1126" spans="1:9" ht="12.75" hidden="1" x14ac:dyDescent="0.25">
      <c r="A1126" s="167">
        <f t="shared" si="79"/>
        <v>1125</v>
      </c>
      <c r="B1126" s="168" t="s">
        <v>98</v>
      </c>
      <c r="C1126" s="168" t="str">
        <f>VLOOKUP(B1126,MEMBERS!B:C,2, )</f>
        <v>MR.HAFEEZ AHMED SIYAL</v>
      </c>
      <c r="D1126" s="323">
        <v>46012</v>
      </c>
      <c r="E1126" s="175">
        <v>1</v>
      </c>
      <c r="F1126" s="168" t="s">
        <v>858</v>
      </c>
      <c r="G1126" s="165">
        <f>IFERROR(VLOOKUP(F1126,'menu list'!B:C,2,FALSE)*E1126,"0")</f>
        <v>500</v>
      </c>
      <c r="H1126" s="334">
        <f t="shared" si="80"/>
        <v>75</v>
      </c>
      <c r="I1126" s="165">
        <f t="shared" si="81"/>
        <v>575</v>
      </c>
    </row>
    <row r="1127" spans="1:9" ht="12.75" hidden="1" x14ac:dyDescent="0.25">
      <c r="A1127" s="167">
        <f t="shared" si="79"/>
        <v>1126</v>
      </c>
      <c r="B1127" s="168" t="s">
        <v>98</v>
      </c>
      <c r="C1127" s="168" t="str">
        <f>VLOOKUP(B1127,MEMBERS!B:C,2, )</f>
        <v>MR.HAFEEZ AHMED SIYAL</v>
      </c>
      <c r="D1127" s="323">
        <v>46012</v>
      </c>
      <c r="E1127" s="175">
        <v>1</v>
      </c>
      <c r="F1127" s="168" t="s">
        <v>853</v>
      </c>
      <c r="G1127" s="165">
        <f>IFERROR(VLOOKUP(F1127,'menu list'!B:C,2,FALSE)*E1127,"0")</f>
        <v>575</v>
      </c>
      <c r="H1127" s="334">
        <f t="shared" si="80"/>
        <v>86.25</v>
      </c>
      <c r="I1127" s="165">
        <f t="shared" si="81"/>
        <v>661.25</v>
      </c>
    </row>
    <row r="1128" spans="1:9" ht="12.75" hidden="1" x14ac:dyDescent="0.25">
      <c r="A1128" s="167">
        <f t="shared" ref="A1128:A1161" si="82">IF(D1128&lt;&gt;"", ROW()-1, "")</f>
        <v>1127</v>
      </c>
      <c r="B1128" s="168" t="s">
        <v>98</v>
      </c>
      <c r="C1128" s="168" t="str">
        <f>VLOOKUP(B1128,MEMBERS!B:C,2, )</f>
        <v>MR.HAFEEZ AHMED SIYAL</v>
      </c>
      <c r="D1128" s="323">
        <v>46012</v>
      </c>
      <c r="E1128" s="175">
        <v>1</v>
      </c>
      <c r="F1128" s="168" t="s">
        <v>502</v>
      </c>
      <c r="G1128" s="165">
        <f>IFERROR(VLOOKUP(F1128,'menu list'!B:C,2,FALSE)*E1128,"0")</f>
        <v>350</v>
      </c>
      <c r="H1128" s="334">
        <f t="shared" si="80"/>
        <v>52.5</v>
      </c>
      <c r="I1128" s="165">
        <f t="shared" si="81"/>
        <v>402.5</v>
      </c>
    </row>
    <row r="1129" spans="1:9" ht="12.75" hidden="1" x14ac:dyDescent="0.25">
      <c r="A1129" s="167">
        <f t="shared" si="82"/>
        <v>1128</v>
      </c>
      <c r="B1129" s="168" t="s">
        <v>296</v>
      </c>
      <c r="C1129" s="168" t="str">
        <f>VLOOKUP(B1129,MEMBERS!B:C,2, )</f>
        <v>COL.AMIR RAZA</v>
      </c>
      <c r="D1129" s="323">
        <v>46012</v>
      </c>
      <c r="E1129" s="175">
        <v>1</v>
      </c>
      <c r="F1129" s="168" t="s">
        <v>876</v>
      </c>
      <c r="G1129" s="165">
        <f>IFERROR(VLOOKUP(F1129,'menu list'!B:C,2,FALSE)*E1129,"0")</f>
        <v>1800</v>
      </c>
      <c r="H1129" s="334">
        <f t="shared" si="80"/>
        <v>270</v>
      </c>
      <c r="I1129" s="165">
        <f t="shared" si="81"/>
        <v>2070</v>
      </c>
    </row>
    <row r="1130" spans="1:9" ht="12.75" hidden="1" x14ac:dyDescent="0.25">
      <c r="A1130" s="167">
        <f t="shared" si="82"/>
        <v>1129</v>
      </c>
      <c r="B1130" s="168" t="s">
        <v>296</v>
      </c>
      <c r="C1130" s="168" t="str">
        <f>VLOOKUP(B1130,MEMBERS!B:C,2, )</f>
        <v>COL.AMIR RAZA</v>
      </c>
      <c r="D1130" s="323">
        <v>46012</v>
      </c>
      <c r="E1130" s="175">
        <v>2</v>
      </c>
      <c r="F1130" s="168" t="s">
        <v>784</v>
      </c>
      <c r="G1130" s="165">
        <f>IFERROR(VLOOKUP(F1130,'menu list'!B:C,2,FALSE)*E1130,"0")</f>
        <v>1500</v>
      </c>
      <c r="H1130" s="334">
        <f t="shared" si="80"/>
        <v>225</v>
      </c>
      <c r="I1130" s="165">
        <f t="shared" si="81"/>
        <v>1725</v>
      </c>
    </row>
    <row r="1131" spans="1:9" ht="12.75" hidden="1" x14ac:dyDescent="0.25">
      <c r="A1131" s="167">
        <f t="shared" si="82"/>
        <v>1130</v>
      </c>
      <c r="B1131" s="168" t="s">
        <v>296</v>
      </c>
      <c r="C1131" s="168" t="str">
        <f>VLOOKUP(B1131,MEMBERS!B:C,2, )</f>
        <v>COL.AMIR RAZA</v>
      </c>
      <c r="D1131" s="323">
        <v>46012</v>
      </c>
      <c r="E1131" s="175">
        <v>1</v>
      </c>
      <c r="F1131" s="168" t="s">
        <v>915</v>
      </c>
      <c r="G1131" s="165">
        <f>IFERROR(VLOOKUP(F1131,'menu list'!B:C,2,FALSE)*E1131,"0")</f>
        <v>999</v>
      </c>
      <c r="H1131" s="334">
        <f t="shared" si="80"/>
        <v>149.85</v>
      </c>
      <c r="I1131" s="165">
        <f t="shared" si="81"/>
        <v>1148.8499999999999</v>
      </c>
    </row>
    <row r="1132" spans="1:9" ht="12.75" hidden="1" x14ac:dyDescent="0.25">
      <c r="A1132" s="167">
        <f t="shared" si="82"/>
        <v>1131</v>
      </c>
      <c r="B1132" s="168" t="s">
        <v>296</v>
      </c>
      <c r="C1132" s="168" t="str">
        <f>VLOOKUP(B1132,MEMBERS!B:C,2, )</f>
        <v>COL.AMIR RAZA</v>
      </c>
      <c r="D1132" s="323">
        <v>46012</v>
      </c>
      <c r="E1132" s="175">
        <v>1</v>
      </c>
      <c r="F1132" s="168" t="s">
        <v>501</v>
      </c>
      <c r="G1132" s="165">
        <f>IFERROR(VLOOKUP(F1132,'menu list'!B:C,2,FALSE)*E1132,"0")</f>
        <v>1200</v>
      </c>
      <c r="H1132" s="334">
        <f t="shared" si="80"/>
        <v>180</v>
      </c>
      <c r="I1132" s="165">
        <f t="shared" si="81"/>
        <v>1380</v>
      </c>
    </row>
    <row r="1133" spans="1:9" ht="12.75" hidden="1" x14ac:dyDescent="0.25">
      <c r="A1133" s="167">
        <f t="shared" si="82"/>
        <v>1132</v>
      </c>
      <c r="B1133" s="168" t="s">
        <v>296</v>
      </c>
      <c r="C1133" s="168" t="str">
        <f>VLOOKUP(B1133,MEMBERS!B:C,2, )</f>
        <v>COL.AMIR RAZA</v>
      </c>
      <c r="D1133" s="323">
        <v>46012</v>
      </c>
      <c r="E1133" s="175">
        <v>1</v>
      </c>
      <c r="F1133" s="168" t="s">
        <v>559</v>
      </c>
      <c r="G1133" s="165">
        <f>IFERROR(VLOOKUP(F1133,'menu list'!B:C,2,FALSE)*E1133,"0")</f>
        <v>999</v>
      </c>
      <c r="H1133" s="334">
        <f t="shared" si="80"/>
        <v>149.85</v>
      </c>
      <c r="I1133" s="165">
        <f t="shared" si="81"/>
        <v>1148.8499999999999</v>
      </c>
    </row>
    <row r="1134" spans="1:9" ht="12.75" hidden="1" x14ac:dyDescent="0.25">
      <c r="A1134" s="167">
        <f t="shared" si="82"/>
        <v>1133</v>
      </c>
      <c r="B1134" s="168" t="s">
        <v>296</v>
      </c>
      <c r="C1134" s="168" t="str">
        <f>VLOOKUP(B1134,MEMBERS!B:C,2, )</f>
        <v>COL.AMIR RAZA</v>
      </c>
      <c r="D1134" s="323">
        <v>46012</v>
      </c>
      <c r="E1134" s="175">
        <v>6</v>
      </c>
      <c r="F1134" s="168" t="s">
        <v>439</v>
      </c>
      <c r="G1134" s="165">
        <f>IFERROR(VLOOKUP(F1134,'menu list'!B:C,2,FALSE)*E1134,"0")</f>
        <v>420</v>
      </c>
      <c r="H1134" s="334">
        <f t="shared" si="80"/>
        <v>63</v>
      </c>
      <c r="I1134" s="165">
        <f t="shared" si="81"/>
        <v>483</v>
      </c>
    </row>
    <row r="1135" spans="1:9" ht="12.75" hidden="1" x14ac:dyDescent="0.25">
      <c r="A1135" s="167">
        <f t="shared" si="82"/>
        <v>1134</v>
      </c>
      <c r="B1135" s="168" t="s">
        <v>296</v>
      </c>
      <c r="C1135" s="168" t="str">
        <f>VLOOKUP(B1135,MEMBERS!B:C,2, )</f>
        <v>COL.AMIR RAZA</v>
      </c>
      <c r="D1135" s="323">
        <v>46012</v>
      </c>
      <c r="E1135" s="175">
        <v>2</v>
      </c>
      <c r="F1135" s="168" t="s">
        <v>442</v>
      </c>
      <c r="G1135" s="165">
        <f>IFERROR(VLOOKUP(F1135,'menu list'!B:C,2,FALSE)*E1135,"0")</f>
        <v>300</v>
      </c>
      <c r="H1135" s="334">
        <f t="shared" si="80"/>
        <v>45</v>
      </c>
      <c r="I1135" s="165">
        <f t="shared" si="81"/>
        <v>345</v>
      </c>
    </row>
    <row r="1136" spans="1:9" ht="12.75" hidden="1" x14ac:dyDescent="0.25">
      <c r="A1136" s="167">
        <f t="shared" si="82"/>
        <v>1135</v>
      </c>
      <c r="B1136" s="168" t="s">
        <v>296</v>
      </c>
      <c r="C1136" s="168" t="str">
        <f>VLOOKUP(B1136,MEMBERS!B:C,2, )</f>
        <v>COL.AMIR RAZA</v>
      </c>
      <c r="D1136" s="323">
        <v>46012</v>
      </c>
      <c r="E1136" s="175">
        <v>1</v>
      </c>
      <c r="F1136" s="168" t="s">
        <v>440</v>
      </c>
      <c r="G1136" s="165">
        <f>IFERROR(VLOOKUP(F1136,'menu list'!B:C,2,FALSE)*E1136,"0")</f>
        <v>150</v>
      </c>
      <c r="H1136" s="334">
        <f t="shared" si="80"/>
        <v>22.5</v>
      </c>
      <c r="I1136" s="165">
        <f t="shared" si="81"/>
        <v>172.5</v>
      </c>
    </row>
    <row r="1137" spans="1:9" ht="12.75" hidden="1" x14ac:dyDescent="0.25">
      <c r="A1137" s="167">
        <f t="shared" si="82"/>
        <v>1136</v>
      </c>
      <c r="B1137" s="168" t="s">
        <v>164</v>
      </c>
      <c r="C1137" s="168" t="str">
        <f>VLOOKUP(B1137,MEMBERS!B:C,2, )</f>
        <v>MR.ASHOK KUMAR</v>
      </c>
      <c r="D1137" s="323">
        <v>46012</v>
      </c>
      <c r="E1137" s="175">
        <v>1</v>
      </c>
      <c r="F1137" s="168" t="s">
        <v>440</v>
      </c>
      <c r="G1137" s="165">
        <f>IFERROR(VLOOKUP(F1137,'menu list'!B:C,2,FALSE)*E1137,"0")</f>
        <v>150</v>
      </c>
      <c r="H1137" s="334">
        <f t="shared" si="80"/>
        <v>22.5</v>
      </c>
      <c r="I1137" s="165">
        <f t="shared" si="81"/>
        <v>172.5</v>
      </c>
    </row>
    <row r="1138" spans="1:9" ht="12.75" hidden="1" x14ac:dyDescent="0.25">
      <c r="A1138" s="167">
        <f t="shared" si="82"/>
        <v>1137</v>
      </c>
      <c r="B1138" s="168" t="s">
        <v>164</v>
      </c>
      <c r="C1138" s="168" t="str">
        <f>VLOOKUP(B1138,MEMBERS!B:C,2, )</f>
        <v>MR.ASHOK KUMAR</v>
      </c>
      <c r="D1138" s="323">
        <v>46012</v>
      </c>
      <c r="E1138" s="175">
        <v>1</v>
      </c>
      <c r="F1138" s="168" t="s">
        <v>498</v>
      </c>
      <c r="G1138" s="165">
        <f>IFERROR(VLOOKUP(F1138,'menu list'!B:C,2,FALSE)*E1138,"0")</f>
        <v>200</v>
      </c>
      <c r="H1138" s="334">
        <f t="shared" si="80"/>
        <v>30</v>
      </c>
      <c r="I1138" s="165">
        <f t="shared" si="81"/>
        <v>230</v>
      </c>
    </row>
    <row r="1139" spans="1:9" ht="12.75" hidden="1" x14ac:dyDescent="0.25">
      <c r="A1139" s="167">
        <f t="shared" si="82"/>
        <v>1138</v>
      </c>
      <c r="B1139" s="168" t="s">
        <v>164</v>
      </c>
      <c r="C1139" s="168" t="str">
        <f>VLOOKUP(B1139,MEMBERS!B:C,2, )</f>
        <v>MR.ASHOK KUMAR</v>
      </c>
      <c r="D1139" s="323">
        <v>46012</v>
      </c>
      <c r="E1139" s="175">
        <v>4</v>
      </c>
      <c r="F1139" s="168" t="s">
        <v>583</v>
      </c>
      <c r="G1139" s="165">
        <f>IFERROR(VLOOKUP(F1139,'menu list'!B:C,2,FALSE)*E1139,"0")</f>
        <v>1400</v>
      </c>
      <c r="H1139" s="334">
        <f t="shared" si="80"/>
        <v>210</v>
      </c>
      <c r="I1139" s="165">
        <f t="shared" si="81"/>
        <v>1610</v>
      </c>
    </row>
    <row r="1140" spans="1:9" ht="12.75" hidden="1" x14ac:dyDescent="0.25">
      <c r="A1140" s="167">
        <f t="shared" si="82"/>
        <v>1139</v>
      </c>
      <c r="B1140" s="168" t="s">
        <v>1053</v>
      </c>
      <c r="C1140" s="168" t="str">
        <f>VLOOKUP(B1140,MEMBERS!B:C,2, )</f>
        <v>MR. ZAMIR ALI SHAH</v>
      </c>
      <c r="D1140" s="323">
        <v>46012</v>
      </c>
      <c r="E1140" s="175">
        <v>2</v>
      </c>
      <c r="F1140" s="168" t="s">
        <v>499</v>
      </c>
      <c r="G1140" s="165">
        <f>IFERROR(VLOOKUP(F1140,'menu list'!B:C,2,FALSE)*E1140,"0")</f>
        <v>200</v>
      </c>
      <c r="H1140" s="334">
        <f t="shared" si="80"/>
        <v>30</v>
      </c>
      <c r="I1140" s="165">
        <f t="shared" si="81"/>
        <v>230</v>
      </c>
    </row>
    <row r="1141" spans="1:9" ht="12.75" hidden="1" x14ac:dyDescent="0.25">
      <c r="A1141" s="167">
        <f t="shared" si="82"/>
        <v>1140</v>
      </c>
      <c r="B1141" s="168" t="s">
        <v>1053</v>
      </c>
      <c r="C1141" s="168" t="str">
        <f>VLOOKUP(B1141,MEMBERS!B:C,2, )</f>
        <v>MR. ZAMIR ALI SHAH</v>
      </c>
      <c r="D1141" s="323">
        <v>46012</v>
      </c>
      <c r="E1141" s="175">
        <v>1</v>
      </c>
      <c r="F1141" s="168" t="s">
        <v>870</v>
      </c>
      <c r="G1141" s="165">
        <f>IFERROR(VLOOKUP(F1141,'menu list'!B:C,2,FALSE)*E1141,"0")</f>
        <v>1100</v>
      </c>
      <c r="H1141" s="334">
        <f t="shared" si="80"/>
        <v>165</v>
      </c>
      <c r="I1141" s="165">
        <f t="shared" si="81"/>
        <v>1265</v>
      </c>
    </row>
    <row r="1142" spans="1:9" ht="12.75" hidden="1" x14ac:dyDescent="0.25">
      <c r="A1142" s="167">
        <f t="shared" si="82"/>
        <v>1141</v>
      </c>
      <c r="B1142" s="168" t="s">
        <v>1053</v>
      </c>
      <c r="C1142" s="168" t="str">
        <f>VLOOKUP(B1142,MEMBERS!B:C,2, )</f>
        <v>MR. ZAMIR ALI SHAH</v>
      </c>
      <c r="D1142" s="323">
        <v>46012</v>
      </c>
      <c r="E1142" s="175">
        <v>1</v>
      </c>
      <c r="F1142" s="168" t="s">
        <v>1011</v>
      </c>
      <c r="G1142" s="165">
        <f>IFERROR(VLOOKUP(F1142,'menu list'!B:C,2,FALSE)*E1142,"0")</f>
        <v>1800</v>
      </c>
      <c r="H1142" s="334">
        <f t="shared" si="80"/>
        <v>270</v>
      </c>
      <c r="I1142" s="165">
        <f t="shared" si="81"/>
        <v>2070</v>
      </c>
    </row>
    <row r="1143" spans="1:9" ht="12.75" hidden="1" x14ac:dyDescent="0.25">
      <c r="A1143" s="167">
        <f t="shared" si="82"/>
        <v>1142</v>
      </c>
      <c r="B1143" s="168" t="s">
        <v>1053</v>
      </c>
      <c r="C1143" s="168" t="str">
        <f>VLOOKUP(B1143,MEMBERS!B:C,2, )</f>
        <v>MR. ZAMIR ALI SHAH</v>
      </c>
      <c r="D1143" s="323">
        <v>46012</v>
      </c>
      <c r="E1143" s="175">
        <v>2</v>
      </c>
      <c r="F1143" s="168" t="s">
        <v>504</v>
      </c>
      <c r="G1143" s="165">
        <f>IFERROR(VLOOKUP(F1143,'menu list'!B:C,2,FALSE)*E1143,"0")</f>
        <v>260</v>
      </c>
      <c r="H1143" s="334">
        <f t="shared" si="80"/>
        <v>39</v>
      </c>
      <c r="I1143" s="165">
        <f t="shared" si="81"/>
        <v>299</v>
      </c>
    </row>
    <row r="1144" spans="1:9" ht="12.75" hidden="1" x14ac:dyDescent="0.25">
      <c r="A1144" s="167">
        <f t="shared" si="82"/>
        <v>1143</v>
      </c>
      <c r="B1144" s="168" t="s">
        <v>1053</v>
      </c>
      <c r="C1144" s="168" t="str">
        <f>VLOOKUP(B1144,MEMBERS!B:C,2, )</f>
        <v>MR. ZAMIR ALI SHAH</v>
      </c>
      <c r="D1144" s="323">
        <v>46012</v>
      </c>
      <c r="E1144" s="175">
        <v>2</v>
      </c>
      <c r="F1144" s="168" t="s">
        <v>439</v>
      </c>
      <c r="G1144" s="165">
        <f>IFERROR(VLOOKUP(F1144,'menu list'!B:C,2,FALSE)*E1144,"0")</f>
        <v>140</v>
      </c>
      <c r="H1144" s="334">
        <f t="shared" si="80"/>
        <v>21</v>
      </c>
      <c r="I1144" s="165">
        <f t="shared" si="81"/>
        <v>161</v>
      </c>
    </row>
    <row r="1145" spans="1:9" ht="12.75" hidden="1" x14ac:dyDescent="0.25">
      <c r="A1145" s="167">
        <f t="shared" si="82"/>
        <v>1144</v>
      </c>
      <c r="B1145" s="168" t="s">
        <v>1053</v>
      </c>
      <c r="C1145" s="168" t="str">
        <f>VLOOKUP(B1145,MEMBERS!B:C,2, )</f>
        <v>MR. ZAMIR ALI SHAH</v>
      </c>
      <c r="D1145" s="323">
        <v>46012</v>
      </c>
      <c r="E1145" s="175">
        <v>2</v>
      </c>
      <c r="F1145" s="168" t="s">
        <v>666</v>
      </c>
      <c r="G1145" s="165">
        <f>IFERROR(VLOOKUP(F1145,'menu list'!B:C,2,FALSE)*E1145,"0")</f>
        <v>700</v>
      </c>
      <c r="H1145" s="334">
        <f t="shared" si="80"/>
        <v>105</v>
      </c>
      <c r="I1145" s="165">
        <f t="shared" si="81"/>
        <v>805</v>
      </c>
    </row>
    <row r="1146" spans="1:9" ht="12.75" hidden="1" x14ac:dyDescent="0.25">
      <c r="A1146" s="167">
        <f t="shared" si="82"/>
        <v>1145</v>
      </c>
      <c r="B1146" s="168" t="s">
        <v>795</v>
      </c>
      <c r="C1146" s="168" t="str">
        <f>VLOOKUP(B1146,MEMBERS!B:C,2, )</f>
        <v>MR. HASAN KARIM</v>
      </c>
      <c r="D1146" s="323">
        <v>46012</v>
      </c>
      <c r="E1146" s="175">
        <v>1</v>
      </c>
      <c r="F1146" s="168" t="s">
        <v>499</v>
      </c>
      <c r="G1146" s="165">
        <f>IFERROR(VLOOKUP(F1146,'menu list'!B:C,2,FALSE)*E1146,"0")</f>
        <v>100</v>
      </c>
      <c r="H1146" s="334">
        <f t="shared" si="80"/>
        <v>15</v>
      </c>
      <c r="I1146" s="165">
        <f t="shared" si="81"/>
        <v>115</v>
      </c>
    </row>
    <row r="1147" spans="1:9" ht="12.75" hidden="1" x14ac:dyDescent="0.25">
      <c r="A1147" s="167">
        <f t="shared" si="82"/>
        <v>1146</v>
      </c>
      <c r="B1147" s="168" t="s">
        <v>1004</v>
      </c>
      <c r="C1147" s="168" t="str">
        <f>VLOOKUP(B1147,MEMBERS!B:C,2, )</f>
        <v>MRS RIFFAT ZULFIQAR</v>
      </c>
      <c r="D1147" s="323">
        <v>46012</v>
      </c>
      <c r="E1147" s="175">
        <v>2</v>
      </c>
      <c r="F1147" s="168" t="s">
        <v>664</v>
      </c>
      <c r="G1147" s="165">
        <f>IFERROR(VLOOKUP(F1147,'menu list'!B:C,2,FALSE)*E1147,"0")</f>
        <v>800</v>
      </c>
      <c r="H1147" s="334">
        <f t="shared" si="80"/>
        <v>120</v>
      </c>
      <c r="I1147" s="165">
        <f t="shared" si="81"/>
        <v>920</v>
      </c>
    </row>
    <row r="1148" spans="1:9" ht="12.75" hidden="1" x14ac:dyDescent="0.25">
      <c r="A1148" s="167">
        <f t="shared" si="82"/>
        <v>1147</v>
      </c>
      <c r="B1148" s="168" t="s">
        <v>1004</v>
      </c>
      <c r="C1148" s="168" t="str">
        <f>VLOOKUP(B1148,MEMBERS!B:C,2, )</f>
        <v>MRS RIFFAT ZULFIQAR</v>
      </c>
      <c r="D1148" s="323">
        <v>46012</v>
      </c>
      <c r="E1148" s="175">
        <v>1</v>
      </c>
      <c r="F1148" s="168" t="s">
        <v>876</v>
      </c>
      <c r="G1148" s="165">
        <f>IFERROR(VLOOKUP(F1148,'menu list'!B:C,2,FALSE)*E1148,"0")</f>
        <v>1800</v>
      </c>
      <c r="H1148" s="334">
        <f t="shared" si="80"/>
        <v>270</v>
      </c>
      <c r="I1148" s="165">
        <f t="shared" si="81"/>
        <v>2070</v>
      </c>
    </row>
    <row r="1149" spans="1:9" ht="12.75" hidden="1" x14ac:dyDescent="0.25">
      <c r="A1149" s="167">
        <f t="shared" si="82"/>
        <v>1148</v>
      </c>
      <c r="B1149" s="168" t="s">
        <v>1004</v>
      </c>
      <c r="C1149" s="168" t="str">
        <f>VLOOKUP(B1149,MEMBERS!B:C,2, )</f>
        <v>MRS RIFFAT ZULFIQAR</v>
      </c>
      <c r="D1149" s="323">
        <v>46012</v>
      </c>
      <c r="E1149" s="175">
        <v>1</v>
      </c>
      <c r="F1149" s="168" t="s">
        <v>939</v>
      </c>
      <c r="G1149" s="165">
        <f>IFERROR(VLOOKUP(F1149,'menu list'!B:C,2,FALSE)*E1149,"0")</f>
        <v>1200</v>
      </c>
      <c r="H1149" s="334">
        <f t="shared" si="80"/>
        <v>180</v>
      </c>
      <c r="I1149" s="165">
        <f t="shared" si="81"/>
        <v>1380</v>
      </c>
    </row>
    <row r="1150" spans="1:9" ht="12.75" hidden="1" x14ac:dyDescent="0.25">
      <c r="A1150" s="167">
        <f t="shared" si="82"/>
        <v>1149</v>
      </c>
      <c r="B1150" s="168" t="s">
        <v>1004</v>
      </c>
      <c r="C1150" s="168" t="str">
        <f>VLOOKUP(B1150,MEMBERS!B:C,2, )</f>
        <v>MRS RIFFAT ZULFIQAR</v>
      </c>
      <c r="D1150" s="323">
        <v>46012</v>
      </c>
      <c r="E1150" s="175">
        <v>2</v>
      </c>
      <c r="F1150" s="168" t="s">
        <v>504</v>
      </c>
      <c r="G1150" s="165">
        <f>IFERROR(VLOOKUP(F1150,'menu list'!B:C,2,FALSE)*E1150,"0")</f>
        <v>260</v>
      </c>
      <c r="H1150" s="334">
        <f t="shared" si="80"/>
        <v>39</v>
      </c>
      <c r="I1150" s="165">
        <f t="shared" si="81"/>
        <v>299</v>
      </c>
    </row>
    <row r="1151" spans="1:9" ht="12.75" hidden="1" x14ac:dyDescent="0.25">
      <c r="A1151" s="167">
        <f t="shared" si="82"/>
        <v>1150</v>
      </c>
      <c r="B1151" s="168" t="s">
        <v>1004</v>
      </c>
      <c r="C1151" s="168" t="str">
        <f>VLOOKUP(B1151,MEMBERS!B:C,2, )</f>
        <v>MRS RIFFAT ZULFIQAR</v>
      </c>
      <c r="D1151" s="323">
        <v>46012</v>
      </c>
      <c r="E1151" s="175">
        <v>1</v>
      </c>
      <c r="F1151" s="168" t="s">
        <v>439</v>
      </c>
      <c r="G1151" s="165">
        <f>IFERROR(VLOOKUP(F1151,'menu list'!B:C,2,FALSE)*E1151,"0")</f>
        <v>70</v>
      </c>
      <c r="H1151" s="334">
        <f t="shared" si="80"/>
        <v>10.5</v>
      </c>
      <c r="I1151" s="165">
        <f t="shared" si="81"/>
        <v>80.5</v>
      </c>
    </row>
    <row r="1152" spans="1:9" ht="12.75" hidden="1" x14ac:dyDescent="0.25">
      <c r="A1152" s="167">
        <f t="shared" si="82"/>
        <v>1151</v>
      </c>
      <c r="B1152" s="168" t="s">
        <v>1004</v>
      </c>
      <c r="C1152" s="168" t="str">
        <f>VLOOKUP(B1152,MEMBERS!B:C,2, )</f>
        <v>MRS RIFFAT ZULFIQAR</v>
      </c>
      <c r="D1152" s="323">
        <v>46012</v>
      </c>
      <c r="E1152" s="175">
        <v>2</v>
      </c>
      <c r="F1152" s="168" t="s">
        <v>499</v>
      </c>
      <c r="G1152" s="165">
        <f>IFERROR(VLOOKUP(F1152,'menu list'!B:C,2,FALSE)*E1152,"0")</f>
        <v>200</v>
      </c>
      <c r="H1152" s="334">
        <f t="shared" si="80"/>
        <v>30</v>
      </c>
      <c r="I1152" s="165">
        <f t="shared" si="81"/>
        <v>230</v>
      </c>
    </row>
    <row r="1153" spans="1:9" ht="12.75" hidden="1" x14ac:dyDescent="0.25">
      <c r="A1153" s="167">
        <f t="shared" si="82"/>
        <v>1152</v>
      </c>
      <c r="B1153" s="168" t="s">
        <v>268</v>
      </c>
      <c r="C1153" s="168" t="str">
        <f>VLOOKUP(B1153,MEMBERS!B:C,2, )</f>
        <v>DGM AMJAD ALI SHAIKH</v>
      </c>
      <c r="D1153" s="323">
        <v>46012</v>
      </c>
      <c r="E1153" s="175">
        <v>1</v>
      </c>
      <c r="F1153" s="168" t="s">
        <v>499</v>
      </c>
      <c r="G1153" s="165">
        <f>IFERROR(VLOOKUP(F1153,'menu list'!B:C,2,FALSE)*E1153,"0")</f>
        <v>100</v>
      </c>
      <c r="H1153" s="334">
        <f t="shared" si="80"/>
        <v>15</v>
      </c>
      <c r="I1153" s="165">
        <f t="shared" si="81"/>
        <v>115</v>
      </c>
    </row>
    <row r="1154" spans="1:9" ht="12.75" hidden="1" x14ac:dyDescent="0.25">
      <c r="A1154" s="167">
        <f t="shared" si="82"/>
        <v>1153</v>
      </c>
      <c r="B1154" s="168" t="s">
        <v>268</v>
      </c>
      <c r="C1154" s="168" t="str">
        <f>VLOOKUP(B1154,MEMBERS!B:C,2, )</f>
        <v>DGM AMJAD ALI SHAIKH</v>
      </c>
      <c r="D1154" s="323">
        <v>46012</v>
      </c>
      <c r="E1154" s="175">
        <v>1</v>
      </c>
      <c r="F1154" s="168" t="s">
        <v>898</v>
      </c>
      <c r="G1154" s="165">
        <f>IFERROR(VLOOKUP(F1154,'menu list'!B:C,2,FALSE)*E1154,"0")</f>
        <v>1000</v>
      </c>
      <c r="H1154" s="334">
        <f t="shared" si="80"/>
        <v>150</v>
      </c>
      <c r="I1154" s="165">
        <f t="shared" si="81"/>
        <v>1150</v>
      </c>
    </row>
    <row r="1155" spans="1:9" ht="12.75" hidden="1" x14ac:dyDescent="0.25">
      <c r="A1155" s="167">
        <f t="shared" si="82"/>
        <v>1154</v>
      </c>
      <c r="B1155" s="168" t="s">
        <v>268</v>
      </c>
      <c r="C1155" s="168" t="str">
        <f>VLOOKUP(B1155,MEMBERS!B:C,2, )</f>
        <v>DGM AMJAD ALI SHAIKH</v>
      </c>
      <c r="D1155" s="323">
        <v>46012</v>
      </c>
      <c r="E1155" s="175">
        <v>1</v>
      </c>
      <c r="F1155" s="168" t="s">
        <v>828</v>
      </c>
      <c r="G1155" s="165">
        <f>IFERROR(VLOOKUP(F1155,'menu list'!B:C,2,FALSE)*E1155,"0")</f>
        <v>850</v>
      </c>
      <c r="H1155" s="334">
        <f t="shared" ref="H1155:H1217" si="83">G1155*15/100</f>
        <v>127.5</v>
      </c>
      <c r="I1155" s="165">
        <f t="shared" si="81"/>
        <v>977.5</v>
      </c>
    </row>
    <row r="1156" spans="1:9" ht="12.75" hidden="1" x14ac:dyDescent="0.25">
      <c r="A1156" s="167">
        <f t="shared" si="82"/>
        <v>1155</v>
      </c>
      <c r="B1156" s="168" t="s">
        <v>268</v>
      </c>
      <c r="C1156" s="168" t="str">
        <f>VLOOKUP(B1156,MEMBERS!B:C,2, )</f>
        <v>DGM AMJAD ALI SHAIKH</v>
      </c>
      <c r="D1156" s="323">
        <v>46012</v>
      </c>
      <c r="E1156" s="175">
        <v>1</v>
      </c>
      <c r="F1156" s="168" t="s">
        <v>500</v>
      </c>
      <c r="G1156" s="165">
        <f>IFERROR(VLOOKUP(F1156,'menu list'!B:C,2,FALSE)*E1156,"0")</f>
        <v>1250</v>
      </c>
      <c r="H1156" s="334">
        <f t="shared" si="83"/>
        <v>187.5</v>
      </c>
      <c r="I1156" s="165">
        <f t="shared" ref="I1156:I1218" si="84">G1156+H1156</f>
        <v>1437.5</v>
      </c>
    </row>
    <row r="1157" spans="1:9" ht="12.75" hidden="1" x14ac:dyDescent="0.25">
      <c r="A1157" s="167">
        <f t="shared" si="82"/>
        <v>1156</v>
      </c>
      <c r="B1157" s="168" t="s">
        <v>268</v>
      </c>
      <c r="C1157" s="168" t="str">
        <f>VLOOKUP(B1157,MEMBERS!B:C,2, )</f>
        <v>DGM AMJAD ALI SHAIKH</v>
      </c>
      <c r="D1157" s="323">
        <v>46012</v>
      </c>
      <c r="E1157" s="175">
        <v>1</v>
      </c>
      <c r="F1157" s="168" t="s">
        <v>740</v>
      </c>
      <c r="G1157" s="165">
        <f>IFERROR(VLOOKUP(F1157,'menu list'!B:C,2,FALSE)*E1157,"0")</f>
        <v>1800</v>
      </c>
      <c r="H1157" s="334">
        <f t="shared" si="83"/>
        <v>270</v>
      </c>
      <c r="I1157" s="165">
        <f t="shared" si="84"/>
        <v>2070</v>
      </c>
    </row>
    <row r="1158" spans="1:9" ht="12.75" hidden="1" x14ac:dyDescent="0.25">
      <c r="A1158" s="167">
        <f t="shared" si="82"/>
        <v>1157</v>
      </c>
      <c r="B1158" s="168" t="s">
        <v>373</v>
      </c>
      <c r="C1158" s="168" t="str">
        <f>VLOOKUP(B1158,MEMBERS!B:C,2, )</f>
        <v>ASIF ASHFAQ</v>
      </c>
      <c r="D1158" s="323">
        <v>46012</v>
      </c>
      <c r="E1158" s="175">
        <v>50</v>
      </c>
      <c r="F1158" s="168" t="s">
        <v>1192</v>
      </c>
      <c r="G1158" s="165">
        <f>IFERROR(VLOOKUP(F1158,'menu list'!B:C,2,FALSE)*E1158,"0")</f>
        <v>190000</v>
      </c>
      <c r="H1158" s="334">
        <f t="shared" si="83"/>
        <v>28500</v>
      </c>
      <c r="I1158" s="165">
        <f t="shared" si="84"/>
        <v>218500</v>
      </c>
    </row>
    <row r="1159" spans="1:9" ht="12.75" hidden="1" x14ac:dyDescent="0.25">
      <c r="A1159" s="167">
        <f t="shared" si="82"/>
        <v>1158</v>
      </c>
      <c r="B1159" s="168" t="s">
        <v>373</v>
      </c>
      <c r="C1159" s="168" t="str">
        <f>VLOOKUP(B1159,MEMBERS!B:C,2, )</f>
        <v>ASIF ASHFAQ</v>
      </c>
      <c r="D1159" s="323">
        <v>46012</v>
      </c>
      <c r="E1159" s="175">
        <v>13</v>
      </c>
      <c r="F1159" s="168" t="s">
        <v>440</v>
      </c>
      <c r="G1159" s="165">
        <f>IFERROR(VLOOKUP(F1159,'menu list'!B:C,2,FALSE)*E1159,"0")</f>
        <v>1950</v>
      </c>
      <c r="H1159" s="334">
        <f t="shared" si="83"/>
        <v>292.5</v>
      </c>
      <c r="I1159" s="165">
        <f t="shared" si="84"/>
        <v>2242.5</v>
      </c>
    </row>
    <row r="1160" spans="1:9" ht="12.75" hidden="1" x14ac:dyDescent="0.25">
      <c r="A1160" s="167">
        <f t="shared" si="82"/>
        <v>1159</v>
      </c>
      <c r="B1160" s="168" t="s">
        <v>373</v>
      </c>
      <c r="C1160" s="168" t="str">
        <f>VLOOKUP(B1160,MEMBERS!B:C,2, )</f>
        <v>ASIF ASHFAQ</v>
      </c>
      <c r="D1160" s="323">
        <v>46012</v>
      </c>
      <c r="E1160" s="175">
        <v>48</v>
      </c>
      <c r="F1160" s="168" t="s">
        <v>442</v>
      </c>
      <c r="G1160" s="165">
        <f>IFERROR(VLOOKUP(F1160,'menu list'!B:C,2,FALSE)*E1160,"0")</f>
        <v>7200</v>
      </c>
      <c r="H1160" s="334">
        <f t="shared" si="83"/>
        <v>1080</v>
      </c>
      <c r="I1160" s="165">
        <f t="shared" si="84"/>
        <v>8280</v>
      </c>
    </row>
    <row r="1161" spans="1:9" ht="12.75" hidden="1" x14ac:dyDescent="0.25">
      <c r="A1161" s="167">
        <f t="shared" si="82"/>
        <v>1160</v>
      </c>
      <c r="B1161" s="168" t="s">
        <v>947</v>
      </c>
      <c r="C1161" s="168" t="str">
        <f>VLOOKUP(B1161,MEMBERS!B:C,2, )</f>
        <v>MR . SYED RAHAT HUSSAIN ZAIDI</v>
      </c>
      <c r="D1161" s="323">
        <v>46012</v>
      </c>
      <c r="E1161" s="175">
        <v>22</v>
      </c>
      <c r="F1161" s="168" t="s">
        <v>641</v>
      </c>
      <c r="G1161" s="165">
        <f>IFERROR(VLOOKUP(F1161,'menu list'!B:C,2,FALSE)*E1161,"0")</f>
        <v>34100</v>
      </c>
      <c r="H1161" s="334">
        <f t="shared" si="83"/>
        <v>5115</v>
      </c>
      <c r="I1161" s="165">
        <f t="shared" si="84"/>
        <v>39215</v>
      </c>
    </row>
    <row r="1162" spans="1:9" ht="12.75" hidden="1" x14ac:dyDescent="0.25">
      <c r="A1162" s="167">
        <f t="shared" ref="A1162:A1183" si="85">IF(D1162&lt;&gt;"", ROW()-1, "")</f>
        <v>1161</v>
      </c>
      <c r="B1162" s="168" t="s">
        <v>947</v>
      </c>
      <c r="C1162" s="168" t="str">
        <f>VLOOKUP(B1162,MEMBERS!B:C,2, )</f>
        <v>MR . SYED RAHAT HUSSAIN ZAIDI</v>
      </c>
      <c r="D1162" s="323">
        <v>46012</v>
      </c>
      <c r="E1162" s="175">
        <v>5</v>
      </c>
      <c r="F1162" s="168" t="s">
        <v>659</v>
      </c>
      <c r="G1162" s="165">
        <f>IFERROR(VLOOKUP(F1162,'menu list'!B:C,2,FALSE)*E1162,"0")</f>
        <v>3875</v>
      </c>
      <c r="H1162" s="334">
        <f t="shared" si="83"/>
        <v>581.25</v>
      </c>
      <c r="I1162" s="165">
        <f t="shared" si="84"/>
        <v>4456.25</v>
      </c>
    </row>
    <row r="1163" spans="1:9" ht="12.75" hidden="1" x14ac:dyDescent="0.25">
      <c r="A1163" s="167">
        <f t="shared" si="85"/>
        <v>1162</v>
      </c>
      <c r="B1163" s="168" t="s">
        <v>947</v>
      </c>
      <c r="C1163" s="168" t="str">
        <f>VLOOKUP(B1163,MEMBERS!B:C,2, )</f>
        <v>MR . SYED RAHAT HUSSAIN ZAIDI</v>
      </c>
      <c r="D1163" s="323">
        <v>46012</v>
      </c>
      <c r="E1163" s="175">
        <v>7</v>
      </c>
      <c r="F1163" s="168" t="s">
        <v>440</v>
      </c>
      <c r="G1163" s="165">
        <f>IFERROR(VLOOKUP(F1163,'menu list'!B:C,2,FALSE)*E1163,"0")</f>
        <v>1050</v>
      </c>
      <c r="H1163" s="334">
        <f t="shared" si="83"/>
        <v>157.5</v>
      </c>
      <c r="I1163" s="165">
        <f t="shared" si="84"/>
        <v>1207.5</v>
      </c>
    </row>
    <row r="1164" spans="1:9" ht="12.75" hidden="1" x14ac:dyDescent="0.25">
      <c r="A1164" s="167">
        <f t="shared" si="85"/>
        <v>1163</v>
      </c>
      <c r="B1164" s="168" t="s">
        <v>947</v>
      </c>
      <c r="C1164" s="168" t="str">
        <f>VLOOKUP(B1164,MEMBERS!B:C,2, )</f>
        <v>MR . SYED RAHAT HUSSAIN ZAIDI</v>
      </c>
      <c r="D1164" s="323">
        <v>46012</v>
      </c>
      <c r="E1164" s="175">
        <v>4</v>
      </c>
      <c r="F1164" s="168" t="s">
        <v>502</v>
      </c>
      <c r="G1164" s="165">
        <f>IFERROR(VLOOKUP(F1164,'menu list'!B:C,2,FALSE)*E1164,"0")</f>
        <v>1400</v>
      </c>
      <c r="H1164" s="334">
        <f t="shared" si="83"/>
        <v>210</v>
      </c>
      <c r="I1164" s="165">
        <f t="shared" si="84"/>
        <v>1610</v>
      </c>
    </row>
    <row r="1165" spans="1:9" ht="12.75" hidden="1" x14ac:dyDescent="0.25">
      <c r="A1165" s="167">
        <f t="shared" si="85"/>
        <v>1164</v>
      </c>
      <c r="B1165" s="168" t="s">
        <v>947</v>
      </c>
      <c r="C1165" s="168" t="str">
        <f>VLOOKUP(B1165,MEMBERS!B:C,2, )</f>
        <v>MR . SYED RAHAT HUSSAIN ZAIDI</v>
      </c>
      <c r="D1165" s="323">
        <v>46012</v>
      </c>
      <c r="E1165" s="175">
        <v>7</v>
      </c>
      <c r="F1165" s="168" t="s">
        <v>836</v>
      </c>
      <c r="G1165" s="165">
        <f>IFERROR(VLOOKUP(F1165,'menu list'!B:C,2,FALSE)*E1165,"0")</f>
        <v>2450</v>
      </c>
      <c r="H1165" s="334">
        <f t="shared" si="83"/>
        <v>367.5</v>
      </c>
      <c r="I1165" s="165">
        <f t="shared" si="84"/>
        <v>2817.5</v>
      </c>
    </row>
    <row r="1166" spans="1:9" ht="12.75" hidden="1" x14ac:dyDescent="0.25">
      <c r="A1166" s="167">
        <f t="shared" si="85"/>
        <v>1165</v>
      </c>
      <c r="B1166" s="168" t="s">
        <v>947</v>
      </c>
      <c r="C1166" s="168" t="str">
        <f>VLOOKUP(B1166,MEMBERS!B:C,2, )</f>
        <v>MR . SYED RAHAT HUSSAIN ZAIDI</v>
      </c>
      <c r="D1166" s="323">
        <v>46012</v>
      </c>
      <c r="E1166" s="175">
        <v>7</v>
      </c>
      <c r="F1166" s="168" t="s">
        <v>442</v>
      </c>
      <c r="G1166" s="165">
        <f>IFERROR(VLOOKUP(F1166,'menu list'!B:C,2,FALSE)*E1166,"0")</f>
        <v>1050</v>
      </c>
      <c r="H1166" s="334">
        <f t="shared" si="83"/>
        <v>157.5</v>
      </c>
      <c r="I1166" s="165">
        <f t="shared" si="84"/>
        <v>1207.5</v>
      </c>
    </row>
    <row r="1167" spans="1:9" ht="12.75" hidden="1" x14ac:dyDescent="0.25">
      <c r="A1167" s="167">
        <f t="shared" si="85"/>
        <v>1166</v>
      </c>
      <c r="B1167" s="168" t="s">
        <v>187</v>
      </c>
      <c r="C1167" s="168" t="str">
        <f>VLOOKUP(B1167,MEMBERS!B:C,2, )</f>
        <v>MR.SHAN ELAHI SEHGAL</v>
      </c>
      <c r="D1167" s="323">
        <v>46012</v>
      </c>
      <c r="E1167" s="175">
        <v>9</v>
      </c>
      <c r="F1167" s="168" t="s">
        <v>641</v>
      </c>
      <c r="G1167" s="165">
        <f>IFERROR(VLOOKUP(F1167,'menu list'!B:C,2,FALSE)*E1167,"0")</f>
        <v>13950</v>
      </c>
      <c r="H1167" s="334">
        <f t="shared" si="83"/>
        <v>2092.5</v>
      </c>
      <c r="I1167" s="165">
        <f t="shared" si="84"/>
        <v>16042.5</v>
      </c>
    </row>
    <row r="1168" spans="1:9" ht="12.75" hidden="1" x14ac:dyDescent="0.25">
      <c r="A1168" s="167">
        <f t="shared" si="85"/>
        <v>1167</v>
      </c>
      <c r="B1168" s="168" t="s">
        <v>187</v>
      </c>
      <c r="C1168" s="168" t="str">
        <f>VLOOKUP(B1168,MEMBERS!B:C,2, )</f>
        <v>MR.SHAN ELAHI SEHGAL</v>
      </c>
      <c r="D1168" s="323">
        <v>46012</v>
      </c>
      <c r="E1168" s="175">
        <v>2</v>
      </c>
      <c r="F1168" s="168" t="s">
        <v>440</v>
      </c>
      <c r="G1168" s="165">
        <f>IFERROR(VLOOKUP(F1168,'menu list'!B:C,2,FALSE)*E1168,"0")</f>
        <v>300</v>
      </c>
      <c r="H1168" s="334">
        <f t="shared" si="83"/>
        <v>45</v>
      </c>
      <c r="I1168" s="165">
        <f t="shared" si="84"/>
        <v>345</v>
      </c>
    </row>
    <row r="1169" spans="1:11" ht="12.75" hidden="1" x14ac:dyDescent="0.25">
      <c r="A1169" s="167">
        <f t="shared" si="85"/>
        <v>1168</v>
      </c>
      <c r="B1169" s="168" t="s">
        <v>187</v>
      </c>
      <c r="C1169" s="168" t="str">
        <f>VLOOKUP(B1169,MEMBERS!B:C,2, )</f>
        <v>MR.SHAN ELAHI SEHGAL</v>
      </c>
      <c r="D1169" s="323">
        <v>46012</v>
      </c>
      <c r="E1169" s="175">
        <v>1</v>
      </c>
      <c r="F1169" s="168" t="s">
        <v>502</v>
      </c>
      <c r="G1169" s="165">
        <f>IFERROR(VLOOKUP(F1169,'menu list'!B:C,2,FALSE)*E1169,"0")</f>
        <v>350</v>
      </c>
      <c r="H1169" s="334">
        <f t="shared" si="83"/>
        <v>52.5</v>
      </c>
      <c r="I1169" s="165">
        <f t="shared" si="84"/>
        <v>402.5</v>
      </c>
    </row>
    <row r="1170" spans="1:11" ht="12.75" hidden="1" x14ac:dyDescent="0.25">
      <c r="A1170" s="167">
        <f t="shared" si="85"/>
        <v>1169</v>
      </c>
      <c r="B1170" s="168" t="s">
        <v>187</v>
      </c>
      <c r="C1170" s="168" t="str">
        <f>VLOOKUP(B1170,MEMBERS!B:C,2, )</f>
        <v>MR.SHAN ELAHI SEHGAL</v>
      </c>
      <c r="D1170" s="323">
        <v>46012</v>
      </c>
      <c r="E1170" s="175">
        <v>1</v>
      </c>
      <c r="F1170" s="168" t="s">
        <v>659</v>
      </c>
      <c r="G1170" s="165">
        <f>IFERROR(VLOOKUP(F1170,'menu list'!B:C,2,FALSE)*E1170,"0")</f>
        <v>775</v>
      </c>
      <c r="H1170" s="334">
        <f t="shared" si="83"/>
        <v>116.25</v>
      </c>
      <c r="I1170" s="165">
        <f t="shared" si="84"/>
        <v>891.25</v>
      </c>
    </row>
    <row r="1171" spans="1:11" ht="12.75" hidden="1" x14ac:dyDescent="0.25">
      <c r="A1171" s="167">
        <f t="shared" si="85"/>
        <v>1170</v>
      </c>
      <c r="B1171" s="168" t="s">
        <v>59</v>
      </c>
      <c r="C1171" s="168" t="str">
        <f>VLOOKUP(B1171,MEMBERS!B:C,2, )</f>
        <v>MR.SAJJAD ALI</v>
      </c>
      <c r="D1171" s="323">
        <v>46012</v>
      </c>
      <c r="E1171" s="175">
        <v>1</v>
      </c>
      <c r="F1171" s="168" t="s">
        <v>440</v>
      </c>
      <c r="G1171" s="165">
        <f>IFERROR(VLOOKUP(F1171,'menu list'!B:C,2,FALSE)*E1171,"0")</f>
        <v>150</v>
      </c>
      <c r="H1171" s="334">
        <f t="shared" si="83"/>
        <v>22.5</v>
      </c>
      <c r="I1171" s="165">
        <f t="shared" si="84"/>
        <v>172.5</v>
      </c>
    </row>
    <row r="1172" spans="1:11" ht="12.75" hidden="1" x14ac:dyDescent="0.25">
      <c r="A1172" s="167">
        <f t="shared" si="85"/>
        <v>1171</v>
      </c>
      <c r="B1172" s="168" t="s">
        <v>59</v>
      </c>
      <c r="C1172" s="168" t="str">
        <f>VLOOKUP(B1172,MEMBERS!B:C,2, )</f>
        <v>MR.SAJJAD ALI</v>
      </c>
      <c r="D1172" s="323">
        <v>46012</v>
      </c>
      <c r="E1172" s="175">
        <v>1</v>
      </c>
      <c r="F1172" s="168" t="s">
        <v>500</v>
      </c>
      <c r="G1172" s="165">
        <f>IFERROR(VLOOKUP(F1172,'menu list'!B:C,2,FALSE)*E1172,"0")</f>
        <v>1250</v>
      </c>
      <c r="H1172" s="334">
        <f t="shared" si="83"/>
        <v>187.5</v>
      </c>
      <c r="I1172" s="165">
        <f t="shared" si="84"/>
        <v>1437.5</v>
      </c>
    </row>
    <row r="1173" spans="1:11" ht="12.75" hidden="1" x14ac:dyDescent="0.25">
      <c r="A1173" s="167">
        <f t="shared" si="85"/>
        <v>1172</v>
      </c>
      <c r="B1173" s="168" t="s">
        <v>59</v>
      </c>
      <c r="C1173" s="168" t="str">
        <f>VLOOKUP(B1173,MEMBERS!B:C,2, )</f>
        <v>MR.SAJJAD ALI</v>
      </c>
      <c r="D1173" s="323">
        <v>46012</v>
      </c>
      <c r="E1173" s="175">
        <v>1</v>
      </c>
      <c r="F1173" s="168" t="s">
        <v>846</v>
      </c>
      <c r="G1173" s="165">
        <f>IFERROR(VLOOKUP(F1173,'menu list'!B:C,2,FALSE)*E1173,"0")</f>
        <v>1250</v>
      </c>
      <c r="H1173" s="334">
        <f t="shared" si="83"/>
        <v>187.5</v>
      </c>
      <c r="I1173" s="165">
        <f t="shared" si="84"/>
        <v>1437.5</v>
      </c>
    </row>
    <row r="1174" spans="1:11" ht="12.75" hidden="1" x14ac:dyDescent="0.25">
      <c r="A1174" s="167">
        <f t="shared" si="85"/>
        <v>1173</v>
      </c>
      <c r="B1174" s="168" t="s">
        <v>258</v>
      </c>
      <c r="C1174" s="168" t="str">
        <f>VLOOKUP(B1174,MEMBERS!B:C,2, )</f>
        <v>BRIG DR. GHULAM MEHDI (Retd)</v>
      </c>
      <c r="D1174" s="323">
        <v>46012</v>
      </c>
      <c r="E1174" s="175">
        <v>3</v>
      </c>
      <c r="F1174" s="168" t="s">
        <v>641</v>
      </c>
      <c r="G1174" s="165">
        <f>IFERROR(VLOOKUP(F1174,'menu list'!B:C,2,FALSE)*E1174,"0")</f>
        <v>4650</v>
      </c>
      <c r="H1174" s="334">
        <f t="shared" si="83"/>
        <v>697.5</v>
      </c>
      <c r="I1174" s="165">
        <f t="shared" si="84"/>
        <v>5347.5</v>
      </c>
    </row>
    <row r="1175" spans="1:11" ht="12.75" hidden="1" x14ac:dyDescent="0.25">
      <c r="A1175" s="167">
        <f t="shared" si="85"/>
        <v>1174</v>
      </c>
      <c r="B1175" s="168" t="s">
        <v>258</v>
      </c>
      <c r="C1175" s="168" t="str">
        <f>VLOOKUP(B1175,MEMBERS!B:C,2, )</f>
        <v>BRIG DR. GHULAM MEHDI (Retd)</v>
      </c>
      <c r="D1175" s="323">
        <v>46012</v>
      </c>
      <c r="E1175" s="175">
        <v>1</v>
      </c>
      <c r="F1175" s="168" t="s">
        <v>440</v>
      </c>
      <c r="G1175" s="165">
        <f>IFERROR(VLOOKUP(F1175,'menu list'!B:C,2,FALSE)*E1175,"0")</f>
        <v>150</v>
      </c>
      <c r="H1175" s="334">
        <f t="shared" si="83"/>
        <v>22.5</v>
      </c>
      <c r="I1175" s="165">
        <f t="shared" si="84"/>
        <v>172.5</v>
      </c>
    </row>
    <row r="1176" spans="1:11" ht="12.75" hidden="1" x14ac:dyDescent="0.25">
      <c r="A1176" s="167">
        <f t="shared" si="85"/>
        <v>1175</v>
      </c>
      <c r="B1176" s="168" t="s">
        <v>258</v>
      </c>
      <c r="C1176" s="168" t="str">
        <f>VLOOKUP(B1176,MEMBERS!B:C,2, )</f>
        <v>BRIG DR. GHULAM MEHDI (Retd)</v>
      </c>
      <c r="D1176" s="323">
        <v>46012</v>
      </c>
      <c r="E1176" s="175">
        <v>2</v>
      </c>
      <c r="F1176" s="168" t="s">
        <v>582</v>
      </c>
      <c r="G1176" s="165">
        <f>IFERROR(VLOOKUP(F1176,'menu list'!B:C,2,FALSE)*E1176,"0")</f>
        <v>600</v>
      </c>
      <c r="H1176" s="334">
        <f t="shared" si="83"/>
        <v>90</v>
      </c>
      <c r="I1176" s="165">
        <f t="shared" si="84"/>
        <v>690</v>
      </c>
    </row>
    <row r="1177" spans="1:11" ht="12.75" hidden="1" x14ac:dyDescent="0.25">
      <c r="A1177" s="167">
        <f t="shared" si="85"/>
        <v>1176</v>
      </c>
      <c r="B1177" s="168" t="s">
        <v>1004</v>
      </c>
      <c r="C1177" s="168" t="str">
        <f>VLOOKUP(B1177,MEMBERS!B:C,2, )</f>
        <v>MRS RIFFAT ZULFIQAR</v>
      </c>
      <c r="D1177" s="323">
        <v>46012</v>
      </c>
      <c r="E1177" s="175">
        <v>7</v>
      </c>
      <c r="F1177" s="168" t="s">
        <v>641</v>
      </c>
      <c r="G1177" s="165">
        <f>IFERROR(VLOOKUP(F1177,'menu list'!B:C,2,FALSE)*E1177,"0")</f>
        <v>10850</v>
      </c>
      <c r="H1177" s="334">
        <f t="shared" si="83"/>
        <v>1627.5</v>
      </c>
      <c r="I1177" s="165">
        <f t="shared" si="84"/>
        <v>12477.5</v>
      </c>
    </row>
    <row r="1178" spans="1:11" ht="12.75" hidden="1" x14ac:dyDescent="0.25">
      <c r="A1178" s="167">
        <f t="shared" si="85"/>
        <v>1177</v>
      </c>
      <c r="B1178" s="168" t="s">
        <v>1004</v>
      </c>
      <c r="C1178" s="168" t="str">
        <f>VLOOKUP(B1178,MEMBERS!B:C,2, )</f>
        <v>MRS RIFFAT ZULFIQAR</v>
      </c>
      <c r="D1178" s="323">
        <v>46012</v>
      </c>
      <c r="E1178" s="175">
        <v>2</v>
      </c>
      <c r="F1178" s="168" t="s">
        <v>440</v>
      </c>
      <c r="G1178" s="165">
        <f>IFERROR(VLOOKUP(F1178,'menu list'!B:C,2,FALSE)*E1178,"0")</f>
        <v>300</v>
      </c>
      <c r="H1178" s="334">
        <f t="shared" si="83"/>
        <v>45</v>
      </c>
      <c r="I1178" s="165">
        <f t="shared" si="84"/>
        <v>345</v>
      </c>
    </row>
    <row r="1179" spans="1:11" ht="12.75" hidden="1" x14ac:dyDescent="0.25">
      <c r="A1179" s="167">
        <f t="shared" si="85"/>
        <v>1178</v>
      </c>
      <c r="B1179" s="168" t="s">
        <v>1004</v>
      </c>
      <c r="C1179" s="168" t="str">
        <f>VLOOKUP(B1179,MEMBERS!B:C,2, )</f>
        <v>MRS RIFFAT ZULFIQAR</v>
      </c>
      <c r="D1179" s="323">
        <v>46012</v>
      </c>
      <c r="E1179" s="175">
        <v>2</v>
      </c>
      <c r="F1179" s="168" t="s">
        <v>582</v>
      </c>
      <c r="G1179" s="165">
        <f>IFERROR(VLOOKUP(F1179,'menu list'!B:C,2,FALSE)*E1179,"0")</f>
        <v>600</v>
      </c>
      <c r="H1179" s="334">
        <f t="shared" si="83"/>
        <v>90</v>
      </c>
      <c r="I1179" s="165">
        <f t="shared" si="84"/>
        <v>690</v>
      </c>
    </row>
    <row r="1180" spans="1:11" ht="12.75" hidden="1" x14ac:dyDescent="0.25">
      <c r="A1180" s="167">
        <f t="shared" si="85"/>
        <v>1179</v>
      </c>
      <c r="B1180" s="168" t="s">
        <v>1004</v>
      </c>
      <c r="C1180" s="168" t="str">
        <f>VLOOKUP(B1180,MEMBERS!B:C,2, )</f>
        <v>MRS RIFFAT ZULFIQAR</v>
      </c>
      <c r="D1180" s="323">
        <v>46012</v>
      </c>
      <c r="E1180" s="175">
        <v>1</v>
      </c>
      <c r="F1180" s="168" t="s">
        <v>836</v>
      </c>
      <c r="G1180" s="165">
        <f>IFERROR(VLOOKUP(F1180,'menu list'!B:C,2,FALSE)*E1180,"0")</f>
        <v>350</v>
      </c>
      <c r="H1180" s="334">
        <f t="shared" si="83"/>
        <v>52.5</v>
      </c>
      <c r="I1180" s="165">
        <f t="shared" si="84"/>
        <v>402.5</v>
      </c>
    </row>
    <row r="1181" spans="1:11" ht="12.75" hidden="1" x14ac:dyDescent="0.25">
      <c r="A1181" s="167">
        <f t="shared" si="85"/>
        <v>1180</v>
      </c>
      <c r="B1181" s="168" t="s">
        <v>428</v>
      </c>
      <c r="C1181" s="168" t="str">
        <f>VLOOKUP(B1181,MEMBERS!B:C,2, )</f>
        <v>ALI LEGHARI</v>
      </c>
      <c r="D1181" s="323">
        <v>46012</v>
      </c>
      <c r="E1181" s="175">
        <v>48</v>
      </c>
      <c r="F1181" s="168" t="s">
        <v>440</v>
      </c>
      <c r="G1181" s="165">
        <f>IFERROR(VLOOKUP(F1181,'menu list'!B:C,2,FALSE)*E1181,"0")</f>
        <v>7200</v>
      </c>
      <c r="H1181" s="334">
        <f t="shared" si="83"/>
        <v>1080</v>
      </c>
      <c r="I1181" s="165">
        <f t="shared" si="84"/>
        <v>8280</v>
      </c>
    </row>
    <row r="1182" spans="1:11" ht="12.75" hidden="1" x14ac:dyDescent="0.25">
      <c r="A1182" s="167">
        <f t="shared" si="85"/>
        <v>1181</v>
      </c>
      <c r="B1182" s="168" t="s">
        <v>428</v>
      </c>
      <c r="C1182" s="168" t="str">
        <f>VLOOKUP(B1182,MEMBERS!B:C,2, )</f>
        <v>ALI LEGHARI</v>
      </c>
      <c r="D1182" s="323">
        <v>46012</v>
      </c>
      <c r="E1182" s="175">
        <v>242</v>
      </c>
      <c r="F1182" s="168" t="s">
        <v>442</v>
      </c>
      <c r="G1182" s="165">
        <f>IFERROR(VLOOKUP(F1182,'menu list'!B:C,2,FALSE)*E1182,"0")</f>
        <v>36300</v>
      </c>
      <c r="H1182" s="334">
        <f t="shared" si="83"/>
        <v>5445</v>
      </c>
      <c r="I1182" s="165">
        <f t="shared" si="84"/>
        <v>41745</v>
      </c>
    </row>
    <row r="1183" spans="1:11" ht="12.75" hidden="1" x14ac:dyDescent="0.25">
      <c r="A1183" s="167">
        <f t="shared" si="85"/>
        <v>1182</v>
      </c>
      <c r="B1183" s="168" t="s">
        <v>93</v>
      </c>
      <c r="C1183" s="168" t="str">
        <f>VLOOKUP(B1183,MEMBERS!B:C,2, )</f>
        <v>MR.NIZAM UDDIN NIZAMANI</v>
      </c>
      <c r="D1183" s="323">
        <v>46013</v>
      </c>
      <c r="E1183" s="175">
        <v>35</v>
      </c>
      <c r="F1183" s="168" t="s">
        <v>1193</v>
      </c>
      <c r="G1183" s="165">
        <v>87500</v>
      </c>
      <c r="H1183" s="334">
        <f t="shared" si="83"/>
        <v>13125</v>
      </c>
      <c r="I1183" s="165">
        <f t="shared" si="84"/>
        <v>100625</v>
      </c>
    </row>
    <row r="1184" spans="1:11" ht="12.75" hidden="1" x14ac:dyDescent="0.25">
      <c r="A1184" s="167">
        <f t="shared" ref="A1184:A1185" si="86">IF(D1184&lt;&gt;"", ROW()-1, "")</f>
        <v>1183</v>
      </c>
      <c r="B1184" s="168" t="s">
        <v>93</v>
      </c>
      <c r="C1184" s="168" t="str">
        <f>VLOOKUP(B1184,MEMBERS!B:C,2, )</f>
        <v>MR.NIZAM UDDIN NIZAMANI</v>
      </c>
      <c r="D1184" s="323">
        <v>46013</v>
      </c>
      <c r="E1184" s="175">
        <v>11</v>
      </c>
      <c r="F1184" s="168" t="s">
        <v>442</v>
      </c>
      <c r="G1184" s="165">
        <f>IFERROR(VLOOKUP(F1184,'menu list'!B:C,2,FALSE)*E1184,"0")</f>
        <v>1650</v>
      </c>
      <c r="H1184" s="334">
        <f t="shared" si="83"/>
        <v>247.5</v>
      </c>
      <c r="I1184" s="165">
        <f t="shared" si="84"/>
        <v>1897.5</v>
      </c>
      <c r="J1184" s="166">
        <v>9947.5</v>
      </c>
      <c r="K1184" s="166" t="s">
        <v>1244</v>
      </c>
    </row>
    <row r="1185" spans="1:9" ht="12.75" hidden="1" x14ac:dyDescent="0.25">
      <c r="A1185" s="167">
        <f t="shared" si="86"/>
        <v>1184</v>
      </c>
      <c r="B1185" s="168" t="s">
        <v>93</v>
      </c>
      <c r="C1185" s="168" t="str">
        <f>VLOOKUP(B1185,MEMBERS!B:C,2, )</f>
        <v>MR.NIZAM UDDIN NIZAMANI</v>
      </c>
      <c r="D1185" s="323">
        <v>46013</v>
      </c>
      <c r="E1185" s="175">
        <v>1</v>
      </c>
      <c r="F1185" s="168" t="s">
        <v>1194</v>
      </c>
      <c r="G1185" s="165">
        <v>5000</v>
      </c>
      <c r="H1185" s="334">
        <f t="shared" si="83"/>
        <v>750</v>
      </c>
      <c r="I1185" s="165">
        <f t="shared" si="84"/>
        <v>5750</v>
      </c>
    </row>
    <row r="1186" spans="1:9" ht="12.75" hidden="1" x14ac:dyDescent="0.25">
      <c r="A1186" s="167">
        <f t="shared" ref="A1186:A1213" si="87">IF(D1186&lt;&gt;"", ROW()-1, "")</f>
        <v>1185</v>
      </c>
      <c r="B1186" s="168" t="s">
        <v>395</v>
      </c>
      <c r="C1186" s="168" t="str">
        <f>VLOOKUP(B1186,MEMBERS!B:C,2, )</f>
        <v>BAHRIA INTERNATIONAL HOSPITAL</v>
      </c>
      <c r="D1186" s="323">
        <v>46013</v>
      </c>
      <c r="E1186" s="175">
        <v>16</v>
      </c>
      <c r="F1186" s="168" t="s">
        <v>516</v>
      </c>
      <c r="G1186" s="165">
        <f>IFERROR(VLOOKUP(F1186,'menu list'!B:C,2,FALSE)*E1186,"0")</f>
        <v>4000</v>
      </c>
      <c r="H1186" s="334"/>
      <c r="I1186" s="165">
        <f t="shared" si="84"/>
        <v>4000</v>
      </c>
    </row>
    <row r="1187" spans="1:9" ht="12.75" hidden="1" x14ac:dyDescent="0.25">
      <c r="A1187" s="167">
        <f t="shared" si="87"/>
        <v>1186</v>
      </c>
      <c r="B1187" s="168" t="s">
        <v>395</v>
      </c>
      <c r="C1187" s="168" t="str">
        <f>VLOOKUP(B1187,MEMBERS!B:C,2, )</f>
        <v>BAHRIA INTERNATIONAL HOSPITAL</v>
      </c>
      <c r="D1187" s="323">
        <v>46013</v>
      </c>
      <c r="E1187" s="175">
        <v>10</v>
      </c>
      <c r="F1187" s="168" t="s">
        <v>558</v>
      </c>
      <c r="G1187" s="165">
        <f>IFERROR(VLOOKUP(F1187,'menu list'!B:C,2,FALSE)*E1187,"0")</f>
        <v>1500</v>
      </c>
      <c r="H1187" s="334"/>
      <c r="I1187" s="165">
        <f t="shared" si="84"/>
        <v>1500</v>
      </c>
    </row>
    <row r="1188" spans="1:9" ht="12.75" hidden="1" x14ac:dyDescent="0.25">
      <c r="A1188" s="167">
        <f t="shared" si="87"/>
        <v>1187</v>
      </c>
      <c r="B1188" s="168" t="s">
        <v>395</v>
      </c>
      <c r="C1188" s="168" t="str">
        <f>VLOOKUP(B1188,MEMBERS!B:C,2, )</f>
        <v>BAHRIA INTERNATIONAL HOSPITAL</v>
      </c>
      <c r="D1188" s="323">
        <v>46013</v>
      </c>
      <c r="E1188" s="175">
        <v>6</v>
      </c>
      <c r="F1188" s="168" t="s">
        <v>660</v>
      </c>
      <c r="G1188" s="165">
        <f>IFERROR(VLOOKUP(F1188,'menu list'!B:C,2,FALSE)*E1188,"0")</f>
        <v>900</v>
      </c>
      <c r="H1188" s="334"/>
      <c r="I1188" s="165">
        <f t="shared" si="84"/>
        <v>900</v>
      </c>
    </row>
    <row r="1189" spans="1:9" ht="12.75" hidden="1" x14ac:dyDescent="0.25">
      <c r="A1189" s="167">
        <f t="shared" si="87"/>
        <v>1188</v>
      </c>
      <c r="B1189" s="168" t="s">
        <v>395</v>
      </c>
      <c r="C1189" s="168" t="str">
        <f>VLOOKUP(B1189,MEMBERS!B:C,2, )</f>
        <v>BAHRIA INTERNATIONAL HOSPITAL</v>
      </c>
      <c r="D1189" s="323">
        <v>46013</v>
      </c>
      <c r="E1189" s="175">
        <v>30</v>
      </c>
      <c r="F1189" s="168" t="s">
        <v>775</v>
      </c>
      <c r="G1189" s="165">
        <f>IFERROR(VLOOKUP(F1189,'menu list'!B:C,2,FALSE)*E1189,"0")</f>
        <v>3000</v>
      </c>
      <c r="H1189" s="334"/>
      <c r="I1189" s="165">
        <f t="shared" si="84"/>
        <v>3000</v>
      </c>
    </row>
    <row r="1190" spans="1:9" ht="12.75" hidden="1" x14ac:dyDescent="0.25">
      <c r="A1190" s="167">
        <f t="shared" si="87"/>
        <v>1189</v>
      </c>
      <c r="B1190" s="168" t="s">
        <v>1053</v>
      </c>
      <c r="C1190" s="168" t="str">
        <f>VLOOKUP(B1190,MEMBERS!B:C,2, )</f>
        <v>MR. ZAMIR ALI SHAH</v>
      </c>
      <c r="D1190" s="323">
        <v>46013</v>
      </c>
      <c r="E1190" s="175">
        <v>3</v>
      </c>
      <c r="F1190" s="168" t="s">
        <v>846</v>
      </c>
      <c r="G1190" s="165">
        <f>IFERROR(VLOOKUP(F1190,'menu list'!B:C,2,FALSE)*E1190,"0")</f>
        <v>3750</v>
      </c>
      <c r="H1190" s="334">
        <f t="shared" si="83"/>
        <v>562.5</v>
      </c>
      <c r="I1190" s="165">
        <f t="shared" si="84"/>
        <v>4312.5</v>
      </c>
    </row>
    <row r="1191" spans="1:9" ht="12.75" hidden="1" x14ac:dyDescent="0.25">
      <c r="A1191" s="167">
        <f t="shared" si="87"/>
        <v>1190</v>
      </c>
      <c r="B1191" s="168" t="s">
        <v>1053</v>
      </c>
      <c r="C1191" s="168" t="str">
        <f>VLOOKUP(B1191,MEMBERS!B:C,2, )</f>
        <v>MR. ZAMIR ALI SHAH</v>
      </c>
      <c r="D1191" s="323">
        <v>46013</v>
      </c>
      <c r="E1191" s="175">
        <v>2</v>
      </c>
      <c r="F1191" s="168" t="s">
        <v>500</v>
      </c>
      <c r="G1191" s="165">
        <f>IFERROR(VLOOKUP(F1191,'menu list'!B:C,2,FALSE)*E1191,"0")</f>
        <v>2500</v>
      </c>
      <c r="H1191" s="334">
        <f t="shared" si="83"/>
        <v>375</v>
      </c>
      <c r="I1191" s="165">
        <f t="shared" si="84"/>
        <v>2875</v>
      </c>
    </row>
    <row r="1192" spans="1:9" ht="12.75" hidden="1" x14ac:dyDescent="0.25">
      <c r="A1192" s="167">
        <f t="shared" si="87"/>
        <v>1191</v>
      </c>
      <c r="B1192" s="168" t="s">
        <v>1053</v>
      </c>
      <c r="C1192" s="168" t="str">
        <f>VLOOKUP(B1192,MEMBERS!B:C,2, )</f>
        <v>MR. ZAMIR ALI SHAH</v>
      </c>
      <c r="D1192" s="323">
        <v>46013</v>
      </c>
      <c r="E1192" s="175">
        <v>1</v>
      </c>
      <c r="F1192" s="168" t="s">
        <v>440</v>
      </c>
      <c r="G1192" s="165">
        <f>IFERROR(VLOOKUP(F1192,'menu list'!B:C,2,FALSE)*E1192,"0")</f>
        <v>150</v>
      </c>
      <c r="H1192" s="334">
        <f t="shared" si="83"/>
        <v>22.5</v>
      </c>
      <c r="I1192" s="165">
        <f t="shared" si="84"/>
        <v>172.5</v>
      </c>
    </row>
    <row r="1193" spans="1:9" ht="12.75" hidden="1" x14ac:dyDescent="0.25">
      <c r="A1193" s="167">
        <f t="shared" si="87"/>
        <v>1192</v>
      </c>
      <c r="B1193" s="168" t="s">
        <v>1053</v>
      </c>
      <c r="C1193" s="168" t="str">
        <f>VLOOKUP(B1193,MEMBERS!B:C,2, )</f>
        <v>MR. ZAMIR ALI SHAH</v>
      </c>
      <c r="D1193" s="323">
        <v>46013</v>
      </c>
      <c r="E1193" s="175">
        <v>3</v>
      </c>
      <c r="F1193" s="168" t="s">
        <v>498</v>
      </c>
      <c r="G1193" s="165">
        <f>IFERROR(VLOOKUP(F1193,'menu list'!B:C,2,FALSE)*E1193,"0")</f>
        <v>600</v>
      </c>
      <c r="H1193" s="334">
        <f t="shared" si="83"/>
        <v>90</v>
      </c>
      <c r="I1193" s="165">
        <f t="shared" si="84"/>
        <v>690</v>
      </c>
    </row>
    <row r="1194" spans="1:9" ht="12.75" hidden="1" x14ac:dyDescent="0.25">
      <c r="A1194" s="167">
        <f t="shared" si="87"/>
        <v>1193</v>
      </c>
      <c r="B1194" s="168" t="s">
        <v>1053</v>
      </c>
      <c r="C1194" s="168" t="str">
        <f>VLOOKUP(B1194,MEMBERS!B:C,2, )</f>
        <v>MR. ZAMIR ALI SHAH</v>
      </c>
      <c r="D1194" s="323">
        <v>46013</v>
      </c>
      <c r="E1194" s="175">
        <v>2</v>
      </c>
      <c r="F1194" s="168" t="s">
        <v>499</v>
      </c>
      <c r="G1194" s="165">
        <f>IFERROR(VLOOKUP(F1194,'menu list'!B:C,2,FALSE)*E1194,"0")</f>
        <v>200</v>
      </c>
      <c r="H1194" s="334">
        <f t="shared" si="83"/>
        <v>30</v>
      </c>
      <c r="I1194" s="165">
        <f t="shared" si="84"/>
        <v>230</v>
      </c>
    </row>
    <row r="1195" spans="1:9" ht="12.75" hidden="1" x14ac:dyDescent="0.25">
      <c r="A1195" s="167">
        <f t="shared" si="87"/>
        <v>1194</v>
      </c>
      <c r="B1195" s="168" t="s">
        <v>268</v>
      </c>
      <c r="C1195" s="168" t="str">
        <f>VLOOKUP(B1195,MEMBERS!B:C,2, )</f>
        <v>DGM AMJAD ALI SHAIKH</v>
      </c>
      <c r="D1195" s="323">
        <v>46013</v>
      </c>
      <c r="E1195" s="175">
        <v>1</v>
      </c>
      <c r="F1195" s="168" t="s">
        <v>897</v>
      </c>
      <c r="G1195" s="165">
        <f>IFERROR(VLOOKUP(F1195,'menu list'!B:C,2,FALSE)*E1195,"0")</f>
        <v>950</v>
      </c>
      <c r="H1195" s="334">
        <f t="shared" si="83"/>
        <v>142.5</v>
      </c>
      <c r="I1195" s="165">
        <f t="shared" si="84"/>
        <v>1092.5</v>
      </c>
    </row>
    <row r="1196" spans="1:9" ht="12.75" hidden="1" x14ac:dyDescent="0.25">
      <c r="A1196" s="167">
        <f t="shared" si="87"/>
        <v>1195</v>
      </c>
      <c r="B1196" s="168" t="s">
        <v>268</v>
      </c>
      <c r="C1196" s="168" t="str">
        <f>VLOOKUP(B1196,MEMBERS!B:C,2, )</f>
        <v>DGM AMJAD ALI SHAIKH</v>
      </c>
      <c r="D1196" s="323">
        <v>46013</v>
      </c>
      <c r="E1196" s="175">
        <v>1</v>
      </c>
      <c r="F1196" s="168" t="s">
        <v>852</v>
      </c>
      <c r="G1196" s="165">
        <f>IFERROR(VLOOKUP(F1196,'menu list'!B:C,2,FALSE)*E1196,"0")</f>
        <v>850</v>
      </c>
      <c r="H1196" s="334">
        <f t="shared" si="83"/>
        <v>127.5</v>
      </c>
      <c r="I1196" s="165">
        <f t="shared" si="84"/>
        <v>977.5</v>
      </c>
    </row>
    <row r="1197" spans="1:9" ht="12.75" hidden="1" x14ac:dyDescent="0.25">
      <c r="A1197" s="167">
        <f t="shared" si="87"/>
        <v>1196</v>
      </c>
      <c r="B1197" s="168" t="s">
        <v>187</v>
      </c>
      <c r="C1197" s="168" t="str">
        <f>VLOOKUP(B1197,MEMBERS!B:C,2, )</f>
        <v>MR.SHAN ELAHI SEHGAL</v>
      </c>
      <c r="D1197" s="323">
        <v>46013</v>
      </c>
      <c r="E1197" s="175">
        <v>1</v>
      </c>
      <c r="F1197" s="168" t="s">
        <v>497</v>
      </c>
      <c r="G1197" s="165">
        <f>IFERROR(VLOOKUP(F1197,'menu list'!B:C,2,FALSE)*E1197,"0")</f>
        <v>250</v>
      </c>
      <c r="H1197" s="334">
        <f t="shared" si="83"/>
        <v>37.5</v>
      </c>
      <c r="I1197" s="165">
        <f t="shared" si="84"/>
        <v>287.5</v>
      </c>
    </row>
    <row r="1198" spans="1:9" ht="12.75" hidden="1" x14ac:dyDescent="0.25">
      <c r="A1198" s="167">
        <f t="shared" si="87"/>
        <v>1197</v>
      </c>
      <c r="B1198" s="168" t="s">
        <v>187</v>
      </c>
      <c r="C1198" s="168" t="str">
        <f>VLOOKUP(B1198,MEMBERS!B:C,2, )</f>
        <v>MR.SHAN ELAHI SEHGAL</v>
      </c>
      <c r="D1198" s="323">
        <v>46013</v>
      </c>
      <c r="E1198" s="175">
        <v>1</v>
      </c>
      <c r="F1198" s="168" t="s">
        <v>499</v>
      </c>
      <c r="G1198" s="165">
        <f>IFERROR(VLOOKUP(F1198,'menu list'!B:C,2,FALSE)*E1198,"0")</f>
        <v>100</v>
      </c>
      <c r="H1198" s="334">
        <f t="shared" si="83"/>
        <v>15</v>
      </c>
      <c r="I1198" s="165">
        <f t="shared" si="84"/>
        <v>115</v>
      </c>
    </row>
    <row r="1199" spans="1:9" ht="12.75" hidden="1" x14ac:dyDescent="0.25">
      <c r="A1199" s="167">
        <f t="shared" si="87"/>
        <v>1198</v>
      </c>
      <c r="B1199" s="168" t="s">
        <v>1053</v>
      </c>
      <c r="C1199" s="168" t="str">
        <f>VLOOKUP(B1199,MEMBERS!B:C,2, )</f>
        <v>MR. ZAMIR ALI SHAH</v>
      </c>
      <c r="D1199" s="323">
        <v>46013</v>
      </c>
      <c r="E1199" s="175">
        <v>12</v>
      </c>
      <c r="F1199" s="168" t="s">
        <v>442</v>
      </c>
      <c r="G1199" s="165">
        <f>IFERROR(VLOOKUP(F1199,'menu list'!B:C,2,FALSE)*E1199,"0")</f>
        <v>1800</v>
      </c>
      <c r="H1199" s="334">
        <f t="shared" si="83"/>
        <v>270</v>
      </c>
      <c r="I1199" s="165">
        <f t="shared" si="84"/>
        <v>2070</v>
      </c>
    </row>
    <row r="1200" spans="1:9" ht="12.75" hidden="1" x14ac:dyDescent="0.25">
      <c r="A1200" s="167">
        <f t="shared" si="87"/>
        <v>1199</v>
      </c>
      <c r="B1200" s="168" t="s">
        <v>1053</v>
      </c>
      <c r="C1200" s="168" t="str">
        <f>VLOOKUP(B1200,MEMBERS!B:C,2, )</f>
        <v>MR. ZAMIR ALI SHAH</v>
      </c>
      <c r="D1200" s="323">
        <v>46013</v>
      </c>
      <c r="E1200" s="175">
        <v>2</v>
      </c>
      <c r="F1200" s="168" t="s">
        <v>766</v>
      </c>
      <c r="G1200" s="165">
        <f>IFERROR(VLOOKUP(F1200,'menu list'!B:C,2,FALSE)*E1200,"0")</f>
        <v>1100</v>
      </c>
      <c r="H1200" s="334">
        <f t="shared" si="83"/>
        <v>165</v>
      </c>
      <c r="I1200" s="165">
        <f t="shared" si="84"/>
        <v>1265</v>
      </c>
    </row>
    <row r="1201" spans="1:9" ht="12.75" hidden="1" x14ac:dyDescent="0.25">
      <c r="A1201" s="167">
        <f t="shared" si="87"/>
        <v>1200</v>
      </c>
      <c r="B1201" s="168" t="s">
        <v>1053</v>
      </c>
      <c r="C1201" s="168" t="str">
        <f>VLOOKUP(B1201,MEMBERS!B:C,2, )</f>
        <v>MR. ZAMIR ALI SHAH</v>
      </c>
      <c r="D1201" s="323">
        <v>46013</v>
      </c>
      <c r="E1201" s="175">
        <v>2</v>
      </c>
      <c r="F1201" s="168" t="s">
        <v>633</v>
      </c>
      <c r="G1201" s="165">
        <f>IFERROR(VLOOKUP(F1201,'menu list'!B:C,2,FALSE)*E1201,"0")</f>
        <v>1400</v>
      </c>
      <c r="H1201" s="334">
        <f t="shared" si="83"/>
        <v>210</v>
      </c>
      <c r="I1201" s="165">
        <f t="shared" si="84"/>
        <v>1610</v>
      </c>
    </row>
    <row r="1202" spans="1:9" ht="12.75" hidden="1" x14ac:dyDescent="0.25">
      <c r="A1202" s="167">
        <f t="shared" si="87"/>
        <v>1201</v>
      </c>
      <c r="B1202" s="168" t="s">
        <v>1053</v>
      </c>
      <c r="C1202" s="168" t="str">
        <f>VLOOKUP(B1202,MEMBERS!B:C,2, )</f>
        <v>MR. ZAMIR ALI SHAH</v>
      </c>
      <c r="D1202" s="323">
        <v>46013</v>
      </c>
      <c r="E1202" s="175">
        <v>1</v>
      </c>
      <c r="F1202" s="168" t="s">
        <v>519</v>
      </c>
      <c r="G1202" s="165">
        <f>IFERROR(VLOOKUP(F1202,'menu list'!B:C,2,FALSE)*E1202,"0")</f>
        <v>999</v>
      </c>
      <c r="H1202" s="334">
        <f t="shared" si="83"/>
        <v>149.85</v>
      </c>
      <c r="I1202" s="165">
        <f t="shared" si="84"/>
        <v>1148.8499999999999</v>
      </c>
    </row>
    <row r="1203" spans="1:9" ht="12.75" hidden="1" x14ac:dyDescent="0.25">
      <c r="A1203" s="167">
        <f t="shared" si="87"/>
        <v>1202</v>
      </c>
      <c r="B1203" s="168" t="s">
        <v>1053</v>
      </c>
      <c r="C1203" s="168" t="str">
        <f>VLOOKUP(B1203,MEMBERS!B:C,2, )</f>
        <v>MR. ZAMIR ALI SHAH</v>
      </c>
      <c r="D1203" s="323">
        <v>46013</v>
      </c>
      <c r="E1203" s="175">
        <v>1</v>
      </c>
      <c r="F1203" s="168" t="s">
        <v>440</v>
      </c>
      <c r="G1203" s="165">
        <f>IFERROR(VLOOKUP(F1203,'menu list'!B:C,2,FALSE)*E1203,"0")</f>
        <v>150</v>
      </c>
      <c r="H1203" s="334">
        <f t="shared" si="83"/>
        <v>22.5</v>
      </c>
      <c r="I1203" s="165">
        <f t="shared" si="84"/>
        <v>172.5</v>
      </c>
    </row>
    <row r="1204" spans="1:9" ht="12.75" hidden="1" x14ac:dyDescent="0.25">
      <c r="A1204" s="167">
        <f t="shared" si="87"/>
        <v>1203</v>
      </c>
      <c r="B1204" s="168" t="s">
        <v>376</v>
      </c>
      <c r="C1204" s="168" t="str">
        <f>VLOOKUP(B1204,MEMBERS!B:C,2, )</f>
        <v>KHURRAM FIRDOUS</v>
      </c>
      <c r="D1204" s="323">
        <v>46013</v>
      </c>
      <c r="E1204" s="175">
        <v>1</v>
      </c>
      <c r="F1204" s="168" t="s">
        <v>500</v>
      </c>
      <c r="G1204" s="165">
        <f>IFERROR(VLOOKUP(F1204,'menu list'!B:C,2,FALSE)*E1204,"0")</f>
        <v>1250</v>
      </c>
      <c r="H1204" s="334">
        <f t="shared" si="83"/>
        <v>187.5</v>
      </c>
      <c r="I1204" s="165">
        <f t="shared" si="84"/>
        <v>1437.5</v>
      </c>
    </row>
    <row r="1205" spans="1:9" ht="12.75" hidden="1" x14ac:dyDescent="0.25">
      <c r="A1205" s="167">
        <f t="shared" si="87"/>
        <v>1204</v>
      </c>
      <c r="B1205" s="168" t="s">
        <v>376</v>
      </c>
      <c r="C1205" s="168" t="str">
        <f>VLOOKUP(B1205,MEMBERS!B:C,2, )</f>
        <v>KHURRAM FIRDOUS</v>
      </c>
      <c r="D1205" s="323">
        <v>46013</v>
      </c>
      <c r="E1205" s="175">
        <v>2</v>
      </c>
      <c r="F1205" s="168" t="s">
        <v>498</v>
      </c>
      <c r="G1205" s="165">
        <f>IFERROR(VLOOKUP(F1205,'menu list'!B:C,2,FALSE)*E1205,"0")</f>
        <v>400</v>
      </c>
      <c r="H1205" s="334">
        <f t="shared" si="83"/>
        <v>60</v>
      </c>
      <c r="I1205" s="165">
        <f t="shared" si="84"/>
        <v>460</v>
      </c>
    </row>
    <row r="1206" spans="1:9" ht="12.75" hidden="1" x14ac:dyDescent="0.25">
      <c r="A1206" s="167">
        <f t="shared" si="87"/>
        <v>1205</v>
      </c>
      <c r="B1206" s="168" t="s">
        <v>98</v>
      </c>
      <c r="C1206" s="168" t="str">
        <f>VLOOKUP(B1206,MEMBERS!B:C,2, )</f>
        <v>MR.HAFEEZ AHMED SIYAL</v>
      </c>
      <c r="D1206" s="323">
        <v>46013</v>
      </c>
      <c r="E1206" s="175">
        <v>1</v>
      </c>
      <c r="F1206" s="168" t="s">
        <v>499</v>
      </c>
      <c r="G1206" s="165">
        <f>IFERROR(VLOOKUP(F1206,'menu list'!B:C,2,FALSE)*E1206,"0")</f>
        <v>100</v>
      </c>
      <c r="H1206" s="334">
        <f t="shared" si="83"/>
        <v>15</v>
      </c>
      <c r="I1206" s="165">
        <f t="shared" si="84"/>
        <v>115</v>
      </c>
    </row>
    <row r="1207" spans="1:9" ht="12.75" hidden="1" x14ac:dyDescent="0.25">
      <c r="A1207" s="167">
        <f t="shared" si="87"/>
        <v>1206</v>
      </c>
      <c r="B1207" s="168" t="s">
        <v>1053</v>
      </c>
      <c r="C1207" s="168" t="str">
        <f>VLOOKUP(B1207,MEMBERS!B:C,2, )</f>
        <v>MR. ZAMIR ALI SHAH</v>
      </c>
      <c r="D1207" s="323">
        <v>46013</v>
      </c>
      <c r="E1207" s="175">
        <v>2</v>
      </c>
      <c r="F1207" s="168" t="s">
        <v>500</v>
      </c>
      <c r="G1207" s="165">
        <f>IFERROR(VLOOKUP(F1207,'menu list'!B:C,2,FALSE)*E1207,"0")</f>
        <v>2500</v>
      </c>
      <c r="H1207" s="334">
        <f t="shared" si="83"/>
        <v>375</v>
      </c>
      <c r="I1207" s="165">
        <f t="shared" si="84"/>
        <v>2875</v>
      </c>
    </row>
    <row r="1208" spans="1:9" ht="12.75" hidden="1" x14ac:dyDescent="0.25">
      <c r="A1208" s="167">
        <f t="shared" si="87"/>
        <v>1207</v>
      </c>
      <c r="B1208" s="168" t="s">
        <v>1053</v>
      </c>
      <c r="C1208" s="168" t="str">
        <f>VLOOKUP(B1208,MEMBERS!B:C,2, )</f>
        <v>MR. ZAMIR ALI SHAH</v>
      </c>
      <c r="D1208" s="323">
        <v>46013</v>
      </c>
      <c r="E1208" s="175">
        <v>3</v>
      </c>
      <c r="F1208" s="168" t="s">
        <v>633</v>
      </c>
      <c r="G1208" s="165">
        <f>IFERROR(VLOOKUP(F1208,'menu list'!B:C,2,FALSE)*E1208,"0")</f>
        <v>2100</v>
      </c>
      <c r="H1208" s="334">
        <f t="shared" si="83"/>
        <v>315</v>
      </c>
      <c r="I1208" s="165">
        <f t="shared" si="84"/>
        <v>2415</v>
      </c>
    </row>
    <row r="1209" spans="1:9" ht="12.75" hidden="1" x14ac:dyDescent="0.25">
      <c r="A1209" s="167">
        <f t="shared" si="87"/>
        <v>1208</v>
      </c>
      <c r="B1209" s="168" t="s">
        <v>1053</v>
      </c>
      <c r="C1209" s="168" t="str">
        <f>VLOOKUP(B1209,MEMBERS!B:C,2, )</f>
        <v>MR. ZAMIR ALI SHAH</v>
      </c>
      <c r="D1209" s="323">
        <v>46013</v>
      </c>
      <c r="E1209" s="175">
        <v>1</v>
      </c>
      <c r="F1209" s="168" t="s">
        <v>803</v>
      </c>
      <c r="G1209" s="165">
        <f>IFERROR(VLOOKUP(F1209,'menu list'!B:C,2,FALSE)*E1209,"0")</f>
        <v>250</v>
      </c>
      <c r="H1209" s="334">
        <f t="shared" si="83"/>
        <v>37.5</v>
      </c>
      <c r="I1209" s="165">
        <f t="shared" si="84"/>
        <v>287.5</v>
      </c>
    </row>
    <row r="1210" spans="1:9" ht="12.75" hidden="1" x14ac:dyDescent="0.25">
      <c r="A1210" s="167">
        <f t="shared" si="87"/>
        <v>1209</v>
      </c>
      <c r="B1210" s="168" t="s">
        <v>1053</v>
      </c>
      <c r="C1210" s="168" t="str">
        <f>VLOOKUP(B1210,MEMBERS!B:C,2, )</f>
        <v>MR. ZAMIR ALI SHAH</v>
      </c>
      <c r="D1210" s="323">
        <v>46013</v>
      </c>
      <c r="E1210" s="175">
        <v>6</v>
      </c>
      <c r="F1210" s="168" t="s">
        <v>442</v>
      </c>
      <c r="G1210" s="165">
        <f>IFERROR(VLOOKUP(F1210,'menu list'!B:C,2,FALSE)*E1210,"0")</f>
        <v>900</v>
      </c>
      <c r="H1210" s="334">
        <f t="shared" si="83"/>
        <v>135</v>
      </c>
      <c r="I1210" s="165">
        <f t="shared" si="84"/>
        <v>1035</v>
      </c>
    </row>
    <row r="1211" spans="1:9" ht="12.75" hidden="1" x14ac:dyDescent="0.25">
      <c r="A1211" s="167">
        <f t="shared" si="87"/>
        <v>1210</v>
      </c>
      <c r="B1211" s="168" t="s">
        <v>1053</v>
      </c>
      <c r="C1211" s="168" t="str">
        <f>VLOOKUP(B1211,MEMBERS!B:C,2, )</f>
        <v>MR. ZAMIR ALI SHAH</v>
      </c>
      <c r="D1211" s="323">
        <v>46013</v>
      </c>
      <c r="E1211" s="175">
        <v>1</v>
      </c>
      <c r="F1211" s="168" t="s">
        <v>440</v>
      </c>
      <c r="G1211" s="165">
        <f>IFERROR(VLOOKUP(F1211,'menu list'!B:C,2,FALSE)*E1211,"0")</f>
        <v>150</v>
      </c>
      <c r="H1211" s="334">
        <f t="shared" si="83"/>
        <v>22.5</v>
      </c>
      <c r="I1211" s="165">
        <f t="shared" si="84"/>
        <v>172.5</v>
      </c>
    </row>
    <row r="1212" spans="1:9" ht="12.75" hidden="1" x14ac:dyDescent="0.25">
      <c r="A1212" s="167">
        <f t="shared" si="87"/>
        <v>1211</v>
      </c>
      <c r="B1212" s="168" t="s">
        <v>385</v>
      </c>
      <c r="C1212" s="168" t="str">
        <f>VLOOKUP(B1212,MEMBERS!B:C,2, )</f>
        <v>AYSM MIRZA</v>
      </c>
      <c r="D1212" s="323">
        <v>46013</v>
      </c>
      <c r="E1212" s="175">
        <v>2</v>
      </c>
      <c r="F1212" s="168" t="s">
        <v>786</v>
      </c>
      <c r="G1212" s="165">
        <f>IFERROR(VLOOKUP(F1212,'menu list'!B:C,2,FALSE)*E1212,"0")</f>
        <v>2300</v>
      </c>
      <c r="H1212" s="334">
        <f t="shared" si="83"/>
        <v>345</v>
      </c>
      <c r="I1212" s="165">
        <f t="shared" si="84"/>
        <v>2645</v>
      </c>
    </row>
    <row r="1213" spans="1:9" ht="12.75" hidden="1" x14ac:dyDescent="0.25">
      <c r="A1213" s="167">
        <f t="shared" si="87"/>
        <v>1212</v>
      </c>
      <c r="B1213" s="168" t="s">
        <v>385</v>
      </c>
      <c r="C1213" s="168" t="str">
        <f>VLOOKUP(B1213,MEMBERS!B:C,2, )</f>
        <v>AYSM MIRZA</v>
      </c>
      <c r="D1213" s="323">
        <v>46013</v>
      </c>
      <c r="E1213" s="175">
        <v>2</v>
      </c>
      <c r="F1213" s="168" t="s">
        <v>939</v>
      </c>
      <c r="G1213" s="165">
        <f>IFERROR(VLOOKUP(F1213,'menu list'!B:C,2,FALSE)*E1213,"0")</f>
        <v>2400</v>
      </c>
      <c r="H1213" s="334">
        <f t="shared" si="83"/>
        <v>360</v>
      </c>
      <c r="I1213" s="165">
        <f t="shared" si="84"/>
        <v>2760</v>
      </c>
    </row>
    <row r="1214" spans="1:9" ht="12.75" hidden="1" x14ac:dyDescent="0.25">
      <c r="A1214" s="167">
        <f t="shared" ref="A1214:A1222" si="88">IF(D1214&lt;&gt;"", ROW()-1, "")</f>
        <v>1213</v>
      </c>
      <c r="B1214" s="168" t="s">
        <v>385</v>
      </c>
      <c r="C1214" s="168" t="str">
        <f>VLOOKUP(B1214,MEMBERS!B:C,2, )</f>
        <v>AYSM MIRZA</v>
      </c>
      <c r="D1214" s="323">
        <v>46013</v>
      </c>
      <c r="E1214" s="175">
        <v>2</v>
      </c>
      <c r="F1214" s="168" t="s">
        <v>772</v>
      </c>
      <c r="G1214" s="165">
        <f>IFERROR(VLOOKUP(F1214,'menu list'!B:C,2,FALSE)*E1214,"0")</f>
        <v>1800</v>
      </c>
      <c r="H1214" s="334">
        <f t="shared" si="83"/>
        <v>270</v>
      </c>
      <c r="I1214" s="165">
        <f t="shared" si="84"/>
        <v>2070</v>
      </c>
    </row>
    <row r="1215" spans="1:9" ht="12.75" hidden="1" x14ac:dyDescent="0.25">
      <c r="A1215" s="167">
        <f t="shared" si="88"/>
        <v>1214</v>
      </c>
      <c r="B1215" s="168" t="s">
        <v>385</v>
      </c>
      <c r="C1215" s="168" t="str">
        <f>VLOOKUP(B1215,MEMBERS!B:C,2, )</f>
        <v>AYSM MIRZA</v>
      </c>
      <c r="D1215" s="323">
        <v>46013</v>
      </c>
      <c r="E1215" s="175">
        <v>2</v>
      </c>
      <c r="F1215" s="168" t="s">
        <v>1195</v>
      </c>
      <c r="G1215" s="165">
        <f>IFERROR(VLOOKUP(F1215,'menu list'!B:C,2,FALSE)*E1215,"0")</f>
        <v>1998</v>
      </c>
      <c r="H1215" s="334">
        <f t="shared" si="83"/>
        <v>299.7</v>
      </c>
      <c r="I1215" s="165">
        <f t="shared" si="84"/>
        <v>2297.6999999999998</v>
      </c>
    </row>
    <row r="1216" spans="1:9" ht="12.75" hidden="1" x14ac:dyDescent="0.25">
      <c r="A1216" s="167">
        <f t="shared" si="88"/>
        <v>1215</v>
      </c>
      <c r="B1216" s="168" t="s">
        <v>385</v>
      </c>
      <c r="C1216" s="168" t="str">
        <f>VLOOKUP(B1216,MEMBERS!B:C,2, )</f>
        <v>AYSM MIRZA</v>
      </c>
      <c r="D1216" s="323">
        <v>46013</v>
      </c>
      <c r="E1216" s="175">
        <v>1</v>
      </c>
      <c r="F1216" s="168" t="s">
        <v>766</v>
      </c>
      <c r="G1216" s="165">
        <f>IFERROR(VLOOKUP(F1216,'menu list'!B:C,2,FALSE)*E1216,"0")</f>
        <v>550</v>
      </c>
      <c r="H1216" s="334">
        <f t="shared" si="83"/>
        <v>82.5</v>
      </c>
      <c r="I1216" s="165">
        <f t="shared" si="84"/>
        <v>632.5</v>
      </c>
    </row>
    <row r="1217" spans="1:9" ht="12.75" hidden="1" x14ac:dyDescent="0.25">
      <c r="A1217" s="167">
        <f t="shared" si="88"/>
        <v>1216</v>
      </c>
      <c r="B1217" s="168" t="s">
        <v>385</v>
      </c>
      <c r="C1217" s="168" t="str">
        <f>VLOOKUP(B1217,MEMBERS!B:C,2, )</f>
        <v>AYSM MIRZA</v>
      </c>
      <c r="D1217" s="323">
        <v>46013</v>
      </c>
      <c r="E1217" s="175">
        <v>1</v>
      </c>
      <c r="F1217" s="168" t="s">
        <v>802</v>
      </c>
      <c r="G1217" s="165">
        <f>IFERROR(VLOOKUP(F1217,'menu list'!B:C,2,FALSE)*E1217,"0")</f>
        <v>500</v>
      </c>
      <c r="H1217" s="334">
        <f t="shared" si="83"/>
        <v>75</v>
      </c>
      <c r="I1217" s="165">
        <f t="shared" si="84"/>
        <v>575</v>
      </c>
    </row>
    <row r="1218" spans="1:9" ht="12.75" hidden="1" x14ac:dyDescent="0.25">
      <c r="A1218" s="167">
        <f t="shared" si="88"/>
        <v>1217</v>
      </c>
      <c r="B1218" s="168" t="s">
        <v>385</v>
      </c>
      <c r="C1218" s="168" t="str">
        <f>VLOOKUP(B1218,MEMBERS!B:C,2, )</f>
        <v>AYSM MIRZA</v>
      </c>
      <c r="D1218" s="323">
        <v>46013</v>
      </c>
      <c r="E1218" s="175">
        <v>2</v>
      </c>
      <c r="F1218" s="168" t="s">
        <v>634</v>
      </c>
      <c r="G1218" s="165">
        <f>IFERROR(VLOOKUP(F1218,'menu list'!B:C,2,FALSE)*E1218,"0")</f>
        <v>1000</v>
      </c>
      <c r="H1218" s="334">
        <f t="shared" ref="H1218:H1222" si="89">G1218*15/100</f>
        <v>150</v>
      </c>
      <c r="I1218" s="165">
        <f t="shared" si="84"/>
        <v>1150</v>
      </c>
    </row>
    <row r="1219" spans="1:9" ht="12.75" hidden="1" x14ac:dyDescent="0.25">
      <c r="A1219" s="167">
        <f t="shared" si="88"/>
        <v>1218</v>
      </c>
      <c r="B1219" s="168" t="s">
        <v>385</v>
      </c>
      <c r="C1219" s="168" t="str">
        <f>VLOOKUP(B1219,MEMBERS!B:C,2, )</f>
        <v>AYSM MIRZA</v>
      </c>
      <c r="D1219" s="323">
        <v>46013</v>
      </c>
      <c r="E1219" s="175">
        <v>2</v>
      </c>
      <c r="F1219" s="168" t="s">
        <v>440</v>
      </c>
      <c r="G1219" s="165">
        <f>IFERROR(VLOOKUP(F1219,'menu list'!B:C,2,FALSE)*E1219,"0")</f>
        <v>300</v>
      </c>
      <c r="H1219" s="334">
        <f t="shared" si="89"/>
        <v>45</v>
      </c>
      <c r="I1219" s="165">
        <f t="shared" ref="I1219:I1252" si="90">G1219+H1219</f>
        <v>345</v>
      </c>
    </row>
    <row r="1220" spans="1:9" ht="12.75" hidden="1" x14ac:dyDescent="0.25">
      <c r="A1220" s="167">
        <f t="shared" si="88"/>
        <v>1219</v>
      </c>
      <c r="B1220" s="168" t="s">
        <v>385</v>
      </c>
      <c r="C1220" s="168" t="str">
        <f>VLOOKUP(B1220,MEMBERS!B:C,2, )</f>
        <v>AYSM MIRZA</v>
      </c>
      <c r="D1220" s="323">
        <v>46013</v>
      </c>
      <c r="E1220" s="175">
        <v>4</v>
      </c>
      <c r="F1220" s="168" t="s">
        <v>925</v>
      </c>
      <c r="G1220" s="165">
        <f>IFERROR(VLOOKUP(F1220,'menu list'!B:C,2,FALSE)*E1220,"0")</f>
        <v>1596</v>
      </c>
      <c r="H1220" s="334">
        <f t="shared" si="89"/>
        <v>239.4</v>
      </c>
      <c r="I1220" s="165">
        <f t="shared" si="90"/>
        <v>1835.4</v>
      </c>
    </row>
    <row r="1221" spans="1:9" ht="12.75" hidden="1" x14ac:dyDescent="0.25">
      <c r="A1221" s="167">
        <f t="shared" si="88"/>
        <v>1220</v>
      </c>
      <c r="B1221" s="168" t="s">
        <v>385</v>
      </c>
      <c r="C1221" s="168" t="str">
        <f>VLOOKUP(B1221,MEMBERS!B:C,2, )</f>
        <v>AYSM MIRZA</v>
      </c>
      <c r="D1221" s="323">
        <v>46013</v>
      </c>
      <c r="E1221" s="175">
        <v>1</v>
      </c>
      <c r="F1221" s="168" t="s">
        <v>442</v>
      </c>
      <c r="G1221" s="165">
        <f>IFERROR(VLOOKUP(F1221,'menu list'!B:C,2,FALSE)*E1221,"0")</f>
        <v>150</v>
      </c>
      <c r="H1221" s="334">
        <f t="shared" si="89"/>
        <v>22.5</v>
      </c>
      <c r="I1221" s="165">
        <f t="shared" si="90"/>
        <v>172.5</v>
      </c>
    </row>
    <row r="1222" spans="1:9" ht="12.75" hidden="1" x14ac:dyDescent="0.25">
      <c r="A1222" s="167">
        <f t="shared" si="88"/>
        <v>1221</v>
      </c>
      <c r="B1222" s="168" t="s">
        <v>306</v>
      </c>
      <c r="C1222" s="168" t="str">
        <f>VLOOKUP(B1222,MEMBERS!B:C,2, )</f>
        <v>BRIG.KHALID MEHMOOD</v>
      </c>
      <c r="D1222" s="323">
        <v>46014</v>
      </c>
      <c r="E1222" s="175">
        <v>20</v>
      </c>
      <c r="F1222" s="168" t="s">
        <v>653</v>
      </c>
      <c r="G1222" s="165">
        <f>IFERROR(VLOOKUP(F1222,'menu list'!B:C,2,FALSE)*E1222,"0")</f>
        <v>7000</v>
      </c>
      <c r="H1222" s="334">
        <f t="shared" si="89"/>
        <v>1050</v>
      </c>
      <c r="I1222" s="165">
        <f t="shared" si="90"/>
        <v>8050</v>
      </c>
    </row>
    <row r="1223" spans="1:9" ht="12.75" hidden="1" x14ac:dyDescent="0.25">
      <c r="A1223" s="167">
        <f t="shared" ref="A1223:A1252" si="91">IF(D1223&lt;&gt;"", ROW()-1, "")</f>
        <v>1222</v>
      </c>
      <c r="B1223" s="168" t="s">
        <v>306</v>
      </c>
      <c r="C1223" s="168" t="str">
        <f>VLOOKUP(B1223,MEMBERS!B:C,2, )</f>
        <v>BRIG.KHALID MEHMOOD</v>
      </c>
      <c r="D1223" s="323">
        <v>46014</v>
      </c>
      <c r="E1223" s="175">
        <v>7</v>
      </c>
      <c r="F1223" s="168" t="s">
        <v>560</v>
      </c>
      <c r="G1223" s="165">
        <f>IFERROR(VLOOKUP(F1223,'menu list'!B:C,2,FALSE)*E1223,"0")</f>
        <v>2100</v>
      </c>
      <c r="H1223" s="334">
        <f t="shared" ref="H1223:H1252" si="92">G1223*15/100</f>
        <v>315</v>
      </c>
      <c r="I1223" s="165">
        <f t="shared" si="90"/>
        <v>2415</v>
      </c>
    </row>
    <row r="1224" spans="1:9" ht="12.75" hidden="1" x14ac:dyDescent="0.25">
      <c r="A1224" s="167">
        <f t="shared" si="91"/>
        <v>1223</v>
      </c>
      <c r="B1224" s="168" t="s">
        <v>306</v>
      </c>
      <c r="C1224" s="168" t="str">
        <f>VLOOKUP(B1224,MEMBERS!B:C,2, )</f>
        <v>BRIG.KHALID MEHMOOD</v>
      </c>
      <c r="D1224" s="323">
        <v>46014</v>
      </c>
      <c r="E1224" s="175">
        <v>7</v>
      </c>
      <c r="F1224" s="168" t="s">
        <v>910</v>
      </c>
      <c r="G1224" s="165">
        <f>IFERROR(VLOOKUP(F1224,'menu list'!B:C,2,FALSE)*E1224,"0")</f>
        <v>2100</v>
      </c>
      <c r="H1224" s="334">
        <f t="shared" si="92"/>
        <v>315</v>
      </c>
      <c r="I1224" s="165">
        <f t="shared" si="90"/>
        <v>2415</v>
      </c>
    </row>
    <row r="1225" spans="1:9" ht="12.75" hidden="1" x14ac:dyDescent="0.25">
      <c r="A1225" s="167">
        <f t="shared" si="91"/>
        <v>1224</v>
      </c>
      <c r="B1225" s="168" t="s">
        <v>306</v>
      </c>
      <c r="C1225" s="168" t="str">
        <f>VLOOKUP(B1225,MEMBERS!B:C,2, )</f>
        <v>BRIG.KHALID MEHMOOD</v>
      </c>
      <c r="D1225" s="323">
        <v>46014</v>
      </c>
      <c r="E1225" s="175">
        <v>7</v>
      </c>
      <c r="F1225" s="168" t="s">
        <v>785</v>
      </c>
      <c r="G1225" s="165">
        <f>IFERROR(VLOOKUP(F1225,'menu list'!B:C,2,FALSE)*E1225,"0")</f>
        <v>6650</v>
      </c>
      <c r="H1225" s="334">
        <f t="shared" si="92"/>
        <v>997.5</v>
      </c>
      <c r="I1225" s="165">
        <f t="shared" si="90"/>
        <v>7647.5</v>
      </c>
    </row>
    <row r="1226" spans="1:9" ht="12.75" hidden="1" x14ac:dyDescent="0.25">
      <c r="A1226" s="167">
        <f t="shared" si="91"/>
        <v>1225</v>
      </c>
      <c r="B1226" s="168" t="s">
        <v>306</v>
      </c>
      <c r="C1226" s="168" t="str">
        <f>VLOOKUP(B1226,MEMBERS!B:C,2, )</f>
        <v>BRIG.KHALID MEHMOOD</v>
      </c>
      <c r="D1226" s="323">
        <v>46014</v>
      </c>
      <c r="E1226" s="175">
        <v>8</v>
      </c>
      <c r="F1226" s="168" t="s">
        <v>711</v>
      </c>
      <c r="G1226" s="165">
        <f>IFERROR(VLOOKUP(F1226,'menu list'!B:C,2,FALSE)*E1226,"0")</f>
        <v>6800</v>
      </c>
      <c r="H1226" s="334">
        <f t="shared" si="92"/>
        <v>1020</v>
      </c>
      <c r="I1226" s="165">
        <f t="shared" si="90"/>
        <v>7820</v>
      </c>
    </row>
    <row r="1227" spans="1:9" ht="12.75" hidden="1" x14ac:dyDescent="0.25">
      <c r="A1227" s="167">
        <f t="shared" si="91"/>
        <v>1226</v>
      </c>
      <c r="B1227" s="168" t="s">
        <v>306</v>
      </c>
      <c r="C1227" s="168" t="str">
        <f>VLOOKUP(B1227,MEMBERS!B:C,2, )</f>
        <v>BRIG.KHALID MEHMOOD</v>
      </c>
      <c r="D1227" s="323">
        <v>46014</v>
      </c>
      <c r="E1227" s="175">
        <v>7</v>
      </c>
      <c r="F1227" s="168" t="s">
        <v>718</v>
      </c>
      <c r="G1227" s="165">
        <f>IFERROR(VLOOKUP(F1227,'menu list'!B:C,2,FALSE)*E1227,"0")</f>
        <v>5600</v>
      </c>
      <c r="H1227" s="334">
        <f t="shared" si="92"/>
        <v>840</v>
      </c>
      <c r="I1227" s="165">
        <f t="shared" si="90"/>
        <v>6440</v>
      </c>
    </row>
    <row r="1228" spans="1:9" ht="12.75" hidden="1" x14ac:dyDescent="0.25">
      <c r="A1228" s="167">
        <f t="shared" si="91"/>
        <v>1227</v>
      </c>
      <c r="B1228" s="168" t="s">
        <v>306</v>
      </c>
      <c r="C1228" s="168" t="str">
        <f>VLOOKUP(B1228,MEMBERS!B:C,2, )</f>
        <v>BRIG.KHALID MEHMOOD</v>
      </c>
      <c r="D1228" s="323">
        <v>46014</v>
      </c>
      <c r="E1228" s="175">
        <v>8</v>
      </c>
      <c r="F1228" s="168" t="s">
        <v>811</v>
      </c>
      <c r="G1228" s="165">
        <f>IFERROR(VLOOKUP(F1228,'menu list'!B:C,2,FALSE)*E1228,"0")</f>
        <v>11600</v>
      </c>
      <c r="H1228" s="334">
        <f t="shared" si="92"/>
        <v>1740</v>
      </c>
      <c r="I1228" s="165">
        <f t="shared" si="90"/>
        <v>13340</v>
      </c>
    </row>
    <row r="1229" spans="1:9" ht="12.75" hidden="1" x14ac:dyDescent="0.25">
      <c r="A1229" s="167">
        <f t="shared" si="91"/>
        <v>1228</v>
      </c>
      <c r="B1229" s="168" t="s">
        <v>306</v>
      </c>
      <c r="C1229" s="168" t="str">
        <f>VLOOKUP(B1229,MEMBERS!B:C,2, )</f>
        <v>BRIG.KHALID MEHMOOD</v>
      </c>
      <c r="D1229" s="323">
        <v>46014</v>
      </c>
      <c r="E1229" s="175">
        <v>21</v>
      </c>
      <c r="F1229" s="168" t="s">
        <v>926</v>
      </c>
      <c r="G1229" s="165">
        <f>IFERROR(VLOOKUP(F1229,'menu list'!B:C,2,FALSE)*E1229,"0")</f>
        <v>4620</v>
      </c>
      <c r="H1229" s="334">
        <f t="shared" si="92"/>
        <v>693</v>
      </c>
      <c r="I1229" s="165">
        <f t="shared" si="90"/>
        <v>5313</v>
      </c>
    </row>
    <row r="1230" spans="1:9" ht="12.75" hidden="1" x14ac:dyDescent="0.25">
      <c r="A1230" s="167">
        <f t="shared" si="91"/>
        <v>1229</v>
      </c>
      <c r="B1230" s="168" t="s">
        <v>306</v>
      </c>
      <c r="C1230" s="168" t="str">
        <f>VLOOKUP(B1230,MEMBERS!B:C,2, )</f>
        <v>BRIG.KHALID MEHMOOD</v>
      </c>
      <c r="D1230" s="323">
        <v>46014</v>
      </c>
      <c r="E1230" s="175">
        <v>6</v>
      </c>
      <c r="F1230" s="168" t="s">
        <v>440</v>
      </c>
      <c r="G1230" s="165">
        <f>IFERROR(VLOOKUP(F1230,'menu list'!B:C,2,FALSE)*E1230,"0")</f>
        <v>900</v>
      </c>
      <c r="H1230" s="334">
        <f t="shared" si="92"/>
        <v>135</v>
      </c>
      <c r="I1230" s="165">
        <f t="shared" si="90"/>
        <v>1035</v>
      </c>
    </row>
    <row r="1231" spans="1:9" ht="12.75" hidden="1" x14ac:dyDescent="0.25">
      <c r="A1231" s="167">
        <f t="shared" si="91"/>
        <v>1230</v>
      </c>
      <c r="B1231" s="339" t="s">
        <v>306</v>
      </c>
      <c r="C1231" s="168" t="str">
        <f>VLOOKUP(B1231,MEMBERS!B:C,2, )</f>
        <v>BRIG.KHALID MEHMOOD</v>
      </c>
      <c r="D1231" s="323">
        <v>46014</v>
      </c>
      <c r="E1231" s="175">
        <v>20</v>
      </c>
      <c r="F1231" s="168" t="s">
        <v>442</v>
      </c>
      <c r="G1231" s="165">
        <f>IFERROR(VLOOKUP(F1231,'menu list'!B:C,2,FALSE)*E1231,"0")</f>
        <v>3000</v>
      </c>
      <c r="H1231" s="334">
        <f t="shared" si="92"/>
        <v>450</v>
      </c>
      <c r="I1231" s="165">
        <f t="shared" si="90"/>
        <v>3450</v>
      </c>
    </row>
    <row r="1232" spans="1:9" ht="12.75" hidden="1" x14ac:dyDescent="0.25">
      <c r="A1232" s="340">
        <f t="shared" si="91"/>
        <v>1231</v>
      </c>
      <c r="B1232" s="339" t="s">
        <v>454</v>
      </c>
      <c r="C1232" s="341" t="str">
        <f>VLOOKUP(B1232,MEMBERS!B:C,2, )</f>
        <v>Heritage club</v>
      </c>
      <c r="D1232" s="323">
        <v>46014</v>
      </c>
      <c r="E1232" s="175">
        <v>2</v>
      </c>
      <c r="F1232" s="168" t="s">
        <v>440</v>
      </c>
      <c r="G1232" s="165">
        <f>IFERROR(VLOOKUP(F1232,'menu list'!B:C,2,FALSE)*E1232,"0")</f>
        <v>300</v>
      </c>
      <c r="H1232" s="334">
        <f t="shared" si="92"/>
        <v>45</v>
      </c>
      <c r="I1232" s="165">
        <f t="shared" si="90"/>
        <v>345</v>
      </c>
    </row>
    <row r="1233" spans="1:9" ht="12.75" hidden="1" x14ac:dyDescent="0.25">
      <c r="A1233" s="167">
        <f t="shared" si="91"/>
        <v>1232</v>
      </c>
      <c r="B1233" s="339" t="s">
        <v>454</v>
      </c>
      <c r="C1233" s="341" t="str">
        <f>VLOOKUP(B1233,MEMBERS!B:C,2, )</f>
        <v>Heritage club</v>
      </c>
      <c r="D1233" s="323">
        <v>46014</v>
      </c>
      <c r="E1233" s="175">
        <v>1</v>
      </c>
      <c r="F1233" s="168" t="s">
        <v>500</v>
      </c>
      <c r="G1233" s="165">
        <f>IFERROR(VLOOKUP(F1233,'menu list'!B:C,2,FALSE)*E1233,"0")</f>
        <v>1250</v>
      </c>
      <c r="H1233" s="334">
        <f t="shared" si="92"/>
        <v>187.5</v>
      </c>
      <c r="I1233" s="165">
        <f t="shared" si="90"/>
        <v>1437.5</v>
      </c>
    </row>
    <row r="1234" spans="1:9" ht="12.75" hidden="1" x14ac:dyDescent="0.25">
      <c r="A1234" s="167">
        <f t="shared" si="91"/>
        <v>1233</v>
      </c>
      <c r="B1234" s="339" t="s">
        <v>454</v>
      </c>
      <c r="C1234" s="341" t="str">
        <f>VLOOKUP(B1234,MEMBERS!B:C,2, )</f>
        <v>Heritage club</v>
      </c>
      <c r="D1234" s="323">
        <v>46014</v>
      </c>
      <c r="E1234" s="175">
        <v>2</v>
      </c>
      <c r="F1234" s="168" t="s">
        <v>583</v>
      </c>
      <c r="G1234" s="165">
        <f>IFERROR(VLOOKUP(F1234,'menu list'!B:C,2,FALSE)*E1234,"0")</f>
        <v>700</v>
      </c>
      <c r="H1234" s="334">
        <f t="shared" si="92"/>
        <v>105</v>
      </c>
      <c r="I1234" s="165">
        <f t="shared" si="90"/>
        <v>805</v>
      </c>
    </row>
    <row r="1235" spans="1:9" ht="12.75" hidden="1" x14ac:dyDescent="0.25">
      <c r="A1235" s="167">
        <f t="shared" si="91"/>
        <v>1234</v>
      </c>
      <c r="B1235" s="339" t="s">
        <v>454</v>
      </c>
      <c r="C1235" s="341" t="str">
        <f>VLOOKUP(B1235,MEMBERS!B:C,2, )</f>
        <v>Heritage club</v>
      </c>
      <c r="D1235" s="323">
        <v>46014</v>
      </c>
      <c r="E1235" s="175">
        <v>1</v>
      </c>
      <c r="F1235" s="168" t="s">
        <v>853</v>
      </c>
      <c r="G1235" s="165">
        <f>IFERROR(VLOOKUP(F1235,'menu list'!B:C,2,FALSE)*E1235,"0")</f>
        <v>575</v>
      </c>
      <c r="H1235" s="334">
        <f t="shared" si="92"/>
        <v>86.25</v>
      </c>
      <c r="I1235" s="165">
        <f t="shared" si="90"/>
        <v>661.25</v>
      </c>
    </row>
    <row r="1236" spans="1:9" ht="12.75" hidden="1" x14ac:dyDescent="0.25">
      <c r="A1236" s="167">
        <f t="shared" si="91"/>
        <v>1235</v>
      </c>
      <c r="B1236" s="339" t="s">
        <v>454</v>
      </c>
      <c r="C1236" s="341" t="str">
        <f>VLOOKUP(B1236,MEMBERS!B:C,2, )</f>
        <v>Heritage club</v>
      </c>
      <c r="D1236" s="323">
        <v>46014</v>
      </c>
      <c r="E1236" s="175">
        <v>4</v>
      </c>
      <c r="F1236" s="168" t="s">
        <v>664</v>
      </c>
      <c r="G1236" s="165">
        <f>IFERROR(VLOOKUP(F1236,'menu list'!B:C,2,FALSE)*E1236,"0")</f>
        <v>1600</v>
      </c>
      <c r="H1236" s="334">
        <f t="shared" si="92"/>
        <v>240</v>
      </c>
      <c r="I1236" s="165">
        <f t="shared" si="90"/>
        <v>1840</v>
      </c>
    </row>
    <row r="1237" spans="1:9" ht="12.75" hidden="1" x14ac:dyDescent="0.25">
      <c r="A1237" s="167">
        <f t="shared" si="91"/>
        <v>1236</v>
      </c>
      <c r="B1237" s="339" t="s">
        <v>454</v>
      </c>
      <c r="C1237" s="341" t="str">
        <f>VLOOKUP(B1237,MEMBERS!B:C,2, )</f>
        <v>Heritage club</v>
      </c>
      <c r="D1237" s="323">
        <v>46014</v>
      </c>
      <c r="E1237" s="175">
        <v>1</v>
      </c>
      <c r="F1237" s="168" t="s">
        <v>653</v>
      </c>
      <c r="G1237" s="165">
        <f>IFERROR(VLOOKUP(F1237,'menu list'!B:C,2,FALSE)*E1237,"0")</f>
        <v>350</v>
      </c>
      <c r="H1237" s="334">
        <f t="shared" si="92"/>
        <v>52.5</v>
      </c>
      <c r="I1237" s="165">
        <f t="shared" si="90"/>
        <v>402.5</v>
      </c>
    </row>
    <row r="1238" spans="1:9" ht="12.75" hidden="1" x14ac:dyDescent="0.25">
      <c r="A1238" s="167">
        <f t="shared" si="91"/>
        <v>1237</v>
      </c>
      <c r="B1238" s="168" t="s">
        <v>113</v>
      </c>
      <c r="C1238" s="168" t="str">
        <f>VLOOKUP(B1238,MEMBERS!B:C,2, )</f>
        <v>MR.MANOJ KUMAR</v>
      </c>
      <c r="D1238" s="323">
        <v>46014</v>
      </c>
      <c r="E1238" s="175">
        <v>2</v>
      </c>
      <c r="F1238" s="168" t="s">
        <v>440</v>
      </c>
      <c r="G1238" s="165">
        <f>IFERROR(VLOOKUP(F1238,'menu list'!B:C,2,FALSE)*E1238,"0")</f>
        <v>300</v>
      </c>
      <c r="H1238" s="334">
        <f t="shared" si="92"/>
        <v>45</v>
      </c>
      <c r="I1238" s="165">
        <f t="shared" si="90"/>
        <v>345</v>
      </c>
    </row>
    <row r="1239" spans="1:9" ht="12.75" hidden="1" x14ac:dyDescent="0.25">
      <c r="A1239" s="167">
        <f t="shared" si="91"/>
        <v>1238</v>
      </c>
      <c r="B1239" s="168" t="s">
        <v>113</v>
      </c>
      <c r="C1239" s="168" t="str">
        <f>VLOOKUP(B1239,MEMBERS!B:C,2, )</f>
        <v>MR.MANOJ KUMAR</v>
      </c>
      <c r="D1239" s="323">
        <v>46014</v>
      </c>
      <c r="E1239" s="175">
        <v>3</v>
      </c>
      <c r="F1239" s="168" t="s">
        <v>910</v>
      </c>
      <c r="G1239" s="165">
        <f>IFERROR(VLOOKUP(F1239,'menu list'!B:C,2,FALSE)*E1239,"0")</f>
        <v>900</v>
      </c>
      <c r="H1239" s="334">
        <f t="shared" si="92"/>
        <v>135</v>
      </c>
      <c r="I1239" s="165">
        <f t="shared" si="90"/>
        <v>1035</v>
      </c>
    </row>
    <row r="1240" spans="1:9" ht="12.75" hidden="1" x14ac:dyDescent="0.25">
      <c r="A1240" s="167">
        <f t="shared" si="91"/>
        <v>1239</v>
      </c>
      <c r="B1240" s="168" t="s">
        <v>113</v>
      </c>
      <c r="C1240" s="168" t="str">
        <f>VLOOKUP(B1240,MEMBERS!B:C,2, )</f>
        <v>MR.MANOJ KUMAR</v>
      </c>
      <c r="D1240" s="323">
        <v>46014</v>
      </c>
      <c r="E1240" s="175">
        <v>1</v>
      </c>
      <c r="F1240" s="168" t="s">
        <v>826</v>
      </c>
      <c r="G1240" s="165">
        <f>IFERROR(VLOOKUP(F1240,'menu list'!B:C,2,FALSE)*E1240,"0")</f>
        <v>900</v>
      </c>
      <c r="H1240" s="334">
        <f t="shared" si="92"/>
        <v>135</v>
      </c>
      <c r="I1240" s="165">
        <f t="shared" si="90"/>
        <v>1035</v>
      </c>
    </row>
    <row r="1241" spans="1:9" ht="12.75" hidden="1" x14ac:dyDescent="0.25">
      <c r="A1241" s="167">
        <f t="shared" si="91"/>
        <v>1240</v>
      </c>
      <c r="B1241" s="168" t="s">
        <v>113</v>
      </c>
      <c r="C1241" s="168" t="str">
        <f>VLOOKUP(B1241,MEMBERS!B:C,2, )</f>
        <v>MR.MANOJ KUMAR</v>
      </c>
      <c r="D1241" s="323">
        <v>46014</v>
      </c>
      <c r="E1241" s="175">
        <v>1</v>
      </c>
      <c r="F1241" s="168" t="s">
        <v>728</v>
      </c>
      <c r="G1241" s="165">
        <f>IFERROR(VLOOKUP(F1241,'menu list'!B:C,2,FALSE)*E1241,"0")</f>
        <v>900</v>
      </c>
      <c r="H1241" s="334">
        <f t="shared" si="92"/>
        <v>135</v>
      </c>
      <c r="I1241" s="165">
        <f t="shared" si="90"/>
        <v>1035</v>
      </c>
    </row>
    <row r="1242" spans="1:9" ht="12.75" hidden="1" x14ac:dyDescent="0.25">
      <c r="A1242" s="167">
        <f t="shared" si="91"/>
        <v>1241</v>
      </c>
      <c r="B1242" s="168" t="s">
        <v>113</v>
      </c>
      <c r="C1242" s="168" t="str">
        <f>VLOOKUP(B1242,MEMBERS!B:C,2, )</f>
        <v>MR.MANOJ KUMAR</v>
      </c>
      <c r="D1242" s="323">
        <v>46014</v>
      </c>
      <c r="E1242" s="175">
        <v>1</v>
      </c>
      <c r="F1242" s="168" t="s">
        <v>992</v>
      </c>
      <c r="G1242" s="165">
        <f>IFERROR(VLOOKUP(F1242,'menu list'!B:C,2,FALSE)*E1242,"0")</f>
        <v>600</v>
      </c>
      <c r="H1242" s="334">
        <f t="shared" si="92"/>
        <v>90</v>
      </c>
      <c r="I1242" s="165">
        <f t="shared" si="90"/>
        <v>690</v>
      </c>
    </row>
    <row r="1243" spans="1:9" ht="12.75" hidden="1" x14ac:dyDescent="0.25">
      <c r="A1243" s="167">
        <f t="shared" si="91"/>
        <v>1242</v>
      </c>
      <c r="B1243" s="168" t="s">
        <v>113</v>
      </c>
      <c r="C1243" s="168" t="str">
        <f>VLOOKUP(B1243,MEMBERS!B:C,2, )</f>
        <v>MR.MANOJ KUMAR</v>
      </c>
      <c r="D1243" s="323">
        <v>46014</v>
      </c>
      <c r="E1243" s="175">
        <v>10</v>
      </c>
      <c r="F1243" s="168" t="s">
        <v>442</v>
      </c>
      <c r="G1243" s="165">
        <f>IFERROR(VLOOKUP(F1243,'menu list'!B:C,2,FALSE)*E1243,"0")</f>
        <v>1500</v>
      </c>
      <c r="H1243" s="334">
        <f t="shared" si="92"/>
        <v>225</v>
      </c>
      <c r="I1243" s="165">
        <f t="shared" si="90"/>
        <v>1725</v>
      </c>
    </row>
    <row r="1244" spans="1:9" ht="12.75" hidden="1" x14ac:dyDescent="0.25">
      <c r="A1244" s="167">
        <f t="shared" si="91"/>
        <v>1243</v>
      </c>
      <c r="B1244" s="168" t="s">
        <v>113</v>
      </c>
      <c r="C1244" s="168" t="str">
        <f>VLOOKUP(B1244,MEMBERS!B:C,2, )</f>
        <v>MR.MANOJ KUMAR</v>
      </c>
      <c r="D1244" s="323">
        <v>46014</v>
      </c>
      <c r="E1244" s="175">
        <v>1</v>
      </c>
      <c r="F1244" s="168" t="s">
        <v>601</v>
      </c>
      <c r="G1244" s="165">
        <f>IFERROR(VLOOKUP(F1244,'menu list'!B:C,2,FALSE)*E1244,"0")</f>
        <v>1200</v>
      </c>
      <c r="H1244" s="334">
        <f t="shared" si="92"/>
        <v>180</v>
      </c>
      <c r="I1244" s="165">
        <f t="shared" si="90"/>
        <v>1380</v>
      </c>
    </row>
    <row r="1245" spans="1:9" ht="12.75" hidden="1" x14ac:dyDescent="0.25">
      <c r="A1245" s="167">
        <f t="shared" si="91"/>
        <v>1244</v>
      </c>
      <c r="B1245" s="168" t="s">
        <v>113</v>
      </c>
      <c r="C1245" s="168" t="str">
        <f>VLOOKUP(B1245,MEMBERS!B:C,2, )</f>
        <v>MR.MANOJ KUMAR</v>
      </c>
      <c r="D1245" s="323">
        <v>46014</v>
      </c>
      <c r="E1245" s="175">
        <v>2</v>
      </c>
      <c r="F1245" s="168" t="s">
        <v>500</v>
      </c>
      <c r="G1245" s="165">
        <f>IFERROR(VLOOKUP(F1245,'menu list'!B:C,2,FALSE)*E1245,"0")</f>
        <v>2500</v>
      </c>
      <c r="H1245" s="334">
        <f t="shared" si="92"/>
        <v>375</v>
      </c>
      <c r="I1245" s="165">
        <f t="shared" si="90"/>
        <v>2875</v>
      </c>
    </row>
    <row r="1246" spans="1:9" ht="12.75" hidden="1" x14ac:dyDescent="0.25">
      <c r="A1246" s="167">
        <f t="shared" si="91"/>
        <v>1245</v>
      </c>
      <c r="B1246" s="168" t="s">
        <v>113</v>
      </c>
      <c r="C1246" s="168" t="str">
        <f>VLOOKUP(B1246,MEMBERS!B:C,2, )</f>
        <v>MR.MANOJ KUMAR</v>
      </c>
      <c r="D1246" s="323">
        <v>46014</v>
      </c>
      <c r="E1246" s="175">
        <v>1</v>
      </c>
      <c r="F1246" s="168" t="s">
        <v>939</v>
      </c>
      <c r="G1246" s="165">
        <f>IFERROR(VLOOKUP(F1246,'menu list'!B:C,2,FALSE)*E1246,"0")</f>
        <v>1200</v>
      </c>
      <c r="H1246" s="334">
        <f t="shared" si="92"/>
        <v>180</v>
      </c>
      <c r="I1246" s="165">
        <f t="shared" si="90"/>
        <v>1380</v>
      </c>
    </row>
    <row r="1247" spans="1:9" ht="12.75" hidden="1" x14ac:dyDescent="0.25">
      <c r="A1247" s="167">
        <f t="shared" si="91"/>
        <v>1246</v>
      </c>
      <c r="B1247" s="168" t="s">
        <v>113</v>
      </c>
      <c r="C1247" s="168" t="str">
        <f>VLOOKUP(B1247,MEMBERS!B:C,2, )</f>
        <v>MR.MANOJ KUMAR</v>
      </c>
      <c r="D1247" s="323">
        <v>46014</v>
      </c>
      <c r="E1247" s="175">
        <v>2</v>
      </c>
      <c r="F1247" s="168" t="s">
        <v>439</v>
      </c>
      <c r="G1247" s="165">
        <f>IFERROR(VLOOKUP(F1247,'menu list'!B:C,2,FALSE)*E1247,"0")</f>
        <v>140</v>
      </c>
      <c r="H1247" s="334">
        <f t="shared" si="92"/>
        <v>21</v>
      </c>
      <c r="I1247" s="165">
        <f t="shared" si="90"/>
        <v>161</v>
      </c>
    </row>
    <row r="1248" spans="1:9" ht="12.75" hidden="1" x14ac:dyDescent="0.25">
      <c r="A1248" s="167">
        <f t="shared" si="91"/>
        <v>1247</v>
      </c>
      <c r="B1248" s="168" t="s">
        <v>113</v>
      </c>
      <c r="C1248" s="168" t="str">
        <f>VLOOKUP(B1248,MEMBERS!B:C,2, )</f>
        <v>MR.MANOJ KUMAR</v>
      </c>
      <c r="D1248" s="323">
        <v>46014</v>
      </c>
      <c r="E1248" s="175">
        <v>1</v>
      </c>
      <c r="F1248" s="168" t="s">
        <v>441</v>
      </c>
      <c r="G1248" s="165">
        <f>IFERROR(VLOOKUP(F1248,'menu list'!B:C,2,FALSE)*E1248,"0")</f>
        <v>200</v>
      </c>
      <c r="H1248" s="334">
        <f t="shared" si="92"/>
        <v>30</v>
      </c>
      <c r="I1248" s="165">
        <f t="shared" si="90"/>
        <v>230</v>
      </c>
    </row>
    <row r="1249" spans="1:9" ht="12.75" hidden="1" x14ac:dyDescent="0.25">
      <c r="A1249" s="167">
        <f t="shared" si="91"/>
        <v>1248</v>
      </c>
      <c r="B1249" s="168" t="s">
        <v>113</v>
      </c>
      <c r="C1249" s="168" t="str">
        <f>VLOOKUP(B1249,MEMBERS!B:C,2, )</f>
        <v>MR.MANOJ KUMAR</v>
      </c>
      <c r="D1249" s="323">
        <v>46014</v>
      </c>
      <c r="E1249" s="175">
        <v>1</v>
      </c>
      <c r="F1249" s="168" t="s">
        <v>793</v>
      </c>
      <c r="G1249" s="165">
        <f>IFERROR(VLOOKUP(F1249,'menu list'!B:C,2,FALSE)*E1249,"0")</f>
        <v>800</v>
      </c>
      <c r="H1249" s="334">
        <f t="shared" si="92"/>
        <v>120</v>
      </c>
      <c r="I1249" s="165">
        <f t="shared" si="90"/>
        <v>920</v>
      </c>
    </row>
    <row r="1250" spans="1:9" ht="12.75" hidden="1" x14ac:dyDescent="0.25">
      <c r="A1250" s="167">
        <f t="shared" si="91"/>
        <v>1249</v>
      </c>
      <c r="B1250" s="168" t="s">
        <v>113</v>
      </c>
      <c r="C1250" s="168" t="str">
        <f>VLOOKUP(B1250,MEMBERS!B:C,2, )</f>
        <v>MR.MANOJ KUMAR</v>
      </c>
      <c r="D1250" s="323">
        <v>46014</v>
      </c>
      <c r="E1250" s="175">
        <v>7</v>
      </c>
      <c r="F1250" s="168" t="s">
        <v>439</v>
      </c>
      <c r="G1250" s="165">
        <f>IFERROR(VLOOKUP(F1250,'menu list'!B:C,2,FALSE)*E1250,"0")</f>
        <v>490</v>
      </c>
      <c r="H1250" s="334">
        <f t="shared" si="92"/>
        <v>73.5</v>
      </c>
      <c r="I1250" s="165">
        <f t="shared" si="90"/>
        <v>563.5</v>
      </c>
    </row>
    <row r="1251" spans="1:9" ht="12.75" hidden="1" x14ac:dyDescent="0.25">
      <c r="A1251" s="167">
        <f t="shared" si="91"/>
        <v>1250</v>
      </c>
      <c r="B1251" s="168" t="s">
        <v>113</v>
      </c>
      <c r="C1251" s="168" t="str">
        <f>VLOOKUP(B1251,MEMBERS!B:C,2, )</f>
        <v>MR.MANOJ KUMAR</v>
      </c>
      <c r="D1251" s="323">
        <v>46014</v>
      </c>
      <c r="E1251" s="175">
        <v>5</v>
      </c>
      <c r="F1251" s="168" t="s">
        <v>443</v>
      </c>
      <c r="G1251" s="165">
        <f>IFERROR(VLOOKUP(F1251,'menu list'!B:C,2,FALSE)*E1251,"0")</f>
        <v>750</v>
      </c>
      <c r="H1251" s="334">
        <f t="shared" si="92"/>
        <v>112.5</v>
      </c>
      <c r="I1251" s="165">
        <f t="shared" si="90"/>
        <v>862.5</v>
      </c>
    </row>
    <row r="1252" spans="1:9" ht="12.75" hidden="1" x14ac:dyDescent="0.25">
      <c r="A1252" s="167">
        <f t="shared" si="91"/>
        <v>1251</v>
      </c>
      <c r="B1252" s="168" t="s">
        <v>187</v>
      </c>
      <c r="C1252" s="168" t="str">
        <f>VLOOKUP(B1252,MEMBERS!B:C,2, )</f>
        <v>MR.SHAN ELAHI SEHGAL</v>
      </c>
      <c r="D1252" s="323">
        <v>46014</v>
      </c>
      <c r="E1252" s="175">
        <v>1</v>
      </c>
      <c r="F1252" s="168" t="s">
        <v>633</v>
      </c>
      <c r="G1252" s="165">
        <f>IFERROR(VLOOKUP(F1252,'menu list'!B:C,2,FALSE)*E1252,"0")</f>
        <v>700</v>
      </c>
      <c r="H1252" s="334">
        <f t="shared" si="92"/>
        <v>105</v>
      </c>
      <c r="I1252" s="165">
        <f t="shared" si="90"/>
        <v>805</v>
      </c>
    </row>
    <row r="1253" spans="1:9" ht="12.75" hidden="1" x14ac:dyDescent="0.25">
      <c r="A1253" s="167">
        <f t="shared" ref="A1253:A1268" si="93">IF(D1253&lt;&gt;"", ROW()-1, "")</f>
        <v>1252</v>
      </c>
      <c r="B1253" s="168" t="s">
        <v>187</v>
      </c>
      <c r="C1253" s="168" t="str">
        <f>VLOOKUP(B1253,MEMBERS!B:C,2, )</f>
        <v>MR.SHAN ELAHI SEHGAL</v>
      </c>
      <c r="D1253" s="323">
        <v>46014</v>
      </c>
      <c r="E1253" s="175">
        <v>1</v>
      </c>
      <c r="F1253" s="168" t="s">
        <v>498</v>
      </c>
      <c r="G1253" s="165">
        <f>IFERROR(VLOOKUP(F1253,'menu list'!B:C,2,FALSE)*E1253,"0")</f>
        <v>200</v>
      </c>
      <c r="H1253" s="334">
        <f t="shared" ref="H1253:H1268" si="94">G1253*15/100</f>
        <v>30</v>
      </c>
      <c r="I1253" s="165">
        <f t="shared" ref="I1253:I1268" si="95">G1253+H1253</f>
        <v>230</v>
      </c>
    </row>
    <row r="1254" spans="1:9" ht="12.75" hidden="1" x14ac:dyDescent="0.25">
      <c r="A1254" s="167">
        <f t="shared" si="93"/>
        <v>1253</v>
      </c>
      <c r="B1254" s="168" t="s">
        <v>187</v>
      </c>
      <c r="C1254" s="168" t="str">
        <f>VLOOKUP(B1254,MEMBERS!B:C,2, )</f>
        <v>MR.SHAN ELAHI SEHGAL</v>
      </c>
      <c r="D1254" s="323">
        <v>46014</v>
      </c>
      <c r="E1254" s="175">
        <v>1</v>
      </c>
      <c r="F1254" s="168" t="s">
        <v>499</v>
      </c>
      <c r="G1254" s="165">
        <f>IFERROR(VLOOKUP(F1254,'menu list'!B:C,2,FALSE)*E1254,"0")</f>
        <v>100</v>
      </c>
      <c r="H1254" s="334">
        <f t="shared" si="94"/>
        <v>15</v>
      </c>
      <c r="I1254" s="165">
        <f t="shared" si="95"/>
        <v>115</v>
      </c>
    </row>
    <row r="1255" spans="1:9" ht="12.75" hidden="1" x14ac:dyDescent="0.25">
      <c r="A1255" s="167">
        <f t="shared" si="93"/>
        <v>1254</v>
      </c>
      <c r="B1255" s="168" t="s">
        <v>1020</v>
      </c>
      <c r="C1255" s="168" t="str">
        <f>VLOOKUP(B1255,MEMBERS!B:C,2, )</f>
        <v>MR. MUNAWAR HUSSAIN</v>
      </c>
      <c r="D1255" s="323">
        <v>46014</v>
      </c>
      <c r="E1255" s="175">
        <v>2</v>
      </c>
      <c r="F1255" s="168" t="s">
        <v>836</v>
      </c>
      <c r="G1255" s="165">
        <f>IFERROR(VLOOKUP(F1255,'menu list'!B:C,2,FALSE)*E1255,"0")</f>
        <v>700</v>
      </c>
      <c r="H1255" s="334">
        <f t="shared" si="94"/>
        <v>105</v>
      </c>
      <c r="I1255" s="165">
        <f t="shared" si="95"/>
        <v>805</v>
      </c>
    </row>
    <row r="1256" spans="1:9" ht="12.75" hidden="1" x14ac:dyDescent="0.25">
      <c r="A1256" s="167">
        <f t="shared" si="93"/>
        <v>1255</v>
      </c>
      <c r="B1256" s="168" t="s">
        <v>1020</v>
      </c>
      <c r="C1256" s="168" t="str">
        <f>VLOOKUP(B1256,MEMBERS!B:C,2, )</f>
        <v>MR. MUNAWAR HUSSAIN</v>
      </c>
      <c r="D1256" s="323">
        <v>46014</v>
      </c>
      <c r="E1256" s="175">
        <v>1</v>
      </c>
      <c r="F1256" s="168" t="s">
        <v>499</v>
      </c>
      <c r="G1256" s="165">
        <f>IFERROR(VLOOKUP(F1256,'menu list'!B:C,2,FALSE)*E1256,"0")</f>
        <v>100</v>
      </c>
      <c r="H1256" s="334">
        <f t="shared" si="94"/>
        <v>15</v>
      </c>
      <c r="I1256" s="165">
        <f t="shared" si="95"/>
        <v>115</v>
      </c>
    </row>
    <row r="1257" spans="1:9" ht="12.75" hidden="1" x14ac:dyDescent="0.25">
      <c r="A1257" s="167">
        <f t="shared" si="93"/>
        <v>1256</v>
      </c>
      <c r="B1257" s="168" t="s">
        <v>103</v>
      </c>
      <c r="C1257" s="168" t="str">
        <f>VLOOKUP(B1257,MEMBERS!B:C,2, )</f>
        <v>MR.IQBAL AHMED MALLAH</v>
      </c>
      <c r="D1257" s="323">
        <v>46014</v>
      </c>
      <c r="E1257" s="175">
        <v>2</v>
      </c>
      <c r="F1257" s="168" t="s">
        <v>440</v>
      </c>
      <c r="G1257" s="165">
        <f>IFERROR(VLOOKUP(F1257,'menu list'!B:C,2,FALSE)*E1257,"0")</f>
        <v>300</v>
      </c>
      <c r="H1257" s="334">
        <f t="shared" si="94"/>
        <v>45</v>
      </c>
      <c r="I1257" s="165">
        <f t="shared" si="95"/>
        <v>345</v>
      </c>
    </row>
    <row r="1258" spans="1:9" ht="12.75" hidden="1" x14ac:dyDescent="0.25">
      <c r="A1258" s="167">
        <f t="shared" si="93"/>
        <v>1257</v>
      </c>
      <c r="B1258" s="168" t="s">
        <v>103</v>
      </c>
      <c r="C1258" s="168" t="str">
        <f>VLOOKUP(B1258,MEMBERS!B:C,2, )</f>
        <v>MR.IQBAL AHMED MALLAH</v>
      </c>
      <c r="D1258" s="323">
        <v>46014</v>
      </c>
      <c r="E1258" s="175">
        <v>1</v>
      </c>
      <c r="F1258" s="168" t="s">
        <v>500</v>
      </c>
      <c r="G1258" s="165">
        <f>IFERROR(VLOOKUP(F1258,'menu list'!B:C,2,FALSE)*E1258,"0")</f>
        <v>1250</v>
      </c>
      <c r="H1258" s="334">
        <f t="shared" si="94"/>
        <v>187.5</v>
      </c>
      <c r="I1258" s="165">
        <f t="shared" si="95"/>
        <v>1437.5</v>
      </c>
    </row>
    <row r="1259" spans="1:9" ht="12.75" hidden="1" x14ac:dyDescent="0.25">
      <c r="A1259" s="167">
        <f t="shared" si="93"/>
        <v>1258</v>
      </c>
      <c r="B1259" s="168" t="s">
        <v>103</v>
      </c>
      <c r="C1259" s="168" t="str">
        <f>VLOOKUP(B1259,MEMBERS!B:C,2, )</f>
        <v>MR.IQBAL AHMED MALLAH</v>
      </c>
      <c r="D1259" s="323">
        <v>46014</v>
      </c>
      <c r="E1259" s="175">
        <v>2</v>
      </c>
      <c r="F1259" s="168" t="s">
        <v>858</v>
      </c>
      <c r="G1259" s="165">
        <f>IFERROR(VLOOKUP(F1259,'menu list'!B:C,2,FALSE)*E1259,"0")</f>
        <v>1000</v>
      </c>
      <c r="H1259" s="334">
        <f t="shared" si="94"/>
        <v>150</v>
      </c>
      <c r="I1259" s="165">
        <f t="shared" si="95"/>
        <v>1150</v>
      </c>
    </row>
    <row r="1260" spans="1:9" ht="12.75" hidden="1" x14ac:dyDescent="0.25">
      <c r="A1260" s="167">
        <f t="shared" si="93"/>
        <v>1259</v>
      </c>
      <c r="B1260" s="168" t="s">
        <v>103</v>
      </c>
      <c r="C1260" s="168" t="str">
        <f>VLOOKUP(B1260,MEMBERS!B:C,2, )</f>
        <v>MR.IQBAL AHMED MALLAH</v>
      </c>
      <c r="D1260" s="323">
        <v>46014</v>
      </c>
      <c r="E1260" s="175">
        <v>2</v>
      </c>
      <c r="F1260" s="168" t="s">
        <v>802</v>
      </c>
      <c r="G1260" s="165">
        <f>IFERROR(VLOOKUP(F1260,'menu list'!B:C,2,FALSE)*E1260,"0")</f>
        <v>1000</v>
      </c>
      <c r="H1260" s="334">
        <f t="shared" si="94"/>
        <v>150</v>
      </c>
      <c r="I1260" s="165">
        <f t="shared" si="95"/>
        <v>1150</v>
      </c>
    </row>
    <row r="1261" spans="1:9" ht="12.75" hidden="1" x14ac:dyDescent="0.25">
      <c r="A1261" s="167">
        <f t="shared" si="93"/>
        <v>1260</v>
      </c>
      <c r="B1261" s="168" t="s">
        <v>103</v>
      </c>
      <c r="C1261" s="168" t="str">
        <f>VLOOKUP(B1261,MEMBERS!B:C,2, )</f>
        <v>MR.IQBAL AHMED MALLAH</v>
      </c>
      <c r="D1261" s="323">
        <v>46014</v>
      </c>
      <c r="E1261" s="175">
        <v>1</v>
      </c>
      <c r="F1261" s="168" t="s">
        <v>601</v>
      </c>
      <c r="G1261" s="165">
        <f>IFERROR(VLOOKUP(F1261,'menu list'!B:C,2,FALSE)*E1261,"0")</f>
        <v>1200</v>
      </c>
      <c r="H1261" s="334">
        <f t="shared" si="94"/>
        <v>180</v>
      </c>
      <c r="I1261" s="165">
        <f t="shared" si="95"/>
        <v>1380</v>
      </c>
    </row>
    <row r="1262" spans="1:9" ht="12.75" hidden="1" x14ac:dyDescent="0.25">
      <c r="A1262" s="167">
        <f t="shared" si="93"/>
        <v>1261</v>
      </c>
      <c r="B1262" s="168" t="s">
        <v>103</v>
      </c>
      <c r="C1262" s="168" t="str">
        <f>VLOOKUP(B1262,MEMBERS!B:C,2, )</f>
        <v>MR.IQBAL AHMED MALLAH</v>
      </c>
      <c r="D1262" s="323">
        <v>46014</v>
      </c>
      <c r="E1262" s="175">
        <v>1</v>
      </c>
      <c r="F1262" s="168" t="s">
        <v>853</v>
      </c>
      <c r="G1262" s="165">
        <f>IFERROR(VLOOKUP(F1262,'menu list'!B:C,2,FALSE)*E1262,"0")</f>
        <v>575</v>
      </c>
      <c r="H1262" s="334">
        <f t="shared" si="94"/>
        <v>86.25</v>
      </c>
      <c r="I1262" s="165">
        <f t="shared" si="95"/>
        <v>661.25</v>
      </c>
    </row>
    <row r="1263" spans="1:9" ht="12.75" hidden="1" x14ac:dyDescent="0.25">
      <c r="A1263" s="167">
        <f t="shared" si="93"/>
        <v>1262</v>
      </c>
      <c r="B1263" s="168" t="s">
        <v>103</v>
      </c>
      <c r="C1263" s="168" t="str">
        <f>VLOOKUP(B1263,MEMBERS!B:C,2, )</f>
        <v>MR.IQBAL AHMED MALLAH</v>
      </c>
      <c r="D1263" s="323">
        <v>46014</v>
      </c>
      <c r="E1263" s="175">
        <v>1</v>
      </c>
      <c r="F1263" s="168" t="s">
        <v>497</v>
      </c>
      <c r="G1263" s="165">
        <f>IFERROR(VLOOKUP(F1263,'menu list'!B:C,2,FALSE)*E1263,"0")</f>
        <v>250</v>
      </c>
      <c r="H1263" s="334">
        <f t="shared" si="94"/>
        <v>37.5</v>
      </c>
      <c r="I1263" s="165">
        <f t="shared" si="95"/>
        <v>287.5</v>
      </c>
    </row>
    <row r="1264" spans="1:9" ht="12.75" hidden="1" x14ac:dyDescent="0.25">
      <c r="A1264" s="167">
        <f t="shared" si="93"/>
        <v>1263</v>
      </c>
      <c r="B1264" s="168" t="s">
        <v>103</v>
      </c>
      <c r="C1264" s="168" t="str">
        <f>VLOOKUP(B1264,MEMBERS!B:C,2, )</f>
        <v>MR.IQBAL AHMED MALLAH</v>
      </c>
      <c r="D1264" s="323">
        <v>46014</v>
      </c>
      <c r="E1264" s="175">
        <v>1</v>
      </c>
      <c r="F1264" s="168" t="s">
        <v>633</v>
      </c>
      <c r="G1264" s="165">
        <f>IFERROR(VLOOKUP(F1264,'menu list'!B:C,2,FALSE)*E1264,"0")</f>
        <v>700</v>
      </c>
      <c r="H1264" s="334">
        <f t="shared" si="94"/>
        <v>105</v>
      </c>
      <c r="I1264" s="165">
        <f t="shared" si="95"/>
        <v>805</v>
      </c>
    </row>
    <row r="1265" spans="1:10" ht="12.75" hidden="1" x14ac:dyDescent="0.25">
      <c r="A1265" s="167">
        <f t="shared" si="93"/>
        <v>1264</v>
      </c>
      <c r="B1265" s="168" t="s">
        <v>103</v>
      </c>
      <c r="C1265" s="168" t="str">
        <f>VLOOKUP(B1265,MEMBERS!B:C,2, )</f>
        <v>MR.IQBAL AHMED MALLAH</v>
      </c>
      <c r="D1265" s="323">
        <v>46014</v>
      </c>
      <c r="E1265" s="175">
        <v>1</v>
      </c>
      <c r="F1265" s="168" t="s">
        <v>498</v>
      </c>
      <c r="G1265" s="165">
        <f>IFERROR(VLOOKUP(F1265,'menu list'!B:C,2,FALSE)*E1265,"0")</f>
        <v>200</v>
      </c>
      <c r="H1265" s="334">
        <f t="shared" si="94"/>
        <v>30</v>
      </c>
      <c r="I1265" s="165">
        <f t="shared" si="95"/>
        <v>230</v>
      </c>
    </row>
    <row r="1266" spans="1:10" ht="12.75" hidden="1" x14ac:dyDescent="0.25">
      <c r="A1266" s="167">
        <f t="shared" si="93"/>
        <v>1265</v>
      </c>
      <c r="B1266" s="168" t="s">
        <v>103</v>
      </c>
      <c r="C1266" s="168" t="str">
        <f>VLOOKUP(B1266,MEMBERS!B:C,2, )</f>
        <v>MR.IQBAL AHMED MALLAH</v>
      </c>
      <c r="D1266" s="323">
        <v>46014</v>
      </c>
      <c r="E1266" s="175">
        <v>8</v>
      </c>
      <c r="F1266" s="168" t="s">
        <v>442</v>
      </c>
      <c r="G1266" s="165">
        <f>IFERROR(VLOOKUP(F1266,'menu list'!B:C,2,FALSE)*E1266,"0")</f>
        <v>1200</v>
      </c>
      <c r="H1266" s="334">
        <f t="shared" si="94"/>
        <v>180</v>
      </c>
      <c r="I1266" s="165">
        <f t="shared" si="95"/>
        <v>1380</v>
      </c>
    </row>
    <row r="1267" spans="1:10" ht="12.75" hidden="1" x14ac:dyDescent="0.25">
      <c r="A1267" s="167">
        <f t="shared" si="93"/>
        <v>1266</v>
      </c>
      <c r="B1267" s="168" t="s">
        <v>1020</v>
      </c>
      <c r="C1267" s="168" t="str">
        <f>VLOOKUP(B1267,MEMBERS!B:C,2, )</f>
        <v>MR. MUNAWAR HUSSAIN</v>
      </c>
      <c r="D1267" s="323">
        <v>46014</v>
      </c>
      <c r="E1267" s="175">
        <v>2</v>
      </c>
      <c r="F1267" s="168" t="s">
        <v>502</v>
      </c>
      <c r="G1267" s="165">
        <f>IFERROR(VLOOKUP(F1267,'menu list'!B:C,2,FALSE)*E1267,"0")</f>
        <v>700</v>
      </c>
      <c r="H1267" s="334">
        <f t="shared" si="94"/>
        <v>105</v>
      </c>
      <c r="I1267" s="165">
        <f t="shared" si="95"/>
        <v>805</v>
      </c>
    </row>
    <row r="1268" spans="1:10" ht="12.75" hidden="1" x14ac:dyDescent="0.25">
      <c r="A1268" s="167">
        <f t="shared" si="93"/>
        <v>1267</v>
      </c>
      <c r="B1268" s="319" t="s">
        <v>454</v>
      </c>
      <c r="C1268" s="319" t="str">
        <f>VLOOKUP(B1268,MEMBERS!B:C,2, )</f>
        <v>Heritage club</v>
      </c>
      <c r="D1268" s="320">
        <v>46015</v>
      </c>
      <c r="E1268" s="321">
        <v>757</v>
      </c>
      <c r="F1268" s="319" t="s">
        <v>1236</v>
      </c>
      <c r="G1268" s="322">
        <f>IFERROR(VLOOKUP(F1268,'menu list'!B:C,2,FALSE)*E1268,"0")</f>
        <v>3028000</v>
      </c>
      <c r="H1268" s="344">
        <f t="shared" si="94"/>
        <v>454200</v>
      </c>
      <c r="I1268" s="322">
        <f t="shared" si="95"/>
        <v>3482200</v>
      </c>
      <c r="J1268" s="166" t="s">
        <v>1239</v>
      </c>
    </row>
    <row r="1269" spans="1:10" ht="12.75" hidden="1" x14ac:dyDescent="0.25">
      <c r="A1269" s="167">
        <f t="shared" ref="A1269:A1327" si="96">IF(D1269&lt;&gt;"", ROW()-1, "")</f>
        <v>1268</v>
      </c>
      <c r="B1269" s="319" t="s">
        <v>454</v>
      </c>
      <c r="C1269" s="319" t="str">
        <f>VLOOKUP(B1269,MEMBERS!B:C,2, )</f>
        <v>Heritage club</v>
      </c>
      <c r="D1269" s="320">
        <v>46015</v>
      </c>
      <c r="E1269" s="321">
        <v>15</v>
      </c>
      <c r="F1269" s="319" t="s">
        <v>499</v>
      </c>
      <c r="G1269" s="322">
        <f>IFERROR(VLOOKUP(F1269,'menu list'!B:C,2,FALSE)*E1269,"0")</f>
        <v>1500</v>
      </c>
      <c r="H1269" s="344">
        <f t="shared" ref="H1269:H1327" si="97">G1269*15/100</f>
        <v>225</v>
      </c>
      <c r="I1269" s="322">
        <f t="shared" ref="I1269:I1327" si="98">G1269+H1269</f>
        <v>1725</v>
      </c>
    </row>
    <row r="1270" spans="1:10" ht="12.75" hidden="1" x14ac:dyDescent="0.25">
      <c r="A1270" s="167">
        <f t="shared" si="96"/>
        <v>1269</v>
      </c>
      <c r="B1270" s="319" t="s">
        <v>454</v>
      </c>
      <c r="C1270" s="319" t="str">
        <f>VLOOKUP(B1270,MEMBERS!B:C,2, )</f>
        <v>Heritage club</v>
      </c>
      <c r="D1270" s="320">
        <v>46015</v>
      </c>
      <c r="E1270" s="321">
        <v>18</v>
      </c>
      <c r="F1270" s="319" t="s">
        <v>440</v>
      </c>
      <c r="G1270" s="322">
        <f>IFERROR(VLOOKUP(F1270,'menu list'!B:C,2,FALSE)*E1270,"0")</f>
        <v>2700</v>
      </c>
      <c r="H1270" s="344">
        <f t="shared" si="97"/>
        <v>405</v>
      </c>
      <c r="I1270" s="322">
        <f t="shared" si="98"/>
        <v>3105</v>
      </c>
    </row>
    <row r="1271" spans="1:10" ht="12.75" hidden="1" x14ac:dyDescent="0.25">
      <c r="A1271" s="167">
        <f t="shared" si="96"/>
        <v>1270</v>
      </c>
      <c r="B1271" s="319" t="s">
        <v>454</v>
      </c>
      <c r="C1271" s="319" t="str">
        <f>VLOOKUP(B1271,MEMBERS!B:C,2, )</f>
        <v>Heritage club</v>
      </c>
      <c r="D1271" s="320">
        <v>46015</v>
      </c>
      <c r="E1271" s="321">
        <v>5</v>
      </c>
      <c r="F1271" s="319" t="s">
        <v>1237</v>
      </c>
      <c r="G1271" s="322">
        <f>IFERROR(VLOOKUP(F1271,'menu list'!B:C,2,FALSE)*E1271,"0")</f>
        <v>1500</v>
      </c>
      <c r="H1271" s="344">
        <f t="shared" si="97"/>
        <v>225</v>
      </c>
      <c r="I1271" s="322">
        <f t="shared" si="98"/>
        <v>1725</v>
      </c>
    </row>
    <row r="1272" spans="1:10" ht="12.75" hidden="1" x14ac:dyDescent="0.25">
      <c r="A1272" s="167">
        <f t="shared" si="96"/>
        <v>1271</v>
      </c>
      <c r="B1272" s="319" t="s">
        <v>454</v>
      </c>
      <c r="C1272" s="319" t="str">
        <f>VLOOKUP(B1272,MEMBERS!B:C,2, )</f>
        <v>Heritage club</v>
      </c>
      <c r="D1272" s="320">
        <v>46015</v>
      </c>
      <c r="E1272" s="321">
        <v>3</v>
      </c>
      <c r="F1272" s="319" t="s">
        <v>643</v>
      </c>
      <c r="G1272" s="322">
        <f>IFERROR(VLOOKUP(F1272,'menu list'!B:C,2,FALSE)*E1272,"0")</f>
        <v>900</v>
      </c>
      <c r="H1272" s="344">
        <f t="shared" si="97"/>
        <v>135</v>
      </c>
      <c r="I1272" s="322">
        <f t="shared" si="98"/>
        <v>1035</v>
      </c>
    </row>
    <row r="1273" spans="1:10" ht="12.75" hidden="1" x14ac:dyDescent="0.25">
      <c r="A1273" s="167">
        <f t="shared" si="96"/>
        <v>1272</v>
      </c>
      <c r="B1273" s="319" t="s">
        <v>454</v>
      </c>
      <c r="C1273" s="319" t="str">
        <f>VLOOKUP(B1273,MEMBERS!B:C,2, )</f>
        <v>Heritage club</v>
      </c>
      <c r="D1273" s="320">
        <v>46015</v>
      </c>
      <c r="E1273" s="321">
        <v>7</v>
      </c>
      <c r="F1273" s="319" t="s">
        <v>836</v>
      </c>
      <c r="G1273" s="322">
        <f>IFERROR(VLOOKUP(F1273,'menu list'!B:C,2,FALSE)*E1273,"0")</f>
        <v>2450</v>
      </c>
      <c r="H1273" s="344">
        <f t="shared" si="97"/>
        <v>367.5</v>
      </c>
      <c r="I1273" s="322">
        <f t="shared" si="98"/>
        <v>2817.5</v>
      </c>
    </row>
    <row r="1274" spans="1:10" ht="12.75" hidden="1" x14ac:dyDescent="0.25">
      <c r="A1274" s="167">
        <f t="shared" si="96"/>
        <v>1273</v>
      </c>
      <c r="B1274" s="319" t="s">
        <v>454</v>
      </c>
      <c r="C1274" s="319" t="str">
        <f>VLOOKUP(B1274,MEMBERS!B:C,2, )</f>
        <v>Heritage club</v>
      </c>
      <c r="D1274" s="320">
        <v>46015</v>
      </c>
      <c r="E1274" s="321">
        <v>91</v>
      </c>
      <c r="F1274" s="319" t="s">
        <v>1238</v>
      </c>
      <c r="G1274" s="322">
        <f>IFERROR(VLOOKUP(F1274,'menu list'!B:C,2,FALSE)*E1274,"0")</f>
        <v>45500</v>
      </c>
      <c r="H1274" s="344">
        <f t="shared" si="97"/>
        <v>6825</v>
      </c>
      <c r="I1274" s="322">
        <f t="shared" si="98"/>
        <v>52325</v>
      </c>
    </row>
    <row r="1275" spans="1:10" ht="12.75" hidden="1" x14ac:dyDescent="0.25">
      <c r="A1275" s="167">
        <f t="shared" si="96"/>
        <v>1274</v>
      </c>
      <c r="B1275" s="168" t="s">
        <v>650</v>
      </c>
      <c r="C1275" s="168" t="str">
        <f>VLOOKUP(B1275,MEMBERS!B:C,2, )</f>
        <v>SHAHBAZ AHMED</v>
      </c>
      <c r="D1275" s="323">
        <v>46015</v>
      </c>
      <c r="E1275" s="175">
        <v>1</v>
      </c>
      <c r="F1275" s="168" t="s">
        <v>772</v>
      </c>
      <c r="G1275" s="165">
        <f>IFERROR(VLOOKUP(F1275,'menu list'!B:C,2,FALSE)*E1275,"0")</f>
        <v>900</v>
      </c>
      <c r="H1275" s="334">
        <f t="shared" si="97"/>
        <v>135</v>
      </c>
      <c r="I1275" s="165">
        <f t="shared" si="98"/>
        <v>1035</v>
      </c>
    </row>
    <row r="1276" spans="1:10" ht="12.75" hidden="1" x14ac:dyDescent="0.25">
      <c r="A1276" s="167">
        <f t="shared" si="96"/>
        <v>1275</v>
      </c>
      <c r="B1276" s="168" t="s">
        <v>650</v>
      </c>
      <c r="C1276" s="168" t="str">
        <f>VLOOKUP(B1276,MEMBERS!B:C,2, )</f>
        <v>SHAHBAZ AHMED</v>
      </c>
      <c r="D1276" s="323">
        <v>46015</v>
      </c>
      <c r="E1276" s="175">
        <v>1</v>
      </c>
      <c r="F1276" s="168" t="s">
        <v>740</v>
      </c>
      <c r="G1276" s="165">
        <f>IFERROR(VLOOKUP(F1276,'menu list'!B:C,2,FALSE)*E1276,"0")</f>
        <v>1800</v>
      </c>
      <c r="H1276" s="334">
        <f t="shared" si="97"/>
        <v>270</v>
      </c>
      <c r="I1276" s="165">
        <f t="shared" si="98"/>
        <v>2070</v>
      </c>
    </row>
    <row r="1277" spans="1:10" ht="12.75" hidden="1" x14ac:dyDescent="0.25">
      <c r="A1277" s="167">
        <f t="shared" si="96"/>
        <v>1276</v>
      </c>
      <c r="B1277" s="168" t="s">
        <v>650</v>
      </c>
      <c r="C1277" s="168" t="str">
        <f>VLOOKUP(B1277,MEMBERS!B:C,2, )</f>
        <v>SHAHBAZ AHMED</v>
      </c>
      <c r="D1277" s="323">
        <v>46015</v>
      </c>
      <c r="E1277" s="175">
        <v>2</v>
      </c>
      <c r="F1277" s="168" t="s">
        <v>861</v>
      </c>
      <c r="G1277" s="165">
        <f>IFERROR(VLOOKUP(F1277,'menu list'!B:C,2,FALSE)*E1277,"0")</f>
        <v>1600</v>
      </c>
      <c r="H1277" s="334">
        <f t="shared" si="97"/>
        <v>240</v>
      </c>
      <c r="I1277" s="165">
        <f t="shared" si="98"/>
        <v>1840</v>
      </c>
    </row>
    <row r="1278" spans="1:10" ht="12.75" hidden="1" x14ac:dyDescent="0.25">
      <c r="A1278" s="167">
        <f t="shared" si="96"/>
        <v>1277</v>
      </c>
      <c r="B1278" s="168" t="s">
        <v>650</v>
      </c>
      <c r="C1278" s="168" t="str">
        <f>VLOOKUP(B1278,MEMBERS!B:C,2, )</f>
        <v>SHAHBAZ AHMED</v>
      </c>
      <c r="D1278" s="323">
        <v>46015</v>
      </c>
      <c r="E1278" s="175">
        <v>4</v>
      </c>
      <c r="F1278" s="168" t="s">
        <v>443</v>
      </c>
      <c r="G1278" s="165">
        <f>IFERROR(VLOOKUP(F1278,'menu list'!B:C,2,FALSE)*E1278,"0")</f>
        <v>600</v>
      </c>
      <c r="H1278" s="334">
        <f t="shared" si="97"/>
        <v>90</v>
      </c>
      <c r="I1278" s="165">
        <f t="shared" si="98"/>
        <v>690</v>
      </c>
    </row>
    <row r="1279" spans="1:10" ht="12.75" hidden="1" x14ac:dyDescent="0.25">
      <c r="A1279" s="167">
        <f t="shared" si="96"/>
        <v>1278</v>
      </c>
      <c r="B1279" s="168" t="s">
        <v>650</v>
      </c>
      <c r="C1279" s="168" t="str">
        <f>VLOOKUP(B1279,MEMBERS!B:C,2, )</f>
        <v>SHAHBAZ AHMED</v>
      </c>
      <c r="D1279" s="323">
        <v>46015</v>
      </c>
      <c r="E1279" s="175">
        <v>3</v>
      </c>
      <c r="F1279" s="168" t="s">
        <v>439</v>
      </c>
      <c r="G1279" s="165">
        <f>IFERROR(VLOOKUP(F1279,'menu list'!B:C,2,FALSE)*E1279,"0")</f>
        <v>210</v>
      </c>
      <c r="H1279" s="334">
        <f t="shared" si="97"/>
        <v>31.5</v>
      </c>
      <c r="I1279" s="165">
        <f t="shared" si="98"/>
        <v>241.5</v>
      </c>
    </row>
    <row r="1280" spans="1:10" ht="12.75" hidden="1" x14ac:dyDescent="0.25">
      <c r="A1280" s="167">
        <f t="shared" si="96"/>
        <v>1279</v>
      </c>
      <c r="B1280" s="168" t="s">
        <v>650</v>
      </c>
      <c r="C1280" s="168" t="str">
        <f>VLOOKUP(B1280,MEMBERS!B:C,2, )</f>
        <v>SHAHBAZ AHMED</v>
      </c>
      <c r="D1280" s="323">
        <v>46015</v>
      </c>
      <c r="E1280" s="175">
        <v>9</v>
      </c>
      <c r="F1280" s="168" t="s">
        <v>442</v>
      </c>
      <c r="G1280" s="165">
        <f>IFERROR(VLOOKUP(F1280,'menu list'!B:C,2,FALSE)*E1280,"0")</f>
        <v>1350</v>
      </c>
      <c r="H1280" s="334">
        <f t="shared" si="97"/>
        <v>202.5</v>
      </c>
      <c r="I1280" s="165">
        <f t="shared" si="98"/>
        <v>1552.5</v>
      </c>
    </row>
    <row r="1281" spans="1:9" ht="12.75" hidden="1" x14ac:dyDescent="0.25">
      <c r="A1281" s="167">
        <f t="shared" si="96"/>
        <v>1280</v>
      </c>
      <c r="B1281" s="168" t="s">
        <v>650</v>
      </c>
      <c r="C1281" s="168" t="str">
        <f>VLOOKUP(B1281,MEMBERS!B:C,2, )</f>
        <v>SHAHBAZ AHMED</v>
      </c>
      <c r="D1281" s="323">
        <v>46015</v>
      </c>
      <c r="E1281" s="175">
        <v>2</v>
      </c>
      <c r="F1281" s="168" t="s">
        <v>440</v>
      </c>
      <c r="G1281" s="165">
        <f>IFERROR(VLOOKUP(F1281,'menu list'!B:C,2,FALSE)*E1281,"0")</f>
        <v>300</v>
      </c>
      <c r="H1281" s="334">
        <f t="shared" si="97"/>
        <v>45</v>
      </c>
      <c r="I1281" s="165">
        <f t="shared" si="98"/>
        <v>345</v>
      </c>
    </row>
    <row r="1282" spans="1:9" ht="12.75" hidden="1" x14ac:dyDescent="0.25">
      <c r="A1282" s="167">
        <f t="shared" si="96"/>
        <v>1281</v>
      </c>
      <c r="B1282" s="168" t="s">
        <v>25</v>
      </c>
      <c r="C1282" s="168" t="str">
        <f>VLOOKUP(B1282,MEMBERS!B:C,2, )</f>
        <v>MR.MUHAMMAD ARIF</v>
      </c>
      <c r="D1282" s="323">
        <v>46015</v>
      </c>
      <c r="E1282" s="175">
        <v>2</v>
      </c>
      <c r="F1282" s="168" t="s">
        <v>440</v>
      </c>
      <c r="G1282" s="165">
        <f>IFERROR(VLOOKUP(F1282,'menu list'!B:C,2,FALSE)*E1282,"0")</f>
        <v>300</v>
      </c>
      <c r="H1282" s="334">
        <f t="shared" si="97"/>
        <v>45</v>
      </c>
      <c r="I1282" s="165">
        <f t="shared" si="98"/>
        <v>345</v>
      </c>
    </row>
    <row r="1283" spans="1:9" ht="12.75" hidden="1" x14ac:dyDescent="0.25">
      <c r="A1283" s="167">
        <f t="shared" si="96"/>
        <v>1282</v>
      </c>
      <c r="B1283" s="168" t="s">
        <v>25</v>
      </c>
      <c r="C1283" s="168" t="str">
        <f>VLOOKUP(B1283,MEMBERS!B:C,2, )</f>
        <v>MR.MUHAMMAD ARIF</v>
      </c>
      <c r="D1283" s="323">
        <v>46015</v>
      </c>
      <c r="E1283" s="175">
        <v>1</v>
      </c>
      <c r="F1283" s="168" t="s">
        <v>898</v>
      </c>
      <c r="G1283" s="165">
        <f>IFERROR(VLOOKUP(F1283,'menu list'!B:C,2,FALSE)*E1283,"0")</f>
        <v>1000</v>
      </c>
      <c r="H1283" s="334">
        <f t="shared" si="97"/>
        <v>150</v>
      </c>
      <c r="I1283" s="165">
        <f t="shared" si="98"/>
        <v>1150</v>
      </c>
    </row>
    <row r="1284" spans="1:9" ht="12.75" hidden="1" x14ac:dyDescent="0.25">
      <c r="A1284" s="167">
        <f t="shared" si="96"/>
        <v>1283</v>
      </c>
      <c r="B1284" s="168" t="s">
        <v>25</v>
      </c>
      <c r="C1284" s="168" t="str">
        <f>VLOOKUP(B1284,MEMBERS!B:C,2, )</f>
        <v>MR.MUHAMMAD ARIF</v>
      </c>
      <c r="D1284" s="323">
        <v>46015</v>
      </c>
      <c r="E1284" s="175">
        <v>1</v>
      </c>
      <c r="F1284" s="168" t="s">
        <v>1195</v>
      </c>
      <c r="G1284" s="165">
        <f>IFERROR(VLOOKUP(F1284,'menu list'!B:C,2,FALSE)*E1284,"0")</f>
        <v>999</v>
      </c>
      <c r="H1284" s="334">
        <f t="shared" si="97"/>
        <v>149.85</v>
      </c>
      <c r="I1284" s="165">
        <f t="shared" si="98"/>
        <v>1148.8499999999999</v>
      </c>
    </row>
    <row r="1285" spans="1:9" ht="12.75" hidden="1" x14ac:dyDescent="0.25">
      <c r="A1285" s="167">
        <f t="shared" si="96"/>
        <v>1284</v>
      </c>
      <c r="B1285" s="168" t="s">
        <v>25</v>
      </c>
      <c r="C1285" s="168" t="str">
        <f>VLOOKUP(B1285,MEMBERS!B:C,2, )</f>
        <v>MR.MUHAMMAD ARIF</v>
      </c>
      <c r="D1285" s="323">
        <v>46015</v>
      </c>
      <c r="E1285" s="175">
        <v>1</v>
      </c>
      <c r="F1285" s="168" t="s">
        <v>833</v>
      </c>
      <c r="G1285" s="165">
        <f>IFERROR(VLOOKUP(F1285,'menu list'!B:C,2,FALSE)*E1285,"0")</f>
        <v>350</v>
      </c>
      <c r="H1285" s="334">
        <f t="shared" si="97"/>
        <v>52.5</v>
      </c>
      <c r="I1285" s="165">
        <f t="shared" si="98"/>
        <v>402.5</v>
      </c>
    </row>
    <row r="1286" spans="1:9" ht="12.75" hidden="1" x14ac:dyDescent="0.25">
      <c r="A1286" s="167">
        <f t="shared" si="96"/>
        <v>1285</v>
      </c>
      <c r="B1286" s="168" t="s">
        <v>25</v>
      </c>
      <c r="C1286" s="168" t="str">
        <f>VLOOKUP(B1286,MEMBERS!B:C,2, )</f>
        <v>MR.MUHAMMAD ARIF</v>
      </c>
      <c r="D1286" s="323">
        <v>46015</v>
      </c>
      <c r="E1286" s="175">
        <v>1</v>
      </c>
      <c r="F1286" s="168" t="s">
        <v>869</v>
      </c>
      <c r="G1286" s="165">
        <f>IFERROR(VLOOKUP(F1286,'menu list'!B:C,2,FALSE)*E1286,"0")</f>
        <v>750</v>
      </c>
      <c r="H1286" s="334">
        <f t="shared" si="97"/>
        <v>112.5</v>
      </c>
      <c r="I1286" s="165">
        <f t="shared" si="98"/>
        <v>862.5</v>
      </c>
    </row>
    <row r="1287" spans="1:9" ht="12.75" hidden="1" x14ac:dyDescent="0.25">
      <c r="A1287" s="167">
        <f t="shared" si="96"/>
        <v>1286</v>
      </c>
      <c r="B1287" s="168" t="s">
        <v>25</v>
      </c>
      <c r="C1287" s="168" t="str">
        <f>VLOOKUP(B1287,MEMBERS!B:C,2, )</f>
        <v>MR.MUHAMMAD ARIF</v>
      </c>
      <c r="D1287" s="323">
        <v>46015</v>
      </c>
      <c r="E1287" s="175">
        <v>2</v>
      </c>
      <c r="F1287" s="168" t="s">
        <v>664</v>
      </c>
      <c r="G1287" s="165">
        <f>IFERROR(VLOOKUP(F1287,'menu list'!B:C,2,FALSE)*E1287,"0")</f>
        <v>800</v>
      </c>
      <c r="H1287" s="334">
        <f t="shared" si="97"/>
        <v>120</v>
      </c>
      <c r="I1287" s="165">
        <f t="shared" si="98"/>
        <v>920</v>
      </c>
    </row>
    <row r="1288" spans="1:9" ht="12.75" hidden="1" x14ac:dyDescent="0.25">
      <c r="A1288" s="167">
        <f t="shared" si="96"/>
        <v>1287</v>
      </c>
      <c r="B1288" s="168" t="s">
        <v>25</v>
      </c>
      <c r="C1288" s="168" t="str">
        <f>VLOOKUP(B1288,MEMBERS!B:C,2, )</f>
        <v>MR.MUHAMMAD ARIF</v>
      </c>
      <c r="D1288" s="323">
        <v>46015</v>
      </c>
      <c r="E1288" s="175">
        <v>1</v>
      </c>
      <c r="F1288" s="168" t="s">
        <v>868</v>
      </c>
      <c r="G1288" s="165">
        <f>IFERROR(VLOOKUP(F1288,'menu list'!B:C,2,FALSE)*E1288,"0")</f>
        <v>1000</v>
      </c>
      <c r="H1288" s="334">
        <f t="shared" si="97"/>
        <v>150</v>
      </c>
      <c r="I1288" s="165">
        <f t="shared" si="98"/>
        <v>1150</v>
      </c>
    </row>
    <row r="1289" spans="1:9" ht="12.75" hidden="1" x14ac:dyDescent="0.25">
      <c r="A1289" s="167">
        <f t="shared" si="96"/>
        <v>1288</v>
      </c>
      <c r="B1289" s="168" t="s">
        <v>25</v>
      </c>
      <c r="C1289" s="168" t="str">
        <f>VLOOKUP(B1289,MEMBERS!B:C,2, )</f>
        <v>MR.MUHAMMAD ARIF</v>
      </c>
      <c r="D1289" s="323">
        <v>46015</v>
      </c>
      <c r="E1289" s="175">
        <v>2</v>
      </c>
      <c r="F1289" s="168" t="s">
        <v>504</v>
      </c>
      <c r="G1289" s="165">
        <f>IFERROR(VLOOKUP(F1289,'menu list'!B:C,2,FALSE)*E1289,"0")</f>
        <v>260</v>
      </c>
      <c r="H1289" s="334">
        <f t="shared" si="97"/>
        <v>39</v>
      </c>
      <c r="I1289" s="165">
        <f t="shared" si="98"/>
        <v>299</v>
      </c>
    </row>
    <row r="1290" spans="1:9" ht="12.75" hidden="1" x14ac:dyDescent="0.25">
      <c r="A1290" s="167">
        <f t="shared" si="96"/>
        <v>1289</v>
      </c>
      <c r="B1290" s="168" t="s">
        <v>25</v>
      </c>
      <c r="C1290" s="168" t="str">
        <f>VLOOKUP(B1290,MEMBERS!B:C,2, )</f>
        <v>MR.MUHAMMAD ARIF</v>
      </c>
      <c r="D1290" s="323">
        <v>46015</v>
      </c>
      <c r="E1290" s="175">
        <v>1</v>
      </c>
      <c r="F1290" s="168" t="s">
        <v>439</v>
      </c>
      <c r="G1290" s="165">
        <f>IFERROR(VLOOKUP(F1290,'menu list'!B:C,2,FALSE)*E1290,"0")</f>
        <v>70</v>
      </c>
      <c r="H1290" s="334">
        <f t="shared" si="97"/>
        <v>10.5</v>
      </c>
      <c r="I1290" s="165">
        <f t="shared" si="98"/>
        <v>80.5</v>
      </c>
    </row>
    <row r="1291" spans="1:9" ht="12.75" hidden="1" x14ac:dyDescent="0.25">
      <c r="A1291" s="167">
        <f t="shared" si="96"/>
        <v>1290</v>
      </c>
      <c r="B1291" s="168" t="s">
        <v>192</v>
      </c>
      <c r="C1291" s="168" t="str">
        <f>VLOOKUP(B1291,MEMBERS!B:C,2, )</f>
        <v>MR.HANIF AHSAN ZUBEDI</v>
      </c>
      <c r="D1291" s="323">
        <v>46015</v>
      </c>
      <c r="E1291" s="175">
        <v>1</v>
      </c>
      <c r="F1291" s="168" t="s">
        <v>634</v>
      </c>
      <c r="G1291" s="165">
        <f>IFERROR(VLOOKUP(F1291,'menu list'!B:C,2,FALSE)*E1291,"0")</f>
        <v>500</v>
      </c>
      <c r="H1291" s="334">
        <f t="shared" si="97"/>
        <v>75</v>
      </c>
      <c r="I1291" s="165">
        <f t="shared" si="98"/>
        <v>575</v>
      </c>
    </row>
    <row r="1292" spans="1:9" ht="12.75" hidden="1" x14ac:dyDescent="0.25">
      <c r="A1292" s="167">
        <f t="shared" si="96"/>
        <v>1291</v>
      </c>
      <c r="B1292" s="168" t="s">
        <v>192</v>
      </c>
      <c r="C1292" s="168" t="str">
        <f>VLOOKUP(B1292,MEMBERS!B:C,2, )</f>
        <v>MR.HANIF AHSAN ZUBEDI</v>
      </c>
      <c r="D1292" s="323">
        <v>46015</v>
      </c>
      <c r="E1292" s="175">
        <v>1</v>
      </c>
      <c r="F1292" s="168" t="s">
        <v>502</v>
      </c>
      <c r="G1292" s="165">
        <f>IFERROR(VLOOKUP(F1292,'menu list'!B:C,2,FALSE)*E1292,"0")</f>
        <v>350</v>
      </c>
      <c r="H1292" s="334">
        <f t="shared" si="97"/>
        <v>52.5</v>
      </c>
      <c r="I1292" s="165">
        <f t="shared" si="98"/>
        <v>402.5</v>
      </c>
    </row>
    <row r="1293" spans="1:9" ht="12.75" hidden="1" x14ac:dyDescent="0.25">
      <c r="A1293" s="167">
        <f t="shared" si="96"/>
        <v>1292</v>
      </c>
      <c r="B1293" s="168" t="s">
        <v>192</v>
      </c>
      <c r="C1293" s="168" t="str">
        <f>VLOOKUP(B1293,MEMBERS!B:C,2, )</f>
        <v>MR.HANIF AHSAN ZUBEDI</v>
      </c>
      <c r="D1293" s="323">
        <v>46015</v>
      </c>
      <c r="E1293" s="175">
        <v>2</v>
      </c>
      <c r="F1293" s="168" t="s">
        <v>498</v>
      </c>
      <c r="G1293" s="165">
        <f>IFERROR(VLOOKUP(F1293,'menu list'!B:C,2,FALSE)*E1293,"0")</f>
        <v>400</v>
      </c>
      <c r="H1293" s="334">
        <f t="shared" si="97"/>
        <v>60</v>
      </c>
      <c r="I1293" s="165">
        <f t="shared" si="98"/>
        <v>460</v>
      </c>
    </row>
    <row r="1294" spans="1:9" ht="12.75" hidden="1" x14ac:dyDescent="0.25">
      <c r="A1294" s="167">
        <f t="shared" si="96"/>
        <v>1293</v>
      </c>
      <c r="B1294" s="168" t="s">
        <v>155</v>
      </c>
      <c r="C1294" s="168" t="str">
        <f>VLOOKUP(B1294,MEMBERS!B:C,2, )</f>
        <v>MR.PIR MUJEEB JAN SARHANDI</v>
      </c>
      <c r="D1294" s="323">
        <v>46015</v>
      </c>
      <c r="E1294" s="175">
        <v>1</v>
      </c>
      <c r="F1294" s="168" t="s">
        <v>740</v>
      </c>
      <c r="G1294" s="165">
        <f>IFERROR(VLOOKUP(F1294,'menu list'!B:C,2,FALSE)*E1294,"0")</f>
        <v>1800</v>
      </c>
      <c r="H1294" s="334">
        <f t="shared" si="97"/>
        <v>270</v>
      </c>
      <c r="I1294" s="165">
        <f t="shared" si="98"/>
        <v>2070</v>
      </c>
    </row>
    <row r="1295" spans="1:9" ht="12.75" hidden="1" x14ac:dyDescent="0.25">
      <c r="A1295" s="167">
        <f t="shared" si="96"/>
        <v>1294</v>
      </c>
      <c r="B1295" s="168" t="s">
        <v>155</v>
      </c>
      <c r="C1295" s="168" t="str">
        <f>VLOOKUP(B1295,MEMBERS!B:C,2, )</f>
        <v>MR.PIR MUJEEB JAN SARHANDI</v>
      </c>
      <c r="D1295" s="323">
        <v>46015</v>
      </c>
      <c r="E1295" s="175">
        <v>1</v>
      </c>
      <c r="F1295" s="168" t="s">
        <v>846</v>
      </c>
      <c r="G1295" s="165">
        <f>IFERROR(VLOOKUP(F1295,'menu list'!B:C,2,FALSE)*E1295,"0")</f>
        <v>1250</v>
      </c>
      <c r="H1295" s="334">
        <f t="shared" si="97"/>
        <v>187.5</v>
      </c>
      <c r="I1295" s="165">
        <f t="shared" si="98"/>
        <v>1437.5</v>
      </c>
    </row>
    <row r="1296" spans="1:9" ht="12.75" hidden="1" x14ac:dyDescent="0.25">
      <c r="A1296" s="167">
        <f t="shared" si="96"/>
        <v>1295</v>
      </c>
      <c r="B1296" s="168" t="s">
        <v>155</v>
      </c>
      <c r="C1296" s="168" t="str">
        <f>VLOOKUP(B1296,MEMBERS!B:C,2, )</f>
        <v>MR.PIR MUJEEB JAN SARHANDI</v>
      </c>
      <c r="D1296" s="323">
        <v>46015</v>
      </c>
      <c r="E1296" s="175">
        <v>1</v>
      </c>
      <c r="F1296" s="168" t="s">
        <v>559</v>
      </c>
      <c r="G1296" s="165">
        <f>IFERROR(VLOOKUP(F1296,'menu list'!B:C,2,FALSE)*E1296,"0")</f>
        <v>999</v>
      </c>
      <c r="H1296" s="334">
        <f t="shared" si="97"/>
        <v>149.85</v>
      </c>
      <c r="I1296" s="165">
        <f t="shared" si="98"/>
        <v>1148.8499999999999</v>
      </c>
    </row>
    <row r="1297" spans="1:9" ht="12.75" hidden="1" x14ac:dyDescent="0.25">
      <c r="A1297" s="167">
        <f t="shared" si="96"/>
        <v>1296</v>
      </c>
      <c r="B1297" s="168" t="s">
        <v>155</v>
      </c>
      <c r="C1297" s="168" t="str">
        <f>VLOOKUP(B1297,MEMBERS!B:C,2, )</f>
        <v>MR.PIR MUJEEB JAN SARHANDI</v>
      </c>
      <c r="D1297" s="323">
        <v>46015</v>
      </c>
      <c r="E1297" s="175">
        <v>5</v>
      </c>
      <c r="F1297" s="168" t="s">
        <v>439</v>
      </c>
      <c r="G1297" s="165">
        <f>IFERROR(VLOOKUP(F1297,'menu list'!B:C,2,FALSE)*E1297,"0")</f>
        <v>350</v>
      </c>
      <c r="H1297" s="334">
        <f t="shared" si="97"/>
        <v>52.5</v>
      </c>
      <c r="I1297" s="165">
        <f t="shared" si="98"/>
        <v>402.5</v>
      </c>
    </row>
    <row r="1298" spans="1:9" ht="12.75" hidden="1" x14ac:dyDescent="0.25">
      <c r="A1298" s="167">
        <f t="shared" si="96"/>
        <v>1297</v>
      </c>
      <c r="B1298" s="168" t="s">
        <v>155</v>
      </c>
      <c r="C1298" s="168" t="str">
        <f>VLOOKUP(B1298,MEMBERS!B:C,2, )</f>
        <v>MR.PIR MUJEEB JAN SARHANDI</v>
      </c>
      <c r="D1298" s="323">
        <v>46015</v>
      </c>
      <c r="E1298" s="175">
        <v>3</v>
      </c>
      <c r="F1298" s="168" t="s">
        <v>442</v>
      </c>
      <c r="G1298" s="165">
        <f>IFERROR(VLOOKUP(F1298,'menu list'!B:C,2,FALSE)*E1298,"0")</f>
        <v>450</v>
      </c>
      <c r="H1298" s="334">
        <f t="shared" si="97"/>
        <v>67.5</v>
      </c>
      <c r="I1298" s="165">
        <f t="shared" si="98"/>
        <v>517.5</v>
      </c>
    </row>
    <row r="1299" spans="1:9" ht="12.75" hidden="1" x14ac:dyDescent="0.25">
      <c r="A1299" s="167">
        <f t="shared" si="96"/>
        <v>1298</v>
      </c>
      <c r="B1299" s="168" t="s">
        <v>155</v>
      </c>
      <c r="C1299" s="168" t="str">
        <f>VLOOKUP(B1299,MEMBERS!B:C,2, )</f>
        <v>MR.PIR MUJEEB JAN SARHANDI</v>
      </c>
      <c r="D1299" s="323">
        <v>46015</v>
      </c>
      <c r="E1299" s="175">
        <v>1</v>
      </c>
      <c r="F1299" s="168" t="s">
        <v>440</v>
      </c>
      <c r="G1299" s="165">
        <f>IFERROR(VLOOKUP(F1299,'menu list'!B:C,2,FALSE)*E1299,"0")</f>
        <v>150</v>
      </c>
      <c r="H1299" s="334">
        <f t="shared" si="97"/>
        <v>22.5</v>
      </c>
      <c r="I1299" s="165">
        <f t="shared" si="98"/>
        <v>172.5</v>
      </c>
    </row>
    <row r="1300" spans="1:9" ht="12.75" x14ac:dyDescent="0.25">
      <c r="A1300" s="167">
        <f t="shared" si="96"/>
        <v>1299</v>
      </c>
      <c r="B1300" s="168" t="s">
        <v>10</v>
      </c>
      <c r="C1300" s="168" t="str">
        <f>VLOOKUP(B1300,MEMBERS!B:C,2, )</f>
        <v>MR. JABIR SHAHZAD</v>
      </c>
      <c r="D1300" s="323">
        <v>46015</v>
      </c>
      <c r="E1300" s="175">
        <v>1</v>
      </c>
      <c r="F1300" s="168" t="s">
        <v>809</v>
      </c>
      <c r="G1300" s="165">
        <f>IFERROR(VLOOKUP(F1300,'menu list'!B:C,2,FALSE)*E1300,"0")</f>
        <v>800</v>
      </c>
      <c r="H1300" s="334">
        <f t="shared" si="97"/>
        <v>120</v>
      </c>
      <c r="I1300" s="165">
        <f t="shared" si="98"/>
        <v>920</v>
      </c>
    </row>
    <row r="1301" spans="1:9" ht="12.75" x14ac:dyDescent="0.25">
      <c r="A1301" s="167">
        <f t="shared" si="96"/>
        <v>1300</v>
      </c>
      <c r="B1301" s="168" t="s">
        <v>10</v>
      </c>
      <c r="C1301" s="168" t="str">
        <f>VLOOKUP(B1301,MEMBERS!B:C,2, )</f>
        <v>MR. JABIR SHAHZAD</v>
      </c>
      <c r="D1301" s="323">
        <v>46015</v>
      </c>
      <c r="E1301" s="175">
        <v>2</v>
      </c>
      <c r="F1301" s="168" t="s">
        <v>633</v>
      </c>
      <c r="G1301" s="165">
        <f>IFERROR(VLOOKUP(F1301,'menu list'!B:C,2,FALSE)*E1301,"0")</f>
        <v>1400</v>
      </c>
      <c r="H1301" s="334">
        <f t="shared" si="97"/>
        <v>210</v>
      </c>
      <c r="I1301" s="165">
        <f t="shared" si="98"/>
        <v>1610</v>
      </c>
    </row>
    <row r="1302" spans="1:9" ht="12.75" x14ac:dyDescent="0.25">
      <c r="A1302" s="167">
        <f t="shared" si="96"/>
        <v>1301</v>
      </c>
      <c r="B1302" s="168" t="s">
        <v>10</v>
      </c>
      <c r="C1302" s="168" t="str">
        <f>VLOOKUP(B1302,MEMBERS!B:C,2, )</f>
        <v>MR. JABIR SHAHZAD</v>
      </c>
      <c r="D1302" s="323">
        <v>46015</v>
      </c>
      <c r="E1302" s="175">
        <v>1</v>
      </c>
      <c r="F1302" s="168" t="s">
        <v>500</v>
      </c>
      <c r="G1302" s="165">
        <f>IFERROR(VLOOKUP(F1302,'menu list'!B:C,2,FALSE)*E1302,"0")</f>
        <v>1250</v>
      </c>
      <c r="H1302" s="334">
        <f t="shared" si="97"/>
        <v>187.5</v>
      </c>
      <c r="I1302" s="165">
        <f t="shared" si="98"/>
        <v>1437.5</v>
      </c>
    </row>
    <row r="1303" spans="1:9" ht="12.75" x14ac:dyDescent="0.25">
      <c r="A1303" s="167">
        <f t="shared" si="96"/>
        <v>1302</v>
      </c>
      <c r="B1303" s="168" t="s">
        <v>10</v>
      </c>
      <c r="C1303" s="168" t="str">
        <f>VLOOKUP(B1303,MEMBERS!B:C,2, )</f>
        <v>MR. JABIR SHAHZAD</v>
      </c>
      <c r="D1303" s="323">
        <v>46015</v>
      </c>
      <c r="E1303" s="175">
        <v>1</v>
      </c>
      <c r="F1303" s="168" t="s">
        <v>785</v>
      </c>
      <c r="G1303" s="165">
        <f>IFERROR(VLOOKUP(F1303,'menu list'!B:C,2,FALSE)*E1303,"0")</f>
        <v>950</v>
      </c>
      <c r="H1303" s="334">
        <f t="shared" si="97"/>
        <v>142.5</v>
      </c>
      <c r="I1303" s="165">
        <f t="shared" si="98"/>
        <v>1092.5</v>
      </c>
    </row>
    <row r="1304" spans="1:9" ht="12.75" x14ac:dyDescent="0.25">
      <c r="A1304" s="167">
        <f t="shared" si="96"/>
        <v>1303</v>
      </c>
      <c r="B1304" s="168" t="s">
        <v>10</v>
      </c>
      <c r="C1304" s="168" t="str">
        <f>VLOOKUP(B1304,MEMBERS!B:C,2, )</f>
        <v>MR. JABIR SHAHZAD</v>
      </c>
      <c r="D1304" s="323">
        <v>46015</v>
      </c>
      <c r="E1304" s="175">
        <v>1</v>
      </c>
      <c r="F1304" s="168" t="s">
        <v>846</v>
      </c>
      <c r="G1304" s="165">
        <f>IFERROR(VLOOKUP(F1304,'menu list'!B:C,2,FALSE)*E1304,"0")</f>
        <v>1250</v>
      </c>
      <c r="H1304" s="334">
        <f t="shared" si="97"/>
        <v>187.5</v>
      </c>
      <c r="I1304" s="165">
        <f t="shared" si="98"/>
        <v>1437.5</v>
      </c>
    </row>
    <row r="1305" spans="1:9" ht="12.75" x14ac:dyDescent="0.25">
      <c r="A1305" s="167">
        <f t="shared" si="96"/>
        <v>1304</v>
      </c>
      <c r="B1305" s="168" t="s">
        <v>10</v>
      </c>
      <c r="C1305" s="168" t="str">
        <f>VLOOKUP(B1305,MEMBERS!B:C,2, )</f>
        <v>MR. JABIR SHAHZAD</v>
      </c>
      <c r="D1305" s="323">
        <v>46015</v>
      </c>
      <c r="E1305" s="175">
        <v>1</v>
      </c>
      <c r="F1305" s="168" t="s">
        <v>770</v>
      </c>
      <c r="G1305" s="165">
        <f>IFERROR(VLOOKUP(F1305,'menu list'!B:C,2,FALSE)*E1305,"0")</f>
        <v>1000</v>
      </c>
      <c r="H1305" s="334">
        <f t="shared" si="97"/>
        <v>150</v>
      </c>
      <c r="I1305" s="165">
        <f t="shared" si="98"/>
        <v>1150</v>
      </c>
    </row>
    <row r="1306" spans="1:9" ht="12.75" x14ac:dyDescent="0.25">
      <c r="A1306" s="167">
        <f t="shared" si="96"/>
        <v>1305</v>
      </c>
      <c r="B1306" s="168" t="s">
        <v>10</v>
      </c>
      <c r="C1306" s="168" t="str">
        <f>VLOOKUP(B1306,MEMBERS!B:C,2, )</f>
        <v>MR. JABIR SHAHZAD</v>
      </c>
      <c r="D1306" s="323">
        <v>46015</v>
      </c>
      <c r="E1306" s="175">
        <v>2</v>
      </c>
      <c r="F1306" s="168" t="s">
        <v>786</v>
      </c>
      <c r="G1306" s="165">
        <f>IFERROR(VLOOKUP(F1306,'menu list'!B:C,2,FALSE)*E1306,"0")</f>
        <v>2300</v>
      </c>
      <c r="H1306" s="334">
        <f t="shared" si="97"/>
        <v>345</v>
      </c>
      <c r="I1306" s="165">
        <f t="shared" si="98"/>
        <v>2645</v>
      </c>
    </row>
    <row r="1307" spans="1:9" ht="12.75" x14ac:dyDescent="0.25">
      <c r="A1307" s="167">
        <f t="shared" si="96"/>
        <v>1306</v>
      </c>
      <c r="B1307" s="168" t="s">
        <v>10</v>
      </c>
      <c r="C1307" s="168" t="str">
        <f>VLOOKUP(B1307,MEMBERS!B:C,2, )</f>
        <v>MR. JABIR SHAHZAD</v>
      </c>
      <c r="D1307" s="323">
        <v>46015</v>
      </c>
      <c r="E1307" s="175">
        <v>1</v>
      </c>
      <c r="F1307" s="168" t="s">
        <v>939</v>
      </c>
      <c r="G1307" s="165">
        <f>IFERROR(VLOOKUP(F1307,'menu list'!B:C,2,FALSE)*E1307,"0")</f>
        <v>1200</v>
      </c>
      <c r="H1307" s="334">
        <f t="shared" si="97"/>
        <v>180</v>
      </c>
      <c r="I1307" s="165">
        <f t="shared" si="98"/>
        <v>1380</v>
      </c>
    </row>
    <row r="1308" spans="1:9" ht="12.75" x14ac:dyDescent="0.25">
      <c r="A1308" s="167">
        <f t="shared" si="96"/>
        <v>1307</v>
      </c>
      <c r="B1308" s="168" t="s">
        <v>10</v>
      </c>
      <c r="C1308" s="168" t="str">
        <f>VLOOKUP(B1308,MEMBERS!B:C,2, )</f>
        <v>MR. JABIR SHAHZAD</v>
      </c>
      <c r="D1308" s="323">
        <v>46015</v>
      </c>
      <c r="E1308" s="175">
        <v>1</v>
      </c>
      <c r="F1308" s="168" t="s">
        <v>1240</v>
      </c>
      <c r="G1308" s="165">
        <f>IFERROR(VLOOKUP(F1308,'menu list'!B:C,2,FALSE)*E1308,"0")</f>
        <v>600</v>
      </c>
      <c r="H1308" s="334">
        <f t="shared" si="97"/>
        <v>90</v>
      </c>
      <c r="I1308" s="165">
        <f t="shared" si="98"/>
        <v>690</v>
      </c>
    </row>
    <row r="1309" spans="1:9" ht="12.75" x14ac:dyDescent="0.25">
      <c r="A1309" s="167">
        <f t="shared" si="96"/>
        <v>1308</v>
      </c>
      <c r="B1309" s="168" t="s">
        <v>10</v>
      </c>
      <c r="C1309" s="168" t="str">
        <f>VLOOKUP(B1309,MEMBERS!B:C,2, )</f>
        <v>MR. JABIR SHAHZAD</v>
      </c>
      <c r="D1309" s="323">
        <v>46015</v>
      </c>
      <c r="E1309" s="175">
        <v>10</v>
      </c>
      <c r="F1309" s="168" t="s">
        <v>886</v>
      </c>
      <c r="G1309" s="165">
        <f>IFERROR(VLOOKUP(F1309,'menu list'!B:C,2,FALSE)*E1309,"0")</f>
        <v>1500</v>
      </c>
      <c r="H1309" s="334">
        <f t="shared" si="97"/>
        <v>225</v>
      </c>
      <c r="I1309" s="165">
        <f t="shared" si="98"/>
        <v>1725</v>
      </c>
    </row>
    <row r="1310" spans="1:9" ht="12.75" x14ac:dyDescent="0.25">
      <c r="A1310" s="167">
        <f t="shared" si="96"/>
        <v>1309</v>
      </c>
      <c r="B1310" s="168" t="s">
        <v>10</v>
      </c>
      <c r="C1310" s="168" t="str">
        <f>VLOOKUP(B1310,MEMBERS!B:C,2, )</f>
        <v>MR. JABIR SHAHZAD</v>
      </c>
      <c r="D1310" s="323">
        <v>46015</v>
      </c>
      <c r="E1310" s="175">
        <v>2</v>
      </c>
      <c r="F1310" s="168" t="s">
        <v>441</v>
      </c>
      <c r="G1310" s="165">
        <f>IFERROR(VLOOKUP(F1310,'menu list'!B:C,2,FALSE)*E1310,"0")</f>
        <v>400</v>
      </c>
      <c r="H1310" s="334">
        <f t="shared" si="97"/>
        <v>60</v>
      </c>
      <c r="I1310" s="165">
        <f t="shared" si="98"/>
        <v>460</v>
      </c>
    </row>
    <row r="1311" spans="1:9" ht="12.75" x14ac:dyDescent="0.25">
      <c r="A1311" s="167">
        <f t="shared" si="96"/>
        <v>1310</v>
      </c>
      <c r="B1311" s="168" t="s">
        <v>10</v>
      </c>
      <c r="C1311" s="168" t="str">
        <f>VLOOKUP(B1311,MEMBERS!B:C,2, )</f>
        <v>MR. JABIR SHAHZAD</v>
      </c>
      <c r="D1311" s="323">
        <v>46015</v>
      </c>
      <c r="E1311" s="175">
        <v>2</v>
      </c>
      <c r="F1311" s="168" t="s">
        <v>440</v>
      </c>
      <c r="G1311" s="165">
        <f>IFERROR(VLOOKUP(F1311,'menu list'!B:C,2,FALSE)*E1311,"0")</f>
        <v>300</v>
      </c>
      <c r="H1311" s="334">
        <f t="shared" si="97"/>
        <v>45</v>
      </c>
      <c r="I1311" s="165">
        <f t="shared" si="98"/>
        <v>345</v>
      </c>
    </row>
    <row r="1312" spans="1:9" ht="12.75" hidden="1" x14ac:dyDescent="0.25">
      <c r="A1312" s="167">
        <f t="shared" si="96"/>
        <v>1311</v>
      </c>
      <c r="B1312" s="168" t="s">
        <v>395</v>
      </c>
      <c r="C1312" s="168" t="str">
        <f>VLOOKUP(B1312,MEMBERS!B:C,2, )</f>
        <v>BAHRIA INTERNATIONAL HOSPITAL</v>
      </c>
      <c r="D1312" s="323">
        <v>46015</v>
      </c>
      <c r="E1312" s="175">
        <v>10</v>
      </c>
      <c r="F1312" s="168" t="s">
        <v>516</v>
      </c>
      <c r="G1312" s="165">
        <f>IFERROR(VLOOKUP(F1312,'menu list'!B:C,2,FALSE)*E1312,"0")</f>
        <v>2500</v>
      </c>
      <c r="H1312" s="334"/>
      <c r="I1312" s="165">
        <f t="shared" si="98"/>
        <v>2500</v>
      </c>
    </row>
    <row r="1313" spans="1:9" ht="12.75" hidden="1" x14ac:dyDescent="0.25">
      <c r="A1313" s="167">
        <f t="shared" si="96"/>
        <v>1312</v>
      </c>
      <c r="B1313" s="168" t="s">
        <v>395</v>
      </c>
      <c r="C1313" s="168" t="str">
        <f>VLOOKUP(B1313,MEMBERS!B:C,2, )</f>
        <v>BAHRIA INTERNATIONAL HOSPITAL</v>
      </c>
      <c r="D1313" s="323">
        <v>46015</v>
      </c>
      <c r="E1313" s="175">
        <v>10</v>
      </c>
      <c r="F1313" s="168" t="s">
        <v>558</v>
      </c>
      <c r="G1313" s="165">
        <f>IFERROR(VLOOKUP(F1313,'menu list'!B:C,2,FALSE)*E1313,"0")</f>
        <v>1500</v>
      </c>
      <c r="H1313" s="334"/>
      <c r="I1313" s="165">
        <f t="shared" si="98"/>
        <v>1500</v>
      </c>
    </row>
    <row r="1314" spans="1:9" ht="12.75" hidden="1" x14ac:dyDescent="0.25">
      <c r="A1314" s="167">
        <f t="shared" si="96"/>
        <v>1313</v>
      </c>
      <c r="B1314" s="168" t="s">
        <v>395</v>
      </c>
      <c r="C1314" s="168" t="str">
        <f>VLOOKUP(B1314,MEMBERS!B:C,2, )</f>
        <v>BAHRIA INTERNATIONAL HOSPITAL</v>
      </c>
      <c r="D1314" s="323">
        <v>46015</v>
      </c>
      <c r="E1314" s="175">
        <v>4</v>
      </c>
      <c r="F1314" s="168" t="s">
        <v>515</v>
      </c>
      <c r="G1314" s="165">
        <f>IFERROR(VLOOKUP(F1314,'menu list'!B:C,2,FALSE)*E1314,"0")</f>
        <v>1600</v>
      </c>
      <c r="H1314" s="334"/>
      <c r="I1314" s="165">
        <f t="shared" si="98"/>
        <v>1600</v>
      </c>
    </row>
    <row r="1315" spans="1:9" ht="12.75" hidden="1" x14ac:dyDescent="0.25">
      <c r="A1315" s="167">
        <f t="shared" si="96"/>
        <v>1314</v>
      </c>
      <c r="B1315" s="168" t="s">
        <v>418</v>
      </c>
      <c r="C1315" s="168" t="str">
        <f>VLOOKUP(B1315,MEMBERS!B:C,2, )</f>
        <v>ZAIB UR REHMAN</v>
      </c>
      <c r="D1315" s="323">
        <v>46015</v>
      </c>
      <c r="E1315" s="175">
        <v>1</v>
      </c>
      <c r="F1315" s="168" t="s">
        <v>498</v>
      </c>
      <c r="G1315" s="165">
        <f>IFERROR(VLOOKUP(F1315,'menu list'!B:C,2,FALSE)*E1315,"0")</f>
        <v>200</v>
      </c>
      <c r="H1315" s="334">
        <f t="shared" si="97"/>
        <v>30</v>
      </c>
      <c r="I1315" s="165">
        <f t="shared" si="98"/>
        <v>230</v>
      </c>
    </row>
    <row r="1316" spans="1:9" ht="12.75" hidden="1" x14ac:dyDescent="0.25">
      <c r="A1316" s="167">
        <f t="shared" si="96"/>
        <v>1315</v>
      </c>
      <c r="B1316" s="168" t="s">
        <v>418</v>
      </c>
      <c r="C1316" s="168" t="str">
        <f>VLOOKUP(B1316,MEMBERS!B:C,2, )</f>
        <v>ZAIB UR REHMAN</v>
      </c>
      <c r="D1316" s="323">
        <v>46015</v>
      </c>
      <c r="E1316" s="175">
        <v>1</v>
      </c>
      <c r="F1316" s="168" t="s">
        <v>570</v>
      </c>
      <c r="G1316" s="165">
        <f>IFERROR(VLOOKUP(F1316,'menu list'!B:C,2,FALSE)*E1316,"0")</f>
        <v>150</v>
      </c>
      <c r="H1316" s="334">
        <f t="shared" si="97"/>
        <v>22.5</v>
      </c>
      <c r="I1316" s="165">
        <f t="shared" si="98"/>
        <v>172.5</v>
      </c>
    </row>
    <row r="1317" spans="1:9" ht="12.75" hidden="1" x14ac:dyDescent="0.25">
      <c r="A1317" s="167">
        <f t="shared" si="96"/>
        <v>1316</v>
      </c>
      <c r="B1317" s="168" t="s">
        <v>1020</v>
      </c>
      <c r="C1317" s="168" t="str">
        <f>VLOOKUP(B1317,MEMBERS!B:C,2, )</f>
        <v>MR. MUNAWAR HUSSAIN</v>
      </c>
      <c r="D1317" s="323">
        <v>46015</v>
      </c>
      <c r="E1317" s="175">
        <v>2</v>
      </c>
      <c r="F1317" s="168" t="s">
        <v>643</v>
      </c>
      <c r="G1317" s="165">
        <f>IFERROR(VLOOKUP(F1317,'menu list'!B:C,2,FALSE)*E1317,"0")</f>
        <v>600</v>
      </c>
      <c r="H1317" s="334">
        <f t="shared" si="97"/>
        <v>90</v>
      </c>
      <c r="I1317" s="165">
        <f t="shared" si="98"/>
        <v>690</v>
      </c>
    </row>
    <row r="1318" spans="1:9" ht="12.75" hidden="1" x14ac:dyDescent="0.25">
      <c r="A1318" s="167">
        <f t="shared" si="96"/>
        <v>1317</v>
      </c>
      <c r="B1318" s="168" t="s">
        <v>342</v>
      </c>
      <c r="C1318" s="168" t="str">
        <f>VLOOKUP(B1318,MEMBERS!B:C,2, )</f>
        <v xml:space="preserve">JAM FEROZ </v>
      </c>
      <c r="D1318" s="323">
        <v>46015</v>
      </c>
      <c r="E1318" s="175">
        <v>1</v>
      </c>
      <c r="F1318" s="168" t="s">
        <v>440</v>
      </c>
      <c r="G1318" s="165">
        <f>IFERROR(VLOOKUP(F1318,'menu list'!B:C,2,FALSE)*E1318,"0")</f>
        <v>150</v>
      </c>
      <c r="H1318" s="334">
        <f t="shared" si="97"/>
        <v>22.5</v>
      </c>
      <c r="I1318" s="165">
        <f t="shared" si="98"/>
        <v>172.5</v>
      </c>
    </row>
    <row r="1319" spans="1:9" ht="12.75" hidden="1" x14ac:dyDescent="0.25">
      <c r="A1319" s="167">
        <f t="shared" si="96"/>
        <v>1318</v>
      </c>
      <c r="B1319" s="168" t="s">
        <v>342</v>
      </c>
      <c r="C1319" s="168" t="str">
        <f>VLOOKUP(B1319,MEMBERS!B:C,2, )</f>
        <v xml:space="preserve">JAM FEROZ </v>
      </c>
      <c r="D1319" s="323">
        <v>46015</v>
      </c>
      <c r="E1319" s="175">
        <v>1</v>
      </c>
      <c r="F1319" s="168" t="s">
        <v>500</v>
      </c>
      <c r="G1319" s="165">
        <f>IFERROR(VLOOKUP(F1319,'menu list'!B:C,2,FALSE)*E1319,"0")</f>
        <v>1250</v>
      </c>
      <c r="H1319" s="334">
        <f t="shared" si="97"/>
        <v>187.5</v>
      </c>
      <c r="I1319" s="165">
        <f t="shared" si="98"/>
        <v>1437.5</v>
      </c>
    </row>
    <row r="1320" spans="1:9" ht="12.75" hidden="1" x14ac:dyDescent="0.25">
      <c r="A1320" s="167">
        <f t="shared" si="96"/>
        <v>1319</v>
      </c>
      <c r="B1320" s="168" t="s">
        <v>342</v>
      </c>
      <c r="C1320" s="168" t="str">
        <f>VLOOKUP(B1320,MEMBERS!B:C,2, )</f>
        <v xml:space="preserve">JAM FEROZ </v>
      </c>
      <c r="D1320" s="323">
        <v>46015</v>
      </c>
      <c r="E1320" s="175">
        <v>3</v>
      </c>
      <c r="F1320" s="168" t="s">
        <v>836</v>
      </c>
      <c r="G1320" s="165">
        <f>IFERROR(VLOOKUP(F1320,'menu list'!B:C,2,FALSE)*E1320,"0")</f>
        <v>1050</v>
      </c>
      <c r="H1320" s="334">
        <f t="shared" si="97"/>
        <v>157.5</v>
      </c>
      <c r="I1320" s="165">
        <f t="shared" si="98"/>
        <v>1207.5</v>
      </c>
    </row>
    <row r="1321" spans="1:9" ht="12.75" hidden="1" x14ac:dyDescent="0.25">
      <c r="A1321" s="167">
        <f t="shared" si="96"/>
        <v>1320</v>
      </c>
      <c r="B1321" s="168" t="s">
        <v>342</v>
      </c>
      <c r="C1321" s="168" t="str">
        <f>VLOOKUP(B1321,MEMBERS!B:C,2, )</f>
        <v xml:space="preserve">JAM FEROZ </v>
      </c>
      <c r="D1321" s="323">
        <v>46015</v>
      </c>
      <c r="E1321" s="175">
        <v>4</v>
      </c>
      <c r="F1321" s="168" t="s">
        <v>770</v>
      </c>
      <c r="G1321" s="165">
        <f>IFERROR(VLOOKUP(F1321,'menu list'!B:C,2,FALSE)*E1321,"0")</f>
        <v>4000</v>
      </c>
      <c r="H1321" s="334">
        <f t="shared" si="97"/>
        <v>600</v>
      </c>
      <c r="I1321" s="165">
        <f t="shared" si="98"/>
        <v>4600</v>
      </c>
    </row>
    <row r="1322" spans="1:9" ht="12.75" hidden="1" x14ac:dyDescent="0.25">
      <c r="A1322" s="167">
        <f t="shared" si="96"/>
        <v>1321</v>
      </c>
      <c r="B1322" s="168" t="s">
        <v>342</v>
      </c>
      <c r="C1322" s="168" t="str">
        <f>VLOOKUP(B1322,MEMBERS!B:C,2, )</f>
        <v xml:space="preserve">JAM FEROZ </v>
      </c>
      <c r="D1322" s="323">
        <v>46015</v>
      </c>
      <c r="E1322" s="175">
        <v>2</v>
      </c>
      <c r="F1322" s="168" t="s">
        <v>939</v>
      </c>
      <c r="G1322" s="165">
        <f>IFERROR(VLOOKUP(F1322,'menu list'!B:C,2,FALSE)*E1322,"0")</f>
        <v>2400</v>
      </c>
      <c r="H1322" s="334">
        <f t="shared" si="97"/>
        <v>360</v>
      </c>
      <c r="I1322" s="165">
        <f t="shared" si="98"/>
        <v>2760</v>
      </c>
    </row>
    <row r="1323" spans="1:9" ht="12.75" hidden="1" x14ac:dyDescent="0.25">
      <c r="A1323" s="167">
        <f t="shared" si="96"/>
        <v>1322</v>
      </c>
      <c r="B1323" s="168" t="s">
        <v>342</v>
      </c>
      <c r="C1323" s="168" t="str">
        <f>VLOOKUP(B1323,MEMBERS!B:C,2, )</f>
        <v xml:space="preserve">JAM FEROZ </v>
      </c>
      <c r="D1323" s="323">
        <v>46015</v>
      </c>
      <c r="E1323" s="175">
        <v>2</v>
      </c>
      <c r="F1323" s="168" t="s">
        <v>846</v>
      </c>
      <c r="G1323" s="165">
        <f>IFERROR(VLOOKUP(F1323,'menu list'!B:C,2,FALSE)*E1323,"0")</f>
        <v>2500</v>
      </c>
      <c r="H1323" s="334">
        <f t="shared" si="97"/>
        <v>375</v>
      </c>
      <c r="I1323" s="165">
        <f t="shared" si="98"/>
        <v>2875</v>
      </c>
    </row>
    <row r="1324" spans="1:9" ht="12.75" hidden="1" x14ac:dyDescent="0.25">
      <c r="A1324" s="167">
        <f t="shared" si="96"/>
        <v>1323</v>
      </c>
      <c r="B1324" s="168" t="s">
        <v>342</v>
      </c>
      <c r="C1324" s="168" t="str">
        <f>VLOOKUP(B1324,MEMBERS!B:C,2, )</f>
        <v xml:space="preserve">JAM FEROZ </v>
      </c>
      <c r="D1324" s="323">
        <v>46015</v>
      </c>
      <c r="E1324" s="175">
        <v>3</v>
      </c>
      <c r="F1324" s="168" t="s">
        <v>439</v>
      </c>
      <c r="G1324" s="165">
        <f>IFERROR(VLOOKUP(F1324,'menu list'!B:C,2,FALSE)*E1324,"0")</f>
        <v>210</v>
      </c>
      <c r="H1324" s="334">
        <f t="shared" si="97"/>
        <v>31.5</v>
      </c>
      <c r="I1324" s="165">
        <f t="shared" si="98"/>
        <v>241.5</v>
      </c>
    </row>
    <row r="1325" spans="1:9" ht="12.75" hidden="1" x14ac:dyDescent="0.25">
      <c r="A1325" s="167">
        <f t="shared" si="96"/>
        <v>1324</v>
      </c>
      <c r="B1325" s="168" t="s">
        <v>342</v>
      </c>
      <c r="C1325" s="168" t="str">
        <f>VLOOKUP(B1325,MEMBERS!B:C,2, )</f>
        <v xml:space="preserve">JAM FEROZ </v>
      </c>
      <c r="D1325" s="323">
        <v>46015</v>
      </c>
      <c r="E1325" s="175">
        <v>6</v>
      </c>
      <c r="F1325" s="168" t="s">
        <v>504</v>
      </c>
      <c r="G1325" s="165">
        <f>IFERROR(VLOOKUP(F1325,'menu list'!B:C,2,FALSE)*E1325,"0")</f>
        <v>780</v>
      </c>
      <c r="H1325" s="334">
        <f t="shared" si="97"/>
        <v>117</v>
      </c>
      <c r="I1325" s="165">
        <f t="shared" si="98"/>
        <v>897</v>
      </c>
    </row>
    <row r="1326" spans="1:9" ht="12.75" hidden="1" x14ac:dyDescent="0.25">
      <c r="A1326" s="167">
        <f t="shared" si="96"/>
        <v>1325</v>
      </c>
      <c r="B1326" s="168" t="s">
        <v>342</v>
      </c>
      <c r="C1326" s="168" t="str">
        <f>VLOOKUP(B1326,MEMBERS!B:C,2, )</f>
        <v xml:space="preserve">JAM FEROZ </v>
      </c>
      <c r="D1326" s="323">
        <v>46015</v>
      </c>
      <c r="E1326" s="175">
        <v>4</v>
      </c>
      <c r="F1326" s="168" t="s">
        <v>740</v>
      </c>
      <c r="G1326" s="165">
        <f>IFERROR(VLOOKUP(F1326,'menu list'!B:C,2,FALSE)*E1326,"0")</f>
        <v>7200</v>
      </c>
      <c r="H1326" s="334">
        <f t="shared" si="97"/>
        <v>1080</v>
      </c>
      <c r="I1326" s="165">
        <f t="shared" si="98"/>
        <v>8280</v>
      </c>
    </row>
    <row r="1327" spans="1:9" ht="12.75" hidden="1" x14ac:dyDescent="0.25">
      <c r="A1327" s="167">
        <f t="shared" si="96"/>
        <v>1326</v>
      </c>
      <c r="B1327" s="168" t="s">
        <v>795</v>
      </c>
      <c r="C1327" s="168" t="str">
        <f>VLOOKUP(B1327,MEMBERS!B:C,2, )</f>
        <v>MR. HASAN KARIM</v>
      </c>
      <c r="D1327" s="323">
        <v>46016</v>
      </c>
      <c r="E1327" s="175">
        <v>3</v>
      </c>
      <c r="F1327" s="168" t="s">
        <v>846</v>
      </c>
      <c r="G1327" s="165">
        <f>IFERROR(VLOOKUP(F1327,'menu list'!B:C,2,FALSE)*E1327,"0")</f>
        <v>3750</v>
      </c>
      <c r="H1327" s="334">
        <f t="shared" si="97"/>
        <v>562.5</v>
      </c>
      <c r="I1327" s="165">
        <f t="shared" si="98"/>
        <v>4312.5</v>
      </c>
    </row>
    <row r="1328" spans="1:9" ht="12.75" hidden="1" x14ac:dyDescent="0.25">
      <c r="A1328" s="167">
        <f t="shared" ref="A1328:A1391" si="99">IF(D1328&lt;&gt;"", ROW()-1, "")</f>
        <v>1327</v>
      </c>
      <c r="B1328" s="168" t="s">
        <v>795</v>
      </c>
      <c r="C1328" s="168" t="str">
        <f>VLOOKUP(B1328,MEMBERS!B:C,2, )</f>
        <v>MR. HASAN KARIM</v>
      </c>
      <c r="D1328" s="323">
        <v>46016</v>
      </c>
      <c r="E1328" s="175">
        <v>4</v>
      </c>
      <c r="F1328" s="168" t="s">
        <v>497</v>
      </c>
      <c r="G1328" s="165">
        <f>IFERROR(VLOOKUP(F1328,'menu list'!B:C,2,FALSE)*E1328,"0")</f>
        <v>1000</v>
      </c>
      <c r="H1328" s="334">
        <f t="shared" ref="H1328:H1391" si="100">G1328*15/100</f>
        <v>150</v>
      </c>
      <c r="I1328" s="165">
        <f t="shared" ref="I1328:I1391" si="101">G1328+H1328</f>
        <v>1150</v>
      </c>
    </row>
    <row r="1329" spans="1:9" ht="12.75" hidden="1" x14ac:dyDescent="0.25">
      <c r="A1329" s="167">
        <f t="shared" si="99"/>
        <v>1328</v>
      </c>
      <c r="B1329" s="168" t="s">
        <v>795</v>
      </c>
      <c r="C1329" s="168" t="str">
        <f>VLOOKUP(B1329,MEMBERS!B:C,2, )</f>
        <v>MR. HASAN KARIM</v>
      </c>
      <c r="D1329" s="323">
        <v>46016</v>
      </c>
      <c r="E1329" s="175">
        <v>4</v>
      </c>
      <c r="F1329" s="168" t="s">
        <v>772</v>
      </c>
      <c r="G1329" s="165">
        <f>IFERROR(VLOOKUP(F1329,'menu list'!B:C,2,FALSE)*E1329,"0")</f>
        <v>3600</v>
      </c>
      <c r="H1329" s="334">
        <f t="shared" si="100"/>
        <v>540</v>
      </c>
      <c r="I1329" s="165">
        <f t="shared" si="101"/>
        <v>4140</v>
      </c>
    </row>
    <row r="1330" spans="1:9" ht="12.75" hidden="1" x14ac:dyDescent="0.25">
      <c r="A1330" s="167">
        <f t="shared" si="99"/>
        <v>1329</v>
      </c>
      <c r="B1330" s="168" t="s">
        <v>795</v>
      </c>
      <c r="C1330" s="168" t="str">
        <f>VLOOKUP(B1330,MEMBERS!B:C,2, )</f>
        <v>MR. HASAN KARIM</v>
      </c>
      <c r="D1330" s="323">
        <v>46016</v>
      </c>
      <c r="E1330" s="175">
        <v>3</v>
      </c>
      <c r="F1330" s="168" t="s">
        <v>559</v>
      </c>
      <c r="G1330" s="165">
        <f>IFERROR(VLOOKUP(F1330,'menu list'!B:C,2,FALSE)*E1330,"0")</f>
        <v>2997</v>
      </c>
      <c r="H1330" s="334">
        <f t="shared" si="100"/>
        <v>449.55</v>
      </c>
      <c r="I1330" s="165">
        <f t="shared" si="101"/>
        <v>3446.55</v>
      </c>
    </row>
    <row r="1331" spans="1:9" ht="12.75" hidden="1" x14ac:dyDescent="0.25">
      <c r="A1331" s="167">
        <f t="shared" si="99"/>
        <v>1330</v>
      </c>
      <c r="B1331" s="168" t="s">
        <v>795</v>
      </c>
      <c r="C1331" s="168" t="str">
        <f>VLOOKUP(B1331,MEMBERS!B:C,2, )</f>
        <v>MR. HASAN KARIM</v>
      </c>
      <c r="D1331" s="323">
        <v>46016</v>
      </c>
      <c r="E1331" s="175">
        <v>3</v>
      </c>
      <c r="F1331" s="168" t="s">
        <v>785</v>
      </c>
      <c r="G1331" s="165">
        <f>IFERROR(VLOOKUP(F1331,'menu list'!B:C,2,FALSE)*E1331,"0")</f>
        <v>2850</v>
      </c>
      <c r="H1331" s="334">
        <f t="shared" si="100"/>
        <v>427.5</v>
      </c>
      <c r="I1331" s="165">
        <f t="shared" si="101"/>
        <v>3277.5</v>
      </c>
    </row>
    <row r="1332" spans="1:9" ht="12.75" hidden="1" x14ac:dyDescent="0.25">
      <c r="A1332" s="167">
        <f t="shared" si="99"/>
        <v>1331</v>
      </c>
      <c r="B1332" s="168" t="s">
        <v>795</v>
      </c>
      <c r="C1332" s="168" t="str">
        <f>VLOOKUP(B1332,MEMBERS!B:C,2, )</f>
        <v>MR. HASAN KARIM</v>
      </c>
      <c r="D1332" s="323">
        <v>46016</v>
      </c>
      <c r="E1332" s="175">
        <v>2</v>
      </c>
      <c r="F1332" s="168" t="s">
        <v>441</v>
      </c>
      <c r="G1332" s="165">
        <f>IFERROR(VLOOKUP(F1332,'menu list'!B:C,2,FALSE)*E1332,"0")</f>
        <v>400</v>
      </c>
      <c r="H1332" s="334">
        <f t="shared" si="100"/>
        <v>60</v>
      </c>
      <c r="I1332" s="165">
        <f t="shared" si="101"/>
        <v>460</v>
      </c>
    </row>
    <row r="1333" spans="1:9" ht="12.75" hidden="1" x14ac:dyDescent="0.25">
      <c r="A1333" s="167">
        <f t="shared" si="99"/>
        <v>1332</v>
      </c>
      <c r="B1333" s="168" t="s">
        <v>795</v>
      </c>
      <c r="C1333" s="168" t="str">
        <f>VLOOKUP(B1333,MEMBERS!B:C,2, )</f>
        <v>MR. HASAN KARIM</v>
      </c>
      <c r="D1333" s="323">
        <v>46016</v>
      </c>
      <c r="E1333" s="175">
        <v>1</v>
      </c>
      <c r="F1333" s="168" t="s">
        <v>601</v>
      </c>
      <c r="G1333" s="165">
        <f>IFERROR(VLOOKUP(F1333,'menu list'!B:C,2,FALSE)*E1333,"0")</f>
        <v>1200</v>
      </c>
      <c r="H1333" s="334">
        <f t="shared" si="100"/>
        <v>180</v>
      </c>
      <c r="I1333" s="165">
        <f t="shared" si="101"/>
        <v>1380</v>
      </c>
    </row>
    <row r="1334" spans="1:9" ht="12.75" hidden="1" x14ac:dyDescent="0.25">
      <c r="A1334" s="167">
        <f t="shared" si="99"/>
        <v>1333</v>
      </c>
      <c r="B1334" s="168" t="s">
        <v>795</v>
      </c>
      <c r="C1334" s="168" t="str">
        <f>VLOOKUP(B1334,MEMBERS!B:C,2, )</f>
        <v>MR. HASAN KARIM</v>
      </c>
      <c r="D1334" s="323">
        <v>46016</v>
      </c>
      <c r="E1334" s="175">
        <v>8</v>
      </c>
      <c r="F1334" s="168" t="s">
        <v>504</v>
      </c>
      <c r="G1334" s="165">
        <f>IFERROR(VLOOKUP(F1334,'menu list'!B:C,2,FALSE)*E1334,"0")</f>
        <v>1040</v>
      </c>
      <c r="H1334" s="334">
        <f t="shared" si="100"/>
        <v>156</v>
      </c>
      <c r="I1334" s="165">
        <f t="shared" si="101"/>
        <v>1196</v>
      </c>
    </row>
    <row r="1335" spans="1:9" ht="12.75" hidden="1" x14ac:dyDescent="0.25">
      <c r="A1335" s="167">
        <f t="shared" si="99"/>
        <v>1334</v>
      </c>
      <c r="B1335" s="168" t="s">
        <v>795</v>
      </c>
      <c r="C1335" s="168" t="str">
        <f>VLOOKUP(B1335,MEMBERS!B:C,2, )</f>
        <v>MR. HASAN KARIM</v>
      </c>
      <c r="D1335" s="323">
        <v>46016</v>
      </c>
      <c r="E1335" s="175">
        <v>8</v>
      </c>
      <c r="F1335" s="168" t="s">
        <v>439</v>
      </c>
      <c r="G1335" s="165">
        <f>IFERROR(VLOOKUP(F1335,'menu list'!B:C,2,FALSE)*E1335,"0")</f>
        <v>560</v>
      </c>
      <c r="H1335" s="334">
        <f t="shared" si="100"/>
        <v>84</v>
      </c>
      <c r="I1335" s="165">
        <f t="shared" si="101"/>
        <v>644</v>
      </c>
    </row>
    <row r="1336" spans="1:9" ht="12.75" hidden="1" x14ac:dyDescent="0.25">
      <c r="A1336" s="167">
        <f t="shared" si="99"/>
        <v>1335</v>
      </c>
      <c r="B1336" s="168" t="s">
        <v>795</v>
      </c>
      <c r="C1336" s="168" t="str">
        <f>VLOOKUP(B1336,MEMBERS!B:C,2, )</f>
        <v>MR. HASAN KARIM</v>
      </c>
      <c r="D1336" s="323">
        <v>46016</v>
      </c>
      <c r="E1336" s="175">
        <v>9</v>
      </c>
      <c r="F1336" s="168" t="s">
        <v>442</v>
      </c>
      <c r="G1336" s="165">
        <f>IFERROR(VLOOKUP(F1336,'menu list'!B:C,2,FALSE)*E1336,"0")</f>
        <v>1350</v>
      </c>
      <c r="H1336" s="334">
        <f t="shared" si="100"/>
        <v>202.5</v>
      </c>
      <c r="I1336" s="165">
        <f t="shared" si="101"/>
        <v>1552.5</v>
      </c>
    </row>
    <row r="1337" spans="1:9" ht="12.75" hidden="1" x14ac:dyDescent="0.25">
      <c r="A1337" s="167">
        <f t="shared" si="99"/>
        <v>1336</v>
      </c>
      <c r="B1337" s="168" t="s">
        <v>795</v>
      </c>
      <c r="C1337" s="168" t="str">
        <f>VLOOKUP(B1337,MEMBERS!B:C,2, )</f>
        <v>MR. HASAN KARIM</v>
      </c>
      <c r="D1337" s="323">
        <v>46016</v>
      </c>
      <c r="E1337" s="175">
        <v>3</v>
      </c>
      <c r="F1337" s="168" t="s">
        <v>440</v>
      </c>
      <c r="G1337" s="165">
        <f>IFERROR(VLOOKUP(F1337,'menu list'!B:C,2,FALSE)*E1337,"0")</f>
        <v>450</v>
      </c>
      <c r="H1337" s="334">
        <f t="shared" si="100"/>
        <v>67.5</v>
      </c>
      <c r="I1337" s="165">
        <f t="shared" si="101"/>
        <v>517.5</v>
      </c>
    </row>
    <row r="1338" spans="1:9" ht="12.75" hidden="1" x14ac:dyDescent="0.25">
      <c r="A1338" s="167">
        <f t="shared" si="99"/>
        <v>1337</v>
      </c>
      <c r="B1338" s="168" t="s">
        <v>795</v>
      </c>
      <c r="C1338" s="168" t="str">
        <f>VLOOKUP(B1338,MEMBERS!B:C,2, )</f>
        <v>MR. HASAN KARIM</v>
      </c>
      <c r="D1338" s="323">
        <v>46016</v>
      </c>
      <c r="E1338" s="175">
        <v>2</v>
      </c>
      <c r="F1338" s="168" t="s">
        <v>499</v>
      </c>
      <c r="G1338" s="165">
        <f>IFERROR(VLOOKUP(F1338,'menu list'!B:C,2,FALSE)*E1338,"0")</f>
        <v>200</v>
      </c>
      <c r="H1338" s="334">
        <f t="shared" si="100"/>
        <v>30</v>
      </c>
      <c r="I1338" s="165">
        <f t="shared" si="101"/>
        <v>230</v>
      </c>
    </row>
    <row r="1339" spans="1:9" ht="12.75" hidden="1" x14ac:dyDescent="0.25">
      <c r="A1339" s="167">
        <f t="shared" si="99"/>
        <v>1338</v>
      </c>
      <c r="B1339" s="168" t="s">
        <v>795</v>
      </c>
      <c r="C1339" s="168" t="str">
        <f>VLOOKUP(B1339,MEMBERS!B:C,2, )</f>
        <v>MR. HASAN KARIM</v>
      </c>
      <c r="D1339" s="323">
        <v>46016</v>
      </c>
      <c r="E1339" s="175">
        <v>2</v>
      </c>
      <c r="F1339" s="168" t="s">
        <v>793</v>
      </c>
      <c r="G1339" s="165">
        <f>IFERROR(VLOOKUP(F1339,'menu list'!B:C,2,FALSE)*E1339,"0")</f>
        <v>1600</v>
      </c>
      <c r="H1339" s="334">
        <f t="shared" si="100"/>
        <v>240</v>
      </c>
      <c r="I1339" s="165">
        <f t="shared" si="101"/>
        <v>1840</v>
      </c>
    </row>
    <row r="1340" spans="1:9" ht="12.75" hidden="1" x14ac:dyDescent="0.25">
      <c r="A1340" s="167">
        <f t="shared" si="99"/>
        <v>1339</v>
      </c>
      <c r="B1340" s="168" t="s">
        <v>323</v>
      </c>
      <c r="C1340" s="168" t="str">
        <f>VLOOKUP(B1340,MEMBERS!B:C,2, )</f>
        <v>DR.FAKHRUNISSA WAHEED</v>
      </c>
      <c r="D1340" s="323">
        <v>46016</v>
      </c>
      <c r="E1340" s="175">
        <v>7</v>
      </c>
      <c r="F1340" s="168" t="s">
        <v>1241</v>
      </c>
      <c r="G1340" s="165">
        <f>IFERROR(VLOOKUP(F1340,'menu list'!B:C,2,FALSE)*E1340,"0")</f>
        <v>17500</v>
      </c>
      <c r="H1340" s="334">
        <f t="shared" si="100"/>
        <v>2625</v>
      </c>
      <c r="I1340" s="165">
        <f t="shared" si="101"/>
        <v>20125</v>
      </c>
    </row>
    <row r="1341" spans="1:9" ht="12.75" hidden="1" x14ac:dyDescent="0.25">
      <c r="A1341" s="167">
        <f t="shared" si="99"/>
        <v>1340</v>
      </c>
      <c r="B1341" s="168" t="s">
        <v>323</v>
      </c>
      <c r="C1341" s="168" t="str">
        <f>VLOOKUP(B1341,MEMBERS!B:C,2, )</f>
        <v>DR.FAKHRUNISSA WAHEED</v>
      </c>
      <c r="D1341" s="323">
        <v>46016</v>
      </c>
      <c r="E1341" s="175">
        <v>1</v>
      </c>
      <c r="F1341" s="168" t="s">
        <v>1242</v>
      </c>
      <c r="G1341" s="165">
        <f>IFERROR(VLOOKUP(F1341,'menu list'!B:C,2,FALSE)*E1341,"0")</f>
        <v>1250</v>
      </c>
      <c r="H1341" s="334">
        <f t="shared" si="100"/>
        <v>187.5</v>
      </c>
      <c r="I1341" s="165">
        <f t="shared" si="101"/>
        <v>1437.5</v>
      </c>
    </row>
    <row r="1342" spans="1:9" ht="12.75" hidden="1" x14ac:dyDescent="0.25">
      <c r="A1342" s="167">
        <f t="shared" si="99"/>
        <v>1341</v>
      </c>
      <c r="B1342" s="168" t="s">
        <v>323</v>
      </c>
      <c r="C1342" s="168" t="str">
        <f>VLOOKUP(B1342,MEMBERS!B:C,2, )</f>
        <v>DR.FAKHRUNISSA WAHEED</v>
      </c>
      <c r="D1342" s="323">
        <v>46016</v>
      </c>
      <c r="E1342" s="175">
        <v>2</v>
      </c>
      <c r="F1342" s="168" t="s">
        <v>440</v>
      </c>
      <c r="G1342" s="165">
        <f>IFERROR(VLOOKUP(F1342,'menu list'!B:C,2,FALSE)*E1342,"0")</f>
        <v>300</v>
      </c>
      <c r="H1342" s="334">
        <f t="shared" si="100"/>
        <v>45</v>
      </c>
      <c r="I1342" s="165">
        <f t="shared" si="101"/>
        <v>345</v>
      </c>
    </row>
    <row r="1343" spans="1:9" ht="12.75" hidden="1" x14ac:dyDescent="0.25">
      <c r="A1343" s="167">
        <f t="shared" si="99"/>
        <v>1342</v>
      </c>
      <c r="B1343" s="168" t="s">
        <v>323</v>
      </c>
      <c r="C1343" s="168" t="str">
        <f>VLOOKUP(B1343,MEMBERS!B:C,2, )</f>
        <v>DR.FAKHRUNISSA WAHEED</v>
      </c>
      <c r="D1343" s="323">
        <v>46016</v>
      </c>
      <c r="E1343" s="175">
        <v>6</v>
      </c>
      <c r="F1343" s="168" t="s">
        <v>502</v>
      </c>
      <c r="G1343" s="165">
        <f>IFERROR(VLOOKUP(F1343,'menu list'!B:C,2,FALSE)*E1343,"0")</f>
        <v>2100</v>
      </c>
      <c r="H1343" s="334">
        <f t="shared" si="100"/>
        <v>315</v>
      </c>
      <c r="I1343" s="165">
        <f t="shared" si="101"/>
        <v>2415</v>
      </c>
    </row>
    <row r="1344" spans="1:9" ht="12.75" hidden="1" x14ac:dyDescent="0.25">
      <c r="A1344" s="167">
        <f t="shared" si="99"/>
        <v>1343</v>
      </c>
      <c r="B1344" s="168" t="s">
        <v>323</v>
      </c>
      <c r="C1344" s="168" t="str">
        <f>VLOOKUP(B1344,MEMBERS!B:C,2, )</f>
        <v>DR.FAKHRUNISSA WAHEED</v>
      </c>
      <c r="D1344" s="323">
        <v>46016</v>
      </c>
      <c r="E1344" s="175">
        <v>4</v>
      </c>
      <c r="F1344" s="168" t="s">
        <v>836</v>
      </c>
      <c r="G1344" s="165">
        <f>IFERROR(VLOOKUP(F1344,'menu list'!B:C,2,FALSE)*E1344,"0")</f>
        <v>1400</v>
      </c>
      <c r="H1344" s="334">
        <f t="shared" si="100"/>
        <v>210</v>
      </c>
      <c r="I1344" s="165">
        <f t="shared" si="101"/>
        <v>1610</v>
      </c>
    </row>
    <row r="1345" spans="1:9" ht="12.75" hidden="1" x14ac:dyDescent="0.25">
      <c r="A1345" s="167">
        <f t="shared" si="99"/>
        <v>1344</v>
      </c>
      <c r="B1345" s="168" t="s">
        <v>323</v>
      </c>
      <c r="C1345" s="168" t="str">
        <f>VLOOKUP(B1345,MEMBERS!B:C,2, )</f>
        <v>DR.FAKHRUNISSA WAHEED</v>
      </c>
      <c r="D1345" s="323">
        <v>46016</v>
      </c>
      <c r="E1345" s="175">
        <v>3</v>
      </c>
      <c r="F1345" s="168" t="s">
        <v>498</v>
      </c>
      <c r="G1345" s="165">
        <f>IFERROR(VLOOKUP(F1345,'menu list'!B:C,2,FALSE)*E1345,"0")</f>
        <v>600</v>
      </c>
      <c r="H1345" s="334">
        <f t="shared" si="100"/>
        <v>90</v>
      </c>
      <c r="I1345" s="165">
        <f t="shared" si="101"/>
        <v>690</v>
      </c>
    </row>
    <row r="1346" spans="1:9" ht="12.75" hidden="1" x14ac:dyDescent="0.25">
      <c r="A1346" s="167">
        <f t="shared" si="99"/>
        <v>1345</v>
      </c>
      <c r="B1346" s="168" t="s">
        <v>323</v>
      </c>
      <c r="C1346" s="168" t="str">
        <f>VLOOKUP(B1346,MEMBERS!B:C,2, )</f>
        <v>DR.FAKHRUNISSA WAHEED</v>
      </c>
      <c r="D1346" s="323">
        <v>46016</v>
      </c>
      <c r="E1346" s="175">
        <v>4</v>
      </c>
      <c r="F1346" s="168" t="s">
        <v>499</v>
      </c>
      <c r="G1346" s="165">
        <f>IFERROR(VLOOKUP(F1346,'menu list'!B:C,2,FALSE)*E1346,"0")</f>
        <v>400</v>
      </c>
      <c r="H1346" s="334">
        <f t="shared" si="100"/>
        <v>60</v>
      </c>
      <c r="I1346" s="165">
        <f t="shared" si="101"/>
        <v>460</v>
      </c>
    </row>
    <row r="1347" spans="1:9" ht="12.75" hidden="1" x14ac:dyDescent="0.25">
      <c r="A1347" s="167">
        <f t="shared" si="99"/>
        <v>1346</v>
      </c>
      <c r="B1347" s="168" t="s">
        <v>323</v>
      </c>
      <c r="C1347" s="168" t="str">
        <f>VLOOKUP(B1347,MEMBERS!B:C,2, )</f>
        <v>DR.FAKHRUNISSA WAHEED</v>
      </c>
      <c r="D1347" s="323">
        <v>46016</v>
      </c>
      <c r="E1347" s="175">
        <v>3</v>
      </c>
      <c r="F1347" s="168" t="s">
        <v>442</v>
      </c>
      <c r="G1347" s="165">
        <f>IFERROR(VLOOKUP(F1347,'menu list'!B:C,2,FALSE)*E1347,"0")</f>
        <v>450</v>
      </c>
      <c r="H1347" s="334">
        <f t="shared" si="100"/>
        <v>67.5</v>
      </c>
      <c r="I1347" s="165">
        <f t="shared" si="101"/>
        <v>517.5</v>
      </c>
    </row>
    <row r="1348" spans="1:9" ht="12.75" hidden="1" x14ac:dyDescent="0.25">
      <c r="A1348" s="167">
        <f t="shared" si="99"/>
        <v>1347</v>
      </c>
      <c r="B1348" s="168" t="s">
        <v>263</v>
      </c>
      <c r="C1348" s="168" t="str">
        <f>VLOOKUP(B1348,MEMBERS!B:C,2, )</f>
        <v>MR.CAREL HEDRIK BURGER</v>
      </c>
      <c r="D1348" s="323">
        <v>46016</v>
      </c>
      <c r="E1348" s="175">
        <v>12</v>
      </c>
      <c r="F1348" s="168" t="s">
        <v>1241</v>
      </c>
      <c r="G1348" s="165">
        <f>IFERROR(VLOOKUP(F1348,'menu list'!B:C,2,FALSE)*E1348,"0")</f>
        <v>30000</v>
      </c>
      <c r="H1348" s="334">
        <f t="shared" si="100"/>
        <v>4500</v>
      </c>
      <c r="I1348" s="165">
        <f t="shared" si="101"/>
        <v>34500</v>
      </c>
    </row>
    <row r="1349" spans="1:9" ht="12.75" hidden="1" x14ac:dyDescent="0.25">
      <c r="A1349" s="167">
        <f t="shared" si="99"/>
        <v>1348</v>
      </c>
      <c r="B1349" s="168" t="s">
        <v>263</v>
      </c>
      <c r="C1349" s="168" t="str">
        <f>VLOOKUP(B1349,MEMBERS!B:C,2, )</f>
        <v>MR.CAREL HEDRIK BURGER</v>
      </c>
      <c r="D1349" s="323">
        <v>46016</v>
      </c>
      <c r="E1349" s="175">
        <v>8</v>
      </c>
      <c r="F1349" s="168" t="s">
        <v>499</v>
      </c>
      <c r="G1349" s="165">
        <f>IFERROR(VLOOKUP(F1349,'menu list'!B:C,2,FALSE)*E1349,"0")</f>
        <v>800</v>
      </c>
      <c r="H1349" s="334">
        <f t="shared" si="100"/>
        <v>120</v>
      </c>
      <c r="I1349" s="165">
        <f t="shared" si="101"/>
        <v>920</v>
      </c>
    </row>
    <row r="1350" spans="1:9" ht="12.75" hidden="1" x14ac:dyDescent="0.25">
      <c r="A1350" s="167">
        <f t="shared" si="99"/>
        <v>1349</v>
      </c>
      <c r="B1350" s="168" t="s">
        <v>263</v>
      </c>
      <c r="C1350" s="168" t="str">
        <f>VLOOKUP(B1350,MEMBERS!B:C,2, )</f>
        <v>MR.CAREL HEDRIK BURGER</v>
      </c>
      <c r="D1350" s="323">
        <v>46016</v>
      </c>
      <c r="E1350" s="175">
        <v>2</v>
      </c>
      <c r="F1350" s="168" t="s">
        <v>440</v>
      </c>
      <c r="G1350" s="165">
        <f>IFERROR(VLOOKUP(F1350,'menu list'!B:C,2,FALSE)*E1350,"0")</f>
        <v>300</v>
      </c>
      <c r="H1350" s="334">
        <f t="shared" si="100"/>
        <v>45</v>
      </c>
      <c r="I1350" s="165">
        <f t="shared" si="101"/>
        <v>345</v>
      </c>
    </row>
    <row r="1351" spans="1:9" ht="12.75" hidden="1" x14ac:dyDescent="0.25">
      <c r="A1351" s="167">
        <f t="shared" si="99"/>
        <v>1350</v>
      </c>
      <c r="B1351" s="168" t="s">
        <v>263</v>
      </c>
      <c r="C1351" s="168" t="str">
        <f>VLOOKUP(B1351,MEMBERS!B:C,2, )</f>
        <v>MR.CAREL HEDRIK BURGER</v>
      </c>
      <c r="D1351" s="323">
        <v>46016</v>
      </c>
      <c r="E1351" s="175">
        <v>3</v>
      </c>
      <c r="F1351" s="168" t="s">
        <v>442</v>
      </c>
      <c r="G1351" s="165">
        <f>IFERROR(VLOOKUP(F1351,'menu list'!B:C,2,FALSE)*E1351,"0")</f>
        <v>450</v>
      </c>
      <c r="H1351" s="334">
        <f t="shared" si="100"/>
        <v>67.5</v>
      </c>
      <c r="I1351" s="165">
        <f t="shared" si="101"/>
        <v>517.5</v>
      </c>
    </row>
    <row r="1352" spans="1:9" ht="12.75" hidden="1" x14ac:dyDescent="0.25">
      <c r="A1352" s="167">
        <f t="shared" si="99"/>
        <v>1351</v>
      </c>
      <c r="B1352" s="168" t="s">
        <v>263</v>
      </c>
      <c r="C1352" s="168" t="str">
        <f>VLOOKUP(B1352,MEMBERS!B:C,2, )</f>
        <v>MR.CAREL HEDRIK BURGER</v>
      </c>
      <c r="D1352" s="323">
        <v>46016</v>
      </c>
      <c r="E1352" s="175">
        <v>4</v>
      </c>
      <c r="F1352" s="168" t="s">
        <v>582</v>
      </c>
      <c r="G1352" s="165">
        <f>IFERROR(VLOOKUP(F1352,'menu list'!B:C,2,FALSE)*E1352,"0")</f>
        <v>1200</v>
      </c>
      <c r="H1352" s="334">
        <f t="shared" si="100"/>
        <v>180</v>
      </c>
      <c r="I1352" s="165">
        <f t="shared" si="101"/>
        <v>1380</v>
      </c>
    </row>
    <row r="1353" spans="1:9" ht="12.75" hidden="1" x14ac:dyDescent="0.25">
      <c r="A1353" s="167">
        <f t="shared" si="99"/>
        <v>1352</v>
      </c>
      <c r="B1353" s="168" t="s">
        <v>263</v>
      </c>
      <c r="C1353" s="168" t="str">
        <f>VLOOKUP(B1353,MEMBERS!B:C,2, )</f>
        <v>MR.CAREL HEDRIK BURGER</v>
      </c>
      <c r="D1353" s="323">
        <v>46016</v>
      </c>
      <c r="E1353" s="175">
        <v>9</v>
      </c>
      <c r="F1353" s="168" t="s">
        <v>573</v>
      </c>
      <c r="G1353" s="165">
        <f>IFERROR(VLOOKUP(F1353,'menu list'!B:C,2,FALSE)*E1353,"0")</f>
        <v>27000</v>
      </c>
      <c r="H1353" s="334">
        <f t="shared" si="100"/>
        <v>4050</v>
      </c>
      <c r="I1353" s="165">
        <f t="shared" si="101"/>
        <v>31050</v>
      </c>
    </row>
    <row r="1354" spans="1:9" ht="12.75" hidden="1" x14ac:dyDescent="0.25">
      <c r="A1354" s="167">
        <f t="shared" si="99"/>
        <v>1353</v>
      </c>
      <c r="B1354" s="168" t="s">
        <v>426</v>
      </c>
      <c r="C1354" s="168" t="str">
        <f>VLOOKUP(B1354,MEMBERS!B:C,2, )</f>
        <v>NASIR ABBAS</v>
      </c>
      <c r="D1354" s="323">
        <v>46016</v>
      </c>
      <c r="E1354" s="175">
        <v>6</v>
      </c>
      <c r="F1354" s="168" t="s">
        <v>1241</v>
      </c>
      <c r="G1354" s="165">
        <f>IFERROR(VLOOKUP(F1354,'menu list'!B:C,2,FALSE)*E1354,"0")</f>
        <v>15000</v>
      </c>
      <c r="H1354" s="334">
        <f t="shared" si="100"/>
        <v>2250</v>
      </c>
      <c r="I1354" s="165">
        <f t="shared" si="101"/>
        <v>17250</v>
      </c>
    </row>
    <row r="1355" spans="1:9" ht="12.75" hidden="1" x14ac:dyDescent="0.25">
      <c r="A1355" s="167">
        <f t="shared" si="99"/>
        <v>1354</v>
      </c>
      <c r="B1355" s="168" t="s">
        <v>426</v>
      </c>
      <c r="C1355" s="168" t="str">
        <f>VLOOKUP(B1355,MEMBERS!B:C,2, )</f>
        <v>NASIR ABBAS</v>
      </c>
      <c r="D1355" s="323">
        <v>46016</v>
      </c>
      <c r="E1355" s="175">
        <v>6</v>
      </c>
      <c r="F1355" s="168" t="s">
        <v>502</v>
      </c>
      <c r="G1355" s="165">
        <f>IFERROR(VLOOKUP(F1355,'menu list'!B:C,2,FALSE)*E1355,"0")</f>
        <v>2100</v>
      </c>
      <c r="H1355" s="334">
        <f t="shared" si="100"/>
        <v>315</v>
      </c>
      <c r="I1355" s="165">
        <f t="shared" si="101"/>
        <v>2415</v>
      </c>
    </row>
    <row r="1356" spans="1:9" ht="12.75" hidden="1" x14ac:dyDescent="0.25">
      <c r="A1356" s="167">
        <f t="shared" si="99"/>
        <v>1355</v>
      </c>
      <c r="B1356" s="168" t="s">
        <v>426</v>
      </c>
      <c r="C1356" s="168" t="str">
        <f>VLOOKUP(B1356,MEMBERS!B:C,2, )</f>
        <v>NASIR ABBAS</v>
      </c>
      <c r="D1356" s="323">
        <v>46016</v>
      </c>
      <c r="E1356" s="175">
        <v>2</v>
      </c>
      <c r="F1356" s="168" t="s">
        <v>440</v>
      </c>
      <c r="G1356" s="165">
        <f>IFERROR(VLOOKUP(F1356,'menu list'!B:C,2,FALSE)*E1356,"0")</f>
        <v>300</v>
      </c>
      <c r="H1356" s="334">
        <f t="shared" si="100"/>
        <v>45</v>
      </c>
      <c r="I1356" s="165">
        <f t="shared" si="101"/>
        <v>345</v>
      </c>
    </row>
    <row r="1357" spans="1:9" ht="12.75" hidden="1" x14ac:dyDescent="0.25">
      <c r="A1357" s="167">
        <f t="shared" si="99"/>
        <v>1356</v>
      </c>
      <c r="B1357" s="168" t="s">
        <v>258</v>
      </c>
      <c r="C1357" s="168" t="str">
        <f>VLOOKUP(B1357,MEMBERS!B:C,2, )</f>
        <v>BRIG DR. GHULAM MEHDI (Retd)</v>
      </c>
      <c r="D1357" s="323">
        <v>46016</v>
      </c>
      <c r="E1357" s="175">
        <v>2</v>
      </c>
      <c r="F1357" s="168" t="s">
        <v>1241</v>
      </c>
      <c r="G1357" s="165">
        <f>IFERROR(VLOOKUP(F1357,'menu list'!B:C,2,FALSE)*E1357,"0")</f>
        <v>5000</v>
      </c>
      <c r="H1357" s="334">
        <f t="shared" si="100"/>
        <v>750</v>
      </c>
      <c r="I1357" s="165">
        <f t="shared" si="101"/>
        <v>5750</v>
      </c>
    </row>
    <row r="1358" spans="1:9" ht="12.75" hidden="1" x14ac:dyDescent="0.25">
      <c r="A1358" s="167">
        <f t="shared" si="99"/>
        <v>1357</v>
      </c>
      <c r="B1358" s="168" t="s">
        <v>258</v>
      </c>
      <c r="C1358" s="168" t="str">
        <f>VLOOKUP(B1358,MEMBERS!B:C,2, )</f>
        <v>BRIG DR. GHULAM MEHDI (Retd)</v>
      </c>
      <c r="D1358" s="323">
        <v>46016</v>
      </c>
      <c r="E1358" s="175">
        <v>2</v>
      </c>
      <c r="F1358" s="168" t="s">
        <v>502</v>
      </c>
      <c r="G1358" s="165">
        <f>IFERROR(VLOOKUP(F1358,'menu list'!B:C,2,FALSE)*E1358,"0")</f>
        <v>700</v>
      </c>
      <c r="H1358" s="334">
        <f t="shared" si="100"/>
        <v>105</v>
      </c>
      <c r="I1358" s="165">
        <f t="shared" si="101"/>
        <v>805</v>
      </c>
    </row>
    <row r="1359" spans="1:9" ht="12.75" hidden="1" x14ac:dyDescent="0.25">
      <c r="A1359" s="167">
        <f t="shared" si="99"/>
        <v>1358</v>
      </c>
      <c r="B1359" s="168" t="s">
        <v>258</v>
      </c>
      <c r="C1359" s="168" t="str">
        <f>VLOOKUP(B1359,MEMBERS!B:C,2, )</f>
        <v>BRIG DR. GHULAM MEHDI (Retd)</v>
      </c>
      <c r="D1359" s="323">
        <v>46016</v>
      </c>
      <c r="E1359" s="175">
        <v>1</v>
      </c>
      <c r="F1359" s="168" t="s">
        <v>440</v>
      </c>
      <c r="G1359" s="165">
        <f>IFERROR(VLOOKUP(F1359,'menu list'!B:C,2,FALSE)*E1359,"0")</f>
        <v>150</v>
      </c>
      <c r="H1359" s="334">
        <f t="shared" si="100"/>
        <v>22.5</v>
      </c>
      <c r="I1359" s="165">
        <f t="shared" si="101"/>
        <v>172.5</v>
      </c>
    </row>
    <row r="1360" spans="1:9" ht="12.75" hidden="1" x14ac:dyDescent="0.25">
      <c r="A1360" s="167">
        <f t="shared" si="99"/>
        <v>1359</v>
      </c>
      <c r="B1360" s="168" t="s">
        <v>7</v>
      </c>
      <c r="C1360" s="168" t="str">
        <f>VLOOKUP(B1360,MEMBERS!B:C,2, )</f>
        <v>ADMIRAL AHMED HAYAT</v>
      </c>
      <c r="D1360" s="323">
        <v>46016</v>
      </c>
      <c r="E1360" s="175">
        <v>9</v>
      </c>
      <c r="F1360" s="168" t="s">
        <v>1241</v>
      </c>
      <c r="G1360" s="165">
        <f>IFERROR(VLOOKUP(F1360,'menu list'!B:C,2,FALSE)*E1360,"0")</f>
        <v>22500</v>
      </c>
      <c r="H1360" s="334">
        <f t="shared" si="100"/>
        <v>3375</v>
      </c>
      <c r="I1360" s="165">
        <f t="shared" si="101"/>
        <v>25875</v>
      </c>
    </row>
    <row r="1361" spans="1:9" ht="12.75" hidden="1" x14ac:dyDescent="0.25">
      <c r="A1361" s="167">
        <f t="shared" si="99"/>
        <v>1360</v>
      </c>
      <c r="B1361" s="168" t="s">
        <v>7</v>
      </c>
      <c r="C1361" s="168" t="str">
        <f>VLOOKUP(B1361,MEMBERS!B:C,2, )</f>
        <v>ADMIRAL AHMED HAYAT</v>
      </c>
      <c r="D1361" s="323">
        <v>46016</v>
      </c>
      <c r="E1361" s="175">
        <v>5</v>
      </c>
      <c r="F1361" s="168" t="s">
        <v>502</v>
      </c>
      <c r="G1361" s="165">
        <f>IFERROR(VLOOKUP(F1361,'menu list'!B:C,2,FALSE)*E1361,"0")</f>
        <v>1750</v>
      </c>
      <c r="H1361" s="334">
        <f t="shared" si="100"/>
        <v>262.5</v>
      </c>
      <c r="I1361" s="165">
        <f t="shared" si="101"/>
        <v>2012.5</v>
      </c>
    </row>
    <row r="1362" spans="1:9" ht="12.75" hidden="1" x14ac:dyDescent="0.25">
      <c r="A1362" s="167">
        <f t="shared" si="99"/>
        <v>1361</v>
      </c>
      <c r="B1362" s="168" t="s">
        <v>7</v>
      </c>
      <c r="C1362" s="168" t="str">
        <f>VLOOKUP(B1362,MEMBERS!B:C,2, )</f>
        <v>ADMIRAL AHMED HAYAT</v>
      </c>
      <c r="D1362" s="323">
        <v>46016</v>
      </c>
      <c r="E1362" s="175">
        <v>2</v>
      </c>
      <c r="F1362" s="168" t="s">
        <v>440</v>
      </c>
      <c r="G1362" s="165">
        <f>IFERROR(VLOOKUP(F1362,'menu list'!B:C,2,FALSE)*E1362,"0")</f>
        <v>300</v>
      </c>
      <c r="H1362" s="334">
        <f t="shared" si="100"/>
        <v>45</v>
      </c>
      <c r="I1362" s="165">
        <f t="shared" si="101"/>
        <v>345</v>
      </c>
    </row>
    <row r="1363" spans="1:9" ht="12.75" hidden="1" x14ac:dyDescent="0.25">
      <c r="A1363" s="167">
        <f t="shared" si="99"/>
        <v>1362</v>
      </c>
      <c r="B1363" s="168" t="s">
        <v>217</v>
      </c>
      <c r="C1363" s="168" t="str">
        <f>VLOOKUP(B1363,MEMBERS!B:C,2, )</f>
        <v>MR.ZAIN FAROOQ</v>
      </c>
      <c r="D1363" s="323">
        <v>46016</v>
      </c>
      <c r="E1363" s="175">
        <v>3</v>
      </c>
      <c r="F1363" s="168" t="s">
        <v>1241</v>
      </c>
      <c r="G1363" s="165">
        <f>IFERROR(VLOOKUP(F1363,'menu list'!B:C,2,FALSE)*E1363,"0")</f>
        <v>7500</v>
      </c>
      <c r="H1363" s="334">
        <f t="shared" si="100"/>
        <v>1125</v>
      </c>
      <c r="I1363" s="165">
        <f t="shared" si="101"/>
        <v>8625</v>
      </c>
    </row>
    <row r="1364" spans="1:9" ht="12.75" hidden="1" x14ac:dyDescent="0.25">
      <c r="A1364" s="167">
        <f t="shared" si="99"/>
        <v>1363</v>
      </c>
      <c r="B1364" s="168" t="s">
        <v>217</v>
      </c>
      <c r="C1364" s="168" t="str">
        <f>VLOOKUP(B1364,MEMBERS!B:C,2, )</f>
        <v>MR.ZAIN FAROOQ</v>
      </c>
      <c r="D1364" s="323">
        <v>46016</v>
      </c>
      <c r="E1364" s="175">
        <v>2</v>
      </c>
      <c r="F1364" s="168" t="s">
        <v>499</v>
      </c>
      <c r="G1364" s="165">
        <f>IFERROR(VLOOKUP(F1364,'menu list'!B:C,2,FALSE)*E1364,"0")</f>
        <v>200</v>
      </c>
      <c r="H1364" s="334">
        <f t="shared" si="100"/>
        <v>30</v>
      </c>
      <c r="I1364" s="165">
        <f t="shared" si="101"/>
        <v>230</v>
      </c>
    </row>
    <row r="1365" spans="1:9" ht="12.75" hidden="1" x14ac:dyDescent="0.25">
      <c r="A1365" s="167">
        <f t="shared" si="99"/>
        <v>1364</v>
      </c>
      <c r="B1365" s="168" t="s">
        <v>226</v>
      </c>
      <c r="C1365" s="168" t="str">
        <f>VLOOKUP(B1365,MEMBERS!B:C,2, )</f>
        <v>MR.ASIF ALI</v>
      </c>
      <c r="D1365" s="323">
        <v>46016</v>
      </c>
      <c r="E1365" s="175">
        <v>9</v>
      </c>
      <c r="F1365" s="168" t="s">
        <v>1241</v>
      </c>
      <c r="G1365" s="165">
        <f>IFERROR(VLOOKUP(F1365,'menu list'!B:C,2,FALSE)*E1365,"0")</f>
        <v>22500</v>
      </c>
      <c r="H1365" s="334">
        <f t="shared" si="100"/>
        <v>3375</v>
      </c>
      <c r="I1365" s="165">
        <f t="shared" si="101"/>
        <v>25875</v>
      </c>
    </row>
    <row r="1366" spans="1:9" ht="12.75" hidden="1" x14ac:dyDescent="0.25">
      <c r="A1366" s="167">
        <f t="shared" si="99"/>
        <v>1365</v>
      </c>
      <c r="B1366" s="168" t="s">
        <v>226</v>
      </c>
      <c r="C1366" s="168" t="str">
        <f>VLOOKUP(B1366,MEMBERS!B:C,2, )</f>
        <v>MR.ASIF ALI</v>
      </c>
      <c r="D1366" s="323">
        <v>46016</v>
      </c>
      <c r="E1366" s="175">
        <v>5</v>
      </c>
      <c r="F1366" s="168" t="s">
        <v>499</v>
      </c>
      <c r="G1366" s="165">
        <f>IFERROR(VLOOKUP(F1366,'menu list'!B:C,2,FALSE)*E1366,"0")</f>
        <v>500</v>
      </c>
      <c r="H1366" s="334">
        <f t="shared" si="100"/>
        <v>75</v>
      </c>
      <c r="I1366" s="165">
        <f t="shared" si="101"/>
        <v>575</v>
      </c>
    </row>
    <row r="1367" spans="1:9" ht="12.75" hidden="1" x14ac:dyDescent="0.25">
      <c r="A1367" s="167">
        <f t="shared" si="99"/>
        <v>1366</v>
      </c>
      <c r="B1367" s="168" t="s">
        <v>226</v>
      </c>
      <c r="C1367" s="168" t="str">
        <f>VLOOKUP(B1367,MEMBERS!B:C,2, )</f>
        <v>MR.ASIF ALI</v>
      </c>
      <c r="D1367" s="323">
        <v>46016</v>
      </c>
      <c r="E1367" s="175">
        <v>9</v>
      </c>
      <c r="F1367" s="168" t="s">
        <v>442</v>
      </c>
      <c r="G1367" s="165">
        <f>IFERROR(VLOOKUP(F1367,'menu list'!B:C,2,FALSE)*E1367,"0")</f>
        <v>1350</v>
      </c>
      <c r="H1367" s="334">
        <f t="shared" si="100"/>
        <v>202.5</v>
      </c>
      <c r="I1367" s="165">
        <f t="shared" si="101"/>
        <v>1552.5</v>
      </c>
    </row>
    <row r="1368" spans="1:9" ht="12.75" hidden="1" x14ac:dyDescent="0.25">
      <c r="A1368" s="167">
        <f t="shared" si="99"/>
        <v>1367</v>
      </c>
      <c r="B1368" s="168" t="s">
        <v>359</v>
      </c>
      <c r="C1368" s="168" t="str">
        <f>VLOOKUP(B1368,MEMBERS!B:C,2, )</f>
        <v>DR.NASEEM MUNSHI</v>
      </c>
      <c r="D1368" s="323">
        <v>46016</v>
      </c>
      <c r="E1368" s="175">
        <v>6</v>
      </c>
      <c r="F1368" s="168" t="s">
        <v>1241</v>
      </c>
      <c r="G1368" s="165">
        <f>IFERROR(VLOOKUP(F1368,'menu list'!B:C,2,FALSE)*E1368,"0")</f>
        <v>15000</v>
      </c>
      <c r="H1368" s="334">
        <f t="shared" si="100"/>
        <v>2250</v>
      </c>
      <c r="I1368" s="165">
        <f t="shared" si="101"/>
        <v>17250</v>
      </c>
    </row>
    <row r="1369" spans="1:9" ht="12.75" hidden="1" x14ac:dyDescent="0.25">
      <c r="A1369" s="167">
        <f t="shared" si="99"/>
        <v>1368</v>
      </c>
      <c r="B1369" s="168" t="s">
        <v>359</v>
      </c>
      <c r="C1369" s="168" t="str">
        <f>VLOOKUP(B1369,MEMBERS!B:C,2, )</f>
        <v>DR.NASEEM MUNSHI</v>
      </c>
      <c r="D1369" s="323">
        <v>46016</v>
      </c>
      <c r="E1369" s="175">
        <v>5</v>
      </c>
      <c r="F1369" s="168" t="s">
        <v>502</v>
      </c>
      <c r="G1369" s="165">
        <f>IFERROR(VLOOKUP(F1369,'menu list'!B:C,2,FALSE)*E1369,"0")</f>
        <v>1750</v>
      </c>
      <c r="H1369" s="334">
        <f t="shared" si="100"/>
        <v>262.5</v>
      </c>
      <c r="I1369" s="165">
        <f t="shared" si="101"/>
        <v>2012.5</v>
      </c>
    </row>
    <row r="1370" spans="1:9" ht="12.75" hidden="1" x14ac:dyDescent="0.25">
      <c r="A1370" s="167">
        <f t="shared" si="99"/>
        <v>1369</v>
      </c>
      <c r="B1370" s="168" t="s">
        <v>359</v>
      </c>
      <c r="C1370" s="168" t="str">
        <f>VLOOKUP(B1370,MEMBERS!B:C,2, )</f>
        <v>DR.NASEEM MUNSHI</v>
      </c>
      <c r="D1370" s="323">
        <v>46016</v>
      </c>
      <c r="E1370" s="175">
        <v>1</v>
      </c>
      <c r="F1370" s="168" t="s">
        <v>440</v>
      </c>
      <c r="G1370" s="165">
        <f>IFERROR(VLOOKUP(F1370,'menu list'!B:C,2,FALSE)*E1370,"0")</f>
        <v>150</v>
      </c>
      <c r="H1370" s="334">
        <f t="shared" si="100"/>
        <v>22.5</v>
      </c>
      <c r="I1370" s="165">
        <f t="shared" si="101"/>
        <v>172.5</v>
      </c>
    </row>
    <row r="1371" spans="1:9" ht="12.75" hidden="1" x14ac:dyDescent="0.25">
      <c r="A1371" s="167">
        <f t="shared" si="99"/>
        <v>1370</v>
      </c>
      <c r="B1371" s="168" t="s">
        <v>359</v>
      </c>
      <c r="C1371" s="168" t="str">
        <f>VLOOKUP(B1371,MEMBERS!B:C,2, )</f>
        <v>DR.NASEEM MUNSHI</v>
      </c>
      <c r="D1371" s="323">
        <v>46016</v>
      </c>
      <c r="E1371" s="175">
        <v>1</v>
      </c>
      <c r="F1371" s="168" t="s">
        <v>442</v>
      </c>
      <c r="G1371" s="165">
        <f>IFERROR(VLOOKUP(F1371,'menu list'!B:C,2,FALSE)*E1371,"0")</f>
        <v>150</v>
      </c>
      <c r="H1371" s="334">
        <f t="shared" si="100"/>
        <v>22.5</v>
      </c>
      <c r="I1371" s="165">
        <f t="shared" si="101"/>
        <v>172.5</v>
      </c>
    </row>
    <row r="1372" spans="1:9" ht="12.75" hidden="1" x14ac:dyDescent="0.25">
      <c r="A1372" s="167">
        <f t="shared" si="99"/>
        <v>1371</v>
      </c>
      <c r="B1372" s="168" t="s">
        <v>1051</v>
      </c>
      <c r="C1372" s="168" t="str">
        <f>VLOOKUP(B1372,MEMBERS!B:C,2, )</f>
        <v>MR. ZAHIR REHMAN</v>
      </c>
      <c r="D1372" s="323">
        <v>46016</v>
      </c>
      <c r="E1372" s="175">
        <v>2</v>
      </c>
      <c r="F1372" s="168" t="s">
        <v>440</v>
      </c>
      <c r="G1372" s="165">
        <f>IFERROR(VLOOKUP(F1372,'menu list'!B:C,2,FALSE)*E1372,"0")</f>
        <v>300</v>
      </c>
      <c r="H1372" s="334">
        <f t="shared" si="100"/>
        <v>45</v>
      </c>
      <c r="I1372" s="165">
        <f t="shared" si="101"/>
        <v>345</v>
      </c>
    </row>
    <row r="1373" spans="1:9" ht="12.75" hidden="1" x14ac:dyDescent="0.25">
      <c r="A1373" s="167">
        <f t="shared" si="99"/>
        <v>1372</v>
      </c>
      <c r="B1373" s="168" t="s">
        <v>1051</v>
      </c>
      <c r="C1373" s="168" t="str">
        <f>VLOOKUP(B1373,MEMBERS!B:C,2, )</f>
        <v>MR. ZAHIR REHMAN</v>
      </c>
      <c r="D1373" s="323">
        <v>46016</v>
      </c>
      <c r="E1373" s="175">
        <v>1</v>
      </c>
      <c r="F1373" s="168" t="s">
        <v>634</v>
      </c>
      <c r="G1373" s="165">
        <f>IFERROR(VLOOKUP(F1373,'menu list'!B:C,2,FALSE)*E1373,"0")</f>
        <v>500</v>
      </c>
      <c r="H1373" s="334">
        <f t="shared" si="100"/>
        <v>75</v>
      </c>
      <c r="I1373" s="165">
        <f t="shared" si="101"/>
        <v>575</v>
      </c>
    </row>
    <row r="1374" spans="1:9" ht="12.75" hidden="1" x14ac:dyDescent="0.25">
      <c r="A1374" s="167">
        <f t="shared" si="99"/>
        <v>1373</v>
      </c>
      <c r="B1374" s="168" t="s">
        <v>1051</v>
      </c>
      <c r="C1374" s="168" t="str">
        <f>VLOOKUP(B1374,MEMBERS!B:C,2, )</f>
        <v>MR. ZAHIR REHMAN</v>
      </c>
      <c r="D1374" s="323">
        <v>46016</v>
      </c>
      <c r="E1374" s="175">
        <v>1</v>
      </c>
      <c r="F1374" s="168" t="s">
        <v>811</v>
      </c>
      <c r="G1374" s="165">
        <f>IFERROR(VLOOKUP(F1374,'menu list'!B:C,2,FALSE)*E1374,"0")</f>
        <v>1450</v>
      </c>
      <c r="H1374" s="334">
        <f t="shared" si="100"/>
        <v>217.5</v>
      </c>
      <c r="I1374" s="165">
        <f t="shared" si="101"/>
        <v>1667.5</v>
      </c>
    </row>
    <row r="1375" spans="1:9" ht="12.75" hidden="1" x14ac:dyDescent="0.25">
      <c r="A1375" s="167">
        <f t="shared" si="99"/>
        <v>1374</v>
      </c>
      <c r="B1375" s="168" t="s">
        <v>1051</v>
      </c>
      <c r="C1375" s="168" t="str">
        <f>VLOOKUP(B1375,MEMBERS!B:C,2, )</f>
        <v>MR. ZAHIR REHMAN</v>
      </c>
      <c r="D1375" s="323">
        <v>46016</v>
      </c>
      <c r="E1375" s="175">
        <v>1</v>
      </c>
      <c r="F1375" s="168" t="s">
        <v>800</v>
      </c>
      <c r="G1375" s="165">
        <f>IFERROR(VLOOKUP(F1375,'menu list'!B:C,2,FALSE)*E1375,"0")</f>
        <v>800</v>
      </c>
      <c r="H1375" s="334">
        <f t="shared" si="100"/>
        <v>120</v>
      </c>
      <c r="I1375" s="165">
        <f t="shared" si="101"/>
        <v>920</v>
      </c>
    </row>
    <row r="1376" spans="1:9" ht="12.75" hidden="1" x14ac:dyDescent="0.25">
      <c r="A1376" s="167">
        <f t="shared" si="99"/>
        <v>1375</v>
      </c>
      <c r="B1376" s="168" t="s">
        <v>1051</v>
      </c>
      <c r="C1376" s="168" t="str">
        <f>VLOOKUP(B1376,MEMBERS!B:C,2, )</f>
        <v>MR. ZAHIR REHMAN</v>
      </c>
      <c r="D1376" s="323">
        <v>46016</v>
      </c>
      <c r="E1376" s="175">
        <v>2</v>
      </c>
      <c r="F1376" s="168" t="s">
        <v>833</v>
      </c>
      <c r="G1376" s="165">
        <f>IFERROR(VLOOKUP(F1376,'menu list'!B:C,2,FALSE)*E1376,"0")</f>
        <v>700</v>
      </c>
      <c r="H1376" s="334">
        <f t="shared" si="100"/>
        <v>105</v>
      </c>
      <c r="I1376" s="165">
        <f t="shared" si="101"/>
        <v>805</v>
      </c>
    </row>
    <row r="1377" spans="1:9" ht="12.75" hidden="1" x14ac:dyDescent="0.25">
      <c r="A1377" s="167">
        <f t="shared" si="99"/>
        <v>1376</v>
      </c>
      <c r="B1377" s="168" t="s">
        <v>1051</v>
      </c>
      <c r="C1377" s="168" t="str">
        <f>VLOOKUP(B1377,MEMBERS!B:C,2, )</f>
        <v>MR. ZAHIR REHMAN</v>
      </c>
      <c r="D1377" s="323">
        <v>46016</v>
      </c>
      <c r="E1377" s="175">
        <v>1</v>
      </c>
      <c r="F1377" s="168" t="s">
        <v>442</v>
      </c>
      <c r="G1377" s="165">
        <f>IFERROR(VLOOKUP(F1377,'menu list'!B:C,2,FALSE)*E1377,"0")</f>
        <v>150</v>
      </c>
      <c r="H1377" s="334">
        <f t="shared" si="100"/>
        <v>22.5</v>
      </c>
      <c r="I1377" s="165">
        <f t="shared" si="101"/>
        <v>172.5</v>
      </c>
    </row>
    <row r="1378" spans="1:9" ht="12.75" hidden="1" x14ac:dyDescent="0.25">
      <c r="A1378" s="167">
        <f t="shared" si="99"/>
        <v>1377</v>
      </c>
      <c r="B1378" s="168" t="s">
        <v>263</v>
      </c>
      <c r="C1378" s="168" t="str">
        <f>VLOOKUP(B1378,MEMBERS!B:C,2, )</f>
        <v>MR.CAREL HEDRIK BURGER</v>
      </c>
      <c r="D1378" s="323">
        <v>46016</v>
      </c>
      <c r="E1378" s="175">
        <v>4</v>
      </c>
      <c r="F1378" s="168" t="s">
        <v>442</v>
      </c>
      <c r="G1378" s="165">
        <f>IFERROR(VLOOKUP(F1378,'menu list'!B:C,2,FALSE)*E1378,"0")</f>
        <v>600</v>
      </c>
      <c r="H1378" s="334">
        <f t="shared" si="100"/>
        <v>90</v>
      </c>
      <c r="I1378" s="165">
        <f t="shared" si="101"/>
        <v>690</v>
      </c>
    </row>
    <row r="1379" spans="1:9" ht="12.75" hidden="1" x14ac:dyDescent="0.25">
      <c r="A1379" s="167">
        <f t="shared" si="99"/>
        <v>1378</v>
      </c>
      <c r="B1379" s="168" t="s">
        <v>15</v>
      </c>
      <c r="C1379" s="168" t="str">
        <f>VLOOKUP(B1379,MEMBERS!B:C,2, )</f>
        <v>MR.GHULAM NABI OTHI</v>
      </c>
      <c r="D1379" s="323">
        <v>46016</v>
      </c>
      <c r="E1379" s="175">
        <v>4</v>
      </c>
      <c r="F1379" s="168" t="s">
        <v>646</v>
      </c>
      <c r="G1379" s="165">
        <f>IFERROR(VLOOKUP(F1379,'menu list'!B:C,2,FALSE)*E1379,"0")</f>
        <v>4000</v>
      </c>
      <c r="H1379" s="334">
        <f t="shared" si="100"/>
        <v>600</v>
      </c>
      <c r="I1379" s="165">
        <f t="shared" si="101"/>
        <v>4600</v>
      </c>
    </row>
    <row r="1380" spans="1:9" ht="12.75" hidden="1" x14ac:dyDescent="0.25">
      <c r="A1380" s="167">
        <f t="shared" si="99"/>
        <v>1379</v>
      </c>
      <c r="B1380" s="168" t="s">
        <v>15</v>
      </c>
      <c r="C1380" s="168" t="str">
        <f>VLOOKUP(B1380,MEMBERS!B:C,2, )</f>
        <v>MR.GHULAM NABI OTHI</v>
      </c>
      <c r="D1380" s="323">
        <v>46016</v>
      </c>
      <c r="E1380" s="175">
        <v>5</v>
      </c>
      <c r="F1380" s="307" t="s">
        <v>1115</v>
      </c>
      <c r="G1380" s="165">
        <f>IFERROR(VLOOKUP(F1380,'menu list'!B:C,2,FALSE)*E1380,"0")</f>
        <v>5000</v>
      </c>
      <c r="H1380" s="334">
        <f t="shared" si="100"/>
        <v>750</v>
      </c>
      <c r="I1380" s="165">
        <f t="shared" si="101"/>
        <v>5750</v>
      </c>
    </row>
    <row r="1381" spans="1:9" ht="12.75" hidden="1" x14ac:dyDescent="0.25">
      <c r="A1381" s="167">
        <f t="shared" si="99"/>
        <v>1380</v>
      </c>
      <c r="B1381" s="168" t="s">
        <v>226</v>
      </c>
      <c r="C1381" s="168" t="str">
        <f>VLOOKUP(B1381,MEMBERS!B:C,2, )</f>
        <v>MR.ASIF ALI</v>
      </c>
      <c r="D1381" s="323">
        <v>46016</v>
      </c>
      <c r="E1381" s="175">
        <v>2</v>
      </c>
      <c r="F1381" s="168" t="s">
        <v>836</v>
      </c>
      <c r="G1381" s="165">
        <f>IFERROR(VLOOKUP(F1381,'menu list'!B:C,2,FALSE)*E1381,"0")</f>
        <v>700</v>
      </c>
      <c r="H1381" s="334">
        <f t="shared" si="100"/>
        <v>105</v>
      </c>
      <c r="I1381" s="165">
        <f t="shared" si="101"/>
        <v>805</v>
      </c>
    </row>
    <row r="1382" spans="1:9" ht="12.75" hidden="1" x14ac:dyDescent="0.25">
      <c r="A1382" s="167">
        <f t="shared" si="99"/>
        <v>1381</v>
      </c>
      <c r="B1382" s="168" t="s">
        <v>226</v>
      </c>
      <c r="C1382" s="168" t="str">
        <f>VLOOKUP(B1382,MEMBERS!B:C,2, )</f>
        <v>MR.ASIF ALI</v>
      </c>
      <c r="D1382" s="323">
        <v>46016</v>
      </c>
      <c r="E1382" s="175">
        <v>1</v>
      </c>
      <c r="F1382" s="168" t="s">
        <v>440</v>
      </c>
      <c r="G1382" s="165">
        <f>IFERROR(VLOOKUP(F1382,'menu list'!B:C,2,FALSE)*E1382,"0")</f>
        <v>150</v>
      </c>
      <c r="H1382" s="334">
        <f t="shared" si="100"/>
        <v>22.5</v>
      </c>
      <c r="I1382" s="165">
        <f t="shared" si="101"/>
        <v>172.5</v>
      </c>
    </row>
    <row r="1383" spans="1:9" ht="12.75" hidden="1" x14ac:dyDescent="0.25">
      <c r="A1383" s="167">
        <f t="shared" si="99"/>
        <v>1382</v>
      </c>
      <c r="B1383" s="168" t="s">
        <v>226</v>
      </c>
      <c r="C1383" s="168" t="str">
        <f>VLOOKUP(B1383,MEMBERS!B:C,2, )</f>
        <v>MR.ASIF ALI</v>
      </c>
      <c r="D1383" s="323">
        <v>46016</v>
      </c>
      <c r="E1383" s="175">
        <v>2</v>
      </c>
      <c r="F1383" s="168" t="s">
        <v>498</v>
      </c>
      <c r="G1383" s="165">
        <f>IFERROR(VLOOKUP(F1383,'menu list'!B:C,2,FALSE)*E1383,"0")</f>
        <v>400</v>
      </c>
      <c r="H1383" s="334">
        <f t="shared" si="100"/>
        <v>60</v>
      </c>
      <c r="I1383" s="165">
        <f t="shared" si="101"/>
        <v>460</v>
      </c>
    </row>
    <row r="1384" spans="1:9" ht="12.75" hidden="1" x14ac:dyDescent="0.25">
      <c r="A1384" s="167">
        <f t="shared" si="99"/>
        <v>1383</v>
      </c>
      <c r="B1384" s="168" t="s">
        <v>226</v>
      </c>
      <c r="C1384" s="168" t="str">
        <f>VLOOKUP(B1384,MEMBERS!B:C,2, )</f>
        <v>MR.ASIF ALI</v>
      </c>
      <c r="D1384" s="323">
        <v>46016</v>
      </c>
      <c r="E1384" s="175">
        <v>4</v>
      </c>
      <c r="F1384" s="168" t="s">
        <v>502</v>
      </c>
      <c r="G1384" s="165">
        <f>IFERROR(VLOOKUP(F1384,'menu list'!B:C,2,FALSE)*E1384,"0")</f>
        <v>1400</v>
      </c>
      <c r="H1384" s="334">
        <f t="shared" si="100"/>
        <v>210</v>
      </c>
      <c r="I1384" s="165">
        <f t="shared" si="101"/>
        <v>1610</v>
      </c>
    </row>
    <row r="1385" spans="1:9" ht="12.75" hidden="1" x14ac:dyDescent="0.25">
      <c r="A1385" s="167">
        <f t="shared" si="99"/>
        <v>1384</v>
      </c>
      <c r="B1385" s="168" t="s">
        <v>226</v>
      </c>
      <c r="C1385" s="168" t="str">
        <f>VLOOKUP(B1385,MEMBERS!B:C,2, )</f>
        <v>MR.ASIF ALI</v>
      </c>
      <c r="D1385" s="323">
        <v>46016</v>
      </c>
      <c r="E1385" s="175">
        <v>3</v>
      </c>
      <c r="F1385" s="168" t="s">
        <v>803</v>
      </c>
      <c r="G1385" s="165">
        <f>IFERROR(VLOOKUP(F1385,'menu list'!B:C,2,FALSE)*E1385,"0")</f>
        <v>750</v>
      </c>
      <c r="H1385" s="334">
        <f t="shared" si="100"/>
        <v>112.5</v>
      </c>
      <c r="I1385" s="165">
        <f t="shared" si="101"/>
        <v>862.5</v>
      </c>
    </row>
    <row r="1386" spans="1:9" ht="12.75" hidden="1" x14ac:dyDescent="0.25">
      <c r="A1386" s="167">
        <f t="shared" si="99"/>
        <v>1385</v>
      </c>
      <c r="B1386" s="168" t="s">
        <v>226</v>
      </c>
      <c r="C1386" s="168" t="str">
        <f>VLOOKUP(B1386,MEMBERS!B:C,2, )</f>
        <v>MR.ASIF ALI</v>
      </c>
      <c r="D1386" s="323">
        <v>46016</v>
      </c>
      <c r="E1386" s="175">
        <v>1</v>
      </c>
      <c r="F1386" s="168" t="s">
        <v>499</v>
      </c>
      <c r="G1386" s="165">
        <f>IFERROR(VLOOKUP(F1386,'menu list'!B:C,2,FALSE)*E1386,"0")</f>
        <v>100</v>
      </c>
      <c r="H1386" s="334">
        <f t="shared" si="100"/>
        <v>15</v>
      </c>
      <c r="I1386" s="165">
        <f t="shared" si="101"/>
        <v>115</v>
      </c>
    </row>
    <row r="1387" spans="1:9" ht="12.75" hidden="1" x14ac:dyDescent="0.25">
      <c r="A1387" s="167">
        <f t="shared" si="99"/>
        <v>1386</v>
      </c>
      <c r="B1387" s="168" t="s">
        <v>1004</v>
      </c>
      <c r="C1387" s="168" t="str">
        <f>VLOOKUP(B1387,MEMBERS!B:C,2, )</f>
        <v>MRS RIFFAT ZULFIQAR</v>
      </c>
      <c r="D1387" s="323">
        <v>46016</v>
      </c>
      <c r="E1387" s="175">
        <v>2</v>
      </c>
      <c r="F1387" s="168" t="s">
        <v>837</v>
      </c>
      <c r="G1387" s="165">
        <f>IFERROR(VLOOKUP(F1387,'menu list'!B:C,2,FALSE)*E1387,"0")</f>
        <v>800</v>
      </c>
      <c r="H1387" s="334">
        <f t="shared" si="100"/>
        <v>120</v>
      </c>
      <c r="I1387" s="165">
        <f t="shared" si="101"/>
        <v>920</v>
      </c>
    </row>
    <row r="1388" spans="1:9" ht="12.75" hidden="1" x14ac:dyDescent="0.25">
      <c r="A1388" s="167">
        <f t="shared" si="99"/>
        <v>1387</v>
      </c>
      <c r="B1388" s="168" t="s">
        <v>1004</v>
      </c>
      <c r="C1388" s="168" t="str">
        <f>VLOOKUP(B1388,MEMBERS!B:C,2, )</f>
        <v>MRS RIFFAT ZULFIQAR</v>
      </c>
      <c r="D1388" s="323">
        <v>46016</v>
      </c>
      <c r="E1388" s="175">
        <v>1</v>
      </c>
      <c r="F1388" s="168" t="s">
        <v>499</v>
      </c>
      <c r="G1388" s="165">
        <f>IFERROR(VLOOKUP(F1388,'menu list'!B:C,2,FALSE)*E1388,"0")</f>
        <v>100</v>
      </c>
      <c r="H1388" s="334">
        <f t="shared" si="100"/>
        <v>15</v>
      </c>
      <c r="I1388" s="165">
        <f t="shared" si="101"/>
        <v>115</v>
      </c>
    </row>
    <row r="1389" spans="1:9" ht="12.75" hidden="1" x14ac:dyDescent="0.25">
      <c r="A1389" s="167">
        <f t="shared" si="99"/>
        <v>1388</v>
      </c>
      <c r="B1389" s="168" t="s">
        <v>378</v>
      </c>
      <c r="C1389" s="168" t="str">
        <f>VLOOKUP(B1389,MEMBERS!B:C,2, )</f>
        <v>SABA AHSAN</v>
      </c>
      <c r="D1389" s="323">
        <v>46016</v>
      </c>
      <c r="E1389" s="175">
        <v>1</v>
      </c>
      <c r="F1389" s="168" t="s">
        <v>500</v>
      </c>
      <c r="G1389" s="165">
        <f>IFERROR(VLOOKUP(F1389,'menu list'!B:C,2,FALSE)*E1389,"0")</f>
        <v>1250</v>
      </c>
      <c r="H1389" s="334">
        <f t="shared" si="100"/>
        <v>187.5</v>
      </c>
      <c r="I1389" s="165">
        <f t="shared" si="101"/>
        <v>1437.5</v>
      </c>
    </row>
    <row r="1390" spans="1:9" ht="12.75" hidden="1" x14ac:dyDescent="0.25">
      <c r="A1390" s="167">
        <f t="shared" si="99"/>
        <v>1389</v>
      </c>
      <c r="B1390" s="168" t="s">
        <v>378</v>
      </c>
      <c r="C1390" s="168" t="str">
        <f>VLOOKUP(B1390,MEMBERS!B:C,2, )</f>
        <v>SABA AHSAN</v>
      </c>
      <c r="D1390" s="323">
        <v>46016</v>
      </c>
      <c r="E1390" s="175">
        <v>1</v>
      </c>
      <c r="F1390" s="168" t="s">
        <v>770</v>
      </c>
      <c r="G1390" s="165">
        <f>IFERROR(VLOOKUP(F1390,'menu list'!B:C,2,FALSE)*E1390,"0")</f>
        <v>1000</v>
      </c>
      <c r="H1390" s="334">
        <f t="shared" si="100"/>
        <v>150</v>
      </c>
      <c r="I1390" s="165">
        <f t="shared" si="101"/>
        <v>1150</v>
      </c>
    </row>
    <row r="1391" spans="1:9" ht="12.75" hidden="1" x14ac:dyDescent="0.25">
      <c r="A1391" s="167">
        <f t="shared" si="99"/>
        <v>1390</v>
      </c>
      <c r="B1391" s="168" t="s">
        <v>378</v>
      </c>
      <c r="C1391" s="168" t="str">
        <f>VLOOKUP(B1391,MEMBERS!B:C,2, )</f>
        <v>SABA AHSAN</v>
      </c>
      <c r="D1391" s="323">
        <v>46016</v>
      </c>
      <c r="E1391" s="175">
        <v>1</v>
      </c>
      <c r="F1391" s="168" t="s">
        <v>772</v>
      </c>
      <c r="G1391" s="165">
        <f>IFERROR(VLOOKUP(F1391,'menu list'!B:C,2,FALSE)*E1391,"0")</f>
        <v>900</v>
      </c>
      <c r="H1391" s="334">
        <f t="shared" si="100"/>
        <v>135</v>
      </c>
      <c r="I1391" s="165">
        <f t="shared" si="101"/>
        <v>1035</v>
      </c>
    </row>
    <row r="1392" spans="1:9" ht="12.75" hidden="1" x14ac:dyDescent="0.25">
      <c r="A1392" s="167">
        <f t="shared" ref="A1392:A1415" si="102">IF(D1392&lt;&gt;"", ROW()-1, "")</f>
        <v>1391</v>
      </c>
      <c r="B1392" s="168" t="s">
        <v>378</v>
      </c>
      <c r="C1392" s="168" t="str">
        <f>VLOOKUP(B1392,MEMBERS!B:C,2, )</f>
        <v>SABA AHSAN</v>
      </c>
      <c r="D1392" s="323">
        <v>46016</v>
      </c>
      <c r="E1392" s="175">
        <v>1</v>
      </c>
      <c r="F1392" s="168" t="s">
        <v>633</v>
      </c>
      <c r="G1392" s="165">
        <f>IFERROR(VLOOKUP(F1392,'menu list'!B:C,2,FALSE)*E1392,"0")</f>
        <v>700</v>
      </c>
      <c r="H1392" s="334">
        <f t="shared" ref="H1392:H1415" si="103">G1392*15/100</f>
        <v>105</v>
      </c>
      <c r="I1392" s="165">
        <f t="shared" ref="I1392:I1415" si="104">G1392+H1392</f>
        <v>805</v>
      </c>
    </row>
    <row r="1393" spans="1:9" ht="12.75" hidden="1" x14ac:dyDescent="0.25">
      <c r="A1393" s="167">
        <f t="shared" si="102"/>
        <v>1392</v>
      </c>
      <c r="B1393" s="168" t="s">
        <v>378</v>
      </c>
      <c r="C1393" s="168" t="str">
        <f>VLOOKUP(B1393,MEMBERS!B:C,2, )</f>
        <v>SABA AHSAN</v>
      </c>
      <c r="D1393" s="323">
        <v>46016</v>
      </c>
      <c r="E1393" s="175">
        <v>1</v>
      </c>
      <c r="F1393" s="168" t="s">
        <v>801</v>
      </c>
      <c r="G1393" s="165">
        <f>IFERROR(VLOOKUP(F1393,'menu list'!B:C,2,FALSE)*E1393,"0")</f>
        <v>700</v>
      </c>
      <c r="H1393" s="334">
        <f t="shared" si="103"/>
        <v>105</v>
      </c>
      <c r="I1393" s="165">
        <f t="shared" si="104"/>
        <v>805</v>
      </c>
    </row>
    <row r="1394" spans="1:9" ht="12.75" hidden="1" x14ac:dyDescent="0.25">
      <c r="A1394" s="167">
        <f t="shared" si="102"/>
        <v>1393</v>
      </c>
      <c r="B1394" s="168" t="s">
        <v>378</v>
      </c>
      <c r="C1394" s="168" t="str">
        <f>VLOOKUP(B1394,MEMBERS!B:C,2, )</f>
        <v>SABA AHSAN</v>
      </c>
      <c r="D1394" s="323">
        <v>46016</v>
      </c>
      <c r="E1394" s="175">
        <v>2</v>
      </c>
      <c r="F1394" s="168" t="s">
        <v>498</v>
      </c>
      <c r="G1394" s="165">
        <f>IFERROR(VLOOKUP(F1394,'menu list'!B:C,2,FALSE)*E1394,"0")</f>
        <v>400</v>
      </c>
      <c r="H1394" s="334">
        <f t="shared" si="103"/>
        <v>60</v>
      </c>
      <c r="I1394" s="165">
        <f t="shared" si="104"/>
        <v>460</v>
      </c>
    </row>
    <row r="1395" spans="1:9" ht="12.75" hidden="1" x14ac:dyDescent="0.25">
      <c r="A1395" s="167">
        <f t="shared" si="102"/>
        <v>1394</v>
      </c>
      <c r="B1395" s="168" t="s">
        <v>378</v>
      </c>
      <c r="C1395" s="168" t="str">
        <f>VLOOKUP(B1395,MEMBERS!B:C,2, )</f>
        <v>SABA AHSAN</v>
      </c>
      <c r="D1395" s="323">
        <v>46016</v>
      </c>
      <c r="E1395" s="175">
        <v>1</v>
      </c>
      <c r="F1395" s="168" t="s">
        <v>440</v>
      </c>
      <c r="G1395" s="165">
        <f>IFERROR(VLOOKUP(F1395,'menu list'!B:C,2,FALSE)*E1395,"0")</f>
        <v>150</v>
      </c>
      <c r="H1395" s="334">
        <f t="shared" si="103"/>
        <v>22.5</v>
      </c>
      <c r="I1395" s="165">
        <f t="shared" si="104"/>
        <v>172.5</v>
      </c>
    </row>
    <row r="1396" spans="1:9" ht="12.75" hidden="1" x14ac:dyDescent="0.25">
      <c r="A1396" s="167">
        <f t="shared" si="102"/>
        <v>1395</v>
      </c>
      <c r="B1396" s="168" t="s">
        <v>795</v>
      </c>
      <c r="C1396" s="168" t="str">
        <f>VLOOKUP(B1396,MEMBERS!B:C,2, )</f>
        <v>MR. HASAN KARIM</v>
      </c>
      <c r="D1396" s="323">
        <v>46016</v>
      </c>
      <c r="E1396" s="175">
        <v>1</v>
      </c>
      <c r="F1396" s="168" t="s">
        <v>499</v>
      </c>
      <c r="G1396" s="165">
        <f>IFERROR(VLOOKUP(F1396,'menu list'!B:C,2,FALSE)*E1396,"0")</f>
        <v>100</v>
      </c>
      <c r="H1396" s="334">
        <f t="shared" si="103"/>
        <v>15</v>
      </c>
      <c r="I1396" s="165">
        <f t="shared" si="104"/>
        <v>115</v>
      </c>
    </row>
    <row r="1397" spans="1:9" ht="12.75" hidden="1" x14ac:dyDescent="0.25">
      <c r="A1397" s="167">
        <f t="shared" si="102"/>
        <v>1396</v>
      </c>
      <c r="B1397" s="168" t="s">
        <v>795</v>
      </c>
      <c r="C1397" s="168" t="str">
        <f>VLOOKUP(B1397,MEMBERS!B:C,2, )</f>
        <v>MR. HASAN KARIM</v>
      </c>
      <c r="D1397" s="323">
        <v>46016</v>
      </c>
      <c r="E1397" s="175">
        <v>1</v>
      </c>
      <c r="F1397" s="168" t="s">
        <v>653</v>
      </c>
      <c r="G1397" s="165">
        <f>IFERROR(VLOOKUP(F1397,'menu list'!B:C,2,FALSE)*E1397,"0")</f>
        <v>350</v>
      </c>
      <c r="H1397" s="334">
        <f t="shared" si="103"/>
        <v>52.5</v>
      </c>
      <c r="I1397" s="165">
        <f t="shared" si="104"/>
        <v>402.5</v>
      </c>
    </row>
    <row r="1398" spans="1:9" ht="12.75" hidden="1" x14ac:dyDescent="0.25">
      <c r="A1398" s="167">
        <f t="shared" si="102"/>
        <v>1397</v>
      </c>
      <c r="B1398" s="168" t="s">
        <v>795</v>
      </c>
      <c r="C1398" s="168" t="str">
        <f>VLOOKUP(B1398,MEMBERS!B:C,2, )</f>
        <v>MR. HASAN KARIM</v>
      </c>
      <c r="D1398" s="323">
        <v>46016</v>
      </c>
      <c r="E1398" s="175">
        <v>2</v>
      </c>
      <c r="F1398" s="168" t="s">
        <v>497</v>
      </c>
      <c r="G1398" s="165">
        <f>IFERROR(VLOOKUP(F1398,'menu list'!B:C,2,FALSE)*E1398,"0")</f>
        <v>500</v>
      </c>
      <c r="H1398" s="334">
        <f t="shared" si="103"/>
        <v>75</v>
      </c>
      <c r="I1398" s="165">
        <f t="shared" si="104"/>
        <v>575</v>
      </c>
    </row>
    <row r="1399" spans="1:9" ht="12.75" hidden="1" x14ac:dyDescent="0.25">
      <c r="A1399" s="167">
        <f t="shared" si="102"/>
        <v>1398</v>
      </c>
      <c r="B1399" s="168" t="s">
        <v>795</v>
      </c>
      <c r="C1399" s="168" t="str">
        <f>VLOOKUP(B1399,MEMBERS!B:C,2, )</f>
        <v>MR. HASAN KARIM</v>
      </c>
      <c r="D1399" s="323">
        <v>46016</v>
      </c>
      <c r="E1399" s="175">
        <v>2</v>
      </c>
      <c r="F1399" s="168" t="s">
        <v>498</v>
      </c>
      <c r="G1399" s="165">
        <f>IFERROR(VLOOKUP(F1399,'menu list'!B:C,2,FALSE)*E1399,"0")</f>
        <v>400</v>
      </c>
      <c r="H1399" s="334">
        <f t="shared" si="103"/>
        <v>60</v>
      </c>
      <c r="I1399" s="165">
        <f t="shared" si="104"/>
        <v>460</v>
      </c>
    </row>
    <row r="1400" spans="1:9" ht="12.75" hidden="1" x14ac:dyDescent="0.25">
      <c r="A1400" s="167">
        <f t="shared" si="102"/>
        <v>1399</v>
      </c>
      <c r="B1400" s="168" t="s">
        <v>795</v>
      </c>
      <c r="C1400" s="168" t="str">
        <f>VLOOKUP(B1400,MEMBERS!B:C,2, )</f>
        <v>MR. HASAN KARIM</v>
      </c>
      <c r="D1400" s="323">
        <v>46016</v>
      </c>
      <c r="E1400" s="175">
        <v>1</v>
      </c>
      <c r="F1400" s="168" t="s">
        <v>499</v>
      </c>
      <c r="G1400" s="165">
        <f>IFERROR(VLOOKUP(F1400,'menu list'!B:C,2,FALSE)*E1400,"0")</f>
        <v>100</v>
      </c>
      <c r="H1400" s="334">
        <f t="shared" si="103"/>
        <v>15</v>
      </c>
      <c r="I1400" s="165">
        <f t="shared" si="104"/>
        <v>115</v>
      </c>
    </row>
    <row r="1401" spans="1:9" ht="12.75" hidden="1" x14ac:dyDescent="0.25">
      <c r="A1401" s="167">
        <f t="shared" si="102"/>
        <v>1400</v>
      </c>
      <c r="B1401" s="168" t="s">
        <v>312</v>
      </c>
      <c r="C1401" s="168" t="str">
        <f>VLOOKUP(B1401,MEMBERS!B:C,2, )</f>
        <v>GM GHULAM DASTAGEER</v>
      </c>
      <c r="D1401" s="323">
        <v>46016</v>
      </c>
      <c r="E1401" s="175">
        <v>3</v>
      </c>
      <c r="F1401" s="168" t="s">
        <v>499</v>
      </c>
      <c r="G1401" s="165">
        <f>IFERROR(VLOOKUP(F1401,'menu list'!B:C,2,FALSE)*E1401,"0")</f>
        <v>300</v>
      </c>
      <c r="H1401" s="334">
        <f t="shared" si="103"/>
        <v>45</v>
      </c>
      <c r="I1401" s="165">
        <f t="shared" si="104"/>
        <v>345</v>
      </c>
    </row>
    <row r="1402" spans="1:9" ht="12.75" hidden="1" x14ac:dyDescent="0.25">
      <c r="A1402" s="167">
        <f t="shared" si="102"/>
        <v>1401</v>
      </c>
      <c r="B1402" s="168" t="s">
        <v>312</v>
      </c>
      <c r="C1402" s="168" t="str">
        <f>VLOOKUP(B1402,MEMBERS!B:C,2, )</f>
        <v>GM GHULAM DASTAGEER</v>
      </c>
      <c r="D1402" s="323">
        <v>46016</v>
      </c>
      <c r="E1402" s="175">
        <v>1</v>
      </c>
      <c r="F1402" s="168" t="s">
        <v>801</v>
      </c>
      <c r="G1402" s="165">
        <f>IFERROR(VLOOKUP(F1402,'menu list'!B:C,2,FALSE)*E1402,"0")</f>
        <v>700</v>
      </c>
      <c r="H1402" s="334">
        <f t="shared" si="103"/>
        <v>105</v>
      </c>
      <c r="I1402" s="165">
        <f t="shared" si="104"/>
        <v>805</v>
      </c>
    </row>
    <row r="1403" spans="1:9" ht="12.75" hidden="1" x14ac:dyDescent="0.25">
      <c r="A1403" s="167">
        <f t="shared" si="102"/>
        <v>1402</v>
      </c>
      <c r="B1403" s="168" t="s">
        <v>312</v>
      </c>
      <c r="C1403" s="168" t="str">
        <f>VLOOKUP(B1403,MEMBERS!B:C,2, )</f>
        <v>GM GHULAM DASTAGEER</v>
      </c>
      <c r="D1403" s="323">
        <v>46016</v>
      </c>
      <c r="E1403" s="175">
        <v>1</v>
      </c>
      <c r="F1403" s="168" t="s">
        <v>601</v>
      </c>
      <c r="G1403" s="165">
        <f>IFERROR(VLOOKUP(F1403,'menu list'!B:C,2,FALSE)*E1403,"0")</f>
        <v>1200</v>
      </c>
      <c r="H1403" s="334">
        <f t="shared" si="103"/>
        <v>180</v>
      </c>
      <c r="I1403" s="165">
        <f t="shared" si="104"/>
        <v>1380</v>
      </c>
    </row>
    <row r="1404" spans="1:9" ht="12.75" hidden="1" x14ac:dyDescent="0.25">
      <c r="A1404" s="167">
        <f t="shared" si="102"/>
        <v>1403</v>
      </c>
      <c r="B1404" s="168" t="s">
        <v>312</v>
      </c>
      <c r="C1404" s="168" t="str">
        <f>VLOOKUP(B1404,MEMBERS!B:C,2, )</f>
        <v>GM GHULAM DASTAGEER</v>
      </c>
      <c r="D1404" s="323">
        <v>46016</v>
      </c>
      <c r="E1404" s="175">
        <v>1</v>
      </c>
      <c r="F1404" s="168" t="s">
        <v>939</v>
      </c>
      <c r="G1404" s="165">
        <f>IFERROR(VLOOKUP(F1404,'menu list'!B:C,2,FALSE)*E1404,"0")</f>
        <v>1200</v>
      </c>
      <c r="H1404" s="334">
        <f t="shared" si="103"/>
        <v>180</v>
      </c>
      <c r="I1404" s="165">
        <f t="shared" si="104"/>
        <v>1380</v>
      </c>
    </row>
    <row r="1405" spans="1:9" ht="12.75" hidden="1" x14ac:dyDescent="0.25">
      <c r="A1405" s="167">
        <f t="shared" si="102"/>
        <v>1404</v>
      </c>
      <c r="B1405" s="168" t="s">
        <v>795</v>
      </c>
      <c r="C1405" s="168" t="str">
        <f>VLOOKUP(B1405,MEMBERS!B:C,2, )</f>
        <v>MR. HASAN KARIM</v>
      </c>
      <c r="D1405" s="323">
        <v>46016</v>
      </c>
      <c r="E1405" s="175">
        <v>2</v>
      </c>
      <c r="F1405" s="168" t="s">
        <v>497</v>
      </c>
      <c r="G1405" s="165">
        <f>IFERROR(VLOOKUP(F1405,'menu list'!B:C,2,FALSE)*E1405,"0")</f>
        <v>500</v>
      </c>
      <c r="H1405" s="334">
        <f t="shared" si="103"/>
        <v>75</v>
      </c>
      <c r="I1405" s="165">
        <f t="shared" si="104"/>
        <v>575</v>
      </c>
    </row>
    <row r="1406" spans="1:9" ht="12.75" hidden="1" x14ac:dyDescent="0.25">
      <c r="A1406" s="167">
        <f t="shared" si="102"/>
        <v>1405</v>
      </c>
      <c r="B1406" s="168" t="s">
        <v>795</v>
      </c>
      <c r="C1406" s="168" t="str">
        <f>VLOOKUP(B1406,MEMBERS!B:C,2, )</f>
        <v>MR. HASAN KARIM</v>
      </c>
      <c r="D1406" s="323">
        <v>46016</v>
      </c>
      <c r="E1406" s="175">
        <v>1</v>
      </c>
      <c r="F1406" s="168" t="s">
        <v>836</v>
      </c>
      <c r="G1406" s="165">
        <f>IFERROR(VLOOKUP(F1406,'menu list'!B:C,2,FALSE)*E1406,"0")</f>
        <v>350</v>
      </c>
      <c r="H1406" s="334">
        <f t="shared" si="103"/>
        <v>52.5</v>
      </c>
      <c r="I1406" s="165">
        <f t="shared" si="104"/>
        <v>402.5</v>
      </c>
    </row>
    <row r="1407" spans="1:9" ht="12.75" hidden="1" x14ac:dyDescent="0.25">
      <c r="A1407" s="167">
        <f t="shared" si="102"/>
        <v>1406</v>
      </c>
      <c r="B1407" s="168" t="s">
        <v>795</v>
      </c>
      <c r="C1407" s="168" t="str">
        <f>VLOOKUP(B1407,MEMBERS!B:C,2, )</f>
        <v>MR. HASAN KARIM</v>
      </c>
      <c r="D1407" s="323">
        <v>46016</v>
      </c>
      <c r="E1407" s="175">
        <v>1</v>
      </c>
      <c r="F1407" s="168" t="s">
        <v>442</v>
      </c>
      <c r="G1407" s="165">
        <f>IFERROR(VLOOKUP(F1407,'menu list'!B:C,2,FALSE)*E1407,"0")</f>
        <v>150</v>
      </c>
      <c r="H1407" s="334">
        <f t="shared" si="103"/>
        <v>22.5</v>
      </c>
      <c r="I1407" s="165">
        <f t="shared" si="104"/>
        <v>172.5</v>
      </c>
    </row>
    <row r="1408" spans="1:9" ht="12.75" hidden="1" x14ac:dyDescent="0.25">
      <c r="A1408" s="167">
        <f t="shared" si="102"/>
        <v>1407</v>
      </c>
      <c r="B1408" s="168" t="s">
        <v>795</v>
      </c>
      <c r="C1408" s="168" t="str">
        <f>VLOOKUP(B1408,MEMBERS!B:C,2, )</f>
        <v>MR. HASAN KARIM</v>
      </c>
      <c r="D1408" s="323">
        <v>46016</v>
      </c>
      <c r="E1408" s="175">
        <v>1</v>
      </c>
      <c r="F1408" s="168" t="s">
        <v>499</v>
      </c>
      <c r="G1408" s="165">
        <f>IFERROR(VLOOKUP(F1408,'menu list'!B:C,2,FALSE)*E1408,"0")</f>
        <v>100</v>
      </c>
      <c r="H1408" s="334">
        <f t="shared" si="103"/>
        <v>15</v>
      </c>
      <c r="I1408" s="165">
        <f t="shared" si="104"/>
        <v>115</v>
      </c>
    </row>
    <row r="1409" spans="1:9" ht="12.75" hidden="1" x14ac:dyDescent="0.25">
      <c r="A1409" s="167">
        <f t="shared" si="102"/>
        <v>1408</v>
      </c>
      <c r="B1409" s="168" t="s">
        <v>1020</v>
      </c>
      <c r="C1409" s="168" t="str">
        <f>VLOOKUP(B1409,MEMBERS!B:C,2, )</f>
        <v>MR. MUNAWAR HUSSAIN</v>
      </c>
      <c r="D1409" s="323">
        <v>46016</v>
      </c>
      <c r="E1409" s="175">
        <v>6</v>
      </c>
      <c r="F1409" s="168" t="s">
        <v>499</v>
      </c>
      <c r="G1409" s="165">
        <f>IFERROR(VLOOKUP(F1409,'menu list'!B:C,2,FALSE)*E1409,"0")</f>
        <v>600</v>
      </c>
      <c r="H1409" s="334">
        <f t="shared" si="103"/>
        <v>90</v>
      </c>
      <c r="I1409" s="165">
        <f t="shared" si="104"/>
        <v>690</v>
      </c>
    </row>
    <row r="1410" spans="1:9" ht="12.75" hidden="1" x14ac:dyDescent="0.25">
      <c r="A1410" s="167">
        <f t="shared" si="102"/>
        <v>1409</v>
      </c>
      <c r="B1410" s="168" t="s">
        <v>1020</v>
      </c>
      <c r="C1410" s="168" t="str">
        <f>VLOOKUP(B1410,MEMBERS!B:C,2, )</f>
        <v>MR. MUNAWAR HUSSAIN</v>
      </c>
      <c r="D1410" s="323">
        <v>46016</v>
      </c>
      <c r="E1410" s="175">
        <v>6</v>
      </c>
      <c r="F1410" s="168" t="s">
        <v>836</v>
      </c>
      <c r="G1410" s="165">
        <f>IFERROR(VLOOKUP(F1410,'menu list'!B:C,2,FALSE)*E1410,"0")</f>
        <v>2100</v>
      </c>
      <c r="H1410" s="334">
        <f t="shared" si="103"/>
        <v>315</v>
      </c>
      <c r="I1410" s="165">
        <f t="shared" si="104"/>
        <v>2415</v>
      </c>
    </row>
    <row r="1411" spans="1:9" ht="12.75" hidden="1" x14ac:dyDescent="0.25">
      <c r="A1411" s="167">
        <f t="shared" si="102"/>
        <v>1410</v>
      </c>
      <c r="B1411" s="168" t="s">
        <v>1020</v>
      </c>
      <c r="C1411" s="168" t="str">
        <f>VLOOKUP(B1411,MEMBERS!B:C,2, )</f>
        <v>MR. MUNAWAR HUSSAIN</v>
      </c>
      <c r="D1411" s="323">
        <v>46016</v>
      </c>
      <c r="E1411" s="175">
        <v>2</v>
      </c>
      <c r="F1411" s="168" t="s">
        <v>516</v>
      </c>
      <c r="G1411" s="165">
        <f>IFERROR(VLOOKUP(F1411,'menu list'!B:C,2,FALSE)*E1411,"0")</f>
        <v>500</v>
      </c>
      <c r="H1411" s="334">
        <f t="shared" si="103"/>
        <v>75</v>
      </c>
      <c r="I1411" s="165">
        <f t="shared" si="104"/>
        <v>575</v>
      </c>
    </row>
    <row r="1412" spans="1:9" ht="12.75" hidden="1" x14ac:dyDescent="0.25">
      <c r="A1412" s="167">
        <f t="shared" si="102"/>
        <v>1411</v>
      </c>
      <c r="B1412" s="168" t="s">
        <v>138</v>
      </c>
      <c r="C1412" s="168" t="str">
        <f>VLOOKUP(B1412,MEMBERS!B:C,2, )</f>
        <v>DR.UMER QAZI</v>
      </c>
      <c r="D1412" s="323">
        <v>46016</v>
      </c>
      <c r="E1412" s="175">
        <v>2</v>
      </c>
      <c r="F1412" s="168" t="s">
        <v>439</v>
      </c>
      <c r="G1412" s="165">
        <f>IFERROR(VLOOKUP(F1412,'menu list'!B:C,2,FALSE)*E1412,"0")</f>
        <v>140</v>
      </c>
      <c r="H1412" s="334">
        <f t="shared" si="103"/>
        <v>21</v>
      </c>
      <c r="I1412" s="165">
        <f t="shared" si="104"/>
        <v>161</v>
      </c>
    </row>
    <row r="1413" spans="1:9" ht="12.75" hidden="1" x14ac:dyDescent="0.25">
      <c r="A1413" s="167">
        <f t="shared" si="102"/>
        <v>1412</v>
      </c>
      <c r="B1413" s="168" t="s">
        <v>138</v>
      </c>
      <c r="C1413" s="168" t="str">
        <f>VLOOKUP(B1413,MEMBERS!B:C,2, )</f>
        <v>DR.UMER QAZI</v>
      </c>
      <c r="D1413" s="323">
        <v>46016</v>
      </c>
      <c r="E1413" s="175">
        <v>2</v>
      </c>
      <c r="F1413" s="168" t="s">
        <v>861</v>
      </c>
      <c r="G1413" s="165">
        <f>IFERROR(VLOOKUP(F1413,'menu list'!B:C,2,FALSE)*E1413,"0")</f>
        <v>1600</v>
      </c>
      <c r="H1413" s="334">
        <f t="shared" si="103"/>
        <v>240</v>
      </c>
      <c r="I1413" s="165">
        <f t="shared" si="104"/>
        <v>1840</v>
      </c>
    </row>
    <row r="1414" spans="1:9" ht="12.75" hidden="1" x14ac:dyDescent="0.25">
      <c r="A1414" s="167">
        <f t="shared" si="102"/>
        <v>1413</v>
      </c>
      <c r="B1414" s="168" t="s">
        <v>138</v>
      </c>
      <c r="C1414" s="168" t="str">
        <f>VLOOKUP(B1414,MEMBERS!B:C,2, )</f>
        <v>DR.UMER QAZI</v>
      </c>
      <c r="D1414" s="323">
        <v>46016</v>
      </c>
      <c r="E1414" s="175">
        <v>2</v>
      </c>
      <c r="F1414" s="168" t="s">
        <v>499</v>
      </c>
      <c r="G1414" s="165">
        <f>IFERROR(VLOOKUP(F1414,'menu list'!B:C,2,FALSE)*E1414,"0")</f>
        <v>200</v>
      </c>
      <c r="H1414" s="334">
        <f t="shared" si="103"/>
        <v>30</v>
      </c>
      <c r="I1414" s="165">
        <f t="shared" si="104"/>
        <v>230</v>
      </c>
    </row>
    <row r="1415" spans="1:9" ht="12.75" hidden="1" x14ac:dyDescent="0.25">
      <c r="A1415" s="167">
        <f t="shared" si="102"/>
        <v>1414</v>
      </c>
      <c r="B1415" s="168" t="s">
        <v>59</v>
      </c>
      <c r="C1415" s="168" t="str">
        <f>VLOOKUP(B1415,MEMBERS!B:C,2, )</f>
        <v>MR.SAJJAD ALI</v>
      </c>
      <c r="D1415" s="323">
        <v>46017</v>
      </c>
      <c r="E1415" s="175">
        <v>2</v>
      </c>
      <c r="F1415" s="168" t="s">
        <v>801</v>
      </c>
      <c r="G1415" s="165">
        <f>IFERROR(VLOOKUP(F1415,'menu list'!B:C,2,FALSE)*E1415,"0")</f>
        <v>1400</v>
      </c>
      <c r="H1415" s="334">
        <f t="shared" si="103"/>
        <v>210</v>
      </c>
      <c r="I1415" s="165">
        <f t="shared" si="104"/>
        <v>1610</v>
      </c>
    </row>
    <row r="1416" spans="1:9" ht="12.75" hidden="1" x14ac:dyDescent="0.25">
      <c r="A1416" s="167">
        <f t="shared" ref="A1416:A1444" si="105">IF(D1416&lt;&gt;"", ROW()-1, "")</f>
        <v>1415</v>
      </c>
      <c r="B1416" s="168" t="s">
        <v>59</v>
      </c>
      <c r="C1416" s="168" t="str">
        <f>VLOOKUP(B1416,MEMBERS!B:C,2, )</f>
        <v>MR.SAJJAD ALI</v>
      </c>
      <c r="D1416" s="323">
        <v>46017</v>
      </c>
      <c r="E1416" s="175">
        <v>2</v>
      </c>
      <c r="F1416" s="168" t="s">
        <v>846</v>
      </c>
      <c r="G1416" s="165">
        <f>IFERROR(VLOOKUP(F1416,'menu list'!B:C,2,FALSE)*E1416,"0")</f>
        <v>2500</v>
      </c>
      <c r="H1416" s="334">
        <f t="shared" ref="H1416:H1444" si="106">G1416*15/100</f>
        <v>375</v>
      </c>
      <c r="I1416" s="165">
        <f t="shared" ref="I1416:I1444" si="107">G1416+H1416</f>
        <v>2875</v>
      </c>
    </row>
    <row r="1417" spans="1:9" ht="12.75" hidden="1" x14ac:dyDescent="0.25">
      <c r="A1417" s="167">
        <f t="shared" si="105"/>
        <v>1416</v>
      </c>
      <c r="B1417" s="168" t="s">
        <v>59</v>
      </c>
      <c r="C1417" s="168" t="str">
        <f>VLOOKUP(B1417,MEMBERS!B:C,2, )</f>
        <v>MR.SAJJAD ALI</v>
      </c>
      <c r="D1417" s="323">
        <v>46017</v>
      </c>
      <c r="E1417" s="175">
        <v>4</v>
      </c>
      <c r="F1417" s="168" t="s">
        <v>772</v>
      </c>
      <c r="G1417" s="165">
        <f>IFERROR(VLOOKUP(F1417,'menu list'!B:C,2,FALSE)*E1417,"0")</f>
        <v>3600</v>
      </c>
      <c r="H1417" s="334">
        <f t="shared" si="106"/>
        <v>540</v>
      </c>
      <c r="I1417" s="165">
        <f t="shared" si="107"/>
        <v>4140</v>
      </c>
    </row>
    <row r="1418" spans="1:9" ht="12.75" hidden="1" x14ac:dyDescent="0.25">
      <c r="A1418" s="167">
        <f t="shared" si="105"/>
        <v>1417</v>
      </c>
      <c r="B1418" s="168" t="s">
        <v>59</v>
      </c>
      <c r="C1418" s="168" t="str">
        <f>VLOOKUP(B1418,MEMBERS!B:C,2, )</f>
        <v>MR.SAJJAD ALI</v>
      </c>
      <c r="D1418" s="323">
        <v>46017</v>
      </c>
      <c r="E1418" s="175">
        <v>8</v>
      </c>
      <c r="F1418" s="168" t="s">
        <v>443</v>
      </c>
      <c r="G1418" s="165">
        <f>IFERROR(VLOOKUP(F1418,'menu list'!B:C,2,FALSE)*E1418,"0")</f>
        <v>1200</v>
      </c>
      <c r="H1418" s="334">
        <f t="shared" si="106"/>
        <v>180</v>
      </c>
      <c r="I1418" s="165">
        <f t="shared" si="107"/>
        <v>1380</v>
      </c>
    </row>
    <row r="1419" spans="1:9" ht="12.75" hidden="1" x14ac:dyDescent="0.25">
      <c r="A1419" s="167">
        <f t="shared" si="105"/>
        <v>1418</v>
      </c>
      <c r="B1419" s="168" t="s">
        <v>59</v>
      </c>
      <c r="C1419" s="168" t="str">
        <f>VLOOKUP(B1419,MEMBERS!B:C,2, )</f>
        <v>MR.SAJJAD ALI</v>
      </c>
      <c r="D1419" s="323">
        <v>46017</v>
      </c>
      <c r="E1419" s="175">
        <v>2</v>
      </c>
      <c r="F1419" s="168" t="s">
        <v>915</v>
      </c>
      <c r="G1419" s="165">
        <f>IFERROR(VLOOKUP(F1419,'menu list'!B:C,2,FALSE)*E1419,"0")</f>
        <v>1998</v>
      </c>
      <c r="H1419" s="334">
        <f t="shared" si="106"/>
        <v>299.7</v>
      </c>
      <c r="I1419" s="165">
        <f t="shared" si="107"/>
        <v>2297.6999999999998</v>
      </c>
    </row>
    <row r="1420" spans="1:9" ht="12.75" hidden="1" x14ac:dyDescent="0.25">
      <c r="A1420" s="167">
        <f t="shared" si="105"/>
        <v>1419</v>
      </c>
      <c r="B1420" s="168" t="s">
        <v>187</v>
      </c>
      <c r="C1420" s="168" t="str">
        <f>VLOOKUP(B1420,MEMBERS!B:C,2, )</f>
        <v>MR.SHAN ELAHI SEHGAL</v>
      </c>
      <c r="D1420" s="323">
        <v>46017</v>
      </c>
      <c r="E1420" s="175">
        <v>1</v>
      </c>
      <c r="F1420" s="168" t="s">
        <v>499</v>
      </c>
      <c r="G1420" s="165">
        <f>IFERROR(VLOOKUP(F1420,'menu list'!B:C,2,FALSE)*E1420,"0")</f>
        <v>100</v>
      </c>
      <c r="H1420" s="334">
        <f t="shared" si="106"/>
        <v>15</v>
      </c>
      <c r="I1420" s="165">
        <f t="shared" si="107"/>
        <v>115</v>
      </c>
    </row>
    <row r="1421" spans="1:9" ht="12.75" hidden="1" x14ac:dyDescent="0.25">
      <c r="A1421" s="167">
        <f t="shared" si="105"/>
        <v>1420</v>
      </c>
      <c r="B1421" s="168" t="s">
        <v>187</v>
      </c>
      <c r="C1421" s="168" t="str">
        <f>VLOOKUP(B1421,MEMBERS!B:C,2, )</f>
        <v>MR.SHAN ELAHI SEHGAL</v>
      </c>
      <c r="D1421" s="323">
        <v>46017</v>
      </c>
      <c r="E1421" s="175">
        <v>1</v>
      </c>
      <c r="F1421" s="168" t="s">
        <v>498</v>
      </c>
      <c r="G1421" s="165">
        <f>IFERROR(VLOOKUP(F1421,'menu list'!B:C,2,FALSE)*E1421,"0")</f>
        <v>200</v>
      </c>
      <c r="H1421" s="334">
        <f t="shared" si="106"/>
        <v>30</v>
      </c>
      <c r="I1421" s="165">
        <f t="shared" si="107"/>
        <v>230</v>
      </c>
    </row>
    <row r="1422" spans="1:9" ht="12.75" hidden="1" x14ac:dyDescent="0.25">
      <c r="A1422" s="167">
        <f t="shared" ref="A1422:A1442" si="108">IF(D1422&lt;&gt;"", ROW()-1, "")</f>
        <v>1421</v>
      </c>
      <c r="B1422" s="168" t="s">
        <v>374</v>
      </c>
      <c r="C1422" s="168" t="str">
        <f>VLOOKUP(B1422,MEMBERS!B:C,2, )</f>
        <v>AAMIR RASOOL</v>
      </c>
      <c r="D1422" s="323">
        <v>46017</v>
      </c>
      <c r="E1422" s="175">
        <v>2</v>
      </c>
      <c r="F1422" s="168" t="s">
        <v>499</v>
      </c>
      <c r="G1422" s="165">
        <f>IFERROR(VLOOKUP(F1422,'menu list'!B:C,2,FALSE)*E1422,"0")</f>
        <v>200</v>
      </c>
      <c r="H1422" s="334">
        <f t="shared" ref="H1422:H1442" si="109">G1422*15/100</f>
        <v>30</v>
      </c>
      <c r="I1422" s="165">
        <f t="shared" ref="I1422:I1442" si="110">G1422+H1422</f>
        <v>230</v>
      </c>
    </row>
    <row r="1423" spans="1:9" ht="12.75" hidden="1" x14ac:dyDescent="0.25">
      <c r="A1423" s="167">
        <f t="shared" si="108"/>
        <v>1422</v>
      </c>
      <c r="B1423" s="168" t="s">
        <v>795</v>
      </c>
      <c r="C1423" s="168" t="str">
        <f>VLOOKUP(B1423,MEMBERS!B:C,2, )</f>
        <v>MR. HASAN KARIM</v>
      </c>
      <c r="D1423" s="323">
        <v>46017</v>
      </c>
      <c r="E1423" s="175">
        <v>1</v>
      </c>
      <c r="F1423" s="168" t="s">
        <v>500</v>
      </c>
      <c r="G1423" s="165">
        <f>IFERROR(VLOOKUP(F1423,'menu list'!B:C,2,FALSE)*E1423,"0")</f>
        <v>1250</v>
      </c>
      <c r="H1423" s="334">
        <f t="shared" si="109"/>
        <v>187.5</v>
      </c>
      <c r="I1423" s="165">
        <f t="shared" si="110"/>
        <v>1437.5</v>
      </c>
    </row>
    <row r="1424" spans="1:9" ht="12.75" hidden="1" x14ac:dyDescent="0.25">
      <c r="A1424" s="167">
        <f t="shared" si="108"/>
        <v>1423</v>
      </c>
      <c r="B1424" s="168" t="s">
        <v>25</v>
      </c>
      <c r="C1424" s="168" t="str">
        <f>VLOOKUP(B1424,MEMBERS!B:C,2, )</f>
        <v>MR.MUHAMMAD ARIF</v>
      </c>
      <c r="D1424" s="323">
        <v>46017</v>
      </c>
      <c r="E1424" s="175">
        <v>1</v>
      </c>
      <c r="F1424" s="168" t="s">
        <v>440</v>
      </c>
      <c r="G1424" s="165">
        <f>IFERROR(VLOOKUP(F1424,'menu list'!B:C,2,FALSE)*E1424,"0")</f>
        <v>150</v>
      </c>
      <c r="H1424" s="334">
        <f t="shared" si="109"/>
        <v>22.5</v>
      </c>
      <c r="I1424" s="165">
        <f t="shared" si="110"/>
        <v>172.5</v>
      </c>
    </row>
    <row r="1425" spans="1:9" ht="12.75" hidden="1" x14ac:dyDescent="0.25">
      <c r="A1425" s="167">
        <f t="shared" si="108"/>
        <v>1424</v>
      </c>
      <c r="B1425" s="168" t="s">
        <v>25</v>
      </c>
      <c r="C1425" s="168" t="str">
        <f>VLOOKUP(B1425,MEMBERS!B:C,2, )</f>
        <v>MR.MUHAMMAD ARIF</v>
      </c>
      <c r="D1425" s="323">
        <v>46017</v>
      </c>
      <c r="E1425" s="175">
        <v>2</v>
      </c>
      <c r="F1425" s="168" t="s">
        <v>499</v>
      </c>
      <c r="G1425" s="165">
        <f>IFERROR(VLOOKUP(F1425,'menu list'!B:C,2,FALSE)*E1425,"0")</f>
        <v>200</v>
      </c>
      <c r="H1425" s="334">
        <f t="shared" si="109"/>
        <v>30</v>
      </c>
      <c r="I1425" s="165">
        <f t="shared" si="110"/>
        <v>230</v>
      </c>
    </row>
    <row r="1426" spans="1:9" ht="12.75" hidden="1" x14ac:dyDescent="0.25">
      <c r="A1426" s="167">
        <f t="shared" si="108"/>
        <v>1425</v>
      </c>
      <c r="B1426" s="168" t="s">
        <v>25</v>
      </c>
      <c r="C1426" s="168" t="str">
        <f>VLOOKUP(B1426,MEMBERS!B:C,2, )</f>
        <v>MR.MUHAMMAD ARIF</v>
      </c>
      <c r="D1426" s="323">
        <v>46017</v>
      </c>
      <c r="E1426" s="175">
        <v>1</v>
      </c>
      <c r="F1426" s="168" t="s">
        <v>822</v>
      </c>
      <c r="G1426" s="165">
        <f>IFERROR(VLOOKUP(F1426,'menu list'!B:C,2,FALSE)*E1426,"0")</f>
        <v>1500</v>
      </c>
      <c r="H1426" s="334">
        <f t="shared" si="109"/>
        <v>225</v>
      </c>
      <c r="I1426" s="165">
        <f t="shared" si="110"/>
        <v>1725</v>
      </c>
    </row>
    <row r="1427" spans="1:9" ht="12.75" hidden="1" x14ac:dyDescent="0.25">
      <c r="A1427" s="167">
        <f t="shared" si="108"/>
        <v>1426</v>
      </c>
      <c r="B1427" s="168" t="s">
        <v>25</v>
      </c>
      <c r="C1427" s="168" t="str">
        <f>VLOOKUP(B1427,MEMBERS!B:C,2, )</f>
        <v>MR.MUHAMMAD ARIF</v>
      </c>
      <c r="D1427" s="323">
        <v>46017</v>
      </c>
      <c r="E1427" s="175">
        <v>1</v>
      </c>
      <c r="F1427" s="168" t="s">
        <v>868</v>
      </c>
      <c r="G1427" s="165">
        <f>IFERROR(VLOOKUP(F1427,'menu list'!B:C,2,FALSE)*E1427,"0")</f>
        <v>1000</v>
      </c>
      <c r="H1427" s="334">
        <f t="shared" si="109"/>
        <v>150</v>
      </c>
      <c r="I1427" s="165">
        <f t="shared" si="110"/>
        <v>1150</v>
      </c>
    </row>
    <row r="1428" spans="1:9" ht="12.75" hidden="1" x14ac:dyDescent="0.25">
      <c r="A1428" s="167">
        <f t="shared" si="108"/>
        <v>1427</v>
      </c>
      <c r="B1428" s="168" t="s">
        <v>25</v>
      </c>
      <c r="C1428" s="168" t="str">
        <f>VLOOKUP(B1428,MEMBERS!B:C,2, )</f>
        <v>MR.MUHAMMAD ARIF</v>
      </c>
      <c r="D1428" s="323">
        <v>46017</v>
      </c>
      <c r="E1428" s="175">
        <v>1</v>
      </c>
      <c r="F1428" s="168" t="s">
        <v>828</v>
      </c>
      <c r="G1428" s="165">
        <f>IFERROR(VLOOKUP(F1428,'menu list'!B:C,2,FALSE)*E1428,"0")</f>
        <v>850</v>
      </c>
      <c r="H1428" s="334">
        <f t="shared" si="109"/>
        <v>127.5</v>
      </c>
      <c r="I1428" s="165">
        <f t="shared" si="110"/>
        <v>977.5</v>
      </c>
    </row>
    <row r="1429" spans="1:9" ht="12.75" hidden="1" x14ac:dyDescent="0.25">
      <c r="A1429" s="167">
        <f t="shared" si="108"/>
        <v>1428</v>
      </c>
      <c r="B1429" s="168" t="s">
        <v>25</v>
      </c>
      <c r="C1429" s="168" t="str">
        <f>VLOOKUP(B1429,MEMBERS!B:C,2, )</f>
        <v>MR.MUHAMMAD ARIF</v>
      </c>
      <c r="D1429" s="323">
        <v>46017</v>
      </c>
      <c r="E1429" s="175">
        <v>1</v>
      </c>
      <c r="F1429" s="168" t="s">
        <v>519</v>
      </c>
      <c r="G1429" s="165">
        <f>IFERROR(VLOOKUP(F1429,'menu list'!B:C,2,FALSE)*E1429,"0")</f>
        <v>999</v>
      </c>
      <c r="H1429" s="334">
        <f t="shared" si="109"/>
        <v>149.85</v>
      </c>
      <c r="I1429" s="165">
        <f t="shared" si="110"/>
        <v>1148.8499999999999</v>
      </c>
    </row>
    <row r="1430" spans="1:9" ht="12.75" hidden="1" x14ac:dyDescent="0.25">
      <c r="A1430" s="167">
        <f t="shared" si="108"/>
        <v>1429</v>
      </c>
      <c r="B1430" s="168" t="s">
        <v>25</v>
      </c>
      <c r="C1430" s="168" t="str">
        <f>VLOOKUP(B1430,MEMBERS!B:C,2, )</f>
        <v>MR.MUHAMMAD ARIF</v>
      </c>
      <c r="D1430" s="323">
        <v>46017</v>
      </c>
      <c r="E1430" s="175">
        <v>5</v>
      </c>
      <c r="F1430" s="168" t="s">
        <v>439</v>
      </c>
      <c r="G1430" s="165">
        <f>IFERROR(VLOOKUP(F1430,'menu list'!B:C,2,FALSE)*E1430,"0")</f>
        <v>350</v>
      </c>
      <c r="H1430" s="334">
        <f t="shared" si="109"/>
        <v>52.5</v>
      </c>
      <c r="I1430" s="165">
        <f t="shared" si="110"/>
        <v>402.5</v>
      </c>
    </row>
    <row r="1431" spans="1:9" ht="12.75" hidden="1" x14ac:dyDescent="0.25">
      <c r="A1431" s="167">
        <f t="shared" si="108"/>
        <v>1430</v>
      </c>
      <c r="B1431" s="168" t="s">
        <v>25</v>
      </c>
      <c r="C1431" s="168" t="str">
        <f>VLOOKUP(B1431,MEMBERS!B:C,2, )</f>
        <v>MR.MUHAMMAD ARIF</v>
      </c>
      <c r="D1431" s="323">
        <v>46017</v>
      </c>
      <c r="E1431" s="175">
        <v>4</v>
      </c>
      <c r="F1431" s="168" t="s">
        <v>442</v>
      </c>
      <c r="G1431" s="165">
        <f>IFERROR(VLOOKUP(F1431,'menu list'!B:C,2,FALSE)*E1431,"0")</f>
        <v>600</v>
      </c>
      <c r="H1431" s="334">
        <f t="shared" si="109"/>
        <v>90</v>
      </c>
      <c r="I1431" s="165">
        <f t="shared" si="110"/>
        <v>690</v>
      </c>
    </row>
    <row r="1432" spans="1:9" ht="12.75" hidden="1" x14ac:dyDescent="0.25">
      <c r="A1432" s="167">
        <f t="shared" si="108"/>
        <v>1431</v>
      </c>
      <c r="B1432" s="168" t="s">
        <v>244</v>
      </c>
      <c r="C1432" s="168" t="str">
        <f>VLOOKUP(B1432,MEMBERS!B:C,2, )</f>
        <v>MR.KHADIM HUSSAIN</v>
      </c>
      <c r="D1432" s="323">
        <v>46017</v>
      </c>
      <c r="E1432" s="175">
        <v>1</v>
      </c>
      <c r="F1432" s="168" t="s">
        <v>440</v>
      </c>
      <c r="G1432" s="165">
        <f>IFERROR(VLOOKUP(F1432,'menu list'!B:C,2,FALSE)*E1432,"0")</f>
        <v>150</v>
      </c>
      <c r="H1432" s="334">
        <f t="shared" si="109"/>
        <v>22.5</v>
      </c>
      <c r="I1432" s="165">
        <f t="shared" si="110"/>
        <v>172.5</v>
      </c>
    </row>
    <row r="1433" spans="1:9" ht="12.75" hidden="1" x14ac:dyDescent="0.25">
      <c r="A1433" s="167">
        <f t="shared" si="108"/>
        <v>1432</v>
      </c>
      <c r="B1433" s="168" t="s">
        <v>244</v>
      </c>
      <c r="C1433" s="168" t="str">
        <f>VLOOKUP(B1433,MEMBERS!B:C,2, )</f>
        <v>MR.KHADIM HUSSAIN</v>
      </c>
      <c r="D1433" s="323">
        <v>46017</v>
      </c>
      <c r="E1433" s="175">
        <v>2</v>
      </c>
      <c r="F1433" s="168" t="s">
        <v>801</v>
      </c>
      <c r="G1433" s="165">
        <f>IFERROR(VLOOKUP(F1433,'menu list'!B:C,2,FALSE)*E1433,"0")</f>
        <v>1400</v>
      </c>
      <c r="H1433" s="334">
        <f t="shared" si="109"/>
        <v>210</v>
      </c>
      <c r="I1433" s="165">
        <f t="shared" si="110"/>
        <v>1610</v>
      </c>
    </row>
    <row r="1434" spans="1:9" ht="12.75" hidden="1" x14ac:dyDescent="0.25">
      <c r="A1434" s="167">
        <f t="shared" si="108"/>
        <v>1433</v>
      </c>
      <c r="B1434" s="168" t="s">
        <v>244</v>
      </c>
      <c r="C1434" s="168" t="str">
        <f>VLOOKUP(B1434,MEMBERS!B:C,2, )</f>
        <v>MR.KHADIM HUSSAIN</v>
      </c>
      <c r="D1434" s="323">
        <v>46017</v>
      </c>
      <c r="E1434" s="175">
        <v>1</v>
      </c>
      <c r="F1434" s="168" t="s">
        <v>500</v>
      </c>
      <c r="G1434" s="165">
        <f>IFERROR(VLOOKUP(F1434,'menu list'!B:C,2,FALSE)*E1434,"0")</f>
        <v>1250</v>
      </c>
      <c r="H1434" s="334">
        <f t="shared" si="109"/>
        <v>187.5</v>
      </c>
      <c r="I1434" s="165">
        <f t="shared" si="110"/>
        <v>1437.5</v>
      </c>
    </row>
    <row r="1435" spans="1:9" ht="12.75" hidden="1" x14ac:dyDescent="0.25">
      <c r="A1435" s="167">
        <f t="shared" si="108"/>
        <v>1434</v>
      </c>
      <c r="B1435" s="168" t="s">
        <v>244</v>
      </c>
      <c r="C1435" s="168" t="str">
        <f>VLOOKUP(B1435,MEMBERS!B:C,2, )</f>
        <v>MR.KHADIM HUSSAIN</v>
      </c>
      <c r="D1435" s="323">
        <v>46017</v>
      </c>
      <c r="E1435" s="175">
        <v>2</v>
      </c>
      <c r="F1435" s="168" t="s">
        <v>785</v>
      </c>
      <c r="G1435" s="165">
        <f>IFERROR(VLOOKUP(F1435,'menu list'!B:C,2,FALSE)*E1435,"0")</f>
        <v>1900</v>
      </c>
      <c r="H1435" s="334">
        <f t="shared" si="109"/>
        <v>285</v>
      </c>
      <c r="I1435" s="165">
        <f t="shared" si="110"/>
        <v>2185</v>
      </c>
    </row>
    <row r="1436" spans="1:9" ht="12.75" hidden="1" x14ac:dyDescent="0.25">
      <c r="A1436" s="167">
        <f t="shared" si="108"/>
        <v>1435</v>
      </c>
      <c r="B1436" s="168" t="s">
        <v>244</v>
      </c>
      <c r="C1436" s="168" t="str">
        <f>VLOOKUP(B1436,MEMBERS!B:C,2, )</f>
        <v>MR.KHADIM HUSSAIN</v>
      </c>
      <c r="D1436" s="323">
        <v>46017</v>
      </c>
      <c r="E1436" s="175">
        <v>4</v>
      </c>
      <c r="F1436" s="168" t="s">
        <v>497</v>
      </c>
      <c r="G1436" s="165">
        <f>IFERROR(VLOOKUP(F1436,'menu list'!B:C,2,FALSE)*E1436,"0")</f>
        <v>1000</v>
      </c>
      <c r="H1436" s="334">
        <f t="shared" si="109"/>
        <v>150</v>
      </c>
      <c r="I1436" s="165">
        <f t="shared" si="110"/>
        <v>1150</v>
      </c>
    </row>
    <row r="1437" spans="1:9" ht="12.75" hidden="1" x14ac:dyDescent="0.25">
      <c r="A1437" s="167">
        <f t="shared" si="108"/>
        <v>1436</v>
      </c>
      <c r="B1437" s="168" t="s">
        <v>244</v>
      </c>
      <c r="C1437" s="168" t="str">
        <f>VLOOKUP(B1437,MEMBERS!B:C,2, )</f>
        <v>MR.KHADIM HUSSAIN</v>
      </c>
      <c r="D1437" s="323">
        <v>46017</v>
      </c>
      <c r="E1437" s="175">
        <v>1</v>
      </c>
      <c r="F1437" s="168" t="s">
        <v>803</v>
      </c>
      <c r="G1437" s="165">
        <f>IFERROR(VLOOKUP(F1437,'menu list'!B:C,2,FALSE)*E1437,"0")</f>
        <v>250</v>
      </c>
      <c r="H1437" s="334">
        <f t="shared" si="109"/>
        <v>37.5</v>
      </c>
      <c r="I1437" s="165">
        <f t="shared" si="110"/>
        <v>287.5</v>
      </c>
    </row>
    <row r="1438" spans="1:9" ht="12.75" hidden="1" x14ac:dyDescent="0.25">
      <c r="A1438" s="167">
        <f t="shared" si="108"/>
        <v>1437</v>
      </c>
      <c r="B1438" s="168" t="s">
        <v>244</v>
      </c>
      <c r="C1438" s="168" t="str">
        <f>VLOOKUP(B1438,MEMBERS!B:C,2, )</f>
        <v>MR.KHADIM HUSSAIN</v>
      </c>
      <c r="D1438" s="323">
        <v>46017</v>
      </c>
      <c r="E1438" s="175">
        <v>1</v>
      </c>
      <c r="F1438" s="168" t="s">
        <v>499</v>
      </c>
      <c r="G1438" s="165">
        <f>IFERROR(VLOOKUP(F1438,'menu list'!B:C,2,FALSE)*E1438,"0")</f>
        <v>100</v>
      </c>
      <c r="H1438" s="334">
        <f t="shared" si="109"/>
        <v>15</v>
      </c>
      <c r="I1438" s="165">
        <f t="shared" si="110"/>
        <v>115</v>
      </c>
    </row>
    <row r="1439" spans="1:9" ht="12.75" hidden="1" x14ac:dyDescent="0.25">
      <c r="A1439" s="167">
        <f t="shared" si="108"/>
        <v>1438</v>
      </c>
      <c r="B1439" s="168" t="s">
        <v>428</v>
      </c>
      <c r="C1439" s="168" t="str">
        <f>VLOOKUP(B1439,MEMBERS!B:C,2, )</f>
        <v>ALI LEGHARI</v>
      </c>
      <c r="D1439" s="323">
        <v>46017</v>
      </c>
      <c r="E1439" s="175">
        <v>4</v>
      </c>
      <c r="F1439" s="168" t="s">
        <v>499</v>
      </c>
      <c r="G1439" s="165">
        <f>IFERROR(VLOOKUP(F1439,'menu list'!B:C,2,FALSE)*E1439,"0")</f>
        <v>400</v>
      </c>
      <c r="H1439" s="334">
        <f t="shared" si="109"/>
        <v>60</v>
      </c>
      <c r="I1439" s="165">
        <f t="shared" si="110"/>
        <v>460</v>
      </c>
    </row>
    <row r="1440" spans="1:9" ht="12.75" hidden="1" x14ac:dyDescent="0.25">
      <c r="A1440" s="167">
        <f t="shared" si="108"/>
        <v>1439</v>
      </c>
      <c r="B1440" s="168" t="s">
        <v>428</v>
      </c>
      <c r="C1440" s="168" t="str">
        <f>VLOOKUP(B1440,MEMBERS!B:C,2, )</f>
        <v>ALI LEGHARI</v>
      </c>
      <c r="D1440" s="323">
        <v>46017</v>
      </c>
      <c r="E1440" s="175">
        <v>33</v>
      </c>
      <c r="F1440" s="168" t="s">
        <v>440</v>
      </c>
      <c r="G1440" s="165">
        <f>IFERROR(VLOOKUP(F1440,'menu list'!B:C,2,FALSE)*E1440,"0")</f>
        <v>4950</v>
      </c>
      <c r="H1440" s="334">
        <f t="shared" si="109"/>
        <v>742.5</v>
      </c>
      <c r="I1440" s="165">
        <f t="shared" si="110"/>
        <v>5692.5</v>
      </c>
    </row>
    <row r="1441" spans="1:9" ht="12.75" hidden="1" x14ac:dyDescent="0.25">
      <c r="A1441" s="167">
        <f t="shared" si="108"/>
        <v>1440</v>
      </c>
      <c r="B1441" s="168" t="s">
        <v>428</v>
      </c>
      <c r="C1441" s="168" t="str">
        <f>VLOOKUP(B1441,MEMBERS!B:C,2, )</f>
        <v>ALI LEGHARI</v>
      </c>
      <c r="D1441" s="323">
        <v>46017</v>
      </c>
      <c r="E1441" s="175">
        <v>208</v>
      </c>
      <c r="F1441" s="168" t="s">
        <v>442</v>
      </c>
      <c r="G1441" s="165">
        <f>IFERROR(VLOOKUP(F1441,'menu list'!B:C,2,FALSE)*E1441,"0")</f>
        <v>31200</v>
      </c>
      <c r="H1441" s="334">
        <f t="shared" si="109"/>
        <v>4680</v>
      </c>
      <c r="I1441" s="165">
        <f t="shared" si="110"/>
        <v>35880</v>
      </c>
    </row>
    <row r="1442" spans="1:9" ht="12.75" hidden="1" x14ac:dyDescent="0.25">
      <c r="A1442" s="167" t="str">
        <f t="shared" si="108"/>
        <v/>
      </c>
      <c r="B1442" s="168" t="s">
        <v>756</v>
      </c>
      <c r="C1442" s="168" t="e">
        <f>VLOOKUP(B1442,MEMBERS!B:C,2, )</f>
        <v>#N/A</v>
      </c>
      <c r="D1442" s="323"/>
      <c r="E1442" s="175"/>
      <c r="F1442" s="168"/>
      <c r="G1442" s="165" t="str">
        <f>IFERROR(VLOOKUP(F1442,'menu list'!B:C,2,FALSE)*E1442,"0")</f>
        <v>0</v>
      </c>
      <c r="H1442" s="334">
        <f t="shared" si="109"/>
        <v>0</v>
      </c>
      <c r="I1442" s="165">
        <f t="shared" si="110"/>
        <v>0</v>
      </c>
    </row>
    <row r="1443" spans="1:9" ht="12.75" hidden="1" x14ac:dyDescent="0.25">
      <c r="A1443" s="167" t="str">
        <f t="shared" si="105"/>
        <v/>
      </c>
      <c r="B1443" s="168" t="s">
        <v>756</v>
      </c>
      <c r="C1443" s="168" t="e">
        <f>VLOOKUP(B1443,MEMBERS!B:C,2, )</f>
        <v>#N/A</v>
      </c>
      <c r="D1443" s="323"/>
      <c r="E1443" s="175"/>
      <c r="F1443" s="168"/>
      <c r="G1443" s="165" t="str">
        <f>IFERROR(VLOOKUP(F1443,'menu list'!B:C,2,FALSE)*E1443,"0")</f>
        <v>0</v>
      </c>
      <c r="H1443" s="334">
        <f t="shared" si="106"/>
        <v>0</v>
      </c>
      <c r="I1443" s="165">
        <f t="shared" si="107"/>
        <v>0</v>
      </c>
    </row>
    <row r="1444" spans="1:9" ht="12.75" hidden="1" x14ac:dyDescent="0.25">
      <c r="A1444" s="167" t="str">
        <f t="shared" si="105"/>
        <v/>
      </c>
      <c r="B1444" s="168" t="s">
        <v>756</v>
      </c>
      <c r="C1444" s="168" t="e">
        <f>VLOOKUP(B1444,MEMBERS!B:C,2, )</f>
        <v>#N/A</v>
      </c>
      <c r="D1444" s="323"/>
      <c r="E1444" s="175"/>
      <c r="F1444" s="168"/>
      <c r="G1444" s="165" t="str">
        <f>IFERROR(VLOOKUP(F1444,'menu list'!B:C,2,FALSE)*E1444,"0")</f>
        <v>0</v>
      </c>
      <c r="H1444" s="334">
        <f t="shared" si="106"/>
        <v>0</v>
      </c>
      <c r="I1444" s="165">
        <f t="shared" si="107"/>
        <v>0</v>
      </c>
    </row>
    <row r="1445" spans="1:9" ht="12.75" hidden="1" x14ac:dyDescent="0.25">
      <c r="A1445" s="167" t="str">
        <f t="shared" ref="A1445" si="111">IF(D1445&lt;&gt;"", ROW()-1, "")</f>
        <v/>
      </c>
      <c r="B1445" s="168" t="s">
        <v>756</v>
      </c>
      <c r="C1445" s="168" t="e">
        <f>VLOOKUP(B1445,MEMBERS!B:C,2, )</f>
        <v>#N/A</v>
      </c>
      <c r="D1445" s="323"/>
      <c r="E1445" s="175"/>
      <c r="F1445" s="168"/>
      <c r="G1445" s="165" t="str">
        <f>IFERROR(VLOOKUP(F1445,'menu list'!B:C,2,FALSE)*E1445,"0")</f>
        <v>0</v>
      </c>
      <c r="H1445" s="334">
        <f t="shared" ref="H1445" si="112">G1445*15/100</f>
        <v>0</v>
      </c>
      <c r="I1445" s="165">
        <f t="shared" ref="I1445" si="113">G1445+H1445</f>
        <v>0</v>
      </c>
    </row>
    <row r="1446" spans="1:9" ht="13.5" hidden="1" thickBot="1" x14ac:dyDescent="0.3">
      <c r="A1446" s="186"/>
      <c r="B1446" s="178"/>
      <c r="C1446" s="178"/>
      <c r="D1446" s="179"/>
      <c r="E1446" s="180"/>
      <c r="F1446" s="181" t="s">
        <v>1089</v>
      </c>
      <c r="G1446" s="185">
        <f>SUM(G2:G1445)</f>
        <v>5370466</v>
      </c>
      <c r="H1446" s="335">
        <f>SUM(H2:H1445)</f>
        <v>791409.9</v>
      </c>
      <c r="I1446" s="335">
        <f>SUM(I2:I1445)</f>
        <v>6161875.8999999994</v>
      </c>
    </row>
  </sheetData>
  <autoFilter ref="A1:L1446">
    <filterColumn colId="1">
      <filters>
        <filter val="HCFM-0502"/>
      </filters>
    </filterColumn>
  </autoFilter>
  <phoneticPr fontId="8" type="noConversion"/>
  <conditionalFormatting sqref="F1380">
    <cfRule type="duplicateValues" dxfId="8" priority="1"/>
    <cfRule type="duplicateValues" dxfId="7" priority="2"/>
    <cfRule type="duplicateValues" dxfId="6" priority="3"/>
    <cfRule type="duplicateValues" dxfId="5" priority="4"/>
  </conditionalFormatting>
  <pageMargins left="0.7" right="0.7" top="0.75" bottom="0.75" header="0.3" footer="0.3"/>
  <pageSetup paperSize="9"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Q480"/>
  <sheetViews>
    <sheetView zoomScale="106" zoomScaleNormal="106" zoomScaleSheetLayoutView="145" workbookViewId="0">
      <selection activeCell="B20" sqref="B20"/>
    </sheetView>
  </sheetViews>
  <sheetFormatPr defaultColWidth="9" defaultRowHeight="15" x14ac:dyDescent="0.25"/>
  <cols>
    <col min="1" max="1" width="10.85546875" style="232" bestFit="1" customWidth="1"/>
    <col min="2" max="2" width="50.28515625" style="232" customWidth="1"/>
    <col min="3" max="3" width="10.28515625" style="308" bestFit="1" customWidth="1"/>
    <col min="4" max="4" width="16.42578125" style="232" bestFit="1" customWidth="1"/>
    <col min="5" max="15" width="9" style="232"/>
    <col min="16" max="16" width="3" style="232" bestFit="1" customWidth="1"/>
    <col min="17" max="17" width="2" style="232" bestFit="1" customWidth="1"/>
    <col min="18" max="16384" width="9" style="232"/>
  </cols>
  <sheetData>
    <row r="1" spans="1:10" x14ac:dyDescent="0.25">
      <c r="A1" s="294" t="s">
        <v>1083</v>
      </c>
      <c r="B1" s="295"/>
      <c r="C1" s="296"/>
      <c r="D1" s="297"/>
    </row>
    <row r="2" spans="1:10" x14ac:dyDescent="0.25">
      <c r="A2" s="298" t="s">
        <v>1106</v>
      </c>
      <c r="B2" s="299" t="s">
        <v>1107</v>
      </c>
      <c r="C2" s="299" t="s">
        <v>1108</v>
      </c>
      <c r="D2" s="299" t="s">
        <v>1109</v>
      </c>
      <c r="J2" s="232" t="s">
        <v>1110</v>
      </c>
    </row>
    <row r="3" spans="1:10" x14ac:dyDescent="0.25">
      <c r="A3" s="347">
        <f>IF(B3&lt;&gt;"", ROW()-2, "")</f>
        <v>1</v>
      </c>
      <c r="B3" s="348" t="s">
        <v>507</v>
      </c>
      <c r="C3" s="349">
        <v>550</v>
      </c>
      <c r="D3" s="297"/>
    </row>
    <row r="4" spans="1:10" x14ac:dyDescent="0.25">
      <c r="A4" s="347">
        <f t="shared" ref="A4:A67" si="0">IF(B4&lt;&gt;"", ROW()-2, "")</f>
        <v>2</v>
      </c>
      <c r="B4" s="348" t="s">
        <v>810</v>
      </c>
      <c r="C4" s="349">
        <v>600</v>
      </c>
      <c r="D4" s="297"/>
    </row>
    <row r="5" spans="1:10" x14ac:dyDescent="0.25">
      <c r="A5" s="347">
        <f t="shared" si="0"/>
        <v>3</v>
      </c>
      <c r="B5" s="348" t="s">
        <v>508</v>
      </c>
      <c r="C5" s="349">
        <v>1500</v>
      </c>
      <c r="D5" s="297"/>
    </row>
    <row r="6" spans="1:10" x14ac:dyDescent="0.25">
      <c r="A6" s="347">
        <f t="shared" si="0"/>
        <v>4</v>
      </c>
      <c r="B6" s="348" t="s">
        <v>509</v>
      </c>
      <c r="C6" s="349">
        <v>400</v>
      </c>
      <c r="D6" s="297"/>
    </row>
    <row r="7" spans="1:10" x14ac:dyDescent="0.25">
      <c r="A7" s="347">
        <f t="shared" si="0"/>
        <v>5</v>
      </c>
      <c r="B7" s="348" t="s">
        <v>708</v>
      </c>
      <c r="C7" s="349">
        <v>800</v>
      </c>
      <c r="D7" s="297"/>
    </row>
    <row r="8" spans="1:10" x14ac:dyDescent="0.25">
      <c r="A8" s="347">
        <f t="shared" si="0"/>
        <v>6</v>
      </c>
      <c r="B8" s="348" t="s">
        <v>510</v>
      </c>
      <c r="C8" s="349">
        <v>100</v>
      </c>
      <c r="D8" s="297"/>
    </row>
    <row r="9" spans="1:10" x14ac:dyDescent="0.25">
      <c r="A9" s="347">
        <f t="shared" si="0"/>
        <v>7</v>
      </c>
      <c r="B9" s="348" t="s">
        <v>811</v>
      </c>
      <c r="C9" s="349">
        <v>1450</v>
      </c>
      <c r="D9" s="297"/>
    </row>
    <row r="10" spans="1:10" x14ac:dyDescent="0.25">
      <c r="A10" s="347">
        <f t="shared" si="0"/>
        <v>8</v>
      </c>
      <c r="B10" s="348" t="s">
        <v>511</v>
      </c>
      <c r="C10" s="349">
        <v>400</v>
      </c>
      <c r="D10" s="297"/>
    </row>
    <row r="11" spans="1:10" x14ac:dyDescent="0.25">
      <c r="A11" s="347">
        <f t="shared" si="0"/>
        <v>9</v>
      </c>
      <c r="B11" s="348" t="s">
        <v>812</v>
      </c>
      <c r="C11" s="349">
        <v>950</v>
      </c>
      <c r="D11" s="297"/>
    </row>
    <row r="12" spans="1:10" x14ac:dyDescent="0.25">
      <c r="A12" s="347">
        <f t="shared" si="0"/>
        <v>10</v>
      </c>
      <c r="B12" s="348" t="s">
        <v>444</v>
      </c>
      <c r="C12" s="349">
        <v>200</v>
      </c>
      <c r="D12" s="297"/>
    </row>
    <row r="13" spans="1:10" x14ac:dyDescent="0.25">
      <c r="A13" s="347">
        <f t="shared" si="0"/>
        <v>11</v>
      </c>
      <c r="B13" s="348" t="s">
        <v>512</v>
      </c>
      <c r="C13" s="349">
        <v>450</v>
      </c>
      <c r="D13" s="297"/>
    </row>
    <row r="14" spans="1:10" x14ac:dyDescent="0.25">
      <c r="A14" s="347">
        <f t="shared" si="0"/>
        <v>12</v>
      </c>
      <c r="B14" s="348" t="s">
        <v>813</v>
      </c>
      <c r="C14" s="349">
        <v>300</v>
      </c>
      <c r="D14" s="297"/>
    </row>
    <row r="15" spans="1:10" x14ac:dyDescent="0.25">
      <c r="A15" s="347">
        <f t="shared" si="0"/>
        <v>13</v>
      </c>
      <c r="B15" s="348" t="s">
        <v>513</v>
      </c>
      <c r="C15" s="349">
        <v>275</v>
      </c>
      <c r="D15" s="297"/>
    </row>
    <row r="16" spans="1:10" x14ac:dyDescent="0.25">
      <c r="A16" s="347">
        <f t="shared" si="0"/>
        <v>14</v>
      </c>
      <c r="B16" s="348" t="s">
        <v>514</v>
      </c>
      <c r="C16" s="349">
        <v>600</v>
      </c>
      <c r="D16" s="297"/>
    </row>
    <row r="17" spans="1:4" x14ac:dyDescent="0.25">
      <c r="A17" s="347">
        <f t="shared" si="0"/>
        <v>15</v>
      </c>
      <c r="B17" s="348" t="s">
        <v>515</v>
      </c>
      <c r="C17" s="349">
        <v>400</v>
      </c>
      <c r="D17" s="297"/>
    </row>
    <row r="18" spans="1:4" x14ac:dyDescent="0.25">
      <c r="A18" s="347">
        <f t="shared" si="0"/>
        <v>16</v>
      </c>
      <c r="B18" s="348" t="s">
        <v>705</v>
      </c>
      <c r="C18" s="349">
        <v>800</v>
      </c>
      <c r="D18" s="297"/>
    </row>
    <row r="19" spans="1:4" x14ac:dyDescent="0.25">
      <c r="A19" s="347">
        <f t="shared" si="0"/>
        <v>17</v>
      </c>
      <c r="B19" s="348" t="s">
        <v>516</v>
      </c>
      <c r="C19" s="350">
        <v>250</v>
      </c>
      <c r="D19" s="297"/>
    </row>
    <row r="20" spans="1:4" x14ac:dyDescent="0.25">
      <c r="A20" s="347">
        <f t="shared" si="0"/>
        <v>18</v>
      </c>
      <c r="B20" s="351" t="s">
        <v>734</v>
      </c>
      <c r="C20" s="352">
        <v>350</v>
      </c>
      <c r="D20" s="297"/>
    </row>
    <row r="21" spans="1:4" x14ac:dyDescent="0.25">
      <c r="A21" s="347">
        <f t="shared" si="0"/>
        <v>19</v>
      </c>
      <c r="B21" s="353" t="s">
        <v>517</v>
      </c>
      <c r="C21" s="350">
        <v>150</v>
      </c>
      <c r="D21" s="297"/>
    </row>
    <row r="22" spans="1:4" x14ac:dyDescent="0.25">
      <c r="A22" s="347">
        <f t="shared" si="0"/>
        <v>20</v>
      </c>
      <c r="B22" s="354" t="s">
        <v>518</v>
      </c>
      <c r="C22" s="350">
        <v>250</v>
      </c>
      <c r="D22" s="297"/>
    </row>
    <row r="23" spans="1:4" x14ac:dyDescent="0.25">
      <c r="A23" s="347">
        <f t="shared" si="0"/>
        <v>21</v>
      </c>
      <c r="B23" s="348" t="s">
        <v>805</v>
      </c>
      <c r="C23" s="350">
        <v>540</v>
      </c>
      <c r="D23" s="297"/>
    </row>
    <row r="24" spans="1:4" x14ac:dyDescent="0.25">
      <c r="A24" s="347">
        <f t="shared" si="0"/>
        <v>22</v>
      </c>
      <c r="B24" s="348" t="s">
        <v>804</v>
      </c>
      <c r="C24" s="350">
        <v>270</v>
      </c>
      <c r="D24" s="297"/>
    </row>
    <row r="25" spans="1:4" x14ac:dyDescent="0.25">
      <c r="A25" s="347">
        <f t="shared" si="0"/>
        <v>23</v>
      </c>
      <c r="B25" s="348" t="s">
        <v>501</v>
      </c>
      <c r="C25" s="349">
        <v>1200</v>
      </c>
      <c r="D25" s="297"/>
    </row>
    <row r="26" spans="1:4" x14ac:dyDescent="0.25">
      <c r="A26" s="347">
        <f t="shared" si="0"/>
        <v>24</v>
      </c>
      <c r="B26" s="348" t="s">
        <v>519</v>
      </c>
      <c r="C26" s="349">
        <v>999</v>
      </c>
      <c r="D26" s="297"/>
    </row>
    <row r="27" spans="1:4" x14ac:dyDescent="0.25">
      <c r="A27" s="347">
        <f t="shared" si="0"/>
        <v>25</v>
      </c>
      <c r="B27" s="348" t="s">
        <v>737</v>
      </c>
      <c r="C27" s="352">
        <v>999</v>
      </c>
      <c r="D27" s="297"/>
    </row>
    <row r="28" spans="1:4" x14ac:dyDescent="0.25">
      <c r="A28" s="347">
        <f t="shared" si="0"/>
        <v>26</v>
      </c>
      <c r="B28" s="348" t="s">
        <v>520</v>
      </c>
      <c r="C28" s="349">
        <v>850</v>
      </c>
      <c r="D28" s="297"/>
    </row>
    <row r="29" spans="1:4" x14ac:dyDescent="0.25">
      <c r="A29" s="347">
        <f t="shared" si="0"/>
        <v>27</v>
      </c>
      <c r="B29" s="353" t="s">
        <v>521</v>
      </c>
      <c r="C29" s="350">
        <v>1599</v>
      </c>
      <c r="D29" s="297"/>
    </row>
    <row r="30" spans="1:4" x14ac:dyDescent="0.25">
      <c r="A30" s="347">
        <f t="shared" si="0"/>
        <v>28</v>
      </c>
      <c r="B30" s="348" t="s">
        <v>522</v>
      </c>
      <c r="C30" s="350">
        <v>1200</v>
      </c>
      <c r="D30" s="297"/>
    </row>
    <row r="31" spans="1:4" x14ac:dyDescent="0.25">
      <c r="A31" s="347">
        <f t="shared" si="0"/>
        <v>29</v>
      </c>
      <c r="B31" s="348" t="s">
        <v>792</v>
      </c>
      <c r="C31" s="349">
        <v>1200</v>
      </c>
      <c r="D31" s="297"/>
    </row>
    <row r="32" spans="1:4" x14ac:dyDescent="0.25">
      <c r="A32" s="347">
        <f t="shared" si="0"/>
        <v>30</v>
      </c>
      <c r="B32" s="348" t="s">
        <v>814</v>
      </c>
      <c r="C32" s="349">
        <v>1200</v>
      </c>
      <c r="D32" s="297"/>
    </row>
    <row r="33" spans="1:4" x14ac:dyDescent="0.25">
      <c r="A33" s="347">
        <f t="shared" si="0"/>
        <v>31</v>
      </c>
      <c r="B33" s="348" t="s">
        <v>815</v>
      </c>
      <c r="C33" s="349">
        <v>600</v>
      </c>
      <c r="D33" s="297"/>
    </row>
    <row r="34" spans="1:4" x14ac:dyDescent="0.25">
      <c r="A34" s="347">
        <f t="shared" si="0"/>
        <v>32</v>
      </c>
      <c r="B34" s="348" t="s">
        <v>643</v>
      </c>
      <c r="C34" s="349">
        <v>300</v>
      </c>
      <c r="D34" s="297"/>
    </row>
    <row r="35" spans="1:4" x14ac:dyDescent="0.25">
      <c r="A35" s="347">
        <f t="shared" si="0"/>
        <v>33</v>
      </c>
      <c r="B35" s="348" t="s">
        <v>523</v>
      </c>
      <c r="C35" s="349">
        <v>250</v>
      </c>
      <c r="D35" s="297"/>
    </row>
    <row r="36" spans="1:4" x14ac:dyDescent="0.25">
      <c r="A36" s="347">
        <f t="shared" si="0"/>
        <v>34</v>
      </c>
      <c r="B36" s="348" t="s">
        <v>524</v>
      </c>
      <c r="C36" s="349">
        <v>1900</v>
      </c>
      <c r="D36" s="297"/>
    </row>
    <row r="37" spans="1:4" x14ac:dyDescent="0.25">
      <c r="A37" s="347">
        <f t="shared" si="0"/>
        <v>35</v>
      </c>
      <c r="B37" s="355" t="s">
        <v>525</v>
      </c>
      <c r="C37" s="350">
        <v>250</v>
      </c>
      <c r="D37" s="297"/>
    </row>
    <row r="38" spans="1:4" x14ac:dyDescent="0.25">
      <c r="A38" s="347">
        <f t="shared" si="0"/>
        <v>36</v>
      </c>
      <c r="B38" s="348" t="s">
        <v>526</v>
      </c>
      <c r="C38" s="349">
        <v>1500</v>
      </c>
      <c r="D38" s="297"/>
    </row>
    <row r="39" spans="1:4" x14ac:dyDescent="0.25">
      <c r="A39" s="347">
        <f t="shared" si="0"/>
        <v>37</v>
      </c>
      <c r="B39" s="348" t="s">
        <v>645</v>
      </c>
      <c r="C39" s="349">
        <v>800</v>
      </c>
      <c r="D39" s="297"/>
    </row>
    <row r="40" spans="1:4" x14ac:dyDescent="0.25">
      <c r="A40" s="347">
        <f t="shared" si="0"/>
        <v>38</v>
      </c>
      <c r="B40" s="348" t="s">
        <v>527</v>
      </c>
      <c r="C40" s="349">
        <v>100</v>
      </c>
      <c r="D40" s="297"/>
    </row>
    <row r="41" spans="1:4" x14ac:dyDescent="0.25">
      <c r="A41" s="347">
        <f t="shared" si="0"/>
        <v>39</v>
      </c>
      <c r="B41" s="348" t="s">
        <v>816</v>
      </c>
      <c r="C41" s="349">
        <v>1000</v>
      </c>
      <c r="D41" s="297"/>
    </row>
    <row r="42" spans="1:4" x14ac:dyDescent="0.25">
      <c r="A42" s="347">
        <f t="shared" si="0"/>
        <v>40</v>
      </c>
      <c r="B42" s="348" t="s">
        <v>808</v>
      </c>
      <c r="C42" s="349">
        <v>1000</v>
      </c>
      <c r="D42" s="297"/>
    </row>
    <row r="43" spans="1:4" x14ac:dyDescent="0.25">
      <c r="A43" s="347">
        <f t="shared" si="0"/>
        <v>41</v>
      </c>
      <c r="B43" s="348" t="s">
        <v>817</v>
      </c>
      <c r="C43" s="349">
        <v>700</v>
      </c>
      <c r="D43" s="297"/>
    </row>
    <row r="44" spans="1:4" x14ac:dyDescent="0.25">
      <c r="A44" s="347">
        <f t="shared" si="0"/>
        <v>42</v>
      </c>
      <c r="B44" s="348" t="s">
        <v>946</v>
      </c>
      <c r="C44" s="349">
        <v>2800</v>
      </c>
      <c r="D44" s="297"/>
    </row>
    <row r="45" spans="1:4" x14ac:dyDescent="0.25">
      <c r="A45" s="347">
        <f t="shared" si="0"/>
        <v>43</v>
      </c>
      <c r="B45" s="348" t="s">
        <v>528</v>
      </c>
      <c r="C45" s="349">
        <v>2800</v>
      </c>
      <c r="D45" s="297"/>
    </row>
    <row r="46" spans="1:4" x14ac:dyDescent="0.25">
      <c r="A46" s="347">
        <f t="shared" si="0"/>
        <v>44</v>
      </c>
      <c r="B46" s="351" t="s">
        <v>742</v>
      </c>
      <c r="C46" s="352">
        <v>350</v>
      </c>
      <c r="D46" s="297"/>
    </row>
    <row r="47" spans="1:4" x14ac:dyDescent="0.25">
      <c r="A47" s="347">
        <f t="shared" si="0"/>
        <v>45</v>
      </c>
      <c r="B47" s="348" t="s">
        <v>818</v>
      </c>
      <c r="C47" s="349">
        <v>900</v>
      </c>
      <c r="D47" s="297"/>
    </row>
    <row r="48" spans="1:4" x14ac:dyDescent="0.25">
      <c r="A48" s="347">
        <f t="shared" si="0"/>
        <v>46</v>
      </c>
      <c r="B48" s="348" t="s">
        <v>529</v>
      </c>
      <c r="C48" s="349">
        <v>250</v>
      </c>
      <c r="D48" s="297"/>
    </row>
    <row r="49" spans="1:4" x14ac:dyDescent="0.25">
      <c r="A49" s="347">
        <f t="shared" si="0"/>
        <v>47</v>
      </c>
      <c r="B49" s="348" t="s">
        <v>704</v>
      </c>
      <c r="C49" s="349">
        <v>100</v>
      </c>
      <c r="D49" s="297"/>
    </row>
    <row r="50" spans="1:4" x14ac:dyDescent="0.25">
      <c r="A50" s="347">
        <f t="shared" si="0"/>
        <v>48</v>
      </c>
      <c r="B50" s="348" t="s">
        <v>530</v>
      </c>
      <c r="C50" s="349">
        <v>1800</v>
      </c>
      <c r="D50" s="297"/>
    </row>
    <row r="51" spans="1:4" x14ac:dyDescent="0.25">
      <c r="A51" s="347">
        <f t="shared" si="0"/>
        <v>49</v>
      </c>
      <c r="B51" s="348" t="s">
        <v>531</v>
      </c>
      <c r="C51" s="349">
        <v>4500</v>
      </c>
      <c r="D51" s="297"/>
    </row>
    <row r="52" spans="1:4" x14ac:dyDescent="0.25">
      <c r="A52" s="347">
        <f t="shared" si="0"/>
        <v>50</v>
      </c>
      <c r="B52" s="348" t="s">
        <v>532</v>
      </c>
      <c r="C52" s="349">
        <v>60</v>
      </c>
      <c r="D52" s="297"/>
    </row>
    <row r="53" spans="1:4" x14ac:dyDescent="0.25">
      <c r="A53" s="347">
        <f t="shared" si="0"/>
        <v>51</v>
      </c>
      <c r="B53" s="348" t="s">
        <v>712</v>
      </c>
      <c r="C53" s="349">
        <v>200</v>
      </c>
      <c r="D53" s="297"/>
    </row>
    <row r="54" spans="1:4" x14ac:dyDescent="0.25">
      <c r="A54" s="347">
        <f t="shared" si="0"/>
        <v>52</v>
      </c>
      <c r="B54" s="354" t="s">
        <v>533</v>
      </c>
      <c r="C54" s="350">
        <v>200</v>
      </c>
      <c r="D54" s="297"/>
    </row>
    <row r="55" spans="1:4" x14ac:dyDescent="0.25">
      <c r="A55" s="347">
        <f t="shared" si="0"/>
        <v>53</v>
      </c>
      <c r="B55" s="353" t="s">
        <v>534</v>
      </c>
      <c r="C55" s="350">
        <v>775</v>
      </c>
      <c r="D55" s="297"/>
    </row>
    <row r="56" spans="1:4" x14ac:dyDescent="0.25">
      <c r="A56" s="347">
        <f t="shared" si="0"/>
        <v>54</v>
      </c>
      <c r="B56" s="348" t="s">
        <v>635</v>
      </c>
      <c r="C56" s="349">
        <v>3000</v>
      </c>
      <c r="D56" s="297"/>
    </row>
    <row r="57" spans="1:4" ht="25.5" x14ac:dyDescent="0.25">
      <c r="A57" s="347">
        <f t="shared" si="0"/>
        <v>55</v>
      </c>
      <c r="B57" s="348" t="s">
        <v>819</v>
      </c>
      <c r="C57" s="349">
        <v>3700</v>
      </c>
      <c r="D57" s="300" t="s">
        <v>820</v>
      </c>
    </row>
    <row r="58" spans="1:4" x14ac:dyDescent="0.25">
      <c r="A58" s="347">
        <f t="shared" si="0"/>
        <v>56</v>
      </c>
      <c r="B58" s="348" t="s">
        <v>535</v>
      </c>
      <c r="C58" s="349">
        <v>60</v>
      </c>
      <c r="D58" s="297"/>
    </row>
    <row r="59" spans="1:4" x14ac:dyDescent="0.25">
      <c r="A59" s="347">
        <f t="shared" si="0"/>
        <v>57</v>
      </c>
      <c r="B59" s="353" t="s">
        <v>536</v>
      </c>
      <c r="C59" s="350">
        <v>750</v>
      </c>
      <c r="D59" s="297"/>
    </row>
    <row r="60" spans="1:4" x14ac:dyDescent="0.25">
      <c r="A60" s="347">
        <f t="shared" si="0"/>
        <v>58</v>
      </c>
      <c r="B60" s="348" t="s">
        <v>537</v>
      </c>
      <c r="C60" s="349">
        <v>150</v>
      </c>
      <c r="D60" s="297"/>
    </row>
    <row r="61" spans="1:4" x14ac:dyDescent="0.25">
      <c r="A61" s="347">
        <f t="shared" si="0"/>
        <v>59</v>
      </c>
      <c r="B61" s="348" t="s">
        <v>538</v>
      </c>
      <c r="C61" s="349">
        <v>200</v>
      </c>
      <c r="D61" s="297"/>
    </row>
    <row r="62" spans="1:4" x14ac:dyDescent="0.25">
      <c r="A62" s="347">
        <f t="shared" si="0"/>
        <v>60</v>
      </c>
      <c r="B62" s="348" t="s">
        <v>821</v>
      </c>
      <c r="C62" s="349">
        <v>350</v>
      </c>
      <c r="D62" s="297"/>
    </row>
    <row r="63" spans="1:4" x14ac:dyDescent="0.25">
      <c r="A63" s="347">
        <f t="shared" si="0"/>
        <v>61</v>
      </c>
      <c r="B63" s="348" t="s">
        <v>822</v>
      </c>
      <c r="C63" s="349">
        <v>1500</v>
      </c>
      <c r="D63" s="297"/>
    </row>
    <row r="64" spans="1:4" x14ac:dyDescent="0.25">
      <c r="A64" s="347">
        <f t="shared" si="0"/>
        <v>62</v>
      </c>
      <c r="B64" s="348" t="s">
        <v>668</v>
      </c>
      <c r="C64" s="349">
        <v>350</v>
      </c>
      <c r="D64" s="297"/>
    </row>
    <row r="65" spans="1:4" x14ac:dyDescent="0.25">
      <c r="A65" s="347">
        <f t="shared" si="0"/>
        <v>63</v>
      </c>
      <c r="B65" s="348" t="s">
        <v>539</v>
      </c>
      <c r="C65" s="349">
        <v>200</v>
      </c>
      <c r="D65" s="297"/>
    </row>
    <row r="66" spans="1:4" x14ac:dyDescent="0.25">
      <c r="A66" s="347">
        <f t="shared" si="0"/>
        <v>64</v>
      </c>
      <c r="B66" s="348" t="s">
        <v>716</v>
      </c>
      <c r="C66" s="349">
        <v>250</v>
      </c>
      <c r="D66" s="297"/>
    </row>
    <row r="67" spans="1:4" x14ac:dyDescent="0.25">
      <c r="A67" s="347">
        <f t="shared" si="0"/>
        <v>65</v>
      </c>
      <c r="B67" s="348" t="s">
        <v>765</v>
      </c>
      <c r="C67" s="349">
        <v>600</v>
      </c>
      <c r="D67" s="297"/>
    </row>
    <row r="68" spans="1:4" x14ac:dyDescent="0.25">
      <c r="A68" s="347">
        <f t="shared" ref="A68:A131" si="1">IF(B68&lt;&gt;"", ROW()-2, "")</f>
        <v>66</v>
      </c>
      <c r="B68" s="348" t="s">
        <v>766</v>
      </c>
      <c r="C68" s="349">
        <v>550</v>
      </c>
      <c r="D68" s="297"/>
    </row>
    <row r="69" spans="1:4" x14ac:dyDescent="0.25">
      <c r="A69" s="347">
        <f t="shared" si="1"/>
        <v>67</v>
      </c>
      <c r="B69" s="348" t="s">
        <v>823</v>
      </c>
      <c r="C69" s="349">
        <v>1200</v>
      </c>
      <c r="D69" s="297"/>
    </row>
    <row r="70" spans="1:4" x14ac:dyDescent="0.25">
      <c r="A70" s="347">
        <f t="shared" si="1"/>
        <v>68</v>
      </c>
      <c r="B70" s="348" t="s">
        <v>784</v>
      </c>
      <c r="C70" s="349">
        <v>750</v>
      </c>
      <c r="D70" s="297"/>
    </row>
    <row r="71" spans="1:4" x14ac:dyDescent="0.25">
      <c r="A71" s="347">
        <f t="shared" si="1"/>
        <v>69</v>
      </c>
      <c r="B71" s="348" t="s">
        <v>785</v>
      </c>
      <c r="C71" s="349">
        <v>950</v>
      </c>
      <c r="D71" s="297"/>
    </row>
    <row r="72" spans="1:4" x14ac:dyDescent="0.25">
      <c r="A72" s="347">
        <f t="shared" si="1"/>
        <v>70</v>
      </c>
      <c r="B72" s="348" t="s">
        <v>767</v>
      </c>
      <c r="C72" s="349">
        <v>500</v>
      </c>
      <c r="D72" s="297"/>
    </row>
    <row r="73" spans="1:4" x14ac:dyDescent="0.25">
      <c r="A73" s="347">
        <f t="shared" si="1"/>
        <v>71</v>
      </c>
      <c r="B73" s="348" t="s">
        <v>768</v>
      </c>
      <c r="C73" s="349">
        <v>500</v>
      </c>
      <c r="D73" s="297"/>
    </row>
    <row r="74" spans="1:4" x14ac:dyDescent="0.25">
      <c r="A74" s="347">
        <f t="shared" si="1"/>
        <v>72</v>
      </c>
      <c r="B74" s="348" t="s">
        <v>769</v>
      </c>
      <c r="C74" s="349">
        <v>550</v>
      </c>
      <c r="D74" s="297"/>
    </row>
    <row r="75" spans="1:4" x14ac:dyDescent="0.25">
      <c r="A75" s="347">
        <f t="shared" si="1"/>
        <v>73</v>
      </c>
      <c r="B75" s="348" t="s">
        <v>770</v>
      </c>
      <c r="C75" s="349">
        <v>1000</v>
      </c>
      <c r="D75" s="297"/>
    </row>
    <row r="76" spans="1:4" x14ac:dyDescent="0.25">
      <c r="A76" s="347">
        <f t="shared" si="1"/>
        <v>74</v>
      </c>
      <c r="B76" s="353" t="s">
        <v>771</v>
      </c>
      <c r="C76" s="350">
        <v>800</v>
      </c>
      <c r="D76" s="297"/>
    </row>
    <row r="77" spans="1:4" x14ac:dyDescent="0.25">
      <c r="A77" s="347">
        <f t="shared" si="1"/>
        <v>75</v>
      </c>
      <c r="B77" s="348" t="s">
        <v>824</v>
      </c>
      <c r="C77" s="349">
        <v>900</v>
      </c>
      <c r="D77" s="297"/>
    </row>
    <row r="78" spans="1:4" x14ac:dyDescent="0.25">
      <c r="A78" s="347">
        <f t="shared" si="1"/>
        <v>76</v>
      </c>
      <c r="B78" s="348" t="s">
        <v>772</v>
      </c>
      <c r="C78" s="349">
        <v>900</v>
      </c>
      <c r="D78" s="297"/>
    </row>
    <row r="79" spans="1:4" x14ac:dyDescent="0.25">
      <c r="A79" s="347">
        <f t="shared" si="1"/>
        <v>77</v>
      </c>
      <c r="B79" s="348" t="s">
        <v>825</v>
      </c>
      <c r="C79" s="349">
        <v>650</v>
      </c>
      <c r="D79" s="297"/>
    </row>
    <row r="80" spans="1:4" x14ac:dyDescent="0.25">
      <c r="A80" s="347">
        <f t="shared" si="1"/>
        <v>78</v>
      </c>
      <c r="B80" s="348" t="s">
        <v>773</v>
      </c>
      <c r="C80" s="349">
        <v>800</v>
      </c>
      <c r="D80" s="297"/>
    </row>
    <row r="81" spans="1:4" x14ac:dyDescent="0.25">
      <c r="A81" s="347">
        <f t="shared" si="1"/>
        <v>79</v>
      </c>
      <c r="B81" s="353" t="s">
        <v>774</v>
      </c>
      <c r="C81" s="350">
        <v>900</v>
      </c>
      <c r="D81" s="297"/>
    </row>
    <row r="82" spans="1:4" x14ac:dyDescent="0.25">
      <c r="A82" s="347">
        <f t="shared" si="1"/>
        <v>80</v>
      </c>
      <c r="B82" s="348" t="s">
        <v>775</v>
      </c>
      <c r="C82" s="349">
        <v>100</v>
      </c>
      <c r="D82" s="297"/>
    </row>
    <row r="83" spans="1:4" x14ac:dyDescent="0.25">
      <c r="A83" s="347">
        <f t="shared" si="1"/>
        <v>81</v>
      </c>
      <c r="B83" s="348" t="s">
        <v>826</v>
      </c>
      <c r="C83" s="349">
        <v>900</v>
      </c>
      <c r="D83" s="297"/>
    </row>
    <row r="84" spans="1:4" x14ac:dyDescent="0.25">
      <c r="A84" s="347">
        <f t="shared" si="1"/>
        <v>82</v>
      </c>
      <c r="B84" s="348" t="s">
        <v>776</v>
      </c>
      <c r="C84" s="349">
        <v>300</v>
      </c>
      <c r="D84" s="297"/>
    </row>
    <row r="85" spans="1:4" x14ac:dyDescent="0.25">
      <c r="A85" s="347">
        <f t="shared" si="1"/>
        <v>83</v>
      </c>
      <c r="B85" s="348" t="s">
        <v>827</v>
      </c>
      <c r="C85" s="349">
        <v>350</v>
      </c>
      <c r="D85" s="297"/>
    </row>
    <row r="86" spans="1:4" x14ac:dyDescent="0.25">
      <c r="A86" s="347">
        <f t="shared" si="1"/>
        <v>84</v>
      </c>
      <c r="B86" s="348" t="s">
        <v>828</v>
      </c>
      <c r="C86" s="349">
        <v>850</v>
      </c>
      <c r="D86" s="297"/>
    </row>
    <row r="87" spans="1:4" x14ac:dyDescent="0.25">
      <c r="A87" s="347">
        <f t="shared" si="1"/>
        <v>85</v>
      </c>
      <c r="B87" s="348" t="s">
        <v>777</v>
      </c>
      <c r="C87" s="349">
        <v>400</v>
      </c>
      <c r="D87" s="297"/>
    </row>
    <row r="88" spans="1:4" x14ac:dyDescent="0.25">
      <c r="A88" s="347">
        <f t="shared" si="1"/>
        <v>86</v>
      </c>
      <c r="B88" s="348" t="s">
        <v>829</v>
      </c>
      <c r="C88" s="349">
        <v>800</v>
      </c>
      <c r="D88" s="297"/>
    </row>
    <row r="89" spans="1:4" x14ac:dyDescent="0.25">
      <c r="A89" s="347">
        <f t="shared" si="1"/>
        <v>87</v>
      </c>
      <c r="B89" s="348" t="s">
        <v>710</v>
      </c>
      <c r="C89" s="349">
        <v>1200</v>
      </c>
      <c r="D89" s="297"/>
    </row>
    <row r="90" spans="1:4" x14ac:dyDescent="0.25">
      <c r="A90" s="347">
        <f t="shared" si="1"/>
        <v>88</v>
      </c>
      <c r="B90" s="348" t="s">
        <v>778</v>
      </c>
      <c r="C90" s="349">
        <v>650</v>
      </c>
      <c r="D90" s="297"/>
    </row>
    <row r="91" spans="1:4" x14ac:dyDescent="0.25">
      <c r="A91" s="347">
        <f t="shared" si="1"/>
        <v>89</v>
      </c>
      <c r="B91" s="348" t="s">
        <v>779</v>
      </c>
      <c r="C91" s="349">
        <v>800</v>
      </c>
      <c r="D91" s="297"/>
    </row>
    <row r="92" spans="1:4" x14ac:dyDescent="0.25">
      <c r="A92" s="347">
        <f t="shared" si="1"/>
        <v>90</v>
      </c>
      <c r="B92" s="348" t="s">
        <v>780</v>
      </c>
      <c r="C92" s="349">
        <v>800</v>
      </c>
      <c r="D92" s="297"/>
    </row>
    <row r="93" spans="1:4" x14ac:dyDescent="0.25">
      <c r="A93" s="347">
        <f t="shared" si="1"/>
        <v>91</v>
      </c>
      <c r="B93" s="348" t="s">
        <v>781</v>
      </c>
      <c r="C93" s="349">
        <v>800</v>
      </c>
      <c r="D93" s="297"/>
    </row>
    <row r="94" spans="1:4" x14ac:dyDescent="0.25">
      <c r="A94" s="347">
        <f t="shared" si="1"/>
        <v>92</v>
      </c>
      <c r="B94" s="348" t="s">
        <v>782</v>
      </c>
      <c r="C94" s="349">
        <v>800</v>
      </c>
      <c r="D94" s="297"/>
    </row>
    <row r="95" spans="1:4" x14ac:dyDescent="0.25">
      <c r="A95" s="347">
        <f t="shared" si="1"/>
        <v>93</v>
      </c>
      <c r="B95" s="348" t="s">
        <v>801</v>
      </c>
      <c r="C95" s="349">
        <v>700</v>
      </c>
      <c r="D95" s="297"/>
    </row>
    <row r="96" spans="1:4" x14ac:dyDescent="0.25">
      <c r="A96" s="347">
        <f t="shared" si="1"/>
        <v>94</v>
      </c>
      <c r="B96" s="348" t="s">
        <v>830</v>
      </c>
      <c r="C96" s="349">
        <v>600</v>
      </c>
      <c r="D96" s="297"/>
    </row>
    <row r="97" spans="1:4" x14ac:dyDescent="0.25">
      <c r="A97" s="347">
        <f t="shared" si="1"/>
        <v>95</v>
      </c>
      <c r="B97" s="348" t="s">
        <v>831</v>
      </c>
      <c r="C97" s="349">
        <v>850</v>
      </c>
      <c r="D97" s="297"/>
    </row>
    <row r="98" spans="1:4" x14ac:dyDescent="0.25">
      <c r="A98" s="347">
        <f t="shared" si="1"/>
        <v>96</v>
      </c>
      <c r="B98" s="348" t="s">
        <v>783</v>
      </c>
      <c r="C98" s="349">
        <v>900</v>
      </c>
      <c r="D98" s="297"/>
    </row>
    <row r="99" spans="1:4" x14ac:dyDescent="0.25">
      <c r="A99" s="347">
        <f t="shared" si="1"/>
        <v>97</v>
      </c>
      <c r="B99" s="348" t="s">
        <v>540</v>
      </c>
      <c r="C99" s="349">
        <v>800</v>
      </c>
      <c r="D99" s="297"/>
    </row>
    <row r="100" spans="1:4" x14ac:dyDescent="0.25">
      <c r="A100" s="347">
        <f t="shared" si="1"/>
        <v>98</v>
      </c>
      <c r="B100" s="348" t="s">
        <v>923</v>
      </c>
      <c r="C100" s="349">
        <v>400</v>
      </c>
      <c r="D100" s="297"/>
    </row>
    <row r="101" spans="1:4" x14ac:dyDescent="0.25">
      <c r="A101" s="347">
        <f t="shared" si="1"/>
        <v>99</v>
      </c>
      <c r="B101" s="348" t="s">
        <v>832</v>
      </c>
      <c r="C101" s="349">
        <v>250</v>
      </c>
      <c r="D101" s="297"/>
    </row>
    <row r="102" spans="1:4" x14ac:dyDescent="0.25">
      <c r="A102" s="347">
        <f t="shared" si="1"/>
        <v>100</v>
      </c>
      <c r="B102" s="348" t="s">
        <v>833</v>
      </c>
      <c r="C102" s="349">
        <v>350</v>
      </c>
      <c r="D102" s="297"/>
    </row>
    <row r="103" spans="1:4" x14ac:dyDescent="0.25">
      <c r="A103" s="347">
        <f t="shared" si="1"/>
        <v>101</v>
      </c>
      <c r="B103" s="348" t="s">
        <v>541</v>
      </c>
      <c r="C103" s="349">
        <v>200</v>
      </c>
      <c r="D103" s="297"/>
    </row>
    <row r="104" spans="1:4" x14ac:dyDescent="0.25">
      <c r="A104" s="347">
        <f t="shared" si="1"/>
        <v>102</v>
      </c>
      <c r="B104" s="348" t="s">
        <v>672</v>
      </c>
      <c r="C104" s="349">
        <v>150</v>
      </c>
      <c r="D104" s="297"/>
    </row>
    <row r="105" spans="1:4" x14ac:dyDescent="0.25">
      <c r="A105" s="347">
        <f t="shared" si="1"/>
        <v>103</v>
      </c>
      <c r="B105" s="348" t="s">
        <v>972</v>
      </c>
      <c r="C105" s="349">
        <v>350</v>
      </c>
      <c r="D105" s="297"/>
    </row>
    <row r="106" spans="1:4" x14ac:dyDescent="0.25">
      <c r="A106" s="347">
        <f t="shared" si="1"/>
        <v>104</v>
      </c>
      <c r="B106" s="348" t="s">
        <v>542</v>
      </c>
      <c r="C106" s="349">
        <v>100</v>
      </c>
      <c r="D106" s="297"/>
    </row>
    <row r="107" spans="1:4" x14ac:dyDescent="0.25">
      <c r="A107" s="347">
        <f t="shared" si="1"/>
        <v>105</v>
      </c>
      <c r="B107" s="348" t="s">
        <v>543</v>
      </c>
      <c r="C107" s="349">
        <v>150</v>
      </c>
      <c r="D107" s="297"/>
    </row>
    <row r="108" spans="1:4" x14ac:dyDescent="0.25">
      <c r="A108" s="347">
        <f t="shared" si="1"/>
        <v>106</v>
      </c>
      <c r="B108" s="348" t="s">
        <v>450</v>
      </c>
      <c r="C108" s="349">
        <v>400</v>
      </c>
      <c r="D108" s="297"/>
    </row>
    <row r="109" spans="1:4" x14ac:dyDescent="0.25">
      <c r="A109" s="347">
        <f t="shared" si="1"/>
        <v>107</v>
      </c>
      <c r="B109" s="348" t="s">
        <v>660</v>
      </c>
      <c r="C109" s="349">
        <v>150</v>
      </c>
      <c r="D109" s="297"/>
    </row>
    <row r="110" spans="1:4" x14ac:dyDescent="0.25">
      <c r="A110" s="347">
        <f t="shared" si="1"/>
        <v>108</v>
      </c>
      <c r="B110" s="348" t="s">
        <v>544</v>
      </c>
      <c r="C110" s="349">
        <v>2500</v>
      </c>
      <c r="D110" s="297"/>
    </row>
    <row r="111" spans="1:4" x14ac:dyDescent="0.25">
      <c r="A111" s="347">
        <f t="shared" si="1"/>
        <v>109</v>
      </c>
      <c r="B111" s="348" t="s">
        <v>545</v>
      </c>
      <c r="C111" s="349">
        <v>350</v>
      </c>
      <c r="D111" s="297"/>
    </row>
    <row r="112" spans="1:4" x14ac:dyDescent="0.25">
      <c r="A112" s="347">
        <f t="shared" si="1"/>
        <v>110</v>
      </c>
      <c r="B112" s="348" t="s">
        <v>546</v>
      </c>
      <c r="C112" s="349">
        <v>250</v>
      </c>
      <c r="D112" s="297"/>
    </row>
    <row r="113" spans="1:4" x14ac:dyDescent="0.25">
      <c r="A113" s="347">
        <f t="shared" si="1"/>
        <v>111</v>
      </c>
      <c r="B113" s="353" t="s">
        <v>455</v>
      </c>
      <c r="C113" s="350">
        <v>400</v>
      </c>
      <c r="D113" s="297"/>
    </row>
    <row r="114" spans="1:4" x14ac:dyDescent="0.25">
      <c r="A114" s="347">
        <f t="shared" si="1"/>
        <v>112</v>
      </c>
      <c r="B114" s="348" t="s">
        <v>547</v>
      </c>
      <c r="C114" s="349">
        <v>400</v>
      </c>
      <c r="D114" s="297"/>
    </row>
    <row r="115" spans="1:4" x14ac:dyDescent="0.25">
      <c r="A115" s="347">
        <f t="shared" si="1"/>
        <v>113</v>
      </c>
      <c r="B115" s="348" t="s">
        <v>834</v>
      </c>
      <c r="C115" s="349">
        <v>300</v>
      </c>
      <c r="D115" s="297"/>
    </row>
    <row r="116" spans="1:4" x14ac:dyDescent="0.25">
      <c r="A116" s="347">
        <f t="shared" si="1"/>
        <v>114</v>
      </c>
      <c r="B116" s="348" t="s">
        <v>835</v>
      </c>
      <c r="C116" s="349">
        <v>1300</v>
      </c>
      <c r="D116" s="297"/>
    </row>
    <row r="117" spans="1:4" x14ac:dyDescent="0.25">
      <c r="A117" s="347">
        <f t="shared" si="1"/>
        <v>115</v>
      </c>
      <c r="B117" s="348" t="s">
        <v>500</v>
      </c>
      <c r="C117" s="349">
        <v>1250</v>
      </c>
      <c r="D117" s="297"/>
    </row>
    <row r="118" spans="1:4" x14ac:dyDescent="0.25">
      <c r="A118" s="347">
        <f t="shared" si="1"/>
        <v>116</v>
      </c>
      <c r="B118" s="348" t="s">
        <v>991</v>
      </c>
      <c r="C118" s="349">
        <v>400</v>
      </c>
      <c r="D118" s="297"/>
    </row>
    <row r="119" spans="1:4" x14ac:dyDescent="0.25">
      <c r="A119" s="347">
        <f t="shared" si="1"/>
        <v>117</v>
      </c>
      <c r="B119" s="348" t="s">
        <v>548</v>
      </c>
      <c r="C119" s="349">
        <v>400</v>
      </c>
      <c r="D119" s="297"/>
    </row>
    <row r="120" spans="1:4" x14ac:dyDescent="0.25">
      <c r="A120" s="347">
        <f t="shared" si="1"/>
        <v>118</v>
      </c>
      <c r="B120" s="348" t="s">
        <v>836</v>
      </c>
      <c r="C120" s="349">
        <v>350</v>
      </c>
      <c r="D120" s="297"/>
    </row>
    <row r="121" spans="1:4" x14ac:dyDescent="0.25">
      <c r="A121" s="347">
        <f t="shared" si="1"/>
        <v>119</v>
      </c>
      <c r="B121" s="348" t="s">
        <v>917</v>
      </c>
      <c r="C121" s="349">
        <v>2800</v>
      </c>
      <c r="D121" s="297"/>
    </row>
    <row r="122" spans="1:4" x14ac:dyDescent="0.25">
      <c r="A122" s="347">
        <f t="shared" si="1"/>
        <v>120</v>
      </c>
      <c r="B122" s="348" t="s">
        <v>918</v>
      </c>
      <c r="C122" s="350">
        <v>250</v>
      </c>
      <c r="D122" s="297"/>
    </row>
    <row r="123" spans="1:4" x14ac:dyDescent="0.25">
      <c r="A123" s="347">
        <f t="shared" si="1"/>
        <v>121</v>
      </c>
      <c r="B123" s="348" t="s">
        <v>549</v>
      </c>
      <c r="C123" s="349">
        <v>500</v>
      </c>
      <c r="D123" s="297"/>
    </row>
    <row r="124" spans="1:4" x14ac:dyDescent="0.25">
      <c r="A124" s="347">
        <f t="shared" si="1"/>
        <v>122</v>
      </c>
      <c r="B124" s="348" t="s">
        <v>837</v>
      </c>
      <c r="C124" s="349">
        <v>400</v>
      </c>
      <c r="D124" s="297"/>
    </row>
    <row r="125" spans="1:4" x14ac:dyDescent="0.25">
      <c r="A125" s="347">
        <f t="shared" si="1"/>
        <v>123</v>
      </c>
      <c r="B125" s="348" t="s">
        <v>550</v>
      </c>
      <c r="C125" s="349">
        <v>200</v>
      </c>
      <c r="D125" s="297"/>
    </row>
    <row r="126" spans="1:4" x14ac:dyDescent="0.25">
      <c r="A126" s="347">
        <f t="shared" si="1"/>
        <v>124</v>
      </c>
      <c r="B126" s="348" t="s">
        <v>663</v>
      </c>
      <c r="C126" s="349">
        <v>200</v>
      </c>
      <c r="D126" s="297"/>
    </row>
    <row r="127" spans="1:4" x14ac:dyDescent="0.25">
      <c r="A127" s="347">
        <f t="shared" si="1"/>
        <v>125</v>
      </c>
      <c r="B127" s="354" t="s">
        <v>1012</v>
      </c>
      <c r="C127" s="356">
        <v>1000</v>
      </c>
      <c r="D127" s="297"/>
    </row>
    <row r="128" spans="1:4" x14ac:dyDescent="0.25">
      <c r="A128" s="347">
        <f t="shared" si="1"/>
        <v>126</v>
      </c>
      <c r="B128" s="348" t="s">
        <v>732</v>
      </c>
      <c r="C128" s="349">
        <v>400</v>
      </c>
      <c r="D128" s="297"/>
    </row>
    <row r="129" spans="1:4" x14ac:dyDescent="0.25">
      <c r="A129" s="347">
        <f t="shared" si="1"/>
        <v>127</v>
      </c>
      <c r="B129" s="348" t="s">
        <v>838</v>
      </c>
      <c r="C129" s="349">
        <v>330</v>
      </c>
      <c r="D129" s="297"/>
    </row>
    <row r="130" spans="1:4" x14ac:dyDescent="0.25">
      <c r="A130" s="347">
        <f t="shared" si="1"/>
        <v>128</v>
      </c>
      <c r="B130" s="348" t="s">
        <v>551</v>
      </c>
      <c r="C130" s="349">
        <v>1550</v>
      </c>
      <c r="D130" s="297"/>
    </row>
    <row r="131" spans="1:4" x14ac:dyDescent="0.25">
      <c r="A131" s="347">
        <f t="shared" si="1"/>
        <v>129</v>
      </c>
      <c r="B131" s="348" t="s">
        <v>665</v>
      </c>
      <c r="C131" s="349">
        <v>350</v>
      </c>
      <c r="D131" s="297"/>
    </row>
    <row r="132" spans="1:4" x14ac:dyDescent="0.25">
      <c r="A132" s="347">
        <f t="shared" ref="A132:A195" si="2">IF(B132&lt;&gt;"", ROW()-2, "")</f>
        <v>130</v>
      </c>
      <c r="B132" s="348" t="s">
        <v>666</v>
      </c>
      <c r="C132" s="349">
        <v>350</v>
      </c>
      <c r="D132" s="297"/>
    </row>
    <row r="133" spans="1:4" x14ac:dyDescent="0.25">
      <c r="A133" s="347">
        <f t="shared" si="2"/>
        <v>131</v>
      </c>
      <c r="B133" s="348" t="s">
        <v>839</v>
      </c>
      <c r="C133" s="350">
        <v>450</v>
      </c>
      <c r="D133" s="297"/>
    </row>
    <row r="134" spans="1:4" x14ac:dyDescent="0.25">
      <c r="A134" s="347">
        <f t="shared" si="2"/>
        <v>132</v>
      </c>
      <c r="B134" s="348" t="s">
        <v>664</v>
      </c>
      <c r="C134" s="349">
        <v>400</v>
      </c>
      <c r="D134" s="297"/>
    </row>
    <row r="135" spans="1:4" x14ac:dyDescent="0.25">
      <c r="A135" s="347">
        <f t="shared" si="2"/>
        <v>133</v>
      </c>
      <c r="B135" s="354" t="s">
        <v>552</v>
      </c>
      <c r="C135" s="356">
        <v>150</v>
      </c>
      <c r="D135" s="297"/>
    </row>
    <row r="136" spans="1:4" x14ac:dyDescent="0.25">
      <c r="A136" s="347">
        <f t="shared" si="2"/>
        <v>134</v>
      </c>
      <c r="B136" s="348" t="s">
        <v>840</v>
      </c>
      <c r="C136" s="349">
        <v>450</v>
      </c>
      <c r="D136" s="297"/>
    </row>
    <row r="137" spans="1:4" x14ac:dyDescent="0.25">
      <c r="A137" s="347">
        <f t="shared" si="2"/>
        <v>135</v>
      </c>
      <c r="B137" s="348" t="s">
        <v>553</v>
      </c>
      <c r="C137" s="349">
        <v>2800</v>
      </c>
      <c r="D137" s="297"/>
    </row>
    <row r="138" spans="1:4" x14ac:dyDescent="0.25">
      <c r="A138" s="347">
        <f t="shared" si="2"/>
        <v>136</v>
      </c>
      <c r="B138" s="348" t="s">
        <v>636</v>
      </c>
      <c r="C138" s="349">
        <v>250</v>
      </c>
      <c r="D138" s="297"/>
    </row>
    <row r="139" spans="1:4" x14ac:dyDescent="0.25">
      <c r="A139" s="347">
        <f t="shared" si="2"/>
        <v>137</v>
      </c>
      <c r="B139" s="348" t="s">
        <v>554</v>
      </c>
      <c r="C139" s="349">
        <v>450</v>
      </c>
      <c r="D139" s="297"/>
    </row>
    <row r="140" spans="1:4" x14ac:dyDescent="0.25">
      <c r="A140" s="347">
        <f t="shared" si="2"/>
        <v>138</v>
      </c>
      <c r="B140" s="348" t="s">
        <v>992</v>
      </c>
      <c r="C140" s="349">
        <v>600</v>
      </c>
      <c r="D140" s="297"/>
    </row>
    <row r="141" spans="1:4" x14ac:dyDescent="0.25">
      <c r="A141" s="347">
        <f t="shared" si="2"/>
        <v>139</v>
      </c>
      <c r="B141" s="348" t="s">
        <v>555</v>
      </c>
      <c r="C141" s="349">
        <v>200</v>
      </c>
      <c r="D141" s="297"/>
    </row>
    <row r="142" spans="1:4" x14ac:dyDescent="0.25">
      <c r="A142" s="347">
        <f t="shared" si="2"/>
        <v>140</v>
      </c>
      <c r="B142" s="348" t="s">
        <v>556</v>
      </c>
      <c r="C142" s="349">
        <v>750</v>
      </c>
      <c r="D142" s="297"/>
    </row>
    <row r="143" spans="1:4" x14ac:dyDescent="0.25">
      <c r="A143" s="347">
        <f t="shared" si="2"/>
        <v>141</v>
      </c>
      <c r="B143" s="348" t="s">
        <v>557</v>
      </c>
      <c r="C143" s="349">
        <v>750</v>
      </c>
      <c r="D143" s="297"/>
    </row>
    <row r="144" spans="1:4" x14ac:dyDescent="0.25">
      <c r="A144" s="347">
        <f t="shared" si="2"/>
        <v>142</v>
      </c>
      <c r="B144" s="348" t="s">
        <v>841</v>
      </c>
      <c r="C144" s="349">
        <v>350</v>
      </c>
      <c r="D144" s="297"/>
    </row>
    <row r="145" spans="1:4" x14ac:dyDescent="0.25">
      <c r="A145" s="347">
        <f t="shared" si="2"/>
        <v>143</v>
      </c>
      <c r="B145" s="348" t="s">
        <v>842</v>
      </c>
      <c r="C145" s="349">
        <v>1300</v>
      </c>
      <c r="D145" s="297"/>
    </row>
    <row r="146" spans="1:4" x14ac:dyDescent="0.25">
      <c r="A146" s="347">
        <f t="shared" si="2"/>
        <v>144</v>
      </c>
      <c r="B146" s="348" t="s">
        <v>558</v>
      </c>
      <c r="C146" s="349">
        <v>150</v>
      </c>
      <c r="D146" s="297"/>
    </row>
    <row r="147" spans="1:4" x14ac:dyDescent="0.25">
      <c r="A147" s="347">
        <f t="shared" si="2"/>
        <v>145</v>
      </c>
      <c r="B147" s="348" t="s">
        <v>559</v>
      </c>
      <c r="C147" s="349">
        <v>999</v>
      </c>
      <c r="D147" s="297"/>
    </row>
    <row r="148" spans="1:4" x14ac:dyDescent="0.25">
      <c r="A148" s="347">
        <f t="shared" si="2"/>
        <v>146</v>
      </c>
      <c r="B148" s="353" t="s">
        <v>560</v>
      </c>
      <c r="C148" s="350">
        <v>300</v>
      </c>
      <c r="D148" s="297"/>
    </row>
    <row r="149" spans="1:4" x14ac:dyDescent="0.25">
      <c r="A149" s="347">
        <f t="shared" si="2"/>
        <v>147</v>
      </c>
      <c r="B149" s="348" t="s">
        <v>642</v>
      </c>
      <c r="C149" s="349">
        <v>2000</v>
      </c>
      <c r="D149" s="297"/>
    </row>
    <row r="150" spans="1:4" x14ac:dyDescent="0.25">
      <c r="A150" s="347">
        <f t="shared" si="2"/>
        <v>148</v>
      </c>
      <c r="B150" s="348" t="s">
        <v>637</v>
      </c>
      <c r="C150" s="349">
        <v>1000</v>
      </c>
      <c r="D150" s="297"/>
    </row>
    <row r="151" spans="1:4" x14ac:dyDescent="0.25">
      <c r="A151" s="347">
        <f t="shared" si="2"/>
        <v>149</v>
      </c>
      <c r="B151" s="348" t="s">
        <v>843</v>
      </c>
      <c r="C151" s="349">
        <v>250</v>
      </c>
      <c r="D151" s="297"/>
    </row>
    <row r="152" spans="1:4" x14ac:dyDescent="0.25">
      <c r="A152" s="347">
        <f t="shared" si="2"/>
        <v>150</v>
      </c>
      <c r="B152" s="348" t="s">
        <v>924</v>
      </c>
      <c r="C152" s="349">
        <v>350</v>
      </c>
      <c r="D152" s="297"/>
    </row>
    <row r="153" spans="1:4" x14ac:dyDescent="0.25">
      <c r="A153" s="347">
        <f t="shared" si="2"/>
        <v>151</v>
      </c>
      <c r="B153" s="348" t="s">
        <v>844</v>
      </c>
      <c r="C153" s="349">
        <v>900</v>
      </c>
      <c r="D153" s="297"/>
    </row>
    <row r="154" spans="1:4" x14ac:dyDescent="0.25">
      <c r="A154" s="347">
        <f t="shared" si="2"/>
        <v>152</v>
      </c>
      <c r="B154" s="348" t="s">
        <v>845</v>
      </c>
      <c r="C154" s="349">
        <v>1250</v>
      </c>
      <c r="D154" s="297"/>
    </row>
    <row r="155" spans="1:4" x14ac:dyDescent="0.25">
      <c r="A155" s="347">
        <f t="shared" si="2"/>
        <v>153</v>
      </c>
      <c r="B155" s="348" t="s">
        <v>846</v>
      </c>
      <c r="C155" s="349">
        <v>1250</v>
      </c>
      <c r="D155" s="297"/>
    </row>
    <row r="156" spans="1:4" x14ac:dyDescent="0.25">
      <c r="A156" s="347">
        <f t="shared" si="2"/>
        <v>154</v>
      </c>
      <c r="B156" s="348" t="s">
        <v>638</v>
      </c>
      <c r="C156" s="349">
        <v>850</v>
      </c>
      <c r="D156" s="297"/>
    </row>
    <row r="157" spans="1:4" x14ac:dyDescent="0.25">
      <c r="A157" s="347">
        <f t="shared" si="2"/>
        <v>155</v>
      </c>
      <c r="B157" s="348" t="s">
        <v>561</v>
      </c>
      <c r="C157" s="349">
        <v>850</v>
      </c>
      <c r="D157" s="297"/>
    </row>
    <row r="158" spans="1:4" x14ac:dyDescent="0.25">
      <c r="A158" s="347">
        <f t="shared" si="2"/>
        <v>156</v>
      </c>
      <c r="B158" s="353" t="s">
        <v>503</v>
      </c>
      <c r="C158" s="350">
        <v>1200</v>
      </c>
      <c r="D158" s="297"/>
    </row>
    <row r="159" spans="1:4" x14ac:dyDescent="0.25">
      <c r="A159" s="347">
        <f t="shared" si="2"/>
        <v>157</v>
      </c>
      <c r="B159" s="348" t="s">
        <v>847</v>
      </c>
      <c r="C159" s="349">
        <v>470</v>
      </c>
      <c r="D159" s="297"/>
    </row>
    <row r="160" spans="1:4" x14ac:dyDescent="0.25">
      <c r="A160" s="347">
        <f t="shared" si="2"/>
        <v>158</v>
      </c>
      <c r="B160" s="348" t="s">
        <v>793</v>
      </c>
      <c r="C160" s="349">
        <v>800</v>
      </c>
      <c r="D160" s="297"/>
    </row>
    <row r="161" spans="1:4" x14ac:dyDescent="0.25">
      <c r="A161" s="347">
        <f t="shared" si="2"/>
        <v>159</v>
      </c>
      <c r="B161" s="348" t="s">
        <v>848</v>
      </c>
      <c r="C161" s="349">
        <v>200</v>
      </c>
      <c r="D161" s="297"/>
    </row>
    <row r="162" spans="1:4" x14ac:dyDescent="0.25">
      <c r="A162" s="347">
        <f t="shared" si="2"/>
        <v>160</v>
      </c>
      <c r="B162" s="348" t="s">
        <v>719</v>
      </c>
      <c r="C162" s="352">
        <v>400</v>
      </c>
      <c r="D162" s="297"/>
    </row>
    <row r="163" spans="1:4" x14ac:dyDescent="0.25">
      <c r="A163" s="347">
        <f t="shared" si="2"/>
        <v>161</v>
      </c>
      <c r="B163" s="348" t="s">
        <v>919</v>
      </c>
      <c r="C163" s="349">
        <v>390</v>
      </c>
      <c r="D163" s="297"/>
    </row>
    <row r="164" spans="1:4" x14ac:dyDescent="0.25">
      <c r="A164" s="347">
        <f t="shared" si="2"/>
        <v>162</v>
      </c>
      <c r="B164" s="348" t="s">
        <v>644</v>
      </c>
      <c r="C164" s="349">
        <v>999</v>
      </c>
      <c r="D164" s="297"/>
    </row>
    <row r="165" spans="1:4" x14ac:dyDescent="0.25">
      <c r="A165" s="347">
        <f t="shared" si="2"/>
        <v>163</v>
      </c>
      <c r="B165" s="348" t="s">
        <v>562</v>
      </c>
      <c r="C165" s="349">
        <v>300</v>
      </c>
      <c r="D165" s="297"/>
    </row>
    <row r="166" spans="1:4" x14ac:dyDescent="0.25">
      <c r="A166" s="347">
        <f t="shared" si="2"/>
        <v>164</v>
      </c>
      <c r="B166" s="348" t="s">
        <v>563</v>
      </c>
      <c r="C166" s="349">
        <v>1200</v>
      </c>
      <c r="D166" s="297"/>
    </row>
    <row r="167" spans="1:4" x14ac:dyDescent="0.25">
      <c r="A167" s="347">
        <f t="shared" si="2"/>
        <v>165</v>
      </c>
      <c r="B167" s="348" t="s">
        <v>564</v>
      </c>
      <c r="C167" s="349">
        <v>1800</v>
      </c>
      <c r="D167" s="297"/>
    </row>
    <row r="168" spans="1:4" x14ac:dyDescent="0.25">
      <c r="A168" s="347">
        <f t="shared" si="2"/>
        <v>166</v>
      </c>
      <c r="B168" s="348" t="s">
        <v>736</v>
      </c>
      <c r="C168" s="349">
        <v>370</v>
      </c>
      <c r="D168" s="297"/>
    </row>
    <row r="169" spans="1:4" x14ac:dyDescent="0.25">
      <c r="A169" s="347">
        <f t="shared" si="2"/>
        <v>167</v>
      </c>
      <c r="B169" s="353" t="s">
        <v>565</v>
      </c>
      <c r="C169" s="350">
        <v>400</v>
      </c>
      <c r="D169" s="297"/>
    </row>
    <row r="170" spans="1:4" x14ac:dyDescent="0.25">
      <c r="A170" s="347">
        <f t="shared" si="2"/>
        <v>168</v>
      </c>
      <c r="B170" s="354" t="s">
        <v>566</v>
      </c>
      <c r="C170" s="350">
        <v>250</v>
      </c>
      <c r="D170" s="297"/>
    </row>
    <row r="171" spans="1:4" x14ac:dyDescent="0.25">
      <c r="A171" s="347">
        <f t="shared" si="2"/>
        <v>169</v>
      </c>
      <c r="B171" s="348" t="s">
        <v>849</v>
      </c>
      <c r="C171" s="349">
        <v>1500</v>
      </c>
      <c r="D171" s="297"/>
    </row>
    <row r="172" spans="1:4" x14ac:dyDescent="0.25">
      <c r="A172" s="347">
        <f t="shared" si="2"/>
        <v>170</v>
      </c>
      <c r="B172" s="348" t="s">
        <v>667</v>
      </c>
      <c r="C172" s="349">
        <v>2000</v>
      </c>
      <c r="D172" s="297"/>
    </row>
    <row r="173" spans="1:4" x14ac:dyDescent="0.25">
      <c r="A173" s="347">
        <f t="shared" si="2"/>
        <v>171</v>
      </c>
      <c r="B173" s="348" t="s">
        <v>504</v>
      </c>
      <c r="C173" s="349">
        <v>130</v>
      </c>
      <c r="D173" s="297"/>
    </row>
    <row r="174" spans="1:4" x14ac:dyDescent="0.25">
      <c r="A174" s="347">
        <f t="shared" si="2"/>
        <v>172</v>
      </c>
      <c r="B174" s="348" t="s">
        <v>567</v>
      </c>
      <c r="C174" s="349">
        <v>1100</v>
      </c>
      <c r="D174" s="297"/>
    </row>
    <row r="175" spans="1:4" x14ac:dyDescent="0.25">
      <c r="A175" s="347">
        <f t="shared" si="2"/>
        <v>173</v>
      </c>
      <c r="B175" s="348" t="s">
        <v>850</v>
      </c>
      <c r="C175" s="349">
        <v>2000</v>
      </c>
      <c r="D175" s="297"/>
    </row>
    <row r="176" spans="1:4" x14ac:dyDescent="0.25">
      <c r="A176" s="347">
        <f t="shared" si="2"/>
        <v>174</v>
      </c>
      <c r="B176" s="348" t="s">
        <v>447</v>
      </c>
      <c r="C176" s="349">
        <v>400</v>
      </c>
      <c r="D176" s="297"/>
    </row>
    <row r="177" spans="1:8" x14ac:dyDescent="0.25">
      <c r="A177" s="347">
        <f t="shared" si="2"/>
        <v>175</v>
      </c>
      <c r="B177" s="348" t="s">
        <v>851</v>
      </c>
      <c r="C177" s="349">
        <v>1000</v>
      </c>
      <c r="D177" s="297"/>
    </row>
    <row r="178" spans="1:8" x14ac:dyDescent="0.25">
      <c r="A178" s="347">
        <f t="shared" si="2"/>
        <v>176</v>
      </c>
      <c r="B178" s="348" t="s">
        <v>568</v>
      </c>
      <c r="C178" s="349">
        <v>3400</v>
      </c>
      <c r="D178" s="297"/>
    </row>
    <row r="179" spans="1:8" x14ac:dyDescent="0.25">
      <c r="A179" s="347">
        <f t="shared" si="2"/>
        <v>177</v>
      </c>
      <c r="B179" s="348" t="s">
        <v>807</v>
      </c>
      <c r="C179" s="349">
        <v>600</v>
      </c>
      <c r="D179" s="297"/>
      <c r="H179" s="301"/>
    </row>
    <row r="180" spans="1:8" x14ac:dyDescent="0.25">
      <c r="A180" s="347">
        <f t="shared" si="2"/>
        <v>178</v>
      </c>
      <c r="B180" s="348" t="s">
        <v>569</v>
      </c>
      <c r="C180" s="349">
        <v>450</v>
      </c>
      <c r="D180" s="297"/>
    </row>
    <row r="181" spans="1:8" x14ac:dyDescent="0.25">
      <c r="A181" s="347">
        <f t="shared" si="2"/>
        <v>179</v>
      </c>
      <c r="B181" s="348" t="s">
        <v>570</v>
      </c>
      <c r="C181" s="349">
        <v>150</v>
      </c>
      <c r="D181" s="297"/>
    </row>
    <row r="182" spans="1:8" x14ac:dyDescent="0.25">
      <c r="A182" s="347">
        <f t="shared" si="2"/>
        <v>180</v>
      </c>
      <c r="B182" s="348" t="s">
        <v>657</v>
      </c>
      <c r="C182" s="349">
        <v>1500</v>
      </c>
      <c r="D182" s="297"/>
    </row>
    <row r="183" spans="1:8" x14ac:dyDescent="0.25">
      <c r="A183" s="347">
        <f t="shared" si="2"/>
        <v>181</v>
      </c>
      <c r="B183" s="348" t="s">
        <v>656</v>
      </c>
      <c r="C183" s="349">
        <v>750</v>
      </c>
      <c r="D183" s="297"/>
    </row>
    <row r="184" spans="1:8" x14ac:dyDescent="0.25">
      <c r="A184" s="347">
        <f t="shared" si="2"/>
        <v>182</v>
      </c>
      <c r="B184" s="348" t="s">
        <v>852</v>
      </c>
      <c r="C184" s="349">
        <v>850</v>
      </c>
      <c r="D184" s="297"/>
    </row>
    <row r="185" spans="1:8" x14ac:dyDescent="0.25">
      <c r="A185" s="347">
        <f t="shared" si="2"/>
        <v>183</v>
      </c>
      <c r="B185" s="348" t="s">
        <v>853</v>
      </c>
      <c r="C185" s="349">
        <v>575</v>
      </c>
      <c r="D185" s="297"/>
    </row>
    <row r="186" spans="1:8" x14ac:dyDescent="0.25">
      <c r="A186" s="347">
        <f t="shared" si="2"/>
        <v>184</v>
      </c>
      <c r="B186" s="348" t="s">
        <v>854</v>
      </c>
      <c r="C186" s="349">
        <v>1100</v>
      </c>
      <c r="D186" s="297"/>
    </row>
    <row r="187" spans="1:8" x14ac:dyDescent="0.25">
      <c r="A187" s="347">
        <f t="shared" si="2"/>
        <v>185</v>
      </c>
      <c r="B187" s="348" t="s">
        <v>855</v>
      </c>
      <c r="C187" s="349">
        <v>600</v>
      </c>
      <c r="D187" s="297"/>
    </row>
    <row r="188" spans="1:8" x14ac:dyDescent="0.25">
      <c r="A188" s="347">
        <f t="shared" si="2"/>
        <v>186</v>
      </c>
      <c r="B188" s="348" t="s">
        <v>571</v>
      </c>
      <c r="C188" s="349">
        <v>500</v>
      </c>
      <c r="D188" s="297"/>
    </row>
    <row r="189" spans="1:8" x14ac:dyDescent="0.25">
      <c r="A189" s="347">
        <f t="shared" si="2"/>
        <v>187</v>
      </c>
      <c r="B189" s="348" t="s">
        <v>799</v>
      </c>
      <c r="C189" s="349">
        <v>1700</v>
      </c>
      <c r="D189" s="297"/>
    </row>
    <row r="190" spans="1:8" x14ac:dyDescent="0.25">
      <c r="A190" s="347">
        <f t="shared" si="2"/>
        <v>188</v>
      </c>
      <c r="B190" s="348" t="s">
        <v>856</v>
      </c>
      <c r="C190" s="349">
        <v>999</v>
      </c>
      <c r="D190" s="297"/>
    </row>
    <row r="191" spans="1:8" x14ac:dyDescent="0.25">
      <c r="A191" s="347">
        <f t="shared" si="2"/>
        <v>189</v>
      </c>
      <c r="B191" s="348" t="s">
        <v>572</v>
      </c>
      <c r="C191" s="349">
        <v>700</v>
      </c>
      <c r="D191" s="297"/>
    </row>
    <row r="192" spans="1:8" x14ac:dyDescent="0.25">
      <c r="A192" s="347">
        <f t="shared" si="2"/>
        <v>190</v>
      </c>
      <c r="B192" s="348" t="s">
        <v>806</v>
      </c>
      <c r="C192" s="349">
        <v>600</v>
      </c>
      <c r="D192" s="297"/>
    </row>
    <row r="193" spans="1:17" x14ac:dyDescent="0.25">
      <c r="A193" s="347">
        <f t="shared" si="2"/>
        <v>191</v>
      </c>
      <c r="B193" s="348" t="s">
        <v>857</v>
      </c>
      <c r="C193" s="349">
        <v>200</v>
      </c>
      <c r="D193" s="297"/>
    </row>
    <row r="194" spans="1:17" x14ac:dyDescent="0.25">
      <c r="A194" s="347">
        <f t="shared" si="2"/>
        <v>192</v>
      </c>
      <c r="B194" s="348" t="s">
        <v>858</v>
      </c>
      <c r="C194" s="349">
        <v>500</v>
      </c>
      <c r="D194" s="297"/>
    </row>
    <row r="195" spans="1:17" x14ac:dyDescent="0.25">
      <c r="A195" s="347">
        <f t="shared" si="2"/>
        <v>193</v>
      </c>
      <c r="B195" s="348" t="s">
        <v>859</v>
      </c>
      <c r="C195" s="349">
        <v>500</v>
      </c>
      <c r="D195" s="297"/>
    </row>
    <row r="196" spans="1:17" x14ac:dyDescent="0.25">
      <c r="A196" s="347">
        <f t="shared" ref="A196:A259" si="3">IF(B196&lt;&gt;"", ROW()-2, "")</f>
        <v>194</v>
      </c>
      <c r="B196" s="351" t="s">
        <v>724</v>
      </c>
      <c r="C196" s="352">
        <v>400</v>
      </c>
      <c r="D196" s="297"/>
    </row>
    <row r="197" spans="1:17" x14ac:dyDescent="0.25">
      <c r="A197" s="347">
        <f t="shared" si="3"/>
        <v>195</v>
      </c>
      <c r="B197" s="348" t="s">
        <v>860</v>
      </c>
      <c r="C197" s="349">
        <v>300</v>
      </c>
      <c r="D197" s="297"/>
    </row>
    <row r="198" spans="1:17" x14ac:dyDescent="0.25">
      <c r="A198" s="347">
        <f t="shared" si="3"/>
        <v>196</v>
      </c>
      <c r="B198" s="351" t="s">
        <v>740</v>
      </c>
      <c r="C198" s="352">
        <v>1800</v>
      </c>
      <c r="D198" s="297"/>
    </row>
    <row r="199" spans="1:17" x14ac:dyDescent="0.25">
      <c r="A199" s="347">
        <f t="shared" si="3"/>
        <v>197</v>
      </c>
      <c r="B199" s="348" t="s">
        <v>861</v>
      </c>
      <c r="C199" s="349">
        <v>800</v>
      </c>
      <c r="D199" s="297"/>
    </row>
    <row r="200" spans="1:17" x14ac:dyDescent="0.25">
      <c r="A200" s="347">
        <f t="shared" si="3"/>
        <v>198</v>
      </c>
      <c r="B200" s="348" t="s">
        <v>573</v>
      </c>
      <c r="C200" s="349">
        <v>3000</v>
      </c>
      <c r="D200" s="297"/>
    </row>
    <row r="201" spans="1:17" x14ac:dyDescent="0.25">
      <c r="A201" s="347">
        <f t="shared" si="3"/>
        <v>199</v>
      </c>
      <c r="B201" s="348" t="s">
        <v>862</v>
      </c>
      <c r="C201" s="349">
        <v>1500</v>
      </c>
      <c r="D201" s="297"/>
    </row>
    <row r="202" spans="1:17" x14ac:dyDescent="0.25">
      <c r="A202" s="347">
        <f t="shared" si="3"/>
        <v>200</v>
      </c>
      <c r="B202" s="348" t="s">
        <v>574</v>
      </c>
      <c r="C202" s="349">
        <v>300</v>
      </c>
      <c r="D202" s="297"/>
      <c r="Q202" s="232" t="s">
        <v>863</v>
      </c>
    </row>
    <row r="203" spans="1:17" x14ac:dyDescent="0.25">
      <c r="A203" s="347">
        <f t="shared" si="3"/>
        <v>201</v>
      </c>
      <c r="B203" s="351" t="s">
        <v>662</v>
      </c>
      <c r="C203" s="352">
        <v>1600</v>
      </c>
      <c r="D203" s="297"/>
    </row>
    <row r="204" spans="1:17" x14ac:dyDescent="0.25">
      <c r="A204" s="347">
        <f t="shared" si="3"/>
        <v>202</v>
      </c>
      <c r="B204" s="348" t="s">
        <v>653</v>
      </c>
      <c r="C204" s="349">
        <v>350</v>
      </c>
      <c r="D204" s="297"/>
    </row>
    <row r="205" spans="1:17" x14ac:dyDescent="0.25">
      <c r="A205" s="347">
        <f t="shared" si="3"/>
        <v>203</v>
      </c>
      <c r="B205" s="351" t="s">
        <v>864</v>
      </c>
      <c r="C205" s="352">
        <v>100</v>
      </c>
      <c r="D205" s="297"/>
    </row>
    <row r="206" spans="1:17" x14ac:dyDescent="0.25">
      <c r="A206" s="347">
        <f t="shared" si="3"/>
        <v>204</v>
      </c>
      <c r="B206" s="348" t="s">
        <v>926</v>
      </c>
      <c r="C206" s="352">
        <v>220</v>
      </c>
      <c r="D206" s="297"/>
    </row>
    <row r="207" spans="1:17" x14ac:dyDescent="0.25">
      <c r="A207" s="347">
        <f t="shared" si="3"/>
        <v>205</v>
      </c>
      <c r="B207" s="348" t="s">
        <v>791</v>
      </c>
      <c r="C207" s="352">
        <v>120</v>
      </c>
      <c r="D207" s="297"/>
    </row>
    <row r="208" spans="1:17" x14ac:dyDescent="0.25">
      <c r="A208" s="347">
        <f t="shared" si="3"/>
        <v>206</v>
      </c>
      <c r="B208" s="348" t="s">
        <v>927</v>
      </c>
      <c r="C208" s="352">
        <v>330</v>
      </c>
      <c r="D208" s="297"/>
    </row>
    <row r="209" spans="1:4" x14ac:dyDescent="0.25">
      <c r="A209" s="347">
        <f t="shared" si="3"/>
        <v>207</v>
      </c>
      <c r="B209" s="348" t="s">
        <v>575</v>
      </c>
      <c r="C209" s="349">
        <v>2000</v>
      </c>
      <c r="D209" s="297"/>
    </row>
    <row r="210" spans="1:4" x14ac:dyDescent="0.25">
      <c r="A210" s="347">
        <f t="shared" si="3"/>
        <v>208</v>
      </c>
      <c r="B210" s="348" t="s">
        <v>576</v>
      </c>
      <c r="C210" s="349">
        <v>1000</v>
      </c>
      <c r="D210" s="297"/>
    </row>
    <row r="211" spans="1:4" x14ac:dyDescent="0.25">
      <c r="A211" s="347">
        <f t="shared" si="3"/>
        <v>209</v>
      </c>
      <c r="B211" s="348" t="s">
        <v>577</v>
      </c>
      <c r="C211" s="349">
        <v>400</v>
      </c>
      <c r="D211" s="297"/>
    </row>
    <row r="212" spans="1:4" x14ac:dyDescent="0.25">
      <c r="A212" s="347">
        <f t="shared" si="3"/>
        <v>210</v>
      </c>
      <c r="B212" s="348" t="s">
        <v>670</v>
      </c>
      <c r="C212" s="349">
        <v>800</v>
      </c>
      <c r="D212" s="297"/>
    </row>
    <row r="213" spans="1:4" x14ac:dyDescent="0.25">
      <c r="A213" s="347">
        <f t="shared" si="3"/>
        <v>211</v>
      </c>
      <c r="B213" s="348" t="s">
        <v>865</v>
      </c>
      <c r="C213" s="349">
        <v>250</v>
      </c>
      <c r="D213" s="297"/>
    </row>
    <row r="214" spans="1:4" x14ac:dyDescent="0.25">
      <c r="A214" s="347">
        <f t="shared" si="3"/>
        <v>212</v>
      </c>
      <c r="B214" s="354" t="s">
        <v>578</v>
      </c>
      <c r="C214" s="356">
        <v>150</v>
      </c>
      <c r="D214" s="297"/>
    </row>
    <row r="215" spans="1:4" x14ac:dyDescent="0.25">
      <c r="A215" s="347">
        <f t="shared" si="3"/>
        <v>213</v>
      </c>
      <c r="B215" s="348" t="s">
        <v>579</v>
      </c>
      <c r="C215" s="349">
        <v>1500</v>
      </c>
      <c r="D215" s="297"/>
    </row>
    <row r="216" spans="1:4" x14ac:dyDescent="0.25">
      <c r="A216" s="347">
        <f t="shared" si="3"/>
        <v>214</v>
      </c>
      <c r="B216" s="348" t="s">
        <v>866</v>
      </c>
      <c r="C216" s="349">
        <v>500</v>
      </c>
      <c r="D216" s="297"/>
    </row>
    <row r="217" spans="1:4" x14ac:dyDescent="0.25">
      <c r="A217" s="347">
        <f t="shared" si="3"/>
        <v>215</v>
      </c>
      <c r="B217" s="348" t="s">
        <v>867</v>
      </c>
      <c r="C217" s="349">
        <v>100</v>
      </c>
      <c r="D217" s="297"/>
    </row>
    <row r="218" spans="1:4" x14ac:dyDescent="0.25">
      <c r="A218" s="347">
        <f t="shared" si="3"/>
        <v>216</v>
      </c>
      <c r="B218" s="348" t="s">
        <v>580</v>
      </c>
      <c r="C218" s="349">
        <v>2800</v>
      </c>
      <c r="D218" s="297"/>
    </row>
    <row r="219" spans="1:4" x14ac:dyDescent="0.25">
      <c r="A219" s="347">
        <f t="shared" si="3"/>
        <v>217</v>
      </c>
      <c r="B219" s="348" t="s">
        <v>581</v>
      </c>
      <c r="C219" s="349">
        <v>400</v>
      </c>
      <c r="D219" s="297"/>
    </row>
    <row r="220" spans="1:4" x14ac:dyDescent="0.25">
      <c r="A220" s="347">
        <f t="shared" si="3"/>
        <v>218</v>
      </c>
      <c r="B220" s="351" t="s">
        <v>728</v>
      </c>
      <c r="C220" s="352">
        <v>900</v>
      </c>
      <c r="D220" s="297"/>
    </row>
    <row r="221" spans="1:4" x14ac:dyDescent="0.25">
      <c r="A221" s="347">
        <f t="shared" si="3"/>
        <v>219</v>
      </c>
      <c r="B221" s="348" t="s">
        <v>582</v>
      </c>
      <c r="C221" s="349">
        <v>300</v>
      </c>
      <c r="D221" s="297"/>
    </row>
    <row r="222" spans="1:4" x14ac:dyDescent="0.25">
      <c r="A222" s="347">
        <f t="shared" si="3"/>
        <v>220</v>
      </c>
      <c r="B222" s="348" t="s">
        <v>583</v>
      </c>
      <c r="C222" s="349">
        <v>350</v>
      </c>
      <c r="D222" s="297"/>
    </row>
    <row r="223" spans="1:4" x14ac:dyDescent="0.25">
      <c r="A223" s="347">
        <f t="shared" si="3"/>
        <v>221</v>
      </c>
      <c r="B223" s="348" t="s">
        <v>941</v>
      </c>
      <c r="C223" s="349">
        <v>500</v>
      </c>
      <c r="D223" s="297"/>
    </row>
    <row r="224" spans="1:4" x14ac:dyDescent="0.25">
      <c r="A224" s="347">
        <f t="shared" si="3"/>
        <v>222</v>
      </c>
      <c r="B224" s="348" t="s">
        <v>671</v>
      </c>
      <c r="C224" s="349">
        <v>800</v>
      </c>
      <c r="D224" s="297"/>
    </row>
    <row r="225" spans="1:121" x14ac:dyDescent="0.25">
      <c r="A225" s="347">
        <f t="shared" si="3"/>
        <v>223</v>
      </c>
      <c r="B225" s="348" t="s">
        <v>584</v>
      </c>
      <c r="C225" s="349">
        <v>300</v>
      </c>
      <c r="D225" s="297"/>
    </row>
    <row r="226" spans="1:121" x14ac:dyDescent="0.25">
      <c r="A226" s="347">
        <f t="shared" si="3"/>
        <v>224</v>
      </c>
      <c r="B226" s="348" t="s">
        <v>585</v>
      </c>
      <c r="C226" s="349">
        <v>100</v>
      </c>
      <c r="D226" s="297"/>
    </row>
    <row r="227" spans="1:121" x14ac:dyDescent="0.25">
      <c r="A227" s="347">
        <f t="shared" si="3"/>
        <v>225</v>
      </c>
      <c r="B227" s="348" t="s">
        <v>586</v>
      </c>
      <c r="C227" s="349">
        <v>2800</v>
      </c>
      <c r="D227" s="297"/>
    </row>
    <row r="228" spans="1:121" x14ac:dyDescent="0.25">
      <c r="A228" s="347">
        <f t="shared" si="3"/>
        <v>226</v>
      </c>
      <c r="B228" s="354" t="s">
        <v>587</v>
      </c>
      <c r="C228" s="350">
        <v>250</v>
      </c>
      <c r="D228" s="297"/>
    </row>
    <row r="229" spans="1:121" x14ac:dyDescent="0.25">
      <c r="A229" s="347">
        <f t="shared" si="3"/>
        <v>227</v>
      </c>
      <c r="B229" s="351" t="s">
        <v>787</v>
      </c>
      <c r="C229" s="352">
        <v>900</v>
      </c>
      <c r="D229" s="297"/>
    </row>
    <row r="230" spans="1:121" x14ac:dyDescent="0.25">
      <c r="A230" s="347">
        <f t="shared" si="3"/>
        <v>228</v>
      </c>
      <c r="B230" s="348" t="s">
        <v>868</v>
      </c>
      <c r="C230" s="349">
        <v>1000</v>
      </c>
      <c r="D230" s="297"/>
    </row>
    <row r="231" spans="1:121" x14ac:dyDescent="0.25">
      <c r="A231" s="347">
        <f t="shared" si="3"/>
        <v>229</v>
      </c>
      <c r="B231" s="351" t="s">
        <v>730</v>
      </c>
      <c r="C231" s="352">
        <v>1000</v>
      </c>
      <c r="D231" s="297"/>
    </row>
    <row r="232" spans="1:121" x14ac:dyDescent="0.25">
      <c r="A232" s="347">
        <f t="shared" si="3"/>
        <v>230</v>
      </c>
      <c r="B232" s="348" t="s">
        <v>786</v>
      </c>
      <c r="C232" s="349">
        <v>1150</v>
      </c>
      <c r="D232" s="297"/>
    </row>
    <row r="233" spans="1:121" x14ac:dyDescent="0.25">
      <c r="A233" s="347">
        <f t="shared" si="3"/>
        <v>231</v>
      </c>
      <c r="B233" s="348" t="s">
        <v>800</v>
      </c>
      <c r="C233" s="349">
        <v>800</v>
      </c>
      <c r="D233" s="297"/>
    </row>
    <row r="234" spans="1:121" x14ac:dyDescent="0.25">
      <c r="A234" s="347">
        <f t="shared" si="3"/>
        <v>232</v>
      </c>
      <c r="B234" s="348" t="s">
        <v>588</v>
      </c>
      <c r="C234" s="349">
        <v>1000</v>
      </c>
      <c r="D234" s="302"/>
      <c r="E234" s="303"/>
      <c r="F234" s="303"/>
      <c r="G234" s="303"/>
      <c r="H234" s="303"/>
      <c r="I234" s="303"/>
      <c r="J234" s="303"/>
      <c r="K234" s="303"/>
      <c r="L234" s="303"/>
      <c r="M234" s="303"/>
      <c r="N234" s="303"/>
      <c r="O234" s="303"/>
      <c r="P234" s="303"/>
      <c r="Q234" s="303"/>
      <c r="R234" s="303"/>
      <c r="S234" s="303"/>
      <c r="T234" s="303"/>
      <c r="U234" s="303"/>
      <c r="V234" s="303"/>
      <c r="W234" s="303"/>
      <c r="X234" s="303"/>
      <c r="Y234" s="303"/>
      <c r="Z234" s="303"/>
      <c r="AA234" s="303"/>
      <c r="AB234" s="303"/>
      <c r="AC234" s="303"/>
      <c r="AD234" s="303"/>
      <c r="AE234" s="303"/>
      <c r="AF234" s="303"/>
      <c r="AG234" s="303"/>
      <c r="AH234" s="303"/>
      <c r="AI234" s="303"/>
      <c r="AJ234" s="303"/>
      <c r="AK234" s="303"/>
      <c r="AL234" s="303"/>
      <c r="AM234" s="303"/>
      <c r="AN234" s="303"/>
      <c r="AO234" s="303"/>
      <c r="AP234" s="303"/>
      <c r="AQ234" s="303"/>
      <c r="AR234" s="303"/>
      <c r="AS234" s="303"/>
      <c r="AT234" s="303"/>
      <c r="AU234" s="303"/>
      <c r="AV234" s="303"/>
      <c r="AW234" s="303"/>
      <c r="AX234" s="303"/>
      <c r="AY234" s="303"/>
      <c r="AZ234" s="303"/>
      <c r="BA234" s="303"/>
      <c r="BB234" s="303"/>
      <c r="BC234" s="303"/>
      <c r="BD234" s="303"/>
      <c r="BE234" s="303"/>
      <c r="BF234" s="303"/>
      <c r="BG234" s="303"/>
      <c r="BH234" s="303"/>
      <c r="BI234" s="303"/>
      <c r="BJ234" s="303"/>
      <c r="BK234" s="303"/>
      <c r="BL234" s="303"/>
      <c r="BM234" s="303"/>
      <c r="BN234" s="303"/>
      <c r="BO234" s="303"/>
      <c r="BP234" s="303"/>
      <c r="BQ234" s="303"/>
      <c r="BR234" s="303"/>
      <c r="BS234" s="303"/>
      <c r="BT234" s="303"/>
      <c r="BU234" s="303"/>
      <c r="BV234" s="303"/>
      <c r="BW234" s="303"/>
      <c r="BX234" s="303"/>
      <c r="BY234" s="303"/>
      <c r="BZ234" s="303"/>
      <c r="CA234" s="303"/>
      <c r="CB234" s="303"/>
      <c r="CC234" s="303"/>
      <c r="CD234" s="303"/>
      <c r="CE234" s="303"/>
      <c r="CF234" s="303"/>
      <c r="CG234" s="303"/>
      <c r="CH234" s="303"/>
      <c r="CI234" s="303"/>
      <c r="CJ234" s="303"/>
      <c r="CK234" s="303"/>
      <c r="CL234" s="303"/>
      <c r="CM234" s="303"/>
      <c r="CN234" s="303"/>
      <c r="CO234" s="303"/>
      <c r="CP234" s="303"/>
      <c r="CQ234" s="303"/>
      <c r="CR234" s="303"/>
      <c r="CS234" s="303"/>
      <c r="CT234" s="303"/>
      <c r="CU234" s="303"/>
      <c r="CV234" s="303"/>
      <c r="CW234" s="303"/>
      <c r="CX234" s="303"/>
      <c r="CY234" s="303"/>
      <c r="CZ234" s="303"/>
      <c r="DA234" s="303"/>
      <c r="DB234" s="303"/>
      <c r="DC234" s="303"/>
      <c r="DD234" s="303"/>
      <c r="DE234" s="303"/>
      <c r="DF234" s="303"/>
      <c r="DG234" s="303"/>
      <c r="DH234" s="303"/>
      <c r="DI234" s="303"/>
      <c r="DJ234" s="303"/>
      <c r="DK234" s="303"/>
      <c r="DL234" s="303"/>
      <c r="DM234" s="303"/>
      <c r="DN234" s="303"/>
      <c r="DO234" s="303"/>
      <c r="DP234" s="303"/>
      <c r="DQ234" s="303"/>
    </row>
    <row r="235" spans="1:121" x14ac:dyDescent="0.25">
      <c r="A235" s="347">
        <f t="shared" si="3"/>
        <v>233</v>
      </c>
      <c r="B235" s="348" t="s">
        <v>869</v>
      </c>
      <c r="C235" s="349">
        <v>750</v>
      </c>
      <c r="D235" s="302"/>
      <c r="E235" s="303"/>
      <c r="F235" s="303"/>
      <c r="G235" s="303"/>
      <c r="H235" s="303"/>
      <c r="I235" s="303"/>
      <c r="J235" s="303"/>
      <c r="K235" s="303"/>
      <c r="L235" s="303"/>
      <c r="M235" s="303"/>
      <c r="N235" s="303"/>
      <c r="O235" s="303"/>
      <c r="P235" s="303"/>
      <c r="Q235" s="303"/>
      <c r="R235" s="303"/>
      <c r="S235" s="303"/>
      <c r="T235" s="303"/>
      <c r="U235" s="303"/>
      <c r="V235" s="303"/>
      <c r="W235" s="303"/>
      <c r="X235" s="303"/>
      <c r="Y235" s="303"/>
      <c r="Z235" s="303"/>
      <c r="AA235" s="303"/>
      <c r="AB235" s="303"/>
      <c r="AC235" s="303"/>
      <c r="AD235" s="303"/>
      <c r="AE235" s="303"/>
      <c r="AF235" s="303"/>
      <c r="AG235" s="303"/>
      <c r="AH235" s="303"/>
      <c r="AI235" s="303"/>
      <c r="AJ235" s="303"/>
      <c r="AK235" s="303"/>
      <c r="AL235" s="303"/>
      <c r="AM235" s="303"/>
      <c r="AN235" s="303"/>
      <c r="AO235" s="303"/>
      <c r="AP235" s="303"/>
      <c r="AQ235" s="303"/>
      <c r="AR235" s="303"/>
      <c r="AS235" s="303"/>
      <c r="AT235" s="303"/>
      <c r="AU235" s="303"/>
      <c r="AV235" s="303"/>
      <c r="AW235" s="303"/>
      <c r="AX235" s="303"/>
      <c r="AY235" s="303"/>
      <c r="AZ235" s="303"/>
      <c r="BA235" s="303"/>
      <c r="BB235" s="303"/>
      <c r="BC235" s="303"/>
      <c r="BD235" s="303"/>
      <c r="BE235" s="303"/>
      <c r="BF235" s="303"/>
      <c r="BG235" s="303"/>
      <c r="BH235" s="303"/>
      <c r="BI235" s="303"/>
      <c r="BJ235" s="303"/>
      <c r="BK235" s="303"/>
      <c r="BL235" s="303"/>
      <c r="BM235" s="303"/>
      <c r="BN235" s="303"/>
      <c r="BO235" s="303"/>
      <c r="BP235" s="303"/>
      <c r="BQ235" s="303"/>
      <c r="BR235" s="303"/>
      <c r="BS235" s="303"/>
      <c r="BT235" s="303"/>
      <c r="BU235" s="303"/>
      <c r="BV235" s="303"/>
      <c r="BW235" s="303"/>
      <c r="BX235" s="303"/>
      <c r="BY235" s="303"/>
      <c r="BZ235" s="303"/>
      <c r="CA235" s="303"/>
      <c r="CB235" s="303"/>
      <c r="CC235" s="303"/>
      <c r="CD235" s="303"/>
      <c r="CE235" s="303"/>
      <c r="CF235" s="303"/>
      <c r="CG235" s="303"/>
      <c r="CH235" s="303"/>
      <c r="CI235" s="303"/>
      <c r="CJ235" s="303"/>
      <c r="CK235" s="303"/>
      <c r="CL235" s="303"/>
      <c r="CM235" s="303"/>
      <c r="CN235" s="303"/>
      <c r="CO235" s="303"/>
      <c r="CP235" s="303"/>
      <c r="CQ235" s="303"/>
      <c r="CR235" s="303"/>
      <c r="CS235" s="303"/>
      <c r="CT235" s="303"/>
      <c r="CU235" s="303"/>
      <c r="CV235" s="303"/>
      <c r="CW235" s="303"/>
      <c r="CX235" s="303"/>
      <c r="CY235" s="303"/>
      <c r="CZ235" s="303"/>
      <c r="DA235" s="303"/>
      <c r="DB235" s="303"/>
      <c r="DC235" s="303"/>
      <c r="DD235" s="303"/>
      <c r="DE235" s="303"/>
      <c r="DF235" s="303"/>
      <c r="DG235" s="303"/>
      <c r="DH235" s="303"/>
      <c r="DI235" s="303"/>
      <c r="DJ235" s="303"/>
      <c r="DK235" s="303"/>
      <c r="DL235" s="303"/>
      <c r="DM235" s="303"/>
      <c r="DN235" s="303"/>
      <c r="DO235" s="303"/>
      <c r="DP235" s="303"/>
      <c r="DQ235" s="303"/>
    </row>
    <row r="236" spans="1:121" x14ac:dyDescent="0.25">
      <c r="A236" s="347">
        <f t="shared" si="3"/>
        <v>234</v>
      </c>
      <c r="B236" s="348" t="s">
        <v>589</v>
      </c>
      <c r="C236" s="349">
        <v>400</v>
      </c>
      <c r="D236" s="302"/>
      <c r="E236" s="303"/>
      <c r="F236" s="303"/>
      <c r="G236" s="303"/>
      <c r="H236" s="303"/>
      <c r="I236" s="303"/>
      <c r="J236" s="303"/>
      <c r="K236" s="303"/>
      <c r="L236" s="303"/>
      <c r="M236" s="303"/>
      <c r="N236" s="303"/>
      <c r="O236" s="303"/>
      <c r="P236" s="303"/>
      <c r="Q236" s="303"/>
      <c r="R236" s="303"/>
      <c r="S236" s="303"/>
      <c r="T236" s="303"/>
      <c r="U236" s="303"/>
      <c r="V236" s="303"/>
      <c r="W236" s="303"/>
      <c r="X236" s="303"/>
      <c r="Y236" s="303"/>
      <c r="Z236" s="303"/>
      <c r="AA236" s="303"/>
      <c r="AB236" s="303"/>
      <c r="AC236" s="303"/>
      <c r="AD236" s="303"/>
      <c r="AE236" s="303"/>
      <c r="AF236" s="303"/>
      <c r="AG236" s="303"/>
      <c r="AH236" s="303"/>
      <c r="AI236" s="303"/>
      <c r="AJ236" s="303"/>
      <c r="AK236" s="303"/>
      <c r="AL236" s="303"/>
      <c r="AM236" s="303"/>
      <c r="AN236" s="303"/>
      <c r="AO236" s="303"/>
      <c r="AP236" s="303"/>
      <c r="AQ236" s="303"/>
      <c r="AR236" s="303"/>
      <c r="AS236" s="303"/>
      <c r="AT236" s="303"/>
      <c r="AU236" s="303"/>
      <c r="AV236" s="303"/>
      <c r="AW236" s="303"/>
      <c r="AX236" s="303"/>
      <c r="AY236" s="303"/>
      <c r="AZ236" s="303"/>
      <c r="BA236" s="303"/>
      <c r="BB236" s="303"/>
      <c r="BC236" s="303"/>
      <c r="BD236" s="303"/>
      <c r="BE236" s="303"/>
      <c r="BF236" s="303"/>
      <c r="BG236" s="303"/>
      <c r="BH236" s="303"/>
      <c r="BI236" s="303"/>
      <c r="BJ236" s="303"/>
      <c r="BK236" s="303"/>
      <c r="BL236" s="303"/>
      <c r="BM236" s="303"/>
      <c r="BN236" s="303"/>
      <c r="BO236" s="303"/>
      <c r="BP236" s="303"/>
      <c r="BQ236" s="303"/>
      <c r="BR236" s="303"/>
      <c r="BS236" s="303"/>
      <c r="BT236" s="303"/>
      <c r="BU236" s="303"/>
      <c r="BV236" s="303"/>
      <c r="BW236" s="303"/>
      <c r="BX236" s="303"/>
      <c r="BY236" s="303"/>
      <c r="BZ236" s="303"/>
      <c r="CA236" s="303"/>
      <c r="CB236" s="303"/>
      <c r="CC236" s="303"/>
      <c r="CD236" s="303"/>
      <c r="CE236" s="303"/>
      <c r="CF236" s="303"/>
      <c r="CG236" s="303"/>
      <c r="CH236" s="303"/>
      <c r="CI236" s="303"/>
      <c r="CJ236" s="303"/>
      <c r="CK236" s="303"/>
      <c r="CL236" s="303"/>
      <c r="CM236" s="303"/>
      <c r="CN236" s="303"/>
      <c r="CO236" s="303"/>
      <c r="CP236" s="303"/>
      <c r="CQ236" s="303"/>
      <c r="CR236" s="303"/>
      <c r="CS236" s="303"/>
      <c r="CT236" s="303"/>
      <c r="CU236" s="303"/>
      <c r="CV236" s="303"/>
      <c r="CW236" s="303"/>
      <c r="CX236" s="303"/>
      <c r="CY236" s="303"/>
      <c r="CZ236" s="303"/>
      <c r="DA236" s="303"/>
      <c r="DB236" s="303"/>
      <c r="DC236" s="303"/>
      <c r="DD236" s="303"/>
      <c r="DE236" s="303"/>
      <c r="DF236" s="303"/>
      <c r="DG236" s="303"/>
      <c r="DH236" s="303"/>
      <c r="DI236" s="303"/>
      <c r="DJ236" s="303"/>
      <c r="DK236" s="303"/>
      <c r="DL236" s="303"/>
      <c r="DM236" s="303"/>
      <c r="DN236" s="303"/>
      <c r="DO236" s="303"/>
      <c r="DP236" s="303"/>
      <c r="DQ236" s="303"/>
    </row>
    <row r="237" spans="1:121" x14ac:dyDescent="0.25">
      <c r="A237" s="347">
        <f t="shared" si="3"/>
        <v>235</v>
      </c>
      <c r="B237" s="348" t="s">
        <v>647</v>
      </c>
      <c r="C237" s="349">
        <v>900</v>
      </c>
      <c r="D237" s="302"/>
      <c r="E237" s="303"/>
      <c r="F237" s="303"/>
      <c r="G237" s="303"/>
      <c r="H237" s="303"/>
      <c r="I237" s="303"/>
      <c r="J237" s="303"/>
      <c r="K237" s="303"/>
      <c r="L237" s="303"/>
      <c r="M237" s="303"/>
      <c r="N237" s="303"/>
      <c r="O237" s="303"/>
      <c r="P237" s="303"/>
      <c r="Q237" s="303"/>
      <c r="R237" s="303"/>
      <c r="S237" s="303"/>
      <c r="T237" s="303"/>
      <c r="U237" s="303"/>
      <c r="V237" s="303"/>
      <c r="W237" s="303"/>
      <c r="X237" s="303"/>
      <c r="Y237" s="303"/>
      <c r="Z237" s="303"/>
      <c r="AA237" s="303"/>
      <c r="AB237" s="303"/>
      <c r="AC237" s="303"/>
      <c r="AD237" s="303"/>
      <c r="AE237" s="303"/>
      <c r="AF237" s="303"/>
      <c r="AG237" s="303"/>
      <c r="AH237" s="303"/>
      <c r="AI237" s="303"/>
      <c r="AJ237" s="303"/>
      <c r="AK237" s="303"/>
      <c r="AL237" s="303"/>
      <c r="AM237" s="303"/>
      <c r="AN237" s="303"/>
      <c r="AO237" s="303"/>
      <c r="AP237" s="303"/>
      <c r="AQ237" s="303"/>
      <c r="AR237" s="303"/>
      <c r="AS237" s="303"/>
      <c r="AT237" s="303"/>
      <c r="AU237" s="303"/>
      <c r="AV237" s="303"/>
      <c r="AW237" s="303"/>
      <c r="AX237" s="303"/>
      <c r="AY237" s="303"/>
      <c r="AZ237" s="303"/>
      <c r="BA237" s="303"/>
      <c r="BB237" s="303"/>
      <c r="BC237" s="303"/>
      <c r="BD237" s="303"/>
      <c r="BE237" s="303"/>
      <c r="BF237" s="303"/>
      <c r="BG237" s="303"/>
      <c r="BH237" s="303"/>
      <c r="BI237" s="303"/>
      <c r="BJ237" s="303"/>
      <c r="BK237" s="303"/>
      <c r="BL237" s="303"/>
      <c r="BM237" s="303"/>
      <c r="BN237" s="303"/>
      <c r="BO237" s="303"/>
      <c r="BP237" s="303"/>
      <c r="BQ237" s="303"/>
      <c r="BR237" s="303"/>
      <c r="BS237" s="303"/>
      <c r="BT237" s="303"/>
      <c r="BU237" s="303"/>
      <c r="BV237" s="303"/>
      <c r="BW237" s="303"/>
      <c r="BX237" s="303"/>
      <c r="BY237" s="303"/>
      <c r="BZ237" s="303"/>
      <c r="CA237" s="303"/>
      <c r="CB237" s="303"/>
      <c r="CC237" s="303"/>
      <c r="CD237" s="303"/>
      <c r="CE237" s="303"/>
      <c r="CF237" s="303"/>
      <c r="CG237" s="303"/>
      <c r="CH237" s="303"/>
      <c r="CI237" s="303"/>
      <c r="CJ237" s="303"/>
      <c r="CK237" s="303"/>
      <c r="CL237" s="303"/>
      <c r="CM237" s="303"/>
      <c r="CN237" s="303"/>
      <c r="CO237" s="303"/>
      <c r="CP237" s="303"/>
      <c r="CQ237" s="303"/>
      <c r="CR237" s="303"/>
      <c r="CS237" s="303"/>
      <c r="CT237" s="303"/>
      <c r="CU237" s="303"/>
      <c r="CV237" s="303"/>
      <c r="CW237" s="303"/>
      <c r="CX237" s="303"/>
      <c r="CY237" s="303"/>
      <c r="CZ237" s="303"/>
      <c r="DA237" s="303"/>
      <c r="DB237" s="303"/>
      <c r="DC237" s="303"/>
      <c r="DD237" s="303"/>
      <c r="DE237" s="303"/>
      <c r="DF237" s="303"/>
      <c r="DG237" s="303"/>
      <c r="DH237" s="303"/>
      <c r="DI237" s="303"/>
      <c r="DJ237" s="303"/>
      <c r="DK237" s="303"/>
      <c r="DL237" s="303"/>
      <c r="DM237" s="303"/>
      <c r="DN237" s="303"/>
      <c r="DO237" s="303"/>
      <c r="DP237" s="303"/>
      <c r="DQ237" s="303"/>
    </row>
    <row r="238" spans="1:121" x14ac:dyDescent="0.25">
      <c r="A238" s="347">
        <f t="shared" si="3"/>
        <v>236</v>
      </c>
      <c r="B238" s="348" t="s">
        <v>707</v>
      </c>
      <c r="C238" s="349">
        <v>450</v>
      </c>
      <c r="D238" s="304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69"/>
      <c r="AJ238" s="69"/>
      <c r="AK238" s="69"/>
      <c r="AL238" s="69"/>
      <c r="AM238" s="69"/>
      <c r="AN238" s="69"/>
      <c r="AO238" s="69"/>
      <c r="AP238" s="69"/>
      <c r="AQ238" s="69"/>
      <c r="AR238" s="69"/>
      <c r="AS238" s="69"/>
      <c r="AT238" s="69"/>
      <c r="AU238" s="69"/>
      <c r="AV238" s="69"/>
      <c r="AW238" s="69"/>
      <c r="AX238" s="69"/>
      <c r="AY238" s="69"/>
      <c r="AZ238" s="69"/>
      <c r="BA238" s="69"/>
      <c r="BB238" s="69"/>
      <c r="BC238" s="69"/>
      <c r="BD238" s="69"/>
      <c r="BE238" s="69"/>
      <c r="BF238" s="69"/>
      <c r="BG238" s="69"/>
      <c r="BH238" s="69"/>
      <c r="BI238" s="69"/>
      <c r="BJ238" s="69"/>
      <c r="BK238" s="69"/>
      <c r="BL238" s="69"/>
      <c r="BM238" s="69"/>
      <c r="BN238" s="69"/>
      <c r="BO238" s="69"/>
      <c r="BP238" s="69"/>
      <c r="BQ238" s="69"/>
      <c r="BR238" s="69"/>
      <c r="BS238" s="69"/>
      <c r="BT238" s="69"/>
      <c r="BU238" s="69"/>
      <c r="BV238" s="69"/>
      <c r="BW238" s="69"/>
      <c r="BX238" s="69"/>
      <c r="BY238" s="69"/>
      <c r="BZ238" s="69"/>
      <c r="CA238" s="69"/>
      <c r="CB238" s="69"/>
      <c r="CC238" s="69"/>
      <c r="CD238" s="69"/>
      <c r="CE238" s="69"/>
      <c r="CF238" s="69"/>
      <c r="CG238" s="69"/>
      <c r="CH238" s="69"/>
      <c r="CI238" s="69"/>
      <c r="CJ238" s="69"/>
      <c r="CK238" s="69"/>
      <c r="CL238" s="69"/>
      <c r="CM238" s="69"/>
      <c r="CN238" s="69"/>
      <c r="CO238" s="69"/>
      <c r="CP238" s="69"/>
      <c r="CQ238" s="69"/>
      <c r="CR238" s="69"/>
      <c r="CS238" s="69"/>
      <c r="CT238" s="69"/>
      <c r="CU238" s="69"/>
      <c r="CV238" s="69"/>
      <c r="CW238" s="69"/>
      <c r="CX238" s="69"/>
      <c r="CY238" s="69"/>
      <c r="CZ238" s="69"/>
      <c r="DA238" s="69"/>
      <c r="DB238" s="69"/>
      <c r="DC238" s="69"/>
      <c r="DD238" s="69"/>
      <c r="DE238" s="69"/>
      <c r="DF238" s="69"/>
      <c r="DG238" s="69"/>
      <c r="DH238" s="69"/>
      <c r="DI238" s="69"/>
      <c r="DJ238" s="69"/>
      <c r="DK238" s="69"/>
      <c r="DL238" s="69"/>
      <c r="DM238" s="69"/>
      <c r="DN238" s="69"/>
      <c r="DO238" s="69"/>
      <c r="DP238" s="69"/>
      <c r="DQ238" s="69"/>
    </row>
    <row r="239" spans="1:121" x14ac:dyDescent="0.25">
      <c r="A239" s="347">
        <f t="shared" si="3"/>
        <v>237</v>
      </c>
      <c r="B239" s="348" t="s">
        <v>870</v>
      </c>
      <c r="C239" s="349">
        <v>1100</v>
      </c>
      <c r="D239" s="302"/>
      <c r="E239" s="303"/>
      <c r="F239" s="303"/>
      <c r="G239" s="303"/>
      <c r="H239" s="303"/>
      <c r="I239" s="303"/>
      <c r="J239" s="303"/>
      <c r="K239" s="303"/>
      <c r="L239" s="303"/>
      <c r="M239" s="303"/>
      <c r="N239" s="303"/>
      <c r="O239" s="303"/>
      <c r="P239" s="303"/>
      <c r="Q239" s="303"/>
      <c r="R239" s="303"/>
      <c r="S239" s="303"/>
      <c r="T239" s="303"/>
      <c r="U239" s="303"/>
      <c r="V239" s="303"/>
      <c r="W239" s="303"/>
      <c r="X239" s="303"/>
      <c r="Y239" s="303"/>
      <c r="Z239" s="303"/>
      <c r="AA239" s="303"/>
      <c r="AB239" s="303"/>
      <c r="AC239" s="303"/>
      <c r="AD239" s="303"/>
      <c r="AE239" s="303"/>
      <c r="AF239" s="303"/>
      <c r="AG239" s="303"/>
      <c r="AH239" s="303"/>
      <c r="AI239" s="303"/>
      <c r="AJ239" s="303"/>
      <c r="AK239" s="303"/>
      <c r="AL239" s="303"/>
      <c r="AM239" s="303"/>
      <c r="AN239" s="303"/>
      <c r="AO239" s="303"/>
      <c r="AP239" s="303"/>
      <c r="AQ239" s="303"/>
      <c r="AR239" s="303"/>
      <c r="AS239" s="303"/>
      <c r="AT239" s="303"/>
      <c r="AU239" s="303"/>
      <c r="AV239" s="303"/>
      <c r="AW239" s="303"/>
      <c r="AX239" s="303"/>
      <c r="AY239" s="303"/>
      <c r="AZ239" s="303"/>
      <c r="BA239" s="303"/>
      <c r="BB239" s="303"/>
      <c r="BC239" s="303"/>
      <c r="BD239" s="303"/>
      <c r="BE239" s="303"/>
      <c r="BF239" s="303"/>
      <c r="BG239" s="303"/>
      <c r="BH239" s="303"/>
      <c r="BI239" s="303"/>
      <c r="BJ239" s="303"/>
      <c r="BK239" s="303"/>
      <c r="BL239" s="303"/>
      <c r="BM239" s="303"/>
      <c r="BN239" s="303"/>
      <c r="BO239" s="303"/>
      <c r="BP239" s="303"/>
      <c r="BQ239" s="303"/>
      <c r="BR239" s="303"/>
      <c r="BS239" s="303"/>
      <c r="BT239" s="303"/>
      <c r="BU239" s="303"/>
      <c r="BV239" s="303"/>
      <c r="BW239" s="303"/>
      <c r="BX239" s="303"/>
      <c r="BY239" s="303"/>
      <c r="BZ239" s="303"/>
      <c r="CA239" s="303"/>
      <c r="CB239" s="303"/>
      <c r="CC239" s="303"/>
      <c r="CD239" s="303"/>
      <c r="CE239" s="303"/>
      <c r="CF239" s="303"/>
      <c r="CG239" s="303"/>
      <c r="CH239" s="303"/>
      <c r="CI239" s="303"/>
      <c r="CJ239" s="303"/>
      <c r="CK239" s="303"/>
      <c r="CL239" s="303"/>
      <c r="CM239" s="303"/>
      <c r="CN239" s="303"/>
      <c r="CO239" s="303"/>
      <c r="CP239" s="303"/>
      <c r="CQ239" s="303"/>
      <c r="CR239" s="303"/>
      <c r="CS239" s="303"/>
      <c r="CT239" s="303"/>
      <c r="CU239" s="303"/>
      <c r="CV239" s="303"/>
      <c r="CW239" s="303"/>
      <c r="CX239" s="303"/>
      <c r="CY239" s="303"/>
      <c r="CZ239" s="303"/>
      <c r="DA239" s="303"/>
      <c r="DB239" s="303"/>
      <c r="DC239" s="303"/>
      <c r="DD239" s="303"/>
      <c r="DE239" s="303"/>
      <c r="DF239" s="303"/>
      <c r="DG239" s="303"/>
      <c r="DH239" s="303"/>
      <c r="DI239" s="303"/>
      <c r="DJ239" s="303"/>
      <c r="DK239" s="303"/>
      <c r="DL239" s="303"/>
      <c r="DM239" s="303"/>
      <c r="DN239" s="303"/>
      <c r="DO239" s="303"/>
      <c r="DP239" s="303"/>
      <c r="DQ239" s="303"/>
    </row>
    <row r="240" spans="1:121" x14ac:dyDescent="0.25">
      <c r="A240" s="347">
        <f t="shared" si="3"/>
        <v>238</v>
      </c>
      <c r="B240" s="348" t="s">
        <v>590</v>
      </c>
      <c r="C240" s="349">
        <v>999</v>
      </c>
      <c r="D240" s="302"/>
      <c r="E240" s="303"/>
      <c r="F240" s="303"/>
      <c r="G240" s="303"/>
      <c r="H240" s="303"/>
      <c r="I240" s="303"/>
      <c r="J240" s="303"/>
      <c r="K240" s="303"/>
      <c r="L240" s="303"/>
      <c r="M240" s="303"/>
      <c r="N240" s="303"/>
      <c r="O240" s="303"/>
      <c r="P240" s="303"/>
      <c r="Q240" s="303"/>
      <c r="R240" s="303"/>
      <c r="S240" s="303"/>
      <c r="T240" s="303"/>
      <c r="U240" s="303"/>
      <c r="V240" s="303"/>
      <c r="W240" s="303"/>
      <c r="X240" s="303"/>
      <c r="Y240" s="303"/>
      <c r="Z240" s="303"/>
      <c r="AA240" s="303"/>
      <c r="AB240" s="303"/>
      <c r="AC240" s="303"/>
      <c r="AD240" s="303"/>
      <c r="AE240" s="303"/>
      <c r="AF240" s="303"/>
      <c r="AG240" s="303"/>
      <c r="AH240" s="303"/>
      <c r="AI240" s="303"/>
      <c r="AJ240" s="303"/>
      <c r="AK240" s="303"/>
      <c r="AL240" s="303"/>
      <c r="AM240" s="303"/>
      <c r="AN240" s="303"/>
      <c r="AO240" s="303"/>
      <c r="AP240" s="303"/>
      <c r="AQ240" s="303"/>
      <c r="AR240" s="303"/>
      <c r="AS240" s="303"/>
      <c r="AT240" s="303"/>
      <c r="AU240" s="303"/>
      <c r="AV240" s="303"/>
      <c r="AW240" s="303"/>
      <c r="AX240" s="303"/>
      <c r="AY240" s="303"/>
      <c r="AZ240" s="303"/>
      <c r="BA240" s="303"/>
      <c r="BB240" s="303"/>
      <c r="BC240" s="303"/>
      <c r="BD240" s="303"/>
      <c r="BE240" s="303"/>
      <c r="BF240" s="303"/>
      <c r="BG240" s="303"/>
      <c r="BH240" s="303"/>
      <c r="BI240" s="303"/>
      <c r="BJ240" s="303"/>
      <c r="BK240" s="303"/>
      <c r="BL240" s="303"/>
      <c r="BM240" s="303"/>
      <c r="BN240" s="303"/>
      <c r="BO240" s="303"/>
      <c r="BP240" s="303"/>
      <c r="BQ240" s="303"/>
      <c r="BR240" s="303"/>
      <c r="BS240" s="303"/>
      <c r="BT240" s="303"/>
      <c r="BU240" s="303"/>
      <c r="BV240" s="303"/>
      <c r="BW240" s="303"/>
      <c r="BX240" s="303"/>
      <c r="BY240" s="303"/>
      <c r="BZ240" s="303"/>
      <c r="CA240" s="303"/>
      <c r="CB240" s="303"/>
      <c r="CC240" s="303"/>
      <c r="CD240" s="303"/>
      <c r="CE240" s="303"/>
      <c r="CF240" s="303"/>
      <c r="CG240" s="303"/>
      <c r="CH240" s="303"/>
      <c r="CI240" s="303"/>
      <c r="CJ240" s="303"/>
      <c r="CK240" s="303"/>
      <c r="CL240" s="303"/>
      <c r="CM240" s="303"/>
      <c r="CN240" s="303"/>
      <c r="CO240" s="303"/>
      <c r="CP240" s="303"/>
      <c r="CQ240" s="303"/>
      <c r="CR240" s="303"/>
      <c r="CS240" s="303"/>
      <c r="CT240" s="303"/>
      <c r="CU240" s="303"/>
      <c r="CV240" s="303"/>
      <c r="CW240" s="303"/>
      <c r="CX240" s="303"/>
      <c r="CY240" s="303"/>
      <c r="CZ240" s="303"/>
      <c r="DA240" s="303"/>
      <c r="DB240" s="303"/>
      <c r="DC240" s="303"/>
      <c r="DD240" s="303"/>
      <c r="DE240" s="303"/>
      <c r="DF240" s="303"/>
      <c r="DG240" s="303"/>
      <c r="DH240" s="303"/>
      <c r="DI240" s="303"/>
      <c r="DJ240" s="303"/>
      <c r="DK240" s="303"/>
      <c r="DL240" s="303"/>
      <c r="DM240" s="303"/>
      <c r="DN240" s="303"/>
      <c r="DO240" s="303"/>
      <c r="DP240" s="303"/>
      <c r="DQ240" s="303"/>
    </row>
    <row r="241" spans="1:121" x14ac:dyDescent="0.25">
      <c r="A241" s="347">
        <f t="shared" si="3"/>
        <v>239</v>
      </c>
      <c r="B241" s="348" t="s">
        <v>639</v>
      </c>
      <c r="C241" s="349">
        <v>1500</v>
      </c>
      <c r="D241" s="302"/>
      <c r="E241" s="303"/>
      <c r="F241" s="303"/>
      <c r="G241" s="303"/>
      <c r="H241" s="303"/>
      <c r="I241" s="303"/>
      <c r="J241" s="303"/>
      <c r="K241" s="303"/>
      <c r="L241" s="303"/>
      <c r="M241" s="303"/>
      <c r="N241" s="303"/>
      <c r="O241" s="303"/>
      <c r="P241" s="303"/>
      <c r="Q241" s="303"/>
      <c r="R241" s="303"/>
      <c r="S241" s="303"/>
      <c r="T241" s="303"/>
      <c r="U241" s="303"/>
      <c r="V241" s="303"/>
      <c r="W241" s="303"/>
      <c r="X241" s="303"/>
      <c r="Y241" s="303"/>
      <c r="Z241" s="303"/>
      <c r="AA241" s="303"/>
      <c r="AB241" s="303"/>
      <c r="AC241" s="303"/>
      <c r="AD241" s="303"/>
      <c r="AE241" s="303"/>
      <c r="AF241" s="303"/>
      <c r="AG241" s="303"/>
      <c r="AH241" s="303"/>
      <c r="AI241" s="303"/>
      <c r="AJ241" s="303"/>
      <c r="AK241" s="303"/>
      <c r="AL241" s="303"/>
      <c r="AM241" s="303"/>
      <c r="AN241" s="303"/>
      <c r="AO241" s="303"/>
      <c r="AP241" s="303"/>
      <c r="AQ241" s="303"/>
      <c r="AR241" s="303"/>
      <c r="AS241" s="303"/>
      <c r="AT241" s="303"/>
      <c r="AU241" s="303"/>
      <c r="AV241" s="303"/>
      <c r="AW241" s="303"/>
      <c r="AX241" s="303"/>
      <c r="AY241" s="303"/>
      <c r="AZ241" s="303"/>
      <c r="BA241" s="303"/>
      <c r="BB241" s="303"/>
      <c r="BC241" s="303"/>
      <c r="BD241" s="303"/>
      <c r="BE241" s="303"/>
      <c r="BF241" s="303"/>
      <c r="BG241" s="303"/>
      <c r="BH241" s="303"/>
      <c r="BI241" s="303"/>
      <c r="BJ241" s="303"/>
      <c r="BK241" s="303"/>
      <c r="BL241" s="303"/>
      <c r="BM241" s="303"/>
      <c r="BN241" s="303"/>
      <c r="BO241" s="303"/>
      <c r="BP241" s="303"/>
      <c r="BQ241" s="303"/>
      <c r="BR241" s="303"/>
      <c r="BS241" s="303"/>
      <c r="BT241" s="303"/>
      <c r="BU241" s="303"/>
      <c r="BV241" s="303"/>
      <c r="BW241" s="303"/>
      <c r="BX241" s="303"/>
      <c r="BY241" s="303"/>
      <c r="BZ241" s="303"/>
      <c r="CA241" s="303"/>
      <c r="CB241" s="303"/>
      <c r="CC241" s="303"/>
      <c r="CD241" s="303"/>
      <c r="CE241" s="303"/>
      <c r="CF241" s="303"/>
      <c r="CG241" s="303"/>
      <c r="CH241" s="303"/>
      <c r="CI241" s="303"/>
      <c r="CJ241" s="303"/>
      <c r="CK241" s="303"/>
      <c r="CL241" s="303"/>
      <c r="CM241" s="303"/>
      <c r="CN241" s="303"/>
      <c r="CO241" s="303"/>
      <c r="CP241" s="303"/>
      <c r="CQ241" s="303"/>
      <c r="CR241" s="303"/>
      <c r="CS241" s="303"/>
      <c r="CT241" s="303"/>
      <c r="CU241" s="303"/>
      <c r="CV241" s="303"/>
      <c r="CW241" s="303"/>
      <c r="CX241" s="303"/>
      <c r="CY241" s="303"/>
      <c r="CZ241" s="303"/>
      <c r="DA241" s="303"/>
      <c r="DB241" s="303"/>
      <c r="DC241" s="303"/>
      <c r="DD241" s="303"/>
      <c r="DE241" s="303"/>
      <c r="DF241" s="303"/>
      <c r="DG241" s="303"/>
      <c r="DH241" s="303"/>
      <c r="DI241" s="303"/>
      <c r="DJ241" s="303"/>
      <c r="DK241" s="303"/>
      <c r="DL241" s="303"/>
      <c r="DM241" s="303"/>
      <c r="DN241" s="303"/>
      <c r="DO241" s="303"/>
      <c r="DP241" s="303"/>
      <c r="DQ241" s="303"/>
    </row>
    <row r="242" spans="1:121" x14ac:dyDescent="0.25">
      <c r="A242" s="347">
        <f t="shared" si="3"/>
        <v>240</v>
      </c>
      <c r="B242" s="348" t="s">
        <v>871</v>
      </c>
      <c r="C242" s="349">
        <v>700</v>
      </c>
      <c r="D242" s="302"/>
      <c r="E242" s="303"/>
      <c r="F242" s="303"/>
      <c r="G242" s="303"/>
      <c r="H242" s="303"/>
      <c r="I242" s="303"/>
      <c r="J242" s="303"/>
      <c r="K242" s="303"/>
      <c r="L242" s="303"/>
      <c r="M242" s="303"/>
      <c r="N242" s="303"/>
      <c r="O242" s="303"/>
      <c r="P242" s="303"/>
      <c r="Q242" s="303"/>
      <c r="R242" s="303"/>
      <c r="S242" s="303"/>
      <c r="T242" s="303"/>
      <c r="U242" s="303"/>
      <c r="V242" s="303"/>
      <c r="W242" s="303"/>
      <c r="X242" s="303"/>
      <c r="Y242" s="303"/>
      <c r="Z242" s="303"/>
      <c r="AA242" s="303"/>
      <c r="AB242" s="303"/>
      <c r="AC242" s="303"/>
      <c r="AD242" s="303"/>
      <c r="AE242" s="303"/>
      <c r="AF242" s="303"/>
      <c r="AG242" s="303"/>
      <c r="AH242" s="303"/>
      <c r="AI242" s="303"/>
      <c r="AJ242" s="303"/>
      <c r="AK242" s="303"/>
      <c r="AL242" s="303"/>
      <c r="AM242" s="303"/>
      <c r="AN242" s="303"/>
      <c r="AO242" s="303"/>
      <c r="AP242" s="303"/>
      <c r="AQ242" s="303"/>
      <c r="AR242" s="303"/>
      <c r="AS242" s="303"/>
      <c r="AT242" s="303"/>
      <c r="AU242" s="303"/>
      <c r="AV242" s="303"/>
      <c r="AW242" s="303"/>
      <c r="AX242" s="303"/>
      <c r="AY242" s="303"/>
      <c r="AZ242" s="303"/>
      <c r="BA242" s="303"/>
      <c r="BB242" s="303"/>
      <c r="BC242" s="303"/>
      <c r="BD242" s="303"/>
      <c r="BE242" s="303"/>
      <c r="BF242" s="303"/>
      <c r="BG242" s="303"/>
      <c r="BH242" s="303"/>
      <c r="BI242" s="303"/>
      <c r="BJ242" s="303"/>
      <c r="BK242" s="303"/>
      <c r="BL242" s="303"/>
      <c r="BM242" s="303"/>
      <c r="BN242" s="303"/>
      <c r="BO242" s="303"/>
      <c r="BP242" s="303"/>
      <c r="BQ242" s="303"/>
      <c r="BR242" s="303"/>
      <c r="BS242" s="303"/>
      <c r="BT242" s="303"/>
      <c r="BU242" s="303"/>
      <c r="BV242" s="303"/>
      <c r="BW242" s="303"/>
      <c r="BX242" s="303"/>
      <c r="BY242" s="303"/>
      <c r="BZ242" s="303"/>
      <c r="CA242" s="303"/>
      <c r="CB242" s="303"/>
      <c r="CC242" s="303"/>
      <c r="CD242" s="303"/>
      <c r="CE242" s="303"/>
      <c r="CF242" s="303"/>
      <c r="CG242" s="303"/>
      <c r="CH242" s="303"/>
      <c r="CI242" s="303"/>
      <c r="CJ242" s="303"/>
      <c r="CK242" s="303"/>
      <c r="CL242" s="303"/>
      <c r="CM242" s="303"/>
      <c r="CN242" s="303"/>
      <c r="CO242" s="303"/>
      <c r="CP242" s="303"/>
      <c r="CQ242" s="303"/>
      <c r="CR242" s="303"/>
      <c r="CS242" s="303"/>
      <c r="CT242" s="303"/>
      <c r="CU242" s="303"/>
      <c r="CV242" s="303"/>
      <c r="CW242" s="303"/>
      <c r="CX242" s="303"/>
      <c r="CY242" s="303"/>
      <c r="CZ242" s="303"/>
      <c r="DA242" s="303"/>
      <c r="DB242" s="303"/>
      <c r="DC242" s="303"/>
      <c r="DD242" s="303"/>
      <c r="DE242" s="303"/>
      <c r="DF242" s="303"/>
      <c r="DG242" s="303"/>
      <c r="DH242" s="303"/>
      <c r="DI242" s="303"/>
      <c r="DJ242" s="303"/>
      <c r="DK242" s="303"/>
      <c r="DL242" s="303"/>
      <c r="DM242" s="303"/>
      <c r="DN242" s="303"/>
      <c r="DO242" s="303"/>
      <c r="DP242" s="303"/>
      <c r="DQ242" s="303"/>
    </row>
    <row r="243" spans="1:121" x14ac:dyDescent="0.25">
      <c r="A243" s="347">
        <f t="shared" si="3"/>
        <v>241</v>
      </c>
      <c r="B243" s="353" t="s">
        <v>591</v>
      </c>
      <c r="C243" s="350">
        <v>250</v>
      </c>
      <c r="D243" s="302"/>
      <c r="E243" s="303"/>
      <c r="F243" s="303"/>
      <c r="G243" s="303"/>
      <c r="H243" s="303"/>
      <c r="I243" s="303"/>
      <c r="J243" s="303"/>
      <c r="K243" s="303"/>
      <c r="L243" s="303"/>
      <c r="M243" s="303"/>
      <c r="N243" s="303"/>
      <c r="O243" s="303"/>
      <c r="P243" s="303"/>
      <c r="Q243" s="303"/>
      <c r="R243" s="303"/>
      <c r="S243" s="303"/>
      <c r="T243" s="303"/>
      <c r="U243" s="303"/>
      <c r="V243" s="303"/>
      <c r="W243" s="303"/>
      <c r="X243" s="303"/>
      <c r="Y243" s="303"/>
      <c r="Z243" s="303"/>
      <c r="AA243" s="303"/>
      <c r="AB243" s="303"/>
      <c r="AC243" s="303"/>
      <c r="AD243" s="303"/>
      <c r="AE243" s="303"/>
      <c r="AF243" s="303"/>
      <c r="AG243" s="303"/>
      <c r="AH243" s="303"/>
      <c r="AI243" s="303"/>
      <c r="AJ243" s="303"/>
      <c r="AK243" s="303"/>
      <c r="AL243" s="303"/>
      <c r="AM243" s="303"/>
      <c r="AN243" s="303"/>
      <c r="AO243" s="303"/>
      <c r="AP243" s="303"/>
      <c r="AQ243" s="303"/>
      <c r="AR243" s="303"/>
      <c r="AS243" s="303"/>
      <c r="AT243" s="303"/>
      <c r="AU243" s="303"/>
      <c r="AV243" s="303"/>
      <c r="AW243" s="303"/>
      <c r="AX243" s="303"/>
      <c r="AY243" s="303"/>
      <c r="AZ243" s="303"/>
      <c r="BA243" s="303"/>
      <c r="BB243" s="303"/>
      <c r="BC243" s="303"/>
      <c r="BD243" s="303"/>
      <c r="BE243" s="303"/>
      <c r="BF243" s="303"/>
      <c r="BG243" s="303"/>
      <c r="BH243" s="303"/>
      <c r="BI243" s="303"/>
      <c r="BJ243" s="303"/>
      <c r="BK243" s="303"/>
      <c r="BL243" s="303"/>
      <c r="BM243" s="303"/>
      <c r="BN243" s="303"/>
      <c r="BO243" s="303"/>
      <c r="BP243" s="303"/>
      <c r="BQ243" s="303"/>
      <c r="BR243" s="303"/>
      <c r="BS243" s="303"/>
      <c r="BT243" s="303"/>
      <c r="BU243" s="303"/>
      <c r="BV243" s="303"/>
      <c r="BW243" s="303"/>
      <c r="BX243" s="303"/>
      <c r="BY243" s="303"/>
      <c r="BZ243" s="303"/>
      <c r="CA243" s="303"/>
      <c r="CB243" s="303"/>
      <c r="CC243" s="303"/>
      <c r="CD243" s="303"/>
      <c r="CE243" s="303"/>
      <c r="CF243" s="303"/>
      <c r="CG243" s="303"/>
      <c r="CH243" s="303"/>
      <c r="CI243" s="303"/>
      <c r="CJ243" s="303"/>
      <c r="CK243" s="303"/>
      <c r="CL243" s="303"/>
      <c r="CM243" s="303"/>
      <c r="CN243" s="303"/>
      <c r="CO243" s="303"/>
      <c r="CP243" s="303"/>
      <c r="CQ243" s="303"/>
      <c r="CR243" s="303"/>
      <c r="CS243" s="303"/>
      <c r="CT243" s="303"/>
      <c r="CU243" s="303"/>
      <c r="CV243" s="303"/>
      <c r="CW243" s="303"/>
      <c r="CX243" s="303"/>
      <c r="CY243" s="303"/>
      <c r="CZ243" s="303"/>
      <c r="DA243" s="303"/>
      <c r="DB243" s="303"/>
      <c r="DC243" s="303"/>
      <c r="DD243" s="303"/>
      <c r="DE243" s="303"/>
      <c r="DF243" s="303"/>
      <c r="DG243" s="303"/>
      <c r="DH243" s="303"/>
      <c r="DI243" s="303"/>
      <c r="DJ243" s="303"/>
      <c r="DK243" s="303"/>
      <c r="DL243" s="303"/>
      <c r="DM243" s="303"/>
      <c r="DN243" s="303"/>
      <c r="DO243" s="303"/>
      <c r="DP243" s="303"/>
      <c r="DQ243" s="303"/>
    </row>
    <row r="244" spans="1:121" x14ac:dyDescent="0.25">
      <c r="A244" s="347">
        <f t="shared" si="3"/>
        <v>242</v>
      </c>
      <c r="B244" s="348" t="s">
        <v>440</v>
      </c>
      <c r="C244" s="349">
        <v>150</v>
      </c>
      <c r="D244" s="302"/>
      <c r="E244" s="303"/>
      <c r="F244" s="303"/>
      <c r="G244" s="303"/>
      <c r="H244" s="303"/>
      <c r="I244" s="303"/>
      <c r="J244" s="303"/>
      <c r="K244" s="303"/>
      <c r="L244" s="303"/>
      <c r="M244" s="303"/>
      <c r="N244" s="303"/>
      <c r="O244" s="303"/>
      <c r="P244" s="303"/>
      <c r="Q244" s="303"/>
      <c r="R244" s="303"/>
      <c r="S244" s="303"/>
      <c r="T244" s="303"/>
      <c r="U244" s="303"/>
      <c r="V244" s="303"/>
      <c r="W244" s="303"/>
      <c r="X244" s="303"/>
      <c r="Y244" s="303"/>
      <c r="Z244" s="303"/>
      <c r="AA244" s="303"/>
      <c r="AB244" s="303"/>
      <c r="AC244" s="303"/>
      <c r="AD244" s="303"/>
      <c r="AE244" s="303"/>
      <c r="AF244" s="303"/>
      <c r="AG244" s="303"/>
      <c r="AH244" s="303"/>
      <c r="AI244" s="303"/>
      <c r="AJ244" s="303"/>
      <c r="AK244" s="303"/>
      <c r="AL244" s="303"/>
      <c r="AM244" s="303"/>
      <c r="AN244" s="303"/>
      <c r="AO244" s="303"/>
      <c r="AP244" s="303"/>
      <c r="AQ244" s="303"/>
      <c r="AR244" s="303"/>
      <c r="AS244" s="303"/>
      <c r="AT244" s="303"/>
      <c r="AU244" s="303"/>
      <c r="AV244" s="303"/>
      <c r="AW244" s="303"/>
      <c r="AX244" s="303"/>
      <c r="AY244" s="303"/>
      <c r="AZ244" s="303"/>
      <c r="BA244" s="303"/>
      <c r="BB244" s="303"/>
      <c r="BC244" s="303"/>
      <c r="BD244" s="303"/>
      <c r="BE244" s="303"/>
      <c r="BF244" s="303"/>
      <c r="BG244" s="303"/>
      <c r="BH244" s="303"/>
      <c r="BI244" s="303"/>
      <c r="BJ244" s="303"/>
      <c r="BK244" s="303"/>
      <c r="BL244" s="303"/>
      <c r="BM244" s="303"/>
      <c r="BN244" s="303"/>
      <c r="BO244" s="303"/>
      <c r="BP244" s="303"/>
      <c r="BQ244" s="303"/>
      <c r="BR244" s="303"/>
      <c r="BS244" s="303"/>
      <c r="BT244" s="303"/>
      <c r="BU244" s="303"/>
      <c r="BV244" s="303"/>
      <c r="BW244" s="303"/>
      <c r="BX244" s="303"/>
      <c r="BY244" s="303"/>
      <c r="BZ244" s="303"/>
      <c r="CA244" s="303"/>
      <c r="CB244" s="303"/>
      <c r="CC244" s="303"/>
      <c r="CD244" s="303"/>
      <c r="CE244" s="303"/>
      <c r="CF244" s="303"/>
      <c r="CG244" s="303"/>
      <c r="CH244" s="303"/>
      <c r="CI244" s="303"/>
      <c r="CJ244" s="303"/>
      <c r="CK244" s="303"/>
      <c r="CL244" s="303"/>
      <c r="CM244" s="303"/>
      <c r="CN244" s="303"/>
      <c r="CO244" s="303"/>
      <c r="CP244" s="303"/>
      <c r="CQ244" s="303"/>
      <c r="CR244" s="303"/>
      <c r="CS244" s="303"/>
      <c r="CT244" s="303"/>
      <c r="CU244" s="303"/>
      <c r="CV244" s="303"/>
      <c r="CW244" s="303"/>
      <c r="CX244" s="303"/>
      <c r="CY244" s="303"/>
      <c r="CZ244" s="303"/>
      <c r="DA244" s="303"/>
      <c r="DB244" s="303"/>
      <c r="DC244" s="303"/>
      <c r="DD244" s="303"/>
      <c r="DE244" s="303"/>
      <c r="DF244" s="303"/>
      <c r="DG244" s="303"/>
      <c r="DH244" s="303"/>
      <c r="DI244" s="303"/>
      <c r="DJ244" s="303"/>
      <c r="DK244" s="303"/>
      <c r="DL244" s="303"/>
      <c r="DM244" s="303"/>
      <c r="DN244" s="303"/>
      <c r="DO244" s="303"/>
      <c r="DP244" s="303"/>
      <c r="DQ244" s="303"/>
    </row>
    <row r="245" spans="1:121" x14ac:dyDescent="0.25">
      <c r="A245" s="347">
        <f t="shared" si="3"/>
        <v>243</v>
      </c>
      <c r="B245" s="348" t="s">
        <v>499</v>
      </c>
      <c r="C245" s="349">
        <v>100</v>
      </c>
      <c r="D245" s="302"/>
      <c r="E245" s="303"/>
      <c r="F245" s="303"/>
      <c r="G245" s="303"/>
      <c r="H245" s="303"/>
      <c r="I245" s="303"/>
      <c r="J245" s="303"/>
      <c r="K245" s="303"/>
      <c r="L245" s="303"/>
      <c r="M245" s="303"/>
      <c r="N245" s="303"/>
      <c r="O245" s="303"/>
      <c r="P245" s="303"/>
      <c r="Q245" s="303"/>
      <c r="R245" s="303"/>
      <c r="S245" s="303"/>
      <c r="T245" s="303"/>
      <c r="U245" s="303"/>
      <c r="V245" s="303"/>
      <c r="W245" s="303"/>
      <c r="X245" s="303"/>
      <c r="Y245" s="303"/>
      <c r="Z245" s="303"/>
      <c r="AA245" s="303"/>
      <c r="AB245" s="303"/>
      <c r="AC245" s="303"/>
      <c r="AD245" s="303"/>
      <c r="AE245" s="303"/>
      <c r="AF245" s="303"/>
      <c r="AG245" s="303"/>
      <c r="AH245" s="303"/>
      <c r="AI245" s="303"/>
      <c r="AJ245" s="303"/>
      <c r="AK245" s="303"/>
      <c r="AL245" s="303"/>
      <c r="AM245" s="303"/>
      <c r="AN245" s="303"/>
      <c r="AO245" s="303"/>
      <c r="AP245" s="303"/>
      <c r="AQ245" s="303"/>
      <c r="AR245" s="303"/>
      <c r="AS245" s="303"/>
      <c r="AT245" s="303"/>
      <c r="AU245" s="303"/>
      <c r="AV245" s="303"/>
      <c r="AW245" s="303"/>
      <c r="AX245" s="303"/>
      <c r="AY245" s="303"/>
      <c r="AZ245" s="303"/>
      <c r="BA245" s="303"/>
      <c r="BB245" s="303"/>
      <c r="BC245" s="303"/>
      <c r="BD245" s="303"/>
      <c r="BE245" s="303"/>
      <c r="BF245" s="303"/>
      <c r="BG245" s="303"/>
      <c r="BH245" s="303"/>
      <c r="BI245" s="303"/>
      <c r="BJ245" s="303"/>
      <c r="BK245" s="303"/>
      <c r="BL245" s="303"/>
      <c r="BM245" s="303"/>
      <c r="BN245" s="303"/>
      <c r="BO245" s="303"/>
      <c r="BP245" s="303"/>
      <c r="BQ245" s="303"/>
      <c r="BR245" s="303"/>
      <c r="BS245" s="303"/>
      <c r="BT245" s="303"/>
      <c r="BU245" s="303"/>
      <c r="BV245" s="303"/>
      <c r="BW245" s="303"/>
      <c r="BX245" s="303"/>
      <c r="BY245" s="303"/>
      <c r="BZ245" s="303"/>
      <c r="CA245" s="303"/>
      <c r="CB245" s="303"/>
      <c r="CC245" s="303"/>
      <c r="CD245" s="303"/>
      <c r="CE245" s="303"/>
      <c r="CF245" s="303"/>
      <c r="CG245" s="303"/>
      <c r="CH245" s="303"/>
      <c r="CI245" s="303"/>
      <c r="CJ245" s="303"/>
      <c r="CK245" s="303"/>
      <c r="CL245" s="303"/>
      <c r="CM245" s="303"/>
      <c r="CN245" s="303"/>
      <c r="CO245" s="303"/>
      <c r="CP245" s="303"/>
      <c r="CQ245" s="303"/>
      <c r="CR245" s="303"/>
      <c r="CS245" s="303"/>
      <c r="CT245" s="303"/>
      <c r="CU245" s="303"/>
      <c r="CV245" s="303"/>
      <c r="CW245" s="303"/>
      <c r="CX245" s="303"/>
      <c r="CY245" s="303"/>
      <c r="CZ245" s="303"/>
      <c r="DA245" s="303"/>
      <c r="DB245" s="303"/>
      <c r="DC245" s="303"/>
      <c r="DD245" s="303"/>
      <c r="DE245" s="303"/>
      <c r="DF245" s="303"/>
      <c r="DG245" s="303"/>
      <c r="DH245" s="303"/>
      <c r="DI245" s="303"/>
      <c r="DJ245" s="303"/>
      <c r="DK245" s="303"/>
      <c r="DL245" s="303"/>
      <c r="DM245" s="303"/>
      <c r="DN245" s="303"/>
      <c r="DO245" s="303"/>
      <c r="DP245" s="303"/>
      <c r="DQ245" s="303"/>
    </row>
    <row r="246" spans="1:121" x14ac:dyDescent="0.25">
      <c r="A246" s="347">
        <f t="shared" si="3"/>
        <v>244</v>
      </c>
      <c r="B246" s="348" t="s">
        <v>592</v>
      </c>
      <c r="C246" s="349">
        <v>300</v>
      </c>
      <c r="D246" s="302"/>
      <c r="E246" s="303"/>
      <c r="F246" s="303"/>
      <c r="G246" s="303"/>
      <c r="H246" s="303"/>
      <c r="I246" s="303"/>
      <c r="J246" s="303"/>
      <c r="K246" s="303"/>
      <c r="L246" s="303"/>
      <c r="M246" s="303"/>
      <c r="N246" s="303"/>
      <c r="O246" s="303"/>
      <c r="P246" s="303"/>
      <c r="Q246" s="303"/>
      <c r="R246" s="303"/>
      <c r="S246" s="303"/>
      <c r="T246" s="303"/>
      <c r="U246" s="303"/>
      <c r="V246" s="303"/>
      <c r="W246" s="303"/>
      <c r="X246" s="303"/>
      <c r="Y246" s="303"/>
      <c r="Z246" s="303"/>
      <c r="AA246" s="303"/>
      <c r="AB246" s="303"/>
      <c r="AC246" s="303"/>
      <c r="AD246" s="303"/>
      <c r="AE246" s="303"/>
      <c r="AF246" s="303"/>
      <c r="AG246" s="303"/>
      <c r="AH246" s="303"/>
      <c r="AI246" s="303"/>
      <c r="AJ246" s="303"/>
      <c r="AK246" s="303"/>
      <c r="AL246" s="303"/>
      <c r="AM246" s="303"/>
      <c r="AN246" s="303"/>
      <c r="AO246" s="303"/>
      <c r="AP246" s="303"/>
      <c r="AQ246" s="303"/>
      <c r="AR246" s="303"/>
      <c r="AS246" s="303"/>
      <c r="AT246" s="303"/>
      <c r="AU246" s="303"/>
      <c r="AV246" s="303"/>
      <c r="AW246" s="303"/>
      <c r="AX246" s="303"/>
      <c r="AY246" s="303"/>
      <c r="AZ246" s="303"/>
      <c r="BA246" s="303"/>
      <c r="BB246" s="303"/>
      <c r="BC246" s="303"/>
      <c r="BD246" s="303"/>
      <c r="BE246" s="303"/>
      <c r="BF246" s="303"/>
      <c r="BG246" s="303"/>
      <c r="BH246" s="303"/>
      <c r="BI246" s="303"/>
      <c r="BJ246" s="303"/>
      <c r="BK246" s="303"/>
      <c r="BL246" s="303"/>
      <c r="BM246" s="303"/>
      <c r="BN246" s="303"/>
      <c r="BO246" s="303"/>
      <c r="BP246" s="303"/>
      <c r="BQ246" s="303"/>
      <c r="BR246" s="303"/>
      <c r="BS246" s="303"/>
      <c r="BT246" s="303"/>
      <c r="BU246" s="303"/>
      <c r="BV246" s="303"/>
      <c r="BW246" s="303"/>
      <c r="BX246" s="303"/>
      <c r="BY246" s="303"/>
      <c r="BZ246" s="303"/>
      <c r="CA246" s="303"/>
      <c r="CB246" s="303"/>
      <c r="CC246" s="303"/>
      <c r="CD246" s="303"/>
      <c r="CE246" s="303"/>
      <c r="CF246" s="303"/>
      <c r="CG246" s="303"/>
      <c r="CH246" s="303"/>
      <c r="CI246" s="303"/>
      <c r="CJ246" s="303"/>
      <c r="CK246" s="303"/>
      <c r="CL246" s="303"/>
      <c r="CM246" s="303"/>
      <c r="CN246" s="303"/>
      <c r="CO246" s="303"/>
      <c r="CP246" s="303"/>
      <c r="CQ246" s="303"/>
      <c r="CR246" s="303"/>
      <c r="CS246" s="303"/>
      <c r="CT246" s="303"/>
      <c r="CU246" s="303"/>
      <c r="CV246" s="303"/>
      <c r="CW246" s="303"/>
      <c r="CX246" s="303"/>
      <c r="CY246" s="303"/>
      <c r="CZ246" s="303"/>
      <c r="DA246" s="303"/>
      <c r="DB246" s="303"/>
      <c r="DC246" s="303"/>
      <c r="DD246" s="303"/>
      <c r="DE246" s="303"/>
      <c r="DF246" s="303"/>
      <c r="DG246" s="303"/>
      <c r="DH246" s="303"/>
      <c r="DI246" s="303"/>
      <c r="DJ246" s="303"/>
      <c r="DK246" s="303"/>
      <c r="DL246" s="303"/>
      <c r="DM246" s="303"/>
      <c r="DN246" s="303"/>
      <c r="DO246" s="303"/>
      <c r="DP246" s="303"/>
      <c r="DQ246" s="303"/>
    </row>
    <row r="247" spans="1:121" ht="15.75" thickBot="1" x14ac:dyDescent="0.3">
      <c r="A247" s="347">
        <f t="shared" si="3"/>
        <v>245</v>
      </c>
      <c r="B247" s="348" t="s">
        <v>502</v>
      </c>
      <c r="C247" s="349">
        <v>350</v>
      </c>
      <c r="D247" s="302"/>
      <c r="E247" s="303"/>
      <c r="F247" s="303"/>
      <c r="G247" s="303"/>
      <c r="H247" s="303"/>
      <c r="I247" s="303"/>
      <c r="J247" s="303"/>
      <c r="K247" s="303"/>
      <c r="L247" s="303"/>
      <c r="M247" s="303"/>
      <c r="N247" s="303"/>
      <c r="O247" s="303"/>
      <c r="P247" s="303"/>
      <c r="Q247" s="303"/>
      <c r="R247" s="303"/>
      <c r="S247" s="303"/>
      <c r="T247" s="303"/>
      <c r="U247" s="303"/>
      <c r="V247" s="303"/>
      <c r="W247" s="303"/>
      <c r="X247" s="303"/>
      <c r="Y247" s="303"/>
      <c r="Z247" s="303"/>
      <c r="AA247" s="303"/>
      <c r="AB247" s="303"/>
      <c r="AC247" s="303"/>
      <c r="AD247" s="303"/>
      <c r="AE247" s="303"/>
      <c r="AF247" s="303"/>
      <c r="AG247" s="303"/>
      <c r="AH247" s="303"/>
      <c r="AI247" s="303"/>
      <c r="AJ247" s="303"/>
      <c r="AK247" s="303"/>
      <c r="AL247" s="303"/>
      <c r="AM247" s="303"/>
      <c r="AN247" s="303"/>
      <c r="AO247" s="303"/>
      <c r="AP247" s="303"/>
      <c r="AQ247" s="303"/>
      <c r="AR247" s="303"/>
      <c r="AS247" s="303"/>
      <c r="AT247" s="303"/>
      <c r="AU247" s="303"/>
      <c r="AV247" s="303"/>
      <c r="AW247" s="303"/>
      <c r="AX247" s="303"/>
      <c r="AY247" s="303"/>
      <c r="AZ247" s="303"/>
      <c r="BA247" s="303"/>
      <c r="BB247" s="303"/>
      <c r="BC247" s="303"/>
      <c r="BD247" s="303"/>
      <c r="BE247" s="303"/>
      <c r="BF247" s="303"/>
      <c r="BG247" s="303"/>
      <c r="BH247" s="303"/>
      <c r="BI247" s="303"/>
      <c r="BJ247" s="303"/>
      <c r="BK247" s="303"/>
      <c r="BL247" s="303"/>
      <c r="BM247" s="303"/>
      <c r="BN247" s="303"/>
      <c r="BO247" s="303"/>
      <c r="BP247" s="303"/>
      <c r="BQ247" s="303"/>
      <c r="BR247" s="303"/>
      <c r="BS247" s="303"/>
      <c r="BT247" s="303"/>
      <c r="BU247" s="303"/>
      <c r="BV247" s="303"/>
      <c r="BW247" s="303"/>
      <c r="BX247" s="303"/>
      <c r="BY247" s="303"/>
      <c r="BZ247" s="303"/>
      <c r="CA247" s="303"/>
      <c r="CB247" s="303"/>
      <c r="CC247" s="303"/>
      <c r="CD247" s="303"/>
      <c r="CE247" s="303"/>
      <c r="CF247" s="303"/>
      <c r="CG247" s="303"/>
      <c r="CH247" s="303"/>
      <c r="CI247" s="303"/>
      <c r="CJ247" s="303"/>
      <c r="CK247" s="303"/>
      <c r="CL247" s="303"/>
      <c r="CM247" s="303"/>
      <c r="CN247" s="303"/>
      <c r="CO247" s="303"/>
      <c r="CP247" s="303"/>
      <c r="CQ247" s="303"/>
      <c r="CR247" s="303"/>
      <c r="CS247" s="303"/>
      <c r="CT247" s="303"/>
      <c r="CU247" s="303"/>
      <c r="CV247" s="303"/>
      <c r="CW247" s="303"/>
      <c r="CX247" s="303"/>
      <c r="CY247" s="303"/>
      <c r="CZ247" s="303"/>
      <c r="DA247" s="303"/>
      <c r="DB247" s="303"/>
      <c r="DC247" s="303"/>
      <c r="DD247" s="303"/>
      <c r="DE247" s="303"/>
      <c r="DF247" s="303"/>
      <c r="DG247" s="303"/>
      <c r="DH247" s="303"/>
      <c r="DI247" s="303"/>
      <c r="DJ247" s="303"/>
      <c r="DK247" s="303"/>
      <c r="DL247" s="303"/>
      <c r="DM247" s="303"/>
      <c r="DN247" s="303"/>
      <c r="DO247" s="303"/>
      <c r="DP247" s="303"/>
      <c r="DQ247" s="303"/>
    </row>
    <row r="248" spans="1:121" ht="15.75" thickBot="1" x14ac:dyDescent="0.3">
      <c r="A248" s="347">
        <f t="shared" si="3"/>
        <v>246</v>
      </c>
      <c r="B248" s="348" t="s">
        <v>872</v>
      </c>
      <c r="C248" s="349">
        <v>1000</v>
      </c>
      <c r="D248" s="305"/>
      <c r="E248" s="303"/>
      <c r="F248" s="303"/>
      <c r="G248" s="303"/>
      <c r="H248" s="303"/>
      <c r="I248" s="303"/>
      <c r="J248" s="303"/>
      <c r="K248" s="303"/>
      <c r="L248" s="303"/>
      <c r="M248" s="303"/>
      <c r="N248" s="303"/>
      <c r="O248" s="303"/>
      <c r="P248" s="303"/>
      <c r="Q248" s="303"/>
      <c r="R248" s="303"/>
      <c r="S248" s="303"/>
      <c r="T248" s="303"/>
      <c r="U248" s="303"/>
      <c r="V248" s="303"/>
      <c r="W248" s="303"/>
      <c r="X248" s="303"/>
      <c r="Y248" s="303"/>
      <c r="Z248" s="303"/>
      <c r="AA248" s="303"/>
      <c r="AB248" s="303"/>
      <c r="AC248" s="303"/>
      <c r="AD248" s="303"/>
      <c r="AE248" s="303"/>
      <c r="AF248" s="303"/>
      <c r="AG248" s="303"/>
      <c r="AH248" s="303"/>
      <c r="AI248" s="303"/>
      <c r="AJ248" s="303"/>
      <c r="AK248" s="303"/>
      <c r="AL248" s="303"/>
      <c r="AM248" s="303"/>
      <c r="AN248" s="303"/>
      <c r="AO248" s="303"/>
      <c r="AP248" s="303"/>
      <c r="AQ248" s="303"/>
      <c r="AR248" s="303"/>
      <c r="AS248" s="303"/>
      <c r="AT248" s="303"/>
      <c r="AU248" s="303"/>
      <c r="AV248" s="303"/>
      <c r="AW248" s="303"/>
      <c r="AX248" s="303"/>
      <c r="AY248" s="303"/>
      <c r="AZ248" s="303"/>
      <c r="BA248" s="303"/>
      <c r="BB248" s="303"/>
      <c r="BC248" s="303"/>
      <c r="BD248" s="303"/>
      <c r="BE248" s="303"/>
      <c r="BF248" s="303"/>
      <c r="BG248" s="303"/>
      <c r="BH248" s="303"/>
      <c r="BI248" s="303"/>
      <c r="BJ248" s="303"/>
      <c r="BK248" s="303"/>
      <c r="BL248" s="303"/>
      <c r="BM248" s="303"/>
      <c r="BN248" s="303"/>
      <c r="BO248" s="303"/>
      <c r="BP248" s="303"/>
      <c r="BQ248" s="303"/>
      <c r="BR248" s="303"/>
      <c r="BS248" s="303"/>
      <c r="BT248" s="303"/>
      <c r="BU248" s="303"/>
      <c r="BV248" s="303"/>
      <c r="BW248" s="303"/>
      <c r="BX248" s="303"/>
      <c r="BY248" s="303"/>
      <c r="BZ248" s="303"/>
      <c r="CA248" s="303"/>
      <c r="CB248" s="303"/>
      <c r="CC248" s="303"/>
      <c r="CD248" s="303"/>
      <c r="CE248" s="303"/>
      <c r="CF248" s="303"/>
      <c r="CG248" s="303"/>
      <c r="CH248" s="303"/>
      <c r="CI248" s="303"/>
      <c r="CJ248" s="303"/>
      <c r="CK248" s="303"/>
      <c r="CL248" s="303"/>
      <c r="CM248" s="303"/>
      <c r="CN248" s="303"/>
      <c r="CO248" s="303"/>
      <c r="CP248" s="303"/>
      <c r="CQ248" s="303"/>
      <c r="CR248" s="303"/>
      <c r="CS248" s="303"/>
      <c r="CT248" s="303"/>
      <c r="CU248" s="303"/>
      <c r="CV248" s="303"/>
      <c r="CW248" s="303"/>
      <c r="CX248" s="303"/>
      <c r="CY248" s="303"/>
      <c r="CZ248" s="303"/>
      <c r="DA248" s="303"/>
      <c r="DB248" s="303"/>
      <c r="DC248" s="303"/>
      <c r="DD248" s="303"/>
      <c r="DE248" s="303"/>
      <c r="DF248" s="303"/>
      <c r="DG248" s="303"/>
      <c r="DH248" s="303"/>
      <c r="DI248" s="303"/>
      <c r="DJ248" s="303"/>
      <c r="DK248" s="303"/>
      <c r="DL248" s="303"/>
      <c r="DM248" s="303"/>
      <c r="DN248" s="303"/>
      <c r="DO248" s="303"/>
      <c r="DP248" s="303"/>
      <c r="DQ248" s="303"/>
    </row>
    <row r="249" spans="1:121" x14ac:dyDescent="0.25">
      <c r="A249" s="347">
        <f t="shared" si="3"/>
        <v>247</v>
      </c>
      <c r="B249" s="348" t="s">
        <v>658</v>
      </c>
      <c r="C249" s="349">
        <v>350</v>
      </c>
      <c r="D249" s="302"/>
      <c r="E249" s="303"/>
      <c r="F249" s="303"/>
      <c r="G249" s="303"/>
      <c r="H249" s="303"/>
      <c r="I249" s="303"/>
      <c r="J249" s="303"/>
      <c r="K249" s="303"/>
      <c r="L249" s="303"/>
      <c r="M249" s="303"/>
      <c r="N249" s="303"/>
      <c r="O249" s="303"/>
      <c r="P249" s="303"/>
      <c r="Q249" s="303"/>
      <c r="R249" s="303"/>
      <c r="S249" s="303"/>
      <c r="T249" s="303"/>
      <c r="U249" s="303"/>
      <c r="V249" s="303"/>
      <c r="W249" s="303"/>
      <c r="X249" s="303"/>
      <c r="Y249" s="303"/>
      <c r="Z249" s="303"/>
      <c r="AA249" s="303"/>
      <c r="AB249" s="303"/>
      <c r="AC249" s="303"/>
      <c r="AD249" s="303"/>
      <c r="AE249" s="303"/>
      <c r="AF249" s="303"/>
      <c r="AG249" s="303"/>
      <c r="AH249" s="303"/>
      <c r="AI249" s="303"/>
      <c r="AJ249" s="303"/>
      <c r="AK249" s="303"/>
      <c r="AL249" s="303"/>
      <c r="AM249" s="303"/>
      <c r="AN249" s="303"/>
      <c r="AO249" s="303"/>
      <c r="AP249" s="303"/>
      <c r="AQ249" s="303"/>
      <c r="AR249" s="303"/>
      <c r="AS249" s="303"/>
      <c r="AT249" s="303"/>
      <c r="AU249" s="303"/>
      <c r="AV249" s="303"/>
      <c r="AW249" s="303"/>
      <c r="AX249" s="303"/>
      <c r="AY249" s="303"/>
      <c r="AZ249" s="303"/>
      <c r="BA249" s="303"/>
      <c r="BB249" s="303"/>
      <c r="BC249" s="303"/>
      <c r="BD249" s="303"/>
      <c r="BE249" s="303"/>
      <c r="BF249" s="303"/>
      <c r="BG249" s="303"/>
      <c r="BH249" s="303"/>
      <c r="BI249" s="303"/>
      <c r="BJ249" s="303"/>
      <c r="BK249" s="303"/>
      <c r="BL249" s="303"/>
      <c r="BM249" s="303"/>
      <c r="BN249" s="303"/>
      <c r="BO249" s="303"/>
      <c r="BP249" s="303"/>
      <c r="BQ249" s="303"/>
      <c r="BR249" s="303"/>
      <c r="BS249" s="303"/>
      <c r="BT249" s="303"/>
      <c r="BU249" s="303"/>
      <c r="BV249" s="303"/>
      <c r="BW249" s="303"/>
      <c r="BX249" s="303"/>
      <c r="BY249" s="303"/>
      <c r="BZ249" s="303"/>
      <c r="CA249" s="303"/>
      <c r="CB249" s="303"/>
      <c r="CC249" s="303"/>
      <c r="CD249" s="303"/>
      <c r="CE249" s="303"/>
      <c r="CF249" s="303"/>
      <c r="CG249" s="303"/>
      <c r="CH249" s="303"/>
      <c r="CI249" s="303"/>
      <c r="CJ249" s="303"/>
      <c r="CK249" s="303"/>
      <c r="CL249" s="303"/>
      <c r="CM249" s="303"/>
      <c r="CN249" s="303"/>
      <c r="CO249" s="303"/>
      <c r="CP249" s="303"/>
      <c r="CQ249" s="303"/>
      <c r="CR249" s="303"/>
      <c r="CS249" s="303"/>
      <c r="CT249" s="303"/>
      <c r="CU249" s="303"/>
      <c r="CV249" s="303"/>
      <c r="CW249" s="303"/>
      <c r="CX249" s="303"/>
      <c r="CY249" s="303"/>
      <c r="CZ249" s="303"/>
      <c r="DA249" s="303"/>
      <c r="DB249" s="303"/>
      <c r="DC249" s="303"/>
      <c r="DD249" s="303"/>
      <c r="DE249" s="303"/>
      <c r="DF249" s="303"/>
      <c r="DG249" s="303"/>
      <c r="DH249" s="303"/>
      <c r="DI249" s="303"/>
      <c r="DJ249" s="303"/>
      <c r="DK249" s="303"/>
      <c r="DL249" s="303"/>
      <c r="DM249" s="303"/>
      <c r="DN249" s="303"/>
      <c r="DO249" s="303"/>
      <c r="DP249" s="303"/>
      <c r="DQ249" s="303"/>
    </row>
    <row r="250" spans="1:121" x14ac:dyDescent="0.25">
      <c r="A250" s="347">
        <f t="shared" si="3"/>
        <v>248</v>
      </c>
      <c r="B250" s="353" t="s">
        <v>593</v>
      </c>
      <c r="C250" s="350">
        <v>300</v>
      </c>
      <c r="D250" s="297"/>
    </row>
    <row r="251" spans="1:121" x14ac:dyDescent="0.25">
      <c r="A251" s="347">
        <f t="shared" si="3"/>
        <v>249</v>
      </c>
      <c r="B251" s="348" t="s">
        <v>498</v>
      </c>
      <c r="C251" s="349">
        <v>200</v>
      </c>
      <c r="D251" s="297"/>
    </row>
    <row r="252" spans="1:121" x14ac:dyDescent="0.25">
      <c r="A252" s="347">
        <f t="shared" si="3"/>
        <v>250</v>
      </c>
      <c r="B252" s="351" t="s">
        <v>739</v>
      </c>
      <c r="C252" s="352">
        <v>400</v>
      </c>
      <c r="D252" s="297"/>
    </row>
    <row r="253" spans="1:121" x14ac:dyDescent="0.25">
      <c r="A253" s="347">
        <f t="shared" si="3"/>
        <v>251</v>
      </c>
      <c r="B253" s="348" t="s">
        <v>873</v>
      </c>
      <c r="C253" s="349">
        <v>350</v>
      </c>
      <c r="D253" s="297"/>
    </row>
    <row r="254" spans="1:121" x14ac:dyDescent="0.25">
      <c r="A254" s="347">
        <f t="shared" si="3"/>
        <v>252</v>
      </c>
      <c r="B254" s="354" t="s">
        <v>594</v>
      </c>
      <c r="C254" s="356">
        <v>350</v>
      </c>
      <c r="D254" s="297"/>
    </row>
    <row r="255" spans="1:121" x14ac:dyDescent="0.25">
      <c r="A255" s="347">
        <f t="shared" si="3"/>
        <v>253</v>
      </c>
      <c r="B255" s="351" t="s">
        <v>726</v>
      </c>
      <c r="C255" s="352">
        <v>1300</v>
      </c>
      <c r="D255" s="297"/>
    </row>
    <row r="256" spans="1:121" x14ac:dyDescent="0.25">
      <c r="A256" s="347">
        <f t="shared" si="3"/>
        <v>254</v>
      </c>
      <c r="B256" s="348" t="s">
        <v>920</v>
      </c>
      <c r="C256" s="349">
        <v>600</v>
      </c>
      <c r="D256" s="297"/>
    </row>
    <row r="257" spans="1:16" x14ac:dyDescent="0.25">
      <c r="A257" s="347">
        <f t="shared" si="3"/>
        <v>255</v>
      </c>
      <c r="B257" s="351" t="s">
        <v>727</v>
      </c>
      <c r="C257" s="352">
        <v>1500</v>
      </c>
      <c r="D257" s="297"/>
    </row>
    <row r="258" spans="1:16" x14ac:dyDescent="0.25">
      <c r="A258" s="347">
        <f t="shared" si="3"/>
        <v>256</v>
      </c>
      <c r="B258" s="348" t="s">
        <v>874</v>
      </c>
      <c r="C258" s="349">
        <v>1400</v>
      </c>
      <c r="D258" s="297"/>
    </row>
    <row r="259" spans="1:16" x14ac:dyDescent="0.25">
      <c r="A259" s="347">
        <f t="shared" si="3"/>
        <v>257</v>
      </c>
      <c r="B259" s="348" t="s">
        <v>875</v>
      </c>
      <c r="C259" s="349">
        <v>750</v>
      </c>
      <c r="D259" s="297"/>
    </row>
    <row r="260" spans="1:16" x14ac:dyDescent="0.25">
      <c r="A260" s="347">
        <f t="shared" ref="A260:A323" si="4">IF(B260&lt;&gt;"", ROW()-2, "")</f>
        <v>258</v>
      </c>
      <c r="B260" s="348" t="s">
        <v>646</v>
      </c>
      <c r="C260" s="349">
        <v>1000</v>
      </c>
      <c r="D260" s="297"/>
    </row>
    <row r="261" spans="1:16" x14ac:dyDescent="0.25">
      <c r="A261" s="347">
        <f t="shared" si="4"/>
        <v>259</v>
      </c>
      <c r="B261" s="348" t="s">
        <v>595</v>
      </c>
      <c r="C261" s="349">
        <v>800</v>
      </c>
      <c r="D261" s="297"/>
    </row>
    <row r="262" spans="1:16" x14ac:dyDescent="0.25">
      <c r="A262" s="347">
        <f t="shared" si="4"/>
        <v>260</v>
      </c>
      <c r="B262" s="348" t="s">
        <v>596</v>
      </c>
      <c r="C262" s="349">
        <v>1500</v>
      </c>
      <c r="D262" s="297"/>
    </row>
    <row r="263" spans="1:16" x14ac:dyDescent="0.25">
      <c r="A263" s="347">
        <f t="shared" si="4"/>
        <v>261</v>
      </c>
      <c r="B263" s="348" t="s">
        <v>714</v>
      </c>
      <c r="C263" s="349">
        <v>1900</v>
      </c>
      <c r="D263" s="297"/>
    </row>
    <row r="264" spans="1:16" x14ac:dyDescent="0.25">
      <c r="A264" s="347">
        <f t="shared" si="4"/>
        <v>262</v>
      </c>
      <c r="B264" s="348" t="s">
        <v>1011</v>
      </c>
      <c r="C264" s="349">
        <v>1800</v>
      </c>
      <c r="D264" s="297"/>
    </row>
    <row r="265" spans="1:16" x14ac:dyDescent="0.25">
      <c r="A265" s="347">
        <f t="shared" si="4"/>
        <v>263</v>
      </c>
      <c r="B265" s="353" t="s">
        <v>597</v>
      </c>
      <c r="C265" s="350">
        <v>700</v>
      </c>
      <c r="D265" s="297"/>
    </row>
    <row r="266" spans="1:16" x14ac:dyDescent="0.25">
      <c r="A266" s="347">
        <f t="shared" si="4"/>
        <v>264</v>
      </c>
      <c r="B266" s="348" t="s">
        <v>876</v>
      </c>
      <c r="C266" s="349">
        <v>1800</v>
      </c>
      <c r="D266" s="297"/>
    </row>
    <row r="267" spans="1:16" x14ac:dyDescent="0.25">
      <c r="A267" s="347">
        <f t="shared" si="4"/>
        <v>265</v>
      </c>
      <c r="B267" s="351" t="s">
        <v>725</v>
      </c>
      <c r="C267" s="352">
        <v>1950</v>
      </c>
      <c r="D267" s="297"/>
    </row>
    <row r="268" spans="1:16" x14ac:dyDescent="0.25">
      <c r="A268" s="347">
        <f t="shared" si="4"/>
        <v>266</v>
      </c>
      <c r="B268" s="348" t="s">
        <v>877</v>
      </c>
      <c r="C268" s="349">
        <v>1400</v>
      </c>
      <c r="D268" s="297"/>
      <c r="P268" s="232">
        <v>1</v>
      </c>
    </row>
    <row r="269" spans="1:16" x14ac:dyDescent="0.25">
      <c r="A269" s="347">
        <f t="shared" si="4"/>
        <v>267</v>
      </c>
      <c r="B269" s="348" t="s">
        <v>598</v>
      </c>
      <c r="C269" s="349">
        <v>200</v>
      </c>
      <c r="D269" s="297"/>
    </row>
    <row r="270" spans="1:16" x14ac:dyDescent="0.25">
      <c r="A270" s="347">
        <f t="shared" si="4"/>
        <v>268</v>
      </c>
      <c r="B270" s="348" t="s">
        <v>599</v>
      </c>
      <c r="C270" s="349">
        <v>2800</v>
      </c>
      <c r="D270" s="297"/>
    </row>
    <row r="271" spans="1:16" x14ac:dyDescent="0.25">
      <c r="A271" s="347">
        <f t="shared" si="4"/>
        <v>269</v>
      </c>
      <c r="B271" s="348" t="s">
        <v>600</v>
      </c>
      <c r="C271" s="349">
        <v>250</v>
      </c>
      <c r="D271" s="297"/>
    </row>
    <row r="272" spans="1:16" x14ac:dyDescent="0.25">
      <c r="A272" s="347">
        <f t="shared" si="4"/>
        <v>270</v>
      </c>
      <c r="B272" s="348" t="s">
        <v>878</v>
      </c>
      <c r="C272" s="349">
        <v>450</v>
      </c>
      <c r="D272" s="297"/>
    </row>
    <row r="273" spans="1:4" x14ac:dyDescent="0.25">
      <c r="A273" s="347">
        <f t="shared" si="4"/>
        <v>271</v>
      </c>
      <c r="B273" s="348" t="s">
        <v>925</v>
      </c>
      <c r="C273" s="349">
        <v>399</v>
      </c>
      <c r="D273" s="297"/>
    </row>
    <row r="274" spans="1:4" x14ac:dyDescent="0.25">
      <c r="A274" s="347">
        <f t="shared" si="4"/>
        <v>272</v>
      </c>
      <c r="B274" s="348" t="s">
        <v>921</v>
      </c>
      <c r="C274" s="349">
        <v>300</v>
      </c>
      <c r="D274" s="297"/>
    </row>
    <row r="275" spans="1:4" x14ac:dyDescent="0.25">
      <c r="A275" s="347">
        <f t="shared" si="4"/>
        <v>273</v>
      </c>
      <c r="B275" s="348" t="s">
        <v>713</v>
      </c>
      <c r="C275" s="349">
        <v>450</v>
      </c>
      <c r="D275" s="297"/>
    </row>
    <row r="276" spans="1:4" x14ac:dyDescent="0.25">
      <c r="A276" s="347">
        <f t="shared" si="4"/>
        <v>274</v>
      </c>
      <c r="B276" s="348" t="s">
        <v>879</v>
      </c>
      <c r="C276" s="349">
        <v>1000</v>
      </c>
      <c r="D276" s="297"/>
    </row>
    <row r="277" spans="1:4" x14ac:dyDescent="0.25">
      <c r="A277" s="347">
        <f t="shared" si="4"/>
        <v>275</v>
      </c>
      <c r="B277" s="353" t="s">
        <v>601</v>
      </c>
      <c r="C277" s="350">
        <v>1200</v>
      </c>
      <c r="D277" s="297"/>
    </row>
    <row r="278" spans="1:4" x14ac:dyDescent="0.25">
      <c r="A278" s="347">
        <f t="shared" si="4"/>
        <v>276</v>
      </c>
      <c r="B278" s="348" t="s">
        <v>733</v>
      </c>
      <c r="C278" s="349">
        <v>300</v>
      </c>
      <c r="D278" s="297"/>
    </row>
    <row r="279" spans="1:4" x14ac:dyDescent="0.25">
      <c r="A279" s="347">
        <f t="shared" si="4"/>
        <v>277</v>
      </c>
      <c r="B279" s="353" t="s">
        <v>602</v>
      </c>
      <c r="C279" s="350">
        <v>550</v>
      </c>
      <c r="D279" s="297"/>
    </row>
    <row r="280" spans="1:4" x14ac:dyDescent="0.25">
      <c r="A280" s="347">
        <f t="shared" si="4"/>
        <v>278</v>
      </c>
      <c r="B280" s="353" t="s">
        <v>937</v>
      </c>
      <c r="C280" s="350">
        <v>750</v>
      </c>
      <c r="D280" s="297"/>
    </row>
    <row r="281" spans="1:4" x14ac:dyDescent="0.25">
      <c r="A281" s="347">
        <f t="shared" si="4"/>
        <v>279</v>
      </c>
      <c r="B281" s="348" t="s">
        <v>655</v>
      </c>
      <c r="C281" s="349">
        <v>1500</v>
      </c>
      <c r="D281" s="297"/>
    </row>
    <row r="282" spans="1:4" x14ac:dyDescent="0.25">
      <c r="A282" s="347">
        <f t="shared" si="4"/>
        <v>280</v>
      </c>
      <c r="B282" s="348" t="s">
        <v>654</v>
      </c>
      <c r="C282" s="349">
        <v>750</v>
      </c>
      <c r="D282" s="297"/>
    </row>
    <row r="283" spans="1:4" x14ac:dyDescent="0.25">
      <c r="A283" s="347">
        <f t="shared" si="4"/>
        <v>281</v>
      </c>
      <c r="B283" s="348" t="s">
        <v>880</v>
      </c>
      <c r="C283" s="349">
        <v>800</v>
      </c>
      <c r="D283" s="297"/>
    </row>
    <row r="284" spans="1:4" x14ac:dyDescent="0.25">
      <c r="A284" s="347">
        <f t="shared" si="4"/>
        <v>282</v>
      </c>
      <c r="B284" s="348" t="s">
        <v>881</v>
      </c>
      <c r="C284" s="349">
        <v>900</v>
      </c>
      <c r="D284" s="297"/>
    </row>
    <row r="285" spans="1:4" x14ac:dyDescent="0.25">
      <c r="A285" s="347">
        <f t="shared" si="4"/>
        <v>283</v>
      </c>
      <c r="B285" s="348" t="s">
        <v>603</v>
      </c>
      <c r="C285" s="349">
        <v>800</v>
      </c>
      <c r="D285" s="297"/>
    </row>
    <row r="286" spans="1:4" x14ac:dyDescent="0.25">
      <c r="A286" s="347">
        <f t="shared" si="4"/>
        <v>284</v>
      </c>
      <c r="B286" s="351" t="s">
        <v>729</v>
      </c>
      <c r="C286" s="352">
        <v>900</v>
      </c>
      <c r="D286" s="297"/>
    </row>
    <row r="287" spans="1:4" x14ac:dyDescent="0.25">
      <c r="A287" s="347">
        <f t="shared" si="4"/>
        <v>285</v>
      </c>
      <c r="B287" s="348" t="s">
        <v>882</v>
      </c>
      <c r="C287" s="349">
        <v>1100</v>
      </c>
      <c r="D287" s="297"/>
    </row>
    <row r="288" spans="1:4" x14ac:dyDescent="0.25">
      <c r="A288" s="347">
        <f t="shared" si="4"/>
        <v>286</v>
      </c>
      <c r="B288" s="348" t="s">
        <v>604</v>
      </c>
      <c r="C288" s="349">
        <v>450</v>
      </c>
      <c r="D288" s="297"/>
    </row>
    <row r="289" spans="1:4" x14ac:dyDescent="0.25">
      <c r="A289" s="347">
        <f t="shared" si="4"/>
        <v>287</v>
      </c>
      <c r="B289" s="348" t="s">
        <v>605</v>
      </c>
      <c r="C289" s="349">
        <v>150</v>
      </c>
      <c r="D289" s="297"/>
    </row>
    <row r="290" spans="1:4" x14ac:dyDescent="0.25">
      <c r="A290" s="347">
        <f t="shared" si="4"/>
        <v>288</v>
      </c>
      <c r="B290" s="348" t="s">
        <v>606</v>
      </c>
      <c r="C290" s="349">
        <v>1900</v>
      </c>
      <c r="D290" s="297"/>
    </row>
    <row r="291" spans="1:4" x14ac:dyDescent="0.25">
      <c r="A291" s="347">
        <f t="shared" si="4"/>
        <v>289</v>
      </c>
      <c r="B291" s="348" t="s">
        <v>607</v>
      </c>
      <c r="C291" s="349">
        <v>150</v>
      </c>
      <c r="D291" s="297"/>
    </row>
    <row r="292" spans="1:4" x14ac:dyDescent="0.25">
      <c r="A292" s="347">
        <f t="shared" si="4"/>
        <v>290</v>
      </c>
      <c r="B292" s="348" t="s">
        <v>608</v>
      </c>
      <c r="C292" s="349">
        <v>250</v>
      </c>
      <c r="D292" s="297"/>
    </row>
    <row r="293" spans="1:4" x14ac:dyDescent="0.25">
      <c r="A293" s="347">
        <f t="shared" si="4"/>
        <v>291</v>
      </c>
      <c r="B293" s="348" t="s">
        <v>802</v>
      </c>
      <c r="C293" s="349">
        <v>500</v>
      </c>
      <c r="D293" s="297"/>
    </row>
    <row r="294" spans="1:4" x14ac:dyDescent="0.25">
      <c r="A294" s="347">
        <f t="shared" si="4"/>
        <v>292</v>
      </c>
      <c r="B294" s="348" t="s">
        <v>803</v>
      </c>
      <c r="C294" s="349">
        <v>250</v>
      </c>
      <c r="D294" s="297"/>
    </row>
    <row r="295" spans="1:4" x14ac:dyDescent="0.25">
      <c r="A295" s="347">
        <f t="shared" si="4"/>
        <v>293</v>
      </c>
      <c r="B295" s="348" t="s">
        <v>609</v>
      </c>
      <c r="C295" s="349">
        <v>1000</v>
      </c>
      <c r="D295" s="297"/>
    </row>
    <row r="296" spans="1:4" x14ac:dyDescent="0.25">
      <c r="A296" s="347">
        <f t="shared" si="4"/>
        <v>294</v>
      </c>
      <c r="B296" s="348" t="s">
        <v>610</v>
      </c>
      <c r="C296" s="349">
        <v>1500</v>
      </c>
      <c r="D296" s="297"/>
    </row>
    <row r="297" spans="1:4" x14ac:dyDescent="0.25">
      <c r="A297" s="347">
        <f t="shared" si="4"/>
        <v>295</v>
      </c>
      <c r="B297" s="348" t="s">
        <v>611</v>
      </c>
      <c r="C297" s="349">
        <v>400</v>
      </c>
      <c r="D297" s="297"/>
    </row>
    <row r="298" spans="1:4" x14ac:dyDescent="0.25">
      <c r="A298" s="347">
        <f t="shared" si="4"/>
        <v>296</v>
      </c>
      <c r="B298" s="348" t="s">
        <v>669</v>
      </c>
      <c r="C298" s="349">
        <v>800</v>
      </c>
      <c r="D298" s="297"/>
    </row>
    <row r="299" spans="1:4" x14ac:dyDescent="0.25">
      <c r="A299" s="347">
        <f t="shared" si="4"/>
        <v>297</v>
      </c>
      <c r="B299" s="348" t="s">
        <v>497</v>
      </c>
      <c r="C299" s="349">
        <v>250</v>
      </c>
      <c r="D299" s="297"/>
    </row>
    <row r="300" spans="1:4" x14ac:dyDescent="0.25">
      <c r="A300" s="347">
        <f t="shared" si="4"/>
        <v>298</v>
      </c>
      <c r="B300" s="348" t="s">
        <v>439</v>
      </c>
      <c r="C300" s="349">
        <v>70</v>
      </c>
      <c r="D300" s="297"/>
    </row>
    <row r="301" spans="1:4" x14ac:dyDescent="0.25">
      <c r="A301" s="347">
        <f t="shared" si="4"/>
        <v>299</v>
      </c>
      <c r="B301" s="348" t="s">
        <v>634</v>
      </c>
      <c r="C301" s="349">
        <v>500</v>
      </c>
      <c r="D301" s="297"/>
    </row>
    <row r="302" spans="1:4" x14ac:dyDescent="0.25">
      <c r="A302" s="347">
        <f t="shared" si="4"/>
        <v>300</v>
      </c>
      <c r="B302" s="353" t="s">
        <v>612</v>
      </c>
      <c r="C302" s="350">
        <v>1150</v>
      </c>
      <c r="D302" s="297"/>
    </row>
    <row r="303" spans="1:4" x14ac:dyDescent="0.25">
      <c r="A303" s="347">
        <f t="shared" si="4"/>
        <v>301</v>
      </c>
      <c r="B303" s="348" t="s">
        <v>883</v>
      </c>
      <c r="C303" s="349">
        <v>800</v>
      </c>
      <c r="D303" s="297"/>
    </row>
    <row r="304" spans="1:4" x14ac:dyDescent="0.25">
      <c r="A304" s="347">
        <f t="shared" si="4"/>
        <v>302</v>
      </c>
      <c r="B304" s="348" t="s">
        <v>720</v>
      </c>
      <c r="C304" s="352">
        <v>350</v>
      </c>
      <c r="D304" s="297"/>
    </row>
    <row r="305" spans="1:8" x14ac:dyDescent="0.25">
      <c r="A305" s="347">
        <f t="shared" si="4"/>
        <v>303</v>
      </c>
      <c r="B305" s="348" t="s">
        <v>613</v>
      </c>
      <c r="C305" s="349">
        <v>150</v>
      </c>
      <c r="D305" s="297"/>
    </row>
    <row r="306" spans="1:8" x14ac:dyDescent="0.25">
      <c r="A306" s="347">
        <f t="shared" si="4"/>
        <v>304</v>
      </c>
      <c r="B306" s="348" t="s">
        <v>496</v>
      </c>
      <c r="C306" s="349">
        <v>550</v>
      </c>
      <c r="D306" s="297"/>
    </row>
    <row r="307" spans="1:8" x14ac:dyDescent="0.25">
      <c r="A307" s="347">
        <f t="shared" si="4"/>
        <v>305</v>
      </c>
      <c r="B307" s="348" t="s">
        <v>884</v>
      </c>
      <c r="C307" s="349">
        <v>1800</v>
      </c>
      <c r="D307" s="297"/>
    </row>
    <row r="308" spans="1:8" x14ac:dyDescent="0.25">
      <c r="A308" s="347">
        <f t="shared" si="4"/>
        <v>306</v>
      </c>
      <c r="B308" s="348" t="s">
        <v>885</v>
      </c>
      <c r="C308" s="349">
        <v>800</v>
      </c>
      <c r="D308" s="297"/>
    </row>
    <row r="309" spans="1:8" x14ac:dyDescent="0.25">
      <c r="A309" s="347">
        <f t="shared" si="4"/>
        <v>307</v>
      </c>
      <c r="B309" s="348" t="s">
        <v>886</v>
      </c>
      <c r="C309" s="349">
        <v>150</v>
      </c>
      <c r="D309" s="297"/>
    </row>
    <row r="310" spans="1:8" x14ac:dyDescent="0.25">
      <c r="A310" s="347">
        <f t="shared" si="4"/>
        <v>308</v>
      </c>
      <c r="B310" s="348" t="s">
        <v>614</v>
      </c>
      <c r="C310" s="349">
        <v>400</v>
      </c>
      <c r="D310" s="297"/>
    </row>
    <row r="311" spans="1:8" x14ac:dyDescent="0.25">
      <c r="A311" s="347">
        <f t="shared" si="4"/>
        <v>309</v>
      </c>
      <c r="B311" s="348" t="s">
        <v>441</v>
      </c>
      <c r="C311" s="349">
        <v>200</v>
      </c>
      <c r="D311" s="297"/>
    </row>
    <row r="312" spans="1:8" x14ac:dyDescent="0.25">
      <c r="A312" s="347">
        <f t="shared" si="4"/>
        <v>310</v>
      </c>
      <c r="B312" s="348" t="s">
        <v>887</v>
      </c>
      <c r="C312" s="349">
        <v>1050</v>
      </c>
      <c r="D312" s="297"/>
      <c r="H312" s="306"/>
    </row>
    <row r="313" spans="1:8" x14ac:dyDescent="0.25">
      <c r="A313" s="347">
        <f t="shared" si="4"/>
        <v>311</v>
      </c>
      <c r="B313" s="348" t="s">
        <v>929</v>
      </c>
      <c r="C313" s="349">
        <v>2100</v>
      </c>
      <c r="D313" s="297"/>
    </row>
    <row r="314" spans="1:8" x14ac:dyDescent="0.25">
      <c r="A314" s="347">
        <f t="shared" si="4"/>
        <v>312</v>
      </c>
      <c r="B314" s="348" t="s">
        <v>615</v>
      </c>
      <c r="C314" s="349">
        <v>2800</v>
      </c>
      <c r="D314" s="297"/>
    </row>
    <row r="315" spans="1:8" x14ac:dyDescent="0.25">
      <c r="A315" s="347">
        <f t="shared" si="4"/>
        <v>313</v>
      </c>
      <c r="B315" s="354" t="s">
        <v>452</v>
      </c>
      <c r="C315" s="350">
        <v>250</v>
      </c>
      <c r="D315" s="297"/>
    </row>
    <row r="316" spans="1:8" x14ac:dyDescent="0.25">
      <c r="A316" s="347">
        <f t="shared" si="4"/>
        <v>314</v>
      </c>
      <c r="B316" s="348" t="s">
        <v>888</v>
      </c>
      <c r="C316" s="349">
        <v>1200</v>
      </c>
      <c r="D316" s="297"/>
    </row>
    <row r="317" spans="1:8" x14ac:dyDescent="0.25">
      <c r="A317" s="347">
        <f t="shared" si="4"/>
        <v>315</v>
      </c>
      <c r="B317" s="348" t="s">
        <v>889</v>
      </c>
      <c r="C317" s="349">
        <v>999</v>
      </c>
      <c r="D317" s="297"/>
    </row>
    <row r="318" spans="1:8" x14ac:dyDescent="0.25">
      <c r="A318" s="347">
        <f t="shared" si="4"/>
        <v>316</v>
      </c>
      <c r="B318" s="348" t="s">
        <v>915</v>
      </c>
      <c r="C318" s="349">
        <v>999</v>
      </c>
      <c r="D318" s="297"/>
    </row>
    <row r="319" spans="1:8" x14ac:dyDescent="0.25">
      <c r="A319" s="347">
        <f t="shared" si="4"/>
        <v>317</v>
      </c>
      <c r="B319" s="348" t="s">
        <v>890</v>
      </c>
      <c r="C319" s="349">
        <v>600</v>
      </c>
      <c r="D319" s="297"/>
    </row>
    <row r="320" spans="1:8" x14ac:dyDescent="0.25">
      <c r="A320" s="347">
        <f t="shared" si="4"/>
        <v>318</v>
      </c>
      <c r="B320" s="348" t="s">
        <v>891</v>
      </c>
      <c r="C320" s="349">
        <v>350</v>
      </c>
      <c r="D320" s="297"/>
    </row>
    <row r="321" spans="1:4" x14ac:dyDescent="0.25">
      <c r="A321" s="347">
        <f t="shared" si="4"/>
        <v>319</v>
      </c>
      <c r="B321" s="348" t="s">
        <v>443</v>
      </c>
      <c r="C321" s="349">
        <v>150</v>
      </c>
      <c r="D321" s="297"/>
    </row>
    <row r="322" spans="1:4" x14ac:dyDescent="0.25">
      <c r="A322" s="347">
        <f t="shared" si="4"/>
        <v>320</v>
      </c>
      <c r="B322" s="348" t="s">
        <v>616</v>
      </c>
      <c r="C322" s="349">
        <v>400</v>
      </c>
      <c r="D322" s="297"/>
    </row>
    <row r="323" spans="1:4" x14ac:dyDescent="0.25">
      <c r="A323" s="347">
        <f t="shared" si="4"/>
        <v>321</v>
      </c>
      <c r="B323" s="348" t="s">
        <v>706</v>
      </c>
      <c r="C323" s="349">
        <v>650</v>
      </c>
      <c r="D323" s="297"/>
    </row>
    <row r="324" spans="1:4" x14ac:dyDescent="0.25">
      <c r="A324" s="347">
        <f t="shared" ref="A324:A387" si="5">IF(B324&lt;&gt;"", ROW()-2, "")</f>
        <v>322</v>
      </c>
      <c r="B324" s="348" t="s">
        <v>717</v>
      </c>
      <c r="C324" s="349">
        <v>650</v>
      </c>
      <c r="D324" s="297"/>
    </row>
    <row r="325" spans="1:4" x14ac:dyDescent="0.25">
      <c r="A325" s="347">
        <f t="shared" si="5"/>
        <v>323</v>
      </c>
      <c r="B325" s="348" t="s">
        <v>892</v>
      </c>
      <c r="C325" s="349">
        <v>1700</v>
      </c>
      <c r="D325" s="297"/>
    </row>
    <row r="326" spans="1:4" x14ac:dyDescent="0.25">
      <c r="A326" s="347">
        <f t="shared" si="5"/>
        <v>324</v>
      </c>
      <c r="B326" s="348" t="s">
        <v>715</v>
      </c>
      <c r="C326" s="349">
        <v>550</v>
      </c>
      <c r="D326" s="297"/>
    </row>
    <row r="327" spans="1:4" x14ac:dyDescent="0.25">
      <c r="A327" s="347">
        <f t="shared" si="5"/>
        <v>325</v>
      </c>
      <c r="B327" s="348" t="s">
        <v>893</v>
      </c>
      <c r="C327" s="349">
        <v>1000</v>
      </c>
      <c r="D327" s="297"/>
    </row>
    <row r="328" spans="1:4" x14ac:dyDescent="0.25">
      <c r="A328" s="347">
        <f t="shared" si="5"/>
        <v>326</v>
      </c>
      <c r="B328" s="348" t="s">
        <v>723</v>
      </c>
      <c r="C328" s="352">
        <v>400</v>
      </c>
      <c r="D328" s="297"/>
    </row>
    <row r="329" spans="1:4" x14ac:dyDescent="0.25">
      <c r="A329" s="347">
        <f t="shared" si="5"/>
        <v>327</v>
      </c>
      <c r="B329" s="348" t="s">
        <v>894</v>
      </c>
      <c r="C329" s="349">
        <v>300</v>
      </c>
      <c r="D329" s="297"/>
    </row>
    <row r="330" spans="1:4" x14ac:dyDescent="0.25">
      <c r="A330" s="347">
        <f t="shared" si="5"/>
        <v>328</v>
      </c>
      <c r="B330" s="348" t="s">
        <v>895</v>
      </c>
      <c r="C330" s="349">
        <v>450</v>
      </c>
      <c r="D330" s="297"/>
    </row>
    <row r="331" spans="1:4" x14ac:dyDescent="0.25">
      <c r="A331" s="347">
        <f t="shared" si="5"/>
        <v>329</v>
      </c>
      <c r="B331" s="348" t="s">
        <v>896</v>
      </c>
      <c r="C331" s="349">
        <v>1500</v>
      </c>
      <c r="D331" s="297"/>
    </row>
    <row r="332" spans="1:4" x14ac:dyDescent="0.25">
      <c r="A332" s="347">
        <f t="shared" si="5"/>
        <v>330</v>
      </c>
      <c r="B332" s="348" t="s">
        <v>897</v>
      </c>
      <c r="C332" s="349">
        <v>950</v>
      </c>
      <c r="D332" s="297"/>
    </row>
    <row r="333" spans="1:4" x14ac:dyDescent="0.25">
      <c r="A333" s="347">
        <f t="shared" si="5"/>
        <v>331</v>
      </c>
      <c r="B333" s="348" t="s">
        <v>939</v>
      </c>
      <c r="C333" s="349">
        <v>1200</v>
      </c>
      <c r="D333" s="297"/>
    </row>
    <row r="334" spans="1:4" x14ac:dyDescent="0.25">
      <c r="A334" s="347">
        <f t="shared" si="5"/>
        <v>332</v>
      </c>
      <c r="B334" s="348" t="s">
        <v>617</v>
      </c>
      <c r="C334" s="349">
        <v>850</v>
      </c>
      <c r="D334" s="297"/>
    </row>
    <row r="335" spans="1:4" x14ac:dyDescent="0.25">
      <c r="A335" s="347">
        <f t="shared" si="5"/>
        <v>333</v>
      </c>
      <c r="B335" s="348" t="s">
        <v>709</v>
      </c>
      <c r="C335" s="349">
        <v>500</v>
      </c>
      <c r="D335" s="297"/>
    </row>
    <row r="336" spans="1:4" x14ac:dyDescent="0.25">
      <c r="A336" s="347">
        <f t="shared" si="5"/>
        <v>334</v>
      </c>
      <c r="B336" s="348" t="s">
        <v>898</v>
      </c>
      <c r="C336" s="349">
        <v>1000</v>
      </c>
      <c r="D336" s="297"/>
    </row>
    <row r="337" spans="1:4" x14ac:dyDescent="0.25">
      <c r="A337" s="347">
        <f t="shared" si="5"/>
        <v>335</v>
      </c>
      <c r="B337" s="348" t="s">
        <v>618</v>
      </c>
      <c r="C337" s="349">
        <v>225</v>
      </c>
      <c r="D337" s="297"/>
    </row>
    <row r="338" spans="1:4" x14ac:dyDescent="0.25">
      <c r="A338" s="347">
        <f t="shared" si="5"/>
        <v>336</v>
      </c>
      <c r="B338" s="353" t="s">
        <v>619</v>
      </c>
      <c r="C338" s="350">
        <v>150</v>
      </c>
      <c r="D338" s="297"/>
    </row>
    <row r="339" spans="1:4" x14ac:dyDescent="0.25">
      <c r="A339" s="347">
        <f t="shared" si="5"/>
        <v>337</v>
      </c>
      <c r="B339" s="348" t="s">
        <v>899</v>
      </c>
      <c r="C339" s="349">
        <v>200</v>
      </c>
      <c r="D339" s="297"/>
    </row>
    <row r="340" spans="1:4" x14ac:dyDescent="0.25">
      <c r="A340" s="347">
        <f t="shared" si="5"/>
        <v>338</v>
      </c>
      <c r="B340" s="348" t="s">
        <v>442</v>
      </c>
      <c r="C340" s="349">
        <v>150</v>
      </c>
      <c r="D340" s="297"/>
    </row>
    <row r="341" spans="1:4" x14ac:dyDescent="0.25">
      <c r="A341" s="347">
        <f t="shared" si="5"/>
        <v>339</v>
      </c>
      <c r="B341" s="348" t="s">
        <v>620</v>
      </c>
      <c r="C341" s="349">
        <v>300</v>
      </c>
      <c r="D341" s="297"/>
    </row>
    <row r="342" spans="1:4" x14ac:dyDescent="0.25">
      <c r="A342" s="347">
        <f t="shared" si="5"/>
        <v>340</v>
      </c>
      <c r="B342" s="348" t="s">
        <v>900</v>
      </c>
      <c r="C342" s="349">
        <v>1200</v>
      </c>
      <c r="D342" s="297"/>
    </row>
    <row r="343" spans="1:4" x14ac:dyDescent="0.25">
      <c r="A343" s="347">
        <f t="shared" si="5"/>
        <v>341</v>
      </c>
      <c r="B343" s="348" t="s">
        <v>901</v>
      </c>
      <c r="C343" s="349">
        <v>800</v>
      </c>
      <c r="D343" s="297"/>
    </row>
    <row r="344" spans="1:4" x14ac:dyDescent="0.25">
      <c r="A344" s="347">
        <f t="shared" si="5"/>
        <v>342</v>
      </c>
      <c r="B344" s="348" t="s">
        <v>902</v>
      </c>
      <c r="C344" s="349">
        <v>500</v>
      </c>
      <c r="D344" s="297"/>
    </row>
    <row r="345" spans="1:4" x14ac:dyDescent="0.25">
      <c r="A345" s="347">
        <f t="shared" si="5"/>
        <v>343</v>
      </c>
      <c r="B345" s="348" t="s">
        <v>903</v>
      </c>
      <c r="C345" s="349">
        <v>500</v>
      </c>
      <c r="D345" s="297"/>
    </row>
    <row r="346" spans="1:4" x14ac:dyDescent="0.25">
      <c r="A346" s="347">
        <f t="shared" si="5"/>
        <v>344</v>
      </c>
      <c r="B346" s="348" t="s">
        <v>904</v>
      </c>
      <c r="C346" s="352">
        <v>950</v>
      </c>
      <c r="D346" s="297"/>
    </row>
    <row r="347" spans="1:4" x14ac:dyDescent="0.25">
      <c r="A347" s="347">
        <f t="shared" si="5"/>
        <v>345</v>
      </c>
      <c r="B347" s="348" t="s">
        <v>996</v>
      </c>
      <c r="C347" s="349">
        <v>900</v>
      </c>
      <c r="D347" s="297"/>
    </row>
    <row r="348" spans="1:4" x14ac:dyDescent="0.25">
      <c r="A348" s="347">
        <f t="shared" si="5"/>
        <v>346</v>
      </c>
      <c r="B348" s="348" t="s">
        <v>621</v>
      </c>
      <c r="C348" s="349">
        <v>2800</v>
      </c>
      <c r="D348" s="297"/>
    </row>
    <row r="349" spans="1:4" x14ac:dyDescent="0.25">
      <c r="A349" s="347">
        <f t="shared" si="5"/>
        <v>347</v>
      </c>
      <c r="B349" s="354" t="s">
        <v>451</v>
      </c>
      <c r="C349" s="350">
        <v>250</v>
      </c>
      <c r="D349" s="297"/>
    </row>
    <row r="350" spans="1:4" x14ac:dyDescent="0.25">
      <c r="A350" s="347">
        <f t="shared" si="5"/>
        <v>348</v>
      </c>
      <c r="B350" s="351" t="s">
        <v>735</v>
      </c>
      <c r="C350" s="352">
        <v>350</v>
      </c>
      <c r="D350" s="297"/>
    </row>
    <row r="351" spans="1:4" x14ac:dyDescent="0.25">
      <c r="A351" s="347">
        <f t="shared" si="5"/>
        <v>349</v>
      </c>
      <c r="B351" s="354" t="s">
        <v>641</v>
      </c>
      <c r="C351" s="356">
        <v>1550</v>
      </c>
      <c r="D351" s="297"/>
    </row>
    <row r="352" spans="1:4" x14ac:dyDescent="0.25">
      <c r="A352" s="347">
        <f t="shared" si="5"/>
        <v>350</v>
      </c>
      <c r="B352" s="348" t="s">
        <v>659</v>
      </c>
      <c r="C352" s="349">
        <v>775</v>
      </c>
      <c r="D352" s="297"/>
    </row>
    <row r="353" spans="1:4" x14ac:dyDescent="0.25">
      <c r="A353" s="347">
        <f t="shared" si="5"/>
        <v>351</v>
      </c>
      <c r="B353" s="348" t="s">
        <v>718</v>
      </c>
      <c r="C353" s="349">
        <v>800</v>
      </c>
      <c r="D353" s="297"/>
    </row>
    <row r="354" spans="1:4" x14ac:dyDescent="0.25">
      <c r="A354" s="347">
        <f t="shared" si="5"/>
        <v>352</v>
      </c>
      <c r="B354" s="348" t="s">
        <v>905</v>
      </c>
      <c r="C354" s="349">
        <v>1400</v>
      </c>
      <c r="D354" s="297"/>
    </row>
    <row r="355" spans="1:4" x14ac:dyDescent="0.25">
      <c r="A355" s="347">
        <f t="shared" si="5"/>
        <v>353</v>
      </c>
      <c r="B355" s="348" t="s">
        <v>622</v>
      </c>
      <c r="C355" s="349">
        <v>150</v>
      </c>
      <c r="D355" s="297"/>
    </row>
    <row r="356" spans="1:4" x14ac:dyDescent="0.25">
      <c r="A356" s="347">
        <f t="shared" si="5"/>
        <v>354</v>
      </c>
      <c r="B356" s="348" t="s">
        <v>623</v>
      </c>
      <c r="C356" s="349">
        <v>150</v>
      </c>
      <c r="D356" s="297"/>
    </row>
    <row r="357" spans="1:4" x14ac:dyDescent="0.25">
      <c r="A357" s="347">
        <f t="shared" si="5"/>
        <v>355</v>
      </c>
      <c r="B357" s="348" t="s">
        <v>640</v>
      </c>
      <c r="C357" s="349">
        <v>200</v>
      </c>
      <c r="D357" s="297"/>
    </row>
    <row r="358" spans="1:4" x14ac:dyDescent="0.25">
      <c r="A358" s="347">
        <f t="shared" si="5"/>
        <v>356</v>
      </c>
      <c r="B358" s="348" t="s">
        <v>997</v>
      </c>
      <c r="C358" s="349">
        <v>2000</v>
      </c>
      <c r="D358" s="297"/>
    </row>
    <row r="359" spans="1:4" x14ac:dyDescent="0.25">
      <c r="A359" s="347">
        <f t="shared" si="5"/>
        <v>357</v>
      </c>
      <c r="B359" s="348" t="s">
        <v>906</v>
      </c>
      <c r="C359" s="349">
        <v>1400</v>
      </c>
      <c r="D359" s="297"/>
    </row>
    <row r="360" spans="1:4" x14ac:dyDescent="0.25">
      <c r="A360" s="347">
        <f t="shared" si="5"/>
        <v>358</v>
      </c>
      <c r="B360" s="348" t="s">
        <v>907</v>
      </c>
      <c r="C360" s="349">
        <v>1300</v>
      </c>
      <c r="D360" s="297"/>
    </row>
    <row r="361" spans="1:4" x14ac:dyDescent="0.25">
      <c r="A361" s="347">
        <f t="shared" si="5"/>
        <v>359</v>
      </c>
      <c r="B361" s="348" t="s">
        <v>711</v>
      </c>
      <c r="C361" s="349">
        <v>850</v>
      </c>
      <c r="D361" s="297"/>
    </row>
    <row r="362" spans="1:4" x14ac:dyDescent="0.25">
      <c r="A362" s="347">
        <f t="shared" si="5"/>
        <v>360</v>
      </c>
      <c r="B362" s="348" t="s">
        <v>908</v>
      </c>
      <c r="C362" s="349">
        <v>1200</v>
      </c>
      <c r="D362" s="297"/>
    </row>
    <row r="363" spans="1:4" x14ac:dyDescent="0.25">
      <c r="A363" s="347">
        <f t="shared" si="5"/>
        <v>361</v>
      </c>
      <c r="B363" s="351" t="s">
        <v>731</v>
      </c>
      <c r="C363" s="352">
        <v>1150</v>
      </c>
      <c r="D363" s="297"/>
    </row>
    <row r="364" spans="1:4" x14ac:dyDescent="0.25">
      <c r="A364" s="347">
        <f t="shared" si="5"/>
        <v>362</v>
      </c>
      <c r="B364" s="348" t="s">
        <v>624</v>
      </c>
      <c r="C364" s="349">
        <v>2800</v>
      </c>
      <c r="D364" s="297"/>
    </row>
    <row r="365" spans="1:4" x14ac:dyDescent="0.25">
      <c r="A365" s="347">
        <f t="shared" si="5"/>
        <v>363</v>
      </c>
      <c r="B365" s="348" t="s">
        <v>790</v>
      </c>
      <c r="C365" s="349">
        <v>1000</v>
      </c>
      <c r="D365" s="297"/>
    </row>
    <row r="366" spans="1:4" x14ac:dyDescent="0.25">
      <c r="A366" s="347">
        <f t="shared" si="5"/>
        <v>364</v>
      </c>
      <c r="B366" s="348" t="s">
        <v>661</v>
      </c>
      <c r="C366" s="349">
        <v>2000</v>
      </c>
      <c r="D366" s="297"/>
    </row>
    <row r="367" spans="1:4" x14ac:dyDescent="0.25">
      <c r="A367" s="347">
        <f t="shared" si="5"/>
        <v>365</v>
      </c>
      <c r="B367" s="348" t="s">
        <v>625</v>
      </c>
      <c r="C367" s="349">
        <v>250</v>
      </c>
      <c r="D367" s="297"/>
    </row>
    <row r="368" spans="1:4" x14ac:dyDescent="0.25">
      <c r="A368" s="347">
        <f t="shared" si="5"/>
        <v>366</v>
      </c>
      <c r="B368" s="348" t="s">
        <v>626</v>
      </c>
      <c r="C368" s="349">
        <v>2800</v>
      </c>
      <c r="D368" s="297"/>
    </row>
    <row r="369" spans="1:4" x14ac:dyDescent="0.25">
      <c r="A369" s="347">
        <f t="shared" si="5"/>
        <v>367</v>
      </c>
      <c r="B369" s="348" t="s">
        <v>909</v>
      </c>
      <c r="C369" s="349">
        <v>1500</v>
      </c>
      <c r="D369" s="297"/>
    </row>
    <row r="370" spans="1:4" x14ac:dyDescent="0.25">
      <c r="A370" s="347">
        <f t="shared" si="5"/>
        <v>368</v>
      </c>
      <c r="B370" s="348" t="s">
        <v>910</v>
      </c>
      <c r="C370" s="349">
        <v>300</v>
      </c>
      <c r="D370" s="297"/>
    </row>
    <row r="371" spans="1:4" x14ac:dyDescent="0.25">
      <c r="A371" s="347">
        <f t="shared" si="5"/>
        <v>369</v>
      </c>
      <c r="B371" s="348" t="s">
        <v>738</v>
      </c>
      <c r="C371" s="349">
        <v>80</v>
      </c>
      <c r="D371" s="297"/>
    </row>
    <row r="372" spans="1:4" x14ac:dyDescent="0.25">
      <c r="A372" s="347">
        <f t="shared" si="5"/>
        <v>370</v>
      </c>
      <c r="B372" s="348" t="s">
        <v>627</v>
      </c>
      <c r="C372" s="349">
        <v>60</v>
      </c>
      <c r="D372" s="297"/>
    </row>
    <row r="373" spans="1:4" x14ac:dyDescent="0.25">
      <c r="A373" s="347">
        <f t="shared" si="5"/>
        <v>371</v>
      </c>
      <c r="B373" s="351" t="s">
        <v>911</v>
      </c>
      <c r="C373" s="352">
        <v>5000</v>
      </c>
      <c r="D373" s="297"/>
    </row>
    <row r="374" spans="1:4" x14ac:dyDescent="0.25">
      <c r="A374" s="347">
        <f t="shared" si="5"/>
        <v>372</v>
      </c>
      <c r="B374" s="348" t="s">
        <v>912</v>
      </c>
      <c r="C374" s="349">
        <v>430</v>
      </c>
      <c r="D374" s="297"/>
    </row>
    <row r="375" spans="1:4" x14ac:dyDescent="0.25">
      <c r="A375" s="347">
        <f t="shared" si="5"/>
        <v>373</v>
      </c>
      <c r="B375" s="354" t="s">
        <v>628</v>
      </c>
      <c r="C375" s="356">
        <v>550</v>
      </c>
      <c r="D375" s="297"/>
    </row>
    <row r="376" spans="1:4" x14ac:dyDescent="0.25">
      <c r="A376" s="347">
        <f t="shared" si="5"/>
        <v>374</v>
      </c>
      <c r="B376" s="348" t="s">
        <v>809</v>
      </c>
      <c r="C376" s="349">
        <v>800</v>
      </c>
      <c r="D376" s="297"/>
    </row>
    <row r="377" spans="1:4" x14ac:dyDescent="0.25">
      <c r="A377" s="347">
        <f t="shared" si="5"/>
        <v>375</v>
      </c>
      <c r="B377" s="348" t="s">
        <v>722</v>
      </c>
      <c r="C377" s="352">
        <v>350</v>
      </c>
      <c r="D377" s="297"/>
    </row>
    <row r="378" spans="1:4" x14ac:dyDescent="0.25">
      <c r="A378" s="347">
        <f t="shared" si="5"/>
        <v>376</v>
      </c>
      <c r="B378" s="348" t="s">
        <v>629</v>
      </c>
      <c r="C378" s="349">
        <v>500</v>
      </c>
      <c r="D378" s="297"/>
    </row>
    <row r="379" spans="1:4" x14ac:dyDescent="0.25">
      <c r="A379" s="347">
        <f t="shared" si="5"/>
        <v>377</v>
      </c>
      <c r="B379" s="348" t="s">
        <v>913</v>
      </c>
      <c r="C379" s="349">
        <v>400</v>
      </c>
      <c r="D379" s="297"/>
    </row>
    <row r="380" spans="1:4" x14ac:dyDescent="0.25">
      <c r="A380" s="347">
        <f t="shared" si="5"/>
        <v>378</v>
      </c>
      <c r="B380" s="348" t="s">
        <v>630</v>
      </c>
      <c r="C380" s="349">
        <v>550</v>
      </c>
      <c r="D380" s="297"/>
    </row>
    <row r="381" spans="1:4" x14ac:dyDescent="0.25">
      <c r="A381" s="347">
        <f t="shared" si="5"/>
        <v>379</v>
      </c>
      <c r="B381" s="348" t="s">
        <v>721</v>
      </c>
      <c r="C381" s="352">
        <v>150</v>
      </c>
      <c r="D381" s="297"/>
    </row>
    <row r="382" spans="1:4" x14ac:dyDescent="0.25">
      <c r="A382" s="347">
        <f t="shared" si="5"/>
        <v>380</v>
      </c>
      <c r="B382" s="348" t="s">
        <v>631</v>
      </c>
      <c r="C382" s="349">
        <v>100</v>
      </c>
      <c r="D382" s="297"/>
    </row>
    <row r="383" spans="1:4" x14ac:dyDescent="0.25">
      <c r="A383" s="347">
        <f t="shared" si="5"/>
        <v>381</v>
      </c>
      <c r="B383" s="348" t="s">
        <v>632</v>
      </c>
      <c r="C383" s="349">
        <v>400</v>
      </c>
      <c r="D383" s="297"/>
    </row>
    <row r="384" spans="1:4" x14ac:dyDescent="0.25">
      <c r="A384" s="347">
        <f t="shared" si="5"/>
        <v>382</v>
      </c>
      <c r="B384" s="348" t="s">
        <v>506</v>
      </c>
      <c r="C384" s="349">
        <v>500</v>
      </c>
      <c r="D384" s="297"/>
    </row>
    <row r="385" spans="1:4" x14ac:dyDescent="0.25">
      <c r="A385" s="347">
        <f t="shared" si="5"/>
        <v>383</v>
      </c>
      <c r="B385" s="348" t="s">
        <v>633</v>
      </c>
      <c r="C385" s="349">
        <v>700</v>
      </c>
      <c r="D385" s="297"/>
    </row>
    <row r="386" spans="1:4" x14ac:dyDescent="0.25">
      <c r="A386" s="347">
        <f t="shared" si="5"/>
        <v>384</v>
      </c>
      <c r="B386" s="348" t="s">
        <v>928</v>
      </c>
      <c r="C386" s="349">
        <v>150</v>
      </c>
      <c r="D386" s="297"/>
    </row>
    <row r="387" spans="1:4" x14ac:dyDescent="0.25">
      <c r="A387" s="347">
        <f t="shared" si="5"/>
        <v>385</v>
      </c>
      <c r="B387" s="348" t="s">
        <v>930</v>
      </c>
      <c r="C387" s="349">
        <v>1800</v>
      </c>
      <c r="D387" s="297"/>
    </row>
    <row r="388" spans="1:4" x14ac:dyDescent="0.25">
      <c r="A388" s="347">
        <f t="shared" ref="A388:A451" si="6">IF(B388&lt;&gt;"", ROW()-2, "")</f>
        <v>386</v>
      </c>
      <c r="B388" s="348" t="s">
        <v>931</v>
      </c>
      <c r="C388" s="349">
        <v>1850</v>
      </c>
      <c r="D388" s="297"/>
    </row>
    <row r="389" spans="1:4" x14ac:dyDescent="0.25">
      <c r="A389" s="347">
        <f t="shared" si="6"/>
        <v>387</v>
      </c>
      <c r="B389" s="348" t="s">
        <v>932</v>
      </c>
      <c r="C389" s="349">
        <v>900</v>
      </c>
      <c r="D389" s="297"/>
    </row>
    <row r="390" spans="1:4" x14ac:dyDescent="0.25">
      <c r="A390" s="347">
        <f t="shared" si="6"/>
        <v>388</v>
      </c>
      <c r="B390" s="348" t="s">
        <v>933</v>
      </c>
      <c r="C390" s="349">
        <v>800</v>
      </c>
      <c r="D390" s="297"/>
    </row>
    <row r="391" spans="1:4" x14ac:dyDescent="0.25">
      <c r="A391" s="347">
        <f t="shared" si="6"/>
        <v>389</v>
      </c>
      <c r="B391" s="348" t="s">
        <v>788</v>
      </c>
      <c r="C391" s="349">
        <v>300</v>
      </c>
      <c r="D391" s="297"/>
    </row>
    <row r="392" spans="1:4" x14ac:dyDescent="0.25">
      <c r="A392" s="347">
        <f t="shared" si="6"/>
        <v>390</v>
      </c>
      <c r="B392" s="348" t="s">
        <v>914</v>
      </c>
      <c r="C392" s="349">
        <v>200</v>
      </c>
      <c r="D392" s="297"/>
    </row>
    <row r="393" spans="1:4" x14ac:dyDescent="0.25">
      <c r="A393" s="347">
        <f t="shared" si="6"/>
        <v>391</v>
      </c>
      <c r="B393" s="348" t="s">
        <v>916</v>
      </c>
      <c r="C393" s="349">
        <v>300</v>
      </c>
      <c r="D393" s="297"/>
    </row>
    <row r="394" spans="1:4" x14ac:dyDescent="0.25">
      <c r="A394" s="347">
        <f t="shared" si="6"/>
        <v>392</v>
      </c>
      <c r="B394" s="348" t="s">
        <v>789</v>
      </c>
      <c r="C394" s="349">
        <v>1500</v>
      </c>
      <c r="D394" s="297"/>
    </row>
    <row r="395" spans="1:4" x14ac:dyDescent="0.25">
      <c r="A395" s="347">
        <f t="shared" si="6"/>
        <v>393</v>
      </c>
      <c r="B395" s="348" t="s">
        <v>936</v>
      </c>
      <c r="C395" s="349">
        <v>350</v>
      </c>
      <c r="D395" s="297"/>
    </row>
    <row r="396" spans="1:4" x14ac:dyDescent="0.25">
      <c r="A396" s="347">
        <f t="shared" si="6"/>
        <v>394</v>
      </c>
      <c r="B396" s="348" t="s">
        <v>938</v>
      </c>
      <c r="C396" s="349">
        <v>750</v>
      </c>
      <c r="D396" s="297"/>
    </row>
    <row r="397" spans="1:4" x14ac:dyDescent="0.25">
      <c r="A397" s="347">
        <f t="shared" si="6"/>
        <v>395</v>
      </c>
      <c r="B397" s="348" t="s">
        <v>940</v>
      </c>
      <c r="C397" s="349">
        <v>1000</v>
      </c>
      <c r="D397" s="297"/>
    </row>
    <row r="398" spans="1:4" x14ac:dyDescent="0.25">
      <c r="A398" s="347">
        <f t="shared" si="6"/>
        <v>396</v>
      </c>
      <c r="B398" s="348" t="s">
        <v>941</v>
      </c>
      <c r="C398" s="349">
        <v>500</v>
      </c>
      <c r="D398" s="297"/>
    </row>
    <row r="399" spans="1:4" x14ac:dyDescent="0.25">
      <c r="A399" s="347">
        <f t="shared" si="6"/>
        <v>397</v>
      </c>
      <c r="B399" s="348" t="s">
        <v>942</v>
      </c>
      <c r="C399" s="349">
        <v>75</v>
      </c>
      <c r="D399" s="297"/>
    </row>
    <row r="400" spans="1:4" x14ac:dyDescent="0.25">
      <c r="A400" s="347">
        <f t="shared" si="6"/>
        <v>398</v>
      </c>
      <c r="B400" s="348" t="s">
        <v>944</v>
      </c>
      <c r="C400" s="349">
        <v>15000</v>
      </c>
      <c r="D400" s="297"/>
    </row>
    <row r="401" spans="1:4" x14ac:dyDescent="0.25">
      <c r="A401" s="347">
        <f t="shared" si="6"/>
        <v>399</v>
      </c>
      <c r="B401" s="348" t="s">
        <v>951</v>
      </c>
      <c r="C401" s="349">
        <v>900</v>
      </c>
      <c r="D401" s="297"/>
    </row>
    <row r="402" spans="1:4" x14ac:dyDescent="0.25">
      <c r="A402" s="347">
        <f t="shared" si="6"/>
        <v>400</v>
      </c>
      <c r="B402" s="348" t="s">
        <v>954</v>
      </c>
      <c r="C402" s="349">
        <v>60</v>
      </c>
      <c r="D402" s="297"/>
    </row>
    <row r="403" spans="1:4" x14ac:dyDescent="0.25">
      <c r="A403" s="347">
        <f t="shared" si="6"/>
        <v>401</v>
      </c>
      <c r="B403" s="348" t="s">
        <v>955</v>
      </c>
      <c r="C403" s="349">
        <v>100</v>
      </c>
      <c r="D403" s="297"/>
    </row>
    <row r="404" spans="1:4" x14ac:dyDescent="0.25">
      <c r="A404" s="347">
        <f t="shared" si="6"/>
        <v>402</v>
      </c>
      <c r="B404" s="348" t="s">
        <v>922</v>
      </c>
      <c r="C404" s="349">
        <v>750</v>
      </c>
      <c r="D404" s="297"/>
    </row>
    <row r="405" spans="1:4" x14ac:dyDescent="0.25">
      <c r="A405" s="347">
        <f t="shared" si="6"/>
        <v>403</v>
      </c>
      <c r="B405" s="348" t="s">
        <v>973</v>
      </c>
      <c r="C405" s="349">
        <v>350</v>
      </c>
      <c r="D405" s="297"/>
    </row>
    <row r="406" spans="1:4" x14ac:dyDescent="0.25">
      <c r="A406" s="347">
        <f t="shared" si="6"/>
        <v>404</v>
      </c>
      <c r="B406" s="348" t="s">
        <v>974</v>
      </c>
      <c r="C406" s="349">
        <v>450</v>
      </c>
      <c r="D406" s="297"/>
    </row>
    <row r="407" spans="1:4" x14ac:dyDescent="0.25">
      <c r="A407" s="347">
        <f t="shared" si="6"/>
        <v>405</v>
      </c>
      <c r="B407" s="348" t="s">
        <v>975</v>
      </c>
      <c r="C407" s="349">
        <v>800</v>
      </c>
      <c r="D407" s="297"/>
    </row>
    <row r="408" spans="1:4" x14ac:dyDescent="0.25">
      <c r="A408" s="347">
        <f t="shared" si="6"/>
        <v>406</v>
      </c>
      <c r="B408" s="348" t="s">
        <v>989</v>
      </c>
      <c r="C408" s="349">
        <v>150</v>
      </c>
      <c r="D408" s="297"/>
    </row>
    <row r="409" spans="1:4" x14ac:dyDescent="0.25">
      <c r="A409" s="347">
        <f t="shared" si="6"/>
        <v>407</v>
      </c>
      <c r="B409" s="348" t="s">
        <v>990</v>
      </c>
      <c r="C409" s="349">
        <v>100</v>
      </c>
      <c r="D409" s="297"/>
    </row>
    <row r="410" spans="1:4" x14ac:dyDescent="0.25">
      <c r="A410" s="347">
        <f t="shared" si="6"/>
        <v>408</v>
      </c>
      <c r="B410" s="348" t="s">
        <v>994</v>
      </c>
      <c r="C410" s="349">
        <v>3800</v>
      </c>
      <c r="D410" s="297"/>
    </row>
    <row r="411" spans="1:4" x14ac:dyDescent="0.25">
      <c r="A411" s="347">
        <f t="shared" si="6"/>
        <v>409</v>
      </c>
      <c r="B411" s="348" t="s">
        <v>995</v>
      </c>
      <c r="C411" s="349">
        <v>400</v>
      </c>
      <c r="D411" s="297"/>
    </row>
    <row r="412" spans="1:4" x14ac:dyDescent="0.25">
      <c r="A412" s="347">
        <f t="shared" si="6"/>
        <v>410</v>
      </c>
      <c r="B412" s="348" t="s">
        <v>998</v>
      </c>
      <c r="C412" s="349">
        <v>200</v>
      </c>
      <c r="D412" s="297"/>
    </row>
    <row r="413" spans="1:4" x14ac:dyDescent="0.25">
      <c r="A413" s="347">
        <f t="shared" si="6"/>
        <v>411</v>
      </c>
      <c r="B413" s="348" t="s">
        <v>999</v>
      </c>
      <c r="C413" s="349">
        <v>550</v>
      </c>
      <c r="D413" s="297"/>
    </row>
    <row r="414" spans="1:4" x14ac:dyDescent="0.25">
      <c r="A414" s="347">
        <f t="shared" si="6"/>
        <v>412</v>
      </c>
      <c r="B414" s="348" t="s">
        <v>1000</v>
      </c>
      <c r="C414" s="349">
        <v>2500</v>
      </c>
      <c r="D414" s="297"/>
    </row>
    <row r="415" spans="1:4" x14ac:dyDescent="0.25">
      <c r="A415" s="347">
        <f t="shared" si="6"/>
        <v>413</v>
      </c>
      <c r="B415" s="348" t="s">
        <v>1001</v>
      </c>
      <c r="C415" s="349">
        <v>30000</v>
      </c>
      <c r="D415" s="297"/>
    </row>
    <row r="416" spans="1:4" x14ac:dyDescent="0.25">
      <c r="A416" s="347">
        <f t="shared" si="6"/>
        <v>414</v>
      </c>
      <c r="B416" s="357" t="s">
        <v>1003</v>
      </c>
      <c r="C416" s="358">
        <v>550</v>
      </c>
      <c r="D416" s="297"/>
    </row>
    <row r="417" spans="1:4" x14ac:dyDescent="0.25">
      <c r="A417" s="347">
        <f t="shared" si="6"/>
        <v>415</v>
      </c>
      <c r="B417" s="348" t="s">
        <v>1010</v>
      </c>
      <c r="C417" s="358">
        <v>1075</v>
      </c>
      <c r="D417" s="297"/>
    </row>
    <row r="418" spans="1:4" x14ac:dyDescent="0.25">
      <c r="A418" s="347">
        <f t="shared" si="6"/>
        <v>416</v>
      </c>
      <c r="B418" s="357" t="s">
        <v>1013</v>
      </c>
      <c r="C418" s="358">
        <v>2000</v>
      </c>
      <c r="D418" s="297"/>
    </row>
    <row r="419" spans="1:4" x14ac:dyDescent="0.25">
      <c r="A419" s="347">
        <f t="shared" si="6"/>
        <v>417</v>
      </c>
      <c r="B419" s="357" t="s">
        <v>1016</v>
      </c>
      <c r="C419" s="358">
        <v>5600</v>
      </c>
      <c r="D419" s="297"/>
    </row>
    <row r="420" spans="1:4" x14ac:dyDescent="0.25">
      <c r="A420" s="347">
        <f t="shared" si="6"/>
        <v>418</v>
      </c>
      <c r="B420" s="357" t="s">
        <v>1017</v>
      </c>
      <c r="C420" s="358">
        <v>1850</v>
      </c>
      <c r="D420" s="297"/>
    </row>
    <row r="421" spans="1:4" x14ac:dyDescent="0.25">
      <c r="A421" s="347">
        <f t="shared" si="6"/>
        <v>419</v>
      </c>
      <c r="B421" s="357" t="s">
        <v>1018</v>
      </c>
      <c r="C421" s="358">
        <v>925</v>
      </c>
      <c r="D421" s="297"/>
    </row>
    <row r="422" spans="1:4" x14ac:dyDescent="0.25">
      <c r="A422" s="347">
        <f t="shared" si="6"/>
        <v>420</v>
      </c>
      <c r="B422" s="357" t="s">
        <v>1027</v>
      </c>
      <c r="C422" s="358">
        <v>3900</v>
      </c>
      <c r="D422" s="297"/>
    </row>
    <row r="423" spans="1:4" x14ac:dyDescent="0.25">
      <c r="A423" s="347">
        <f t="shared" si="6"/>
        <v>421</v>
      </c>
      <c r="B423" s="357" t="s">
        <v>1028</v>
      </c>
      <c r="C423" s="358">
        <v>400</v>
      </c>
      <c r="D423" s="297"/>
    </row>
    <row r="424" spans="1:4" x14ac:dyDescent="0.25">
      <c r="A424" s="347">
        <f t="shared" si="6"/>
        <v>422</v>
      </c>
      <c r="B424" s="357" t="s">
        <v>1029</v>
      </c>
      <c r="C424" s="358">
        <v>275</v>
      </c>
      <c r="D424" s="297"/>
    </row>
    <row r="425" spans="1:4" x14ac:dyDescent="0.25">
      <c r="A425" s="347">
        <f t="shared" si="6"/>
        <v>423</v>
      </c>
      <c r="B425" s="357" t="s">
        <v>1030</v>
      </c>
      <c r="C425" s="358">
        <v>400</v>
      </c>
      <c r="D425" s="297"/>
    </row>
    <row r="426" spans="1:4" x14ac:dyDescent="0.25">
      <c r="A426" s="347">
        <f t="shared" si="6"/>
        <v>424</v>
      </c>
      <c r="B426" s="357" t="s">
        <v>1031</v>
      </c>
      <c r="C426" s="358">
        <v>400</v>
      </c>
      <c r="D426" s="297"/>
    </row>
    <row r="427" spans="1:4" x14ac:dyDescent="0.25">
      <c r="A427" s="347">
        <f t="shared" si="6"/>
        <v>425</v>
      </c>
      <c r="B427" s="357" t="s">
        <v>1032</v>
      </c>
      <c r="C427" s="358">
        <v>250</v>
      </c>
      <c r="D427" s="297"/>
    </row>
    <row r="428" spans="1:4" x14ac:dyDescent="0.25">
      <c r="A428" s="347">
        <f t="shared" si="6"/>
        <v>426</v>
      </c>
      <c r="B428" s="357" t="s">
        <v>1033</v>
      </c>
      <c r="C428" s="358">
        <v>1000</v>
      </c>
      <c r="D428" s="297"/>
    </row>
    <row r="429" spans="1:4" x14ac:dyDescent="0.25">
      <c r="A429" s="347">
        <f t="shared" si="6"/>
        <v>427</v>
      </c>
      <c r="B429" s="357" t="s">
        <v>1034</v>
      </c>
      <c r="C429" s="358">
        <v>100</v>
      </c>
      <c r="D429" s="297"/>
    </row>
    <row r="430" spans="1:4" x14ac:dyDescent="0.25">
      <c r="A430" s="347">
        <f t="shared" si="6"/>
        <v>428</v>
      </c>
      <c r="B430" s="357" t="s">
        <v>1035</v>
      </c>
      <c r="C430" s="358">
        <v>200</v>
      </c>
      <c r="D430" s="297"/>
    </row>
    <row r="431" spans="1:4" x14ac:dyDescent="0.25">
      <c r="A431" s="347">
        <f t="shared" si="6"/>
        <v>429</v>
      </c>
      <c r="B431" s="357" t="s">
        <v>1036</v>
      </c>
      <c r="C431" s="358">
        <v>150</v>
      </c>
      <c r="D431" s="297"/>
    </row>
    <row r="432" spans="1:4" x14ac:dyDescent="0.25">
      <c r="A432" s="347">
        <f t="shared" si="6"/>
        <v>430</v>
      </c>
      <c r="B432" s="357" t="s">
        <v>1037</v>
      </c>
      <c r="C432" s="358">
        <v>1100</v>
      </c>
      <c r="D432" s="297"/>
    </row>
    <row r="433" spans="1:4" x14ac:dyDescent="0.25">
      <c r="A433" s="347">
        <f t="shared" si="6"/>
        <v>431</v>
      </c>
      <c r="B433" s="357" t="s">
        <v>1038</v>
      </c>
      <c r="C433" s="358">
        <v>1800</v>
      </c>
      <c r="D433" s="297"/>
    </row>
    <row r="434" spans="1:4" x14ac:dyDescent="0.25">
      <c r="A434" s="347">
        <f t="shared" si="6"/>
        <v>432</v>
      </c>
      <c r="B434" s="357" t="s">
        <v>1042</v>
      </c>
      <c r="C434" s="358">
        <v>1750</v>
      </c>
      <c r="D434" s="297"/>
    </row>
    <row r="435" spans="1:4" x14ac:dyDescent="0.25">
      <c r="A435" s="347">
        <f t="shared" si="6"/>
        <v>433</v>
      </c>
      <c r="B435" s="357" t="s">
        <v>1043</v>
      </c>
      <c r="C435" s="358">
        <v>26400</v>
      </c>
      <c r="D435" s="297"/>
    </row>
    <row r="436" spans="1:4" x14ac:dyDescent="0.25">
      <c r="A436" s="347">
        <f t="shared" si="6"/>
        <v>434</v>
      </c>
      <c r="B436" s="357" t="s">
        <v>1044</v>
      </c>
      <c r="C436" s="358">
        <v>450</v>
      </c>
      <c r="D436" s="297"/>
    </row>
    <row r="437" spans="1:4" x14ac:dyDescent="0.25">
      <c r="A437" s="347">
        <f t="shared" si="6"/>
        <v>435</v>
      </c>
      <c r="B437" s="357" t="s">
        <v>1056</v>
      </c>
      <c r="C437" s="358">
        <v>2000</v>
      </c>
      <c r="D437" s="297"/>
    </row>
    <row r="438" spans="1:4" x14ac:dyDescent="0.25">
      <c r="A438" s="347">
        <f t="shared" si="6"/>
        <v>436</v>
      </c>
      <c r="B438" s="357" t="s">
        <v>1057</v>
      </c>
      <c r="C438" s="358">
        <v>850</v>
      </c>
      <c r="D438" s="297"/>
    </row>
    <row r="439" spans="1:4" x14ac:dyDescent="0.25">
      <c r="A439" s="347">
        <f t="shared" si="6"/>
        <v>437</v>
      </c>
      <c r="B439" s="357" t="s">
        <v>1058</v>
      </c>
      <c r="C439" s="358">
        <v>2800</v>
      </c>
      <c r="D439" s="297"/>
    </row>
    <row r="440" spans="1:4" x14ac:dyDescent="0.25">
      <c r="A440" s="347">
        <f t="shared" si="6"/>
        <v>438</v>
      </c>
      <c r="B440" s="357" t="s">
        <v>1059</v>
      </c>
      <c r="C440" s="358">
        <v>1400</v>
      </c>
      <c r="D440" s="297"/>
    </row>
    <row r="441" spans="1:4" x14ac:dyDescent="0.25">
      <c r="A441" s="347">
        <f t="shared" si="6"/>
        <v>439</v>
      </c>
      <c r="B441" s="357" t="s">
        <v>1061</v>
      </c>
      <c r="C441" s="358">
        <v>3000</v>
      </c>
      <c r="D441" s="297"/>
    </row>
    <row r="442" spans="1:4" x14ac:dyDescent="0.25">
      <c r="A442" s="347">
        <f t="shared" si="6"/>
        <v>440</v>
      </c>
      <c r="B442" s="357" t="s">
        <v>1062</v>
      </c>
      <c r="C442" s="358">
        <v>2400</v>
      </c>
      <c r="D442" s="297"/>
    </row>
    <row r="443" spans="1:4" x14ac:dyDescent="0.25">
      <c r="A443" s="347">
        <f t="shared" si="6"/>
        <v>441</v>
      </c>
      <c r="B443" s="357" t="s">
        <v>1063</v>
      </c>
      <c r="C443" s="358">
        <v>1000</v>
      </c>
      <c r="D443" s="297"/>
    </row>
    <row r="444" spans="1:4" x14ac:dyDescent="0.25">
      <c r="A444" s="347">
        <f t="shared" si="6"/>
        <v>442</v>
      </c>
      <c r="B444" s="357" t="s">
        <v>1064</v>
      </c>
      <c r="C444" s="358">
        <v>2800</v>
      </c>
      <c r="D444" s="297"/>
    </row>
    <row r="445" spans="1:4" x14ac:dyDescent="0.25">
      <c r="A445" s="347">
        <f t="shared" si="6"/>
        <v>443</v>
      </c>
      <c r="B445" s="357" t="s">
        <v>1065</v>
      </c>
      <c r="C445" s="358">
        <v>2000</v>
      </c>
      <c r="D445" s="297"/>
    </row>
    <row r="446" spans="1:4" x14ac:dyDescent="0.25">
      <c r="A446" s="347">
        <f t="shared" si="6"/>
        <v>444</v>
      </c>
      <c r="B446" s="357" t="s">
        <v>1066</v>
      </c>
      <c r="C446" s="358">
        <v>1000</v>
      </c>
      <c r="D446" s="297"/>
    </row>
    <row r="447" spans="1:4" x14ac:dyDescent="0.25">
      <c r="A447" s="347">
        <f t="shared" si="6"/>
        <v>445</v>
      </c>
      <c r="B447" s="357" t="s">
        <v>1067</v>
      </c>
      <c r="C447" s="358">
        <v>1700</v>
      </c>
      <c r="D447" s="297"/>
    </row>
    <row r="448" spans="1:4" x14ac:dyDescent="0.25">
      <c r="A448" s="347">
        <f t="shared" si="6"/>
        <v>446</v>
      </c>
      <c r="B448" s="357" t="s">
        <v>1068</v>
      </c>
      <c r="C448" s="358">
        <v>850</v>
      </c>
      <c r="D448" s="297"/>
    </row>
    <row r="449" spans="1:4" x14ac:dyDescent="0.25">
      <c r="A449" s="347">
        <f t="shared" si="6"/>
        <v>447</v>
      </c>
      <c r="B449" s="357" t="s">
        <v>1072</v>
      </c>
      <c r="C449" s="358">
        <v>750</v>
      </c>
      <c r="D449" s="297"/>
    </row>
    <row r="450" spans="1:4" x14ac:dyDescent="0.25">
      <c r="A450" s="347">
        <f t="shared" si="6"/>
        <v>448</v>
      </c>
      <c r="B450" s="357" t="s">
        <v>1088</v>
      </c>
      <c r="C450" s="358">
        <v>1700</v>
      </c>
      <c r="D450" s="360"/>
    </row>
    <row r="451" spans="1:4" x14ac:dyDescent="0.25">
      <c r="A451" s="347">
        <f t="shared" si="6"/>
        <v>449</v>
      </c>
      <c r="B451" s="357" t="s">
        <v>1092</v>
      </c>
      <c r="C451" s="358">
        <v>700</v>
      </c>
      <c r="D451" s="360"/>
    </row>
    <row r="452" spans="1:4" x14ac:dyDescent="0.25">
      <c r="A452" s="347">
        <f t="shared" ref="A452:A455" si="7">IF(B452&lt;&gt;"", ROW()-2, "")</f>
        <v>450</v>
      </c>
      <c r="B452" s="357" t="s">
        <v>1093</v>
      </c>
      <c r="C452" s="358">
        <v>750</v>
      </c>
      <c r="D452" s="360"/>
    </row>
    <row r="453" spans="1:4" x14ac:dyDescent="0.25">
      <c r="A453" s="347">
        <f t="shared" si="7"/>
        <v>451</v>
      </c>
      <c r="B453" s="357" t="s">
        <v>1094</v>
      </c>
      <c r="C453" s="358">
        <v>1800</v>
      </c>
      <c r="D453" s="360"/>
    </row>
    <row r="454" spans="1:4" x14ac:dyDescent="0.25">
      <c r="A454" s="347">
        <f t="shared" si="7"/>
        <v>452</v>
      </c>
      <c r="B454" s="357" t="s">
        <v>1095</v>
      </c>
      <c r="C454" s="358">
        <v>2000</v>
      </c>
      <c r="D454" s="360"/>
    </row>
    <row r="455" spans="1:4" x14ac:dyDescent="0.25">
      <c r="A455" s="347">
        <f t="shared" si="7"/>
        <v>453</v>
      </c>
      <c r="B455" s="357" t="s">
        <v>1096</v>
      </c>
      <c r="C455" s="358">
        <v>800</v>
      </c>
      <c r="D455" s="360"/>
    </row>
    <row r="456" spans="1:4" x14ac:dyDescent="0.25">
      <c r="A456" s="347">
        <f>IF(B456&lt;&gt;"", ROW()-2, "")</f>
        <v>454</v>
      </c>
      <c r="B456" s="357" t="s">
        <v>1115</v>
      </c>
      <c r="C456" s="358">
        <v>1000</v>
      </c>
      <c r="D456" s="360"/>
    </row>
    <row r="457" spans="1:4" x14ac:dyDescent="0.25">
      <c r="A457" s="347">
        <f t="shared" ref="A457:A480" si="8">IF(B457&lt;&gt;"", ROW()-2, "")</f>
        <v>455</v>
      </c>
      <c r="B457" s="357" t="s">
        <v>1163</v>
      </c>
      <c r="C457" s="358">
        <v>1000</v>
      </c>
      <c r="D457" s="360"/>
    </row>
    <row r="458" spans="1:4" x14ac:dyDescent="0.25">
      <c r="A458" s="347">
        <f t="shared" si="8"/>
        <v>456</v>
      </c>
      <c r="B458" s="357" t="s">
        <v>1164</v>
      </c>
      <c r="C458" s="358">
        <v>1800</v>
      </c>
      <c r="D458" s="360"/>
    </row>
    <row r="459" spans="1:4" x14ac:dyDescent="0.25">
      <c r="A459" s="347">
        <f t="shared" si="8"/>
        <v>457</v>
      </c>
      <c r="B459" s="357" t="s">
        <v>1167</v>
      </c>
      <c r="C459" s="358">
        <v>1800</v>
      </c>
      <c r="D459" s="360"/>
    </row>
    <row r="460" spans="1:4" x14ac:dyDescent="0.25">
      <c r="A460" s="347">
        <f t="shared" si="8"/>
        <v>458</v>
      </c>
      <c r="B460" s="357" t="s">
        <v>1165</v>
      </c>
      <c r="C460" s="358">
        <v>1100</v>
      </c>
      <c r="D460" s="360"/>
    </row>
    <row r="461" spans="1:4" x14ac:dyDescent="0.25">
      <c r="A461" s="347">
        <f t="shared" si="8"/>
        <v>459</v>
      </c>
      <c r="B461" s="357" t="s">
        <v>1166</v>
      </c>
      <c r="C461" s="358">
        <v>1400</v>
      </c>
      <c r="D461" s="360"/>
    </row>
    <row r="462" spans="1:4" x14ac:dyDescent="0.25">
      <c r="A462" s="347">
        <f t="shared" si="8"/>
        <v>460</v>
      </c>
      <c r="B462" s="357" t="s">
        <v>1168</v>
      </c>
      <c r="C462" s="358">
        <v>450</v>
      </c>
      <c r="D462" s="360"/>
    </row>
    <row r="463" spans="1:4" x14ac:dyDescent="0.25">
      <c r="A463" s="347">
        <f t="shared" si="8"/>
        <v>461</v>
      </c>
      <c r="B463" s="357" t="s">
        <v>1169</v>
      </c>
      <c r="C463" s="358">
        <v>2000</v>
      </c>
      <c r="D463" s="360"/>
    </row>
    <row r="464" spans="1:4" x14ac:dyDescent="0.25">
      <c r="A464" s="347">
        <f t="shared" si="8"/>
        <v>462</v>
      </c>
      <c r="B464" s="357" t="s">
        <v>1170</v>
      </c>
      <c r="C464" s="358">
        <v>800</v>
      </c>
      <c r="D464" s="360"/>
    </row>
    <row r="465" spans="1:4" x14ac:dyDescent="0.25">
      <c r="A465" s="347">
        <f t="shared" si="8"/>
        <v>463</v>
      </c>
      <c r="B465" s="357" t="s">
        <v>1171</v>
      </c>
      <c r="C465" s="358">
        <v>550</v>
      </c>
      <c r="D465" s="360"/>
    </row>
    <row r="466" spans="1:4" x14ac:dyDescent="0.25">
      <c r="A466" s="347">
        <f t="shared" si="8"/>
        <v>464</v>
      </c>
      <c r="B466" s="357" t="s">
        <v>1177</v>
      </c>
      <c r="C466" s="358">
        <v>1400</v>
      </c>
      <c r="D466" s="360"/>
    </row>
    <row r="467" spans="1:4" x14ac:dyDescent="0.25">
      <c r="A467" s="347">
        <f t="shared" si="8"/>
        <v>465</v>
      </c>
      <c r="B467" s="359" t="s">
        <v>1184</v>
      </c>
      <c r="C467" s="362">
        <v>800</v>
      </c>
      <c r="D467" s="360"/>
    </row>
    <row r="468" spans="1:4" x14ac:dyDescent="0.25">
      <c r="A468" s="347">
        <f t="shared" si="8"/>
        <v>466</v>
      </c>
      <c r="B468" s="361" t="s">
        <v>1185</v>
      </c>
      <c r="C468" s="362">
        <v>1000</v>
      </c>
      <c r="D468" s="360"/>
    </row>
    <row r="469" spans="1:4" x14ac:dyDescent="0.25">
      <c r="A469" s="347">
        <f t="shared" si="8"/>
        <v>467</v>
      </c>
      <c r="B469" s="359" t="s">
        <v>1187</v>
      </c>
      <c r="C469" s="362">
        <v>2000</v>
      </c>
      <c r="D469" s="360"/>
    </row>
    <row r="470" spans="1:4" x14ac:dyDescent="0.25">
      <c r="A470" s="347">
        <f t="shared" si="8"/>
        <v>468</v>
      </c>
      <c r="B470" s="359" t="s">
        <v>1186</v>
      </c>
      <c r="C470" s="362">
        <v>1000</v>
      </c>
      <c r="D470" s="360"/>
    </row>
    <row r="471" spans="1:4" x14ac:dyDescent="0.25">
      <c r="A471" s="347">
        <f t="shared" si="8"/>
        <v>469</v>
      </c>
      <c r="B471" s="359" t="s">
        <v>1191</v>
      </c>
      <c r="C471" s="362">
        <v>400</v>
      </c>
      <c r="D471" s="360"/>
    </row>
    <row r="472" spans="1:4" x14ac:dyDescent="0.25">
      <c r="A472" s="347">
        <f t="shared" si="8"/>
        <v>470</v>
      </c>
      <c r="B472" s="359" t="s">
        <v>1192</v>
      </c>
      <c r="C472" s="362">
        <v>3800</v>
      </c>
      <c r="D472" s="360"/>
    </row>
    <row r="473" spans="1:4" x14ac:dyDescent="0.25">
      <c r="A473" s="347">
        <f t="shared" si="8"/>
        <v>471</v>
      </c>
      <c r="B473" s="359" t="s">
        <v>1193</v>
      </c>
      <c r="C473" s="362">
        <v>2433</v>
      </c>
      <c r="D473" s="360"/>
    </row>
    <row r="474" spans="1:4" x14ac:dyDescent="0.25">
      <c r="A474" s="347">
        <f t="shared" si="8"/>
        <v>472</v>
      </c>
      <c r="B474" s="359" t="s">
        <v>1195</v>
      </c>
      <c r="C474" s="362">
        <v>999</v>
      </c>
      <c r="D474" s="360"/>
    </row>
    <row r="475" spans="1:4" x14ac:dyDescent="0.25">
      <c r="A475" s="347">
        <f t="shared" si="8"/>
        <v>473</v>
      </c>
      <c r="B475" s="359" t="s">
        <v>1236</v>
      </c>
      <c r="C475" s="362">
        <v>4000</v>
      </c>
      <c r="D475" s="360"/>
    </row>
    <row r="476" spans="1:4" x14ac:dyDescent="0.25">
      <c r="A476" s="347">
        <f t="shared" si="8"/>
        <v>474</v>
      </c>
      <c r="B476" s="359" t="s">
        <v>1237</v>
      </c>
      <c r="C476" s="362">
        <v>300</v>
      </c>
      <c r="D476" s="360"/>
    </row>
    <row r="477" spans="1:4" x14ac:dyDescent="0.25">
      <c r="A477" s="347">
        <f t="shared" si="8"/>
        <v>475</v>
      </c>
      <c r="B477" s="359" t="s">
        <v>1238</v>
      </c>
      <c r="C477" s="362">
        <v>500</v>
      </c>
      <c r="D477" s="360"/>
    </row>
    <row r="478" spans="1:4" x14ac:dyDescent="0.25">
      <c r="A478" s="347">
        <f t="shared" si="8"/>
        <v>476</v>
      </c>
      <c r="B478" s="359" t="s">
        <v>1240</v>
      </c>
      <c r="C478" s="362">
        <v>600</v>
      </c>
      <c r="D478" s="360"/>
    </row>
    <row r="479" spans="1:4" x14ac:dyDescent="0.25">
      <c r="A479" s="347">
        <f t="shared" si="8"/>
        <v>477</v>
      </c>
      <c r="B479" s="359" t="s">
        <v>1241</v>
      </c>
      <c r="C479" s="362">
        <v>2500</v>
      </c>
      <c r="D479" s="360"/>
    </row>
    <row r="480" spans="1:4" x14ac:dyDescent="0.25">
      <c r="A480" s="347">
        <f t="shared" si="8"/>
        <v>478</v>
      </c>
      <c r="B480" s="361" t="s">
        <v>1242</v>
      </c>
      <c r="C480" s="362">
        <v>1250</v>
      </c>
      <c r="D480" s="360"/>
    </row>
  </sheetData>
  <sortState ref="B3:C235">
    <sortCondition ref="B1:B235"/>
  </sortState>
  <dataConsolidate/>
  <conditionalFormatting sqref="B1:B1048576">
    <cfRule type="duplicateValues" dxfId="4" priority="1"/>
  </conditionalFormatting>
  <conditionalFormatting sqref="B121:B415 B2:B119 B417 B420 B423:B426 B432 B434 B441 B447:B1048576">
    <cfRule type="duplicateValues" dxfId="3" priority="5"/>
  </conditionalFormatting>
  <conditionalFormatting sqref="B417 B2:B415 B420 B423:B426 B432 B434 B441 B447:B1048576">
    <cfRule type="duplicateValues" dxfId="2" priority="2"/>
    <cfRule type="duplicateValues" dxfId="1" priority="3"/>
  </conditionalFormatting>
  <conditionalFormatting sqref="D57">
    <cfRule type="duplicateValues" dxfId="0" priority="4"/>
  </conditionalFormatting>
  <hyperlinks>
    <hyperlink ref="B76" r:id="rId1" display="Ch Jalfrezi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V35"/>
  <sheetViews>
    <sheetView topLeftCell="A4" zoomScale="70" zoomScaleNormal="70" workbookViewId="0">
      <selection activeCell="B10" sqref="B10:B34"/>
    </sheetView>
  </sheetViews>
  <sheetFormatPr defaultRowHeight="15" x14ac:dyDescent="0.25"/>
  <cols>
    <col min="1" max="1" width="13.85546875" bestFit="1" customWidth="1"/>
    <col min="2" max="2" width="15.7109375" bestFit="1" customWidth="1"/>
    <col min="3" max="3" width="14.140625" bestFit="1" customWidth="1"/>
    <col min="4" max="5" width="11.7109375" bestFit="1" customWidth="1"/>
    <col min="6" max="6" width="13.85546875" bestFit="1" customWidth="1"/>
    <col min="7" max="7" width="14.28515625" bestFit="1" customWidth="1"/>
    <col min="8" max="8" width="7.140625" bestFit="1" customWidth="1"/>
    <col min="9" max="9" width="12.85546875" bestFit="1" customWidth="1"/>
    <col min="10" max="10" width="13.7109375" bestFit="1" customWidth="1"/>
    <col min="11" max="11" width="13" bestFit="1" customWidth="1"/>
    <col min="12" max="12" width="18.5703125" bestFit="1" customWidth="1"/>
    <col min="13" max="13" width="7.5703125" bestFit="1" customWidth="1"/>
    <col min="14" max="14" width="11.85546875" bestFit="1" customWidth="1"/>
    <col min="15" max="15" width="11.28515625" bestFit="1" customWidth="1"/>
    <col min="16" max="16" width="10.7109375" bestFit="1" customWidth="1"/>
    <col min="17" max="17" width="12.140625" bestFit="1" customWidth="1"/>
    <col min="18" max="18" width="12.7109375" bestFit="1" customWidth="1"/>
    <col min="19" max="19" width="11.28515625" bestFit="1" customWidth="1"/>
    <col min="20" max="20" width="10" bestFit="1" customWidth="1"/>
    <col min="21" max="22" width="13.140625" bestFit="1" customWidth="1"/>
  </cols>
  <sheetData>
    <row r="9" spans="1:22" s="324" customFormat="1" ht="45" x14ac:dyDescent="0.25">
      <c r="A9" s="263" t="s">
        <v>1116</v>
      </c>
      <c r="B9" t="s">
        <v>1118</v>
      </c>
      <c r="C9" t="s">
        <v>1234</v>
      </c>
      <c r="D9"/>
      <c r="F9" s="263" t="s">
        <v>1116</v>
      </c>
      <c r="G9" s="324" t="s">
        <v>1119</v>
      </c>
      <c r="H9" s="324" t="s">
        <v>1120</v>
      </c>
      <c r="I9" s="324" t="s">
        <v>1121</v>
      </c>
      <c r="J9" s="324" t="s">
        <v>1122</v>
      </c>
      <c r="K9" s="324" t="s">
        <v>1123</v>
      </c>
      <c r="L9" s="324" t="s">
        <v>1124</v>
      </c>
      <c r="M9" s="324" t="s">
        <v>1125</v>
      </c>
      <c r="N9" s="324" t="s">
        <v>1126</v>
      </c>
      <c r="O9" s="324" t="s">
        <v>1127</v>
      </c>
      <c r="P9" s="324" t="s">
        <v>1128</v>
      </c>
      <c r="Q9" s="324" t="s">
        <v>1129</v>
      </c>
      <c r="R9" s="324" t="s">
        <v>1130</v>
      </c>
      <c r="S9" s="324" t="s">
        <v>1132</v>
      </c>
      <c r="T9" s="324" t="s">
        <v>1131</v>
      </c>
      <c r="U9" s="324" t="s">
        <v>1181</v>
      </c>
      <c r="V9" s="324" t="s">
        <v>1182</v>
      </c>
    </row>
    <row r="10" spans="1:22" x14ac:dyDescent="0.25">
      <c r="A10" s="332">
        <v>45992</v>
      </c>
      <c r="B10">
        <v>20219</v>
      </c>
      <c r="C10">
        <v>3032.85</v>
      </c>
      <c r="F10" s="332">
        <v>45992</v>
      </c>
      <c r="G10">
        <v>1800</v>
      </c>
      <c r="H10">
        <v>1200</v>
      </c>
      <c r="I10">
        <v>0</v>
      </c>
      <c r="J10">
        <v>0</v>
      </c>
      <c r="K10">
        <v>0</v>
      </c>
      <c r="L10">
        <v>300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s="332">
        <v>45993</v>
      </c>
      <c r="B11">
        <v>35314</v>
      </c>
      <c r="C11">
        <v>3879.6</v>
      </c>
      <c r="F11" s="332">
        <v>45993</v>
      </c>
      <c r="G11">
        <v>1200</v>
      </c>
      <c r="H11">
        <v>2700</v>
      </c>
      <c r="I11">
        <v>150</v>
      </c>
      <c r="J11">
        <v>0</v>
      </c>
      <c r="K11">
        <v>0</v>
      </c>
      <c r="L11">
        <v>600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s="332">
        <v>45994</v>
      </c>
      <c r="B12">
        <v>22550</v>
      </c>
      <c r="C12">
        <v>2107.5</v>
      </c>
      <c r="F12" s="332">
        <v>45994</v>
      </c>
      <c r="G12">
        <v>0</v>
      </c>
      <c r="H12">
        <v>2250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5000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s="332">
        <v>45995</v>
      </c>
      <c r="B13">
        <v>17530</v>
      </c>
      <c r="C13">
        <v>2629.5</v>
      </c>
      <c r="F13" s="332">
        <v>45995</v>
      </c>
      <c r="G13">
        <v>0</v>
      </c>
      <c r="H13">
        <v>1950</v>
      </c>
      <c r="I13">
        <v>0</v>
      </c>
      <c r="J13">
        <v>0</v>
      </c>
      <c r="K13">
        <v>0</v>
      </c>
      <c r="L13">
        <v>4600</v>
      </c>
      <c r="M13">
        <v>0</v>
      </c>
      <c r="N13">
        <v>0</v>
      </c>
      <c r="O13">
        <v>0</v>
      </c>
      <c r="P13">
        <v>0</v>
      </c>
      <c r="Q13">
        <v>0</v>
      </c>
      <c r="R13">
        <v>16000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s="332">
        <v>45996</v>
      </c>
      <c r="B14">
        <v>36240</v>
      </c>
      <c r="C14">
        <v>3808.5</v>
      </c>
      <c r="F14" s="332">
        <v>45996</v>
      </c>
      <c r="G14">
        <v>3600</v>
      </c>
      <c r="H14">
        <v>1950</v>
      </c>
      <c r="I14">
        <v>0</v>
      </c>
      <c r="J14">
        <v>0</v>
      </c>
      <c r="K14">
        <v>0</v>
      </c>
      <c r="L14">
        <v>5400</v>
      </c>
      <c r="M14">
        <v>0</v>
      </c>
      <c r="N14">
        <v>0</v>
      </c>
      <c r="O14">
        <v>0</v>
      </c>
      <c r="P14">
        <v>0</v>
      </c>
      <c r="Q14">
        <v>11500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s="332">
        <v>45997</v>
      </c>
      <c r="B15">
        <v>233400</v>
      </c>
      <c r="C15">
        <v>35010</v>
      </c>
      <c r="F15" s="332">
        <v>45997</v>
      </c>
      <c r="G15">
        <v>7500</v>
      </c>
      <c r="H15">
        <v>1500</v>
      </c>
      <c r="I15">
        <v>0</v>
      </c>
      <c r="J15">
        <v>0</v>
      </c>
      <c r="K15">
        <v>0</v>
      </c>
      <c r="L15">
        <v>11000</v>
      </c>
      <c r="M15">
        <v>300</v>
      </c>
      <c r="N15">
        <v>0</v>
      </c>
      <c r="O15">
        <v>0</v>
      </c>
      <c r="P15">
        <v>0</v>
      </c>
      <c r="Q15">
        <v>22950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s="332">
        <v>45998</v>
      </c>
      <c r="B16">
        <v>157350</v>
      </c>
      <c r="C16">
        <v>23602.5</v>
      </c>
      <c r="F16" s="332">
        <v>45998</v>
      </c>
      <c r="G16">
        <v>11100</v>
      </c>
      <c r="H16">
        <v>750</v>
      </c>
      <c r="I16">
        <v>0</v>
      </c>
      <c r="J16">
        <v>0</v>
      </c>
      <c r="K16">
        <v>0</v>
      </c>
      <c r="L16">
        <v>14200</v>
      </c>
      <c r="M16">
        <v>0</v>
      </c>
      <c r="N16">
        <v>0</v>
      </c>
      <c r="O16">
        <v>0</v>
      </c>
      <c r="P16">
        <v>3000</v>
      </c>
      <c r="Q16">
        <v>0</v>
      </c>
      <c r="R16">
        <v>20500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s="332">
        <v>45999</v>
      </c>
      <c r="B17">
        <v>23265</v>
      </c>
      <c r="C17">
        <v>3489.75</v>
      </c>
      <c r="F17" s="332">
        <v>45999</v>
      </c>
      <c r="G17">
        <v>0</v>
      </c>
      <c r="H17">
        <v>1500</v>
      </c>
      <c r="I17">
        <v>0</v>
      </c>
      <c r="J17">
        <v>0</v>
      </c>
      <c r="K17">
        <v>0</v>
      </c>
      <c r="L17">
        <v>600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s="332">
        <v>46000</v>
      </c>
      <c r="B18">
        <v>37589</v>
      </c>
      <c r="C18">
        <v>4385.8500000000004</v>
      </c>
      <c r="F18" s="332">
        <v>46000</v>
      </c>
      <c r="G18">
        <v>1500</v>
      </c>
      <c r="H18">
        <v>2550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20500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s="332">
        <v>46001</v>
      </c>
      <c r="B19">
        <v>27209</v>
      </c>
      <c r="C19">
        <v>4081.35</v>
      </c>
      <c r="F19" s="332">
        <v>46001</v>
      </c>
      <c r="G19">
        <v>0</v>
      </c>
      <c r="H19">
        <v>2550</v>
      </c>
      <c r="I19">
        <v>0</v>
      </c>
      <c r="J19">
        <v>0</v>
      </c>
      <c r="K19">
        <v>0</v>
      </c>
      <c r="L19">
        <v>900</v>
      </c>
      <c r="M19">
        <v>7500</v>
      </c>
      <c r="N19">
        <v>0</v>
      </c>
      <c r="O19">
        <v>0</v>
      </c>
      <c r="P19">
        <v>0</v>
      </c>
      <c r="Q19">
        <v>0</v>
      </c>
      <c r="R19">
        <v>2950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s="332">
        <v>46002</v>
      </c>
      <c r="B20">
        <v>14238</v>
      </c>
      <c r="C20">
        <v>2135.6999999999998</v>
      </c>
      <c r="F20" s="332">
        <v>46002</v>
      </c>
      <c r="G20">
        <v>0</v>
      </c>
      <c r="H20">
        <v>1800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12000</v>
      </c>
      <c r="S20">
        <v>0</v>
      </c>
      <c r="T20">
        <v>0</v>
      </c>
      <c r="U20">
        <v>5000</v>
      </c>
      <c r="V20">
        <v>0</v>
      </c>
    </row>
    <row r="21" spans="1:22" x14ac:dyDescent="0.25">
      <c r="A21" s="332">
        <v>46003</v>
      </c>
      <c r="B21">
        <v>83201</v>
      </c>
      <c r="C21">
        <v>11137.65</v>
      </c>
      <c r="F21" s="332">
        <v>46003</v>
      </c>
      <c r="G21">
        <v>2700</v>
      </c>
      <c r="H21">
        <v>1050</v>
      </c>
      <c r="I21">
        <v>150</v>
      </c>
      <c r="J21">
        <v>0</v>
      </c>
      <c r="K21">
        <v>0</v>
      </c>
      <c r="L21">
        <v>5800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150000</v>
      </c>
      <c r="V21">
        <v>0</v>
      </c>
    </row>
    <row r="22" spans="1:22" x14ac:dyDescent="0.25">
      <c r="A22" s="332">
        <v>46004</v>
      </c>
      <c r="B22">
        <v>223374</v>
      </c>
      <c r="C22">
        <v>33506.1</v>
      </c>
      <c r="F22" s="332">
        <v>46004</v>
      </c>
      <c r="G22">
        <v>1800</v>
      </c>
      <c r="H22">
        <v>1050</v>
      </c>
      <c r="I22">
        <v>0</v>
      </c>
      <c r="J22">
        <v>0</v>
      </c>
      <c r="K22">
        <v>0</v>
      </c>
      <c r="L22">
        <v>4000</v>
      </c>
      <c r="M22">
        <v>300</v>
      </c>
      <c r="N22">
        <v>0</v>
      </c>
      <c r="O22">
        <v>0</v>
      </c>
      <c r="P22">
        <v>0</v>
      </c>
      <c r="Q22">
        <v>0</v>
      </c>
      <c r="R22">
        <v>11500</v>
      </c>
      <c r="S22">
        <v>0</v>
      </c>
      <c r="T22">
        <v>0</v>
      </c>
      <c r="U22">
        <v>0</v>
      </c>
      <c r="V22">
        <v>143000</v>
      </c>
    </row>
    <row r="23" spans="1:22" x14ac:dyDescent="0.25">
      <c r="A23" s="332">
        <v>46005</v>
      </c>
      <c r="B23">
        <v>156695</v>
      </c>
      <c r="C23">
        <v>22079.25</v>
      </c>
      <c r="F23" s="332">
        <v>46005</v>
      </c>
      <c r="G23">
        <v>12300</v>
      </c>
      <c r="H23">
        <v>1050</v>
      </c>
      <c r="I23">
        <v>0</v>
      </c>
      <c r="J23">
        <v>900</v>
      </c>
      <c r="K23">
        <v>0</v>
      </c>
      <c r="L23">
        <v>12300</v>
      </c>
      <c r="M23">
        <v>0</v>
      </c>
      <c r="N23">
        <v>0</v>
      </c>
      <c r="O23">
        <v>0</v>
      </c>
      <c r="P23">
        <v>0</v>
      </c>
      <c r="Q23">
        <v>5500</v>
      </c>
      <c r="R23">
        <v>20000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s="332">
        <v>46006</v>
      </c>
      <c r="B24">
        <v>7380</v>
      </c>
      <c r="C24">
        <v>1107</v>
      </c>
      <c r="F24" s="332">
        <v>46006</v>
      </c>
      <c r="G24">
        <v>0</v>
      </c>
      <c r="H24">
        <v>1200</v>
      </c>
      <c r="I24">
        <v>0</v>
      </c>
      <c r="J24">
        <v>0</v>
      </c>
      <c r="K24">
        <v>0</v>
      </c>
      <c r="L24">
        <v>0</v>
      </c>
      <c r="M24">
        <v>900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s="332">
        <v>46007</v>
      </c>
      <c r="B25">
        <v>32658</v>
      </c>
      <c r="C25">
        <v>2828.7</v>
      </c>
      <c r="F25" s="332">
        <v>46007</v>
      </c>
      <c r="G25">
        <v>1500</v>
      </c>
      <c r="H25">
        <v>1800</v>
      </c>
      <c r="I25">
        <v>0</v>
      </c>
      <c r="J25">
        <v>0</v>
      </c>
      <c r="K25">
        <v>0</v>
      </c>
      <c r="L25">
        <v>800</v>
      </c>
      <c r="M25">
        <v>0</v>
      </c>
      <c r="N25">
        <v>0</v>
      </c>
      <c r="O25">
        <v>0</v>
      </c>
      <c r="P25">
        <v>0</v>
      </c>
      <c r="Q25">
        <v>0</v>
      </c>
      <c r="R25">
        <v>2000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s="332">
        <v>46008</v>
      </c>
      <c r="B26">
        <v>46908</v>
      </c>
      <c r="C26">
        <v>7036.2</v>
      </c>
      <c r="F26" s="332">
        <v>46008</v>
      </c>
      <c r="G26">
        <v>0</v>
      </c>
      <c r="H26">
        <v>1800</v>
      </c>
      <c r="I26">
        <v>0</v>
      </c>
      <c r="J26">
        <v>0</v>
      </c>
      <c r="K26">
        <v>0</v>
      </c>
      <c r="L26">
        <v>4000</v>
      </c>
      <c r="M26">
        <v>4700</v>
      </c>
      <c r="N26">
        <v>0</v>
      </c>
      <c r="O26">
        <v>0</v>
      </c>
      <c r="P26">
        <v>0</v>
      </c>
      <c r="Q26">
        <v>6000</v>
      </c>
      <c r="R26">
        <v>6000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s="332">
        <v>46009</v>
      </c>
      <c r="B27">
        <v>20799</v>
      </c>
      <c r="C27">
        <v>3119.85</v>
      </c>
      <c r="F27" s="332">
        <v>46009</v>
      </c>
      <c r="G27">
        <v>0</v>
      </c>
      <c r="H27">
        <v>0</v>
      </c>
      <c r="I27">
        <v>0</v>
      </c>
      <c r="J27">
        <v>0</v>
      </c>
      <c r="K27">
        <v>0</v>
      </c>
      <c r="L27">
        <v>4100</v>
      </c>
      <c r="M27">
        <v>0</v>
      </c>
      <c r="N27">
        <v>0</v>
      </c>
      <c r="O27">
        <v>0</v>
      </c>
      <c r="P27">
        <v>0</v>
      </c>
      <c r="Q27">
        <v>6000</v>
      </c>
      <c r="R27">
        <v>38650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s="332">
        <v>46010</v>
      </c>
      <c r="B28">
        <v>31595</v>
      </c>
      <c r="C28">
        <v>3239.25</v>
      </c>
      <c r="F28" s="332">
        <v>46010</v>
      </c>
      <c r="G28">
        <v>1800</v>
      </c>
      <c r="H28">
        <v>1200</v>
      </c>
      <c r="I28">
        <v>0</v>
      </c>
      <c r="J28">
        <v>0</v>
      </c>
      <c r="K28">
        <v>0</v>
      </c>
      <c r="L28">
        <v>3200</v>
      </c>
      <c r="M28">
        <v>0</v>
      </c>
      <c r="N28">
        <v>0</v>
      </c>
      <c r="O28">
        <v>0</v>
      </c>
      <c r="P28">
        <v>0</v>
      </c>
      <c r="Q28">
        <v>0</v>
      </c>
      <c r="R28">
        <v>11750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s="332">
        <v>46011</v>
      </c>
      <c r="B29">
        <v>111364</v>
      </c>
      <c r="C29">
        <v>16704.599999999999</v>
      </c>
      <c r="F29" s="332">
        <v>46011</v>
      </c>
      <c r="G29">
        <v>6600</v>
      </c>
      <c r="H29">
        <v>750</v>
      </c>
      <c r="I29">
        <v>0</v>
      </c>
      <c r="J29">
        <v>0</v>
      </c>
      <c r="K29">
        <v>0</v>
      </c>
      <c r="L29">
        <v>6300</v>
      </c>
      <c r="M29">
        <v>0</v>
      </c>
      <c r="N29">
        <v>0</v>
      </c>
      <c r="O29">
        <v>0</v>
      </c>
      <c r="P29">
        <v>0</v>
      </c>
      <c r="Q29">
        <v>0</v>
      </c>
      <c r="R29">
        <v>40300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s="332">
        <v>46012</v>
      </c>
      <c r="B30">
        <v>379588</v>
      </c>
      <c r="C30">
        <v>56938.2</v>
      </c>
      <c r="F30" s="332">
        <v>46012</v>
      </c>
      <c r="G30">
        <v>10500</v>
      </c>
      <c r="H30">
        <v>300</v>
      </c>
      <c r="I30">
        <v>1200</v>
      </c>
      <c r="J30">
        <v>3600</v>
      </c>
      <c r="K30">
        <v>0</v>
      </c>
      <c r="L30">
        <v>7700</v>
      </c>
      <c r="M30">
        <v>300</v>
      </c>
      <c r="N30">
        <v>0</v>
      </c>
      <c r="O30">
        <v>200</v>
      </c>
      <c r="P30">
        <v>0</v>
      </c>
      <c r="Q30">
        <v>16500</v>
      </c>
      <c r="R30">
        <v>7500</v>
      </c>
      <c r="S30">
        <v>0</v>
      </c>
      <c r="T30">
        <v>0</v>
      </c>
      <c r="U30">
        <v>0</v>
      </c>
      <c r="V30">
        <v>365000</v>
      </c>
    </row>
    <row r="31" spans="1:22" x14ac:dyDescent="0.25">
      <c r="A31" s="332">
        <v>46013</v>
      </c>
      <c r="B31">
        <v>147243</v>
      </c>
      <c r="C31">
        <v>20676.45</v>
      </c>
      <c r="F31" s="332">
        <v>46013</v>
      </c>
      <c r="G31">
        <v>10200</v>
      </c>
      <c r="H31">
        <v>750</v>
      </c>
      <c r="I31">
        <v>0</v>
      </c>
      <c r="J31">
        <v>0</v>
      </c>
      <c r="K31">
        <v>0</v>
      </c>
      <c r="L31">
        <v>8200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s="332">
        <v>46014</v>
      </c>
      <c r="B32">
        <v>77700</v>
      </c>
      <c r="C32">
        <v>11655</v>
      </c>
      <c r="F32" s="332">
        <v>46014</v>
      </c>
      <c r="G32">
        <v>5400</v>
      </c>
      <c r="H32">
        <v>1200</v>
      </c>
      <c r="I32">
        <v>0</v>
      </c>
      <c r="J32">
        <v>0</v>
      </c>
      <c r="K32">
        <v>0</v>
      </c>
      <c r="L32">
        <v>7700</v>
      </c>
      <c r="M32">
        <v>0</v>
      </c>
      <c r="N32">
        <v>0</v>
      </c>
      <c r="O32">
        <v>0</v>
      </c>
      <c r="P32">
        <v>0</v>
      </c>
      <c r="Q32">
        <v>0</v>
      </c>
      <c r="R32">
        <v>28750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s="332">
        <v>46015</v>
      </c>
      <c r="B33">
        <v>3140128</v>
      </c>
      <c r="C33">
        <v>471019.19999999995</v>
      </c>
      <c r="F33" s="332">
        <v>46015</v>
      </c>
      <c r="G33">
        <v>1500</v>
      </c>
      <c r="H33">
        <v>600</v>
      </c>
      <c r="I33">
        <v>0</v>
      </c>
      <c r="J33">
        <v>3000</v>
      </c>
      <c r="K33">
        <v>300</v>
      </c>
      <c r="L33">
        <v>1700</v>
      </c>
      <c r="M33">
        <v>2700</v>
      </c>
      <c r="N33">
        <v>0</v>
      </c>
      <c r="O33">
        <v>0</v>
      </c>
      <c r="P33">
        <v>0</v>
      </c>
      <c r="Q33">
        <v>0</v>
      </c>
      <c r="R33">
        <v>11500</v>
      </c>
      <c r="S33">
        <v>0</v>
      </c>
      <c r="T33">
        <v>0</v>
      </c>
      <c r="U33">
        <v>480000</v>
      </c>
      <c r="V33">
        <v>0</v>
      </c>
    </row>
    <row r="34" spans="1:22" x14ac:dyDescent="0.25">
      <c r="A34" s="332">
        <v>46016</v>
      </c>
      <c r="B34">
        <v>235737</v>
      </c>
      <c r="C34">
        <v>35360.550000000003</v>
      </c>
      <c r="F34" s="332">
        <v>46016</v>
      </c>
      <c r="G34">
        <v>8100</v>
      </c>
      <c r="H34">
        <v>600</v>
      </c>
      <c r="I34">
        <v>0</v>
      </c>
      <c r="J34">
        <v>0</v>
      </c>
      <c r="K34">
        <v>0</v>
      </c>
      <c r="L34">
        <v>5700</v>
      </c>
      <c r="M34">
        <v>300</v>
      </c>
      <c r="N34">
        <v>0</v>
      </c>
      <c r="O34">
        <v>0</v>
      </c>
      <c r="P34">
        <v>0</v>
      </c>
      <c r="Q34">
        <v>10000</v>
      </c>
      <c r="R34">
        <v>6500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s="264" t="s">
        <v>1117</v>
      </c>
      <c r="B35">
        <v>5319274</v>
      </c>
      <c r="C35">
        <v>784571.10000000009</v>
      </c>
      <c r="F35" s="264" t="s">
        <v>1117</v>
      </c>
      <c r="G35">
        <v>89100</v>
      </c>
      <c r="H35">
        <v>34050</v>
      </c>
      <c r="I35">
        <v>1500</v>
      </c>
      <c r="J35">
        <v>7500</v>
      </c>
      <c r="K35">
        <v>300</v>
      </c>
      <c r="L35">
        <v>109100</v>
      </c>
      <c r="M35">
        <v>17000</v>
      </c>
      <c r="N35">
        <v>0</v>
      </c>
      <c r="O35">
        <v>200</v>
      </c>
      <c r="P35">
        <v>3000</v>
      </c>
      <c r="Q35">
        <v>78450</v>
      </c>
      <c r="R35">
        <v>261400</v>
      </c>
      <c r="S35">
        <v>0</v>
      </c>
      <c r="T35">
        <v>0</v>
      </c>
      <c r="U35">
        <v>635000</v>
      </c>
      <c r="V35">
        <v>508000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3"/>
  <sheetViews>
    <sheetView zoomScale="40" zoomScaleNormal="40" workbookViewId="0">
      <selection activeCell="I29" sqref="I29"/>
    </sheetView>
  </sheetViews>
  <sheetFormatPr defaultRowHeight="15" x14ac:dyDescent="0.25"/>
  <cols>
    <col min="1" max="1" width="6.7109375" bestFit="1" customWidth="1"/>
    <col min="2" max="2" width="52.7109375" bestFit="1" customWidth="1"/>
    <col min="3" max="3" width="19.7109375" bestFit="1" customWidth="1"/>
    <col min="4" max="4" width="17.7109375" bestFit="1" customWidth="1"/>
    <col min="5" max="5" width="16.7109375" customWidth="1"/>
    <col min="6" max="6" width="18.7109375" bestFit="1" customWidth="1"/>
    <col min="7" max="7" width="14.7109375" customWidth="1"/>
    <col min="8" max="8" width="24.42578125" customWidth="1"/>
    <col min="9" max="9" width="17.7109375" bestFit="1" customWidth="1"/>
    <col min="10" max="10" width="14" customWidth="1"/>
    <col min="11" max="11" width="17.85546875" customWidth="1"/>
    <col min="12" max="12" width="17.7109375" bestFit="1" customWidth="1"/>
    <col min="13" max="14" width="19.7109375" bestFit="1" customWidth="1"/>
    <col min="15" max="15" width="20.140625" bestFit="1" customWidth="1"/>
    <col min="16" max="16" width="19.7109375" bestFit="1" customWidth="1"/>
    <col min="17" max="17" width="18.5703125" customWidth="1"/>
    <col min="18" max="18" width="21.85546875" bestFit="1" customWidth="1"/>
    <col min="19" max="20" width="24.85546875" bestFit="1" customWidth="1"/>
    <col min="21" max="21" width="18" customWidth="1"/>
    <col min="22" max="22" width="20.140625" bestFit="1" customWidth="1"/>
  </cols>
  <sheetData>
    <row r="1" spans="1:27" ht="36" x14ac:dyDescent="0.25">
      <c r="A1" s="391" t="s">
        <v>1133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</row>
    <row r="2" spans="1:27" ht="26.25" x14ac:dyDescent="0.25">
      <c r="A2" s="392" t="s">
        <v>1134</v>
      </c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</row>
    <row r="3" spans="1:27" ht="26.25" x14ac:dyDescent="0.25">
      <c r="A3" s="392" t="s">
        <v>1243</v>
      </c>
      <c r="B3" s="392"/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  <c r="Q3" s="392"/>
      <c r="R3" s="392"/>
      <c r="S3" s="392"/>
      <c r="T3" s="392"/>
    </row>
    <row r="4" spans="1:27" ht="42" x14ac:dyDescent="0.25">
      <c r="A4" s="265" t="s">
        <v>0</v>
      </c>
      <c r="B4" s="266" t="s">
        <v>362</v>
      </c>
      <c r="C4" s="265" t="s">
        <v>1135</v>
      </c>
      <c r="D4" s="265" t="s">
        <v>1136</v>
      </c>
      <c r="E4" s="265" t="s">
        <v>1137</v>
      </c>
      <c r="F4" s="265" t="s">
        <v>1138</v>
      </c>
      <c r="G4" s="265" t="s">
        <v>1139</v>
      </c>
      <c r="H4" s="265" t="s">
        <v>367</v>
      </c>
      <c r="I4" s="265" t="s">
        <v>1140</v>
      </c>
      <c r="J4" s="265" t="s">
        <v>1141</v>
      </c>
      <c r="K4" s="265" t="s">
        <v>1142</v>
      </c>
      <c r="L4" s="265" t="s">
        <v>1143</v>
      </c>
      <c r="M4" s="265" t="s">
        <v>1144</v>
      </c>
      <c r="N4" s="265" t="s">
        <v>1145</v>
      </c>
      <c r="O4" s="265" t="s">
        <v>1146</v>
      </c>
      <c r="P4" s="265" t="s">
        <v>1147</v>
      </c>
      <c r="Q4" s="265" t="s">
        <v>1148</v>
      </c>
      <c r="R4" s="265" t="s">
        <v>1149</v>
      </c>
      <c r="S4" s="267" t="s">
        <v>1150</v>
      </c>
      <c r="T4" s="265" t="s">
        <v>1089</v>
      </c>
    </row>
    <row r="5" spans="1:27" ht="26.25" x14ac:dyDescent="0.25">
      <c r="A5" s="268">
        <v>1</v>
      </c>
      <c r="B5" s="269">
        <v>45992</v>
      </c>
      <c r="C5" s="270">
        <v>1800</v>
      </c>
      <c r="D5" s="270">
        <v>1200</v>
      </c>
      <c r="E5" s="270">
        <v>0</v>
      </c>
      <c r="F5" s="270">
        <v>0</v>
      </c>
      <c r="G5" s="270">
        <v>0</v>
      </c>
      <c r="H5" s="270">
        <v>300</v>
      </c>
      <c r="I5" s="270">
        <v>0</v>
      </c>
      <c r="J5" s="270">
        <v>0</v>
      </c>
      <c r="K5" s="270">
        <v>0</v>
      </c>
      <c r="L5" s="270">
        <v>0</v>
      </c>
      <c r="M5" s="270">
        <v>0</v>
      </c>
      <c r="N5" s="270">
        <v>0</v>
      </c>
      <c r="O5" s="270">
        <v>0</v>
      </c>
      <c r="P5" s="270">
        <v>0</v>
      </c>
      <c r="Q5" s="270">
        <v>0</v>
      </c>
      <c r="R5" s="270">
        <v>0</v>
      </c>
      <c r="S5" s="270">
        <v>20219</v>
      </c>
      <c r="T5" s="270">
        <f>SUM(C5:S5)</f>
        <v>23519</v>
      </c>
      <c r="U5" s="270">
        <v>29769</v>
      </c>
      <c r="V5" s="317">
        <f>T5-U5</f>
        <v>-6250</v>
      </c>
      <c r="Y5" s="96"/>
    </row>
    <row r="6" spans="1:27" ht="26.25" x14ac:dyDescent="0.25">
      <c r="A6" s="268">
        <v>2</v>
      </c>
      <c r="B6" s="269">
        <v>45993</v>
      </c>
      <c r="C6" s="270">
        <v>1200</v>
      </c>
      <c r="D6" s="270">
        <v>2700</v>
      </c>
      <c r="E6" s="270">
        <v>150</v>
      </c>
      <c r="F6" s="270">
        <v>0</v>
      </c>
      <c r="G6" s="270">
        <v>0</v>
      </c>
      <c r="H6" s="270">
        <v>600</v>
      </c>
      <c r="I6" s="270">
        <v>0</v>
      </c>
      <c r="J6" s="270">
        <v>0</v>
      </c>
      <c r="K6" s="270">
        <v>0</v>
      </c>
      <c r="L6" s="270">
        <v>0</v>
      </c>
      <c r="M6" s="270">
        <v>0</v>
      </c>
      <c r="N6" s="270">
        <v>0</v>
      </c>
      <c r="O6" s="270">
        <v>0</v>
      </c>
      <c r="P6" s="270">
        <v>0</v>
      </c>
      <c r="Q6" s="270">
        <v>0</v>
      </c>
      <c r="R6" s="270">
        <v>0</v>
      </c>
      <c r="S6" s="270">
        <v>35314</v>
      </c>
      <c r="T6" s="270">
        <f>SUM(C6:S6)</f>
        <v>39964</v>
      </c>
      <c r="U6" s="270">
        <v>32509</v>
      </c>
      <c r="V6" s="317">
        <f t="shared" ref="V6:V30" si="0">T6-U6</f>
        <v>7455</v>
      </c>
      <c r="Y6" s="96"/>
    </row>
    <row r="7" spans="1:27" ht="26.25" x14ac:dyDescent="0.25">
      <c r="A7" s="268">
        <v>3</v>
      </c>
      <c r="B7" s="269">
        <v>45994</v>
      </c>
      <c r="C7" s="270">
        <v>0</v>
      </c>
      <c r="D7" s="270">
        <v>2250</v>
      </c>
      <c r="E7" s="270">
        <v>0</v>
      </c>
      <c r="F7" s="270">
        <v>0</v>
      </c>
      <c r="G7" s="270">
        <v>0</v>
      </c>
      <c r="H7" s="270">
        <v>0</v>
      </c>
      <c r="I7" s="270">
        <v>0</v>
      </c>
      <c r="J7" s="270">
        <v>0</v>
      </c>
      <c r="K7" s="270">
        <v>0</v>
      </c>
      <c r="L7" s="270">
        <v>0</v>
      </c>
      <c r="M7" s="270">
        <v>0</v>
      </c>
      <c r="N7" s="270">
        <v>5000</v>
      </c>
      <c r="O7" s="270">
        <v>0</v>
      </c>
      <c r="P7" s="270">
        <v>0</v>
      </c>
      <c r="Q7" s="270">
        <v>0</v>
      </c>
      <c r="R7" s="270">
        <v>0</v>
      </c>
      <c r="S7" s="270">
        <v>22550</v>
      </c>
      <c r="T7" s="270">
        <f>SUM(C7:S7)</f>
        <v>29800</v>
      </c>
      <c r="U7" s="270">
        <v>30250</v>
      </c>
      <c r="V7" s="317">
        <f t="shared" si="0"/>
        <v>-450</v>
      </c>
      <c r="Y7" s="96"/>
    </row>
    <row r="8" spans="1:27" ht="26.25" x14ac:dyDescent="0.25">
      <c r="A8" s="268">
        <v>4</v>
      </c>
      <c r="B8" s="269">
        <v>45995</v>
      </c>
      <c r="C8" s="270">
        <v>0</v>
      </c>
      <c r="D8" s="270">
        <v>1950</v>
      </c>
      <c r="E8" s="270">
        <v>0</v>
      </c>
      <c r="F8" s="270">
        <v>0</v>
      </c>
      <c r="G8" s="270">
        <v>0</v>
      </c>
      <c r="H8" s="270">
        <v>4600</v>
      </c>
      <c r="I8" s="270">
        <v>0</v>
      </c>
      <c r="J8" s="270">
        <v>0</v>
      </c>
      <c r="K8" s="270">
        <v>0</v>
      </c>
      <c r="L8" s="270">
        <v>0</v>
      </c>
      <c r="M8" s="270">
        <v>0</v>
      </c>
      <c r="N8" s="270">
        <v>16000</v>
      </c>
      <c r="O8" s="270">
        <v>0</v>
      </c>
      <c r="P8" s="270">
        <v>0</v>
      </c>
      <c r="Q8" s="270">
        <v>0</v>
      </c>
      <c r="R8" s="270">
        <v>0</v>
      </c>
      <c r="S8" s="270">
        <v>17530</v>
      </c>
      <c r="T8" s="270">
        <f t="shared" ref="T8:T29" si="1">SUM(C8:S8)</f>
        <v>40080</v>
      </c>
      <c r="U8" s="270">
        <v>39970</v>
      </c>
      <c r="V8" s="317">
        <f t="shared" si="0"/>
        <v>110</v>
      </c>
    </row>
    <row r="9" spans="1:27" ht="26.25" x14ac:dyDescent="0.25">
      <c r="A9" s="268">
        <v>5</v>
      </c>
      <c r="B9" s="269">
        <v>45996</v>
      </c>
      <c r="C9" s="270">
        <v>3600</v>
      </c>
      <c r="D9" s="270">
        <v>1950</v>
      </c>
      <c r="E9" s="270">
        <v>0</v>
      </c>
      <c r="F9" s="270">
        <v>0</v>
      </c>
      <c r="G9" s="270">
        <v>0</v>
      </c>
      <c r="H9" s="270">
        <v>5400</v>
      </c>
      <c r="I9" s="270">
        <v>0</v>
      </c>
      <c r="J9" s="270">
        <v>0</v>
      </c>
      <c r="K9" s="270">
        <v>0</v>
      </c>
      <c r="L9" s="270">
        <v>0</v>
      </c>
      <c r="M9" s="270">
        <v>11500</v>
      </c>
      <c r="N9" s="270">
        <v>0</v>
      </c>
      <c r="O9" s="270">
        <v>0</v>
      </c>
      <c r="P9" s="270">
        <v>0</v>
      </c>
      <c r="Q9" s="270">
        <v>0</v>
      </c>
      <c r="R9" s="270">
        <v>0</v>
      </c>
      <c r="S9" s="270">
        <v>36240</v>
      </c>
      <c r="T9" s="270">
        <f t="shared" si="1"/>
        <v>58690</v>
      </c>
      <c r="U9" s="270">
        <v>58890</v>
      </c>
      <c r="V9" s="317">
        <f t="shared" si="0"/>
        <v>-200</v>
      </c>
      <c r="Y9" s="96"/>
      <c r="Z9" s="96"/>
      <c r="AA9" s="96"/>
    </row>
    <row r="10" spans="1:27" ht="26.25" x14ac:dyDescent="0.25">
      <c r="A10" s="268">
        <v>6</v>
      </c>
      <c r="B10" s="269">
        <v>45997</v>
      </c>
      <c r="C10" s="270">
        <v>7500</v>
      </c>
      <c r="D10" s="270">
        <v>1500</v>
      </c>
      <c r="E10" s="270">
        <v>0</v>
      </c>
      <c r="F10" s="270">
        <v>0</v>
      </c>
      <c r="G10" s="270">
        <v>0</v>
      </c>
      <c r="H10" s="270">
        <v>11000</v>
      </c>
      <c r="I10" s="270">
        <v>300</v>
      </c>
      <c r="J10" s="270">
        <v>0</v>
      </c>
      <c r="K10" s="270">
        <v>0</v>
      </c>
      <c r="L10" s="270">
        <v>0</v>
      </c>
      <c r="M10" s="270">
        <v>22950</v>
      </c>
      <c r="N10" s="270">
        <v>0</v>
      </c>
      <c r="O10" s="270">
        <v>0</v>
      </c>
      <c r="P10" s="270">
        <v>0</v>
      </c>
      <c r="Q10" s="270">
        <v>0</v>
      </c>
      <c r="R10" s="270">
        <v>0</v>
      </c>
      <c r="S10" s="270">
        <v>233400</v>
      </c>
      <c r="T10" s="270">
        <f t="shared" si="1"/>
        <v>276650</v>
      </c>
      <c r="U10" s="270">
        <v>283840</v>
      </c>
      <c r="V10" s="317">
        <f t="shared" si="0"/>
        <v>-7190</v>
      </c>
      <c r="AA10" s="96"/>
    </row>
    <row r="11" spans="1:27" ht="26.25" x14ac:dyDescent="0.25">
      <c r="A11" s="268">
        <v>7</v>
      </c>
      <c r="B11" s="269">
        <v>45998</v>
      </c>
      <c r="C11" s="270">
        <v>11100</v>
      </c>
      <c r="D11" s="270">
        <v>750</v>
      </c>
      <c r="E11" s="270">
        <v>0</v>
      </c>
      <c r="F11" s="270">
        <v>0</v>
      </c>
      <c r="G11" s="270">
        <v>0</v>
      </c>
      <c r="H11" s="270">
        <v>14200</v>
      </c>
      <c r="I11" s="270">
        <v>0</v>
      </c>
      <c r="J11" s="270">
        <v>0</v>
      </c>
      <c r="K11" s="270">
        <v>0</v>
      </c>
      <c r="L11" s="270">
        <v>3000</v>
      </c>
      <c r="M11" s="270">
        <v>0</v>
      </c>
      <c r="N11" s="270">
        <v>20500</v>
      </c>
      <c r="O11" s="270">
        <v>0</v>
      </c>
      <c r="P11" s="270">
        <v>0</v>
      </c>
      <c r="Q11" s="270">
        <v>0</v>
      </c>
      <c r="R11" s="270">
        <v>0</v>
      </c>
      <c r="S11" s="270">
        <v>157350</v>
      </c>
      <c r="T11" s="270">
        <f>SUM(C11:S11)</f>
        <v>206900</v>
      </c>
      <c r="U11" s="270">
        <v>243600</v>
      </c>
      <c r="V11" s="317">
        <f t="shared" si="0"/>
        <v>-36700</v>
      </c>
    </row>
    <row r="12" spans="1:27" ht="26.25" x14ac:dyDescent="0.25">
      <c r="A12" s="268">
        <v>8</v>
      </c>
      <c r="B12" s="269">
        <v>45999</v>
      </c>
      <c r="C12" s="270">
        <v>0</v>
      </c>
      <c r="D12" s="270">
        <v>1500</v>
      </c>
      <c r="E12" s="270">
        <v>0</v>
      </c>
      <c r="F12" s="270">
        <v>0</v>
      </c>
      <c r="G12" s="270">
        <v>0</v>
      </c>
      <c r="H12" s="270">
        <v>600</v>
      </c>
      <c r="I12" s="270">
        <v>0</v>
      </c>
      <c r="J12" s="270">
        <v>0</v>
      </c>
      <c r="K12" s="270">
        <v>0</v>
      </c>
      <c r="L12" s="270">
        <v>0</v>
      </c>
      <c r="M12" s="270">
        <v>0</v>
      </c>
      <c r="N12" s="270">
        <v>0</v>
      </c>
      <c r="O12" s="270">
        <v>0</v>
      </c>
      <c r="P12" s="270">
        <v>0</v>
      </c>
      <c r="Q12" s="270">
        <v>0</v>
      </c>
      <c r="R12" s="270">
        <v>0</v>
      </c>
      <c r="S12" s="270">
        <v>23265</v>
      </c>
      <c r="T12" s="270">
        <f t="shared" si="1"/>
        <v>25365</v>
      </c>
      <c r="U12" s="270">
        <v>26990</v>
      </c>
      <c r="V12" s="317">
        <f t="shared" si="0"/>
        <v>-1625</v>
      </c>
    </row>
    <row r="13" spans="1:27" ht="26.25" x14ac:dyDescent="0.25">
      <c r="A13" s="268">
        <v>9</v>
      </c>
      <c r="B13" s="269">
        <v>46000</v>
      </c>
      <c r="C13" s="270">
        <v>1500</v>
      </c>
      <c r="D13" s="270">
        <v>2550</v>
      </c>
      <c r="E13" s="270">
        <v>0</v>
      </c>
      <c r="F13" s="270">
        <v>0</v>
      </c>
      <c r="G13" s="270">
        <v>0</v>
      </c>
      <c r="H13" s="270">
        <v>0</v>
      </c>
      <c r="I13" s="270">
        <v>0</v>
      </c>
      <c r="J13" s="270">
        <v>0</v>
      </c>
      <c r="K13" s="270">
        <v>0</v>
      </c>
      <c r="L13" s="270">
        <v>0</v>
      </c>
      <c r="M13" s="270">
        <v>0</v>
      </c>
      <c r="N13" s="270">
        <v>20500</v>
      </c>
      <c r="O13" s="270">
        <v>0</v>
      </c>
      <c r="P13" s="270">
        <v>0</v>
      </c>
      <c r="Q13" s="270">
        <v>0</v>
      </c>
      <c r="R13" s="270">
        <v>0</v>
      </c>
      <c r="S13" s="270">
        <v>37589</v>
      </c>
      <c r="T13" s="270">
        <f t="shared" si="1"/>
        <v>62139</v>
      </c>
      <c r="U13" s="270">
        <v>55300</v>
      </c>
      <c r="V13" s="317">
        <f t="shared" si="0"/>
        <v>6839</v>
      </c>
    </row>
    <row r="14" spans="1:27" ht="26.25" x14ac:dyDescent="0.25">
      <c r="A14" s="268">
        <v>10</v>
      </c>
      <c r="B14" s="269">
        <v>46001</v>
      </c>
      <c r="C14" s="270">
        <v>0</v>
      </c>
      <c r="D14" s="270">
        <v>2550</v>
      </c>
      <c r="E14" s="270">
        <v>0</v>
      </c>
      <c r="F14" s="270">
        <v>0</v>
      </c>
      <c r="G14" s="270">
        <v>0</v>
      </c>
      <c r="H14" s="270">
        <v>900</v>
      </c>
      <c r="I14" s="270">
        <v>7500</v>
      </c>
      <c r="J14" s="270">
        <v>0</v>
      </c>
      <c r="K14" s="270">
        <v>0</v>
      </c>
      <c r="L14" s="270">
        <v>0</v>
      </c>
      <c r="M14" s="270">
        <v>0</v>
      </c>
      <c r="N14" s="270">
        <v>2950</v>
      </c>
      <c r="O14" s="270">
        <v>0</v>
      </c>
      <c r="P14" s="270">
        <v>0</v>
      </c>
      <c r="Q14" s="270">
        <v>0</v>
      </c>
      <c r="R14" s="270">
        <v>0</v>
      </c>
      <c r="S14" s="270">
        <v>27209</v>
      </c>
      <c r="T14" s="270">
        <f t="shared" si="1"/>
        <v>41109</v>
      </c>
      <c r="U14" s="270">
        <v>41809</v>
      </c>
      <c r="V14" s="317">
        <f t="shared" si="0"/>
        <v>-700</v>
      </c>
    </row>
    <row r="15" spans="1:27" ht="26.25" x14ac:dyDescent="0.25">
      <c r="A15" s="268">
        <v>11</v>
      </c>
      <c r="B15" s="269">
        <v>46002</v>
      </c>
      <c r="C15" s="270">
        <v>0</v>
      </c>
      <c r="D15" s="270">
        <v>1800</v>
      </c>
      <c r="E15" s="270">
        <v>0</v>
      </c>
      <c r="F15" s="270">
        <v>0</v>
      </c>
      <c r="G15" s="270">
        <v>0</v>
      </c>
      <c r="H15" s="270">
        <v>0</v>
      </c>
      <c r="I15" s="270">
        <v>0</v>
      </c>
      <c r="J15" s="270">
        <v>0</v>
      </c>
      <c r="K15" s="270">
        <v>0</v>
      </c>
      <c r="L15" s="270">
        <v>0</v>
      </c>
      <c r="M15" s="270">
        <v>0</v>
      </c>
      <c r="N15" s="270">
        <v>12000</v>
      </c>
      <c r="O15" s="270">
        <v>0</v>
      </c>
      <c r="P15" s="270">
        <v>0</v>
      </c>
      <c r="Q15" s="270">
        <v>5000</v>
      </c>
      <c r="R15" s="270">
        <v>0</v>
      </c>
      <c r="S15" s="270">
        <v>14238</v>
      </c>
      <c r="T15" s="270">
        <f t="shared" si="1"/>
        <v>33038</v>
      </c>
      <c r="U15" s="270">
        <v>31558</v>
      </c>
      <c r="V15" s="317">
        <f t="shared" si="0"/>
        <v>1480</v>
      </c>
    </row>
    <row r="16" spans="1:27" ht="26.25" x14ac:dyDescent="0.25">
      <c r="A16" s="268">
        <v>12</v>
      </c>
      <c r="B16" s="269">
        <v>46003</v>
      </c>
      <c r="C16" s="270">
        <v>2700</v>
      </c>
      <c r="D16" s="270">
        <v>1050</v>
      </c>
      <c r="E16" s="270">
        <v>150</v>
      </c>
      <c r="F16" s="270">
        <v>0</v>
      </c>
      <c r="G16" s="270">
        <v>0</v>
      </c>
      <c r="H16" s="270">
        <v>5800</v>
      </c>
      <c r="I16" s="270">
        <v>0</v>
      </c>
      <c r="J16" s="270">
        <v>0</v>
      </c>
      <c r="K16" s="270">
        <v>0</v>
      </c>
      <c r="L16" s="270">
        <v>0</v>
      </c>
      <c r="M16" s="270">
        <v>0</v>
      </c>
      <c r="N16" s="270">
        <v>0</v>
      </c>
      <c r="O16" s="270">
        <v>0</v>
      </c>
      <c r="P16" s="270">
        <v>0</v>
      </c>
      <c r="Q16" s="270">
        <v>150000</v>
      </c>
      <c r="R16" s="270">
        <v>0</v>
      </c>
      <c r="S16" s="270">
        <v>83201</v>
      </c>
      <c r="T16" s="270">
        <f t="shared" si="1"/>
        <v>242901</v>
      </c>
      <c r="U16" s="270">
        <v>241401</v>
      </c>
      <c r="V16" s="317">
        <f t="shared" si="0"/>
        <v>1500</v>
      </c>
    </row>
    <row r="17" spans="1:23" ht="26.25" x14ac:dyDescent="0.25">
      <c r="A17" s="268">
        <v>13</v>
      </c>
      <c r="B17" s="269">
        <v>46004</v>
      </c>
      <c r="C17" s="270">
        <v>1800</v>
      </c>
      <c r="D17" s="270">
        <v>1050</v>
      </c>
      <c r="E17" s="270">
        <v>0</v>
      </c>
      <c r="F17" s="270">
        <v>0</v>
      </c>
      <c r="G17" s="270">
        <v>0</v>
      </c>
      <c r="H17" s="270">
        <v>4000</v>
      </c>
      <c r="I17" s="270">
        <v>300</v>
      </c>
      <c r="J17" s="270">
        <v>0</v>
      </c>
      <c r="K17" s="270">
        <v>0</v>
      </c>
      <c r="L17" s="270">
        <v>0</v>
      </c>
      <c r="M17" s="270">
        <v>0</v>
      </c>
      <c r="N17" s="270">
        <v>11500</v>
      </c>
      <c r="O17" s="270">
        <v>0</v>
      </c>
      <c r="P17" s="270">
        <v>0</v>
      </c>
      <c r="Q17" s="270">
        <v>0</v>
      </c>
      <c r="R17" s="270">
        <v>143000</v>
      </c>
      <c r="S17" s="270">
        <v>223374</v>
      </c>
      <c r="T17" s="270">
        <f t="shared" si="1"/>
        <v>385024</v>
      </c>
      <c r="U17" s="270">
        <v>384824</v>
      </c>
      <c r="V17" s="317">
        <f t="shared" si="0"/>
        <v>200</v>
      </c>
    </row>
    <row r="18" spans="1:23" ht="26.25" x14ac:dyDescent="0.25">
      <c r="A18" s="268">
        <v>14</v>
      </c>
      <c r="B18" s="269">
        <v>46005</v>
      </c>
      <c r="C18" s="270">
        <v>12300</v>
      </c>
      <c r="D18" s="270">
        <v>1050</v>
      </c>
      <c r="E18" s="270">
        <v>0</v>
      </c>
      <c r="F18" s="270">
        <v>900</v>
      </c>
      <c r="G18" s="270">
        <v>0</v>
      </c>
      <c r="H18" s="270">
        <v>12300</v>
      </c>
      <c r="I18" s="270">
        <v>0</v>
      </c>
      <c r="J18" s="270">
        <v>0</v>
      </c>
      <c r="K18" s="270">
        <v>0</v>
      </c>
      <c r="L18" s="270">
        <v>0</v>
      </c>
      <c r="M18" s="270">
        <v>5500</v>
      </c>
      <c r="N18" s="270">
        <v>20000</v>
      </c>
      <c r="O18" s="270">
        <v>0</v>
      </c>
      <c r="P18" s="270">
        <v>0</v>
      </c>
      <c r="Q18" s="270">
        <v>0</v>
      </c>
      <c r="R18" s="270">
        <v>0</v>
      </c>
      <c r="S18" s="270">
        <v>156695</v>
      </c>
      <c r="T18" s="270">
        <f t="shared" si="1"/>
        <v>208745</v>
      </c>
      <c r="U18" s="270">
        <v>208525</v>
      </c>
      <c r="V18" s="317">
        <f t="shared" si="0"/>
        <v>220</v>
      </c>
      <c r="W18" t="s">
        <v>1189</v>
      </c>
    </row>
    <row r="19" spans="1:23" ht="26.25" x14ac:dyDescent="0.25">
      <c r="A19" s="268">
        <v>15</v>
      </c>
      <c r="B19" s="269">
        <v>46006</v>
      </c>
      <c r="C19" s="270">
        <v>0</v>
      </c>
      <c r="D19" s="270">
        <v>1200</v>
      </c>
      <c r="E19" s="270">
        <v>0</v>
      </c>
      <c r="F19" s="270">
        <v>0</v>
      </c>
      <c r="G19" s="270">
        <v>0</v>
      </c>
      <c r="H19" s="270">
        <v>0</v>
      </c>
      <c r="I19" s="270">
        <v>900</v>
      </c>
      <c r="J19" s="270">
        <v>0</v>
      </c>
      <c r="K19" s="270">
        <v>0</v>
      </c>
      <c r="L19" s="270">
        <v>0</v>
      </c>
      <c r="M19" s="270">
        <v>0</v>
      </c>
      <c r="N19" s="270">
        <v>0</v>
      </c>
      <c r="O19" s="270">
        <v>0</v>
      </c>
      <c r="P19" s="270">
        <v>0</v>
      </c>
      <c r="Q19" s="270">
        <v>0</v>
      </c>
      <c r="R19" s="270">
        <v>0</v>
      </c>
      <c r="S19" s="270">
        <v>7380</v>
      </c>
      <c r="T19" s="270">
        <f t="shared" si="1"/>
        <v>9480</v>
      </c>
      <c r="U19" s="270">
        <v>9480</v>
      </c>
      <c r="V19" s="317">
        <f t="shared" si="0"/>
        <v>0</v>
      </c>
    </row>
    <row r="20" spans="1:23" ht="26.25" x14ac:dyDescent="0.25">
      <c r="A20" s="268">
        <v>16</v>
      </c>
      <c r="B20" s="269">
        <v>46007</v>
      </c>
      <c r="C20" s="270">
        <v>1500</v>
      </c>
      <c r="D20" s="270">
        <v>1800</v>
      </c>
      <c r="E20" s="270">
        <v>0</v>
      </c>
      <c r="F20" s="270">
        <v>0</v>
      </c>
      <c r="G20" s="270">
        <v>0</v>
      </c>
      <c r="H20" s="270">
        <v>800</v>
      </c>
      <c r="I20" s="270">
        <v>0</v>
      </c>
      <c r="J20" s="270">
        <v>0</v>
      </c>
      <c r="K20" s="270">
        <v>0</v>
      </c>
      <c r="L20" s="270">
        <v>0</v>
      </c>
      <c r="M20" s="270">
        <v>0</v>
      </c>
      <c r="N20" s="270">
        <v>2000</v>
      </c>
      <c r="O20" s="270">
        <v>0</v>
      </c>
      <c r="P20" s="270">
        <v>0</v>
      </c>
      <c r="Q20" s="270">
        <v>0</v>
      </c>
      <c r="R20" s="270">
        <v>0</v>
      </c>
      <c r="S20" s="270">
        <v>32658</v>
      </c>
      <c r="T20" s="270">
        <f t="shared" si="1"/>
        <v>38758</v>
      </c>
      <c r="U20" s="270">
        <v>38758</v>
      </c>
      <c r="V20" s="317">
        <f t="shared" si="0"/>
        <v>0</v>
      </c>
    </row>
    <row r="21" spans="1:23" ht="26.25" x14ac:dyDescent="0.25">
      <c r="A21" s="268">
        <v>17</v>
      </c>
      <c r="B21" s="269">
        <v>46008</v>
      </c>
      <c r="C21" s="270">
        <v>0</v>
      </c>
      <c r="D21" s="270">
        <v>1800</v>
      </c>
      <c r="E21" s="270">
        <v>0</v>
      </c>
      <c r="F21" s="270">
        <v>0</v>
      </c>
      <c r="G21" s="270">
        <v>0</v>
      </c>
      <c r="H21" s="270">
        <v>4000</v>
      </c>
      <c r="I21" s="270">
        <v>4700</v>
      </c>
      <c r="J21" s="270">
        <v>0</v>
      </c>
      <c r="K21" s="270">
        <v>0</v>
      </c>
      <c r="L21" s="270">
        <v>0</v>
      </c>
      <c r="M21" s="270">
        <v>6000</v>
      </c>
      <c r="N21" s="270">
        <v>6000</v>
      </c>
      <c r="O21" s="270">
        <v>0</v>
      </c>
      <c r="P21" s="270">
        <v>0</v>
      </c>
      <c r="Q21" s="270">
        <v>0</v>
      </c>
      <c r="R21" s="270">
        <v>0</v>
      </c>
      <c r="S21" s="270">
        <v>46908</v>
      </c>
      <c r="T21" s="270">
        <f t="shared" si="1"/>
        <v>69408</v>
      </c>
      <c r="U21" s="270">
        <v>70008</v>
      </c>
      <c r="V21" s="317">
        <f t="shared" si="0"/>
        <v>-600</v>
      </c>
    </row>
    <row r="22" spans="1:23" ht="26.25" x14ac:dyDescent="0.25">
      <c r="A22" s="268">
        <v>18</v>
      </c>
      <c r="B22" s="269">
        <v>46009</v>
      </c>
      <c r="C22" s="270">
        <v>0</v>
      </c>
      <c r="D22" s="270">
        <v>0</v>
      </c>
      <c r="E22" s="270">
        <v>0</v>
      </c>
      <c r="F22" s="270">
        <v>0</v>
      </c>
      <c r="G22" s="270">
        <v>0</v>
      </c>
      <c r="H22" s="270">
        <v>4100</v>
      </c>
      <c r="I22" s="270">
        <v>0</v>
      </c>
      <c r="J22" s="270">
        <v>0</v>
      </c>
      <c r="K22" s="270">
        <v>0</v>
      </c>
      <c r="L22" s="270">
        <v>0</v>
      </c>
      <c r="M22" s="270">
        <v>6000</v>
      </c>
      <c r="N22" s="270">
        <v>38650</v>
      </c>
      <c r="O22" s="270">
        <v>0</v>
      </c>
      <c r="P22" s="270">
        <v>0</v>
      </c>
      <c r="Q22" s="270">
        <v>0</v>
      </c>
      <c r="R22" s="270">
        <v>0</v>
      </c>
      <c r="S22" s="270">
        <v>20799</v>
      </c>
      <c r="T22" s="270">
        <f t="shared" si="1"/>
        <v>69549</v>
      </c>
      <c r="U22" s="270"/>
      <c r="V22" s="317">
        <f t="shared" si="0"/>
        <v>69549</v>
      </c>
    </row>
    <row r="23" spans="1:23" ht="26.25" x14ac:dyDescent="0.25">
      <c r="A23" s="268">
        <v>19</v>
      </c>
      <c r="B23" s="269">
        <v>46010</v>
      </c>
      <c r="C23" s="270">
        <v>1800</v>
      </c>
      <c r="D23" s="270">
        <v>1200</v>
      </c>
      <c r="E23" s="270">
        <v>0</v>
      </c>
      <c r="F23" s="270">
        <v>0</v>
      </c>
      <c r="G23" s="270">
        <v>0</v>
      </c>
      <c r="H23" s="270">
        <v>3200</v>
      </c>
      <c r="I23" s="270">
        <v>0</v>
      </c>
      <c r="J23" s="270">
        <v>0</v>
      </c>
      <c r="K23" s="270">
        <v>0</v>
      </c>
      <c r="L23" s="270">
        <v>0</v>
      </c>
      <c r="M23" s="270">
        <v>0</v>
      </c>
      <c r="N23" s="270">
        <v>11750</v>
      </c>
      <c r="O23" s="270">
        <v>0</v>
      </c>
      <c r="P23" s="270">
        <v>0</v>
      </c>
      <c r="Q23" s="270">
        <v>0</v>
      </c>
      <c r="R23" s="270">
        <v>0</v>
      </c>
      <c r="S23" s="270">
        <v>31595</v>
      </c>
      <c r="T23" s="270">
        <f t="shared" si="1"/>
        <v>49545</v>
      </c>
      <c r="U23" s="270"/>
      <c r="V23" s="317">
        <f t="shared" si="0"/>
        <v>49545</v>
      </c>
    </row>
    <row r="24" spans="1:23" ht="26.25" x14ac:dyDescent="0.25">
      <c r="A24" s="268">
        <v>20</v>
      </c>
      <c r="B24" s="269">
        <v>46011</v>
      </c>
      <c r="C24" s="270">
        <v>6600</v>
      </c>
      <c r="D24" s="270">
        <v>750</v>
      </c>
      <c r="E24" s="270">
        <v>0</v>
      </c>
      <c r="F24" s="270">
        <v>0</v>
      </c>
      <c r="G24" s="270">
        <v>0</v>
      </c>
      <c r="H24" s="270">
        <v>6300</v>
      </c>
      <c r="I24" s="270">
        <v>0</v>
      </c>
      <c r="J24" s="270">
        <v>0</v>
      </c>
      <c r="K24" s="270">
        <v>0</v>
      </c>
      <c r="L24" s="270">
        <v>0</v>
      </c>
      <c r="M24" s="270">
        <v>0</v>
      </c>
      <c r="N24" s="270">
        <v>40300</v>
      </c>
      <c r="O24" s="270">
        <v>0</v>
      </c>
      <c r="P24" s="270">
        <v>0</v>
      </c>
      <c r="Q24" s="270">
        <v>0</v>
      </c>
      <c r="R24" s="270">
        <v>0</v>
      </c>
      <c r="S24" s="270">
        <v>111364</v>
      </c>
      <c r="T24" s="270">
        <f t="shared" si="1"/>
        <v>165314</v>
      </c>
      <c r="U24" s="270"/>
      <c r="V24" s="317">
        <f t="shared" si="0"/>
        <v>165314</v>
      </c>
    </row>
    <row r="25" spans="1:23" ht="26.25" x14ac:dyDescent="0.25">
      <c r="A25" s="268">
        <v>21</v>
      </c>
      <c r="B25" s="269">
        <v>46012</v>
      </c>
      <c r="C25" s="270">
        <v>10500</v>
      </c>
      <c r="D25" s="270">
        <v>300</v>
      </c>
      <c r="E25" s="270">
        <v>1200</v>
      </c>
      <c r="F25" s="270">
        <v>3600</v>
      </c>
      <c r="G25" s="270">
        <v>0</v>
      </c>
      <c r="H25" s="270">
        <v>7700</v>
      </c>
      <c r="I25" s="270">
        <v>300</v>
      </c>
      <c r="J25" s="270">
        <v>0</v>
      </c>
      <c r="K25" s="270">
        <v>200</v>
      </c>
      <c r="L25" s="270">
        <v>0</v>
      </c>
      <c r="M25" s="270">
        <v>16500</v>
      </c>
      <c r="N25" s="270">
        <v>7500</v>
      </c>
      <c r="O25" s="270">
        <v>0</v>
      </c>
      <c r="P25" s="270">
        <v>0</v>
      </c>
      <c r="Q25" s="270">
        <v>0</v>
      </c>
      <c r="R25" s="270">
        <v>365000</v>
      </c>
      <c r="S25" s="270">
        <v>379588</v>
      </c>
      <c r="T25" s="270">
        <f t="shared" si="1"/>
        <v>792388</v>
      </c>
      <c r="U25" s="270"/>
      <c r="V25" s="317">
        <f t="shared" si="0"/>
        <v>792388</v>
      </c>
    </row>
    <row r="26" spans="1:23" ht="26.25" x14ac:dyDescent="0.25">
      <c r="A26" s="268">
        <v>22</v>
      </c>
      <c r="B26" s="269">
        <v>46013</v>
      </c>
      <c r="C26" s="270">
        <v>10200</v>
      </c>
      <c r="D26" s="270">
        <v>750</v>
      </c>
      <c r="E26" s="270">
        <v>0</v>
      </c>
      <c r="F26" s="270">
        <v>0</v>
      </c>
      <c r="G26" s="270">
        <v>0</v>
      </c>
      <c r="H26" s="270">
        <v>8200</v>
      </c>
      <c r="I26" s="270">
        <v>0</v>
      </c>
      <c r="J26" s="270">
        <v>0</v>
      </c>
      <c r="K26" s="270">
        <v>0</v>
      </c>
      <c r="L26" s="270">
        <v>0</v>
      </c>
      <c r="M26" s="270">
        <v>0</v>
      </c>
      <c r="N26" s="270">
        <v>0</v>
      </c>
      <c r="O26" s="270">
        <v>0</v>
      </c>
      <c r="P26" s="270">
        <v>0</v>
      </c>
      <c r="Q26" s="270">
        <v>0</v>
      </c>
      <c r="R26" s="270">
        <v>0</v>
      </c>
      <c r="S26" s="270">
        <v>147243</v>
      </c>
      <c r="T26" s="270">
        <f t="shared" si="1"/>
        <v>166393</v>
      </c>
      <c r="U26" s="270"/>
      <c r="V26" s="317">
        <f t="shared" si="0"/>
        <v>166393</v>
      </c>
    </row>
    <row r="27" spans="1:23" ht="26.25" x14ac:dyDescent="0.25">
      <c r="A27" s="268">
        <v>23</v>
      </c>
      <c r="B27" s="269">
        <v>46014</v>
      </c>
      <c r="C27" s="270">
        <v>5400</v>
      </c>
      <c r="D27" s="270">
        <v>1200</v>
      </c>
      <c r="E27" s="270">
        <v>0</v>
      </c>
      <c r="F27" s="270">
        <v>0</v>
      </c>
      <c r="G27" s="270">
        <v>0</v>
      </c>
      <c r="H27" s="270">
        <v>7700</v>
      </c>
      <c r="I27" s="270">
        <v>0</v>
      </c>
      <c r="J27" s="270">
        <v>0</v>
      </c>
      <c r="K27" s="270">
        <v>0</v>
      </c>
      <c r="L27" s="270">
        <v>0</v>
      </c>
      <c r="M27" s="270">
        <v>0</v>
      </c>
      <c r="N27" s="270">
        <v>28750</v>
      </c>
      <c r="O27" s="270">
        <v>0</v>
      </c>
      <c r="P27" s="270">
        <v>0</v>
      </c>
      <c r="Q27" s="270">
        <v>0</v>
      </c>
      <c r="R27" s="270">
        <v>0</v>
      </c>
      <c r="S27" s="270">
        <v>77700</v>
      </c>
      <c r="T27" s="270">
        <f t="shared" si="1"/>
        <v>120750</v>
      </c>
      <c r="U27" s="270"/>
      <c r="V27" s="317">
        <f t="shared" si="0"/>
        <v>120750</v>
      </c>
    </row>
    <row r="28" spans="1:23" ht="26.25" x14ac:dyDescent="0.25">
      <c r="A28" s="268">
        <v>24</v>
      </c>
      <c r="B28" s="269">
        <v>46015</v>
      </c>
      <c r="C28" s="270">
        <v>1500</v>
      </c>
      <c r="D28" s="270">
        <v>600</v>
      </c>
      <c r="E28" s="270">
        <v>0</v>
      </c>
      <c r="F28" s="270">
        <v>3000</v>
      </c>
      <c r="G28" s="270">
        <v>300</v>
      </c>
      <c r="H28" s="270">
        <v>1700</v>
      </c>
      <c r="I28" s="270">
        <v>2700</v>
      </c>
      <c r="J28" s="270">
        <v>0</v>
      </c>
      <c r="K28" s="270">
        <v>0</v>
      </c>
      <c r="L28" s="270">
        <v>0</v>
      </c>
      <c r="M28" s="270">
        <v>0</v>
      </c>
      <c r="N28" s="270">
        <v>11500</v>
      </c>
      <c r="O28" s="270">
        <v>0</v>
      </c>
      <c r="P28" s="270">
        <v>0</v>
      </c>
      <c r="Q28" s="270">
        <v>480000</v>
      </c>
      <c r="R28" s="270">
        <v>0</v>
      </c>
      <c r="S28" s="270">
        <v>3140128</v>
      </c>
      <c r="T28" s="270">
        <f t="shared" si="1"/>
        <v>3641428</v>
      </c>
      <c r="U28" s="270"/>
      <c r="V28" s="317">
        <f t="shared" si="0"/>
        <v>3641428</v>
      </c>
    </row>
    <row r="29" spans="1:23" ht="26.25" x14ac:dyDescent="0.25">
      <c r="A29" s="268">
        <v>25</v>
      </c>
      <c r="B29" s="269">
        <v>46016</v>
      </c>
      <c r="C29" s="270">
        <v>8100</v>
      </c>
      <c r="D29" s="270">
        <v>600</v>
      </c>
      <c r="E29" s="270">
        <v>0</v>
      </c>
      <c r="F29" s="270">
        <v>0</v>
      </c>
      <c r="G29" s="270">
        <v>0</v>
      </c>
      <c r="H29" s="270">
        <v>5700</v>
      </c>
      <c r="I29" s="270">
        <v>300</v>
      </c>
      <c r="J29" s="270">
        <v>0</v>
      </c>
      <c r="K29" s="270">
        <v>0</v>
      </c>
      <c r="L29" s="270">
        <v>0</v>
      </c>
      <c r="M29" s="270">
        <v>10000</v>
      </c>
      <c r="N29" s="270">
        <v>6500</v>
      </c>
      <c r="O29" s="270">
        <v>0</v>
      </c>
      <c r="P29" s="270">
        <v>0</v>
      </c>
      <c r="Q29" s="270">
        <v>0</v>
      </c>
      <c r="R29" s="270">
        <v>0</v>
      </c>
      <c r="S29" s="270">
        <v>235737</v>
      </c>
      <c r="T29" s="270">
        <f t="shared" si="1"/>
        <v>266937</v>
      </c>
      <c r="U29" s="270">
        <v>247040</v>
      </c>
      <c r="V29" s="317">
        <f t="shared" si="0"/>
        <v>19897</v>
      </c>
    </row>
    <row r="30" spans="1:23" ht="24.6" customHeight="1" x14ac:dyDescent="0.35">
      <c r="A30" s="271"/>
      <c r="B30" s="272" t="s">
        <v>1089</v>
      </c>
      <c r="C30" s="273">
        <f>SUM(C5:C29)</f>
        <v>89100</v>
      </c>
      <c r="D30" s="273">
        <f t="shared" ref="D30:T30" si="2">SUM(D5:D29)</f>
        <v>34050</v>
      </c>
      <c r="E30" s="273">
        <f t="shared" si="2"/>
        <v>1500</v>
      </c>
      <c r="F30" s="273">
        <f t="shared" si="2"/>
        <v>7500</v>
      </c>
      <c r="G30" s="273">
        <f t="shared" si="2"/>
        <v>300</v>
      </c>
      <c r="H30" s="273">
        <f t="shared" si="2"/>
        <v>109100</v>
      </c>
      <c r="I30" s="273">
        <f t="shared" si="2"/>
        <v>17000</v>
      </c>
      <c r="J30" s="273">
        <f t="shared" si="2"/>
        <v>0</v>
      </c>
      <c r="K30" s="273">
        <f t="shared" si="2"/>
        <v>200</v>
      </c>
      <c r="L30" s="273">
        <f t="shared" si="2"/>
        <v>3000</v>
      </c>
      <c r="M30" s="273">
        <f t="shared" si="2"/>
        <v>78450</v>
      </c>
      <c r="N30" s="273">
        <f t="shared" si="2"/>
        <v>261400</v>
      </c>
      <c r="O30" s="273">
        <f t="shared" si="2"/>
        <v>0</v>
      </c>
      <c r="P30" s="273">
        <f t="shared" si="2"/>
        <v>0</v>
      </c>
      <c r="Q30" s="273">
        <f t="shared" si="2"/>
        <v>635000</v>
      </c>
      <c r="R30" s="273">
        <f t="shared" si="2"/>
        <v>508000</v>
      </c>
      <c r="S30" s="273">
        <f t="shared" si="2"/>
        <v>5319274</v>
      </c>
      <c r="T30" s="273">
        <f t="shared" si="2"/>
        <v>7063874</v>
      </c>
      <c r="V30" s="317">
        <f t="shared" si="0"/>
        <v>7063874</v>
      </c>
    </row>
    <row r="31" spans="1:23" ht="26.25" x14ac:dyDescent="0.25">
      <c r="A31" s="6"/>
      <c r="B31" s="274"/>
      <c r="C31" s="275"/>
      <c r="D31" s="290"/>
      <c r="E31" s="291" t="s">
        <v>1151</v>
      </c>
      <c r="F31" s="291"/>
      <c r="G31" s="291"/>
      <c r="H31" s="276">
        <f>T30</f>
        <v>7063874</v>
      </c>
      <c r="I31" s="275"/>
      <c r="J31" s="276"/>
      <c r="K31" s="276"/>
      <c r="L31" s="276"/>
      <c r="M31" s="276"/>
      <c r="N31" s="275"/>
      <c r="O31" s="275"/>
      <c r="P31" s="275"/>
      <c r="Q31" s="276"/>
      <c r="R31" s="276"/>
      <c r="S31" s="276"/>
      <c r="T31" s="276"/>
      <c r="V31" s="317"/>
    </row>
    <row r="32" spans="1:23" ht="26.25" x14ac:dyDescent="0.25">
      <c r="A32" s="6"/>
      <c r="B32" s="274"/>
      <c r="C32" s="275"/>
      <c r="D32" s="268"/>
      <c r="E32" s="292" t="s">
        <v>1152</v>
      </c>
      <c r="F32" s="325"/>
      <c r="G32" s="325"/>
      <c r="H32" s="276">
        <f>'data base '!U124</f>
        <v>791409.9</v>
      </c>
      <c r="I32" s="275"/>
      <c r="N32" s="275"/>
      <c r="O32" s="275"/>
      <c r="P32" s="275"/>
      <c r="Q32" s="276"/>
      <c r="R32" s="276"/>
      <c r="S32" s="276"/>
      <c r="T32" s="276"/>
      <c r="V32" s="317"/>
    </row>
    <row r="33" spans="1:22" ht="26.25" x14ac:dyDescent="0.25">
      <c r="A33" s="6"/>
      <c r="B33" s="274"/>
      <c r="C33" s="275"/>
      <c r="D33" s="268"/>
      <c r="E33" s="292" t="s">
        <v>1153</v>
      </c>
      <c r="F33" s="325"/>
      <c r="G33" s="325"/>
      <c r="H33" s="276">
        <v>819000</v>
      </c>
      <c r="I33" s="275"/>
      <c r="N33" s="275"/>
      <c r="O33" s="275"/>
      <c r="P33" s="275"/>
      <c r="Q33" s="276"/>
      <c r="R33" s="276"/>
      <c r="S33" s="276"/>
      <c r="T33" s="276"/>
      <c r="V33" s="317"/>
    </row>
    <row r="34" spans="1:22" ht="26.25" x14ac:dyDescent="0.25">
      <c r="A34" s="6"/>
      <c r="B34" s="274"/>
      <c r="C34" s="275"/>
      <c r="D34" s="268"/>
      <c r="E34" s="293" t="s">
        <v>1154</v>
      </c>
      <c r="F34" s="326"/>
      <c r="G34" s="326"/>
      <c r="H34" s="273">
        <f>SUM(H31:H33)</f>
        <v>8674283.9000000004</v>
      </c>
      <c r="I34" s="275"/>
      <c r="N34" s="275"/>
      <c r="O34" s="275"/>
      <c r="P34" s="275"/>
      <c r="Q34" s="276"/>
      <c r="R34" s="276"/>
      <c r="S34" s="276"/>
      <c r="T34" s="276"/>
    </row>
    <row r="35" spans="1:22" x14ac:dyDescent="0.25">
      <c r="A35" s="6"/>
      <c r="B35" s="277"/>
    </row>
    <row r="43" spans="1:22" x14ac:dyDescent="0.25">
      <c r="M43" s="8" t="s">
        <v>945</v>
      </c>
    </row>
  </sheetData>
  <mergeCells count="3">
    <mergeCell ref="A1:T1"/>
    <mergeCell ref="A2:T2"/>
    <mergeCell ref="A3:T3"/>
  </mergeCells>
  <pageMargins left="0.7" right="0.7" top="0.75" bottom="0.75" header="0.3" footer="0.3"/>
  <pageSetup paperSize="9" scale="28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36"/>
  <sheetViews>
    <sheetView topLeftCell="A7" zoomScale="115" zoomScaleNormal="115" workbookViewId="0">
      <selection activeCell="B27" sqref="B27"/>
    </sheetView>
  </sheetViews>
  <sheetFormatPr defaultRowHeight="15" x14ac:dyDescent="0.25"/>
  <cols>
    <col min="1" max="1" width="10.85546875" style="187" bestFit="1" customWidth="1"/>
    <col min="2" max="2" width="17.28515625" bestFit="1" customWidth="1"/>
    <col min="3" max="3" width="10.140625" bestFit="1" customWidth="1"/>
    <col min="4" max="4" width="11.5703125" style="143" bestFit="1" customWidth="1"/>
    <col min="5" max="5" width="11.5703125" style="143" customWidth="1"/>
    <col min="6" max="6" width="13.140625" bestFit="1" customWidth="1"/>
    <col min="7" max="7" width="18.7109375" bestFit="1" customWidth="1"/>
    <col min="8" max="8" width="12.85546875" bestFit="1" customWidth="1"/>
    <col min="9" max="9" width="24.140625" bestFit="1" customWidth="1"/>
    <col min="10" max="10" width="12.85546875" bestFit="1" customWidth="1"/>
  </cols>
  <sheetData>
    <row r="4" spans="1:10" x14ac:dyDescent="0.25">
      <c r="A4" s="329" t="s">
        <v>1084</v>
      </c>
      <c r="B4" s="242" t="s">
        <v>1085</v>
      </c>
      <c r="C4" s="242" t="s">
        <v>1086</v>
      </c>
      <c r="D4" s="242" t="s">
        <v>1220</v>
      </c>
      <c r="E4" s="242" t="s">
        <v>1221</v>
      </c>
      <c r="F4" s="242" t="s">
        <v>1222</v>
      </c>
      <c r="G4" s="242" t="s">
        <v>1223</v>
      </c>
      <c r="H4" s="242" t="s">
        <v>1224</v>
      </c>
      <c r="I4" s="242" t="s">
        <v>1087</v>
      </c>
      <c r="J4" s="328" t="s">
        <v>1225</v>
      </c>
    </row>
    <row r="5" spans="1:10" x14ac:dyDescent="0.25">
      <c r="A5" s="330">
        <v>45984.941446759258</v>
      </c>
      <c r="B5" s="327" t="s">
        <v>1196</v>
      </c>
      <c r="C5" s="327" t="s">
        <v>1218</v>
      </c>
      <c r="D5" s="5">
        <v>6140</v>
      </c>
      <c r="E5" s="5">
        <f>+D5*1.5/100</f>
        <v>92.1</v>
      </c>
      <c r="F5" s="5">
        <f>E5*15/100</f>
        <v>13.815</v>
      </c>
      <c r="G5" s="5">
        <f>D5-E5-F5</f>
        <v>6034.085</v>
      </c>
      <c r="H5" s="8" t="s">
        <v>1226</v>
      </c>
      <c r="I5" s="8" t="s">
        <v>1052</v>
      </c>
      <c r="J5" s="8" t="s">
        <v>1229</v>
      </c>
    </row>
    <row r="6" spans="1:10" x14ac:dyDescent="0.25">
      <c r="A6" s="330">
        <v>45985.941446701392</v>
      </c>
      <c r="B6" s="327" t="s">
        <v>1197</v>
      </c>
      <c r="C6" s="327" t="s">
        <v>1218</v>
      </c>
      <c r="D6" s="5">
        <v>6375</v>
      </c>
      <c r="E6" s="5">
        <f t="shared" ref="E6:E26" si="0">+D6*1.5/100</f>
        <v>95.625</v>
      </c>
      <c r="F6" s="5">
        <f t="shared" ref="F6:F26" si="1">E6*15/100</f>
        <v>14.34375</v>
      </c>
      <c r="G6" s="5">
        <f t="shared" ref="G6:G26" si="2">D6-E6-F6</f>
        <v>6265.03125</v>
      </c>
      <c r="H6" s="8" t="s">
        <v>1227</v>
      </c>
      <c r="I6" s="8" t="s">
        <v>1230</v>
      </c>
      <c r="J6" s="8" t="s">
        <v>1231</v>
      </c>
    </row>
    <row r="7" spans="1:10" x14ac:dyDescent="0.25">
      <c r="A7" s="330">
        <v>45986.941446701392</v>
      </c>
      <c r="B7" s="327" t="s">
        <v>1198</v>
      </c>
      <c r="C7" s="327" t="s">
        <v>1218</v>
      </c>
      <c r="D7" s="5">
        <v>6140</v>
      </c>
      <c r="E7" s="5">
        <f t="shared" si="0"/>
        <v>92.1</v>
      </c>
      <c r="F7" s="5">
        <f t="shared" si="1"/>
        <v>13.815</v>
      </c>
      <c r="G7" s="5">
        <f t="shared" si="2"/>
        <v>6034.085</v>
      </c>
      <c r="H7" s="8" t="s">
        <v>1226</v>
      </c>
      <c r="I7" s="8" t="s">
        <v>1052</v>
      </c>
      <c r="J7" s="8" t="s">
        <v>1229</v>
      </c>
    </row>
    <row r="8" spans="1:10" x14ac:dyDescent="0.25">
      <c r="A8" s="330">
        <v>45987.941446701392</v>
      </c>
      <c r="B8" s="327" t="s">
        <v>1199</v>
      </c>
      <c r="C8" s="327" t="s">
        <v>1218</v>
      </c>
      <c r="D8" s="5">
        <v>1020</v>
      </c>
      <c r="E8" s="5">
        <f t="shared" si="0"/>
        <v>15.3</v>
      </c>
      <c r="F8" s="5">
        <f t="shared" si="1"/>
        <v>2.2949999999999999</v>
      </c>
      <c r="G8" s="5">
        <f t="shared" si="2"/>
        <v>1002.4050000000001</v>
      </c>
      <c r="H8" s="8" t="s">
        <v>1227</v>
      </c>
      <c r="I8" s="8" t="s">
        <v>1230</v>
      </c>
    </row>
    <row r="9" spans="1:10" x14ac:dyDescent="0.25">
      <c r="A9" s="330">
        <v>45988.941446701392</v>
      </c>
      <c r="B9" s="327" t="s">
        <v>1200</v>
      </c>
      <c r="C9" s="327" t="s">
        <v>1218</v>
      </c>
      <c r="D9" s="5">
        <v>6140</v>
      </c>
      <c r="E9" s="5">
        <f t="shared" si="0"/>
        <v>92.1</v>
      </c>
      <c r="F9" s="5">
        <f t="shared" si="1"/>
        <v>13.815</v>
      </c>
      <c r="G9" s="5">
        <f t="shared" si="2"/>
        <v>6034.085</v>
      </c>
      <c r="H9" s="8" t="s">
        <v>1226</v>
      </c>
      <c r="I9" s="8" t="s">
        <v>1052</v>
      </c>
      <c r="J9" s="8" t="s">
        <v>1229</v>
      </c>
    </row>
    <row r="10" spans="1:10" x14ac:dyDescent="0.25">
      <c r="A10" s="330">
        <v>45989.941446701392</v>
      </c>
      <c r="B10" s="327" t="s">
        <v>1201</v>
      </c>
      <c r="C10" s="327" t="s">
        <v>1218</v>
      </c>
      <c r="D10" s="5">
        <v>1020</v>
      </c>
      <c r="E10" s="5">
        <f t="shared" si="0"/>
        <v>15.3</v>
      </c>
      <c r="F10" s="5">
        <f t="shared" si="1"/>
        <v>2.2949999999999999</v>
      </c>
      <c r="G10" s="5">
        <f t="shared" si="2"/>
        <v>1002.4050000000001</v>
      </c>
      <c r="H10" s="8" t="s">
        <v>1228</v>
      </c>
      <c r="I10" s="8" t="s">
        <v>650</v>
      </c>
      <c r="J10" s="8" t="s">
        <v>1232</v>
      </c>
    </row>
    <row r="11" spans="1:10" x14ac:dyDescent="0.25">
      <c r="A11" s="330">
        <v>45990.941446701392</v>
      </c>
      <c r="B11" s="327" t="s">
        <v>1202</v>
      </c>
      <c r="C11" s="327" t="s">
        <v>1218</v>
      </c>
      <c r="D11" s="5">
        <v>7038</v>
      </c>
      <c r="E11" s="5">
        <f t="shared" si="0"/>
        <v>105.57</v>
      </c>
      <c r="F11" s="5">
        <f t="shared" si="1"/>
        <v>15.8355</v>
      </c>
      <c r="G11" s="5">
        <f t="shared" si="2"/>
        <v>6916.5945000000002</v>
      </c>
      <c r="H11" s="8" t="s">
        <v>1227</v>
      </c>
    </row>
    <row r="12" spans="1:10" x14ac:dyDescent="0.25">
      <c r="A12" s="330">
        <v>45991.941446701392</v>
      </c>
      <c r="B12" s="327" t="s">
        <v>1203</v>
      </c>
      <c r="C12" s="327" t="s">
        <v>1218</v>
      </c>
      <c r="D12" s="5">
        <v>6140</v>
      </c>
      <c r="E12" s="5">
        <f t="shared" si="0"/>
        <v>92.1</v>
      </c>
      <c r="F12" s="5">
        <f t="shared" si="1"/>
        <v>13.815</v>
      </c>
      <c r="G12" s="5">
        <f t="shared" si="2"/>
        <v>6034.085</v>
      </c>
      <c r="H12" s="8" t="s">
        <v>1226</v>
      </c>
      <c r="I12" s="8" t="s">
        <v>1052</v>
      </c>
      <c r="J12" s="8" t="s">
        <v>1229</v>
      </c>
    </row>
    <row r="13" spans="1:10" x14ac:dyDescent="0.25">
      <c r="A13" s="330">
        <v>45991.941446701392</v>
      </c>
      <c r="B13" s="327" t="s">
        <v>1204</v>
      </c>
      <c r="C13" s="327" t="s">
        <v>1218</v>
      </c>
      <c r="D13" s="5">
        <v>142227.78</v>
      </c>
      <c r="E13" s="5">
        <f t="shared" si="0"/>
        <v>2133.4166999999998</v>
      </c>
      <c r="F13" s="5">
        <f t="shared" si="1"/>
        <v>320.01250499999992</v>
      </c>
      <c r="G13" s="5">
        <f t="shared" si="2"/>
        <v>139774.35079500001</v>
      </c>
      <c r="H13" s="5"/>
    </row>
    <row r="14" spans="1:10" x14ac:dyDescent="0.25">
      <c r="A14" s="330">
        <v>45993.941446701392</v>
      </c>
      <c r="B14" s="327" t="s">
        <v>1205</v>
      </c>
      <c r="C14" s="327" t="s">
        <v>1219</v>
      </c>
      <c r="D14" s="5">
        <v>2040</v>
      </c>
      <c r="E14" s="5">
        <f t="shared" si="0"/>
        <v>30.6</v>
      </c>
      <c r="F14" s="5">
        <f t="shared" si="1"/>
        <v>4.59</v>
      </c>
      <c r="G14" s="5">
        <f t="shared" si="2"/>
        <v>2004.8100000000002</v>
      </c>
      <c r="H14" s="5"/>
    </row>
    <row r="15" spans="1:10" x14ac:dyDescent="0.25">
      <c r="A15" s="330">
        <v>45994.941446701392</v>
      </c>
      <c r="B15" s="327" t="s">
        <v>1206</v>
      </c>
      <c r="C15" s="327" t="s">
        <v>1219</v>
      </c>
      <c r="D15" s="5">
        <v>35109</v>
      </c>
      <c r="E15" s="5">
        <f t="shared" si="0"/>
        <v>526.63499999999999</v>
      </c>
      <c r="F15" s="5">
        <f t="shared" si="1"/>
        <v>78.995249999999999</v>
      </c>
      <c r="G15" s="5">
        <f t="shared" si="2"/>
        <v>34503.369749999998</v>
      </c>
      <c r="H15" s="5"/>
    </row>
    <row r="16" spans="1:10" x14ac:dyDescent="0.25">
      <c r="A16" s="330">
        <v>45995.941446701392</v>
      </c>
      <c r="B16" s="327" t="s">
        <v>1207</v>
      </c>
      <c r="C16" s="327" t="s">
        <v>1219</v>
      </c>
      <c r="D16" s="5">
        <v>10200</v>
      </c>
      <c r="E16" s="5">
        <f t="shared" si="0"/>
        <v>153</v>
      </c>
      <c r="F16" s="5">
        <f t="shared" si="1"/>
        <v>22.95</v>
      </c>
      <c r="G16" s="5">
        <f t="shared" si="2"/>
        <v>10024.049999999999</v>
      </c>
      <c r="H16" s="5"/>
    </row>
    <row r="17" spans="1:8" x14ac:dyDescent="0.25">
      <c r="A17" s="330">
        <v>45996.941446701392</v>
      </c>
      <c r="B17" s="327" t="s">
        <v>1208</v>
      </c>
      <c r="C17" s="327" t="s">
        <v>1219</v>
      </c>
      <c r="D17" s="5">
        <v>5100</v>
      </c>
      <c r="E17" s="5">
        <f t="shared" si="0"/>
        <v>76.5</v>
      </c>
      <c r="F17" s="5">
        <f t="shared" si="1"/>
        <v>11.475</v>
      </c>
      <c r="G17" s="5">
        <f t="shared" si="2"/>
        <v>5012.0249999999996</v>
      </c>
      <c r="H17" s="5"/>
    </row>
    <row r="18" spans="1:8" x14ac:dyDescent="0.25">
      <c r="A18" s="330">
        <v>45997.941446701392</v>
      </c>
      <c r="B18" s="327" t="s">
        <v>1209</v>
      </c>
      <c r="C18" s="327" t="s">
        <v>1219</v>
      </c>
      <c r="D18" s="5">
        <v>1173</v>
      </c>
      <c r="E18" s="5">
        <f t="shared" si="0"/>
        <v>17.594999999999999</v>
      </c>
      <c r="F18" s="5">
        <f t="shared" si="1"/>
        <v>2.6392499999999997</v>
      </c>
      <c r="G18" s="5">
        <f t="shared" si="2"/>
        <v>1152.76575</v>
      </c>
      <c r="H18" s="5"/>
    </row>
    <row r="19" spans="1:8" x14ac:dyDescent="0.25">
      <c r="A19" s="330">
        <v>45998.941446701392</v>
      </c>
      <c r="B19" s="327" t="s">
        <v>1210</v>
      </c>
      <c r="C19" s="327" t="s">
        <v>1219</v>
      </c>
      <c r="D19" s="5">
        <v>2448</v>
      </c>
      <c r="E19" s="5">
        <f t="shared" si="0"/>
        <v>36.72</v>
      </c>
      <c r="F19" s="5">
        <f t="shared" si="1"/>
        <v>5.5079999999999991</v>
      </c>
      <c r="G19" s="5">
        <f t="shared" si="2"/>
        <v>2405.7720000000004</v>
      </c>
      <c r="H19" s="5"/>
    </row>
    <row r="20" spans="1:8" x14ac:dyDescent="0.25">
      <c r="A20" s="330">
        <v>45999.941446701392</v>
      </c>
      <c r="B20" s="327" t="s">
        <v>1211</v>
      </c>
      <c r="C20" s="327" t="s">
        <v>1219</v>
      </c>
      <c r="D20" s="5">
        <v>12240</v>
      </c>
      <c r="E20" s="5">
        <f t="shared" si="0"/>
        <v>183.6</v>
      </c>
      <c r="F20" s="5">
        <f t="shared" si="1"/>
        <v>27.54</v>
      </c>
      <c r="G20" s="5">
        <f t="shared" si="2"/>
        <v>12028.859999999999</v>
      </c>
      <c r="H20" s="5"/>
    </row>
    <row r="21" spans="1:8" x14ac:dyDescent="0.25">
      <c r="A21" s="330">
        <v>46000.941446701392</v>
      </c>
      <c r="B21" s="327" t="s">
        <v>1212</v>
      </c>
      <c r="C21" s="327" t="s">
        <v>1219</v>
      </c>
      <c r="D21" s="5">
        <v>821</v>
      </c>
      <c r="E21" s="5">
        <f t="shared" si="0"/>
        <v>12.315</v>
      </c>
      <c r="F21" s="5">
        <f t="shared" si="1"/>
        <v>1.8472499999999998</v>
      </c>
      <c r="G21" s="5">
        <f t="shared" si="2"/>
        <v>806.83774999999991</v>
      </c>
      <c r="H21" s="5"/>
    </row>
    <row r="22" spans="1:8" x14ac:dyDescent="0.25">
      <c r="A22" s="330">
        <v>46001.941446701392</v>
      </c>
      <c r="B22" s="327" t="s">
        <v>1213</v>
      </c>
      <c r="C22" s="327" t="s">
        <v>1219</v>
      </c>
      <c r="D22" s="5">
        <v>20910</v>
      </c>
      <c r="E22" s="5">
        <f t="shared" si="0"/>
        <v>313.64999999999998</v>
      </c>
      <c r="F22" s="5">
        <f t="shared" si="1"/>
        <v>47.047499999999999</v>
      </c>
      <c r="G22" s="5">
        <f t="shared" si="2"/>
        <v>20549.302499999998</v>
      </c>
      <c r="H22" s="5"/>
    </row>
    <row r="23" spans="1:8" x14ac:dyDescent="0.25">
      <c r="A23" s="330">
        <v>46002.941446701392</v>
      </c>
      <c r="B23" s="327" t="s">
        <v>1214</v>
      </c>
      <c r="C23" s="327" t="s">
        <v>1219</v>
      </c>
      <c r="D23" s="5">
        <v>500</v>
      </c>
      <c r="E23" s="5">
        <f t="shared" si="0"/>
        <v>7.5</v>
      </c>
      <c r="F23" s="5">
        <f t="shared" si="1"/>
        <v>1.125</v>
      </c>
      <c r="G23" s="5">
        <f t="shared" si="2"/>
        <v>491.375</v>
      </c>
      <c r="H23" s="5"/>
    </row>
    <row r="24" spans="1:8" x14ac:dyDescent="0.25">
      <c r="A24" s="330">
        <v>46003.941446701392</v>
      </c>
      <c r="B24" s="327" t="s">
        <v>1215</v>
      </c>
      <c r="C24" s="327" t="s">
        <v>1219</v>
      </c>
      <c r="D24" s="5">
        <v>2448</v>
      </c>
      <c r="E24" s="5">
        <f t="shared" si="0"/>
        <v>36.72</v>
      </c>
      <c r="F24" s="5">
        <f t="shared" si="1"/>
        <v>5.5079999999999991</v>
      </c>
      <c r="G24" s="5">
        <f t="shared" si="2"/>
        <v>2405.7720000000004</v>
      </c>
      <c r="H24" s="5"/>
    </row>
    <row r="25" spans="1:8" x14ac:dyDescent="0.25">
      <c r="A25" s="330">
        <v>46004.941446701392</v>
      </c>
      <c r="B25" s="327" t="s">
        <v>1216</v>
      </c>
      <c r="C25" s="327" t="s">
        <v>1219</v>
      </c>
      <c r="D25" s="5">
        <v>11424</v>
      </c>
      <c r="E25" s="5">
        <f t="shared" si="0"/>
        <v>171.36</v>
      </c>
      <c r="F25" s="5">
        <f t="shared" si="1"/>
        <v>25.704000000000001</v>
      </c>
      <c r="G25" s="5">
        <f t="shared" si="2"/>
        <v>11226.936</v>
      </c>
      <c r="H25" s="5"/>
    </row>
    <row r="26" spans="1:8" x14ac:dyDescent="0.25">
      <c r="A26" s="330">
        <v>46005.941446701392</v>
      </c>
      <c r="B26" s="327" t="s">
        <v>1217</v>
      </c>
      <c r="C26" s="327" t="s">
        <v>1219</v>
      </c>
      <c r="D26" s="5">
        <v>6140</v>
      </c>
      <c r="E26" s="5">
        <f t="shared" si="0"/>
        <v>92.1</v>
      </c>
      <c r="F26" s="5">
        <f t="shared" si="1"/>
        <v>13.815</v>
      </c>
      <c r="G26" s="5">
        <f t="shared" si="2"/>
        <v>6034.085</v>
      </c>
      <c r="H26" s="5"/>
    </row>
    <row r="27" spans="1:8" x14ac:dyDescent="0.25">
      <c r="A27" s="330"/>
      <c r="B27" s="327"/>
      <c r="C27" s="327"/>
      <c r="D27" s="5"/>
      <c r="E27" s="5"/>
      <c r="F27" s="5"/>
      <c r="G27" s="5"/>
      <c r="H27" s="5"/>
    </row>
    <row r="28" spans="1:8" x14ac:dyDescent="0.25">
      <c r="A28" s="330"/>
      <c r="B28" s="327"/>
      <c r="C28" s="327"/>
      <c r="D28" s="5"/>
      <c r="E28" s="5"/>
      <c r="F28" s="5"/>
      <c r="G28" s="5"/>
      <c r="H28" s="5"/>
    </row>
    <row r="29" spans="1:8" x14ac:dyDescent="0.25">
      <c r="A29" s="330"/>
      <c r="B29" s="327"/>
      <c r="C29" s="327"/>
      <c r="D29" s="5"/>
      <c r="E29" s="5"/>
      <c r="F29" s="5"/>
      <c r="G29" s="5"/>
      <c r="H29" s="5"/>
    </row>
    <row r="30" spans="1:8" x14ac:dyDescent="0.25">
      <c r="A30" s="330"/>
      <c r="B30" s="327"/>
      <c r="C30" s="327"/>
      <c r="D30" s="5"/>
      <c r="E30" s="5"/>
      <c r="F30" s="5"/>
      <c r="G30" s="5"/>
      <c r="H30" s="5"/>
    </row>
    <row r="31" spans="1:8" x14ac:dyDescent="0.25">
      <c r="A31" s="330"/>
      <c r="B31" s="327"/>
      <c r="C31" s="327"/>
      <c r="D31" s="5"/>
      <c r="E31" s="5"/>
      <c r="F31" s="5"/>
      <c r="G31" s="5"/>
      <c r="H31" s="5"/>
    </row>
    <row r="32" spans="1:8" x14ac:dyDescent="0.25">
      <c r="A32" s="330"/>
      <c r="B32" s="327"/>
      <c r="C32" s="327"/>
      <c r="D32" s="5"/>
      <c r="E32" s="5"/>
      <c r="F32" s="5"/>
      <c r="G32" s="5"/>
      <c r="H32" s="5"/>
    </row>
    <row r="33" spans="1:8" x14ac:dyDescent="0.25">
      <c r="A33" s="330"/>
      <c r="B33" s="327"/>
      <c r="C33" s="327"/>
      <c r="D33" s="5"/>
      <c r="E33" s="5"/>
      <c r="F33" s="5"/>
      <c r="G33" s="5"/>
      <c r="H33" s="5"/>
    </row>
    <row r="34" spans="1:8" x14ac:dyDescent="0.25">
      <c r="A34" s="330"/>
      <c r="B34" s="327"/>
      <c r="C34" s="327"/>
      <c r="D34" s="5"/>
      <c r="E34" s="5"/>
      <c r="F34" s="5"/>
      <c r="G34" s="5"/>
      <c r="H34" s="5"/>
    </row>
    <row r="35" spans="1:8" x14ac:dyDescent="0.25">
      <c r="A35" s="330"/>
      <c r="B35" s="327"/>
      <c r="C35" s="327"/>
      <c r="D35" s="5"/>
      <c r="E35" s="5"/>
      <c r="F35" s="5"/>
      <c r="G35" s="5"/>
      <c r="H35" s="5"/>
    </row>
    <row r="36" spans="1:8" x14ac:dyDescent="0.25">
      <c r="A36" s="330"/>
      <c r="B36" s="327"/>
      <c r="C36" s="327"/>
      <c r="D36" s="5"/>
      <c r="E36" s="5"/>
      <c r="F36" s="5"/>
      <c r="G36" s="5"/>
      <c r="H36" s="5"/>
    </row>
  </sheetData>
  <autoFilter ref="A4:I4">
    <sortState ref="A4:I5">
      <sortCondition ref="C4"/>
    </sortState>
  </autoFilter>
  <phoneticPr fontId="49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G199"/>
  <sheetViews>
    <sheetView view="pageBreakPreview" zoomScale="130" zoomScaleNormal="70" zoomScaleSheetLayoutView="130" zoomScalePageLayoutView="55" workbookViewId="0">
      <selection activeCell="F11" sqref="F11"/>
    </sheetView>
  </sheetViews>
  <sheetFormatPr defaultColWidth="9.28515625" defaultRowHeight="14.25" x14ac:dyDescent="0.2"/>
  <cols>
    <col min="1" max="1" width="20.5703125" style="17" customWidth="1"/>
    <col min="2" max="2" width="2.28515625" style="17" customWidth="1"/>
    <col min="3" max="3" width="12.28515625" style="17" customWidth="1"/>
    <col min="4" max="4" width="7.28515625" style="17" customWidth="1"/>
    <col min="5" max="5" width="44.7109375" style="182" bestFit="1" customWidth="1"/>
    <col min="6" max="6" width="43.5703125" style="18" customWidth="1"/>
    <col min="7" max="7" width="20.7109375" style="17" customWidth="1"/>
    <col min="8" max="8" width="14.7109375" style="17" customWidth="1"/>
    <col min="9" max="16384" width="9.28515625" style="17"/>
  </cols>
  <sheetData>
    <row r="1" spans="1:7" ht="39" customHeight="1" x14ac:dyDescent="0.2">
      <c r="A1" s="425"/>
      <c r="B1" s="415"/>
      <c r="C1" s="421" t="s">
        <v>410</v>
      </c>
      <c r="D1" s="422"/>
      <c r="E1" s="422"/>
      <c r="F1" s="423"/>
    </row>
    <row r="2" spans="1:7" ht="64.5" customHeight="1" x14ac:dyDescent="0.2">
      <c r="A2" s="426"/>
      <c r="B2" s="416"/>
      <c r="C2" s="418" t="s">
        <v>752</v>
      </c>
      <c r="D2" s="419"/>
      <c r="E2" s="419"/>
      <c r="F2" s="420"/>
    </row>
    <row r="3" spans="1:7" ht="22.15" customHeight="1" thickBot="1" x14ac:dyDescent="0.25">
      <c r="A3" s="137" t="s">
        <v>977</v>
      </c>
      <c r="B3" s="416"/>
      <c r="C3" s="427" t="s">
        <v>10</v>
      </c>
      <c r="D3" s="428"/>
      <c r="E3" s="429"/>
      <c r="F3" s="133" t="str">
        <f>VLOOKUP(C3,MEMBERS!B:C,2, )</f>
        <v>MR. JABIR SHAHZAD</v>
      </c>
    </row>
    <row r="4" spans="1:7" ht="22.15" customHeight="1" x14ac:dyDescent="0.2">
      <c r="A4" s="445"/>
      <c r="B4" s="416"/>
      <c r="C4" s="436" t="s">
        <v>416</v>
      </c>
      <c r="D4" s="437"/>
      <c r="E4" s="437"/>
      <c r="F4" s="438"/>
    </row>
    <row r="5" spans="1:7" ht="22.15" customHeight="1" x14ac:dyDescent="0.2">
      <c r="A5" s="446"/>
      <c r="B5" s="416"/>
      <c r="C5" s="448" t="s">
        <v>1079</v>
      </c>
      <c r="D5" s="449"/>
      <c r="E5" s="450"/>
      <c r="F5" s="52">
        <f>F8+F10+F11-F9</f>
        <v>23742.5</v>
      </c>
    </row>
    <row r="6" spans="1:7" ht="22.15" customHeight="1" x14ac:dyDescent="0.2">
      <c r="A6" s="446"/>
      <c r="B6" s="416"/>
      <c r="C6" s="430" t="s">
        <v>750</v>
      </c>
      <c r="D6" s="431"/>
      <c r="E6" s="432"/>
      <c r="F6" s="52">
        <f>F11*0.1</f>
        <v>2374.25</v>
      </c>
    </row>
    <row r="7" spans="1:7" ht="22.15" customHeight="1" x14ac:dyDescent="0.2">
      <c r="A7" s="446"/>
      <c r="B7" s="416"/>
      <c r="C7" s="430" t="s">
        <v>460</v>
      </c>
      <c r="D7" s="431"/>
      <c r="E7" s="432"/>
      <c r="F7" s="52">
        <f>F5+F6</f>
        <v>26116.75</v>
      </c>
    </row>
    <row r="8" spans="1:7" ht="22.15" customHeight="1" x14ac:dyDescent="0.2">
      <c r="A8" s="446"/>
      <c r="B8" s="416"/>
      <c r="C8" s="430" t="s">
        <v>1158</v>
      </c>
      <c r="D8" s="431"/>
      <c r="E8" s="432"/>
      <c r="F8" s="52">
        <f>SUMIFS('FIXED AMOUNT'!E:E,'FIXED AMOUNT'!B:B,BILL!C3)</f>
        <v>0</v>
      </c>
    </row>
    <row r="9" spans="1:7" ht="22.15" customHeight="1" x14ac:dyDescent="0.2">
      <c r="A9" s="446"/>
      <c r="B9" s="416"/>
      <c r="C9" s="430" t="s">
        <v>1162</v>
      </c>
      <c r="D9" s="431"/>
      <c r="E9" s="432"/>
      <c r="F9" s="52">
        <f>SUMIFS('FIXED AMOUNT'!F:F,'FIXED AMOUNT'!B:B,BILL!C3)</f>
        <v>0</v>
      </c>
    </row>
    <row r="10" spans="1:7" ht="22.15" customHeight="1" x14ac:dyDescent="0.2">
      <c r="A10" s="446"/>
      <c r="B10" s="416"/>
      <c r="C10" s="442" t="s">
        <v>415</v>
      </c>
      <c r="D10" s="443"/>
      <c r="E10" s="444"/>
      <c r="F10" s="52">
        <f>F39</f>
        <v>0</v>
      </c>
    </row>
    <row r="11" spans="1:7" ht="22.15" customHeight="1" x14ac:dyDescent="0.2">
      <c r="A11" s="446"/>
      <c r="B11" s="416"/>
      <c r="C11" s="430" t="s">
        <v>458</v>
      </c>
      <c r="D11" s="431"/>
      <c r="E11" s="432"/>
      <c r="F11" s="52">
        <f>SUM(F17,F35)</f>
        <v>23742.5</v>
      </c>
    </row>
    <row r="12" spans="1:7" ht="22.15" customHeight="1" thickBot="1" x14ac:dyDescent="0.25">
      <c r="A12" s="446"/>
      <c r="B12" s="416"/>
      <c r="C12" s="433" t="s">
        <v>397</v>
      </c>
      <c r="D12" s="434"/>
      <c r="E12" s="435"/>
      <c r="F12" s="134" t="s">
        <v>1080</v>
      </c>
    </row>
    <row r="13" spans="1:7" ht="22.15" customHeight="1" x14ac:dyDescent="0.2">
      <c r="A13" s="446"/>
      <c r="B13" s="416"/>
      <c r="C13" s="436" t="s">
        <v>398</v>
      </c>
      <c r="D13" s="437"/>
      <c r="E13" s="437"/>
      <c r="F13" s="438"/>
      <c r="G13" s="17" t="s">
        <v>945</v>
      </c>
    </row>
    <row r="14" spans="1:7" ht="22.15" customHeight="1" x14ac:dyDescent="0.2">
      <c r="A14" s="446"/>
      <c r="B14" s="416"/>
      <c r="C14" s="430" t="s">
        <v>743</v>
      </c>
      <c r="D14" s="431"/>
      <c r="E14" s="432"/>
      <c r="F14" s="53">
        <f>SUMIFS('FIXED AMOUNT'!G:G,'FIXED AMOUNT'!B:B,BILL!C3)</f>
        <v>7000</v>
      </c>
      <c r="G14" s="17" t="s">
        <v>1246</v>
      </c>
    </row>
    <row r="15" spans="1:7" ht="22.15" customHeight="1" x14ac:dyDescent="0.2">
      <c r="A15" s="446"/>
      <c r="B15" s="416"/>
      <c r="C15" s="430" t="s">
        <v>399</v>
      </c>
      <c r="D15" s="431"/>
      <c r="E15" s="432"/>
      <c r="F15" s="53">
        <f>SUMIFS(FACILITIES!R:R,FACILITIES!B:B,BILL!C3)</f>
        <v>0</v>
      </c>
      <c r="G15" s="17" t="s">
        <v>1247</v>
      </c>
    </row>
    <row r="16" spans="1:7" ht="22.15" customHeight="1" x14ac:dyDescent="0.2">
      <c r="A16" s="446"/>
      <c r="B16" s="416"/>
      <c r="C16" s="430" t="s">
        <v>1101</v>
      </c>
      <c r="D16" s="431"/>
      <c r="E16" s="432"/>
      <c r="F16" s="53">
        <f>SUMIFS(FACILITIES!M:M,FACILITIES!B:B,BILL!C3)</f>
        <v>0</v>
      </c>
      <c r="G16" s="17" t="s">
        <v>1248</v>
      </c>
    </row>
    <row r="17" spans="1:7" ht="22.15" customHeight="1" thickBot="1" x14ac:dyDescent="0.25">
      <c r="A17" s="446"/>
      <c r="B17" s="416"/>
      <c r="C17" s="433" t="s">
        <v>404</v>
      </c>
      <c r="D17" s="434"/>
      <c r="E17" s="435"/>
      <c r="F17" s="135">
        <f>SUM(F14:F16)</f>
        <v>7000</v>
      </c>
      <c r="G17" s="17" t="s">
        <v>1249</v>
      </c>
    </row>
    <row r="18" spans="1:7" ht="22.15" customHeight="1" x14ac:dyDescent="0.2">
      <c r="A18" s="446"/>
      <c r="B18" s="416"/>
      <c r="C18" s="436" t="s">
        <v>400</v>
      </c>
      <c r="D18" s="437"/>
      <c r="E18" s="437"/>
      <c r="F18" s="438"/>
    </row>
    <row r="19" spans="1:7" ht="22.15" customHeight="1" x14ac:dyDescent="0.2">
      <c r="A19" s="446"/>
      <c r="B19" s="416"/>
      <c r="C19" s="398" t="s">
        <v>411</v>
      </c>
      <c r="D19" s="399"/>
      <c r="E19" s="400"/>
      <c r="F19" s="53">
        <f>SUMIFS('F &amp; B'!G:G,'F &amp; B'!B:B,BILL!C3)</f>
        <v>12950</v>
      </c>
      <c r="G19" s="17" t="s">
        <v>1250</v>
      </c>
    </row>
    <row r="20" spans="1:7" ht="22.15" customHeight="1" x14ac:dyDescent="0.2">
      <c r="A20" s="446"/>
      <c r="B20" s="416"/>
      <c r="C20" s="398" t="s">
        <v>371</v>
      </c>
      <c r="D20" s="399"/>
      <c r="E20" s="400"/>
      <c r="F20" s="53">
        <f>SUMIFS(FACILITIES!N:N,FACILITIES!B:B,BILL!C3)</f>
        <v>0</v>
      </c>
      <c r="G20" s="17" t="s">
        <v>1251</v>
      </c>
    </row>
    <row r="21" spans="1:7" ht="22.15" customHeight="1" x14ac:dyDescent="0.2">
      <c r="A21" s="446"/>
      <c r="B21" s="416"/>
      <c r="C21" s="398" t="s">
        <v>412</v>
      </c>
      <c r="D21" s="399"/>
      <c r="E21" s="400"/>
      <c r="F21" s="53">
        <f>SUMIFS(FACILITIES!F:F,FACILITIES!B:B,BILL!C3)</f>
        <v>750</v>
      </c>
    </row>
    <row r="22" spans="1:7" ht="22.15" customHeight="1" x14ac:dyDescent="0.2">
      <c r="A22" s="446"/>
      <c r="B22" s="416"/>
      <c r="C22" s="398" t="s">
        <v>401</v>
      </c>
      <c r="D22" s="399"/>
      <c r="E22" s="400"/>
      <c r="F22" s="53">
        <f>SUMIFS(FACILITIES!E:E,FACILITIES!B:B,BILL!C3)</f>
        <v>0</v>
      </c>
    </row>
    <row r="23" spans="1:7" ht="22.15" customHeight="1" x14ac:dyDescent="0.2">
      <c r="A23" s="446"/>
      <c r="B23" s="416"/>
      <c r="C23" s="398" t="s">
        <v>935</v>
      </c>
      <c r="D23" s="399"/>
      <c r="E23" s="400"/>
      <c r="F23" s="53">
        <f>SUMIFS(FACILITIES!J:J,FACILITIES!B:B,BILL!C3)</f>
        <v>1100</v>
      </c>
    </row>
    <row r="24" spans="1:7" ht="22.15" customHeight="1" x14ac:dyDescent="0.2">
      <c r="A24" s="446"/>
      <c r="B24" s="416"/>
      <c r="C24" s="398" t="s">
        <v>456</v>
      </c>
      <c r="D24" s="399"/>
      <c r="E24" s="400"/>
      <c r="F24" s="53">
        <f>SUMIFS(FACILITIES!G:G,FACILITIES!B:B,BILL!C3)</f>
        <v>0</v>
      </c>
    </row>
    <row r="25" spans="1:7" ht="22.15" customHeight="1" x14ac:dyDescent="0.2">
      <c r="A25" s="446"/>
      <c r="B25" s="416"/>
      <c r="C25" s="398" t="s">
        <v>457</v>
      </c>
      <c r="D25" s="399"/>
      <c r="E25" s="400"/>
      <c r="F25" s="53">
        <f>SUMIFS(FACILITIES!I:I,FACILITIES!B:B,BILL!C3)</f>
        <v>0</v>
      </c>
    </row>
    <row r="26" spans="1:7" ht="22.15" customHeight="1" x14ac:dyDescent="0.2">
      <c r="A26" s="446"/>
      <c r="B26" s="416"/>
      <c r="C26" s="398" t="s">
        <v>402</v>
      </c>
      <c r="D26" s="399"/>
      <c r="E26" s="400"/>
      <c r="F26" s="53">
        <f>SUMIFS(FACILITIES!H:H,FACILITIES!B:B,BILL!C3)</f>
        <v>0</v>
      </c>
    </row>
    <row r="27" spans="1:7" ht="22.15" customHeight="1" x14ac:dyDescent="0.2">
      <c r="A27" s="446"/>
      <c r="B27" s="416"/>
      <c r="C27" s="398" t="s">
        <v>403</v>
      </c>
      <c r="D27" s="399"/>
      <c r="E27" s="400"/>
      <c r="F27" s="53">
        <f>SUMIFS(FACILITIES!K:K,FACILITIES!B:B,BILL!C3)</f>
        <v>0</v>
      </c>
    </row>
    <row r="28" spans="1:7" ht="22.15" customHeight="1" x14ac:dyDescent="0.2">
      <c r="A28" s="446"/>
      <c r="B28" s="416"/>
      <c r="C28" s="398" t="s">
        <v>741</v>
      </c>
      <c r="D28" s="399"/>
      <c r="E28" s="400"/>
      <c r="F28" s="53">
        <f>SUMIFS(FACILITIES!S:S,FACILITIES!B:B,BILL!C3)</f>
        <v>0</v>
      </c>
    </row>
    <row r="29" spans="1:7" ht="22.15" customHeight="1" x14ac:dyDescent="0.2">
      <c r="A29" s="446"/>
      <c r="B29" s="416"/>
      <c r="C29" s="398" t="s">
        <v>794</v>
      </c>
      <c r="D29" s="399"/>
      <c r="E29" s="400"/>
      <c r="F29" s="53">
        <f>SUMIFS(FACILITIES!O:O,FACILITIES!B:B,BILL!C3)</f>
        <v>0</v>
      </c>
    </row>
    <row r="30" spans="1:7" ht="22.15" customHeight="1" x14ac:dyDescent="0.2">
      <c r="A30" s="446"/>
      <c r="B30" s="416"/>
      <c r="C30" s="398" t="s">
        <v>934</v>
      </c>
      <c r="D30" s="399"/>
      <c r="E30" s="400"/>
      <c r="F30" s="53">
        <f>SUMIFS(FACILITIES!P:P,FACILITIES!B:B,BILL!C3)</f>
        <v>0</v>
      </c>
    </row>
    <row r="31" spans="1:7" ht="22.15" customHeight="1" x14ac:dyDescent="0.2">
      <c r="A31" s="446"/>
      <c r="B31" s="416"/>
      <c r="C31" s="398" t="s">
        <v>1002</v>
      </c>
      <c r="D31" s="399"/>
      <c r="E31" s="400"/>
      <c r="F31" s="53">
        <f>SUMIFS(FACILITIES!Q:Q,FACILITIES!B:B,BILL!C3)</f>
        <v>0</v>
      </c>
    </row>
    <row r="32" spans="1:7" ht="22.15" customHeight="1" x14ac:dyDescent="0.2">
      <c r="A32" s="446"/>
      <c r="B32" s="416"/>
      <c r="C32" s="398" t="s">
        <v>757</v>
      </c>
      <c r="D32" s="399"/>
      <c r="E32" s="400"/>
      <c r="F32" s="53">
        <f>SUMIFS('FIXED AMOUNT'!I:I,'FIXED AMOUNT'!B:B,BILL!C3)</f>
        <v>0</v>
      </c>
    </row>
    <row r="33" spans="1:6" ht="22.15" customHeight="1" x14ac:dyDescent="0.2">
      <c r="A33" s="446"/>
      <c r="B33" s="416"/>
      <c r="C33" s="442" t="s">
        <v>404</v>
      </c>
      <c r="D33" s="443"/>
      <c r="E33" s="444"/>
      <c r="F33" s="53">
        <f>SUM(F19:F32)</f>
        <v>14800</v>
      </c>
    </row>
    <row r="34" spans="1:6" ht="22.15" customHeight="1" x14ac:dyDescent="0.2">
      <c r="A34" s="446"/>
      <c r="B34" s="416"/>
      <c r="C34" s="442" t="s">
        <v>405</v>
      </c>
      <c r="D34" s="443"/>
      <c r="E34" s="444"/>
      <c r="F34" s="54">
        <f>F19*0.15</f>
        <v>1942.5</v>
      </c>
    </row>
    <row r="35" spans="1:6" ht="22.15" customHeight="1" thickBot="1" x14ac:dyDescent="0.25">
      <c r="A35" s="446"/>
      <c r="B35" s="416"/>
      <c r="C35" s="451" t="s">
        <v>406</v>
      </c>
      <c r="D35" s="452"/>
      <c r="E35" s="453"/>
      <c r="F35" s="131">
        <f>SUM(F33:F34)</f>
        <v>16742.5</v>
      </c>
    </row>
    <row r="36" spans="1:6" ht="22.15" customHeight="1" x14ac:dyDescent="0.2">
      <c r="A36" s="446"/>
      <c r="B36" s="416"/>
      <c r="C36" s="393" t="s">
        <v>1019</v>
      </c>
      <c r="D36" s="394"/>
      <c r="E36" s="394"/>
      <c r="F36" s="395"/>
    </row>
    <row r="37" spans="1:6" ht="22.15" customHeight="1" x14ac:dyDescent="0.2">
      <c r="A37" s="446"/>
      <c r="B37" s="416"/>
      <c r="C37" s="439" t="s">
        <v>407</v>
      </c>
      <c r="D37" s="440"/>
      <c r="E37" s="441"/>
      <c r="F37" s="132">
        <f>SUMIFS('FIXED AMOUNT'!U:U,'FIXED AMOUNT'!B:B,BILL!C3)</f>
        <v>60000</v>
      </c>
    </row>
    <row r="38" spans="1:6" ht="22.15" customHeight="1" x14ac:dyDescent="0.2">
      <c r="A38" s="446"/>
      <c r="B38" s="416"/>
      <c r="C38" s="442" t="s">
        <v>408</v>
      </c>
      <c r="D38" s="443"/>
      <c r="E38" s="444"/>
      <c r="F38" s="53">
        <f>SUMIFS('FIXED AMOUNT'!H:H,'FIXED AMOUNT'!B:B,BILL!C3)</f>
        <v>61790</v>
      </c>
    </row>
    <row r="39" spans="1:6" ht="22.15" customHeight="1" x14ac:dyDescent="0.2">
      <c r="A39" s="446"/>
      <c r="B39" s="416"/>
      <c r="C39" s="442" t="s">
        <v>409</v>
      </c>
      <c r="D39" s="443"/>
      <c r="E39" s="444"/>
      <c r="F39" s="53">
        <f>IF(F37-F38&lt;0,0,F37-F38)</f>
        <v>0</v>
      </c>
    </row>
    <row r="40" spans="1:6" ht="22.15" customHeight="1" x14ac:dyDescent="0.2">
      <c r="A40" s="446"/>
      <c r="B40" s="416"/>
      <c r="C40" s="454" t="s">
        <v>461</v>
      </c>
      <c r="D40" s="455"/>
      <c r="E40" s="456"/>
      <c r="F40" s="114">
        <f>F5</f>
        <v>23742.5</v>
      </c>
    </row>
    <row r="41" spans="1:6" ht="22.15" customHeight="1" thickBot="1" x14ac:dyDescent="0.25">
      <c r="A41" s="446"/>
      <c r="B41" s="416"/>
      <c r="C41" s="409" t="s">
        <v>462</v>
      </c>
      <c r="D41" s="410"/>
      <c r="E41" s="411"/>
      <c r="F41" s="136">
        <f>F7</f>
        <v>26116.75</v>
      </c>
    </row>
    <row r="42" spans="1:6" ht="22.15" customHeight="1" thickBot="1" x14ac:dyDescent="0.25">
      <c r="A42" s="447"/>
      <c r="B42" s="417"/>
      <c r="C42" s="412" t="s">
        <v>1081</v>
      </c>
      <c r="D42" s="413"/>
      <c r="E42" s="413"/>
      <c r="F42" s="414"/>
    </row>
    <row r="43" spans="1:6" ht="26.25" customHeight="1" x14ac:dyDescent="0.2">
      <c r="A43" s="404"/>
      <c r="B43" s="404"/>
      <c r="C43" s="404"/>
      <c r="D43" s="404"/>
      <c r="E43" s="404"/>
      <c r="F43" s="404"/>
    </row>
    <row r="44" spans="1:6" ht="26.25" customHeight="1" x14ac:dyDescent="0.2">
      <c r="A44" s="397" t="s">
        <v>943</v>
      </c>
      <c r="B44" s="397"/>
      <c r="C44" s="397"/>
      <c r="D44" s="397"/>
      <c r="E44" s="397"/>
      <c r="F44" s="397"/>
    </row>
    <row r="45" spans="1:6" ht="21.75" customHeight="1" x14ac:dyDescent="0.2">
      <c r="A45" s="406" t="s">
        <v>1082</v>
      </c>
      <c r="B45" s="406"/>
      <c r="C45" s="406"/>
      <c r="D45" s="406"/>
      <c r="E45" s="406"/>
      <c r="F45" s="406"/>
    </row>
    <row r="46" spans="1:6" ht="23.25" customHeight="1" x14ac:dyDescent="0.2">
      <c r="A46" s="405" t="s">
        <v>751</v>
      </c>
      <c r="B46" s="405"/>
      <c r="C46" s="405"/>
      <c r="D46" s="405"/>
      <c r="E46" s="405"/>
      <c r="F46" s="97">
        <f>SUM(F48:F199)</f>
        <v>12950</v>
      </c>
    </row>
    <row r="47" spans="1:6" ht="30" customHeight="1" x14ac:dyDescent="0.2">
      <c r="A47" s="424" t="s">
        <v>435</v>
      </c>
      <c r="B47" s="424"/>
      <c r="C47" s="70" t="s">
        <v>436</v>
      </c>
      <c r="D47" s="70" t="s">
        <v>437</v>
      </c>
      <c r="E47" s="70" t="s">
        <v>438</v>
      </c>
      <c r="F47" s="70" t="s">
        <v>414</v>
      </c>
    </row>
    <row r="48" spans="1:6" s="71" customFormat="1" ht="17.100000000000001" customHeight="1" x14ac:dyDescent="0.25">
      <c r="A48" s="396" t="str">
        <f>C3</f>
        <v>HCFM-0502</v>
      </c>
      <c r="B48" s="396"/>
      <c r="C48" s="189">
        <f>IFERROR(
INDEX('F &amp; B'!D$2:D$10815,
_xlfn.AGGREGATE(15,6,
(ROW('F &amp; B'!$B$2:$B$10815)-ROW('F &amp; B'!$B$2)+1)/
('F &amp; B'!$B$2:$B$10815=$A$48),
ROW()-47)
),
"")</f>
        <v>46015</v>
      </c>
      <c r="D48" s="177">
        <f>IFERROR(
INDEX('F &amp; B'!E$2:E$10815,
_xlfn.AGGREGATE(15,6,
(ROW('F &amp; B'!$B$2:$B$10815)-ROW('F &amp; B'!$B$2)+1)/
('F &amp; B'!$B$2:$B$10815=$A$48),
ROW()-47)
),
"")</f>
        <v>1</v>
      </c>
      <c r="E48" s="7" t="str">
        <f>IFERROR(
INDEX('F &amp; B'!F$2:F$10815,
_xlfn.AGGREGATE(15,6,
(ROW('F &amp; B'!$B$2:$B$10815)-ROW('F &amp; B'!$B$2)+1)/
('F &amp; B'!$B$2:$B$10815=$A$48),
ROW()-47)
),
"")</f>
        <v>WAIKIKI SALAD</v>
      </c>
      <c r="F48" s="183">
        <f>IFERROR(
INDEX('F &amp; B'!G$2:G$10815,
_xlfn.AGGREGATE(15,6,
(ROW('F &amp; B'!$B$2:$B$10815)-ROW('F &amp; B'!$B$2)+1)/
('F &amp; B'!$B$2:$B$10815=$A$48),
ROW()-47)
),
"")</f>
        <v>800</v>
      </c>
    </row>
    <row r="49" spans="1:6" s="71" customFormat="1" ht="17.100000000000001" customHeight="1" x14ac:dyDescent="0.25">
      <c r="A49" s="407"/>
      <c r="B49" s="408"/>
      <c r="C49" s="189">
        <f>IFERROR(
INDEX('F &amp; B'!D$2:D$10815,
_xlfn.AGGREGATE(15,6,
(ROW('F &amp; B'!$B$2:$B$10815)-ROW('F &amp; B'!$B$2)+1)/
('F &amp; B'!$B$2:$B$10815=$A$48),
ROW()-47)
),
"")</f>
        <v>46015</v>
      </c>
      <c r="D49" s="177">
        <f>IFERROR(
INDEX('F &amp; B'!E$2:E$10815,
_xlfn.AGGREGATE(15,6,
(ROW('F &amp; B'!$B$2:$B$10815)-ROW('F &amp; B'!$B$2)+1)/
('F &amp; B'!$B$2:$B$10815=$A$48),
ROW()-47)
),
"")</f>
        <v>2</v>
      </c>
      <c r="E49" s="7" t="str">
        <f>IFERROR(
INDEX('F &amp; B'!F$2:F$10815,
_xlfn.AGGREGATE(15,6,
(ROW('F &amp; B'!$B$2:$B$10815)-ROW('F &amp; B'!$B$2)+1)/
('F &amp; B'!$B$2:$B$10815=$A$48),
ROW()-47)
),
"")</f>
        <v>ZINGER BURGER</v>
      </c>
      <c r="F49" s="183">
        <f>IFERROR(
INDEX('F &amp; B'!G$2:G$10815,
_xlfn.AGGREGATE(15,6,
(ROW('F &amp; B'!$B$2:$B$10815)-ROW('F &amp; B'!$B$2)+1)/
('F &amp; B'!$B$2:$B$10815=$A$48),
ROW()-47)
),
"")</f>
        <v>1400</v>
      </c>
    </row>
    <row r="50" spans="1:6" s="71" customFormat="1" ht="17.100000000000001" customHeight="1" x14ac:dyDescent="0.25">
      <c r="A50" s="407"/>
      <c r="B50" s="408"/>
      <c r="C50" s="189">
        <f>IFERROR(
INDEX('F &amp; B'!D$2:D$10815,
_xlfn.AGGREGATE(15,6,
(ROW('F &amp; B'!$B$2:$B$10815)-ROW('F &amp; B'!$B$2)+1)/
('F &amp; B'!$B$2:$B$10815=$A$48),
ROW()-47)
),
"")</f>
        <v>46015</v>
      </c>
      <c r="D50" s="177">
        <f>IFERROR(
INDEX('F &amp; B'!E$2:E$10815,
_xlfn.AGGREGATE(15,6,
(ROW('F &amp; B'!$B$2:$B$10815)-ROW('F &amp; B'!$B$2)+1)/
('F &amp; B'!$B$2:$B$10815=$A$48),
ROW()-47)
),
"")</f>
        <v>1</v>
      </c>
      <c r="E50" s="7" t="str">
        <f>IFERROR(
INDEX('F &amp; B'!F$2:F$10815,
_xlfn.AGGREGATE(15,6,
(ROW('F &amp; B'!$B$2:$B$10815)-ROW('F &amp; B'!$B$2)+1)/
('F &amp; B'!$B$2:$B$10815=$A$48),
ROW()-47)
),
"")</f>
        <v>CLUB SANDWICH</v>
      </c>
      <c r="F50" s="183">
        <f>IFERROR(
INDEX('F &amp; B'!G$2:G$10815,
_xlfn.AGGREGATE(15,6,
(ROW('F &amp; B'!$B$2:$B$10815)-ROW('F &amp; B'!$B$2)+1)/
('F &amp; B'!$B$2:$B$10815=$A$48),
ROW()-47)
),
"")</f>
        <v>1250</v>
      </c>
    </row>
    <row r="51" spans="1:6" s="71" customFormat="1" ht="17.100000000000001" customHeight="1" x14ac:dyDescent="0.25">
      <c r="A51" s="396"/>
      <c r="B51" s="396"/>
      <c r="C51" s="189">
        <f>IFERROR(
INDEX('F &amp; B'!D$2:D$10815,
_xlfn.AGGREGATE(15,6,
(ROW('F &amp; B'!$B$2:$B$10815)-ROW('F &amp; B'!$B$2)+1)/
('F &amp; B'!$B$2:$B$10815=$A$48),
ROW()-47)
),
"")</f>
        <v>46015</v>
      </c>
      <c r="D51" s="177">
        <f>IFERROR(
INDEX('F &amp; B'!E$2:E$10815,
_xlfn.AGGREGATE(15,6,
(ROW('F &amp; B'!$B$2:$B$10815)-ROW('F &amp; B'!$B$2)+1)/
('F &amp; B'!$B$2:$B$10815=$A$48),
ROW()-47)
),
"")</f>
        <v>1</v>
      </c>
      <c r="E51" s="7" t="str">
        <f>IFERROR(
INDEX('F &amp; B'!F$2:F$10815,
_xlfn.AGGREGATE(15,6,
(ROW('F &amp; B'!$B$2:$B$10815)-ROW('F &amp; B'!$B$2)+1)/
('F &amp; B'!$B$2:$B$10815=$A$48),
ROW()-47)
),
"")</f>
        <v>CHICKEN CHOWMEIN</v>
      </c>
      <c r="F51" s="183">
        <f>IFERROR(
INDEX('F &amp; B'!G$2:G$10815,
_xlfn.AGGREGATE(15,6,
(ROW('F &amp; B'!$B$2:$B$10815)-ROW('F &amp; B'!$B$2)+1)/
('F &amp; B'!$B$2:$B$10815=$A$48),
ROW()-47)
),
"")</f>
        <v>950</v>
      </c>
    </row>
    <row r="52" spans="1:6" s="71" customFormat="1" ht="17.100000000000001" customHeight="1" x14ac:dyDescent="0.25">
      <c r="A52" s="396"/>
      <c r="B52" s="396"/>
      <c r="C52" s="189">
        <f>IFERROR(
INDEX('F &amp; B'!D$2:D$10815,
_xlfn.AGGREGATE(15,6,
(ROW('F &amp; B'!$B$2:$B$10815)-ROW('F &amp; B'!$B$2)+1)/
('F &amp; B'!$B$2:$B$10815=$A$48),
ROW()-47)
),
"")</f>
        <v>46015</v>
      </c>
      <c r="D52" s="177">
        <f>IFERROR(
INDEX('F &amp; B'!E$2:E$10815,
_xlfn.AGGREGATE(15,6,
(ROW('F &amp; B'!$B$2:$B$10815)-ROW('F &amp; B'!$B$2)+1)/
('F &amp; B'!$B$2:$B$10815=$A$48),
ROW()-47)
),
"")</f>
        <v>1</v>
      </c>
      <c r="E52" s="7" t="str">
        <f>IFERROR(
INDEX('F &amp; B'!F$2:F$10815,
_xlfn.AGGREGATE(15,6,
(ROW('F &amp; B'!$B$2:$B$10815)-ROW('F &amp; B'!$B$2)+1)/
('F &amp; B'!$B$2:$B$10815=$A$48),
ROW()-47)
),
"")</f>
        <v>FINGER FISH N CHIPS</v>
      </c>
      <c r="F52" s="183">
        <f>IFERROR(
INDEX('F &amp; B'!G$2:G$10815,
_xlfn.AGGREGATE(15,6,
(ROW('F &amp; B'!$B$2:$B$10815)-ROW('F &amp; B'!$B$2)+1)/
('F &amp; B'!$B$2:$B$10815=$A$48),
ROW()-47)
),
"")</f>
        <v>1250</v>
      </c>
    </row>
    <row r="53" spans="1:6" s="71" customFormat="1" ht="17.100000000000001" customHeight="1" x14ac:dyDescent="0.25">
      <c r="A53" s="396"/>
      <c r="B53" s="396"/>
      <c r="C53" s="189">
        <f>IFERROR(
INDEX('F &amp; B'!D$2:D$10815,
_xlfn.AGGREGATE(15,6,
(ROW('F &amp; B'!$B$2:$B$10815)-ROW('F &amp; B'!$B$2)+1)/
('F &amp; B'!$B$2:$B$10815=$A$48),
ROW()-47)
),
"")</f>
        <v>46015</v>
      </c>
      <c r="D53" s="177">
        <f>IFERROR(
INDEX('F &amp; B'!E$2:E$10815,
_xlfn.AGGREGATE(15,6,
(ROW('F &amp; B'!$B$2:$B$10815)-ROW('F &amp; B'!$B$2)+1)/
('F &amp; B'!$B$2:$B$10815=$A$48),
ROW()-47)
),
"")</f>
        <v>1</v>
      </c>
      <c r="E53" s="7" t="str">
        <f>IFERROR(
INDEX('F &amp; B'!F$2:F$10815,
_xlfn.AGGREGATE(15,6,
(ROW('F &amp; B'!$B$2:$B$10815)-ROW('F &amp; B'!$B$2)+1)/
('F &amp; B'!$B$2:$B$10815=$A$48),
ROW()-47)
),
"")</f>
        <v>CHICKEN HANDI</v>
      </c>
      <c r="F53" s="183">
        <f>IFERROR(
INDEX('F &amp; B'!G$2:G$10815,
_xlfn.AGGREGATE(15,6,
(ROW('F &amp; B'!$B$2:$B$10815)-ROW('F &amp; B'!$B$2)+1)/
('F &amp; B'!$B$2:$B$10815=$A$48),
ROW()-47)
),
"")</f>
        <v>1000</v>
      </c>
    </row>
    <row r="54" spans="1:6" s="71" customFormat="1" ht="17.100000000000001" customHeight="1" x14ac:dyDescent="0.25">
      <c r="A54" s="396"/>
      <c r="B54" s="396"/>
      <c r="C54" s="189">
        <f>IFERROR(
INDEX('F &amp; B'!D$2:D$10815,
_xlfn.AGGREGATE(15,6,
(ROW('F &amp; B'!$B$2:$B$10815)-ROW('F &amp; B'!$B$2)+1)/
('F &amp; B'!$B$2:$B$10815=$A$48),
ROW()-47)
),
"")</f>
        <v>46015</v>
      </c>
      <c r="D54" s="177">
        <f>IFERROR(
INDEX('F &amp; B'!E$2:E$10815,
_xlfn.AGGREGATE(15,6,
(ROW('F &amp; B'!$B$2:$B$10815)-ROW('F &amp; B'!$B$2)+1)/
('F &amp; B'!$B$2:$B$10815=$A$48),
ROW()-47)
),
"")</f>
        <v>2</v>
      </c>
      <c r="E54" s="7" t="str">
        <f>IFERROR(
INDEX('F &amp; B'!F$2:F$10815,
_xlfn.AGGREGATE(15,6,
(ROW('F &amp; B'!$B$2:$B$10815)-ROW('F &amp; B'!$B$2)+1)/
('F &amp; B'!$B$2:$B$10815=$A$48),
ROW()-47)
),
"")</f>
        <v>MALAI BOTI</v>
      </c>
      <c r="F54" s="183">
        <f>IFERROR(
INDEX('F &amp; B'!G$2:G$10815,
_xlfn.AGGREGATE(15,6,
(ROW('F &amp; B'!$B$2:$B$10815)-ROW('F &amp; B'!$B$2)+1)/
('F &amp; B'!$B$2:$B$10815=$A$48),
ROW()-47)
),
"")</f>
        <v>2300</v>
      </c>
    </row>
    <row r="55" spans="1:6" s="71" customFormat="1" ht="17.100000000000001" customHeight="1" x14ac:dyDescent="0.25">
      <c r="A55" s="396"/>
      <c r="B55" s="396"/>
      <c r="C55" s="189">
        <f>IFERROR(
INDEX('F &amp; B'!D$2:D$10815,
_xlfn.AGGREGATE(15,6,
(ROW('F &amp; B'!$B$2:$B$10815)-ROW('F &amp; B'!$B$2)+1)/
('F &amp; B'!$B$2:$B$10815=$A$48),
ROW()-47)
),
"")</f>
        <v>46015</v>
      </c>
      <c r="D55" s="177">
        <f>IFERROR(
INDEX('F &amp; B'!E$2:E$10815,
_xlfn.AGGREGATE(15,6,
(ROW('F &amp; B'!$B$2:$B$10815)-ROW('F &amp; B'!$B$2)+1)/
('F &amp; B'!$B$2:$B$10815=$A$48),
ROW()-47)
),
"")</f>
        <v>1</v>
      </c>
      <c r="E55" s="7" t="str">
        <f>IFERROR(
INDEX('F &amp; B'!F$2:F$10815,
_xlfn.AGGREGATE(15,6,
(ROW('F &amp; B'!$B$2:$B$10815)-ROW('F &amp; B'!$B$2)+1)/
('F &amp; B'!$B$2:$B$10815=$A$48),
ROW()-47)
),
"")</f>
        <v>SHISH TAOUK</v>
      </c>
      <c r="F55" s="183">
        <f>IFERROR(
INDEX('F &amp; B'!G$2:G$10815,
_xlfn.AGGREGATE(15,6,
(ROW('F &amp; B'!$B$2:$B$10815)-ROW('F &amp; B'!$B$2)+1)/
('F &amp; B'!$B$2:$B$10815=$A$48),
ROW()-47)
),
"")</f>
        <v>1200</v>
      </c>
    </row>
    <row r="56" spans="1:6" s="71" customFormat="1" ht="17.100000000000001" customHeight="1" x14ac:dyDescent="0.25">
      <c r="A56" s="396"/>
      <c r="B56" s="396"/>
      <c r="C56" s="189">
        <f>IFERROR(
INDEX('F &amp; B'!D$2:D$10815,
_xlfn.AGGREGATE(15,6,
(ROW('F &amp; B'!$B$2:$B$10815)-ROW('F &amp; B'!$B$2)+1)/
('F &amp; B'!$B$2:$B$10815=$A$48),
ROW()-47)
),
"")</f>
        <v>46015</v>
      </c>
      <c r="D56" s="177">
        <f>IFERROR(
INDEX('F &amp; B'!E$2:E$10815,
_xlfn.AGGREGATE(15,6,
(ROW('F &amp; B'!$B$2:$B$10815)-ROW('F &amp; B'!$B$2)+1)/
('F &amp; B'!$B$2:$B$10815=$A$48),
ROW()-47)
),
"")</f>
        <v>1</v>
      </c>
      <c r="E56" s="7" t="str">
        <f>IFERROR(
INDEX('F &amp; B'!F$2:F$10815,
_xlfn.AGGREGATE(15,6,
(ROW('F &amp; B'!$B$2:$B$10815)-ROW('F &amp; B'!$B$2)+1)/
('F &amp; B'!$B$2:$B$10815=$A$48),
ROW()-47)
),
"")</f>
        <v>AKBARI BOTI TIKKA</v>
      </c>
      <c r="F56" s="183">
        <f>IFERROR(
INDEX('F &amp; B'!G$2:G$10815,
_xlfn.AGGREGATE(15,6,
(ROW('F &amp; B'!$B$2:$B$10815)-ROW('F &amp; B'!$B$2)+1)/
('F &amp; B'!$B$2:$B$10815=$A$48),
ROW()-47)
),
"")</f>
        <v>600</v>
      </c>
    </row>
    <row r="57" spans="1:6" s="71" customFormat="1" ht="17.100000000000001" customHeight="1" x14ac:dyDescent="0.25">
      <c r="A57" s="396"/>
      <c r="B57" s="396"/>
      <c r="C57" s="189">
        <f>IFERROR(
INDEX('F &amp; B'!D$2:D$10815,
_xlfn.AGGREGATE(15,6,
(ROW('F &amp; B'!$B$2:$B$10815)-ROW('F &amp; B'!$B$2)+1)/
('F &amp; B'!$B$2:$B$10815=$A$48),
ROW()-47)
),
"")</f>
        <v>46015</v>
      </c>
      <c r="D57" s="177">
        <f>IFERROR(
INDEX('F &amp; B'!E$2:E$10815,
_xlfn.AGGREGATE(15,6,
(ROW('F &amp; B'!$B$2:$B$10815)-ROW('F &amp; B'!$B$2)+1)/
('F &amp; B'!$B$2:$B$10815=$A$48),
ROW()-47)
),
"")</f>
        <v>10</v>
      </c>
      <c r="E57" s="7" t="str">
        <f>IFERROR(
INDEX('F &amp; B'!F$2:F$10815,
_xlfn.AGGREGATE(15,6,
(ROW('F &amp; B'!$B$2:$B$10815)-ROW('F &amp; B'!$B$2)+1)/
('F &amp; B'!$B$2:$B$10815=$A$48),
ROW()-47)
),
"")</f>
        <v>PURI PARATHA</v>
      </c>
      <c r="F57" s="183">
        <f>IFERROR(
INDEX('F &amp; B'!G$2:G$10815,
_xlfn.AGGREGATE(15,6,
(ROW('F &amp; B'!$B$2:$B$10815)-ROW('F &amp; B'!$B$2)+1)/
('F &amp; B'!$B$2:$B$10815=$A$48),
ROW()-47)
),
"")</f>
        <v>1500</v>
      </c>
    </row>
    <row r="58" spans="1:6" s="71" customFormat="1" ht="17.100000000000001" customHeight="1" x14ac:dyDescent="0.25">
      <c r="A58" s="396"/>
      <c r="B58" s="396"/>
      <c r="C58" s="189">
        <f>IFERROR(
INDEX('F &amp; B'!D$2:D$10815,
_xlfn.AGGREGATE(15,6,
(ROW('F &amp; B'!$B$2:$B$10815)-ROW('F &amp; B'!$B$2)+1)/
('F &amp; B'!$B$2:$B$10815=$A$48),
ROW()-47)
),
"")</f>
        <v>46015</v>
      </c>
      <c r="D58" s="177">
        <f>IFERROR(
INDEX('F &amp; B'!E$2:E$10815,
_xlfn.AGGREGATE(15,6,
(ROW('F &amp; B'!$B$2:$B$10815)-ROW('F &amp; B'!$B$2)+1)/
('F &amp; B'!$B$2:$B$10815=$A$48),
ROW()-47)
),
"")</f>
        <v>2</v>
      </c>
      <c r="E58" s="7" t="str">
        <f>IFERROR(
INDEX('F &amp; B'!F$2:F$10815,
_xlfn.AGGREGATE(15,6,
(ROW('F &amp; B'!$B$2:$B$10815)-ROW('F &amp; B'!$B$2)+1)/
('F &amp; B'!$B$2:$B$10815=$A$48),
ROW()-47)
),
"")</f>
        <v>RAITA</v>
      </c>
      <c r="F58" s="183">
        <f>IFERROR(
INDEX('F &amp; B'!G$2:G$10815,
_xlfn.AGGREGATE(15,6,
(ROW('F &amp; B'!$B$2:$B$10815)-ROW('F &amp; B'!$B$2)+1)/
('F &amp; B'!$B$2:$B$10815=$A$48),
ROW()-47)
),
"")</f>
        <v>400</v>
      </c>
    </row>
    <row r="59" spans="1:6" s="71" customFormat="1" ht="17.100000000000001" customHeight="1" x14ac:dyDescent="0.25">
      <c r="A59" s="396"/>
      <c r="B59" s="396"/>
      <c r="C59" s="189">
        <f>IFERROR(
INDEX('F &amp; B'!D$2:D$10815,
_xlfn.AGGREGATE(15,6,
(ROW('F &amp; B'!$B$2:$B$10815)-ROW('F &amp; B'!$B$2)+1)/
('F &amp; B'!$B$2:$B$10815=$A$48),
ROW()-47)
),
"")</f>
        <v>46015</v>
      </c>
      <c r="D59" s="177">
        <f>IFERROR(
INDEX('F &amp; B'!E$2:E$10815,
_xlfn.AGGREGATE(15,6,
(ROW('F &amp; B'!$B$2:$B$10815)-ROW('F &amp; B'!$B$2)+1)/
('F &amp; B'!$B$2:$B$10815=$A$48),
ROW()-47)
),
"")</f>
        <v>2</v>
      </c>
      <c r="E59" s="7" t="str">
        <f>IFERROR(
INDEX('F &amp; B'!F$2:F$10815,
_xlfn.AGGREGATE(15,6,
(ROW('F &amp; B'!$B$2:$B$10815)-ROW('F &amp; B'!$B$2)+1)/
('F &amp; B'!$B$2:$B$10815=$A$48),
ROW()-47)
),
"")</f>
        <v>MINERAL WATER LARGE</v>
      </c>
      <c r="F59" s="183">
        <f>IFERROR(
INDEX('F &amp; B'!G$2:G$10815,
_xlfn.AGGREGATE(15,6,
(ROW('F &amp; B'!$B$2:$B$10815)-ROW('F &amp; B'!$B$2)+1)/
('F &amp; B'!$B$2:$B$10815=$A$48),
ROW()-47)
),
"")</f>
        <v>300</v>
      </c>
    </row>
    <row r="60" spans="1:6" s="71" customFormat="1" ht="17.100000000000001" customHeight="1" x14ac:dyDescent="0.25">
      <c r="A60" s="396"/>
      <c r="B60" s="396"/>
      <c r="C60" s="189" t="str">
        <f>IFERROR(
INDEX('F &amp; B'!D$2:D$10815,
_xlfn.AGGREGATE(15,6,
(ROW('F &amp; B'!$B$2:$B$10815)-ROW('F &amp; B'!$B$2)+1)/
('F &amp; B'!$B$2:$B$10815=$A$48),
ROW()-47)
),
"")</f>
        <v/>
      </c>
      <c r="D60" s="177" t="str">
        <f>IFERROR(
INDEX('F &amp; B'!E$2:E$10815,
_xlfn.AGGREGATE(15,6,
(ROW('F &amp; B'!$B$2:$B$10815)-ROW('F &amp; B'!$B$2)+1)/
('F &amp; B'!$B$2:$B$10815=$A$48),
ROW()-47)
),
"")</f>
        <v/>
      </c>
      <c r="E60" s="7" t="str">
        <f>IFERROR(
INDEX('F &amp; B'!F$2:F$10815,
_xlfn.AGGREGATE(15,6,
(ROW('F &amp; B'!$B$2:$B$10815)-ROW('F &amp; B'!$B$2)+1)/
('F &amp; B'!$B$2:$B$10815=$A$48),
ROW()-47)
),
"")</f>
        <v/>
      </c>
      <c r="F60" s="183" t="str">
        <f>IFERROR(
INDEX('F &amp; B'!G$2:G$10815,
_xlfn.AGGREGATE(15,6,
(ROW('F &amp; B'!$B$2:$B$10815)-ROW('F &amp; B'!$B$2)+1)/
('F &amp; B'!$B$2:$B$10815=$A$48),
ROW()-47)
),
"")</f>
        <v/>
      </c>
    </row>
    <row r="61" spans="1:6" s="71" customFormat="1" ht="17.100000000000001" customHeight="1" x14ac:dyDescent="0.25">
      <c r="A61" s="396"/>
      <c r="B61" s="396"/>
      <c r="C61" s="189" t="str">
        <f>IFERROR(
INDEX('F &amp; B'!D$2:D$10815,
_xlfn.AGGREGATE(15,6,
(ROW('F &amp; B'!$B$2:$B$10815)-ROW('F &amp; B'!$B$2)+1)/
('F &amp; B'!$B$2:$B$10815=$A$48),
ROW()-47)
),
"")</f>
        <v/>
      </c>
      <c r="D61" s="177" t="str">
        <f>IFERROR(
INDEX('F &amp; B'!E$2:E$10815,
_xlfn.AGGREGATE(15,6,
(ROW('F &amp; B'!$B$2:$B$10815)-ROW('F &amp; B'!$B$2)+1)/
('F &amp; B'!$B$2:$B$10815=$A$48),
ROW()-47)
),
"")</f>
        <v/>
      </c>
      <c r="E61" s="7" t="str">
        <f>IFERROR(
INDEX('F &amp; B'!F$2:F$10815,
_xlfn.AGGREGATE(15,6,
(ROW('F &amp; B'!$B$2:$B$10815)-ROW('F &amp; B'!$B$2)+1)/
('F &amp; B'!$B$2:$B$10815=$A$48),
ROW()-47)
),
"")</f>
        <v/>
      </c>
      <c r="F61" s="183" t="str">
        <f>IFERROR(
INDEX('F &amp; B'!G$2:G$10815,
_xlfn.AGGREGATE(15,6,
(ROW('F &amp; B'!$B$2:$B$10815)-ROW('F &amp; B'!$B$2)+1)/
('F &amp; B'!$B$2:$B$10815=$A$48),
ROW()-47)
),
"")</f>
        <v/>
      </c>
    </row>
    <row r="62" spans="1:6" s="71" customFormat="1" ht="17.100000000000001" customHeight="1" x14ac:dyDescent="0.25">
      <c r="A62" s="396"/>
      <c r="B62" s="396"/>
      <c r="C62" s="189" t="str">
        <f>IFERROR(
INDEX('F &amp; B'!D$2:D$10815,
_xlfn.AGGREGATE(15,6,
(ROW('F &amp; B'!$B$2:$B$10815)-ROW('F &amp; B'!$B$2)+1)/
('F &amp; B'!$B$2:$B$10815=$A$48),
ROW()-47)
),
"")</f>
        <v/>
      </c>
      <c r="D62" s="177" t="str">
        <f>IFERROR(
INDEX('F &amp; B'!E$2:E$10815,
_xlfn.AGGREGATE(15,6,
(ROW('F &amp; B'!$B$2:$B$10815)-ROW('F &amp; B'!$B$2)+1)/
('F &amp; B'!$B$2:$B$10815=$A$48),
ROW()-47)
),
"")</f>
        <v/>
      </c>
      <c r="E62" s="7" t="str">
        <f>IFERROR(
INDEX('F &amp; B'!F$2:F$10815,
_xlfn.AGGREGATE(15,6,
(ROW('F &amp; B'!$B$2:$B$10815)-ROW('F &amp; B'!$B$2)+1)/
('F &amp; B'!$B$2:$B$10815=$A$48),
ROW()-47)
),
"")</f>
        <v/>
      </c>
      <c r="F62" s="183" t="str">
        <f>IFERROR(
INDEX('F &amp; B'!G$2:G$10815,
_xlfn.AGGREGATE(15,6,
(ROW('F &amp; B'!$B$2:$B$10815)-ROW('F &amp; B'!$B$2)+1)/
('F &amp; B'!$B$2:$B$10815=$A$48),
ROW()-47)
),
"")</f>
        <v/>
      </c>
    </row>
    <row r="63" spans="1:6" s="71" customFormat="1" ht="17.100000000000001" customHeight="1" x14ac:dyDescent="0.25">
      <c r="A63" s="396"/>
      <c r="B63" s="396"/>
      <c r="C63" s="189" t="str">
        <f>IFERROR(
INDEX('F &amp; B'!D$2:D$10815,
_xlfn.AGGREGATE(15,6,
(ROW('F &amp; B'!$B$2:$B$10815)-ROW('F &amp; B'!$B$2)+1)/
('F &amp; B'!$B$2:$B$10815=$A$48),
ROW()-47)
),
"")</f>
        <v/>
      </c>
      <c r="D63" s="177" t="str">
        <f>IFERROR(
INDEX('F &amp; B'!E$2:E$10815,
_xlfn.AGGREGATE(15,6,
(ROW('F &amp; B'!$B$2:$B$10815)-ROW('F &amp; B'!$B$2)+1)/
('F &amp; B'!$B$2:$B$10815=$A$48),
ROW()-47)
),
"")</f>
        <v/>
      </c>
      <c r="E63" s="7" t="str">
        <f>IFERROR(
INDEX('F &amp; B'!F$2:F$10815,
_xlfn.AGGREGATE(15,6,
(ROW('F &amp; B'!$B$2:$B$10815)-ROW('F &amp; B'!$B$2)+1)/
('F &amp; B'!$B$2:$B$10815=$A$48),
ROW()-47)
),
"")</f>
        <v/>
      </c>
      <c r="F63" s="183" t="str">
        <f>IFERROR(
INDEX('F &amp; B'!G$2:G$10815,
_xlfn.AGGREGATE(15,6,
(ROW('F &amp; B'!$B$2:$B$10815)-ROW('F &amp; B'!$B$2)+1)/
('F &amp; B'!$B$2:$B$10815=$A$48),
ROW()-47)
),
"")</f>
        <v/>
      </c>
    </row>
    <row r="64" spans="1:6" s="71" customFormat="1" ht="17.100000000000001" customHeight="1" x14ac:dyDescent="0.25">
      <c r="A64" s="396"/>
      <c r="B64" s="396"/>
      <c r="C64" s="189" t="str">
        <f>IFERROR(
INDEX('F &amp; B'!D$2:D$10815,
_xlfn.AGGREGATE(15,6,
(ROW('F &amp; B'!$B$2:$B$10815)-ROW('F &amp; B'!$B$2)+1)/
('F &amp; B'!$B$2:$B$10815=$A$48),
ROW()-47)
),
"")</f>
        <v/>
      </c>
      <c r="D64" s="177" t="str">
        <f>IFERROR(
INDEX('F &amp; B'!E$2:E$10815,
_xlfn.AGGREGATE(15,6,
(ROW('F &amp; B'!$B$2:$B$10815)-ROW('F &amp; B'!$B$2)+1)/
('F &amp; B'!$B$2:$B$10815=$A$48),
ROW()-47)
),
"")</f>
        <v/>
      </c>
      <c r="E64" s="7" t="str">
        <f>IFERROR(
INDEX('F &amp; B'!F$2:F$10815,
_xlfn.AGGREGATE(15,6,
(ROW('F &amp; B'!$B$2:$B$10815)-ROW('F &amp; B'!$B$2)+1)/
('F &amp; B'!$B$2:$B$10815=$A$48),
ROW()-47)
),
"")</f>
        <v/>
      </c>
      <c r="F64" s="183" t="str">
        <f>IFERROR(
INDEX('F &amp; B'!G$2:G$10815,
_xlfn.AGGREGATE(15,6,
(ROW('F &amp; B'!$B$2:$B$10815)-ROW('F &amp; B'!$B$2)+1)/
('F &amp; B'!$B$2:$B$10815=$A$48),
ROW()-47)
),
"")</f>
        <v/>
      </c>
    </row>
    <row r="65" spans="1:6" s="71" customFormat="1" ht="17.100000000000001" customHeight="1" x14ac:dyDescent="0.25">
      <c r="A65" s="396"/>
      <c r="B65" s="396"/>
      <c r="C65" s="189" t="str">
        <f>IFERROR(
INDEX('F &amp; B'!D$2:D$10815,
_xlfn.AGGREGATE(15,6,
(ROW('F &amp; B'!$B$2:$B$10815)-ROW('F &amp; B'!$B$2)+1)/
('F &amp; B'!$B$2:$B$10815=$A$48),
ROW()-47)
),
"")</f>
        <v/>
      </c>
      <c r="D65" s="177" t="str">
        <f>IFERROR(
INDEX('F &amp; B'!E$2:E$10815,
_xlfn.AGGREGATE(15,6,
(ROW('F &amp; B'!$B$2:$B$10815)-ROW('F &amp; B'!$B$2)+1)/
('F &amp; B'!$B$2:$B$10815=$A$48),
ROW()-47)
),
"")</f>
        <v/>
      </c>
      <c r="E65" s="7" t="str">
        <f>IFERROR(
INDEX('F &amp; B'!F$2:F$10815,
_xlfn.AGGREGATE(15,6,
(ROW('F &amp; B'!$B$2:$B$10815)-ROW('F &amp; B'!$B$2)+1)/
('F &amp; B'!$B$2:$B$10815=$A$48),
ROW()-47)
),
"")</f>
        <v/>
      </c>
      <c r="F65" s="183" t="str">
        <f>IFERROR(
INDEX('F &amp; B'!G$2:G$10815,
_xlfn.AGGREGATE(15,6,
(ROW('F &amp; B'!$B$2:$B$10815)-ROW('F &amp; B'!$B$2)+1)/
('F &amp; B'!$B$2:$B$10815=$A$48),
ROW()-47)
),
"")</f>
        <v/>
      </c>
    </row>
    <row r="66" spans="1:6" s="71" customFormat="1" ht="17.100000000000001" customHeight="1" x14ac:dyDescent="0.25">
      <c r="A66" s="396"/>
      <c r="B66" s="396"/>
      <c r="C66" s="189" t="str">
        <f>IFERROR(
INDEX('F &amp; B'!D$2:D$10815,
_xlfn.AGGREGATE(15,6,
(ROW('F &amp; B'!$B$2:$B$10815)-ROW('F &amp; B'!$B$2)+1)/
('F &amp; B'!$B$2:$B$10815=$A$48),
ROW()-47)
),
"")</f>
        <v/>
      </c>
      <c r="D66" s="177" t="str">
        <f>IFERROR(
INDEX('F &amp; B'!E$2:E$10815,
_xlfn.AGGREGATE(15,6,
(ROW('F &amp; B'!$B$2:$B$10815)-ROW('F &amp; B'!$B$2)+1)/
('F &amp; B'!$B$2:$B$10815=$A$48),
ROW()-47)
),
"")</f>
        <v/>
      </c>
      <c r="E66" s="7" t="str">
        <f>IFERROR(
INDEX('F &amp; B'!F$2:F$10815,
_xlfn.AGGREGATE(15,6,
(ROW('F &amp; B'!$B$2:$B$10815)-ROW('F &amp; B'!$B$2)+1)/
('F &amp; B'!$B$2:$B$10815=$A$48),
ROW()-47)
),
"")</f>
        <v/>
      </c>
      <c r="F66" s="183" t="str">
        <f>IFERROR(
INDEX('F &amp; B'!G$2:G$10815,
_xlfn.AGGREGATE(15,6,
(ROW('F &amp; B'!$B$2:$B$10815)-ROW('F &amp; B'!$B$2)+1)/
('F &amp; B'!$B$2:$B$10815=$A$48),
ROW()-47)
),
"")</f>
        <v/>
      </c>
    </row>
    <row r="67" spans="1:6" s="71" customFormat="1" ht="17.100000000000001" customHeight="1" x14ac:dyDescent="0.25">
      <c r="A67" s="396"/>
      <c r="B67" s="396"/>
      <c r="C67" s="189" t="str">
        <f>IFERROR(
INDEX('F &amp; B'!D$2:D$10815,
_xlfn.AGGREGATE(15,6,
(ROW('F &amp; B'!$B$2:$B$10815)-ROW('F &amp; B'!$B$2)+1)/
('F &amp; B'!$B$2:$B$10815=$A$48),
ROW()-47)
),
"")</f>
        <v/>
      </c>
      <c r="D67" s="177" t="str">
        <f>IFERROR(
INDEX('F &amp; B'!E$2:E$10815,
_xlfn.AGGREGATE(15,6,
(ROW('F &amp; B'!$B$2:$B$10815)-ROW('F &amp; B'!$B$2)+1)/
('F &amp; B'!$B$2:$B$10815=$A$48),
ROW()-47)
),
"")</f>
        <v/>
      </c>
      <c r="E67" s="7" t="str">
        <f>IFERROR(
INDEX('F &amp; B'!F$2:F$10815,
_xlfn.AGGREGATE(15,6,
(ROW('F &amp; B'!$B$2:$B$10815)-ROW('F &amp; B'!$B$2)+1)/
('F &amp; B'!$B$2:$B$10815=$A$48),
ROW()-47)
),
"")</f>
        <v/>
      </c>
      <c r="F67" s="183" t="str">
        <f>IFERROR(
INDEX('F &amp; B'!G$2:G$10815,
_xlfn.AGGREGATE(15,6,
(ROW('F &amp; B'!$B$2:$B$10815)-ROW('F &amp; B'!$B$2)+1)/
('F &amp; B'!$B$2:$B$10815=$A$48),
ROW()-47)
),
"")</f>
        <v/>
      </c>
    </row>
    <row r="68" spans="1:6" s="71" customFormat="1" ht="17.100000000000001" customHeight="1" x14ac:dyDescent="0.25">
      <c r="A68" s="396"/>
      <c r="B68" s="396"/>
      <c r="C68" s="189" t="str">
        <f>IFERROR(
INDEX('F &amp; B'!D$2:D$10815,
_xlfn.AGGREGATE(15,6,
(ROW('F &amp; B'!$B$2:$B$10815)-ROW('F &amp; B'!$B$2)+1)/
('F &amp; B'!$B$2:$B$10815=$A$48),
ROW()-47)
),
"")</f>
        <v/>
      </c>
      <c r="D68" s="177" t="str">
        <f>IFERROR(
INDEX('F &amp; B'!E$2:E$10815,
_xlfn.AGGREGATE(15,6,
(ROW('F &amp; B'!$B$2:$B$10815)-ROW('F &amp; B'!$B$2)+1)/
('F &amp; B'!$B$2:$B$10815=$A$48),
ROW()-47)
),
"")</f>
        <v/>
      </c>
      <c r="E68" s="7" t="str">
        <f>IFERROR(
INDEX('F &amp; B'!F$2:F$10815,
_xlfn.AGGREGATE(15,6,
(ROW('F &amp; B'!$B$2:$B$10815)-ROW('F &amp; B'!$B$2)+1)/
('F &amp; B'!$B$2:$B$10815=$A$48),
ROW()-47)
),
"")</f>
        <v/>
      </c>
      <c r="F68" s="183" t="str">
        <f>IFERROR(
INDEX('F &amp; B'!G$2:G$10815,
_xlfn.AGGREGATE(15,6,
(ROW('F &amp; B'!$B$2:$B$10815)-ROW('F &amp; B'!$B$2)+1)/
('F &amp; B'!$B$2:$B$10815=$A$48),
ROW()-47)
),
"")</f>
        <v/>
      </c>
    </row>
    <row r="69" spans="1:6" s="71" customFormat="1" ht="17.100000000000001" customHeight="1" x14ac:dyDescent="0.25">
      <c r="A69" s="396"/>
      <c r="B69" s="396"/>
      <c r="C69" s="189" t="str">
        <f>IFERROR(
INDEX('F &amp; B'!D$2:D$10815,
_xlfn.AGGREGATE(15,6,
(ROW('F &amp; B'!$B$2:$B$10815)-ROW('F &amp; B'!$B$2)+1)/
('F &amp; B'!$B$2:$B$10815=$A$48),
ROW()-47)
),
"")</f>
        <v/>
      </c>
      <c r="D69" s="177" t="str">
        <f>IFERROR(
INDEX('F &amp; B'!E$2:E$10815,
_xlfn.AGGREGATE(15,6,
(ROW('F &amp; B'!$B$2:$B$10815)-ROW('F &amp; B'!$B$2)+1)/
('F &amp; B'!$B$2:$B$10815=$A$48),
ROW()-47)
),
"")</f>
        <v/>
      </c>
      <c r="E69" s="7" t="str">
        <f>IFERROR(
INDEX('F &amp; B'!F$2:F$10815,
_xlfn.AGGREGATE(15,6,
(ROW('F &amp; B'!$B$2:$B$10815)-ROW('F &amp; B'!$B$2)+1)/
('F &amp; B'!$B$2:$B$10815=$A$48),
ROW()-47)
),
"")</f>
        <v/>
      </c>
      <c r="F69" s="183" t="str">
        <f>IFERROR(
INDEX('F &amp; B'!G$2:G$10815,
_xlfn.AGGREGATE(15,6,
(ROW('F &amp; B'!$B$2:$B$10815)-ROW('F &amp; B'!$B$2)+1)/
('F &amp; B'!$B$2:$B$10815=$A$48),
ROW()-47)
),
"")</f>
        <v/>
      </c>
    </row>
    <row r="70" spans="1:6" s="71" customFormat="1" ht="17.100000000000001" customHeight="1" x14ac:dyDescent="0.25">
      <c r="A70" s="396"/>
      <c r="B70" s="396"/>
      <c r="C70" s="189" t="str">
        <f>IFERROR(
INDEX('F &amp; B'!D$2:D$10815,
_xlfn.AGGREGATE(15,6,
(ROW('F &amp; B'!$B$2:$B$10815)-ROW('F &amp; B'!$B$2)+1)/
('F &amp; B'!$B$2:$B$10815=$A$48),
ROW()-47)
),
"")</f>
        <v/>
      </c>
      <c r="D70" s="177" t="str">
        <f>IFERROR(
INDEX('F &amp; B'!E$2:E$10815,
_xlfn.AGGREGATE(15,6,
(ROW('F &amp; B'!$B$2:$B$10815)-ROW('F &amp; B'!$B$2)+1)/
('F &amp; B'!$B$2:$B$10815=$A$48),
ROW()-47)
),
"")</f>
        <v/>
      </c>
      <c r="E70" s="7" t="str">
        <f>IFERROR(
INDEX('F &amp; B'!F$2:F$10815,
_xlfn.AGGREGATE(15,6,
(ROW('F &amp; B'!$B$2:$B$10815)-ROW('F &amp; B'!$B$2)+1)/
('F &amp; B'!$B$2:$B$10815=$A$48),
ROW()-47)
),
"")</f>
        <v/>
      </c>
      <c r="F70" s="183" t="str">
        <f>IFERROR(
INDEX('F &amp; B'!G$2:G$10815,
_xlfn.AGGREGATE(15,6,
(ROW('F &amp; B'!$B$2:$B$10815)-ROW('F &amp; B'!$B$2)+1)/
('F &amp; B'!$B$2:$B$10815=$A$48),
ROW()-47)
),
"")</f>
        <v/>
      </c>
    </row>
    <row r="71" spans="1:6" s="71" customFormat="1" ht="17.100000000000001" customHeight="1" x14ac:dyDescent="0.25">
      <c r="A71" s="396"/>
      <c r="B71" s="396"/>
      <c r="C71" s="189" t="str">
        <f>IFERROR(
INDEX('F &amp; B'!D$2:D$10815,
_xlfn.AGGREGATE(15,6,
(ROW('F &amp; B'!$B$2:$B$10815)-ROW('F &amp; B'!$B$2)+1)/
('F &amp; B'!$B$2:$B$10815=$A$48),
ROW()-47)
),
"")</f>
        <v/>
      </c>
      <c r="D71" s="177" t="str">
        <f>IFERROR(
INDEX('F &amp; B'!E$2:E$10815,
_xlfn.AGGREGATE(15,6,
(ROW('F &amp; B'!$B$2:$B$10815)-ROW('F &amp; B'!$B$2)+1)/
('F &amp; B'!$B$2:$B$10815=$A$48),
ROW()-47)
),
"")</f>
        <v/>
      </c>
      <c r="E71" s="7" t="str">
        <f>IFERROR(
INDEX('F &amp; B'!F$2:F$10815,
_xlfn.AGGREGATE(15,6,
(ROW('F &amp; B'!$B$2:$B$10815)-ROW('F &amp; B'!$B$2)+1)/
('F &amp; B'!$B$2:$B$10815=$A$48),
ROW()-47)
),
"")</f>
        <v/>
      </c>
      <c r="F71" s="183" t="str">
        <f>IFERROR(
INDEX('F &amp; B'!G$2:G$10815,
_xlfn.AGGREGATE(15,6,
(ROW('F &amp; B'!$B$2:$B$10815)-ROW('F &amp; B'!$B$2)+1)/
('F &amp; B'!$B$2:$B$10815=$A$48),
ROW()-47)
),
"")</f>
        <v/>
      </c>
    </row>
    <row r="72" spans="1:6" s="71" customFormat="1" ht="17.100000000000001" customHeight="1" x14ac:dyDescent="0.25">
      <c r="A72" s="396"/>
      <c r="B72" s="396"/>
      <c r="C72" s="189" t="str">
        <f>IFERROR(
INDEX('F &amp; B'!D$2:D$10815,
_xlfn.AGGREGATE(15,6,
(ROW('F &amp; B'!$B$2:$B$10815)-ROW('F &amp; B'!$B$2)+1)/
('F &amp; B'!$B$2:$B$10815=$A$48),
ROW()-47)
),
"")</f>
        <v/>
      </c>
      <c r="D72" s="177" t="str">
        <f>IFERROR(
INDEX('F &amp; B'!E$2:E$10815,
_xlfn.AGGREGATE(15,6,
(ROW('F &amp; B'!$B$2:$B$10815)-ROW('F &amp; B'!$B$2)+1)/
('F &amp; B'!$B$2:$B$10815=$A$48),
ROW()-47)
),
"")</f>
        <v/>
      </c>
      <c r="E72" s="7" t="str">
        <f>IFERROR(
INDEX('F &amp; B'!F$2:F$10815,
_xlfn.AGGREGATE(15,6,
(ROW('F &amp; B'!$B$2:$B$10815)-ROW('F &amp; B'!$B$2)+1)/
('F &amp; B'!$B$2:$B$10815=$A$48),
ROW()-47)
),
"")</f>
        <v/>
      </c>
      <c r="F72" s="183" t="str">
        <f>IFERROR(
INDEX('F &amp; B'!G$2:G$10815,
_xlfn.AGGREGATE(15,6,
(ROW('F &amp; B'!$B$2:$B$10815)-ROW('F &amp; B'!$B$2)+1)/
('F &amp; B'!$B$2:$B$10815=$A$48),
ROW()-47)
),
"")</f>
        <v/>
      </c>
    </row>
    <row r="73" spans="1:6" s="71" customFormat="1" ht="17.100000000000001" customHeight="1" x14ac:dyDescent="0.25">
      <c r="A73" s="396"/>
      <c r="B73" s="396"/>
      <c r="C73" s="189" t="str">
        <f>IFERROR(
INDEX('F &amp; B'!D$2:D$10815,
_xlfn.AGGREGATE(15,6,
(ROW('F &amp; B'!$B$2:$B$10815)-ROW('F &amp; B'!$B$2)+1)/
('F &amp; B'!$B$2:$B$10815=$A$48),
ROW()-47)
),
"")</f>
        <v/>
      </c>
      <c r="D73" s="177" t="str">
        <f>IFERROR(
INDEX('F &amp; B'!E$2:E$10815,
_xlfn.AGGREGATE(15,6,
(ROW('F &amp; B'!$B$2:$B$10815)-ROW('F &amp; B'!$B$2)+1)/
('F &amp; B'!$B$2:$B$10815=$A$48),
ROW()-47)
),
"")</f>
        <v/>
      </c>
      <c r="E73" s="7" t="str">
        <f>IFERROR(
INDEX('F &amp; B'!F$2:F$10815,
_xlfn.AGGREGATE(15,6,
(ROW('F &amp; B'!$B$2:$B$10815)-ROW('F &amp; B'!$B$2)+1)/
('F &amp; B'!$B$2:$B$10815=$A$48),
ROW()-47)
),
"")</f>
        <v/>
      </c>
      <c r="F73" s="183" t="str">
        <f>IFERROR(
INDEX('F &amp; B'!G$2:G$10815,
_xlfn.AGGREGATE(15,6,
(ROW('F &amp; B'!$B$2:$B$10815)-ROW('F &amp; B'!$B$2)+1)/
('F &amp; B'!$B$2:$B$10815=$A$48),
ROW()-47)
),
"")</f>
        <v/>
      </c>
    </row>
    <row r="74" spans="1:6" s="71" customFormat="1" ht="17.100000000000001" customHeight="1" x14ac:dyDescent="0.25">
      <c r="A74" s="396"/>
      <c r="B74" s="396"/>
      <c r="C74" s="189" t="str">
        <f>IFERROR(
INDEX('F &amp; B'!D$2:D$10815,
_xlfn.AGGREGATE(15,6,
(ROW('F &amp; B'!$B$2:$B$10815)-ROW('F &amp; B'!$B$2)+1)/
('F &amp; B'!$B$2:$B$10815=$A$48),
ROW()-47)
),
"")</f>
        <v/>
      </c>
      <c r="D74" s="177" t="str">
        <f>IFERROR(
INDEX('F &amp; B'!E$2:E$10815,
_xlfn.AGGREGATE(15,6,
(ROW('F &amp; B'!$B$2:$B$10815)-ROW('F &amp; B'!$B$2)+1)/
('F &amp; B'!$B$2:$B$10815=$A$48),
ROW()-47)
),
"")</f>
        <v/>
      </c>
      <c r="E74" s="7" t="str">
        <f>IFERROR(
INDEX('F &amp; B'!F$2:F$10815,
_xlfn.AGGREGATE(15,6,
(ROW('F &amp; B'!$B$2:$B$10815)-ROW('F &amp; B'!$B$2)+1)/
('F &amp; B'!$B$2:$B$10815=$A$48),
ROW()-47)
),
"")</f>
        <v/>
      </c>
      <c r="F74" s="183" t="str">
        <f>IFERROR(
INDEX('F &amp; B'!G$2:G$10815,
_xlfn.AGGREGATE(15,6,
(ROW('F &amp; B'!$B$2:$B$10815)-ROW('F &amp; B'!$B$2)+1)/
('F &amp; B'!$B$2:$B$10815=$A$48),
ROW()-47)
),
"")</f>
        <v/>
      </c>
    </row>
    <row r="75" spans="1:6" s="71" customFormat="1" ht="17.100000000000001" customHeight="1" x14ac:dyDescent="0.25">
      <c r="A75" s="396"/>
      <c r="B75" s="396"/>
      <c r="C75" s="189" t="str">
        <f>IFERROR(
INDEX('F &amp; B'!D$2:D$10815,
_xlfn.AGGREGATE(15,6,
(ROW('F &amp; B'!$B$2:$B$10815)-ROW('F &amp; B'!$B$2)+1)/
('F &amp; B'!$B$2:$B$10815=$A$48),
ROW()-47)
),
"")</f>
        <v/>
      </c>
      <c r="D75" s="177" t="str">
        <f>IFERROR(
INDEX('F &amp; B'!E$2:E$10815,
_xlfn.AGGREGATE(15,6,
(ROW('F &amp; B'!$B$2:$B$10815)-ROW('F &amp; B'!$B$2)+1)/
('F &amp; B'!$B$2:$B$10815=$A$48),
ROW()-47)
),
"")</f>
        <v/>
      </c>
      <c r="E75" s="7" t="str">
        <f>IFERROR(
INDEX('F &amp; B'!F$2:F$10815,
_xlfn.AGGREGATE(15,6,
(ROW('F &amp; B'!$B$2:$B$10815)-ROW('F &amp; B'!$B$2)+1)/
('F &amp; B'!$B$2:$B$10815=$A$48),
ROW()-47)
),
"")</f>
        <v/>
      </c>
      <c r="F75" s="183" t="str">
        <f>IFERROR(
INDEX('F &amp; B'!G$2:G$10815,
_xlfn.AGGREGATE(15,6,
(ROW('F &amp; B'!$B$2:$B$10815)-ROW('F &amp; B'!$B$2)+1)/
('F &amp; B'!$B$2:$B$10815=$A$48),
ROW()-47)
),
"")</f>
        <v/>
      </c>
    </row>
    <row r="76" spans="1:6" s="71" customFormat="1" ht="17.100000000000001" customHeight="1" x14ac:dyDescent="0.25">
      <c r="A76" s="396"/>
      <c r="B76" s="396"/>
      <c r="C76" s="189" t="str">
        <f>IFERROR(
INDEX('F &amp; B'!D$2:D$10815,
_xlfn.AGGREGATE(15,6,
(ROW('F &amp; B'!$B$2:$B$10815)-ROW('F &amp; B'!$B$2)+1)/
('F &amp; B'!$B$2:$B$10815=$A$48),
ROW()-47)
),
"")</f>
        <v/>
      </c>
      <c r="D76" s="177" t="str">
        <f>IFERROR(
INDEX('F &amp; B'!E$2:E$10815,
_xlfn.AGGREGATE(15,6,
(ROW('F &amp; B'!$B$2:$B$10815)-ROW('F &amp; B'!$B$2)+1)/
('F &amp; B'!$B$2:$B$10815=$A$48),
ROW()-47)
),
"")</f>
        <v/>
      </c>
      <c r="E76" s="7" t="str">
        <f>IFERROR(
INDEX('F &amp; B'!F$2:F$10815,
_xlfn.AGGREGATE(15,6,
(ROW('F &amp; B'!$B$2:$B$10815)-ROW('F &amp; B'!$B$2)+1)/
('F &amp; B'!$B$2:$B$10815=$A$48),
ROW()-47)
),
"")</f>
        <v/>
      </c>
      <c r="F76" s="183" t="str">
        <f>IFERROR(
INDEX('F &amp; B'!G$2:G$10815,
_xlfn.AGGREGATE(15,6,
(ROW('F &amp; B'!$B$2:$B$10815)-ROW('F &amp; B'!$B$2)+1)/
('F &amp; B'!$B$2:$B$10815=$A$48),
ROW()-47)
),
"")</f>
        <v/>
      </c>
    </row>
    <row r="77" spans="1:6" s="71" customFormat="1" ht="17.100000000000001" customHeight="1" x14ac:dyDescent="0.25">
      <c r="A77" s="396"/>
      <c r="B77" s="396"/>
      <c r="C77" s="189" t="str">
        <f>IFERROR(
INDEX('F &amp; B'!D$2:D$10815,
_xlfn.AGGREGATE(15,6,
(ROW('F &amp; B'!$B$2:$B$10815)-ROW('F &amp; B'!$B$2)+1)/
('F &amp; B'!$B$2:$B$10815=$A$48),
ROW()-47)
),
"")</f>
        <v/>
      </c>
      <c r="D77" s="177" t="str">
        <f>IFERROR(
INDEX('F &amp; B'!E$2:E$10815,
_xlfn.AGGREGATE(15,6,
(ROW('F &amp; B'!$B$2:$B$10815)-ROW('F &amp; B'!$B$2)+1)/
('F &amp; B'!$B$2:$B$10815=$A$48),
ROW()-47)
),
"")</f>
        <v/>
      </c>
      <c r="E77" s="7" t="str">
        <f>IFERROR(
INDEX('F &amp; B'!F$2:F$10815,
_xlfn.AGGREGATE(15,6,
(ROW('F &amp; B'!$B$2:$B$10815)-ROW('F &amp; B'!$B$2)+1)/
('F &amp; B'!$B$2:$B$10815=$A$48),
ROW()-47)
),
"")</f>
        <v/>
      </c>
      <c r="F77" s="183" t="str">
        <f>IFERROR(
INDEX('F &amp; B'!G$2:G$10815,
_xlfn.AGGREGATE(15,6,
(ROW('F &amp; B'!$B$2:$B$10815)-ROW('F &amp; B'!$B$2)+1)/
('F &amp; B'!$B$2:$B$10815=$A$48),
ROW()-47)
),
"")</f>
        <v/>
      </c>
    </row>
    <row r="78" spans="1:6" s="71" customFormat="1" ht="17.100000000000001" customHeight="1" x14ac:dyDescent="0.25">
      <c r="A78" s="396"/>
      <c r="B78" s="396"/>
      <c r="C78" s="189" t="str">
        <f>IFERROR(
INDEX('F &amp; B'!D$2:D$10815,
_xlfn.AGGREGATE(15,6,
(ROW('F &amp; B'!$B$2:$B$10815)-ROW('F &amp; B'!$B$2)+1)/
('F &amp; B'!$B$2:$B$10815=$A$48),
ROW()-47)
),
"")</f>
        <v/>
      </c>
      <c r="D78" s="177" t="str">
        <f>IFERROR(
INDEX('F &amp; B'!E$2:E$10815,
_xlfn.AGGREGATE(15,6,
(ROW('F &amp; B'!$B$2:$B$10815)-ROW('F &amp; B'!$B$2)+1)/
('F &amp; B'!$B$2:$B$10815=$A$48),
ROW()-47)
),
"")</f>
        <v/>
      </c>
      <c r="E78" s="7" t="str">
        <f>IFERROR(
INDEX('F &amp; B'!F$2:F$10815,
_xlfn.AGGREGATE(15,6,
(ROW('F &amp; B'!$B$2:$B$10815)-ROW('F &amp; B'!$B$2)+1)/
('F &amp; B'!$B$2:$B$10815=$A$48),
ROW()-47)
),
"")</f>
        <v/>
      </c>
      <c r="F78" s="183" t="str">
        <f>IFERROR(
INDEX('F &amp; B'!G$2:G$10815,
_xlfn.AGGREGATE(15,6,
(ROW('F &amp; B'!$B$2:$B$10815)-ROW('F &amp; B'!$B$2)+1)/
('F &amp; B'!$B$2:$B$10815=$A$48),
ROW()-47)
),
"")</f>
        <v/>
      </c>
    </row>
    <row r="79" spans="1:6" s="71" customFormat="1" ht="17.100000000000001" customHeight="1" x14ac:dyDescent="0.25">
      <c r="A79" s="396"/>
      <c r="B79" s="396"/>
      <c r="C79" s="189" t="str">
        <f>IFERROR(
INDEX('F &amp; B'!D$2:D$10815,
_xlfn.AGGREGATE(15,6,
(ROW('F &amp; B'!$B$2:$B$10815)-ROW('F &amp; B'!$B$2)+1)/
('F &amp; B'!$B$2:$B$10815=$A$48),
ROW()-47)
),
"")</f>
        <v/>
      </c>
      <c r="D79" s="177" t="str">
        <f>IFERROR(
INDEX('F &amp; B'!E$2:E$10815,
_xlfn.AGGREGATE(15,6,
(ROW('F &amp; B'!$B$2:$B$10815)-ROW('F &amp; B'!$B$2)+1)/
('F &amp; B'!$B$2:$B$10815=$A$48),
ROW()-47)
),
"")</f>
        <v/>
      </c>
      <c r="E79" s="7" t="str">
        <f>IFERROR(
INDEX('F &amp; B'!F$2:F$10815,
_xlfn.AGGREGATE(15,6,
(ROW('F &amp; B'!$B$2:$B$10815)-ROW('F &amp; B'!$B$2)+1)/
('F &amp; B'!$B$2:$B$10815=$A$48),
ROW()-47)
),
"")</f>
        <v/>
      </c>
      <c r="F79" s="183" t="str">
        <f>IFERROR(
INDEX('F &amp; B'!G$2:G$10815,
_xlfn.AGGREGATE(15,6,
(ROW('F &amp; B'!$B$2:$B$10815)-ROW('F &amp; B'!$B$2)+1)/
('F &amp; B'!$B$2:$B$10815=$A$48),
ROW()-47)
),
"")</f>
        <v/>
      </c>
    </row>
    <row r="80" spans="1:6" s="71" customFormat="1" ht="17.100000000000001" customHeight="1" x14ac:dyDescent="0.25">
      <c r="A80" s="396"/>
      <c r="B80" s="396"/>
      <c r="C80" s="189" t="str">
        <f>IFERROR(
INDEX('F &amp; B'!D$2:D$10815,
_xlfn.AGGREGATE(15,6,
(ROW('F &amp; B'!$B$2:$B$10815)-ROW('F &amp; B'!$B$2)+1)/
('F &amp; B'!$B$2:$B$10815=$A$48),
ROW()-47)
),
"")</f>
        <v/>
      </c>
      <c r="D80" s="177" t="str">
        <f>IFERROR(
INDEX('F &amp; B'!E$2:E$10815,
_xlfn.AGGREGATE(15,6,
(ROW('F &amp; B'!$B$2:$B$10815)-ROW('F &amp; B'!$B$2)+1)/
('F &amp; B'!$B$2:$B$10815=$A$48),
ROW()-47)
),
"")</f>
        <v/>
      </c>
      <c r="E80" s="7" t="str">
        <f>IFERROR(
INDEX('F &amp; B'!F$2:F$10815,
_xlfn.AGGREGATE(15,6,
(ROW('F &amp; B'!$B$2:$B$10815)-ROW('F &amp; B'!$B$2)+1)/
('F &amp; B'!$B$2:$B$10815=$A$48),
ROW()-47)
),
"")</f>
        <v/>
      </c>
      <c r="F80" s="183" t="str">
        <f>IFERROR(
INDEX('F &amp; B'!G$2:G$10815,
_xlfn.AGGREGATE(15,6,
(ROW('F &amp; B'!$B$2:$B$10815)-ROW('F &amp; B'!$B$2)+1)/
('F &amp; B'!$B$2:$B$10815=$A$48),
ROW()-47)
),
"")</f>
        <v/>
      </c>
    </row>
    <row r="81" spans="1:6" s="71" customFormat="1" ht="17.100000000000001" customHeight="1" x14ac:dyDescent="0.25">
      <c r="A81" s="396"/>
      <c r="B81" s="396"/>
      <c r="C81" s="189" t="str">
        <f>IFERROR(
INDEX('F &amp; B'!D$2:D$10815,
_xlfn.AGGREGATE(15,6,
(ROW('F &amp; B'!$B$2:$B$10815)-ROW('F &amp; B'!$B$2)+1)/
('F &amp; B'!$B$2:$B$10815=$A$48),
ROW()-47)
),
"")</f>
        <v/>
      </c>
      <c r="D81" s="177" t="str">
        <f>IFERROR(
INDEX('F &amp; B'!E$2:E$10815,
_xlfn.AGGREGATE(15,6,
(ROW('F &amp; B'!$B$2:$B$10815)-ROW('F &amp; B'!$B$2)+1)/
('F &amp; B'!$B$2:$B$10815=$A$48),
ROW()-47)
),
"")</f>
        <v/>
      </c>
      <c r="E81" s="7" t="str">
        <f>IFERROR(
INDEX('F &amp; B'!F$2:F$10815,
_xlfn.AGGREGATE(15,6,
(ROW('F &amp; B'!$B$2:$B$10815)-ROW('F &amp; B'!$B$2)+1)/
('F &amp; B'!$B$2:$B$10815=$A$48),
ROW()-47)
),
"")</f>
        <v/>
      </c>
      <c r="F81" s="183" t="str">
        <f>IFERROR(
INDEX('F &amp; B'!G$2:G$10815,
_xlfn.AGGREGATE(15,6,
(ROW('F &amp; B'!$B$2:$B$10815)-ROW('F &amp; B'!$B$2)+1)/
('F &amp; B'!$B$2:$B$10815=$A$48),
ROW()-47)
),
"")</f>
        <v/>
      </c>
    </row>
    <row r="82" spans="1:6" s="71" customFormat="1" ht="17.100000000000001" customHeight="1" x14ac:dyDescent="0.25">
      <c r="A82" s="396"/>
      <c r="B82" s="396"/>
      <c r="C82" s="189" t="str">
        <f>IFERROR(
INDEX('F &amp; B'!D$2:D$10815,
_xlfn.AGGREGATE(15,6,
(ROW('F &amp; B'!$B$2:$B$10815)-ROW('F &amp; B'!$B$2)+1)/
('F &amp; B'!$B$2:$B$10815=$A$48),
ROW()-47)
),
"")</f>
        <v/>
      </c>
      <c r="D82" s="177" t="str">
        <f>IFERROR(
INDEX('F &amp; B'!E$2:E$10815,
_xlfn.AGGREGATE(15,6,
(ROW('F &amp; B'!$B$2:$B$10815)-ROW('F &amp; B'!$B$2)+1)/
('F &amp; B'!$B$2:$B$10815=$A$48),
ROW()-47)
),
"")</f>
        <v/>
      </c>
      <c r="E82" s="7" t="str">
        <f>IFERROR(
INDEX('F &amp; B'!F$2:F$10815,
_xlfn.AGGREGATE(15,6,
(ROW('F &amp; B'!$B$2:$B$10815)-ROW('F &amp; B'!$B$2)+1)/
('F &amp; B'!$B$2:$B$10815=$A$48),
ROW()-47)
),
"")</f>
        <v/>
      </c>
      <c r="F82" s="183" t="str">
        <f>IFERROR(
INDEX('F &amp; B'!G$2:G$10815,
_xlfn.AGGREGATE(15,6,
(ROW('F &amp; B'!$B$2:$B$10815)-ROW('F &amp; B'!$B$2)+1)/
('F &amp; B'!$B$2:$B$10815=$A$48),
ROW()-47)
),
"")</f>
        <v/>
      </c>
    </row>
    <row r="83" spans="1:6" s="71" customFormat="1" ht="17.100000000000001" customHeight="1" x14ac:dyDescent="0.25">
      <c r="A83" s="396"/>
      <c r="B83" s="396"/>
      <c r="C83" s="189" t="str">
        <f>IFERROR(
INDEX('F &amp; B'!D$2:D$10815,
_xlfn.AGGREGATE(15,6,
(ROW('F &amp; B'!$B$2:$B$10815)-ROW('F &amp; B'!$B$2)+1)/
('F &amp; B'!$B$2:$B$10815=$A$48),
ROW()-47)
),
"")</f>
        <v/>
      </c>
      <c r="D83" s="177" t="str">
        <f>IFERROR(
INDEX('F &amp; B'!E$2:E$10815,
_xlfn.AGGREGATE(15,6,
(ROW('F &amp; B'!$B$2:$B$10815)-ROW('F &amp; B'!$B$2)+1)/
('F &amp; B'!$B$2:$B$10815=$A$48),
ROW()-47)
),
"")</f>
        <v/>
      </c>
      <c r="E83" s="7" t="str">
        <f>IFERROR(
INDEX('F &amp; B'!F$2:F$10815,
_xlfn.AGGREGATE(15,6,
(ROW('F &amp; B'!$B$2:$B$10815)-ROW('F &amp; B'!$B$2)+1)/
('F &amp; B'!$B$2:$B$10815=$A$48),
ROW()-47)
),
"")</f>
        <v/>
      </c>
      <c r="F83" s="183" t="str">
        <f>IFERROR(
INDEX('F &amp; B'!G$2:G$10815,
_xlfn.AGGREGATE(15,6,
(ROW('F &amp; B'!$B$2:$B$10815)-ROW('F &amp; B'!$B$2)+1)/
('F &amp; B'!$B$2:$B$10815=$A$48),
ROW()-47)
),
"")</f>
        <v/>
      </c>
    </row>
    <row r="84" spans="1:6" s="71" customFormat="1" ht="17.100000000000001" customHeight="1" x14ac:dyDescent="0.25">
      <c r="A84" s="401"/>
      <c r="B84" s="402"/>
      <c r="C84" s="189" t="str">
        <f>IFERROR(
INDEX('F &amp; B'!D$2:D$10815,
_xlfn.AGGREGATE(15,6,
(ROW('F &amp; B'!$B$2:$B$10815)-ROW('F &amp; B'!$B$2)+1)/
('F &amp; B'!$B$2:$B$10815=$A$48),
ROW()-47)
),
"")</f>
        <v/>
      </c>
      <c r="D84" s="177" t="str">
        <f>IFERROR(
INDEX('F &amp; B'!E$2:E$10815,
_xlfn.AGGREGATE(15,6,
(ROW('F &amp; B'!$B$2:$B$10815)-ROW('F &amp; B'!$B$2)+1)/
('F &amp; B'!$B$2:$B$10815=$A$48),
ROW()-47)
),
"")</f>
        <v/>
      </c>
      <c r="E84" s="7" t="str">
        <f>IFERROR(
INDEX('F &amp; B'!F$2:F$10815,
_xlfn.AGGREGATE(15,6,
(ROW('F &amp; B'!$B$2:$B$10815)-ROW('F &amp; B'!$B$2)+1)/
('F &amp; B'!$B$2:$B$10815=$A$48),
ROW()-47)
),
"")</f>
        <v/>
      </c>
      <c r="F84" s="183" t="str">
        <f>IFERROR(
INDEX('F &amp; B'!G$2:G$10815,
_xlfn.AGGREGATE(15,6,
(ROW('F &amp; B'!$B$2:$B$10815)-ROW('F &amp; B'!$B$2)+1)/
('F &amp; B'!$B$2:$B$10815=$A$48),
ROW()-47)
),
"")</f>
        <v/>
      </c>
    </row>
    <row r="85" spans="1:6" s="71" customFormat="1" ht="17.100000000000001" customHeight="1" x14ac:dyDescent="0.25">
      <c r="A85" s="403"/>
      <c r="B85" s="403"/>
      <c r="C85" s="189" t="str">
        <f>IFERROR(
INDEX('F &amp; B'!D$2:D$10815,
_xlfn.AGGREGATE(15,6,
(ROW('F &amp; B'!$B$2:$B$10815)-ROW('F &amp; B'!$B$2)+1)/
('F &amp; B'!$B$2:$B$10815=$A$48),
ROW()-47)
),
"")</f>
        <v/>
      </c>
      <c r="D85" s="177" t="str">
        <f>IFERROR(
INDEX('F &amp; B'!E$2:E$10815,
_xlfn.AGGREGATE(15,6,
(ROW('F &amp; B'!$B$2:$B$10815)-ROW('F &amp; B'!$B$2)+1)/
('F &amp; B'!$B$2:$B$10815=$A$48),
ROW()-47)
),
"")</f>
        <v/>
      </c>
      <c r="E85" s="7" t="str">
        <f>IFERROR(
INDEX('F &amp; B'!F$2:F$10815,
_xlfn.AGGREGATE(15,6,
(ROW('F &amp; B'!$B$2:$B$10815)-ROW('F &amp; B'!$B$2)+1)/
('F &amp; B'!$B$2:$B$10815=$A$48),
ROW()-47)
),
"")</f>
        <v/>
      </c>
      <c r="F85" s="183" t="str">
        <f>IFERROR(
INDEX('F &amp; B'!G$2:G$10815,
_xlfn.AGGREGATE(15,6,
(ROW('F &amp; B'!$B$2:$B$10815)-ROW('F &amp; B'!$B$2)+1)/
('F &amp; B'!$B$2:$B$10815=$A$48),
ROW()-47)
),
"")</f>
        <v/>
      </c>
    </row>
    <row r="86" spans="1:6" s="71" customFormat="1" ht="17.100000000000001" customHeight="1" x14ac:dyDescent="0.25">
      <c r="A86" s="396"/>
      <c r="B86" s="396"/>
      <c r="C86" s="189" t="str">
        <f>IFERROR(
INDEX('F &amp; B'!D$2:D$10815,
_xlfn.AGGREGATE(15,6,
(ROW('F &amp; B'!$B$2:$B$10815)-ROW('F &amp; B'!$B$2)+1)/
('F &amp; B'!$B$2:$B$10815=$A$48),
ROW()-47)
),
"")</f>
        <v/>
      </c>
      <c r="D86" s="177" t="str">
        <f>IFERROR(
INDEX('F &amp; B'!E$2:E$10815,
_xlfn.AGGREGATE(15,6,
(ROW('F &amp; B'!$B$2:$B$10815)-ROW('F &amp; B'!$B$2)+1)/
('F &amp; B'!$B$2:$B$10815=$A$48),
ROW()-47)
),
"")</f>
        <v/>
      </c>
      <c r="E86" s="7" t="str">
        <f>IFERROR(
INDEX('F &amp; B'!F$2:F$10815,
_xlfn.AGGREGATE(15,6,
(ROW('F &amp; B'!$B$2:$B$10815)-ROW('F &amp; B'!$B$2)+1)/
('F &amp; B'!$B$2:$B$10815=$A$48),
ROW()-47)
),
"")</f>
        <v/>
      </c>
      <c r="F86" s="183" t="str">
        <f>IFERROR(
INDEX('F &amp; B'!G$2:G$10815,
_xlfn.AGGREGATE(15,6,
(ROW('F &amp; B'!$B$2:$B$10815)-ROW('F &amp; B'!$B$2)+1)/
('F &amp; B'!$B$2:$B$10815=$A$48),
ROW()-47)
),
"")</f>
        <v/>
      </c>
    </row>
    <row r="87" spans="1:6" s="71" customFormat="1" ht="17.100000000000001" customHeight="1" x14ac:dyDescent="0.25">
      <c r="A87" s="396"/>
      <c r="B87" s="396"/>
      <c r="C87" s="189" t="str">
        <f>IFERROR(
INDEX('F &amp; B'!D$2:D$10815,
_xlfn.AGGREGATE(15,6,
(ROW('F &amp; B'!$B$2:$B$10815)-ROW('F &amp; B'!$B$2)+1)/
('F &amp; B'!$B$2:$B$10815=$A$48),
ROW()-47)
),
"")</f>
        <v/>
      </c>
      <c r="D87" s="177" t="str">
        <f>IFERROR(
INDEX('F &amp; B'!E$2:E$10815,
_xlfn.AGGREGATE(15,6,
(ROW('F &amp; B'!$B$2:$B$10815)-ROW('F &amp; B'!$B$2)+1)/
('F &amp; B'!$B$2:$B$10815=$A$48),
ROW()-47)
),
"")</f>
        <v/>
      </c>
      <c r="E87" s="7" t="str">
        <f>IFERROR(
INDEX('F &amp; B'!F$2:F$10815,
_xlfn.AGGREGATE(15,6,
(ROW('F &amp; B'!$B$2:$B$10815)-ROW('F &amp; B'!$B$2)+1)/
('F &amp; B'!$B$2:$B$10815=$A$48),
ROW()-47)
),
"")</f>
        <v/>
      </c>
      <c r="F87" s="183" t="str">
        <f>IFERROR(
INDEX('F &amp; B'!G$2:G$10815,
_xlfn.AGGREGATE(15,6,
(ROW('F &amp; B'!$B$2:$B$10815)-ROW('F &amp; B'!$B$2)+1)/
('F &amp; B'!$B$2:$B$10815=$A$48),
ROW()-47)
),
"")</f>
        <v/>
      </c>
    </row>
    <row r="88" spans="1:6" s="71" customFormat="1" ht="17.100000000000001" customHeight="1" x14ac:dyDescent="0.25">
      <c r="A88" s="396"/>
      <c r="B88" s="396"/>
      <c r="C88" s="189" t="str">
        <f>IFERROR(
INDEX('F &amp; B'!D$2:D$10815,
_xlfn.AGGREGATE(15,6,
(ROW('F &amp; B'!$B$2:$B$10815)-ROW('F &amp; B'!$B$2)+1)/
('F &amp; B'!$B$2:$B$10815=$A$48),
ROW()-47)
),
"")</f>
        <v/>
      </c>
      <c r="D88" s="177" t="str">
        <f>IFERROR(
INDEX('F &amp; B'!E$2:E$10815,
_xlfn.AGGREGATE(15,6,
(ROW('F &amp; B'!$B$2:$B$10815)-ROW('F &amp; B'!$B$2)+1)/
('F &amp; B'!$B$2:$B$10815=$A$48),
ROW()-47)
),
"")</f>
        <v/>
      </c>
      <c r="E88" s="7" t="str">
        <f>IFERROR(
INDEX('F &amp; B'!F$2:F$10815,
_xlfn.AGGREGATE(15,6,
(ROW('F &amp; B'!$B$2:$B$10815)-ROW('F &amp; B'!$B$2)+1)/
('F &amp; B'!$B$2:$B$10815=$A$48),
ROW()-47)
),
"")</f>
        <v/>
      </c>
      <c r="F88" s="183" t="str">
        <f>IFERROR(
INDEX('F &amp; B'!G$2:G$10815,
_xlfn.AGGREGATE(15,6,
(ROW('F &amp; B'!$B$2:$B$10815)-ROW('F &amp; B'!$B$2)+1)/
('F &amp; B'!$B$2:$B$10815=$A$48),
ROW()-47)
),
"")</f>
        <v/>
      </c>
    </row>
    <row r="89" spans="1:6" s="71" customFormat="1" ht="17.100000000000001" customHeight="1" x14ac:dyDescent="0.25">
      <c r="A89" s="396"/>
      <c r="B89" s="396"/>
      <c r="C89" s="189" t="str">
        <f>IFERROR(
INDEX('F &amp; B'!D$2:D$10815,
_xlfn.AGGREGATE(15,6,
(ROW('F &amp; B'!$B$2:$B$10815)-ROW('F &amp; B'!$B$2)+1)/
('F &amp; B'!$B$2:$B$10815=$A$48),
ROW()-47)
),
"")</f>
        <v/>
      </c>
      <c r="D89" s="177" t="str">
        <f>IFERROR(
INDEX('F &amp; B'!E$2:E$10815,
_xlfn.AGGREGATE(15,6,
(ROW('F &amp; B'!$B$2:$B$10815)-ROW('F &amp; B'!$B$2)+1)/
('F &amp; B'!$B$2:$B$10815=$A$48),
ROW()-47)
),
"")</f>
        <v/>
      </c>
      <c r="E89" s="7" t="str">
        <f>IFERROR(
INDEX('F &amp; B'!F$2:F$10815,
_xlfn.AGGREGATE(15,6,
(ROW('F &amp; B'!$B$2:$B$10815)-ROW('F &amp; B'!$B$2)+1)/
('F &amp; B'!$B$2:$B$10815=$A$48),
ROW()-47)
),
"")</f>
        <v/>
      </c>
      <c r="F89" s="183" t="str">
        <f>IFERROR(
INDEX('F &amp; B'!G$2:G$10815,
_xlfn.AGGREGATE(15,6,
(ROW('F &amp; B'!$B$2:$B$10815)-ROW('F &amp; B'!$B$2)+1)/
('F &amp; B'!$B$2:$B$10815=$A$48),
ROW()-47)
),
"")</f>
        <v/>
      </c>
    </row>
    <row r="90" spans="1:6" s="71" customFormat="1" ht="17.100000000000001" customHeight="1" x14ac:dyDescent="0.25">
      <c r="A90" s="396"/>
      <c r="B90" s="396"/>
      <c r="C90" s="189" t="str">
        <f>IFERROR(
INDEX('F &amp; B'!D$2:D$10815,
_xlfn.AGGREGATE(15,6,
(ROW('F &amp; B'!$B$2:$B$10815)-ROW('F &amp; B'!$B$2)+1)/
('F &amp; B'!$B$2:$B$10815=$A$48),
ROW()-47)
),
"")</f>
        <v/>
      </c>
      <c r="D90" s="177" t="str">
        <f>IFERROR(
INDEX('F &amp; B'!E$2:E$10815,
_xlfn.AGGREGATE(15,6,
(ROW('F &amp; B'!$B$2:$B$10815)-ROW('F &amp; B'!$B$2)+1)/
('F &amp; B'!$B$2:$B$10815=$A$48),
ROW()-47)
),
"")</f>
        <v/>
      </c>
      <c r="E90" s="7" t="str">
        <f>IFERROR(
INDEX('F &amp; B'!F$2:F$10815,
_xlfn.AGGREGATE(15,6,
(ROW('F &amp; B'!$B$2:$B$10815)-ROW('F &amp; B'!$B$2)+1)/
('F &amp; B'!$B$2:$B$10815=$A$48),
ROW()-47)
),
"")</f>
        <v/>
      </c>
      <c r="F90" s="183" t="str">
        <f>IFERROR(
INDEX('F &amp; B'!G$2:G$10815,
_xlfn.AGGREGATE(15,6,
(ROW('F &amp; B'!$B$2:$B$10815)-ROW('F &amp; B'!$B$2)+1)/
('F &amp; B'!$B$2:$B$10815=$A$48),
ROW()-47)
),
"")</f>
        <v/>
      </c>
    </row>
    <row r="91" spans="1:6" s="71" customFormat="1" ht="17.100000000000001" customHeight="1" x14ac:dyDescent="0.25">
      <c r="A91" s="396"/>
      <c r="B91" s="396"/>
      <c r="C91" s="189" t="str">
        <f>IFERROR(
INDEX('F &amp; B'!D$2:D$10815,
_xlfn.AGGREGATE(15,6,
(ROW('F &amp; B'!$B$2:$B$10815)-ROW('F &amp; B'!$B$2)+1)/
('F &amp; B'!$B$2:$B$10815=$A$48),
ROW()-47)
),
"")</f>
        <v/>
      </c>
      <c r="D91" s="177" t="str">
        <f>IFERROR(
INDEX('F &amp; B'!E$2:E$10815,
_xlfn.AGGREGATE(15,6,
(ROW('F &amp; B'!$B$2:$B$10815)-ROW('F &amp; B'!$B$2)+1)/
('F &amp; B'!$B$2:$B$10815=$A$48),
ROW()-47)
),
"")</f>
        <v/>
      </c>
      <c r="E91" s="7" t="str">
        <f>IFERROR(
INDEX('F &amp; B'!F$2:F$10815,
_xlfn.AGGREGATE(15,6,
(ROW('F &amp; B'!$B$2:$B$10815)-ROW('F &amp; B'!$B$2)+1)/
('F &amp; B'!$B$2:$B$10815=$A$48),
ROW()-47)
),
"")</f>
        <v/>
      </c>
      <c r="F91" s="183" t="str">
        <f>IFERROR(
INDEX('F &amp; B'!G$2:G$10815,
_xlfn.AGGREGATE(15,6,
(ROW('F &amp; B'!$B$2:$B$10815)-ROW('F &amp; B'!$B$2)+1)/
('F &amp; B'!$B$2:$B$10815=$A$48),
ROW()-47)
),
"")</f>
        <v/>
      </c>
    </row>
    <row r="92" spans="1:6" s="71" customFormat="1" ht="17.100000000000001" customHeight="1" x14ac:dyDescent="0.25">
      <c r="A92" s="396"/>
      <c r="B92" s="396"/>
      <c r="C92" s="189" t="str">
        <f>IFERROR(
INDEX('F &amp; B'!D$2:D$10815,
_xlfn.AGGREGATE(15,6,
(ROW('F &amp; B'!$B$2:$B$10815)-ROW('F &amp; B'!$B$2)+1)/
('F &amp; B'!$B$2:$B$10815=$A$48),
ROW()-47)
),
"")</f>
        <v/>
      </c>
      <c r="D92" s="177" t="str">
        <f>IFERROR(
INDEX('F &amp; B'!E$2:E$10815,
_xlfn.AGGREGATE(15,6,
(ROW('F &amp; B'!$B$2:$B$10815)-ROW('F &amp; B'!$B$2)+1)/
('F &amp; B'!$B$2:$B$10815=$A$48),
ROW()-47)
),
"")</f>
        <v/>
      </c>
      <c r="E92" s="7" t="str">
        <f>IFERROR(
INDEX('F &amp; B'!F$2:F$10815,
_xlfn.AGGREGATE(15,6,
(ROW('F &amp; B'!$B$2:$B$10815)-ROW('F &amp; B'!$B$2)+1)/
('F &amp; B'!$B$2:$B$10815=$A$48),
ROW()-47)
),
"")</f>
        <v/>
      </c>
      <c r="F92" s="183" t="str">
        <f>IFERROR(
INDEX('F &amp; B'!G$2:G$10815,
_xlfn.AGGREGATE(15,6,
(ROW('F &amp; B'!$B$2:$B$10815)-ROW('F &amp; B'!$B$2)+1)/
('F &amp; B'!$B$2:$B$10815=$A$48),
ROW()-47)
),
"")</f>
        <v/>
      </c>
    </row>
    <row r="93" spans="1:6" s="71" customFormat="1" ht="17.100000000000001" customHeight="1" x14ac:dyDescent="0.25">
      <c r="A93" s="396"/>
      <c r="B93" s="396"/>
      <c r="C93" s="189" t="str">
        <f>IFERROR(
INDEX('F &amp; B'!D$2:D$10815,
_xlfn.AGGREGATE(15,6,
(ROW('F &amp; B'!$B$2:$B$10815)-ROW('F &amp; B'!$B$2)+1)/
('F &amp; B'!$B$2:$B$10815=$A$48),
ROW()-47)
),
"")</f>
        <v/>
      </c>
      <c r="D93" s="177" t="str">
        <f>IFERROR(
INDEX('F &amp; B'!E$2:E$10815,
_xlfn.AGGREGATE(15,6,
(ROW('F &amp; B'!$B$2:$B$10815)-ROW('F &amp; B'!$B$2)+1)/
('F &amp; B'!$B$2:$B$10815=$A$48),
ROW()-47)
),
"")</f>
        <v/>
      </c>
      <c r="E93" s="7" t="str">
        <f>IFERROR(
INDEX('F &amp; B'!F$2:F$10815,
_xlfn.AGGREGATE(15,6,
(ROW('F &amp; B'!$B$2:$B$10815)-ROW('F &amp; B'!$B$2)+1)/
('F &amp; B'!$B$2:$B$10815=$A$48),
ROW()-47)
),
"")</f>
        <v/>
      </c>
      <c r="F93" s="183" t="str">
        <f>IFERROR(
INDEX('F &amp; B'!G$2:G$10815,
_xlfn.AGGREGATE(15,6,
(ROW('F &amp; B'!$B$2:$B$10815)-ROW('F &amp; B'!$B$2)+1)/
('F &amp; B'!$B$2:$B$10815=$A$48),
ROW()-47)
),
"")</f>
        <v/>
      </c>
    </row>
    <row r="94" spans="1:6" s="71" customFormat="1" ht="17.100000000000001" customHeight="1" x14ac:dyDescent="0.25">
      <c r="A94" s="396"/>
      <c r="B94" s="396"/>
      <c r="C94" s="189" t="str">
        <f>IFERROR(
INDEX('F &amp; B'!D$2:D$10815,
_xlfn.AGGREGATE(15,6,
(ROW('F &amp; B'!$B$2:$B$10815)-ROW('F &amp; B'!$B$2)+1)/
('F &amp; B'!$B$2:$B$10815=$A$48),
ROW()-47)
),
"")</f>
        <v/>
      </c>
      <c r="D94" s="177" t="str">
        <f>IFERROR(
INDEX('F &amp; B'!E$2:E$10815,
_xlfn.AGGREGATE(15,6,
(ROW('F &amp; B'!$B$2:$B$10815)-ROW('F &amp; B'!$B$2)+1)/
('F &amp; B'!$B$2:$B$10815=$A$48),
ROW()-47)
),
"")</f>
        <v/>
      </c>
      <c r="E94" s="7" t="str">
        <f>IFERROR(
INDEX('F &amp; B'!F$2:F$10815,
_xlfn.AGGREGATE(15,6,
(ROW('F &amp; B'!$B$2:$B$10815)-ROW('F &amp; B'!$B$2)+1)/
('F &amp; B'!$B$2:$B$10815=$A$48),
ROW()-47)
),
"")</f>
        <v/>
      </c>
      <c r="F94" s="183" t="str">
        <f>IFERROR(
INDEX('F &amp; B'!G$2:G$10815,
_xlfn.AGGREGATE(15,6,
(ROW('F &amp; B'!$B$2:$B$10815)-ROW('F &amp; B'!$B$2)+1)/
('F &amp; B'!$B$2:$B$10815=$A$48),
ROW()-47)
),
"")</f>
        <v/>
      </c>
    </row>
    <row r="95" spans="1:6" s="71" customFormat="1" ht="17.100000000000001" customHeight="1" x14ac:dyDescent="0.25">
      <c r="A95" s="396"/>
      <c r="B95" s="396"/>
      <c r="C95" s="189" t="str">
        <f>IFERROR(
INDEX('F &amp; B'!D$2:D$10815,
_xlfn.AGGREGATE(15,6,
(ROW('F &amp; B'!$B$2:$B$10815)-ROW('F &amp; B'!$B$2)+1)/
('F &amp; B'!$B$2:$B$10815=$A$48),
ROW()-47)
),
"")</f>
        <v/>
      </c>
      <c r="D95" s="177" t="str">
        <f>IFERROR(
INDEX('F &amp; B'!E$2:E$10815,
_xlfn.AGGREGATE(15,6,
(ROW('F &amp; B'!$B$2:$B$10815)-ROW('F &amp; B'!$B$2)+1)/
('F &amp; B'!$B$2:$B$10815=$A$48),
ROW()-47)
),
"")</f>
        <v/>
      </c>
      <c r="E95" s="7" t="str">
        <f>IFERROR(
INDEX('F &amp; B'!F$2:F$10815,
_xlfn.AGGREGATE(15,6,
(ROW('F &amp; B'!$B$2:$B$10815)-ROW('F &amp; B'!$B$2)+1)/
('F &amp; B'!$B$2:$B$10815=$A$48),
ROW()-47)
),
"")</f>
        <v/>
      </c>
      <c r="F95" s="183" t="str">
        <f>IFERROR(
INDEX('F &amp; B'!G$2:G$10815,
_xlfn.AGGREGATE(15,6,
(ROW('F &amp; B'!$B$2:$B$10815)-ROW('F &amp; B'!$B$2)+1)/
('F &amp; B'!$B$2:$B$10815=$A$48),
ROW()-47)
),
"")</f>
        <v/>
      </c>
    </row>
    <row r="96" spans="1:6" s="71" customFormat="1" ht="17.100000000000001" customHeight="1" x14ac:dyDescent="0.25">
      <c r="A96" s="396"/>
      <c r="B96" s="396"/>
      <c r="C96" s="189" t="str">
        <f>IFERROR(
INDEX('F &amp; B'!D$2:D$10815,
_xlfn.AGGREGATE(15,6,
(ROW('F &amp; B'!$B$2:$B$10815)-ROW('F &amp; B'!$B$2)+1)/
('F &amp; B'!$B$2:$B$10815=$A$48),
ROW()-47)
),
"")</f>
        <v/>
      </c>
      <c r="D96" s="177" t="str">
        <f>IFERROR(
INDEX('F &amp; B'!E$2:E$10815,
_xlfn.AGGREGATE(15,6,
(ROW('F &amp; B'!$B$2:$B$10815)-ROW('F &amp; B'!$B$2)+1)/
('F &amp; B'!$B$2:$B$10815=$A$48),
ROW()-47)
),
"")</f>
        <v/>
      </c>
      <c r="E96" s="7" t="str">
        <f>IFERROR(
INDEX('F &amp; B'!F$2:F$10815,
_xlfn.AGGREGATE(15,6,
(ROW('F &amp; B'!$B$2:$B$10815)-ROW('F &amp; B'!$B$2)+1)/
('F &amp; B'!$B$2:$B$10815=$A$48),
ROW()-47)
),
"")</f>
        <v/>
      </c>
      <c r="F96" s="183" t="str">
        <f>IFERROR(
INDEX('F &amp; B'!G$2:G$10815,
_xlfn.AGGREGATE(15,6,
(ROW('F &amp; B'!$B$2:$B$10815)-ROW('F &amp; B'!$B$2)+1)/
('F &amp; B'!$B$2:$B$10815=$A$48),
ROW()-47)
),
"")</f>
        <v/>
      </c>
    </row>
    <row r="97" spans="1:6" s="71" customFormat="1" ht="17.100000000000001" customHeight="1" x14ac:dyDescent="0.25">
      <c r="A97" s="396"/>
      <c r="B97" s="396"/>
      <c r="C97" s="189" t="str">
        <f>IFERROR(
INDEX('F &amp; B'!D$2:D$10815,
_xlfn.AGGREGATE(15,6,
(ROW('F &amp; B'!$B$2:$B$10815)-ROW('F &amp; B'!$B$2)+1)/
('F &amp; B'!$B$2:$B$10815=$A$48),
ROW()-47)
),
"")</f>
        <v/>
      </c>
      <c r="D97" s="177" t="str">
        <f>IFERROR(
INDEX('F &amp; B'!E$2:E$10815,
_xlfn.AGGREGATE(15,6,
(ROW('F &amp; B'!$B$2:$B$10815)-ROW('F &amp; B'!$B$2)+1)/
('F &amp; B'!$B$2:$B$10815=$A$48),
ROW()-47)
),
"")</f>
        <v/>
      </c>
      <c r="E97" s="7" t="str">
        <f>IFERROR(
INDEX('F &amp; B'!F$2:F$10815,
_xlfn.AGGREGATE(15,6,
(ROW('F &amp; B'!$B$2:$B$10815)-ROW('F &amp; B'!$B$2)+1)/
('F &amp; B'!$B$2:$B$10815=$A$48),
ROW()-47)
),
"")</f>
        <v/>
      </c>
      <c r="F97" s="183" t="str">
        <f>IFERROR(
INDEX('F &amp; B'!G$2:G$10815,
_xlfn.AGGREGATE(15,6,
(ROW('F &amp; B'!$B$2:$B$10815)-ROW('F &amp; B'!$B$2)+1)/
('F &amp; B'!$B$2:$B$10815=$A$48),
ROW()-47)
),
"")</f>
        <v/>
      </c>
    </row>
    <row r="98" spans="1:6" s="71" customFormat="1" ht="17.100000000000001" customHeight="1" x14ac:dyDescent="0.25">
      <c r="A98" s="396"/>
      <c r="B98" s="396"/>
      <c r="C98" s="189" t="str">
        <f>IFERROR(
INDEX('F &amp; B'!D$2:D$10815,
_xlfn.AGGREGATE(15,6,
(ROW('F &amp; B'!$B$2:$B$10815)-ROW('F &amp; B'!$B$2)+1)/
('F &amp; B'!$B$2:$B$10815=$A$48),
ROW()-47)
),
"")</f>
        <v/>
      </c>
      <c r="D98" s="177" t="str">
        <f>IFERROR(
INDEX('F &amp; B'!E$2:E$10815,
_xlfn.AGGREGATE(15,6,
(ROW('F &amp; B'!$B$2:$B$10815)-ROW('F &amp; B'!$B$2)+1)/
('F &amp; B'!$B$2:$B$10815=$A$48),
ROW()-47)
),
"")</f>
        <v/>
      </c>
      <c r="E98" s="7" t="str">
        <f>IFERROR(
INDEX('F &amp; B'!F$2:F$10815,
_xlfn.AGGREGATE(15,6,
(ROW('F &amp; B'!$B$2:$B$10815)-ROW('F &amp; B'!$B$2)+1)/
('F &amp; B'!$B$2:$B$10815=$A$48),
ROW()-47)
),
"")</f>
        <v/>
      </c>
      <c r="F98" s="183" t="str">
        <f>IFERROR(
INDEX('F &amp; B'!G$2:G$10815,
_xlfn.AGGREGATE(15,6,
(ROW('F &amp; B'!$B$2:$B$10815)-ROW('F &amp; B'!$B$2)+1)/
('F &amp; B'!$B$2:$B$10815=$A$48),
ROW()-47)
),
"")</f>
        <v/>
      </c>
    </row>
    <row r="99" spans="1:6" s="71" customFormat="1" ht="17.100000000000001" customHeight="1" x14ac:dyDescent="0.25">
      <c r="A99" s="396"/>
      <c r="B99" s="396"/>
      <c r="C99" s="189" t="str">
        <f>IFERROR(
INDEX('F &amp; B'!D$2:D$10815,
_xlfn.AGGREGATE(15,6,
(ROW('F &amp; B'!$B$2:$B$10815)-ROW('F &amp; B'!$B$2)+1)/
('F &amp; B'!$B$2:$B$10815=$A$48),
ROW()-47)
),
"")</f>
        <v/>
      </c>
      <c r="D99" s="177" t="str">
        <f>IFERROR(
INDEX('F &amp; B'!E$2:E$10815,
_xlfn.AGGREGATE(15,6,
(ROW('F &amp; B'!$B$2:$B$10815)-ROW('F &amp; B'!$B$2)+1)/
('F &amp; B'!$B$2:$B$10815=$A$48),
ROW()-47)
),
"")</f>
        <v/>
      </c>
      <c r="E99" s="7" t="str">
        <f>IFERROR(
INDEX('F &amp; B'!F$2:F$10815,
_xlfn.AGGREGATE(15,6,
(ROW('F &amp; B'!$B$2:$B$10815)-ROW('F &amp; B'!$B$2)+1)/
('F &amp; B'!$B$2:$B$10815=$A$48),
ROW()-47)
),
"")</f>
        <v/>
      </c>
      <c r="F99" s="183" t="str">
        <f>IFERROR(
INDEX('F &amp; B'!G$2:G$10815,
_xlfn.AGGREGATE(15,6,
(ROW('F &amp; B'!$B$2:$B$10815)-ROW('F &amp; B'!$B$2)+1)/
('F &amp; B'!$B$2:$B$10815=$A$48),
ROW()-47)
),
"")</f>
        <v/>
      </c>
    </row>
    <row r="100" spans="1:6" s="71" customFormat="1" ht="17.100000000000001" customHeight="1" x14ac:dyDescent="0.25">
      <c r="A100" s="396"/>
      <c r="B100" s="396"/>
      <c r="C100" s="189" t="str">
        <f>IFERROR(
INDEX('F &amp; B'!D$2:D$10815,
_xlfn.AGGREGATE(15,6,
(ROW('F &amp; B'!$B$2:$B$10815)-ROW('F &amp; B'!$B$2)+1)/
('F &amp; B'!$B$2:$B$10815=$A$48),
ROW()-47)
),
"")</f>
        <v/>
      </c>
      <c r="D100" s="177" t="str">
        <f>IFERROR(
INDEX('F &amp; B'!E$2:E$10815,
_xlfn.AGGREGATE(15,6,
(ROW('F &amp; B'!$B$2:$B$10815)-ROW('F &amp; B'!$B$2)+1)/
('F &amp; B'!$B$2:$B$10815=$A$48),
ROW()-47)
),
"")</f>
        <v/>
      </c>
      <c r="E100" s="7" t="str">
        <f>IFERROR(
INDEX('F &amp; B'!F$2:F$10815,
_xlfn.AGGREGATE(15,6,
(ROW('F &amp; B'!$B$2:$B$10815)-ROW('F &amp; B'!$B$2)+1)/
('F &amp; B'!$B$2:$B$10815=$A$48),
ROW()-47)
),
"")</f>
        <v/>
      </c>
      <c r="F100" s="183" t="str">
        <f>IFERROR(
INDEX('F &amp; B'!G$2:G$10815,
_xlfn.AGGREGATE(15,6,
(ROW('F &amp; B'!$B$2:$B$10815)-ROW('F &amp; B'!$B$2)+1)/
('F &amp; B'!$B$2:$B$10815=$A$48),
ROW()-47)
),
"")</f>
        <v/>
      </c>
    </row>
    <row r="101" spans="1:6" s="71" customFormat="1" ht="17.100000000000001" customHeight="1" x14ac:dyDescent="0.25">
      <c r="A101" s="396"/>
      <c r="B101" s="396"/>
      <c r="C101" s="189" t="str">
        <f>IFERROR(
INDEX('F &amp; B'!D$2:D$10815,
_xlfn.AGGREGATE(15,6,
(ROW('F &amp; B'!$B$2:$B$10815)-ROW('F &amp; B'!$B$2)+1)/
('F &amp; B'!$B$2:$B$10815=$A$48),
ROW()-47)
),
"")</f>
        <v/>
      </c>
      <c r="D101" s="177" t="str">
        <f>IFERROR(
INDEX('F &amp; B'!E$2:E$10815,
_xlfn.AGGREGATE(15,6,
(ROW('F &amp; B'!$B$2:$B$10815)-ROW('F &amp; B'!$B$2)+1)/
('F &amp; B'!$B$2:$B$10815=$A$48),
ROW()-47)
),
"")</f>
        <v/>
      </c>
      <c r="E101" s="7" t="str">
        <f>IFERROR(
INDEX('F &amp; B'!F$2:F$10815,
_xlfn.AGGREGATE(15,6,
(ROW('F &amp; B'!$B$2:$B$10815)-ROW('F &amp; B'!$B$2)+1)/
('F &amp; B'!$B$2:$B$10815=$A$48),
ROW()-47)
),
"")</f>
        <v/>
      </c>
      <c r="F101" s="183" t="str">
        <f>IFERROR(
INDEX('F &amp; B'!G$2:G$10815,
_xlfn.AGGREGATE(15,6,
(ROW('F &amp; B'!$B$2:$B$10815)-ROW('F &amp; B'!$B$2)+1)/
('F &amp; B'!$B$2:$B$10815=$A$48),
ROW()-47)
),
"")</f>
        <v/>
      </c>
    </row>
    <row r="102" spans="1:6" s="71" customFormat="1" ht="17.100000000000001" customHeight="1" x14ac:dyDescent="0.25">
      <c r="A102" s="396"/>
      <c r="B102" s="396"/>
      <c r="C102" s="189" t="str">
        <f>IFERROR(
INDEX('F &amp; B'!D$2:D$10815,
_xlfn.AGGREGATE(15,6,
(ROW('F &amp; B'!$B$2:$B$10815)-ROW('F &amp; B'!$B$2)+1)/
('F &amp; B'!$B$2:$B$10815=$A$48),
ROW()-47)
),
"")</f>
        <v/>
      </c>
      <c r="D102" s="177" t="str">
        <f>IFERROR(
INDEX('F &amp; B'!E$2:E$10815,
_xlfn.AGGREGATE(15,6,
(ROW('F &amp; B'!$B$2:$B$10815)-ROW('F &amp; B'!$B$2)+1)/
('F &amp; B'!$B$2:$B$10815=$A$48),
ROW()-47)
),
"")</f>
        <v/>
      </c>
      <c r="E102" s="7" t="str">
        <f>IFERROR(
INDEX('F &amp; B'!F$2:F$10815,
_xlfn.AGGREGATE(15,6,
(ROW('F &amp; B'!$B$2:$B$10815)-ROW('F &amp; B'!$B$2)+1)/
('F &amp; B'!$B$2:$B$10815=$A$48),
ROW()-47)
),
"")</f>
        <v/>
      </c>
      <c r="F102" s="183" t="str">
        <f>IFERROR(
INDEX('F &amp; B'!G$2:G$10815,
_xlfn.AGGREGATE(15,6,
(ROW('F &amp; B'!$B$2:$B$10815)-ROW('F &amp; B'!$B$2)+1)/
('F &amp; B'!$B$2:$B$10815=$A$48),
ROW()-47)
),
"")</f>
        <v/>
      </c>
    </row>
    <row r="103" spans="1:6" s="71" customFormat="1" ht="17.100000000000001" customHeight="1" x14ac:dyDescent="0.25">
      <c r="A103" s="396"/>
      <c r="B103" s="396"/>
      <c r="C103" s="189" t="str">
        <f>IFERROR(
INDEX('F &amp; B'!D$2:D$10815,
_xlfn.AGGREGATE(15,6,
(ROW('F &amp; B'!$B$2:$B$10815)-ROW('F &amp; B'!$B$2)+1)/
('F &amp; B'!$B$2:$B$10815=$A$48),
ROW()-47)
),
"")</f>
        <v/>
      </c>
      <c r="D103" s="177" t="str">
        <f>IFERROR(
INDEX('F &amp; B'!E$2:E$10815,
_xlfn.AGGREGATE(15,6,
(ROW('F &amp; B'!$B$2:$B$10815)-ROW('F &amp; B'!$B$2)+1)/
('F &amp; B'!$B$2:$B$10815=$A$48),
ROW()-47)
),
"")</f>
        <v/>
      </c>
      <c r="E103" s="7" t="str">
        <f>IFERROR(
INDEX('F &amp; B'!F$2:F$10815,
_xlfn.AGGREGATE(15,6,
(ROW('F &amp; B'!$B$2:$B$10815)-ROW('F &amp; B'!$B$2)+1)/
('F &amp; B'!$B$2:$B$10815=$A$48),
ROW()-47)
),
"")</f>
        <v/>
      </c>
      <c r="F103" s="183" t="str">
        <f>IFERROR(
INDEX('F &amp; B'!G$2:G$10815,
_xlfn.AGGREGATE(15,6,
(ROW('F &amp; B'!$B$2:$B$10815)-ROW('F &amp; B'!$B$2)+1)/
('F &amp; B'!$B$2:$B$10815=$A$48),
ROW()-47)
),
"")</f>
        <v/>
      </c>
    </row>
    <row r="104" spans="1:6" s="71" customFormat="1" ht="17.100000000000001" customHeight="1" x14ac:dyDescent="0.25">
      <c r="A104" s="396"/>
      <c r="B104" s="396"/>
      <c r="C104" s="189" t="str">
        <f>IFERROR(
INDEX('F &amp; B'!D$2:D$10815,
_xlfn.AGGREGATE(15,6,
(ROW('F &amp; B'!$B$2:$B$10815)-ROW('F &amp; B'!$B$2)+1)/
('F &amp; B'!$B$2:$B$10815=$A$48),
ROW()-47)
),
"")</f>
        <v/>
      </c>
      <c r="D104" s="177" t="str">
        <f>IFERROR(
INDEX('F &amp; B'!E$2:E$10815,
_xlfn.AGGREGATE(15,6,
(ROW('F &amp; B'!$B$2:$B$10815)-ROW('F &amp; B'!$B$2)+1)/
('F &amp; B'!$B$2:$B$10815=$A$48),
ROW()-47)
),
"")</f>
        <v/>
      </c>
      <c r="E104" s="7" t="str">
        <f>IFERROR(
INDEX('F &amp; B'!F$2:F$10815,
_xlfn.AGGREGATE(15,6,
(ROW('F &amp; B'!$B$2:$B$10815)-ROW('F &amp; B'!$B$2)+1)/
('F &amp; B'!$B$2:$B$10815=$A$48),
ROW()-47)
),
"")</f>
        <v/>
      </c>
      <c r="F104" s="183" t="str">
        <f>IFERROR(
INDEX('F &amp; B'!G$2:G$10815,
_xlfn.AGGREGATE(15,6,
(ROW('F &amp; B'!$B$2:$B$10815)-ROW('F &amp; B'!$B$2)+1)/
('F &amp; B'!$B$2:$B$10815=$A$48),
ROW()-47)
),
"")</f>
        <v/>
      </c>
    </row>
    <row r="105" spans="1:6" s="71" customFormat="1" ht="17.100000000000001" customHeight="1" x14ac:dyDescent="0.25">
      <c r="A105" s="396"/>
      <c r="B105" s="396"/>
      <c r="C105" s="189" t="str">
        <f>IFERROR(
INDEX('F &amp; B'!D$2:D$10815,
_xlfn.AGGREGATE(15,6,
(ROW('F &amp; B'!$B$2:$B$10815)-ROW('F &amp; B'!$B$2)+1)/
('F &amp; B'!$B$2:$B$10815=$A$48),
ROW()-47)
),
"")</f>
        <v/>
      </c>
      <c r="D105" s="177" t="str">
        <f>IFERROR(
INDEX('F &amp; B'!E$2:E$10815,
_xlfn.AGGREGATE(15,6,
(ROW('F &amp; B'!$B$2:$B$10815)-ROW('F &amp; B'!$B$2)+1)/
('F &amp; B'!$B$2:$B$10815=$A$48),
ROW()-47)
),
"")</f>
        <v/>
      </c>
      <c r="E105" s="7" t="str">
        <f>IFERROR(
INDEX('F &amp; B'!F$2:F$10815,
_xlfn.AGGREGATE(15,6,
(ROW('F &amp; B'!$B$2:$B$10815)-ROW('F &amp; B'!$B$2)+1)/
('F &amp; B'!$B$2:$B$10815=$A$48),
ROW()-47)
),
"")</f>
        <v/>
      </c>
      <c r="F105" s="183" t="str">
        <f>IFERROR(
INDEX('F &amp; B'!G$2:G$10815,
_xlfn.AGGREGATE(15,6,
(ROW('F &amp; B'!$B$2:$B$10815)-ROW('F &amp; B'!$B$2)+1)/
('F &amp; B'!$B$2:$B$10815=$A$48),
ROW()-47)
),
"")</f>
        <v/>
      </c>
    </row>
    <row r="106" spans="1:6" s="71" customFormat="1" ht="17.100000000000001" customHeight="1" x14ac:dyDescent="0.25">
      <c r="A106" s="396"/>
      <c r="B106" s="396"/>
      <c r="C106" s="189" t="str">
        <f>IFERROR(
INDEX('F &amp; B'!D$2:D$10815,
_xlfn.AGGREGATE(15,6,
(ROW('F &amp; B'!$B$2:$B$10815)-ROW('F &amp; B'!$B$2)+1)/
('F &amp; B'!$B$2:$B$10815=$A$48),
ROW()-47)
),
"")</f>
        <v/>
      </c>
      <c r="D106" s="177" t="str">
        <f>IFERROR(
INDEX('F &amp; B'!E$2:E$10815,
_xlfn.AGGREGATE(15,6,
(ROW('F &amp; B'!$B$2:$B$10815)-ROW('F &amp; B'!$B$2)+1)/
('F &amp; B'!$B$2:$B$10815=$A$48),
ROW()-47)
),
"")</f>
        <v/>
      </c>
      <c r="E106" s="7" t="str">
        <f>IFERROR(
INDEX('F &amp; B'!F$2:F$10815,
_xlfn.AGGREGATE(15,6,
(ROW('F &amp; B'!$B$2:$B$10815)-ROW('F &amp; B'!$B$2)+1)/
('F &amp; B'!$B$2:$B$10815=$A$48),
ROW()-47)
),
"")</f>
        <v/>
      </c>
      <c r="F106" s="183" t="str">
        <f>IFERROR(
INDEX('F &amp; B'!G$2:G$10815,
_xlfn.AGGREGATE(15,6,
(ROW('F &amp; B'!$B$2:$B$10815)-ROW('F &amp; B'!$B$2)+1)/
('F &amp; B'!$B$2:$B$10815=$A$48),
ROW()-47)
),
"")</f>
        <v/>
      </c>
    </row>
    <row r="107" spans="1:6" s="71" customFormat="1" ht="17.100000000000001" customHeight="1" x14ac:dyDescent="0.25">
      <c r="A107" s="396"/>
      <c r="B107" s="396"/>
      <c r="C107" s="189" t="str">
        <f>IFERROR(
INDEX('F &amp; B'!D$2:D$10815,
_xlfn.AGGREGATE(15,6,
(ROW('F &amp; B'!$B$2:$B$10815)-ROW('F &amp; B'!$B$2)+1)/
('F &amp; B'!$B$2:$B$10815=$A$48),
ROW()-47)
),
"")</f>
        <v/>
      </c>
      <c r="D107" s="177" t="str">
        <f>IFERROR(
INDEX('F &amp; B'!E$2:E$10815,
_xlfn.AGGREGATE(15,6,
(ROW('F &amp; B'!$B$2:$B$10815)-ROW('F &amp; B'!$B$2)+1)/
('F &amp; B'!$B$2:$B$10815=$A$48),
ROW()-47)
),
"")</f>
        <v/>
      </c>
      <c r="E107" s="7" t="str">
        <f>IFERROR(
INDEX('F &amp; B'!F$2:F$10815,
_xlfn.AGGREGATE(15,6,
(ROW('F &amp; B'!$B$2:$B$10815)-ROW('F &amp; B'!$B$2)+1)/
('F &amp; B'!$B$2:$B$10815=$A$48),
ROW()-47)
),
"")</f>
        <v/>
      </c>
      <c r="F107" s="183" t="str">
        <f>IFERROR(
INDEX('F &amp; B'!G$2:G$10815,
_xlfn.AGGREGATE(15,6,
(ROW('F &amp; B'!$B$2:$B$10815)-ROW('F &amp; B'!$B$2)+1)/
('F &amp; B'!$B$2:$B$10815=$A$48),
ROW()-47)
),
"")</f>
        <v/>
      </c>
    </row>
    <row r="108" spans="1:6" s="71" customFormat="1" ht="17.100000000000001" customHeight="1" x14ac:dyDescent="0.25">
      <c r="A108" s="396"/>
      <c r="B108" s="396"/>
      <c r="C108" s="189" t="str">
        <f>IFERROR(
INDEX('F &amp; B'!D$2:D$10815,
_xlfn.AGGREGATE(15,6,
(ROW('F &amp; B'!$B$2:$B$10815)-ROW('F &amp; B'!$B$2)+1)/
('F &amp; B'!$B$2:$B$10815=$A$48),
ROW()-47)
),
"")</f>
        <v/>
      </c>
      <c r="D108" s="177" t="str">
        <f>IFERROR(
INDEX('F &amp; B'!E$2:E$10815,
_xlfn.AGGREGATE(15,6,
(ROW('F &amp; B'!$B$2:$B$10815)-ROW('F &amp; B'!$B$2)+1)/
('F &amp; B'!$B$2:$B$10815=$A$48),
ROW()-47)
),
"")</f>
        <v/>
      </c>
      <c r="E108" s="7" t="str">
        <f>IFERROR(
INDEX('F &amp; B'!F$2:F$10815,
_xlfn.AGGREGATE(15,6,
(ROW('F &amp; B'!$B$2:$B$10815)-ROW('F &amp; B'!$B$2)+1)/
('F &amp; B'!$B$2:$B$10815=$A$48),
ROW()-47)
),
"")</f>
        <v/>
      </c>
      <c r="F108" s="183" t="str">
        <f>IFERROR(
INDEX('F &amp; B'!G$2:G$10815,
_xlfn.AGGREGATE(15,6,
(ROW('F &amp; B'!$B$2:$B$10815)-ROW('F &amp; B'!$B$2)+1)/
('F &amp; B'!$B$2:$B$10815=$A$48),
ROW()-47)
),
"")</f>
        <v/>
      </c>
    </row>
    <row r="109" spans="1:6" s="71" customFormat="1" ht="17.100000000000001" customHeight="1" x14ac:dyDescent="0.25">
      <c r="A109" s="396"/>
      <c r="B109" s="396"/>
      <c r="C109" s="189" t="str">
        <f>IFERROR(
INDEX('F &amp; B'!D$2:D$10815,
_xlfn.AGGREGATE(15,6,
(ROW('F &amp; B'!$B$2:$B$10815)-ROW('F &amp; B'!$B$2)+1)/
('F &amp; B'!$B$2:$B$10815=$A$48),
ROW()-47)
),
"")</f>
        <v/>
      </c>
      <c r="D109" s="177" t="str">
        <f>IFERROR(
INDEX('F &amp; B'!E$2:E$10815,
_xlfn.AGGREGATE(15,6,
(ROW('F &amp; B'!$B$2:$B$10815)-ROW('F &amp; B'!$B$2)+1)/
('F &amp; B'!$B$2:$B$10815=$A$48),
ROW()-47)
),
"")</f>
        <v/>
      </c>
      <c r="E109" s="7" t="str">
        <f>IFERROR(
INDEX('F &amp; B'!F$2:F$10815,
_xlfn.AGGREGATE(15,6,
(ROW('F &amp; B'!$B$2:$B$10815)-ROW('F &amp; B'!$B$2)+1)/
('F &amp; B'!$B$2:$B$10815=$A$48),
ROW()-47)
),
"")</f>
        <v/>
      </c>
      <c r="F109" s="183" t="str">
        <f>IFERROR(
INDEX('F &amp; B'!G$2:G$10815,
_xlfn.AGGREGATE(15,6,
(ROW('F &amp; B'!$B$2:$B$10815)-ROW('F &amp; B'!$B$2)+1)/
('F &amp; B'!$B$2:$B$10815=$A$48),
ROW()-47)
),
"")</f>
        <v/>
      </c>
    </row>
    <row r="110" spans="1:6" s="71" customFormat="1" ht="17.100000000000001" customHeight="1" x14ac:dyDescent="0.25">
      <c r="A110" s="396"/>
      <c r="B110" s="396"/>
      <c r="C110" s="189" t="str">
        <f>IFERROR(
INDEX('F &amp; B'!D$2:D$10815,
_xlfn.AGGREGATE(15,6,
(ROW('F &amp; B'!$B$2:$B$10815)-ROW('F &amp; B'!$B$2)+1)/
('F &amp; B'!$B$2:$B$10815=$A$48),
ROW()-47)
),
"")</f>
        <v/>
      </c>
      <c r="D110" s="177" t="str">
        <f>IFERROR(
INDEX('F &amp; B'!E$2:E$10815,
_xlfn.AGGREGATE(15,6,
(ROW('F &amp; B'!$B$2:$B$10815)-ROW('F &amp; B'!$B$2)+1)/
('F &amp; B'!$B$2:$B$10815=$A$48),
ROW()-47)
),
"")</f>
        <v/>
      </c>
      <c r="E110" s="7" t="str">
        <f>IFERROR(
INDEX('F &amp; B'!F$2:F$10815,
_xlfn.AGGREGATE(15,6,
(ROW('F &amp; B'!$B$2:$B$10815)-ROW('F &amp; B'!$B$2)+1)/
('F &amp; B'!$B$2:$B$10815=$A$48),
ROW()-47)
),
"")</f>
        <v/>
      </c>
      <c r="F110" s="183" t="str">
        <f>IFERROR(
INDEX('F &amp; B'!G$2:G$10815,
_xlfn.AGGREGATE(15,6,
(ROW('F &amp; B'!$B$2:$B$10815)-ROW('F &amp; B'!$B$2)+1)/
('F &amp; B'!$B$2:$B$10815=$A$48),
ROW()-47)
),
"")</f>
        <v/>
      </c>
    </row>
    <row r="111" spans="1:6" s="71" customFormat="1" ht="17.100000000000001" customHeight="1" x14ac:dyDescent="0.25">
      <c r="A111" s="396"/>
      <c r="B111" s="396"/>
      <c r="C111" s="189" t="str">
        <f>IFERROR(
INDEX('F &amp; B'!D$2:D$10815,
_xlfn.AGGREGATE(15,6,
(ROW('F &amp; B'!$B$2:$B$10815)-ROW('F &amp; B'!$B$2)+1)/
('F &amp; B'!$B$2:$B$10815=$A$48),
ROW()-47)
),
"")</f>
        <v/>
      </c>
      <c r="D111" s="177" t="str">
        <f>IFERROR(
INDEX('F &amp; B'!E$2:E$10815,
_xlfn.AGGREGATE(15,6,
(ROW('F &amp; B'!$B$2:$B$10815)-ROW('F &amp; B'!$B$2)+1)/
('F &amp; B'!$B$2:$B$10815=$A$48),
ROW()-47)
),
"")</f>
        <v/>
      </c>
      <c r="E111" s="7" t="str">
        <f>IFERROR(
INDEX('F &amp; B'!F$2:F$10815,
_xlfn.AGGREGATE(15,6,
(ROW('F &amp; B'!$B$2:$B$10815)-ROW('F &amp; B'!$B$2)+1)/
('F &amp; B'!$B$2:$B$10815=$A$48),
ROW()-47)
),
"")</f>
        <v/>
      </c>
      <c r="F111" s="183" t="str">
        <f>IFERROR(
INDEX('F &amp; B'!G$2:G$10815,
_xlfn.AGGREGATE(15,6,
(ROW('F &amp; B'!$B$2:$B$10815)-ROW('F &amp; B'!$B$2)+1)/
('F &amp; B'!$B$2:$B$10815=$A$48),
ROW()-47)
),
"")</f>
        <v/>
      </c>
    </row>
    <row r="112" spans="1:6" s="71" customFormat="1" ht="17.100000000000001" customHeight="1" x14ac:dyDescent="0.25">
      <c r="A112" s="396"/>
      <c r="B112" s="396"/>
      <c r="C112" s="189" t="str">
        <f>IFERROR(
INDEX('F &amp; B'!D$2:D$10815,
_xlfn.AGGREGATE(15,6,
(ROW('F &amp; B'!$B$2:$B$10815)-ROW('F &amp; B'!$B$2)+1)/
('F &amp; B'!$B$2:$B$10815=$A$48),
ROW()-47)
),
"")</f>
        <v/>
      </c>
      <c r="D112" s="177" t="str">
        <f>IFERROR(
INDEX('F &amp; B'!E$2:E$10815,
_xlfn.AGGREGATE(15,6,
(ROW('F &amp; B'!$B$2:$B$10815)-ROW('F &amp; B'!$B$2)+1)/
('F &amp; B'!$B$2:$B$10815=$A$48),
ROW()-47)
),
"")</f>
        <v/>
      </c>
      <c r="E112" s="7" t="str">
        <f>IFERROR(
INDEX('F &amp; B'!F$2:F$10815,
_xlfn.AGGREGATE(15,6,
(ROW('F &amp; B'!$B$2:$B$10815)-ROW('F &amp; B'!$B$2)+1)/
('F &amp; B'!$B$2:$B$10815=$A$48),
ROW()-47)
),
"")</f>
        <v/>
      </c>
      <c r="F112" s="183" t="str">
        <f>IFERROR(
INDEX('F &amp; B'!G$2:G$10815,
_xlfn.AGGREGATE(15,6,
(ROW('F &amp; B'!$B$2:$B$10815)-ROW('F &amp; B'!$B$2)+1)/
('F &amp; B'!$B$2:$B$10815=$A$48),
ROW()-47)
),
"")</f>
        <v/>
      </c>
    </row>
    <row r="113" spans="1:6" s="71" customFormat="1" ht="17.100000000000001" customHeight="1" x14ac:dyDescent="0.25">
      <c r="A113" s="396"/>
      <c r="B113" s="396"/>
      <c r="C113" s="189" t="str">
        <f>IFERROR(
INDEX('F &amp; B'!D$2:D$10815,
_xlfn.AGGREGATE(15,6,
(ROW('F &amp; B'!$B$2:$B$10815)-ROW('F &amp; B'!$B$2)+1)/
('F &amp; B'!$B$2:$B$10815=$A$48),
ROW()-47)
),
"")</f>
        <v/>
      </c>
      <c r="D113" s="177" t="str">
        <f>IFERROR(
INDEX('F &amp; B'!E$2:E$10815,
_xlfn.AGGREGATE(15,6,
(ROW('F &amp; B'!$B$2:$B$10815)-ROW('F &amp; B'!$B$2)+1)/
('F &amp; B'!$B$2:$B$10815=$A$48),
ROW()-47)
),
"")</f>
        <v/>
      </c>
      <c r="E113" s="7" t="str">
        <f>IFERROR(
INDEX('F &amp; B'!F$2:F$10815,
_xlfn.AGGREGATE(15,6,
(ROW('F &amp; B'!$B$2:$B$10815)-ROW('F &amp; B'!$B$2)+1)/
('F &amp; B'!$B$2:$B$10815=$A$48),
ROW()-47)
),
"")</f>
        <v/>
      </c>
      <c r="F113" s="183" t="str">
        <f>IFERROR(
INDEX('F &amp; B'!G$2:G$10815,
_xlfn.AGGREGATE(15,6,
(ROW('F &amp; B'!$B$2:$B$10815)-ROW('F &amp; B'!$B$2)+1)/
('F &amp; B'!$B$2:$B$10815=$A$48),
ROW()-47)
),
"")</f>
        <v/>
      </c>
    </row>
    <row r="114" spans="1:6" s="71" customFormat="1" ht="17.100000000000001" customHeight="1" x14ac:dyDescent="0.25">
      <c r="A114" s="396"/>
      <c r="B114" s="396"/>
      <c r="C114" s="189" t="str">
        <f>IFERROR(
INDEX('F &amp; B'!D$2:D$10815,
_xlfn.AGGREGATE(15,6,
(ROW('F &amp; B'!$B$2:$B$10815)-ROW('F &amp; B'!$B$2)+1)/
('F &amp; B'!$B$2:$B$10815=$A$48),
ROW()-47)
),
"")</f>
        <v/>
      </c>
      <c r="D114" s="177" t="str">
        <f>IFERROR(
INDEX('F &amp; B'!E$2:E$10815,
_xlfn.AGGREGATE(15,6,
(ROW('F &amp; B'!$B$2:$B$10815)-ROW('F &amp; B'!$B$2)+1)/
('F &amp; B'!$B$2:$B$10815=$A$48),
ROW()-47)
),
"")</f>
        <v/>
      </c>
      <c r="E114" s="7" t="str">
        <f>IFERROR(
INDEX('F &amp; B'!F$2:F$10815,
_xlfn.AGGREGATE(15,6,
(ROW('F &amp; B'!$B$2:$B$10815)-ROW('F &amp; B'!$B$2)+1)/
('F &amp; B'!$B$2:$B$10815=$A$48),
ROW()-47)
),
"")</f>
        <v/>
      </c>
      <c r="F114" s="183" t="str">
        <f>IFERROR(
INDEX('F &amp; B'!G$2:G$10815,
_xlfn.AGGREGATE(15,6,
(ROW('F &amp; B'!$B$2:$B$10815)-ROW('F &amp; B'!$B$2)+1)/
('F &amp; B'!$B$2:$B$10815=$A$48),
ROW()-47)
),
"")</f>
        <v/>
      </c>
    </row>
    <row r="115" spans="1:6" s="71" customFormat="1" ht="17.100000000000001" customHeight="1" x14ac:dyDescent="0.25">
      <c r="A115" s="396"/>
      <c r="B115" s="396"/>
      <c r="C115" s="189" t="str">
        <f>IFERROR(
INDEX('F &amp; B'!D$2:D$10815,
_xlfn.AGGREGATE(15,6,
(ROW('F &amp; B'!$B$2:$B$10815)-ROW('F &amp; B'!$B$2)+1)/
('F &amp; B'!$B$2:$B$10815=$A$48),
ROW()-47)
),
"")</f>
        <v/>
      </c>
      <c r="D115" s="177" t="str">
        <f>IFERROR(
INDEX('F &amp; B'!E$2:E$10815,
_xlfn.AGGREGATE(15,6,
(ROW('F &amp; B'!$B$2:$B$10815)-ROW('F &amp; B'!$B$2)+1)/
('F &amp; B'!$B$2:$B$10815=$A$48),
ROW()-47)
),
"")</f>
        <v/>
      </c>
      <c r="E115" s="7" t="str">
        <f>IFERROR(
INDEX('F &amp; B'!F$2:F$10815,
_xlfn.AGGREGATE(15,6,
(ROW('F &amp; B'!$B$2:$B$10815)-ROW('F &amp; B'!$B$2)+1)/
('F &amp; B'!$B$2:$B$10815=$A$48),
ROW()-47)
),
"")</f>
        <v/>
      </c>
      <c r="F115" s="183" t="str">
        <f>IFERROR(
INDEX('F &amp; B'!G$2:G$10815,
_xlfn.AGGREGATE(15,6,
(ROW('F &amp; B'!$B$2:$B$10815)-ROW('F &amp; B'!$B$2)+1)/
('F &amp; B'!$B$2:$B$10815=$A$48),
ROW()-47)
),
"")</f>
        <v/>
      </c>
    </row>
    <row r="116" spans="1:6" s="71" customFormat="1" ht="17.100000000000001" customHeight="1" x14ac:dyDescent="0.25">
      <c r="A116" s="396"/>
      <c r="B116" s="396"/>
      <c r="C116" s="189" t="str">
        <f>IFERROR(
INDEX('F &amp; B'!D$2:D$10815,
_xlfn.AGGREGATE(15,6,
(ROW('F &amp; B'!$B$2:$B$10815)-ROW('F &amp; B'!$B$2)+1)/
('F &amp; B'!$B$2:$B$10815=$A$48),
ROW()-47)
),
"")</f>
        <v/>
      </c>
      <c r="D116" s="177" t="str">
        <f>IFERROR(
INDEX('F &amp; B'!E$2:E$10815,
_xlfn.AGGREGATE(15,6,
(ROW('F &amp; B'!$B$2:$B$10815)-ROW('F &amp; B'!$B$2)+1)/
('F &amp; B'!$B$2:$B$10815=$A$48),
ROW()-47)
),
"")</f>
        <v/>
      </c>
      <c r="E116" s="7" t="str">
        <f>IFERROR(
INDEX('F &amp; B'!F$2:F$10815,
_xlfn.AGGREGATE(15,6,
(ROW('F &amp; B'!$B$2:$B$10815)-ROW('F &amp; B'!$B$2)+1)/
('F &amp; B'!$B$2:$B$10815=$A$48),
ROW()-47)
),
"")</f>
        <v/>
      </c>
      <c r="F116" s="183" t="str">
        <f>IFERROR(
INDEX('F &amp; B'!G$2:G$10815,
_xlfn.AGGREGATE(15,6,
(ROW('F &amp; B'!$B$2:$B$10815)-ROW('F &amp; B'!$B$2)+1)/
('F &amp; B'!$B$2:$B$10815=$A$48),
ROW()-47)
),
"")</f>
        <v/>
      </c>
    </row>
    <row r="117" spans="1:6" s="71" customFormat="1" ht="17.100000000000001" customHeight="1" x14ac:dyDescent="0.25">
      <c r="A117" s="396"/>
      <c r="B117" s="396"/>
      <c r="C117" s="189" t="str">
        <f>IFERROR(
INDEX('F &amp; B'!D$2:D$10815,
_xlfn.AGGREGATE(15,6,
(ROW('F &amp; B'!$B$2:$B$10815)-ROW('F &amp; B'!$B$2)+1)/
('F &amp; B'!$B$2:$B$10815=$A$48),
ROW()-47)
),
"")</f>
        <v/>
      </c>
      <c r="D117" s="177" t="str">
        <f>IFERROR(
INDEX('F &amp; B'!E$2:E$10815,
_xlfn.AGGREGATE(15,6,
(ROW('F &amp; B'!$B$2:$B$10815)-ROW('F &amp; B'!$B$2)+1)/
('F &amp; B'!$B$2:$B$10815=$A$48),
ROW()-47)
),
"")</f>
        <v/>
      </c>
      <c r="E117" s="7" t="str">
        <f>IFERROR(
INDEX('F &amp; B'!F$2:F$10815,
_xlfn.AGGREGATE(15,6,
(ROW('F &amp; B'!$B$2:$B$10815)-ROW('F &amp; B'!$B$2)+1)/
('F &amp; B'!$B$2:$B$10815=$A$48),
ROW()-47)
),
"")</f>
        <v/>
      </c>
      <c r="F117" s="183" t="str">
        <f>IFERROR(
INDEX('F &amp; B'!G$2:G$10815,
_xlfn.AGGREGATE(15,6,
(ROW('F &amp; B'!$B$2:$B$10815)-ROW('F &amp; B'!$B$2)+1)/
('F &amp; B'!$B$2:$B$10815=$A$48),
ROW()-47)
),
"")</f>
        <v/>
      </c>
    </row>
    <row r="118" spans="1:6" s="71" customFormat="1" ht="17.100000000000001" customHeight="1" x14ac:dyDescent="0.25">
      <c r="A118" s="396"/>
      <c r="B118" s="396"/>
      <c r="C118" s="189" t="str">
        <f>IFERROR(
INDEX('F &amp; B'!D$2:D$10815,
_xlfn.AGGREGATE(15,6,
(ROW('F &amp; B'!$B$2:$B$10815)-ROW('F &amp; B'!$B$2)+1)/
('F &amp; B'!$B$2:$B$10815=$A$48),
ROW()-47)
),
"")</f>
        <v/>
      </c>
      <c r="D118" s="177" t="str">
        <f>IFERROR(
INDEX('F &amp; B'!E$2:E$10815,
_xlfn.AGGREGATE(15,6,
(ROW('F &amp; B'!$B$2:$B$10815)-ROW('F &amp; B'!$B$2)+1)/
('F &amp; B'!$B$2:$B$10815=$A$48),
ROW()-47)
),
"")</f>
        <v/>
      </c>
      <c r="E118" s="7" t="str">
        <f>IFERROR(
INDEX('F &amp; B'!F$2:F$10815,
_xlfn.AGGREGATE(15,6,
(ROW('F &amp; B'!$B$2:$B$10815)-ROW('F &amp; B'!$B$2)+1)/
('F &amp; B'!$B$2:$B$10815=$A$48),
ROW()-47)
),
"")</f>
        <v/>
      </c>
      <c r="F118" s="183" t="str">
        <f>IFERROR(
INDEX('F &amp; B'!G$2:G$10815,
_xlfn.AGGREGATE(15,6,
(ROW('F &amp; B'!$B$2:$B$10815)-ROW('F &amp; B'!$B$2)+1)/
('F &amp; B'!$B$2:$B$10815=$A$48),
ROW()-47)
),
"")</f>
        <v/>
      </c>
    </row>
    <row r="119" spans="1:6" s="71" customFormat="1" ht="17.100000000000001" customHeight="1" x14ac:dyDescent="0.25">
      <c r="A119" s="396"/>
      <c r="B119" s="396"/>
      <c r="C119" s="189" t="str">
        <f>IFERROR(
INDEX('F &amp; B'!D$2:D$10815,
_xlfn.AGGREGATE(15,6,
(ROW('F &amp; B'!$B$2:$B$10815)-ROW('F &amp; B'!$B$2)+1)/
('F &amp; B'!$B$2:$B$10815=$A$48),
ROW()-47)
),
"")</f>
        <v/>
      </c>
      <c r="D119" s="177" t="str">
        <f>IFERROR(
INDEX('F &amp; B'!E$2:E$10815,
_xlfn.AGGREGATE(15,6,
(ROW('F &amp; B'!$B$2:$B$10815)-ROW('F &amp; B'!$B$2)+1)/
('F &amp; B'!$B$2:$B$10815=$A$48),
ROW()-47)
),
"")</f>
        <v/>
      </c>
      <c r="E119" s="7" t="str">
        <f>IFERROR(
INDEX('F &amp; B'!F$2:F$10815,
_xlfn.AGGREGATE(15,6,
(ROW('F &amp; B'!$B$2:$B$10815)-ROW('F &amp; B'!$B$2)+1)/
('F &amp; B'!$B$2:$B$10815=$A$48),
ROW()-47)
),
"")</f>
        <v/>
      </c>
      <c r="F119" s="183" t="str">
        <f>IFERROR(
INDEX('F &amp; B'!G$2:G$10815,
_xlfn.AGGREGATE(15,6,
(ROW('F &amp; B'!$B$2:$B$10815)-ROW('F &amp; B'!$B$2)+1)/
('F &amp; B'!$B$2:$B$10815=$A$48),
ROW()-47)
),
"")</f>
        <v/>
      </c>
    </row>
    <row r="120" spans="1:6" s="71" customFormat="1" ht="17.100000000000001" customHeight="1" x14ac:dyDescent="0.25">
      <c r="A120" s="396"/>
      <c r="B120" s="396"/>
      <c r="C120" s="189" t="str">
        <f>IFERROR(
INDEX('F &amp; B'!D$2:D$10815,
_xlfn.AGGREGATE(15,6,
(ROW('F &amp; B'!$B$2:$B$10815)-ROW('F &amp; B'!$B$2)+1)/
('F &amp; B'!$B$2:$B$10815=$A$48),
ROW()-47)
),
"")</f>
        <v/>
      </c>
      <c r="D120" s="177" t="str">
        <f>IFERROR(
INDEX('F &amp; B'!E$2:E$10815,
_xlfn.AGGREGATE(15,6,
(ROW('F &amp; B'!$B$2:$B$10815)-ROW('F &amp; B'!$B$2)+1)/
('F &amp; B'!$B$2:$B$10815=$A$48),
ROW()-47)
),
"")</f>
        <v/>
      </c>
      <c r="E120" s="7" t="str">
        <f>IFERROR(
INDEX('F &amp; B'!F$2:F$10815,
_xlfn.AGGREGATE(15,6,
(ROW('F &amp; B'!$B$2:$B$10815)-ROW('F &amp; B'!$B$2)+1)/
('F &amp; B'!$B$2:$B$10815=$A$48),
ROW()-47)
),
"")</f>
        <v/>
      </c>
      <c r="F120" s="183" t="str">
        <f>IFERROR(
INDEX('F &amp; B'!G$2:G$10815,
_xlfn.AGGREGATE(15,6,
(ROW('F &amp; B'!$B$2:$B$10815)-ROW('F &amp; B'!$B$2)+1)/
('F &amp; B'!$B$2:$B$10815=$A$48),
ROW()-47)
),
"")</f>
        <v/>
      </c>
    </row>
    <row r="121" spans="1:6" s="71" customFormat="1" ht="17.100000000000001" customHeight="1" x14ac:dyDescent="0.25">
      <c r="A121" s="396"/>
      <c r="B121" s="396"/>
      <c r="C121" s="189" t="str">
        <f>IFERROR(
INDEX('F &amp; B'!D$2:D$10815,
_xlfn.AGGREGATE(15,6,
(ROW('F &amp; B'!$B$2:$B$10815)-ROW('F &amp; B'!$B$2)+1)/
('F &amp; B'!$B$2:$B$10815=$A$48),
ROW()-47)
),
"")</f>
        <v/>
      </c>
      <c r="D121" s="177" t="str">
        <f>IFERROR(
INDEX('F &amp; B'!E$2:E$10815,
_xlfn.AGGREGATE(15,6,
(ROW('F &amp; B'!$B$2:$B$10815)-ROW('F &amp; B'!$B$2)+1)/
('F &amp; B'!$B$2:$B$10815=$A$48),
ROW()-47)
),
"")</f>
        <v/>
      </c>
      <c r="E121" s="7" t="str">
        <f>IFERROR(
INDEX('F &amp; B'!F$2:F$10815,
_xlfn.AGGREGATE(15,6,
(ROW('F &amp; B'!$B$2:$B$10815)-ROW('F &amp; B'!$B$2)+1)/
('F &amp; B'!$B$2:$B$10815=$A$48),
ROW()-47)
),
"")</f>
        <v/>
      </c>
      <c r="F121" s="183" t="str">
        <f>IFERROR(
INDEX('F &amp; B'!G$2:G$10815,
_xlfn.AGGREGATE(15,6,
(ROW('F &amp; B'!$B$2:$B$10815)-ROW('F &amp; B'!$B$2)+1)/
('F &amp; B'!$B$2:$B$10815=$A$48),
ROW()-47)
),
"")</f>
        <v/>
      </c>
    </row>
    <row r="122" spans="1:6" s="71" customFormat="1" ht="17.100000000000001" customHeight="1" x14ac:dyDescent="0.25">
      <c r="A122" s="396"/>
      <c r="B122" s="396"/>
      <c r="C122" s="189" t="str">
        <f>IFERROR(
INDEX('F &amp; B'!D$2:D$10815,
_xlfn.AGGREGATE(15,6,
(ROW('F &amp; B'!$B$2:$B$10815)-ROW('F &amp; B'!$B$2)+1)/
('F &amp; B'!$B$2:$B$10815=$A$48),
ROW()-47)
),
"")</f>
        <v/>
      </c>
      <c r="D122" s="177" t="str">
        <f>IFERROR(
INDEX('F &amp; B'!E$2:E$10815,
_xlfn.AGGREGATE(15,6,
(ROW('F &amp; B'!$B$2:$B$10815)-ROW('F &amp; B'!$B$2)+1)/
('F &amp; B'!$B$2:$B$10815=$A$48),
ROW()-47)
),
"")</f>
        <v/>
      </c>
      <c r="E122" s="7" t="str">
        <f>IFERROR(
INDEX('F &amp; B'!F$2:F$10815,
_xlfn.AGGREGATE(15,6,
(ROW('F &amp; B'!$B$2:$B$10815)-ROW('F &amp; B'!$B$2)+1)/
('F &amp; B'!$B$2:$B$10815=$A$48),
ROW()-47)
),
"")</f>
        <v/>
      </c>
      <c r="F122" s="183" t="str">
        <f>IFERROR(
INDEX('F &amp; B'!G$2:G$10815,
_xlfn.AGGREGATE(15,6,
(ROW('F &amp; B'!$B$2:$B$10815)-ROW('F &amp; B'!$B$2)+1)/
('F &amp; B'!$B$2:$B$10815=$A$48),
ROW()-47)
),
"")</f>
        <v/>
      </c>
    </row>
    <row r="123" spans="1:6" s="71" customFormat="1" ht="17.100000000000001" customHeight="1" x14ac:dyDescent="0.25">
      <c r="A123" s="396"/>
      <c r="B123" s="396"/>
      <c r="C123" s="189" t="str">
        <f>IFERROR(
INDEX('F &amp; B'!D$2:D$10815,
_xlfn.AGGREGATE(15,6,
(ROW('F &amp; B'!$B$2:$B$10815)-ROW('F &amp; B'!$B$2)+1)/
('F &amp; B'!$B$2:$B$10815=$A$48),
ROW()-47)
),
"")</f>
        <v/>
      </c>
      <c r="D123" s="177" t="str">
        <f>IFERROR(
INDEX('F &amp; B'!E$2:E$10815,
_xlfn.AGGREGATE(15,6,
(ROW('F &amp; B'!$B$2:$B$10815)-ROW('F &amp; B'!$B$2)+1)/
('F &amp; B'!$B$2:$B$10815=$A$48),
ROW()-47)
),
"")</f>
        <v/>
      </c>
      <c r="E123" s="7" t="str">
        <f>IFERROR(
INDEX('F &amp; B'!F$2:F$10815,
_xlfn.AGGREGATE(15,6,
(ROW('F &amp; B'!$B$2:$B$10815)-ROW('F &amp; B'!$B$2)+1)/
('F &amp; B'!$B$2:$B$10815=$A$48),
ROW()-47)
),
"")</f>
        <v/>
      </c>
      <c r="F123" s="183" t="str">
        <f>IFERROR(
INDEX('F &amp; B'!G$2:G$10815,
_xlfn.AGGREGATE(15,6,
(ROW('F &amp; B'!$B$2:$B$10815)-ROW('F &amp; B'!$B$2)+1)/
('F &amp; B'!$B$2:$B$10815=$A$48),
ROW()-47)
),
"")</f>
        <v/>
      </c>
    </row>
    <row r="124" spans="1:6" s="71" customFormat="1" ht="17.100000000000001" customHeight="1" x14ac:dyDescent="0.25">
      <c r="A124" s="396"/>
      <c r="B124" s="396"/>
      <c r="C124" s="189" t="str">
        <f>IFERROR(
INDEX('F &amp; B'!D$2:D$10815,
_xlfn.AGGREGATE(15,6,
(ROW('F &amp; B'!$B$2:$B$10815)-ROW('F &amp; B'!$B$2)+1)/
('F &amp; B'!$B$2:$B$10815=$A$48),
ROW()-47)
),
"")</f>
        <v/>
      </c>
      <c r="D124" s="177" t="str">
        <f>IFERROR(
INDEX('F &amp; B'!E$2:E$10815,
_xlfn.AGGREGATE(15,6,
(ROW('F &amp; B'!$B$2:$B$10815)-ROW('F &amp; B'!$B$2)+1)/
('F &amp; B'!$B$2:$B$10815=$A$48),
ROW()-47)
),
"")</f>
        <v/>
      </c>
      <c r="E124" s="7" t="str">
        <f>IFERROR(
INDEX('F &amp; B'!F$2:F$10815,
_xlfn.AGGREGATE(15,6,
(ROW('F &amp; B'!$B$2:$B$10815)-ROW('F &amp; B'!$B$2)+1)/
('F &amp; B'!$B$2:$B$10815=$A$48),
ROW()-47)
),
"")</f>
        <v/>
      </c>
      <c r="F124" s="183" t="str">
        <f>IFERROR(
INDEX('F &amp; B'!G$2:G$10815,
_xlfn.AGGREGATE(15,6,
(ROW('F &amp; B'!$B$2:$B$10815)-ROW('F &amp; B'!$B$2)+1)/
('F &amp; B'!$B$2:$B$10815=$A$48),
ROW()-47)
),
"")</f>
        <v/>
      </c>
    </row>
    <row r="125" spans="1:6" s="71" customFormat="1" ht="17.100000000000001" customHeight="1" x14ac:dyDescent="0.25">
      <c r="A125" s="396"/>
      <c r="B125" s="396"/>
      <c r="C125" s="189" t="str">
        <f>IFERROR(
INDEX('F &amp; B'!D$2:D$10815,
_xlfn.AGGREGATE(15,6,
(ROW('F &amp; B'!$B$2:$B$10815)-ROW('F &amp; B'!$B$2)+1)/
('F &amp; B'!$B$2:$B$10815=$A$48),
ROW()-47)
),
"")</f>
        <v/>
      </c>
      <c r="D125" s="177" t="str">
        <f>IFERROR(
INDEX('F &amp; B'!E$2:E$10815,
_xlfn.AGGREGATE(15,6,
(ROW('F &amp; B'!$B$2:$B$10815)-ROW('F &amp; B'!$B$2)+1)/
('F &amp; B'!$B$2:$B$10815=$A$48),
ROW()-47)
),
"")</f>
        <v/>
      </c>
      <c r="E125" s="7" t="str">
        <f>IFERROR(
INDEX('F &amp; B'!F$2:F$10815,
_xlfn.AGGREGATE(15,6,
(ROW('F &amp; B'!$B$2:$B$10815)-ROW('F &amp; B'!$B$2)+1)/
('F &amp; B'!$B$2:$B$10815=$A$48),
ROW()-47)
),
"")</f>
        <v/>
      </c>
      <c r="F125" s="183" t="str">
        <f>IFERROR(
INDEX('F &amp; B'!G$2:G$10815,
_xlfn.AGGREGATE(15,6,
(ROW('F &amp; B'!$B$2:$B$10815)-ROW('F &amp; B'!$B$2)+1)/
('F &amp; B'!$B$2:$B$10815=$A$48),
ROW()-47)
),
"")</f>
        <v/>
      </c>
    </row>
    <row r="126" spans="1:6" s="71" customFormat="1" ht="17.100000000000001" customHeight="1" x14ac:dyDescent="0.25">
      <c r="A126" s="396"/>
      <c r="B126" s="396"/>
      <c r="C126" s="189" t="str">
        <f>IFERROR(
INDEX('F &amp; B'!D$2:D$10815,
_xlfn.AGGREGATE(15,6,
(ROW('F &amp; B'!$B$2:$B$10815)-ROW('F &amp; B'!$B$2)+1)/
('F &amp; B'!$B$2:$B$10815=$A$48),
ROW()-47)
),
"")</f>
        <v/>
      </c>
      <c r="D126" s="177" t="str">
        <f>IFERROR(
INDEX('F &amp; B'!E$2:E$10815,
_xlfn.AGGREGATE(15,6,
(ROW('F &amp; B'!$B$2:$B$10815)-ROW('F &amp; B'!$B$2)+1)/
('F &amp; B'!$B$2:$B$10815=$A$48),
ROW()-47)
),
"")</f>
        <v/>
      </c>
      <c r="E126" s="7" t="str">
        <f>IFERROR(
INDEX('F &amp; B'!F$2:F$10815,
_xlfn.AGGREGATE(15,6,
(ROW('F &amp; B'!$B$2:$B$10815)-ROW('F &amp; B'!$B$2)+1)/
('F &amp; B'!$B$2:$B$10815=$A$48),
ROW()-47)
),
"")</f>
        <v/>
      </c>
      <c r="F126" s="183" t="str">
        <f>IFERROR(
INDEX('F &amp; B'!G$2:G$10815,
_xlfn.AGGREGATE(15,6,
(ROW('F &amp; B'!$B$2:$B$10815)-ROW('F &amp; B'!$B$2)+1)/
('F &amp; B'!$B$2:$B$10815=$A$48),
ROW()-47)
),
"")</f>
        <v/>
      </c>
    </row>
    <row r="127" spans="1:6" s="71" customFormat="1" ht="17.100000000000001" customHeight="1" x14ac:dyDescent="0.25">
      <c r="A127" s="396"/>
      <c r="B127" s="396"/>
      <c r="C127" s="189" t="str">
        <f>IFERROR(
INDEX('F &amp; B'!D$2:D$10815,
_xlfn.AGGREGATE(15,6,
(ROW('F &amp; B'!$B$2:$B$10815)-ROW('F &amp; B'!$B$2)+1)/
('F &amp; B'!$B$2:$B$10815=$A$48),
ROW()-47)
),
"")</f>
        <v/>
      </c>
      <c r="D127" s="177" t="str">
        <f>IFERROR(
INDEX('F &amp; B'!E$2:E$10815,
_xlfn.AGGREGATE(15,6,
(ROW('F &amp; B'!$B$2:$B$10815)-ROW('F &amp; B'!$B$2)+1)/
('F &amp; B'!$B$2:$B$10815=$A$48),
ROW()-47)
),
"")</f>
        <v/>
      </c>
      <c r="E127" s="7" t="str">
        <f>IFERROR(
INDEX('F &amp; B'!F$2:F$10815,
_xlfn.AGGREGATE(15,6,
(ROW('F &amp; B'!$B$2:$B$10815)-ROW('F &amp; B'!$B$2)+1)/
('F &amp; B'!$B$2:$B$10815=$A$48),
ROW()-47)
),
"")</f>
        <v/>
      </c>
      <c r="F127" s="183" t="str">
        <f>IFERROR(
INDEX('F &amp; B'!G$2:G$10815,
_xlfn.AGGREGATE(15,6,
(ROW('F &amp; B'!$B$2:$B$10815)-ROW('F &amp; B'!$B$2)+1)/
('F &amp; B'!$B$2:$B$10815=$A$48),
ROW()-47)
),
"")</f>
        <v/>
      </c>
    </row>
    <row r="128" spans="1:6" s="71" customFormat="1" ht="17.100000000000001" customHeight="1" x14ac:dyDescent="0.25">
      <c r="A128" s="396"/>
      <c r="B128" s="396"/>
      <c r="C128" s="189" t="str">
        <f>IFERROR(
INDEX('F &amp; B'!D$2:D$10815,
_xlfn.AGGREGATE(15,6,
(ROW('F &amp; B'!$B$2:$B$10815)-ROW('F &amp; B'!$B$2)+1)/
('F &amp; B'!$B$2:$B$10815=$A$48),
ROW()-47)
),
"")</f>
        <v/>
      </c>
      <c r="D128" s="177" t="str">
        <f>IFERROR(
INDEX('F &amp; B'!E$2:E$10815,
_xlfn.AGGREGATE(15,6,
(ROW('F &amp; B'!$B$2:$B$10815)-ROW('F &amp; B'!$B$2)+1)/
('F &amp; B'!$B$2:$B$10815=$A$48),
ROW()-47)
),
"")</f>
        <v/>
      </c>
      <c r="E128" s="7" t="str">
        <f>IFERROR(
INDEX('F &amp; B'!F$2:F$10815,
_xlfn.AGGREGATE(15,6,
(ROW('F &amp; B'!$B$2:$B$10815)-ROW('F &amp; B'!$B$2)+1)/
('F &amp; B'!$B$2:$B$10815=$A$48),
ROW()-47)
),
"")</f>
        <v/>
      </c>
      <c r="F128" s="183" t="str">
        <f>IFERROR(
INDEX('F &amp; B'!G$2:G$10815,
_xlfn.AGGREGATE(15,6,
(ROW('F &amp; B'!$B$2:$B$10815)-ROW('F &amp; B'!$B$2)+1)/
('F &amp; B'!$B$2:$B$10815=$A$48),
ROW()-47)
),
"")</f>
        <v/>
      </c>
    </row>
    <row r="129" spans="1:6" s="71" customFormat="1" ht="17.100000000000001" customHeight="1" x14ac:dyDescent="0.25">
      <c r="A129" s="396"/>
      <c r="B129" s="396"/>
      <c r="C129" s="189" t="str">
        <f>IFERROR(
INDEX('F &amp; B'!D$2:D$10815,
_xlfn.AGGREGATE(15,6,
(ROW('F &amp; B'!$B$2:$B$10815)-ROW('F &amp; B'!$B$2)+1)/
('F &amp; B'!$B$2:$B$10815=$A$48),
ROW()-47)
),
"")</f>
        <v/>
      </c>
      <c r="D129" s="177" t="str">
        <f>IFERROR(
INDEX('F &amp; B'!E$2:E$10815,
_xlfn.AGGREGATE(15,6,
(ROW('F &amp; B'!$B$2:$B$10815)-ROW('F &amp; B'!$B$2)+1)/
('F &amp; B'!$B$2:$B$10815=$A$48),
ROW()-47)
),
"")</f>
        <v/>
      </c>
      <c r="E129" s="7" t="str">
        <f>IFERROR(
INDEX('F &amp; B'!F$2:F$10815,
_xlfn.AGGREGATE(15,6,
(ROW('F &amp; B'!$B$2:$B$10815)-ROW('F &amp; B'!$B$2)+1)/
('F &amp; B'!$B$2:$B$10815=$A$48),
ROW()-47)
),
"")</f>
        <v/>
      </c>
      <c r="F129" s="183" t="str">
        <f>IFERROR(
INDEX('F &amp; B'!G$2:G$10815,
_xlfn.AGGREGATE(15,6,
(ROW('F &amp; B'!$B$2:$B$10815)-ROW('F &amp; B'!$B$2)+1)/
('F &amp; B'!$B$2:$B$10815=$A$48),
ROW()-47)
),
"")</f>
        <v/>
      </c>
    </row>
    <row r="130" spans="1:6" s="71" customFormat="1" ht="17.100000000000001" customHeight="1" x14ac:dyDescent="0.25">
      <c r="A130" s="396"/>
      <c r="B130" s="396"/>
      <c r="C130" s="189" t="str">
        <f>IFERROR(
INDEX('F &amp; B'!D$2:D$10815,
_xlfn.AGGREGATE(15,6,
(ROW('F &amp; B'!$B$2:$B$10815)-ROW('F &amp; B'!$B$2)+1)/
('F &amp; B'!$B$2:$B$10815=$A$48),
ROW()-47)
),
"")</f>
        <v/>
      </c>
      <c r="D130" s="177" t="str">
        <f>IFERROR(
INDEX('F &amp; B'!E$2:E$10815,
_xlfn.AGGREGATE(15,6,
(ROW('F &amp; B'!$B$2:$B$10815)-ROW('F &amp; B'!$B$2)+1)/
('F &amp; B'!$B$2:$B$10815=$A$48),
ROW()-47)
),
"")</f>
        <v/>
      </c>
      <c r="E130" s="7" t="str">
        <f>IFERROR(
INDEX('F &amp; B'!F$2:F$10815,
_xlfn.AGGREGATE(15,6,
(ROW('F &amp; B'!$B$2:$B$10815)-ROW('F &amp; B'!$B$2)+1)/
('F &amp; B'!$B$2:$B$10815=$A$48),
ROW()-47)
),
"")</f>
        <v/>
      </c>
      <c r="F130" s="183" t="str">
        <f>IFERROR(
INDEX('F &amp; B'!G$2:G$10815,
_xlfn.AGGREGATE(15,6,
(ROW('F &amp; B'!$B$2:$B$10815)-ROW('F &amp; B'!$B$2)+1)/
('F &amp; B'!$B$2:$B$10815=$A$48),
ROW()-47)
),
"")</f>
        <v/>
      </c>
    </row>
    <row r="131" spans="1:6" s="71" customFormat="1" ht="17.100000000000001" customHeight="1" x14ac:dyDescent="0.25">
      <c r="A131" s="396"/>
      <c r="B131" s="396"/>
      <c r="C131" s="189" t="str">
        <f>IFERROR(
INDEX('F &amp; B'!D$2:D$10815,
_xlfn.AGGREGATE(15,6,
(ROW('F &amp; B'!$B$2:$B$10815)-ROW('F &amp; B'!$B$2)+1)/
('F &amp; B'!$B$2:$B$10815=$A$48),
ROW()-47)
),
"")</f>
        <v/>
      </c>
      <c r="D131" s="177" t="str">
        <f>IFERROR(
INDEX('F &amp; B'!E$2:E$10815,
_xlfn.AGGREGATE(15,6,
(ROW('F &amp; B'!$B$2:$B$10815)-ROW('F &amp; B'!$B$2)+1)/
('F &amp; B'!$B$2:$B$10815=$A$48),
ROW()-47)
),
"")</f>
        <v/>
      </c>
      <c r="E131" s="7" t="str">
        <f>IFERROR(
INDEX('F &amp; B'!F$2:F$10815,
_xlfn.AGGREGATE(15,6,
(ROW('F &amp; B'!$B$2:$B$10815)-ROW('F &amp; B'!$B$2)+1)/
('F &amp; B'!$B$2:$B$10815=$A$48),
ROW()-47)
),
"")</f>
        <v/>
      </c>
      <c r="F131" s="183" t="str">
        <f>IFERROR(
INDEX('F &amp; B'!G$2:G$10815,
_xlfn.AGGREGATE(15,6,
(ROW('F &amp; B'!$B$2:$B$10815)-ROW('F &amp; B'!$B$2)+1)/
('F &amp; B'!$B$2:$B$10815=$A$48),
ROW()-47)
),
"")</f>
        <v/>
      </c>
    </row>
    <row r="132" spans="1:6" s="71" customFormat="1" ht="17.100000000000001" customHeight="1" x14ac:dyDescent="0.25">
      <c r="A132" s="396"/>
      <c r="B132" s="396"/>
      <c r="C132" s="189" t="str">
        <f>IFERROR(
INDEX('F &amp; B'!D$2:D$10815,
_xlfn.AGGREGATE(15,6,
(ROW('F &amp; B'!$B$2:$B$10815)-ROW('F &amp; B'!$B$2)+1)/
('F &amp; B'!$B$2:$B$10815=$A$48),
ROW()-47)
),
"")</f>
        <v/>
      </c>
      <c r="D132" s="177" t="str">
        <f>IFERROR(
INDEX('F &amp; B'!E$2:E$10815,
_xlfn.AGGREGATE(15,6,
(ROW('F &amp; B'!$B$2:$B$10815)-ROW('F &amp; B'!$B$2)+1)/
('F &amp; B'!$B$2:$B$10815=$A$48),
ROW()-47)
),
"")</f>
        <v/>
      </c>
      <c r="E132" s="7" t="str">
        <f>IFERROR(
INDEX('F &amp; B'!F$2:F$10815,
_xlfn.AGGREGATE(15,6,
(ROW('F &amp; B'!$B$2:$B$10815)-ROW('F &amp; B'!$B$2)+1)/
('F &amp; B'!$B$2:$B$10815=$A$48),
ROW()-47)
),
"")</f>
        <v/>
      </c>
      <c r="F132" s="183" t="str">
        <f>IFERROR(
INDEX('F &amp; B'!G$2:G$10815,
_xlfn.AGGREGATE(15,6,
(ROW('F &amp; B'!$B$2:$B$10815)-ROW('F &amp; B'!$B$2)+1)/
('F &amp; B'!$B$2:$B$10815=$A$48),
ROW()-47)
),
"")</f>
        <v/>
      </c>
    </row>
    <row r="133" spans="1:6" s="71" customFormat="1" ht="17.100000000000001" customHeight="1" x14ac:dyDescent="0.25">
      <c r="A133" s="396"/>
      <c r="B133" s="396"/>
      <c r="C133" s="189" t="str">
        <f>IFERROR(
INDEX('F &amp; B'!D$2:D$10815,
_xlfn.AGGREGATE(15,6,
(ROW('F &amp; B'!$B$2:$B$10815)-ROW('F &amp; B'!$B$2)+1)/
('F &amp; B'!$B$2:$B$10815=$A$48),
ROW()-47)
),
"")</f>
        <v/>
      </c>
      <c r="D133" s="177" t="str">
        <f>IFERROR(
INDEX('F &amp; B'!E$2:E$10815,
_xlfn.AGGREGATE(15,6,
(ROW('F &amp; B'!$B$2:$B$10815)-ROW('F &amp; B'!$B$2)+1)/
('F &amp; B'!$B$2:$B$10815=$A$48),
ROW()-47)
),
"")</f>
        <v/>
      </c>
      <c r="E133" s="7" t="str">
        <f>IFERROR(
INDEX('F &amp; B'!F$2:F$10815,
_xlfn.AGGREGATE(15,6,
(ROW('F &amp; B'!$B$2:$B$10815)-ROW('F &amp; B'!$B$2)+1)/
('F &amp; B'!$B$2:$B$10815=$A$48),
ROW()-47)
),
"")</f>
        <v/>
      </c>
      <c r="F133" s="183" t="str">
        <f>IFERROR(
INDEX('F &amp; B'!G$2:G$10815,
_xlfn.AGGREGATE(15,6,
(ROW('F &amp; B'!$B$2:$B$10815)-ROW('F &amp; B'!$B$2)+1)/
('F &amp; B'!$B$2:$B$10815=$A$48),
ROW()-47)
),
"")</f>
        <v/>
      </c>
    </row>
    <row r="134" spans="1:6" s="71" customFormat="1" ht="17.100000000000001" customHeight="1" x14ac:dyDescent="0.25">
      <c r="A134" s="396"/>
      <c r="B134" s="396"/>
      <c r="C134" s="189" t="str">
        <f>IFERROR(
INDEX('F &amp; B'!D$2:D$10815,
_xlfn.AGGREGATE(15,6,
(ROW('F &amp; B'!$B$2:$B$10815)-ROW('F &amp; B'!$B$2)+1)/
('F &amp; B'!$B$2:$B$10815=$A$48),
ROW()-47)
),
"")</f>
        <v/>
      </c>
      <c r="D134" s="177" t="str">
        <f>IFERROR(
INDEX('F &amp; B'!E$2:E$10815,
_xlfn.AGGREGATE(15,6,
(ROW('F &amp; B'!$B$2:$B$10815)-ROW('F &amp; B'!$B$2)+1)/
('F &amp; B'!$B$2:$B$10815=$A$48),
ROW()-47)
),
"")</f>
        <v/>
      </c>
      <c r="E134" s="7" t="str">
        <f>IFERROR(
INDEX('F &amp; B'!F$2:F$10815,
_xlfn.AGGREGATE(15,6,
(ROW('F &amp; B'!$B$2:$B$10815)-ROW('F &amp; B'!$B$2)+1)/
('F &amp; B'!$B$2:$B$10815=$A$48),
ROW()-47)
),
"")</f>
        <v/>
      </c>
      <c r="F134" s="183" t="str">
        <f>IFERROR(
INDEX('F &amp; B'!G$2:G$10815,
_xlfn.AGGREGATE(15,6,
(ROW('F &amp; B'!$B$2:$B$10815)-ROW('F &amp; B'!$B$2)+1)/
('F &amp; B'!$B$2:$B$10815=$A$48),
ROW()-47)
),
"")</f>
        <v/>
      </c>
    </row>
    <row r="135" spans="1:6" s="71" customFormat="1" ht="17.100000000000001" customHeight="1" x14ac:dyDescent="0.25">
      <c r="A135" s="396"/>
      <c r="B135" s="396"/>
      <c r="C135" s="189" t="str">
        <f>IFERROR(
INDEX('F &amp; B'!D$2:D$10815,
_xlfn.AGGREGATE(15,6,
(ROW('F &amp; B'!$B$2:$B$10815)-ROW('F &amp; B'!$B$2)+1)/
('F &amp; B'!$B$2:$B$10815=$A$48),
ROW()-47)
),
"")</f>
        <v/>
      </c>
      <c r="D135" s="177" t="str">
        <f>IFERROR(
INDEX('F &amp; B'!E$2:E$10815,
_xlfn.AGGREGATE(15,6,
(ROW('F &amp; B'!$B$2:$B$10815)-ROW('F &amp; B'!$B$2)+1)/
('F &amp; B'!$B$2:$B$10815=$A$48),
ROW()-47)
),
"")</f>
        <v/>
      </c>
      <c r="E135" s="7" t="str">
        <f>IFERROR(
INDEX('F &amp; B'!F$2:F$10815,
_xlfn.AGGREGATE(15,6,
(ROW('F &amp; B'!$B$2:$B$10815)-ROW('F &amp; B'!$B$2)+1)/
('F &amp; B'!$B$2:$B$10815=$A$48),
ROW()-47)
),
"")</f>
        <v/>
      </c>
      <c r="F135" s="183" t="str">
        <f>IFERROR(
INDEX('F &amp; B'!G$2:G$10815,
_xlfn.AGGREGATE(15,6,
(ROW('F &amp; B'!$B$2:$B$10815)-ROW('F &amp; B'!$B$2)+1)/
('F &amp; B'!$B$2:$B$10815=$A$48),
ROW()-47)
),
"")</f>
        <v/>
      </c>
    </row>
    <row r="136" spans="1:6" s="71" customFormat="1" ht="17.100000000000001" customHeight="1" x14ac:dyDescent="0.25">
      <c r="A136" s="396"/>
      <c r="B136" s="396"/>
      <c r="C136" s="189" t="str">
        <f>IFERROR(
INDEX('F &amp; B'!D$2:D$10815,
_xlfn.AGGREGATE(15,6,
(ROW('F &amp; B'!$B$2:$B$10815)-ROW('F &amp; B'!$B$2)+1)/
('F &amp; B'!$B$2:$B$10815=$A$48),
ROW()-47)
),
"")</f>
        <v/>
      </c>
      <c r="D136" s="177" t="str">
        <f>IFERROR(
INDEX('F &amp; B'!E$2:E$10815,
_xlfn.AGGREGATE(15,6,
(ROW('F &amp; B'!$B$2:$B$10815)-ROW('F &amp; B'!$B$2)+1)/
('F &amp; B'!$B$2:$B$10815=$A$48),
ROW()-47)
),
"")</f>
        <v/>
      </c>
      <c r="E136" s="7" t="str">
        <f>IFERROR(
INDEX('F &amp; B'!F$2:F$10815,
_xlfn.AGGREGATE(15,6,
(ROW('F &amp; B'!$B$2:$B$10815)-ROW('F &amp; B'!$B$2)+1)/
('F &amp; B'!$B$2:$B$10815=$A$48),
ROW()-47)
),
"")</f>
        <v/>
      </c>
      <c r="F136" s="183" t="str">
        <f>IFERROR(
INDEX('F &amp; B'!G$2:G$10815,
_xlfn.AGGREGATE(15,6,
(ROW('F &amp; B'!$B$2:$B$10815)-ROW('F &amp; B'!$B$2)+1)/
('F &amp; B'!$B$2:$B$10815=$A$48),
ROW()-47)
),
"")</f>
        <v/>
      </c>
    </row>
    <row r="137" spans="1:6" s="71" customFormat="1" ht="17.100000000000001" customHeight="1" x14ac:dyDescent="0.25">
      <c r="A137" s="396"/>
      <c r="B137" s="396"/>
      <c r="C137" s="189" t="str">
        <f>IFERROR(
INDEX('F &amp; B'!D$2:D$10815,
_xlfn.AGGREGATE(15,6,
(ROW('F &amp; B'!$B$2:$B$10815)-ROW('F &amp; B'!$B$2)+1)/
('F &amp; B'!$B$2:$B$10815=$A$48),
ROW()-47)
),
"")</f>
        <v/>
      </c>
      <c r="D137" s="177" t="str">
        <f>IFERROR(
INDEX('F &amp; B'!E$2:E$10815,
_xlfn.AGGREGATE(15,6,
(ROW('F &amp; B'!$B$2:$B$10815)-ROW('F &amp; B'!$B$2)+1)/
('F &amp; B'!$B$2:$B$10815=$A$48),
ROW()-47)
),
"")</f>
        <v/>
      </c>
      <c r="E137" s="7" t="str">
        <f>IFERROR(
INDEX('F &amp; B'!F$2:F$10815,
_xlfn.AGGREGATE(15,6,
(ROW('F &amp; B'!$B$2:$B$10815)-ROW('F &amp; B'!$B$2)+1)/
('F &amp; B'!$B$2:$B$10815=$A$48),
ROW()-47)
),
"")</f>
        <v/>
      </c>
      <c r="F137" s="183" t="str">
        <f>IFERROR(
INDEX('F &amp; B'!G$2:G$10815,
_xlfn.AGGREGATE(15,6,
(ROW('F &amp; B'!$B$2:$B$10815)-ROW('F &amp; B'!$B$2)+1)/
('F &amp; B'!$B$2:$B$10815=$A$48),
ROW()-47)
),
"")</f>
        <v/>
      </c>
    </row>
    <row r="138" spans="1:6" s="71" customFormat="1" ht="17.100000000000001" customHeight="1" x14ac:dyDescent="0.25">
      <c r="A138" s="396"/>
      <c r="B138" s="396"/>
      <c r="C138" s="189" t="str">
        <f>IFERROR(
INDEX('F &amp; B'!D$2:D$10815,
_xlfn.AGGREGATE(15,6,
(ROW('F &amp; B'!$B$2:$B$10815)-ROW('F &amp; B'!$B$2)+1)/
('F &amp; B'!$B$2:$B$10815=$A$48),
ROW()-47)
),
"")</f>
        <v/>
      </c>
      <c r="D138" s="177" t="str">
        <f>IFERROR(
INDEX('F &amp; B'!E$2:E$10815,
_xlfn.AGGREGATE(15,6,
(ROW('F &amp; B'!$B$2:$B$10815)-ROW('F &amp; B'!$B$2)+1)/
('F &amp; B'!$B$2:$B$10815=$A$48),
ROW()-47)
),
"")</f>
        <v/>
      </c>
      <c r="E138" s="7" t="str">
        <f>IFERROR(
INDEX('F &amp; B'!F$2:F$10815,
_xlfn.AGGREGATE(15,6,
(ROW('F &amp; B'!$B$2:$B$10815)-ROW('F &amp; B'!$B$2)+1)/
('F &amp; B'!$B$2:$B$10815=$A$48),
ROW()-47)
),
"")</f>
        <v/>
      </c>
      <c r="F138" s="183" t="str">
        <f>IFERROR(
INDEX('F &amp; B'!G$2:G$10815,
_xlfn.AGGREGATE(15,6,
(ROW('F &amp; B'!$B$2:$B$10815)-ROW('F &amp; B'!$B$2)+1)/
('F &amp; B'!$B$2:$B$10815=$A$48),
ROW()-47)
),
"")</f>
        <v/>
      </c>
    </row>
    <row r="139" spans="1:6" s="71" customFormat="1" ht="17.100000000000001" customHeight="1" x14ac:dyDescent="0.25">
      <c r="A139" s="396"/>
      <c r="B139" s="396"/>
      <c r="C139" s="189" t="str">
        <f>IFERROR(
INDEX('F &amp; B'!D$2:D$10815,
_xlfn.AGGREGATE(15,6,
(ROW('F &amp; B'!$B$2:$B$10815)-ROW('F &amp; B'!$B$2)+1)/
('F &amp; B'!$B$2:$B$10815=$A$48),
ROW()-47)
),
"")</f>
        <v/>
      </c>
      <c r="D139" s="177" t="str">
        <f>IFERROR(
INDEX('F &amp; B'!E$2:E$10815,
_xlfn.AGGREGATE(15,6,
(ROW('F &amp; B'!$B$2:$B$10815)-ROW('F &amp; B'!$B$2)+1)/
('F &amp; B'!$B$2:$B$10815=$A$48),
ROW()-47)
),
"")</f>
        <v/>
      </c>
      <c r="E139" s="7" t="str">
        <f>IFERROR(
INDEX('F &amp; B'!F$2:F$10815,
_xlfn.AGGREGATE(15,6,
(ROW('F &amp; B'!$B$2:$B$10815)-ROW('F &amp; B'!$B$2)+1)/
('F &amp; B'!$B$2:$B$10815=$A$48),
ROW()-47)
),
"")</f>
        <v/>
      </c>
      <c r="F139" s="183" t="str">
        <f>IFERROR(
INDEX('F &amp; B'!G$2:G$10815,
_xlfn.AGGREGATE(15,6,
(ROW('F &amp; B'!$B$2:$B$10815)-ROW('F &amp; B'!$B$2)+1)/
('F &amp; B'!$B$2:$B$10815=$A$48),
ROW()-47)
),
"")</f>
        <v/>
      </c>
    </row>
    <row r="140" spans="1:6" s="71" customFormat="1" ht="17.100000000000001" customHeight="1" x14ac:dyDescent="0.25">
      <c r="A140" s="396"/>
      <c r="B140" s="396"/>
      <c r="C140" s="189" t="str">
        <f>IFERROR(
INDEX('F &amp; B'!D$2:D$10815,
_xlfn.AGGREGATE(15,6,
(ROW('F &amp; B'!$B$2:$B$10815)-ROW('F &amp; B'!$B$2)+1)/
('F &amp; B'!$B$2:$B$10815=$A$48),
ROW()-47)
),
"")</f>
        <v/>
      </c>
      <c r="D140" s="177" t="str">
        <f>IFERROR(
INDEX('F &amp; B'!E$2:E$10815,
_xlfn.AGGREGATE(15,6,
(ROW('F &amp; B'!$B$2:$B$10815)-ROW('F &amp; B'!$B$2)+1)/
('F &amp; B'!$B$2:$B$10815=$A$48),
ROW()-47)
),
"")</f>
        <v/>
      </c>
      <c r="E140" s="7" t="str">
        <f>IFERROR(
INDEX('F &amp; B'!F$2:F$10815,
_xlfn.AGGREGATE(15,6,
(ROW('F &amp; B'!$B$2:$B$10815)-ROW('F &amp; B'!$B$2)+1)/
('F &amp; B'!$B$2:$B$10815=$A$48),
ROW()-47)
),
"")</f>
        <v/>
      </c>
      <c r="F140" s="183" t="str">
        <f>IFERROR(
INDEX('F &amp; B'!G$2:G$10815,
_xlfn.AGGREGATE(15,6,
(ROW('F &amp; B'!$B$2:$B$10815)-ROW('F &amp; B'!$B$2)+1)/
('F &amp; B'!$B$2:$B$10815=$A$48),
ROW()-47)
),
"")</f>
        <v/>
      </c>
    </row>
    <row r="141" spans="1:6" s="71" customFormat="1" ht="17.100000000000001" customHeight="1" x14ac:dyDescent="0.25">
      <c r="A141" s="396"/>
      <c r="B141" s="396"/>
      <c r="C141" s="189" t="str">
        <f>IFERROR(
INDEX('F &amp; B'!D$2:D$10815,
_xlfn.AGGREGATE(15,6,
(ROW('F &amp; B'!$B$2:$B$10815)-ROW('F &amp; B'!$B$2)+1)/
('F &amp; B'!$B$2:$B$10815=$A$48),
ROW()-47)
),
"")</f>
        <v/>
      </c>
      <c r="D141" s="177" t="str">
        <f>IFERROR(
INDEX('F &amp; B'!E$2:E$10815,
_xlfn.AGGREGATE(15,6,
(ROW('F &amp; B'!$B$2:$B$10815)-ROW('F &amp; B'!$B$2)+1)/
('F &amp; B'!$B$2:$B$10815=$A$48),
ROW()-47)
),
"")</f>
        <v/>
      </c>
      <c r="E141" s="7" t="str">
        <f>IFERROR(
INDEX('F &amp; B'!F$2:F$10815,
_xlfn.AGGREGATE(15,6,
(ROW('F &amp; B'!$B$2:$B$10815)-ROW('F &amp; B'!$B$2)+1)/
('F &amp; B'!$B$2:$B$10815=$A$48),
ROW()-47)
),
"")</f>
        <v/>
      </c>
      <c r="F141" s="183" t="str">
        <f>IFERROR(
INDEX('F &amp; B'!G$2:G$10815,
_xlfn.AGGREGATE(15,6,
(ROW('F &amp; B'!$B$2:$B$10815)-ROW('F &amp; B'!$B$2)+1)/
('F &amp; B'!$B$2:$B$10815=$A$48),
ROW()-47)
),
"")</f>
        <v/>
      </c>
    </row>
    <row r="142" spans="1:6" s="71" customFormat="1" ht="17.100000000000001" customHeight="1" x14ac:dyDescent="0.25">
      <c r="A142" s="396"/>
      <c r="B142" s="396"/>
      <c r="C142" s="189" t="str">
        <f>IFERROR(
INDEX('F &amp; B'!D$2:D$10815,
_xlfn.AGGREGATE(15,6,
(ROW('F &amp; B'!$B$2:$B$10815)-ROW('F &amp; B'!$B$2)+1)/
('F &amp; B'!$B$2:$B$10815=$A$48),
ROW()-47)
),
"")</f>
        <v/>
      </c>
      <c r="D142" s="177" t="str">
        <f>IFERROR(
INDEX('F &amp; B'!E$2:E$10815,
_xlfn.AGGREGATE(15,6,
(ROW('F &amp; B'!$B$2:$B$10815)-ROW('F &amp; B'!$B$2)+1)/
('F &amp; B'!$B$2:$B$10815=$A$48),
ROW()-47)
),
"")</f>
        <v/>
      </c>
      <c r="E142" s="7" t="str">
        <f>IFERROR(
INDEX('F &amp; B'!F$2:F$10815,
_xlfn.AGGREGATE(15,6,
(ROW('F &amp; B'!$B$2:$B$10815)-ROW('F &amp; B'!$B$2)+1)/
('F &amp; B'!$B$2:$B$10815=$A$48),
ROW()-47)
),
"")</f>
        <v/>
      </c>
      <c r="F142" s="183" t="str">
        <f>IFERROR(
INDEX('F &amp; B'!G$2:G$10815,
_xlfn.AGGREGATE(15,6,
(ROW('F &amp; B'!$B$2:$B$10815)-ROW('F &amp; B'!$B$2)+1)/
('F &amp; B'!$B$2:$B$10815=$A$48),
ROW()-47)
),
"")</f>
        <v/>
      </c>
    </row>
    <row r="143" spans="1:6" s="71" customFormat="1" ht="17.100000000000001" customHeight="1" x14ac:dyDescent="0.25">
      <c r="A143" s="396"/>
      <c r="B143" s="396"/>
      <c r="C143" s="189" t="str">
        <f>IFERROR(
INDEX('F &amp; B'!D$2:D$10815,
_xlfn.AGGREGATE(15,6,
(ROW('F &amp; B'!$B$2:$B$10815)-ROW('F &amp; B'!$B$2)+1)/
('F &amp; B'!$B$2:$B$10815=$A$48),
ROW()-47)
),
"")</f>
        <v/>
      </c>
      <c r="D143" s="177" t="str">
        <f>IFERROR(
INDEX('F &amp; B'!E$2:E$10815,
_xlfn.AGGREGATE(15,6,
(ROW('F &amp; B'!$B$2:$B$10815)-ROW('F &amp; B'!$B$2)+1)/
('F &amp; B'!$B$2:$B$10815=$A$48),
ROW()-47)
),
"")</f>
        <v/>
      </c>
      <c r="E143" s="7" t="str">
        <f>IFERROR(
INDEX('F &amp; B'!F$2:F$10815,
_xlfn.AGGREGATE(15,6,
(ROW('F &amp; B'!$B$2:$B$10815)-ROW('F &amp; B'!$B$2)+1)/
('F &amp; B'!$B$2:$B$10815=$A$48),
ROW()-47)
),
"")</f>
        <v/>
      </c>
      <c r="F143" s="183" t="str">
        <f>IFERROR(
INDEX('F &amp; B'!G$2:G$10815,
_xlfn.AGGREGATE(15,6,
(ROW('F &amp; B'!$B$2:$B$10815)-ROW('F &amp; B'!$B$2)+1)/
('F &amp; B'!$B$2:$B$10815=$A$48),
ROW()-47)
),
"")</f>
        <v/>
      </c>
    </row>
    <row r="144" spans="1:6" s="71" customFormat="1" ht="17.100000000000001" customHeight="1" x14ac:dyDescent="0.25">
      <c r="A144" s="396"/>
      <c r="B144" s="396"/>
      <c r="C144" s="189" t="str">
        <f>IFERROR(
INDEX('F &amp; B'!D$2:D$10815,
_xlfn.AGGREGATE(15,6,
(ROW('F &amp; B'!$B$2:$B$10815)-ROW('F &amp; B'!$B$2)+1)/
('F &amp; B'!$B$2:$B$10815=$A$48),
ROW()-47)
),
"")</f>
        <v/>
      </c>
      <c r="D144" s="177" t="str">
        <f>IFERROR(
INDEX('F &amp; B'!E$2:E$10815,
_xlfn.AGGREGATE(15,6,
(ROW('F &amp; B'!$B$2:$B$10815)-ROW('F &amp; B'!$B$2)+1)/
('F &amp; B'!$B$2:$B$10815=$A$48),
ROW()-47)
),
"")</f>
        <v/>
      </c>
      <c r="E144" s="7" t="str">
        <f>IFERROR(
INDEX('F &amp; B'!F$2:F$10815,
_xlfn.AGGREGATE(15,6,
(ROW('F &amp; B'!$B$2:$B$10815)-ROW('F &amp; B'!$B$2)+1)/
('F &amp; B'!$B$2:$B$10815=$A$48),
ROW()-47)
),
"")</f>
        <v/>
      </c>
      <c r="F144" s="183" t="str">
        <f>IFERROR(
INDEX('F &amp; B'!G$2:G$10815,
_xlfn.AGGREGATE(15,6,
(ROW('F &amp; B'!$B$2:$B$10815)-ROW('F &amp; B'!$B$2)+1)/
('F &amp; B'!$B$2:$B$10815=$A$48),
ROW()-47)
),
"")</f>
        <v/>
      </c>
    </row>
    <row r="145" spans="1:6" s="71" customFormat="1" ht="17.100000000000001" customHeight="1" x14ac:dyDescent="0.25">
      <c r="A145" s="396"/>
      <c r="B145" s="396"/>
      <c r="C145" s="189" t="str">
        <f>IFERROR(
INDEX('F &amp; B'!D$2:D$10815,
_xlfn.AGGREGATE(15,6,
(ROW('F &amp; B'!$B$2:$B$10815)-ROW('F &amp; B'!$B$2)+1)/
('F &amp; B'!$B$2:$B$10815=$A$48),
ROW()-47)
),
"")</f>
        <v/>
      </c>
      <c r="D145" s="177" t="str">
        <f>IFERROR(
INDEX('F &amp; B'!E$2:E$10815,
_xlfn.AGGREGATE(15,6,
(ROW('F &amp; B'!$B$2:$B$10815)-ROW('F &amp; B'!$B$2)+1)/
('F &amp; B'!$B$2:$B$10815=$A$48),
ROW()-47)
),
"")</f>
        <v/>
      </c>
      <c r="E145" s="7" t="str">
        <f>IFERROR(
INDEX('F &amp; B'!F$2:F$10815,
_xlfn.AGGREGATE(15,6,
(ROW('F &amp; B'!$B$2:$B$10815)-ROW('F &amp; B'!$B$2)+1)/
('F &amp; B'!$B$2:$B$10815=$A$48),
ROW()-47)
),
"")</f>
        <v/>
      </c>
      <c r="F145" s="183" t="str">
        <f>IFERROR(
INDEX('F &amp; B'!G$2:G$10815,
_xlfn.AGGREGATE(15,6,
(ROW('F &amp; B'!$B$2:$B$10815)-ROW('F &amp; B'!$B$2)+1)/
('F &amp; B'!$B$2:$B$10815=$A$48),
ROW()-47)
),
"")</f>
        <v/>
      </c>
    </row>
    <row r="146" spans="1:6" s="71" customFormat="1" ht="17.100000000000001" customHeight="1" x14ac:dyDescent="0.25">
      <c r="A146" s="396"/>
      <c r="B146" s="396"/>
      <c r="C146" s="189" t="str">
        <f>IFERROR(
INDEX('F &amp; B'!D$2:D$10815,
_xlfn.AGGREGATE(15,6,
(ROW('F &amp; B'!$B$2:$B$10815)-ROW('F &amp; B'!$B$2)+1)/
('F &amp; B'!$B$2:$B$10815=$A$48),
ROW()-47)
),
"")</f>
        <v/>
      </c>
      <c r="D146" s="177" t="str">
        <f>IFERROR(
INDEX('F &amp; B'!E$2:E$10815,
_xlfn.AGGREGATE(15,6,
(ROW('F &amp; B'!$B$2:$B$10815)-ROW('F &amp; B'!$B$2)+1)/
('F &amp; B'!$B$2:$B$10815=$A$48),
ROW()-47)
),
"")</f>
        <v/>
      </c>
      <c r="E146" s="7" t="str">
        <f>IFERROR(
INDEX('F &amp; B'!F$2:F$10815,
_xlfn.AGGREGATE(15,6,
(ROW('F &amp; B'!$B$2:$B$10815)-ROW('F &amp; B'!$B$2)+1)/
('F &amp; B'!$B$2:$B$10815=$A$48),
ROW()-47)
),
"")</f>
        <v/>
      </c>
      <c r="F146" s="183" t="str">
        <f>IFERROR(
INDEX('F &amp; B'!G$2:G$10815,
_xlfn.AGGREGATE(15,6,
(ROW('F &amp; B'!$B$2:$B$10815)-ROW('F &amp; B'!$B$2)+1)/
('F &amp; B'!$B$2:$B$10815=$A$48),
ROW()-47)
),
"")</f>
        <v/>
      </c>
    </row>
    <row r="147" spans="1:6" s="71" customFormat="1" ht="17.100000000000001" customHeight="1" x14ac:dyDescent="0.25">
      <c r="A147" s="396"/>
      <c r="B147" s="396"/>
      <c r="C147" s="189" t="str">
        <f>IFERROR(
INDEX('F &amp; B'!D$2:D$10815,
_xlfn.AGGREGATE(15,6,
(ROW('F &amp; B'!$B$2:$B$10815)-ROW('F &amp; B'!$B$2)+1)/
('F &amp; B'!$B$2:$B$10815=$A$48),
ROW()-47)
),
"")</f>
        <v/>
      </c>
      <c r="D147" s="177" t="str">
        <f>IFERROR(
INDEX('F &amp; B'!E$2:E$10815,
_xlfn.AGGREGATE(15,6,
(ROW('F &amp; B'!$B$2:$B$10815)-ROW('F &amp; B'!$B$2)+1)/
('F &amp; B'!$B$2:$B$10815=$A$48),
ROW()-47)
),
"")</f>
        <v/>
      </c>
      <c r="E147" s="7" t="str">
        <f>IFERROR(
INDEX('F &amp; B'!F$2:F$10815,
_xlfn.AGGREGATE(15,6,
(ROW('F &amp; B'!$B$2:$B$10815)-ROW('F &amp; B'!$B$2)+1)/
('F &amp; B'!$B$2:$B$10815=$A$48),
ROW()-47)
),
"")</f>
        <v/>
      </c>
      <c r="F147" s="183" t="str">
        <f>IFERROR(
INDEX('F &amp; B'!G$2:G$10815,
_xlfn.AGGREGATE(15,6,
(ROW('F &amp; B'!$B$2:$B$10815)-ROW('F &amp; B'!$B$2)+1)/
('F &amp; B'!$B$2:$B$10815=$A$48),
ROW()-47)
),
"")</f>
        <v/>
      </c>
    </row>
    <row r="148" spans="1:6" s="71" customFormat="1" ht="17.100000000000001" customHeight="1" x14ac:dyDescent="0.25">
      <c r="A148" s="396"/>
      <c r="B148" s="396"/>
      <c r="C148" s="189" t="str">
        <f>IFERROR(
INDEX('F &amp; B'!D$2:D$10815,
_xlfn.AGGREGATE(15,6,
(ROW('F &amp; B'!$B$2:$B$10815)-ROW('F &amp; B'!$B$2)+1)/
('F &amp; B'!$B$2:$B$10815=$A$48),
ROW()-47)
),
"")</f>
        <v/>
      </c>
      <c r="D148" s="177" t="str">
        <f>IFERROR(
INDEX('F &amp; B'!E$2:E$10815,
_xlfn.AGGREGATE(15,6,
(ROW('F &amp; B'!$B$2:$B$10815)-ROW('F &amp; B'!$B$2)+1)/
('F &amp; B'!$B$2:$B$10815=$A$48),
ROW()-47)
),
"")</f>
        <v/>
      </c>
      <c r="E148" s="7" t="str">
        <f>IFERROR(
INDEX('F &amp; B'!F$2:F$10815,
_xlfn.AGGREGATE(15,6,
(ROW('F &amp; B'!$B$2:$B$10815)-ROW('F &amp; B'!$B$2)+1)/
('F &amp; B'!$B$2:$B$10815=$A$48),
ROW()-47)
),
"")</f>
        <v/>
      </c>
      <c r="F148" s="183" t="str">
        <f>IFERROR(
INDEX('F &amp; B'!G$2:G$10815,
_xlfn.AGGREGATE(15,6,
(ROW('F &amp; B'!$B$2:$B$10815)-ROW('F &amp; B'!$B$2)+1)/
('F &amp; B'!$B$2:$B$10815=$A$48),
ROW()-47)
),
"")</f>
        <v/>
      </c>
    </row>
    <row r="149" spans="1:6" s="71" customFormat="1" ht="17.100000000000001" customHeight="1" x14ac:dyDescent="0.25">
      <c r="A149" s="396"/>
      <c r="B149" s="396"/>
      <c r="C149" s="189" t="str">
        <f>IFERROR(
INDEX('F &amp; B'!D$2:D$10815,
_xlfn.AGGREGATE(15,6,
(ROW('F &amp; B'!$B$2:$B$10815)-ROW('F &amp; B'!$B$2)+1)/
('F &amp; B'!$B$2:$B$10815=$A$48),
ROW()-47)
),
"")</f>
        <v/>
      </c>
      <c r="D149" s="177" t="str">
        <f>IFERROR(
INDEX('F &amp; B'!E$2:E$10815,
_xlfn.AGGREGATE(15,6,
(ROW('F &amp; B'!$B$2:$B$10815)-ROW('F &amp; B'!$B$2)+1)/
('F &amp; B'!$B$2:$B$10815=$A$48),
ROW()-47)
),
"")</f>
        <v/>
      </c>
      <c r="E149" s="7" t="str">
        <f>IFERROR(
INDEX('F &amp; B'!F$2:F$10815,
_xlfn.AGGREGATE(15,6,
(ROW('F &amp; B'!$B$2:$B$10815)-ROW('F &amp; B'!$B$2)+1)/
('F &amp; B'!$B$2:$B$10815=$A$48),
ROW()-47)
),
"")</f>
        <v/>
      </c>
      <c r="F149" s="183" t="str">
        <f>IFERROR(
INDEX('F &amp; B'!G$2:G$10815,
_xlfn.AGGREGATE(15,6,
(ROW('F &amp; B'!$B$2:$B$10815)-ROW('F &amp; B'!$B$2)+1)/
('F &amp; B'!$B$2:$B$10815=$A$48),
ROW()-47)
),
"")</f>
        <v/>
      </c>
    </row>
    <row r="150" spans="1:6" s="71" customFormat="1" ht="17.100000000000001" customHeight="1" x14ac:dyDescent="0.25">
      <c r="A150" s="396"/>
      <c r="B150" s="396"/>
      <c r="C150" s="189" t="str">
        <f>IFERROR(
INDEX('F &amp; B'!D$2:D$10815,
_xlfn.AGGREGATE(15,6,
(ROW('F &amp; B'!$B$2:$B$10815)-ROW('F &amp; B'!$B$2)+1)/
('F &amp; B'!$B$2:$B$10815=$A$48),
ROW()-47)
),
"")</f>
        <v/>
      </c>
      <c r="D150" s="177" t="str">
        <f>IFERROR(
INDEX('F &amp; B'!E$2:E$10815,
_xlfn.AGGREGATE(15,6,
(ROW('F &amp; B'!$B$2:$B$10815)-ROW('F &amp; B'!$B$2)+1)/
('F &amp; B'!$B$2:$B$10815=$A$48),
ROW()-47)
),
"")</f>
        <v/>
      </c>
      <c r="E150" s="7" t="str">
        <f>IFERROR(
INDEX('F &amp; B'!F$2:F$10815,
_xlfn.AGGREGATE(15,6,
(ROW('F &amp; B'!$B$2:$B$10815)-ROW('F &amp; B'!$B$2)+1)/
('F &amp; B'!$B$2:$B$10815=$A$48),
ROW()-47)
),
"")</f>
        <v/>
      </c>
      <c r="F150" s="183" t="str">
        <f>IFERROR(
INDEX('F &amp; B'!G$2:G$10815,
_xlfn.AGGREGATE(15,6,
(ROW('F &amp; B'!$B$2:$B$10815)-ROW('F &amp; B'!$B$2)+1)/
('F &amp; B'!$B$2:$B$10815=$A$48),
ROW()-47)
),
"")</f>
        <v/>
      </c>
    </row>
    <row r="151" spans="1:6" s="71" customFormat="1" ht="17.100000000000001" customHeight="1" x14ac:dyDescent="0.25">
      <c r="A151" s="396"/>
      <c r="B151" s="396"/>
      <c r="C151" s="189" t="str">
        <f>IFERROR(
INDEX('F &amp; B'!D$2:D$10815,
_xlfn.AGGREGATE(15,6,
(ROW('F &amp; B'!$B$2:$B$10815)-ROW('F &amp; B'!$B$2)+1)/
('F &amp; B'!$B$2:$B$10815=$A$48),
ROW()-47)
),
"")</f>
        <v/>
      </c>
      <c r="D151" s="177" t="str">
        <f>IFERROR(
INDEX('F &amp; B'!E$2:E$10815,
_xlfn.AGGREGATE(15,6,
(ROW('F &amp; B'!$B$2:$B$10815)-ROW('F &amp; B'!$B$2)+1)/
('F &amp; B'!$B$2:$B$10815=$A$48),
ROW()-47)
),
"")</f>
        <v/>
      </c>
      <c r="E151" s="7" t="str">
        <f>IFERROR(
INDEX('F &amp; B'!F$2:F$10815,
_xlfn.AGGREGATE(15,6,
(ROW('F &amp; B'!$B$2:$B$10815)-ROW('F &amp; B'!$B$2)+1)/
('F &amp; B'!$B$2:$B$10815=$A$48),
ROW()-47)
),
"")</f>
        <v/>
      </c>
      <c r="F151" s="183" t="str">
        <f>IFERROR(
INDEX('F &amp; B'!G$2:G$10815,
_xlfn.AGGREGATE(15,6,
(ROW('F &amp; B'!$B$2:$B$10815)-ROW('F &amp; B'!$B$2)+1)/
('F &amp; B'!$B$2:$B$10815=$A$48),
ROW()-47)
),
"")</f>
        <v/>
      </c>
    </row>
    <row r="152" spans="1:6" s="71" customFormat="1" ht="17.100000000000001" customHeight="1" x14ac:dyDescent="0.25">
      <c r="A152" s="396"/>
      <c r="B152" s="396"/>
      <c r="C152" s="189" t="str">
        <f>IFERROR(
INDEX('F &amp; B'!D$2:D$10815,
_xlfn.AGGREGATE(15,6,
(ROW('F &amp; B'!$B$2:$B$10815)-ROW('F &amp; B'!$B$2)+1)/
('F &amp; B'!$B$2:$B$10815=$A$48),
ROW()-47)
),
"")</f>
        <v/>
      </c>
      <c r="D152" s="177" t="str">
        <f>IFERROR(
INDEX('F &amp; B'!E$2:E$10815,
_xlfn.AGGREGATE(15,6,
(ROW('F &amp; B'!$B$2:$B$10815)-ROW('F &amp; B'!$B$2)+1)/
('F &amp; B'!$B$2:$B$10815=$A$48),
ROW()-47)
),
"")</f>
        <v/>
      </c>
      <c r="E152" s="7" t="str">
        <f>IFERROR(
INDEX('F &amp; B'!F$2:F$10815,
_xlfn.AGGREGATE(15,6,
(ROW('F &amp; B'!$B$2:$B$10815)-ROW('F &amp; B'!$B$2)+1)/
('F &amp; B'!$B$2:$B$10815=$A$48),
ROW()-47)
),
"")</f>
        <v/>
      </c>
      <c r="F152" s="183" t="str">
        <f>IFERROR(
INDEX('F &amp; B'!G$2:G$10815,
_xlfn.AGGREGATE(15,6,
(ROW('F &amp; B'!$B$2:$B$10815)-ROW('F &amp; B'!$B$2)+1)/
('F &amp; B'!$B$2:$B$10815=$A$48),
ROW()-47)
),
"")</f>
        <v/>
      </c>
    </row>
    <row r="153" spans="1:6" s="71" customFormat="1" ht="17.100000000000001" customHeight="1" x14ac:dyDescent="0.25">
      <c r="A153" s="396"/>
      <c r="B153" s="396"/>
      <c r="C153" s="189" t="str">
        <f>IFERROR(
INDEX('F &amp; B'!D$2:D$10815,
_xlfn.AGGREGATE(15,6,
(ROW('F &amp; B'!$B$2:$B$10815)-ROW('F &amp; B'!$B$2)+1)/
('F &amp; B'!$B$2:$B$10815=$A$48),
ROW()-47)
),
"")</f>
        <v/>
      </c>
      <c r="D153" s="177" t="str">
        <f>IFERROR(
INDEX('F &amp; B'!E$2:E$10815,
_xlfn.AGGREGATE(15,6,
(ROW('F &amp; B'!$B$2:$B$10815)-ROW('F &amp; B'!$B$2)+1)/
('F &amp; B'!$B$2:$B$10815=$A$48),
ROW()-47)
),
"")</f>
        <v/>
      </c>
      <c r="E153" s="7" t="str">
        <f>IFERROR(
INDEX('F &amp; B'!F$2:F$10815,
_xlfn.AGGREGATE(15,6,
(ROW('F &amp; B'!$B$2:$B$10815)-ROW('F &amp; B'!$B$2)+1)/
('F &amp; B'!$B$2:$B$10815=$A$48),
ROW()-47)
),
"")</f>
        <v/>
      </c>
      <c r="F153" s="183" t="str">
        <f>IFERROR(
INDEX('F &amp; B'!G$2:G$10815,
_xlfn.AGGREGATE(15,6,
(ROW('F &amp; B'!$B$2:$B$10815)-ROW('F &amp; B'!$B$2)+1)/
('F &amp; B'!$B$2:$B$10815=$A$48),
ROW()-47)
),
"")</f>
        <v/>
      </c>
    </row>
    <row r="154" spans="1:6" s="71" customFormat="1" ht="17.100000000000001" customHeight="1" x14ac:dyDescent="0.25">
      <c r="A154" s="396"/>
      <c r="B154" s="396"/>
      <c r="C154" s="189" t="str">
        <f>IFERROR(
INDEX('F &amp; B'!D$2:D$10815,
_xlfn.AGGREGATE(15,6,
(ROW('F &amp; B'!$B$2:$B$10815)-ROW('F &amp; B'!$B$2)+1)/
('F &amp; B'!$B$2:$B$10815=$A$48),
ROW()-47)
),
"")</f>
        <v/>
      </c>
      <c r="D154" s="177" t="str">
        <f>IFERROR(
INDEX('F &amp; B'!E$2:E$10815,
_xlfn.AGGREGATE(15,6,
(ROW('F &amp; B'!$B$2:$B$10815)-ROW('F &amp; B'!$B$2)+1)/
('F &amp; B'!$B$2:$B$10815=$A$48),
ROW()-47)
),
"")</f>
        <v/>
      </c>
      <c r="E154" s="7" t="str">
        <f>IFERROR(
INDEX('F &amp; B'!F$2:F$10815,
_xlfn.AGGREGATE(15,6,
(ROW('F &amp; B'!$B$2:$B$10815)-ROW('F &amp; B'!$B$2)+1)/
('F &amp; B'!$B$2:$B$10815=$A$48),
ROW()-47)
),
"")</f>
        <v/>
      </c>
      <c r="F154" s="183" t="str">
        <f>IFERROR(
INDEX('F &amp; B'!G$2:G$10815,
_xlfn.AGGREGATE(15,6,
(ROW('F &amp; B'!$B$2:$B$10815)-ROW('F &amp; B'!$B$2)+1)/
('F &amp; B'!$B$2:$B$10815=$A$48),
ROW()-47)
),
"")</f>
        <v/>
      </c>
    </row>
    <row r="155" spans="1:6" s="71" customFormat="1" ht="17.100000000000001" customHeight="1" x14ac:dyDescent="0.25">
      <c r="A155" s="396"/>
      <c r="B155" s="396"/>
      <c r="C155" s="189" t="str">
        <f>IFERROR(
INDEX('F &amp; B'!D$2:D$10815,
_xlfn.AGGREGATE(15,6,
(ROW('F &amp; B'!$B$2:$B$10815)-ROW('F &amp; B'!$B$2)+1)/
('F &amp; B'!$B$2:$B$10815=$A$48),
ROW()-47)
),
"")</f>
        <v/>
      </c>
      <c r="D155" s="177" t="str">
        <f>IFERROR(
INDEX('F &amp; B'!E$2:E$10815,
_xlfn.AGGREGATE(15,6,
(ROW('F &amp; B'!$B$2:$B$10815)-ROW('F &amp; B'!$B$2)+1)/
('F &amp; B'!$B$2:$B$10815=$A$48),
ROW()-47)
),
"")</f>
        <v/>
      </c>
      <c r="E155" s="7" t="str">
        <f>IFERROR(
INDEX('F &amp; B'!F$2:F$10815,
_xlfn.AGGREGATE(15,6,
(ROW('F &amp; B'!$B$2:$B$10815)-ROW('F &amp; B'!$B$2)+1)/
('F &amp; B'!$B$2:$B$10815=$A$48),
ROW()-47)
),
"")</f>
        <v/>
      </c>
      <c r="F155" s="183" t="str">
        <f>IFERROR(
INDEX('F &amp; B'!G$2:G$10815,
_xlfn.AGGREGATE(15,6,
(ROW('F &amp; B'!$B$2:$B$10815)-ROW('F &amp; B'!$B$2)+1)/
('F &amp; B'!$B$2:$B$10815=$A$48),
ROW()-47)
),
"")</f>
        <v/>
      </c>
    </row>
    <row r="156" spans="1:6" s="71" customFormat="1" ht="17.100000000000001" customHeight="1" x14ac:dyDescent="0.25">
      <c r="A156" s="396"/>
      <c r="B156" s="396"/>
      <c r="C156" s="189" t="str">
        <f>IFERROR(
INDEX('F &amp; B'!D$2:D$10815,
_xlfn.AGGREGATE(15,6,
(ROW('F &amp; B'!$B$2:$B$10815)-ROW('F &amp; B'!$B$2)+1)/
('F &amp; B'!$B$2:$B$10815=$A$48),
ROW()-47)
),
"")</f>
        <v/>
      </c>
      <c r="D156" s="177" t="str">
        <f>IFERROR(
INDEX('F &amp; B'!E$2:E$10815,
_xlfn.AGGREGATE(15,6,
(ROW('F &amp; B'!$B$2:$B$10815)-ROW('F &amp; B'!$B$2)+1)/
('F &amp; B'!$B$2:$B$10815=$A$48),
ROW()-47)
),
"")</f>
        <v/>
      </c>
      <c r="E156" s="7" t="str">
        <f>IFERROR(
INDEX('F &amp; B'!F$2:F$10815,
_xlfn.AGGREGATE(15,6,
(ROW('F &amp; B'!$B$2:$B$10815)-ROW('F &amp; B'!$B$2)+1)/
('F &amp; B'!$B$2:$B$10815=$A$48),
ROW()-47)
),
"")</f>
        <v/>
      </c>
      <c r="F156" s="183" t="str">
        <f>IFERROR(
INDEX('F &amp; B'!G$2:G$10815,
_xlfn.AGGREGATE(15,6,
(ROW('F &amp; B'!$B$2:$B$10815)-ROW('F &amp; B'!$B$2)+1)/
('F &amp; B'!$B$2:$B$10815=$A$48),
ROW()-47)
),
"")</f>
        <v/>
      </c>
    </row>
    <row r="157" spans="1:6" x14ac:dyDescent="0.2">
      <c r="A157" s="396"/>
      <c r="B157" s="396"/>
      <c r="C157" s="189" t="str">
        <f>IFERROR(
INDEX('F &amp; B'!D$2:D$10815,
_xlfn.AGGREGATE(15,6,
(ROW('F &amp; B'!$B$2:$B$10815)-ROW('F &amp; B'!$B$2)+1)/
('F &amp; B'!$B$2:$B$10815=$A$48),
ROW()-47)
),
"")</f>
        <v/>
      </c>
      <c r="D157" s="177" t="str">
        <f>IFERROR(
INDEX('F &amp; B'!E$2:E$10815,
_xlfn.AGGREGATE(15,6,
(ROW('F &amp; B'!$B$2:$B$10815)-ROW('F &amp; B'!$B$2)+1)/
('F &amp; B'!$B$2:$B$10815=$A$48),
ROW()-47)
),
"")</f>
        <v/>
      </c>
      <c r="E157" s="7" t="str">
        <f>IFERROR(
INDEX('F &amp; B'!F$2:F$10815,
_xlfn.AGGREGATE(15,6,
(ROW('F &amp; B'!$B$2:$B$10815)-ROW('F &amp; B'!$B$2)+1)/
('F &amp; B'!$B$2:$B$10815=$A$48),
ROW()-47)
),
"")</f>
        <v/>
      </c>
      <c r="F157" s="183" t="str">
        <f>IFERROR(
INDEX('F &amp; B'!G$2:G$10815,
_xlfn.AGGREGATE(15,6,
(ROW('F &amp; B'!$B$2:$B$10815)-ROW('F &amp; B'!$B$2)+1)/
('F &amp; B'!$B$2:$B$10815=$A$48),
ROW()-47)
),
"")</f>
        <v/>
      </c>
    </row>
    <row r="158" spans="1:6" x14ac:dyDescent="0.2">
      <c r="A158" s="396"/>
      <c r="B158" s="396"/>
      <c r="C158" s="189" t="str">
        <f>IFERROR(
INDEX('F &amp; B'!D$2:D$10815,
_xlfn.AGGREGATE(15,6,
(ROW('F &amp; B'!$B$2:$B$10815)-ROW('F &amp; B'!$B$2)+1)/
('F &amp; B'!$B$2:$B$10815=$A$48),
ROW()-47)
),
"")</f>
        <v/>
      </c>
      <c r="D158" s="177" t="str">
        <f>IFERROR(
INDEX('F &amp; B'!E$2:E$10815,
_xlfn.AGGREGATE(15,6,
(ROW('F &amp; B'!$B$2:$B$10815)-ROW('F &amp; B'!$B$2)+1)/
('F &amp; B'!$B$2:$B$10815=$A$48),
ROW()-47)
),
"")</f>
        <v/>
      </c>
      <c r="E158" s="7" t="str">
        <f>IFERROR(
INDEX('F &amp; B'!F$2:F$10815,
_xlfn.AGGREGATE(15,6,
(ROW('F &amp; B'!$B$2:$B$10815)-ROW('F &amp; B'!$B$2)+1)/
('F &amp; B'!$B$2:$B$10815=$A$48),
ROW()-47)
),
"")</f>
        <v/>
      </c>
      <c r="F158" s="183" t="str">
        <f>IFERROR(
INDEX('F &amp; B'!G$2:G$10815,
_xlfn.AGGREGATE(15,6,
(ROW('F &amp; B'!$B$2:$B$10815)-ROW('F &amp; B'!$B$2)+1)/
('F &amp; B'!$B$2:$B$10815=$A$48),
ROW()-47)
),
"")</f>
        <v/>
      </c>
    </row>
    <row r="159" spans="1:6" x14ac:dyDescent="0.2">
      <c r="A159" s="396"/>
      <c r="B159" s="396"/>
      <c r="C159" s="189" t="str">
        <f>IFERROR(
INDEX('F &amp; B'!D$2:D$10815,
_xlfn.AGGREGATE(15,6,
(ROW('F &amp; B'!$B$2:$B$10815)-ROW('F &amp; B'!$B$2)+1)/
('F &amp; B'!$B$2:$B$10815=$A$48),
ROW()-47)
),
"")</f>
        <v/>
      </c>
      <c r="D159" s="177" t="str">
        <f>IFERROR(
INDEX('F &amp; B'!E$2:E$10815,
_xlfn.AGGREGATE(15,6,
(ROW('F &amp; B'!$B$2:$B$10815)-ROW('F &amp; B'!$B$2)+1)/
('F &amp; B'!$B$2:$B$10815=$A$48),
ROW()-47)
),
"")</f>
        <v/>
      </c>
      <c r="E159" s="7" t="str">
        <f>IFERROR(
INDEX('F &amp; B'!F$2:F$10815,
_xlfn.AGGREGATE(15,6,
(ROW('F &amp; B'!$B$2:$B$10815)-ROW('F &amp; B'!$B$2)+1)/
('F &amp; B'!$B$2:$B$10815=$A$48),
ROW()-47)
),
"")</f>
        <v/>
      </c>
      <c r="F159" s="183" t="str">
        <f>IFERROR(
INDEX('F &amp; B'!G$2:G$10815,
_xlfn.AGGREGATE(15,6,
(ROW('F &amp; B'!$B$2:$B$10815)-ROW('F &amp; B'!$B$2)+1)/
('F &amp; B'!$B$2:$B$10815=$A$48),
ROW()-47)
),
"")</f>
        <v/>
      </c>
    </row>
    <row r="160" spans="1:6" x14ac:dyDescent="0.2">
      <c r="A160" s="396"/>
      <c r="B160" s="396"/>
      <c r="C160" s="189" t="str">
        <f>IFERROR(
INDEX('F &amp; B'!D$2:D$10815,
_xlfn.AGGREGATE(15,6,
(ROW('F &amp; B'!$B$2:$B$10815)-ROW('F &amp; B'!$B$2)+1)/
('F &amp; B'!$B$2:$B$10815=$A$48),
ROW()-47)
),
"")</f>
        <v/>
      </c>
      <c r="D160" s="177" t="str">
        <f>IFERROR(
INDEX('F &amp; B'!E$2:E$10815,
_xlfn.AGGREGATE(15,6,
(ROW('F &amp; B'!$B$2:$B$10815)-ROW('F &amp; B'!$B$2)+1)/
('F &amp; B'!$B$2:$B$10815=$A$48),
ROW()-47)
),
"")</f>
        <v/>
      </c>
      <c r="E160" s="7" t="str">
        <f>IFERROR(
INDEX('F &amp; B'!F$2:F$10815,
_xlfn.AGGREGATE(15,6,
(ROW('F &amp; B'!$B$2:$B$10815)-ROW('F &amp; B'!$B$2)+1)/
('F &amp; B'!$B$2:$B$10815=$A$48),
ROW()-47)
),
"")</f>
        <v/>
      </c>
      <c r="F160" s="183" t="str">
        <f>IFERROR(
INDEX('F &amp; B'!G$2:G$10815,
_xlfn.AGGREGATE(15,6,
(ROW('F &amp; B'!$B$2:$B$10815)-ROW('F &amp; B'!$B$2)+1)/
('F &amp; B'!$B$2:$B$10815=$A$48),
ROW()-47)
),
"")</f>
        <v/>
      </c>
    </row>
    <row r="161" spans="1:6" x14ac:dyDescent="0.2">
      <c r="A161" s="396"/>
      <c r="B161" s="396"/>
      <c r="C161" s="189" t="str">
        <f>IFERROR(
INDEX('F &amp; B'!D$2:D$10815,
_xlfn.AGGREGATE(15,6,
(ROW('F &amp; B'!$B$2:$B$10815)-ROW('F &amp; B'!$B$2)+1)/
('F &amp; B'!$B$2:$B$10815=$A$48),
ROW()-47)
),
"")</f>
        <v/>
      </c>
      <c r="D161" s="177" t="str">
        <f>IFERROR(
INDEX('F &amp; B'!E$2:E$10815,
_xlfn.AGGREGATE(15,6,
(ROW('F &amp; B'!$B$2:$B$10815)-ROW('F &amp; B'!$B$2)+1)/
('F &amp; B'!$B$2:$B$10815=$A$48),
ROW()-47)
),
"")</f>
        <v/>
      </c>
      <c r="E161" s="7" t="str">
        <f>IFERROR(
INDEX('F &amp; B'!F$2:F$10815,
_xlfn.AGGREGATE(15,6,
(ROW('F &amp; B'!$B$2:$B$10815)-ROW('F &amp; B'!$B$2)+1)/
('F &amp; B'!$B$2:$B$10815=$A$48),
ROW()-47)
),
"")</f>
        <v/>
      </c>
      <c r="F161" s="183" t="str">
        <f>IFERROR(
INDEX('F &amp; B'!G$2:G$10815,
_xlfn.AGGREGATE(15,6,
(ROW('F &amp; B'!$B$2:$B$10815)-ROW('F &amp; B'!$B$2)+1)/
('F &amp; B'!$B$2:$B$10815=$A$48),
ROW()-47)
),
"")</f>
        <v/>
      </c>
    </row>
    <row r="162" spans="1:6" x14ac:dyDescent="0.2">
      <c r="A162" s="396"/>
      <c r="B162" s="396"/>
      <c r="C162" s="189" t="str">
        <f>IFERROR(
INDEX('F &amp; B'!D$2:D$10815,
_xlfn.AGGREGATE(15,6,
(ROW('F &amp; B'!$B$2:$B$10815)-ROW('F &amp; B'!$B$2)+1)/
('F &amp; B'!$B$2:$B$10815=$A$48),
ROW()-47)
),
"")</f>
        <v/>
      </c>
      <c r="D162" s="177" t="str">
        <f>IFERROR(
INDEX('F &amp; B'!E$2:E$10815,
_xlfn.AGGREGATE(15,6,
(ROW('F &amp; B'!$B$2:$B$10815)-ROW('F &amp; B'!$B$2)+1)/
('F &amp; B'!$B$2:$B$10815=$A$48),
ROW()-47)
),
"")</f>
        <v/>
      </c>
      <c r="E162" s="7" t="str">
        <f>IFERROR(
INDEX('F &amp; B'!F$2:F$10815,
_xlfn.AGGREGATE(15,6,
(ROW('F &amp; B'!$B$2:$B$10815)-ROW('F &amp; B'!$B$2)+1)/
('F &amp; B'!$B$2:$B$10815=$A$48),
ROW()-47)
),
"")</f>
        <v/>
      </c>
      <c r="F162" s="183" t="str">
        <f>IFERROR(
INDEX('F &amp; B'!G$2:G$10815,
_xlfn.AGGREGATE(15,6,
(ROW('F &amp; B'!$B$2:$B$10815)-ROW('F &amp; B'!$B$2)+1)/
('F &amp; B'!$B$2:$B$10815=$A$48),
ROW()-47)
),
"")</f>
        <v/>
      </c>
    </row>
    <row r="163" spans="1:6" x14ac:dyDescent="0.2">
      <c r="A163" s="396"/>
      <c r="B163" s="396"/>
      <c r="C163" s="189" t="str">
        <f>IFERROR(
INDEX('F &amp; B'!D$2:D$10815,
_xlfn.AGGREGATE(15,6,
(ROW('F &amp; B'!$B$2:$B$10815)-ROW('F &amp; B'!$B$2)+1)/
('F &amp; B'!$B$2:$B$10815=$A$48),
ROW()-47)
),
"")</f>
        <v/>
      </c>
      <c r="D163" s="177" t="str">
        <f>IFERROR(
INDEX('F &amp; B'!E$2:E$10815,
_xlfn.AGGREGATE(15,6,
(ROW('F &amp; B'!$B$2:$B$10815)-ROW('F &amp; B'!$B$2)+1)/
('F &amp; B'!$B$2:$B$10815=$A$48),
ROW()-47)
),
"")</f>
        <v/>
      </c>
      <c r="E163" s="7" t="str">
        <f>IFERROR(
INDEX('F &amp; B'!F$2:F$10815,
_xlfn.AGGREGATE(15,6,
(ROW('F &amp; B'!$B$2:$B$10815)-ROW('F &amp; B'!$B$2)+1)/
('F &amp; B'!$B$2:$B$10815=$A$48),
ROW()-47)
),
"")</f>
        <v/>
      </c>
      <c r="F163" s="183" t="str">
        <f>IFERROR(
INDEX('F &amp; B'!G$2:G$10815,
_xlfn.AGGREGATE(15,6,
(ROW('F &amp; B'!$B$2:$B$10815)-ROW('F &amp; B'!$B$2)+1)/
('F &amp; B'!$B$2:$B$10815=$A$48),
ROW()-47)
),
"")</f>
        <v/>
      </c>
    </row>
    <row r="164" spans="1:6" x14ac:dyDescent="0.2">
      <c r="A164" s="396"/>
      <c r="B164" s="396"/>
      <c r="C164" s="189" t="str">
        <f>IFERROR(
INDEX('F &amp; B'!D$2:D$10815,
_xlfn.AGGREGATE(15,6,
(ROW('F &amp; B'!$B$2:$B$10815)-ROW('F &amp; B'!$B$2)+1)/
('F &amp; B'!$B$2:$B$10815=$A$48),
ROW()-47)
),
"")</f>
        <v/>
      </c>
      <c r="D164" s="177" t="str">
        <f>IFERROR(
INDEX('F &amp; B'!E$2:E$10815,
_xlfn.AGGREGATE(15,6,
(ROW('F &amp; B'!$B$2:$B$10815)-ROW('F &amp; B'!$B$2)+1)/
('F &amp; B'!$B$2:$B$10815=$A$48),
ROW()-47)
),
"")</f>
        <v/>
      </c>
      <c r="E164" s="7" t="str">
        <f>IFERROR(
INDEX('F &amp; B'!F$2:F$10815,
_xlfn.AGGREGATE(15,6,
(ROW('F &amp; B'!$B$2:$B$10815)-ROW('F &amp; B'!$B$2)+1)/
('F &amp; B'!$B$2:$B$10815=$A$48),
ROW()-47)
),
"")</f>
        <v/>
      </c>
      <c r="F164" s="183" t="str">
        <f>IFERROR(
INDEX('F &amp; B'!G$2:G$10815,
_xlfn.AGGREGATE(15,6,
(ROW('F &amp; B'!$B$2:$B$10815)-ROW('F &amp; B'!$B$2)+1)/
('F &amp; B'!$B$2:$B$10815=$A$48),
ROW()-47)
),
"")</f>
        <v/>
      </c>
    </row>
    <row r="165" spans="1:6" x14ac:dyDescent="0.2">
      <c r="A165" s="396"/>
      <c r="B165" s="396"/>
      <c r="C165" s="189" t="str">
        <f>IFERROR(
INDEX('F &amp; B'!D$2:D$10815,
_xlfn.AGGREGATE(15,6,
(ROW('F &amp; B'!$B$2:$B$10815)-ROW('F &amp; B'!$B$2)+1)/
('F &amp; B'!$B$2:$B$10815=$A$48),
ROW()-47)
),
"")</f>
        <v/>
      </c>
      <c r="D165" s="177" t="str">
        <f>IFERROR(
INDEX('F &amp; B'!E$2:E$10815,
_xlfn.AGGREGATE(15,6,
(ROW('F &amp; B'!$B$2:$B$10815)-ROW('F &amp; B'!$B$2)+1)/
('F &amp; B'!$B$2:$B$10815=$A$48),
ROW()-47)
),
"")</f>
        <v/>
      </c>
      <c r="E165" s="7" t="str">
        <f>IFERROR(
INDEX('F &amp; B'!F$2:F$10815,
_xlfn.AGGREGATE(15,6,
(ROW('F &amp; B'!$B$2:$B$10815)-ROW('F &amp; B'!$B$2)+1)/
('F &amp; B'!$B$2:$B$10815=$A$48),
ROW()-47)
),
"")</f>
        <v/>
      </c>
      <c r="F165" s="183" t="str">
        <f>IFERROR(
INDEX('F &amp; B'!G$2:G$10815,
_xlfn.AGGREGATE(15,6,
(ROW('F &amp; B'!$B$2:$B$10815)-ROW('F &amp; B'!$B$2)+1)/
('F &amp; B'!$B$2:$B$10815=$A$48),
ROW()-47)
),
"")</f>
        <v/>
      </c>
    </row>
    <row r="166" spans="1:6" x14ac:dyDescent="0.2">
      <c r="A166" s="396"/>
      <c r="B166" s="396"/>
      <c r="C166" s="189" t="str">
        <f>IFERROR(
INDEX('F &amp; B'!D$2:D$10815,
_xlfn.AGGREGATE(15,6,
(ROW('F &amp; B'!$B$2:$B$10815)-ROW('F &amp; B'!$B$2)+1)/
('F &amp; B'!$B$2:$B$10815=$A$48),
ROW()-47)
),
"")</f>
        <v/>
      </c>
      <c r="D166" s="177" t="str">
        <f>IFERROR(
INDEX('F &amp; B'!E$2:E$10815,
_xlfn.AGGREGATE(15,6,
(ROW('F &amp; B'!$B$2:$B$10815)-ROW('F &amp; B'!$B$2)+1)/
('F &amp; B'!$B$2:$B$10815=$A$48),
ROW()-47)
),
"")</f>
        <v/>
      </c>
      <c r="E166" s="7" t="str">
        <f>IFERROR(
INDEX('F &amp; B'!F$2:F$10815,
_xlfn.AGGREGATE(15,6,
(ROW('F &amp; B'!$B$2:$B$10815)-ROW('F &amp; B'!$B$2)+1)/
('F &amp; B'!$B$2:$B$10815=$A$48),
ROW()-47)
),
"")</f>
        <v/>
      </c>
      <c r="F166" s="183" t="str">
        <f>IFERROR(
INDEX('F &amp; B'!G$2:G$10815,
_xlfn.AGGREGATE(15,6,
(ROW('F &amp; B'!$B$2:$B$10815)-ROW('F &amp; B'!$B$2)+1)/
('F &amp; B'!$B$2:$B$10815=$A$48),
ROW()-47)
),
"")</f>
        <v/>
      </c>
    </row>
    <row r="167" spans="1:6" x14ac:dyDescent="0.2">
      <c r="A167" s="396"/>
      <c r="B167" s="396"/>
      <c r="C167" s="189" t="str">
        <f>IFERROR(
INDEX('F &amp; B'!D$2:D$10815,
_xlfn.AGGREGATE(15,6,
(ROW('F &amp; B'!$B$2:$B$10815)-ROW('F &amp; B'!$B$2)+1)/
('F &amp; B'!$B$2:$B$10815=$A$48),
ROW()-47)
),
"")</f>
        <v/>
      </c>
      <c r="D167" s="177" t="str">
        <f>IFERROR(
INDEX('F &amp; B'!E$2:E$10815,
_xlfn.AGGREGATE(15,6,
(ROW('F &amp; B'!$B$2:$B$10815)-ROW('F &amp; B'!$B$2)+1)/
('F &amp; B'!$B$2:$B$10815=$A$48),
ROW()-47)
),
"")</f>
        <v/>
      </c>
      <c r="E167" s="7" t="str">
        <f>IFERROR(
INDEX('F &amp; B'!F$2:F$10815,
_xlfn.AGGREGATE(15,6,
(ROW('F &amp; B'!$B$2:$B$10815)-ROW('F &amp; B'!$B$2)+1)/
('F &amp; B'!$B$2:$B$10815=$A$48),
ROW()-47)
),
"")</f>
        <v/>
      </c>
      <c r="F167" s="183" t="str">
        <f>IFERROR(
INDEX('F &amp; B'!G$2:G$10815,
_xlfn.AGGREGATE(15,6,
(ROW('F &amp; B'!$B$2:$B$10815)-ROW('F &amp; B'!$B$2)+1)/
('F &amp; B'!$B$2:$B$10815=$A$48),
ROW()-47)
),
"")</f>
        <v/>
      </c>
    </row>
    <row r="168" spans="1:6" x14ac:dyDescent="0.2">
      <c r="A168" s="396"/>
      <c r="B168" s="396"/>
      <c r="C168" s="189" t="str">
        <f>IFERROR(
INDEX('F &amp; B'!D$2:D$10815,
_xlfn.AGGREGATE(15,6,
(ROW('F &amp; B'!$B$2:$B$10815)-ROW('F &amp; B'!$B$2)+1)/
('F &amp; B'!$B$2:$B$10815=$A$48),
ROW()-47)
),
"")</f>
        <v/>
      </c>
      <c r="D168" s="177" t="str">
        <f>IFERROR(
INDEX('F &amp; B'!E$2:E$10815,
_xlfn.AGGREGATE(15,6,
(ROW('F &amp; B'!$B$2:$B$10815)-ROW('F &amp; B'!$B$2)+1)/
('F &amp; B'!$B$2:$B$10815=$A$48),
ROW()-47)
),
"")</f>
        <v/>
      </c>
      <c r="E168" s="7" t="str">
        <f>IFERROR(
INDEX('F &amp; B'!F$2:F$10815,
_xlfn.AGGREGATE(15,6,
(ROW('F &amp; B'!$B$2:$B$10815)-ROW('F &amp; B'!$B$2)+1)/
('F &amp; B'!$B$2:$B$10815=$A$48),
ROW()-47)
),
"")</f>
        <v/>
      </c>
      <c r="F168" s="183" t="str">
        <f>IFERROR(
INDEX('F &amp; B'!G$2:G$10815,
_xlfn.AGGREGATE(15,6,
(ROW('F &amp; B'!$B$2:$B$10815)-ROW('F &amp; B'!$B$2)+1)/
('F &amp; B'!$B$2:$B$10815=$A$48),
ROW()-47)
),
"")</f>
        <v/>
      </c>
    </row>
    <row r="169" spans="1:6" x14ac:dyDescent="0.2">
      <c r="A169" s="396"/>
      <c r="B169" s="396"/>
      <c r="C169" s="189" t="str">
        <f>IFERROR(
INDEX('F &amp; B'!D$2:D$10815,
_xlfn.AGGREGATE(15,6,
(ROW('F &amp; B'!$B$2:$B$10815)-ROW('F &amp; B'!$B$2)+1)/
('F &amp; B'!$B$2:$B$10815=$A$48),
ROW()-47)
),
"")</f>
        <v/>
      </c>
      <c r="D169" s="177" t="str">
        <f>IFERROR(
INDEX('F &amp; B'!E$2:E$10815,
_xlfn.AGGREGATE(15,6,
(ROW('F &amp; B'!$B$2:$B$10815)-ROW('F &amp; B'!$B$2)+1)/
('F &amp; B'!$B$2:$B$10815=$A$48),
ROW()-47)
),
"")</f>
        <v/>
      </c>
      <c r="E169" s="7" t="str">
        <f>IFERROR(
INDEX('F &amp; B'!F$2:F$10815,
_xlfn.AGGREGATE(15,6,
(ROW('F &amp; B'!$B$2:$B$10815)-ROW('F &amp; B'!$B$2)+1)/
('F &amp; B'!$B$2:$B$10815=$A$48),
ROW()-47)
),
"")</f>
        <v/>
      </c>
      <c r="F169" s="183" t="str">
        <f>IFERROR(
INDEX('F &amp; B'!G$2:G$10815,
_xlfn.AGGREGATE(15,6,
(ROW('F &amp; B'!$B$2:$B$10815)-ROW('F &amp; B'!$B$2)+1)/
('F &amp; B'!$B$2:$B$10815=$A$48),
ROW()-47)
),
"")</f>
        <v/>
      </c>
    </row>
    <row r="170" spans="1:6" x14ac:dyDescent="0.2">
      <c r="A170" s="396"/>
      <c r="B170" s="396"/>
      <c r="C170" s="189" t="str">
        <f>IFERROR(
INDEX('F &amp; B'!D$2:D$10815,
_xlfn.AGGREGATE(15,6,
(ROW('F &amp; B'!$B$2:$B$10815)-ROW('F &amp; B'!$B$2)+1)/
('F &amp; B'!$B$2:$B$10815=$A$48),
ROW()-47)
),
"")</f>
        <v/>
      </c>
      <c r="D170" s="177" t="str">
        <f>IFERROR(
INDEX('F &amp; B'!E$2:E$10815,
_xlfn.AGGREGATE(15,6,
(ROW('F &amp; B'!$B$2:$B$10815)-ROW('F &amp; B'!$B$2)+1)/
('F &amp; B'!$B$2:$B$10815=$A$48),
ROW()-47)
),
"")</f>
        <v/>
      </c>
      <c r="E170" s="7" t="str">
        <f>IFERROR(
INDEX('F &amp; B'!F$2:F$10815,
_xlfn.AGGREGATE(15,6,
(ROW('F &amp; B'!$B$2:$B$10815)-ROW('F &amp; B'!$B$2)+1)/
('F &amp; B'!$B$2:$B$10815=$A$48),
ROW()-47)
),
"")</f>
        <v/>
      </c>
      <c r="F170" s="183" t="str">
        <f>IFERROR(
INDEX('F &amp; B'!G$2:G$10815,
_xlfn.AGGREGATE(15,6,
(ROW('F &amp; B'!$B$2:$B$10815)-ROW('F &amp; B'!$B$2)+1)/
('F &amp; B'!$B$2:$B$10815=$A$48),
ROW()-47)
),
"")</f>
        <v/>
      </c>
    </row>
    <row r="171" spans="1:6" x14ac:dyDescent="0.2">
      <c r="A171" s="396"/>
      <c r="B171" s="396"/>
      <c r="C171" s="189" t="str">
        <f>IFERROR(
INDEX('F &amp; B'!D$2:D$10815,
_xlfn.AGGREGATE(15,6,
(ROW('F &amp; B'!$B$2:$B$10815)-ROW('F &amp; B'!$B$2)+1)/
('F &amp; B'!$B$2:$B$10815=$A$48),
ROW()-47)
),
"")</f>
        <v/>
      </c>
      <c r="D171" s="177" t="str">
        <f>IFERROR(
INDEX('F &amp; B'!E$2:E$10815,
_xlfn.AGGREGATE(15,6,
(ROW('F &amp; B'!$B$2:$B$10815)-ROW('F &amp; B'!$B$2)+1)/
('F &amp; B'!$B$2:$B$10815=$A$48),
ROW()-47)
),
"")</f>
        <v/>
      </c>
      <c r="E171" s="7" t="str">
        <f>IFERROR(
INDEX('F &amp; B'!F$2:F$10815,
_xlfn.AGGREGATE(15,6,
(ROW('F &amp; B'!$B$2:$B$10815)-ROW('F &amp; B'!$B$2)+1)/
('F &amp; B'!$B$2:$B$10815=$A$48),
ROW()-47)
),
"")</f>
        <v/>
      </c>
      <c r="F171" s="183" t="str">
        <f>IFERROR(
INDEX('F &amp; B'!G$2:G$10815,
_xlfn.AGGREGATE(15,6,
(ROW('F &amp; B'!$B$2:$B$10815)-ROW('F &amp; B'!$B$2)+1)/
('F &amp; B'!$B$2:$B$10815=$A$48),
ROW()-47)
),
"")</f>
        <v/>
      </c>
    </row>
    <row r="172" spans="1:6" x14ac:dyDescent="0.2">
      <c r="A172" s="396"/>
      <c r="B172" s="396"/>
      <c r="C172" s="189" t="str">
        <f>IFERROR(
INDEX('F &amp; B'!D$2:D$10815,
_xlfn.AGGREGATE(15,6,
(ROW('F &amp; B'!$B$2:$B$10815)-ROW('F &amp; B'!$B$2)+1)/
('F &amp; B'!$B$2:$B$10815=$A$48),
ROW()-47)
),
"")</f>
        <v/>
      </c>
      <c r="D172" s="177" t="str">
        <f>IFERROR(
INDEX('F &amp; B'!E$2:E$10815,
_xlfn.AGGREGATE(15,6,
(ROW('F &amp; B'!$B$2:$B$10815)-ROW('F &amp; B'!$B$2)+1)/
('F &amp; B'!$B$2:$B$10815=$A$48),
ROW()-47)
),
"")</f>
        <v/>
      </c>
      <c r="E172" s="7" t="str">
        <f>IFERROR(
INDEX('F &amp; B'!F$2:F$10815,
_xlfn.AGGREGATE(15,6,
(ROW('F &amp; B'!$B$2:$B$10815)-ROW('F &amp; B'!$B$2)+1)/
('F &amp; B'!$B$2:$B$10815=$A$48),
ROW()-47)
),
"")</f>
        <v/>
      </c>
      <c r="F172" s="183" t="str">
        <f>IFERROR(
INDEX('F &amp; B'!G$2:G$10815,
_xlfn.AGGREGATE(15,6,
(ROW('F &amp; B'!$B$2:$B$10815)-ROW('F &amp; B'!$B$2)+1)/
('F &amp; B'!$B$2:$B$10815=$A$48),
ROW()-47)
),
"")</f>
        <v/>
      </c>
    </row>
    <row r="173" spans="1:6" x14ac:dyDescent="0.2">
      <c r="A173" s="396"/>
      <c r="B173" s="396"/>
      <c r="C173" s="189" t="str">
        <f>IFERROR(
INDEX('F &amp; B'!D$2:D$10815,
_xlfn.AGGREGATE(15,6,
(ROW('F &amp; B'!$B$2:$B$10815)-ROW('F &amp; B'!$B$2)+1)/
('F &amp; B'!$B$2:$B$10815=$A$48),
ROW()-47)
),
"")</f>
        <v/>
      </c>
      <c r="D173" s="177" t="str">
        <f>IFERROR(
INDEX('F &amp; B'!E$2:E$10815,
_xlfn.AGGREGATE(15,6,
(ROW('F &amp; B'!$B$2:$B$10815)-ROW('F &amp; B'!$B$2)+1)/
('F &amp; B'!$B$2:$B$10815=$A$48),
ROW()-47)
),
"")</f>
        <v/>
      </c>
      <c r="E173" s="7" t="str">
        <f>IFERROR(
INDEX('F &amp; B'!F$2:F$10815,
_xlfn.AGGREGATE(15,6,
(ROW('F &amp; B'!$B$2:$B$10815)-ROW('F &amp; B'!$B$2)+1)/
('F &amp; B'!$B$2:$B$10815=$A$48),
ROW()-47)
),
"")</f>
        <v/>
      </c>
      <c r="F173" s="183" t="str">
        <f>IFERROR(
INDEX('F &amp; B'!G$2:G$10815,
_xlfn.AGGREGATE(15,6,
(ROW('F &amp; B'!$B$2:$B$10815)-ROW('F &amp; B'!$B$2)+1)/
('F &amp; B'!$B$2:$B$10815=$A$48),
ROW()-47)
),
"")</f>
        <v/>
      </c>
    </row>
    <row r="174" spans="1:6" x14ac:dyDescent="0.2">
      <c r="A174" s="396"/>
      <c r="B174" s="396"/>
      <c r="C174" s="189" t="str">
        <f>IFERROR(
INDEX('F &amp; B'!D$2:D$10815,
_xlfn.AGGREGATE(15,6,
(ROW('F &amp; B'!$B$2:$B$10815)-ROW('F &amp; B'!$B$2)+1)/
('F &amp; B'!$B$2:$B$10815=$A$48),
ROW()-47)
),
"")</f>
        <v/>
      </c>
      <c r="D174" s="177" t="str">
        <f>IFERROR(
INDEX('F &amp; B'!E$2:E$10815,
_xlfn.AGGREGATE(15,6,
(ROW('F &amp; B'!$B$2:$B$10815)-ROW('F &amp; B'!$B$2)+1)/
('F &amp; B'!$B$2:$B$10815=$A$48),
ROW()-47)
),
"")</f>
        <v/>
      </c>
      <c r="E174" s="7" t="str">
        <f>IFERROR(
INDEX('F &amp; B'!F$2:F$10815,
_xlfn.AGGREGATE(15,6,
(ROW('F &amp; B'!$B$2:$B$10815)-ROW('F &amp; B'!$B$2)+1)/
('F &amp; B'!$B$2:$B$10815=$A$48),
ROW()-47)
),
"")</f>
        <v/>
      </c>
      <c r="F174" s="183" t="str">
        <f>IFERROR(
INDEX('F &amp; B'!G$2:G$10815,
_xlfn.AGGREGATE(15,6,
(ROW('F &amp; B'!$B$2:$B$10815)-ROW('F &amp; B'!$B$2)+1)/
('F &amp; B'!$B$2:$B$10815=$A$48),
ROW()-47)
),
"")</f>
        <v/>
      </c>
    </row>
    <row r="175" spans="1:6" x14ac:dyDescent="0.2">
      <c r="A175" s="396"/>
      <c r="B175" s="396"/>
      <c r="C175" s="189" t="str">
        <f>IFERROR(
INDEX('F &amp; B'!D$2:D$10815,
_xlfn.AGGREGATE(15,6,
(ROW('F &amp; B'!$B$2:$B$10815)-ROW('F &amp; B'!$B$2)+1)/
('F &amp; B'!$B$2:$B$10815=$A$48),
ROW()-47)
),
"")</f>
        <v/>
      </c>
      <c r="D175" s="177" t="str">
        <f>IFERROR(
INDEX('F &amp; B'!E$2:E$10815,
_xlfn.AGGREGATE(15,6,
(ROW('F &amp; B'!$B$2:$B$10815)-ROW('F &amp; B'!$B$2)+1)/
('F &amp; B'!$B$2:$B$10815=$A$48),
ROW()-47)
),
"")</f>
        <v/>
      </c>
      <c r="E175" s="7" t="str">
        <f>IFERROR(
INDEX('F &amp; B'!F$2:F$10815,
_xlfn.AGGREGATE(15,6,
(ROW('F &amp; B'!$B$2:$B$10815)-ROW('F &amp; B'!$B$2)+1)/
('F &amp; B'!$B$2:$B$10815=$A$48),
ROW()-47)
),
"")</f>
        <v/>
      </c>
      <c r="F175" s="183" t="str">
        <f>IFERROR(
INDEX('F &amp; B'!G$2:G$10815,
_xlfn.AGGREGATE(15,6,
(ROW('F &amp; B'!$B$2:$B$10815)-ROW('F &amp; B'!$B$2)+1)/
('F &amp; B'!$B$2:$B$10815=$A$48),
ROW()-47)
),
"")</f>
        <v/>
      </c>
    </row>
    <row r="176" spans="1:6" x14ac:dyDescent="0.2">
      <c r="A176" s="396"/>
      <c r="B176" s="396"/>
      <c r="C176" s="189" t="str">
        <f>IFERROR(
INDEX('F &amp; B'!D$2:D$10815,
_xlfn.AGGREGATE(15,6,
(ROW('F &amp; B'!$B$2:$B$10815)-ROW('F &amp; B'!$B$2)+1)/
('F &amp; B'!$B$2:$B$10815=$A$48),
ROW()-47)
),
"")</f>
        <v/>
      </c>
      <c r="D176" s="177" t="str">
        <f>IFERROR(
INDEX('F &amp; B'!E$2:E$10815,
_xlfn.AGGREGATE(15,6,
(ROW('F &amp; B'!$B$2:$B$10815)-ROW('F &amp; B'!$B$2)+1)/
('F &amp; B'!$B$2:$B$10815=$A$48),
ROW()-47)
),
"")</f>
        <v/>
      </c>
      <c r="E176" s="7" t="str">
        <f>IFERROR(
INDEX('F &amp; B'!F$2:F$10815,
_xlfn.AGGREGATE(15,6,
(ROW('F &amp; B'!$B$2:$B$10815)-ROW('F &amp; B'!$B$2)+1)/
('F &amp; B'!$B$2:$B$10815=$A$48),
ROW()-47)
),
"")</f>
        <v/>
      </c>
      <c r="F176" s="183" t="str">
        <f>IFERROR(
INDEX('F &amp; B'!G$2:G$10815,
_xlfn.AGGREGATE(15,6,
(ROW('F &amp; B'!$B$2:$B$10815)-ROW('F &amp; B'!$B$2)+1)/
('F &amp; B'!$B$2:$B$10815=$A$48),
ROW()-47)
),
"")</f>
        <v/>
      </c>
    </row>
    <row r="177" spans="1:6" x14ac:dyDescent="0.2">
      <c r="A177" s="396"/>
      <c r="B177" s="396"/>
      <c r="C177" s="189" t="str">
        <f>IFERROR(
INDEX('F &amp; B'!D$2:D$10815,
_xlfn.AGGREGATE(15,6,
(ROW('F &amp; B'!$B$2:$B$10815)-ROW('F &amp; B'!$B$2)+1)/
('F &amp; B'!$B$2:$B$10815=$A$48),
ROW()-47)
),
"")</f>
        <v/>
      </c>
      <c r="D177" s="177" t="str">
        <f>IFERROR(
INDEX('F &amp; B'!E$2:E$10815,
_xlfn.AGGREGATE(15,6,
(ROW('F &amp; B'!$B$2:$B$10815)-ROW('F &amp; B'!$B$2)+1)/
('F &amp; B'!$B$2:$B$10815=$A$48),
ROW()-47)
),
"")</f>
        <v/>
      </c>
      <c r="E177" s="7" t="str">
        <f>IFERROR(
INDEX('F &amp; B'!F$2:F$10815,
_xlfn.AGGREGATE(15,6,
(ROW('F &amp; B'!$B$2:$B$10815)-ROW('F &amp; B'!$B$2)+1)/
('F &amp; B'!$B$2:$B$10815=$A$48),
ROW()-47)
),
"")</f>
        <v/>
      </c>
      <c r="F177" s="183" t="str">
        <f>IFERROR(
INDEX('F &amp; B'!G$2:G$10815,
_xlfn.AGGREGATE(15,6,
(ROW('F &amp; B'!$B$2:$B$10815)-ROW('F &amp; B'!$B$2)+1)/
('F &amp; B'!$B$2:$B$10815=$A$48),
ROW()-47)
),
"")</f>
        <v/>
      </c>
    </row>
    <row r="178" spans="1:6" x14ac:dyDescent="0.2">
      <c r="A178" s="396"/>
      <c r="B178" s="396"/>
      <c r="C178" s="189" t="str">
        <f>IFERROR(
INDEX('F &amp; B'!D$2:D$10815,
_xlfn.AGGREGATE(15,6,
(ROW('F &amp; B'!$B$2:$B$10815)-ROW('F &amp; B'!$B$2)+1)/
('F &amp; B'!$B$2:$B$10815=$A$48),
ROW()-47)
),
"")</f>
        <v/>
      </c>
      <c r="D178" s="177" t="str">
        <f>IFERROR(
INDEX('F &amp; B'!E$2:E$10815,
_xlfn.AGGREGATE(15,6,
(ROW('F &amp; B'!$B$2:$B$10815)-ROW('F &amp; B'!$B$2)+1)/
('F &amp; B'!$B$2:$B$10815=$A$48),
ROW()-47)
),
"")</f>
        <v/>
      </c>
      <c r="E178" s="7" t="str">
        <f>IFERROR(
INDEX('F &amp; B'!F$2:F$10815,
_xlfn.AGGREGATE(15,6,
(ROW('F &amp; B'!$B$2:$B$10815)-ROW('F &amp; B'!$B$2)+1)/
('F &amp; B'!$B$2:$B$10815=$A$48),
ROW()-47)
),
"")</f>
        <v/>
      </c>
      <c r="F178" s="183" t="str">
        <f>IFERROR(
INDEX('F &amp; B'!G$2:G$10815,
_xlfn.AGGREGATE(15,6,
(ROW('F &amp; B'!$B$2:$B$10815)-ROW('F &amp; B'!$B$2)+1)/
('F &amp; B'!$B$2:$B$10815=$A$48),
ROW()-47)
),
"")</f>
        <v/>
      </c>
    </row>
    <row r="179" spans="1:6" x14ac:dyDescent="0.2">
      <c r="A179" s="396"/>
      <c r="B179" s="396"/>
      <c r="C179" s="189" t="str">
        <f>IFERROR(
INDEX('F &amp; B'!D$2:D$10815,
_xlfn.AGGREGATE(15,6,
(ROW('F &amp; B'!$B$2:$B$10815)-ROW('F &amp; B'!$B$2)+1)/
('F &amp; B'!$B$2:$B$10815=$A$48),
ROW()-47)
),
"")</f>
        <v/>
      </c>
      <c r="D179" s="177" t="str">
        <f>IFERROR(
INDEX('F &amp; B'!E$2:E$10815,
_xlfn.AGGREGATE(15,6,
(ROW('F &amp; B'!$B$2:$B$10815)-ROW('F &amp; B'!$B$2)+1)/
('F &amp; B'!$B$2:$B$10815=$A$48),
ROW()-47)
),
"")</f>
        <v/>
      </c>
      <c r="E179" s="7" t="str">
        <f>IFERROR(
INDEX('F &amp; B'!F$2:F$10815,
_xlfn.AGGREGATE(15,6,
(ROW('F &amp; B'!$B$2:$B$10815)-ROW('F &amp; B'!$B$2)+1)/
('F &amp; B'!$B$2:$B$10815=$A$48),
ROW()-47)
),
"")</f>
        <v/>
      </c>
      <c r="F179" s="183" t="str">
        <f>IFERROR(
INDEX('F &amp; B'!G$2:G$10815,
_xlfn.AGGREGATE(15,6,
(ROW('F &amp; B'!$B$2:$B$10815)-ROW('F &amp; B'!$B$2)+1)/
('F &amp; B'!$B$2:$B$10815=$A$48),
ROW()-47)
),
"")</f>
        <v/>
      </c>
    </row>
    <row r="180" spans="1:6" x14ac:dyDescent="0.2">
      <c r="A180" s="396"/>
      <c r="B180" s="396"/>
      <c r="C180" s="189" t="str">
        <f>IFERROR(
INDEX('F &amp; B'!D$2:D$10815,
_xlfn.AGGREGATE(15,6,
(ROW('F &amp; B'!$B$2:$B$10815)-ROW('F &amp; B'!$B$2)+1)/
('F &amp; B'!$B$2:$B$10815=$A$48),
ROW()-47)
),
"")</f>
        <v/>
      </c>
      <c r="D180" s="177" t="str">
        <f>IFERROR(
INDEX('F &amp; B'!E$2:E$10815,
_xlfn.AGGREGATE(15,6,
(ROW('F &amp; B'!$B$2:$B$10815)-ROW('F &amp; B'!$B$2)+1)/
('F &amp; B'!$B$2:$B$10815=$A$48),
ROW()-47)
),
"")</f>
        <v/>
      </c>
      <c r="E180" s="7" t="str">
        <f>IFERROR(
INDEX('F &amp; B'!F$2:F$10815,
_xlfn.AGGREGATE(15,6,
(ROW('F &amp; B'!$B$2:$B$10815)-ROW('F &amp; B'!$B$2)+1)/
('F &amp; B'!$B$2:$B$10815=$A$48),
ROW()-47)
),
"")</f>
        <v/>
      </c>
      <c r="F180" s="183" t="str">
        <f>IFERROR(
INDEX('F &amp; B'!G$2:G$10815,
_xlfn.AGGREGATE(15,6,
(ROW('F &amp; B'!$B$2:$B$10815)-ROW('F &amp; B'!$B$2)+1)/
('F &amp; B'!$B$2:$B$10815=$A$48),
ROW()-47)
),
"")</f>
        <v/>
      </c>
    </row>
    <row r="181" spans="1:6" x14ac:dyDescent="0.2">
      <c r="A181" s="396"/>
      <c r="B181" s="396"/>
      <c r="C181" s="189" t="str">
        <f>IFERROR(
INDEX('F &amp; B'!D$2:D$10815,
_xlfn.AGGREGATE(15,6,
(ROW('F &amp; B'!$B$2:$B$10815)-ROW('F &amp; B'!$B$2)+1)/
('F &amp; B'!$B$2:$B$10815=$A$48),
ROW()-47)
),
"")</f>
        <v/>
      </c>
      <c r="D181" s="177" t="str">
        <f>IFERROR(
INDEX('F &amp; B'!E$2:E$10815,
_xlfn.AGGREGATE(15,6,
(ROW('F &amp; B'!$B$2:$B$10815)-ROW('F &amp; B'!$B$2)+1)/
('F &amp; B'!$B$2:$B$10815=$A$48),
ROW()-47)
),
"")</f>
        <v/>
      </c>
      <c r="E181" s="7" t="str">
        <f>IFERROR(
INDEX('F &amp; B'!F$2:F$10815,
_xlfn.AGGREGATE(15,6,
(ROW('F &amp; B'!$B$2:$B$10815)-ROW('F &amp; B'!$B$2)+1)/
('F &amp; B'!$B$2:$B$10815=$A$48),
ROW()-47)
),
"")</f>
        <v/>
      </c>
      <c r="F181" s="183" t="str">
        <f>IFERROR(
INDEX('F &amp; B'!G$2:G$10815,
_xlfn.AGGREGATE(15,6,
(ROW('F &amp; B'!$B$2:$B$10815)-ROW('F &amp; B'!$B$2)+1)/
('F &amp; B'!$B$2:$B$10815=$A$48),
ROW()-47)
),
"")</f>
        <v/>
      </c>
    </row>
    <row r="182" spans="1:6" x14ac:dyDescent="0.2">
      <c r="A182" s="396"/>
      <c r="B182" s="396"/>
      <c r="C182" s="189" t="str">
        <f>IFERROR(
INDEX('F &amp; B'!D$2:D$10815,
_xlfn.AGGREGATE(15,6,
(ROW('F &amp; B'!$B$2:$B$10815)-ROW('F &amp; B'!$B$2)+1)/
('F &amp; B'!$B$2:$B$10815=$A$48),
ROW()-47)
),
"")</f>
        <v/>
      </c>
      <c r="D182" s="177" t="str">
        <f>IFERROR(
INDEX('F &amp; B'!E$2:E$10815,
_xlfn.AGGREGATE(15,6,
(ROW('F &amp; B'!$B$2:$B$10815)-ROW('F &amp; B'!$B$2)+1)/
('F &amp; B'!$B$2:$B$10815=$A$48),
ROW()-47)
),
"")</f>
        <v/>
      </c>
      <c r="E182" s="7" t="str">
        <f>IFERROR(
INDEX('F &amp; B'!F$2:F$10815,
_xlfn.AGGREGATE(15,6,
(ROW('F &amp; B'!$B$2:$B$10815)-ROW('F &amp; B'!$B$2)+1)/
('F &amp; B'!$B$2:$B$10815=$A$48),
ROW()-47)
),
"")</f>
        <v/>
      </c>
      <c r="F182" s="183" t="str">
        <f>IFERROR(
INDEX('F &amp; B'!G$2:G$10815,
_xlfn.AGGREGATE(15,6,
(ROW('F &amp; B'!$B$2:$B$10815)-ROW('F &amp; B'!$B$2)+1)/
('F &amp; B'!$B$2:$B$10815=$A$48),
ROW()-47)
),
"")</f>
        <v/>
      </c>
    </row>
    <row r="183" spans="1:6" x14ac:dyDescent="0.2">
      <c r="A183" s="396"/>
      <c r="B183" s="396"/>
      <c r="C183" s="189" t="str">
        <f>IFERROR(
INDEX('F &amp; B'!D$2:D$10815,
_xlfn.AGGREGATE(15,6,
(ROW('F &amp; B'!$B$2:$B$10815)-ROW('F &amp; B'!$B$2)+1)/
('F &amp; B'!$B$2:$B$10815=$A$48),
ROW()-47)
),
"")</f>
        <v/>
      </c>
      <c r="D183" s="177" t="str">
        <f>IFERROR(
INDEX('F &amp; B'!E$2:E$10815,
_xlfn.AGGREGATE(15,6,
(ROW('F &amp; B'!$B$2:$B$10815)-ROW('F &amp; B'!$B$2)+1)/
('F &amp; B'!$B$2:$B$10815=$A$48),
ROW()-47)
),
"")</f>
        <v/>
      </c>
      <c r="E183" s="7" t="str">
        <f>IFERROR(
INDEX('F &amp; B'!F$2:F$10815,
_xlfn.AGGREGATE(15,6,
(ROW('F &amp; B'!$B$2:$B$10815)-ROW('F &amp; B'!$B$2)+1)/
('F &amp; B'!$B$2:$B$10815=$A$48),
ROW()-47)
),
"")</f>
        <v/>
      </c>
      <c r="F183" s="183" t="str">
        <f>IFERROR(
INDEX('F &amp; B'!G$2:G$10815,
_xlfn.AGGREGATE(15,6,
(ROW('F &amp; B'!$B$2:$B$10815)-ROW('F &amp; B'!$B$2)+1)/
('F &amp; B'!$B$2:$B$10815=$A$48),
ROW()-47)
),
"")</f>
        <v/>
      </c>
    </row>
    <row r="184" spans="1:6" x14ac:dyDescent="0.2">
      <c r="A184" s="396"/>
      <c r="B184" s="396"/>
      <c r="C184" s="189" t="str">
        <f>IFERROR(
INDEX('F &amp; B'!D$2:D$10815,
_xlfn.AGGREGATE(15,6,
(ROW('F &amp; B'!$B$2:$B$10815)-ROW('F &amp; B'!$B$2)+1)/
('F &amp; B'!$B$2:$B$10815=$A$48),
ROW()-47)
),
"")</f>
        <v/>
      </c>
      <c r="D184" s="177" t="str">
        <f>IFERROR(
INDEX('F &amp; B'!E$2:E$10815,
_xlfn.AGGREGATE(15,6,
(ROW('F &amp; B'!$B$2:$B$10815)-ROW('F &amp; B'!$B$2)+1)/
('F &amp; B'!$B$2:$B$10815=$A$48),
ROW()-47)
),
"")</f>
        <v/>
      </c>
      <c r="E184" s="7" t="str">
        <f>IFERROR(
INDEX('F &amp; B'!F$2:F$10815,
_xlfn.AGGREGATE(15,6,
(ROW('F &amp; B'!$B$2:$B$10815)-ROW('F &amp; B'!$B$2)+1)/
('F &amp; B'!$B$2:$B$10815=$A$48),
ROW()-47)
),
"")</f>
        <v/>
      </c>
      <c r="F184" s="183" t="str">
        <f>IFERROR(
INDEX('F &amp; B'!G$2:G$10815,
_xlfn.AGGREGATE(15,6,
(ROW('F &amp; B'!$B$2:$B$10815)-ROW('F &amp; B'!$B$2)+1)/
('F &amp; B'!$B$2:$B$10815=$A$48),
ROW()-47)
),
"")</f>
        <v/>
      </c>
    </row>
    <row r="185" spans="1:6" x14ac:dyDescent="0.2">
      <c r="A185" s="396"/>
      <c r="B185" s="396"/>
      <c r="C185" s="189" t="str">
        <f>IFERROR(
INDEX('F &amp; B'!D$2:D$10815,
_xlfn.AGGREGATE(15,6,
(ROW('F &amp; B'!$B$2:$B$10815)-ROW('F &amp; B'!$B$2)+1)/
('F &amp; B'!$B$2:$B$10815=$A$48),
ROW()-47)
),
"")</f>
        <v/>
      </c>
      <c r="D185" s="177" t="str">
        <f>IFERROR(
INDEX('F &amp; B'!E$2:E$10815,
_xlfn.AGGREGATE(15,6,
(ROW('F &amp; B'!$B$2:$B$10815)-ROW('F &amp; B'!$B$2)+1)/
('F &amp; B'!$B$2:$B$10815=$A$48),
ROW()-47)
),
"")</f>
        <v/>
      </c>
      <c r="E185" s="7" t="str">
        <f>IFERROR(
INDEX('F &amp; B'!F$2:F$10815,
_xlfn.AGGREGATE(15,6,
(ROW('F &amp; B'!$B$2:$B$10815)-ROW('F &amp; B'!$B$2)+1)/
('F &amp; B'!$B$2:$B$10815=$A$48),
ROW()-47)
),
"")</f>
        <v/>
      </c>
      <c r="F185" s="183" t="str">
        <f>IFERROR(
INDEX('F &amp; B'!G$2:G$10815,
_xlfn.AGGREGATE(15,6,
(ROW('F &amp; B'!$B$2:$B$10815)-ROW('F &amp; B'!$B$2)+1)/
('F &amp; B'!$B$2:$B$10815=$A$48),
ROW()-47)
),
"")</f>
        <v/>
      </c>
    </row>
    <row r="186" spans="1:6" x14ac:dyDescent="0.2">
      <c r="A186" s="396"/>
      <c r="B186" s="396"/>
      <c r="C186" s="189" t="str">
        <f>IFERROR(
INDEX('F &amp; B'!D$2:D$10815,
_xlfn.AGGREGATE(15,6,
(ROW('F &amp; B'!$B$2:$B$10815)-ROW('F &amp; B'!$B$2)+1)/
('F &amp; B'!$B$2:$B$10815=$A$48),
ROW()-47)
),
"")</f>
        <v/>
      </c>
      <c r="D186" s="177" t="str">
        <f>IFERROR(
INDEX('F &amp; B'!E$2:E$10815,
_xlfn.AGGREGATE(15,6,
(ROW('F &amp; B'!$B$2:$B$10815)-ROW('F &amp; B'!$B$2)+1)/
('F &amp; B'!$B$2:$B$10815=$A$48),
ROW()-47)
),
"")</f>
        <v/>
      </c>
      <c r="E186" s="7" t="str">
        <f>IFERROR(
INDEX('F &amp; B'!F$2:F$10815,
_xlfn.AGGREGATE(15,6,
(ROW('F &amp; B'!$B$2:$B$10815)-ROW('F &amp; B'!$B$2)+1)/
('F &amp; B'!$B$2:$B$10815=$A$48),
ROW()-47)
),
"")</f>
        <v/>
      </c>
      <c r="F186" s="183" t="str">
        <f>IFERROR(
INDEX('F &amp; B'!G$2:G$10815,
_xlfn.AGGREGATE(15,6,
(ROW('F &amp; B'!$B$2:$B$10815)-ROW('F &amp; B'!$B$2)+1)/
('F &amp; B'!$B$2:$B$10815=$A$48),
ROW()-47)
),
"")</f>
        <v/>
      </c>
    </row>
    <row r="187" spans="1:6" x14ac:dyDescent="0.2">
      <c r="A187" s="396"/>
      <c r="B187" s="396"/>
      <c r="C187" s="189" t="str">
        <f>IFERROR(
INDEX('F &amp; B'!D$2:D$10815,
_xlfn.AGGREGATE(15,6,
(ROW('F &amp; B'!$B$2:$B$10815)-ROW('F &amp; B'!$B$2)+1)/
('F &amp; B'!$B$2:$B$10815=$A$48),
ROW()-47)
),
"")</f>
        <v/>
      </c>
      <c r="D187" s="177" t="str">
        <f>IFERROR(
INDEX('F &amp; B'!E$2:E$10815,
_xlfn.AGGREGATE(15,6,
(ROW('F &amp; B'!$B$2:$B$10815)-ROW('F &amp; B'!$B$2)+1)/
('F &amp; B'!$B$2:$B$10815=$A$48),
ROW()-47)
),
"")</f>
        <v/>
      </c>
      <c r="E187" s="7" t="str">
        <f>IFERROR(
INDEX('F &amp; B'!F$2:F$10815,
_xlfn.AGGREGATE(15,6,
(ROW('F &amp; B'!$B$2:$B$10815)-ROW('F &amp; B'!$B$2)+1)/
('F &amp; B'!$B$2:$B$10815=$A$48),
ROW()-47)
),
"")</f>
        <v/>
      </c>
      <c r="F187" s="183" t="str">
        <f>IFERROR(
INDEX('F &amp; B'!G$2:G$10815,
_xlfn.AGGREGATE(15,6,
(ROW('F &amp; B'!$B$2:$B$10815)-ROW('F &amp; B'!$B$2)+1)/
('F &amp; B'!$B$2:$B$10815=$A$48),
ROW()-47)
),
"")</f>
        <v/>
      </c>
    </row>
    <row r="188" spans="1:6" x14ac:dyDescent="0.2">
      <c r="A188" s="396"/>
      <c r="B188" s="396"/>
      <c r="C188" s="189" t="str">
        <f>IFERROR(
INDEX('F &amp; B'!D$2:D$10815,
_xlfn.AGGREGATE(15,6,
(ROW('F &amp; B'!$B$2:$B$10815)-ROW('F &amp; B'!$B$2)+1)/
('F &amp; B'!$B$2:$B$10815=$A$48),
ROW()-47)
),
"")</f>
        <v/>
      </c>
      <c r="D188" s="177" t="str">
        <f>IFERROR(
INDEX('F &amp; B'!E$2:E$10815,
_xlfn.AGGREGATE(15,6,
(ROW('F &amp; B'!$B$2:$B$10815)-ROW('F &amp; B'!$B$2)+1)/
('F &amp; B'!$B$2:$B$10815=$A$48),
ROW()-47)
),
"")</f>
        <v/>
      </c>
      <c r="E188" s="7" t="str">
        <f>IFERROR(
INDEX('F &amp; B'!F$2:F$10815,
_xlfn.AGGREGATE(15,6,
(ROW('F &amp; B'!$B$2:$B$10815)-ROW('F &amp; B'!$B$2)+1)/
('F &amp; B'!$B$2:$B$10815=$A$48),
ROW()-47)
),
"")</f>
        <v/>
      </c>
      <c r="F188" s="183" t="str">
        <f>IFERROR(
INDEX('F &amp; B'!G$2:G$10815,
_xlfn.AGGREGATE(15,6,
(ROW('F &amp; B'!$B$2:$B$10815)-ROW('F &amp; B'!$B$2)+1)/
('F &amp; B'!$B$2:$B$10815=$A$48),
ROW()-47)
),
"")</f>
        <v/>
      </c>
    </row>
    <row r="189" spans="1:6" x14ac:dyDescent="0.2">
      <c r="A189" s="396"/>
      <c r="B189" s="396"/>
      <c r="C189" s="189" t="str">
        <f>IFERROR(
INDEX('F &amp; B'!D$2:D$10815,
_xlfn.AGGREGATE(15,6,
(ROW('F &amp; B'!$B$2:$B$10815)-ROW('F &amp; B'!$B$2)+1)/
('F &amp; B'!$B$2:$B$10815=$A$48),
ROW()-47)
),
"")</f>
        <v/>
      </c>
      <c r="D189" s="177" t="str">
        <f>IFERROR(
INDEX('F &amp; B'!E$2:E$10815,
_xlfn.AGGREGATE(15,6,
(ROW('F &amp; B'!$B$2:$B$10815)-ROW('F &amp; B'!$B$2)+1)/
('F &amp; B'!$B$2:$B$10815=$A$48),
ROW()-47)
),
"")</f>
        <v/>
      </c>
      <c r="E189" s="7" t="str">
        <f>IFERROR(
INDEX('F &amp; B'!F$2:F$10815,
_xlfn.AGGREGATE(15,6,
(ROW('F &amp; B'!$B$2:$B$10815)-ROW('F &amp; B'!$B$2)+1)/
('F &amp; B'!$B$2:$B$10815=$A$48),
ROW()-47)
),
"")</f>
        <v/>
      </c>
      <c r="F189" s="183" t="str">
        <f>IFERROR(
INDEX('F &amp; B'!G$2:G$10815,
_xlfn.AGGREGATE(15,6,
(ROW('F &amp; B'!$B$2:$B$10815)-ROW('F &amp; B'!$B$2)+1)/
('F &amp; B'!$B$2:$B$10815=$A$48),
ROW()-47)
),
"")</f>
        <v/>
      </c>
    </row>
    <row r="190" spans="1:6" x14ac:dyDescent="0.2">
      <c r="A190" s="396"/>
      <c r="B190" s="396"/>
      <c r="C190" s="189" t="str">
        <f>IFERROR(
INDEX('F &amp; B'!D$2:D$10815,
_xlfn.AGGREGATE(15,6,
(ROW('F &amp; B'!$B$2:$B$10815)-ROW('F &amp; B'!$B$2)+1)/
('F &amp; B'!$B$2:$B$10815=$A$48),
ROW()-47)
),
"")</f>
        <v/>
      </c>
      <c r="D190" s="177" t="str">
        <f>IFERROR(
INDEX('F &amp; B'!E$2:E$10815,
_xlfn.AGGREGATE(15,6,
(ROW('F &amp; B'!$B$2:$B$10815)-ROW('F &amp; B'!$B$2)+1)/
('F &amp; B'!$B$2:$B$10815=$A$48),
ROW()-47)
),
"")</f>
        <v/>
      </c>
      <c r="E190" s="7" t="str">
        <f>IFERROR(
INDEX('F &amp; B'!F$2:F$10815,
_xlfn.AGGREGATE(15,6,
(ROW('F &amp; B'!$B$2:$B$10815)-ROW('F &amp; B'!$B$2)+1)/
('F &amp; B'!$B$2:$B$10815=$A$48),
ROW()-47)
),
"")</f>
        <v/>
      </c>
      <c r="F190" s="183" t="str">
        <f>IFERROR(
INDEX('F &amp; B'!G$2:G$10815,
_xlfn.AGGREGATE(15,6,
(ROW('F &amp; B'!$B$2:$B$10815)-ROW('F &amp; B'!$B$2)+1)/
('F &amp; B'!$B$2:$B$10815=$A$48),
ROW()-47)
),
"")</f>
        <v/>
      </c>
    </row>
    <row r="191" spans="1:6" x14ac:dyDescent="0.2">
      <c r="A191" s="396"/>
      <c r="B191" s="396"/>
      <c r="C191" s="189" t="str">
        <f>IFERROR(
INDEX('F &amp; B'!D$2:D$10815,
_xlfn.AGGREGATE(15,6,
(ROW('F &amp; B'!$B$2:$B$10815)-ROW('F &amp; B'!$B$2)+1)/
('F &amp; B'!$B$2:$B$10815=$A$48),
ROW()-47)
),
"")</f>
        <v/>
      </c>
      <c r="D191" s="177" t="str">
        <f>IFERROR(
INDEX('F &amp; B'!E$2:E$10815,
_xlfn.AGGREGATE(15,6,
(ROW('F &amp; B'!$B$2:$B$10815)-ROW('F &amp; B'!$B$2)+1)/
('F &amp; B'!$B$2:$B$10815=$A$48),
ROW()-47)
),
"")</f>
        <v/>
      </c>
      <c r="E191" s="7" t="str">
        <f>IFERROR(
INDEX('F &amp; B'!F$2:F$10815,
_xlfn.AGGREGATE(15,6,
(ROW('F &amp; B'!$B$2:$B$10815)-ROW('F &amp; B'!$B$2)+1)/
('F &amp; B'!$B$2:$B$10815=$A$48),
ROW()-47)
),
"")</f>
        <v/>
      </c>
      <c r="F191" s="183" t="str">
        <f>IFERROR(
INDEX('F &amp; B'!G$2:G$10815,
_xlfn.AGGREGATE(15,6,
(ROW('F &amp; B'!$B$2:$B$10815)-ROW('F &amp; B'!$B$2)+1)/
('F &amp; B'!$B$2:$B$10815=$A$48),
ROW()-47)
),
"")</f>
        <v/>
      </c>
    </row>
    <row r="192" spans="1:6" x14ac:dyDescent="0.2">
      <c r="A192" s="396"/>
      <c r="B192" s="396"/>
      <c r="C192" s="189" t="str">
        <f>IFERROR(
INDEX('F &amp; B'!D$2:D$10815,
_xlfn.AGGREGATE(15,6,
(ROW('F &amp; B'!$B$2:$B$10815)-ROW('F &amp; B'!$B$2)+1)/
('F &amp; B'!$B$2:$B$10815=$A$48),
ROW()-47)
),
"")</f>
        <v/>
      </c>
      <c r="D192" s="177" t="str">
        <f>IFERROR(
INDEX('F &amp; B'!E$2:E$10815,
_xlfn.AGGREGATE(15,6,
(ROW('F &amp; B'!$B$2:$B$10815)-ROW('F &amp; B'!$B$2)+1)/
('F &amp; B'!$B$2:$B$10815=$A$48),
ROW()-47)
),
"")</f>
        <v/>
      </c>
      <c r="E192" s="7" t="str">
        <f>IFERROR(
INDEX('F &amp; B'!F$2:F$10815,
_xlfn.AGGREGATE(15,6,
(ROW('F &amp; B'!$B$2:$B$10815)-ROW('F &amp; B'!$B$2)+1)/
('F &amp; B'!$B$2:$B$10815=$A$48),
ROW()-47)
),
"")</f>
        <v/>
      </c>
      <c r="F192" s="183" t="str">
        <f>IFERROR(
INDEX('F &amp; B'!G$2:G$10815,
_xlfn.AGGREGATE(15,6,
(ROW('F &amp; B'!$B$2:$B$10815)-ROW('F &amp; B'!$B$2)+1)/
('F &amp; B'!$B$2:$B$10815=$A$48),
ROW()-47)
),
"")</f>
        <v/>
      </c>
    </row>
    <row r="193" spans="1:6" x14ac:dyDescent="0.2">
      <c r="A193" s="396"/>
      <c r="B193" s="396"/>
      <c r="C193" s="189" t="str">
        <f>IFERROR(
INDEX('F &amp; B'!D$2:D$10815,
_xlfn.AGGREGATE(15,6,
(ROW('F &amp; B'!$B$2:$B$10815)-ROW('F &amp; B'!$B$2)+1)/
('F &amp; B'!$B$2:$B$10815=$A$48),
ROW()-47)
),
"")</f>
        <v/>
      </c>
      <c r="D193" s="177" t="str">
        <f>IFERROR(
INDEX('F &amp; B'!E$2:E$10815,
_xlfn.AGGREGATE(15,6,
(ROW('F &amp; B'!$B$2:$B$10815)-ROW('F &amp; B'!$B$2)+1)/
('F &amp; B'!$B$2:$B$10815=$A$48),
ROW()-47)
),
"")</f>
        <v/>
      </c>
      <c r="E193" s="7" t="str">
        <f>IFERROR(
INDEX('F &amp; B'!F$2:F$10815,
_xlfn.AGGREGATE(15,6,
(ROW('F &amp; B'!$B$2:$B$10815)-ROW('F &amp; B'!$B$2)+1)/
('F &amp; B'!$B$2:$B$10815=$A$48),
ROW()-47)
),
"")</f>
        <v/>
      </c>
      <c r="F193" s="183" t="str">
        <f>IFERROR(
INDEX('F &amp; B'!G$2:G$10815,
_xlfn.AGGREGATE(15,6,
(ROW('F &amp; B'!$B$2:$B$10815)-ROW('F &amp; B'!$B$2)+1)/
('F &amp; B'!$B$2:$B$10815=$A$48),
ROW()-47)
),
"")</f>
        <v/>
      </c>
    </row>
    <row r="194" spans="1:6" x14ac:dyDescent="0.2">
      <c r="A194" s="396"/>
      <c r="B194" s="396"/>
      <c r="C194" s="189" t="str">
        <f>IFERROR(
INDEX('F &amp; B'!D$2:D$10815,
_xlfn.AGGREGATE(15,6,
(ROW('F &amp; B'!$B$2:$B$10815)-ROW('F &amp; B'!$B$2)+1)/
('F &amp; B'!$B$2:$B$10815=$A$48),
ROW()-47)
),
"")</f>
        <v/>
      </c>
      <c r="D194" s="177" t="str">
        <f>IFERROR(
INDEX('F &amp; B'!E$2:E$10815,
_xlfn.AGGREGATE(15,6,
(ROW('F &amp; B'!$B$2:$B$10815)-ROW('F &amp; B'!$B$2)+1)/
('F &amp; B'!$B$2:$B$10815=$A$48),
ROW()-47)
),
"")</f>
        <v/>
      </c>
      <c r="E194" s="7" t="str">
        <f>IFERROR(
INDEX('F &amp; B'!F$2:F$10815,
_xlfn.AGGREGATE(15,6,
(ROW('F &amp; B'!$B$2:$B$10815)-ROW('F &amp; B'!$B$2)+1)/
('F &amp; B'!$B$2:$B$10815=$A$48),
ROW()-47)
),
"")</f>
        <v/>
      </c>
      <c r="F194" s="183" t="str">
        <f>IFERROR(
INDEX('F &amp; B'!G$2:G$10815,
_xlfn.AGGREGATE(15,6,
(ROW('F &amp; B'!$B$2:$B$10815)-ROW('F &amp; B'!$B$2)+1)/
('F &amp; B'!$B$2:$B$10815=$A$48),
ROW()-47)
),
"")</f>
        <v/>
      </c>
    </row>
    <row r="195" spans="1:6" x14ac:dyDescent="0.2">
      <c r="A195" s="396"/>
      <c r="B195" s="396"/>
      <c r="C195" s="189" t="str">
        <f>IFERROR(
INDEX('F &amp; B'!D$2:D$10815,
_xlfn.AGGREGATE(15,6,
(ROW('F &amp; B'!$B$2:$B$10815)-ROW('F &amp; B'!$B$2)+1)/
('F &amp; B'!$B$2:$B$10815=$A$48),
ROW()-47)
),
"")</f>
        <v/>
      </c>
      <c r="D195" s="177" t="str">
        <f>IFERROR(
INDEX('F &amp; B'!E$2:E$10815,
_xlfn.AGGREGATE(15,6,
(ROW('F &amp; B'!$B$2:$B$10815)-ROW('F &amp; B'!$B$2)+1)/
('F &amp; B'!$B$2:$B$10815=$A$48),
ROW()-47)
),
"")</f>
        <v/>
      </c>
      <c r="E195" s="7" t="str">
        <f>IFERROR(
INDEX('F &amp; B'!F$2:F$10815,
_xlfn.AGGREGATE(15,6,
(ROW('F &amp; B'!$B$2:$B$10815)-ROW('F &amp; B'!$B$2)+1)/
('F &amp; B'!$B$2:$B$10815=$A$48),
ROW()-47)
),
"")</f>
        <v/>
      </c>
      <c r="F195" s="183" t="str">
        <f>IFERROR(
INDEX('F &amp; B'!G$2:G$10815,
_xlfn.AGGREGATE(15,6,
(ROW('F &amp; B'!$B$2:$B$10815)-ROW('F &amp; B'!$B$2)+1)/
('F &amp; B'!$B$2:$B$10815=$A$48),
ROW()-47)
),
"")</f>
        <v/>
      </c>
    </row>
    <row r="196" spans="1:6" x14ac:dyDescent="0.2">
      <c r="A196" s="396"/>
      <c r="B196" s="396"/>
      <c r="C196" s="189" t="str">
        <f>IFERROR(
INDEX('F &amp; B'!D$2:D$10815,
_xlfn.AGGREGATE(15,6,
(ROW('F &amp; B'!$B$2:$B$10815)-ROW('F &amp; B'!$B$2)+1)/
('F &amp; B'!$B$2:$B$10815=$A$48),
ROW()-47)
),
"")</f>
        <v/>
      </c>
      <c r="D196" s="177" t="str">
        <f>IFERROR(
INDEX('F &amp; B'!E$2:E$10815,
_xlfn.AGGREGATE(15,6,
(ROW('F &amp; B'!$B$2:$B$10815)-ROW('F &amp; B'!$B$2)+1)/
('F &amp; B'!$B$2:$B$10815=$A$48),
ROW()-47)
),
"")</f>
        <v/>
      </c>
      <c r="E196" s="7" t="str">
        <f>IFERROR(
INDEX('F &amp; B'!F$2:F$10815,
_xlfn.AGGREGATE(15,6,
(ROW('F &amp; B'!$B$2:$B$10815)-ROW('F &amp; B'!$B$2)+1)/
('F &amp; B'!$B$2:$B$10815=$A$48),
ROW()-47)
),
"")</f>
        <v/>
      </c>
      <c r="F196" s="183" t="str">
        <f>IFERROR(
INDEX('F &amp; B'!G$2:G$10815,
_xlfn.AGGREGATE(15,6,
(ROW('F &amp; B'!$B$2:$B$10815)-ROW('F &amp; B'!$B$2)+1)/
('F &amp; B'!$B$2:$B$10815=$A$48),
ROW()-47)
),
"")</f>
        <v/>
      </c>
    </row>
    <row r="197" spans="1:6" x14ac:dyDescent="0.2">
      <c r="A197" s="396"/>
      <c r="B197" s="396"/>
      <c r="C197" s="189" t="str">
        <f>IFERROR(
INDEX('F &amp; B'!D$2:D$10815,
_xlfn.AGGREGATE(15,6,
(ROW('F &amp; B'!$B$2:$B$10815)-ROW('F &amp; B'!$B$2)+1)/
('F &amp; B'!$B$2:$B$10815=$A$48),
ROW()-47)
),
"")</f>
        <v/>
      </c>
      <c r="D197" s="177" t="str">
        <f>IFERROR(
INDEX('F &amp; B'!E$2:E$10815,
_xlfn.AGGREGATE(15,6,
(ROW('F &amp; B'!$B$2:$B$10815)-ROW('F &amp; B'!$B$2)+1)/
('F &amp; B'!$B$2:$B$10815=$A$48),
ROW()-47)
),
"")</f>
        <v/>
      </c>
      <c r="E197" s="7" t="str">
        <f>IFERROR(
INDEX('F &amp; B'!F$2:F$10815,
_xlfn.AGGREGATE(15,6,
(ROW('F &amp; B'!$B$2:$B$10815)-ROW('F &amp; B'!$B$2)+1)/
('F &amp; B'!$B$2:$B$10815=$A$48),
ROW()-47)
),
"")</f>
        <v/>
      </c>
      <c r="F197" s="183" t="str">
        <f>IFERROR(
INDEX('F &amp; B'!G$2:G$10815,
_xlfn.AGGREGATE(15,6,
(ROW('F &amp; B'!$B$2:$B$10815)-ROW('F &amp; B'!$B$2)+1)/
('F &amp; B'!$B$2:$B$10815=$A$48),
ROW()-47)
),
"")</f>
        <v/>
      </c>
    </row>
    <row r="198" spans="1:6" x14ac:dyDescent="0.2">
      <c r="A198" s="396"/>
      <c r="B198" s="396"/>
      <c r="C198" s="189" t="str">
        <f>IFERROR(
INDEX('F &amp; B'!D$2:D$10815,
_xlfn.AGGREGATE(15,6,
(ROW('F &amp; B'!$B$2:$B$10815)-ROW('F &amp; B'!$B$2)+1)/
('F &amp; B'!$B$2:$B$10815=$A$48),
ROW()-47)
),
"")</f>
        <v/>
      </c>
      <c r="D198" s="177" t="str">
        <f>IFERROR(
INDEX('F &amp; B'!E$2:E$10815,
_xlfn.AGGREGATE(15,6,
(ROW('F &amp; B'!$B$2:$B$10815)-ROW('F &amp; B'!$B$2)+1)/
('F &amp; B'!$B$2:$B$10815=$A$48),
ROW()-47)
),
"")</f>
        <v/>
      </c>
      <c r="E198" s="7" t="str">
        <f>IFERROR(
INDEX('F &amp; B'!F$2:F$10815,
_xlfn.AGGREGATE(15,6,
(ROW('F &amp; B'!$B$2:$B$10815)-ROW('F &amp; B'!$B$2)+1)/
('F &amp; B'!$B$2:$B$10815=$A$48),
ROW()-47)
),
"")</f>
        <v/>
      </c>
      <c r="F198" s="183" t="str">
        <f>IFERROR(
INDEX('F &amp; B'!G$2:G$10815,
_xlfn.AGGREGATE(15,6,
(ROW('F &amp; B'!$B$2:$B$10815)-ROW('F &amp; B'!$B$2)+1)/
('F &amp; B'!$B$2:$B$10815=$A$48),
ROW()-47)
),
"")</f>
        <v/>
      </c>
    </row>
    <row r="199" spans="1:6" x14ac:dyDescent="0.2">
      <c r="A199" s="396"/>
      <c r="B199" s="396"/>
      <c r="C199" s="189" t="str">
        <f>IFERROR(
INDEX('F &amp; B'!D$2:D$10815,
_xlfn.AGGREGATE(15,6,
(ROW('F &amp; B'!$B$2:$B$10815)-ROW('F &amp; B'!$B$2)+1)/
('F &amp; B'!$B$2:$B$10815=$A$48),
ROW()-47)
),
"")</f>
        <v/>
      </c>
      <c r="D199" s="177" t="str">
        <f>IFERROR(
INDEX('F &amp; B'!E$2:E$10815,
_xlfn.AGGREGATE(15,6,
(ROW('F &amp; B'!$B$2:$B$10815)-ROW('F &amp; B'!$B$2)+1)/
('F &amp; B'!$B$2:$B$10815=$A$48),
ROW()-47)
),
"")</f>
        <v/>
      </c>
      <c r="E199" s="7" t="str">
        <f>IFERROR(
INDEX('F &amp; B'!F$2:F$10815,
_xlfn.AGGREGATE(15,6,
(ROW('F &amp; B'!$B$2:$B$10815)-ROW('F &amp; B'!$B$2)+1)/
('F &amp; B'!$B$2:$B$10815=$A$48),
ROW()-47)
),
"")</f>
        <v/>
      </c>
      <c r="F199" s="183" t="str">
        <f>IFERROR(
INDEX('F &amp; B'!G$2:G$10815,
_xlfn.AGGREGATE(15,6,
(ROW('F &amp; B'!$B$2:$B$10815)-ROW('F &amp; B'!$B$2)+1)/
('F &amp; B'!$B$2:$B$10815=$A$48),
ROW()-47)
),
"")</f>
        <v/>
      </c>
    </row>
  </sheetData>
  <sheetProtection formatCells="0" formatColumns="0" formatRows="0" insertColumns="0" insertRows="0" insertHyperlinks="0" deleteColumns="0" deleteRows="0" sort="0" autoFilter="0" pivotTables="0"/>
  <mergeCells count="202">
    <mergeCell ref="C9:E9"/>
    <mergeCell ref="A57:B57"/>
    <mergeCell ref="A58:B58"/>
    <mergeCell ref="C31:E31"/>
    <mergeCell ref="C5:E5"/>
    <mergeCell ref="C14:E14"/>
    <mergeCell ref="C30:E30"/>
    <mergeCell ref="C6:E6"/>
    <mergeCell ref="C19:E19"/>
    <mergeCell ref="C29:E29"/>
    <mergeCell ref="C39:E39"/>
    <mergeCell ref="C23:E23"/>
    <mergeCell ref="C24:E24"/>
    <mergeCell ref="C25:E25"/>
    <mergeCell ref="C34:E34"/>
    <mergeCell ref="C35:E35"/>
    <mergeCell ref="C7:E7"/>
    <mergeCell ref="C8:E8"/>
    <mergeCell ref="C26:E26"/>
    <mergeCell ref="C10:E10"/>
    <mergeCell ref="C11:E11"/>
    <mergeCell ref="C12:E12"/>
    <mergeCell ref="C22:E22"/>
    <mergeCell ref="C40:E40"/>
    <mergeCell ref="C41:E41"/>
    <mergeCell ref="C42:F42"/>
    <mergeCell ref="B1:B42"/>
    <mergeCell ref="C2:F2"/>
    <mergeCell ref="C1:F1"/>
    <mergeCell ref="A49:B49"/>
    <mergeCell ref="A48:B48"/>
    <mergeCell ref="A47:B47"/>
    <mergeCell ref="A1:A2"/>
    <mergeCell ref="C3:E3"/>
    <mergeCell ref="C15:E15"/>
    <mergeCell ref="C16:E16"/>
    <mergeCell ref="C17:E17"/>
    <mergeCell ref="C20:E20"/>
    <mergeCell ref="C4:F4"/>
    <mergeCell ref="C13:F13"/>
    <mergeCell ref="C18:F18"/>
    <mergeCell ref="C21:E21"/>
    <mergeCell ref="C37:E37"/>
    <mergeCell ref="C38:E38"/>
    <mergeCell ref="C28:E28"/>
    <mergeCell ref="C32:E32"/>
    <mergeCell ref="C33:E33"/>
    <mergeCell ref="A4:A42"/>
    <mergeCell ref="A43:F43"/>
    <mergeCell ref="A73:B73"/>
    <mergeCell ref="A74:B74"/>
    <mergeCell ref="A75:B75"/>
    <mergeCell ref="A76:B76"/>
    <mergeCell ref="A67:B67"/>
    <mergeCell ref="A68:B68"/>
    <mergeCell ref="A69:B69"/>
    <mergeCell ref="A46:E46"/>
    <mergeCell ref="A45:F45"/>
    <mergeCell ref="A59:B59"/>
    <mergeCell ref="A65:B65"/>
    <mergeCell ref="A66:B66"/>
    <mergeCell ref="A60:B60"/>
    <mergeCell ref="A61:B61"/>
    <mergeCell ref="A62:B62"/>
    <mergeCell ref="A63:B63"/>
    <mergeCell ref="A64:B64"/>
    <mergeCell ref="A50:B50"/>
    <mergeCell ref="A51:B51"/>
    <mergeCell ref="A52:B52"/>
    <mergeCell ref="A53:B53"/>
    <mergeCell ref="A54:B54"/>
    <mergeCell ref="A55:B55"/>
    <mergeCell ref="A56:B56"/>
    <mergeCell ref="A92:B92"/>
    <mergeCell ref="A93:B93"/>
    <mergeCell ref="A94:B94"/>
    <mergeCell ref="A95:B95"/>
    <mergeCell ref="A96:B96"/>
    <mergeCell ref="C27:E27"/>
    <mergeCell ref="A70:B70"/>
    <mergeCell ref="A71:B71"/>
    <mergeCell ref="A87:B87"/>
    <mergeCell ref="A88:B88"/>
    <mergeCell ref="A89:B89"/>
    <mergeCell ref="A90:B90"/>
    <mergeCell ref="A91:B91"/>
    <mergeCell ref="A82:B82"/>
    <mergeCell ref="A83:B83"/>
    <mergeCell ref="A84:B84"/>
    <mergeCell ref="A85:B85"/>
    <mergeCell ref="A86:B86"/>
    <mergeCell ref="A77:B77"/>
    <mergeCell ref="A78:B78"/>
    <mergeCell ref="A79:B79"/>
    <mergeCell ref="A80:B80"/>
    <mergeCell ref="A81:B81"/>
    <mergeCell ref="A72:B72"/>
    <mergeCell ref="A102:B102"/>
    <mergeCell ref="A103:B103"/>
    <mergeCell ref="A104:B104"/>
    <mergeCell ref="A105:B105"/>
    <mergeCell ref="A106:B106"/>
    <mergeCell ref="A97:B97"/>
    <mergeCell ref="A98:B98"/>
    <mergeCell ref="A99:B99"/>
    <mergeCell ref="A100:B100"/>
    <mergeCell ref="A101:B101"/>
    <mergeCell ref="A112:B112"/>
    <mergeCell ref="A113:B113"/>
    <mergeCell ref="A114:B114"/>
    <mergeCell ref="A115:B115"/>
    <mergeCell ref="A116:B116"/>
    <mergeCell ref="A107:B107"/>
    <mergeCell ref="A108:B108"/>
    <mergeCell ref="A109:B109"/>
    <mergeCell ref="A110:B110"/>
    <mergeCell ref="A111:B111"/>
    <mergeCell ref="A137:B137"/>
    <mergeCell ref="A127:B127"/>
    <mergeCell ref="A128:B128"/>
    <mergeCell ref="A122:B122"/>
    <mergeCell ref="A123:B123"/>
    <mergeCell ref="A124:B124"/>
    <mergeCell ref="A125:B125"/>
    <mergeCell ref="A126:B126"/>
    <mergeCell ref="A117:B117"/>
    <mergeCell ref="A118:B118"/>
    <mergeCell ref="A119:B119"/>
    <mergeCell ref="A120:B120"/>
    <mergeCell ref="A121:B121"/>
    <mergeCell ref="A156:B156"/>
    <mergeCell ref="A44:F44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41:B141"/>
    <mergeCell ref="A142:B142"/>
    <mergeCell ref="A143:B143"/>
    <mergeCell ref="A144:B144"/>
    <mergeCell ref="A145:B145"/>
    <mergeCell ref="A146:B146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72:B172"/>
    <mergeCell ref="A173:B173"/>
    <mergeCell ref="A174:B174"/>
    <mergeCell ref="A175:B175"/>
    <mergeCell ref="A176:B176"/>
    <mergeCell ref="A177:B177"/>
    <mergeCell ref="A178:B178"/>
    <mergeCell ref="A155:B155"/>
    <mergeCell ref="A138:B138"/>
    <mergeCell ref="A139:B139"/>
    <mergeCell ref="A140:B140"/>
    <mergeCell ref="A165:B165"/>
    <mergeCell ref="A166:B166"/>
    <mergeCell ref="A167:B167"/>
    <mergeCell ref="A168:B168"/>
    <mergeCell ref="A169:B169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C36:F36"/>
    <mergeCell ref="A197:B197"/>
    <mergeCell ref="A198:B198"/>
    <mergeCell ref="A199:B199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79:B179"/>
    <mergeCell ref="A180:B180"/>
    <mergeCell ref="A181:B181"/>
    <mergeCell ref="A182:B182"/>
    <mergeCell ref="A192:B192"/>
    <mergeCell ref="A193:B193"/>
    <mergeCell ref="A194:B194"/>
    <mergeCell ref="A195:B195"/>
    <mergeCell ref="A196:B196"/>
    <mergeCell ref="A170:B170"/>
    <mergeCell ref="A171:B171"/>
  </mergeCells>
  <phoneticPr fontId="8" type="noConversion"/>
  <pageMargins left="0.7" right="0.7" top="0.75" bottom="0.75" header="0.3" footer="0.3"/>
  <pageSetup paperSize="9" scale="66" fitToHeight="0" orientation="portrait" r:id="rId1"/>
  <rowBreaks count="3" manualBreakCount="3">
    <brk id="42" max="5" man="1"/>
    <brk id="107" max="5" man="1"/>
    <brk id="178" max="5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AD991"/>
  <sheetViews>
    <sheetView topLeftCell="A82" zoomScaleNormal="100" workbookViewId="0">
      <selection activeCell="Y98" sqref="Y98"/>
    </sheetView>
  </sheetViews>
  <sheetFormatPr defaultColWidth="14" defaultRowHeight="15" customHeight="1" x14ac:dyDescent="0.25"/>
  <cols>
    <col min="1" max="1" width="9.5703125" bestFit="1" customWidth="1"/>
    <col min="2" max="2" width="6.7109375" hidden="1" customWidth="1"/>
    <col min="3" max="3" width="14.42578125" customWidth="1"/>
    <col min="4" max="4" width="39.5703125" customWidth="1"/>
    <col min="5" max="5" width="6" hidden="1" customWidth="1"/>
    <col min="6" max="6" width="12.42578125" hidden="1" customWidth="1"/>
    <col min="7" max="8" width="7.28515625" hidden="1" customWidth="1"/>
    <col min="9" max="9" width="9.7109375" hidden="1" customWidth="1"/>
    <col min="10" max="10" width="10" hidden="1" customWidth="1"/>
    <col min="11" max="11" width="7.5703125" hidden="1" customWidth="1"/>
    <col min="12" max="12" width="7.7109375" hidden="1" customWidth="1"/>
    <col min="13" max="13" width="9.5703125" hidden="1" customWidth="1"/>
    <col min="14" max="14" width="9.42578125" hidden="1" customWidth="1"/>
    <col min="15" max="15" width="6.5703125" hidden="1" customWidth="1"/>
    <col min="16" max="16" width="10.7109375" hidden="1" customWidth="1"/>
    <col min="17" max="17" width="10.42578125" hidden="1" customWidth="1"/>
    <col min="18" max="19" width="10.5703125" hidden="1" customWidth="1"/>
    <col min="20" max="20" width="12" hidden="1" customWidth="1"/>
    <col min="21" max="21" width="9.7109375" hidden="1" customWidth="1"/>
    <col min="22" max="22" width="15.28515625" hidden="1" customWidth="1"/>
    <col min="23" max="23" width="20.42578125" customWidth="1"/>
    <col min="24" max="24" width="17.7109375" style="127" bestFit="1" customWidth="1"/>
    <col min="25" max="25" width="19.28515625" style="143" bestFit="1" customWidth="1"/>
    <col min="26" max="26" width="12.5703125" style="187" bestFit="1" customWidth="1"/>
    <col min="27" max="27" width="19" style="121" bestFit="1" customWidth="1"/>
    <col min="28" max="30" width="12" bestFit="1" customWidth="1"/>
  </cols>
  <sheetData>
    <row r="1" spans="1:30" ht="21.75" customHeight="1" x14ac:dyDescent="0.25">
      <c r="A1" s="19" t="s">
        <v>464</v>
      </c>
      <c r="B1" s="20" t="s">
        <v>465</v>
      </c>
      <c r="C1" s="20" t="s">
        <v>466</v>
      </c>
      <c r="D1" s="20" t="s">
        <v>467</v>
      </c>
      <c r="E1" s="20" t="s">
        <v>468</v>
      </c>
      <c r="F1" s="20" t="s">
        <v>469</v>
      </c>
      <c r="G1" s="20" t="s">
        <v>470</v>
      </c>
      <c r="H1" s="20" t="s">
        <v>471</v>
      </c>
      <c r="I1" s="20" t="s">
        <v>472</v>
      </c>
      <c r="J1" s="20" t="s">
        <v>473</v>
      </c>
      <c r="K1" s="20" t="s">
        <v>474</v>
      </c>
      <c r="L1" s="20" t="s">
        <v>475</v>
      </c>
      <c r="M1" s="20" t="s">
        <v>476</v>
      </c>
      <c r="N1" s="20" t="s">
        <v>477</v>
      </c>
      <c r="O1" s="20" t="s">
        <v>478</v>
      </c>
      <c r="P1" s="20" t="s">
        <v>479</v>
      </c>
      <c r="Q1" s="20" t="s">
        <v>480</v>
      </c>
      <c r="R1" s="20" t="s">
        <v>481</v>
      </c>
      <c r="S1" s="20" t="s">
        <v>482</v>
      </c>
      <c r="T1" s="20" t="s">
        <v>483</v>
      </c>
      <c r="U1" s="20" t="s">
        <v>484</v>
      </c>
      <c r="V1" s="20" t="s">
        <v>485</v>
      </c>
      <c r="W1" s="20" t="s">
        <v>486</v>
      </c>
      <c r="X1" s="122" t="s">
        <v>487</v>
      </c>
      <c r="Y1" s="122" t="s">
        <v>488</v>
      </c>
      <c r="Z1" s="208" t="s">
        <v>489</v>
      </c>
      <c r="AA1" s="116" t="s">
        <v>490</v>
      </c>
      <c r="AB1" s="20" t="s">
        <v>744</v>
      </c>
      <c r="AC1" s="20" t="s">
        <v>491</v>
      </c>
      <c r="AD1" s="21" t="s">
        <v>492</v>
      </c>
    </row>
    <row r="2" spans="1:30" s="8" customFormat="1" ht="15.75" customHeight="1" x14ac:dyDescent="0.25">
      <c r="A2" s="215">
        <v>1</v>
      </c>
      <c r="B2" s="216" t="s">
        <v>493</v>
      </c>
      <c r="C2" s="217" t="str">
        <f>MEMBERS!B5</f>
        <v>HCFM-AH001</v>
      </c>
      <c r="D2" s="217" t="str">
        <f>VLOOKUP(C2,MEMBERS!B:C,2, )</f>
        <v>ADMIRAL AHMED HAYAT</v>
      </c>
      <c r="E2" s="22"/>
      <c r="F2" s="22"/>
      <c r="G2" s="22"/>
      <c r="H2" s="22"/>
      <c r="I2" s="22"/>
      <c r="J2" s="22"/>
      <c r="K2" s="22"/>
      <c r="L2" s="218" t="s">
        <v>494</v>
      </c>
      <c r="M2" s="22"/>
      <c r="N2" s="218"/>
      <c r="O2" s="22"/>
      <c r="P2" s="218"/>
      <c r="Q2" s="219"/>
      <c r="R2" s="219"/>
      <c r="S2" s="219"/>
      <c r="T2" s="219"/>
      <c r="U2" s="219"/>
      <c r="V2" s="219"/>
      <c r="W2" s="220">
        <f>VLOOKUP(C2,'data base '!B:AA,26, )</f>
        <v>35232.5</v>
      </c>
      <c r="X2" s="220">
        <f>VLOOKUP(C2,'data base '!B:AD,27, )</f>
        <v>3523.25</v>
      </c>
      <c r="Y2" s="261"/>
      <c r="Z2" s="262"/>
      <c r="AA2" s="221">
        <f>W2-Y2</f>
        <v>35232.5</v>
      </c>
      <c r="AB2" s="148"/>
      <c r="AC2" s="22"/>
      <c r="AD2" s="98"/>
    </row>
    <row r="3" spans="1:30" s="8" customFormat="1" ht="15.75" customHeight="1" x14ac:dyDescent="0.25">
      <c r="A3" s="215">
        <v>2</v>
      </c>
      <c r="B3" s="216" t="s">
        <v>493</v>
      </c>
      <c r="C3" s="217" t="str">
        <f>MEMBERS!B6</f>
        <v>HCFM-0502</v>
      </c>
      <c r="D3" s="217" t="str">
        <f>VLOOKUP(C3,MEMBERS!B:C,2, )</f>
        <v>MR. JABIR SHAHZAD</v>
      </c>
      <c r="E3" s="22"/>
      <c r="F3" s="22"/>
      <c r="G3" s="22"/>
      <c r="H3" s="22"/>
      <c r="I3" s="22"/>
      <c r="J3" s="22"/>
      <c r="K3" s="22"/>
      <c r="L3" s="218" t="s">
        <v>494</v>
      </c>
      <c r="M3" s="22"/>
      <c r="N3" s="218"/>
      <c r="O3" s="22"/>
      <c r="P3" s="218"/>
      <c r="Q3" s="219"/>
      <c r="R3" s="219"/>
      <c r="S3" s="219"/>
      <c r="T3" s="219"/>
      <c r="U3" s="219"/>
      <c r="V3" s="219"/>
      <c r="W3" s="220">
        <f>VLOOKUP(C3,'data base '!B:AA,26, )</f>
        <v>23742.5</v>
      </c>
      <c r="X3" s="220">
        <f>VLOOKUP(C3,'data base '!B:AD,27, )</f>
        <v>2374.25</v>
      </c>
      <c r="Y3" s="261"/>
      <c r="Z3" s="262"/>
      <c r="AA3" s="221">
        <f t="shared" ref="AA3:AA66" si="0">W3-Y3</f>
        <v>23742.5</v>
      </c>
      <c r="AB3" s="22"/>
      <c r="AC3" s="22"/>
      <c r="AD3" s="98"/>
    </row>
    <row r="4" spans="1:30" s="8" customFormat="1" ht="15.75" customHeight="1" x14ac:dyDescent="0.25">
      <c r="A4" s="215">
        <v>3</v>
      </c>
      <c r="B4" s="216" t="s">
        <v>493</v>
      </c>
      <c r="C4" s="217" t="str">
        <f>MEMBERS!B7</f>
        <v>HCFM-0503</v>
      </c>
      <c r="D4" s="217" t="str">
        <f>VLOOKUP(C4,MEMBERS!B:C,2, )</f>
        <v>MR.GHULAM NABI OTHI</v>
      </c>
      <c r="E4" s="22"/>
      <c r="F4" s="22"/>
      <c r="G4" s="22"/>
      <c r="H4" s="22"/>
      <c r="I4" s="22"/>
      <c r="J4" s="22"/>
      <c r="K4" s="22"/>
      <c r="L4" s="218" t="s">
        <v>494</v>
      </c>
      <c r="M4" s="22"/>
      <c r="N4" s="218"/>
      <c r="O4" s="22"/>
      <c r="P4" s="218"/>
      <c r="Q4" s="219"/>
      <c r="R4" s="219"/>
      <c r="S4" s="219"/>
      <c r="T4" s="219"/>
      <c r="U4" s="219"/>
      <c r="V4" s="219"/>
      <c r="W4" s="220">
        <f>VLOOKUP(C4,'data base '!B:AA,26, )</f>
        <v>72464.7</v>
      </c>
      <c r="X4" s="220">
        <f>VLOOKUP(C4,'data base '!B:AD,27, )</f>
        <v>7246.47</v>
      </c>
      <c r="Y4" s="261"/>
      <c r="Z4" s="262"/>
      <c r="AA4" s="221">
        <f t="shared" si="0"/>
        <v>72464.7</v>
      </c>
      <c r="AB4" s="22"/>
      <c r="AC4" s="22"/>
      <c r="AD4" s="98"/>
    </row>
    <row r="5" spans="1:30" s="8" customFormat="1" ht="15.75" customHeight="1" x14ac:dyDescent="0.25">
      <c r="A5" s="215">
        <v>4</v>
      </c>
      <c r="B5" s="216" t="s">
        <v>493</v>
      </c>
      <c r="C5" s="217" t="str">
        <f>MEMBERS!B8</f>
        <v>HCFM-0504</v>
      </c>
      <c r="D5" s="217" t="str">
        <f>VLOOKUP(C5,MEMBERS!B:C,2, )</f>
        <v>MR.BILAL AHMED</v>
      </c>
      <c r="E5" s="22"/>
      <c r="F5" s="22"/>
      <c r="G5" s="22"/>
      <c r="H5" s="22"/>
      <c r="I5" s="22"/>
      <c r="J5" s="22"/>
      <c r="K5" s="22"/>
      <c r="L5" s="218" t="s">
        <v>494</v>
      </c>
      <c r="M5" s="22"/>
      <c r="N5" s="218"/>
      <c r="O5" s="22"/>
      <c r="P5" s="218"/>
      <c r="Q5" s="219"/>
      <c r="R5" s="219"/>
      <c r="S5" s="219"/>
      <c r="T5" s="219"/>
      <c r="U5" s="219"/>
      <c r="V5" s="219"/>
      <c r="W5" s="220">
        <f>VLOOKUP(C5,'data base '!B:AA,26, )</f>
        <v>15032.5</v>
      </c>
      <c r="X5" s="220">
        <f>VLOOKUP(C5,'data base '!B:AD,27, )</f>
        <v>1503.25</v>
      </c>
      <c r="Y5" s="261"/>
      <c r="Z5" s="262"/>
      <c r="AA5" s="221">
        <f t="shared" si="0"/>
        <v>15032.5</v>
      </c>
      <c r="AB5" s="22"/>
      <c r="AC5" s="22"/>
      <c r="AD5" s="98"/>
    </row>
    <row r="6" spans="1:30" s="8" customFormat="1" ht="15.75" customHeight="1" x14ac:dyDescent="0.25">
      <c r="A6" s="215">
        <v>5</v>
      </c>
      <c r="B6" s="216" t="s">
        <v>493</v>
      </c>
      <c r="C6" s="217" t="str">
        <f>MEMBERS!B9</f>
        <v>HCFM-0506</v>
      </c>
      <c r="D6" s="217" t="str">
        <f>VLOOKUP(C6,MEMBERS!B:C,2, )</f>
        <v>MR.MUHAMMAD ARIF</v>
      </c>
      <c r="E6" s="23"/>
      <c r="F6" s="23"/>
      <c r="G6" s="23"/>
      <c r="H6" s="23"/>
      <c r="I6" s="23"/>
      <c r="J6" s="23"/>
      <c r="K6" s="23"/>
      <c r="L6" s="218" t="s">
        <v>494</v>
      </c>
      <c r="M6" s="23"/>
      <c r="N6" s="222"/>
      <c r="O6" s="23"/>
      <c r="P6" s="23"/>
      <c r="Q6" s="222"/>
      <c r="R6" s="222"/>
      <c r="S6" s="222"/>
      <c r="T6" s="222"/>
      <c r="U6" s="222"/>
      <c r="V6" s="23"/>
      <c r="W6" s="220">
        <f>VLOOKUP(C6,'data base '!B:AA,26, )</f>
        <v>44829.55</v>
      </c>
      <c r="X6" s="220">
        <f>VLOOKUP(C6,'data base '!B:AD,27, )</f>
        <v>3635.5550000000003</v>
      </c>
      <c r="Y6" s="261"/>
      <c r="Z6" s="262"/>
      <c r="AA6" s="221">
        <f t="shared" si="0"/>
        <v>44829.55</v>
      </c>
      <c r="AB6" s="23"/>
      <c r="AC6" s="23"/>
      <c r="AD6" s="99"/>
    </row>
    <row r="7" spans="1:30" s="8" customFormat="1" ht="15.75" customHeight="1" x14ac:dyDescent="0.25">
      <c r="A7" s="215">
        <v>6</v>
      </c>
      <c r="B7" s="216" t="s">
        <v>493</v>
      </c>
      <c r="C7" s="217" t="str">
        <f>MEMBERS!B10</f>
        <v>HCFM-0507</v>
      </c>
      <c r="D7" s="217" t="str">
        <f>VLOOKUP(C7,MEMBERS!B:C,2, )</f>
        <v>MR.SYED TAHIR ABBAS</v>
      </c>
      <c r="E7" s="23"/>
      <c r="F7" s="23"/>
      <c r="G7" s="23"/>
      <c r="H7" s="23"/>
      <c r="I7" s="23"/>
      <c r="J7" s="23"/>
      <c r="K7" s="23"/>
      <c r="L7" s="218" t="s">
        <v>494</v>
      </c>
      <c r="M7" s="23"/>
      <c r="N7" s="222"/>
      <c r="O7" s="23"/>
      <c r="P7" s="23"/>
      <c r="Q7" s="222"/>
      <c r="R7" s="222"/>
      <c r="S7" s="222"/>
      <c r="T7" s="222"/>
      <c r="U7" s="222"/>
      <c r="V7" s="23"/>
      <c r="W7" s="220">
        <f>VLOOKUP(C7,'data base '!B:AA,26, )</f>
        <v>55030</v>
      </c>
      <c r="X7" s="220">
        <f>VLOOKUP(C7,'data base '!B:AD,27, )</f>
        <v>1068</v>
      </c>
      <c r="Y7" s="261"/>
      <c r="Z7" s="262"/>
      <c r="AA7" s="221">
        <f t="shared" si="0"/>
        <v>55030</v>
      </c>
      <c r="AB7" s="23"/>
      <c r="AC7" s="23"/>
      <c r="AD7" s="99"/>
    </row>
    <row r="8" spans="1:30" s="8" customFormat="1" ht="15.75" customHeight="1" x14ac:dyDescent="0.25">
      <c r="A8" s="215">
        <v>7</v>
      </c>
      <c r="B8" s="216" t="s">
        <v>493</v>
      </c>
      <c r="C8" s="217" t="str">
        <f>MEMBERS!B11</f>
        <v>HCFM-0508</v>
      </c>
      <c r="D8" s="217" t="str">
        <f>VLOOKUP(C8,MEMBERS!B:C,2, )</f>
        <v>MR.SHIRAZ AHMED</v>
      </c>
      <c r="E8" s="23"/>
      <c r="F8" s="23"/>
      <c r="G8" s="23"/>
      <c r="H8" s="23"/>
      <c r="I8" s="23"/>
      <c r="J8" s="23"/>
      <c r="K8" s="23"/>
      <c r="L8" s="218" t="s">
        <v>494</v>
      </c>
      <c r="M8" s="23"/>
      <c r="N8" s="222"/>
      <c r="O8" s="23"/>
      <c r="P8" s="23"/>
      <c r="Q8" s="222"/>
      <c r="R8" s="222"/>
      <c r="S8" s="222"/>
      <c r="T8" s="222"/>
      <c r="U8" s="222"/>
      <c r="V8" s="23"/>
      <c r="W8" s="220">
        <f>VLOOKUP(C8,'data base '!B:AA,26, )</f>
        <v>10500</v>
      </c>
      <c r="X8" s="220">
        <f>VLOOKUP(C8,'data base '!B:AD,27, )</f>
        <v>1050</v>
      </c>
      <c r="Y8" s="261"/>
      <c r="Z8" s="262"/>
      <c r="AA8" s="221">
        <f t="shared" si="0"/>
        <v>10500</v>
      </c>
      <c r="AB8" s="23"/>
      <c r="AC8" s="23"/>
      <c r="AD8" s="99"/>
    </row>
    <row r="9" spans="1:30" s="8" customFormat="1" ht="15.75" customHeight="1" x14ac:dyDescent="0.25">
      <c r="A9" s="215">
        <v>8</v>
      </c>
      <c r="B9" s="216" t="s">
        <v>493</v>
      </c>
      <c r="C9" s="217" t="str">
        <f>MEMBERS!B12</f>
        <v>HCFM-0509</v>
      </c>
      <c r="D9" s="217" t="str">
        <f>VLOOKUP(C9,MEMBERS!B:C,2, )</f>
        <v>MR.SYED ABDULLAH ALI</v>
      </c>
      <c r="E9" s="23"/>
      <c r="F9" s="23"/>
      <c r="G9" s="23"/>
      <c r="H9" s="23"/>
      <c r="I9" s="23"/>
      <c r="J9" s="23"/>
      <c r="K9" s="23"/>
      <c r="L9" s="218" t="s">
        <v>494</v>
      </c>
      <c r="M9" s="23"/>
      <c r="N9" s="222"/>
      <c r="O9" s="23"/>
      <c r="P9" s="23"/>
      <c r="Q9" s="222"/>
      <c r="R9" s="222"/>
      <c r="S9" s="222"/>
      <c r="T9" s="222"/>
      <c r="U9" s="222"/>
      <c r="V9" s="23"/>
      <c r="W9" s="220">
        <f>VLOOKUP(C9,'data base '!B:AA,26, )</f>
        <v>9095</v>
      </c>
      <c r="X9" s="220">
        <f>VLOOKUP(C9,'data base '!B:AD,27, )</f>
        <v>909.5</v>
      </c>
      <c r="Y9" s="261"/>
      <c r="Z9" s="262"/>
      <c r="AA9" s="221">
        <f t="shared" si="0"/>
        <v>9095</v>
      </c>
      <c r="AB9" s="23"/>
      <c r="AC9" s="23"/>
      <c r="AD9" s="99"/>
    </row>
    <row r="10" spans="1:30" s="8" customFormat="1" ht="15.75" customHeight="1" x14ac:dyDescent="0.25">
      <c r="A10" s="215">
        <v>9</v>
      </c>
      <c r="B10" s="216" t="s">
        <v>493</v>
      </c>
      <c r="C10" s="217" t="str">
        <f>MEMBERS!B13</f>
        <v>HCFM-0510</v>
      </c>
      <c r="D10" s="217" t="str">
        <f>VLOOKUP(C10,MEMBERS!B:C,2, )</f>
        <v>MR.MUHAMMAD RIZWAN</v>
      </c>
      <c r="E10" s="23"/>
      <c r="F10" s="23"/>
      <c r="G10" s="23"/>
      <c r="H10" s="23"/>
      <c r="I10" s="23"/>
      <c r="J10" s="23"/>
      <c r="K10" s="23"/>
      <c r="L10" s="218" t="s">
        <v>494</v>
      </c>
      <c r="M10" s="23"/>
      <c r="N10" s="222"/>
      <c r="O10" s="23"/>
      <c r="P10" s="23"/>
      <c r="Q10" s="222"/>
      <c r="R10" s="222"/>
      <c r="S10" s="222"/>
      <c r="T10" s="222"/>
      <c r="U10" s="222"/>
      <c r="V10" s="23"/>
      <c r="W10" s="220">
        <f>VLOOKUP(C10,'data base '!B:AA,26, )</f>
        <v>28051</v>
      </c>
      <c r="X10" s="220">
        <f>VLOOKUP(C10,'data base '!B:AD,27, )</f>
        <v>1012.5</v>
      </c>
      <c r="Y10" s="261"/>
      <c r="Z10" s="262"/>
      <c r="AA10" s="221">
        <f t="shared" si="0"/>
        <v>28051</v>
      </c>
      <c r="AB10" s="24"/>
      <c r="AC10" s="24"/>
      <c r="AD10" s="99"/>
    </row>
    <row r="11" spans="1:30" s="8" customFormat="1" ht="15.75" customHeight="1" x14ac:dyDescent="0.25">
      <c r="A11" s="215">
        <v>10</v>
      </c>
      <c r="B11" s="216" t="s">
        <v>493</v>
      </c>
      <c r="C11" s="217" t="str">
        <f>MEMBERS!B14</f>
        <v>HCFM-0511</v>
      </c>
      <c r="D11" s="217" t="str">
        <f>VLOOKUP(C11,MEMBERS!B:C,2, )</f>
        <v>MR.TALHAR AHMED</v>
      </c>
      <c r="E11" s="23"/>
      <c r="F11" s="23"/>
      <c r="G11" s="23"/>
      <c r="H11" s="23"/>
      <c r="I11" s="23"/>
      <c r="J11" s="23"/>
      <c r="K11" s="23"/>
      <c r="L11" s="218" t="s">
        <v>494</v>
      </c>
      <c r="M11" s="23"/>
      <c r="N11" s="222"/>
      <c r="O11" s="23"/>
      <c r="P11" s="23"/>
      <c r="Q11" s="222"/>
      <c r="R11" s="222"/>
      <c r="S11" s="222"/>
      <c r="T11" s="222"/>
      <c r="U11" s="222"/>
      <c r="V11" s="23"/>
      <c r="W11" s="220">
        <f>VLOOKUP(C11,'data base '!B:AA,26, )</f>
        <v>7000</v>
      </c>
      <c r="X11" s="220">
        <f>VLOOKUP(C11,'data base '!B:AD,27, )</f>
        <v>700</v>
      </c>
      <c r="Y11" s="261"/>
      <c r="Z11" s="262"/>
      <c r="AA11" s="221">
        <f t="shared" si="0"/>
        <v>7000</v>
      </c>
      <c r="AB11" s="23"/>
      <c r="AC11" s="23"/>
      <c r="AD11" s="99"/>
    </row>
    <row r="12" spans="1:30" s="8" customFormat="1" ht="15.75" customHeight="1" x14ac:dyDescent="0.25">
      <c r="A12" s="215">
        <v>11</v>
      </c>
      <c r="B12" s="216" t="s">
        <v>493</v>
      </c>
      <c r="C12" s="217" t="str">
        <f>MEMBERS!B15</f>
        <v>HCFM-0512</v>
      </c>
      <c r="D12" s="217" t="str">
        <f>VLOOKUP(C12,MEMBERS!B:C,2, )</f>
        <v>MR.ZEESHAN IQBAL</v>
      </c>
      <c r="E12" s="23"/>
      <c r="F12" s="23"/>
      <c r="G12" s="23"/>
      <c r="H12" s="23"/>
      <c r="I12" s="23"/>
      <c r="J12" s="23"/>
      <c r="K12" s="23"/>
      <c r="L12" s="218" t="s">
        <v>494</v>
      </c>
      <c r="M12" s="23"/>
      <c r="N12" s="222"/>
      <c r="O12" s="23"/>
      <c r="P12" s="23"/>
      <c r="Q12" s="222"/>
      <c r="R12" s="222"/>
      <c r="S12" s="222"/>
      <c r="T12" s="222"/>
      <c r="U12" s="222"/>
      <c r="V12" s="23"/>
      <c r="W12" s="220">
        <f>VLOOKUP(C12,'data base '!B:AA,26, )</f>
        <v>30498.5</v>
      </c>
      <c r="X12" s="220">
        <f>VLOOKUP(C12,'data base '!B:AD,27, )</f>
        <v>2732.25</v>
      </c>
      <c r="Y12" s="261"/>
      <c r="Z12" s="262"/>
      <c r="AA12" s="221">
        <f t="shared" si="0"/>
        <v>30498.5</v>
      </c>
      <c r="AB12" s="23"/>
      <c r="AC12" s="23"/>
      <c r="AD12" s="99"/>
    </row>
    <row r="13" spans="1:30" s="8" customFormat="1" ht="15.75" customHeight="1" x14ac:dyDescent="0.25">
      <c r="A13" s="215">
        <v>12</v>
      </c>
      <c r="B13" s="216" t="s">
        <v>493</v>
      </c>
      <c r="C13" s="217" t="str">
        <f>MEMBERS!B16</f>
        <v>HCFM-0513</v>
      </c>
      <c r="D13" s="217" t="str">
        <f>VLOOKUP(C13,MEMBERS!B:C,2, )</f>
        <v>MR.SAJJAD ALI</v>
      </c>
      <c r="E13" s="23"/>
      <c r="F13" s="23"/>
      <c r="G13" s="23"/>
      <c r="H13" s="23"/>
      <c r="I13" s="23"/>
      <c r="J13" s="23"/>
      <c r="K13" s="23"/>
      <c r="L13" s="218" t="s">
        <v>494</v>
      </c>
      <c r="M13" s="23"/>
      <c r="N13" s="222"/>
      <c r="O13" s="23"/>
      <c r="P13" s="23"/>
      <c r="Q13" s="222"/>
      <c r="R13" s="222"/>
      <c r="S13" s="222"/>
      <c r="T13" s="222"/>
      <c r="U13" s="222"/>
      <c r="V13" s="23"/>
      <c r="W13" s="220">
        <f>VLOOKUP(C13,'data base '!B:AA,26, )</f>
        <v>46194.05</v>
      </c>
      <c r="X13" s="220">
        <f>VLOOKUP(C13,'data base '!B:AD,27, )</f>
        <v>4619.4050000000007</v>
      </c>
      <c r="Y13" s="261"/>
      <c r="Z13" s="262"/>
      <c r="AA13" s="221">
        <f t="shared" si="0"/>
        <v>46194.05</v>
      </c>
      <c r="AB13" s="23"/>
      <c r="AC13" s="23"/>
      <c r="AD13" s="99"/>
    </row>
    <row r="14" spans="1:30" s="8" customFormat="1" ht="15.75" customHeight="1" x14ac:dyDescent="0.25">
      <c r="A14" s="215">
        <v>13</v>
      </c>
      <c r="B14" s="216" t="s">
        <v>493</v>
      </c>
      <c r="C14" s="217" t="str">
        <f>MEMBERS!B17</f>
        <v>HCFM-0514</v>
      </c>
      <c r="D14" s="217" t="str">
        <f>VLOOKUP(C14,MEMBERS!B:C,2, )</f>
        <v>MR.DILEEP KUMAR</v>
      </c>
      <c r="E14" s="23"/>
      <c r="F14" s="23"/>
      <c r="G14" s="23"/>
      <c r="H14" s="23"/>
      <c r="I14" s="23"/>
      <c r="J14" s="23"/>
      <c r="K14" s="23"/>
      <c r="L14" s="218" t="s">
        <v>494</v>
      </c>
      <c r="M14" s="23"/>
      <c r="N14" s="222"/>
      <c r="O14" s="23"/>
      <c r="P14" s="23"/>
      <c r="Q14" s="222"/>
      <c r="R14" s="222"/>
      <c r="S14" s="222"/>
      <c r="T14" s="222"/>
      <c r="U14" s="222"/>
      <c r="V14" s="23"/>
      <c r="W14" s="220">
        <f>VLOOKUP(C14,'data base '!B:AA,26, )</f>
        <v>63937.5</v>
      </c>
      <c r="X14" s="220">
        <f>VLOOKUP(C14,'data base '!B:AD,27, )</f>
        <v>5190.75</v>
      </c>
      <c r="Y14" s="261"/>
      <c r="Z14" s="262"/>
      <c r="AA14" s="221">
        <f t="shared" si="0"/>
        <v>63937.5</v>
      </c>
      <c r="AB14" s="23"/>
      <c r="AC14" s="23"/>
      <c r="AD14" s="99"/>
    </row>
    <row r="15" spans="1:30" s="8" customFormat="1" ht="15.75" customHeight="1" x14ac:dyDescent="0.25">
      <c r="A15" s="215">
        <v>14</v>
      </c>
      <c r="B15" s="223" t="s">
        <v>493</v>
      </c>
      <c r="C15" s="217" t="str">
        <f>MEMBERS!B18</f>
        <v>HCFM-0515</v>
      </c>
      <c r="D15" s="217" t="str">
        <f>VLOOKUP(C15,MEMBERS!B:C,2, )</f>
        <v>MR.TARIQUE ZUBAIR</v>
      </c>
      <c r="E15" s="223"/>
      <c r="F15" s="223"/>
      <c r="G15" s="223"/>
      <c r="H15" s="223"/>
      <c r="I15" s="223"/>
      <c r="J15" s="223"/>
      <c r="K15" s="223"/>
      <c r="L15" s="223" t="s">
        <v>494</v>
      </c>
      <c r="M15" s="223"/>
      <c r="N15" s="223"/>
      <c r="O15" s="223"/>
      <c r="P15" s="223"/>
      <c r="Q15" s="223"/>
      <c r="R15" s="223"/>
      <c r="S15" s="223"/>
      <c r="T15" s="223"/>
      <c r="U15" s="223"/>
      <c r="V15" s="223"/>
      <c r="W15" s="220">
        <f>VLOOKUP(C15,'data base '!B:AA,26, )</f>
        <v>38714</v>
      </c>
      <c r="X15" s="220">
        <f>VLOOKUP(C15,'data base '!B:AD,27, )</f>
        <v>3871.4</v>
      </c>
      <c r="Y15" s="261"/>
      <c r="Z15" s="262"/>
      <c r="AA15" s="224">
        <f t="shared" si="0"/>
        <v>38714</v>
      </c>
      <c r="AB15" s="223"/>
      <c r="AC15" s="223"/>
      <c r="AD15" s="225"/>
    </row>
    <row r="16" spans="1:30" s="8" customFormat="1" ht="15.75" customHeight="1" x14ac:dyDescent="0.25">
      <c r="A16" s="215">
        <v>15</v>
      </c>
      <c r="B16" s="216" t="s">
        <v>493</v>
      </c>
      <c r="C16" s="217" t="str">
        <f>MEMBERS!B19</f>
        <v>HCFM-0516</v>
      </c>
      <c r="D16" s="217" t="str">
        <f>VLOOKUP(C16,MEMBERS!B:C,2, )</f>
        <v>MR.ATIF SHAFQAT</v>
      </c>
      <c r="E16" s="23"/>
      <c r="F16" s="23"/>
      <c r="G16" s="23"/>
      <c r="H16" s="23"/>
      <c r="I16" s="23"/>
      <c r="J16" s="23"/>
      <c r="K16" s="23"/>
      <c r="L16" s="218" t="s">
        <v>494</v>
      </c>
      <c r="M16" s="23"/>
      <c r="N16" s="222"/>
      <c r="O16" s="23"/>
      <c r="P16" s="23"/>
      <c r="Q16" s="222"/>
      <c r="R16" s="222"/>
      <c r="S16" s="222"/>
      <c r="T16" s="222"/>
      <c r="U16" s="222"/>
      <c r="V16" s="23"/>
      <c r="W16" s="220">
        <f>VLOOKUP(C16,'data base '!B:AA,26, )</f>
        <v>59320.5</v>
      </c>
      <c r="X16" s="220">
        <f>VLOOKUP(C16,'data base '!B:AD,27, )</f>
        <v>1216.55</v>
      </c>
      <c r="Y16" s="261"/>
      <c r="Z16" s="262"/>
      <c r="AA16" s="221">
        <f t="shared" si="0"/>
        <v>59320.5</v>
      </c>
      <c r="AB16" s="23"/>
      <c r="AC16" s="23"/>
      <c r="AD16" s="99"/>
    </row>
    <row r="17" spans="1:30" s="8" customFormat="1" ht="15.75" customHeight="1" x14ac:dyDescent="0.25">
      <c r="A17" s="215">
        <v>16</v>
      </c>
      <c r="B17" s="216" t="s">
        <v>493</v>
      </c>
      <c r="C17" s="217" t="str">
        <f>MEMBERS!B20</f>
        <v>HCFM-0517</v>
      </c>
      <c r="D17" s="217" t="str">
        <f>VLOOKUP(C17,MEMBERS!B:C,2, )</f>
        <v>DR.ATHESHAM UL HAQ RANA</v>
      </c>
      <c r="E17" s="23"/>
      <c r="F17" s="23"/>
      <c r="G17" s="23"/>
      <c r="H17" s="23"/>
      <c r="I17" s="23"/>
      <c r="J17" s="23"/>
      <c r="K17" s="23"/>
      <c r="L17" s="218" t="s">
        <v>494</v>
      </c>
      <c r="M17" s="23"/>
      <c r="N17" s="222"/>
      <c r="O17" s="23"/>
      <c r="P17" s="23"/>
      <c r="Q17" s="222"/>
      <c r="R17" s="222"/>
      <c r="S17" s="222"/>
      <c r="T17" s="222"/>
      <c r="U17" s="222"/>
      <c r="V17" s="23"/>
      <c r="W17" s="220">
        <f>VLOOKUP(C17,'data base '!B:AA,26, )</f>
        <v>44300</v>
      </c>
      <c r="X17" s="220">
        <f>VLOOKUP(C17,'data base '!B:AD,27, )</f>
        <v>700</v>
      </c>
      <c r="Y17" s="261"/>
      <c r="Z17" s="262"/>
      <c r="AA17" s="221">
        <f t="shared" si="0"/>
        <v>44300</v>
      </c>
      <c r="AB17" s="23"/>
      <c r="AC17" s="23"/>
      <c r="AD17" s="99"/>
    </row>
    <row r="18" spans="1:30" s="8" customFormat="1" ht="15.75" customHeight="1" x14ac:dyDescent="0.25">
      <c r="A18" s="215">
        <v>17</v>
      </c>
      <c r="B18" s="216" t="s">
        <v>493</v>
      </c>
      <c r="C18" s="217" t="str">
        <f>MEMBERS!B21</f>
        <v>HCFM-0518</v>
      </c>
      <c r="D18" s="217" t="str">
        <f>VLOOKUP(C18,MEMBERS!B:C,2, )</f>
        <v>DR.SANTOSH KUMAR</v>
      </c>
      <c r="E18" s="23"/>
      <c r="F18" s="23"/>
      <c r="G18" s="23"/>
      <c r="H18" s="23"/>
      <c r="I18" s="23"/>
      <c r="J18" s="23"/>
      <c r="K18" s="23"/>
      <c r="L18" s="218" t="s">
        <v>494</v>
      </c>
      <c r="M18" s="23"/>
      <c r="N18" s="222"/>
      <c r="O18" s="23"/>
      <c r="P18" s="23"/>
      <c r="Q18" s="222"/>
      <c r="R18" s="222"/>
      <c r="S18" s="222"/>
      <c r="T18" s="222"/>
      <c r="U18" s="222"/>
      <c r="V18" s="23"/>
      <c r="W18" s="220">
        <f>VLOOKUP(C18,'data base '!B:AA,26, )</f>
        <v>9276</v>
      </c>
      <c r="X18" s="220">
        <f>VLOOKUP(C18,'data base '!B:AD,27, )</f>
        <v>820</v>
      </c>
      <c r="Y18" s="261"/>
      <c r="Z18" s="262"/>
      <c r="AA18" s="221">
        <f t="shared" si="0"/>
        <v>9276</v>
      </c>
      <c r="AB18" s="23"/>
      <c r="AC18" s="23"/>
      <c r="AD18" s="99"/>
    </row>
    <row r="19" spans="1:30" s="8" customFormat="1" ht="15.75" customHeight="1" x14ac:dyDescent="0.25">
      <c r="A19" s="215">
        <v>18</v>
      </c>
      <c r="B19" s="216" t="s">
        <v>493</v>
      </c>
      <c r="C19" s="217" t="str">
        <f>MEMBERS!B22</f>
        <v>HCFM-0519</v>
      </c>
      <c r="D19" s="217" t="str">
        <f>VLOOKUP(C19,MEMBERS!B:C,2, )</f>
        <v>DR.NAZEER HUSSAIN KALHORO</v>
      </c>
      <c r="E19" s="23"/>
      <c r="F19" s="23"/>
      <c r="G19" s="23"/>
      <c r="H19" s="23"/>
      <c r="I19" s="23"/>
      <c r="J19" s="23"/>
      <c r="K19" s="23"/>
      <c r="L19" s="218" t="s">
        <v>494</v>
      </c>
      <c r="M19" s="23"/>
      <c r="N19" s="222"/>
      <c r="O19" s="23"/>
      <c r="P19" s="23"/>
      <c r="Q19" s="222"/>
      <c r="R19" s="222"/>
      <c r="S19" s="222"/>
      <c r="T19" s="222"/>
      <c r="U19" s="222"/>
      <c r="V19" s="23"/>
      <c r="W19" s="220">
        <f>VLOOKUP(C19,'data base '!B:AA,26, )</f>
        <v>55088.75</v>
      </c>
      <c r="X19" s="220">
        <f>VLOOKUP(C19,'data base '!B:AD,27, )</f>
        <v>5508.875</v>
      </c>
      <c r="Y19" s="261"/>
      <c r="Z19" s="262"/>
      <c r="AA19" s="221">
        <f t="shared" si="0"/>
        <v>55088.75</v>
      </c>
      <c r="AB19" s="23"/>
      <c r="AC19" s="23"/>
      <c r="AD19" s="99"/>
    </row>
    <row r="20" spans="1:30" s="8" customFormat="1" ht="15.75" customHeight="1" x14ac:dyDescent="0.25">
      <c r="A20" s="215">
        <v>19</v>
      </c>
      <c r="B20" s="216" t="s">
        <v>493</v>
      </c>
      <c r="C20" s="217" t="str">
        <f>MEMBERS!B23</f>
        <v>HCFM-0520</v>
      </c>
      <c r="D20" s="217" t="str">
        <f>VLOOKUP(C20,MEMBERS!B:C,2, )</f>
        <v>MR.NIZAM UDDIN NIZAMANI</v>
      </c>
      <c r="E20" s="23"/>
      <c r="F20" s="23"/>
      <c r="G20" s="23"/>
      <c r="H20" s="23"/>
      <c r="I20" s="23"/>
      <c r="J20" s="23"/>
      <c r="K20" s="23"/>
      <c r="L20" s="218" t="s">
        <v>494</v>
      </c>
      <c r="M20" s="23"/>
      <c r="N20" s="222"/>
      <c r="O20" s="23"/>
      <c r="P20" s="23"/>
      <c r="Q20" s="222"/>
      <c r="R20" s="222"/>
      <c r="S20" s="222"/>
      <c r="T20" s="222"/>
      <c r="U20" s="222"/>
      <c r="V20" s="23"/>
      <c r="W20" s="220">
        <f>VLOOKUP(C20,'data base '!B:AA,26, )</f>
        <v>119769</v>
      </c>
      <c r="X20" s="220">
        <f>VLOOKUP(C20,'data base '!B:AD,27, )</f>
        <v>11976.900000000001</v>
      </c>
      <c r="Y20" s="261"/>
      <c r="Z20" s="262"/>
      <c r="AA20" s="221">
        <f t="shared" si="0"/>
        <v>119769</v>
      </c>
      <c r="AB20" s="23"/>
      <c r="AC20" s="23"/>
      <c r="AD20" s="99"/>
    </row>
    <row r="21" spans="1:30" s="8" customFormat="1" ht="15.75" customHeight="1" x14ac:dyDescent="0.25">
      <c r="A21" s="215">
        <v>20</v>
      </c>
      <c r="B21" s="226" t="s">
        <v>493</v>
      </c>
      <c r="C21" s="217" t="str">
        <f>MEMBERS!B24</f>
        <v>HCFM-0521</v>
      </c>
      <c r="D21" s="217" t="str">
        <f>VLOOKUP(C21,MEMBERS!B:C,2, )</f>
        <v>MR.HAFEEZ AHMED SIYAL</v>
      </c>
      <c r="E21" s="23"/>
      <c r="F21" s="23"/>
      <c r="G21" s="23"/>
      <c r="H21" s="23"/>
      <c r="I21" s="23"/>
      <c r="J21" s="23"/>
      <c r="K21" s="23"/>
      <c r="L21" s="218" t="s">
        <v>494</v>
      </c>
      <c r="M21" s="23"/>
      <c r="N21" s="222"/>
      <c r="O21" s="23"/>
      <c r="P21" s="23"/>
      <c r="Q21" s="222"/>
      <c r="R21" s="222"/>
      <c r="S21" s="222"/>
      <c r="T21" s="222"/>
      <c r="U21" s="222"/>
      <c r="V21" s="23"/>
      <c r="W21" s="220">
        <f>VLOOKUP(C21,'data base '!B:AA,26, )</f>
        <v>27862.75</v>
      </c>
      <c r="X21" s="220">
        <f>VLOOKUP(C21,'data base '!B:AD,27, )</f>
        <v>2786.2750000000001</v>
      </c>
      <c r="Y21" s="261"/>
      <c r="Z21" s="262"/>
      <c r="AA21" s="221">
        <f t="shared" si="0"/>
        <v>27862.75</v>
      </c>
      <c r="AB21" s="23"/>
      <c r="AC21" s="23"/>
      <c r="AD21" s="99"/>
    </row>
    <row r="22" spans="1:30" s="8" customFormat="1" ht="15.75" customHeight="1" x14ac:dyDescent="0.25">
      <c r="A22" s="215">
        <v>21</v>
      </c>
      <c r="B22" s="216" t="s">
        <v>493</v>
      </c>
      <c r="C22" s="217" t="str">
        <f>MEMBERS!B25</f>
        <v>HCFM-0522</v>
      </c>
      <c r="D22" s="217" t="str">
        <f>VLOOKUP(C22,MEMBERS!B:C,2, )</f>
        <v>MR.IQBAL AHMED MALLAH</v>
      </c>
      <c r="E22" s="23"/>
      <c r="F22" s="23"/>
      <c r="G22" s="23"/>
      <c r="H22" s="23"/>
      <c r="I22" s="23"/>
      <c r="J22" s="23"/>
      <c r="K22" s="23"/>
      <c r="L22" s="218" t="s">
        <v>494</v>
      </c>
      <c r="M22" s="23"/>
      <c r="N22" s="222"/>
      <c r="O22" s="23"/>
      <c r="P22" s="23"/>
      <c r="Q22" s="222"/>
      <c r="R22" s="222"/>
      <c r="S22" s="222"/>
      <c r="T22" s="222"/>
      <c r="U22" s="222"/>
      <c r="V22" s="23"/>
      <c r="W22" s="220">
        <f>VLOOKUP(C22,'data base '!B:AA,26, )</f>
        <v>36045.1</v>
      </c>
      <c r="X22" s="220">
        <f>VLOOKUP(C22,'data base '!B:AD,27, )</f>
        <v>3604.51</v>
      </c>
      <c r="Y22" s="261"/>
      <c r="Z22" s="262"/>
      <c r="AA22" s="221">
        <f t="shared" si="0"/>
        <v>36045.1</v>
      </c>
      <c r="AB22" s="23"/>
      <c r="AC22" s="23"/>
      <c r="AD22" s="99"/>
    </row>
    <row r="23" spans="1:30" s="8" customFormat="1" ht="15.75" customHeight="1" x14ac:dyDescent="0.25">
      <c r="A23" s="215">
        <v>22</v>
      </c>
      <c r="B23" s="216" t="s">
        <v>493</v>
      </c>
      <c r="C23" s="217" t="str">
        <f>MEMBERS!B26</f>
        <v>HCFM-0523</v>
      </c>
      <c r="D23" s="217" t="str">
        <f>VLOOKUP(C23,MEMBERS!B:C,2, )</f>
        <v>MR.KANYO LAL</v>
      </c>
      <c r="E23" s="23"/>
      <c r="F23" s="23"/>
      <c r="G23" s="23"/>
      <c r="H23" s="23"/>
      <c r="I23" s="23"/>
      <c r="J23" s="23"/>
      <c r="K23" s="23"/>
      <c r="L23" s="218" t="s">
        <v>494</v>
      </c>
      <c r="M23" s="23"/>
      <c r="N23" s="222"/>
      <c r="O23" s="23"/>
      <c r="P23" s="23"/>
      <c r="Q23" s="222"/>
      <c r="R23" s="222"/>
      <c r="S23" s="222"/>
      <c r="T23" s="222"/>
      <c r="U23" s="222"/>
      <c r="V23" s="23"/>
      <c r="W23" s="220">
        <f>VLOOKUP(C23,'data base '!B:AA,26, )</f>
        <v>28880</v>
      </c>
      <c r="X23" s="220">
        <f>VLOOKUP(C23,'data base '!B:AD,27, )</f>
        <v>1459</v>
      </c>
      <c r="Y23" s="261"/>
      <c r="Z23" s="262"/>
      <c r="AA23" s="221">
        <f t="shared" si="0"/>
        <v>28880</v>
      </c>
      <c r="AB23" s="23"/>
      <c r="AC23" s="23"/>
      <c r="AD23" s="99"/>
    </row>
    <row r="24" spans="1:30" s="8" customFormat="1" ht="15.75" customHeight="1" x14ac:dyDescent="0.25">
      <c r="A24" s="215">
        <v>23</v>
      </c>
      <c r="B24" s="216" t="s">
        <v>493</v>
      </c>
      <c r="C24" s="217" t="str">
        <f>MEMBERS!B27</f>
        <v>HCFM-0524</v>
      </c>
      <c r="D24" s="217" t="str">
        <f>VLOOKUP(C24,MEMBERS!B:C,2, )</f>
        <v>MR.MANOJ KUMAR</v>
      </c>
      <c r="E24" s="23"/>
      <c r="F24" s="23"/>
      <c r="G24" s="23"/>
      <c r="H24" s="23"/>
      <c r="I24" s="23"/>
      <c r="J24" s="23"/>
      <c r="K24" s="23"/>
      <c r="L24" s="218" t="s">
        <v>494</v>
      </c>
      <c r="M24" s="23"/>
      <c r="N24" s="222"/>
      <c r="O24" s="23"/>
      <c r="P24" s="23"/>
      <c r="Q24" s="222"/>
      <c r="R24" s="222"/>
      <c r="S24" s="222"/>
      <c r="T24" s="222"/>
      <c r="U24" s="222"/>
      <c r="V24" s="23"/>
      <c r="W24" s="220">
        <f>VLOOKUP(C24,'data base '!B:AA,26, )</f>
        <v>42489.5</v>
      </c>
      <c r="X24" s="220">
        <f>VLOOKUP(C24,'data base '!B:AD,27, )</f>
        <v>4248.95</v>
      </c>
      <c r="Y24" s="261"/>
      <c r="Z24" s="262"/>
      <c r="AA24" s="221">
        <f t="shared" si="0"/>
        <v>42489.5</v>
      </c>
      <c r="AB24" s="23"/>
      <c r="AC24" s="23"/>
      <c r="AD24" s="99"/>
    </row>
    <row r="25" spans="1:30" s="8" customFormat="1" ht="17.25" customHeight="1" x14ac:dyDescent="0.25">
      <c r="A25" s="215">
        <v>24</v>
      </c>
      <c r="B25" s="216" t="s">
        <v>493</v>
      </c>
      <c r="C25" s="217" t="str">
        <f>MEMBERS!B28</f>
        <v>HCFM-0525</v>
      </c>
      <c r="D25" s="217" t="str">
        <f>VLOOKUP(C25,MEMBERS!B:C,2, )</f>
        <v>DR.SAJJAD AHMED SOLANGI</v>
      </c>
      <c r="E25" s="23"/>
      <c r="F25" s="23"/>
      <c r="G25" s="23"/>
      <c r="H25" s="23"/>
      <c r="I25" s="23"/>
      <c r="J25" s="23"/>
      <c r="K25" s="23"/>
      <c r="L25" s="218" t="s">
        <v>494</v>
      </c>
      <c r="M25" s="23"/>
      <c r="N25" s="222"/>
      <c r="O25" s="23"/>
      <c r="P25" s="23"/>
      <c r="Q25" s="222"/>
      <c r="R25" s="222"/>
      <c r="S25" s="222"/>
      <c r="T25" s="222"/>
      <c r="U25" s="222"/>
      <c r="V25" s="23"/>
      <c r="W25" s="220">
        <f>VLOOKUP(C25,'data base '!B:AA,26, )</f>
        <v>14095.5</v>
      </c>
      <c r="X25" s="220">
        <f>VLOOKUP(C25,'data base '!B:AD,27, )</f>
        <v>1409.5500000000002</v>
      </c>
      <c r="Y25" s="261"/>
      <c r="Z25" s="262"/>
      <c r="AA25" s="221">
        <f t="shared" si="0"/>
        <v>14095.5</v>
      </c>
      <c r="AB25" s="23"/>
      <c r="AC25" s="23"/>
      <c r="AD25" s="99"/>
    </row>
    <row r="26" spans="1:30" s="8" customFormat="1" ht="15.75" customHeight="1" x14ac:dyDescent="0.25">
      <c r="A26" s="215">
        <v>25</v>
      </c>
      <c r="B26" s="216" t="s">
        <v>493</v>
      </c>
      <c r="C26" s="217" t="str">
        <f>MEMBERS!B29</f>
        <v>HCFM-0526</v>
      </c>
      <c r="D26" s="217" t="str">
        <f>VLOOKUP(C26,MEMBERS!B:C,2, )</f>
        <v>MR.MUIED AHMED DURRANI</v>
      </c>
      <c r="E26" s="23"/>
      <c r="F26" s="23"/>
      <c r="G26" s="23"/>
      <c r="H26" s="23"/>
      <c r="I26" s="23"/>
      <c r="J26" s="23"/>
      <c r="K26" s="23"/>
      <c r="L26" s="218" t="s">
        <v>494</v>
      </c>
      <c r="M26" s="23"/>
      <c r="N26" s="222"/>
      <c r="O26" s="23"/>
      <c r="P26" s="23"/>
      <c r="Q26" s="222"/>
      <c r="R26" s="222"/>
      <c r="S26" s="222"/>
      <c r="T26" s="222"/>
      <c r="U26" s="222"/>
      <c r="V26" s="23"/>
      <c r="W26" s="220">
        <f>VLOOKUP(C26,'data base '!B:AA,26, )</f>
        <v>20121.25</v>
      </c>
      <c r="X26" s="220">
        <f>VLOOKUP(C26,'data base '!B:AD,27, )</f>
        <v>2012.125</v>
      </c>
      <c r="Y26" s="261"/>
      <c r="Z26" s="262"/>
      <c r="AA26" s="221">
        <f t="shared" si="0"/>
        <v>20121.25</v>
      </c>
      <c r="AB26" s="23"/>
      <c r="AC26" s="23"/>
      <c r="AD26" s="99"/>
    </row>
    <row r="27" spans="1:30" s="8" customFormat="1" ht="15.75" customHeight="1" x14ac:dyDescent="0.25">
      <c r="A27" s="215">
        <v>26</v>
      </c>
      <c r="B27" s="216" t="s">
        <v>493</v>
      </c>
      <c r="C27" s="217" t="str">
        <f>MEMBERS!B30</f>
        <v>HCFM-0527</v>
      </c>
      <c r="D27" s="217" t="str">
        <f>VLOOKUP(C27,MEMBERS!B:C,2, )</f>
        <v>MR.SAEED AHMED</v>
      </c>
      <c r="E27" s="23"/>
      <c r="F27" s="23"/>
      <c r="G27" s="23"/>
      <c r="H27" s="23"/>
      <c r="I27" s="23"/>
      <c r="J27" s="23"/>
      <c r="K27" s="23"/>
      <c r="L27" s="218" t="s">
        <v>494</v>
      </c>
      <c r="M27" s="23"/>
      <c r="N27" s="222"/>
      <c r="O27" s="23"/>
      <c r="P27" s="23"/>
      <c r="Q27" s="222"/>
      <c r="R27" s="222"/>
      <c r="S27" s="222"/>
      <c r="T27" s="222"/>
      <c r="U27" s="222"/>
      <c r="V27" s="23"/>
      <c r="W27" s="220">
        <f>VLOOKUP(C27,'data base '!B:AA,26, )</f>
        <v>15847</v>
      </c>
      <c r="X27" s="220">
        <f>VLOOKUP(C27,'data base '!B:AD,27, )</f>
        <v>700</v>
      </c>
      <c r="Y27" s="261"/>
      <c r="Z27" s="262"/>
      <c r="AA27" s="221">
        <f t="shared" si="0"/>
        <v>15847</v>
      </c>
      <c r="AB27" s="23"/>
      <c r="AC27" s="23"/>
      <c r="AD27" s="99"/>
    </row>
    <row r="28" spans="1:30" s="8" customFormat="1" ht="15.75" customHeight="1" x14ac:dyDescent="0.25">
      <c r="A28" s="215">
        <v>27</v>
      </c>
      <c r="B28" s="216" t="s">
        <v>493</v>
      </c>
      <c r="C28" s="217" t="str">
        <f>MEMBERS!B31</f>
        <v>HCFM-0528</v>
      </c>
      <c r="D28" s="217" t="str">
        <f>VLOOKUP(C28,MEMBERS!B:C,2, )</f>
        <v>MR.VIKASH KUMAR</v>
      </c>
      <c r="E28" s="23"/>
      <c r="F28" s="23"/>
      <c r="G28" s="23"/>
      <c r="H28" s="23"/>
      <c r="I28" s="23"/>
      <c r="J28" s="23"/>
      <c r="K28" s="23"/>
      <c r="L28" s="218" t="s">
        <v>494</v>
      </c>
      <c r="M28" s="23"/>
      <c r="N28" s="222"/>
      <c r="O28" s="23"/>
      <c r="P28" s="23"/>
      <c r="Q28" s="222"/>
      <c r="R28" s="222"/>
      <c r="S28" s="222"/>
      <c r="T28" s="222"/>
      <c r="U28" s="222"/>
      <c r="V28" s="23"/>
      <c r="W28" s="220">
        <f>VLOOKUP(C28,'data base '!B:AA,26, )</f>
        <v>29852</v>
      </c>
      <c r="X28" s="220">
        <f>VLOOKUP(C28,'data base '!B:AD,27, )</f>
        <v>700</v>
      </c>
      <c r="Y28" s="261"/>
      <c r="Z28" s="262"/>
      <c r="AA28" s="221">
        <f t="shared" si="0"/>
        <v>29852</v>
      </c>
      <c r="AB28" s="23"/>
      <c r="AC28" s="23"/>
      <c r="AD28" s="99"/>
    </row>
    <row r="29" spans="1:30" s="8" customFormat="1" ht="15.75" customHeight="1" x14ac:dyDescent="0.25">
      <c r="A29" s="215">
        <v>28</v>
      </c>
      <c r="B29" s="216" t="s">
        <v>493</v>
      </c>
      <c r="C29" s="217" t="str">
        <f>MEMBERS!B32</f>
        <v>HCFM-0529</v>
      </c>
      <c r="D29" s="217" t="str">
        <f>VLOOKUP(C29,MEMBERS!B:C,2, )</f>
        <v>DR.UMER QAZI</v>
      </c>
      <c r="E29" s="23"/>
      <c r="F29" s="23"/>
      <c r="G29" s="23"/>
      <c r="H29" s="23"/>
      <c r="I29" s="23"/>
      <c r="J29" s="23"/>
      <c r="K29" s="23"/>
      <c r="L29" s="218" t="s">
        <v>494</v>
      </c>
      <c r="M29" s="23"/>
      <c r="N29" s="222"/>
      <c r="O29" s="23"/>
      <c r="P29" s="23"/>
      <c r="Q29" s="222"/>
      <c r="R29" s="222"/>
      <c r="S29" s="222"/>
      <c r="T29" s="222"/>
      <c r="U29" s="222"/>
      <c r="V29" s="23"/>
      <c r="W29" s="220">
        <f>VLOOKUP(C29,'data base '!B:AA,26, )</f>
        <v>65491</v>
      </c>
      <c r="X29" s="220">
        <f>VLOOKUP(C29,'data base '!B:AD,27, )</f>
        <v>1923.1000000000001</v>
      </c>
      <c r="Y29" s="261"/>
      <c r="Z29" s="262"/>
      <c r="AA29" s="221">
        <f t="shared" si="0"/>
        <v>65491</v>
      </c>
      <c r="AB29" s="23"/>
      <c r="AC29" s="23"/>
      <c r="AD29" s="99"/>
    </row>
    <row r="30" spans="1:30" s="8" customFormat="1" ht="15.75" customHeight="1" x14ac:dyDescent="0.25">
      <c r="A30" s="215">
        <v>29</v>
      </c>
      <c r="B30" s="216" t="s">
        <v>493</v>
      </c>
      <c r="C30" s="217" t="str">
        <f>MEMBERS!B33</f>
        <v>HCFM-0530</v>
      </c>
      <c r="D30" s="217" t="str">
        <f>VLOOKUP(C30,MEMBERS!B:C,2, )</f>
        <v>MR.MUHAMMAD HANIF</v>
      </c>
      <c r="E30" s="23"/>
      <c r="F30" s="23"/>
      <c r="G30" s="23"/>
      <c r="H30" s="23"/>
      <c r="I30" s="23"/>
      <c r="J30" s="23"/>
      <c r="K30" s="23"/>
      <c r="L30" s="218" t="s">
        <v>494</v>
      </c>
      <c r="M30" s="23"/>
      <c r="N30" s="222"/>
      <c r="O30" s="23"/>
      <c r="P30" s="23"/>
      <c r="Q30" s="222"/>
      <c r="R30" s="222"/>
      <c r="S30" s="222"/>
      <c r="T30" s="222"/>
      <c r="U30" s="222"/>
      <c r="V30" s="23"/>
      <c r="W30" s="220">
        <f>VLOOKUP(C30,'data base '!B:AA,26, )</f>
        <v>70825</v>
      </c>
      <c r="X30" s="220">
        <f>VLOOKUP(C30,'data base '!B:AD,27, )</f>
        <v>3247.5</v>
      </c>
      <c r="Y30" s="261"/>
      <c r="Z30" s="262"/>
      <c r="AA30" s="221">
        <f t="shared" si="0"/>
        <v>70825</v>
      </c>
      <c r="AB30" s="23"/>
      <c r="AC30" s="23"/>
      <c r="AD30" s="99"/>
    </row>
    <row r="31" spans="1:30" s="8" customFormat="1" ht="15.75" customHeight="1" x14ac:dyDescent="0.25">
      <c r="A31" s="215">
        <v>30</v>
      </c>
      <c r="B31" s="216" t="s">
        <v>493</v>
      </c>
      <c r="C31" s="217" t="str">
        <f>MEMBERS!B34</f>
        <v>HCFM-0532</v>
      </c>
      <c r="D31" s="217" t="str">
        <f>VLOOKUP(C31,MEMBERS!B:C,2, )</f>
        <v>MR.KHALID JAVED</v>
      </c>
      <c r="E31" s="23"/>
      <c r="F31" s="23"/>
      <c r="G31" s="23"/>
      <c r="H31" s="23"/>
      <c r="I31" s="23"/>
      <c r="J31" s="23"/>
      <c r="K31" s="23"/>
      <c r="L31" s="218" t="s">
        <v>494</v>
      </c>
      <c r="M31" s="23"/>
      <c r="N31" s="222"/>
      <c r="O31" s="23"/>
      <c r="P31" s="23"/>
      <c r="Q31" s="222"/>
      <c r="R31" s="222"/>
      <c r="S31" s="222"/>
      <c r="T31" s="222"/>
      <c r="U31" s="222"/>
      <c r="V31" s="23"/>
      <c r="W31" s="220">
        <f>VLOOKUP(C31,'data base '!B:AA,26, )</f>
        <v>14302.5</v>
      </c>
      <c r="X31" s="220">
        <f>VLOOKUP(C31,'data base '!B:AD,27, )</f>
        <v>1430.25</v>
      </c>
      <c r="Y31" s="261"/>
      <c r="Z31" s="262"/>
      <c r="AA31" s="221">
        <f t="shared" si="0"/>
        <v>14302.5</v>
      </c>
      <c r="AB31" s="23"/>
      <c r="AC31" s="23"/>
      <c r="AD31" s="99"/>
    </row>
    <row r="32" spans="1:30" s="8" customFormat="1" ht="15.75" customHeight="1" x14ac:dyDescent="0.25">
      <c r="A32" s="215">
        <v>31</v>
      </c>
      <c r="B32" s="216" t="s">
        <v>493</v>
      </c>
      <c r="C32" s="217" t="str">
        <f>MEMBERS!B35</f>
        <v>HCFM-0533</v>
      </c>
      <c r="D32" s="217" t="str">
        <f>VLOOKUP(C32,MEMBERS!B:C,2, )</f>
        <v>MR.ZULQARNAIN</v>
      </c>
      <c r="E32" s="23"/>
      <c r="F32" s="23"/>
      <c r="G32" s="23"/>
      <c r="H32" s="23"/>
      <c r="I32" s="23"/>
      <c r="J32" s="23"/>
      <c r="K32" s="23"/>
      <c r="L32" s="218" t="s">
        <v>494</v>
      </c>
      <c r="M32" s="23"/>
      <c r="N32" s="222"/>
      <c r="O32" s="23"/>
      <c r="P32" s="23"/>
      <c r="Q32" s="222"/>
      <c r="R32" s="222"/>
      <c r="S32" s="222"/>
      <c r="T32" s="222"/>
      <c r="U32" s="222"/>
      <c r="V32" s="23"/>
      <c r="W32" s="220">
        <f>VLOOKUP(C32,'data base '!B:AA,26, )</f>
        <v>26670</v>
      </c>
      <c r="X32" s="220">
        <f>VLOOKUP(C32,'data base '!B:AD,27, )</f>
        <v>2667</v>
      </c>
      <c r="Y32" s="261"/>
      <c r="Z32" s="262"/>
      <c r="AA32" s="221">
        <f t="shared" si="0"/>
        <v>26670</v>
      </c>
      <c r="AB32" s="23"/>
      <c r="AC32" s="23"/>
      <c r="AD32" s="99"/>
    </row>
    <row r="33" spans="1:30" s="8" customFormat="1" ht="15.75" customHeight="1" x14ac:dyDescent="0.25">
      <c r="A33" s="215">
        <v>32</v>
      </c>
      <c r="B33" s="216" t="s">
        <v>493</v>
      </c>
      <c r="C33" s="217" t="str">
        <f>MEMBERS!B36</f>
        <v>HCFM-0534</v>
      </c>
      <c r="D33" s="217" t="str">
        <f>VLOOKUP(C33,MEMBERS!B:C,2, )</f>
        <v>MR.PIR MUJEEB JAN SARHANDI</v>
      </c>
      <c r="E33" s="23"/>
      <c r="F33" s="23"/>
      <c r="G33" s="23"/>
      <c r="H33" s="23"/>
      <c r="I33" s="23"/>
      <c r="J33" s="23"/>
      <c r="K33" s="23"/>
      <c r="L33" s="218" t="s">
        <v>494</v>
      </c>
      <c r="M33" s="23"/>
      <c r="N33" s="222"/>
      <c r="O33" s="23"/>
      <c r="P33" s="23"/>
      <c r="Q33" s="222"/>
      <c r="R33" s="222"/>
      <c r="S33" s="222"/>
      <c r="T33" s="222"/>
      <c r="U33" s="222"/>
      <c r="V33" s="23"/>
      <c r="W33" s="220">
        <f>VLOOKUP(C33,'data base '!B:AA,26, )</f>
        <v>29320.85</v>
      </c>
      <c r="X33" s="220">
        <f>VLOOKUP(C33,'data base '!B:AD,27, )</f>
        <v>1700.885</v>
      </c>
      <c r="Y33" s="261"/>
      <c r="Z33" s="262"/>
      <c r="AA33" s="221">
        <f t="shared" si="0"/>
        <v>29320.85</v>
      </c>
      <c r="AB33" s="23"/>
      <c r="AC33" s="23"/>
      <c r="AD33" s="99"/>
    </row>
    <row r="34" spans="1:30" s="8" customFormat="1" ht="15.75" customHeight="1" x14ac:dyDescent="0.25">
      <c r="A34" s="215">
        <v>33</v>
      </c>
      <c r="B34" s="216" t="s">
        <v>493</v>
      </c>
      <c r="C34" s="217" t="str">
        <f>MEMBERS!B37</f>
        <v>HCFM-0535</v>
      </c>
      <c r="D34" s="217" t="str">
        <f>VLOOKUP(C34,MEMBERS!B:C,2, )</f>
        <v>MR.MUHAMMAD ASIF</v>
      </c>
      <c r="E34" s="23"/>
      <c r="F34" s="23"/>
      <c r="G34" s="23"/>
      <c r="H34" s="23"/>
      <c r="I34" s="23"/>
      <c r="J34" s="23"/>
      <c r="K34" s="23"/>
      <c r="L34" s="218" t="s">
        <v>494</v>
      </c>
      <c r="M34" s="23"/>
      <c r="N34" s="222"/>
      <c r="O34" s="23"/>
      <c r="P34" s="23"/>
      <c r="Q34" s="222"/>
      <c r="R34" s="222"/>
      <c r="S34" s="222"/>
      <c r="T34" s="222"/>
      <c r="U34" s="222"/>
      <c r="V34" s="23"/>
      <c r="W34" s="220">
        <f>VLOOKUP(C34,'data base '!B:AA,26, )</f>
        <v>17870</v>
      </c>
      <c r="X34" s="220">
        <f>VLOOKUP(C34,'data base '!B:AD,27, )</f>
        <v>700</v>
      </c>
      <c r="Y34" s="261"/>
      <c r="Z34" s="262"/>
      <c r="AA34" s="221">
        <f t="shared" si="0"/>
        <v>17870</v>
      </c>
      <c r="AB34" s="25"/>
      <c r="AC34" s="25"/>
      <c r="AD34" s="99"/>
    </row>
    <row r="35" spans="1:30" s="8" customFormat="1" ht="15.75" customHeight="1" x14ac:dyDescent="0.25">
      <c r="A35" s="215">
        <v>34</v>
      </c>
      <c r="B35" s="216" t="s">
        <v>493</v>
      </c>
      <c r="C35" s="217" t="str">
        <f>MEMBERS!B38</f>
        <v>HCFM-0536</v>
      </c>
      <c r="D35" s="217" t="str">
        <f>VLOOKUP(C35,MEMBERS!B:C,2, )</f>
        <v>MR.ASHOK KUMAR</v>
      </c>
      <c r="E35" s="23"/>
      <c r="F35" s="23"/>
      <c r="G35" s="23"/>
      <c r="H35" s="23"/>
      <c r="I35" s="23"/>
      <c r="J35" s="23"/>
      <c r="K35" s="23"/>
      <c r="L35" s="218" t="s">
        <v>494</v>
      </c>
      <c r="M35" s="23"/>
      <c r="N35" s="222"/>
      <c r="O35" s="23"/>
      <c r="P35" s="23"/>
      <c r="Q35" s="222"/>
      <c r="R35" s="222"/>
      <c r="S35" s="222"/>
      <c r="T35" s="222"/>
      <c r="U35" s="222"/>
      <c r="V35" s="23"/>
      <c r="W35" s="220">
        <f>VLOOKUP(C35,'data base '!B:AA,26, )</f>
        <v>18140</v>
      </c>
      <c r="X35" s="220">
        <f>VLOOKUP(C35,'data base '!B:AD,27, )</f>
        <v>1814</v>
      </c>
      <c r="Y35" s="261"/>
      <c r="Z35" s="262"/>
      <c r="AA35" s="221">
        <f t="shared" si="0"/>
        <v>18140</v>
      </c>
      <c r="AB35" s="23"/>
      <c r="AC35" s="23"/>
      <c r="AD35" s="99"/>
    </row>
    <row r="36" spans="1:30" s="8" customFormat="1" ht="15.75" customHeight="1" x14ac:dyDescent="0.25">
      <c r="A36" s="215">
        <v>35</v>
      </c>
      <c r="B36" s="216" t="s">
        <v>493</v>
      </c>
      <c r="C36" s="217" t="str">
        <f>MEMBERS!B39</f>
        <v>HCFM-0538</v>
      </c>
      <c r="D36" s="217" t="str">
        <f>VLOOKUP(C36,MEMBERS!B:C,2, )</f>
        <v>MR.MUHAMMAD ZAIN</v>
      </c>
      <c r="E36" s="23"/>
      <c r="F36" s="23"/>
      <c r="G36" s="23"/>
      <c r="H36" s="23"/>
      <c r="I36" s="23"/>
      <c r="J36" s="23"/>
      <c r="K36" s="23"/>
      <c r="L36" s="218" t="s">
        <v>494</v>
      </c>
      <c r="M36" s="23"/>
      <c r="N36" s="222"/>
      <c r="O36" s="23"/>
      <c r="P36" s="23"/>
      <c r="Q36" s="222"/>
      <c r="R36" s="222"/>
      <c r="S36" s="222"/>
      <c r="T36" s="222"/>
      <c r="U36" s="222"/>
      <c r="V36" s="23"/>
      <c r="W36" s="220">
        <f>VLOOKUP(C36,'data base '!B:AA,26, )</f>
        <v>7600</v>
      </c>
      <c r="X36" s="220">
        <f>VLOOKUP(C36,'data base '!B:AD,27, )</f>
        <v>760</v>
      </c>
      <c r="Y36" s="261"/>
      <c r="Z36" s="262"/>
      <c r="AA36" s="221">
        <f t="shared" si="0"/>
        <v>7600</v>
      </c>
      <c r="AB36" s="23"/>
      <c r="AC36" s="23"/>
      <c r="AD36" s="99"/>
    </row>
    <row r="37" spans="1:30" s="8" customFormat="1" ht="15.75" customHeight="1" x14ac:dyDescent="0.25">
      <c r="A37" s="215">
        <v>36</v>
      </c>
      <c r="B37" s="216" t="s">
        <v>493</v>
      </c>
      <c r="C37" s="217" t="str">
        <f>MEMBERS!B40</f>
        <v>HCFM-0539</v>
      </c>
      <c r="D37" s="217" t="str">
        <f>VLOOKUP(C37,MEMBERS!B:C,2, )</f>
        <v>MR.QAMARUZZAMAN</v>
      </c>
      <c r="E37" s="23"/>
      <c r="F37" s="23"/>
      <c r="G37" s="23"/>
      <c r="H37" s="23"/>
      <c r="I37" s="23"/>
      <c r="J37" s="23"/>
      <c r="K37" s="23"/>
      <c r="L37" s="218" t="s">
        <v>494</v>
      </c>
      <c r="M37" s="23"/>
      <c r="N37" s="222"/>
      <c r="O37" s="23"/>
      <c r="P37" s="23"/>
      <c r="Q37" s="222"/>
      <c r="R37" s="222"/>
      <c r="S37" s="222"/>
      <c r="T37" s="222"/>
      <c r="U37" s="222"/>
      <c r="V37" s="23"/>
      <c r="W37" s="220">
        <f>VLOOKUP(C37,'data base '!B:AA,26, )</f>
        <v>18327.5</v>
      </c>
      <c r="X37" s="220">
        <f>VLOOKUP(C37,'data base '!B:AD,27, )</f>
        <v>1832.75</v>
      </c>
      <c r="Y37" s="261"/>
      <c r="Z37" s="262"/>
      <c r="AA37" s="221">
        <f t="shared" si="0"/>
        <v>18327.5</v>
      </c>
      <c r="AB37" s="23"/>
      <c r="AC37" s="23"/>
      <c r="AD37" s="99"/>
    </row>
    <row r="38" spans="1:30" s="8" customFormat="1" ht="15.75" customHeight="1" x14ac:dyDescent="0.25">
      <c r="A38" s="215">
        <v>37</v>
      </c>
      <c r="B38" s="216" t="s">
        <v>493</v>
      </c>
      <c r="C38" s="217" t="str">
        <f>MEMBERS!B41</f>
        <v>HCFM-0540</v>
      </c>
      <c r="D38" s="217" t="str">
        <f>VLOOKUP(C38,MEMBERS!B:C,2, )</f>
        <v>MR.MUHAMMAD SALIQ SIDDIQUI</v>
      </c>
      <c r="E38" s="23"/>
      <c r="F38" s="23"/>
      <c r="G38" s="23"/>
      <c r="H38" s="23"/>
      <c r="I38" s="23"/>
      <c r="J38" s="23"/>
      <c r="K38" s="23"/>
      <c r="L38" s="218" t="s">
        <v>494</v>
      </c>
      <c r="M38" s="23"/>
      <c r="N38" s="222"/>
      <c r="O38" s="23"/>
      <c r="P38" s="23"/>
      <c r="Q38" s="222"/>
      <c r="R38" s="222"/>
      <c r="S38" s="222"/>
      <c r="T38" s="222"/>
      <c r="U38" s="222"/>
      <c r="V38" s="23"/>
      <c r="W38" s="220">
        <f>VLOOKUP(C38,'data base '!B:AA,26, )</f>
        <v>47868.5</v>
      </c>
      <c r="X38" s="220">
        <f>VLOOKUP(C38,'data base '!B:AD,27, )</f>
        <v>1160.75</v>
      </c>
      <c r="Y38" s="261"/>
      <c r="Z38" s="262"/>
      <c r="AA38" s="221">
        <f t="shared" si="0"/>
        <v>47868.5</v>
      </c>
      <c r="AB38" s="23"/>
      <c r="AC38" s="23"/>
      <c r="AD38" s="99"/>
    </row>
    <row r="39" spans="1:30" s="8" customFormat="1" ht="15.75" customHeight="1" x14ac:dyDescent="0.25">
      <c r="A39" s="215">
        <v>38</v>
      </c>
      <c r="B39" s="216" t="s">
        <v>493</v>
      </c>
      <c r="C39" s="217" t="str">
        <f>MEMBERS!B42</f>
        <v>HCFM-0541</v>
      </c>
      <c r="D39" s="217" t="str">
        <f>VLOOKUP(C39,MEMBERS!B:C,2, )</f>
        <v>MR.SHAN ELAHI SEHGAL</v>
      </c>
      <c r="E39" s="23"/>
      <c r="F39" s="23"/>
      <c r="G39" s="23"/>
      <c r="H39" s="23"/>
      <c r="I39" s="23"/>
      <c r="J39" s="23"/>
      <c r="K39" s="23"/>
      <c r="L39" s="218" t="s">
        <v>494</v>
      </c>
      <c r="M39" s="23"/>
      <c r="N39" s="222"/>
      <c r="O39" s="23"/>
      <c r="P39" s="23"/>
      <c r="Q39" s="222"/>
      <c r="R39" s="222"/>
      <c r="S39" s="222"/>
      <c r="T39" s="222"/>
      <c r="U39" s="222"/>
      <c r="V39" s="23"/>
      <c r="W39" s="220">
        <f>VLOOKUP(C39,'data base '!B:AA,26, )</f>
        <v>58635.1</v>
      </c>
      <c r="X39" s="220">
        <f>VLOOKUP(C39,'data base '!B:AD,27, )</f>
        <v>5863.51</v>
      </c>
      <c r="Y39" s="261"/>
      <c r="Z39" s="262"/>
      <c r="AA39" s="221">
        <f t="shared" si="0"/>
        <v>58635.1</v>
      </c>
      <c r="AB39" s="23"/>
      <c r="AC39" s="23"/>
      <c r="AD39" s="99"/>
    </row>
    <row r="40" spans="1:30" s="8" customFormat="1" ht="15.75" customHeight="1" x14ac:dyDescent="0.25">
      <c r="A40" s="215">
        <v>39</v>
      </c>
      <c r="B40" s="216" t="s">
        <v>493</v>
      </c>
      <c r="C40" s="217" t="str">
        <f>MEMBERS!B43</f>
        <v>HCFM-0542</v>
      </c>
      <c r="D40" s="217" t="str">
        <f>VLOOKUP(C40,MEMBERS!B:C,2, )</f>
        <v>MR.HANIF AHSAN ZUBEDI</v>
      </c>
      <c r="E40" s="23"/>
      <c r="F40" s="23"/>
      <c r="G40" s="23"/>
      <c r="H40" s="23"/>
      <c r="I40" s="23"/>
      <c r="J40" s="23"/>
      <c r="K40" s="23"/>
      <c r="L40" s="218" t="s">
        <v>494</v>
      </c>
      <c r="M40" s="23"/>
      <c r="N40" s="222"/>
      <c r="O40" s="23"/>
      <c r="P40" s="23"/>
      <c r="Q40" s="222"/>
      <c r="R40" s="222"/>
      <c r="S40" s="222"/>
      <c r="T40" s="222"/>
      <c r="U40" s="222"/>
      <c r="V40" s="23"/>
      <c r="W40" s="220">
        <f>VLOOKUP(C40,'data base '!B:AA,26, )</f>
        <v>88561.25</v>
      </c>
      <c r="X40" s="220">
        <f>VLOOKUP(C40,'data base '!B:AD,27, )</f>
        <v>8856.125</v>
      </c>
      <c r="Y40" s="261"/>
      <c r="Z40" s="262"/>
      <c r="AA40" s="221">
        <f t="shared" si="0"/>
        <v>88561.25</v>
      </c>
      <c r="AB40" s="23"/>
      <c r="AC40" s="23"/>
      <c r="AD40" s="99"/>
    </row>
    <row r="41" spans="1:30" s="8" customFormat="1" ht="15.75" customHeight="1" x14ac:dyDescent="0.25">
      <c r="A41" s="215">
        <v>40</v>
      </c>
      <c r="B41" s="216" t="s">
        <v>493</v>
      </c>
      <c r="C41" s="217" t="str">
        <f>MEMBERS!B44</f>
        <v>HCFM-0543</v>
      </c>
      <c r="D41" s="217" t="str">
        <f>VLOOKUP(C41,MEMBERS!B:C,2, )</f>
        <v>MR.MUHAMMAD ATIF USMANI</v>
      </c>
      <c r="E41" s="23"/>
      <c r="F41" s="23"/>
      <c r="G41" s="23"/>
      <c r="H41" s="23"/>
      <c r="I41" s="23"/>
      <c r="J41" s="23"/>
      <c r="K41" s="23"/>
      <c r="L41" s="218" t="s">
        <v>494</v>
      </c>
      <c r="M41" s="23"/>
      <c r="N41" s="222"/>
      <c r="O41" s="23"/>
      <c r="P41" s="23"/>
      <c r="Q41" s="222"/>
      <c r="R41" s="222"/>
      <c r="S41" s="222"/>
      <c r="T41" s="222"/>
      <c r="U41" s="222"/>
      <c r="V41" s="23"/>
      <c r="W41" s="220">
        <f>VLOOKUP(C41,'data base '!B:AA,26, )</f>
        <v>14606</v>
      </c>
      <c r="X41" s="220">
        <f>VLOOKUP(C41,'data base '!B:AD,27, )</f>
        <v>1460.6000000000001</v>
      </c>
      <c r="Y41" s="261"/>
      <c r="Z41" s="262"/>
      <c r="AA41" s="221">
        <f t="shared" si="0"/>
        <v>14606</v>
      </c>
      <c r="AB41" s="23"/>
      <c r="AC41" s="23"/>
      <c r="AD41" s="99"/>
    </row>
    <row r="42" spans="1:30" s="8" customFormat="1" ht="15.75" customHeight="1" x14ac:dyDescent="0.25">
      <c r="A42" s="215">
        <v>41</v>
      </c>
      <c r="B42" s="216" t="s">
        <v>493</v>
      </c>
      <c r="C42" s="217" t="str">
        <f>MEMBERS!B45</f>
        <v>HCFM-0544</v>
      </c>
      <c r="D42" s="217" t="str">
        <f>VLOOKUP(C42,MEMBERS!B:C,2, )</f>
        <v>MR.MOHAMMAD ASHRAF SHAIKH</v>
      </c>
      <c r="E42" s="23"/>
      <c r="F42" s="23"/>
      <c r="G42" s="23"/>
      <c r="H42" s="23"/>
      <c r="I42" s="23"/>
      <c r="J42" s="23"/>
      <c r="K42" s="23"/>
      <c r="L42" s="218" t="s">
        <v>494</v>
      </c>
      <c r="M42" s="23"/>
      <c r="N42" s="222"/>
      <c r="O42" s="23"/>
      <c r="P42" s="23"/>
      <c r="Q42" s="222"/>
      <c r="R42" s="222"/>
      <c r="S42" s="222"/>
      <c r="T42" s="222"/>
      <c r="U42" s="222"/>
      <c r="V42" s="23"/>
      <c r="W42" s="220">
        <f>VLOOKUP(C42,'data base '!B:AA,26, )</f>
        <v>66850</v>
      </c>
      <c r="X42" s="220">
        <f>VLOOKUP(C42,'data base '!B:AD,27, )</f>
        <v>790</v>
      </c>
      <c r="Y42" s="261"/>
      <c r="Z42" s="262"/>
      <c r="AA42" s="221">
        <f t="shared" si="0"/>
        <v>66850</v>
      </c>
      <c r="AB42" s="23"/>
      <c r="AC42" s="23"/>
      <c r="AD42" s="99"/>
    </row>
    <row r="43" spans="1:30" s="8" customFormat="1" ht="15.75" customHeight="1" x14ac:dyDescent="0.25">
      <c r="A43" s="215">
        <v>42</v>
      </c>
      <c r="B43" s="216"/>
      <c r="C43" s="217" t="str">
        <f>MEMBERS!B46</f>
        <v>HCFM-0545</v>
      </c>
      <c r="D43" s="217" t="str">
        <f>VLOOKUP(C43,MEMBERS!B:C,2, )</f>
        <v>MR. HASAN KARIM</v>
      </c>
      <c r="E43" s="23"/>
      <c r="F43" s="23"/>
      <c r="G43" s="23"/>
      <c r="H43" s="23"/>
      <c r="I43" s="23"/>
      <c r="J43" s="23"/>
      <c r="K43" s="23"/>
      <c r="L43" s="218"/>
      <c r="M43" s="23"/>
      <c r="N43" s="222"/>
      <c r="O43" s="23"/>
      <c r="P43" s="23"/>
      <c r="Q43" s="222"/>
      <c r="R43" s="222"/>
      <c r="S43" s="222"/>
      <c r="T43" s="222"/>
      <c r="U43" s="222"/>
      <c r="V43" s="23"/>
      <c r="W43" s="220">
        <f>VLOOKUP(C43,'data base '!B:AA,26, )</f>
        <v>67046.3</v>
      </c>
      <c r="X43" s="220">
        <f>VLOOKUP(C43,'data base '!B:AD,27, )</f>
        <v>6704.630000000001</v>
      </c>
      <c r="Y43" s="261"/>
      <c r="Z43" s="262"/>
      <c r="AA43" s="221">
        <f t="shared" si="0"/>
        <v>67046.3</v>
      </c>
      <c r="AB43" s="23"/>
      <c r="AC43" s="23"/>
      <c r="AD43" s="99"/>
    </row>
    <row r="44" spans="1:30" s="8" customFormat="1" ht="15.75" customHeight="1" x14ac:dyDescent="0.25">
      <c r="A44" s="215">
        <v>43</v>
      </c>
      <c r="B44" s="216" t="s">
        <v>493</v>
      </c>
      <c r="C44" s="217" t="str">
        <f>MEMBERS!B47</f>
        <v>HCFM-0546</v>
      </c>
      <c r="D44" s="217" t="str">
        <f>VLOOKUP(C44,MEMBERS!B:C,2, )</f>
        <v>MR.ATHER TARIQ</v>
      </c>
      <c r="E44" s="23"/>
      <c r="F44" s="23"/>
      <c r="G44" s="23"/>
      <c r="H44" s="23"/>
      <c r="I44" s="23"/>
      <c r="J44" s="23"/>
      <c r="K44" s="23"/>
      <c r="L44" s="218" t="s">
        <v>494</v>
      </c>
      <c r="M44" s="23"/>
      <c r="N44" s="222"/>
      <c r="O44" s="23"/>
      <c r="P44" s="23"/>
      <c r="Q44" s="222"/>
      <c r="R44" s="222"/>
      <c r="S44" s="222"/>
      <c r="T44" s="222"/>
      <c r="U44" s="222"/>
      <c r="V44" s="23"/>
      <c r="W44" s="220">
        <f>VLOOKUP(C44,'data base '!B:AA,26, )</f>
        <v>7300</v>
      </c>
      <c r="X44" s="220">
        <f>VLOOKUP(C44,'data base '!B:AD,27, )</f>
        <v>730</v>
      </c>
      <c r="Y44" s="261"/>
      <c r="Z44" s="262"/>
      <c r="AA44" s="227">
        <f t="shared" si="0"/>
        <v>7300</v>
      </c>
      <c r="AB44" s="23"/>
      <c r="AC44" s="23"/>
      <c r="AD44" s="99"/>
    </row>
    <row r="45" spans="1:30" s="8" customFormat="1" ht="15.75" customHeight="1" x14ac:dyDescent="0.25">
      <c r="A45" s="215">
        <v>44</v>
      </c>
      <c r="B45" s="216" t="s">
        <v>493</v>
      </c>
      <c r="C45" s="217" t="str">
        <f>MEMBERS!B48</f>
        <v>HCFM-0547</v>
      </c>
      <c r="D45" s="217" t="str">
        <f>VLOOKUP(C45,MEMBERS!B:C,2, )</f>
        <v>MR.GOBIND RAM</v>
      </c>
      <c r="E45" s="23"/>
      <c r="F45" s="23"/>
      <c r="G45" s="23"/>
      <c r="H45" s="23"/>
      <c r="I45" s="23"/>
      <c r="J45" s="23"/>
      <c r="K45" s="23"/>
      <c r="L45" s="218" t="s">
        <v>494</v>
      </c>
      <c r="M45" s="23"/>
      <c r="N45" s="222"/>
      <c r="O45" s="23"/>
      <c r="P45" s="23"/>
      <c r="Q45" s="222"/>
      <c r="R45" s="222"/>
      <c r="S45" s="222"/>
      <c r="T45" s="222"/>
      <c r="U45" s="222"/>
      <c r="V45" s="23"/>
      <c r="W45" s="220">
        <f>VLOOKUP(C45,'data base '!B:AA,26, )</f>
        <v>40021</v>
      </c>
      <c r="X45" s="220">
        <f>VLOOKUP(C45,'data base '!B:AD,27, )</f>
        <v>700</v>
      </c>
      <c r="Y45" s="261"/>
      <c r="Z45" s="262"/>
      <c r="AA45" s="221">
        <f t="shared" si="0"/>
        <v>40021</v>
      </c>
      <c r="AB45" s="23"/>
      <c r="AC45" s="23"/>
      <c r="AD45" s="99"/>
    </row>
    <row r="46" spans="1:30" s="8" customFormat="1" ht="15.75" customHeight="1" x14ac:dyDescent="0.25">
      <c r="A46" s="215">
        <v>45</v>
      </c>
      <c r="B46" s="216" t="s">
        <v>493</v>
      </c>
      <c r="C46" s="217" t="str">
        <f>MEMBERS!B49</f>
        <v>HCFM-0548</v>
      </c>
      <c r="D46" s="217" t="str">
        <f>VLOOKUP(C46,MEMBERS!B:C,2, )</f>
        <v>MR.ZAIN FAROOQ</v>
      </c>
      <c r="E46" s="23"/>
      <c r="F46" s="23"/>
      <c r="G46" s="23"/>
      <c r="H46" s="23"/>
      <c r="I46" s="23"/>
      <c r="J46" s="23"/>
      <c r="K46" s="23"/>
      <c r="L46" s="218" t="s">
        <v>494</v>
      </c>
      <c r="M46" s="23"/>
      <c r="N46" s="222"/>
      <c r="O46" s="23"/>
      <c r="P46" s="23"/>
      <c r="Q46" s="222"/>
      <c r="R46" s="222"/>
      <c r="S46" s="222"/>
      <c r="T46" s="222"/>
      <c r="U46" s="222"/>
      <c r="V46" s="23"/>
      <c r="W46" s="220">
        <f>VLOOKUP(C46,'data base '!B:AA,26, )</f>
        <v>26160</v>
      </c>
      <c r="X46" s="220">
        <f>VLOOKUP(C46,'data base '!B:AD,27, )</f>
        <v>2616</v>
      </c>
      <c r="Y46" s="261"/>
      <c r="Z46" s="262"/>
      <c r="AA46" s="221">
        <f t="shared" si="0"/>
        <v>26160</v>
      </c>
      <c r="AB46" s="23"/>
      <c r="AC46" s="23"/>
      <c r="AD46" s="99"/>
    </row>
    <row r="47" spans="1:30" s="8" customFormat="1" ht="15.75" customHeight="1" x14ac:dyDescent="0.25">
      <c r="A47" s="215">
        <v>46</v>
      </c>
      <c r="B47" s="216" t="s">
        <v>493</v>
      </c>
      <c r="C47" s="217" t="str">
        <f>MEMBERS!B50</f>
        <v>HCFM-0549</v>
      </c>
      <c r="D47" s="217" t="str">
        <f>VLOOKUP(C47,MEMBERS!B:C,2, )</f>
        <v>MR.WAQAR UDDIN</v>
      </c>
      <c r="E47" s="23"/>
      <c r="F47" s="23"/>
      <c r="G47" s="23"/>
      <c r="H47" s="23"/>
      <c r="I47" s="23"/>
      <c r="J47" s="23"/>
      <c r="K47" s="23"/>
      <c r="L47" s="218" t="s">
        <v>494</v>
      </c>
      <c r="M47" s="23"/>
      <c r="N47" s="222"/>
      <c r="O47" s="23"/>
      <c r="P47" s="23"/>
      <c r="Q47" s="222"/>
      <c r="R47" s="222"/>
      <c r="S47" s="222"/>
      <c r="T47" s="222"/>
      <c r="U47" s="222"/>
      <c r="V47" s="23"/>
      <c r="W47" s="220">
        <f>VLOOKUP(C47,'data base '!B:AA,26, )</f>
        <v>36901.050000000003</v>
      </c>
      <c r="X47" s="220">
        <f>VLOOKUP(C47,'data base '!B:AD,27, )</f>
        <v>2787.8050000000003</v>
      </c>
      <c r="Y47" s="261"/>
      <c r="Z47" s="262"/>
      <c r="AA47" s="221">
        <f t="shared" si="0"/>
        <v>36901.050000000003</v>
      </c>
      <c r="AB47" s="23"/>
      <c r="AC47" s="23"/>
      <c r="AD47" s="99"/>
    </row>
    <row r="48" spans="1:30" s="8" customFormat="1" ht="15.75" customHeight="1" x14ac:dyDescent="0.25">
      <c r="A48" s="215">
        <v>47</v>
      </c>
      <c r="B48" s="216" t="s">
        <v>493</v>
      </c>
      <c r="C48" s="217" t="str">
        <f>MEMBERS!B51</f>
        <v>HCFM-0551</v>
      </c>
      <c r="D48" s="217" t="str">
        <f>VLOOKUP(C48,MEMBERS!B:C,2, )</f>
        <v>MR.ASIF ALI</v>
      </c>
      <c r="E48" s="23"/>
      <c r="F48" s="23"/>
      <c r="G48" s="23"/>
      <c r="H48" s="23"/>
      <c r="I48" s="23"/>
      <c r="J48" s="23"/>
      <c r="K48" s="23"/>
      <c r="L48" s="218" t="s">
        <v>494</v>
      </c>
      <c r="M48" s="23"/>
      <c r="N48" s="222"/>
      <c r="O48" s="23"/>
      <c r="P48" s="23"/>
      <c r="Q48" s="222"/>
      <c r="R48" s="222"/>
      <c r="S48" s="222"/>
      <c r="T48" s="222"/>
      <c r="U48" s="222"/>
      <c r="V48" s="23"/>
      <c r="W48" s="220">
        <f>VLOOKUP(C48,'data base '!B:AA,26, )</f>
        <v>41277.5</v>
      </c>
      <c r="X48" s="220">
        <f>VLOOKUP(C48,'data base '!B:AD,27, )</f>
        <v>4127.75</v>
      </c>
      <c r="Y48" s="261"/>
      <c r="Z48" s="262"/>
      <c r="AA48" s="221">
        <f t="shared" si="0"/>
        <v>41277.5</v>
      </c>
      <c r="AB48" s="23"/>
      <c r="AC48" s="23"/>
      <c r="AD48" s="99"/>
    </row>
    <row r="49" spans="1:30" s="8" customFormat="1" ht="15.75" customHeight="1" x14ac:dyDescent="0.25">
      <c r="A49" s="215">
        <v>48</v>
      </c>
      <c r="B49" s="216" t="s">
        <v>493</v>
      </c>
      <c r="C49" s="217" t="str">
        <f>MEMBERS!B52</f>
        <v>HCFM-0553</v>
      </c>
      <c r="D49" s="217" t="str">
        <f>VLOOKUP(C49,MEMBERS!B:C,2, )</f>
        <v>MR.FAISAL MERCHANT</v>
      </c>
      <c r="E49" s="23"/>
      <c r="F49" s="23"/>
      <c r="G49" s="23"/>
      <c r="H49" s="23"/>
      <c r="I49" s="23"/>
      <c r="J49" s="23"/>
      <c r="K49" s="23"/>
      <c r="L49" s="218" t="s">
        <v>494</v>
      </c>
      <c r="M49" s="23"/>
      <c r="N49" s="222"/>
      <c r="O49" s="23"/>
      <c r="P49" s="23"/>
      <c r="Q49" s="222"/>
      <c r="R49" s="222"/>
      <c r="S49" s="222"/>
      <c r="T49" s="222"/>
      <c r="U49" s="222"/>
      <c r="V49" s="23"/>
      <c r="W49" s="220">
        <f>VLOOKUP(C49,'data base '!B:AA,26, )</f>
        <v>31207.5</v>
      </c>
      <c r="X49" s="220">
        <f>VLOOKUP(C49,'data base '!B:AD,27, )</f>
        <v>3120.75</v>
      </c>
      <c r="Y49" s="261"/>
      <c r="Z49" s="262"/>
      <c r="AA49" s="221">
        <f t="shared" si="0"/>
        <v>31207.5</v>
      </c>
      <c r="AB49" s="23"/>
      <c r="AC49" s="23"/>
      <c r="AD49" s="99"/>
    </row>
    <row r="50" spans="1:30" s="8" customFormat="1" ht="15.75" customHeight="1" x14ac:dyDescent="0.25">
      <c r="A50" s="215">
        <v>49</v>
      </c>
      <c r="B50" s="216" t="s">
        <v>493</v>
      </c>
      <c r="C50" s="217" t="str">
        <f>MEMBERS!B53</f>
        <v>HCFM-0554</v>
      </c>
      <c r="D50" s="217" t="str">
        <f>VLOOKUP(C50,MEMBERS!B:C,2, )</f>
        <v>MR.IMRAN WAZEER</v>
      </c>
      <c r="E50" s="23"/>
      <c r="F50" s="23"/>
      <c r="G50" s="23"/>
      <c r="H50" s="23"/>
      <c r="I50" s="23"/>
      <c r="J50" s="23"/>
      <c r="K50" s="23"/>
      <c r="L50" s="218" t="s">
        <v>494</v>
      </c>
      <c r="M50" s="23"/>
      <c r="N50" s="222"/>
      <c r="O50" s="23"/>
      <c r="P50" s="23"/>
      <c r="Q50" s="222"/>
      <c r="R50" s="222"/>
      <c r="S50" s="222"/>
      <c r="T50" s="222"/>
      <c r="U50" s="222"/>
      <c r="V50" s="23"/>
      <c r="W50" s="220">
        <f>VLOOKUP(C50,'data base '!B:AA,26, )</f>
        <v>38182.85</v>
      </c>
      <c r="X50" s="220">
        <f>VLOOKUP(C50,'data base '!B:AD,27, )</f>
        <v>3818.2849999999999</v>
      </c>
      <c r="Y50" s="261"/>
      <c r="Z50" s="262"/>
      <c r="AA50" s="221">
        <f t="shared" si="0"/>
        <v>38182.85</v>
      </c>
      <c r="AB50" s="23"/>
      <c r="AC50" s="23"/>
      <c r="AD50" s="99"/>
    </row>
    <row r="51" spans="1:30" s="8" customFormat="1" ht="15.75" customHeight="1" x14ac:dyDescent="0.25">
      <c r="A51" s="215">
        <v>50</v>
      </c>
      <c r="B51" s="216" t="s">
        <v>493</v>
      </c>
      <c r="C51" s="217" t="str">
        <f>MEMBERS!B54</f>
        <v>HCFM-0556</v>
      </c>
      <c r="D51" s="217" t="str">
        <f>VLOOKUP(C51,MEMBERS!B:C,2, )</f>
        <v>MR.SYED SALMAN RAZA</v>
      </c>
      <c r="E51" s="23"/>
      <c r="F51" s="23"/>
      <c r="G51" s="23"/>
      <c r="H51" s="23"/>
      <c r="I51" s="23"/>
      <c r="J51" s="23"/>
      <c r="K51" s="23"/>
      <c r="L51" s="218" t="s">
        <v>494</v>
      </c>
      <c r="M51" s="23"/>
      <c r="N51" s="222"/>
      <c r="O51" s="23"/>
      <c r="P51" s="23"/>
      <c r="Q51" s="222"/>
      <c r="R51" s="222"/>
      <c r="S51" s="222"/>
      <c r="T51" s="222"/>
      <c r="U51" s="222"/>
      <c r="V51" s="23"/>
      <c r="W51" s="220">
        <f>VLOOKUP(C51,'data base '!B:AA,26, )</f>
        <v>11005</v>
      </c>
      <c r="X51" s="220">
        <f>VLOOKUP(C51,'data base '!B:AD,27, )</f>
        <v>1100.5</v>
      </c>
      <c r="Y51" s="261"/>
      <c r="Z51" s="262"/>
      <c r="AA51" s="221">
        <f t="shared" si="0"/>
        <v>11005</v>
      </c>
      <c r="AB51" s="23"/>
      <c r="AC51" s="23"/>
      <c r="AD51" s="99"/>
    </row>
    <row r="52" spans="1:30" s="8" customFormat="1" ht="15.75" customHeight="1" x14ac:dyDescent="0.25">
      <c r="A52" s="215">
        <v>51</v>
      </c>
      <c r="B52" s="216" t="s">
        <v>493</v>
      </c>
      <c r="C52" s="217" t="str">
        <f>MEMBERS!B55</f>
        <v>HCFM-0557</v>
      </c>
      <c r="D52" s="217" t="str">
        <f>VLOOKUP(C52,MEMBERS!B:C,2, )</f>
        <v>MR.KHADIM HUSSAIN</v>
      </c>
      <c r="E52" s="23"/>
      <c r="F52" s="23"/>
      <c r="G52" s="23"/>
      <c r="H52" s="23"/>
      <c r="I52" s="23"/>
      <c r="J52" s="23"/>
      <c r="K52" s="23"/>
      <c r="L52" s="218" t="s">
        <v>494</v>
      </c>
      <c r="M52" s="23"/>
      <c r="N52" s="222"/>
      <c r="O52" s="23"/>
      <c r="P52" s="23"/>
      <c r="Q52" s="222"/>
      <c r="R52" s="222"/>
      <c r="S52" s="222"/>
      <c r="T52" s="222"/>
      <c r="U52" s="222"/>
      <c r="V52" s="23"/>
      <c r="W52" s="220">
        <f>VLOOKUP(C52,'data base '!B:AA,26, )</f>
        <v>36437.5</v>
      </c>
      <c r="X52" s="220">
        <f>VLOOKUP(C52,'data base '!B:AD,27, )</f>
        <v>2626.25</v>
      </c>
      <c r="Y52" s="261"/>
      <c r="Z52" s="262"/>
      <c r="AA52" s="221">
        <f>W52-Y52</f>
        <v>36437.5</v>
      </c>
      <c r="AB52" s="23"/>
      <c r="AC52" s="23"/>
      <c r="AD52" s="99"/>
    </row>
    <row r="53" spans="1:30" s="8" customFormat="1" ht="15.75" customHeight="1" x14ac:dyDescent="0.25">
      <c r="A53" s="215">
        <v>52</v>
      </c>
      <c r="B53" s="216" t="s">
        <v>493</v>
      </c>
      <c r="C53" s="217" t="str">
        <f>MEMBERS!B56</f>
        <v>HCFM-0558</v>
      </c>
      <c r="D53" s="217" t="str">
        <f>VLOOKUP(C53,MEMBERS!B:C,2, )</f>
        <v>MUHAMMAD EBRAHIM TIWANA</v>
      </c>
      <c r="E53" s="23"/>
      <c r="F53" s="23"/>
      <c r="G53" s="23"/>
      <c r="H53" s="23"/>
      <c r="I53" s="23"/>
      <c r="J53" s="23"/>
      <c r="K53" s="23"/>
      <c r="L53" s="218" t="s">
        <v>494</v>
      </c>
      <c r="M53" s="23"/>
      <c r="N53" s="222"/>
      <c r="O53" s="23"/>
      <c r="P53" s="23"/>
      <c r="Q53" s="222"/>
      <c r="R53" s="222"/>
      <c r="S53" s="222"/>
      <c r="T53" s="222"/>
      <c r="U53" s="222"/>
      <c r="V53" s="23"/>
      <c r="W53" s="220">
        <f>VLOOKUP(C53,'data base '!B:AA,26, )</f>
        <v>49848.5</v>
      </c>
      <c r="X53" s="220">
        <f>VLOOKUP(C53,'data base '!B:AD,27, )</f>
        <v>3038.8500000000004</v>
      </c>
      <c r="Y53" s="261"/>
      <c r="Z53" s="262"/>
      <c r="AA53" s="221">
        <f t="shared" si="0"/>
        <v>49848.5</v>
      </c>
      <c r="AB53" s="23"/>
      <c r="AC53" s="23"/>
      <c r="AD53" s="99"/>
    </row>
    <row r="54" spans="1:30" s="8" customFormat="1" ht="15.75" customHeight="1" x14ac:dyDescent="0.25">
      <c r="A54" s="215">
        <v>53</v>
      </c>
      <c r="B54" s="216" t="s">
        <v>493</v>
      </c>
      <c r="C54" s="217" t="str">
        <f>MEMBERS!B57</f>
        <v>HCFM-0559</v>
      </c>
      <c r="D54" s="217" t="str">
        <f>VLOOKUP(C54,MEMBERS!B:C,2, )</f>
        <v>MR.SYED HAMID SHAH</v>
      </c>
      <c r="E54" s="23"/>
      <c r="F54" s="23"/>
      <c r="G54" s="23"/>
      <c r="H54" s="23"/>
      <c r="I54" s="23"/>
      <c r="J54" s="23"/>
      <c r="K54" s="23"/>
      <c r="L54" s="218" t="s">
        <v>494</v>
      </c>
      <c r="M54" s="23"/>
      <c r="N54" s="222"/>
      <c r="O54" s="23"/>
      <c r="P54" s="23"/>
      <c r="Q54" s="222"/>
      <c r="R54" s="222"/>
      <c r="S54" s="222"/>
      <c r="T54" s="222"/>
      <c r="U54" s="222"/>
      <c r="V54" s="23"/>
      <c r="W54" s="220">
        <f>VLOOKUP(C54,'data base '!B:AA,26, )</f>
        <v>12175</v>
      </c>
      <c r="X54" s="220">
        <f>VLOOKUP(C54,'data base '!B:AD,27, )</f>
        <v>1217.5</v>
      </c>
      <c r="Y54" s="261"/>
      <c r="Z54" s="262"/>
      <c r="AA54" s="221">
        <f t="shared" si="0"/>
        <v>12175</v>
      </c>
      <c r="AB54" s="23"/>
      <c r="AC54" s="23"/>
      <c r="AD54" s="99"/>
    </row>
    <row r="55" spans="1:30" s="8" customFormat="1" ht="15.75" customHeight="1" x14ac:dyDescent="0.25">
      <c r="A55" s="215">
        <v>54</v>
      </c>
      <c r="B55" s="228" t="s">
        <v>493</v>
      </c>
      <c r="C55" s="217" t="str">
        <f>MEMBERS!B58</f>
        <v>HCFM-0581</v>
      </c>
      <c r="D55" s="217" t="str">
        <f>VLOOKUP(C55,MEMBERS!B:C,2, )</f>
        <v>BRIG DR. GHULAM MEHDI (Retd)</v>
      </c>
      <c r="E55" s="107"/>
      <c r="F55" s="107"/>
      <c r="G55" s="107"/>
      <c r="H55" s="107"/>
      <c r="I55" s="107"/>
      <c r="J55" s="107"/>
      <c r="K55" s="107"/>
      <c r="L55" s="230" t="s">
        <v>494</v>
      </c>
      <c r="M55" s="107"/>
      <c r="N55" s="231"/>
      <c r="O55" s="107"/>
      <c r="P55" s="107"/>
      <c r="Q55" s="231"/>
      <c r="R55" s="231"/>
      <c r="S55" s="231"/>
      <c r="T55" s="231"/>
      <c r="U55" s="231"/>
      <c r="V55" s="107"/>
      <c r="W55" s="220">
        <f>VLOOKUP(C55,'data base '!B:AA,26, )</f>
        <v>40752.5</v>
      </c>
      <c r="X55" s="220">
        <f>VLOOKUP(C55,'data base '!B:AD,27, )</f>
        <v>4075.25</v>
      </c>
      <c r="Y55" s="261"/>
      <c r="Z55" s="262"/>
      <c r="AA55" s="224">
        <f t="shared" si="0"/>
        <v>40752.5</v>
      </c>
      <c r="AB55" s="107"/>
      <c r="AC55" s="107"/>
      <c r="AD55" s="108"/>
    </row>
    <row r="56" spans="1:30" s="8" customFormat="1" ht="15.75" customHeight="1" x14ac:dyDescent="0.25">
      <c r="A56" s="215">
        <v>55</v>
      </c>
      <c r="B56" s="228" t="s">
        <v>493</v>
      </c>
      <c r="C56" s="217" t="str">
        <f>MEMBERS!B59</f>
        <v>HCFM-0583</v>
      </c>
      <c r="D56" s="217" t="str">
        <f>VLOOKUP(C56,MEMBERS!B:C,2, )</f>
        <v>MR.CAREL HEDRIK BURGER</v>
      </c>
      <c r="E56" s="229"/>
      <c r="F56" s="229"/>
      <c r="G56" s="229"/>
      <c r="H56" s="229"/>
      <c r="I56" s="229"/>
      <c r="J56" s="229"/>
      <c r="K56" s="229"/>
      <c r="L56" s="229" t="s">
        <v>494</v>
      </c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0">
        <f>VLOOKUP(C56,'data base '!B:AA,26, )</f>
        <v>162002.5</v>
      </c>
      <c r="X56" s="220">
        <f>VLOOKUP(C56,'data base '!B:AD,27, )</f>
        <v>16200.25</v>
      </c>
      <c r="Y56" s="261"/>
      <c r="Z56" s="262"/>
      <c r="AA56" s="224">
        <f t="shared" si="0"/>
        <v>162002.5</v>
      </c>
      <c r="AB56" s="107"/>
      <c r="AC56" s="107"/>
      <c r="AD56" s="108"/>
    </row>
    <row r="57" spans="1:30" s="8" customFormat="1" ht="15.75" customHeight="1" x14ac:dyDescent="0.25">
      <c r="A57" s="215">
        <v>56</v>
      </c>
      <c r="B57" s="228" t="s">
        <v>493</v>
      </c>
      <c r="C57" s="217" t="str">
        <f>MEMBERS!B60</f>
        <v>HCFM-0585</v>
      </c>
      <c r="D57" s="217" t="str">
        <f>VLOOKUP(C57,MEMBERS!B:C,2, )</f>
        <v>DGM AMJAD ALI SHAIKH</v>
      </c>
      <c r="E57" s="107"/>
      <c r="F57" s="107"/>
      <c r="G57" s="107"/>
      <c r="H57" s="107"/>
      <c r="I57" s="107"/>
      <c r="J57" s="107"/>
      <c r="K57" s="107"/>
      <c r="L57" s="230" t="s">
        <v>494</v>
      </c>
      <c r="M57" s="107"/>
      <c r="N57" s="231"/>
      <c r="O57" s="107"/>
      <c r="P57" s="107"/>
      <c r="Q57" s="231"/>
      <c r="R57" s="231"/>
      <c r="S57" s="231"/>
      <c r="T57" s="231"/>
      <c r="U57" s="231"/>
      <c r="V57" s="107"/>
      <c r="W57" s="220">
        <f>VLOOKUP(C57,'data base '!B:AA,26, )</f>
        <v>55780</v>
      </c>
      <c r="X57" s="220">
        <f>VLOOKUP(C57,'data base '!B:AD,27, )</f>
        <v>1512</v>
      </c>
      <c r="Y57" s="261"/>
      <c r="Z57" s="262"/>
      <c r="AA57" s="224">
        <f t="shared" si="0"/>
        <v>55780</v>
      </c>
      <c r="AB57" s="107"/>
      <c r="AC57" s="107"/>
      <c r="AD57" s="108"/>
    </row>
    <row r="58" spans="1:30" s="8" customFormat="1" ht="15.75" customHeight="1" x14ac:dyDescent="0.25">
      <c r="A58" s="215">
        <v>57</v>
      </c>
      <c r="B58" s="228" t="s">
        <v>493</v>
      </c>
      <c r="C58" s="217" t="str">
        <f>MEMBERS!B61</f>
        <v>HCFM-0586</v>
      </c>
      <c r="D58" s="217" t="str">
        <f>VLOOKUP(C58,MEMBERS!B:C,2, )</f>
        <v>MR.SYED MURTAZA ALI</v>
      </c>
      <c r="E58" s="107"/>
      <c r="F58" s="107"/>
      <c r="G58" s="107"/>
      <c r="H58" s="107"/>
      <c r="I58" s="107"/>
      <c r="J58" s="107"/>
      <c r="K58" s="107"/>
      <c r="L58" s="230" t="s">
        <v>494</v>
      </c>
      <c r="M58" s="107"/>
      <c r="N58" s="231"/>
      <c r="O58" s="107"/>
      <c r="P58" s="107"/>
      <c r="Q58" s="231"/>
      <c r="R58" s="231"/>
      <c r="S58" s="231"/>
      <c r="T58" s="231"/>
      <c r="U58" s="231"/>
      <c r="V58" s="107"/>
      <c r="W58" s="220">
        <f>VLOOKUP(C58,'data base '!B:AA,26, )</f>
        <v>15535</v>
      </c>
      <c r="X58" s="220">
        <f>VLOOKUP(C58,'data base '!B:AD,27, )</f>
        <v>1553.5</v>
      </c>
      <c r="Y58" s="261"/>
      <c r="Z58" s="262"/>
      <c r="AA58" s="224">
        <f t="shared" si="0"/>
        <v>15535</v>
      </c>
      <c r="AB58" s="107"/>
      <c r="AC58" s="107"/>
      <c r="AD58" s="108"/>
    </row>
    <row r="59" spans="1:30" s="8" customFormat="1" ht="15.75" customHeight="1" x14ac:dyDescent="0.25">
      <c r="A59" s="215">
        <v>58</v>
      </c>
      <c r="B59" s="228" t="s">
        <v>493</v>
      </c>
      <c r="C59" s="217" t="str">
        <f>MEMBERS!B62</f>
        <v>HCFM-0587</v>
      </c>
      <c r="D59" s="217" t="str">
        <f>VLOOKUP(C59,MEMBERS!B:C,2, )</f>
        <v>COL. AKBER RAO</v>
      </c>
      <c r="E59" s="107"/>
      <c r="F59" s="107"/>
      <c r="G59" s="107"/>
      <c r="H59" s="107"/>
      <c r="I59" s="107"/>
      <c r="J59" s="107"/>
      <c r="K59" s="107"/>
      <c r="L59" s="230" t="s">
        <v>494</v>
      </c>
      <c r="M59" s="107"/>
      <c r="N59" s="231"/>
      <c r="O59" s="107"/>
      <c r="P59" s="107"/>
      <c r="Q59" s="231"/>
      <c r="R59" s="231"/>
      <c r="S59" s="231"/>
      <c r="T59" s="231"/>
      <c r="U59" s="231"/>
      <c r="V59" s="107"/>
      <c r="W59" s="220">
        <f>VLOOKUP(C59,'data base '!B:AA,26, )</f>
        <v>45200</v>
      </c>
      <c r="X59" s="220">
        <f>VLOOKUP(C59,'data base '!B:AD,27, )</f>
        <v>700</v>
      </c>
      <c r="Y59" s="261"/>
      <c r="Z59" s="262"/>
      <c r="AA59" s="224">
        <f t="shared" si="0"/>
        <v>45200</v>
      </c>
      <c r="AB59" s="107"/>
      <c r="AC59" s="107"/>
      <c r="AD59" s="108"/>
    </row>
    <row r="60" spans="1:30" s="8" customFormat="1" ht="15.75" customHeight="1" x14ac:dyDescent="0.25">
      <c r="A60" s="215">
        <v>59</v>
      </c>
      <c r="B60" s="228" t="s">
        <v>493</v>
      </c>
      <c r="C60" s="217" t="str">
        <f>MEMBERS!B63</f>
        <v>HCFM-0588</v>
      </c>
      <c r="D60" s="217" t="str">
        <f>VLOOKUP(C60,MEMBERS!B:C,2, )</f>
        <v>ZULFIQAR AHMED MEMON</v>
      </c>
      <c r="E60" s="107"/>
      <c r="F60" s="107"/>
      <c r="G60" s="107"/>
      <c r="H60" s="107"/>
      <c r="I60" s="107"/>
      <c r="J60" s="107"/>
      <c r="K60" s="107"/>
      <c r="L60" s="230" t="s">
        <v>494</v>
      </c>
      <c r="M60" s="107"/>
      <c r="N60" s="231"/>
      <c r="O60" s="107"/>
      <c r="P60" s="107"/>
      <c r="Q60" s="231"/>
      <c r="R60" s="231"/>
      <c r="S60" s="231"/>
      <c r="T60" s="231"/>
      <c r="U60" s="231"/>
      <c r="V60" s="107"/>
      <c r="W60" s="220">
        <f>VLOOKUP(C60,'data base '!B:AA,26, )</f>
        <v>32567.5</v>
      </c>
      <c r="X60" s="220">
        <f>VLOOKUP(C60,'data base '!B:AD,27, )</f>
        <v>3256.75</v>
      </c>
      <c r="Y60" s="261"/>
      <c r="Z60" s="262"/>
      <c r="AA60" s="224">
        <f t="shared" si="0"/>
        <v>32567.5</v>
      </c>
      <c r="AB60" s="107"/>
      <c r="AC60" s="107"/>
      <c r="AD60" s="108"/>
    </row>
    <row r="61" spans="1:30" s="8" customFormat="1" ht="15.75" customHeight="1" x14ac:dyDescent="0.25">
      <c r="A61" s="215">
        <v>60</v>
      </c>
      <c r="B61" s="228" t="s">
        <v>493</v>
      </c>
      <c r="C61" s="217" t="str">
        <f>MEMBERS!B64</f>
        <v>HCFM-0589</v>
      </c>
      <c r="D61" s="217" t="str">
        <f>VLOOKUP(C61,MEMBERS!B:C,2, )</f>
        <v>DGM.REHAN TARIQ</v>
      </c>
      <c r="E61" s="107"/>
      <c r="F61" s="107"/>
      <c r="G61" s="107"/>
      <c r="H61" s="107"/>
      <c r="I61" s="107"/>
      <c r="J61" s="107"/>
      <c r="K61" s="107"/>
      <c r="L61" s="230" t="s">
        <v>494</v>
      </c>
      <c r="M61" s="107"/>
      <c r="N61" s="231"/>
      <c r="O61" s="107"/>
      <c r="P61" s="107"/>
      <c r="Q61" s="231"/>
      <c r="R61" s="231"/>
      <c r="S61" s="231"/>
      <c r="T61" s="231"/>
      <c r="U61" s="231"/>
      <c r="V61" s="107"/>
      <c r="W61" s="220">
        <f>VLOOKUP(C61,'data base '!B:AA,26, )</f>
        <v>22942</v>
      </c>
      <c r="X61" s="220">
        <f>VLOOKUP(C61,'data base '!B:AD,27, )</f>
        <v>1988</v>
      </c>
      <c r="Y61" s="261"/>
      <c r="Z61" s="262"/>
      <c r="AA61" s="224">
        <f t="shared" si="0"/>
        <v>22942</v>
      </c>
      <c r="AB61" s="107"/>
      <c r="AC61" s="107"/>
      <c r="AD61" s="108"/>
    </row>
    <row r="62" spans="1:30" s="8" customFormat="1" ht="15.75" customHeight="1" x14ac:dyDescent="0.25">
      <c r="A62" s="215">
        <v>61</v>
      </c>
      <c r="B62" s="228" t="s">
        <v>493</v>
      </c>
      <c r="C62" s="217" t="str">
        <f>MEMBERS!B65</f>
        <v>HCFM-0591</v>
      </c>
      <c r="D62" s="217" t="str">
        <f>VLOOKUP(C62,MEMBERS!B:C,2, )</f>
        <v>COL.AMIR RAZA</v>
      </c>
      <c r="E62" s="107"/>
      <c r="F62" s="107"/>
      <c r="G62" s="107"/>
      <c r="H62" s="107"/>
      <c r="I62" s="107"/>
      <c r="J62" s="107"/>
      <c r="K62" s="107"/>
      <c r="L62" s="230" t="s">
        <v>494</v>
      </c>
      <c r="M62" s="107"/>
      <c r="N62" s="231"/>
      <c r="O62" s="107"/>
      <c r="P62" s="107"/>
      <c r="Q62" s="231"/>
      <c r="R62" s="231"/>
      <c r="S62" s="231"/>
      <c r="T62" s="231"/>
      <c r="U62" s="231"/>
      <c r="V62" s="107"/>
      <c r="W62" s="220">
        <f>VLOOKUP(C62,'data base '!B:AA,26, )</f>
        <v>47317.2</v>
      </c>
      <c r="X62" s="220">
        <f>VLOOKUP(C62,'data base '!B:AD,27, )</f>
        <v>1547.3200000000002</v>
      </c>
      <c r="Y62" s="261"/>
      <c r="Z62" s="262"/>
      <c r="AA62" s="224">
        <f t="shared" si="0"/>
        <v>47317.2</v>
      </c>
      <c r="AB62" s="107"/>
      <c r="AC62" s="107"/>
      <c r="AD62" s="108"/>
    </row>
    <row r="63" spans="1:30" s="8" customFormat="1" ht="15.75" customHeight="1" x14ac:dyDescent="0.25">
      <c r="A63" s="215">
        <v>62</v>
      </c>
      <c r="B63" s="228" t="s">
        <v>493</v>
      </c>
      <c r="C63" s="217" t="str">
        <f>MEMBERS!B66</f>
        <v>HCFM-0593</v>
      </c>
      <c r="D63" s="217" t="str">
        <f>VLOOKUP(C63,MEMBERS!B:C,2, )</f>
        <v>CAPT.HAMID UZ ZAFAR</v>
      </c>
      <c r="E63" s="107"/>
      <c r="F63" s="107"/>
      <c r="G63" s="107"/>
      <c r="H63" s="107"/>
      <c r="I63" s="107"/>
      <c r="J63" s="107"/>
      <c r="K63" s="107"/>
      <c r="L63" s="230" t="s">
        <v>494</v>
      </c>
      <c r="M63" s="107"/>
      <c r="N63" s="231"/>
      <c r="O63" s="107"/>
      <c r="P63" s="107"/>
      <c r="Q63" s="231"/>
      <c r="R63" s="231"/>
      <c r="S63" s="231"/>
      <c r="T63" s="231"/>
      <c r="U63" s="231"/>
      <c r="V63" s="107"/>
      <c r="W63" s="220">
        <f>VLOOKUP(C63,'data base '!B:AA,26, )</f>
        <v>17100</v>
      </c>
      <c r="X63" s="220">
        <f>VLOOKUP(C63,'data base '!B:AD,27, )</f>
        <v>1710</v>
      </c>
      <c r="Y63" s="261"/>
      <c r="Z63" s="262"/>
      <c r="AA63" s="224">
        <f t="shared" si="0"/>
        <v>17100</v>
      </c>
      <c r="AB63" s="109"/>
      <c r="AC63" s="107"/>
      <c r="AD63" s="108"/>
    </row>
    <row r="64" spans="1:30" s="8" customFormat="1" ht="15.75" customHeight="1" x14ac:dyDescent="0.25">
      <c r="A64" s="215">
        <v>63</v>
      </c>
      <c r="B64" s="228" t="s">
        <v>493</v>
      </c>
      <c r="C64" s="217" t="str">
        <f>MEMBERS!B67</f>
        <v>HCFM-0595</v>
      </c>
      <c r="D64" s="217" t="str">
        <f>VLOOKUP(C64,MEMBERS!B:C,2, )</f>
        <v>BRIG.KHALID MEHMOOD</v>
      </c>
      <c r="E64" s="107"/>
      <c r="F64" s="107"/>
      <c r="G64" s="107"/>
      <c r="H64" s="107"/>
      <c r="I64" s="107"/>
      <c r="J64" s="107"/>
      <c r="K64" s="107"/>
      <c r="L64" s="230" t="s">
        <v>494</v>
      </c>
      <c r="M64" s="107"/>
      <c r="N64" s="231"/>
      <c r="O64" s="107"/>
      <c r="P64" s="107"/>
      <c r="Q64" s="231"/>
      <c r="R64" s="231"/>
      <c r="S64" s="231"/>
      <c r="T64" s="231"/>
      <c r="U64" s="231"/>
      <c r="V64" s="107"/>
      <c r="W64" s="220">
        <f>VLOOKUP(C64,'data base '!B:AA,26, )</f>
        <v>73658.600000000006</v>
      </c>
      <c r="X64" s="220">
        <f>VLOOKUP(C64,'data base '!B:AD,27, )</f>
        <v>7365.8600000000006</v>
      </c>
      <c r="Y64" s="261"/>
      <c r="Z64" s="262"/>
      <c r="AA64" s="224">
        <f t="shared" si="0"/>
        <v>73658.600000000006</v>
      </c>
      <c r="AB64" s="107"/>
      <c r="AC64" s="107"/>
      <c r="AD64" s="108"/>
    </row>
    <row r="65" spans="1:30" s="8" customFormat="1" ht="15.75" customHeight="1" x14ac:dyDescent="0.25">
      <c r="A65" s="215">
        <v>64</v>
      </c>
      <c r="B65" s="228" t="s">
        <v>493</v>
      </c>
      <c r="C65" s="217" t="str">
        <f>MEMBERS!B68</f>
        <v>HCFM-0596</v>
      </c>
      <c r="D65" s="217" t="str">
        <f>VLOOKUP(C65,MEMBERS!B:C,2, )</f>
        <v>DGM AZFAR ALI</v>
      </c>
      <c r="E65" s="107"/>
      <c r="F65" s="107"/>
      <c r="G65" s="107"/>
      <c r="H65" s="107"/>
      <c r="I65" s="107"/>
      <c r="J65" s="107"/>
      <c r="K65" s="107"/>
      <c r="L65" s="230" t="s">
        <v>494</v>
      </c>
      <c r="M65" s="107"/>
      <c r="N65" s="231"/>
      <c r="O65" s="107"/>
      <c r="P65" s="107"/>
      <c r="Q65" s="231"/>
      <c r="R65" s="231"/>
      <c r="S65" s="231"/>
      <c r="T65" s="231"/>
      <c r="U65" s="231"/>
      <c r="V65" s="107"/>
      <c r="W65" s="220">
        <f>VLOOKUP(C65,'data base '!B:AA,26, )</f>
        <v>34298.75</v>
      </c>
      <c r="X65" s="220">
        <f>VLOOKUP(C65,'data base '!B:AD,27, )</f>
        <v>3429.875</v>
      </c>
      <c r="Y65" s="261"/>
      <c r="Z65" s="262"/>
      <c r="AA65" s="224">
        <f t="shared" si="0"/>
        <v>34298.75</v>
      </c>
      <c r="AB65" s="107"/>
      <c r="AC65" s="107"/>
      <c r="AD65" s="108"/>
    </row>
    <row r="66" spans="1:30" s="8" customFormat="1" ht="15.75" customHeight="1" x14ac:dyDescent="0.25">
      <c r="A66" s="215">
        <v>65</v>
      </c>
      <c r="B66" s="228" t="s">
        <v>493</v>
      </c>
      <c r="C66" s="217" t="str">
        <f>MEMBERS!B69</f>
        <v>HCFM-0597</v>
      </c>
      <c r="D66" s="217" t="str">
        <f>VLOOKUP(C66,MEMBERS!B:C,2, )</f>
        <v>GM GHULAM DASTAGEER</v>
      </c>
      <c r="E66" s="107"/>
      <c r="F66" s="107"/>
      <c r="G66" s="107"/>
      <c r="H66" s="107"/>
      <c r="I66" s="107"/>
      <c r="J66" s="107"/>
      <c r="K66" s="107"/>
      <c r="L66" s="230" t="s">
        <v>494</v>
      </c>
      <c r="M66" s="107"/>
      <c r="N66" s="231"/>
      <c r="O66" s="107"/>
      <c r="P66" s="107"/>
      <c r="Q66" s="231"/>
      <c r="R66" s="231"/>
      <c r="S66" s="231"/>
      <c r="T66" s="231"/>
      <c r="U66" s="231"/>
      <c r="V66" s="107"/>
      <c r="W66" s="220">
        <f>VLOOKUP(C66,'data base '!B:AA,26, )</f>
        <v>14122.5</v>
      </c>
      <c r="X66" s="220">
        <f>VLOOKUP(C66,'data base '!B:AD,27, )</f>
        <v>1412.25</v>
      </c>
      <c r="Y66" s="261"/>
      <c r="Z66" s="262"/>
      <c r="AA66" s="224">
        <f t="shared" si="0"/>
        <v>14122.5</v>
      </c>
      <c r="AB66" s="109">
        <f>W66-Y66</f>
        <v>14122.5</v>
      </c>
      <c r="AC66" s="107"/>
      <c r="AD66" s="108"/>
    </row>
    <row r="67" spans="1:30" s="8" customFormat="1" ht="15.75" customHeight="1" x14ac:dyDescent="0.25">
      <c r="A67" s="215">
        <v>66</v>
      </c>
      <c r="B67" s="228" t="s">
        <v>493</v>
      </c>
      <c r="C67" s="217" t="str">
        <f>MEMBERS!B70</f>
        <v>HCFM-0598</v>
      </c>
      <c r="D67" s="217" t="str">
        <f>VLOOKUP(C67,MEMBERS!B:C,2, )</f>
        <v>DGM FATIMA ZAHID</v>
      </c>
      <c r="E67" s="107"/>
      <c r="F67" s="107"/>
      <c r="G67" s="107"/>
      <c r="H67" s="107"/>
      <c r="I67" s="107"/>
      <c r="J67" s="107"/>
      <c r="K67" s="107"/>
      <c r="L67" s="230" t="s">
        <v>494</v>
      </c>
      <c r="M67" s="107"/>
      <c r="N67" s="231"/>
      <c r="O67" s="107"/>
      <c r="P67" s="107"/>
      <c r="Q67" s="231"/>
      <c r="R67" s="231"/>
      <c r="S67" s="231"/>
      <c r="T67" s="231"/>
      <c r="U67" s="231"/>
      <c r="V67" s="107"/>
      <c r="W67" s="220">
        <f>VLOOKUP(C67,'data base '!B:AA,26, )</f>
        <v>48216.25</v>
      </c>
      <c r="X67" s="220">
        <f>VLOOKUP(C67,'data base '!B:AD,27, )</f>
        <v>4821.625</v>
      </c>
      <c r="Y67" s="261"/>
      <c r="Z67" s="262"/>
      <c r="AA67" s="224">
        <f t="shared" ref="AA67:AA119" si="1">W67-Y67</f>
        <v>48216.25</v>
      </c>
      <c r="AB67" s="107"/>
      <c r="AC67" s="107"/>
      <c r="AD67" s="108"/>
    </row>
    <row r="68" spans="1:30" s="8" customFormat="1" ht="15.75" customHeight="1" x14ac:dyDescent="0.25">
      <c r="A68" s="215">
        <v>67</v>
      </c>
      <c r="B68" s="228" t="s">
        <v>493</v>
      </c>
      <c r="C68" s="217" t="str">
        <f>MEMBERS!B71</f>
        <v>HCFM-0599</v>
      </c>
      <c r="D68" s="217" t="str">
        <f>VLOOKUP(C68,MEMBERS!B:C,2, )</f>
        <v>CDR.RAZA REHMAN</v>
      </c>
      <c r="E68" s="107"/>
      <c r="F68" s="107"/>
      <c r="G68" s="107"/>
      <c r="H68" s="107"/>
      <c r="I68" s="107"/>
      <c r="J68" s="107"/>
      <c r="K68" s="107"/>
      <c r="L68" s="230" t="s">
        <v>494</v>
      </c>
      <c r="M68" s="107"/>
      <c r="N68" s="231"/>
      <c r="O68" s="107"/>
      <c r="P68" s="107"/>
      <c r="Q68" s="231"/>
      <c r="R68" s="231"/>
      <c r="S68" s="231"/>
      <c r="T68" s="231"/>
      <c r="U68" s="231"/>
      <c r="V68" s="107"/>
      <c r="W68" s="220">
        <f>VLOOKUP(C68,'data base '!B:AA,26, )</f>
        <v>7000</v>
      </c>
      <c r="X68" s="220">
        <f>VLOOKUP(C68,'data base '!B:AD,27, )</f>
        <v>700</v>
      </c>
      <c r="Y68" s="261"/>
      <c r="Z68" s="262"/>
      <c r="AA68" s="224">
        <f t="shared" si="1"/>
        <v>7000</v>
      </c>
      <c r="AB68" s="107"/>
      <c r="AC68" s="107"/>
      <c r="AD68" s="108"/>
    </row>
    <row r="69" spans="1:30" s="8" customFormat="1" ht="15.75" customHeight="1" x14ac:dyDescent="0.25">
      <c r="A69" s="215">
        <v>68</v>
      </c>
      <c r="B69" s="216" t="s">
        <v>493</v>
      </c>
      <c r="C69" s="217" t="str">
        <f>MEMBERS!B72</f>
        <v>HCFM-0600</v>
      </c>
      <c r="D69" s="217" t="str">
        <f>VLOOKUP(C69,MEMBERS!B:C,2, )</f>
        <v>DR.FAKHRUNISSA WAHEED</v>
      </c>
      <c r="E69" s="23"/>
      <c r="F69" s="23"/>
      <c r="G69" s="23"/>
      <c r="H69" s="23"/>
      <c r="I69" s="23"/>
      <c r="J69" s="23"/>
      <c r="K69" s="23"/>
      <c r="L69" s="218" t="s">
        <v>494</v>
      </c>
      <c r="M69" s="23"/>
      <c r="N69" s="222"/>
      <c r="O69" s="23"/>
      <c r="P69" s="23"/>
      <c r="Q69" s="222"/>
      <c r="R69" s="222"/>
      <c r="S69" s="222"/>
      <c r="T69" s="222"/>
      <c r="U69" s="222"/>
      <c r="V69" s="23"/>
      <c r="W69" s="220">
        <f>VLOOKUP(C69,'data base '!B:AA,26, )</f>
        <v>40223.5</v>
      </c>
      <c r="X69" s="220">
        <f>VLOOKUP(C69,'data base '!B:AD,27, )</f>
        <v>4022.3500000000004</v>
      </c>
      <c r="Y69" s="261"/>
      <c r="Z69" s="262"/>
      <c r="AA69" s="221">
        <f t="shared" si="1"/>
        <v>40223.5</v>
      </c>
      <c r="AB69" s="23"/>
      <c r="AC69" s="23"/>
      <c r="AD69" s="99"/>
    </row>
    <row r="70" spans="1:30" s="8" customFormat="1" ht="15.75" customHeight="1" x14ac:dyDescent="0.25">
      <c r="A70" s="215">
        <v>69</v>
      </c>
      <c r="B70" s="228" t="s">
        <v>493</v>
      </c>
      <c r="C70" s="217" t="str">
        <f>MEMBERS!B73</f>
        <v>HCFM-0601</v>
      </c>
      <c r="D70" s="217" t="str">
        <f>VLOOKUP(C70,MEMBERS!B:C,2, )</f>
        <v>GM HAROON RASHEED</v>
      </c>
      <c r="E70" s="107"/>
      <c r="F70" s="107"/>
      <c r="G70" s="107"/>
      <c r="H70" s="107"/>
      <c r="I70" s="107"/>
      <c r="J70" s="107"/>
      <c r="K70" s="107"/>
      <c r="L70" s="230" t="s">
        <v>494</v>
      </c>
      <c r="M70" s="107"/>
      <c r="N70" s="231"/>
      <c r="O70" s="107"/>
      <c r="P70" s="107"/>
      <c r="Q70" s="231"/>
      <c r="R70" s="231"/>
      <c r="S70" s="231"/>
      <c r="T70" s="231"/>
      <c r="U70" s="231"/>
      <c r="V70" s="107"/>
      <c r="W70" s="220">
        <f>VLOOKUP(C70,'data base '!B:AA,26, )</f>
        <v>29524</v>
      </c>
      <c r="X70" s="220">
        <f>VLOOKUP(C70,'data base '!B:AD,27, )</f>
        <v>715</v>
      </c>
      <c r="Y70" s="261"/>
      <c r="Z70" s="262"/>
      <c r="AA70" s="224">
        <f t="shared" si="1"/>
        <v>29524</v>
      </c>
      <c r="AB70" s="107"/>
      <c r="AC70" s="107"/>
      <c r="AD70" s="108"/>
    </row>
    <row r="71" spans="1:30" s="8" customFormat="1" ht="15.75" customHeight="1" x14ac:dyDescent="0.25">
      <c r="A71" s="215">
        <v>71</v>
      </c>
      <c r="B71" s="228" t="s">
        <v>493</v>
      </c>
      <c r="C71" s="217" t="str">
        <f>MEMBERS!B74</f>
        <v>HCFM-0603</v>
      </c>
      <c r="D71" s="217" t="str">
        <f>VLOOKUP(C71,MEMBERS!B:C,2, )</f>
        <v>CAPT.ZAHID AWAN</v>
      </c>
      <c r="E71" s="107"/>
      <c r="F71" s="107"/>
      <c r="G71" s="107"/>
      <c r="H71" s="107"/>
      <c r="I71" s="107"/>
      <c r="J71" s="107"/>
      <c r="K71" s="107"/>
      <c r="L71" s="230" t="s">
        <v>494</v>
      </c>
      <c r="M71" s="107"/>
      <c r="N71" s="231"/>
      <c r="O71" s="107"/>
      <c r="P71" s="107"/>
      <c r="Q71" s="231"/>
      <c r="R71" s="231"/>
      <c r="S71" s="231"/>
      <c r="T71" s="231"/>
      <c r="U71" s="231"/>
      <c r="V71" s="107"/>
      <c r="W71" s="220">
        <f>VLOOKUP(C71,'data base '!B:AA,26, )</f>
        <v>7000</v>
      </c>
      <c r="X71" s="220">
        <f>VLOOKUP(C71,'data base '!B:AD,27, )</f>
        <v>700</v>
      </c>
      <c r="Y71" s="261"/>
      <c r="Z71" s="262"/>
      <c r="AA71" s="224">
        <f t="shared" si="1"/>
        <v>7000</v>
      </c>
      <c r="AB71" s="107"/>
      <c r="AC71" s="107"/>
      <c r="AD71" s="108"/>
    </row>
    <row r="72" spans="1:30" s="8" customFormat="1" ht="15.75" customHeight="1" x14ac:dyDescent="0.25">
      <c r="A72" s="215">
        <v>72</v>
      </c>
      <c r="B72" s="228" t="s">
        <v>493</v>
      </c>
      <c r="C72" s="217" t="str">
        <f>MEMBERS!B75</f>
        <v>HCFM-0605</v>
      </c>
      <c r="D72" s="217" t="str">
        <f>VLOOKUP(C72,MEMBERS!B:C,2, )</f>
        <v>DR.QURATULAIN RAZI</v>
      </c>
      <c r="E72" s="107"/>
      <c r="F72" s="107"/>
      <c r="G72" s="107"/>
      <c r="H72" s="107"/>
      <c r="I72" s="107"/>
      <c r="J72" s="107"/>
      <c r="K72" s="107"/>
      <c r="L72" s="230" t="s">
        <v>494</v>
      </c>
      <c r="M72" s="107"/>
      <c r="N72" s="231"/>
      <c r="O72" s="107"/>
      <c r="P72" s="107"/>
      <c r="Q72" s="231"/>
      <c r="R72" s="231"/>
      <c r="S72" s="231"/>
      <c r="T72" s="231"/>
      <c r="U72" s="231"/>
      <c r="V72" s="107"/>
      <c r="W72" s="220">
        <f>VLOOKUP(C72,'data base '!B:AA,26, )</f>
        <v>7000</v>
      </c>
      <c r="X72" s="220">
        <f>VLOOKUP(C72,'data base '!B:AD,27, )</f>
        <v>700</v>
      </c>
      <c r="Y72" s="261"/>
      <c r="Z72" s="262"/>
      <c r="AA72" s="224">
        <f t="shared" si="1"/>
        <v>7000</v>
      </c>
      <c r="AB72" s="107"/>
      <c r="AC72" s="107"/>
      <c r="AD72" s="108"/>
    </row>
    <row r="73" spans="1:30" s="8" customFormat="1" ht="15.75" customHeight="1" x14ac:dyDescent="0.25">
      <c r="A73" s="215">
        <v>73</v>
      </c>
      <c r="B73" s="228" t="s">
        <v>493</v>
      </c>
      <c r="C73" s="217" t="str">
        <f>MEMBERS!B76</f>
        <v>HCFM-0606</v>
      </c>
      <c r="D73" s="217" t="str">
        <f>VLOOKUP(C73,MEMBERS!B:C,2, )</f>
        <v>DR.FAREYA</v>
      </c>
      <c r="E73" s="107"/>
      <c r="F73" s="107"/>
      <c r="G73" s="107"/>
      <c r="H73" s="107"/>
      <c r="I73" s="107"/>
      <c r="J73" s="107"/>
      <c r="K73" s="107"/>
      <c r="L73" s="230" t="s">
        <v>494</v>
      </c>
      <c r="M73" s="107"/>
      <c r="N73" s="231"/>
      <c r="O73" s="107"/>
      <c r="P73" s="107"/>
      <c r="Q73" s="231"/>
      <c r="R73" s="231"/>
      <c r="S73" s="231"/>
      <c r="T73" s="231"/>
      <c r="U73" s="231"/>
      <c r="V73" s="107"/>
      <c r="W73" s="220">
        <f>VLOOKUP(C73,'data base '!B:AA,26, )</f>
        <v>67000</v>
      </c>
      <c r="X73" s="220">
        <f>VLOOKUP(C73,'data base '!B:AD,27, )</f>
        <v>700</v>
      </c>
      <c r="Y73" s="261"/>
      <c r="Z73" s="262"/>
      <c r="AA73" s="224">
        <f t="shared" si="1"/>
        <v>67000</v>
      </c>
      <c r="AB73" s="107"/>
      <c r="AC73" s="107"/>
      <c r="AD73" s="108"/>
    </row>
    <row r="74" spans="1:30" s="8" customFormat="1" ht="15.75" customHeight="1" x14ac:dyDescent="0.25">
      <c r="A74" s="215">
        <v>74</v>
      </c>
      <c r="B74" s="228" t="s">
        <v>493</v>
      </c>
      <c r="C74" s="217" t="str">
        <f>MEMBERS!B77</f>
        <v>HCFM-0607</v>
      </c>
      <c r="D74" s="217" t="str">
        <f>VLOOKUP(C74,MEMBERS!B:C,2, )</f>
        <v>DIR. ZIA UR REHMAN KHAN</v>
      </c>
      <c r="E74" s="107"/>
      <c r="F74" s="107"/>
      <c r="G74" s="107"/>
      <c r="H74" s="107"/>
      <c r="I74" s="107"/>
      <c r="J74" s="107"/>
      <c r="K74" s="107"/>
      <c r="L74" s="230" t="s">
        <v>494</v>
      </c>
      <c r="M74" s="107"/>
      <c r="N74" s="231"/>
      <c r="O74" s="107"/>
      <c r="P74" s="107"/>
      <c r="Q74" s="231"/>
      <c r="R74" s="231"/>
      <c r="S74" s="231"/>
      <c r="T74" s="231"/>
      <c r="U74" s="231"/>
      <c r="V74" s="107"/>
      <c r="W74" s="220">
        <f>VLOOKUP(C74,'data base '!B:AA,26, )</f>
        <v>24700</v>
      </c>
      <c r="X74" s="220">
        <f>VLOOKUP(C74,'data base '!B:AD,27, )</f>
        <v>700</v>
      </c>
      <c r="Y74" s="261"/>
      <c r="Z74" s="262"/>
      <c r="AA74" s="224">
        <f t="shared" si="1"/>
        <v>24700</v>
      </c>
      <c r="AB74" s="107"/>
      <c r="AC74" s="107"/>
      <c r="AD74" s="108"/>
    </row>
    <row r="75" spans="1:30" s="8" customFormat="1" ht="15.75" customHeight="1" x14ac:dyDescent="0.25">
      <c r="A75" s="215">
        <v>75</v>
      </c>
      <c r="B75" s="228" t="s">
        <v>493</v>
      </c>
      <c r="C75" s="217" t="str">
        <f>MEMBERS!B78</f>
        <v>HCFM-0608</v>
      </c>
      <c r="D75" s="217" t="str">
        <f>VLOOKUP(C75,MEMBERS!B:C,2, )</f>
        <v>SGM MUHAMMAD YAQOOB</v>
      </c>
      <c r="E75" s="107"/>
      <c r="F75" s="107"/>
      <c r="G75" s="107"/>
      <c r="H75" s="107"/>
      <c r="I75" s="107"/>
      <c r="J75" s="107"/>
      <c r="K75" s="107"/>
      <c r="L75" s="230" t="s">
        <v>494</v>
      </c>
      <c r="M75" s="107"/>
      <c r="N75" s="231"/>
      <c r="O75" s="107"/>
      <c r="P75" s="107"/>
      <c r="Q75" s="231"/>
      <c r="R75" s="231"/>
      <c r="S75" s="231"/>
      <c r="T75" s="231"/>
      <c r="U75" s="231"/>
      <c r="V75" s="107"/>
      <c r="W75" s="220">
        <f>VLOOKUP(C75,'data base '!B:AA,26, )</f>
        <v>67000</v>
      </c>
      <c r="X75" s="220">
        <f>VLOOKUP(C75,'data base '!B:AD,27, )</f>
        <v>700</v>
      </c>
      <c r="Y75" s="261"/>
      <c r="Z75" s="262"/>
      <c r="AA75" s="224">
        <f t="shared" si="1"/>
        <v>67000</v>
      </c>
      <c r="AB75" s="107"/>
      <c r="AC75" s="107"/>
      <c r="AD75" s="108"/>
    </row>
    <row r="76" spans="1:30" s="8" customFormat="1" ht="15.75" customHeight="1" x14ac:dyDescent="0.25">
      <c r="A76" s="215">
        <v>76</v>
      </c>
      <c r="B76" s="228" t="s">
        <v>493</v>
      </c>
      <c r="C76" s="217" t="str">
        <f>MEMBERS!B79</f>
        <v>HCFM-0609</v>
      </c>
      <c r="D76" s="217" t="str">
        <f>VLOOKUP(C76,MEMBERS!B:C,2, )</f>
        <v>DR.NASEEM MUNSHI</v>
      </c>
      <c r="E76" s="107"/>
      <c r="F76" s="107"/>
      <c r="G76" s="107"/>
      <c r="H76" s="107"/>
      <c r="I76" s="107"/>
      <c r="J76" s="107"/>
      <c r="K76" s="107"/>
      <c r="L76" s="230" t="s">
        <v>494</v>
      </c>
      <c r="M76" s="107"/>
      <c r="N76" s="231"/>
      <c r="O76" s="107"/>
      <c r="P76" s="107"/>
      <c r="Q76" s="231"/>
      <c r="R76" s="231"/>
      <c r="S76" s="231"/>
      <c r="T76" s="231"/>
      <c r="U76" s="231"/>
      <c r="V76" s="107"/>
      <c r="W76" s="220">
        <f>VLOOKUP(C76,'data base '!B:AA,26, )</f>
        <v>35282.5</v>
      </c>
      <c r="X76" s="220">
        <f>VLOOKUP(C76,'data base '!B:AD,27, )</f>
        <v>3528.25</v>
      </c>
      <c r="Y76" s="261"/>
      <c r="Z76" s="262"/>
      <c r="AA76" s="224">
        <f t="shared" si="1"/>
        <v>35282.5</v>
      </c>
      <c r="AB76" s="107"/>
      <c r="AC76" s="107"/>
      <c r="AD76" s="108"/>
    </row>
    <row r="77" spans="1:30" s="8" customFormat="1" ht="15.75" customHeight="1" x14ac:dyDescent="0.25">
      <c r="A77" s="215">
        <v>77</v>
      </c>
      <c r="B77" s="216" t="s">
        <v>493</v>
      </c>
      <c r="C77" s="217" t="str">
        <f>MEMBERS!B80</f>
        <v>HCFM-0638</v>
      </c>
      <c r="D77" s="217" t="str">
        <f>VLOOKUP(C77,MEMBERS!B:C,2, )</f>
        <v>RIAZ FAZAL</v>
      </c>
      <c r="E77" s="232"/>
      <c r="F77" s="232"/>
      <c r="G77" s="232"/>
      <c r="H77" s="232"/>
      <c r="I77" s="232"/>
      <c r="J77" s="232"/>
      <c r="K77" s="232"/>
      <c r="L77" s="218" t="s">
        <v>494</v>
      </c>
      <c r="M77" s="23"/>
      <c r="N77" s="222"/>
      <c r="O77" s="23"/>
      <c r="P77" s="23"/>
      <c r="Q77" s="222"/>
      <c r="R77" s="222"/>
      <c r="S77" s="222"/>
      <c r="T77" s="222"/>
      <c r="U77" s="222"/>
      <c r="V77" s="23"/>
      <c r="W77" s="220">
        <f>VLOOKUP(C77,'data base '!B:AA,26, )</f>
        <v>21720</v>
      </c>
      <c r="X77" s="220">
        <f>VLOOKUP(C77,'data base '!B:AD,27, )</f>
        <v>2172</v>
      </c>
      <c r="Y77" s="261"/>
      <c r="Z77" s="262"/>
      <c r="AA77" s="221">
        <f t="shared" si="1"/>
        <v>21720</v>
      </c>
      <c r="AB77" s="23"/>
      <c r="AC77" s="23"/>
      <c r="AD77" s="99"/>
    </row>
    <row r="78" spans="1:30" s="8" customFormat="1" ht="15.75" customHeight="1" x14ac:dyDescent="0.25">
      <c r="A78" s="215">
        <v>78</v>
      </c>
      <c r="B78" s="216" t="s">
        <v>493</v>
      </c>
      <c r="C78" s="217" t="str">
        <f>MEMBERS!B81</f>
        <v>HCFM-0639</v>
      </c>
      <c r="D78" s="217" t="str">
        <f>VLOOKUP(C78,MEMBERS!B:C,2, )</f>
        <v>HUSSAIN WAJID</v>
      </c>
      <c r="E78" s="232"/>
      <c r="F78" s="232"/>
      <c r="G78" s="232"/>
      <c r="H78" s="232"/>
      <c r="I78" s="232"/>
      <c r="J78" s="232"/>
      <c r="K78" s="232"/>
      <c r="L78" s="218" t="s">
        <v>494</v>
      </c>
      <c r="M78" s="23"/>
      <c r="N78" s="222"/>
      <c r="O78" s="23"/>
      <c r="P78" s="23"/>
      <c r="Q78" s="222"/>
      <c r="R78" s="222"/>
      <c r="S78" s="222"/>
      <c r="T78" s="222"/>
      <c r="U78" s="222"/>
      <c r="V78" s="23"/>
      <c r="W78" s="220">
        <f>VLOOKUP(C78,'data base '!B:AA,26, )</f>
        <v>11173.75</v>
      </c>
      <c r="X78" s="220">
        <f>VLOOKUP(C78,'data base '!B:AD,27, )</f>
        <v>1117.375</v>
      </c>
      <c r="Y78" s="261"/>
      <c r="Z78" s="262"/>
      <c r="AA78" s="221">
        <f t="shared" si="1"/>
        <v>11173.75</v>
      </c>
      <c r="AB78" s="23"/>
      <c r="AC78" s="23"/>
      <c r="AD78" s="99"/>
    </row>
    <row r="79" spans="1:30" s="8" customFormat="1" ht="15.75" customHeight="1" x14ac:dyDescent="0.25">
      <c r="A79" s="215">
        <v>79</v>
      </c>
      <c r="B79" s="216" t="s">
        <v>493</v>
      </c>
      <c r="C79" s="217" t="str">
        <f>MEMBERS!B82</f>
        <v>HCFM-0640</v>
      </c>
      <c r="D79" s="217" t="str">
        <f>VLOOKUP(C79,MEMBERS!B:C,2, )</f>
        <v>MUKHTIAR AHMED SHAR</v>
      </c>
      <c r="E79" s="232"/>
      <c r="F79" s="232"/>
      <c r="G79" s="232"/>
      <c r="H79" s="232"/>
      <c r="I79" s="232"/>
      <c r="J79" s="232"/>
      <c r="K79" s="232"/>
      <c r="L79" s="218" t="s">
        <v>494</v>
      </c>
      <c r="M79" s="23"/>
      <c r="N79" s="222"/>
      <c r="O79" s="23"/>
      <c r="P79" s="23"/>
      <c r="Q79" s="222"/>
      <c r="R79" s="222"/>
      <c r="S79" s="222"/>
      <c r="T79" s="222"/>
      <c r="U79" s="222"/>
      <c r="V79" s="23"/>
      <c r="W79" s="220">
        <f>VLOOKUP(C79,'data base '!B:AA,26, )</f>
        <v>51951</v>
      </c>
      <c r="X79" s="220">
        <f>VLOOKUP(C79,'data base '!B:AD,27, )</f>
        <v>700</v>
      </c>
      <c r="Y79" s="261"/>
      <c r="Z79" s="262"/>
      <c r="AA79" s="221">
        <f t="shared" si="1"/>
        <v>51951</v>
      </c>
      <c r="AB79" s="23"/>
      <c r="AC79" s="23"/>
      <c r="AD79" s="99"/>
    </row>
    <row r="80" spans="1:30" s="8" customFormat="1" ht="15.75" customHeight="1" x14ac:dyDescent="0.25">
      <c r="A80" s="215">
        <v>80</v>
      </c>
      <c r="B80" s="216" t="s">
        <v>493</v>
      </c>
      <c r="C80" s="217" t="str">
        <f>MEMBERS!B83</f>
        <v>HCFM-0641</v>
      </c>
      <c r="D80" s="217" t="str">
        <f>VLOOKUP(C80,MEMBERS!B:C,2, )</f>
        <v>AAMIR RASOOL</v>
      </c>
      <c r="E80" s="232"/>
      <c r="F80" s="232"/>
      <c r="G80" s="232"/>
      <c r="H80" s="232"/>
      <c r="I80" s="232"/>
      <c r="J80" s="232"/>
      <c r="K80" s="232"/>
      <c r="L80" s="218" t="s">
        <v>494</v>
      </c>
      <c r="M80" s="23"/>
      <c r="N80" s="222"/>
      <c r="O80" s="23"/>
      <c r="P80" s="23"/>
      <c r="Q80" s="222"/>
      <c r="R80" s="222"/>
      <c r="S80" s="222"/>
      <c r="T80" s="222"/>
      <c r="U80" s="222"/>
      <c r="V80" s="23"/>
      <c r="W80" s="220">
        <f>VLOOKUP(C80,'data base '!B:AA,26, )</f>
        <v>68481.5</v>
      </c>
      <c r="X80" s="220">
        <f>VLOOKUP(C80,'data base '!B:AD,27, )</f>
        <v>6848.1500000000005</v>
      </c>
      <c r="Y80" s="261"/>
      <c r="Z80" s="262"/>
      <c r="AA80" s="221">
        <f t="shared" si="1"/>
        <v>68481.5</v>
      </c>
      <c r="AB80" s="23"/>
      <c r="AC80" s="23"/>
      <c r="AD80" s="99"/>
    </row>
    <row r="81" spans="1:30" s="8" customFormat="1" ht="15.75" customHeight="1" x14ac:dyDescent="0.25">
      <c r="A81" s="215">
        <v>81</v>
      </c>
      <c r="B81" s="216" t="s">
        <v>493</v>
      </c>
      <c r="C81" s="217" t="str">
        <f>MEMBERS!B84</f>
        <v>HCFM-0642</v>
      </c>
      <c r="D81" s="217" t="str">
        <f>VLOOKUP(C81,MEMBERS!B:C,2, )</f>
        <v>ASIF ASHFAQ</v>
      </c>
      <c r="E81" s="232"/>
      <c r="F81" s="232"/>
      <c r="G81" s="232"/>
      <c r="H81" s="232"/>
      <c r="I81" s="232"/>
      <c r="J81" s="232"/>
      <c r="K81" s="232"/>
      <c r="L81" s="218" t="s">
        <v>494</v>
      </c>
      <c r="M81" s="23"/>
      <c r="N81" s="222"/>
      <c r="O81" s="23"/>
      <c r="P81" s="23"/>
      <c r="Q81" s="222"/>
      <c r="R81" s="222"/>
      <c r="S81" s="222"/>
      <c r="T81" s="222"/>
      <c r="U81" s="222"/>
      <c r="V81" s="23"/>
      <c r="W81" s="220">
        <f>VLOOKUP(C81,'data base '!B:AA,26, )</f>
        <v>296970</v>
      </c>
      <c r="X81" s="220">
        <f>VLOOKUP(C81,'data base '!B:AD,27, )</f>
        <v>29697</v>
      </c>
      <c r="Y81" s="261"/>
      <c r="Z81" s="262"/>
      <c r="AA81" s="221">
        <f t="shared" si="1"/>
        <v>296970</v>
      </c>
      <c r="AB81" s="23"/>
      <c r="AC81" s="23"/>
      <c r="AD81" s="99"/>
    </row>
    <row r="82" spans="1:30" s="8" customFormat="1" ht="15.75" customHeight="1" x14ac:dyDescent="0.25">
      <c r="A82" s="215">
        <v>82</v>
      </c>
      <c r="B82" s="228" t="s">
        <v>493</v>
      </c>
      <c r="C82" s="217" t="str">
        <f>MEMBERS!B85</f>
        <v>HCFM-0644</v>
      </c>
      <c r="D82" s="217" t="str">
        <f>VLOOKUP(C82,MEMBERS!B:C,2, )</f>
        <v>SABA AHSAN</v>
      </c>
      <c r="E82" s="233"/>
      <c r="F82" s="233"/>
      <c r="G82" s="233"/>
      <c r="H82" s="233"/>
      <c r="I82" s="233"/>
      <c r="J82" s="233"/>
      <c r="K82" s="233"/>
      <c r="L82" s="230" t="s">
        <v>494</v>
      </c>
      <c r="M82" s="107"/>
      <c r="N82" s="231"/>
      <c r="O82" s="107"/>
      <c r="P82" s="107"/>
      <c r="Q82" s="231"/>
      <c r="R82" s="231"/>
      <c r="S82" s="231"/>
      <c r="T82" s="231"/>
      <c r="U82" s="231"/>
      <c r="V82" s="107"/>
      <c r="W82" s="220">
        <f>VLOOKUP(C82,'data base '!B:AA,26, )</f>
        <v>44084</v>
      </c>
      <c r="X82" s="220">
        <f>VLOOKUP(C82,'data base '!B:AD,27, )</f>
        <v>2997.1000000000004</v>
      </c>
      <c r="Y82" s="261"/>
      <c r="Z82" s="262"/>
      <c r="AA82" s="224">
        <f t="shared" si="1"/>
        <v>44084</v>
      </c>
      <c r="AB82" s="107"/>
      <c r="AC82" s="107"/>
      <c r="AD82" s="108"/>
    </row>
    <row r="83" spans="1:30" s="8" customFormat="1" ht="15.75" customHeight="1" x14ac:dyDescent="0.25">
      <c r="A83" s="215">
        <v>83</v>
      </c>
      <c r="B83" s="216" t="s">
        <v>493</v>
      </c>
      <c r="C83" s="217" t="str">
        <f>MEMBERS!B86</f>
        <v>HCFM-0645</v>
      </c>
      <c r="D83" s="217" t="str">
        <f>VLOOKUP(C83,MEMBERS!B:C,2, )</f>
        <v>MUNEER AHMED</v>
      </c>
      <c r="E83" s="232"/>
      <c r="F83" s="232"/>
      <c r="G83" s="232"/>
      <c r="H83" s="232"/>
      <c r="I83" s="232"/>
      <c r="J83" s="232"/>
      <c r="K83" s="232"/>
      <c r="L83" s="218" t="s">
        <v>494</v>
      </c>
      <c r="M83" s="23"/>
      <c r="N83" s="222"/>
      <c r="O83" s="23"/>
      <c r="P83" s="23"/>
      <c r="Q83" s="222"/>
      <c r="R83" s="222"/>
      <c r="S83" s="222"/>
      <c r="T83" s="222"/>
      <c r="U83" s="222"/>
      <c r="V83" s="23"/>
      <c r="W83" s="220">
        <f>VLOOKUP(C83,'data base '!B:AA,26, )</f>
        <v>7000</v>
      </c>
      <c r="X83" s="220">
        <f>VLOOKUP(C83,'data base '!B:AD,27, )</f>
        <v>700</v>
      </c>
      <c r="Y83" s="261"/>
      <c r="Z83" s="262"/>
      <c r="AA83" s="221">
        <f t="shared" si="1"/>
        <v>7000</v>
      </c>
      <c r="AB83" s="23"/>
      <c r="AC83" s="23"/>
      <c r="AD83" s="99"/>
    </row>
    <row r="84" spans="1:30" s="8" customFormat="1" ht="15.75" customHeight="1" x14ac:dyDescent="0.25">
      <c r="A84" s="215">
        <v>84</v>
      </c>
      <c r="B84" s="216" t="s">
        <v>493</v>
      </c>
      <c r="C84" s="217" t="str">
        <f>MEMBERS!B87</f>
        <v>HCFM-0646</v>
      </c>
      <c r="D84" s="217" t="str">
        <f>VLOOKUP(C84,MEMBERS!B:C,2, )</f>
        <v>BAHRIA INTERNATIONAL HOSPITAL</v>
      </c>
      <c r="E84" s="232"/>
      <c r="F84" s="232"/>
      <c r="G84" s="232"/>
      <c r="H84" s="232"/>
      <c r="I84" s="232"/>
      <c r="J84" s="232"/>
      <c r="K84" s="232"/>
      <c r="L84" s="218" t="s">
        <v>494</v>
      </c>
      <c r="M84" s="23"/>
      <c r="N84" s="222"/>
      <c r="O84" s="23"/>
      <c r="P84" s="23"/>
      <c r="Q84" s="222"/>
      <c r="R84" s="222"/>
      <c r="S84" s="222"/>
      <c r="T84" s="222"/>
      <c r="U84" s="222"/>
      <c r="V84" s="23"/>
      <c r="W84" s="220">
        <f>VLOOKUP(C84,'data base '!B:AA,26, )</f>
        <v>94400</v>
      </c>
      <c r="X84" s="220">
        <f>VLOOKUP(C84,'data base '!B:AD,27, )</f>
        <v>9440</v>
      </c>
      <c r="Y84" s="261"/>
      <c r="Z84" s="262"/>
      <c r="AA84" s="221">
        <f t="shared" si="1"/>
        <v>94400</v>
      </c>
      <c r="AB84" s="23"/>
      <c r="AC84" s="23"/>
      <c r="AD84" s="99"/>
    </row>
    <row r="85" spans="1:30" s="8" customFormat="1" ht="15.75" customHeight="1" x14ac:dyDescent="0.25">
      <c r="A85" s="215">
        <v>85</v>
      </c>
      <c r="B85" s="216" t="s">
        <v>493</v>
      </c>
      <c r="C85" s="217" t="str">
        <f>MEMBERS!B88</f>
        <v>HCFM-0647</v>
      </c>
      <c r="D85" s="217" t="str">
        <f>VLOOKUP(C85,MEMBERS!B:C,2, )</f>
        <v>IMRAN AHMED</v>
      </c>
      <c r="E85" s="232"/>
      <c r="F85" s="232"/>
      <c r="G85" s="232"/>
      <c r="H85" s="232"/>
      <c r="I85" s="232"/>
      <c r="J85" s="232"/>
      <c r="K85" s="232"/>
      <c r="L85" s="218" t="s">
        <v>494</v>
      </c>
      <c r="M85" s="23"/>
      <c r="N85" s="222"/>
      <c r="O85" s="23"/>
      <c r="P85" s="23"/>
      <c r="Q85" s="222"/>
      <c r="R85" s="222"/>
      <c r="S85" s="222"/>
      <c r="T85" s="222"/>
      <c r="U85" s="222"/>
      <c r="V85" s="23"/>
      <c r="W85" s="220">
        <f>VLOOKUP(C85,'data base '!B:AA,26, )</f>
        <v>22225</v>
      </c>
      <c r="X85" s="220">
        <f>VLOOKUP(C85,'data base '!B:AD,27, )</f>
        <v>700</v>
      </c>
      <c r="Y85" s="261"/>
      <c r="Z85" s="262"/>
      <c r="AA85" s="221">
        <f t="shared" si="1"/>
        <v>22225</v>
      </c>
      <c r="AB85" s="23"/>
      <c r="AC85" s="23"/>
      <c r="AD85" s="99"/>
    </row>
    <row r="86" spans="1:30" s="8" customFormat="1" ht="15.75" customHeight="1" x14ac:dyDescent="0.25">
      <c r="A86" s="215">
        <v>86</v>
      </c>
      <c r="B86" s="216" t="s">
        <v>493</v>
      </c>
      <c r="C86" s="217" t="str">
        <f>MEMBERS!B89</f>
        <v>HCFM-0648</v>
      </c>
      <c r="D86" s="217" t="str">
        <f>VLOOKUP(C86,MEMBERS!B:C,2, )</f>
        <v>AYSM MIRZA</v>
      </c>
      <c r="E86" s="232"/>
      <c r="F86" s="232"/>
      <c r="G86" s="232"/>
      <c r="H86" s="232"/>
      <c r="I86" s="232"/>
      <c r="J86" s="232"/>
      <c r="K86" s="232"/>
      <c r="L86" s="218" t="s">
        <v>494</v>
      </c>
      <c r="M86" s="23"/>
      <c r="N86" s="222"/>
      <c r="O86" s="23"/>
      <c r="P86" s="23"/>
      <c r="Q86" s="222"/>
      <c r="R86" s="222"/>
      <c r="S86" s="222"/>
      <c r="T86" s="222"/>
      <c r="U86" s="222"/>
      <c r="V86" s="23"/>
      <c r="W86" s="220">
        <f>VLOOKUP(C86,'data base '!B:AA,26, )</f>
        <v>43747.1</v>
      </c>
      <c r="X86" s="220">
        <f>VLOOKUP(C86,'data base '!B:AD,27, )</f>
        <v>3582.11</v>
      </c>
      <c r="Y86" s="261"/>
      <c r="Z86" s="262"/>
      <c r="AA86" s="221">
        <f t="shared" si="1"/>
        <v>43747.1</v>
      </c>
      <c r="AB86" s="23"/>
      <c r="AC86" s="23"/>
      <c r="AD86" s="99"/>
    </row>
    <row r="87" spans="1:30" s="8" customFormat="1" x14ac:dyDescent="0.25">
      <c r="A87" s="215">
        <v>87</v>
      </c>
      <c r="B87" s="216" t="s">
        <v>493</v>
      </c>
      <c r="C87" s="217" t="str">
        <f>MEMBERS!B90</f>
        <v>HCFM-0649</v>
      </c>
      <c r="D87" s="217" t="str">
        <f>VLOOKUP(C87,MEMBERS!B:C,2, )</f>
        <v>IFTIKHAR SHAH</v>
      </c>
      <c r="E87" s="232"/>
      <c r="F87" s="232"/>
      <c r="G87" s="232"/>
      <c r="H87" s="232"/>
      <c r="I87" s="232"/>
      <c r="J87" s="232"/>
      <c r="K87" s="232"/>
      <c r="L87" s="218" t="s">
        <v>494</v>
      </c>
      <c r="M87" s="23"/>
      <c r="N87" s="222"/>
      <c r="O87" s="23"/>
      <c r="P87" s="23"/>
      <c r="Q87" s="222"/>
      <c r="R87" s="222"/>
      <c r="S87" s="222"/>
      <c r="T87" s="222"/>
      <c r="U87" s="222"/>
      <c r="V87" s="23"/>
      <c r="W87" s="220">
        <f>VLOOKUP(C87,'data base '!B:AA,26, )</f>
        <v>94630</v>
      </c>
      <c r="X87" s="220">
        <f>VLOOKUP(C87,'data base '!B:AD,27, )</f>
        <v>9463</v>
      </c>
      <c r="Y87" s="261"/>
      <c r="Z87" s="262"/>
      <c r="AA87" s="221">
        <f t="shared" si="1"/>
        <v>94630</v>
      </c>
      <c r="AB87" s="23" t="s">
        <v>755</v>
      </c>
      <c r="AC87" s="23"/>
      <c r="AD87" s="99"/>
    </row>
    <row r="88" spans="1:30" s="8" customFormat="1" ht="15.75" customHeight="1" x14ac:dyDescent="0.25">
      <c r="A88" s="215">
        <v>88</v>
      </c>
      <c r="B88" s="216" t="s">
        <v>493</v>
      </c>
      <c r="C88" s="217" t="str">
        <f>MEMBERS!B91</f>
        <v>HCFM-0650</v>
      </c>
      <c r="D88" s="217" t="str">
        <f>VLOOKUP(C88,MEMBERS!B:C,2, )</f>
        <v>KHURRAM FIRDOUS</v>
      </c>
      <c r="E88" s="232"/>
      <c r="F88" s="232"/>
      <c r="G88" s="232"/>
      <c r="H88" s="232"/>
      <c r="I88" s="232"/>
      <c r="J88" s="232"/>
      <c r="K88" s="232"/>
      <c r="L88" s="234" t="s">
        <v>494</v>
      </c>
      <c r="M88" s="100"/>
      <c r="N88" s="235"/>
      <c r="O88" s="100"/>
      <c r="P88" s="100"/>
      <c r="Q88" s="235"/>
      <c r="R88" s="235"/>
      <c r="S88" s="235"/>
      <c r="T88" s="235"/>
      <c r="U88" s="235"/>
      <c r="V88" s="100"/>
      <c r="W88" s="220">
        <f>VLOOKUP(C88,'data base '!B:AA,26, )</f>
        <v>36072.5</v>
      </c>
      <c r="X88" s="220">
        <f>VLOOKUP(C88,'data base '!B:AD,27, )</f>
        <v>3398.75</v>
      </c>
      <c r="Y88" s="261"/>
      <c r="Z88" s="262"/>
      <c r="AA88" s="221">
        <f t="shared" si="1"/>
        <v>36072.5</v>
      </c>
      <c r="AB88" s="100"/>
      <c r="AC88" s="100"/>
      <c r="AD88" s="101"/>
    </row>
    <row r="89" spans="1:30" s="8" customFormat="1" ht="15.75" customHeight="1" x14ac:dyDescent="0.25">
      <c r="A89" s="215">
        <v>89</v>
      </c>
      <c r="B89" s="216" t="s">
        <v>493</v>
      </c>
      <c r="C89" s="217" t="str">
        <f>MEMBERS!B92</f>
        <v>HCFM-0651</v>
      </c>
      <c r="D89" s="217" t="str">
        <f>VLOOKUP(C89,MEMBERS!B:C,2, )</f>
        <v>ALI LEGHARI</v>
      </c>
      <c r="E89" s="23"/>
      <c r="F89" s="23"/>
      <c r="G89" s="23"/>
      <c r="H89" s="23"/>
      <c r="I89" s="23"/>
      <c r="J89" s="23"/>
      <c r="K89" s="23"/>
      <c r="L89" s="23"/>
      <c r="M89" s="23"/>
      <c r="N89" s="222"/>
      <c r="O89" s="23"/>
      <c r="P89" s="23"/>
      <c r="Q89" s="222"/>
      <c r="R89" s="222"/>
      <c r="S89" s="222"/>
      <c r="T89" s="222"/>
      <c r="U89" s="222"/>
      <c r="V89" s="23"/>
      <c r="W89" s="220">
        <f>VLOOKUP(C89,'data base '!B:AA,26, )</f>
        <v>564057.5</v>
      </c>
      <c r="X89" s="220">
        <f>VLOOKUP(C89,'data base '!B:AD,27, )</f>
        <v>56405.75</v>
      </c>
      <c r="Y89" s="261"/>
      <c r="Z89" s="262"/>
      <c r="AA89" s="221">
        <f t="shared" si="1"/>
        <v>564057.5</v>
      </c>
      <c r="AB89" s="23"/>
      <c r="AC89" s="23"/>
      <c r="AD89" s="99"/>
    </row>
    <row r="90" spans="1:30" s="8" customFormat="1" ht="15.75" customHeight="1" x14ac:dyDescent="0.25">
      <c r="A90" s="215">
        <v>90</v>
      </c>
      <c r="B90" s="216" t="s">
        <v>493</v>
      </c>
      <c r="C90" s="217" t="str">
        <f>MEMBERS!B93</f>
        <v>HCFM-0652</v>
      </c>
      <c r="D90" s="217" t="str">
        <f>VLOOKUP(C90,MEMBERS!B:C,2, )</f>
        <v>Dr. AZAD ALI</v>
      </c>
      <c r="E90" s="23"/>
      <c r="F90" s="23"/>
      <c r="G90" s="23"/>
      <c r="H90" s="23"/>
      <c r="I90" s="23"/>
      <c r="J90" s="23"/>
      <c r="K90" s="23"/>
      <c r="L90" s="23"/>
      <c r="M90" s="23"/>
      <c r="N90" s="222"/>
      <c r="O90" s="23"/>
      <c r="P90" s="23"/>
      <c r="Q90" s="222"/>
      <c r="R90" s="222"/>
      <c r="S90" s="222"/>
      <c r="T90" s="222"/>
      <c r="U90" s="222"/>
      <c r="V90" s="23"/>
      <c r="W90" s="220">
        <f>VLOOKUP(C90,'data base '!B:AA,26, )</f>
        <v>38471</v>
      </c>
      <c r="X90" s="220">
        <f>VLOOKUP(C90,'data base '!B:AD,27, )</f>
        <v>700</v>
      </c>
      <c r="Y90" s="261"/>
      <c r="Z90" s="262"/>
      <c r="AA90" s="221">
        <f t="shared" si="1"/>
        <v>38471</v>
      </c>
      <c r="AB90" s="23"/>
      <c r="AC90" s="23"/>
      <c r="AD90" s="99"/>
    </row>
    <row r="91" spans="1:30" s="8" customFormat="1" ht="15.75" customHeight="1" x14ac:dyDescent="0.25">
      <c r="A91" s="215">
        <v>91</v>
      </c>
      <c r="B91" s="216" t="s">
        <v>493</v>
      </c>
      <c r="C91" s="217" t="str">
        <f>MEMBERS!B94</f>
        <v>HCFM-0653</v>
      </c>
      <c r="D91" s="217" t="str">
        <f>VLOOKUP(C91,MEMBERS!B:C,2, )</f>
        <v>AMEER MUHAMMAD</v>
      </c>
      <c r="E91" s="23"/>
      <c r="F91" s="23"/>
      <c r="G91" s="23"/>
      <c r="H91" s="23"/>
      <c r="I91" s="23"/>
      <c r="J91" s="23"/>
      <c r="K91" s="23"/>
      <c r="L91" s="23"/>
      <c r="M91" s="23"/>
      <c r="N91" s="222"/>
      <c r="O91" s="23"/>
      <c r="P91" s="23"/>
      <c r="Q91" s="222"/>
      <c r="R91" s="222"/>
      <c r="S91" s="222"/>
      <c r="T91" s="222"/>
      <c r="U91" s="222"/>
      <c r="V91" s="23"/>
      <c r="W91" s="220">
        <f>VLOOKUP(C91,'data base '!B:AA,26, )</f>
        <v>7000</v>
      </c>
      <c r="X91" s="220">
        <f>VLOOKUP(C91,'data base '!B:AD,27, )</f>
        <v>700</v>
      </c>
      <c r="Y91" s="261"/>
      <c r="Z91" s="262"/>
      <c r="AA91" s="221">
        <f t="shared" si="1"/>
        <v>7000</v>
      </c>
      <c r="AB91" s="23"/>
      <c r="AC91" s="23"/>
      <c r="AD91" s="99"/>
    </row>
    <row r="92" spans="1:30" s="8" customFormat="1" ht="15.75" customHeight="1" x14ac:dyDescent="0.25">
      <c r="A92" s="215">
        <v>92</v>
      </c>
      <c r="B92" s="216" t="s">
        <v>493</v>
      </c>
      <c r="C92" s="217" t="str">
        <f>MEMBERS!B95</f>
        <v>HCFM-0654</v>
      </c>
      <c r="D92" s="217" t="str">
        <f>VLOOKUP(C92,MEMBERS!B:C,2, )</f>
        <v>SYED JIBRAN MUSHTAQ</v>
      </c>
      <c r="E92" s="23"/>
      <c r="F92" s="23"/>
      <c r="G92" s="23"/>
      <c r="H92" s="23"/>
      <c r="I92" s="23"/>
      <c r="J92" s="23"/>
      <c r="K92" s="23"/>
      <c r="L92" s="23"/>
      <c r="M92" s="23"/>
      <c r="N92" s="222"/>
      <c r="O92" s="23"/>
      <c r="P92" s="23"/>
      <c r="Q92" s="222"/>
      <c r="R92" s="222"/>
      <c r="S92" s="222"/>
      <c r="T92" s="222"/>
      <c r="U92" s="222"/>
      <c r="V92" s="23"/>
      <c r="W92" s="220">
        <f>VLOOKUP(C92,'data base '!B:AA,26, )</f>
        <v>60375.5</v>
      </c>
      <c r="X92" s="220">
        <f>VLOOKUP(C92,'data base '!B:AD,27, )</f>
        <v>6037.55</v>
      </c>
      <c r="Y92" s="261"/>
      <c r="Z92" s="262"/>
      <c r="AA92" s="221">
        <f t="shared" si="1"/>
        <v>60375.5</v>
      </c>
      <c r="AB92" s="23"/>
      <c r="AC92" s="23"/>
      <c r="AD92" s="99"/>
    </row>
    <row r="93" spans="1:30" s="8" customFormat="1" ht="15.75" customHeight="1" x14ac:dyDescent="0.25">
      <c r="A93" s="215">
        <v>93</v>
      </c>
      <c r="B93" s="216" t="s">
        <v>493</v>
      </c>
      <c r="C93" s="217" t="str">
        <f>MEMBERS!B96</f>
        <v>HCFM-0655</v>
      </c>
      <c r="D93" s="217" t="str">
        <f>VLOOKUP(C93,MEMBERS!B:C,2, )</f>
        <v>SADDAM HUSSAIN</v>
      </c>
      <c r="E93" s="23"/>
      <c r="F93" s="23"/>
      <c r="G93" s="23"/>
      <c r="H93" s="23"/>
      <c r="I93" s="23"/>
      <c r="J93" s="23"/>
      <c r="K93" s="23"/>
      <c r="L93" s="23"/>
      <c r="M93" s="23"/>
      <c r="N93" s="222"/>
      <c r="O93" s="23"/>
      <c r="P93" s="23"/>
      <c r="Q93" s="222"/>
      <c r="R93" s="222"/>
      <c r="S93" s="222"/>
      <c r="T93" s="222"/>
      <c r="U93" s="222"/>
      <c r="V93" s="23"/>
      <c r="W93" s="220">
        <f>VLOOKUP(C93,'data base '!B:AA,26, )</f>
        <v>12015</v>
      </c>
      <c r="X93" s="220">
        <f>VLOOKUP(C93,'data base '!B:AD,27, )</f>
        <v>1201.5</v>
      </c>
      <c r="Y93" s="261"/>
      <c r="Z93" s="262"/>
      <c r="AA93" s="221">
        <f t="shared" si="1"/>
        <v>12015</v>
      </c>
      <c r="AB93" s="23"/>
      <c r="AC93" s="23"/>
      <c r="AD93" s="99"/>
    </row>
    <row r="94" spans="1:30" s="8" customFormat="1" ht="15.75" customHeight="1" x14ac:dyDescent="0.25">
      <c r="A94" s="215">
        <v>94</v>
      </c>
      <c r="B94" s="216" t="s">
        <v>493</v>
      </c>
      <c r="C94" s="217" t="str">
        <f>MEMBERS!B97</f>
        <v>HCFM-0656</v>
      </c>
      <c r="D94" s="217" t="str">
        <f>VLOOKUP(C94,MEMBERS!B:C,2, )</f>
        <v>ZAIB UR REHMAN</v>
      </c>
      <c r="E94" s="23"/>
      <c r="F94" s="23"/>
      <c r="G94" s="23"/>
      <c r="H94" s="23"/>
      <c r="I94" s="23"/>
      <c r="J94" s="23"/>
      <c r="K94" s="23"/>
      <c r="L94" s="23"/>
      <c r="M94" s="23"/>
      <c r="N94" s="222"/>
      <c r="O94" s="23"/>
      <c r="P94" s="23"/>
      <c r="Q94" s="222"/>
      <c r="R94" s="222"/>
      <c r="S94" s="222"/>
      <c r="T94" s="222"/>
      <c r="U94" s="222"/>
      <c r="V94" s="23"/>
      <c r="W94" s="220">
        <f>VLOOKUP(C94,'data base '!B:AA,26, )</f>
        <v>17775.5</v>
      </c>
      <c r="X94" s="220">
        <f>VLOOKUP(C94,'data base '!B:AD,27, )</f>
        <v>1777.5500000000002</v>
      </c>
      <c r="Y94" s="261"/>
      <c r="Z94" s="262"/>
      <c r="AA94" s="221">
        <f t="shared" si="1"/>
        <v>17775.5</v>
      </c>
      <c r="AB94" s="23"/>
      <c r="AC94" s="23"/>
      <c r="AD94" s="99"/>
    </row>
    <row r="95" spans="1:30" s="8" customFormat="1" ht="15.75" customHeight="1" x14ac:dyDescent="0.25">
      <c r="A95" s="215">
        <v>95</v>
      </c>
      <c r="B95" s="216" t="s">
        <v>493</v>
      </c>
      <c r="C95" s="217" t="str">
        <f>MEMBERS!B98</f>
        <v>HCFM-0657</v>
      </c>
      <c r="D95" s="217" t="str">
        <f>VLOOKUP(C95,MEMBERS!B:C,2, )</f>
        <v>NASIR ABBAS</v>
      </c>
      <c r="E95" s="23"/>
      <c r="F95" s="23"/>
      <c r="G95" s="23"/>
      <c r="H95" s="23"/>
      <c r="I95" s="23"/>
      <c r="J95" s="23"/>
      <c r="K95" s="23"/>
      <c r="L95" s="23"/>
      <c r="M95" s="23"/>
      <c r="N95" s="222"/>
      <c r="O95" s="23"/>
      <c r="P95" s="23"/>
      <c r="Q95" s="222"/>
      <c r="R95" s="222"/>
      <c r="S95" s="222"/>
      <c r="T95" s="222"/>
      <c r="U95" s="222"/>
      <c r="V95" s="23"/>
      <c r="W95" s="220">
        <f>VLOOKUP(C95,'data base '!B:AA,26, )</f>
        <v>76797.5</v>
      </c>
      <c r="X95" s="220">
        <f>VLOOKUP(C95,'data base '!B:AD,27, )</f>
        <v>7679.75</v>
      </c>
      <c r="Y95" s="261"/>
      <c r="Z95" s="262"/>
      <c r="AA95" s="221">
        <f t="shared" si="1"/>
        <v>76797.5</v>
      </c>
      <c r="AB95" s="23"/>
      <c r="AC95" s="23"/>
      <c r="AD95" s="99"/>
    </row>
    <row r="96" spans="1:30" s="8" customFormat="1" ht="15.75" customHeight="1" x14ac:dyDescent="0.25">
      <c r="A96" s="215">
        <v>96</v>
      </c>
      <c r="B96" s="216" t="s">
        <v>493</v>
      </c>
      <c r="C96" s="217" t="str">
        <f>MEMBERS!B99</f>
        <v>HCFM-0658</v>
      </c>
      <c r="D96" s="217" t="str">
        <f>VLOOKUP(C96,MEMBERS!B:C,2, )</f>
        <v>MUSHTAQ AHMED MEMON</v>
      </c>
      <c r="E96" s="23"/>
      <c r="F96" s="23"/>
      <c r="G96" s="23"/>
      <c r="H96" s="23"/>
      <c r="I96" s="23"/>
      <c r="J96" s="23"/>
      <c r="K96" s="23"/>
      <c r="L96" s="23"/>
      <c r="M96" s="23"/>
      <c r="N96" s="222"/>
      <c r="O96" s="23"/>
      <c r="P96" s="23"/>
      <c r="Q96" s="222"/>
      <c r="R96" s="222"/>
      <c r="S96" s="222"/>
      <c r="T96" s="222"/>
      <c r="U96" s="222"/>
      <c r="V96" s="23"/>
      <c r="W96" s="220">
        <f>VLOOKUP(C96,'data base '!B:AA,26, )</f>
        <v>67000</v>
      </c>
      <c r="X96" s="220">
        <f>VLOOKUP(C96,'data base '!B:AD,27, )</f>
        <v>700</v>
      </c>
      <c r="Y96" s="261"/>
      <c r="Z96" s="262"/>
      <c r="AA96" s="221">
        <f t="shared" si="1"/>
        <v>67000</v>
      </c>
      <c r="AB96" s="23"/>
      <c r="AC96" s="23"/>
      <c r="AD96" s="99"/>
    </row>
    <row r="97" spans="1:30" s="8" customFormat="1" ht="15.75" customHeight="1" x14ac:dyDescent="0.25">
      <c r="A97" s="215">
        <v>97</v>
      </c>
      <c r="B97" s="216" t="s">
        <v>493</v>
      </c>
      <c r="C97" s="217" t="str">
        <f>MEMBERS!B100</f>
        <v>HCFM-0659</v>
      </c>
      <c r="D97" s="217" t="str">
        <f>VLOOKUP(C97,MEMBERS!B:C,2, )</f>
        <v>Heritage club</v>
      </c>
      <c r="E97" s="23"/>
      <c r="F97" s="23"/>
      <c r="G97" s="23"/>
      <c r="H97" s="23"/>
      <c r="I97" s="23"/>
      <c r="J97" s="23"/>
      <c r="K97" s="23"/>
      <c r="L97" s="23"/>
      <c r="M97" s="23"/>
      <c r="N97" s="222"/>
      <c r="O97" s="23"/>
      <c r="P97" s="23"/>
      <c r="Q97" s="222"/>
      <c r="R97" s="222"/>
      <c r="S97" s="222"/>
      <c r="T97" s="222"/>
      <c r="U97" s="222"/>
      <c r="V97" s="23"/>
      <c r="W97" s="220">
        <f>VLOOKUP(C97,'data base '!B:AA,26, )</f>
        <v>4078338.75</v>
      </c>
      <c r="X97" s="220">
        <f>VLOOKUP(C97,'data base '!B:AD,27, )</f>
        <v>407833.875</v>
      </c>
      <c r="Y97" s="261">
        <f>9292+12000+2220000+1522240</f>
        <v>3763532</v>
      </c>
      <c r="Z97" s="262"/>
      <c r="AA97" s="221">
        <f t="shared" si="1"/>
        <v>314806.75</v>
      </c>
      <c r="AB97" s="23"/>
      <c r="AC97" s="23"/>
      <c r="AD97" s="99"/>
    </row>
    <row r="98" spans="1:30" s="8" customFormat="1" ht="15.75" customHeight="1" x14ac:dyDescent="0.25">
      <c r="A98" s="215">
        <v>98</v>
      </c>
      <c r="B98" s="216" t="s">
        <v>493</v>
      </c>
      <c r="C98" s="217" t="str">
        <f>MEMBERS!B101</f>
        <v>HCFM-0661</v>
      </c>
      <c r="D98" s="217" t="str">
        <f>VLOOKUP(C98,MEMBERS!B:C,2, )</f>
        <v xml:space="preserve">ARSLAN KHAN ABRO </v>
      </c>
      <c r="E98" s="23"/>
      <c r="F98" s="23"/>
      <c r="G98" s="23"/>
      <c r="H98" s="23"/>
      <c r="I98" s="23"/>
      <c r="J98" s="23"/>
      <c r="K98" s="23"/>
      <c r="L98" s="23"/>
      <c r="M98" s="23"/>
      <c r="N98" s="222"/>
      <c r="O98" s="23"/>
      <c r="P98" s="23"/>
      <c r="Q98" s="222"/>
      <c r="R98" s="222"/>
      <c r="S98" s="222"/>
      <c r="T98" s="222"/>
      <c r="U98" s="222"/>
      <c r="V98" s="23"/>
      <c r="W98" s="220">
        <f>VLOOKUP(C98,'data base '!B:AA,26, )</f>
        <v>43838.75</v>
      </c>
      <c r="X98" s="220">
        <f>VLOOKUP(C98,'data base '!B:AD,27, )</f>
        <v>1323.875</v>
      </c>
      <c r="Y98" s="261"/>
      <c r="Z98" s="262"/>
      <c r="AA98" s="221">
        <f t="shared" si="1"/>
        <v>43838.75</v>
      </c>
      <c r="AB98" s="23"/>
      <c r="AC98" s="23"/>
      <c r="AD98" s="99"/>
    </row>
    <row r="99" spans="1:30" s="9" customFormat="1" x14ac:dyDescent="0.25">
      <c r="A99" s="215">
        <v>99</v>
      </c>
      <c r="B99" s="216" t="s">
        <v>493</v>
      </c>
      <c r="C99" s="217" t="str">
        <f>MEMBERS!B102</f>
        <v>HCFM-0663</v>
      </c>
      <c r="D99" s="217" t="str">
        <f>VLOOKUP(C99,MEMBERS!B:C,2, )</f>
        <v xml:space="preserve">JAM FEROZ </v>
      </c>
      <c r="E99" s="23"/>
      <c r="F99" s="23"/>
      <c r="G99" s="23"/>
      <c r="H99" s="23"/>
      <c r="I99" s="23"/>
      <c r="J99" s="23"/>
      <c r="K99" s="23"/>
      <c r="L99" s="23"/>
      <c r="M99" s="23"/>
      <c r="N99" s="222"/>
      <c r="O99" s="23"/>
      <c r="P99" s="23"/>
      <c r="Q99" s="222"/>
      <c r="R99" s="222"/>
      <c r="S99" s="222"/>
      <c r="T99" s="222"/>
      <c r="U99" s="222"/>
      <c r="V99" s="23"/>
      <c r="W99" s="220">
        <f>VLOOKUP(C99,'data base '!B:AA,26, )</f>
        <v>47882.5</v>
      </c>
      <c r="X99" s="220">
        <f>VLOOKUP(C99,'data base '!B:AD,27, )</f>
        <v>4788.25</v>
      </c>
      <c r="Y99" s="261"/>
      <c r="Z99" s="262"/>
      <c r="AA99" s="221">
        <f t="shared" si="1"/>
        <v>47882.5</v>
      </c>
      <c r="AB99" s="23"/>
      <c r="AC99" s="23"/>
      <c r="AD99" s="99"/>
    </row>
    <row r="100" spans="1:30" s="9" customFormat="1" x14ac:dyDescent="0.25">
      <c r="A100" s="215">
        <v>100</v>
      </c>
      <c r="B100" s="216" t="s">
        <v>493</v>
      </c>
      <c r="C100" s="217" t="str">
        <f>MEMBERS!B103</f>
        <v>HCFM-0664</v>
      </c>
      <c r="D100" s="217" t="str">
        <f>VLOOKUP(C100,MEMBERS!B:C,2, )</f>
        <v>SHAHBAZ AHMED</v>
      </c>
      <c r="E100" s="23"/>
      <c r="F100" s="23"/>
      <c r="G100" s="23"/>
      <c r="H100" s="23"/>
      <c r="I100" s="23"/>
      <c r="J100" s="23"/>
      <c r="K100" s="23"/>
      <c r="L100" s="23"/>
      <c r="M100" s="23"/>
      <c r="N100" s="222"/>
      <c r="O100" s="23"/>
      <c r="P100" s="23"/>
      <c r="Q100" s="222"/>
      <c r="R100" s="222"/>
      <c r="S100" s="222"/>
      <c r="T100" s="222"/>
      <c r="U100" s="222"/>
      <c r="V100" s="23"/>
      <c r="W100" s="220">
        <f>VLOOKUP(C100,'data base '!B:AA,26, )</f>
        <v>62951.35</v>
      </c>
      <c r="X100" s="220">
        <f>VLOOKUP(C100,'data base '!B:AD,27, )</f>
        <v>6295.1350000000002</v>
      </c>
      <c r="Y100" s="261"/>
      <c r="Z100" s="262"/>
      <c r="AA100" s="227">
        <f t="shared" si="1"/>
        <v>62951.35</v>
      </c>
      <c r="AB100" s="23"/>
      <c r="AC100" s="23"/>
      <c r="AD100" s="99"/>
    </row>
    <row r="101" spans="1:30" s="9" customFormat="1" x14ac:dyDescent="0.25">
      <c r="A101" s="215">
        <v>101</v>
      </c>
      <c r="B101" s="216" t="s">
        <v>493</v>
      </c>
      <c r="C101" s="217" t="str">
        <f>MEMBERS!B104</f>
        <v>HCFM-0665</v>
      </c>
      <c r="D101" s="217" t="str">
        <f>VLOOKUP(C101,MEMBERS!B:C,2, )</f>
        <v>KAZI NAZEER AHMED</v>
      </c>
      <c r="E101" s="23"/>
      <c r="F101" s="23"/>
      <c r="G101" s="23"/>
      <c r="H101" s="23"/>
      <c r="I101" s="23"/>
      <c r="J101" s="23"/>
      <c r="K101" s="23"/>
      <c r="L101" s="23"/>
      <c r="M101" s="23"/>
      <c r="N101" s="222"/>
      <c r="O101" s="23"/>
      <c r="P101" s="23"/>
      <c r="Q101" s="222"/>
      <c r="R101" s="222"/>
      <c r="S101" s="222"/>
      <c r="T101" s="222"/>
      <c r="U101" s="222"/>
      <c r="V101" s="23"/>
      <c r="W101" s="220">
        <f>VLOOKUP(C101,'data base '!B:AA,26, )</f>
        <v>7000</v>
      </c>
      <c r="X101" s="220">
        <f>VLOOKUP(C101,'data base '!B:AD,27, )</f>
        <v>700</v>
      </c>
      <c r="Y101" s="261"/>
      <c r="Z101" s="262"/>
      <c r="AA101" s="221">
        <f t="shared" si="1"/>
        <v>7000</v>
      </c>
      <c r="AB101" s="23"/>
      <c r="AC101" s="23"/>
      <c r="AD101" s="99"/>
    </row>
    <row r="102" spans="1:30" s="9" customFormat="1" x14ac:dyDescent="0.25">
      <c r="A102" s="215">
        <v>102</v>
      </c>
      <c r="B102" s="216"/>
      <c r="C102" s="217" t="str">
        <f>MEMBERS!B105</f>
        <v>HCFM-0666</v>
      </c>
      <c r="D102" s="217" t="str">
        <f>VLOOKUP(C102,MEMBERS!B:C,2, )</f>
        <v>MR FAHAD MUMTAZ</v>
      </c>
      <c r="E102" s="23"/>
      <c r="F102" s="23"/>
      <c r="G102" s="23"/>
      <c r="H102" s="23"/>
      <c r="I102" s="23"/>
      <c r="J102" s="23"/>
      <c r="K102" s="23"/>
      <c r="L102" s="23"/>
      <c r="M102" s="23"/>
      <c r="N102" s="222"/>
      <c r="O102" s="23"/>
      <c r="P102" s="23"/>
      <c r="Q102" s="222"/>
      <c r="R102" s="222"/>
      <c r="S102" s="222"/>
      <c r="T102" s="222"/>
      <c r="U102" s="222"/>
      <c r="V102" s="23"/>
      <c r="W102" s="220">
        <f>VLOOKUP(C102,'data base '!B:AA,26, )</f>
        <v>7000</v>
      </c>
      <c r="X102" s="220">
        <f>VLOOKUP(C102,'data base '!B:AD,27, )</f>
        <v>700</v>
      </c>
      <c r="Y102" s="261"/>
      <c r="Z102" s="262"/>
      <c r="AA102" s="221">
        <f t="shared" si="1"/>
        <v>7000</v>
      </c>
      <c r="AB102" s="23"/>
      <c r="AC102" s="23"/>
      <c r="AD102" s="99"/>
    </row>
    <row r="103" spans="1:30" s="9" customFormat="1" x14ac:dyDescent="0.25">
      <c r="A103" s="215">
        <v>103</v>
      </c>
      <c r="B103" s="216"/>
      <c r="C103" s="217" t="str">
        <f>MEMBERS!B106</f>
        <v>HCFM-0667</v>
      </c>
      <c r="D103" s="217" t="str">
        <f>VLOOKUP(C103,MEMBERS!B:C,2, )</f>
        <v>MR. FAYAZ ALI SOOMRO</v>
      </c>
      <c r="E103" s="23"/>
      <c r="F103" s="23"/>
      <c r="G103" s="23"/>
      <c r="H103" s="23"/>
      <c r="I103" s="23"/>
      <c r="J103" s="23"/>
      <c r="K103" s="23"/>
      <c r="L103" s="23"/>
      <c r="M103" s="23"/>
      <c r="N103" s="222"/>
      <c r="O103" s="23"/>
      <c r="P103" s="23"/>
      <c r="Q103" s="222"/>
      <c r="R103" s="222"/>
      <c r="S103" s="222"/>
      <c r="T103" s="222"/>
      <c r="U103" s="222"/>
      <c r="V103" s="23"/>
      <c r="W103" s="220">
        <f>VLOOKUP(C103,'data base '!B:AA,26, )</f>
        <v>17591.349999999999</v>
      </c>
      <c r="X103" s="220">
        <f>VLOOKUP(C103,'data base '!B:AD,27, )</f>
        <v>1759.135</v>
      </c>
      <c r="Y103" s="261"/>
      <c r="Z103" s="262"/>
      <c r="AA103" s="221">
        <f t="shared" si="1"/>
        <v>17591.349999999999</v>
      </c>
      <c r="AB103" s="23"/>
      <c r="AC103" s="23"/>
      <c r="AD103" s="99"/>
    </row>
    <row r="104" spans="1:30" s="9" customFormat="1" x14ac:dyDescent="0.25">
      <c r="A104" s="215">
        <v>104</v>
      </c>
      <c r="B104" s="216"/>
      <c r="C104" s="217" t="str">
        <f>MEMBERS!B107</f>
        <v>HCFM-0668</v>
      </c>
      <c r="D104" s="217" t="str">
        <f>VLOOKUP(C104,MEMBERS!B:C,2, )</f>
        <v>MR. KASHIF SAEED</v>
      </c>
      <c r="E104" s="23"/>
      <c r="F104" s="23"/>
      <c r="G104" s="23"/>
      <c r="H104" s="23"/>
      <c r="I104" s="23"/>
      <c r="J104" s="23"/>
      <c r="K104" s="23"/>
      <c r="L104" s="23"/>
      <c r="M104" s="23"/>
      <c r="N104" s="222"/>
      <c r="O104" s="23"/>
      <c r="P104" s="23"/>
      <c r="Q104" s="222"/>
      <c r="R104" s="222"/>
      <c r="S104" s="222"/>
      <c r="T104" s="222"/>
      <c r="U104" s="222"/>
      <c r="V104" s="23"/>
      <c r="W104" s="220">
        <f>VLOOKUP(C104,'data base '!B:AA,26, )</f>
        <v>38660</v>
      </c>
      <c r="X104" s="220">
        <f>VLOOKUP(C104,'data base '!B:AD,27, )</f>
        <v>3866</v>
      </c>
      <c r="Y104" s="261"/>
      <c r="Z104" s="262"/>
      <c r="AA104" s="221">
        <f t="shared" si="1"/>
        <v>38660</v>
      </c>
      <c r="AB104" s="23"/>
      <c r="AC104" s="23"/>
      <c r="AD104" s="99"/>
    </row>
    <row r="105" spans="1:30" s="9" customFormat="1" x14ac:dyDescent="0.25">
      <c r="A105" s="215">
        <v>105</v>
      </c>
      <c r="B105" s="216"/>
      <c r="C105" s="217" t="str">
        <f>MEMBERS!B108</f>
        <v>HCFM-0669</v>
      </c>
      <c r="D105" s="217" t="str">
        <f>VLOOKUP(C105,MEMBERS!B:C,2, )</f>
        <v>MR . SYED RAHAT HUSSAIN ZAIDI</v>
      </c>
      <c r="E105" s="23"/>
      <c r="F105" s="23"/>
      <c r="G105" s="23"/>
      <c r="H105" s="23"/>
      <c r="I105" s="23"/>
      <c r="J105" s="23"/>
      <c r="K105" s="23"/>
      <c r="L105" s="23"/>
      <c r="M105" s="23"/>
      <c r="N105" s="222"/>
      <c r="O105" s="23"/>
      <c r="P105" s="23"/>
      <c r="Q105" s="222"/>
      <c r="R105" s="222"/>
      <c r="S105" s="222"/>
      <c r="T105" s="222"/>
      <c r="U105" s="222"/>
      <c r="V105" s="23"/>
      <c r="W105" s="220">
        <f>VLOOKUP(C105,'data base '!B:AA,26, )</f>
        <v>106037.5</v>
      </c>
      <c r="X105" s="220">
        <f>VLOOKUP(C105,'data base '!B:AD,27, )</f>
        <v>10603.75</v>
      </c>
      <c r="Y105" s="261"/>
      <c r="Z105" s="262"/>
      <c r="AA105" s="221">
        <f t="shared" si="1"/>
        <v>106037.5</v>
      </c>
      <c r="AB105" s="23"/>
      <c r="AC105" s="23"/>
      <c r="AD105" s="99"/>
    </row>
    <row r="106" spans="1:30" s="9" customFormat="1" x14ac:dyDescent="0.25">
      <c r="A106" s="215">
        <v>106</v>
      </c>
      <c r="B106" s="216"/>
      <c r="C106" s="217" t="str">
        <f>MEMBERS!B109</f>
        <v>HCFM-0670</v>
      </c>
      <c r="D106" s="217" t="str">
        <f>VLOOKUP(C106,MEMBERS!B:C,2, )</f>
        <v>MR. TEHSEEN FAIZ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22"/>
      <c r="O106" s="23"/>
      <c r="P106" s="23"/>
      <c r="Q106" s="222"/>
      <c r="R106" s="222"/>
      <c r="S106" s="222"/>
      <c r="T106" s="222"/>
      <c r="U106" s="222"/>
      <c r="V106" s="23"/>
      <c r="W106" s="220">
        <f>VLOOKUP(C106,'data base '!B:AA,26, )</f>
        <v>54541.85</v>
      </c>
      <c r="X106" s="220">
        <f>VLOOKUP(C106,'data base '!B:AD,27, )</f>
        <v>3193.585</v>
      </c>
      <c r="Y106" s="261"/>
      <c r="Z106" s="262"/>
      <c r="AA106" s="221">
        <f t="shared" si="1"/>
        <v>54541.85</v>
      </c>
      <c r="AB106" s="23"/>
      <c r="AC106" s="23"/>
      <c r="AD106" s="99"/>
    </row>
    <row r="107" spans="1:30" s="147" customFormat="1" x14ac:dyDescent="0.25">
      <c r="A107" s="236">
        <v>107</v>
      </c>
      <c r="B107" s="216"/>
      <c r="C107" s="217" t="str">
        <f>MEMBERS!B110</f>
        <v>HCFM-0671</v>
      </c>
      <c r="D107" s="217" t="str">
        <f>VLOOKUP(C107,MEMBERS!B:C,2, )</f>
        <v>MRS. HASSAN RAFI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22"/>
      <c r="O107" s="23"/>
      <c r="P107" s="23"/>
      <c r="Q107" s="222"/>
      <c r="R107" s="222"/>
      <c r="S107" s="222"/>
      <c r="T107" s="222"/>
      <c r="U107" s="222"/>
      <c r="V107" s="23"/>
      <c r="W107" s="220">
        <f>VLOOKUP(C107,'data base '!B:AA,26, )</f>
        <v>0</v>
      </c>
      <c r="X107" s="220">
        <f>VLOOKUP(C107,'data base '!B:AD,27, )</f>
        <v>0</v>
      </c>
      <c r="Y107" s="261"/>
      <c r="Z107" s="262"/>
      <c r="AA107" s="237">
        <f t="shared" si="1"/>
        <v>0</v>
      </c>
      <c r="AB107" s="145"/>
      <c r="AC107" s="145"/>
      <c r="AD107" s="146"/>
    </row>
    <row r="108" spans="1:30" s="9" customFormat="1" x14ac:dyDescent="0.25">
      <c r="A108" s="215">
        <v>108</v>
      </c>
      <c r="B108" s="216"/>
      <c r="C108" s="217" t="str">
        <f>MEMBERS!B111</f>
        <v>HCFM-0672</v>
      </c>
      <c r="D108" s="217" t="str">
        <f>VLOOKUP(C108,MEMBERS!B:C,2, )</f>
        <v>MRS RIFFAT ZULFIQAR</v>
      </c>
      <c r="E108" s="23"/>
      <c r="F108" s="23"/>
      <c r="G108" s="23"/>
      <c r="H108" s="23"/>
      <c r="I108" s="23"/>
      <c r="J108" s="23"/>
      <c r="K108" s="23"/>
      <c r="L108" s="23"/>
      <c r="M108" s="23"/>
      <c r="N108" s="222"/>
      <c r="O108" s="23"/>
      <c r="P108" s="23"/>
      <c r="Q108" s="222"/>
      <c r="R108" s="222"/>
      <c r="S108" s="222"/>
      <c r="T108" s="222"/>
      <c r="U108" s="222"/>
      <c r="V108" s="23"/>
      <c r="W108" s="220">
        <f>VLOOKUP(C108,'data base '!B:AA,26, )</f>
        <v>95672</v>
      </c>
      <c r="X108" s="220">
        <f>VLOOKUP(C108,'data base '!B:AD,27, )</f>
        <v>9567.2000000000007</v>
      </c>
      <c r="Y108" s="261"/>
      <c r="Z108" s="262"/>
      <c r="AA108" s="221">
        <f t="shared" si="1"/>
        <v>95672</v>
      </c>
      <c r="AB108" s="23"/>
      <c r="AC108" s="23"/>
      <c r="AD108" s="99"/>
    </row>
    <row r="109" spans="1:30" s="9" customFormat="1" x14ac:dyDescent="0.25">
      <c r="A109" s="215">
        <v>109</v>
      </c>
      <c r="B109" s="216"/>
      <c r="C109" s="217" t="str">
        <f>MEMBERS!B112</f>
        <v>HCFM-0673</v>
      </c>
      <c r="D109" s="217" t="str">
        <f>VLOOKUP(C109,MEMBERS!B:C,2, )</f>
        <v>MR. AKSHAY RAJ</v>
      </c>
      <c r="E109" s="23"/>
      <c r="F109" s="23"/>
      <c r="G109" s="23"/>
      <c r="H109" s="23"/>
      <c r="I109" s="23"/>
      <c r="J109" s="23"/>
      <c r="K109" s="23"/>
      <c r="L109" s="23"/>
      <c r="M109" s="23"/>
      <c r="N109" s="222"/>
      <c r="O109" s="23"/>
      <c r="P109" s="23"/>
      <c r="Q109" s="222"/>
      <c r="R109" s="222"/>
      <c r="S109" s="222"/>
      <c r="T109" s="222"/>
      <c r="U109" s="222"/>
      <c r="V109" s="23"/>
      <c r="W109" s="220">
        <f>VLOOKUP(C109,'data base '!B:AA,26, )</f>
        <v>67682.5</v>
      </c>
      <c r="X109" s="220">
        <f>VLOOKUP(C109,'data base '!B:AD,27, )</f>
        <v>1223.25</v>
      </c>
      <c r="Y109" s="261"/>
      <c r="Z109" s="262"/>
      <c r="AA109" s="221">
        <f t="shared" si="1"/>
        <v>67682.5</v>
      </c>
      <c r="AB109" s="23"/>
      <c r="AC109" s="23"/>
      <c r="AD109" s="99"/>
    </row>
    <row r="110" spans="1:30" s="9" customFormat="1" x14ac:dyDescent="0.25">
      <c r="A110" s="215">
        <v>110</v>
      </c>
      <c r="B110" s="216"/>
      <c r="C110" s="217" t="str">
        <f>MEMBERS!B113</f>
        <v>HCFM-0674</v>
      </c>
      <c r="D110" s="217" t="str">
        <f>VLOOKUP(C110,MEMBERS!B:C,2, )</f>
        <v>MR. RAJESH KUMAR CHAWLA</v>
      </c>
      <c r="E110" s="23"/>
      <c r="F110" s="23"/>
      <c r="G110" s="23"/>
      <c r="H110" s="23"/>
      <c r="I110" s="23"/>
      <c r="J110" s="23"/>
      <c r="K110" s="23"/>
      <c r="L110" s="23"/>
      <c r="M110" s="23"/>
      <c r="N110" s="222"/>
      <c r="O110" s="23"/>
      <c r="P110" s="23"/>
      <c r="Q110" s="222"/>
      <c r="R110" s="222"/>
      <c r="S110" s="222"/>
      <c r="T110" s="222"/>
      <c r="U110" s="222"/>
      <c r="V110" s="23"/>
      <c r="W110" s="220">
        <f>VLOOKUP(C110,'data base '!B:AA,26, )</f>
        <v>21951</v>
      </c>
      <c r="X110" s="220">
        <f>VLOOKUP(C110,'data base '!B:AD,27, )</f>
        <v>838</v>
      </c>
      <c r="Y110" s="261"/>
      <c r="Z110" s="262"/>
      <c r="AA110" s="221">
        <f t="shared" si="1"/>
        <v>21951</v>
      </c>
      <c r="AB110" s="23"/>
      <c r="AC110" s="23"/>
      <c r="AD110" s="99"/>
    </row>
    <row r="111" spans="1:30" s="9" customFormat="1" x14ac:dyDescent="0.25">
      <c r="A111" s="215">
        <v>111</v>
      </c>
      <c r="B111" s="216"/>
      <c r="C111" s="217" t="str">
        <f>MEMBERS!B114</f>
        <v>HCFM-0676</v>
      </c>
      <c r="D111" s="217" t="str">
        <f>VLOOKUP(C111,MEMBERS!B:C,2, )</f>
        <v>MR. SAMEER MALIK</v>
      </c>
      <c r="E111" s="23"/>
      <c r="F111" s="23"/>
      <c r="G111" s="23"/>
      <c r="H111" s="23"/>
      <c r="I111" s="23"/>
      <c r="J111" s="23"/>
      <c r="K111" s="23"/>
      <c r="L111" s="23"/>
      <c r="M111" s="23"/>
      <c r="N111" s="222"/>
      <c r="O111" s="23"/>
      <c r="P111" s="23"/>
      <c r="Q111" s="222"/>
      <c r="R111" s="222"/>
      <c r="S111" s="222"/>
      <c r="T111" s="222"/>
      <c r="U111" s="222"/>
      <c r="V111" s="23"/>
      <c r="W111" s="220">
        <f>VLOOKUP(C111,'data base '!B:AA,26, )</f>
        <v>67000</v>
      </c>
      <c r="X111" s="220">
        <f>VLOOKUP(C111,'data base '!B:AD,27, )</f>
        <v>700</v>
      </c>
      <c r="Y111" s="261"/>
      <c r="Z111" s="262"/>
      <c r="AA111" s="221">
        <f t="shared" si="1"/>
        <v>67000</v>
      </c>
      <c r="AB111" s="23"/>
      <c r="AC111" s="23"/>
      <c r="AD111" s="99"/>
    </row>
    <row r="112" spans="1:30" s="9" customFormat="1" x14ac:dyDescent="0.25">
      <c r="A112" s="215">
        <v>112</v>
      </c>
      <c r="B112" s="216"/>
      <c r="C112" s="217" t="str">
        <f>MEMBERS!B115</f>
        <v>HCFM-0677</v>
      </c>
      <c r="D112" s="217" t="str">
        <f>VLOOKUP(C112,MEMBERS!B:C,2, )</f>
        <v>MR. MUNAWAR HUSSAIN</v>
      </c>
      <c r="E112" s="23"/>
      <c r="F112" s="23"/>
      <c r="G112" s="23"/>
      <c r="H112" s="23"/>
      <c r="I112" s="23"/>
      <c r="J112" s="23"/>
      <c r="K112" s="23"/>
      <c r="L112" s="23"/>
      <c r="M112" s="23"/>
      <c r="N112" s="222"/>
      <c r="O112" s="23"/>
      <c r="P112" s="23"/>
      <c r="Q112" s="222"/>
      <c r="R112" s="222"/>
      <c r="S112" s="222"/>
      <c r="T112" s="222"/>
      <c r="U112" s="222"/>
      <c r="V112" s="23"/>
      <c r="W112" s="220">
        <f>VLOOKUP(C112,'data base '!B:AA,26, )</f>
        <v>21302.5</v>
      </c>
      <c r="X112" s="220">
        <f>VLOOKUP(C112,'data base '!B:AD,27, )</f>
        <v>2130.25</v>
      </c>
      <c r="Y112" s="261"/>
      <c r="Z112" s="262"/>
      <c r="AA112" s="221">
        <f t="shared" si="1"/>
        <v>21302.5</v>
      </c>
      <c r="AB112" s="23"/>
      <c r="AC112" s="23"/>
      <c r="AD112" s="99"/>
    </row>
    <row r="113" spans="1:30" s="9" customFormat="1" x14ac:dyDescent="0.25">
      <c r="A113" s="215">
        <v>113</v>
      </c>
      <c r="B113" s="216"/>
      <c r="C113" s="217" t="str">
        <f>MEMBERS!B116</f>
        <v>HCFM-0678</v>
      </c>
      <c r="D113" s="217" t="str">
        <f>VLOOKUP(C113,MEMBERS!B:C,2, )</f>
        <v>MR. AIJAZ ALI BALOCH</v>
      </c>
      <c r="E113" s="23"/>
      <c r="F113" s="23"/>
      <c r="G113" s="23"/>
      <c r="H113" s="23"/>
      <c r="I113" s="23"/>
      <c r="J113" s="23"/>
      <c r="K113" s="23"/>
      <c r="L113" s="23"/>
      <c r="M113" s="23"/>
      <c r="N113" s="222"/>
      <c r="O113" s="23"/>
      <c r="P113" s="23"/>
      <c r="Q113" s="222"/>
      <c r="R113" s="222"/>
      <c r="S113" s="222"/>
      <c r="T113" s="222"/>
      <c r="U113" s="222"/>
      <c r="V113" s="23"/>
      <c r="W113" s="220">
        <f>VLOOKUP(C113,'data base '!B:AA,26, )</f>
        <v>72990.05</v>
      </c>
      <c r="X113" s="220">
        <f>VLOOKUP(C113,'data base '!B:AD,27, )</f>
        <v>7299.005000000001</v>
      </c>
      <c r="Y113" s="261"/>
      <c r="Z113" s="262"/>
      <c r="AA113" s="221">
        <f t="shared" si="1"/>
        <v>72990.05</v>
      </c>
      <c r="AB113" s="23"/>
      <c r="AC113" s="23"/>
      <c r="AD113" s="99"/>
    </row>
    <row r="114" spans="1:30" s="9" customFormat="1" x14ac:dyDescent="0.25">
      <c r="A114" s="215">
        <v>114</v>
      </c>
      <c r="B114" s="216"/>
      <c r="C114" s="217" t="str">
        <f>MEMBERS!B117</f>
        <v>HCFM-0679</v>
      </c>
      <c r="D114" s="217" t="str">
        <f>VLOOKUP(C114,MEMBERS!B:C,2, )</f>
        <v>MR. ANEEL ZAHOOR</v>
      </c>
      <c r="E114" s="23"/>
      <c r="F114" s="23"/>
      <c r="G114" s="23"/>
      <c r="H114" s="23"/>
      <c r="I114" s="23"/>
      <c r="J114" s="23"/>
      <c r="K114" s="23"/>
      <c r="L114" s="23"/>
      <c r="M114" s="23"/>
      <c r="N114" s="222"/>
      <c r="O114" s="23"/>
      <c r="P114" s="23"/>
      <c r="Q114" s="222"/>
      <c r="R114" s="222"/>
      <c r="S114" s="222"/>
      <c r="T114" s="222"/>
      <c r="U114" s="222"/>
      <c r="V114" s="23"/>
      <c r="W114" s="220">
        <f>VLOOKUP(C114,'data base '!B:AA,26, )</f>
        <v>91423.35</v>
      </c>
      <c r="X114" s="220">
        <f>VLOOKUP(C114,'data base '!B:AD,27, )</f>
        <v>9142.3350000000009</v>
      </c>
      <c r="Y114" s="261"/>
      <c r="Z114" s="262"/>
      <c r="AA114" s="221">
        <f t="shared" si="1"/>
        <v>91423.35</v>
      </c>
      <c r="AB114" s="23"/>
      <c r="AC114" s="23"/>
      <c r="AD114" s="99"/>
    </row>
    <row r="115" spans="1:30" s="9" customFormat="1" x14ac:dyDescent="0.25">
      <c r="A115" s="215">
        <v>115</v>
      </c>
      <c r="B115" s="216"/>
      <c r="C115" s="217" t="str">
        <f>MEMBERS!B118</f>
        <v>HCFM-0680</v>
      </c>
      <c r="D115" s="217" t="str">
        <f>VLOOKUP(C115,MEMBERS!B:C,2, )</f>
        <v>MR. AYAZ JAMRO</v>
      </c>
      <c r="E115" s="23"/>
      <c r="F115" s="23"/>
      <c r="G115" s="23"/>
      <c r="H115" s="23"/>
      <c r="I115" s="23"/>
      <c r="J115" s="23"/>
      <c r="K115" s="23"/>
      <c r="L115" s="23"/>
      <c r="M115" s="23"/>
      <c r="N115" s="222"/>
      <c r="O115" s="23"/>
      <c r="P115" s="23"/>
      <c r="Q115" s="222"/>
      <c r="R115" s="222"/>
      <c r="S115" s="222"/>
      <c r="T115" s="222"/>
      <c r="U115" s="222"/>
      <c r="V115" s="23"/>
      <c r="W115" s="220">
        <f>VLOOKUP(C115,'data base '!B:AA,26, )</f>
        <v>22135.5</v>
      </c>
      <c r="X115" s="220">
        <f>VLOOKUP(C115,'data base '!B:AD,27, )</f>
        <v>2213.5500000000002</v>
      </c>
      <c r="Y115" s="261"/>
      <c r="Z115" s="262"/>
      <c r="AA115" s="221">
        <f t="shared" si="1"/>
        <v>22135.5</v>
      </c>
      <c r="AB115" s="23"/>
      <c r="AC115" s="23"/>
      <c r="AD115" s="99"/>
    </row>
    <row r="116" spans="1:30" s="9" customFormat="1" x14ac:dyDescent="0.25">
      <c r="A116" s="215">
        <v>116</v>
      </c>
      <c r="B116" s="216"/>
      <c r="C116" s="217" t="str">
        <f>MEMBERS!B119</f>
        <v>HCFM-0681</v>
      </c>
      <c r="D116" s="217" t="str">
        <f>VLOOKUP(C116,MEMBERS!B:C,2, )</f>
        <v>BAHRIA ADVENTURE LAND</v>
      </c>
      <c r="E116" s="23"/>
      <c r="F116" s="23"/>
      <c r="G116" s="23"/>
      <c r="H116" s="23"/>
      <c r="I116" s="23"/>
      <c r="J116" s="23"/>
      <c r="K116" s="23"/>
      <c r="L116" s="23"/>
      <c r="M116" s="23"/>
      <c r="N116" s="222"/>
      <c r="O116" s="23"/>
      <c r="P116" s="23"/>
      <c r="Q116" s="222"/>
      <c r="R116" s="222"/>
      <c r="S116" s="222"/>
      <c r="T116" s="222"/>
      <c r="U116" s="222"/>
      <c r="V116" s="23"/>
      <c r="W116" s="220">
        <f>VLOOKUP(C116,'data base '!B:AA,26, )</f>
        <v>0</v>
      </c>
      <c r="X116" s="220">
        <f>VLOOKUP(C116,'data base '!B:AD,27, )</f>
        <v>0</v>
      </c>
      <c r="Y116" s="261"/>
      <c r="Z116" s="262"/>
      <c r="AA116" s="221">
        <f t="shared" si="1"/>
        <v>0</v>
      </c>
      <c r="AB116" s="23"/>
      <c r="AC116" s="23"/>
      <c r="AD116" s="99"/>
    </row>
    <row r="117" spans="1:30" s="9" customFormat="1" x14ac:dyDescent="0.25">
      <c r="A117" s="215">
        <v>117</v>
      </c>
      <c r="B117" s="216"/>
      <c r="C117" s="217" t="str">
        <f>MEMBERS!B120</f>
        <v>HCFM-0682</v>
      </c>
      <c r="D117" s="217" t="str">
        <f>VLOOKUP(C117,MEMBERS!B:C,2, )</f>
        <v>MR. ZAHIR REHMAN</v>
      </c>
      <c r="E117" s="23"/>
      <c r="F117" s="23"/>
      <c r="G117" s="23"/>
      <c r="H117" s="23"/>
      <c r="I117" s="23"/>
      <c r="J117" s="23"/>
      <c r="K117" s="23"/>
      <c r="L117" s="23"/>
      <c r="M117" s="23"/>
      <c r="N117" s="222"/>
      <c r="O117" s="23"/>
      <c r="P117" s="23"/>
      <c r="Q117" s="222"/>
      <c r="R117" s="222"/>
      <c r="S117" s="222"/>
      <c r="T117" s="222"/>
      <c r="U117" s="222"/>
      <c r="V117" s="23"/>
      <c r="W117" s="220">
        <f>VLOOKUP(C117,'data base '!B:AA,26, )</f>
        <v>36445</v>
      </c>
      <c r="X117" s="220">
        <f>VLOOKUP(C117,'data base '!B:AD,27, )</f>
        <v>3644.5</v>
      </c>
      <c r="Y117" s="261"/>
      <c r="Z117" s="262"/>
      <c r="AA117" s="221">
        <f t="shared" si="1"/>
        <v>36445</v>
      </c>
      <c r="AB117" s="23"/>
      <c r="AC117" s="23"/>
      <c r="AD117" s="99"/>
    </row>
    <row r="118" spans="1:30" s="9" customFormat="1" x14ac:dyDescent="0.25">
      <c r="A118" s="215">
        <v>118</v>
      </c>
      <c r="B118" s="216"/>
      <c r="C118" s="217" t="str">
        <f>MEMBERS!B121</f>
        <v>HCFM-0683</v>
      </c>
      <c r="D118" s="217" t="str">
        <f>VLOOKUP(C118,MEMBERS!B:C,2, )</f>
        <v>MR. YASIR RASHEED</v>
      </c>
      <c r="E118" s="23"/>
      <c r="F118" s="23"/>
      <c r="G118" s="23"/>
      <c r="H118" s="23"/>
      <c r="I118" s="23"/>
      <c r="J118" s="23"/>
      <c r="K118" s="23"/>
      <c r="L118" s="23"/>
      <c r="M118" s="23"/>
      <c r="N118" s="222"/>
      <c r="O118" s="23"/>
      <c r="P118" s="23"/>
      <c r="Q118" s="222"/>
      <c r="R118" s="222"/>
      <c r="S118" s="222"/>
      <c r="T118" s="222"/>
      <c r="U118" s="222"/>
      <c r="V118" s="23"/>
      <c r="W118" s="220">
        <f>VLOOKUP(C118,'data base '!B:AA,26, )</f>
        <v>14897.5</v>
      </c>
      <c r="X118" s="220">
        <f>VLOOKUP(C118,'data base '!B:AD,27, )</f>
        <v>1489.75</v>
      </c>
      <c r="Y118" s="261"/>
      <c r="Z118" s="262"/>
      <c r="AA118" s="221">
        <f t="shared" si="1"/>
        <v>14897.5</v>
      </c>
      <c r="AB118" s="23"/>
      <c r="AC118" s="23"/>
      <c r="AD118" s="99"/>
    </row>
    <row r="119" spans="1:30" s="9" customFormat="1" x14ac:dyDescent="0.25">
      <c r="A119" s="215">
        <v>119</v>
      </c>
      <c r="B119" s="216"/>
      <c r="C119" s="217" t="str">
        <f>MEMBERS!B122</f>
        <v>HCFM-0684</v>
      </c>
      <c r="D119" s="217" t="str">
        <f>VLOOKUP(C119,MEMBERS!B:C,2, )</f>
        <v>MR. ZAMIR ALI SHAH</v>
      </c>
      <c r="E119" s="23"/>
      <c r="F119" s="23"/>
      <c r="G119" s="23"/>
      <c r="H119" s="23"/>
      <c r="I119" s="23"/>
      <c r="J119" s="23"/>
      <c r="K119" s="23"/>
      <c r="L119" s="23"/>
      <c r="M119" s="23"/>
      <c r="N119" s="222"/>
      <c r="O119" s="23"/>
      <c r="P119" s="23"/>
      <c r="Q119" s="222"/>
      <c r="R119" s="222"/>
      <c r="S119" s="222"/>
      <c r="T119" s="222"/>
      <c r="U119" s="222"/>
      <c r="V119" s="23"/>
      <c r="W119" s="220">
        <f>VLOOKUP(C119,'data base '!B:AA,26, )</f>
        <v>159553.4</v>
      </c>
      <c r="X119" s="220">
        <f>VLOOKUP(C119,'data base '!B:AD,27, )</f>
        <v>15955.34</v>
      </c>
      <c r="Y119" s="261"/>
      <c r="Z119" s="262"/>
      <c r="AA119" s="221">
        <f t="shared" si="1"/>
        <v>159553.4</v>
      </c>
      <c r="AB119" s="23"/>
      <c r="AC119" s="23"/>
      <c r="AD119" s="99"/>
    </row>
    <row r="120" spans="1:30" s="9" customFormat="1" x14ac:dyDescent="0.25">
      <c r="A120" s="215">
        <v>120</v>
      </c>
      <c r="B120" s="216"/>
      <c r="C120" s="217" t="str">
        <f>MEMBERS!B123</f>
        <v>HCFM-0685</v>
      </c>
      <c r="D120" s="217" t="str">
        <f>VLOOKUP(C120,MEMBERS!B:C,2, )</f>
        <v>MR. KHURRAM SHAHZAD MEMON</v>
      </c>
      <c r="E120" s="23"/>
      <c r="F120" s="23"/>
      <c r="G120" s="23"/>
      <c r="H120" s="23"/>
      <c r="I120" s="23"/>
      <c r="J120" s="23"/>
      <c r="K120" s="23"/>
      <c r="L120" s="23"/>
      <c r="M120" s="23"/>
      <c r="N120" s="222"/>
      <c r="O120" s="23"/>
      <c r="P120" s="23"/>
      <c r="Q120" s="222"/>
      <c r="R120" s="222"/>
      <c r="S120" s="222"/>
      <c r="T120" s="222"/>
      <c r="U120" s="222"/>
      <c r="V120" s="23"/>
      <c r="W120" s="220">
        <f>VLOOKUP(C120,'data base '!B:AA,26, )</f>
        <v>37000</v>
      </c>
      <c r="X120" s="220">
        <f>VLOOKUP(C120,'data base '!B:AD,27, )</f>
        <v>700</v>
      </c>
      <c r="Y120" s="261"/>
      <c r="Z120" s="262"/>
      <c r="AA120" s="221">
        <f t="shared" ref="AA120:AA122" si="2">W120-Y120</f>
        <v>37000</v>
      </c>
      <c r="AB120" s="23"/>
      <c r="AC120" s="23"/>
      <c r="AD120" s="99"/>
    </row>
    <row r="121" spans="1:30" s="9" customFormat="1" x14ac:dyDescent="0.25">
      <c r="A121" s="215">
        <v>121</v>
      </c>
      <c r="B121" s="216"/>
      <c r="C121" s="217" t="str">
        <f>MEMBERS!B124</f>
        <v>HCFM-0686</v>
      </c>
      <c r="D121" s="217" t="str">
        <f>VLOOKUP(C121,MEMBERS!B:C,2, )</f>
        <v>MR. GHULAM MUSTAFA</v>
      </c>
      <c r="E121" s="23"/>
      <c r="F121" s="23"/>
      <c r="G121" s="23"/>
      <c r="H121" s="23"/>
      <c r="I121" s="23"/>
      <c r="J121" s="23"/>
      <c r="K121" s="23"/>
      <c r="L121" s="23"/>
      <c r="M121" s="23"/>
      <c r="N121" s="222"/>
      <c r="O121" s="23"/>
      <c r="P121" s="23"/>
      <c r="Q121" s="222"/>
      <c r="R121" s="222"/>
      <c r="S121" s="222"/>
      <c r="T121" s="222"/>
      <c r="U121" s="222"/>
      <c r="V121" s="23"/>
      <c r="W121" s="220">
        <f>VLOOKUP(C121,'data base '!B:AA,26, )</f>
        <v>67808.350000000006</v>
      </c>
      <c r="X121" s="220">
        <f>VLOOKUP(C121,'data base '!B:AD,27, )</f>
        <v>6780.8350000000009</v>
      </c>
      <c r="Y121" s="261"/>
      <c r="Z121" s="262"/>
      <c r="AA121" s="221">
        <f t="shared" si="2"/>
        <v>67808.350000000006</v>
      </c>
      <c r="AB121" s="23"/>
      <c r="AC121" s="23"/>
      <c r="AD121" s="99"/>
    </row>
    <row r="122" spans="1:30" s="9" customFormat="1" x14ac:dyDescent="0.25">
      <c r="A122" s="215">
        <v>122</v>
      </c>
      <c r="B122" s="216"/>
      <c r="C122" s="217" t="str">
        <f>MEMBERS!B125</f>
        <v>HCFM-0687</v>
      </c>
      <c r="D122" s="217" t="str">
        <f>VLOOKUP(C122,MEMBERS!B:C,2, )</f>
        <v>MR. IKRAMULLAH</v>
      </c>
      <c r="E122" s="23"/>
      <c r="F122" s="23"/>
      <c r="G122" s="23"/>
      <c r="H122" s="23"/>
      <c r="I122" s="23"/>
      <c r="J122" s="23"/>
      <c r="K122" s="23"/>
      <c r="L122" s="23"/>
      <c r="M122" s="23"/>
      <c r="N122" s="222"/>
      <c r="O122" s="23"/>
      <c r="P122" s="23"/>
      <c r="Q122" s="222"/>
      <c r="R122" s="222"/>
      <c r="S122" s="222"/>
      <c r="T122" s="222"/>
      <c r="U122" s="222"/>
      <c r="V122" s="23"/>
      <c r="W122" s="220">
        <f>VLOOKUP(C122,'data base '!B:AA,26, )</f>
        <v>7000</v>
      </c>
      <c r="X122" s="220">
        <f>VLOOKUP(C122,'data base '!B:AD,27, )</f>
        <v>700</v>
      </c>
      <c r="Y122" s="261"/>
      <c r="Z122" s="262"/>
      <c r="AA122" s="221">
        <f t="shared" si="2"/>
        <v>7000</v>
      </c>
      <c r="AB122" s="23"/>
      <c r="AC122" s="23"/>
      <c r="AD122" s="99"/>
    </row>
    <row r="123" spans="1:30" s="8" customFormat="1" ht="15.75" customHeight="1" thickBot="1" x14ac:dyDescent="0.3">
      <c r="A123" s="238"/>
      <c r="B123" s="239"/>
      <c r="C123" s="217" t="s">
        <v>756</v>
      </c>
      <c r="D123" s="217" t="s">
        <v>1090</v>
      </c>
      <c r="E123" s="129"/>
      <c r="F123" s="129"/>
      <c r="G123" s="129"/>
      <c r="H123" s="129"/>
      <c r="I123" s="129"/>
      <c r="J123" s="129"/>
      <c r="K123" s="129"/>
      <c r="L123" s="129"/>
      <c r="M123" s="129"/>
      <c r="N123" s="240"/>
      <c r="O123" s="129"/>
      <c r="P123" s="129"/>
      <c r="Q123" s="240"/>
      <c r="R123" s="240"/>
      <c r="S123" s="240"/>
      <c r="T123" s="240"/>
      <c r="U123" s="240"/>
      <c r="V123" s="129"/>
      <c r="W123" s="220">
        <f>VLOOKUP(C123,'data base '!B:AA,26, )</f>
        <v>276700</v>
      </c>
      <c r="X123" s="220">
        <f>VLOOKUP(C123,'data base '!B:AD,27, )</f>
        <v>27670</v>
      </c>
      <c r="Y123" s="261"/>
      <c r="Z123" s="262"/>
      <c r="AA123" s="241"/>
      <c r="AB123" s="129"/>
      <c r="AC123" s="129"/>
      <c r="AD123" s="130"/>
    </row>
    <row r="124" spans="1:30" ht="15.75" customHeight="1" thickBot="1" x14ac:dyDescent="0.3">
      <c r="A124" s="464"/>
      <c r="B124" s="464"/>
      <c r="C124" s="464"/>
      <c r="D124" s="464"/>
      <c r="E124" s="464"/>
      <c r="F124" s="464"/>
      <c r="G124" s="464"/>
      <c r="H124" s="464"/>
      <c r="I124" s="464"/>
      <c r="J124" s="464"/>
      <c r="K124" s="464"/>
      <c r="L124" s="464"/>
      <c r="M124" s="464"/>
      <c r="N124" s="464"/>
      <c r="O124" s="464"/>
      <c r="P124" s="464"/>
      <c r="Q124" s="464"/>
      <c r="R124" s="464"/>
      <c r="S124" s="464"/>
      <c r="T124" s="464"/>
      <c r="U124" s="464"/>
      <c r="V124" s="464"/>
      <c r="W124" s="464"/>
      <c r="X124" s="464"/>
      <c r="Y124" s="464"/>
      <c r="Z124" s="464"/>
      <c r="AA124" s="464"/>
      <c r="AB124" s="464"/>
      <c r="AC124" s="464"/>
      <c r="AD124" s="464"/>
    </row>
    <row r="125" spans="1:30" ht="15.75" customHeight="1" thickBot="1" x14ac:dyDescent="0.3">
      <c r="A125" s="465" t="s">
        <v>673</v>
      </c>
      <c r="B125" s="466"/>
      <c r="C125" s="466"/>
      <c r="D125" s="467"/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8"/>
      <c r="W125" s="29">
        <f>SUM(W2:W123)</f>
        <v>9979471.9000000004</v>
      </c>
      <c r="X125" s="123">
        <f>SUM(X2:X123)</f>
        <v>882547.58999999985</v>
      </c>
      <c r="Y125" s="139">
        <f>SUM(Y2:Y123)</f>
        <v>3763532</v>
      </c>
      <c r="Z125" s="209"/>
      <c r="AA125" s="117">
        <f>SUMIF(AA2:AA123, "&lt;=0")</f>
        <v>0</v>
      </c>
      <c r="AB125" s="102"/>
      <c r="AC125" s="5"/>
      <c r="AD125" s="5"/>
    </row>
    <row r="126" spans="1:30" ht="15.75" customHeight="1" thickBot="1" x14ac:dyDescent="0.3">
      <c r="A126" s="30"/>
      <c r="B126" s="31"/>
      <c r="C126" s="32"/>
      <c r="D126" s="33"/>
      <c r="E126" s="34"/>
      <c r="F126" s="34"/>
      <c r="G126" s="34"/>
      <c r="H126" s="34"/>
      <c r="I126" s="34"/>
      <c r="J126" s="34"/>
      <c r="K126" s="34"/>
      <c r="L126" s="34"/>
      <c r="M126" s="34"/>
      <c r="N126" s="35"/>
      <c r="O126" s="34"/>
      <c r="P126" s="34"/>
      <c r="Q126" s="35"/>
      <c r="R126" s="35"/>
      <c r="S126" s="35"/>
      <c r="T126" s="35"/>
      <c r="U126" s="35"/>
      <c r="V126" s="34"/>
      <c r="W126" s="36"/>
      <c r="X126" s="124"/>
      <c r="Y126" s="140"/>
      <c r="Z126" s="210"/>
      <c r="AA126" s="117">
        <f>SUMIF(AA2:AA123, "&gt;=0")</f>
        <v>5939239.8999999994</v>
      </c>
      <c r="AB126" s="5"/>
      <c r="AC126" s="102"/>
      <c r="AD126" s="5"/>
    </row>
    <row r="127" spans="1:30" ht="15.75" customHeight="1" thickBot="1" x14ac:dyDescent="0.3">
      <c r="A127" s="37"/>
      <c r="B127" s="38"/>
      <c r="C127" s="35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5"/>
      <c r="O127" s="34"/>
      <c r="P127" s="34"/>
      <c r="Q127" s="35"/>
      <c r="R127" s="35"/>
      <c r="S127" s="35"/>
      <c r="T127" s="35"/>
      <c r="U127" s="35"/>
      <c r="V127" s="39"/>
      <c r="W127" s="40" t="s">
        <v>745</v>
      </c>
      <c r="X127" s="125" t="s">
        <v>674</v>
      </c>
      <c r="Y127" s="141" t="s">
        <v>675</v>
      </c>
      <c r="Z127" s="210"/>
      <c r="AA127" s="118">
        <f>SUM(AA2:AA123)</f>
        <v>5939239.8999999994</v>
      </c>
      <c r="AB127" s="5"/>
      <c r="AC127" s="5"/>
      <c r="AD127" s="5"/>
    </row>
    <row r="128" spans="1:30" ht="15.75" customHeight="1" thickBot="1" x14ac:dyDescent="0.3">
      <c r="A128" s="37"/>
      <c r="B128" s="38"/>
      <c r="C128" s="35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5"/>
      <c r="O128" s="34"/>
      <c r="P128" s="34"/>
      <c r="Q128" s="35"/>
      <c r="R128" s="35"/>
      <c r="S128" s="35"/>
      <c r="T128" s="35"/>
      <c r="U128" s="35"/>
      <c r="V128" s="39"/>
      <c r="W128" s="40">
        <f>COUNT(W2:W123)</f>
        <v>122</v>
      </c>
      <c r="X128" s="125">
        <f>W128-Y128</f>
        <v>121</v>
      </c>
      <c r="Y128" s="141">
        <f>COUNT(Y2:Y123)</f>
        <v>1</v>
      </c>
      <c r="Z128" s="210"/>
      <c r="AA128" s="118"/>
      <c r="AB128" s="5"/>
      <c r="AC128" s="5"/>
      <c r="AD128" s="5"/>
    </row>
    <row r="129" spans="1:30" ht="15.75" customHeight="1" thickBot="1" x14ac:dyDescent="0.3">
      <c r="A129" s="37"/>
      <c r="B129" s="38"/>
      <c r="C129" s="35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2"/>
      <c r="O129" s="41"/>
      <c r="P129" s="41"/>
      <c r="Q129" s="42"/>
      <c r="R129" s="42"/>
      <c r="S129" s="42"/>
      <c r="T129" s="42"/>
      <c r="U129" s="42"/>
      <c r="V129" s="41"/>
      <c r="W129" s="36"/>
      <c r="X129" s="126"/>
      <c r="Y129" s="140"/>
      <c r="Z129" s="210"/>
      <c r="AA129" s="118"/>
      <c r="AB129" s="103"/>
      <c r="AC129" s="5"/>
      <c r="AD129" s="5"/>
    </row>
    <row r="130" spans="1:30" ht="15.75" customHeight="1" x14ac:dyDescent="0.3">
      <c r="A130" s="458" t="s">
        <v>746</v>
      </c>
      <c r="B130" s="459"/>
      <c r="C130" s="459"/>
      <c r="D130" s="460"/>
      <c r="E130" s="43"/>
      <c r="F130" s="43"/>
      <c r="G130" s="43"/>
      <c r="H130" s="43"/>
      <c r="I130" s="43"/>
      <c r="J130" s="43"/>
      <c r="K130" s="43"/>
      <c r="L130" s="43"/>
      <c r="M130" s="43"/>
      <c r="N130" s="44"/>
      <c r="O130" s="43"/>
      <c r="P130" s="43"/>
      <c r="Q130" s="44"/>
      <c r="R130" s="44"/>
      <c r="S130" s="44"/>
      <c r="T130" s="44"/>
      <c r="U130" s="44"/>
      <c r="V130" s="43"/>
      <c r="W130" s="45">
        <f>SUM(W2:W123)</f>
        <v>9979471.9000000004</v>
      </c>
      <c r="X130" s="468">
        <f>(W131/W130)</f>
        <v>0.37712737083813019</v>
      </c>
      <c r="Y130" s="471" t="s">
        <v>747</v>
      </c>
      <c r="Z130" s="211"/>
      <c r="AA130" s="119">
        <f>W125-W97</f>
        <v>5901133.1500000004</v>
      </c>
      <c r="AB130" s="5" t="s">
        <v>982</v>
      </c>
      <c r="AC130" s="5"/>
      <c r="AD130" s="5"/>
    </row>
    <row r="131" spans="1:30" ht="15.75" customHeight="1" x14ac:dyDescent="0.3">
      <c r="A131" s="461" t="s">
        <v>748</v>
      </c>
      <c r="B131" s="462"/>
      <c r="C131" s="462"/>
      <c r="D131" s="463"/>
      <c r="E131" s="46"/>
      <c r="F131" s="46"/>
      <c r="G131" s="46"/>
      <c r="H131" s="46"/>
      <c r="I131" s="46"/>
      <c r="J131" s="46"/>
      <c r="K131" s="46"/>
      <c r="L131" s="46"/>
      <c r="M131" s="46"/>
      <c r="N131" s="47"/>
      <c r="O131" s="46"/>
      <c r="P131" s="46"/>
      <c r="Q131" s="47"/>
      <c r="R131" s="47"/>
      <c r="S131" s="47"/>
      <c r="T131" s="47"/>
      <c r="U131" s="47"/>
      <c r="V131" s="46"/>
      <c r="W131" s="48">
        <f>Y125</f>
        <v>3763532</v>
      </c>
      <c r="X131" s="469"/>
      <c r="Y131" s="472"/>
      <c r="Z131" s="211"/>
      <c r="AA131" s="119">
        <f>X125-X97</f>
        <v>474713.71499999985</v>
      </c>
      <c r="AB131" s="5" t="s">
        <v>983</v>
      </c>
      <c r="AC131" s="5"/>
      <c r="AD131" s="5"/>
    </row>
    <row r="132" spans="1:30" ht="15.75" customHeight="1" x14ac:dyDescent="0.3">
      <c r="A132" s="461" t="s">
        <v>978</v>
      </c>
      <c r="B132" s="462"/>
      <c r="C132" s="462"/>
      <c r="D132" s="463"/>
      <c r="E132" s="104"/>
      <c r="F132" s="104"/>
      <c r="G132" s="104"/>
      <c r="H132" s="104"/>
      <c r="I132" s="104"/>
      <c r="J132" s="104"/>
      <c r="K132" s="104"/>
      <c r="L132" s="104"/>
      <c r="M132" s="104"/>
      <c r="N132" s="105"/>
      <c r="O132" s="104"/>
      <c r="P132" s="104"/>
      <c r="Q132" s="105"/>
      <c r="R132" s="105"/>
      <c r="S132" s="105"/>
      <c r="T132" s="105"/>
      <c r="U132" s="105"/>
      <c r="V132" s="104"/>
      <c r="W132" s="106">
        <f>AA125</f>
        <v>0</v>
      </c>
      <c r="X132" s="469"/>
      <c r="Y132" s="472"/>
      <c r="Z132" s="211"/>
      <c r="AA132" s="119">
        <f>AA131-AA130</f>
        <v>-5426419.4350000005</v>
      </c>
      <c r="AB132" s="5" t="s">
        <v>984</v>
      </c>
      <c r="AC132" s="5"/>
      <c r="AD132" s="5"/>
    </row>
    <row r="133" spans="1:30" ht="15.75" customHeight="1" thickBot="1" x14ac:dyDescent="0.35">
      <c r="A133" s="474" t="s">
        <v>749</v>
      </c>
      <c r="B133" s="475"/>
      <c r="C133" s="475"/>
      <c r="D133" s="476"/>
      <c r="E133" s="49"/>
      <c r="F133" s="49"/>
      <c r="G133" s="49"/>
      <c r="H133" s="49"/>
      <c r="I133" s="49"/>
      <c r="J133" s="49"/>
      <c r="K133" s="49"/>
      <c r="L133" s="49"/>
      <c r="M133" s="49"/>
      <c r="N133" s="50"/>
      <c r="O133" s="49"/>
      <c r="P133" s="49"/>
      <c r="Q133" s="50"/>
      <c r="R133" s="50"/>
      <c r="S133" s="50"/>
      <c r="T133" s="50"/>
      <c r="U133" s="50"/>
      <c r="V133" s="49"/>
      <c r="W133" s="51">
        <f>W130-W131+W132</f>
        <v>6215939.9000000004</v>
      </c>
      <c r="X133" s="470"/>
      <c r="Y133" s="473"/>
      <c r="Z133" s="211"/>
      <c r="AA133" s="119"/>
      <c r="AB133" s="103"/>
      <c r="AC133" s="5"/>
      <c r="AD133" s="5"/>
    </row>
    <row r="134" spans="1:30" ht="15.75" customHeight="1" x14ac:dyDescent="0.25">
      <c r="A134" s="4"/>
      <c r="B134" s="4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6"/>
      <c r="O134" s="5"/>
      <c r="P134" s="5"/>
      <c r="Q134" s="6"/>
      <c r="R134" s="6"/>
      <c r="S134" s="6"/>
      <c r="T134" s="6"/>
      <c r="U134" s="6"/>
      <c r="V134" s="5"/>
      <c r="W134" s="6"/>
      <c r="Y134" s="115"/>
      <c r="Z134" s="212"/>
      <c r="AA134" s="120"/>
      <c r="AB134" s="5"/>
      <c r="AC134" s="5"/>
      <c r="AD134" s="5"/>
    </row>
    <row r="135" spans="1:30" ht="15.75" customHeight="1" x14ac:dyDescent="0.25">
      <c r="A135" s="1"/>
      <c r="B135" s="1"/>
      <c r="C135" s="2"/>
      <c r="D135" s="3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6"/>
      <c r="X135" s="128"/>
      <c r="Y135" s="142"/>
      <c r="Z135" s="213"/>
    </row>
    <row r="136" spans="1:30" ht="15.75" customHeight="1" x14ac:dyDescent="0.2">
      <c r="A136" s="457" t="s">
        <v>985</v>
      </c>
      <c r="B136" s="457"/>
      <c r="C136" s="457"/>
      <c r="D136" s="457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>
        <v>40747</v>
      </c>
      <c r="X136" s="128"/>
      <c r="Y136" s="214">
        <v>4280927.2475000005</v>
      </c>
      <c r="Z136" s="213"/>
    </row>
    <row r="137" spans="1:30" ht="15.75" customHeight="1" x14ac:dyDescent="0.2">
      <c r="A137" s="457" t="s">
        <v>986</v>
      </c>
      <c r="B137" s="457"/>
      <c r="C137" s="457"/>
      <c r="D137" s="457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13">
        <f>AA125+W136</f>
        <v>40747</v>
      </c>
      <c r="X137" s="128"/>
      <c r="Y137" s="142"/>
      <c r="Z137" s="213"/>
    </row>
    <row r="138" spans="1:30" ht="15.75" customHeight="1" x14ac:dyDescent="0.2">
      <c r="A138" s="1"/>
      <c r="B138" s="1"/>
      <c r="C138" s="2"/>
      <c r="D138" s="3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28"/>
      <c r="Y138" s="142">
        <f>W125-Y136</f>
        <v>5698544.6524999999</v>
      </c>
      <c r="Z138" s="213"/>
    </row>
    <row r="139" spans="1:30" ht="15.75" customHeight="1" x14ac:dyDescent="0.2">
      <c r="A139" s="1"/>
      <c r="B139" s="1"/>
      <c r="C139" s="2"/>
      <c r="D139" s="3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28"/>
      <c r="Y139" s="142"/>
      <c r="Z139" s="213"/>
    </row>
    <row r="140" spans="1:30" ht="15.75" customHeight="1" x14ac:dyDescent="0.2">
      <c r="A140" s="1"/>
      <c r="B140" s="1"/>
      <c r="C140" s="2"/>
      <c r="D140" s="3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28"/>
      <c r="Y140" s="142"/>
      <c r="Z140" s="213"/>
    </row>
    <row r="141" spans="1:30" ht="15.75" customHeight="1" x14ac:dyDescent="0.2">
      <c r="A141" s="1"/>
      <c r="B141" s="1"/>
      <c r="C141" s="2"/>
      <c r="D141" s="3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28"/>
      <c r="Y141" s="142"/>
      <c r="Z141" s="213"/>
    </row>
    <row r="142" spans="1:30" ht="15.75" customHeight="1" x14ac:dyDescent="0.2">
      <c r="A142" s="1"/>
      <c r="B142" s="1"/>
      <c r="C142" s="2"/>
      <c r="D142" s="3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28"/>
      <c r="Y142" s="142"/>
      <c r="Z142" s="213"/>
    </row>
    <row r="143" spans="1:30" ht="15.75" customHeight="1" x14ac:dyDescent="0.2">
      <c r="A143" s="1"/>
      <c r="B143" s="1"/>
      <c r="C143" s="2"/>
      <c r="D143" s="3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28"/>
      <c r="Y143" s="142"/>
      <c r="Z143" s="213"/>
    </row>
    <row r="144" spans="1:30" ht="15.75" customHeight="1" x14ac:dyDescent="0.2">
      <c r="A144" s="1"/>
      <c r="B144" s="1"/>
      <c r="C144" s="2"/>
      <c r="D144" s="3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28"/>
      <c r="Y144" s="142"/>
      <c r="Z144" s="213"/>
    </row>
    <row r="145" spans="1:26" ht="15.75" customHeight="1" x14ac:dyDescent="0.2">
      <c r="A145" s="1"/>
      <c r="B145" s="1"/>
      <c r="C145" s="2"/>
      <c r="D145" s="3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28"/>
      <c r="Y145" s="142"/>
      <c r="Z145" s="213"/>
    </row>
    <row r="146" spans="1:26" ht="15.75" customHeight="1" x14ac:dyDescent="0.2">
      <c r="A146" s="1"/>
      <c r="B146" s="1"/>
      <c r="C146" s="2"/>
      <c r="D146" s="3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28"/>
      <c r="Y146" s="142"/>
      <c r="Z146" s="213"/>
    </row>
    <row r="147" spans="1:26" ht="15.75" customHeight="1" x14ac:dyDescent="0.2">
      <c r="A147" s="1"/>
      <c r="B147" s="1"/>
      <c r="C147" s="2"/>
      <c r="D147" s="3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28"/>
      <c r="Y147" s="142"/>
      <c r="Z147" s="213"/>
    </row>
    <row r="148" spans="1:26" ht="15.75" customHeight="1" x14ac:dyDescent="0.2">
      <c r="A148" s="1"/>
      <c r="B148" s="1"/>
      <c r="C148" s="2"/>
      <c r="D148" s="3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28"/>
      <c r="Y148" s="142"/>
      <c r="Z148" s="213"/>
    </row>
    <row r="149" spans="1:26" ht="15.75" customHeight="1" x14ac:dyDescent="0.2">
      <c r="A149" s="1"/>
      <c r="B149" s="1"/>
      <c r="C149" s="2"/>
      <c r="D149" s="3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28"/>
      <c r="Y149" s="142"/>
      <c r="Z149" s="213"/>
    </row>
    <row r="150" spans="1:26" ht="15.75" customHeight="1" x14ac:dyDescent="0.2">
      <c r="A150" s="1"/>
      <c r="B150" s="1"/>
      <c r="C150" s="2"/>
      <c r="D150" s="3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28"/>
      <c r="Y150" s="142"/>
      <c r="Z150" s="213"/>
    </row>
    <row r="151" spans="1:26" ht="15.75" customHeight="1" x14ac:dyDescent="0.2">
      <c r="A151" s="1"/>
      <c r="B151" s="1"/>
      <c r="C151" s="2"/>
      <c r="D151" s="3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28"/>
      <c r="Y151" s="142"/>
      <c r="Z151" s="213"/>
    </row>
    <row r="152" spans="1:26" ht="15.75" customHeight="1" x14ac:dyDescent="0.2">
      <c r="A152" s="1"/>
      <c r="B152" s="1"/>
      <c r="C152" s="2"/>
      <c r="D152" s="3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28"/>
      <c r="Y152" s="142"/>
      <c r="Z152" s="213"/>
    </row>
    <row r="153" spans="1:26" ht="15.75" customHeight="1" x14ac:dyDescent="0.2">
      <c r="A153" s="1"/>
      <c r="B153" s="1"/>
      <c r="C153" s="2"/>
      <c r="D153" s="3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28"/>
      <c r="Y153" s="142"/>
      <c r="Z153" s="213"/>
    </row>
    <row r="154" spans="1:26" ht="15.75" customHeight="1" x14ac:dyDescent="0.2">
      <c r="A154" s="1"/>
      <c r="B154" s="1"/>
      <c r="C154" s="2"/>
      <c r="D154" s="3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28"/>
      <c r="Y154" s="142"/>
      <c r="Z154" s="213"/>
    </row>
    <row r="155" spans="1:26" ht="15.75" customHeight="1" x14ac:dyDescent="0.2">
      <c r="A155" s="1"/>
      <c r="B155" s="1"/>
      <c r="C155" s="2"/>
      <c r="D155" s="3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28"/>
      <c r="Y155" s="142"/>
      <c r="Z155" s="213"/>
    </row>
    <row r="156" spans="1:26" ht="15.75" customHeight="1" x14ac:dyDescent="0.2">
      <c r="A156" s="1"/>
      <c r="B156" s="1"/>
      <c r="C156" s="2"/>
      <c r="D156" s="3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28"/>
      <c r="Y156" s="142"/>
      <c r="Z156" s="213"/>
    </row>
    <row r="157" spans="1:26" ht="15.75" customHeight="1" x14ac:dyDescent="0.2">
      <c r="A157" s="1"/>
      <c r="B157" s="1"/>
      <c r="C157" s="2"/>
      <c r="D157" s="3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28"/>
      <c r="Y157" s="142"/>
      <c r="Z157" s="213"/>
    </row>
    <row r="158" spans="1:26" ht="15.75" customHeight="1" x14ac:dyDescent="0.2">
      <c r="A158" s="1"/>
      <c r="B158" s="1"/>
      <c r="C158" s="2"/>
      <c r="D158" s="3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28"/>
      <c r="Y158" s="142"/>
      <c r="Z158" s="213"/>
    </row>
    <row r="159" spans="1:26" ht="15.75" customHeight="1" x14ac:dyDescent="0.2">
      <c r="A159" s="1"/>
      <c r="B159" s="1"/>
      <c r="C159" s="2"/>
      <c r="D159" s="3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28"/>
      <c r="Y159" s="142"/>
      <c r="Z159" s="213"/>
    </row>
    <row r="160" spans="1:26" ht="15.75" customHeight="1" x14ac:dyDescent="0.2">
      <c r="A160" s="1"/>
      <c r="B160" s="1"/>
      <c r="C160" s="2"/>
      <c r="D160" s="3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28"/>
      <c r="Y160" s="142"/>
      <c r="Z160" s="213"/>
    </row>
    <row r="161" spans="1:26" ht="15.75" customHeight="1" x14ac:dyDescent="0.2">
      <c r="A161" s="1"/>
      <c r="B161" s="1"/>
      <c r="C161" s="2"/>
      <c r="D161" s="3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28"/>
      <c r="Y161" s="142"/>
      <c r="Z161" s="213"/>
    </row>
    <row r="162" spans="1:26" ht="15.75" customHeight="1" x14ac:dyDescent="0.2">
      <c r="A162" s="1"/>
      <c r="B162" s="1"/>
      <c r="C162" s="2"/>
      <c r="D162" s="3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28"/>
      <c r="Y162" s="142"/>
      <c r="Z162" s="213"/>
    </row>
    <row r="163" spans="1:26" ht="15.75" customHeight="1" x14ac:dyDescent="0.2">
      <c r="A163" s="1"/>
      <c r="B163" s="1"/>
      <c r="C163" s="2"/>
      <c r="D163" s="3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28"/>
      <c r="Y163" s="142"/>
      <c r="Z163" s="213"/>
    </row>
    <row r="164" spans="1:26" ht="15.75" customHeight="1" x14ac:dyDescent="0.2">
      <c r="A164" s="1"/>
      <c r="B164" s="1"/>
      <c r="C164" s="2"/>
      <c r="D164" s="3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28"/>
      <c r="Y164" s="142"/>
      <c r="Z164" s="213"/>
    </row>
    <row r="165" spans="1:26" ht="15.75" customHeight="1" x14ac:dyDescent="0.2">
      <c r="A165" s="1"/>
      <c r="B165" s="1"/>
      <c r="C165" s="2"/>
      <c r="D165" s="3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28"/>
      <c r="Y165" s="142"/>
      <c r="Z165" s="213"/>
    </row>
    <row r="166" spans="1:26" ht="15.75" customHeight="1" x14ac:dyDescent="0.2">
      <c r="A166" s="1"/>
      <c r="B166" s="1"/>
      <c r="C166" s="2"/>
      <c r="D166" s="3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28"/>
      <c r="Y166" s="142"/>
      <c r="Z166" s="213"/>
    </row>
    <row r="167" spans="1:26" ht="15.75" customHeight="1" x14ac:dyDescent="0.2">
      <c r="A167" s="1"/>
      <c r="B167" s="1"/>
      <c r="C167" s="2"/>
      <c r="D167" s="3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28"/>
      <c r="Y167" s="142"/>
      <c r="Z167" s="213"/>
    </row>
    <row r="168" spans="1:26" ht="15.75" customHeight="1" x14ac:dyDescent="0.2">
      <c r="A168" s="1"/>
      <c r="B168" s="1"/>
      <c r="C168" s="2"/>
      <c r="D168" s="3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28"/>
      <c r="Y168" s="142"/>
      <c r="Z168" s="213"/>
    </row>
    <row r="169" spans="1:26" ht="15.75" customHeight="1" x14ac:dyDescent="0.2">
      <c r="A169" s="1"/>
      <c r="B169" s="1"/>
      <c r="C169" s="2"/>
      <c r="D169" s="3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28"/>
      <c r="Y169" s="142"/>
      <c r="Z169" s="213"/>
    </row>
    <row r="170" spans="1:26" ht="15.75" customHeight="1" x14ac:dyDescent="0.2">
      <c r="A170" s="1"/>
      <c r="B170" s="1"/>
      <c r="C170" s="2"/>
      <c r="D170" s="3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28"/>
      <c r="Y170" s="142"/>
      <c r="Z170" s="213"/>
    </row>
    <row r="171" spans="1:26" ht="15.75" customHeight="1" x14ac:dyDescent="0.2">
      <c r="A171" s="1"/>
      <c r="B171" s="1"/>
      <c r="C171" s="2"/>
      <c r="D171" s="3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28"/>
      <c r="Y171" s="142"/>
      <c r="Z171" s="213"/>
    </row>
    <row r="172" spans="1:26" ht="15.75" customHeight="1" x14ac:dyDescent="0.2">
      <c r="A172" s="1"/>
      <c r="B172" s="1"/>
      <c r="C172" s="2"/>
      <c r="D172" s="3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28"/>
      <c r="Y172" s="142"/>
      <c r="Z172" s="213"/>
    </row>
    <row r="173" spans="1:26" ht="15.75" customHeight="1" x14ac:dyDescent="0.2">
      <c r="A173" s="1"/>
      <c r="B173" s="1"/>
      <c r="C173" s="2"/>
      <c r="D173" s="3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28"/>
      <c r="Y173" s="142"/>
      <c r="Z173" s="213"/>
    </row>
    <row r="174" spans="1:26" ht="15.75" customHeight="1" x14ac:dyDescent="0.2">
      <c r="A174" s="1"/>
      <c r="B174" s="1"/>
      <c r="C174" s="2"/>
      <c r="D174" s="3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28"/>
      <c r="Y174" s="142"/>
      <c r="Z174" s="213"/>
    </row>
    <row r="175" spans="1:26" ht="15.75" customHeight="1" x14ac:dyDescent="0.2">
      <c r="A175" s="1"/>
      <c r="B175" s="1"/>
      <c r="C175" s="2"/>
      <c r="D175" s="3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28"/>
      <c r="Y175" s="142"/>
      <c r="Z175" s="213"/>
    </row>
    <row r="176" spans="1:26" ht="15.75" customHeight="1" x14ac:dyDescent="0.2">
      <c r="A176" s="1"/>
      <c r="B176" s="1"/>
      <c r="C176" s="2"/>
      <c r="D176" s="3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28"/>
      <c r="Y176" s="142"/>
      <c r="Z176" s="213"/>
    </row>
    <row r="177" spans="1:26" ht="15.75" customHeight="1" x14ac:dyDescent="0.2">
      <c r="A177" s="1"/>
      <c r="B177" s="1"/>
      <c r="C177" s="2"/>
      <c r="D177" s="3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28"/>
      <c r="Y177" s="142"/>
      <c r="Z177" s="213"/>
    </row>
    <row r="178" spans="1:26" ht="15.75" customHeight="1" x14ac:dyDescent="0.2">
      <c r="A178" s="1"/>
      <c r="B178" s="1"/>
      <c r="C178" s="2"/>
      <c r="D178" s="3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28"/>
      <c r="Y178" s="142"/>
      <c r="Z178" s="213"/>
    </row>
    <row r="179" spans="1:26" ht="15.75" customHeight="1" x14ac:dyDescent="0.2">
      <c r="A179" s="1"/>
      <c r="B179" s="1"/>
      <c r="C179" s="2"/>
      <c r="D179" s="3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28"/>
      <c r="Y179" s="142"/>
      <c r="Z179" s="213"/>
    </row>
    <row r="180" spans="1:26" ht="15.75" customHeight="1" x14ac:dyDescent="0.2">
      <c r="A180" s="1"/>
      <c r="B180" s="1"/>
      <c r="C180" s="2"/>
      <c r="D180" s="3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28"/>
      <c r="Y180" s="142"/>
      <c r="Z180" s="213"/>
    </row>
    <row r="181" spans="1:26" ht="15.75" customHeight="1" x14ac:dyDescent="0.2">
      <c r="A181" s="1"/>
      <c r="B181" s="1"/>
      <c r="C181" s="2"/>
      <c r="D181" s="3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28"/>
      <c r="Y181" s="142"/>
      <c r="Z181" s="213"/>
    </row>
    <row r="182" spans="1:26" ht="15.75" customHeight="1" x14ac:dyDescent="0.2">
      <c r="A182" s="1"/>
      <c r="B182" s="1"/>
      <c r="C182" s="2"/>
      <c r="D182" s="3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28"/>
      <c r="Y182" s="142"/>
      <c r="Z182" s="213"/>
    </row>
    <row r="183" spans="1:26" ht="15.75" customHeight="1" x14ac:dyDescent="0.2">
      <c r="A183" s="1"/>
      <c r="B183" s="1"/>
      <c r="C183" s="2"/>
      <c r="D183" s="3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28"/>
      <c r="Y183" s="142"/>
      <c r="Z183" s="213"/>
    </row>
    <row r="184" spans="1:26" ht="15.75" customHeight="1" x14ac:dyDescent="0.2">
      <c r="A184" s="1"/>
      <c r="B184" s="1"/>
      <c r="C184" s="2"/>
      <c r="D184" s="3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28"/>
      <c r="Y184" s="142"/>
      <c r="Z184" s="213"/>
    </row>
    <row r="185" spans="1:26" ht="15.75" customHeight="1" x14ac:dyDescent="0.2">
      <c r="A185" s="1"/>
      <c r="B185" s="1"/>
      <c r="C185" s="2"/>
      <c r="D185" s="3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28"/>
      <c r="Y185" s="142"/>
      <c r="Z185" s="213"/>
    </row>
    <row r="186" spans="1:26" ht="15.75" customHeight="1" x14ac:dyDescent="0.2">
      <c r="A186" s="1"/>
      <c r="B186" s="1"/>
      <c r="C186" s="2"/>
      <c r="D186" s="3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28"/>
      <c r="Y186" s="142"/>
      <c r="Z186" s="213"/>
    </row>
    <row r="187" spans="1:26" ht="15.75" customHeight="1" x14ac:dyDescent="0.2">
      <c r="A187" s="1"/>
      <c r="B187" s="1"/>
      <c r="C187" s="2"/>
      <c r="D187" s="3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28"/>
      <c r="Y187" s="142"/>
      <c r="Z187" s="213"/>
    </row>
    <row r="188" spans="1:26" ht="15.75" customHeight="1" x14ac:dyDescent="0.2">
      <c r="A188" s="1"/>
      <c r="B188" s="1"/>
      <c r="C188" s="2"/>
      <c r="D188" s="3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28"/>
      <c r="Y188" s="142"/>
      <c r="Z188" s="213"/>
    </row>
    <row r="189" spans="1:26" ht="15.75" customHeight="1" x14ac:dyDescent="0.2">
      <c r="A189" s="1"/>
      <c r="B189" s="1"/>
      <c r="C189" s="2"/>
      <c r="D189" s="3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28"/>
      <c r="Y189" s="142"/>
      <c r="Z189" s="213"/>
    </row>
    <row r="190" spans="1:26" ht="15.75" customHeight="1" x14ac:dyDescent="0.2">
      <c r="A190" s="1"/>
      <c r="B190" s="1"/>
      <c r="C190" s="2"/>
      <c r="D190" s="3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28"/>
      <c r="Y190" s="142"/>
      <c r="Z190" s="213"/>
    </row>
    <row r="191" spans="1:26" ht="15.75" customHeight="1" x14ac:dyDescent="0.2">
      <c r="A191" s="1"/>
      <c r="B191" s="1"/>
      <c r="C191" s="2"/>
      <c r="D191" s="3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28"/>
      <c r="Y191" s="142"/>
      <c r="Z191" s="213"/>
    </row>
    <row r="192" spans="1:26" ht="15.75" customHeight="1" x14ac:dyDescent="0.2">
      <c r="A192" s="1"/>
      <c r="B192" s="1"/>
      <c r="C192" s="2"/>
      <c r="D192" s="3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28"/>
      <c r="Y192" s="142"/>
      <c r="Z192" s="213"/>
    </row>
    <row r="193" spans="1:26" ht="15.75" customHeight="1" x14ac:dyDescent="0.2">
      <c r="A193" s="1"/>
      <c r="B193" s="1"/>
      <c r="C193" s="2"/>
      <c r="D193" s="3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28"/>
      <c r="Y193" s="142"/>
      <c r="Z193" s="213"/>
    </row>
    <row r="194" spans="1:26" ht="15.75" customHeight="1" x14ac:dyDescent="0.2">
      <c r="A194" s="1"/>
      <c r="B194" s="1"/>
      <c r="C194" s="2"/>
      <c r="D194" s="3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28"/>
      <c r="Y194" s="142"/>
      <c r="Z194" s="213"/>
    </row>
    <row r="195" spans="1:26" ht="15.75" customHeight="1" x14ac:dyDescent="0.2">
      <c r="A195" s="1"/>
      <c r="B195" s="1"/>
      <c r="C195" s="2"/>
      <c r="D195" s="3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28"/>
      <c r="Y195" s="142"/>
      <c r="Z195" s="213"/>
    </row>
    <row r="196" spans="1:26" ht="15.75" customHeight="1" x14ac:dyDescent="0.2">
      <c r="A196" s="1"/>
      <c r="B196" s="1"/>
      <c r="C196" s="2"/>
      <c r="D196" s="3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28"/>
      <c r="Y196" s="142"/>
      <c r="Z196" s="213"/>
    </row>
    <row r="197" spans="1:26" ht="15.75" customHeight="1" x14ac:dyDescent="0.2">
      <c r="A197" s="1"/>
      <c r="B197" s="1"/>
      <c r="C197" s="2"/>
      <c r="D197" s="3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28"/>
      <c r="Y197" s="142"/>
      <c r="Z197" s="213"/>
    </row>
    <row r="198" spans="1:26" ht="15.75" customHeight="1" x14ac:dyDescent="0.2">
      <c r="A198" s="1"/>
      <c r="B198" s="1"/>
      <c r="C198" s="2"/>
      <c r="D198" s="3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28"/>
      <c r="Y198" s="142"/>
      <c r="Z198" s="213"/>
    </row>
    <row r="199" spans="1:26" ht="15.75" customHeight="1" x14ac:dyDescent="0.2">
      <c r="A199" s="1"/>
      <c r="B199" s="1"/>
      <c r="C199" s="2"/>
      <c r="D199" s="3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28"/>
      <c r="Y199" s="142"/>
      <c r="Z199" s="213"/>
    </row>
    <row r="200" spans="1:26" ht="15.75" customHeight="1" x14ac:dyDescent="0.2">
      <c r="A200" s="1"/>
      <c r="B200" s="1"/>
      <c r="C200" s="2"/>
      <c r="D200" s="3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28"/>
      <c r="Y200" s="142"/>
      <c r="Z200" s="213"/>
    </row>
    <row r="201" spans="1:26" ht="15.75" customHeight="1" x14ac:dyDescent="0.2">
      <c r="A201" s="1"/>
      <c r="B201" s="1"/>
      <c r="C201" s="2"/>
      <c r="D201" s="3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28"/>
      <c r="Y201" s="142"/>
      <c r="Z201" s="213"/>
    </row>
    <row r="202" spans="1:26" ht="15.75" customHeight="1" x14ac:dyDescent="0.2">
      <c r="A202" s="1"/>
      <c r="B202" s="1"/>
      <c r="C202" s="2"/>
      <c r="D202" s="3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28"/>
      <c r="Y202" s="142"/>
      <c r="Z202" s="213"/>
    </row>
    <row r="203" spans="1:26" ht="15.75" customHeight="1" x14ac:dyDescent="0.2">
      <c r="A203" s="1"/>
      <c r="B203" s="1"/>
      <c r="C203" s="2"/>
      <c r="D203" s="3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28"/>
      <c r="Y203" s="142"/>
      <c r="Z203" s="213"/>
    </row>
    <row r="204" spans="1:26" ht="15.75" customHeight="1" x14ac:dyDescent="0.2">
      <c r="A204" s="1"/>
      <c r="B204" s="1"/>
      <c r="C204" s="2"/>
      <c r="D204" s="3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28"/>
      <c r="Y204" s="142"/>
      <c r="Z204" s="213"/>
    </row>
    <row r="205" spans="1:26" ht="15.75" customHeight="1" x14ac:dyDescent="0.2">
      <c r="A205" s="1"/>
      <c r="B205" s="1"/>
      <c r="C205" s="2"/>
      <c r="D205" s="3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28"/>
      <c r="Y205" s="142"/>
      <c r="Z205" s="213"/>
    </row>
    <row r="206" spans="1:26" ht="15.75" customHeight="1" x14ac:dyDescent="0.2">
      <c r="A206" s="1"/>
      <c r="B206" s="1"/>
      <c r="C206" s="2"/>
      <c r="D206" s="3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28"/>
      <c r="Y206" s="142"/>
      <c r="Z206" s="213"/>
    </row>
    <row r="207" spans="1:26" ht="15.75" customHeight="1" x14ac:dyDescent="0.2">
      <c r="A207" s="1"/>
      <c r="B207" s="1"/>
      <c r="C207" s="2"/>
      <c r="D207" s="3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28"/>
      <c r="Y207" s="142"/>
      <c r="Z207" s="213"/>
    </row>
    <row r="208" spans="1:26" ht="15.75" customHeight="1" x14ac:dyDescent="0.2">
      <c r="A208" s="1"/>
      <c r="B208" s="1"/>
      <c r="C208" s="2"/>
      <c r="D208" s="3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28"/>
      <c r="Y208" s="142"/>
      <c r="Z208" s="213"/>
    </row>
    <row r="209" spans="1:26" ht="15.75" customHeight="1" x14ac:dyDescent="0.2">
      <c r="A209" s="1"/>
      <c r="B209" s="1"/>
      <c r="C209" s="2"/>
      <c r="D209" s="3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28"/>
      <c r="Y209" s="142"/>
      <c r="Z209" s="213"/>
    </row>
    <row r="210" spans="1:26" ht="15.75" customHeight="1" x14ac:dyDescent="0.2">
      <c r="A210" s="1"/>
      <c r="B210" s="1"/>
      <c r="C210" s="2"/>
      <c r="D210" s="3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28"/>
      <c r="Y210" s="142"/>
      <c r="Z210" s="213"/>
    </row>
    <row r="211" spans="1:26" ht="15.75" customHeight="1" x14ac:dyDescent="0.2">
      <c r="A211" s="1"/>
      <c r="B211" s="1"/>
      <c r="C211" s="2"/>
      <c r="D211" s="3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28"/>
      <c r="Y211" s="142"/>
      <c r="Z211" s="213"/>
    </row>
    <row r="212" spans="1:26" ht="15.75" customHeight="1" x14ac:dyDescent="0.25"/>
    <row r="213" spans="1:26" ht="15.75" customHeight="1" x14ac:dyDescent="0.25"/>
    <row r="214" spans="1:26" ht="15.75" customHeight="1" x14ac:dyDescent="0.25"/>
    <row r="215" spans="1:26" ht="15.75" customHeight="1" x14ac:dyDescent="0.25"/>
    <row r="216" spans="1:26" ht="15.75" customHeight="1" x14ac:dyDescent="0.25"/>
    <row r="217" spans="1:26" ht="15.75" customHeight="1" x14ac:dyDescent="0.25"/>
    <row r="218" spans="1:26" ht="15.75" customHeight="1" x14ac:dyDescent="0.25"/>
    <row r="219" spans="1:26" ht="15.75" customHeight="1" x14ac:dyDescent="0.25"/>
    <row r="220" spans="1:26" ht="15.75" customHeight="1" x14ac:dyDescent="0.25"/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</sheetData>
  <autoFilter ref="A1:AD123"/>
  <mergeCells count="10">
    <mergeCell ref="A136:D136"/>
    <mergeCell ref="A137:D137"/>
    <mergeCell ref="A130:D130"/>
    <mergeCell ref="A131:D131"/>
    <mergeCell ref="A124:AD124"/>
    <mergeCell ref="A125:D125"/>
    <mergeCell ref="X130:X133"/>
    <mergeCell ref="Y130:Y133"/>
    <mergeCell ref="A132:D132"/>
    <mergeCell ref="A133:D133"/>
  </mergeCells>
  <phoneticPr fontId="8" type="noConversion"/>
  <pageMargins left="0.7" right="0.7" top="0.75" bottom="0.75" header="0" footer="0"/>
  <pageSetup paperSize="9" scale="46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1"/>
  <sheetViews>
    <sheetView zoomScale="115" zoomScaleNormal="115" workbookViewId="0">
      <selection activeCell="M23" sqref="M23"/>
    </sheetView>
  </sheetViews>
  <sheetFormatPr defaultRowHeight="15" x14ac:dyDescent="0.25"/>
  <cols>
    <col min="1" max="1" width="11.85546875" customWidth="1"/>
    <col min="2" max="2" width="22.140625" customWidth="1"/>
  </cols>
  <sheetData>
    <row r="1" spans="1:2" ht="18.75" x14ac:dyDescent="0.25">
      <c r="A1" s="318"/>
      <c r="B1" s="318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EC7"/>
  <sheetViews>
    <sheetView zoomScale="130" zoomScaleNormal="130" workbookViewId="0">
      <selection activeCell="E28" sqref="E28"/>
    </sheetView>
  </sheetViews>
  <sheetFormatPr defaultRowHeight="15" x14ac:dyDescent="0.25"/>
  <cols>
    <col min="2" max="2" width="10.7109375" bestFit="1" customWidth="1"/>
    <col min="3" max="3" width="24" customWidth="1"/>
    <col min="4" max="4" width="28.42578125" bestFit="1" customWidth="1"/>
    <col min="5" max="5" width="13.28515625" bestFit="1" customWidth="1"/>
    <col min="6" max="6" width="60.7109375" bestFit="1" customWidth="1"/>
    <col min="7" max="7" width="12.7109375" customWidth="1"/>
  </cols>
  <sheetData>
    <row r="1" spans="1:16357" ht="15" customHeight="1" x14ac:dyDescent="0.25">
      <c r="A1" s="477" t="s">
        <v>695</v>
      </c>
      <c r="B1" s="478"/>
      <c r="C1" s="478"/>
      <c r="D1" s="478"/>
      <c r="E1" s="478"/>
      <c r="F1" s="478"/>
      <c r="G1" s="478"/>
      <c r="H1" s="478"/>
    </row>
    <row r="2" spans="1:16357" ht="15.75" thickBot="1" x14ac:dyDescent="0.3">
      <c r="A2" s="479"/>
      <c r="B2" s="480"/>
      <c r="C2" s="480"/>
      <c r="D2" s="480"/>
      <c r="E2" s="480"/>
      <c r="F2" s="480"/>
      <c r="G2" s="480"/>
      <c r="H2" s="480"/>
    </row>
    <row r="3" spans="1:16357" s="11" customFormat="1" ht="30.75" thickBot="1" x14ac:dyDescent="0.3">
      <c r="A3" s="10" t="s">
        <v>696</v>
      </c>
      <c r="B3" s="10" t="s">
        <v>697</v>
      </c>
      <c r="C3" s="10" t="s">
        <v>698</v>
      </c>
      <c r="D3" s="10" t="s">
        <v>699</v>
      </c>
      <c r="E3" s="10" t="s">
        <v>700</v>
      </c>
      <c r="F3" s="10" t="s">
        <v>701</v>
      </c>
      <c r="G3" s="10" t="s">
        <v>702</v>
      </c>
      <c r="H3" s="10" t="s">
        <v>459</v>
      </c>
    </row>
    <row r="4" spans="1:16357" x14ac:dyDescent="0.25">
      <c r="A4" s="12">
        <v>1</v>
      </c>
      <c r="B4" s="12" t="s">
        <v>292</v>
      </c>
      <c r="C4" s="13" t="s">
        <v>293</v>
      </c>
      <c r="D4" s="14" t="s">
        <v>294</v>
      </c>
      <c r="E4" s="12">
        <v>3645037342</v>
      </c>
      <c r="F4" s="13" t="s">
        <v>295</v>
      </c>
      <c r="G4" s="12" t="s">
        <v>703</v>
      </c>
      <c r="H4" s="13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  <c r="VY4" s="8"/>
      <c r="VZ4" s="8"/>
      <c r="WA4" s="8"/>
      <c r="WB4" s="8"/>
      <c r="WC4" s="8"/>
      <c r="WD4" s="8"/>
      <c r="WE4" s="8"/>
      <c r="WF4" s="8"/>
      <c r="WG4" s="8"/>
      <c r="WH4" s="8"/>
      <c r="WI4" s="8"/>
      <c r="WJ4" s="8"/>
      <c r="WK4" s="8"/>
      <c r="WL4" s="8"/>
      <c r="WM4" s="8"/>
      <c r="WN4" s="8"/>
      <c r="WO4" s="8"/>
      <c r="WP4" s="8"/>
      <c r="WQ4" s="8"/>
      <c r="WR4" s="8"/>
      <c r="WS4" s="8"/>
      <c r="WT4" s="8"/>
      <c r="WU4" s="8"/>
      <c r="WV4" s="8"/>
      <c r="WW4" s="8"/>
      <c r="WX4" s="8"/>
      <c r="WY4" s="8"/>
      <c r="WZ4" s="8"/>
      <c r="XA4" s="8"/>
      <c r="XB4" s="8"/>
      <c r="XC4" s="8"/>
      <c r="XD4" s="8"/>
      <c r="XE4" s="8"/>
      <c r="XF4" s="8"/>
      <c r="XG4" s="8"/>
      <c r="XH4" s="8"/>
      <c r="XI4" s="8"/>
      <c r="XJ4" s="8"/>
      <c r="XK4" s="8"/>
      <c r="XL4" s="8"/>
      <c r="XM4" s="8"/>
      <c r="XN4" s="8"/>
      <c r="XO4" s="8"/>
      <c r="XP4" s="8"/>
      <c r="XQ4" s="8"/>
      <c r="XR4" s="8"/>
      <c r="XS4" s="8"/>
      <c r="XT4" s="8"/>
      <c r="XU4" s="8"/>
      <c r="XV4" s="8"/>
      <c r="XW4" s="8"/>
      <c r="XX4" s="8"/>
      <c r="XY4" s="8"/>
      <c r="XZ4" s="8"/>
      <c r="YA4" s="8"/>
      <c r="YB4" s="8"/>
      <c r="YC4" s="8"/>
      <c r="YD4" s="8"/>
      <c r="YE4" s="8"/>
      <c r="YF4" s="8"/>
      <c r="YG4" s="8"/>
      <c r="YH4" s="8"/>
      <c r="YI4" s="8"/>
      <c r="YJ4" s="8"/>
      <c r="YK4" s="8"/>
      <c r="YL4" s="8"/>
      <c r="YM4" s="8"/>
      <c r="YN4" s="8"/>
      <c r="YO4" s="8"/>
      <c r="YP4" s="8"/>
      <c r="YQ4" s="8"/>
      <c r="YR4" s="8"/>
      <c r="YS4" s="8"/>
      <c r="YT4" s="8"/>
      <c r="YU4" s="8"/>
      <c r="YV4" s="8"/>
      <c r="YW4" s="8"/>
      <c r="YX4" s="8"/>
      <c r="YY4" s="8"/>
      <c r="YZ4" s="8"/>
      <c r="ZA4" s="8"/>
      <c r="ZB4" s="8"/>
      <c r="ZC4" s="8"/>
      <c r="ZD4" s="8"/>
      <c r="ZE4" s="8"/>
      <c r="ZF4" s="8"/>
      <c r="ZG4" s="8"/>
      <c r="ZH4" s="8"/>
      <c r="ZI4" s="8"/>
      <c r="ZJ4" s="8"/>
      <c r="ZK4" s="8"/>
      <c r="ZL4" s="8"/>
      <c r="ZM4" s="8"/>
      <c r="ZN4" s="8"/>
      <c r="ZO4" s="8"/>
      <c r="ZP4" s="8"/>
      <c r="ZQ4" s="8"/>
      <c r="ZR4" s="8"/>
      <c r="ZS4" s="8"/>
      <c r="ZT4" s="8"/>
      <c r="ZU4" s="8"/>
      <c r="ZV4" s="8"/>
      <c r="ZW4" s="8"/>
      <c r="ZX4" s="8"/>
      <c r="ZY4" s="8"/>
      <c r="ZZ4" s="8"/>
      <c r="AAA4" s="8"/>
      <c r="AAB4" s="8"/>
      <c r="AAC4" s="8"/>
      <c r="AAD4" s="8"/>
      <c r="AAE4" s="8"/>
      <c r="AAF4" s="8"/>
      <c r="AAG4" s="8"/>
      <c r="AAH4" s="8"/>
      <c r="AAI4" s="8"/>
      <c r="AAJ4" s="8"/>
      <c r="AAK4" s="8"/>
      <c r="AAL4" s="8"/>
      <c r="AAM4" s="8"/>
      <c r="AAN4" s="8"/>
      <c r="AAO4" s="8"/>
      <c r="AAP4" s="8"/>
      <c r="AAQ4" s="8"/>
      <c r="AAR4" s="8"/>
      <c r="AAS4" s="8"/>
      <c r="AAT4" s="8"/>
      <c r="AAU4" s="8"/>
      <c r="AAV4" s="8"/>
      <c r="AAW4" s="8"/>
      <c r="AAX4" s="8"/>
      <c r="AAY4" s="8"/>
      <c r="AAZ4" s="8"/>
      <c r="ABA4" s="8"/>
      <c r="ABB4" s="8"/>
      <c r="ABC4" s="8"/>
      <c r="ABD4" s="8"/>
      <c r="ABE4" s="8"/>
      <c r="ABF4" s="8"/>
      <c r="ABG4" s="8"/>
      <c r="ABH4" s="8"/>
      <c r="ABI4" s="8"/>
      <c r="ABJ4" s="8"/>
      <c r="ABK4" s="8"/>
      <c r="ABL4" s="8"/>
      <c r="ABM4" s="8"/>
      <c r="ABN4" s="8"/>
      <c r="ABO4" s="8"/>
      <c r="ABP4" s="8"/>
      <c r="ABQ4" s="8"/>
      <c r="ABR4" s="8"/>
      <c r="ABS4" s="8"/>
      <c r="ABT4" s="8"/>
      <c r="ABU4" s="8"/>
      <c r="ABV4" s="8"/>
      <c r="ABW4" s="8"/>
      <c r="ABX4" s="8"/>
      <c r="ABY4" s="8"/>
      <c r="ABZ4" s="8"/>
      <c r="ACA4" s="8"/>
      <c r="ACB4" s="8"/>
      <c r="ACC4" s="8"/>
      <c r="ACD4" s="8"/>
      <c r="ACE4" s="8"/>
      <c r="ACF4" s="8"/>
      <c r="ACG4" s="8"/>
      <c r="ACH4" s="8"/>
      <c r="ACI4" s="8"/>
      <c r="ACJ4" s="8"/>
      <c r="ACK4" s="8"/>
      <c r="ACL4" s="8"/>
      <c r="ACM4" s="8"/>
      <c r="ACN4" s="8"/>
      <c r="ACO4" s="8"/>
      <c r="ACP4" s="8"/>
      <c r="ACQ4" s="8"/>
      <c r="ACR4" s="8"/>
      <c r="ACS4" s="8"/>
      <c r="ACT4" s="8"/>
      <c r="ACU4" s="8"/>
      <c r="ACV4" s="8"/>
      <c r="ACW4" s="8"/>
      <c r="ACX4" s="8"/>
      <c r="ACY4" s="8"/>
      <c r="ACZ4" s="8"/>
      <c r="ADA4" s="8"/>
      <c r="ADB4" s="8"/>
      <c r="ADC4" s="8"/>
      <c r="ADD4" s="8"/>
      <c r="ADE4" s="8"/>
      <c r="ADF4" s="8"/>
      <c r="ADG4" s="8"/>
      <c r="ADH4" s="8"/>
      <c r="ADI4" s="8"/>
      <c r="ADJ4" s="8"/>
      <c r="ADK4" s="8"/>
      <c r="ADL4" s="8"/>
      <c r="ADM4" s="8"/>
      <c r="ADN4" s="8"/>
      <c r="ADO4" s="8"/>
      <c r="ADP4" s="8"/>
      <c r="ADQ4" s="8"/>
      <c r="ADR4" s="8"/>
      <c r="ADS4" s="8"/>
      <c r="ADT4" s="8"/>
      <c r="ADU4" s="8"/>
      <c r="ADV4" s="8"/>
      <c r="ADW4" s="8"/>
      <c r="ADX4" s="8"/>
      <c r="ADY4" s="8"/>
      <c r="ADZ4" s="8"/>
      <c r="AEA4" s="8"/>
      <c r="AEB4" s="8"/>
      <c r="AEC4" s="8"/>
      <c r="AED4" s="8"/>
      <c r="AEE4" s="8"/>
      <c r="AEF4" s="8"/>
      <c r="AEG4" s="8"/>
      <c r="AEH4" s="8"/>
      <c r="AEI4" s="8"/>
      <c r="AEJ4" s="8"/>
      <c r="AEK4" s="8"/>
      <c r="AEL4" s="8"/>
      <c r="AEM4" s="8"/>
      <c r="AEN4" s="8"/>
      <c r="AEO4" s="8"/>
      <c r="AEP4" s="8"/>
      <c r="AEQ4" s="8"/>
      <c r="AER4" s="8"/>
      <c r="AES4" s="8"/>
      <c r="AET4" s="8"/>
      <c r="AEU4" s="8"/>
      <c r="AEV4" s="8"/>
      <c r="AEW4" s="8"/>
      <c r="AEX4" s="8"/>
      <c r="AEY4" s="8"/>
      <c r="AEZ4" s="8"/>
      <c r="AFA4" s="8"/>
      <c r="AFB4" s="8"/>
      <c r="AFC4" s="8"/>
      <c r="AFD4" s="8"/>
      <c r="AFE4" s="8"/>
      <c r="AFF4" s="8"/>
      <c r="AFG4" s="8"/>
      <c r="AFH4" s="8"/>
      <c r="AFI4" s="8"/>
      <c r="AFJ4" s="8"/>
      <c r="AFK4" s="8"/>
      <c r="AFL4" s="8"/>
      <c r="AFM4" s="8"/>
      <c r="AFN4" s="8"/>
      <c r="AFO4" s="8"/>
      <c r="AFP4" s="8"/>
      <c r="AFQ4" s="8"/>
      <c r="AFR4" s="8"/>
      <c r="AFS4" s="8"/>
      <c r="AFT4" s="8"/>
      <c r="AFU4" s="8"/>
      <c r="AFV4" s="8"/>
      <c r="AFW4" s="8"/>
      <c r="AFX4" s="8"/>
      <c r="AFY4" s="8"/>
      <c r="AFZ4" s="8"/>
      <c r="AGA4" s="8"/>
      <c r="AGB4" s="8"/>
      <c r="AGC4" s="8"/>
      <c r="AGD4" s="8"/>
      <c r="AGE4" s="8"/>
      <c r="AGF4" s="8"/>
      <c r="AGG4" s="8"/>
      <c r="AGH4" s="8"/>
      <c r="AGI4" s="8"/>
      <c r="AGJ4" s="8"/>
      <c r="AGK4" s="8"/>
      <c r="AGL4" s="8"/>
      <c r="AGM4" s="8"/>
      <c r="AGN4" s="8"/>
      <c r="AGO4" s="8"/>
      <c r="AGP4" s="8"/>
      <c r="AGQ4" s="8"/>
      <c r="AGR4" s="8"/>
      <c r="AGS4" s="8"/>
      <c r="AGT4" s="8"/>
      <c r="AGU4" s="8"/>
      <c r="AGV4" s="8"/>
      <c r="AGW4" s="8"/>
      <c r="AGX4" s="8"/>
      <c r="AGY4" s="8"/>
      <c r="AGZ4" s="8"/>
      <c r="AHA4" s="8"/>
      <c r="AHB4" s="8"/>
      <c r="AHC4" s="8"/>
      <c r="AHD4" s="8"/>
      <c r="AHE4" s="8"/>
      <c r="AHF4" s="8"/>
      <c r="AHG4" s="8"/>
      <c r="AHH4" s="8"/>
      <c r="AHI4" s="8"/>
      <c r="AHJ4" s="8"/>
      <c r="AHK4" s="8"/>
      <c r="AHL4" s="8"/>
      <c r="AHM4" s="8"/>
      <c r="AHN4" s="8"/>
      <c r="AHO4" s="8"/>
      <c r="AHP4" s="8"/>
      <c r="AHQ4" s="8"/>
      <c r="AHR4" s="8"/>
      <c r="AHS4" s="8"/>
      <c r="AHT4" s="8"/>
      <c r="AHU4" s="8"/>
      <c r="AHV4" s="8"/>
      <c r="AHW4" s="8"/>
      <c r="AHX4" s="8"/>
      <c r="AHY4" s="8"/>
      <c r="AHZ4" s="8"/>
      <c r="AIA4" s="8"/>
      <c r="AIB4" s="8"/>
      <c r="AIC4" s="8"/>
      <c r="AID4" s="8"/>
      <c r="AIE4" s="8"/>
      <c r="AIF4" s="8"/>
      <c r="AIG4" s="8"/>
      <c r="AIH4" s="8"/>
      <c r="AII4" s="8"/>
      <c r="AIJ4" s="8"/>
      <c r="AIK4" s="8"/>
      <c r="AIL4" s="8"/>
      <c r="AIM4" s="8"/>
      <c r="AIN4" s="8"/>
      <c r="AIO4" s="8"/>
      <c r="AIP4" s="8"/>
      <c r="AIQ4" s="8"/>
      <c r="AIR4" s="8"/>
      <c r="AIS4" s="8"/>
      <c r="AIT4" s="8"/>
      <c r="AIU4" s="8"/>
      <c r="AIV4" s="8"/>
      <c r="AIW4" s="8"/>
      <c r="AIX4" s="8"/>
      <c r="AIY4" s="8"/>
      <c r="AIZ4" s="8"/>
      <c r="AJA4" s="8"/>
      <c r="AJB4" s="8"/>
      <c r="AJC4" s="8"/>
      <c r="AJD4" s="8"/>
      <c r="AJE4" s="8"/>
      <c r="AJF4" s="8"/>
      <c r="AJG4" s="8"/>
      <c r="AJH4" s="8"/>
      <c r="AJI4" s="8"/>
      <c r="AJJ4" s="8"/>
      <c r="AJK4" s="8"/>
      <c r="AJL4" s="8"/>
      <c r="AJM4" s="8"/>
      <c r="AJN4" s="8"/>
      <c r="AJO4" s="8"/>
      <c r="AJP4" s="8"/>
      <c r="AJQ4" s="8"/>
      <c r="AJR4" s="8"/>
      <c r="AJS4" s="8"/>
      <c r="AJT4" s="8"/>
      <c r="AJU4" s="8"/>
      <c r="AJV4" s="8"/>
      <c r="AJW4" s="8"/>
      <c r="AJX4" s="8"/>
      <c r="AJY4" s="8"/>
      <c r="AJZ4" s="8"/>
      <c r="AKA4" s="8"/>
      <c r="AKB4" s="8"/>
      <c r="AKC4" s="8"/>
      <c r="AKD4" s="8"/>
      <c r="AKE4" s="8"/>
      <c r="AKF4" s="8"/>
      <c r="AKG4" s="8"/>
      <c r="AKH4" s="8"/>
      <c r="AKI4" s="8"/>
      <c r="AKJ4" s="8"/>
      <c r="AKK4" s="8"/>
      <c r="AKL4" s="8"/>
      <c r="AKM4" s="8"/>
      <c r="AKN4" s="8"/>
      <c r="AKO4" s="8"/>
      <c r="AKP4" s="8"/>
      <c r="AKQ4" s="8"/>
      <c r="AKR4" s="8"/>
      <c r="AKS4" s="8"/>
      <c r="AKT4" s="8"/>
      <c r="AKU4" s="8"/>
      <c r="AKV4" s="8"/>
      <c r="AKW4" s="8"/>
      <c r="AKX4" s="8"/>
      <c r="AKY4" s="8"/>
      <c r="AKZ4" s="8"/>
      <c r="ALA4" s="8"/>
      <c r="ALB4" s="8"/>
      <c r="ALC4" s="8"/>
      <c r="ALD4" s="8"/>
      <c r="ALE4" s="8"/>
      <c r="ALF4" s="8"/>
      <c r="ALG4" s="8"/>
      <c r="ALH4" s="8"/>
      <c r="ALI4" s="8"/>
      <c r="ALJ4" s="8"/>
      <c r="ALK4" s="8"/>
      <c r="ALL4" s="8"/>
      <c r="ALM4" s="8"/>
      <c r="ALN4" s="8"/>
      <c r="ALO4" s="8"/>
      <c r="ALP4" s="8"/>
      <c r="ALQ4" s="8"/>
      <c r="ALR4" s="8"/>
      <c r="ALS4" s="8"/>
      <c r="ALT4" s="8"/>
      <c r="ALU4" s="8"/>
      <c r="ALV4" s="8"/>
      <c r="ALW4" s="8"/>
      <c r="ALX4" s="8"/>
      <c r="ALY4" s="8"/>
      <c r="ALZ4" s="8"/>
      <c r="AMA4" s="8"/>
      <c r="AMB4" s="8"/>
      <c r="AMC4" s="8"/>
      <c r="AMD4" s="8"/>
      <c r="AME4" s="8"/>
      <c r="AMF4" s="8"/>
      <c r="AMG4" s="8"/>
      <c r="AMH4" s="8"/>
      <c r="AMI4" s="8"/>
      <c r="AMJ4" s="8"/>
      <c r="AMK4" s="8"/>
      <c r="AML4" s="8"/>
      <c r="AMM4" s="8"/>
      <c r="AMN4" s="8"/>
      <c r="AMO4" s="8"/>
      <c r="AMP4" s="8"/>
      <c r="AMQ4" s="8"/>
      <c r="AMR4" s="8"/>
      <c r="AMS4" s="8"/>
      <c r="AMT4" s="8"/>
      <c r="AMU4" s="8"/>
      <c r="AMV4" s="8"/>
      <c r="AMW4" s="8"/>
      <c r="AMX4" s="8"/>
      <c r="AMY4" s="8"/>
      <c r="AMZ4" s="8"/>
      <c r="ANA4" s="8"/>
      <c r="ANB4" s="8"/>
      <c r="ANC4" s="8"/>
      <c r="AND4" s="8"/>
      <c r="ANE4" s="8"/>
      <c r="ANF4" s="8"/>
      <c r="ANG4" s="8"/>
      <c r="ANH4" s="8"/>
      <c r="ANI4" s="8"/>
      <c r="ANJ4" s="8"/>
      <c r="ANK4" s="8"/>
      <c r="ANL4" s="8"/>
      <c r="ANM4" s="8"/>
      <c r="ANN4" s="8"/>
      <c r="ANO4" s="8"/>
      <c r="ANP4" s="8"/>
      <c r="ANQ4" s="8"/>
      <c r="ANR4" s="8"/>
      <c r="ANS4" s="8"/>
      <c r="ANT4" s="8"/>
      <c r="ANU4" s="8"/>
      <c r="ANV4" s="8"/>
      <c r="ANW4" s="8"/>
      <c r="ANX4" s="8"/>
      <c r="ANY4" s="8"/>
      <c r="ANZ4" s="8"/>
      <c r="AOA4" s="8"/>
      <c r="AOB4" s="8"/>
      <c r="AOC4" s="8"/>
      <c r="AOD4" s="8"/>
      <c r="AOE4" s="8"/>
      <c r="AOF4" s="8"/>
      <c r="AOG4" s="8"/>
      <c r="AOH4" s="8"/>
      <c r="AOI4" s="8"/>
      <c r="AOJ4" s="8"/>
      <c r="AOK4" s="8"/>
      <c r="AOL4" s="8"/>
      <c r="AOM4" s="8"/>
      <c r="AON4" s="8"/>
      <c r="AOO4" s="8"/>
      <c r="AOP4" s="8"/>
      <c r="AOQ4" s="8"/>
      <c r="AOR4" s="8"/>
      <c r="AOS4" s="8"/>
      <c r="AOT4" s="8"/>
      <c r="AOU4" s="8"/>
      <c r="AOV4" s="8"/>
      <c r="AOW4" s="8"/>
      <c r="AOX4" s="8"/>
      <c r="AOY4" s="8"/>
      <c r="AOZ4" s="8"/>
      <c r="APA4" s="8"/>
      <c r="APB4" s="8"/>
      <c r="APC4" s="8"/>
      <c r="APD4" s="8"/>
      <c r="APE4" s="8"/>
      <c r="APF4" s="8"/>
      <c r="APG4" s="8"/>
      <c r="APH4" s="8"/>
      <c r="API4" s="8"/>
      <c r="APJ4" s="8"/>
      <c r="APK4" s="8"/>
      <c r="APL4" s="8"/>
      <c r="APM4" s="8"/>
      <c r="APN4" s="8"/>
      <c r="APO4" s="8"/>
      <c r="APP4" s="8"/>
      <c r="APQ4" s="8"/>
      <c r="APR4" s="8"/>
      <c r="APS4" s="8"/>
      <c r="APT4" s="8"/>
      <c r="APU4" s="8"/>
      <c r="APV4" s="8"/>
      <c r="APW4" s="8"/>
      <c r="APX4" s="8"/>
      <c r="APY4" s="8"/>
      <c r="APZ4" s="8"/>
      <c r="AQA4" s="8"/>
      <c r="AQB4" s="8"/>
      <c r="AQC4" s="8"/>
      <c r="AQD4" s="8"/>
      <c r="AQE4" s="8"/>
      <c r="AQF4" s="8"/>
      <c r="AQG4" s="8"/>
      <c r="AQH4" s="8"/>
      <c r="AQI4" s="8"/>
      <c r="AQJ4" s="8"/>
      <c r="AQK4" s="8"/>
      <c r="AQL4" s="8"/>
      <c r="AQM4" s="8"/>
      <c r="AQN4" s="8"/>
      <c r="AQO4" s="8"/>
      <c r="AQP4" s="8"/>
      <c r="AQQ4" s="8"/>
      <c r="AQR4" s="8"/>
      <c r="AQS4" s="8"/>
      <c r="AQT4" s="8"/>
      <c r="AQU4" s="8"/>
      <c r="AQV4" s="8"/>
      <c r="AQW4" s="8"/>
      <c r="AQX4" s="8"/>
      <c r="AQY4" s="8"/>
      <c r="AQZ4" s="8"/>
      <c r="ARA4" s="8"/>
      <c r="ARB4" s="8"/>
      <c r="ARC4" s="8"/>
      <c r="ARD4" s="8"/>
      <c r="ARE4" s="8"/>
      <c r="ARF4" s="8"/>
      <c r="ARG4" s="8"/>
      <c r="ARH4" s="8"/>
      <c r="ARI4" s="8"/>
      <c r="ARJ4" s="8"/>
      <c r="ARK4" s="8"/>
      <c r="ARL4" s="8"/>
      <c r="ARM4" s="8"/>
      <c r="ARN4" s="8"/>
      <c r="ARO4" s="8"/>
      <c r="ARP4" s="8"/>
      <c r="ARQ4" s="8"/>
      <c r="ARR4" s="8"/>
      <c r="ARS4" s="8"/>
      <c r="ART4" s="8"/>
      <c r="ARU4" s="8"/>
      <c r="ARV4" s="8"/>
      <c r="ARW4" s="8"/>
      <c r="ARX4" s="8"/>
      <c r="ARY4" s="8"/>
      <c r="ARZ4" s="8"/>
      <c r="ASA4" s="8"/>
      <c r="ASB4" s="8"/>
      <c r="ASC4" s="8"/>
      <c r="ASD4" s="8"/>
      <c r="ASE4" s="8"/>
      <c r="ASF4" s="8"/>
      <c r="ASG4" s="8"/>
      <c r="ASH4" s="8"/>
      <c r="ASI4" s="8"/>
      <c r="ASJ4" s="8"/>
      <c r="ASK4" s="8"/>
      <c r="ASL4" s="8"/>
      <c r="ASM4" s="8"/>
      <c r="ASN4" s="8"/>
      <c r="ASO4" s="8"/>
      <c r="ASP4" s="8"/>
      <c r="ASQ4" s="8"/>
      <c r="ASR4" s="8"/>
      <c r="ASS4" s="8"/>
      <c r="AST4" s="8"/>
      <c r="ASU4" s="8"/>
      <c r="ASV4" s="8"/>
      <c r="ASW4" s="8"/>
      <c r="ASX4" s="8"/>
      <c r="ASY4" s="8"/>
      <c r="ASZ4" s="8"/>
      <c r="ATA4" s="8"/>
      <c r="ATB4" s="8"/>
      <c r="ATC4" s="8"/>
      <c r="ATD4" s="8"/>
      <c r="ATE4" s="8"/>
      <c r="ATF4" s="8"/>
      <c r="ATG4" s="8"/>
      <c r="ATH4" s="8"/>
      <c r="ATI4" s="8"/>
      <c r="ATJ4" s="8"/>
      <c r="ATK4" s="8"/>
      <c r="ATL4" s="8"/>
      <c r="ATM4" s="8"/>
      <c r="ATN4" s="8"/>
      <c r="ATO4" s="8"/>
      <c r="ATP4" s="8"/>
      <c r="ATQ4" s="8"/>
      <c r="ATR4" s="8"/>
      <c r="ATS4" s="8"/>
      <c r="ATT4" s="8"/>
      <c r="ATU4" s="8"/>
      <c r="ATV4" s="8"/>
      <c r="ATW4" s="8"/>
      <c r="ATX4" s="8"/>
      <c r="ATY4" s="8"/>
      <c r="ATZ4" s="8"/>
      <c r="AUA4" s="8"/>
      <c r="AUB4" s="8"/>
      <c r="AUC4" s="8"/>
      <c r="AUD4" s="8"/>
      <c r="AUE4" s="8"/>
      <c r="AUF4" s="8"/>
      <c r="AUG4" s="8"/>
      <c r="AUH4" s="8"/>
      <c r="AUI4" s="8"/>
      <c r="AUJ4" s="8"/>
      <c r="AUK4" s="8"/>
      <c r="AUL4" s="8"/>
      <c r="AUM4" s="8"/>
      <c r="AUN4" s="8"/>
      <c r="AUO4" s="8"/>
      <c r="AUP4" s="8"/>
      <c r="AUQ4" s="8"/>
      <c r="AUR4" s="8"/>
      <c r="AUS4" s="8"/>
      <c r="AUT4" s="8"/>
      <c r="AUU4" s="8"/>
      <c r="AUV4" s="8"/>
      <c r="AUW4" s="8"/>
      <c r="AUX4" s="8"/>
      <c r="AUY4" s="8"/>
      <c r="AUZ4" s="8"/>
      <c r="AVA4" s="8"/>
      <c r="AVB4" s="8"/>
      <c r="AVC4" s="8"/>
      <c r="AVD4" s="8"/>
      <c r="AVE4" s="8"/>
      <c r="AVF4" s="8"/>
      <c r="AVG4" s="8"/>
      <c r="AVH4" s="8"/>
      <c r="AVI4" s="8"/>
      <c r="AVJ4" s="8"/>
      <c r="AVK4" s="8"/>
      <c r="AVL4" s="8"/>
      <c r="AVM4" s="8"/>
      <c r="AVN4" s="8"/>
      <c r="AVO4" s="8"/>
      <c r="AVP4" s="8"/>
      <c r="AVQ4" s="8"/>
      <c r="AVR4" s="8"/>
      <c r="AVS4" s="8"/>
      <c r="AVT4" s="8"/>
      <c r="AVU4" s="8"/>
      <c r="AVV4" s="8"/>
      <c r="AVW4" s="8"/>
      <c r="AVX4" s="8"/>
      <c r="AVY4" s="8"/>
      <c r="AVZ4" s="8"/>
      <c r="AWA4" s="8"/>
      <c r="AWB4" s="8"/>
      <c r="AWC4" s="8"/>
      <c r="AWD4" s="8"/>
      <c r="AWE4" s="8"/>
      <c r="AWF4" s="8"/>
      <c r="AWG4" s="8"/>
      <c r="AWH4" s="8"/>
      <c r="AWI4" s="8"/>
      <c r="AWJ4" s="8"/>
      <c r="AWK4" s="8"/>
      <c r="AWL4" s="8"/>
      <c r="AWM4" s="8"/>
      <c r="AWN4" s="8"/>
      <c r="AWO4" s="8"/>
      <c r="AWP4" s="8"/>
      <c r="AWQ4" s="8"/>
      <c r="AWR4" s="8"/>
      <c r="AWS4" s="8"/>
      <c r="AWT4" s="8"/>
      <c r="AWU4" s="8"/>
      <c r="AWV4" s="8"/>
      <c r="AWW4" s="8"/>
      <c r="AWX4" s="8"/>
      <c r="AWY4" s="8"/>
      <c r="AWZ4" s="8"/>
      <c r="AXA4" s="8"/>
      <c r="AXB4" s="8"/>
      <c r="AXC4" s="8"/>
      <c r="AXD4" s="8"/>
      <c r="AXE4" s="8"/>
      <c r="AXF4" s="8"/>
      <c r="AXG4" s="8"/>
      <c r="AXH4" s="8"/>
      <c r="AXI4" s="8"/>
      <c r="AXJ4" s="8"/>
      <c r="AXK4" s="8"/>
      <c r="AXL4" s="8"/>
      <c r="AXM4" s="8"/>
      <c r="AXN4" s="8"/>
      <c r="AXO4" s="8"/>
      <c r="AXP4" s="8"/>
      <c r="AXQ4" s="8"/>
      <c r="AXR4" s="8"/>
      <c r="AXS4" s="8"/>
      <c r="AXT4" s="8"/>
      <c r="AXU4" s="8"/>
      <c r="AXV4" s="8"/>
      <c r="AXW4" s="8"/>
      <c r="AXX4" s="8"/>
      <c r="AXY4" s="8"/>
      <c r="AXZ4" s="8"/>
      <c r="AYA4" s="8"/>
      <c r="AYB4" s="8"/>
      <c r="AYC4" s="8"/>
      <c r="AYD4" s="8"/>
      <c r="AYE4" s="8"/>
      <c r="AYF4" s="8"/>
      <c r="AYG4" s="8"/>
      <c r="AYH4" s="8"/>
      <c r="AYI4" s="8"/>
      <c r="AYJ4" s="8"/>
      <c r="AYK4" s="8"/>
      <c r="AYL4" s="8"/>
      <c r="AYM4" s="8"/>
      <c r="AYN4" s="8"/>
      <c r="AYO4" s="8"/>
      <c r="AYP4" s="8"/>
      <c r="AYQ4" s="8"/>
      <c r="AYR4" s="8"/>
      <c r="AYS4" s="8"/>
      <c r="AYT4" s="8"/>
      <c r="AYU4" s="8"/>
      <c r="AYV4" s="8"/>
      <c r="AYW4" s="8"/>
      <c r="AYX4" s="8"/>
      <c r="AYY4" s="8"/>
      <c r="AYZ4" s="8"/>
      <c r="AZA4" s="8"/>
      <c r="AZB4" s="8"/>
      <c r="AZC4" s="8"/>
      <c r="AZD4" s="8"/>
      <c r="AZE4" s="8"/>
      <c r="AZF4" s="8"/>
      <c r="AZG4" s="8"/>
      <c r="AZH4" s="8"/>
      <c r="AZI4" s="8"/>
      <c r="AZJ4" s="8"/>
      <c r="AZK4" s="8"/>
      <c r="AZL4" s="8"/>
      <c r="AZM4" s="8"/>
      <c r="AZN4" s="8"/>
      <c r="AZO4" s="8"/>
      <c r="AZP4" s="8"/>
      <c r="AZQ4" s="8"/>
      <c r="AZR4" s="8"/>
      <c r="AZS4" s="8"/>
      <c r="AZT4" s="8"/>
      <c r="AZU4" s="8"/>
      <c r="AZV4" s="8"/>
      <c r="AZW4" s="8"/>
      <c r="AZX4" s="8"/>
      <c r="AZY4" s="8"/>
      <c r="AZZ4" s="8"/>
      <c r="BAA4" s="8"/>
      <c r="BAB4" s="8"/>
      <c r="BAC4" s="8"/>
      <c r="BAD4" s="8"/>
      <c r="BAE4" s="8"/>
      <c r="BAF4" s="8"/>
      <c r="BAG4" s="8"/>
      <c r="BAH4" s="8"/>
      <c r="BAI4" s="8"/>
      <c r="BAJ4" s="8"/>
      <c r="BAK4" s="8"/>
      <c r="BAL4" s="8"/>
      <c r="BAM4" s="8"/>
      <c r="BAN4" s="8"/>
      <c r="BAO4" s="8"/>
      <c r="BAP4" s="8"/>
      <c r="BAQ4" s="8"/>
      <c r="BAR4" s="8"/>
      <c r="BAS4" s="8"/>
      <c r="BAT4" s="8"/>
      <c r="BAU4" s="8"/>
      <c r="BAV4" s="8"/>
      <c r="BAW4" s="8"/>
      <c r="BAX4" s="8"/>
      <c r="BAY4" s="8"/>
      <c r="BAZ4" s="8"/>
      <c r="BBA4" s="8"/>
      <c r="BBB4" s="8"/>
      <c r="BBC4" s="8"/>
      <c r="BBD4" s="8"/>
      <c r="BBE4" s="8"/>
      <c r="BBF4" s="8"/>
      <c r="BBG4" s="8"/>
      <c r="BBH4" s="8"/>
      <c r="BBI4" s="8"/>
      <c r="BBJ4" s="8"/>
      <c r="BBK4" s="8"/>
      <c r="BBL4" s="8"/>
      <c r="BBM4" s="8"/>
      <c r="BBN4" s="8"/>
      <c r="BBO4" s="8"/>
      <c r="BBP4" s="8"/>
      <c r="BBQ4" s="8"/>
      <c r="BBR4" s="8"/>
      <c r="BBS4" s="8"/>
      <c r="BBT4" s="8"/>
      <c r="BBU4" s="8"/>
      <c r="BBV4" s="8"/>
      <c r="BBW4" s="8"/>
      <c r="BBX4" s="8"/>
      <c r="BBY4" s="8"/>
      <c r="BBZ4" s="8"/>
      <c r="BCA4" s="8"/>
      <c r="BCB4" s="8"/>
      <c r="BCC4" s="8"/>
      <c r="BCD4" s="8"/>
      <c r="BCE4" s="8"/>
      <c r="BCF4" s="8"/>
      <c r="BCG4" s="8"/>
      <c r="BCH4" s="8"/>
      <c r="BCI4" s="8"/>
      <c r="BCJ4" s="8"/>
      <c r="BCK4" s="8"/>
      <c r="BCL4" s="8"/>
      <c r="BCM4" s="8"/>
      <c r="BCN4" s="8"/>
      <c r="BCO4" s="8"/>
      <c r="BCP4" s="8"/>
      <c r="BCQ4" s="8"/>
      <c r="BCR4" s="8"/>
      <c r="BCS4" s="8"/>
      <c r="BCT4" s="8"/>
      <c r="BCU4" s="8"/>
      <c r="BCV4" s="8"/>
      <c r="BCW4" s="8"/>
      <c r="BCX4" s="8"/>
      <c r="BCY4" s="8"/>
      <c r="BCZ4" s="8"/>
      <c r="BDA4" s="8"/>
      <c r="BDB4" s="8"/>
      <c r="BDC4" s="8"/>
      <c r="BDD4" s="8"/>
      <c r="BDE4" s="8"/>
      <c r="BDF4" s="8"/>
      <c r="BDG4" s="8"/>
      <c r="BDH4" s="8"/>
      <c r="BDI4" s="8"/>
      <c r="BDJ4" s="8"/>
      <c r="BDK4" s="8"/>
      <c r="BDL4" s="8"/>
      <c r="BDM4" s="8"/>
      <c r="BDN4" s="8"/>
      <c r="BDO4" s="8"/>
      <c r="BDP4" s="8"/>
      <c r="BDQ4" s="8"/>
      <c r="BDR4" s="8"/>
      <c r="BDS4" s="8"/>
      <c r="BDT4" s="8"/>
      <c r="BDU4" s="8"/>
      <c r="BDV4" s="8"/>
      <c r="BDW4" s="8"/>
      <c r="BDX4" s="8"/>
      <c r="BDY4" s="8"/>
      <c r="BDZ4" s="8"/>
      <c r="BEA4" s="8"/>
      <c r="BEB4" s="8"/>
      <c r="BEC4" s="8"/>
      <c r="BED4" s="8"/>
      <c r="BEE4" s="8"/>
      <c r="BEF4" s="8"/>
      <c r="BEG4" s="8"/>
      <c r="BEH4" s="8"/>
      <c r="BEI4" s="8"/>
      <c r="BEJ4" s="8"/>
      <c r="BEK4" s="8"/>
      <c r="BEL4" s="8"/>
      <c r="BEM4" s="8"/>
      <c r="BEN4" s="8"/>
      <c r="BEO4" s="8"/>
      <c r="BEP4" s="8"/>
      <c r="BEQ4" s="8"/>
      <c r="BER4" s="8"/>
      <c r="BES4" s="8"/>
      <c r="BET4" s="8"/>
      <c r="BEU4" s="8"/>
      <c r="BEV4" s="8"/>
      <c r="BEW4" s="8"/>
      <c r="BEX4" s="8"/>
      <c r="BEY4" s="8"/>
      <c r="BEZ4" s="8"/>
      <c r="BFA4" s="8"/>
      <c r="BFB4" s="8"/>
      <c r="BFC4" s="8"/>
      <c r="BFD4" s="8"/>
      <c r="BFE4" s="8"/>
      <c r="BFF4" s="8"/>
      <c r="BFG4" s="8"/>
      <c r="BFH4" s="8"/>
      <c r="BFI4" s="8"/>
      <c r="BFJ4" s="8"/>
      <c r="BFK4" s="8"/>
      <c r="BFL4" s="8"/>
      <c r="BFM4" s="8"/>
      <c r="BFN4" s="8"/>
      <c r="BFO4" s="8"/>
      <c r="BFP4" s="8"/>
      <c r="BFQ4" s="8"/>
      <c r="BFR4" s="8"/>
      <c r="BFS4" s="8"/>
      <c r="BFT4" s="8"/>
      <c r="BFU4" s="8"/>
      <c r="BFV4" s="8"/>
      <c r="BFW4" s="8"/>
      <c r="BFX4" s="8"/>
      <c r="BFY4" s="8"/>
      <c r="BFZ4" s="8"/>
      <c r="BGA4" s="8"/>
      <c r="BGB4" s="8"/>
      <c r="BGC4" s="8"/>
      <c r="BGD4" s="8"/>
      <c r="BGE4" s="8"/>
      <c r="BGF4" s="8"/>
      <c r="BGG4" s="8"/>
      <c r="BGH4" s="8"/>
      <c r="BGI4" s="8"/>
      <c r="BGJ4" s="8"/>
      <c r="BGK4" s="8"/>
      <c r="BGL4" s="8"/>
      <c r="BGM4" s="8"/>
      <c r="BGN4" s="8"/>
      <c r="BGO4" s="8"/>
      <c r="BGP4" s="8"/>
      <c r="BGQ4" s="8"/>
      <c r="BGR4" s="8"/>
      <c r="BGS4" s="8"/>
      <c r="BGT4" s="8"/>
      <c r="BGU4" s="8"/>
      <c r="BGV4" s="8"/>
      <c r="BGW4" s="8"/>
      <c r="BGX4" s="8"/>
      <c r="BGY4" s="8"/>
      <c r="BGZ4" s="8"/>
      <c r="BHA4" s="8"/>
      <c r="BHB4" s="8"/>
      <c r="BHC4" s="8"/>
      <c r="BHD4" s="8"/>
      <c r="BHE4" s="8"/>
      <c r="BHF4" s="8"/>
      <c r="BHG4" s="8"/>
      <c r="BHH4" s="8"/>
      <c r="BHI4" s="8"/>
      <c r="BHJ4" s="8"/>
      <c r="BHK4" s="8"/>
      <c r="BHL4" s="8"/>
      <c r="BHM4" s="8"/>
      <c r="BHN4" s="8"/>
      <c r="BHO4" s="8"/>
      <c r="BHP4" s="8"/>
      <c r="BHQ4" s="8"/>
      <c r="BHR4" s="8"/>
      <c r="BHS4" s="8"/>
      <c r="BHT4" s="8"/>
      <c r="BHU4" s="8"/>
      <c r="BHV4" s="8"/>
      <c r="BHW4" s="8"/>
      <c r="BHX4" s="8"/>
      <c r="BHY4" s="8"/>
      <c r="BHZ4" s="8"/>
      <c r="BIA4" s="8"/>
      <c r="BIB4" s="8"/>
      <c r="BIC4" s="8"/>
      <c r="BID4" s="8"/>
      <c r="BIE4" s="8"/>
      <c r="BIF4" s="8"/>
      <c r="BIG4" s="8"/>
      <c r="BIH4" s="8"/>
      <c r="BII4" s="8"/>
      <c r="BIJ4" s="8"/>
      <c r="BIK4" s="8"/>
      <c r="BIL4" s="8"/>
      <c r="BIM4" s="8"/>
      <c r="BIN4" s="8"/>
      <c r="BIO4" s="8"/>
      <c r="BIP4" s="8"/>
      <c r="BIQ4" s="8"/>
      <c r="BIR4" s="8"/>
      <c r="BIS4" s="8"/>
      <c r="BIT4" s="8"/>
      <c r="BIU4" s="8"/>
      <c r="BIV4" s="8"/>
      <c r="BIW4" s="8"/>
      <c r="BIX4" s="8"/>
      <c r="BIY4" s="8"/>
      <c r="BIZ4" s="8"/>
      <c r="BJA4" s="8"/>
      <c r="BJB4" s="8"/>
      <c r="BJC4" s="8"/>
      <c r="BJD4" s="8"/>
      <c r="BJE4" s="8"/>
      <c r="BJF4" s="8"/>
      <c r="BJG4" s="8"/>
      <c r="BJH4" s="8"/>
      <c r="BJI4" s="8"/>
      <c r="BJJ4" s="8"/>
      <c r="BJK4" s="8"/>
      <c r="BJL4" s="8"/>
      <c r="BJM4" s="8"/>
      <c r="BJN4" s="8"/>
      <c r="BJO4" s="8"/>
      <c r="BJP4" s="8"/>
      <c r="BJQ4" s="8"/>
      <c r="BJR4" s="8"/>
      <c r="BJS4" s="8"/>
      <c r="BJT4" s="8"/>
      <c r="BJU4" s="8"/>
      <c r="BJV4" s="8"/>
      <c r="BJW4" s="8"/>
      <c r="BJX4" s="8"/>
      <c r="BJY4" s="8"/>
      <c r="BJZ4" s="8"/>
      <c r="BKA4" s="8"/>
      <c r="BKB4" s="8"/>
      <c r="BKC4" s="8"/>
      <c r="BKD4" s="8"/>
      <c r="BKE4" s="8"/>
      <c r="BKF4" s="8"/>
      <c r="BKG4" s="8"/>
      <c r="BKH4" s="8"/>
      <c r="BKI4" s="8"/>
      <c r="BKJ4" s="8"/>
      <c r="BKK4" s="8"/>
      <c r="BKL4" s="8"/>
      <c r="BKM4" s="8"/>
      <c r="BKN4" s="8"/>
      <c r="BKO4" s="8"/>
      <c r="BKP4" s="8"/>
      <c r="BKQ4" s="8"/>
      <c r="BKR4" s="8"/>
      <c r="BKS4" s="8"/>
      <c r="BKT4" s="8"/>
      <c r="BKU4" s="8"/>
      <c r="BKV4" s="8"/>
      <c r="BKW4" s="8"/>
      <c r="BKX4" s="8"/>
      <c r="BKY4" s="8"/>
      <c r="BKZ4" s="8"/>
      <c r="BLA4" s="8"/>
      <c r="BLB4" s="8"/>
      <c r="BLC4" s="8"/>
      <c r="BLD4" s="8"/>
      <c r="BLE4" s="8"/>
      <c r="BLF4" s="8"/>
      <c r="BLG4" s="8"/>
      <c r="BLH4" s="8"/>
      <c r="BLI4" s="8"/>
      <c r="BLJ4" s="8"/>
      <c r="BLK4" s="8"/>
      <c r="BLL4" s="8"/>
      <c r="BLM4" s="8"/>
      <c r="BLN4" s="8"/>
      <c r="BLO4" s="8"/>
      <c r="BLP4" s="8"/>
      <c r="BLQ4" s="8"/>
      <c r="BLR4" s="8"/>
      <c r="BLS4" s="8"/>
      <c r="BLT4" s="8"/>
      <c r="BLU4" s="8"/>
      <c r="BLV4" s="8"/>
      <c r="BLW4" s="8"/>
      <c r="BLX4" s="8"/>
      <c r="BLY4" s="8"/>
      <c r="BLZ4" s="8"/>
      <c r="BMA4" s="8"/>
      <c r="BMB4" s="8"/>
      <c r="BMC4" s="8"/>
      <c r="BMD4" s="8"/>
      <c r="BME4" s="8"/>
      <c r="BMF4" s="8"/>
      <c r="BMG4" s="8"/>
      <c r="BMH4" s="8"/>
      <c r="BMI4" s="8"/>
      <c r="BMJ4" s="8"/>
      <c r="BMK4" s="8"/>
      <c r="BML4" s="8"/>
      <c r="BMM4" s="8"/>
      <c r="BMN4" s="8"/>
      <c r="BMO4" s="8"/>
      <c r="BMP4" s="8"/>
      <c r="BMQ4" s="8"/>
      <c r="BMR4" s="8"/>
      <c r="BMS4" s="8"/>
      <c r="BMT4" s="8"/>
      <c r="BMU4" s="8"/>
      <c r="BMV4" s="8"/>
      <c r="BMW4" s="8"/>
      <c r="BMX4" s="8"/>
      <c r="BMY4" s="8"/>
      <c r="BMZ4" s="8"/>
      <c r="BNA4" s="8"/>
      <c r="BNB4" s="8"/>
      <c r="BNC4" s="8"/>
      <c r="BND4" s="8"/>
      <c r="BNE4" s="8"/>
      <c r="BNF4" s="8"/>
      <c r="BNG4" s="8"/>
      <c r="BNH4" s="8"/>
      <c r="BNI4" s="8"/>
      <c r="BNJ4" s="8"/>
      <c r="BNK4" s="8"/>
      <c r="BNL4" s="8"/>
      <c r="BNM4" s="8"/>
      <c r="BNN4" s="8"/>
      <c r="BNO4" s="8"/>
      <c r="BNP4" s="8"/>
      <c r="BNQ4" s="8"/>
      <c r="BNR4" s="8"/>
      <c r="BNS4" s="8"/>
      <c r="BNT4" s="8"/>
      <c r="BNU4" s="8"/>
      <c r="BNV4" s="8"/>
      <c r="BNW4" s="8"/>
      <c r="BNX4" s="8"/>
      <c r="BNY4" s="8"/>
      <c r="BNZ4" s="8"/>
      <c r="BOA4" s="8"/>
      <c r="BOB4" s="8"/>
      <c r="BOC4" s="8"/>
      <c r="BOD4" s="8"/>
      <c r="BOE4" s="8"/>
      <c r="BOF4" s="8"/>
      <c r="BOG4" s="8"/>
      <c r="BOH4" s="8"/>
      <c r="BOI4" s="8"/>
      <c r="BOJ4" s="8"/>
      <c r="BOK4" s="8"/>
      <c r="BOL4" s="8"/>
      <c r="BOM4" s="8"/>
      <c r="BON4" s="8"/>
      <c r="BOO4" s="8"/>
      <c r="BOP4" s="8"/>
      <c r="BOQ4" s="8"/>
      <c r="BOR4" s="8"/>
      <c r="BOS4" s="8"/>
      <c r="BOT4" s="8"/>
      <c r="BOU4" s="8"/>
      <c r="BOV4" s="8"/>
      <c r="BOW4" s="8"/>
      <c r="BOX4" s="8"/>
      <c r="BOY4" s="8"/>
      <c r="BOZ4" s="8"/>
      <c r="BPA4" s="8"/>
      <c r="BPB4" s="8"/>
      <c r="BPC4" s="8"/>
      <c r="BPD4" s="8"/>
      <c r="BPE4" s="8"/>
      <c r="BPF4" s="8"/>
      <c r="BPG4" s="8"/>
      <c r="BPH4" s="8"/>
      <c r="BPI4" s="8"/>
      <c r="BPJ4" s="8"/>
      <c r="BPK4" s="8"/>
      <c r="BPL4" s="8"/>
      <c r="BPM4" s="8"/>
      <c r="BPN4" s="8"/>
      <c r="BPO4" s="8"/>
      <c r="BPP4" s="8"/>
      <c r="BPQ4" s="8"/>
      <c r="BPR4" s="8"/>
      <c r="BPS4" s="8"/>
      <c r="BPT4" s="8"/>
      <c r="BPU4" s="8"/>
      <c r="BPV4" s="8"/>
      <c r="BPW4" s="8"/>
      <c r="BPX4" s="8"/>
      <c r="BPY4" s="8"/>
      <c r="BPZ4" s="8"/>
      <c r="BQA4" s="8"/>
      <c r="BQB4" s="8"/>
      <c r="BQC4" s="8"/>
      <c r="BQD4" s="8"/>
      <c r="BQE4" s="8"/>
      <c r="BQF4" s="8"/>
      <c r="BQG4" s="8"/>
      <c r="BQH4" s="8"/>
      <c r="BQI4" s="8"/>
      <c r="BQJ4" s="8"/>
      <c r="BQK4" s="8"/>
      <c r="BQL4" s="8"/>
      <c r="BQM4" s="8"/>
      <c r="BQN4" s="8"/>
      <c r="BQO4" s="8"/>
      <c r="BQP4" s="8"/>
      <c r="BQQ4" s="8"/>
      <c r="BQR4" s="8"/>
      <c r="BQS4" s="8"/>
      <c r="BQT4" s="8"/>
      <c r="BQU4" s="8"/>
      <c r="BQV4" s="8"/>
      <c r="BQW4" s="8"/>
      <c r="BQX4" s="8"/>
      <c r="BQY4" s="8"/>
      <c r="BQZ4" s="8"/>
      <c r="BRA4" s="8"/>
      <c r="BRB4" s="8"/>
      <c r="BRC4" s="8"/>
      <c r="BRD4" s="8"/>
      <c r="BRE4" s="8"/>
      <c r="BRF4" s="8"/>
      <c r="BRG4" s="8"/>
      <c r="BRH4" s="8"/>
      <c r="BRI4" s="8"/>
      <c r="BRJ4" s="8"/>
      <c r="BRK4" s="8"/>
      <c r="BRL4" s="8"/>
      <c r="BRM4" s="8"/>
      <c r="BRN4" s="8"/>
      <c r="BRO4" s="8"/>
      <c r="BRP4" s="8"/>
      <c r="BRQ4" s="8"/>
      <c r="BRR4" s="8"/>
      <c r="BRS4" s="8"/>
      <c r="BRT4" s="8"/>
      <c r="BRU4" s="8"/>
      <c r="BRV4" s="8"/>
      <c r="BRW4" s="8"/>
      <c r="BRX4" s="8"/>
      <c r="BRY4" s="8"/>
      <c r="BRZ4" s="8"/>
      <c r="BSA4" s="8"/>
      <c r="BSB4" s="8"/>
      <c r="BSC4" s="8"/>
      <c r="BSD4" s="8"/>
      <c r="BSE4" s="8"/>
      <c r="BSF4" s="8"/>
      <c r="BSG4" s="8"/>
      <c r="BSH4" s="8"/>
      <c r="BSI4" s="8"/>
      <c r="BSJ4" s="8"/>
      <c r="BSK4" s="8"/>
      <c r="BSL4" s="8"/>
      <c r="BSM4" s="8"/>
      <c r="BSN4" s="8"/>
      <c r="BSO4" s="8"/>
      <c r="BSP4" s="8"/>
      <c r="BSQ4" s="8"/>
      <c r="BSR4" s="8"/>
      <c r="BSS4" s="8"/>
      <c r="BST4" s="8"/>
      <c r="BSU4" s="8"/>
      <c r="BSV4" s="8"/>
      <c r="BSW4" s="8"/>
      <c r="BSX4" s="8"/>
      <c r="BSY4" s="8"/>
      <c r="BSZ4" s="8"/>
      <c r="BTA4" s="8"/>
      <c r="BTB4" s="8"/>
      <c r="BTC4" s="8"/>
      <c r="BTD4" s="8"/>
      <c r="BTE4" s="8"/>
      <c r="BTF4" s="8"/>
      <c r="BTG4" s="8"/>
      <c r="BTH4" s="8"/>
      <c r="BTI4" s="8"/>
      <c r="BTJ4" s="8"/>
      <c r="BTK4" s="8"/>
      <c r="BTL4" s="8"/>
      <c r="BTM4" s="8"/>
      <c r="BTN4" s="8"/>
      <c r="BTO4" s="8"/>
      <c r="BTP4" s="8"/>
      <c r="BTQ4" s="8"/>
      <c r="BTR4" s="8"/>
      <c r="BTS4" s="8"/>
      <c r="BTT4" s="8"/>
      <c r="BTU4" s="8"/>
      <c r="BTV4" s="8"/>
      <c r="BTW4" s="8"/>
      <c r="BTX4" s="8"/>
      <c r="BTY4" s="8"/>
      <c r="BTZ4" s="8"/>
      <c r="BUA4" s="8"/>
      <c r="BUB4" s="8"/>
      <c r="BUC4" s="8"/>
      <c r="BUD4" s="8"/>
      <c r="BUE4" s="8"/>
      <c r="BUF4" s="8"/>
      <c r="BUG4" s="8"/>
      <c r="BUH4" s="8"/>
      <c r="BUI4" s="8"/>
      <c r="BUJ4" s="8"/>
      <c r="BUK4" s="8"/>
      <c r="BUL4" s="8"/>
      <c r="BUM4" s="8"/>
      <c r="BUN4" s="8"/>
      <c r="BUO4" s="8"/>
      <c r="BUP4" s="8"/>
      <c r="BUQ4" s="8"/>
      <c r="BUR4" s="8"/>
      <c r="BUS4" s="8"/>
      <c r="BUT4" s="8"/>
      <c r="BUU4" s="8"/>
      <c r="BUV4" s="8"/>
      <c r="BUW4" s="8"/>
      <c r="BUX4" s="8"/>
      <c r="BUY4" s="8"/>
      <c r="BUZ4" s="8"/>
      <c r="BVA4" s="8"/>
      <c r="BVB4" s="8"/>
      <c r="BVC4" s="8"/>
      <c r="BVD4" s="8"/>
      <c r="BVE4" s="8"/>
      <c r="BVF4" s="8"/>
      <c r="BVG4" s="8"/>
      <c r="BVH4" s="8"/>
      <c r="BVI4" s="8"/>
      <c r="BVJ4" s="8"/>
      <c r="BVK4" s="8"/>
      <c r="BVL4" s="8"/>
      <c r="BVM4" s="8"/>
      <c r="BVN4" s="8"/>
      <c r="BVO4" s="8"/>
      <c r="BVP4" s="8"/>
      <c r="BVQ4" s="8"/>
      <c r="BVR4" s="8"/>
      <c r="BVS4" s="8"/>
      <c r="BVT4" s="8"/>
      <c r="BVU4" s="8"/>
      <c r="BVV4" s="8"/>
      <c r="BVW4" s="8"/>
      <c r="BVX4" s="8"/>
      <c r="BVY4" s="8"/>
      <c r="BVZ4" s="8"/>
      <c r="BWA4" s="8"/>
      <c r="BWB4" s="8"/>
      <c r="BWC4" s="8"/>
      <c r="BWD4" s="8"/>
      <c r="BWE4" s="8"/>
      <c r="BWF4" s="8"/>
      <c r="BWG4" s="8"/>
      <c r="BWH4" s="8"/>
      <c r="BWI4" s="8"/>
      <c r="BWJ4" s="8"/>
      <c r="BWK4" s="8"/>
      <c r="BWL4" s="8"/>
      <c r="BWM4" s="8"/>
      <c r="BWN4" s="8"/>
      <c r="BWO4" s="8"/>
      <c r="BWP4" s="8"/>
      <c r="BWQ4" s="8"/>
      <c r="BWR4" s="8"/>
      <c r="BWS4" s="8"/>
      <c r="BWT4" s="8"/>
      <c r="BWU4" s="8"/>
      <c r="BWV4" s="8"/>
      <c r="BWW4" s="8"/>
      <c r="BWX4" s="8"/>
      <c r="BWY4" s="8"/>
      <c r="BWZ4" s="8"/>
      <c r="BXA4" s="8"/>
      <c r="BXB4" s="8"/>
      <c r="BXC4" s="8"/>
      <c r="BXD4" s="8"/>
      <c r="BXE4" s="8"/>
      <c r="BXF4" s="8"/>
      <c r="BXG4" s="8"/>
      <c r="BXH4" s="8"/>
      <c r="BXI4" s="8"/>
      <c r="BXJ4" s="8"/>
      <c r="BXK4" s="8"/>
      <c r="BXL4" s="8"/>
      <c r="BXM4" s="8"/>
      <c r="BXN4" s="8"/>
      <c r="BXO4" s="8"/>
      <c r="BXP4" s="8"/>
      <c r="BXQ4" s="8"/>
      <c r="BXR4" s="8"/>
      <c r="BXS4" s="8"/>
      <c r="BXT4" s="8"/>
      <c r="BXU4" s="8"/>
      <c r="BXV4" s="8"/>
      <c r="BXW4" s="8"/>
      <c r="BXX4" s="8"/>
      <c r="BXY4" s="8"/>
      <c r="BXZ4" s="8"/>
      <c r="BYA4" s="8"/>
      <c r="BYB4" s="8"/>
      <c r="BYC4" s="8"/>
      <c r="BYD4" s="8"/>
      <c r="BYE4" s="8"/>
      <c r="BYF4" s="8"/>
      <c r="BYG4" s="8"/>
      <c r="BYH4" s="8"/>
      <c r="BYI4" s="8"/>
      <c r="BYJ4" s="8"/>
      <c r="BYK4" s="8"/>
      <c r="BYL4" s="8"/>
      <c r="BYM4" s="8"/>
      <c r="BYN4" s="8"/>
      <c r="BYO4" s="8"/>
      <c r="BYP4" s="8"/>
      <c r="BYQ4" s="8"/>
      <c r="BYR4" s="8"/>
      <c r="BYS4" s="8"/>
      <c r="BYT4" s="8"/>
      <c r="BYU4" s="8"/>
      <c r="BYV4" s="8"/>
      <c r="BYW4" s="8"/>
      <c r="BYX4" s="8"/>
      <c r="BYY4" s="8"/>
      <c r="BYZ4" s="8"/>
      <c r="BZA4" s="8"/>
      <c r="BZB4" s="8"/>
      <c r="BZC4" s="8"/>
      <c r="BZD4" s="8"/>
      <c r="BZE4" s="8"/>
      <c r="BZF4" s="8"/>
      <c r="BZG4" s="8"/>
      <c r="BZH4" s="8"/>
      <c r="BZI4" s="8"/>
      <c r="BZJ4" s="8"/>
      <c r="BZK4" s="8"/>
      <c r="BZL4" s="8"/>
      <c r="BZM4" s="8"/>
      <c r="BZN4" s="8"/>
      <c r="BZO4" s="8"/>
      <c r="BZP4" s="8"/>
      <c r="BZQ4" s="8"/>
      <c r="BZR4" s="8"/>
      <c r="BZS4" s="8"/>
      <c r="BZT4" s="8"/>
      <c r="BZU4" s="8"/>
      <c r="BZV4" s="8"/>
      <c r="BZW4" s="8"/>
      <c r="BZX4" s="8"/>
      <c r="BZY4" s="8"/>
      <c r="BZZ4" s="8"/>
      <c r="CAA4" s="8"/>
      <c r="CAB4" s="8"/>
      <c r="CAC4" s="8"/>
      <c r="CAD4" s="8"/>
      <c r="CAE4" s="8"/>
      <c r="CAF4" s="8"/>
      <c r="CAG4" s="8"/>
      <c r="CAH4" s="8"/>
      <c r="CAI4" s="8"/>
      <c r="CAJ4" s="8"/>
      <c r="CAK4" s="8"/>
      <c r="CAL4" s="8"/>
      <c r="CAM4" s="8"/>
      <c r="CAN4" s="8"/>
      <c r="CAO4" s="8"/>
      <c r="CAP4" s="8"/>
      <c r="CAQ4" s="8"/>
      <c r="CAR4" s="8"/>
      <c r="CAS4" s="8"/>
      <c r="CAT4" s="8"/>
      <c r="CAU4" s="8"/>
      <c r="CAV4" s="8"/>
      <c r="CAW4" s="8"/>
      <c r="CAX4" s="8"/>
      <c r="CAY4" s="8"/>
      <c r="CAZ4" s="8"/>
      <c r="CBA4" s="8"/>
      <c r="CBB4" s="8"/>
      <c r="CBC4" s="8"/>
      <c r="CBD4" s="8"/>
      <c r="CBE4" s="8"/>
      <c r="CBF4" s="8"/>
      <c r="CBG4" s="8"/>
      <c r="CBH4" s="8"/>
      <c r="CBI4" s="8"/>
      <c r="CBJ4" s="8"/>
      <c r="CBK4" s="8"/>
      <c r="CBL4" s="8"/>
      <c r="CBM4" s="8"/>
      <c r="CBN4" s="8"/>
      <c r="CBO4" s="8"/>
      <c r="CBP4" s="8"/>
      <c r="CBQ4" s="8"/>
      <c r="CBR4" s="8"/>
      <c r="CBS4" s="8"/>
      <c r="CBT4" s="8"/>
      <c r="CBU4" s="8"/>
      <c r="CBV4" s="8"/>
      <c r="CBW4" s="8"/>
      <c r="CBX4" s="8"/>
      <c r="CBY4" s="8"/>
      <c r="CBZ4" s="8"/>
      <c r="CCA4" s="8"/>
      <c r="CCB4" s="8"/>
      <c r="CCC4" s="8"/>
      <c r="CCD4" s="8"/>
      <c r="CCE4" s="8"/>
      <c r="CCF4" s="8"/>
      <c r="CCG4" s="8"/>
      <c r="CCH4" s="8"/>
      <c r="CCI4" s="8"/>
      <c r="CCJ4" s="8"/>
      <c r="CCK4" s="8"/>
      <c r="CCL4" s="8"/>
      <c r="CCM4" s="8"/>
      <c r="CCN4" s="8"/>
      <c r="CCO4" s="8"/>
      <c r="CCP4" s="8"/>
      <c r="CCQ4" s="8"/>
      <c r="CCR4" s="8"/>
      <c r="CCS4" s="8"/>
      <c r="CCT4" s="8"/>
      <c r="CCU4" s="8"/>
      <c r="CCV4" s="8"/>
      <c r="CCW4" s="8"/>
      <c r="CCX4" s="8"/>
      <c r="CCY4" s="8"/>
      <c r="CCZ4" s="8"/>
      <c r="CDA4" s="8"/>
      <c r="CDB4" s="8"/>
      <c r="CDC4" s="8"/>
      <c r="CDD4" s="8"/>
      <c r="CDE4" s="8"/>
      <c r="CDF4" s="8"/>
      <c r="CDG4" s="8"/>
      <c r="CDH4" s="8"/>
      <c r="CDI4" s="8"/>
      <c r="CDJ4" s="8"/>
      <c r="CDK4" s="8"/>
      <c r="CDL4" s="8"/>
      <c r="CDM4" s="8"/>
      <c r="CDN4" s="8"/>
      <c r="CDO4" s="8"/>
      <c r="CDP4" s="8"/>
      <c r="CDQ4" s="8"/>
      <c r="CDR4" s="8"/>
      <c r="CDS4" s="8"/>
      <c r="CDT4" s="8"/>
      <c r="CDU4" s="8"/>
      <c r="CDV4" s="8"/>
      <c r="CDW4" s="8"/>
      <c r="CDX4" s="8"/>
      <c r="CDY4" s="8"/>
      <c r="CDZ4" s="8"/>
      <c r="CEA4" s="8"/>
      <c r="CEB4" s="8"/>
      <c r="CEC4" s="8"/>
      <c r="CED4" s="8"/>
      <c r="CEE4" s="8"/>
      <c r="CEF4" s="8"/>
      <c r="CEG4" s="8"/>
      <c r="CEH4" s="8"/>
      <c r="CEI4" s="8"/>
      <c r="CEJ4" s="8"/>
      <c r="CEK4" s="8"/>
      <c r="CEL4" s="8"/>
      <c r="CEM4" s="8"/>
      <c r="CEN4" s="8"/>
      <c r="CEO4" s="8"/>
      <c r="CEP4" s="8"/>
      <c r="CEQ4" s="8"/>
      <c r="CER4" s="8"/>
      <c r="CES4" s="8"/>
      <c r="CET4" s="8"/>
      <c r="CEU4" s="8"/>
      <c r="CEV4" s="8"/>
      <c r="CEW4" s="8"/>
      <c r="CEX4" s="8"/>
      <c r="CEY4" s="8"/>
      <c r="CEZ4" s="8"/>
      <c r="CFA4" s="8"/>
      <c r="CFB4" s="8"/>
      <c r="CFC4" s="8"/>
      <c r="CFD4" s="8"/>
      <c r="CFE4" s="8"/>
      <c r="CFF4" s="8"/>
      <c r="CFG4" s="8"/>
      <c r="CFH4" s="8"/>
      <c r="CFI4" s="8"/>
      <c r="CFJ4" s="8"/>
      <c r="CFK4" s="8"/>
      <c r="CFL4" s="8"/>
      <c r="CFM4" s="8"/>
      <c r="CFN4" s="8"/>
      <c r="CFO4" s="8"/>
      <c r="CFP4" s="8"/>
      <c r="CFQ4" s="8"/>
      <c r="CFR4" s="8"/>
      <c r="CFS4" s="8"/>
      <c r="CFT4" s="8"/>
      <c r="CFU4" s="8"/>
      <c r="CFV4" s="8"/>
      <c r="CFW4" s="8"/>
      <c r="CFX4" s="8"/>
      <c r="CFY4" s="8"/>
      <c r="CFZ4" s="8"/>
      <c r="CGA4" s="8"/>
      <c r="CGB4" s="8"/>
      <c r="CGC4" s="8"/>
      <c r="CGD4" s="8"/>
      <c r="CGE4" s="8"/>
      <c r="CGF4" s="8"/>
      <c r="CGG4" s="8"/>
      <c r="CGH4" s="8"/>
      <c r="CGI4" s="8"/>
      <c r="CGJ4" s="8"/>
      <c r="CGK4" s="8"/>
      <c r="CGL4" s="8"/>
      <c r="CGM4" s="8"/>
      <c r="CGN4" s="8"/>
      <c r="CGO4" s="8"/>
      <c r="CGP4" s="8"/>
      <c r="CGQ4" s="8"/>
      <c r="CGR4" s="8"/>
      <c r="CGS4" s="8"/>
      <c r="CGT4" s="8"/>
      <c r="CGU4" s="8"/>
      <c r="CGV4" s="8"/>
      <c r="CGW4" s="8"/>
      <c r="CGX4" s="8"/>
      <c r="CGY4" s="8"/>
      <c r="CGZ4" s="8"/>
      <c r="CHA4" s="8"/>
      <c r="CHB4" s="8"/>
      <c r="CHC4" s="8"/>
      <c r="CHD4" s="8"/>
      <c r="CHE4" s="8"/>
      <c r="CHF4" s="8"/>
      <c r="CHG4" s="8"/>
      <c r="CHH4" s="8"/>
      <c r="CHI4" s="8"/>
      <c r="CHJ4" s="8"/>
      <c r="CHK4" s="8"/>
      <c r="CHL4" s="8"/>
      <c r="CHM4" s="8"/>
      <c r="CHN4" s="8"/>
      <c r="CHO4" s="8"/>
      <c r="CHP4" s="8"/>
      <c r="CHQ4" s="8"/>
      <c r="CHR4" s="8"/>
      <c r="CHS4" s="8"/>
      <c r="CHT4" s="8"/>
      <c r="CHU4" s="8"/>
      <c r="CHV4" s="8"/>
      <c r="CHW4" s="8"/>
      <c r="CHX4" s="8"/>
      <c r="CHY4" s="8"/>
      <c r="CHZ4" s="8"/>
      <c r="CIA4" s="8"/>
      <c r="CIB4" s="8"/>
      <c r="CIC4" s="8"/>
      <c r="CID4" s="8"/>
      <c r="CIE4" s="8"/>
      <c r="CIF4" s="8"/>
      <c r="CIG4" s="8"/>
      <c r="CIH4" s="8"/>
      <c r="CII4" s="8"/>
      <c r="CIJ4" s="8"/>
      <c r="CIK4" s="8"/>
      <c r="CIL4" s="8"/>
      <c r="CIM4" s="8"/>
      <c r="CIN4" s="8"/>
      <c r="CIO4" s="8"/>
      <c r="CIP4" s="8"/>
      <c r="CIQ4" s="8"/>
      <c r="CIR4" s="8"/>
      <c r="CIS4" s="8"/>
      <c r="CIT4" s="8"/>
      <c r="CIU4" s="8"/>
      <c r="CIV4" s="8"/>
      <c r="CIW4" s="8"/>
      <c r="CIX4" s="8"/>
      <c r="CIY4" s="8"/>
      <c r="CIZ4" s="8"/>
      <c r="CJA4" s="8"/>
      <c r="CJB4" s="8"/>
      <c r="CJC4" s="8"/>
      <c r="CJD4" s="8"/>
      <c r="CJE4" s="8"/>
      <c r="CJF4" s="8"/>
      <c r="CJG4" s="8"/>
      <c r="CJH4" s="8"/>
      <c r="CJI4" s="8"/>
      <c r="CJJ4" s="8"/>
      <c r="CJK4" s="8"/>
      <c r="CJL4" s="8"/>
      <c r="CJM4" s="8"/>
      <c r="CJN4" s="8"/>
      <c r="CJO4" s="8"/>
      <c r="CJP4" s="8"/>
      <c r="CJQ4" s="8"/>
      <c r="CJR4" s="8"/>
      <c r="CJS4" s="8"/>
      <c r="CJT4" s="8"/>
      <c r="CJU4" s="8"/>
      <c r="CJV4" s="8"/>
      <c r="CJW4" s="8"/>
      <c r="CJX4" s="8"/>
      <c r="CJY4" s="8"/>
      <c r="CJZ4" s="8"/>
      <c r="CKA4" s="8"/>
      <c r="CKB4" s="8"/>
      <c r="CKC4" s="8"/>
      <c r="CKD4" s="8"/>
      <c r="CKE4" s="8"/>
      <c r="CKF4" s="8"/>
      <c r="CKG4" s="8"/>
      <c r="CKH4" s="8"/>
      <c r="CKI4" s="8"/>
      <c r="CKJ4" s="8"/>
      <c r="CKK4" s="8"/>
      <c r="CKL4" s="8"/>
      <c r="CKM4" s="8"/>
      <c r="CKN4" s="8"/>
      <c r="CKO4" s="8"/>
      <c r="CKP4" s="8"/>
      <c r="CKQ4" s="8"/>
      <c r="CKR4" s="8"/>
      <c r="CKS4" s="8"/>
      <c r="CKT4" s="8"/>
      <c r="CKU4" s="8"/>
      <c r="CKV4" s="8"/>
      <c r="CKW4" s="8"/>
      <c r="CKX4" s="8"/>
      <c r="CKY4" s="8"/>
      <c r="CKZ4" s="8"/>
      <c r="CLA4" s="8"/>
      <c r="CLB4" s="8"/>
      <c r="CLC4" s="8"/>
      <c r="CLD4" s="8"/>
      <c r="CLE4" s="8"/>
      <c r="CLF4" s="8"/>
      <c r="CLG4" s="8"/>
      <c r="CLH4" s="8"/>
      <c r="CLI4" s="8"/>
      <c r="CLJ4" s="8"/>
      <c r="CLK4" s="8"/>
      <c r="CLL4" s="8"/>
      <c r="CLM4" s="8"/>
      <c r="CLN4" s="8"/>
      <c r="CLO4" s="8"/>
      <c r="CLP4" s="8"/>
      <c r="CLQ4" s="8"/>
      <c r="CLR4" s="8"/>
      <c r="CLS4" s="8"/>
      <c r="CLT4" s="8"/>
      <c r="CLU4" s="8"/>
      <c r="CLV4" s="8"/>
      <c r="CLW4" s="8"/>
      <c r="CLX4" s="8"/>
      <c r="CLY4" s="8"/>
      <c r="CLZ4" s="8"/>
      <c r="CMA4" s="8"/>
      <c r="CMB4" s="8"/>
      <c r="CMC4" s="8"/>
      <c r="CMD4" s="8"/>
      <c r="CME4" s="8"/>
      <c r="CMF4" s="8"/>
      <c r="CMG4" s="8"/>
      <c r="CMH4" s="8"/>
      <c r="CMI4" s="8"/>
      <c r="CMJ4" s="8"/>
      <c r="CMK4" s="8"/>
      <c r="CML4" s="8"/>
      <c r="CMM4" s="8"/>
      <c r="CMN4" s="8"/>
      <c r="CMO4" s="8"/>
      <c r="CMP4" s="8"/>
      <c r="CMQ4" s="8"/>
      <c r="CMR4" s="8"/>
      <c r="CMS4" s="8"/>
      <c r="CMT4" s="8"/>
      <c r="CMU4" s="8"/>
      <c r="CMV4" s="8"/>
      <c r="CMW4" s="8"/>
      <c r="CMX4" s="8"/>
      <c r="CMY4" s="8"/>
      <c r="CMZ4" s="8"/>
      <c r="CNA4" s="8"/>
      <c r="CNB4" s="8"/>
      <c r="CNC4" s="8"/>
      <c r="CND4" s="8"/>
      <c r="CNE4" s="8"/>
      <c r="CNF4" s="8"/>
      <c r="CNG4" s="8"/>
      <c r="CNH4" s="8"/>
      <c r="CNI4" s="8"/>
      <c r="CNJ4" s="8"/>
      <c r="CNK4" s="8"/>
      <c r="CNL4" s="8"/>
      <c r="CNM4" s="8"/>
      <c r="CNN4" s="8"/>
      <c r="CNO4" s="8"/>
      <c r="CNP4" s="8"/>
      <c r="CNQ4" s="8"/>
      <c r="CNR4" s="8"/>
      <c r="CNS4" s="8"/>
      <c r="CNT4" s="8"/>
      <c r="CNU4" s="8"/>
      <c r="CNV4" s="8"/>
      <c r="CNW4" s="8"/>
      <c r="CNX4" s="8"/>
      <c r="CNY4" s="8"/>
      <c r="CNZ4" s="8"/>
      <c r="COA4" s="8"/>
      <c r="COB4" s="8"/>
      <c r="COC4" s="8"/>
      <c r="COD4" s="8"/>
      <c r="COE4" s="8"/>
      <c r="COF4" s="8"/>
      <c r="COG4" s="8"/>
      <c r="COH4" s="8"/>
      <c r="COI4" s="8"/>
      <c r="COJ4" s="8"/>
      <c r="COK4" s="8"/>
      <c r="COL4" s="8"/>
      <c r="COM4" s="8"/>
      <c r="CON4" s="8"/>
      <c r="COO4" s="8"/>
      <c r="COP4" s="8"/>
      <c r="COQ4" s="8"/>
      <c r="COR4" s="8"/>
      <c r="COS4" s="8"/>
      <c r="COT4" s="8"/>
      <c r="COU4" s="8"/>
      <c r="COV4" s="8"/>
      <c r="COW4" s="8"/>
      <c r="COX4" s="8"/>
      <c r="COY4" s="8"/>
      <c r="COZ4" s="8"/>
      <c r="CPA4" s="8"/>
      <c r="CPB4" s="8"/>
      <c r="CPC4" s="8"/>
      <c r="CPD4" s="8"/>
      <c r="CPE4" s="8"/>
      <c r="CPF4" s="8"/>
      <c r="CPG4" s="8"/>
      <c r="CPH4" s="8"/>
      <c r="CPI4" s="8"/>
      <c r="CPJ4" s="8"/>
      <c r="CPK4" s="8"/>
      <c r="CPL4" s="8"/>
      <c r="CPM4" s="8"/>
      <c r="CPN4" s="8"/>
      <c r="CPO4" s="8"/>
      <c r="CPP4" s="8"/>
      <c r="CPQ4" s="8"/>
      <c r="CPR4" s="8"/>
      <c r="CPS4" s="8"/>
      <c r="CPT4" s="8"/>
      <c r="CPU4" s="8"/>
      <c r="CPV4" s="8"/>
      <c r="CPW4" s="8"/>
      <c r="CPX4" s="8"/>
      <c r="CPY4" s="8"/>
      <c r="CPZ4" s="8"/>
      <c r="CQA4" s="8"/>
      <c r="CQB4" s="8"/>
      <c r="CQC4" s="8"/>
      <c r="CQD4" s="8"/>
      <c r="CQE4" s="8"/>
      <c r="CQF4" s="8"/>
      <c r="CQG4" s="8"/>
      <c r="CQH4" s="8"/>
      <c r="CQI4" s="8"/>
      <c r="CQJ4" s="8"/>
      <c r="CQK4" s="8"/>
      <c r="CQL4" s="8"/>
      <c r="CQM4" s="8"/>
      <c r="CQN4" s="8"/>
      <c r="CQO4" s="8"/>
      <c r="CQP4" s="8"/>
      <c r="CQQ4" s="8"/>
      <c r="CQR4" s="8"/>
      <c r="CQS4" s="8"/>
      <c r="CQT4" s="8"/>
      <c r="CQU4" s="8"/>
      <c r="CQV4" s="8"/>
      <c r="CQW4" s="8"/>
      <c r="CQX4" s="8"/>
      <c r="CQY4" s="8"/>
      <c r="CQZ4" s="8"/>
      <c r="CRA4" s="8"/>
      <c r="CRB4" s="8"/>
      <c r="CRC4" s="8"/>
      <c r="CRD4" s="8"/>
      <c r="CRE4" s="8"/>
      <c r="CRF4" s="8"/>
      <c r="CRG4" s="8"/>
      <c r="CRH4" s="8"/>
      <c r="CRI4" s="8"/>
      <c r="CRJ4" s="8"/>
      <c r="CRK4" s="8"/>
      <c r="CRL4" s="8"/>
      <c r="CRM4" s="8"/>
      <c r="CRN4" s="8"/>
      <c r="CRO4" s="8"/>
      <c r="CRP4" s="8"/>
      <c r="CRQ4" s="8"/>
      <c r="CRR4" s="8"/>
      <c r="CRS4" s="8"/>
      <c r="CRT4" s="8"/>
      <c r="CRU4" s="8"/>
      <c r="CRV4" s="8"/>
      <c r="CRW4" s="8"/>
      <c r="CRX4" s="8"/>
      <c r="CRY4" s="8"/>
      <c r="CRZ4" s="8"/>
      <c r="CSA4" s="8"/>
      <c r="CSB4" s="8"/>
      <c r="CSC4" s="8"/>
      <c r="CSD4" s="8"/>
      <c r="CSE4" s="8"/>
      <c r="CSF4" s="8"/>
      <c r="CSG4" s="8"/>
      <c r="CSH4" s="8"/>
      <c r="CSI4" s="8"/>
      <c r="CSJ4" s="8"/>
      <c r="CSK4" s="8"/>
      <c r="CSL4" s="8"/>
      <c r="CSM4" s="8"/>
      <c r="CSN4" s="8"/>
      <c r="CSO4" s="8"/>
      <c r="CSP4" s="8"/>
      <c r="CSQ4" s="8"/>
      <c r="CSR4" s="8"/>
      <c r="CSS4" s="8"/>
      <c r="CST4" s="8"/>
      <c r="CSU4" s="8"/>
      <c r="CSV4" s="8"/>
      <c r="CSW4" s="8"/>
      <c r="CSX4" s="8"/>
      <c r="CSY4" s="8"/>
      <c r="CSZ4" s="8"/>
      <c r="CTA4" s="8"/>
      <c r="CTB4" s="8"/>
      <c r="CTC4" s="8"/>
      <c r="CTD4" s="8"/>
      <c r="CTE4" s="8"/>
      <c r="CTF4" s="8"/>
      <c r="CTG4" s="8"/>
      <c r="CTH4" s="8"/>
      <c r="CTI4" s="8"/>
      <c r="CTJ4" s="8"/>
      <c r="CTK4" s="8"/>
      <c r="CTL4" s="8"/>
      <c r="CTM4" s="8"/>
      <c r="CTN4" s="8"/>
      <c r="CTO4" s="8"/>
      <c r="CTP4" s="8"/>
      <c r="CTQ4" s="8"/>
      <c r="CTR4" s="8"/>
      <c r="CTS4" s="8"/>
      <c r="CTT4" s="8"/>
      <c r="CTU4" s="8"/>
      <c r="CTV4" s="8"/>
      <c r="CTW4" s="8"/>
      <c r="CTX4" s="8"/>
      <c r="CTY4" s="8"/>
      <c r="CTZ4" s="8"/>
      <c r="CUA4" s="8"/>
      <c r="CUB4" s="8"/>
      <c r="CUC4" s="8"/>
      <c r="CUD4" s="8"/>
      <c r="CUE4" s="8"/>
      <c r="CUF4" s="8"/>
      <c r="CUG4" s="8"/>
      <c r="CUH4" s="8"/>
      <c r="CUI4" s="8"/>
      <c r="CUJ4" s="8"/>
      <c r="CUK4" s="8"/>
      <c r="CUL4" s="8"/>
      <c r="CUM4" s="8"/>
      <c r="CUN4" s="8"/>
      <c r="CUO4" s="8"/>
      <c r="CUP4" s="8"/>
      <c r="CUQ4" s="8"/>
      <c r="CUR4" s="8"/>
      <c r="CUS4" s="8"/>
      <c r="CUT4" s="8"/>
      <c r="CUU4" s="8"/>
      <c r="CUV4" s="8"/>
      <c r="CUW4" s="8"/>
      <c r="CUX4" s="8"/>
      <c r="CUY4" s="8"/>
      <c r="CUZ4" s="8"/>
      <c r="CVA4" s="8"/>
      <c r="CVB4" s="8"/>
      <c r="CVC4" s="8"/>
      <c r="CVD4" s="8"/>
      <c r="CVE4" s="8"/>
      <c r="CVF4" s="8"/>
      <c r="CVG4" s="8"/>
      <c r="CVH4" s="8"/>
      <c r="CVI4" s="8"/>
      <c r="CVJ4" s="8"/>
      <c r="CVK4" s="8"/>
      <c r="CVL4" s="8"/>
      <c r="CVM4" s="8"/>
      <c r="CVN4" s="8"/>
      <c r="CVO4" s="8"/>
      <c r="CVP4" s="8"/>
      <c r="CVQ4" s="8"/>
      <c r="CVR4" s="8"/>
      <c r="CVS4" s="8"/>
      <c r="CVT4" s="8"/>
      <c r="CVU4" s="8"/>
      <c r="CVV4" s="8"/>
      <c r="CVW4" s="8"/>
      <c r="CVX4" s="8"/>
      <c r="CVY4" s="8"/>
      <c r="CVZ4" s="8"/>
      <c r="CWA4" s="8"/>
      <c r="CWB4" s="8"/>
      <c r="CWC4" s="8"/>
      <c r="CWD4" s="8"/>
      <c r="CWE4" s="8"/>
      <c r="CWF4" s="8"/>
      <c r="CWG4" s="8"/>
      <c r="CWH4" s="8"/>
      <c r="CWI4" s="8"/>
      <c r="CWJ4" s="8"/>
      <c r="CWK4" s="8"/>
      <c r="CWL4" s="8"/>
      <c r="CWM4" s="8"/>
      <c r="CWN4" s="8"/>
      <c r="CWO4" s="8"/>
      <c r="CWP4" s="8"/>
      <c r="CWQ4" s="8"/>
      <c r="CWR4" s="8"/>
      <c r="CWS4" s="8"/>
      <c r="CWT4" s="8"/>
      <c r="CWU4" s="8"/>
      <c r="CWV4" s="8"/>
      <c r="CWW4" s="8"/>
      <c r="CWX4" s="8"/>
      <c r="CWY4" s="8"/>
      <c r="CWZ4" s="8"/>
      <c r="CXA4" s="8"/>
      <c r="CXB4" s="8"/>
      <c r="CXC4" s="8"/>
      <c r="CXD4" s="8"/>
      <c r="CXE4" s="8"/>
      <c r="CXF4" s="8"/>
      <c r="CXG4" s="8"/>
      <c r="CXH4" s="8"/>
      <c r="CXI4" s="8"/>
      <c r="CXJ4" s="8"/>
      <c r="CXK4" s="8"/>
      <c r="CXL4" s="8"/>
      <c r="CXM4" s="8"/>
      <c r="CXN4" s="8"/>
      <c r="CXO4" s="8"/>
      <c r="CXP4" s="8"/>
      <c r="CXQ4" s="8"/>
      <c r="CXR4" s="8"/>
      <c r="CXS4" s="8"/>
      <c r="CXT4" s="8"/>
      <c r="CXU4" s="8"/>
      <c r="CXV4" s="8"/>
      <c r="CXW4" s="8"/>
      <c r="CXX4" s="8"/>
      <c r="CXY4" s="8"/>
      <c r="CXZ4" s="8"/>
      <c r="CYA4" s="8"/>
      <c r="CYB4" s="8"/>
      <c r="CYC4" s="8"/>
      <c r="CYD4" s="8"/>
      <c r="CYE4" s="8"/>
      <c r="CYF4" s="8"/>
      <c r="CYG4" s="8"/>
      <c r="CYH4" s="8"/>
      <c r="CYI4" s="8"/>
      <c r="CYJ4" s="8"/>
      <c r="CYK4" s="8"/>
      <c r="CYL4" s="8"/>
      <c r="CYM4" s="8"/>
      <c r="CYN4" s="8"/>
      <c r="CYO4" s="8"/>
      <c r="CYP4" s="8"/>
      <c r="CYQ4" s="8"/>
      <c r="CYR4" s="8"/>
      <c r="CYS4" s="8"/>
      <c r="CYT4" s="8"/>
      <c r="CYU4" s="8"/>
      <c r="CYV4" s="8"/>
      <c r="CYW4" s="8"/>
      <c r="CYX4" s="8"/>
      <c r="CYY4" s="8"/>
      <c r="CYZ4" s="8"/>
      <c r="CZA4" s="8"/>
      <c r="CZB4" s="8"/>
      <c r="CZC4" s="8"/>
      <c r="CZD4" s="8"/>
      <c r="CZE4" s="8"/>
      <c r="CZF4" s="8"/>
      <c r="CZG4" s="8"/>
      <c r="CZH4" s="8"/>
      <c r="CZI4" s="8"/>
      <c r="CZJ4" s="8"/>
      <c r="CZK4" s="8"/>
      <c r="CZL4" s="8"/>
      <c r="CZM4" s="8"/>
      <c r="CZN4" s="8"/>
      <c r="CZO4" s="8"/>
      <c r="CZP4" s="8"/>
      <c r="CZQ4" s="8"/>
      <c r="CZR4" s="8"/>
      <c r="CZS4" s="8"/>
      <c r="CZT4" s="8"/>
      <c r="CZU4" s="8"/>
      <c r="CZV4" s="8"/>
      <c r="CZW4" s="8"/>
      <c r="CZX4" s="8"/>
      <c r="CZY4" s="8"/>
      <c r="CZZ4" s="8"/>
      <c r="DAA4" s="8"/>
      <c r="DAB4" s="8"/>
      <c r="DAC4" s="8"/>
      <c r="DAD4" s="8"/>
      <c r="DAE4" s="8"/>
      <c r="DAF4" s="8"/>
      <c r="DAG4" s="8"/>
      <c r="DAH4" s="8"/>
      <c r="DAI4" s="8"/>
      <c r="DAJ4" s="8"/>
      <c r="DAK4" s="8"/>
      <c r="DAL4" s="8"/>
      <c r="DAM4" s="8"/>
      <c r="DAN4" s="8"/>
      <c r="DAO4" s="8"/>
      <c r="DAP4" s="8"/>
      <c r="DAQ4" s="8"/>
      <c r="DAR4" s="8"/>
      <c r="DAS4" s="8"/>
      <c r="DAT4" s="8"/>
      <c r="DAU4" s="8"/>
      <c r="DAV4" s="8"/>
      <c r="DAW4" s="8"/>
      <c r="DAX4" s="8"/>
      <c r="DAY4" s="8"/>
      <c r="DAZ4" s="8"/>
      <c r="DBA4" s="8"/>
      <c r="DBB4" s="8"/>
      <c r="DBC4" s="8"/>
      <c r="DBD4" s="8"/>
      <c r="DBE4" s="8"/>
      <c r="DBF4" s="8"/>
      <c r="DBG4" s="8"/>
      <c r="DBH4" s="8"/>
      <c r="DBI4" s="8"/>
      <c r="DBJ4" s="8"/>
      <c r="DBK4" s="8"/>
      <c r="DBL4" s="8"/>
      <c r="DBM4" s="8"/>
      <c r="DBN4" s="8"/>
      <c r="DBO4" s="8"/>
      <c r="DBP4" s="8"/>
      <c r="DBQ4" s="8"/>
      <c r="DBR4" s="8"/>
      <c r="DBS4" s="8"/>
      <c r="DBT4" s="8"/>
      <c r="DBU4" s="8"/>
      <c r="DBV4" s="8"/>
      <c r="DBW4" s="8"/>
      <c r="DBX4" s="8"/>
      <c r="DBY4" s="8"/>
      <c r="DBZ4" s="8"/>
      <c r="DCA4" s="8"/>
      <c r="DCB4" s="8"/>
      <c r="DCC4" s="8"/>
      <c r="DCD4" s="8"/>
      <c r="DCE4" s="8"/>
      <c r="DCF4" s="8"/>
      <c r="DCG4" s="8"/>
      <c r="DCH4" s="8"/>
      <c r="DCI4" s="8"/>
      <c r="DCJ4" s="8"/>
      <c r="DCK4" s="8"/>
      <c r="DCL4" s="8"/>
      <c r="DCM4" s="8"/>
      <c r="DCN4" s="8"/>
      <c r="DCO4" s="8"/>
      <c r="DCP4" s="8"/>
      <c r="DCQ4" s="8"/>
      <c r="DCR4" s="8"/>
      <c r="DCS4" s="8"/>
      <c r="DCT4" s="8"/>
      <c r="DCU4" s="8"/>
      <c r="DCV4" s="8"/>
      <c r="DCW4" s="8"/>
      <c r="DCX4" s="8"/>
      <c r="DCY4" s="8"/>
      <c r="DCZ4" s="8"/>
      <c r="DDA4" s="8"/>
      <c r="DDB4" s="8"/>
      <c r="DDC4" s="8"/>
      <c r="DDD4" s="8"/>
      <c r="DDE4" s="8"/>
      <c r="DDF4" s="8"/>
      <c r="DDG4" s="8"/>
      <c r="DDH4" s="8"/>
      <c r="DDI4" s="8"/>
      <c r="DDJ4" s="8"/>
      <c r="DDK4" s="8"/>
      <c r="DDL4" s="8"/>
      <c r="DDM4" s="8"/>
      <c r="DDN4" s="8"/>
      <c r="DDO4" s="8"/>
      <c r="DDP4" s="8"/>
      <c r="DDQ4" s="8"/>
      <c r="DDR4" s="8"/>
      <c r="DDS4" s="8"/>
      <c r="DDT4" s="8"/>
      <c r="DDU4" s="8"/>
      <c r="DDV4" s="8"/>
      <c r="DDW4" s="8"/>
      <c r="DDX4" s="8"/>
      <c r="DDY4" s="8"/>
      <c r="DDZ4" s="8"/>
      <c r="DEA4" s="8"/>
      <c r="DEB4" s="8"/>
      <c r="DEC4" s="8"/>
      <c r="DED4" s="8"/>
      <c r="DEE4" s="8"/>
      <c r="DEF4" s="8"/>
      <c r="DEG4" s="8"/>
      <c r="DEH4" s="8"/>
      <c r="DEI4" s="8"/>
      <c r="DEJ4" s="8"/>
      <c r="DEK4" s="8"/>
      <c r="DEL4" s="8"/>
      <c r="DEM4" s="8"/>
      <c r="DEN4" s="8"/>
      <c r="DEO4" s="8"/>
      <c r="DEP4" s="8"/>
      <c r="DEQ4" s="8"/>
      <c r="DER4" s="8"/>
      <c r="DES4" s="8"/>
      <c r="DET4" s="8"/>
      <c r="DEU4" s="8"/>
      <c r="DEV4" s="8"/>
      <c r="DEW4" s="8"/>
      <c r="DEX4" s="8"/>
      <c r="DEY4" s="8"/>
      <c r="DEZ4" s="8"/>
      <c r="DFA4" s="8"/>
      <c r="DFB4" s="8"/>
      <c r="DFC4" s="8"/>
      <c r="DFD4" s="8"/>
      <c r="DFE4" s="8"/>
      <c r="DFF4" s="8"/>
      <c r="DFG4" s="8"/>
      <c r="DFH4" s="8"/>
      <c r="DFI4" s="8"/>
      <c r="DFJ4" s="8"/>
      <c r="DFK4" s="8"/>
      <c r="DFL4" s="8"/>
      <c r="DFM4" s="8"/>
      <c r="DFN4" s="8"/>
      <c r="DFO4" s="8"/>
      <c r="DFP4" s="8"/>
      <c r="DFQ4" s="8"/>
      <c r="DFR4" s="8"/>
      <c r="DFS4" s="8"/>
      <c r="DFT4" s="8"/>
      <c r="DFU4" s="8"/>
      <c r="DFV4" s="8"/>
      <c r="DFW4" s="8"/>
      <c r="DFX4" s="8"/>
      <c r="DFY4" s="8"/>
      <c r="DFZ4" s="8"/>
      <c r="DGA4" s="8"/>
      <c r="DGB4" s="8"/>
      <c r="DGC4" s="8"/>
      <c r="DGD4" s="8"/>
      <c r="DGE4" s="8"/>
      <c r="DGF4" s="8"/>
      <c r="DGG4" s="8"/>
      <c r="DGH4" s="8"/>
      <c r="DGI4" s="8"/>
      <c r="DGJ4" s="8"/>
      <c r="DGK4" s="8"/>
      <c r="DGL4" s="8"/>
      <c r="DGM4" s="8"/>
      <c r="DGN4" s="8"/>
      <c r="DGO4" s="8"/>
      <c r="DGP4" s="8"/>
      <c r="DGQ4" s="8"/>
      <c r="DGR4" s="8"/>
      <c r="DGS4" s="8"/>
      <c r="DGT4" s="8"/>
      <c r="DGU4" s="8"/>
      <c r="DGV4" s="8"/>
      <c r="DGW4" s="8"/>
      <c r="DGX4" s="8"/>
      <c r="DGY4" s="8"/>
      <c r="DGZ4" s="8"/>
      <c r="DHA4" s="8"/>
      <c r="DHB4" s="8"/>
      <c r="DHC4" s="8"/>
      <c r="DHD4" s="8"/>
      <c r="DHE4" s="8"/>
      <c r="DHF4" s="8"/>
      <c r="DHG4" s="8"/>
      <c r="DHH4" s="8"/>
      <c r="DHI4" s="8"/>
      <c r="DHJ4" s="8"/>
      <c r="DHK4" s="8"/>
      <c r="DHL4" s="8"/>
      <c r="DHM4" s="8"/>
      <c r="DHN4" s="8"/>
      <c r="DHO4" s="8"/>
      <c r="DHP4" s="8"/>
      <c r="DHQ4" s="8"/>
      <c r="DHR4" s="8"/>
      <c r="DHS4" s="8"/>
      <c r="DHT4" s="8"/>
      <c r="DHU4" s="8"/>
      <c r="DHV4" s="8"/>
      <c r="DHW4" s="8"/>
      <c r="DHX4" s="8"/>
      <c r="DHY4" s="8"/>
      <c r="DHZ4" s="8"/>
      <c r="DIA4" s="8"/>
      <c r="DIB4" s="8"/>
      <c r="DIC4" s="8"/>
      <c r="DID4" s="8"/>
      <c r="DIE4" s="8"/>
      <c r="DIF4" s="8"/>
      <c r="DIG4" s="8"/>
      <c r="DIH4" s="8"/>
      <c r="DII4" s="8"/>
      <c r="DIJ4" s="8"/>
      <c r="DIK4" s="8"/>
      <c r="DIL4" s="8"/>
      <c r="DIM4" s="8"/>
      <c r="DIN4" s="8"/>
      <c r="DIO4" s="8"/>
      <c r="DIP4" s="8"/>
      <c r="DIQ4" s="8"/>
      <c r="DIR4" s="8"/>
      <c r="DIS4" s="8"/>
      <c r="DIT4" s="8"/>
      <c r="DIU4" s="8"/>
      <c r="DIV4" s="8"/>
      <c r="DIW4" s="8"/>
      <c r="DIX4" s="8"/>
      <c r="DIY4" s="8"/>
      <c r="DIZ4" s="8"/>
      <c r="DJA4" s="8"/>
      <c r="DJB4" s="8"/>
      <c r="DJC4" s="8"/>
      <c r="DJD4" s="8"/>
      <c r="DJE4" s="8"/>
      <c r="DJF4" s="8"/>
      <c r="DJG4" s="8"/>
      <c r="DJH4" s="8"/>
      <c r="DJI4" s="8"/>
      <c r="DJJ4" s="8"/>
      <c r="DJK4" s="8"/>
      <c r="DJL4" s="8"/>
      <c r="DJM4" s="8"/>
      <c r="DJN4" s="8"/>
      <c r="DJO4" s="8"/>
      <c r="DJP4" s="8"/>
      <c r="DJQ4" s="8"/>
      <c r="DJR4" s="8"/>
      <c r="DJS4" s="8"/>
      <c r="DJT4" s="8"/>
      <c r="DJU4" s="8"/>
      <c r="DJV4" s="8"/>
      <c r="DJW4" s="8"/>
      <c r="DJX4" s="8"/>
      <c r="DJY4" s="8"/>
      <c r="DJZ4" s="8"/>
      <c r="DKA4" s="8"/>
      <c r="DKB4" s="8"/>
      <c r="DKC4" s="8"/>
      <c r="DKD4" s="8"/>
      <c r="DKE4" s="8"/>
      <c r="DKF4" s="8"/>
      <c r="DKG4" s="8"/>
      <c r="DKH4" s="8"/>
      <c r="DKI4" s="8"/>
      <c r="DKJ4" s="8"/>
      <c r="DKK4" s="8"/>
      <c r="DKL4" s="8"/>
      <c r="DKM4" s="8"/>
      <c r="DKN4" s="8"/>
      <c r="DKO4" s="8"/>
      <c r="DKP4" s="8"/>
      <c r="DKQ4" s="8"/>
      <c r="DKR4" s="8"/>
      <c r="DKS4" s="8"/>
      <c r="DKT4" s="8"/>
      <c r="DKU4" s="8"/>
      <c r="DKV4" s="8"/>
      <c r="DKW4" s="8"/>
      <c r="DKX4" s="8"/>
      <c r="DKY4" s="8"/>
      <c r="DKZ4" s="8"/>
      <c r="DLA4" s="8"/>
      <c r="DLB4" s="8"/>
      <c r="DLC4" s="8"/>
      <c r="DLD4" s="8"/>
      <c r="DLE4" s="8"/>
      <c r="DLF4" s="8"/>
      <c r="DLG4" s="8"/>
      <c r="DLH4" s="8"/>
      <c r="DLI4" s="8"/>
      <c r="DLJ4" s="8"/>
      <c r="DLK4" s="8"/>
      <c r="DLL4" s="8"/>
      <c r="DLM4" s="8"/>
      <c r="DLN4" s="8"/>
      <c r="DLO4" s="8"/>
      <c r="DLP4" s="8"/>
      <c r="DLQ4" s="8"/>
      <c r="DLR4" s="8"/>
      <c r="DLS4" s="8"/>
      <c r="DLT4" s="8"/>
      <c r="DLU4" s="8"/>
      <c r="DLV4" s="8"/>
      <c r="DLW4" s="8"/>
      <c r="DLX4" s="8"/>
      <c r="DLY4" s="8"/>
      <c r="DLZ4" s="8"/>
      <c r="DMA4" s="8"/>
      <c r="DMB4" s="8"/>
      <c r="DMC4" s="8"/>
      <c r="DMD4" s="8"/>
      <c r="DME4" s="8"/>
      <c r="DMF4" s="8"/>
      <c r="DMG4" s="8"/>
      <c r="DMH4" s="8"/>
      <c r="DMI4" s="8"/>
      <c r="DMJ4" s="8"/>
      <c r="DMK4" s="8"/>
      <c r="DML4" s="8"/>
      <c r="DMM4" s="8"/>
      <c r="DMN4" s="8"/>
      <c r="DMO4" s="8"/>
      <c r="DMP4" s="8"/>
      <c r="DMQ4" s="8"/>
      <c r="DMR4" s="8"/>
      <c r="DMS4" s="8"/>
      <c r="DMT4" s="8"/>
      <c r="DMU4" s="8"/>
      <c r="DMV4" s="8"/>
      <c r="DMW4" s="8"/>
      <c r="DMX4" s="8"/>
      <c r="DMY4" s="8"/>
      <c r="DMZ4" s="8"/>
      <c r="DNA4" s="8"/>
      <c r="DNB4" s="8"/>
      <c r="DNC4" s="8"/>
      <c r="DND4" s="8"/>
      <c r="DNE4" s="8"/>
      <c r="DNF4" s="8"/>
      <c r="DNG4" s="8"/>
      <c r="DNH4" s="8"/>
      <c r="DNI4" s="8"/>
      <c r="DNJ4" s="8"/>
      <c r="DNK4" s="8"/>
      <c r="DNL4" s="8"/>
      <c r="DNM4" s="8"/>
      <c r="DNN4" s="8"/>
      <c r="DNO4" s="8"/>
      <c r="DNP4" s="8"/>
      <c r="DNQ4" s="8"/>
      <c r="DNR4" s="8"/>
      <c r="DNS4" s="8"/>
      <c r="DNT4" s="8"/>
      <c r="DNU4" s="8"/>
      <c r="DNV4" s="8"/>
      <c r="DNW4" s="8"/>
      <c r="DNX4" s="8"/>
      <c r="DNY4" s="8"/>
      <c r="DNZ4" s="8"/>
      <c r="DOA4" s="8"/>
      <c r="DOB4" s="8"/>
      <c r="DOC4" s="8"/>
      <c r="DOD4" s="8"/>
      <c r="DOE4" s="8"/>
      <c r="DOF4" s="8"/>
      <c r="DOG4" s="8"/>
      <c r="DOH4" s="8"/>
      <c r="DOI4" s="8"/>
      <c r="DOJ4" s="8"/>
      <c r="DOK4" s="8"/>
      <c r="DOL4" s="8"/>
      <c r="DOM4" s="8"/>
      <c r="DON4" s="8"/>
      <c r="DOO4" s="8"/>
      <c r="DOP4" s="8"/>
      <c r="DOQ4" s="8"/>
      <c r="DOR4" s="8"/>
      <c r="DOS4" s="8"/>
      <c r="DOT4" s="8"/>
      <c r="DOU4" s="8"/>
      <c r="DOV4" s="8"/>
      <c r="DOW4" s="8"/>
      <c r="DOX4" s="8"/>
      <c r="DOY4" s="8"/>
      <c r="DOZ4" s="8"/>
      <c r="DPA4" s="8"/>
      <c r="DPB4" s="8"/>
      <c r="DPC4" s="8"/>
      <c r="DPD4" s="8"/>
      <c r="DPE4" s="8"/>
      <c r="DPF4" s="8"/>
      <c r="DPG4" s="8"/>
      <c r="DPH4" s="8"/>
      <c r="DPI4" s="8"/>
      <c r="DPJ4" s="8"/>
      <c r="DPK4" s="8"/>
      <c r="DPL4" s="8"/>
      <c r="DPM4" s="8"/>
      <c r="DPN4" s="8"/>
      <c r="DPO4" s="8"/>
      <c r="DPP4" s="8"/>
      <c r="DPQ4" s="8"/>
      <c r="DPR4" s="8"/>
      <c r="DPS4" s="8"/>
      <c r="DPT4" s="8"/>
      <c r="DPU4" s="8"/>
      <c r="DPV4" s="8"/>
      <c r="DPW4" s="8"/>
      <c r="DPX4" s="8"/>
      <c r="DPY4" s="8"/>
      <c r="DPZ4" s="8"/>
      <c r="DQA4" s="8"/>
      <c r="DQB4" s="8"/>
      <c r="DQC4" s="8"/>
      <c r="DQD4" s="8"/>
      <c r="DQE4" s="8"/>
      <c r="DQF4" s="8"/>
      <c r="DQG4" s="8"/>
      <c r="DQH4" s="8"/>
      <c r="DQI4" s="8"/>
      <c r="DQJ4" s="8"/>
      <c r="DQK4" s="8"/>
      <c r="DQL4" s="8"/>
      <c r="DQM4" s="8"/>
      <c r="DQN4" s="8"/>
      <c r="DQO4" s="8"/>
      <c r="DQP4" s="8"/>
      <c r="DQQ4" s="8"/>
      <c r="DQR4" s="8"/>
      <c r="DQS4" s="8"/>
      <c r="DQT4" s="8"/>
      <c r="DQU4" s="8"/>
      <c r="DQV4" s="8"/>
      <c r="DQW4" s="8"/>
      <c r="DQX4" s="8"/>
      <c r="DQY4" s="8"/>
      <c r="DQZ4" s="8"/>
      <c r="DRA4" s="8"/>
      <c r="DRB4" s="8"/>
      <c r="DRC4" s="8"/>
      <c r="DRD4" s="8"/>
      <c r="DRE4" s="8"/>
      <c r="DRF4" s="8"/>
      <c r="DRG4" s="8"/>
      <c r="DRH4" s="8"/>
      <c r="DRI4" s="8"/>
      <c r="DRJ4" s="8"/>
      <c r="DRK4" s="8"/>
      <c r="DRL4" s="8"/>
      <c r="DRM4" s="8"/>
      <c r="DRN4" s="8"/>
      <c r="DRO4" s="8"/>
      <c r="DRP4" s="8"/>
      <c r="DRQ4" s="8"/>
      <c r="DRR4" s="8"/>
      <c r="DRS4" s="8"/>
      <c r="DRT4" s="8"/>
      <c r="DRU4" s="8"/>
      <c r="DRV4" s="8"/>
      <c r="DRW4" s="8"/>
      <c r="DRX4" s="8"/>
      <c r="DRY4" s="8"/>
      <c r="DRZ4" s="8"/>
      <c r="DSA4" s="8"/>
      <c r="DSB4" s="8"/>
      <c r="DSC4" s="8"/>
      <c r="DSD4" s="8"/>
      <c r="DSE4" s="8"/>
      <c r="DSF4" s="8"/>
      <c r="DSG4" s="8"/>
      <c r="DSH4" s="8"/>
      <c r="DSI4" s="8"/>
      <c r="DSJ4" s="8"/>
      <c r="DSK4" s="8"/>
      <c r="DSL4" s="8"/>
      <c r="DSM4" s="8"/>
      <c r="DSN4" s="8"/>
      <c r="DSO4" s="8"/>
      <c r="DSP4" s="8"/>
      <c r="DSQ4" s="8"/>
      <c r="DSR4" s="8"/>
      <c r="DSS4" s="8"/>
      <c r="DST4" s="8"/>
      <c r="DSU4" s="8"/>
      <c r="DSV4" s="8"/>
      <c r="DSW4" s="8"/>
      <c r="DSX4" s="8"/>
      <c r="DSY4" s="8"/>
      <c r="DSZ4" s="8"/>
      <c r="DTA4" s="8"/>
      <c r="DTB4" s="8"/>
      <c r="DTC4" s="8"/>
      <c r="DTD4" s="8"/>
      <c r="DTE4" s="8"/>
      <c r="DTF4" s="8"/>
      <c r="DTG4" s="8"/>
      <c r="DTH4" s="8"/>
      <c r="DTI4" s="8"/>
      <c r="DTJ4" s="8"/>
      <c r="DTK4" s="8"/>
      <c r="DTL4" s="8"/>
      <c r="DTM4" s="8"/>
      <c r="DTN4" s="8"/>
      <c r="DTO4" s="8"/>
      <c r="DTP4" s="8"/>
      <c r="DTQ4" s="8"/>
      <c r="DTR4" s="8"/>
      <c r="DTS4" s="8"/>
      <c r="DTT4" s="8"/>
      <c r="DTU4" s="8"/>
      <c r="DTV4" s="8"/>
      <c r="DTW4" s="8"/>
      <c r="DTX4" s="8"/>
      <c r="DTY4" s="8"/>
      <c r="DTZ4" s="8"/>
      <c r="DUA4" s="8"/>
      <c r="DUB4" s="8"/>
      <c r="DUC4" s="8"/>
      <c r="DUD4" s="8"/>
      <c r="DUE4" s="8"/>
      <c r="DUF4" s="8"/>
      <c r="DUG4" s="8"/>
      <c r="DUH4" s="8"/>
      <c r="DUI4" s="8"/>
      <c r="DUJ4" s="8"/>
      <c r="DUK4" s="8"/>
      <c r="DUL4" s="8"/>
      <c r="DUM4" s="8"/>
      <c r="DUN4" s="8"/>
      <c r="DUO4" s="8"/>
      <c r="DUP4" s="8"/>
      <c r="DUQ4" s="8"/>
      <c r="DUR4" s="8"/>
      <c r="DUS4" s="8"/>
      <c r="DUT4" s="8"/>
      <c r="DUU4" s="8"/>
      <c r="DUV4" s="8"/>
      <c r="DUW4" s="8"/>
      <c r="DUX4" s="8"/>
      <c r="DUY4" s="8"/>
      <c r="DUZ4" s="8"/>
      <c r="DVA4" s="8"/>
      <c r="DVB4" s="8"/>
      <c r="DVC4" s="8"/>
      <c r="DVD4" s="8"/>
      <c r="DVE4" s="8"/>
      <c r="DVF4" s="8"/>
      <c r="DVG4" s="8"/>
      <c r="DVH4" s="8"/>
      <c r="DVI4" s="8"/>
      <c r="DVJ4" s="8"/>
      <c r="DVK4" s="8"/>
      <c r="DVL4" s="8"/>
      <c r="DVM4" s="8"/>
      <c r="DVN4" s="8"/>
      <c r="DVO4" s="8"/>
      <c r="DVP4" s="8"/>
      <c r="DVQ4" s="8"/>
      <c r="DVR4" s="8"/>
      <c r="DVS4" s="8"/>
      <c r="DVT4" s="8"/>
      <c r="DVU4" s="8"/>
      <c r="DVV4" s="8"/>
      <c r="DVW4" s="8"/>
      <c r="DVX4" s="8"/>
      <c r="DVY4" s="8"/>
      <c r="DVZ4" s="8"/>
      <c r="DWA4" s="8"/>
      <c r="DWB4" s="8"/>
      <c r="DWC4" s="8"/>
      <c r="DWD4" s="8"/>
      <c r="DWE4" s="8"/>
      <c r="DWF4" s="8"/>
      <c r="DWG4" s="8"/>
      <c r="DWH4" s="8"/>
      <c r="DWI4" s="8"/>
      <c r="DWJ4" s="8"/>
      <c r="DWK4" s="8"/>
      <c r="DWL4" s="8"/>
      <c r="DWM4" s="8"/>
      <c r="DWN4" s="8"/>
      <c r="DWO4" s="8"/>
      <c r="DWP4" s="8"/>
      <c r="DWQ4" s="8"/>
      <c r="DWR4" s="8"/>
      <c r="DWS4" s="8"/>
      <c r="DWT4" s="8"/>
      <c r="DWU4" s="8"/>
      <c r="DWV4" s="8"/>
      <c r="DWW4" s="8"/>
      <c r="DWX4" s="8"/>
      <c r="DWY4" s="8"/>
      <c r="DWZ4" s="8"/>
      <c r="DXA4" s="8"/>
      <c r="DXB4" s="8"/>
      <c r="DXC4" s="8"/>
      <c r="DXD4" s="8"/>
      <c r="DXE4" s="8"/>
      <c r="DXF4" s="8"/>
      <c r="DXG4" s="8"/>
      <c r="DXH4" s="8"/>
      <c r="DXI4" s="8"/>
      <c r="DXJ4" s="8"/>
      <c r="DXK4" s="8"/>
      <c r="DXL4" s="8"/>
      <c r="DXM4" s="8"/>
      <c r="DXN4" s="8"/>
      <c r="DXO4" s="8"/>
      <c r="DXP4" s="8"/>
      <c r="DXQ4" s="8"/>
      <c r="DXR4" s="8"/>
      <c r="DXS4" s="8"/>
      <c r="DXT4" s="8"/>
      <c r="DXU4" s="8"/>
      <c r="DXV4" s="8"/>
      <c r="DXW4" s="8"/>
      <c r="DXX4" s="8"/>
      <c r="DXY4" s="8"/>
      <c r="DXZ4" s="8"/>
      <c r="DYA4" s="8"/>
      <c r="DYB4" s="8"/>
      <c r="DYC4" s="8"/>
      <c r="DYD4" s="8"/>
      <c r="DYE4" s="8"/>
      <c r="DYF4" s="8"/>
      <c r="DYG4" s="8"/>
      <c r="DYH4" s="8"/>
      <c r="DYI4" s="8"/>
      <c r="DYJ4" s="8"/>
      <c r="DYK4" s="8"/>
      <c r="DYL4" s="8"/>
      <c r="DYM4" s="8"/>
      <c r="DYN4" s="8"/>
      <c r="DYO4" s="8"/>
      <c r="DYP4" s="8"/>
      <c r="DYQ4" s="8"/>
      <c r="DYR4" s="8"/>
      <c r="DYS4" s="8"/>
      <c r="DYT4" s="8"/>
      <c r="DYU4" s="8"/>
      <c r="DYV4" s="8"/>
      <c r="DYW4" s="8"/>
      <c r="DYX4" s="8"/>
      <c r="DYY4" s="8"/>
      <c r="DYZ4" s="8"/>
      <c r="DZA4" s="8"/>
      <c r="DZB4" s="8"/>
      <c r="DZC4" s="8"/>
      <c r="DZD4" s="8"/>
      <c r="DZE4" s="8"/>
      <c r="DZF4" s="8"/>
      <c r="DZG4" s="8"/>
      <c r="DZH4" s="8"/>
      <c r="DZI4" s="8"/>
      <c r="DZJ4" s="8"/>
      <c r="DZK4" s="8"/>
      <c r="DZL4" s="8"/>
      <c r="DZM4" s="8"/>
      <c r="DZN4" s="8"/>
      <c r="DZO4" s="8"/>
      <c r="DZP4" s="8"/>
      <c r="DZQ4" s="8"/>
      <c r="DZR4" s="8"/>
      <c r="DZS4" s="8"/>
      <c r="DZT4" s="8"/>
      <c r="DZU4" s="8"/>
      <c r="DZV4" s="8"/>
      <c r="DZW4" s="8"/>
      <c r="DZX4" s="8"/>
      <c r="DZY4" s="8"/>
      <c r="DZZ4" s="8"/>
      <c r="EAA4" s="8"/>
      <c r="EAB4" s="8"/>
      <c r="EAC4" s="8"/>
      <c r="EAD4" s="8"/>
      <c r="EAE4" s="8"/>
      <c r="EAF4" s="8"/>
      <c r="EAG4" s="8"/>
      <c r="EAH4" s="8"/>
      <c r="EAI4" s="8"/>
      <c r="EAJ4" s="8"/>
      <c r="EAK4" s="8"/>
      <c r="EAL4" s="8"/>
      <c r="EAM4" s="8"/>
      <c r="EAN4" s="8"/>
      <c r="EAO4" s="8"/>
      <c r="EAP4" s="8"/>
      <c r="EAQ4" s="8"/>
      <c r="EAR4" s="8"/>
      <c r="EAS4" s="8"/>
      <c r="EAT4" s="8"/>
      <c r="EAU4" s="8"/>
      <c r="EAV4" s="8"/>
      <c r="EAW4" s="8"/>
      <c r="EAX4" s="8"/>
      <c r="EAY4" s="8"/>
      <c r="EAZ4" s="8"/>
      <c r="EBA4" s="8"/>
      <c r="EBB4" s="8"/>
      <c r="EBC4" s="8"/>
      <c r="EBD4" s="8"/>
      <c r="EBE4" s="8"/>
      <c r="EBF4" s="8"/>
      <c r="EBG4" s="8"/>
      <c r="EBH4" s="8"/>
      <c r="EBI4" s="8"/>
      <c r="EBJ4" s="8"/>
      <c r="EBK4" s="8"/>
      <c r="EBL4" s="8"/>
      <c r="EBM4" s="8"/>
      <c r="EBN4" s="8"/>
      <c r="EBO4" s="8"/>
      <c r="EBP4" s="8"/>
      <c r="EBQ4" s="8"/>
      <c r="EBR4" s="8"/>
      <c r="EBS4" s="8"/>
      <c r="EBT4" s="8"/>
      <c r="EBU4" s="8"/>
      <c r="EBV4" s="8"/>
      <c r="EBW4" s="8"/>
      <c r="EBX4" s="8"/>
      <c r="EBY4" s="8"/>
      <c r="EBZ4" s="8"/>
      <c r="ECA4" s="8"/>
      <c r="ECB4" s="8"/>
      <c r="ECC4" s="8"/>
      <c r="ECD4" s="8"/>
      <c r="ECE4" s="8"/>
      <c r="ECF4" s="8"/>
      <c r="ECG4" s="8"/>
      <c r="ECH4" s="8"/>
      <c r="ECI4" s="8"/>
      <c r="ECJ4" s="8"/>
      <c r="ECK4" s="8"/>
      <c r="ECL4" s="8"/>
      <c r="ECM4" s="8"/>
      <c r="ECN4" s="8"/>
      <c r="ECO4" s="8"/>
      <c r="ECP4" s="8"/>
      <c r="ECQ4" s="8"/>
      <c r="ECR4" s="8"/>
      <c r="ECS4" s="8"/>
      <c r="ECT4" s="8"/>
      <c r="ECU4" s="8"/>
      <c r="ECV4" s="8"/>
      <c r="ECW4" s="8"/>
      <c r="ECX4" s="8"/>
      <c r="ECY4" s="8"/>
      <c r="ECZ4" s="8"/>
      <c r="EDA4" s="8"/>
      <c r="EDB4" s="8"/>
      <c r="EDC4" s="8"/>
      <c r="EDD4" s="8"/>
      <c r="EDE4" s="8"/>
      <c r="EDF4" s="8"/>
      <c r="EDG4" s="8"/>
      <c r="EDH4" s="8"/>
      <c r="EDI4" s="8"/>
      <c r="EDJ4" s="8"/>
      <c r="EDK4" s="8"/>
      <c r="EDL4" s="8"/>
      <c r="EDM4" s="8"/>
      <c r="EDN4" s="8"/>
      <c r="EDO4" s="8"/>
      <c r="EDP4" s="8"/>
      <c r="EDQ4" s="8"/>
      <c r="EDR4" s="8"/>
      <c r="EDS4" s="8"/>
      <c r="EDT4" s="8"/>
      <c r="EDU4" s="8"/>
      <c r="EDV4" s="8"/>
      <c r="EDW4" s="8"/>
      <c r="EDX4" s="8"/>
      <c r="EDY4" s="8"/>
      <c r="EDZ4" s="8"/>
      <c r="EEA4" s="8"/>
      <c r="EEB4" s="8"/>
      <c r="EEC4" s="8"/>
      <c r="EED4" s="8"/>
      <c r="EEE4" s="8"/>
      <c r="EEF4" s="8"/>
      <c r="EEG4" s="8"/>
      <c r="EEH4" s="8"/>
      <c r="EEI4" s="8"/>
      <c r="EEJ4" s="8"/>
      <c r="EEK4" s="8"/>
      <c r="EEL4" s="8"/>
      <c r="EEM4" s="8"/>
      <c r="EEN4" s="8"/>
      <c r="EEO4" s="8"/>
      <c r="EEP4" s="8"/>
      <c r="EEQ4" s="8"/>
      <c r="EER4" s="8"/>
      <c r="EES4" s="8"/>
      <c r="EET4" s="8"/>
      <c r="EEU4" s="8"/>
      <c r="EEV4" s="8"/>
      <c r="EEW4" s="8"/>
      <c r="EEX4" s="8"/>
      <c r="EEY4" s="8"/>
      <c r="EEZ4" s="8"/>
      <c r="EFA4" s="8"/>
      <c r="EFB4" s="8"/>
      <c r="EFC4" s="8"/>
      <c r="EFD4" s="8"/>
      <c r="EFE4" s="8"/>
      <c r="EFF4" s="8"/>
      <c r="EFG4" s="8"/>
      <c r="EFH4" s="8"/>
      <c r="EFI4" s="8"/>
      <c r="EFJ4" s="8"/>
      <c r="EFK4" s="8"/>
      <c r="EFL4" s="8"/>
      <c r="EFM4" s="8"/>
      <c r="EFN4" s="8"/>
      <c r="EFO4" s="8"/>
      <c r="EFP4" s="8"/>
      <c r="EFQ4" s="8"/>
      <c r="EFR4" s="8"/>
      <c r="EFS4" s="8"/>
      <c r="EFT4" s="8"/>
      <c r="EFU4" s="8"/>
      <c r="EFV4" s="8"/>
      <c r="EFW4" s="8"/>
      <c r="EFX4" s="8"/>
      <c r="EFY4" s="8"/>
      <c r="EFZ4" s="8"/>
      <c r="EGA4" s="8"/>
      <c r="EGB4" s="8"/>
      <c r="EGC4" s="8"/>
      <c r="EGD4" s="8"/>
      <c r="EGE4" s="8"/>
      <c r="EGF4" s="8"/>
      <c r="EGG4" s="8"/>
      <c r="EGH4" s="8"/>
      <c r="EGI4" s="8"/>
      <c r="EGJ4" s="8"/>
      <c r="EGK4" s="8"/>
      <c r="EGL4" s="8"/>
      <c r="EGM4" s="8"/>
      <c r="EGN4" s="8"/>
      <c r="EGO4" s="8"/>
      <c r="EGP4" s="8"/>
      <c r="EGQ4" s="8"/>
      <c r="EGR4" s="8"/>
      <c r="EGS4" s="8"/>
      <c r="EGT4" s="8"/>
      <c r="EGU4" s="8"/>
      <c r="EGV4" s="8"/>
      <c r="EGW4" s="8"/>
      <c r="EGX4" s="8"/>
      <c r="EGY4" s="8"/>
      <c r="EGZ4" s="8"/>
      <c r="EHA4" s="8"/>
      <c r="EHB4" s="8"/>
      <c r="EHC4" s="8"/>
      <c r="EHD4" s="8"/>
      <c r="EHE4" s="8"/>
      <c r="EHF4" s="8"/>
      <c r="EHG4" s="8"/>
      <c r="EHH4" s="8"/>
      <c r="EHI4" s="8"/>
      <c r="EHJ4" s="8"/>
      <c r="EHK4" s="8"/>
      <c r="EHL4" s="8"/>
      <c r="EHM4" s="8"/>
      <c r="EHN4" s="8"/>
      <c r="EHO4" s="8"/>
      <c r="EHP4" s="8"/>
      <c r="EHQ4" s="8"/>
      <c r="EHR4" s="8"/>
      <c r="EHS4" s="8"/>
      <c r="EHT4" s="8"/>
      <c r="EHU4" s="8"/>
      <c r="EHV4" s="8"/>
      <c r="EHW4" s="8"/>
      <c r="EHX4" s="8"/>
      <c r="EHY4" s="8"/>
      <c r="EHZ4" s="8"/>
      <c r="EIA4" s="8"/>
      <c r="EIB4" s="8"/>
      <c r="EIC4" s="8"/>
      <c r="EID4" s="8"/>
      <c r="EIE4" s="8"/>
      <c r="EIF4" s="8"/>
      <c r="EIG4" s="8"/>
      <c r="EIH4" s="8"/>
      <c r="EII4" s="8"/>
      <c r="EIJ4" s="8"/>
      <c r="EIK4" s="8"/>
      <c r="EIL4" s="8"/>
      <c r="EIM4" s="8"/>
      <c r="EIN4" s="8"/>
      <c r="EIO4" s="8"/>
      <c r="EIP4" s="8"/>
      <c r="EIQ4" s="8"/>
      <c r="EIR4" s="8"/>
      <c r="EIS4" s="8"/>
      <c r="EIT4" s="8"/>
      <c r="EIU4" s="8"/>
      <c r="EIV4" s="8"/>
      <c r="EIW4" s="8"/>
      <c r="EIX4" s="8"/>
      <c r="EIY4" s="8"/>
      <c r="EIZ4" s="8"/>
      <c r="EJA4" s="8"/>
      <c r="EJB4" s="8"/>
      <c r="EJC4" s="8"/>
      <c r="EJD4" s="8"/>
      <c r="EJE4" s="8"/>
      <c r="EJF4" s="8"/>
      <c r="EJG4" s="8"/>
      <c r="EJH4" s="8"/>
      <c r="EJI4" s="8"/>
      <c r="EJJ4" s="8"/>
      <c r="EJK4" s="8"/>
      <c r="EJL4" s="8"/>
      <c r="EJM4" s="8"/>
      <c r="EJN4" s="8"/>
      <c r="EJO4" s="8"/>
      <c r="EJP4" s="8"/>
      <c r="EJQ4" s="8"/>
      <c r="EJR4" s="8"/>
      <c r="EJS4" s="8"/>
      <c r="EJT4" s="8"/>
      <c r="EJU4" s="8"/>
      <c r="EJV4" s="8"/>
      <c r="EJW4" s="8"/>
      <c r="EJX4" s="8"/>
      <c r="EJY4" s="8"/>
      <c r="EJZ4" s="8"/>
      <c r="EKA4" s="8"/>
      <c r="EKB4" s="8"/>
      <c r="EKC4" s="8"/>
      <c r="EKD4" s="8"/>
      <c r="EKE4" s="8"/>
      <c r="EKF4" s="8"/>
      <c r="EKG4" s="8"/>
      <c r="EKH4" s="8"/>
      <c r="EKI4" s="8"/>
      <c r="EKJ4" s="8"/>
      <c r="EKK4" s="8"/>
      <c r="EKL4" s="8"/>
      <c r="EKM4" s="8"/>
      <c r="EKN4" s="8"/>
      <c r="EKO4" s="8"/>
      <c r="EKP4" s="8"/>
      <c r="EKQ4" s="8"/>
      <c r="EKR4" s="8"/>
      <c r="EKS4" s="8"/>
      <c r="EKT4" s="8"/>
      <c r="EKU4" s="8"/>
      <c r="EKV4" s="8"/>
      <c r="EKW4" s="8"/>
      <c r="EKX4" s="8"/>
      <c r="EKY4" s="8"/>
      <c r="EKZ4" s="8"/>
      <c r="ELA4" s="8"/>
      <c r="ELB4" s="8"/>
      <c r="ELC4" s="8"/>
      <c r="ELD4" s="8"/>
      <c r="ELE4" s="8"/>
      <c r="ELF4" s="8"/>
      <c r="ELG4" s="8"/>
      <c r="ELH4" s="8"/>
      <c r="ELI4" s="8"/>
      <c r="ELJ4" s="8"/>
      <c r="ELK4" s="8"/>
      <c r="ELL4" s="8"/>
      <c r="ELM4" s="8"/>
      <c r="ELN4" s="8"/>
      <c r="ELO4" s="8"/>
      <c r="ELP4" s="8"/>
      <c r="ELQ4" s="8"/>
      <c r="ELR4" s="8"/>
      <c r="ELS4" s="8"/>
      <c r="ELT4" s="8"/>
      <c r="ELU4" s="8"/>
      <c r="ELV4" s="8"/>
      <c r="ELW4" s="8"/>
      <c r="ELX4" s="8"/>
      <c r="ELY4" s="8"/>
      <c r="ELZ4" s="8"/>
      <c r="EMA4" s="8"/>
      <c r="EMB4" s="8"/>
      <c r="EMC4" s="8"/>
      <c r="EMD4" s="8"/>
      <c r="EME4" s="8"/>
      <c r="EMF4" s="8"/>
      <c r="EMG4" s="8"/>
      <c r="EMH4" s="8"/>
      <c r="EMI4" s="8"/>
      <c r="EMJ4" s="8"/>
      <c r="EMK4" s="8"/>
      <c r="EML4" s="8"/>
      <c r="EMM4" s="8"/>
      <c r="EMN4" s="8"/>
      <c r="EMO4" s="8"/>
      <c r="EMP4" s="8"/>
      <c r="EMQ4" s="8"/>
      <c r="EMR4" s="8"/>
      <c r="EMS4" s="8"/>
      <c r="EMT4" s="8"/>
      <c r="EMU4" s="8"/>
      <c r="EMV4" s="8"/>
      <c r="EMW4" s="8"/>
      <c r="EMX4" s="8"/>
      <c r="EMY4" s="8"/>
      <c r="EMZ4" s="8"/>
      <c r="ENA4" s="8"/>
      <c r="ENB4" s="8"/>
      <c r="ENC4" s="8"/>
      <c r="END4" s="8"/>
      <c r="ENE4" s="8"/>
      <c r="ENF4" s="8"/>
      <c r="ENG4" s="8"/>
      <c r="ENH4" s="8"/>
      <c r="ENI4" s="8"/>
      <c r="ENJ4" s="8"/>
      <c r="ENK4" s="8"/>
      <c r="ENL4" s="8"/>
      <c r="ENM4" s="8"/>
      <c r="ENN4" s="8"/>
      <c r="ENO4" s="8"/>
      <c r="ENP4" s="8"/>
      <c r="ENQ4" s="8"/>
      <c r="ENR4" s="8"/>
      <c r="ENS4" s="8"/>
      <c r="ENT4" s="8"/>
      <c r="ENU4" s="8"/>
      <c r="ENV4" s="8"/>
      <c r="ENW4" s="8"/>
      <c r="ENX4" s="8"/>
      <c r="ENY4" s="8"/>
      <c r="ENZ4" s="8"/>
      <c r="EOA4" s="8"/>
      <c r="EOB4" s="8"/>
      <c r="EOC4" s="8"/>
      <c r="EOD4" s="8"/>
      <c r="EOE4" s="8"/>
      <c r="EOF4" s="8"/>
      <c r="EOG4" s="8"/>
      <c r="EOH4" s="8"/>
      <c r="EOI4" s="8"/>
      <c r="EOJ4" s="8"/>
      <c r="EOK4" s="8"/>
      <c r="EOL4" s="8"/>
      <c r="EOM4" s="8"/>
      <c r="EON4" s="8"/>
      <c r="EOO4" s="8"/>
      <c r="EOP4" s="8"/>
      <c r="EOQ4" s="8"/>
      <c r="EOR4" s="8"/>
      <c r="EOS4" s="8"/>
      <c r="EOT4" s="8"/>
      <c r="EOU4" s="8"/>
      <c r="EOV4" s="8"/>
      <c r="EOW4" s="8"/>
      <c r="EOX4" s="8"/>
      <c r="EOY4" s="8"/>
      <c r="EOZ4" s="8"/>
      <c r="EPA4" s="8"/>
      <c r="EPB4" s="8"/>
      <c r="EPC4" s="8"/>
      <c r="EPD4" s="8"/>
      <c r="EPE4" s="8"/>
      <c r="EPF4" s="8"/>
      <c r="EPG4" s="8"/>
      <c r="EPH4" s="8"/>
      <c r="EPI4" s="8"/>
      <c r="EPJ4" s="8"/>
      <c r="EPK4" s="8"/>
      <c r="EPL4" s="8"/>
      <c r="EPM4" s="8"/>
      <c r="EPN4" s="8"/>
      <c r="EPO4" s="8"/>
      <c r="EPP4" s="8"/>
      <c r="EPQ4" s="8"/>
      <c r="EPR4" s="8"/>
      <c r="EPS4" s="8"/>
      <c r="EPT4" s="8"/>
      <c r="EPU4" s="8"/>
      <c r="EPV4" s="8"/>
      <c r="EPW4" s="8"/>
      <c r="EPX4" s="8"/>
      <c r="EPY4" s="8"/>
      <c r="EPZ4" s="8"/>
      <c r="EQA4" s="8"/>
      <c r="EQB4" s="8"/>
      <c r="EQC4" s="8"/>
      <c r="EQD4" s="8"/>
      <c r="EQE4" s="8"/>
      <c r="EQF4" s="8"/>
      <c r="EQG4" s="8"/>
      <c r="EQH4" s="8"/>
      <c r="EQI4" s="8"/>
      <c r="EQJ4" s="8"/>
      <c r="EQK4" s="8"/>
      <c r="EQL4" s="8"/>
      <c r="EQM4" s="8"/>
      <c r="EQN4" s="8"/>
      <c r="EQO4" s="8"/>
      <c r="EQP4" s="8"/>
      <c r="EQQ4" s="8"/>
      <c r="EQR4" s="8"/>
      <c r="EQS4" s="8"/>
      <c r="EQT4" s="8"/>
      <c r="EQU4" s="8"/>
      <c r="EQV4" s="8"/>
      <c r="EQW4" s="8"/>
      <c r="EQX4" s="8"/>
      <c r="EQY4" s="8"/>
      <c r="EQZ4" s="8"/>
      <c r="ERA4" s="8"/>
      <c r="ERB4" s="8"/>
      <c r="ERC4" s="8"/>
      <c r="ERD4" s="8"/>
      <c r="ERE4" s="8"/>
      <c r="ERF4" s="8"/>
      <c r="ERG4" s="8"/>
      <c r="ERH4" s="8"/>
      <c r="ERI4" s="8"/>
      <c r="ERJ4" s="8"/>
      <c r="ERK4" s="8"/>
      <c r="ERL4" s="8"/>
      <c r="ERM4" s="8"/>
      <c r="ERN4" s="8"/>
      <c r="ERO4" s="8"/>
      <c r="ERP4" s="8"/>
      <c r="ERQ4" s="8"/>
      <c r="ERR4" s="8"/>
      <c r="ERS4" s="8"/>
      <c r="ERT4" s="8"/>
      <c r="ERU4" s="8"/>
      <c r="ERV4" s="8"/>
      <c r="ERW4" s="8"/>
      <c r="ERX4" s="8"/>
      <c r="ERY4" s="8"/>
      <c r="ERZ4" s="8"/>
      <c r="ESA4" s="8"/>
      <c r="ESB4" s="8"/>
      <c r="ESC4" s="8"/>
      <c r="ESD4" s="8"/>
      <c r="ESE4" s="8"/>
      <c r="ESF4" s="8"/>
      <c r="ESG4" s="8"/>
      <c r="ESH4" s="8"/>
      <c r="ESI4" s="8"/>
      <c r="ESJ4" s="8"/>
      <c r="ESK4" s="8"/>
      <c r="ESL4" s="8"/>
      <c r="ESM4" s="8"/>
      <c r="ESN4" s="8"/>
      <c r="ESO4" s="8"/>
      <c r="ESP4" s="8"/>
      <c r="ESQ4" s="8"/>
      <c r="ESR4" s="8"/>
      <c r="ESS4" s="8"/>
      <c r="EST4" s="8"/>
      <c r="ESU4" s="8"/>
      <c r="ESV4" s="8"/>
      <c r="ESW4" s="8"/>
      <c r="ESX4" s="8"/>
      <c r="ESY4" s="8"/>
      <c r="ESZ4" s="8"/>
      <c r="ETA4" s="8"/>
      <c r="ETB4" s="8"/>
      <c r="ETC4" s="8"/>
      <c r="ETD4" s="8"/>
      <c r="ETE4" s="8"/>
      <c r="ETF4" s="8"/>
      <c r="ETG4" s="8"/>
      <c r="ETH4" s="8"/>
      <c r="ETI4" s="8"/>
      <c r="ETJ4" s="8"/>
      <c r="ETK4" s="8"/>
      <c r="ETL4" s="8"/>
      <c r="ETM4" s="8"/>
      <c r="ETN4" s="8"/>
      <c r="ETO4" s="8"/>
      <c r="ETP4" s="8"/>
      <c r="ETQ4" s="8"/>
      <c r="ETR4" s="8"/>
      <c r="ETS4" s="8"/>
      <c r="ETT4" s="8"/>
      <c r="ETU4" s="8"/>
      <c r="ETV4" s="8"/>
      <c r="ETW4" s="8"/>
      <c r="ETX4" s="8"/>
      <c r="ETY4" s="8"/>
      <c r="ETZ4" s="8"/>
      <c r="EUA4" s="8"/>
      <c r="EUB4" s="8"/>
      <c r="EUC4" s="8"/>
      <c r="EUD4" s="8"/>
      <c r="EUE4" s="8"/>
      <c r="EUF4" s="8"/>
      <c r="EUG4" s="8"/>
      <c r="EUH4" s="8"/>
      <c r="EUI4" s="8"/>
      <c r="EUJ4" s="8"/>
      <c r="EUK4" s="8"/>
      <c r="EUL4" s="8"/>
      <c r="EUM4" s="8"/>
      <c r="EUN4" s="8"/>
      <c r="EUO4" s="8"/>
      <c r="EUP4" s="8"/>
      <c r="EUQ4" s="8"/>
      <c r="EUR4" s="8"/>
      <c r="EUS4" s="8"/>
      <c r="EUT4" s="8"/>
      <c r="EUU4" s="8"/>
      <c r="EUV4" s="8"/>
      <c r="EUW4" s="8"/>
      <c r="EUX4" s="8"/>
      <c r="EUY4" s="8"/>
      <c r="EUZ4" s="8"/>
      <c r="EVA4" s="8"/>
      <c r="EVB4" s="8"/>
      <c r="EVC4" s="8"/>
      <c r="EVD4" s="8"/>
      <c r="EVE4" s="8"/>
      <c r="EVF4" s="8"/>
      <c r="EVG4" s="8"/>
      <c r="EVH4" s="8"/>
      <c r="EVI4" s="8"/>
      <c r="EVJ4" s="8"/>
      <c r="EVK4" s="8"/>
      <c r="EVL4" s="8"/>
      <c r="EVM4" s="8"/>
      <c r="EVN4" s="8"/>
      <c r="EVO4" s="8"/>
      <c r="EVP4" s="8"/>
      <c r="EVQ4" s="8"/>
      <c r="EVR4" s="8"/>
      <c r="EVS4" s="8"/>
      <c r="EVT4" s="8"/>
      <c r="EVU4" s="8"/>
      <c r="EVV4" s="8"/>
      <c r="EVW4" s="8"/>
      <c r="EVX4" s="8"/>
      <c r="EVY4" s="8"/>
      <c r="EVZ4" s="8"/>
      <c r="EWA4" s="8"/>
      <c r="EWB4" s="8"/>
      <c r="EWC4" s="8"/>
      <c r="EWD4" s="8"/>
      <c r="EWE4" s="8"/>
      <c r="EWF4" s="8"/>
      <c r="EWG4" s="8"/>
      <c r="EWH4" s="8"/>
      <c r="EWI4" s="8"/>
      <c r="EWJ4" s="8"/>
      <c r="EWK4" s="8"/>
      <c r="EWL4" s="8"/>
      <c r="EWM4" s="8"/>
      <c r="EWN4" s="8"/>
      <c r="EWO4" s="8"/>
      <c r="EWP4" s="8"/>
      <c r="EWQ4" s="8"/>
      <c r="EWR4" s="8"/>
      <c r="EWS4" s="8"/>
      <c r="EWT4" s="8"/>
      <c r="EWU4" s="8"/>
      <c r="EWV4" s="8"/>
      <c r="EWW4" s="8"/>
      <c r="EWX4" s="8"/>
      <c r="EWY4" s="8"/>
      <c r="EWZ4" s="8"/>
      <c r="EXA4" s="8"/>
      <c r="EXB4" s="8"/>
      <c r="EXC4" s="8"/>
      <c r="EXD4" s="8"/>
      <c r="EXE4" s="8"/>
      <c r="EXF4" s="8"/>
      <c r="EXG4" s="8"/>
      <c r="EXH4" s="8"/>
      <c r="EXI4" s="8"/>
      <c r="EXJ4" s="8"/>
      <c r="EXK4" s="8"/>
      <c r="EXL4" s="8"/>
      <c r="EXM4" s="8"/>
      <c r="EXN4" s="8"/>
      <c r="EXO4" s="8"/>
      <c r="EXP4" s="8"/>
      <c r="EXQ4" s="8"/>
      <c r="EXR4" s="8"/>
      <c r="EXS4" s="8"/>
      <c r="EXT4" s="8"/>
      <c r="EXU4" s="8"/>
      <c r="EXV4" s="8"/>
      <c r="EXW4" s="8"/>
      <c r="EXX4" s="8"/>
      <c r="EXY4" s="8"/>
      <c r="EXZ4" s="8"/>
      <c r="EYA4" s="8"/>
      <c r="EYB4" s="8"/>
      <c r="EYC4" s="8"/>
      <c r="EYD4" s="8"/>
      <c r="EYE4" s="8"/>
      <c r="EYF4" s="8"/>
      <c r="EYG4" s="8"/>
      <c r="EYH4" s="8"/>
      <c r="EYI4" s="8"/>
      <c r="EYJ4" s="8"/>
      <c r="EYK4" s="8"/>
      <c r="EYL4" s="8"/>
      <c r="EYM4" s="8"/>
      <c r="EYN4" s="8"/>
      <c r="EYO4" s="8"/>
      <c r="EYP4" s="8"/>
      <c r="EYQ4" s="8"/>
      <c r="EYR4" s="8"/>
      <c r="EYS4" s="8"/>
      <c r="EYT4" s="8"/>
      <c r="EYU4" s="8"/>
      <c r="EYV4" s="8"/>
      <c r="EYW4" s="8"/>
      <c r="EYX4" s="8"/>
      <c r="EYY4" s="8"/>
      <c r="EYZ4" s="8"/>
      <c r="EZA4" s="8"/>
      <c r="EZB4" s="8"/>
      <c r="EZC4" s="8"/>
      <c r="EZD4" s="8"/>
      <c r="EZE4" s="8"/>
      <c r="EZF4" s="8"/>
      <c r="EZG4" s="8"/>
      <c r="EZH4" s="8"/>
      <c r="EZI4" s="8"/>
      <c r="EZJ4" s="8"/>
      <c r="EZK4" s="8"/>
      <c r="EZL4" s="8"/>
      <c r="EZM4" s="8"/>
      <c r="EZN4" s="8"/>
      <c r="EZO4" s="8"/>
      <c r="EZP4" s="8"/>
      <c r="EZQ4" s="8"/>
      <c r="EZR4" s="8"/>
      <c r="EZS4" s="8"/>
      <c r="EZT4" s="8"/>
      <c r="EZU4" s="8"/>
      <c r="EZV4" s="8"/>
      <c r="EZW4" s="8"/>
      <c r="EZX4" s="8"/>
      <c r="EZY4" s="8"/>
      <c r="EZZ4" s="8"/>
      <c r="FAA4" s="8"/>
      <c r="FAB4" s="8"/>
      <c r="FAC4" s="8"/>
      <c r="FAD4" s="8"/>
      <c r="FAE4" s="8"/>
      <c r="FAF4" s="8"/>
      <c r="FAG4" s="8"/>
      <c r="FAH4" s="8"/>
      <c r="FAI4" s="8"/>
      <c r="FAJ4" s="8"/>
      <c r="FAK4" s="8"/>
      <c r="FAL4" s="8"/>
      <c r="FAM4" s="8"/>
      <c r="FAN4" s="8"/>
      <c r="FAO4" s="8"/>
      <c r="FAP4" s="8"/>
      <c r="FAQ4" s="8"/>
      <c r="FAR4" s="8"/>
      <c r="FAS4" s="8"/>
      <c r="FAT4" s="8"/>
      <c r="FAU4" s="8"/>
      <c r="FAV4" s="8"/>
      <c r="FAW4" s="8"/>
      <c r="FAX4" s="8"/>
      <c r="FAY4" s="8"/>
      <c r="FAZ4" s="8"/>
      <c r="FBA4" s="8"/>
      <c r="FBB4" s="8"/>
      <c r="FBC4" s="8"/>
      <c r="FBD4" s="8"/>
      <c r="FBE4" s="8"/>
      <c r="FBF4" s="8"/>
      <c r="FBG4" s="8"/>
      <c r="FBH4" s="8"/>
      <c r="FBI4" s="8"/>
      <c r="FBJ4" s="8"/>
      <c r="FBK4" s="8"/>
      <c r="FBL4" s="8"/>
      <c r="FBM4" s="8"/>
      <c r="FBN4" s="8"/>
      <c r="FBO4" s="8"/>
      <c r="FBP4" s="8"/>
      <c r="FBQ4" s="8"/>
      <c r="FBR4" s="8"/>
      <c r="FBS4" s="8"/>
      <c r="FBT4" s="8"/>
      <c r="FBU4" s="8"/>
      <c r="FBV4" s="8"/>
      <c r="FBW4" s="8"/>
      <c r="FBX4" s="8"/>
      <c r="FBY4" s="8"/>
      <c r="FBZ4" s="8"/>
      <c r="FCA4" s="8"/>
      <c r="FCB4" s="8"/>
      <c r="FCC4" s="8"/>
      <c r="FCD4" s="8"/>
      <c r="FCE4" s="8"/>
      <c r="FCF4" s="8"/>
      <c r="FCG4" s="8"/>
      <c r="FCH4" s="8"/>
      <c r="FCI4" s="8"/>
      <c r="FCJ4" s="8"/>
      <c r="FCK4" s="8"/>
      <c r="FCL4" s="8"/>
      <c r="FCM4" s="8"/>
      <c r="FCN4" s="8"/>
      <c r="FCO4" s="8"/>
      <c r="FCP4" s="8"/>
      <c r="FCQ4" s="8"/>
      <c r="FCR4" s="8"/>
      <c r="FCS4" s="8"/>
      <c r="FCT4" s="8"/>
      <c r="FCU4" s="8"/>
      <c r="FCV4" s="8"/>
      <c r="FCW4" s="8"/>
      <c r="FCX4" s="8"/>
      <c r="FCY4" s="8"/>
      <c r="FCZ4" s="8"/>
      <c r="FDA4" s="8"/>
      <c r="FDB4" s="8"/>
      <c r="FDC4" s="8"/>
      <c r="FDD4" s="8"/>
      <c r="FDE4" s="8"/>
      <c r="FDF4" s="8"/>
      <c r="FDG4" s="8"/>
      <c r="FDH4" s="8"/>
      <c r="FDI4" s="8"/>
      <c r="FDJ4" s="8"/>
      <c r="FDK4" s="8"/>
      <c r="FDL4" s="8"/>
      <c r="FDM4" s="8"/>
      <c r="FDN4" s="8"/>
      <c r="FDO4" s="8"/>
      <c r="FDP4" s="8"/>
      <c r="FDQ4" s="8"/>
      <c r="FDR4" s="8"/>
      <c r="FDS4" s="8"/>
      <c r="FDT4" s="8"/>
      <c r="FDU4" s="8"/>
      <c r="FDV4" s="8"/>
      <c r="FDW4" s="8"/>
      <c r="FDX4" s="8"/>
      <c r="FDY4" s="8"/>
      <c r="FDZ4" s="8"/>
      <c r="FEA4" s="8"/>
      <c r="FEB4" s="8"/>
      <c r="FEC4" s="8"/>
      <c r="FED4" s="8"/>
      <c r="FEE4" s="8"/>
      <c r="FEF4" s="8"/>
      <c r="FEG4" s="8"/>
      <c r="FEH4" s="8"/>
      <c r="FEI4" s="8"/>
      <c r="FEJ4" s="8"/>
      <c r="FEK4" s="8"/>
      <c r="FEL4" s="8"/>
      <c r="FEM4" s="8"/>
      <c r="FEN4" s="8"/>
      <c r="FEO4" s="8"/>
      <c r="FEP4" s="8"/>
      <c r="FEQ4" s="8"/>
      <c r="FER4" s="8"/>
      <c r="FES4" s="8"/>
      <c r="FET4" s="8"/>
      <c r="FEU4" s="8"/>
      <c r="FEV4" s="8"/>
      <c r="FEW4" s="8"/>
      <c r="FEX4" s="8"/>
      <c r="FEY4" s="8"/>
      <c r="FEZ4" s="8"/>
      <c r="FFA4" s="8"/>
      <c r="FFB4" s="8"/>
      <c r="FFC4" s="8"/>
      <c r="FFD4" s="8"/>
      <c r="FFE4" s="8"/>
      <c r="FFF4" s="8"/>
      <c r="FFG4" s="8"/>
      <c r="FFH4" s="8"/>
      <c r="FFI4" s="8"/>
      <c r="FFJ4" s="8"/>
      <c r="FFK4" s="8"/>
      <c r="FFL4" s="8"/>
      <c r="FFM4" s="8"/>
      <c r="FFN4" s="8"/>
      <c r="FFO4" s="8"/>
      <c r="FFP4" s="8"/>
      <c r="FFQ4" s="8"/>
      <c r="FFR4" s="8"/>
      <c r="FFS4" s="8"/>
      <c r="FFT4" s="8"/>
      <c r="FFU4" s="8"/>
      <c r="FFV4" s="8"/>
      <c r="FFW4" s="8"/>
      <c r="FFX4" s="8"/>
      <c r="FFY4" s="8"/>
      <c r="FFZ4" s="8"/>
      <c r="FGA4" s="8"/>
      <c r="FGB4" s="8"/>
      <c r="FGC4" s="8"/>
      <c r="FGD4" s="8"/>
      <c r="FGE4" s="8"/>
      <c r="FGF4" s="8"/>
      <c r="FGG4" s="8"/>
      <c r="FGH4" s="8"/>
      <c r="FGI4" s="8"/>
      <c r="FGJ4" s="8"/>
      <c r="FGK4" s="8"/>
      <c r="FGL4" s="8"/>
      <c r="FGM4" s="8"/>
      <c r="FGN4" s="8"/>
      <c r="FGO4" s="8"/>
      <c r="FGP4" s="8"/>
      <c r="FGQ4" s="8"/>
      <c r="FGR4" s="8"/>
      <c r="FGS4" s="8"/>
      <c r="FGT4" s="8"/>
      <c r="FGU4" s="8"/>
      <c r="FGV4" s="8"/>
      <c r="FGW4" s="8"/>
      <c r="FGX4" s="8"/>
      <c r="FGY4" s="8"/>
      <c r="FGZ4" s="8"/>
      <c r="FHA4" s="8"/>
      <c r="FHB4" s="8"/>
      <c r="FHC4" s="8"/>
      <c r="FHD4" s="8"/>
      <c r="FHE4" s="8"/>
      <c r="FHF4" s="8"/>
      <c r="FHG4" s="8"/>
      <c r="FHH4" s="8"/>
      <c r="FHI4" s="8"/>
      <c r="FHJ4" s="8"/>
      <c r="FHK4" s="8"/>
      <c r="FHL4" s="8"/>
      <c r="FHM4" s="8"/>
      <c r="FHN4" s="8"/>
      <c r="FHO4" s="8"/>
      <c r="FHP4" s="8"/>
      <c r="FHQ4" s="8"/>
      <c r="FHR4" s="8"/>
      <c r="FHS4" s="8"/>
      <c r="FHT4" s="8"/>
      <c r="FHU4" s="8"/>
      <c r="FHV4" s="8"/>
      <c r="FHW4" s="8"/>
      <c r="FHX4" s="8"/>
      <c r="FHY4" s="8"/>
      <c r="FHZ4" s="8"/>
      <c r="FIA4" s="8"/>
      <c r="FIB4" s="8"/>
      <c r="FIC4" s="8"/>
      <c r="FID4" s="8"/>
      <c r="FIE4" s="8"/>
      <c r="FIF4" s="8"/>
      <c r="FIG4" s="8"/>
      <c r="FIH4" s="8"/>
      <c r="FII4" s="8"/>
      <c r="FIJ4" s="8"/>
      <c r="FIK4" s="8"/>
      <c r="FIL4" s="8"/>
      <c r="FIM4" s="8"/>
      <c r="FIN4" s="8"/>
      <c r="FIO4" s="8"/>
      <c r="FIP4" s="8"/>
      <c r="FIQ4" s="8"/>
      <c r="FIR4" s="8"/>
      <c r="FIS4" s="8"/>
      <c r="FIT4" s="8"/>
      <c r="FIU4" s="8"/>
      <c r="FIV4" s="8"/>
      <c r="FIW4" s="8"/>
      <c r="FIX4" s="8"/>
      <c r="FIY4" s="8"/>
      <c r="FIZ4" s="8"/>
      <c r="FJA4" s="8"/>
      <c r="FJB4" s="8"/>
      <c r="FJC4" s="8"/>
      <c r="FJD4" s="8"/>
      <c r="FJE4" s="8"/>
      <c r="FJF4" s="8"/>
      <c r="FJG4" s="8"/>
      <c r="FJH4" s="8"/>
      <c r="FJI4" s="8"/>
      <c r="FJJ4" s="8"/>
      <c r="FJK4" s="8"/>
      <c r="FJL4" s="8"/>
      <c r="FJM4" s="8"/>
      <c r="FJN4" s="8"/>
      <c r="FJO4" s="8"/>
      <c r="FJP4" s="8"/>
      <c r="FJQ4" s="8"/>
      <c r="FJR4" s="8"/>
      <c r="FJS4" s="8"/>
      <c r="FJT4" s="8"/>
      <c r="FJU4" s="8"/>
      <c r="FJV4" s="8"/>
      <c r="FJW4" s="8"/>
      <c r="FJX4" s="8"/>
      <c r="FJY4" s="8"/>
      <c r="FJZ4" s="8"/>
      <c r="FKA4" s="8"/>
      <c r="FKB4" s="8"/>
      <c r="FKC4" s="8"/>
      <c r="FKD4" s="8"/>
      <c r="FKE4" s="8"/>
      <c r="FKF4" s="8"/>
      <c r="FKG4" s="8"/>
      <c r="FKH4" s="8"/>
      <c r="FKI4" s="8"/>
      <c r="FKJ4" s="8"/>
      <c r="FKK4" s="8"/>
      <c r="FKL4" s="8"/>
      <c r="FKM4" s="8"/>
      <c r="FKN4" s="8"/>
      <c r="FKO4" s="8"/>
      <c r="FKP4" s="8"/>
      <c r="FKQ4" s="8"/>
      <c r="FKR4" s="8"/>
      <c r="FKS4" s="8"/>
      <c r="FKT4" s="8"/>
      <c r="FKU4" s="8"/>
      <c r="FKV4" s="8"/>
      <c r="FKW4" s="8"/>
      <c r="FKX4" s="8"/>
      <c r="FKY4" s="8"/>
      <c r="FKZ4" s="8"/>
      <c r="FLA4" s="8"/>
      <c r="FLB4" s="8"/>
      <c r="FLC4" s="8"/>
      <c r="FLD4" s="8"/>
      <c r="FLE4" s="8"/>
      <c r="FLF4" s="8"/>
      <c r="FLG4" s="8"/>
      <c r="FLH4" s="8"/>
      <c r="FLI4" s="8"/>
      <c r="FLJ4" s="8"/>
      <c r="FLK4" s="8"/>
      <c r="FLL4" s="8"/>
      <c r="FLM4" s="8"/>
      <c r="FLN4" s="8"/>
      <c r="FLO4" s="8"/>
      <c r="FLP4" s="8"/>
      <c r="FLQ4" s="8"/>
      <c r="FLR4" s="8"/>
      <c r="FLS4" s="8"/>
      <c r="FLT4" s="8"/>
      <c r="FLU4" s="8"/>
      <c r="FLV4" s="8"/>
      <c r="FLW4" s="8"/>
      <c r="FLX4" s="8"/>
      <c r="FLY4" s="8"/>
      <c r="FLZ4" s="8"/>
      <c r="FMA4" s="8"/>
      <c r="FMB4" s="8"/>
      <c r="FMC4" s="8"/>
      <c r="FMD4" s="8"/>
      <c r="FME4" s="8"/>
      <c r="FMF4" s="8"/>
      <c r="FMG4" s="8"/>
      <c r="FMH4" s="8"/>
      <c r="FMI4" s="8"/>
      <c r="FMJ4" s="8"/>
      <c r="FMK4" s="8"/>
      <c r="FML4" s="8"/>
      <c r="FMM4" s="8"/>
      <c r="FMN4" s="8"/>
      <c r="FMO4" s="8"/>
      <c r="FMP4" s="8"/>
      <c r="FMQ4" s="8"/>
      <c r="FMR4" s="8"/>
      <c r="FMS4" s="8"/>
      <c r="FMT4" s="8"/>
      <c r="FMU4" s="8"/>
      <c r="FMV4" s="8"/>
      <c r="FMW4" s="8"/>
      <c r="FMX4" s="8"/>
      <c r="FMY4" s="8"/>
      <c r="FMZ4" s="8"/>
      <c r="FNA4" s="8"/>
      <c r="FNB4" s="8"/>
      <c r="FNC4" s="8"/>
      <c r="FND4" s="8"/>
      <c r="FNE4" s="8"/>
      <c r="FNF4" s="8"/>
      <c r="FNG4" s="8"/>
      <c r="FNH4" s="8"/>
      <c r="FNI4" s="8"/>
      <c r="FNJ4" s="8"/>
      <c r="FNK4" s="8"/>
      <c r="FNL4" s="8"/>
      <c r="FNM4" s="8"/>
      <c r="FNN4" s="8"/>
      <c r="FNO4" s="8"/>
      <c r="FNP4" s="8"/>
      <c r="FNQ4" s="8"/>
      <c r="FNR4" s="8"/>
      <c r="FNS4" s="8"/>
      <c r="FNT4" s="8"/>
      <c r="FNU4" s="8"/>
      <c r="FNV4" s="8"/>
      <c r="FNW4" s="8"/>
      <c r="FNX4" s="8"/>
      <c r="FNY4" s="8"/>
      <c r="FNZ4" s="8"/>
      <c r="FOA4" s="8"/>
      <c r="FOB4" s="8"/>
      <c r="FOC4" s="8"/>
      <c r="FOD4" s="8"/>
      <c r="FOE4" s="8"/>
      <c r="FOF4" s="8"/>
      <c r="FOG4" s="8"/>
      <c r="FOH4" s="8"/>
      <c r="FOI4" s="8"/>
      <c r="FOJ4" s="8"/>
      <c r="FOK4" s="8"/>
      <c r="FOL4" s="8"/>
      <c r="FOM4" s="8"/>
      <c r="FON4" s="8"/>
      <c r="FOO4" s="8"/>
      <c r="FOP4" s="8"/>
      <c r="FOQ4" s="8"/>
      <c r="FOR4" s="8"/>
      <c r="FOS4" s="8"/>
      <c r="FOT4" s="8"/>
      <c r="FOU4" s="8"/>
      <c r="FOV4" s="8"/>
      <c r="FOW4" s="8"/>
      <c r="FOX4" s="8"/>
      <c r="FOY4" s="8"/>
      <c r="FOZ4" s="8"/>
      <c r="FPA4" s="8"/>
      <c r="FPB4" s="8"/>
      <c r="FPC4" s="8"/>
      <c r="FPD4" s="8"/>
      <c r="FPE4" s="8"/>
      <c r="FPF4" s="8"/>
      <c r="FPG4" s="8"/>
      <c r="FPH4" s="8"/>
      <c r="FPI4" s="8"/>
      <c r="FPJ4" s="8"/>
      <c r="FPK4" s="8"/>
      <c r="FPL4" s="8"/>
      <c r="FPM4" s="8"/>
      <c r="FPN4" s="8"/>
      <c r="FPO4" s="8"/>
      <c r="FPP4" s="8"/>
      <c r="FPQ4" s="8"/>
      <c r="FPR4" s="8"/>
      <c r="FPS4" s="8"/>
      <c r="FPT4" s="8"/>
      <c r="FPU4" s="8"/>
      <c r="FPV4" s="8"/>
      <c r="FPW4" s="8"/>
      <c r="FPX4" s="8"/>
      <c r="FPY4" s="8"/>
      <c r="FPZ4" s="8"/>
      <c r="FQA4" s="8"/>
      <c r="FQB4" s="8"/>
      <c r="FQC4" s="8"/>
      <c r="FQD4" s="8"/>
      <c r="FQE4" s="8"/>
      <c r="FQF4" s="8"/>
      <c r="FQG4" s="8"/>
      <c r="FQH4" s="8"/>
      <c r="FQI4" s="8"/>
      <c r="FQJ4" s="8"/>
      <c r="FQK4" s="8"/>
      <c r="FQL4" s="8"/>
      <c r="FQM4" s="8"/>
      <c r="FQN4" s="8"/>
      <c r="FQO4" s="8"/>
      <c r="FQP4" s="8"/>
      <c r="FQQ4" s="8"/>
      <c r="FQR4" s="8"/>
      <c r="FQS4" s="8"/>
      <c r="FQT4" s="8"/>
      <c r="FQU4" s="8"/>
      <c r="FQV4" s="8"/>
      <c r="FQW4" s="8"/>
      <c r="FQX4" s="8"/>
      <c r="FQY4" s="8"/>
      <c r="FQZ4" s="8"/>
      <c r="FRA4" s="8"/>
      <c r="FRB4" s="8"/>
      <c r="FRC4" s="8"/>
      <c r="FRD4" s="8"/>
      <c r="FRE4" s="8"/>
      <c r="FRF4" s="8"/>
      <c r="FRG4" s="8"/>
      <c r="FRH4" s="8"/>
      <c r="FRI4" s="8"/>
      <c r="FRJ4" s="8"/>
      <c r="FRK4" s="8"/>
      <c r="FRL4" s="8"/>
      <c r="FRM4" s="8"/>
      <c r="FRN4" s="8"/>
      <c r="FRO4" s="8"/>
      <c r="FRP4" s="8"/>
      <c r="FRQ4" s="8"/>
      <c r="FRR4" s="8"/>
      <c r="FRS4" s="8"/>
      <c r="FRT4" s="8"/>
      <c r="FRU4" s="8"/>
      <c r="FRV4" s="8"/>
      <c r="FRW4" s="8"/>
      <c r="FRX4" s="8"/>
      <c r="FRY4" s="8"/>
      <c r="FRZ4" s="8"/>
      <c r="FSA4" s="8"/>
      <c r="FSB4" s="8"/>
      <c r="FSC4" s="8"/>
      <c r="FSD4" s="8"/>
      <c r="FSE4" s="8"/>
      <c r="FSF4" s="8"/>
      <c r="FSG4" s="8"/>
      <c r="FSH4" s="8"/>
      <c r="FSI4" s="8"/>
      <c r="FSJ4" s="8"/>
      <c r="FSK4" s="8"/>
      <c r="FSL4" s="8"/>
      <c r="FSM4" s="8"/>
      <c r="FSN4" s="8"/>
      <c r="FSO4" s="8"/>
      <c r="FSP4" s="8"/>
      <c r="FSQ4" s="8"/>
      <c r="FSR4" s="8"/>
      <c r="FSS4" s="8"/>
      <c r="FST4" s="8"/>
      <c r="FSU4" s="8"/>
      <c r="FSV4" s="8"/>
      <c r="FSW4" s="8"/>
      <c r="FSX4" s="8"/>
      <c r="FSY4" s="8"/>
      <c r="FSZ4" s="8"/>
      <c r="FTA4" s="8"/>
      <c r="FTB4" s="8"/>
      <c r="FTC4" s="8"/>
      <c r="FTD4" s="8"/>
      <c r="FTE4" s="8"/>
      <c r="FTF4" s="8"/>
      <c r="FTG4" s="8"/>
      <c r="FTH4" s="8"/>
      <c r="FTI4" s="8"/>
      <c r="FTJ4" s="8"/>
      <c r="FTK4" s="8"/>
      <c r="FTL4" s="8"/>
      <c r="FTM4" s="8"/>
      <c r="FTN4" s="8"/>
      <c r="FTO4" s="8"/>
      <c r="FTP4" s="8"/>
      <c r="FTQ4" s="8"/>
      <c r="FTR4" s="8"/>
      <c r="FTS4" s="8"/>
      <c r="FTT4" s="8"/>
      <c r="FTU4" s="8"/>
      <c r="FTV4" s="8"/>
      <c r="FTW4" s="8"/>
      <c r="FTX4" s="8"/>
      <c r="FTY4" s="8"/>
      <c r="FTZ4" s="8"/>
      <c r="FUA4" s="8"/>
      <c r="FUB4" s="8"/>
      <c r="FUC4" s="8"/>
      <c r="FUD4" s="8"/>
      <c r="FUE4" s="8"/>
      <c r="FUF4" s="8"/>
      <c r="FUG4" s="8"/>
      <c r="FUH4" s="8"/>
      <c r="FUI4" s="8"/>
      <c r="FUJ4" s="8"/>
      <c r="FUK4" s="8"/>
      <c r="FUL4" s="8"/>
      <c r="FUM4" s="8"/>
      <c r="FUN4" s="8"/>
      <c r="FUO4" s="8"/>
      <c r="FUP4" s="8"/>
      <c r="FUQ4" s="8"/>
      <c r="FUR4" s="8"/>
      <c r="FUS4" s="8"/>
      <c r="FUT4" s="8"/>
      <c r="FUU4" s="8"/>
      <c r="FUV4" s="8"/>
      <c r="FUW4" s="8"/>
      <c r="FUX4" s="8"/>
      <c r="FUY4" s="8"/>
      <c r="FUZ4" s="8"/>
      <c r="FVA4" s="8"/>
      <c r="FVB4" s="8"/>
      <c r="FVC4" s="8"/>
      <c r="FVD4" s="8"/>
      <c r="FVE4" s="8"/>
      <c r="FVF4" s="8"/>
      <c r="FVG4" s="8"/>
      <c r="FVH4" s="8"/>
      <c r="FVI4" s="8"/>
      <c r="FVJ4" s="8"/>
      <c r="FVK4" s="8"/>
      <c r="FVL4" s="8"/>
      <c r="FVM4" s="8"/>
      <c r="FVN4" s="8"/>
      <c r="FVO4" s="8"/>
      <c r="FVP4" s="8"/>
      <c r="FVQ4" s="8"/>
      <c r="FVR4" s="8"/>
      <c r="FVS4" s="8"/>
      <c r="FVT4" s="8"/>
      <c r="FVU4" s="8"/>
      <c r="FVV4" s="8"/>
      <c r="FVW4" s="8"/>
      <c r="FVX4" s="8"/>
      <c r="FVY4" s="8"/>
      <c r="FVZ4" s="8"/>
      <c r="FWA4" s="8"/>
      <c r="FWB4" s="8"/>
      <c r="FWC4" s="8"/>
      <c r="FWD4" s="8"/>
      <c r="FWE4" s="8"/>
      <c r="FWF4" s="8"/>
      <c r="FWG4" s="8"/>
      <c r="FWH4" s="8"/>
      <c r="FWI4" s="8"/>
      <c r="FWJ4" s="8"/>
      <c r="FWK4" s="8"/>
      <c r="FWL4" s="8"/>
      <c r="FWM4" s="8"/>
      <c r="FWN4" s="8"/>
      <c r="FWO4" s="8"/>
      <c r="FWP4" s="8"/>
      <c r="FWQ4" s="8"/>
      <c r="FWR4" s="8"/>
      <c r="FWS4" s="8"/>
      <c r="FWT4" s="8"/>
      <c r="FWU4" s="8"/>
      <c r="FWV4" s="8"/>
      <c r="FWW4" s="8"/>
      <c r="FWX4" s="8"/>
      <c r="FWY4" s="8"/>
      <c r="FWZ4" s="8"/>
      <c r="FXA4" s="8"/>
      <c r="FXB4" s="8"/>
      <c r="FXC4" s="8"/>
      <c r="FXD4" s="8"/>
      <c r="FXE4" s="8"/>
      <c r="FXF4" s="8"/>
      <c r="FXG4" s="8"/>
      <c r="FXH4" s="8"/>
      <c r="FXI4" s="8"/>
      <c r="FXJ4" s="8"/>
      <c r="FXK4" s="8"/>
      <c r="FXL4" s="8"/>
      <c r="FXM4" s="8"/>
      <c r="FXN4" s="8"/>
      <c r="FXO4" s="8"/>
      <c r="FXP4" s="8"/>
      <c r="FXQ4" s="8"/>
      <c r="FXR4" s="8"/>
      <c r="FXS4" s="8"/>
      <c r="FXT4" s="8"/>
      <c r="FXU4" s="8"/>
      <c r="FXV4" s="8"/>
      <c r="FXW4" s="8"/>
      <c r="FXX4" s="8"/>
      <c r="FXY4" s="8"/>
      <c r="FXZ4" s="8"/>
      <c r="FYA4" s="8"/>
      <c r="FYB4" s="8"/>
      <c r="FYC4" s="8"/>
      <c r="FYD4" s="8"/>
      <c r="FYE4" s="8"/>
      <c r="FYF4" s="8"/>
      <c r="FYG4" s="8"/>
      <c r="FYH4" s="8"/>
      <c r="FYI4" s="8"/>
      <c r="FYJ4" s="8"/>
      <c r="FYK4" s="8"/>
      <c r="FYL4" s="8"/>
      <c r="FYM4" s="8"/>
      <c r="FYN4" s="8"/>
      <c r="FYO4" s="8"/>
      <c r="FYP4" s="8"/>
      <c r="FYQ4" s="8"/>
      <c r="FYR4" s="8"/>
      <c r="FYS4" s="8"/>
      <c r="FYT4" s="8"/>
      <c r="FYU4" s="8"/>
      <c r="FYV4" s="8"/>
      <c r="FYW4" s="8"/>
      <c r="FYX4" s="8"/>
      <c r="FYY4" s="8"/>
      <c r="FYZ4" s="8"/>
      <c r="FZA4" s="8"/>
      <c r="FZB4" s="8"/>
      <c r="FZC4" s="8"/>
      <c r="FZD4" s="8"/>
      <c r="FZE4" s="8"/>
      <c r="FZF4" s="8"/>
      <c r="FZG4" s="8"/>
      <c r="FZH4" s="8"/>
      <c r="FZI4" s="8"/>
      <c r="FZJ4" s="8"/>
      <c r="FZK4" s="8"/>
      <c r="FZL4" s="8"/>
      <c r="FZM4" s="8"/>
      <c r="FZN4" s="8"/>
      <c r="FZO4" s="8"/>
      <c r="FZP4" s="8"/>
      <c r="FZQ4" s="8"/>
      <c r="FZR4" s="8"/>
      <c r="FZS4" s="8"/>
      <c r="FZT4" s="8"/>
      <c r="FZU4" s="8"/>
      <c r="FZV4" s="8"/>
      <c r="FZW4" s="8"/>
      <c r="FZX4" s="8"/>
      <c r="FZY4" s="8"/>
      <c r="FZZ4" s="8"/>
      <c r="GAA4" s="8"/>
      <c r="GAB4" s="8"/>
      <c r="GAC4" s="8"/>
      <c r="GAD4" s="8"/>
      <c r="GAE4" s="8"/>
      <c r="GAF4" s="8"/>
      <c r="GAG4" s="8"/>
      <c r="GAH4" s="8"/>
      <c r="GAI4" s="8"/>
      <c r="GAJ4" s="8"/>
      <c r="GAK4" s="8"/>
      <c r="GAL4" s="8"/>
      <c r="GAM4" s="8"/>
      <c r="GAN4" s="8"/>
      <c r="GAO4" s="8"/>
      <c r="GAP4" s="8"/>
      <c r="GAQ4" s="8"/>
      <c r="GAR4" s="8"/>
      <c r="GAS4" s="8"/>
      <c r="GAT4" s="8"/>
      <c r="GAU4" s="8"/>
      <c r="GAV4" s="8"/>
      <c r="GAW4" s="8"/>
      <c r="GAX4" s="8"/>
      <c r="GAY4" s="8"/>
      <c r="GAZ4" s="8"/>
      <c r="GBA4" s="8"/>
      <c r="GBB4" s="8"/>
      <c r="GBC4" s="8"/>
      <c r="GBD4" s="8"/>
      <c r="GBE4" s="8"/>
      <c r="GBF4" s="8"/>
      <c r="GBG4" s="8"/>
      <c r="GBH4" s="8"/>
      <c r="GBI4" s="8"/>
      <c r="GBJ4" s="8"/>
      <c r="GBK4" s="8"/>
      <c r="GBL4" s="8"/>
      <c r="GBM4" s="8"/>
      <c r="GBN4" s="8"/>
      <c r="GBO4" s="8"/>
      <c r="GBP4" s="8"/>
      <c r="GBQ4" s="8"/>
      <c r="GBR4" s="8"/>
      <c r="GBS4" s="8"/>
      <c r="GBT4" s="8"/>
      <c r="GBU4" s="8"/>
      <c r="GBV4" s="8"/>
      <c r="GBW4" s="8"/>
      <c r="GBX4" s="8"/>
      <c r="GBY4" s="8"/>
      <c r="GBZ4" s="8"/>
      <c r="GCA4" s="8"/>
      <c r="GCB4" s="8"/>
      <c r="GCC4" s="8"/>
      <c r="GCD4" s="8"/>
      <c r="GCE4" s="8"/>
      <c r="GCF4" s="8"/>
      <c r="GCG4" s="8"/>
      <c r="GCH4" s="8"/>
      <c r="GCI4" s="8"/>
      <c r="GCJ4" s="8"/>
      <c r="GCK4" s="8"/>
      <c r="GCL4" s="8"/>
      <c r="GCM4" s="8"/>
      <c r="GCN4" s="8"/>
      <c r="GCO4" s="8"/>
      <c r="GCP4" s="8"/>
      <c r="GCQ4" s="8"/>
      <c r="GCR4" s="8"/>
      <c r="GCS4" s="8"/>
      <c r="GCT4" s="8"/>
      <c r="GCU4" s="8"/>
      <c r="GCV4" s="8"/>
      <c r="GCW4" s="8"/>
      <c r="GCX4" s="8"/>
      <c r="GCY4" s="8"/>
      <c r="GCZ4" s="8"/>
      <c r="GDA4" s="8"/>
      <c r="GDB4" s="8"/>
      <c r="GDC4" s="8"/>
      <c r="GDD4" s="8"/>
      <c r="GDE4" s="8"/>
      <c r="GDF4" s="8"/>
      <c r="GDG4" s="8"/>
      <c r="GDH4" s="8"/>
      <c r="GDI4" s="8"/>
      <c r="GDJ4" s="8"/>
      <c r="GDK4" s="8"/>
      <c r="GDL4" s="8"/>
      <c r="GDM4" s="8"/>
      <c r="GDN4" s="8"/>
      <c r="GDO4" s="8"/>
      <c r="GDP4" s="8"/>
      <c r="GDQ4" s="8"/>
      <c r="GDR4" s="8"/>
      <c r="GDS4" s="8"/>
      <c r="GDT4" s="8"/>
      <c r="GDU4" s="8"/>
      <c r="GDV4" s="8"/>
      <c r="GDW4" s="8"/>
      <c r="GDX4" s="8"/>
      <c r="GDY4" s="8"/>
      <c r="GDZ4" s="8"/>
      <c r="GEA4" s="8"/>
      <c r="GEB4" s="8"/>
      <c r="GEC4" s="8"/>
      <c r="GED4" s="8"/>
      <c r="GEE4" s="8"/>
      <c r="GEF4" s="8"/>
      <c r="GEG4" s="8"/>
      <c r="GEH4" s="8"/>
      <c r="GEI4" s="8"/>
      <c r="GEJ4" s="8"/>
      <c r="GEK4" s="8"/>
      <c r="GEL4" s="8"/>
      <c r="GEM4" s="8"/>
      <c r="GEN4" s="8"/>
      <c r="GEO4" s="8"/>
      <c r="GEP4" s="8"/>
      <c r="GEQ4" s="8"/>
      <c r="GER4" s="8"/>
      <c r="GES4" s="8"/>
      <c r="GET4" s="8"/>
      <c r="GEU4" s="8"/>
      <c r="GEV4" s="8"/>
      <c r="GEW4" s="8"/>
      <c r="GEX4" s="8"/>
      <c r="GEY4" s="8"/>
      <c r="GEZ4" s="8"/>
      <c r="GFA4" s="8"/>
      <c r="GFB4" s="8"/>
      <c r="GFC4" s="8"/>
      <c r="GFD4" s="8"/>
      <c r="GFE4" s="8"/>
      <c r="GFF4" s="8"/>
      <c r="GFG4" s="8"/>
      <c r="GFH4" s="8"/>
      <c r="GFI4" s="8"/>
      <c r="GFJ4" s="8"/>
      <c r="GFK4" s="8"/>
      <c r="GFL4" s="8"/>
      <c r="GFM4" s="8"/>
      <c r="GFN4" s="8"/>
      <c r="GFO4" s="8"/>
      <c r="GFP4" s="8"/>
      <c r="GFQ4" s="8"/>
      <c r="GFR4" s="8"/>
      <c r="GFS4" s="8"/>
      <c r="GFT4" s="8"/>
      <c r="GFU4" s="8"/>
      <c r="GFV4" s="8"/>
      <c r="GFW4" s="8"/>
      <c r="GFX4" s="8"/>
      <c r="GFY4" s="8"/>
      <c r="GFZ4" s="8"/>
      <c r="GGA4" s="8"/>
      <c r="GGB4" s="8"/>
      <c r="GGC4" s="8"/>
      <c r="GGD4" s="8"/>
      <c r="GGE4" s="8"/>
      <c r="GGF4" s="8"/>
      <c r="GGG4" s="8"/>
      <c r="GGH4" s="8"/>
      <c r="GGI4" s="8"/>
      <c r="GGJ4" s="8"/>
      <c r="GGK4" s="8"/>
      <c r="GGL4" s="8"/>
      <c r="GGM4" s="8"/>
      <c r="GGN4" s="8"/>
      <c r="GGO4" s="8"/>
      <c r="GGP4" s="8"/>
      <c r="GGQ4" s="8"/>
      <c r="GGR4" s="8"/>
      <c r="GGS4" s="8"/>
      <c r="GGT4" s="8"/>
      <c r="GGU4" s="8"/>
      <c r="GGV4" s="8"/>
      <c r="GGW4" s="8"/>
      <c r="GGX4" s="8"/>
      <c r="GGY4" s="8"/>
      <c r="GGZ4" s="8"/>
      <c r="GHA4" s="8"/>
      <c r="GHB4" s="8"/>
      <c r="GHC4" s="8"/>
      <c r="GHD4" s="8"/>
      <c r="GHE4" s="8"/>
      <c r="GHF4" s="8"/>
      <c r="GHG4" s="8"/>
      <c r="GHH4" s="8"/>
      <c r="GHI4" s="8"/>
      <c r="GHJ4" s="8"/>
      <c r="GHK4" s="8"/>
      <c r="GHL4" s="8"/>
      <c r="GHM4" s="8"/>
      <c r="GHN4" s="8"/>
      <c r="GHO4" s="8"/>
      <c r="GHP4" s="8"/>
      <c r="GHQ4" s="8"/>
      <c r="GHR4" s="8"/>
      <c r="GHS4" s="8"/>
      <c r="GHT4" s="8"/>
      <c r="GHU4" s="8"/>
      <c r="GHV4" s="8"/>
      <c r="GHW4" s="8"/>
      <c r="GHX4" s="8"/>
      <c r="GHY4" s="8"/>
      <c r="GHZ4" s="8"/>
      <c r="GIA4" s="8"/>
      <c r="GIB4" s="8"/>
      <c r="GIC4" s="8"/>
      <c r="GID4" s="8"/>
      <c r="GIE4" s="8"/>
      <c r="GIF4" s="8"/>
      <c r="GIG4" s="8"/>
      <c r="GIH4" s="8"/>
      <c r="GII4" s="8"/>
      <c r="GIJ4" s="8"/>
      <c r="GIK4" s="8"/>
      <c r="GIL4" s="8"/>
      <c r="GIM4" s="8"/>
      <c r="GIN4" s="8"/>
      <c r="GIO4" s="8"/>
      <c r="GIP4" s="8"/>
      <c r="GIQ4" s="8"/>
      <c r="GIR4" s="8"/>
      <c r="GIS4" s="8"/>
      <c r="GIT4" s="8"/>
      <c r="GIU4" s="8"/>
      <c r="GIV4" s="8"/>
      <c r="GIW4" s="8"/>
      <c r="GIX4" s="8"/>
      <c r="GIY4" s="8"/>
      <c r="GIZ4" s="8"/>
      <c r="GJA4" s="8"/>
      <c r="GJB4" s="8"/>
      <c r="GJC4" s="8"/>
      <c r="GJD4" s="8"/>
      <c r="GJE4" s="8"/>
      <c r="GJF4" s="8"/>
      <c r="GJG4" s="8"/>
      <c r="GJH4" s="8"/>
      <c r="GJI4" s="8"/>
      <c r="GJJ4" s="8"/>
      <c r="GJK4" s="8"/>
      <c r="GJL4" s="8"/>
      <c r="GJM4" s="8"/>
      <c r="GJN4" s="8"/>
      <c r="GJO4" s="8"/>
      <c r="GJP4" s="8"/>
      <c r="GJQ4" s="8"/>
      <c r="GJR4" s="8"/>
      <c r="GJS4" s="8"/>
      <c r="GJT4" s="8"/>
      <c r="GJU4" s="8"/>
      <c r="GJV4" s="8"/>
      <c r="GJW4" s="8"/>
      <c r="GJX4" s="8"/>
      <c r="GJY4" s="8"/>
      <c r="GJZ4" s="8"/>
      <c r="GKA4" s="8"/>
      <c r="GKB4" s="8"/>
      <c r="GKC4" s="8"/>
      <c r="GKD4" s="8"/>
      <c r="GKE4" s="8"/>
      <c r="GKF4" s="8"/>
      <c r="GKG4" s="8"/>
      <c r="GKH4" s="8"/>
      <c r="GKI4" s="8"/>
      <c r="GKJ4" s="8"/>
      <c r="GKK4" s="8"/>
      <c r="GKL4" s="8"/>
      <c r="GKM4" s="8"/>
      <c r="GKN4" s="8"/>
      <c r="GKO4" s="8"/>
      <c r="GKP4" s="8"/>
      <c r="GKQ4" s="8"/>
      <c r="GKR4" s="8"/>
      <c r="GKS4" s="8"/>
      <c r="GKT4" s="8"/>
      <c r="GKU4" s="8"/>
      <c r="GKV4" s="8"/>
      <c r="GKW4" s="8"/>
      <c r="GKX4" s="8"/>
      <c r="GKY4" s="8"/>
      <c r="GKZ4" s="8"/>
      <c r="GLA4" s="8"/>
      <c r="GLB4" s="8"/>
      <c r="GLC4" s="8"/>
      <c r="GLD4" s="8"/>
      <c r="GLE4" s="8"/>
      <c r="GLF4" s="8"/>
      <c r="GLG4" s="8"/>
      <c r="GLH4" s="8"/>
      <c r="GLI4" s="8"/>
      <c r="GLJ4" s="8"/>
      <c r="GLK4" s="8"/>
      <c r="GLL4" s="8"/>
      <c r="GLM4" s="8"/>
      <c r="GLN4" s="8"/>
      <c r="GLO4" s="8"/>
      <c r="GLP4" s="8"/>
      <c r="GLQ4" s="8"/>
      <c r="GLR4" s="8"/>
      <c r="GLS4" s="8"/>
      <c r="GLT4" s="8"/>
      <c r="GLU4" s="8"/>
      <c r="GLV4" s="8"/>
      <c r="GLW4" s="8"/>
      <c r="GLX4" s="8"/>
      <c r="GLY4" s="8"/>
      <c r="GLZ4" s="8"/>
      <c r="GMA4" s="8"/>
      <c r="GMB4" s="8"/>
      <c r="GMC4" s="8"/>
      <c r="GMD4" s="8"/>
      <c r="GME4" s="8"/>
      <c r="GMF4" s="8"/>
      <c r="GMG4" s="8"/>
      <c r="GMH4" s="8"/>
      <c r="GMI4" s="8"/>
      <c r="GMJ4" s="8"/>
      <c r="GMK4" s="8"/>
      <c r="GML4" s="8"/>
      <c r="GMM4" s="8"/>
      <c r="GMN4" s="8"/>
      <c r="GMO4" s="8"/>
      <c r="GMP4" s="8"/>
      <c r="GMQ4" s="8"/>
      <c r="GMR4" s="8"/>
      <c r="GMS4" s="8"/>
      <c r="GMT4" s="8"/>
      <c r="GMU4" s="8"/>
      <c r="GMV4" s="8"/>
      <c r="GMW4" s="8"/>
      <c r="GMX4" s="8"/>
      <c r="GMY4" s="8"/>
      <c r="GMZ4" s="8"/>
      <c r="GNA4" s="8"/>
      <c r="GNB4" s="8"/>
      <c r="GNC4" s="8"/>
      <c r="GND4" s="8"/>
      <c r="GNE4" s="8"/>
      <c r="GNF4" s="8"/>
      <c r="GNG4" s="8"/>
      <c r="GNH4" s="8"/>
      <c r="GNI4" s="8"/>
      <c r="GNJ4" s="8"/>
      <c r="GNK4" s="8"/>
      <c r="GNL4" s="8"/>
      <c r="GNM4" s="8"/>
      <c r="GNN4" s="8"/>
      <c r="GNO4" s="8"/>
      <c r="GNP4" s="8"/>
      <c r="GNQ4" s="8"/>
      <c r="GNR4" s="8"/>
      <c r="GNS4" s="8"/>
      <c r="GNT4" s="8"/>
      <c r="GNU4" s="8"/>
      <c r="GNV4" s="8"/>
      <c r="GNW4" s="8"/>
      <c r="GNX4" s="8"/>
      <c r="GNY4" s="8"/>
      <c r="GNZ4" s="8"/>
      <c r="GOA4" s="8"/>
      <c r="GOB4" s="8"/>
      <c r="GOC4" s="8"/>
      <c r="GOD4" s="8"/>
      <c r="GOE4" s="8"/>
      <c r="GOF4" s="8"/>
      <c r="GOG4" s="8"/>
      <c r="GOH4" s="8"/>
      <c r="GOI4" s="8"/>
      <c r="GOJ4" s="8"/>
      <c r="GOK4" s="8"/>
      <c r="GOL4" s="8"/>
      <c r="GOM4" s="8"/>
      <c r="GON4" s="8"/>
      <c r="GOO4" s="8"/>
      <c r="GOP4" s="8"/>
      <c r="GOQ4" s="8"/>
      <c r="GOR4" s="8"/>
      <c r="GOS4" s="8"/>
      <c r="GOT4" s="8"/>
      <c r="GOU4" s="8"/>
      <c r="GOV4" s="8"/>
      <c r="GOW4" s="8"/>
      <c r="GOX4" s="8"/>
      <c r="GOY4" s="8"/>
      <c r="GOZ4" s="8"/>
      <c r="GPA4" s="8"/>
      <c r="GPB4" s="8"/>
      <c r="GPC4" s="8"/>
      <c r="GPD4" s="8"/>
      <c r="GPE4" s="8"/>
      <c r="GPF4" s="8"/>
      <c r="GPG4" s="8"/>
      <c r="GPH4" s="8"/>
      <c r="GPI4" s="8"/>
      <c r="GPJ4" s="8"/>
      <c r="GPK4" s="8"/>
      <c r="GPL4" s="8"/>
      <c r="GPM4" s="8"/>
      <c r="GPN4" s="8"/>
      <c r="GPO4" s="8"/>
      <c r="GPP4" s="8"/>
      <c r="GPQ4" s="8"/>
      <c r="GPR4" s="8"/>
      <c r="GPS4" s="8"/>
      <c r="GPT4" s="8"/>
      <c r="GPU4" s="8"/>
      <c r="GPV4" s="8"/>
      <c r="GPW4" s="8"/>
      <c r="GPX4" s="8"/>
      <c r="GPY4" s="8"/>
      <c r="GPZ4" s="8"/>
      <c r="GQA4" s="8"/>
      <c r="GQB4" s="8"/>
      <c r="GQC4" s="8"/>
      <c r="GQD4" s="8"/>
      <c r="GQE4" s="8"/>
      <c r="GQF4" s="8"/>
      <c r="GQG4" s="8"/>
      <c r="GQH4" s="8"/>
      <c r="GQI4" s="8"/>
      <c r="GQJ4" s="8"/>
      <c r="GQK4" s="8"/>
      <c r="GQL4" s="8"/>
      <c r="GQM4" s="8"/>
      <c r="GQN4" s="8"/>
      <c r="GQO4" s="8"/>
      <c r="GQP4" s="8"/>
      <c r="GQQ4" s="8"/>
      <c r="GQR4" s="8"/>
      <c r="GQS4" s="8"/>
      <c r="GQT4" s="8"/>
      <c r="GQU4" s="8"/>
      <c r="GQV4" s="8"/>
      <c r="GQW4" s="8"/>
      <c r="GQX4" s="8"/>
      <c r="GQY4" s="8"/>
      <c r="GQZ4" s="8"/>
      <c r="GRA4" s="8"/>
      <c r="GRB4" s="8"/>
      <c r="GRC4" s="8"/>
      <c r="GRD4" s="8"/>
      <c r="GRE4" s="8"/>
      <c r="GRF4" s="8"/>
      <c r="GRG4" s="8"/>
      <c r="GRH4" s="8"/>
      <c r="GRI4" s="8"/>
      <c r="GRJ4" s="8"/>
      <c r="GRK4" s="8"/>
      <c r="GRL4" s="8"/>
      <c r="GRM4" s="8"/>
      <c r="GRN4" s="8"/>
      <c r="GRO4" s="8"/>
      <c r="GRP4" s="8"/>
      <c r="GRQ4" s="8"/>
      <c r="GRR4" s="8"/>
      <c r="GRS4" s="8"/>
      <c r="GRT4" s="8"/>
      <c r="GRU4" s="8"/>
      <c r="GRV4" s="8"/>
      <c r="GRW4" s="8"/>
      <c r="GRX4" s="8"/>
      <c r="GRY4" s="8"/>
      <c r="GRZ4" s="8"/>
      <c r="GSA4" s="8"/>
      <c r="GSB4" s="8"/>
      <c r="GSC4" s="8"/>
      <c r="GSD4" s="8"/>
      <c r="GSE4" s="8"/>
      <c r="GSF4" s="8"/>
      <c r="GSG4" s="8"/>
      <c r="GSH4" s="8"/>
      <c r="GSI4" s="8"/>
      <c r="GSJ4" s="8"/>
      <c r="GSK4" s="8"/>
      <c r="GSL4" s="8"/>
      <c r="GSM4" s="8"/>
      <c r="GSN4" s="8"/>
      <c r="GSO4" s="8"/>
      <c r="GSP4" s="8"/>
      <c r="GSQ4" s="8"/>
      <c r="GSR4" s="8"/>
      <c r="GSS4" s="8"/>
      <c r="GST4" s="8"/>
      <c r="GSU4" s="8"/>
      <c r="GSV4" s="8"/>
      <c r="GSW4" s="8"/>
      <c r="GSX4" s="8"/>
      <c r="GSY4" s="8"/>
      <c r="GSZ4" s="8"/>
      <c r="GTA4" s="8"/>
      <c r="GTB4" s="8"/>
      <c r="GTC4" s="8"/>
      <c r="GTD4" s="8"/>
      <c r="GTE4" s="8"/>
      <c r="GTF4" s="8"/>
      <c r="GTG4" s="8"/>
      <c r="GTH4" s="8"/>
      <c r="GTI4" s="8"/>
      <c r="GTJ4" s="8"/>
      <c r="GTK4" s="8"/>
      <c r="GTL4" s="8"/>
      <c r="GTM4" s="8"/>
      <c r="GTN4" s="8"/>
      <c r="GTO4" s="8"/>
      <c r="GTP4" s="8"/>
      <c r="GTQ4" s="8"/>
      <c r="GTR4" s="8"/>
      <c r="GTS4" s="8"/>
      <c r="GTT4" s="8"/>
      <c r="GTU4" s="8"/>
      <c r="GTV4" s="8"/>
      <c r="GTW4" s="8"/>
      <c r="GTX4" s="8"/>
      <c r="GTY4" s="8"/>
      <c r="GTZ4" s="8"/>
      <c r="GUA4" s="8"/>
      <c r="GUB4" s="8"/>
      <c r="GUC4" s="8"/>
      <c r="GUD4" s="8"/>
      <c r="GUE4" s="8"/>
      <c r="GUF4" s="8"/>
      <c r="GUG4" s="8"/>
      <c r="GUH4" s="8"/>
      <c r="GUI4" s="8"/>
      <c r="GUJ4" s="8"/>
      <c r="GUK4" s="8"/>
      <c r="GUL4" s="8"/>
      <c r="GUM4" s="8"/>
      <c r="GUN4" s="8"/>
      <c r="GUO4" s="8"/>
      <c r="GUP4" s="8"/>
      <c r="GUQ4" s="8"/>
      <c r="GUR4" s="8"/>
      <c r="GUS4" s="8"/>
      <c r="GUT4" s="8"/>
      <c r="GUU4" s="8"/>
      <c r="GUV4" s="8"/>
      <c r="GUW4" s="8"/>
      <c r="GUX4" s="8"/>
      <c r="GUY4" s="8"/>
      <c r="GUZ4" s="8"/>
      <c r="GVA4" s="8"/>
      <c r="GVB4" s="8"/>
      <c r="GVC4" s="8"/>
      <c r="GVD4" s="8"/>
      <c r="GVE4" s="8"/>
      <c r="GVF4" s="8"/>
      <c r="GVG4" s="8"/>
      <c r="GVH4" s="8"/>
      <c r="GVI4" s="8"/>
      <c r="GVJ4" s="8"/>
      <c r="GVK4" s="8"/>
      <c r="GVL4" s="8"/>
      <c r="GVM4" s="8"/>
      <c r="GVN4" s="8"/>
      <c r="GVO4" s="8"/>
      <c r="GVP4" s="8"/>
      <c r="GVQ4" s="8"/>
      <c r="GVR4" s="8"/>
      <c r="GVS4" s="8"/>
      <c r="GVT4" s="8"/>
      <c r="GVU4" s="8"/>
      <c r="GVV4" s="8"/>
      <c r="GVW4" s="8"/>
      <c r="GVX4" s="8"/>
      <c r="GVY4" s="8"/>
      <c r="GVZ4" s="8"/>
      <c r="GWA4" s="8"/>
      <c r="GWB4" s="8"/>
      <c r="GWC4" s="8"/>
      <c r="GWD4" s="8"/>
      <c r="GWE4" s="8"/>
      <c r="GWF4" s="8"/>
      <c r="GWG4" s="8"/>
      <c r="GWH4" s="8"/>
      <c r="GWI4" s="8"/>
      <c r="GWJ4" s="8"/>
      <c r="GWK4" s="8"/>
      <c r="GWL4" s="8"/>
      <c r="GWM4" s="8"/>
      <c r="GWN4" s="8"/>
      <c r="GWO4" s="8"/>
      <c r="GWP4" s="8"/>
      <c r="GWQ4" s="8"/>
      <c r="GWR4" s="8"/>
      <c r="GWS4" s="8"/>
      <c r="GWT4" s="8"/>
      <c r="GWU4" s="8"/>
      <c r="GWV4" s="8"/>
      <c r="GWW4" s="8"/>
      <c r="GWX4" s="8"/>
      <c r="GWY4" s="8"/>
      <c r="GWZ4" s="8"/>
      <c r="GXA4" s="8"/>
      <c r="GXB4" s="8"/>
      <c r="GXC4" s="8"/>
      <c r="GXD4" s="8"/>
      <c r="GXE4" s="8"/>
      <c r="GXF4" s="8"/>
      <c r="GXG4" s="8"/>
      <c r="GXH4" s="8"/>
      <c r="GXI4" s="8"/>
      <c r="GXJ4" s="8"/>
      <c r="GXK4" s="8"/>
      <c r="GXL4" s="8"/>
      <c r="GXM4" s="8"/>
      <c r="GXN4" s="8"/>
      <c r="GXO4" s="8"/>
      <c r="GXP4" s="8"/>
      <c r="GXQ4" s="8"/>
      <c r="GXR4" s="8"/>
      <c r="GXS4" s="8"/>
      <c r="GXT4" s="8"/>
      <c r="GXU4" s="8"/>
      <c r="GXV4" s="8"/>
      <c r="GXW4" s="8"/>
      <c r="GXX4" s="8"/>
      <c r="GXY4" s="8"/>
      <c r="GXZ4" s="8"/>
      <c r="GYA4" s="8"/>
      <c r="GYB4" s="8"/>
      <c r="GYC4" s="8"/>
      <c r="GYD4" s="8"/>
      <c r="GYE4" s="8"/>
      <c r="GYF4" s="8"/>
      <c r="GYG4" s="8"/>
      <c r="GYH4" s="8"/>
      <c r="GYI4" s="8"/>
      <c r="GYJ4" s="8"/>
      <c r="GYK4" s="8"/>
      <c r="GYL4" s="8"/>
      <c r="GYM4" s="8"/>
      <c r="GYN4" s="8"/>
      <c r="GYO4" s="8"/>
      <c r="GYP4" s="8"/>
      <c r="GYQ4" s="8"/>
      <c r="GYR4" s="8"/>
      <c r="GYS4" s="8"/>
      <c r="GYT4" s="8"/>
      <c r="GYU4" s="8"/>
      <c r="GYV4" s="8"/>
      <c r="GYW4" s="8"/>
      <c r="GYX4" s="8"/>
      <c r="GYY4" s="8"/>
      <c r="GYZ4" s="8"/>
      <c r="GZA4" s="8"/>
      <c r="GZB4" s="8"/>
      <c r="GZC4" s="8"/>
      <c r="GZD4" s="8"/>
      <c r="GZE4" s="8"/>
      <c r="GZF4" s="8"/>
      <c r="GZG4" s="8"/>
      <c r="GZH4" s="8"/>
      <c r="GZI4" s="8"/>
      <c r="GZJ4" s="8"/>
      <c r="GZK4" s="8"/>
      <c r="GZL4" s="8"/>
      <c r="GZM4" s="8"/>
      <c r="GZN4" s="8"/>
      <c r="GZO4" s="8"/>
      <c r="GZP4" s="8"/>
      <c r="GZQ4" s="8"/>
      <c r="GZR4" s="8"/>
      <c r="GZS4" s="8"/>
      <c r="GZT4" s="8"/>
      <c r="GZU4" s="8"/>
      <c r="GZV4" s="8"/>
      <c r="GZW4" s="8"/>
      <c r="GZX4" s="8"/>
      <c r="GZY4" s="8"/>
      <c r="GZZ4" s="8"/>
      <c r="HAA4" s="8"/>
      <c r="HAB4" s="8"/>
      <c r="HAC4" s="8"/>
      <c r="HAD4" s="8"/>
      <c r="HAE4" s="8"/>
      <c r="HAF4" s="8"/>
      <c r="HAG4" s="8"/>
      <c r="HAH4" s="8"/>
      <c r="HAI4" s="8"/>
      <c r="HAJ4" s="8"/>
      <c r="HAK4" s="8"/>
      <c r="HAL4" s="8"/>
      <c r="HAM4" s="8"/>
      <c r="HAN4" s="8"/>
      <c r="HAO4" s="8"/>
      <c r="HAP4" s="8"/>
      <c r="HAQ4" s="8"/>
      <c r="HAR4" s="8"/>
      <c r="HAS4" s="8"/>
      <c r="HAT4" s="8"/>
      <c r="HAU4" s="8"/>
      <c r="HAV4" s="8"/>
      <c r="HAW4" s="8"/>
      <c r="HAX4" s="8"/>
      <c r="HAY4" s="8"/>
      <c r="HAZ4" s="8"/>
      <c r="HBA4" s="8"/>
      <c r="HBB4" s="8"/>
      <c r="HBC4" s="8"/>
      <c r="HBD4" s="8"/>
      <c r="HBE4" s="8"/>
      <c r="HBF4" s="8"/>
      <c r="HBG4" s="8"/>
      <c r="HBH4" s="8"/>
      <c r="HBI4" s="8"/>
      <c r="HBJ4" s="8"/>
      <c r="HBK4" s="8"/>
      <c r="HBL4" s="8"/>
      <c r="HBM4" s="8"/>
      <c r="HBN4" s="8"/>
      <c r="HBO4" s="8"/>
      <c r="HBP4" s="8"/>
      <c r="HBQ4" s="8"/>
      <c r="HBR4" s="8"/>
      <c r="HBS4" s="8"/>
      <c r="HBT4" s="8"/>
      <c r="HBU4" s="8"/>
      <c r="HBV4" s="8"/>
      <c r="HBW4" s="8"/>
      <c r="HBX4" s="8"/>
      <c r="HBY4" s="8"/>
      <c r="HBZ4" s="8"/>
      <c r="HCA4" s="8"/>
      <c r="HCB4" s="8"/>
      <c r="HCC4" s="8"/>
      <c r="HCD4" s="8"/>
      <c r="HCE4" s="8"/>
      <c r="HCF4" s="8"/>
      <c r="HCG4" s="8"/>
      <c r="HCH4" s="8"/>
      <c r="HCI4" s="8"/>
      <c r="HCJ4" s="8"/>
      <c r="HCK4" s="8"/>
      <c r="HCL4" s="8"/>
      <c r="HCM4" s="8"/>
      <c r="HCN4" s="8"/>
      <c r="HCO4" s="8"/>
      <c r="HCP4" s="8"/>
      <c r="HCQ4" s="8"/>
      <c r="HCR4" s="8"/>
      <c r="HCS4" s="8"/>
      <c r="HCT4" s="8"/>
      <c r="HCU4" s="8"/>
      <c r="HCV4" s="8"/>
      <c r="HCW4" s="8"/>
      <c r="HCX4" s="8"/>
      <c r="HCY4" s="8"/>
      <c r="HCZ4" s="8"/>
      <c r="HDA4" s="8"/>
      <c r="HDB4" s="8"/>
      <c r="HDC4" s="8"/>
      <c r="HDD4" s="8"/>
      <c r="HDE4" s="8"/>
      <c r="HDF4" s="8"/>
      <c r="HDG4" s="8"/>
      <c r="HDH4" s="8"/>
      <c r="HDI4" s="8"/>
      <c r="HDJ4" s="8"/>
      <c r="HDK4" s="8"/>
      <c r="HDL4" s="8"/>
      <c r="HDM4" s="8"/>
      <c r="HDN4" s="8"/>
      <c r="HDO4" s="8"/>
      <c r="HDP4" s="8"/>
      <c r="HDQ4" s="8"/>
      <c r="HDR4" s="8"/>
      <c r="HDS4" s="8"/>
      <c r="HDT4" s="8"/>
      <c r="HDU4" s="8"/>
      <c r="HDV4" s="8"/>
      <c r="HDW4" s="8"/>
      <c r="HDX4" s="8"/>
      <c r="HDY4" s="8"/>
      <c r="HDZ4" s="8"/>
      <c r="HEA4" s="8"/>
      <c r="HEB4" s="8"/>
      <c r="HEC4" s="8"/>
      <c r="HED4" s="8"/>
      <c r="HEE4" s="8"/>
      <c r="HEF4" s="8"/>
      <c r="HEG4" s="8"/>
      <c r="HEH4" s="8"/>
      <c r="HEI4" s="8"/>
      <c r="HEJ4" s="8"/>
      <c r="HEK4" s="8"/>
      <c r="HEL4" s="8"/>
      <c r="HEM4" s="8"/>
      <c r="HEN4" s="8"/>
      <c r="HEO4" s="8"/>
      <c r="HEP4" s="8"/>
      <c r="HEQ4" s="8"/>
      <c r="HER4" s="8"/>
      <c r="HES4" s="8"/>
      <c r="HET4" s="8"/>
      <c r="HEU4" s="8"/>
      <c r="HEV4" s="8"/>
      <c r="HEW4" s="8"/>
      <c r="HEX4" s="8"/>
      <c r="HEY4" s="8"/>
      <c r="HEZ4" s="8"/>
      <c r="HFA4" s="8"/>
      <c r="HFB4" s="8"/>
      <c r="HFC4" s="8"/>
      <c r="HFD4" s="8"/>
      <c r="HFE4" s="8"/>
      <c r="HFF4" s="8"/>
      <c r="HFG4" s="8"/>
      <c r="HFH4" s="8"/>
      <c r="HFI4" s="8"/>
      <c r="HFJ4" s="8"/>
      <c r="HFK4" s="8"/>
      <c r="HFL4" s="8"/>
      <c r="HFM4" s="8"/>
      <c r="HFN4" s="8"/>
      <c r="HFO4" s="8"/>
      <c r="HFP4" s="8"/>
      <c r="HFQ4" s="8"/>
      <c r="HFR4" s="8"/>
      <c r="HFS4" s="8"/>
      <c r="HFT4" s="8"/>
      <c r="HFU4" s="8"/>
      <c r="HFV4" s="8"/>
      <c r="HFW4" s="8"/>
      <c r="HFX4" s="8"/>
      <c r="HFY4" s="8"/>
      <c r="HFZ4" s="8"/>
      <c r="HGA4" s="8"/>
      <c r="HGB4" s="8"/>
      <c r="HGC4" s="8"/>
      <c r="HGD4" s="8"/>
      <c r="HGE4" s="8"/>
      <c r="HGF4" s="8"/>
      <c r="HGG4" s="8"/>
      <c r="HGH4" s="8"/>
      <c r="HGI4" s="8"/>
      <c r="HGJ4" s="8"/>
      <c r="HGK4" s="8"/>
      <c r="HGL4" s="8"/>
      <c r="HGM4" s="8"/>
      <c r="HGN4" s="8"/>
      <c r="HGO4" s="8"/>
      <c r="HGP4" s="8"/>
      <c r="HGQ4" s="8"/>
      <c r="HGR4" s="8"/>
      <c r="HGS4" s="8"/>
      <c r="HGT4" s="8"/>
      <c r="HGU4" s="8"/>
      <c r="HGV4" s="8"/>
      <c r="HGW4" s="8"/>
      <c r="HGX4" s="8"/>
      <c r="HGY4" s="8"/>
      <c r="HGZ4" s="8"/>
      <c r="HHA4" s="8"/>
      <c r="HHB4" s="8"/>
      <c r="HHC4" s="8"/>
      <c r="HHD4" s="8"/>
      <c r="HHE4" s="8"/>
      <c r="HHF4" s="8"/>
      <c r="HHG4" s="8"/>
      <c r="HHH4" s="8"/>
      <c r="HHI4" s="8"/>
      <c r="HHJ4" s="8"/>
      <c r="HHK4" s="8"/>
      <c r="HHL4" s="8"/>
      <c r="HHM4" s="8"/>
      <c r="HHN4" s="8"/>
      <c r="HHO4" s="8"/>
      <c r="HHP4" s="8"/>
      <c r="HHQ4" s="8"/>
      <c r="HHR4" s="8"/>
      <c r="HHS4" s="8"/>
      <c r="HHT4" s="8"/>
      <c r="HHU4" s="8"/>
      <c r="HHV4" s="8"/>
      <c r="HHW4" s="8"/>
      <c r="HHX4" s="8"/>
      <c r="HHY4" s="8"/>
      <c r="HHZ4" s="8"/>
      <c r="HIA4" s="8"/>
      <c r="HIB4" s="8"/>
      <c r="HIC4" s="8"/>
      <c r="HID4" s="8"/>
      <c r="HIE4" s="8"/>
      <c r="HIF4" s="8"/>
      <c r="HIG4" s="8"/>
      <c r="HIH4" s="8"/>
      <c r="HII4" s="8"/>
      <c r="HIJ4" s="8"/>
      <c r="HIK4" s="8"/>
      <c r="HIL4" s="8"/>
      <c r="HIM4" s="8"/>
      <c r="HIN4" s="8"/>
      <c r="HIO4" s="8"/>
      <c r="HIP4" s="8"/>
      <c r="HIQ4" s="8"/>
      <c r="HIR4" s="8"/>
      <c r="HIS4" s="8"/>
      <c r="HIT4" s="8"/>
      <c r="HIU4" s="8"/>
      <c r="HIV4" s="8"/>
      <c r="HIW4" s="8"/>
      <c r="HIX4" s="8"/>
      <c r="HIY4" s="8"/>
      <c r="HIZ4" s="8"/>
      <c r="HJA4" s="8"/>
      <c r="HJB4" s="8"/>
      <c r="HJC4" s="8"/>
      <c r="HJD4" s="8"/>
      <c r="HJE4" s="8"/>
      <c r="HJF4" s="8"/>
      <c r="HJG4" s="8"/>
      <c r="HJH4" s="8"/>
      <c r="HJI4" s="8"/>
      <c r="HJJ4" s="8"/>
      <c r="HJK4" s="8"/>
      <c r="HJL4" s="8"/>
      <c r="HJM4" s="8"/>
      <c r="HJN4" s="8"/>
      <c r="HJO4" s="8"/>
      <c r="HJP4" s="8"/>
      <c r="HJQ4" s="8"/>
      <c r="HJR4" s="8"/>
      <c r="HJS4" s="8"/>
      <c r="HJT4" s="8"/>
      <c r="HJU4" s="8"/>
      <c r="HJV4" s="8"/>
      <c r="HJW4" s="8"/>
      <c r="HJX4" s="8"/>
      <c r="HJY4" s="8"/>
      <c r="HJZ4" s="8"/>
      <c r="HKA4" s="8"/>
      <c r="HKB4" s="8"/>
      <c r="HKC4" s="8"/>
      <c r="HKD4" s="8"/>
      <c r="HKE4" s="8"/>
      <c r="HKF4" s="8"/>
      <c r="HKG4" s="8"/>
      <c r="HKH4" s="8"/>
      <c r="HKI4" s="8"/>
      <c r="HKJ4" s="8"/>
      <c r="HKK4" s="8"/>
      <c r="HKL4" s="8"/>
      <c r="HKM4" s="8"/>
      <c r="HKN4" s="8"/>
      <c r="HKO4" s="8"/>
      <c r="HKP4" s="8"/>
      <c r="HKQ4" s="8"/>
      <c r="HKR4" s="8"/>
      <c r="HKS4" s="8"/>
      <c r="HKT4" s="8"/>
      <c r="HKU4" s="8"/>
      <c r="HKV4" s="8"/>
      <c r="HKW4" s="8"/>
      <c r="HKX4" s="8"/>
      <c r="HKY4" s="8"/>
      <c r="HKZ4" s="8"/>
      <c r="HLA4" s="8"/>
      <c r="HLB4" s="8"/>
      <c r="HLC4" s="8"/>
      <c r="HLD4" s="8"/>
      <c r="HLE4" s="8"/>
      <c r="HLF4" s="8"/>
      <c r="HLG4" s="8"/>
      <c r="HLH4" s="8"/>
      <c r="HLI4" s="8"/>
      <c r="HLJ4" s="8"/>
      <c r="HLK4" s="8"/>
      <c r="HLL4" s="8"/>
      <c r="HLM4" s="8"/>
      <c r="HLN4" s="8"/>
      <c r="HLO4" s="8"/>
      <c r="HLP4" s="8"/>
      <c r="HLQ4" s="8"/>
      <c r="HLR4" s="8"/>
      <c r="HLS4" s="8"/>
      <c r="HLT4" s="8"/>
      <c r="HLU4" s="8"/>
      <c r="HLV4" s="8"/>
      <c r="HLW4" s="8"/>
      <c r="HLX4" s="8"/>
      <c r="HLY4" s="8"/>
      <c r="HLZ4" s="8"/>
      <c r="HMA4" s="8"/>
      <c r="HMB4" s="8"/>
      <c r="HMC4" s="8"/>
      <c r="HMD4" s="8"/>
      <c r="HME4" s="8"/>
      <c r="HMF4" s="8"/>
      <c r="HMG4" s="8"/>
      <c r="HMH4" s="8"/>
      <c r="HMI4" s="8"/>
      <c r="HMJ4" s="8"/>
      <c r="HMK4" s="8"/>
      <c r="HML4" s="8"/>
      <c r="HMM4" s="8"/>
      <c r="HMN4" s="8"/>
      <c r="HMO4" s="8"/>
      <c r="HMP4" s="8"/>
      <c r="HMQ4" s="8"/>
      <c r="HMR4" s="8"/>
      <c r="HMS4" s="8"/>
      <c r="HMT4" s="8"/>
      <c r="HMU4" s="8"/>
      <c r="HMV4" s="8"/>
      <c r="HMW4" s="8"/>
      <c r="HMX4" s="8"/>
      <c r="HMY4" s="8"/>
      <c r="HMZ4" s="8"/>
      <c r="HNA4" s="8"/>
      <c r="HNB4" s="8"/>
      <c r="HNC4" s="8"/>
      <c r="HND4" s="8"/>
      <c r="HNE4" s="8"/>
      <c r="HNF4" s="8"/>
      <c r="HNG4" s="8"/>
      <c r="HNH4" s="8"/>
      <c r="HNI4" s="8"/>
      <c r="HNJ4" s="8"/>
      <c r="HNK4" s="8"/>
      <c r="HNL4" s="8"/>
      <c r="HNM4" s="8"/>
      <c r="HNN4" s="8"/>
      <c r="HNO4" s="8"/>
      <c r="HNP4" s="8"/>
      <c r="HNQ4" s="8"/>
      <c r="HNR4" s="8"/>
      <c r="HNS4" s="8"/>
      <c r="HNT4" s="8"/>
      <c r="HNU4" s="8"/>
      <c r="HNV4" s="8"/>
      <c r="HNW4" s="8"/>
      <c r="HNX4" s="8"/>
      <c r="HNY4" s="8"/>
      <c r="HNZ4" s="8"/>
      <c r="HOA4" s="8"/>
      <c r="HOB4" s="8"/>
      <c r="HOC4" s="8"/>
      <c r="HOD4" s="8"/>
      <c r="HOE4" s="8"/>
      <c r="HOF4" s="8"/>
      <c r="HOG4" s="8"/>
      <c r="HOH4" s="8"/>
      <c r="HOI4" s="8"/>
      <c r="HOJ4" s="8"/>
      <c r="HOK4" s="8"/>
      <c r="HOL4" s="8"/>
      <c r="HOM4" s="8"/>
      <c r="HON4" s="8"/>
      <c r="HOO4" s="8"/>
      <c r="HOP4" s="8"/>
      <c r="HOQ4" s="8"/>
      <c r="HOR4" s="8"/>
      <c r="HOS4" s="8"/>
      <c r="HOT4" s="8"/>
      <c r="HOU4" s="8"/>
      <c r="HOV4" s="8"/>
      <c r="HOW4" s="8"/>
      <c r="HOX4" s="8"/>
      <c r="HOY4" s="8"/>
      <c r="HOZ4" s="8"/>
      <c r="HPA4" s="8"/>
      <c r="HPB4" s="8"/>
      <c r="HPC4" s="8"/>
      <c r="HPD4" s="8"/>
      <c r="HPE4" s="8"/>
      <c r="HPF4" s="8"/>
      <c r="HPG4" s="8"/>
      <c r="HPH4" s="8"/>
      <c r="HPI4" s="8"/>
      <c r="HPJ4" s="8"/>
      <c r="HPK4" s="8"/>
      <c r="HPL4" s="8"/>
      <c r="HPM4" s="8"/>
      <c r="HPN4" s="8"/>
      <c r="HPO4" s="8"/>
      <c r="HPP4" s="8"/>
      <c r="HPQ4" s="8"/>
      <c r="HPR4" s="8"/>
      <c r="HPS4" s="8"/>
      <c r="HPT4" s="8"/>
      <c r="HPU4" s="8"/>
      <c r="HPV4" s="8"/>
      <c r="HPW4" s="8"/>
      <c r="HPX4" s="8"/>
      <c r="HPY4" s="8"/>
      <c r="HPZ4" s="8"/>
      <c r="HQA4" s="8"/>
      <c r="HQB4" s="8"/>
      <c r="HQC4" s="8"/>
      <c r="HQD4" s="8"/>
      <c r="HQE4" s="8"/>
      <c r="HQF4" s="8"/>
      <c r="HQG4" s="8"/>
      <c r="HQH4" s="8"/>
      <c r="HQI4" s="8"/>
      <c r="HQJ4" s="8"/>
      <c r="HQK4" s="8"/>
      <c r="HQL4" s="8"/>
      <c r="HQM4" s="8"/>
      <c r="HQN4" s="8"/>
      <c r="HQO4" s="8"/>
      <c r="HQP4" s="8"/>
      <c r="HQQ4" s="8"/>
      <c r="HQR4" s="8"/>
      <c r="HQS4" s="8"/>
      <c r="HQT4" s="8"/>
      <c r="HQU4" s="8"/>
      <c r="HQV4" s="8"/>
      <c r="HQW4" s="8"/>
      <c r="HQX4" s="8"/>
      <c r="HQY4" s="8"/>
      <c r="HQZ4" s="8"/>
      <c r="HRA4" s="8"/>
      <c r="HRB4" s="8"/>
      <c r="HRC4" s="8"/>
      <c r="HRD4" s="8"/>
      <c r="HRE4" s="8"/>
      <c r="HRF4" s="8"/>
      <c r="HRG4" s="8"/>
      <c r="HRH4" s="8"/>
      <c r="HRI4" s="8"/>
      <c r="HRJ4" s="8"/>
      <c r="HRK4" s="8"/>
      <c r="HRL4" s="8"/>
      <c r="HRM4" s="8"/>
      <c r="HRN4" s="8"/>
      <c r="HRO4" s="8"/>
      <c r="HRP4" s="8"/>
      <c r="HRQ4" s="8"/>
      <c r="HRR4" s="8"/>
      <c r="HRS4" s="8"/>
      <c r="HRT4" s="8"/>
      <c r="HRU4" s="8"/>
      <c r="HRV4" s="8"/>
      <c r="HRW4" s="8"/>
      <c r="HRX4" s="8"/>
      <c r="HRY4" s="8"/>
      <c r="HRZ4" s="8"/>
      <c r="HSA4" s="8"/>
      <c r="HSB4" s="8"/>
      <c r="HSC4" s="8"/>
      <c r="HSD4" s="8"/>
      <c r="HSE4" s="8"/>
      <c r="HSF4" s="8"/>
      <c r="HSG4" s="8"/>
      <c r="HSH4" s="8"/>
      <c r="HSI4" s="8"/>
      <c r="HSJ4" s="8"/>
      <c r="HSK4" s="8"/>
      <c r="HSL4" s="8"/>
      <c r="HSM4" s="8"/>
      <c r="HSN4" s="8"/>
      <c r="HSO4" s="8"/>
      <c r="HSP4" s="8"/>
      <c r="HSQ4" s="8"/>
      <c r="HSR4" s="8"/>
      <c r="HSS4" s="8"/>
      <c r="HST4" s="8"/>
      <c r="HSU4" s="8"/>
      <c r="HSV4" s="8"/>
      <c r="HSW4" s="8"/>
      <c r="HSX4" s="8"/>
      <c r="HSY4" s="8"/>
      <c r="HSZ4" s="8"/>
      <c r="HTA4" s="8"/>
      <c r="HTB4" s="8"/>
      <c r="HTC4" s="8"/>
      <c r="HTD4" s="8"/>
      <c r="HTE4" s="8"/>
      <c r="HTF4" s="8"/>
      <c r="HTG4" s="8"/>
      <c r="HTH4" s="8"/>
      <c r="HTI4" s="8"/>
      <c r="HTJ4" s="8"/>
      <c r="HTK4" s="8"/>
      <c r="HTL4" s="8"/>
      <c r="HTM4" s="8"/>
      <c r="HTN4" s="8"/>
      <c r="HTO4" s="8"/>
      <c r="HTP4" s="8"/>
      <c r="HTQ4" s="8"/>
      <c r="HTR4" s="8"/>
      <c r="HTS4" s="8"/>
      <c r="HTT4" s="8"/>
      <c r="HTU4" s="8"/>
      <c r="HTV4" s="8"/>
      <c r="HTW4" s="8"/>
      <c r="HTX4" s="8"/>
      <c r="HTY4" s="8"/>
      <c r="HTZ4" s="8"/>
      <c r="HUA4" s="8"/>
      <c r="HUB4" s="8"/>
      <c r="HUC4" s="8"/>
      <c r="HUD4" s="8"/>
      <c r="HUE4" s="8"/>
      <c r="HUF4" s="8"/>
      <c r="HUG4" s="8"/>
      <c r="HUH4" s="8"/>
      <c r="HUI4" s="8"/>
      <c r="HUJ4" s="8"/>
      <c r="HUK4" s="8"/>
      <c r="HUL4" s="8"/>
      <c r="HUM4" s="8"/>
      <c r="HUN4" s="8"/>
      <c r="HUO4" s="8"/>
      <c r="HUP4" s="8"/>
      <c r="HUQ4" s="8"/>
      <c r="HUR4" s="8"/>
      <c r="HUS4" s="8"/>
      <c r="HUT4" s="8"/>
      <c r="HUU4" s="8"/>
      <c r="HUV4" s="8"/>
      <c r="HUW4" s="8"/>
      <c r="HUX4" s="8"/>
      <c r="HUY4" s="8"/>
      <c r="HUZ4" s="8"/>
      <c r="HVA4" s="8"/>
      <c r="HVB4" s="8"/>
      <c r="HVC4" s="8"/>
      <c r="HVD4" s="8"/>
      <c r="HVE4" s="8"/>
      <c r="HVF4" s="8"/>
      <c r="HVG4" s="8"/>
      <c r="HVH4" s="8"/>
      <c r="HVI4" s="8"/>
      <c r="HVJ4" s="8"/>
      <c r="HVK4" s="8"/>
      <c r="HVL4" s="8"/>
      <c r="HVM4" s="8"/>
      <c r="HVN4" s="8"/>
      <c r="HVO4" s="8"/>
      <c r="HVP4" s="8"/>
      <c r="HVQ4" s="8"/>
      <c r="HVR4" s="8"/>
      <c r="HVS4" s="8"/>
      <c r="HVT4" s="8"/>
      <c r="HVU4" s="8"/>
      <c r="HVV4" s="8"/>
      <c r="HVW4" s="8"/>
      <c r="HVX4" s="8"/>
      <c r="HVY4" s="8"/>
      <c r="HVZ4" s="8"/>
      <c r="HWA4" s="8"/>
      <c r="HWB4" s="8"/>
      <c r="HWC4" s="8"/>
      <c r="HWD4" s="8"/>
      <c r="HWE4" s="8"/>
      <c r="HWF4" s="8"/>
      <c r="HWG4" s="8"/>
      <c r="HWH4" s="8"/>
      <c r="HWI4" s="8"/>
      <c r="HWJ4" s="8"/>
      <c r="HWK4" s="8"/>
      <c r="HWL4" s="8"/>
      <c r="HWM4" s="8"/>
      <c r="HWN4" s="8"/>
      <c r="HWO4" s="8"/>
      <c r="HWP4" s="8"/>
      <c r="HWQ4" s="8"/>
      <c r="HWR4" s="8"/>
      <c r="HWS4" s="8"/>
      <c r="HWT4" s="8"/>
      <c r="HWU4" s="8"/>
      <c r="HWV4" s="8"/>
      <c r="HWW4" s="8"/>
      <c r="HWX4" s="8"/>
      <c r="HWY4" s="8"/>
      <c r="HWZ4" s="8"/>
      <c r="HXA4" s="8"/>
      <c r="HXB4" s="8"/>
      <c r="HXC4" s="8"/>
      <c r="HXD4" s="8"/>
      <c r="HXE4" s="8"/>
      <c r="HXF4" s="8"/>
      <c r="HXG4" s="8"/>
      <c r="HXH4" s="8"/>
      <c r="HXI4" s="8"/>
      <c r="HXJ4" s="8"/>
      <c r="HXK4" s="8"/>
      <c r="HXL4" s="8"/>
      <c r="HXM4" s="8"/>
      <c r="HXN4" s="8"/>
      <c r="HXO4" s="8"/>
      <c r="HXP4" s="8"/>
      <c r="HXQ4" s="8"/>
      <c r="HXR4" s="8"/>
      <c r="HXS4" s="8"/>
      <c r="HXT4" s="8"/>
      <c r="HXU4" s="8"/>
      <c r="HXV4" s="8"/>
      <c r="HXW4" s="8"/>
      <c r="HXX4" s="8"/>
      <c r="HXY4" s="8"/>
      <c r="HXZ4" s="8"/>
      <c r="HYA4" s="8"/>
      <c r="HYB4" s="8"/>
      <c r="HYC4" s="8"/>
      <c r="HYD4" s="8"/>
      <c r="HYE4" s="8"/>
      <c r="HYF4" s="8"/>
      <c r="HYG4" s="8"/>
      <c r="HYH4" s="8"/>
      <c r="HYI4" s="8"/>
      <c r="HYJ4" s="8"/>
      <c r="HYK4" s="8"/>
      <c r="HYL4" s="8"/>
      <c r="HYM4" s="8"/>
      <c r="HYN4" s="8"/>
      <c r="HYO4" s="8"/>
      <c r="HYP4" s="8"/>
      <c r="HYQ4" s="8"/>
      <c r="HYR4" s="8"/>
      <c r="HYS4" s="8"/>
      <c r="HYT4" s="8"/>
      <c r="HYU4" s="8"/>
      <c r="HYV4" s="8"/>
      <c r="HYW4" s="8"/>
      <c r="HYX4" s="8"/>
      <c r="HYY4" s="8"/>
      <c r="HYZ4" s="8"/>
      <c r="HZA4" s="8"/>
      <c r="HZB4" s="8"/>
      <c r="HZC4" s="8"/>
      <c r="HZD4" s="8"/>
      <c r="HZE4" s="8"/>
      <c r="HZF4" s="8"/>
      <c r="HZG4" s="8"/>
      <c r="HZH4" s="8"/>
      <c r="HZI4" s="8"/>
      <c r="HZJ4" s="8"/>
      <c r="HZK4" s="8"/>
      <c r="HZL4" s="8"/>
      <c r="HZM4" s="8"/>
      <c r="HZN4" s="8"/>
      <c r="HZO4" s="8"/>
      <c r="HZP4" s="8"/>
      <c r="HZQ4" s="8"/>
      <c r="HZR4" s="8"/>
      <c r="HZS4" s="8"/>
      <c r="HZT4" s="8"/>
      <c r="HZU4" s="8"/>
      <c r="HZV4" s="8"/>
      <c r="HZW4" s="8"/>
      <c r="HZX4" s="8"/>
      <c r="HZY4" s="8"/>
      <c r="HZZ4" s="8"/>
      <c r="IAA4" s="8"/>
      <c r="IAB4" s="8"/>
      <c r="IAC4" s="8"/>
      <c r="IAD4" s="8"/>
      <c r="IAE4" s="8"/>
      <c r="IAF4" s="8"/>
      <c r="IAG4" s="8"/>
      <c r="IAH4" s="8"/>
      <c r="IAI4" s="8"/>
      <c r="IAJ4" s="8"/>
      <c r="IAK4" s="8"/>
      <c r="IAL4" s="8"/>
      <c r="IAM4" s="8"/>
      <c r="IAN4" s="8"/>
      <c r="IAO4" s="8"/>
      <c r="IAP4" s="8"/>
      <c r="IAQ4" s="8"/>
      <c r="IAR4" s="8"/>
      <c r="IAS4" s="8"/>
      <c r="IAT4" s="8"/>
      <c r="IAU4" s="8"/>
      <c r="IAV4" s="8"/>
      <c r="IAW4" s="8"/>
      <c r="IAX4" s="8"/>
      <c r="IAY4" s="8"/>
      <c r="IAZ4" s="8"/>
      <c r="IBA4" s="8"/>
      <c r="IBB4" s="8"/>
      <c r="IBC4" s="8"/>
      <c r="IBD4" s="8"/>
      <c r="IBE4" s="8"/>
      <c r="IBF4" s="8"/>
      <c r="IBG4" s="8"/>
      <c r="IBH4" s="8"/>
      <c r="IBI4" s="8"/>
      <c r="IBJ4" s="8"/>
      <c r="IBK4" s="8"/>
      <c r="IBL4" s="8"/>
      <c r="IBM4" s="8"/>
      <c r="IBN4" s="8"/>
      <c r="IBO4" s="8"/>
      <c r="IBP4" s="8"/>
      <c r="IBQ4" s="8"/>
      <c r="IBR4" s="8"/>
      <c r="IBS4" s="8"/>
      <c r="IBT4" s="8"/>
      <c r="IBU4" s="8"/>
      <c r="IBV4" s="8"/>
      <c r="IBW4" s="8"/>
      <c r="IBX4" s="8"/>
      <c r="IBY4" s="8"/>
      <c r="IBZ4" s="8"/>
      <c r="ICA4" s="8"/>
      <c r="ICB4" s="8"/>
      <c r="ICC4" s="8"/>
      <c r="ICD4" s="8"/>
      <c r="ICE4" s="8"/>
      <c r="ICF4" s="8"/>
      <c r="ICG4" s="8"/>
      <c r="ICH4" s="8"/>
      <c r="ICI4" s="8"/>
      <c r="ICJ4" s="8"/>
      <c r="ICK4" s="8"/>
      <c r="ICL4" s="8"/>
      <c r="ICM4" s="8"/>
      <c r="ICN4" s="8"/>
      <c r="ICO4" s="8"/>
      <c r="ICP4" s="8"/>
      <c r="ICQ4" s="8"/>
      <c r="ICR4" s="8"/>
      <c r="ICS4" s="8"/>
      <c r="ICT4" s="8"/>
      <c r="ICU4" s="8"/>
      <c r="ICV4" s="8"/>
      <c r="ICW4" s="8"/>
      <c r="ICX4" s="8"/>
      <c r="ICY4" s="8"/>
      <c r="ICZ4" s="8"/>
      <c r="IDA4" s="8"/>
      <c r="IDB4" s="8"/>
      <c r="IDC4" s="8"/>
      <c r="IDD4" s="8"/>
      <c r="IDE4" s="8"/>
      <c r="IDF4" s="8"/>
      <c r="IDG4" s="8"/>
      <c r="IDH4" s="8"/>
      <c r="IDI4" s="8"/>
      <c r="IDJ4" s="8"/>
      <c r="IDK4" s="8"/>
      <c r="IDL4" s="8"/>
      <c r="IDM4" s="8"/>
      <c r="IDN4" s="8"/>
      <c r="IDO4" s="8"/>
      <c r="IDP4" s="8"/>
      <c r="IDQ4" s="8"/>
      <c r="IDR4" s="8"/>
      <c r="IDS4" s="8"/>
      <c r="IDT4" s="8"/>
      <c r="IDU4" s="8"/>
      <c r="IDV4" s="8"/>
      <c r="IDW4" s="8"/>
      <c r="IDX4" s="8"/>
      <c r="IDY4" s="8"/>
      <c r="IDZ4" s="8"/>
      <c r="IEA4" s="8"/>
      <c r="IEB4" s="8"/>
      <c r="IEC4" s="8"/>
      <c r="IED4" s="8"/>
      <c r="IEE4" s="8"/>
      <c r="IEF4" s="8"/>
      <c r="IEG4" s="8"/>
      <c r="IEH4" s="8"/>
      <c r="IEI4" s="8"/>
      <c r="IEJ4" s="8"/>
      <c r="IEK4" s="8"/>
      <c r="IEL4" s="8"/>
      <c r="IEM4" s="8"/>
      <c r="IEN4" s="8"/>
      <c r="IEO4" s="8"/>
      <c r="IEP4" s="8"/>
      <c r="IEQ4" s="8"/>
      <c r="IER4" s="8"/>
      <c r="IES4" s="8"/>
      <c r="IET4" s="8"/>
      <c r="IEU4" s="8"/>
      <c r="IEV4" s="8"/>
      <c r="IEW4" s="8"/>
      <c r="IEX4" s="8"/>
      <c r="IEY4" s="8"/>
      <c r="IEZ4" s="8"/>
      <c r="IFA4" s="8"/>
      <c r="IFB4" s="8"/>
      <c r="IFC4" s="8"/>
      <c r="IFD4" s="8"/>
      <c r="IFE4" s="8"/>
      <c r="IFF4" s="8"/>
      <c r="IFG4" s="8"/>
      <c r="IFH4" s="8"/>
      <c r="IFI4" s="8"/>
      <c r="IFJ4" s="8"/>
      <c r="IFK4" s="8"/>
      <c r="IFL4" s="8"/>
      <c r="IFM4" s="8"/>
      <c r="IFN4" s="8"/>
      <c r="IFO4" s="8"/>
      <c r="IFP4" s="8"/>
      <c r="IFQ4" s="8"/>
      <c r="IFR4" s="8"/>
      <c r="IFS4" s="8"/>
      <c r="IFT4" s="8"/>
      <c r="IFU4" s="8"/>
      <c r="IFV4" s="8"/>
      <c r="IFW4" s="8"/>
      <c r="IFX4" s="8"/>
      <c r="IFY4" s="8"/>
      <c r="IFZ4" s="8"/>
      <c r="IGA4" s="8"/>
      <c r="IGB4" s="8"/>
      <c r="IGC4" s="8"/>
      <c r="IGD4" s="8"/>
      <c r="IGE4" s="8"/>
      <c r="IGF4" s="8"/>
      <c r="IGG4" s="8"/>
      <c r="IGH4" s="8"/>
      <c r="IGI4" s="8"/>
      <c r="IGJ4" s="8"/>
      <c r="IGK4" s="8"/>
      <c r="IGL4" s="8"/>
      <c r="IGM4" s="8"/>
      <c r="IGN4" s="8"/>
      <c r="IGO4" s="8"/>
      <c r="IGP4" s="8"/>
      <c r="IGQ4" s="8"/>
      <c r="IGR4" s="8"/>
      <c r="IGS4" s="8"/>
      <c r="IGT4" s="8"/>
      <c r="IGU4" s="8"/>
      <c r="IGV4" s="8"/>
      <c r="IGW4" s="8"/>
      <c r="IGX4" s="8"/>
      <c r="IGY4" s="8"/>
      <c r="IGZ4" s="8"/>
      <c r="IHA4" s="8"/>
      <c r="IHB4" s="8"/>
      <c r="IHC4" s="8"/>
      <c r="IHD4" s="8"/>
      <c r="IHE4" s="8"/>
      <c r="IHF4" s="8"/>
      <c r="IHG4" s="8"/>
      <c r="IHH4" s="8"/>
      <c r="IHI4" s="8"/>
      <c r="IHJ4" s="8"/>
      <c r="IHK4" s="8"/>
      <c r="IHL4" s="8"/>
      <c r="IHM4" s="8"/>
      <c r="IHN4" s="8"/>
      <c r="IHO4" s="8"/>
      <c r="IHP4" s="8"/>
      <c r="IHQ4" s="8"/>
      <c r="IHR4" s="8"/>
      <c r="IHS4" s="8"/>
      <c r="IHT4" s="8"/>
      <c r="IHU4" s="8"/>
      <c r="IHV4" s="8"/>
      <c r="IHW4" s="8"/>
      <c r="IHX4" s="8"/>
      <c r="IHY4" s="8"/>
      <c r="IHZ4" s="8"/>
      <c r="IIA4" s="8"/>
      <c r="IIB4" s="8"/>
      <c r="IIC4" s="8"/>
      <c r="IID4" s="8"/>
      <c r="IIE4" s="8"/>
      <c r="IIF4" s="8"/>
      <c r="IIG4" s="8"/>
      <c r="IIH4" s="8"/>
      <c r="III4" s="8"/>
      <c r="IIJ4" s="8"/>
      <c r="IIK4" s="8"/>
      <c r="IIL4" s="8"/>
      <c r="IIM4" s="8"/>
      <c r="IIN4" s="8"/>
      <c r="IIO4" s="8"/>
      <c r="IIP4" s="8"/>
      <c r="IIQ4" s="8"/>
      <c r="IIR4" s="8"/>
      <c r="IIS4" s="8"/>
      <c r="IIT4" s="8"/>
      <c r="IIU4" s="8"/>
      <c r="IIV4" s="8"/>
      <c r="IIW4" s="8"/>
      <c r="IIX4" s="8"/>
      <c r="IIY4" s="8"/>
      <c r="IIZ4" s="8"/>
      <c r="IJA4" s="8"/>
      <c r="IJB4" s="8"/>
      <c r="IJC4" s="8"/>
      <c r="IJD4" s="8"/>
      <c r="IJE4" s="8"/>
      <c r="IJF4" s="8"/>
      <c r="IJG4" s="8"/>
      <c r="IJH4" s="8"/>
      <c r="IJI4" s="8"/>
      <c r="IJJ4" s="8"/>
      <c r="IJK4" s="8"/>
      <c r="IJL4" s="8"/>
      <c r="IJM4" s="8"/>
      <c r="IJN4" s="8"/>
      <c r="IJO4" s="8"/>
      <c r="IJP4" s="8"/>
      <c r="IJQ4" s="8"/>
      <c r="IJR4" s="8"/>
      <c r="IJS4" s="8"/>
      <c r="IJT4" s="8"/>
      <c r="IJU4" s="8"/>
      <c r="IJV4" s="8"/>
      <c r="IJW4" s="8"/>
      <c r="IJX4" s="8"/>
      <c r="IJY4" s="8"/>
      <c r="IJZ4" s="8"/>
      <c r="IKA4" s="8"/>
      <c r="IKB4" s="8"/>
      <c r="IKC4" s="8"/>
      <c r="IKD4" s="8"/>
      <c r="IKE4" s="8"/>
      <c r="IKF4" s="8"/>
      <c r="IKG4" s="8"/>
      <c r="IKH4" s="8"/>
      <c r="IKI4" s="8"/>
      <c r="IKJ4" s="8"/>
      <c r="IKK4" s="8"/>
      <c r="IKL4" s="8"/>
      <c r="IKM4" s="8"/>
      <c r="IKN4" s="8"/>
      <c r="IKO4" s="8"/>
      <c r="IKP4" s="8"/>
      <c r="IKQ4" s="8"/>
      <c r="IKR4" s="8"/>
      <c r="IKS4" s="8"/>
      <c r="IKT4" s="8"/>
      <c r="IKU4" s="8"/>
      <c r="IKV4" s="8"/>
      <c r="IKW4" s="8"/>
      <c r="IKX4" s="8"/>
      <c r="IKY4" s="8"/>
      <c r="IKZ4" s="8"/>
      <c r="ILA4" s="8"/>
      <c r="ILB4" s="8"/>
      <c r="ILC4" s="8"/>
      <c r="ILD4" s="8"/>
      <c r="ILE4" s="8"/>
      <c r="ILF4" s="8"/>
      <c r="ILG4" s="8"/>
      <c r="ILH4" s="8"/>
      <c r="ILI4" s="8"/>
      <c r="ILJ4" s="8"/>
      <c r="ILK4" s="8"/>
      <c r="ILL4" s="8"/>
      <c r="ILM4" s="8"/>
      <c r="ILN4" s="8"/>
      <c r="ILO4" s="8"/>
      <c r="ILP4" s="8"/>
      <c r="ILQ4" s="8"/>
      <c r="ILR4" s="8"/>
      <c r="ILS4" s="8"/>
      <c r="ILT4" s="8"/>
      <c r="ILU4" s="8"/>
      <c r="ILV4" s="8"/>
      <c r="ILW4" s="8"/>
      <c r="ILX4" s="8"/>
      <c r="ILY4" s="8"/>
      <c r="ILZ4" s="8"/>
      <c r="IMA4" s="8"/>
      <c r="IMB4" s="8"/>
      <c r="IMC4" s="8"/>
      <c r="IMD4" s="8"/>
      <c r="IME4" s="8"/>
      <c r="IMF4" s="8"/>
      <c r="IMG4" s="8"/>
      <c r="IMH4" s="8"/>
      <c r="IMI4" s="8"/>
      <c r="IMJ4" s="8"/>
      <c r="IMK4" s="8"/>
      <c r="IML4" s="8"/>
      <c r="IMM4" s="8"/>
      <c r="IMN4" s="8"/>
      <c r="IMO4" s="8"/>
      <c r="IMP4" s="8"/>
      <c r="IMQ4" s="8"/>
      <c r="IMR4" s="8"/>
      <c r="IMS4" s="8"/>
      <c r="IMT4" s="8"/>
      <c r="IMU4" s="8"/>
      <c r="IMV4" s="8"/>
      <c r="IMW4" s="8"/>
      <c r="IMX4" s="8"/>
      <c r="IMY4" s="8"/>
      <c r="IMZ4" s="8"/>
      <c r="INA4" s="8"/>
      <c r="INB4" s="8"/>
      <c r="INC4" s="8"/>
      <c r="IND4" s="8"/>
      <c r="INE4" s="8"/>
      <c r="INF4" s="8"/>
      <c r="ING4" s="8"/>
      <c r="INH4" s="8"/>
      <c r="INI4" s="8"/>
      <c r="INJ4" s="8"/>
      <c r="INK4" s="8"/>
      <c r="INL4" s="8"/>
      <c r="INM4" s="8"/>
      <c r="INN4" s="8"/>
      <c r="INO4" s="8"/>
      <c r="INP4" s="8"/>
      <c r="INQ4" s="8"/>
      <c r="INR4" s="8"/>
      <c r="INS4" s="8"/>
      <c r="INT4" s="8"/>
      <c r="INU4" s="8"/>
      <c r="INV4" s="8"/>
      <c r="INW4" s="8"/>
      <c r="INX4" s="8"/>
      <c r="INY4" s="8"/>
      <c r="INZ4" s="8"/>
      <c r="IOA4" s="8"/>
      <c r="IOB4" s="8"/>
      <c r="IOC4" s="8"/>
      <c r="IOD4" s="8"/>
      <c r="IOE4" s="8"/>
      <c r="IOF4" s="8"/>
      <c r="IOG4" s="8"/>
      <c r="IOH4" s="8"/>
      <c r="IOI4" s="8"/>
      <c r="IOJ4" s="8"/>
      <c r="IOK4" s="8"/>
      <c r="IOL4" s="8"/>
      <c r="IOM4" s="8"/>
      <c r="ION4" s="8"/>
      <c r="IOO4" s="8"/>
      <c r="IOP4" s="8"/>
      <c r="IOQ4" s="8"/>
      <c r="IOR4" s="8"/>
      <c r="IOS4" s="8"/>
      <c r="IOT4" s="8"/>
      <c r="IOU4" s="8"/>
      <c r="IOV4" s="8"/>
      <c r="IOW4" s="8"/>
      <c r="IOX4" s="8"/>
      <c r="IOY4" s="8"/>
      <c r="IOZ4" s="8"/>
      <c r="IPA4" s="8"/>
      <c r="IPB4" s="8"/>
      <c r="IPC4" s="8"/>
      <c r="IPD4" s="8"/>
      <c r="IPE4" s="8"/>
      <c r="IPF4" s="8"/>
      <c r="IPG4" s="8"/>
      <c r="IPH4" s="8"/>
      <c r="IPI4" s="8"/>
      <c r="IPJ4" s="8"/>
      <c r="IPK4" s="8"/>
      <c r="IPL4" s="8"/>
      <c r="IPM4" s="8"/>
      <c r="IPN4" s="8"/>
      <c r="IPO4" s="8"/>
      <c r="IPP4" s="8"/>
      <c r="IPQ4" s="8"/>
      <c r="IPR4" s="8"/>
      <c r="IPS4" s="8"/>
      <c r="IPT4" s="8"/>
      <c r="IPU4" s="8"/>
      <c r="IPV4" s="8"/>
      <c r="IPW4" s="8"/>
      <c r="IPX4" s="8"/>
      <c r="IPY4" s="8"/>
      <c r="IPZ4" s="8"/>
      <c r="IQA4" s="8"/>
      <c r="IQB4" s="8"/>
      <c r="IQC4" s="8"/>
      <c r="IQD4" s="8"/>
      <c r="IQE4" s="8"/>
      <c r="IQF4" s="8"/>
      <c r="IQG4" s="8"/>
      <c r="IQH4" s="8"/>
      <c r="IQI4" s="8"/>
      <c r="IQJ4" s="8"/>
      <c r="IQK4" s="8"/>
      <c r="IQL4" s="8"/>
      <c r="IQM4" s="8"/>
      <c r="IQN4" s="8"/>
      <c r="IQO4" s="8"/>
      <c r="IQP4" s="8"/>
      <c r="IQQ4" s="8"/>
      <c r="IQR4" s="8"/>
      <c r="IQS4" s="8"/>
      <c r="IQT4" s="8"/>
      <c r="IQU4" s="8"/>
      <c r="IQV4" s="8"/>
      <c r="IQW4" s="8"/>
      <c r="IQX4" s="8"/>
      <c r="IQY4" s="8"/>
      <c r="IQZ4" s="8"/>
      <c r="IRA4" s="8"/>
      <c r="IRB4" s="8"/>
      <c r="IRC4" s="8"/>
      <c r="IRD4" s="8"/>
      <c r="IRE4" s="8"/>
      <c r="IRF4" s="8"/>
      <c r="IRG4" s="8"/>
      <c r="IRH4" s="8"/>
      <c r="IRI4" s="8"/>
      <c r="IRJ4" s="8"/>
      <c r="IRK4" s="8"/>
      <c r="IRL4" s="8"/>
      <c r="IRM4" s="8"/>
      <c r="IRN4" s="8"/>
      <c r="IRO4" s="8"/>
      <c r="IRP4" s="8"/>
      <c r="IRQ4" s="8"/>
      <c r="IRR4" s="8"/>
      <c r="IRS4" s="8"/>
      <c r="IRT4" s="8"/>
      <c r="IRU4" s="8"/>
      <c r="IRV4" s="8"/>
      <c r="IRW4" s="8"/>
      <c r="IRX4" s="8"/>
      <c r="IRY4" s="8"/>
      <c r="IRZ4" s="8"/>
      <c r="ISA4" s="8"/>
      <c r="ISB4" s="8"/>
      <c r="ISC4" s="8"/>
      <c r="ISD4" s="8"/>
      <c r="ISE4" s="8"/>
      <c r="ISF4" s="8"/>
      <c r="ISG4" s="8"/>
      <c r="ISH4" s="8"/>
      <c r="ISI4" s="8"/>
      <c r="ISJ4" s="8"/>
      <c r="ISK4" s="8"/>
      <c r="ISL4" s="8"/>
      <c r="ISM4" s="8"/>
      <c r="ISN4" s="8"/>
      <c r="ISO4" s="8"/>
      <c r="ISP4" s="8"/>
      <c r="ISQ4" s="8"/>
      <c r="ISR4" s="8"/>
      <c r="ISS4" s="8"/>
      <c r="IST4" s="8"/>
      <c r="ISU4" s="8"/>
      <c r="ISV4" s="8"/>
      <c r="ISW4" s="8"/>
      <c r="ISX4" s="8"/>
      <c r="ISY4" s="8"/>
      <c r="ISZ4" s="8"/>
      <c r="ITA4" s="8"/>
      <c r="ITB4" s="8"/>
      <c r="ITC4" s="8"/>
      <c r="ITD4" s="8"/>
      <c r="ITE4" s="8"/>
      <c r="ITF4" s="8"/>
      <c r="ITG4" s="8"/>
      <c r="ITH4" s="8"/>
      <c r="ITI4" s="8"/>
      <c r="ITJ4" s="8"/>
      <c r="ITK4" s="8"/>
      <c r="ITL4" s="8"/>
      <c r="ITM4" s="8"/>
      <c r="ITN4" s="8"/>
      <c r="ITO4" s="8"/>
      <c r="ITP4" s="8"/>
      <c r="ITQ4" s="8"/>
      <c r="ITR4" s="8"/>
      <c r="ITS4" s="8"/>
      <c r="ITT4" s="8"/>
      <c r="ITU4" s="8"/>
      <c r="ITV4" s="8"/>
      <c r="ITW4" s="8"/>
      <c r="ITX4" s="8"/>
      <c r="ITY4" s="8"/>
      <c r="ITZ4" s="8"/>
      <c r="IUA4" s="8"/>
      <c r="IUB4" s="8"/>
      <c r="IUC4" s="8"/>
      <c r="IUD4" s="8"/>
      <c r="IUE4" s="8"/>
      <c r="IUF4" s="8"/>
      <c r="IUG4" s="8"/>
      <c r="IUH4" s="8"/>
      <c r="IUI4" s="8"/>
      <c r="IUJ4" s="8"/>
      <c r="IUK4" s="8"/>
      <c r="IUL4" s="8"/>
      <c r="IUM4" s="8"/>
      <c r="IUN4" s="8"/>
      <c r="IUO4" s="8"/>
      <c r="IUP4" s="8"/>
      <c r="IUQ4" s="8"/>
      <c r="IUR4" s="8"/>
      <c r="IUS4" s="8"/>
      <c r="IUT4" s="8"/>
      <c r="IUU4" s="8"/>
      <c r="IUV4" s="8"/>
      <c r="IUW4" s="8"/>
      <c r="IUX4" s="8"/>
      <c r="IUY4" s="8"/>
      <c r="IUZ4" s="8"/>
      <c r="IVA4" s="8"/>
      <c r="IVB4" s="8"/>
      <c r="IVC4" s="8"/>
      <c r="IVD4" s="8"/>
      <c r="IVE4" s="8"/>
      <c r="IVF4" s="8"/>
      <c r="IVG4" s="8"/>
      <c r="IVH4" s="8"/>
      <c r="IVI4" s="8"/>
      <c r="IVJ4" s="8"/>
      <c r="IVK4" s="8"/>
      <c r="IVL4" s="8"/>
      <c r="IVM4" s="8"/>
      <c r="IVN4" s="8"/>
      <c r="IVO4" s="8"/>
      <c r="IVP4" s="8"/>
      <c r="IVQ4" s="8"/>
      <c r="IVR4" s="8"/>
      <c r="IVS4" s="8"/>
      <c r="IVT4" s="8"/>
      <c r="IVU4" s="8"/>
      <c r="IVV4" s="8"/>
      <c r="IVW4" s="8"/>
      <c r="IVX4" s="8"/>
      <c r="IVY4" s="8"/>
      <c r="IVZ4" s="8"/>
      <c r="IWA4" s="8"/>
      <c r="IWB4" s="8"/>
      <c r="IWC4" s="8"/>
      <c r="IWD4" s="8"/>
      <c r="IWE4" s="8"/>
      <c r="IWF4" s="8"/>
      <c r="IWG4" s="8"/>
      <c r="IWH4" s="8"/>
      <c r="IWI4" s="8"/>
      <c r="IWJ4" s="8"/>
      <c r="IWK4" s="8"/>
      <c r="IWL4" s="8"/>
      <c r="IWM4" s="8"/>
      <c r="IWN4" s="8"/>
      <c r="IWO4" s="8"/>
      <c r="IWP4" s="8"/>
      <c r="IWQ4" s="8"/>
      <c r="IWR4" s="8"/>
      <c r="IWS4" s="8"/>
      <c r="IWT4" s="8"/>
      <c r="IWU4" s="8"/>
      <c r="IWV4" s="8"/>
      <c r="IWW4" s="8"/>
      <c r="IWX4" s="8"/>
      <c r="IWY4" s="8"/>
      <c r="IWZ4" s="8"/>
      <c r="IXA4" s="8"/>
      <c r="IXB4" s="8"/>
      <c r="IXC4" s="8"/>
      <c r="IXD4" s="8"/>
      <c r="IXE4" s="8"/>
      <c r="IXF4" s="8"/>
      <c r="IXG4" s="8"/>
      <c r="IXH4" s="8"/>
      <c r="IXI4" s="8"/>
      <c r="IXJ4" s="8"/>
      <c r="IXK4" s="8"/>
      <c r="IXL4" s="8"/>
      <c r="IXM4" s="8"/>
      <c r="IXN4" s="8"/>
      <c r="IXO4" s="8"/>
      <c r="IXP4" s="8"/>
      <c r="IXQ4" s="8"/>
      <c r="IXR4" s="8"/>
      <c r="IXS4" s="8"/>
      <c r="IXT4" s="8"/>
      <c r="IXU4" s="8"/>
      <c r="IXV4" s="8"/>
      <c r="IXW4" s="8"/>
      <c r="IXX4" s="8"/>
      <c r="IXY4" s="8"/>
      <c r="IXZ4" s="8"/>
      <c r="IYA4" s="8"/>
      <c r="IYB4" s="8"/>
      <c r="IYC4" s="8"/>
      <c r="IYD4" s="8"/>
      <c r="IYE4" s="8"/>
      <c r="IYF4" s="8"/>
      <c r="IYG4" s="8"/>
      <c r="IYH4" s="8"/>
      <c r="IYI4" s="8"/>
      <c r="IYJ4" s="8"/>
      <c r="IYK4" s="8"/>
      <c r="IYL4" s="8"/>
      <c r="IYM4" s="8"/>
      <c r="IYN4" s="8"/>
      <c r="IYO4" s="8"/>
      <c r="IYP4" s="8"/>
      <c r="IYQ4" s="8"/>
      <c r="IYR4" s="8"/>
      <c r="IYS4" s="8"/>
      <c r="IYT4" s="8"/>
      <c r="IYU4" s="8"/>
      <c r="IYV4" s="8"/>
      <c r="IYW4" s="8"/>
      <c r="IYX4" s="8"/>
      <c r="IYY4" s="8"/>
      <c r="IYZ4" s="8"/>
      <c r="IZA4" s="8"/>
      <c r="IZB4" s="8"/>
      <c r="IZC4" s="8"/>
      <c r="IZD4" s="8"/>
      <c r="IZE4" s="8"/>
      <c r="IZF4" s="8"/>
      <c r="IZG4" s="8"/>
      <c r="IZH4" s="8"/>
      <c r="IZI4" s="8"/>
      <c r="IZJ4" s="8"/>
      <c r="IZK4" s="8"/>
      <c r="IZL4" s="8"/>
      <c r="IZM4" s="8"/>
      <c r="IZN4" s="8"/>
      <c r="IZO4" s="8"/>
      <c r="IZP4" s="8"/>
      <c r="IZQ4" s="8"/>
      <c r="IZR4" s="8"/>
      <c r="IZS4" s="8"/>
      <c r="IZT4" s="8"/>
      <c r="IZU4" s="8"/>
      <c r="IZV4" s="8"/>
      <c r="IZW4" s="8"/>
      <c r="IZX4" s="8"/>
      <c r="IZY4" s="8"/>
      <c r="IZZ4" s="8"/>
      <c r="JAA4" s="8"/>
      <c r="JAB4" s="8"/>
      <c r="JAC4" s="8"/>
      <c r="JAD4" s="8"/>
      <c r="JAE4" s="8"/>
      <c r="JAF4" s="8"/>
      <c r="JAG4" s="8"/>
      <c r="JAH4" s="8"/>
      <c r="JAI4" s="8"/>
      <c r="JAJ4" s="8"/>
      <c r="JAK4" s="8"/>
      <c r="JAL4" s="8"/>
      <c r="JAM4" s="8"/>
      <c r="JAN4" s="8"/>
      <c r="JAO4" s="8"/>
      <c r="JAP4" s="8"/>
      <c r="JAQ4" s="8"/>
      <c r="JAR4" s="8"/>
      <c r="JAS4" s="8"/>
      <c r="JAT4" s="8"/>
      <c r="JAU4" s="8"/>
      <c r="JAV4" s="8"/>
      <c r="JAW4" s="8"/>
      <c r="JAX4" s="8"/>
      <c r="JAY4" s="8"/>
      <c r="JAZ4" s="8"/>
      <c r="JBA4" s="8"/>
      <c r="JBB4" s="8"/>
      <c r="JBC4" s="8"/>
      <c r="JBD4" s="8"/>
      <c r="JBE4" s="8"/>
      <c r="JBF4" s="8"/>
      <c r="JBG4" s="8"/>
      <c r="JBH4" s="8"/>
      <c r="JBI4" s="8"/>
      <c r="JBJ4" s="8"/>
      <c r="JBK4" s="8"/>
      <c r="JBL4" s="8"/>
      <c r="JBM4" s="8"/>
      <c r="JBN4" s="8"/>
      <c r="JBO4" s="8"/>
      <c r="JBP4" s="8"/>
      <c r="JBQ4" s="8"/>
      <c r="JBR4" s="8"/>
      <c r="JBS4" s="8"/>
      <c r="JBT4" s="8"/>
      <c r="JBU4" s="8"/>
      <c r="JBV4" s="8"/>
      <c r="JBW4" s="8"/>
      <c r="JBX4" s="8"/>
      <c r="JBY4" s="8"/>
      <c r="JBZ4" s="8"/>
      <c r="JCA4" s="8"/>
      <c r="JCB4" s="8"/>
      <c r="JCC4" s="8"/>
      <c r="JCD4" s="8"/>
      <c r="JCE4" s="8"/>
      <c r="JCF4" s="8"/>
      <c r="JCG4" s="8"/>
      <c r="JCH4" s="8"/>
      <c r="JCI4" s="8"/>
      <c r="JCJ4" s="8"/>
      <c r="JCK4" s="8"/>
      <c r="JCL4" s="8"/>
      <c r="JCM4" s="8"/>
      <c r="JCN4" s="8"/>
      <c r="JCO4" s="8"/>
      <c r="JCP4" s="8"/>
      <c r="JCQ4" s="8"/>
      <c r="JCR4" s="8"/>
      <c r="JCS4" s="8"/>
      <c r="JCT4" s="8"/>
      <c r="JCU4" s="8"/>
      <c r="JCV4" s="8"/>
      <c r="JCW4" s="8"/>
      <c r="JCX4" s="8"/>
      <c r="JCY4" s="8"/>
      <c r="JCZ4" s="8"/>
      <c r="JDA4" s="8"/>
      <c r="JDB4" s="8"/>
      <c r="JDC4" s="8"/>
      <c r="JDD4" s="8"/>
      <c r="JDE4" s="8"/>
      <c r="JDF4" s="8"/>
      <c r="JDG4" s="8"/>
      <c r="JDH4" s="8"/>
      <c r="JDI4" s="8"/>
      <c r="JDJ4" s="8"/>
      <c r="JDK4" s="8"/>
      <c r="JDL4" s="8"/>
      <c r="JDM4" s="8"/>
      <c r="JDN4" s="8"/>
      <c r="JDO4" s="8"/>
      <c r="JDP4" s="8"/>
      <c r="JDQ4" s="8"/>
      <c r="JDR4" s="8"/>
      <c r="JDS4" s="8"/>
      <c r="JDT4" s="8"/>
      <c r="JDU4" s="8"/>
      <c r="JDV4" s="8"/>
      <c r="JDW4" s="8"/>
      <c r="JDX4" s="8"/>
      <c r="JDY4" s="8"/>
      <c r="JDZ4" s="8"/>
      <c r="JEA4" s="8"/>
      <c r="JEB4" s="8"/>
      <c r="JEC4" s="8"/>
      <c r="JED4" s="8"/>
      <c r="JEE4" s="8"/>
      <c r="JEF4" s="8"/>
      <c r="JEG4" s="8"/>
      <c r="JEH4" s="8"/>
      <c r="JEI4" s="8"/>
      <c r="JEJ4" s="8"/>
      <c r="JEK4" s="8"/>
      <c r="JEL4" s="8"/>
      <c r="JEM4" s="8"/>
      <c r="JEN4" s="8"/>
      <c r="JEO4" s="8"/>
      <c r="JEP4" s="8"/>
      <c r="JEQ4" s="8"/>
      <c r="JER4" s="8"/>
      <c r="JES4" s="8"/>
      <c r="JET4" s="8"/>
      <c r="JEU4" s="8"/>
      <c r="JEV4" s="8"/>
      <c r="JEW4" s="8"/>
      <c r="JEX4" s="8"/>
      <c r="JEY4" s="8"/>
      <c r="JEZ4" s="8"/>
      <c r="JFA4" s="8"/>
      <c r="JFB4" s="8"/>
      <c r="JFC4" s="8"/>
      <c r="JFD4" s="8"/>
      <c r="JFE4" s="8"/>
      <c r="JFF4" s="8"/>
      <c r="JFG4" s="8"/>
      <c r="JFH4" s="8"/>
      <c r="JFI4" s="8"/>
      <c r="JFJ4" s="8"/>
      <c r="JFK4" s="8"/>
      <c r="JFL4" s="8"/>
      <c r="JFM4" s="8"/>
      <c r="JFN4" s="8"/>
      <c r="JFO4" s="8"/>
      <c r="JFP4" s="8"/>
      <c r="JFQ4" s="8"/>
      <c r="JFR4" s="8"/>
      <c r="JFS4" s="8"/>
      <c r="JFT4" s="8"/>
      <c r="JFU4" s="8"/>
      <c r="JFV4" s="8"/>
      <c r="JFW4" s="8"/>
      <c r="JFX4" s="8"/>
      <c r="JFY4" s="8"/>
      <c r="JFZ4" s="8"/>
      <c r="JGA4" s="8"/>
      <c r="JGB4" s="8"/>
      <c r="JGC4" s="8"/>
      <c r="JGD4" s="8"/>
      <c r="JGE4" s="8"/>
      <c r="JGF4" s="8"/>
      <c r="JGG4" s="8"/>
      <c r="JGH4" s="8"/>
      <c r="JGI4" s="8"/>
      <c r="JGJ4" s="8"/>
      <c r="JGK4" s="8"/>
      <c r="JGL4" s="8"/>
      <c r="JGM4" s="8"/>
      <c r="JGN4" s="8"/>
      <c r="JGO4" s="8"/>
      <c r="JGP4" s="8"/>
      <c r="JGQ4" s="8"/>
      <c r="JGR4" s="8"/>
      <c r="JGS4" s="8"/>
      <c r="JGT4" s="8"/>
      <c r="JGU4" s="8"/>
      <c r="JGV4" s="8"/>
      <c r="JGW4" s="8"/>
      <c r="JGX4" s="8"/>
      <c r="JGY4" s="8"/>
      <c r="JGZ4" s="8"/>
      <c r="JHA4" s="8"/>
      <c r="JHB4" s="8"/>
      <c r="JHC4" s="8"/>
      <c r="JHD4" s="8"/>
      <c r="JHE4" s="8"/>
      <c r="JHF4" s="8"/>
      <c r="JHG4" s="8"/>
      <c r="JHH4" s="8"/>
      <c r="JHI4" s="8"/>
      <c r="JHJ4" s="8"/>
      <c r="JHK4" s="8"/>
      <c r="JHL4" s="8"/>
      <c r="JHM4" s="8"/>
      <c r="JHN4" s="8"/>
      <c r="JHO4" s="8"/>
      <c r="JHP4" s="8"/>
      <c r="JHQ4" s="8"/>
      <c r="JHR4" s="8"/>
      <c r="JHS4" s="8"/>
      <c r="JHT4" s="8"/>
      <c r="JHU4" s="8"/>
      <c r="JHV4" s="8"/>
      <c r="JHW4" s="8"/>
      <c r="JHX4" s="8"/>
      <c r="JHY4" s="8"/>
      <c r="JHZ4" s="8"/>
      <c r="JIA4" s="8"/>
      <c r="JIB4" s="8"/>
      <c r="JIC4" s="8"/>
      <c r="JID4" s="8"/>
      <c r="JIE4" s="8"/>
      <c r="JIF4" s="8"/>
      <c r="JIG4" s="8"/>
      <c r="JIH4" s="8"/>
      <c r="JII4" s="8"/>
      <c r="JIJ4" s="8"/>
      <c r="JIK4" s="8"/>
      <c r="JIL4" s="8"/>
      <c r="JIM4" s="8"/>
      <c r="JIN4" s="8"/>
      <c r="JIO4" s="8"/>
      <c r="JIP4" s="8"/>
      <c r="JIQ4" s="8"/>
      <c r="JIR4" s="8"/>
      <c r="JIS4" s="8"/>
      <c r="JIT4" s="8"/>
      <c r="JIU4" s="8"/>
      <c r="JIV4" s="8"/>
      <c r="JIW4" s="8"/>
      <c r="JIX4" s="8"/>
      <c r="JIY4" s="8"/>
      <c r="JIZ4" s="8"/>
      <c r="JJA4" s="8"/>
      <c r="JJB4" s="8"/>
      <c r="JJC4" s="8"/>
      <c r="JJD4" s="8"/>
      <c r="JJE4" s="8"/>
      <c r="JJF4" s="8"/>
      <c r="JJG4" s="8"/>
      <c r="JJH4" s="8"/>
      <c r="JJI4" s="8"/>
      <c r="JJJ4" s="8"/>
      <c r="JJK4" s="8"/>
      <c r="JJL4" s="8"/>
      <c r="JJM4" s="8"/>
      <c r="JJN4" s="8"/>
      <c r="JJO4" s="8"/>
      <c r="JJP4" s="8"/>
      <c r="JJQ4" s="8"/>
      <c r="JJR4" s="8"/>
      <c r="JJS4" s="8"/>
      <c r="JJT4" s="8"/>
      <c r="JJU4" s="8"/>
      <c r="JJV4" s="8"/>
      <c r="JJW4" s="8"/>
      <c r="JJX4" s="8"/>
      <c r="JJY4" s="8"/>
      <c r="JJZ4" s="8"/>
      <c r="JKA4" s="8"/>
      <c r="JKB4" s="8"/>
      <c r="JKC4" s="8"/>
      <c r="JKD4" s="8"/>
      <c r="JKE4" s="8"/>
      <c r="JKF4" s="8"/>
      <c r="JKG4" s="8"/>
      <c r="JKH4" s="8"/>
      <c r="JKI4" s="8"/>
      <c r="JKJ4" s="8"/>
      <c r="JKK4" s="8"/>
      <c r="JKL4" s="8"/>
      <c r="JKM4" s="8"/>
      <c r="JKN4" s="8"/>
      <c r="JKO4" s="8"/>
      <c r="JKP4" s="8"/>
      <c r="JKQ4" s="8"/>
      <c r="JKR4" s="8"/>
      <c r="JKS4" s="8"/>
      <c r="JKT4" s="8"/>
      <c r="JKU4" s="8"/>
      <c r="JKV4" s="8"/>
      <c r="JKW4" s="8"/>
      <c r="JKX4" s="8"/>
      <c r="JKY4" s="8"/>
      <c r="JKZ4" s="8"/>
      <c r="JLA4" s="8"/>
      <c r="JLB4" s="8"/>
      <c r="JLC4" s="8"/>
      <c r="JLD4" s="8"/>
      <c r="JLE4" s="8"/>
      <c r="JLF4" s="8"/>
      <c r="JLG4" s="8"/>
      <c r="JLH4" s="8"/>
      <c r="JLI4" s="8"/>
      <c r="JLJ4" s="8"/>
      <c r="JLK4" s="8"/>
      <c r="JLL4" s="8"/>
      <c r="JLM4" s="8"/>
      <c r="JLN4" s="8"/>
      <c r="JLO4" s="8"/>
      <c r="JLP4" s="8"/>
      <c r="JLQ4" s="8"/>
      <c r="JLR4" s="8"/>
      <c r="JLS4" s="8"/>
      <c r="JLT4" s="8"/>
      <c r="JLU4" s="8"/>
      <c r="JLV4" s="8"/>
      <c r="JLW4" s="8"/>
      <c r="JLX4" s="8"/>
      <c r="JLY4" s="8"/>
      <c r="JLZ4" s="8"/>
      <c r="JMA4" s="8"/>
      <c r="JMB4" s="8"/>
      <c r="JMC4" s="8"/>
      <c r="JMD4" s="8"/>
      <c r="JME4" s="8"/>
      <c r="JMF4" s="8"/>
      <c r="JMG4" s="8"/>
      <c r="JMH4" s="8"/>
      <c r="JMI4" s="8"/>
      <c r="JMJ4" s="8"/>
      <c r="JMK4" s="8"/>
      <c r="JML4" s="8"/>
      <c r="JMM4" s="8"/>
      <c r="JMN4" s="8"/>
      <c r="JMO4" s="8"/>
      <c r="JMP4" s="8"/>
      <c r="JMQ4" s="8"/>
      <c r="JMR4" s="8"/>
      <c r="JMS4" s="8"/>
      <c r="JMT4" s="8"/>
      <c r="JMU4" s="8"/>
      <c r="JMV4" s="8"/>
      <c r="JMW4" s="8"/>
      <c r="JMX4" s="8"/>
      <c r="JMY4" s="8"/>
      <c r="JMZ4" s="8"/>
      <c r="JNA4" s="8"/>
      <c r="JNB4" s="8"/>
      <c r="JNC4" s="8"/>
      <c r="JND4" s="8"/>
      <c r="JNE4" s="8"/>
      <c r="JNF4" s="8"/>
      <c r="JNG4" s="8"/>
      <c r="JNH4" s="8"/>
      <c r="JNI4" s="8"/>
      <c r="JNJ4" s="8"/>
      <c r="JNK4" s="8"/>
      <c r="JNL4" s="8"/>
      <c r="JNM4" s="8"/>
      <c r="JNN4" s="8"/>
      <c r="JNO4" s="8"/>
      <c r="JNP4" s="8"/>
      <c r="JNQ4" s="8"/>
      <c r="JNR4" s="8"/>
      <c r="JNS4" s="8"/>
      <c r="JNT4" s="8"/>
      <c r="JNU4" s="8"/>
      <c r="JNV4" s="8"/>
      <c r="JNW4" s="8"/>
      <c r="JNX4" s="8"/>
      <c r="JNY4" s="8"/>
      <c r="JNZ4" s="8"/>
      <c r="JOA4" s="8"/>
      <c r="JOB4" s="8"/>
      <c r="JOC4" s="8"/>
      <c r="JOD4" s="8"/>
      <c r="JOE4" s="8"/>
      <c r="JOF4" s="8"/>
      <c r="JOG4" s="8"/>
      <c r="JOH4" s="8"/>
      <c r="JOI4" s="8"/>
      <c r="JOJ4" s="8"/>
      <c r="JOK4" s="8"/>
      <c r="JOL4" s="8"/>
      <c r="JOM4" s="8"/>
      <c r="JON4" s="8"/>
      <c r="JOO4" s="8"/>
      <c r="JOP4" s="8"/>
      <c r="JOQ4" s="8"/>
      <c r="JOR4" s="8"/>
      <c r="JOS4" s="8"/>
      <c r="JOT4" s="8"/>
      <c r="JOU4" s="8"/>
      <c r="JOV4" s="8"/>
      <c r="JOW4" s="8"/>
      <c r="JOX4" s="8"/>
      <c r="JOY4" s="8"/>
      <c r="JOZ4" s="8"/>
      <c r="JPA4" s="8"/>
      <c r="JPB4" s="8"/>
      <c r="JPC4" s="8"/>
      <c r="JPD4" s="8"/>
      <c r="JPE4" s="8"/>
      <c r="JPF4" s="8"/>
      <c r="JPG4" s="8"/>
      <c r="JPH4" s="8"/>
      <c r="JPI4" s="8"/>
      <c r="JPJ4" s="8"/>
      <c r="JPK4" s="8"/>
      <c r="JPL4" s="8"/>
      <c r="JPM4" s="8"/>
      <c r="JPN4" s="8"/>
      <c r="JPO4" s="8"/>
      <c r="JPP4" s="8"/>
      <c r="JPQ4" s="8"/>
      <c r="JPR4" s="8"/>
      <c r="JPS4" s="8"/>
      <c r="JPT4" s="8"/>
      <c r="JPU4" s="8"/>
      <c r="JPV4" s="8"/>
      <c r="JPW4" s="8"/>
      <c r="JPX4" s="8"/>
      <c r="JPY4" s="8"/>
      <c r="JPZ4" s="8"/>
      <c r="JQA4" s="8"/>
      <c r="JQB4" s="8"/>
      <c r="JQC4" s="8"/>
      <c r="JQD4" s="8"/>
      <c r="JQE4" s="8"/>
      <c r="JQF4" s="8"/>
      <c r="JQG4" s="8"/>
      <c r="JQH4" s="8"/>
      <c r="JQI4" s="8"/>
      <c r="JQJ4" s="8"/>
      <c r="JQK4" s="8"/>
      <c r="JQL4" s="8"/>
      <c r="JQM4" s="8"/>
      <c r="JQN4" s="8"/>
      <c r="JQO4" s="8"/>
      <c r="JQP4" s="8"/>
      <c r="JQQ4" s="8"/>
      <c r="JQR4" s="8"/>
      <c r="JQS4" s="8"/>
      <c r="JQT4" s="8"/>
      <c r="JQU4" s="8"/>
      <c r="JQV4" s="8"/>
      <c r="JQW4" s="8"/>
      <c r="JQX4" s="8"/>
      <c r="JQY4" s="8"/>
      <c r="JQZ4" s="8"/>
      <c r="JRA4" s="8"/>
      <c r="JRB4" s="8"/>
      <c r="JRC4" s="8"/>
      <c r="JRD4" s="8"/>
      <c r="JRE4" s="8"/>
      <c r="JRF4" s="8"/>
      <c r="JRG4" s="8"/>
      <c r="JRH4" s="8"/>
      <c r="JRI4" s="8"/>
      <c r="JRJ4" s="8"/>
      <c r="JRK4" s="8"/>
      <c r="JRL4" s="8"/>
      <c r="JRM4" s="8"/>
      <c r="JRN4" s="8"/>
      <c r="JRO4" s="8"/>
      <c r="JRP4" s="8"/>
      <c r="JRQ4" s="8"/>
      <c r="JRR4" s="8"/>
      <c r="JRS4" s="8"/>
      <c r="JRT4" s="8"/>
      <c r="JRU4" s="8"/>
      <c r="JRV4" s="8"/>
      <c r="JRW4" s="8"/>
      <c r="JRX4" s="8"/>
      <c r="JRY4" s="8"/>
      <c r="JRZ4" s="8"/>
      <c r="JSA4" s="8"/>
      <c r="JSB4" s="8"/>
      <c r="JSC4" s="8"/>
      <c r="JSD4" s="8"/>
      <c r="JSE4" s="8"/>
      <c r="JSF4" s="8"/>
      <c r="JSG4" s="8"/>
      <c r="JSH4" s="8"/>
      <c r="JSI4" s="8"/>
      <c r="JSJ4" s="8"/>
      <c r="JSK4" s="8"/>
      <c r="JSL4" s="8"/>
      <c r="JSM4" s="8"/>
      <c r="JSN4" s="8"/>
      <c r="JSO4" s="8"/>
      <c r="JSP4" s="8"/>
      <c r="JSQ4" s="8"/>
      <c r="JSR4" s="8"/>
      <c r="JSS4" s="8"/>
      <c r="JST4" s="8"/>
      <c r="JSU4" s="8"/>
      <c r="JSV4" s="8"/>
      <c r="JSW4" s="8"/>
      <c r="JSX4" s="8"/>
      <c r="JSY4" s="8"/>
      <c r="JSZ4" s="8"/>
      <c r="JTA4" s="8"/>
      <c r="JTB4" s="8"/>
      <c r="JTC4" s="8"/>
      <c r="JTD4" s="8"/>
      <c r="JTE4" s="8"/>
      <c r="JTF4" s="8"/>
      <c r="JTG4" s="8"/>
      <c r="JTH4" s="8"/>
      <c r="JTI4" s="8"/>
      <c r="JTJ4" s="8"/>
      <c r="JTK4" s="8"/>
      <c r="JTL4" s="8"/>
      <c r="JTM4" s="8"/>
      <c r="JTN4" s="8"/>
      <c r="JTO4" s="8"/>
      <c r="JTP4" s="8"/>
      <c r="JTQ4" s="8"/>
      <c r="JTR4" s="8"/>
      <c r="JTS4" s="8"/>
      <c r="JTT4" s="8"/>
      <c r="JTU4" s="8"/>
      <c r="JTV4" s="8"/>
      <c r="JTW4" s="8"/>
      <c r="JTX4" s="8"/>
      <c r="JTY4" s="8"/>
      <c r="JTZ4" s="8"/>
      <c r="JUA4" s="8"/>
      <c r="JUB4" s="8"/>
      <c r="JUC4" s="8"/>
      <c r="JUD4" s="8"/>
      <c r="JUE4" s="8"/>
      <c r="JUF4" s="8"/>
      <c r="JUG4" s="8"/>
      <c r="JUH4" s="8"/>
      <c r="JUI4" s="8"/>
      <c r="JUJ4" s="8"/>
      <c r="JUK4" s="8"/>
      <c r="JUL4" s="8"/>
      <c r="JUM4" s="8"/>
      <c r="JUN4" s="8"/>
      <c r="JUO4" s="8"/>
      <c r="JUP4" s="8"/>
      <c r="JUQ4" s="8"/>
      <c r="JUR4" s="8"/>
      <c r="JUS4" s="8"/>
      <c r="JUT4" s="8"/>
      <c r="JUU4" s="8"/>
      <c r="JUV4" s="8"/>
      <c r="JUW4" s="8"/>
      <c r="JUX4" s="8"/>
      <c r="JUY4" s="8"/>
      <c r="JUZ4" s="8"/>
      <c r="JVA4" s="8"/>
      <c r="JVB4" s="8"/>
      <c r="JVC4" s="8"/>
      <c r="JVD4" s="8"/>
      <c r="JVE4" s="8"/>
      <c r="JVF4" s="8"/>
      <c r="JVG4" s="8"/>
      <c r="JVH4" s="8"/>
      <c r="JVI4" s="8"/>
      <c r="JVJ4" s="8"/>
      <c r="JVK4" s="8"/>
      <c r="JVL4" s="8"/>
      <c r="JVM4" s="8"/>
      <c r="JVN4" s="8"/>
      <c r="JVO4" s="8"/>
      <c r="JVP4" s="8"/>
      <c r="JVQ4" s="8"/>
      <c r="JVR4" s="8"/>
      <c r="JVS4" s="8"/>
      <c r="JVT4" s="8"/>
      <c r="JVU4" s="8"/>
      <c r="JVV4" s="8"/>
      <c r="JVW4" s="8"/>
      <c r="JVX4" s="8"/>
      <c r="JVY4" s="8"/>
      <c r="JVZ4" s="8"/>
      <c r="JWA4" s="8"/>
      <c r="JWB4" s="8"/>
      <c r="JWC4" s="8"/>
      <c r="JWD4" s="8"/>
      <c r="JWE4" s="8"/>
      <c r="JWF4" s="8"/>
      <c r="JWG4" s="8"/>
      <c r="JWH4" s="8"/>
      <c r="JWI4" s="8"/>
      <c r="JWJ4" s="8"/>
      <c r="JWK4" s="8"/>
      <c r="JWL4" s="8"/>
      <c r="JWM4" s="8"/>
      <c r="JWN4" s="8"/>
      <c r="JWO4" s="8"/>
      <c r="JWP4" s="8"/>
      <c r="JWQ4" s="8"/>
      <c r="JWR4" s="8"/>
      <c r="JWS4" s="8"/>
      <c r="JWT4" s="8"/>
      <c r="JWU4" s="8"/>
      <c r="JWV4" s="8"/>
      <c r="JWW4" s="8"/>
      <c r="JWX4" s="8"/>
      <c r="JWY4" s="8"/>
      <c r="JWZ4" s="8"/>
      <c r="JXA4" s="8"/>
      <c r="JXB4" s="8"/>
      <c r="JXC4" s="8"/>
      <c r="JXD4" s="8"/>
      <c r="JXE4" s="8"/>
      <c r="JXF4" s="8"/>
      <c r="JXG4" s="8"/>
      <c r="JXH4" s="8"/>
      <c r="JXI4" s="8"/>
      <c r="JXJ4" s="8"/>
      <c r="JXK4" s="8"/>
      <c r="JXL4" s="8"/>
      <c r="JXM4" s="8"/>
      <c r="JXN4" s="8"/>
      <c r="JXO4" s="8"/>
      <c r="JXP4" s="8"/>
      <c r="JXQ4" s="8"/>
      <c r="JXR4" s="8"/>
      <c r="JXS4" s="8"/>
      <c r="JXT4" s="8"/>
      <c r="JXU4" s="8"/>
      <c r="JXV4" s="8"/>
      <c r="JXW4" s="8"/>
      <c r="JXX4" s="8"/>
      <c r="JXY4" s="8"/>
      <c r="JXZ4" s="8"/>
      <c r="JYA4" s="8"/>
      <c r="JYB4" s="8"/>
      <c r="JYC4" s="8"/>
      <c r="JYD4" s="8"/>
      <c r="JYE4" s="8"/>
      <c r="JYF4" s="8"/>
      <c r="JYG4" s="8"/>
      <c r="JYH4" s="8"/>
      <c r="JYI4" s="8"/>
      <c r="JYJ4" s="8"/>
      <c r="JYK4" s="8"/>
      <c r="JYL4" s="8"/>
      <c r="JYM4" s="8"/>
      <c r="JYN4" s="8"/>
      <c r="JYO4" s="8"/>
      <c r="JYP4" s="8"/>
      <c r="JYQ4" s="8"/>
      <c r="JYR4" s="8"/>
      <c r="JYS4" s="8"/>
      <c r="JYT4" s="8"/>
      <c r="JYU4" s="8"/>
      <c r="JYV4" s="8"/>
      <c r="JYW4" s="8"/>
      <c r="JYX4" s="8"/>
      <c r="JYY4" s="8"/>
      <c r="JYZ4" s="8"/>
      <c r="JZA4" s="8"/>
      <c r="JZB4" s="8"/>
      <c r="JZC4" s="8"/>
      <c r="JZD4" s="8"/>
      <c r="JZE4" s="8"/>
      <c r="JZF4" s="8"/>
      <c r="JZG4" s="8"/>
      <c r="JZH4" s="8"/>
      <c r="JZI4" s="8"/>
      <c r="JZJ4" s="8"/>
      <c r="JZK4" s="8"/>
      <c r="JZL4" s="8"/>
      <c r="JZM4" s="8"/>
      <c r="JZN4" s="8"/>
      <c r="JZO4" s="8"/>
      <c r="JZP4" s="8"/>
      <c r="JZQ4" s="8"/>
      <c r="JZR4" s="8"/>
      <c r="JZS4" s="8"/>
      <c r="JZT4" s="8"/>
      <c r="JZU4" s="8"/>
      <c r="JZV4" s="8"/>
      <c r="JZW4" s="8"/>
      <c r="JZX4" s="8"/>
      <c r="JZY4" s="8"/>
      <c r="JZZ4" s="8"/>
      <c r="KAA4" s="8"/>
      <c r="KAB4" s="8"/>
      <c r="KAC4" s="8"/>
      <c r="KAD4" s="8"/>
      <c r="KAE4" s="8"/>
      <c r="KAF4" s="8"/>
      <c r="KAG4" s="8"/>
      <c r="KAH4" s="8"/>
      <c r="KAI4" s="8"/>
      <c r="KAJ4" s="8"/>
      <c r="KAK4" s="8"/>
      <c r="KAL4" s="8"/>
      <c r="KAM4" s="8"/>
      <c r="KAN4" s="8"/>
      <c r="KAO4" s="8"/>
      <c r="KAP4" s="8"/>
      <c r="KAQ4" s="8"/>
      <c r="KAR4" s="8"/>
      <c r="KAS4" s="8"/>
      <c r="KAT4" s="8"/>
      <c r="KAU4" s="8"/>
      <c r="KAV4" s="8"/>
      <c r="KAW4" s="8"/>
      <c r="KAX4" s="8"/>
      <c r="KAY4" s="8"/>
      <c r="KAZ4" s="8"/>
      <c r="KBA4" s="8"/>
      <c r="KBB4" s="8"/>
      <c r="KBC4" s="8"/>
      <c r="KBD4" s="8"/>
      <c r="KBE4" s="8"/>
      <c r="KBF4" s="8"/>
      <c r="KBG4" s="8"/>
      <c r="KBH4" s="8"/>
      <c r="KBI4" s="8"/>
      <c r="KBJ4" s="8"/>
      <c r="KBK4" s="8"/>
      <c r="KBL4" s="8"/>
      <c r="KBM4" s="8"/>
      <c r="KBN4" s="8"/>
      <c r="KBO4" s="8"/>
      <c r="KBP4" s="8"/>
      <c r="KBQ4" s="8"/>
      <c r="KBR4" s="8"/>
      <c r="KBS4" s="8"/>
      <c r="KBT4" s="8"/>
      <c r="KBU4" s="8"/>
      <c r="KBV4" s="8"/>
      <c r="KBW4" s="8"/>
      <c r="KBX4" s="8"/>
      <c r="KBY4" s="8"/>
      <c r="KBZ4" s="8"/>
      <c r="KCA4" s="8"/>
      <c r="KCB4" s="8"/>
      <c r="KCC4" s="8"/>
      <c r="KCD4" s="8"/>
      <c r="KCE4" s="8"/>
      <c r="KCF4" s="8"/>
      <c r="KCG4" s="8"/>
      <c r="KCH4" s="8"/>
      <c r="KCI4" s="8"/>
      <c r="KCJ4" s="8"/>
      <c r="KCK4" s="8"/>
      <c r="KCL4" s="8"/>
      <c r="KCM4" s="8"/>
      <c r="KCN4" s="8"/>
      <c r="KCO4" s="8"/>
      <c r="KCP4" s="8"/>
      <c r="KCQ4" s="8"/>
      <c r="KCR4" s="8"/>
      <c r="KCS4" s="8"/>
      <c r="KCT4" s="8"/>
      <c r="KCU4" s="8"/>
      <c r="KCV4" s="8"/>
      <c r="KCW4" s="8"/>
      <c r="KCX4" s="8"/>
      <c r="KCY4" s="8"/>
      <c r="KCZ4" s="8"/>
      <c r="KDA4" s="8"/>
      <c r="KDB4" s="8"/>
      <c r="KDC4" s="8"/>
      <c r="KDD4" s="8"/>
      <c r="KDE4" s="8"/>
      <c r="KDF4" s="8"/>
      <c r="KDG4" s="8"/>
      <c r="KDH4" s="8"/>
      <c r="KDI4" s="8"/>
      <c r="KDJ4" s="8"/>
      <c r="KDK4" s="8"/>
      <c r="KDL4" s="8"/>
      <c r="KDM4" s="8"/>
      <c r="KDN4" s="8"/>
      <c r="KDO4" s="8"/>
      <c r="KDP4" s="8"/>
      <c r="KDQ4" s="8"/>
      <c r="KDR4" s="8"/>
      <c r="KDS4" s="8"/>
      <c r="KDT4" s="8"/>
      <c r="KDU4" s="8"/>
      <c r="KDV4" s="8"/>
      <c r="KDW4" s="8"/>
      <c r="KDX4" s="8"/>
      <c r="KDY4" s="8"/>
      <c r="KDZ4" s="8"/>
      <c r="KEA4" s="8"/>
      <c r="KEB4" s="8"/>
      <c r="KEC4" s="8"/>
      <c r="KED4" s="8"/>
      <c r="KEE4" s="8"/>
      <c r="KEF4" s="8"/>
      <c r="KEG4" s="8"/>
      <c r="KEH4" s="8"/>
      <c r="KEI4" s="8"/>
      <c r="KEJ4" s="8"/>
      <c r="KEK4" s="8"/>
      <c r="KEL4" s="8"/>
      <c r="KEM4" s="8"/>
      <c r="KEN4" s="8"/>
      <c r="KEO4" s="8"/>
      <c r="KEP4" s="8"/>
      <c r="KEQ4" s="8"/>
      <c r="KER4" s="8"/>
      <c r="KES4" s="8"/>
      <c r="KET4" s="8"/>
      <c r="KEU4" s="8"/>
      <c r="KEV4" s="8"/>
      <c r="KEW4" s="8"/>
      <c r="KEX4" s="8"/>
      <c r="KEY4" s="8"/>
      <c r="KEZ4" s="8"/>
      <c r="KFA4" s="8"/>
      <c r="KFB4" s="8"/>
      <c r="KFC4" s="8"/>
      <c r="KFD4" s="8"/>
      <c r="KFE4" s="8"/>
      <c r="KFF4" s="8"/>
      <c r="KFG4" s="8"/>
      <c r="KFH4" s="8"/>
      <c r="KFI4" s="8"/>
      <c r="KFJ4" s="8"/>
      <c r="KFK4" s="8"/>
      <c r="KFL4" s="8"/>
      <c r="KFM4" s="8"/>
      <c r="KFN4" s="8"/>
      <c r="KFO4" s="8"/>
      <c r="KFP4" s="8"/>
      <c r="KFQ4" s="8"/>
      <c r="KFR4" s="8"/>
      <c r="KFS4" s="8"/>
      <c r="KFT4" s="8"/>
      <c r="KFU4" s="8"/>
      <c r="KFV4" s="8"/>
      <c r="KFW4" s="8"/>
      <c r="KFX4" s="8"/>
      <c r="KFY4" s="8"/>
      <c r="KFZ4" s="8"/>
      <c r="KGA4" s="8"/>
      <c r="KGB4" s="8"/>
      <c r="KGC4" s="8"/>
      <c r="KGD4" s="8"/>
      <c r="KGE4" s="8"/>
      <c r="KGF4" s="8"/>
      <c r="KGG4" s="8"/>
      <c r="KGH4" s="8"/>
      <c r="KGI4" s="8"/>
      <c r="KGJ4" s="8"/>
      <c r="KGK4" s="8"/>
      <c r="KGL4" s="8"/>
      <c r="KGM4" s="8"/>
      <c r="KGN4" s="8"/>
      <c r="KGO4" s="8"/>
      <c r="KGP4" s="8"/>
      <c r="KGQ4" s="8"/>
      <c r="KGR4" s="8"/>
      <c r="KGS4" s="8"/>
      <c r="KGT4" s="8"/>
      <c r="KGU4" s="8"/>
      <c r="KGV4" s="8"/>
      <c r="KGW4" s="8"/>
      <c r="KGX4" s="8"/>
      <c r="KGY4" s="8"/>
      <c r="KGZ4" s="8"/>
      <c r="KHA4" s="8"/>
      <c r="KHB4" s="8"/>
      <c r="KHC4" s="8"/>
      <c r="KHD4" s="8"/>
      <c r="KHE4" s="8"/>
      <c r="KHF4" s="8"/>
      <c r="KHG4" s="8"/>
      <c r="KHH4" s="8"/>
      <c r="KHI4" s="8"/>
      <c r="KHJ4" s="8"/>
      <c r="KHK4" s="8"/>
      <c r="KHL4" s="8"/>
      <c r="KHM4" s="8"/>
      <c r="KHN4" s="8"/>
      <c r="KHO4" s="8"/>
      <c r="KHP4" s="8"/>
      <c r="KHQ4" s="8"/>
      <c r="KHR4" s="8"/>
      <c r="KHS4" s="8"/>
      <c r="KHT4" s="8"/>
      <c r="KHU4" s="8"/>
      <c r="KHV4" s="8"/>
      <c r="KHW4" s="8"/>
      <c r="KHX4" s="8"/>
      <c r="KHY4" s="8"/>
      <c r="KHZ4" s="8"/>
      <c r="KIA4" s="8"/>
      <c r="KIB4" s="8"/>
      <c r="KIC4" s="8"/>
      <c r="KID4" s="8"/>
      <c r="KIE4" s="8"/>
      <c r="KIF4" s="8"/>
      <c r="KIG4" s="8"/>
      <c r="KIH4" s="8"/>
      <c r="KII4" s="8"/>
      <c r="KIJ4" s="8"/>
      <c r="KIK4" s="8"/>
      <c r="KIL4" s="8"/>
      <c r="KIM4" s="8"/>
      <c r="KIN4" s="8"/>
      <c r="KIO4" s="8"/>
      <c r="KIP4" s="8"/>
      <c r="KIQ4" s="8"/>
      <c r="KIR4" s="8"/>
      <c r="KIS4" s="8"/>
      <c r="KIT4" s="8"/>
      <c r="KIU4" s="8"/>
      <c r="KIV4" s="8"/>
      <c r="KIW4" s="8"/>
      <c r="KIX4" s="8"/>
      <c r="KIY4" s="8"/>
      <c r="KIZ4" s="8"/>
      <c r="KJA4" s="8"/>
      <c r="KJB4" s="8"/>
      <c r="KJC4" s="8"/>
      <c r="KJD4" s="8"/>
      <c r="KJE4" s="8"/>
      <c r="KJF4" s="8"/>
      <c r="KJG4" s="8"/>
      <c r="KJH4" s="8"/>
      <c r="KJI4" s="8"/>
      <c r="KJJ4" s="8"/>
      <c r="KJK4" s="8"/>
      <c r="KJL4" s="8"/>
      <c r="KJM4" s="8"/>
      <c r="KJN4" s="8"/>
      <c r="KJO4" s="8"/>
      <c r="KJP4" s="8"/>
      <c r="KJQ4" s="8"/>
      <c r="KJR4" s="8"/>
      <c r="KJS4" s="8"/>
      <c r="KJT4" s="8"/>
      <c r="KJU4" s="8"/>
      <c r="KJV4" s="8"/>
      <c r="KJW4" s="8"/>
      <c r="KJX4" s="8"/>
      <c r="KJY4" s="8"/>
      <c r="KJZ4" s="8"/>
      <c r="KKA4" s="8"/>
      <c r="KKB4" s="8"/>
      <c r="KKC4" s="8"/>
      <c r="KKD4" s="8"/>
      <c r="KKE4" s="8"/>
      <c r="KKF4" s="8"/>
      <c r="KKG4" s="8"/>
      <c r="KKH4" s="8"/>
      <c r="KKI4" s="8"/>
      <c r="KKJ4" s="8"/>
      <c r="KKK4" s="8"/>
      <c r="KKL4" s="8"/>
      <c r="KKM4" s="8"/>
      <c r="KKN4" s="8"/>
      <c r="KKO4" s="8"/>
      <c r="KKP4" s="8"/>
      <c r="KKQ4" s="8"/>
      <c r="KKR4" s="8"/>
      <c r="KKS4" s="8"/>
      <c r="KKT4" s="8"/>
      <c r="KKU4" s="8"/>
      <c r="KKV4" s="8"/>
      <c r="KKW4" s="8"/>
      <c r="KKX4" s="8"/>
      <c r="KKY4" s="8"/>
      <c r="KKZ4" s="8"/>
      <c r="KLA4" s="8"/>
      <c r="KLB4" s="8"/>
      <c r="KLC4" s="8"/>
      <c r="KLD4" s="8"/>
      <c r="KLE4" s="8"/>
      <c r="KLF4" s="8"/>
      <c r="KLG4" s="8"/>
      <c r="KLH4" s="8"/>
      <c r="KLI4" s="8"/>
      <c r="KLJ4" s="8"/>
      <c r="KLK4" s="8"/>
      <c r="KLL4" s="8"/>
      <c r="KLM4" s="8"/>
      <c r="KLN4" s="8"/>
      <c r="KLO4" s="8"/>
      <c r="KLP4" s="8"/>
      <c r="KLQ4" s="8"/>
      <c r="KLR4" s="8"/>
      <c r="KLS4" s="8"/>
      <c r="KLT4" s="8"/>
      <c r="KLU4" s="8"/>
      <c r="KLV4" s="8"/>
      <c r="KLW4" s="8"/>
      <c r="KLX4" s="8"/>
      <c r="KLY4" s="8"/>
      <c r="KLZ4" s="8"/>
      <c r="KMA4" s="8"/>
      <c r="KMB4" s="8"/>
      <c r="KMC4" s="8"/>
      <c r="KMD4" s="8"/>
      <c r="KME4" s="8"/>
      <c r="KMF4" s="8"/>
      <c r="KMG4" s="8"/>
      <c r="KMH4" s="8"/>
      <c r="KMI4" s="8"/>
      <c r="KMJ4" s="8"/>
      <c r="KMK4" s="8"/>
      <c r="KML4" s="8"/>
      <c r="KMM4" s="8"/>
      <c r="KMN4" s="8"/>
      <c r="KMO4" s="8"/>
      <c r="KMP4" s="8"/>
      <c r="KMQ4" s="8"/>
      <c r="KMR4" s="8"/>
      <c r="KMS4" s="8"/>
      <c r="KMT4" s="8"/>
      <c r="KMU4" s="8"/>
      <c r="KMV4" s="8"/>
      <c r="KMW4" s="8"/>
      <c r="KMX4" s="8"/>
      <c r="KMY4" s="8"/>
      <c r="KMZ4" s="8"/>
      <c r="KNA4" s="8"/>
      <c r="KNB4" s="8"/>
      <c r="KNC4" s="8"/>
      <c r="KND4" s="8"/>
      <c r="KNE4" s="8"/>
      <c r="KNF4" s="8"/>
      <c r="KNG4" s="8"/>
      <c r="KNH4" s="8"/>
      <c r="KNI4" s="8"/>
      <c r="KNJ4" s="8"/>
      <c r="KNK4" s="8"/>
      <c r="KNL4" s="8"/>
      <c r="KNM4" s="8"/>
      <c r="KNN4" s="8"/>
      <c r="KNO4" s="8"/>
      <c r="KNP4" s="8"/>
      <c r="KNQ4" s="8"/>
      <c r="KNR4" s="8"/>
      <c r="KNS4" s="8"/>
      <c r="KNT4" s="8"/>
      <c r="KNU4" s="8"/>
      <c r="KNV4" s="8"/>
      <c r="KNW4" s="8"/>
      <c r="KNX4" s="8"/>
      <c r="KNY4" s="8"/>
      <c r="KNZ4" s="8"/>
      <c r="KOA4" s="8"/>
      <c r="KOB4" s="8"/>
      <c r="KOC4" s="8"/>
      <c r="KOD4" s="8"/>
      <c r="KOE4" s="8"/>
      <c r="KOF4" s="8"/>
      <c r="KOG4" s="8"/>
      <c r="KOH4" s="8"/>
      <c r="KOI4" s="8"/>
      <c r="KOJ4" s="8"/>
      <c r="KOK4" s="8"/>
      <c r="KOL4" s="8"/>
      <c r="KOM4" s="8"/>
      <c r="KON4" s="8"/>
      <c r="KOO4" s="8"/>
      <c r="KOP4" s="8"/>
      <c r="KOQ4" s="8"/>
      <c r="KOR4" s="8"/>
      <c r="KOS4" s="8"/>
      <c r="KOT4" s="8"/>
      <c r="KOU4" s="8"/>
      <c r="KOV4" s="8"/>
      <c r="KOW4" s="8"/>
      <c r="KOX4" s="8"/>
      <c r="KOY4" s="8"/>
      <c r="KOZ4" s="8"/>
      <c r="KPA4" s="8"/>
      <c r="KPB4" s="8"/>
      <c r="KPC4" s="8"/>
      <c r="KPD4" s="8"/>
      <c r="KPE4" s="8"/>
      <c r="KPF4" s="8"/>
      <c r="KPG4" s="8"/>
      <c r="KPH4" s="8"/>
      <c r="KPI4" s="8"/>
      <c r="KPJ4" s="8"/>
      <c r="KPK4" s="8"/>
      <c r="KPL4" s="8"/>
      <c r="KPM4" s="8"/>
      <c r="KPN4" s="8"/>
      <c r="KPO4" s="8"/>
      <c r="KPP4" s="8"/>
      <c r="KPQ4" s="8"/>
      <c r="KPR4" s="8"/>
      <c r="KPS4" s="8"/>
      <c r="KPT4" s="8"/>
      <c r="KPU4" s="8"/>
      <c r="KPV4" s="8"/>
      <c r="KPW4" s="8"/>
      <c r="KPX4" s="8"/>
      <c r="KPY4" s="8"/>
      <c r="KPZ4" s="8"/>
      <c r="KQA4" s="8"/>
      <c r="KQB4" s="8"/>
      <c r="KQC4" s="8"/>
      <c r="KQD4" s="8"/>
      <c r="KQE4" s="8"/>
      <c r="KQF4" s="8"/>
      <c r="KQG4" s="8"/>
      <c r="KQH4" s="8"/>
      <c r="KQI4" s="8"/>
      <c r="KQJ4" s="8"/>
      <c r="KQK4" s="8"/>
      <c r="KQL4" s="8"/>
      <c r="KQM4" s="8"/>
      <c r="KQN4" s="8"/>
      <c r="KQO4" s="8"/>
      <c r="KQP4" s="8"/>
      <c r="KQQ4" s="8"/>
      <c r="KQR4" s="8"/>
      <c r="KQS4" s="8"/>
      <c r="KQT4" s="8"/>
      <c r="KQU4" s="8"/>
      <c r="KQV4" s="8"/>
      <c r="KQW4" s="8"/>
      <c r="KQX4" s="8"/>
      <c r="KQY4" s="8"/>
      <c r="KQZ4" s="8"/>
      <c r="KRA4" s="8"/>
      <c r="KRB4" s="8"/>
      <c r="KRC4" s="8"/>
      <c r="KRD4" s="8"/>
      <c r="KRE4" s="8"/>
      <c r="KRF4" s="8"/>
      <c r="KRG4" s="8"/>
      <c r="KRH4" s="8"/>
      <c r="KRI4" s="8"/>
      <c r="KRJ4" s="8"/>
      <c r="KRK4" s="8"/>
      <c r="KRL4" s="8"/>
      <c r="KRM4" s="8"/>
      <c r="KRN4" s="8"/>
      <c r="KRO4" s="8"/>
      <c r="KRP4" s="8"/>
      <c r="KRQ4" s="8"/>
      <c r="KRR4" s="8"/>
      <c r="KRS4" s="8"/>
      <c r="KRT4" s="8"/>
      <c r="KRU4" s="8"/>
      <c r="KRV4" s="8"/>
      <c r="KRW4" s="8"/>
      <c r="KRX4" s="8"/>
      <c r="KRY4" s="8"/>
      <c r="KRZ4" s="8"/>
      <c r="KSA4" s="8"/>
      <c r="KSB4" s="8"/>
      <c r="KSC4" s="8"/>
      <c r="KSD4" s="8"/>
      <c r="KSE4" s="8"/>
      <c r="KSF4" s="8"/>
      <c r="KSG4" s="8"/>
      <c r="KSH4" s="8"/>
      <c r="KSI4" s="8"/>
      <c r="KSJ4" s="8"/>
      <c r="KSK4" s="8"/>
      <c r="KSL4" s="8"/>
      <c r="KSM4" s="8"/>
      <c r="KSN4" s="8"/>
      <c r="KSO4" s="8"/>
      <c r="KSP4" s="8"/>
      <c r="KSQ4" s="8"/>
      <c r="KSR4" s="8"/>
      <c r="KSS4" s="8"/>
      <c r="KST4" s="8"/>
      <c r="KSU4" s="8"/>
      <c r="KSV4" s="8"/>
      <c r="KSW4" s="8"/>
      <c r="KSX4" s="8"/>
      <c r="KSY4" s="8"/>
      <c r="KSZ4" s="8"/>
      <c r="KTA4" s="8"/>
      <c r="KTB4" s="8"/>
      <c r="KTC4" s="8"/>
      <c r="KTD4" s="8"/>
      <c r="KTE4" s="8"/>
      <c r="KTF4" s="8"/>
      <c r="KTG4" s="8"/>
      <c r="KTH4" s="8"/>
      <c r="KTI4" s="8"/>
      <c r="KTJ4" s="8"/>
      <c r="KTK4" s="8"/>
      <c r="KTL4" s="8"/>
      <c r="KTM4" s="8"/>
      <c r="KTN4" s="8"/>
      <c r="KTO4" s="8"/>
      <c r="KTP4" s="8"/>
      <c r="KTQ4" s="8"/>
      <c r="KTR4" s="8"/>
      <c r="KTS4" s="8"/>
      <c r="KTT4" s="8"/>
      <c r="KTU4" s="8"/>
      <c r="KTV4" s="8"/>
      <c r="KTW4" s="8"/>
      <c r="KTX4" s="8"/>
      <c r="KTY4" s="8"/>
      <c r="KTZ4" s="8"/>
      <c r="KUA4" s="8"/>
      <c r="KUB4" s="8"/>
      <c r="KUC4" s="8"/>
      <c r="KUD4" s="8"/>
      <c r="KUE4" s="8"/>
      <c r="KUF4" s="8"/>
      <c r="KUG4" s="8"/>
      <c r="KUH4" s="8"/>
      <c r="KUI4" s="8"/>
      <c r="KUJ4" s="8"/>
      <c r="KUK4" s="8"/>
      <c r="KUL4" s="8"/>
      <c r="KUM4" s="8"/>
      <c r="KUN4" s="8"/>
      <c r="KUO4" s="8"/>
      <c r="KUP4" s="8"/>
      <c r="KUQ4" s="8"/>
      <c r="KUR4" s="8"/>
      <c r="KUS4" s="8"/>
      <c r="KUT4" s="8"/>
      <c r="KUU4" s="8"/>
      <c r="KUV4" s="8"/>
      <c r="KUW4" s="8"/>
      <c r="KUX4" s="8"/>
      <c r="KUY4" s="8"/>
      <c r="KUZ4" s="8"/>
      <c r="KVA4" s="8"/>
      <c r="KVB4" s="8"/>
      <c r="KVC4" s="8"/>
      <c r="KVD4" s="8"/>
      <c r="KVE4" s="8"/>
      <c r="KVF4" s="8"/>
      <c r="KVG4" s="8"/>
      <c r="KVH4" s="8"/>
      <c r="KVI4" s="8"/>
      <c r="KVJ4" s="8"/>
      <c r="KVK4" s="8"/>
      <c r="KVL4" s="8"/>
      <c r="KVM4" s="8"/>
      <c r="KVN4" s="8"/>
      <c r="KVO4" s="8"/>
      <c r="KVP4" s="8"/>
      <c r="KVQ4" s="8"/>
      <c r="KVR4" s="8"/>
      <c r="KVS4" s="8"/>
      <c r="KVT4" s="8"/>
      <c r="KVU4" s="8"/>
      <c r="KVV4" s="8"/>
      <c r="KVW4" s="8"/>
      <c r="KVX4" s="8"/>
      <c r="KVY4" s="8"/>
      <c r="KVZ4" s="8"/>
      <c r="KWA4" s="8"/>
      <c r="KWB4" s="8"/>
      <c r="KWC4" s="8"/>
      <c r="KWD4" s="8"/>
      <c r="KWE4" s="8"/>
      <c r="KWF4" s="8"/>
      <c r="KWG4" s="8"/>
      <c r="KWH4" s="8"/>
      <c r="KWI4" s="8"/>
      <c r="KWJ4" s="8"/>
      <c r="KWK4" s="8"/>
      <c r="KWL4" s="8"/>
      <c r="KWM4" s="8"/>
      <c r="KWN4" s="8"/>
      <c r="KWO4" s="8"/>
      <c r="KWP4" s="8"/>
      <c r="KWQ4" s="8"/>
      <c r="KWR4" s="8"/>
      <c r="KWS4" s="8"/>
      <c r="KWT4" s="8"/>
      <c r="KWU4" s="8"/>
      <c r="KWV4" s="8"/>
      <c r="KWW4" s="8"/>
      <c r="KWX4" s="8"/>
      <c r="KWY4" s="8"/>
      <c r="KWZ4" s="8"/>
      <c r="KXA4" s="8"/>
      <c r="KXB4" s="8"/>
      <c r="KXC4" s="8"/>
      <c r="KXD4" s="8"/>
      <c r="KXE4" s="8"/>
      <c r="KXF4" s="8"/>
      <c r="KXG4" s="8"/>
      <c r="KXH4" s="8"/>
      <c r="KXI4" s="8"/>
      <c r="KXJ4" s="8"/>
      <c r="KXK4" s="8"/>
      <c r="KXL4" s="8"/>
      <c r="KXM4" s="8"/>
      <c r="KXN4" s="8"/>
      <c r="KXO4" s="8"/>
      <c r="KXP4" s="8"/>
      <c r="KXQ4" s="8"/>
      <c r="KXR4" s="8"/>
      <c r="KXS4" s="8"/>
      <c r="KXT4" s="8"/>
      <c r="KXU4" s="8"/>
      <c r="KXV4" s="8"/>
      <c r="KXW4" s="8"/>
      <c r="KXX4" s="8"/>
      <c r="KXY4" s="8"/>
      <c r="KXZ4" s="8"/>
      <c r="KYA4" s="8"/>
      <c r="KYB4" s="8"/>
      <c r="KYC4" s="8"/>
      <c r="KYD4" s="8"/>
      <c r="KYE4" s="8"/>
      <c r="KYF4" s="8"/>
      <c r="KYG4" s="8"/>
      <c r="KYH4" s="8"/>
      <c r="KYI4" s="8"/>
      <c r="KYJ4" s="8"/>
      <c r="KYK4" s="8"/>
      <c r="KYL4" s="8"/>
      <c r="KYM4" s="8"/>
      <c r="KYN4" s="8"/>
      <c r="KYO4" s="8"/>
      <c r="KYP4" s="8"/>
      <c r="KYQ4" s="8"/>
      <c r="KYR4" s="8"/>
      <c r="KYS4" s="8"/>
      <c r="KYT4" s="8"/>
      <c r="KYU4" s="8"/>
      <c r="KYV4" s="8"/>
      <c r="KYW4" s="8"/>
      <c r="KYX4" s="8"/>
      <c r="KYY4" s="8"/>
      <c r="KYZ4" s="8"/>
      <c r="KZA4" s="8"/>
      <c r="KZB4" s="8"/>
      <c r="KZC4" s="8"/>
      <c r="KZD4" s="8"/>
      <c r="KZE4" s="8"/>
      <c r="KZF4" s="8"/>
      <c r="KZG4" s="8"/>
      <c r="KZH4" s="8"/>
      <c r="KZI4" s="8"/>
      <c r="KZJ4" s="8"/>
      <c r="KZK4" s="8"/>
      <c r="KZL4" s="8"/>
      <c r="KZM4" s="8"/>
      <c r="KZN4" s="8"/>
      <c r="KZO4" s="8"/>
      <c r="KZP4" s="8"/>
      <c r="KZQ4" s="8"/>
      <c r="KZR4" s="8"/>
      <c r="KZS4" s="8"/>
      <c r="KZT4" s="8"/>
      <c r="KZU4" s="8"/>
      <c r="KZV4" s="8"/>
      <c r="KZW4" s="8"/>
      <c r="KZX4" s="8"/>
      <c r="KZY4" s="8"/>
      <c r="KZZ4" s="8"/>
      <c r="LAA4" s="8"/>
      <c r="LAB4" s="8"/>
      <c r="LAC4" s="8"/>
      <c r="LAD4" s="8"/>
      <c r="LAE4" s="8"/>
      <c r="LAF4" s="8"/>
      <c r="LAG4" s="8"/>
      <c r="LAH4" s="8"/>
      <c r="LAI4" s="8"/>
      <c r="LAJ4" s="8"/>
      <c r="LAK4" s="8"/>
      <c r="LAL4" s="8"/>
      <c r="LAM4" s="8"/>
      <c r="LAN4" s="8"/>
      <c r="LAO4" s="8"/>
      <c r="LAP4" s="8"/>
      <c r="LAQ4" s="8"/>
      <c r="LAR4" s="8"/>
      <c r="LAS4" s="8"/>
      <c r="LAT4" s="8"/>
      <c r="LAU4" s="8"/>
      <c r="LAV4" s="8"/>
      <c r="LAW4" s="8"/>
      <c r="LAX4" s="8"/>
      <c r="LAY4" s="8"/>
      <c r="LAZ4" s="8"/>
      <c r="LBA4" s="8"/>
      <c r="LBB4" s="8"/>
      <c r="LBC4" s="8"/>
      <c r="LBD4" s="8"/>
      <c r="LBE4" s="8"/>
      <c r="LBF4" s="8"/>
      <c r="LBG4" s="8"/>
      <c r="LBH4" s="8"/>
      <c r="LBI4" s="8"/>
      <c r="LBJ4" s="8"/>
      <c r="LBK4" s="8"/>
      <c r="LBL4" s="8"/>
      <c r="LBM4" s="8"/>
      <c r="LBN4" s="8"/>
      <c r="LBO4" s="8"/>
      <c r="LBP4" s="8"/>
      <c r="LBQ4" s="8"/>
      <c r="LBR4" s="8"/>
      <c r="LBS4" s="8"/>
      <c r="LBT4" s="8"/>
      <c r="LBU4" s="8"/>
      <c r="LBV4" s="8"/>
      <c r="LBW4" s="8"/>
      <c r="LBX4" s="8"/>
      <c r="LBY4" s="8"/>
      <c r="LBZ4" s="8"/>
      <c r="LCA4" s="8"/>
      <c r="LCB4" s="8"/>
      <c r="LCC4" s="8"/>
      <c r="LCD4" s="8"/>
      <c r="LCE4" s="8"/>
      <c r="LCF4" s="8"/>
      <c r="LCG4" s="8"/>
      <c r="LCH4" s="8"/>
      <c r="LCI4" s="8"/>
      <c r="LCJ4" s="8"/>
      <c r="LCK4" s="8"/>
      <c r="LCL4" s="8"/>
      <c r="LCM4" s="8"/>
      <c r="LCN4" s="8"/>
      <c r="LCO4" s="8"/>
      <c r="LCP4" s="8"/>
      <c r="LCQ4" s="8"/>
      <c r="LCR4" s="8"/>
      <c r="LCS4" s="8"/>
      <c r="LCT4" s="8"/>
      <c r="LCU4" s="8"/>
      <c r="LCV4" s="8"/>
      <c r="LCW4" s="8"/>
      <c r="LCX4" s="8"/>
      <c r="LCY4" s="8"/>
      <c r="LCZ4" s="8"/>
      <c r="LDA4" s="8"/>
      <c r="LDB4" s="8"/>
      <c r="LDC4" s="8"/>
      <c r="LDD4" s="8"/>
      <c r="LDE4" s="8"/>
      <c r="LDF4" s="8"/>
      <c r="LDG4" s="8"/>
      <c r="LDH4" s="8"/>
      <c r="LDI4" s="8"/>
      <c r="LDJ4" s="8"/>
      <c r="LDK4" s="8"/>
      <c r="LDL4" s="8"/>
      <c r="LDM4" s="8"/>
      <c r="LDN4" s="8"/>
      <c r="LDO4" s="8"/>
      <c r="LDP4" s="8"/>
      <c r="LDQ4" s="8"/>
      <c r="LDR4" s="8"/>
      <c r="LDS4" s="8"/>
      <c r="LDT4" s="8"/>
      <c r="LDU4" s="8"/>
      <c r="LDV4" s="8"/>
      <c r="LDW4" s="8"/>
      <c r="LDX4" s="8"/>
      <c r="LDY4" s="8"/>
      <c r="LDZ4" s="8"/>
      <c r="LEA4" s="8"/>
      <c r="LEB4" s="8"/>
      <c r="LEC4" s="8"/>
      <c r="LED4" s="8"/>
      <c r="LEE4" s="8"/>
      <c r="LEF4" s="8"/>
      <c r="LEG4" s="8"/>
      <c r="LEH4" s="8"/>
      <c r="LEI4" s="8"/>
      <c r="LEJ4" s="8"/>
      <c r="LEK4" s="8"/>
      <c r="LEL4" s="8"/>
      <c r="LEM4" s="8"/>
      <c r="LEN4" s="8"/>
      <c r="LEO4" s="8"/>
      <c r="LEP4" s="8"/>
      <c r="LEQ4" s="8"/>
      <c r="LER4" s="8"/>
      <c r="LES4" s="8"/>
      <c r="LET4" s="8"/>
      <c r="LEU4" s="8"/>
      <c r="LEV4" s="8"/>
      <c r="LEW4" s="8"/>
      <c r="LEX4" s="8"/>
      <c r="LEY4" s="8"/>
      <c r="LEZ4" s="8"/>
      <c r="LFA4" s="8"/>
      <c r="LFB4" s="8"/>
      <c r="LFC4" s="8"/>
      <c r="LFD4" s="8"/>
      <c r="LFE4" s="8"/>
      <c r="LFF4" s="8"/>
      <c r="LFG4" s="8"/>
      <c r="LFH4" s="8"/>
      <c r="LFI4" s="8"/>
      <c r="LFJ4" s="8"/>
      <c r="LFK4" s="8"/>
      <c r="LFL4" s="8"/>
      <c r="LFM4" s="8"/>
      <c r="LFN4" s="8"/>
      <c r="LFO4" s="8"/>
      <c r="LFP4" s="8"/>
      <c r="LFQ4" s="8"/>
      <c r="LFR4" s="8"/>
      <c r="LFS4" s="8"/>
      <c r="LFT4" s="8"/>
      <c r="LFU4" s="8"/>
      <c r="LFV4" s="8"/>
      <c r="LFW4" s="8"/>
      <c r="LFX4" s="8"/>
      <c r="LFY4" s="8"/>
      <c r="LFZ4" s="8"/>
      <c r="LGA4" s="8"/>
      <c r="LGB4" s="8"/>
      <c r="LGC4" s="8"/>
      <c r="LGD4" s="8"/>
      <c r="LGE4" s="8"/>
      <c r="LGF4" s="8"/>
      <c r="LGG4" s="8"/>
      <c r="LGH4" s="8"/>
      <c r="LGI4" s="8"/>
      <c r="LGJ4" s="8"/>
      <c r="LGK4" s="8"/>
      <c r="LGL4" s="8"/>
      <c r="LGM4" s="8"/>
      <c r="LGN4" s="8"/>
      <c r="LGO4" s="8"/>
      <c r="LGP4" s="8"/>
      <c r="LGQ4" s="8"/>
      <c r="LGR4" s="8"/>
      <c r="LGS4" s="8"/>
      <c r="LGT4" s="8"/>
      <c r="LGU4" s="8"/>
      <c r="LGV4" s="8"/>
      <c r="LGW4" s="8"/>
      <c r="LGX4" s="8"/>
      <c r="LGY4" s="8"/>
      <c r="LGZ4" s="8"/>
      <c r="LHA4" s="8"/>
      <c r="LHB4" s="8"/>
      <c r="LHC4" s="8"/>
      <c r="LHD4" s="8"/>
      <c r="LHE4" s="8"/>
      <c r="LHF4" s="8"/>
      <c r="LHG4" s="8"/>
      <c r="LHH4" s="8"/>
      <c r="LHI4" s="8"/>
      <c r="LHJ4" s="8"/>
      <c r="LHK4" s="8"/>
      <c r="LHL4" s="8"/>
      <c r="LHM4" s="8"/>
      <c r="LHN4" s="8"/>
      <c r="LHO4" s="8"/>
      <c r="LHP4" s="8"/>
      <c r="LHQ4" s="8"/>
      <c r="LHR4" s="8"/>
      <c r="LHS4" s="8"/>
      <c r="LHT4" s="8"/>
      <c r="LHU4" s="8"/>
      <c r="LHV4" s="8"/>
      <c r="LHW4" s="8"/>
      <c r="LHX4" s="8"/>
      <c r="LHY4" s="8"/>
      <c r="LHZ4" s="8"/>
      <c r="LIA4" s="8"/>
      <c r="LIB4" s="8"/>
      <c r="LIC4" s="8"/>
      <c r="LID4" s="8"/>
      <c r="LIE4" s="8"/>
      <c r="LIF4" s="8"/>
      <c r="LIG4" s="8"/>
      <c r="LIH4" s="8"/>
      <c r="LII4" s="8"/>
      <c r="LIJ4" s="8"/>
      <c r="LIK4" s="8"/>
      <c r="LIL4" s="8"/>
      <c r="LIM4" s="8"/>
      <c r="LIN4" s="8"/>
      <c r="LIO4" s="8"/>
      <c r="LIP4" s="8"/>
      <c r="LIQ4" s="8"/>
      <c r="LIR4" s="8"/>
      <c r="LIS4" s="8"/>
      <c r="LIT4" s="8"/>
      <c r="LIU4" s="8"/>
      <c r="LIV4" s="8"/>
      <c r="LIW4" s="8"/>
      <c r="LIX4" s="8"/>
      <c r="LIY4" s="8"/>
      <c r="LIZ4" s="8"/>
      <c r="LJA4" s="8"/>
      <c r="LJB4" s="8"/>
      <c r="LJC4" s="8"/>
      <c r="LJD4" s="8"/>
      <c r="LJE4" s="8"/>
      <c r="LJF4" s="8"/>
      <c r="LJG4" s="8"/>
      <c r="LJH4" s="8"/>
      <c r="LJI4" s="8"/>
      <c r="LJJ4" s="8"/>
      <c r="LJK4" s="8"/>
      <c r="LJL4" s="8"/>
      <c r="LJM4" s="8"/>
      <c r="LJN4" s="8"/>
      <c r="LJO4" s="8"/>
      <c r="LJP4" s="8"/>
      <c r="LJQ4" s="8"/>
      <c r="LJR4" s="8"/>
      <c r="LJS4" s="8"/>
      <c r="LJT4" s="8"/>
      <c r="LJU4" s="8"/>
      <c r="LJV4" s="8"/>
      <c r="LJW4" s="8"/>
      <c r="LJX4" s="8"/>
      <c r="LJY4" s="8"/>
      <c r="LJZ4" s="8"/>
      <c r="LKA4" s="8"/>
      <c r="LKB4" s="8"/>
      <c r="LKC4" s="8"/>
      <c r="LKD4" s="8"/>
      <c r="LKE4" s="8"/>
      <c r="LKF4" s="8"/>
      <c r="LKG4" s="8"/>
      <c r="LKH4" s="8"/>
      <c r="LKI4" s="8"/>
      <c r="LKJ4" s="8"/>
      <c r="LKK4" s="8"/>
      <c r="LKL4" s="8"/>
      <c r="LKM4" s="8"/>
      <c r="LKN4" s="8"/>
      <c r="LKO4" s="8"/>
      <c r="LKP4" s="8"/>
      <c r="LKQ4" s="8"/>
      <c r="LKR4" s="8"/>
      <c r="LKS4" s="8"/>
      <c r="LKT4" s="8"/>
      <c r="LKU4" s="8"/>
      <c r="LKV4" s="8"/>
      <c r="LKW4" s="8"/>
      <c r="LKX4" s="8"/>
      <c r="LKY4" s="8"/>
      <c r="LKZ4" s="8"/>
      <c r="LLA4" s="8"/>
      <c r="LLB4" s="8"/>
      <c r="LLC4" s="8"/>
      <c r="LLD4" s="8"/>
      <c r="LLE4" s="8"/>
      <c r="LLF4" s="8"/>
      <c r="LLG4" s="8"/>
      <c r="LLH4" s="8"/>
      <c r="LLI4" s="8"/>
      <c r="LLJ4" s="8"/>
      <c r="LLK4" s="8"/>
      <c r="LLL4" s="8"/>
      <c r="LLM4" s="8"/>
      <c r="LLN4" s="8"/>
      <c r="LLO4" s="8"/>
      <c r="LLP4" s="8"/>
      <c r="LLQ4" s="8"/>
      <c r="LLR4" s="8"/>
      <c r="LLS4" s="8"/>
      <c r="LLT4" s="8"/>
      <c r="LLU4" s="8"/>
      <c r="LLV4" s="8"/>
      <c r="LLW4" s="8"/>
      <c r="LLX4" s="8"/>
      <c r="LLY4" s="8"/>
      <c r="LLZ4" s="8"/>
      <c r="LMA4" s="8"/>
      <c r="LMB4" s="8"/>
      <c r="LMC4" s="8"/>
      <c r="LMD4" s="8"/>
      <c r="LME4" s="8"/>
      <c r="LMF4" s="8"/>
      <c r="LMG4" s="8"/>
      <c r="LMH4" s="8"/>
      <c r="LMI4" s="8"/>
      <c r="LMJ4" s="8"/>
      <c r="LMK4" s="8"/>
      <c r="LML4" s="8"/>
      <c r="LMM4" s="8"/>
      <c r="LMN4" s="8"/>
      <c r="LMO4" s="8"/>
      <c r="LMP4" s="8"/>
      <c r="LMQ4" s="8"/>
      <c r="LMR4" s="8"/>
      <c r="LMS4" s="8"/>
      <c r="LMT4" s="8"/>
      <c r="LMU4" s="8"/>
      <c r="LMV4" s="8"/>
      <c r="LMW4" s="8"/>
      <c r="LMX4" s="8"/>
      <c r="LMY4" s="8"/>
      <c r="LMZ4" s="8"/>
      <c r="LNA4" s="8"/>
      <c r="LNB4" s="8"/>
      <c r="LNC4" s="8"/>
      <c r="LND4" s="8"/>
      <c r="LNE4" s="8"/>
      <c r="LNF4" s="8"/>
      <c r="LNG4" s="8"/>
      <c r="LNH4" s="8"/>
      <c r="LNI4" s="8"/>
      <c r="LNJ4" s="8"/>
      <c r="LNK4" s="8"/>
      <c r="LNL4" s="8"/>
      <c r="LNM4" s="8"/>
      <c r="LNN4" s="8"/>
      <c r="LNO4" s="8"/>
      <c r="LNP4" s="8"/>
      <c r="LNQ4" s="8"/>
      <c r="LNR4" s="8"/>
      <c r="LNS4" s="8"/>
      <c r="LNT4" s="8"/>
      <c r="LNU4" s="8"/>
      <c r="LNV4" s="8"/>
      <c r="LNW4" s="8"/>
      <c r="LNX4" s="8"/>
      <c r="LNY4" s="8"/>
      <c r="LNZ4" s="8"/>
      <c r="LOA4" s="8"/>
      <c r="LOB4" s="8"/>
      <c r="LOC4" s="8"/>
      <c r="LOD4" s="8"/>
      <c r="LOE4" s="8"/>
      <c r="LOF4" s="8"/>
      <c r="LOG4" s="8"/>
      <c r="LOH4" s="8"/>
      <c r="LOI4" s="8"/>
      <c r="LOJ4" s="8"/>
      <c r="LOK4" s="8"/>
      <c r="LOL4" s="8"/>
      <c r="LOM4" s="8"/>
      <c r="LON4" s="8"/>
      <c r="LOO4" s="8"/>
      <c r="LOP4" s="8"/>
      <c r="LOQ4" s="8"/>
      <c r="LOR4" s="8"/>
      <c r="LOS4" s="8"/>
      <c r="LOT4" s="8"/>
      <c r="LOU4" s="8"/>
      <c r="LOV4" s="8"/>
      <c r="LOW4" s="8"/>
      <c r="LOX4" s="8"/>
      <c r="LOY4" s="8"/>
      <c r="LOZ4" s="8"/>
      <c r="LPA4" s="8"/>
      <c r="LPB4" s="8"/>
      <c r="LPC4" s="8"/>
      <c r="LPD4" s="8"/>
      <c r="LPE4" s="8"/>
      <c r="LPF4" s="8"/>
      <c r="LPG4" s="8"/>
      <c r="LPH4" s="8"/>
      <c r="LPI4" s="8"/>
      <c r="LPJ4" s="8"/>
      <c r="LPK4" s="8"/>
      <c r="LPL4" s="8"/>
      <c r="LPM4" s="8"/>
      <c r="LPN4" s="8"/>
      <c r="LPO4" s="8"/>
      <c r="LPP4" s="8"/>
      <c r="LPQ4" s="8"/>
      <c r="LPR4" s="8"/>
      <c r="LPS4" s="8"/>
      <c r="LPT4" s="8"/>
      <c r="LPU4" s="8"/>
      <c r="LPV4" s="8"/>
      <c r="LPW4" s="8"/>
      <c r="LPX4" s="8"/>
      <c r="LPY4" s="8"/>
      <c r="LPZ4" s="8"/>
      <c r="LQA4" s="8"/>
      <c r="LQB4" s="8"/>
      <c r="LQC4" s="8"/>
      <c r="LQD4" s="8"/>
      <c r="LQE4" s="8"/>
      <c r="LQF4" s="8"/>
      <c r="LQG4" s="8"/>
      <c r="LQH4" s="8"/>
      <c r="LQI4" s="8"/>
      <c r="LQJ4" s="8"/>
      <c r="LQK4" s="8"/>
      <c r="LQL4" s="8"/>
      <c r="LQM4" s="8"/>
      <c r="LQN4" s="8"/>
      <c r="LQO4" s="8"/>
      <c r="LQP4" s="8"/>
      <c r="LQQ4" s="8"/>
      <c r="LQR4" s="8"/>
      <c r="LQS4" s="8"/>
      <c r="LQT4" s="8"/>
      <c r="LQU4" s="8"/>
      <c r="LQV4" s="8"/>
      <c r="LQW4" s="8"/>
      <c r="LQX4" s="8"/>
      <c r="LQY4" s="8"/>
      <c r="LQZ4" s="8"/>
      <c r="LRA4" s="8"/>
      <c r="LRB4" s="8"/>
      <c r="LRC4" s="8"/>
      <c r="LRD4" s="8"/>
      <c r="LRE4" s="8"/>
      <c r="LRF4" s="8"/>
      <c r="LRG4" s="8"/>
      <c r="LRH4" s="8"/>
      <c r="LRI4" s="8"/>
      <c r="LRJ4" s="8"/>
      <c r="LRK4" s="8"/>
      <c r="LRL4" s="8"/>
      <c r="LRM4" s="8"/>
      <c r="LRN4" s="8"/>
      <c r="LRO4" s="8"/>
      <c r="LRP4" s="8"/>
      <c r="LRQ4" s="8"/>
      <c r="LRR4" s="8"/>
      <c r="LRS4" s="8"/>
      <c r="LRT4" s="8"/>
      <c r="LRU4" s="8"/>
      <c r="LRV4" s="8"/>
      <c r="LRW4" s="8"/>
      <c r="LRX4" s="8"/>
      <c r="LRY4" s="8"/>
      <c r="LRZ4" s="8"/>
      <c r="LSA4" s="8"/>
      <c r="LSB4" s="8"/>
      <c r="LSC4" s="8"/>
      <c r="LSD4" s="8"/>
      <c r="LSE4" s="8"/>
      <c r="LSF4" s="8"/>
      <c r="LSG4" s="8"/>
      <c r="LSH4" s="8"/>
      <c r="LSI4" s="8"/>
      <c r="LSJ4" s="8"/>
      <c r="LSK4" s="8"/>
      <c r="LSL4" s="8"/>
      <c r="LSM4" s="8"/>
      <c r="LSN4" s="8"/>
      <c r="LSO4" s="8"/>
      <c r="LSP4" s="8"/>
      <c r="LSQ4" s="8"/>
      <c r="LSR4" s="8"/>
      <c r="LSS4" s="8"/>
      <c r="LST4" s="8"/>
      <c r="LSU4" s="8"/>
      <c r="LSV4" s="8"/>
      <c r="LSW4" s="8"/>
      <c r="LSX4" s="8"/>
      <c r="LSY4" s="8"/>
      <c r="LSZ4" s="8"/>
      <c r="LTA4" s="8"/>
      <c r="LTB4" s="8"/>
      <c r="LTC4" s="8"/>
      <c r="LTD4" s="8"/>
      <c r="LTE4" s="8"/>
      <c r="LTF4" s="8"/>
      <c r="LTG4" s="8"/>
      <c r="LTH4" s="8"/>
      <c r="LTI4" s="8"/>
      <c r="LTJ4" s="8"/>
      <c r="LTK4" s="8"/>
      <c r="LTL4" s="8"/>
      <c r="LTM4" s="8"/>
      <c r="LTN4" s="8"/>
      <c r="LTO4" s="8"/>
      <c r="LTP4" s="8"/>
      <c r="LTQ4" s="8"/>
      <c r="LTR4" s="8"/>
      <c r="LTS4" s="8"/>
      <c r="LTT4" s="8"/>
      <c r="LTU4" s="8"/>
      <c r="LTV4" s="8"/>
      <c r="LTW4" s="8"/>
      <c r="LTX4" s="8"/>
      <c r="LTY4" s="8"/>
      <c r="LTZ4" s="8"/>
      <c r="LUA4" s="8"/>
      <c r="LUB4" s="8"/>
      <c r="LUC4" s="8"/>
      <c r="LUD4" s="8"/>
      <c r="LUE4" s="8"/>
      <c r="LUF4" s="8"/>
      <c r="LUG4" s="8"/>
      <c r="LUH4" s="8"/>
      <c r="LUI4" s="8"/>
      <c r="LUJ4" s="8"/>
      <c r="LUK4" s="8"/>
      <c r="LUL4" s="8"/>
      <c r="LUM4" s="8"/>
      <c r="LUN4" s="8"/>
      <c r="LUO4" s="8"/>
      <c r="LUP4" s="8"/>
      <c r="LUQ4" s="8"/>
      <c r="LUR4" s="8"/>
      <c r="LUS4" s="8"/>
      <c r="LUT4" s="8"/>
      <c r="LUU4" s="8"/>
      <c r="LUV4" s="8"/>
      <c r="LUW4" s="8"/>
      <c r="LUX4" s="8"/>
      <c r="LUY4" s="8"/>
      <c r="LUZ4" s="8"/>
      <c r="LVA4" s="8"/>
      <c r="LVB4" s="8"/>
      <c r="LVC4" s="8"/>
      <c r="LVD4" s="8"/>
      <c r="LVE4" s="8"/>
      <c r="LVF4" s="8"/>
      <c r="LVG4" s="8"/>
      <c r="LVH4" s="8"/>
      <c r="LVI4" s="8"/>
      <c r="LVJ4" s="8"/>
      <c r="LVK4" s="8"/>
      <c r="LVL4" s="8"/>
      <c r="LVM4" s="8"/>
      <c r="LVN4" s="8"/>
      <c r="LVO4" s="8"/>
      <c r="LVP4" s="8"/>
      <c r="LVQ4" s="8"/>
      <c r="LVR4" s="8"/>
      <c r="LVS4" s="8"/>
      <c r="LVT4" s="8"/>
      <c r="LVU4" s="8"/>
      <c r="LVV4" s="8"/>
      <c r="LVW4" s="8"/>
      <c r="LVX4" s="8"/>
      <c r="LVY4" s="8"/>
      <c r="LVZ4" s="8"/>
      <c r="LWA4" s="8"/>
      <c r="LWB4" s="8"/>
      <c r="LWC4" s="8"/>
      <c r="LWD4" s="8"/>
      <c r="LWE4" s="8"/>
      <c r="LWF4" s="8"/>
      <c r="LWG4" s="8"/>
      <c r="LWH4" s="8"/>
      <c r="LWI4" s="8"/>
      <c r="LWJ4" s="8"/>
      <c r="LWK4" s="8"/>
      <c r="LWL4" s="8"/>
      <c r="LWM4" s="8"/>
      <c r="LWN4" s="8"/>
      <c r="LWO4" s="8"/>
      <c r="LWP4" s="8"/>
      <c r="LWQ4" s="8"/>
      <c r="LWR4" s="8"/>
      <c r="LWS4" s="8"/>
      <c r="LWT4" s="8"/>
      <c r="LWU4" s="8"/>
      <c r="LWV4" s="8"/>
      <c r="LWW4" s="8"/>
      <c r="LWX4" s="8"/>
      <c r="LWY4" s="8"/>
      <c r="LWZ4" s="8"/>
      <c r="LXA4" s="8"/>
      <c r="LXB4" s="8"/>
      <c r="LXC4" s="8"/>
      <c r="LXD4" s="8"/>
      <c r="LXE4" s="8"/>
      <c r="LXF4" s="8"/>
      <c r="LXG4" s="8"/>
      <c r="LXH4" s="8"/>
      <c r="LXI4" s="8"/>
      <c r="LXJ4" s="8"/>
      <c r="LXK4" s="8"/>
      <c r="LXL4" s="8"/>
      <c r="LXM4" s="8"/>
      <c r="LXN4" s="8"/>
      <c r="LXO4" s="8"/>
      <c r="LXP4" s="8"/>
      <c r="LXQ4" s="8"/>
      <c r="LXR4" s="8"/>
      <c r="LXS4" s="8"/>
      <c r="LXT4" s="8"/>
      <c r="LXU4" s="8"/>
      <c r="LXV4" s="8"/>
      <c r="LXW4" s="8"/>
      <c r="LXX4" s="8"/>
      <c r="LXY4" s="8"/>
      <c r="LXZ4" s="8"/>
      <c r="LYA4" s="8"/>
      <c r="LYB4" s="8"/>
      <c r="LYC4" s="8"/>
      <c r="LYD4" s="8"/>
      <c r="LYE4" s="8"/>
      <c r="LYF4" s="8"/>
      <c r="LYG4" s="8"/>
      <c r="LYH4" s="8"/>
      <c r="LYI4" s="8"/>
      <c r="LYJ4" s="8"/>
      <c r="LYK4" s="8"/>
      <c r="LYL4" s="8"/>
      <c r="LYM4" s="8"/>
      <c r="LYN4" s="8"/>
      <c r="LYO4" s="8"/>
      <c r="LYP4" s="8"/>
      <c r="LYQ4" s="8"/>
      <c r="LYR4" s="8"/>
      <c r="LYS4" s="8"/>
      <c r="LYT4" s="8"/>
      <c r="LYU4" s="8"/>
      <c r="LYV4" s="8"/>
      <c r="LYW4" s="8"/>
      <c r="LYX4" s="8"/>
      <c r="LYY4" s="8"/>
      <c r="LYZ4" s="8"/>
      <c r="LZA4" s="8"/>
      <c r="LZB4" s="8"/>
      <c r="LZC4" s="8"/>
      <c r="LZD4" s="8"/>
      <c r="LZE4" s="8"/>
      <c r="LZF4" s="8"/>
      <c r="LZG4" s="8"/>
      <c r="LZH4" s="8"/>
      <c r="LZI4" s="8"/>
      <c r="LZJ4" s="8"/>
      <c r="LZK4" s="8"/>
      <c r="LZL4" s="8"/>
      <c r="LZM4" s="8"/>
      <c r="LZN4" s="8"/>
      <c r="LZO4" s="8"/>
      <c r="LZP4" s="8"/>
      <c r="LZQ4" s="8"/>
      <c r="LZR4" s="8"/>
      <c r="LZS4" s="8"/>
      <c r="LZT4" s="8"/>
      <c r="LZU4" s="8"/>
      <c r="LZV4" s="8"/>
      <c r="LZW4" s="8"/>
      <c r="LZX4" s="8"/>
      <c r="LZY4" s="8"/>
      <c r="LZZ4" s="8"/>
      <c r="MAA4" s="8"/>
      <c r="MAB4" s="8"/>
      <c r="MAC4" s="8"/>
      <c r="MAD4" s="8"/>
      <c r="MAE4" s="8"/>
      <c r="MAF4" s="8"/>
      <c r="MAG4" s="8"/>
      <c r="MAH4" s="8"/>
      <c r="MAI4" s="8"/>
      <c r="MAJ4" s="8"/>
      <c r="MAK4" s="8"/>
      <c r="MAL4" s="8"/>
      <c r="MAM4" s="8"/>
      <c r="MAN4" s="8"/>
      <c r="MAO4" s="8"/>
      <c r="MAP4" s="8"/>
      <c r="MAQ4" s="8"/>
      <c r="MAR4" s="8"/>
      <c r="MAS4" s="8"/>
      <c r="MAT4" s="8"/>
      <c r="MAU4" s="8"/>
      <c r="MAV4" s="8"/>
      <c r="MAW4" s="8"/>
      <c r="MAX4" s="8"/>
      <c r="MAY4" s="8"/>
      <c r="MAZ4" s="8"/>
      <c r="MBA4" s="8"/>
      <c r="MBB4" s="8"/>
      <c r="MBC4" s="8"/>
      <c r="MBD4" s="8"/>
      <c r="MBE4" s="8"/>
      <c r="MBF4" s="8"/>
      <c r="MBG4" s="8"/>
      <c r="MBH4" s="8"/>
      <c r="MBI4" s="8"/>
      <c r="MBJ4" s="8"/>
      <c r="MBK4" s="8"/>
      <c r="MBL4" s="8"/>
      <c r="MBM4" s="8"/>
      <c r="MBN4" s="8"/>
      <c r="MBO4" s="8"/>
      <c r="MBP4" s="8"/>
      <c r="MBQ4" s="8"/>
      <c r="MBR4" s="8"/>
      <c r="MBS4" s="8"/>
      <c r="MBT4" s="8"/>
      <c r="MBU4" s="8"/>
      <c r="MBV4" s="8"/>
      <c r="MBW4" s="8"/>
      <c r="MBX4" s="8"/>
      <c r="MBY4" s="8"/>
      <c r="MBZ4" s="8"/>
      <c r="MCA4" s="8"/>
      <c r="MCB4" s="8"/>
      <c r="MCC4" s="8"/>
      <c r="MCD4" s="8"/>
      <c r="MCE4" s="8"/>
      <c r="MCF4" s="8"/>
      <c r="MCG4" s="8"/>
      <c r="MCH4" s="8"/>
      <c r="MCI4" s="8"/>
      <c r="MCJ4" s="8"/>
      <c r="MCK4" s="8"/>
      <c r="MCL4" s="8"/>
      <c r="MCM4" s="8"/>
      <c r="MCN4" s="8"/>
      <c r="MCO4" s="8"/>
      <c r="MCP4" s="8"/>
      <c r="MCQ4" s="8"/>
      <c r="MCR4" s="8"/>
      <c r="MCS4" s="8"/>
      <c r="MCT4" s="8"/>
      <c r="MCU4" s="8"/>
      <c r="MCV4" s="8"/>
      <c r="MCW4" s="8"/>
      <c r="MCX4" s="8"/>
      <c r="MCY4" s="8"/>
      <c r="MCZ4" s="8"/>
      <c r="MDA4" s="8"/>
      <c r="MDB4" s="8"/>
      <c r="MDC4" s="8"/>
      <c r="MDD4" s="8"/>
      <c r="MDE4" s="8"/>
      <c r="MDF4" s="8"/>
      <c r="MDG4" s="8"/>
      <c r="MDH4" s="8"/>
      <c r="MDI4" s="8"/>
      <c r="MDJ4" s="8"/>
      <c r="MDK4" s="8"/>
      <c r="MDL4" s="8"/>
      <c r="MDM4" s="8"/>
      <c r="MDN4" s="8"/>
      <c r="MDO4" s="8"/>
      <c r="MDP4" s="8"/>
      <c r="MDQ4" s="8"/>
      <c r="MDR4" s="8"/>
      <c r="MDS4" s="8"/>
      <c r="MDT4" s="8"/>
      <c r="MDU4" s="8"/>
      <c r="MDV4" s="8"/>
      <c r="MDW4" s="8"/>
      <c r="MDX4" s="8"/>
      <c r="MDY4" s="8"/>
      <c r="MDZ4" s="8"/>
      <c r="MEA4" s="8"/>
      <c r="MEB4" s="8"/>
      <c r="MEC4" s="8"/>
      <c r="MED4" s="8"/>
      <c r="MEE4" s="8"/>
      <c r="MEF4" s="8"/>
      <c r="MEG4" s="8"/>
      <c r="MEH4" s="8"/>
      <c r="MEI4" s="8"/>
      <c r="MEJ4" s="8"/>
      <c r="MEK4" s="8"/>
      <c r="MEL4" s="8"/>
      <c r="MEM4" s="8"/>
      <c r="MEN4" s="8"/>
      <c r="MEO4" s="8"/>
      <c r="MEP4" s="8"/>
      <c r="MEQ4" s="8"/>
      <c r="MER4" s="8"/>
      <c r="MES4" s="8"/>
      <c r="MET4" s="8"/>
      <c r="MEU4" s="8"/>
      <c r="MEV4" s="8"/>
      <c r="MEW4" s="8"/>
      <c r="MEX4" s="8"/>
      <c r="MEY4" s="8"/>
      <c r="MEZ4" s="8"/>
      <c r="MFA4" s="8"/>
      <c r="MFB4" s="8"/>
      <c r="MFC4" s="8"/>
      <c r="MFD4" s="8"/>
      <c r="MFE4" s="8"/>
      <c r="MFF4" s="8"/>
      <c r="MFG4" s="8"/>
      <c r="MFH4" s="8"/>
      <c r="MFI4" s="8"/>
      <c r="MFJ4" s="8"/>
      <c r="MFK4" s="8"/>
      <c r="MFL4" s="8"/>
      <c r="MFM4" s="8"/>
      <c r="MFN4" s="8"/>
      <c r="MFO4" s="8"/>
      <c r="MFP4" s="8"/>
      <c r="MFQ4" s="8"/>
      <c r="MFR4" s="8"/>
      <c r="MFS4" s="8"/>
      <c r="MFT4" s="8"/>
      <c r="MFU4" s="8"/>
      <c r="MFV4" s="8"/>
      <c r="MFW4" s="8"/>
      <c r="MFX4" s="8"/>
      <c r="MFY4" s="8"/>
      <c r="MFZ4" s="8"/>
      <c r="MGA4" s="8"/>
      <c r="MGB4" s="8"/>
      <c r="MGC4" s="8"/>
      <c r="MGD4" s="8"/>
      <c r="MGE4" s="8"/>
      <c r="MGF4" s="8"/>
      <c r="MGG4" s="8"/>
      <c r="MGH4" s="8"/>
      <c r="MGI4" s="8"/>
      <c r="MGJ4" s="8"/>
      <c r="MGK4" s="8"/>
      <c r="MGL4" s="8"/>
      <c r="MGM4" s="8"/>
      <c r="MGN4" s="8"/>
      <c r="MGO4" s="8"/>
      <c r="MGP4" s="8"/>
      <c r="MGQ4" s="8"/>
      <c r="MGR4" s="8"/>
      <c r="MGS4" s="8"/>
      <c r="MGT4" s="8"/>
      <c r="MGU4" s="8"/>
      <c r="MGV4" s="8"/>
      <c r="MGW4" s="8"/>
      <c r="MGX4" s="8"/>
      <c r="MGY4" s="8"/>
      <c r="MGZ4" s="8"/>
      <c r="MHA4" s="8"/>
      <c r="MHB4" s="8"/>
      <c r="MHC4" s="8"/>
      <c r="MHD4" s="8"/>
      <c r="MHE4" s="8"/>
      <c r="MHF4" s="8"/>
      <c r="MHG4" s="8"/>
      <c r="MHH4" s="8"/>
      <c r="MHI4" s="8"/>
      <c r="MHJ4" s="8"/>
      <c r="MHK4" s="8"/>
      <c r="MHL4" s="8"/>
      <c r="MHM4" s="8"/>
      <c r="MHN4" s="8"/>
      <c r="MHO4" s="8"/>
      <c r="MHP4" s="8"/>
      <c r="MHQ4" s="8"/>
      <c r="MHR4" s="8"/>
      <c r="MHS4" s="8"/>
      <c r="MHT4" s="8"/>
      <c r="MHU4" s="8"/>
      <c r="MHV4" s="8"/>
      <c r="MHW4" s="8"/>
      <c r="MHX4" s="8"/>
      <c r="MHY4" s="8"/>
      <c r="MHZ4" s="8"/>
      <c r="MIA4" s="8"/>
      <c r="MIB4" s="8"/>
      <c r="MIC4" s="8"/>
      <c r="MID4" s="8"/>
      <c r="MIE4" s="8"/>
      <c r="MIF4" s="8"/>
      <c r="MIG4" s="8"/>
      <c r="MIH4" s="8"/>
      <c r="MII4" s="8"/>
      <c r="MIJ4" s="8"/>
      <c r="MIK4" s="8"/>
      <c r="MIL4" s="8"/>
      <c r="MIM4" s="8"/>
      <c r="MIN4" s="8"/>
      <c r="MIO4" s="8"/>
      <c r="MIP4" s="8"/>
      <c r="MIQ4" s="8"/>
      <c r="MIR4" s="8"/>
      <c r="MIS4" s="8"/>
      <c r="MIT4" s="8"/>
      <c r="MIU4" s="8"/>
      <c r="MIV4" s="8"/>
      <c r="MIW4" s="8"/>
      <c r="MIX4" s="8"/>
      <c r="MIY4" s="8"/>
      <c r="MIZ4" s="8"/>
      <c r="MJA4" s="8"/>
      <c r="MJB4" s="8"/>
      <c r="MJC4" s="8"/>
      <c r="MJD4" s="8"/>
      <c r="MJE4" s="8"/>
      <c r="MJF4" s="8"/>
      <c r="MJG4" s="8"/>
      <c r="MJH4" s="8"/>
      <c r="MJI4" s="8"/>
      <c r="MJJ4" s="8"/>
      <c r="MJK4" s="8"/>
      <c r="MJL4" s="8"/>
      <c r="MJM4" s="8"/>
      <c r="MJN4" s="8"/>
      <c r="MJO4" s="8"/>
      <c r="MJP4" s="8"/>
      <c r="MJQ4" s="8"/>
      <c r="MJR4" s="8"/>
      <c r="MJS4" s="8"/>
      <c r="MJT4" s="8"/>
      <c r="MJU4" s="8"/>
      <c r="MJV4" s="8"/>
      <c r="MJW4" s="8"/>
      <c r="MJX4" s="8"/>
      <c r="MJY4" s="8"/>
      <c r="MJZ4" s="8"/>
      <c r="MKA4" s="8"/>
      <c r="MKB4" s="8"/>
      <c r="MKC4" s="8"/>
      <c r="MKD4" s="8"/>
      <c r="MKE4" s="8"/>
      <c r="MKF4" s="8"/>
      <c r="MKG4" s="8"/>
      <c r="MKH4" s="8"/>
      <c r="MKI4" s="8"/>
      <c r="MKJ4" s="8"/>
      <c r="MKK4" s="8"/>
      <c r="MKL4" s="8"/>
      <c r="MKM4" s="8"/>
      <c r="MKN4" s="8"/>
      <c r="MKO4" s="8"/>
      <c r="MKP4" s="8"/>
      <c r="MKQ4" s="8"/>
      <c r="MKR4" s="8"/>
      <c r="MKS4" s="8"/>
      <c r="MKT4" s="8"/>
      <c r="MKU4" s="8"/>
      <c r="MKV4" s="8"/>
      <c r="MKW4" s="8"/>
      <c r="MKX4" s="8"/>
      <c r="MKY4" s="8"/>
      <c r="MKZ4" s="8"/>
      <c r="MLA4" s="8"/>
      <c r="MLB4" s="8"/>
      <c r="MLC4" s="8"/>
      <c r="MLD4" s="8"/>
      <c r="MLE4" s="8"/>
      <c r="MLF4" s="8"/>
      <c r="MLG4" s="8"/>
      <c r="MLH4" s="8"/>
      <c r="MLI4" s="8"/>
      <c r="MLJ4" s="8"/>
      <c r="MLK4" s="8"/>
      <c r="MLL4" s="8"/>
      <c r="MLM4" s="8"/>
      <c r="MLN4" s="8"/>
      <c r="MLO4" s="8"/>
      <c r="MLP4" s="8"/>
      <c r="MLQ4" s="8"/>
      <c r="MLR4" s="8"/>
      <c r="MLS4" s="8"/>
      <c r="MLT4" s="8"/>
      <c r="MLU4" s="8"/>
      <c r="MLV4" s="8"/>
      <c r="MLW4" s="8"/>
      <c r="MLX4" s="8"/>
      <c r="MLY4" s="8"/>
      <c r="MLZ4" s="8"/>
      <c r="MMA4" s="8"/>
      <c r="MMB4" s="8"/>
      <c r="MMC4" s="8"/>
      <c r="MMD4" s="8"/>
      <c r="MME4" s="8"/>
      <c r="MMF4" s="8"/>
      <c r="MMG4" s="8"/>
      <c r="MMH4" s="8"/>
      <c r="MMI4" s="8"/>
      <c r="MMJ4" s="8"/>
      <c r="MMK4" s="8"/>
      <c r="MML4" s="8"/>
      <c r="MMM4" s="8"/>
      <c r="MMN4" s="8"/>
      <c r="MMO4" s="8"/>
      <c r="MMP4" s="8"/>
      <c r="MMQ4" s="8"/>
      <c r="MMR4" s="8"/>
      <c r="MMS4" s="8"/>
      <c r="MMT4" s="8"/>
      <c r="MMU4" s="8"/>
      <c r="MMV4" s="8"/>
      <c r="MMW4" s="8"/>
      <c r="MMX4" s="8"/>
      <c r="MMY4" s="8"/>
      <c r="MMZ4" s="8"/>
      <c r="MNA4" s="8"/>
      <c r="MNB4" s="8"/>
      <c r="MNC4" s="8"/>
      <c r="MND4" s="8"/>
      <c r="MNE4" s="8"/>
      <c r="MNF4" s="8"/>
      <c r="MNG4" s="8"/>
      <c r="MNH4" s="8"/>
      <c r="MNI4" s="8"/>
      <c r="MNJ4" s="8"/>
      <c r="MNK4" s="8"/>
      <c r="MNL4" s="8"/>
      <c r="MNM4" s="8"/>
      <c r="MNN4" s="8"/>
      <c r="MNO4" s="8"/>
      <c r="MNP4" s="8"/>
      <c r="MNQ4" s="8"/>
      <c r="MNR4" s="8"/>
      <c r="MNS4" s="8"/>
      <c r="MNT4" s="8"/>
      <c r="MNU4" s="8"/>
      <c r="MNV4" s="8"/>
      <c r="MNW4" s="8"/>
      <c r="MNX4" s="8"/>
      <c r="MNY4" s="8"/>
      <c r="MNZ4" s="8"/>
      <c r="MOA4" s="8"/>
      <c r="MOB4" s="8"/>
      <c r="MOC4" s="8"/>
      <c r="MOD4" s="8"/>
      <c r="MOE4" s="8"/>
      <c r="MOF4" s="8"/>
      <c r="MOG4" s="8"/>
      <c r="MOH4" s="8"/>
      <c r="MOI4" s="8"/>
      <c r="MOJ4" s="8"/>
      <c r="MOK4" s="8"/>
      <c r="MOL4" s="8"/>
      <c r="MOM4" s="8"/>
      <c r="MON4" s="8"/>
      <c r="MOO4" s="8"/>
      <c r="MOP4" s="8"/>
      <c r="MOQ4" s="8"/>
      <c r="MOR4" s="8"/>
      <c r="MOS4" s="8"/>
      <c r="MOT4" s="8"/>
      <c r="MOU4" s="8"/>
      <c r="MOV4" s="8"/>
      <c r="MOW4" s="8"/>
      <c r="MOX4" s="8"/>
      <c r="MOY4" s="8"/>
      <c r="MOZ4" s="8"/>
      <c r="MPA4" s="8"/>
      <c r="MPB4" s="8"/>
      <c r="MPC4" s="8"/>
      <c r="MPD4" s="8"/>
      <c r="MPE4" s="8"/>
      <c r="MPF4" s="8"/>
      <c r="MPG4" s="8"/>
      <c r="MPH4" s="8"/>
      <c r="MPI4" s="8"/>
      <c r="MPJ4" s="8"/>
      <c r="MPK4" s="8"/>
      <c r="MPL4" s="8"/>
      <c r="MPM4" s="8"/>
      <c r="MPN4" s="8"/>
      <c r="MPO4" s="8"/>
      <c r="MPP4" s="8"/>
      <c r="MPQ4" s="8"/>
      <c r="MPR4" s="8"/>
      <c r="MPS4" s="8"/>
      <c r="MPT4" s="8"/>
      <c r="MPU4" s="8"/>
      <c r="MPV4" s="8"/>
      <c r="MPW4" s="8"/>
      <c r="MPX4" s="8"/>
      <c r="MPY4" s="8"/>
      <c r="MPZ4" s="8"/>
      <c r="MQA4" s="8"/>
      <c r="MQB4" s="8"/>
      <c r="MQC4" s="8"/>
      <c r="MQD4" s="8"/>
      <c r="MQE4" s="8"/>
      <c r="MQF4" s="8"/>
      <c r="MQG4" s="8"/>
      <c r="MQH4" s="8"/>
      <c r="MQI4" s="8"/>
      <c r="MQJ4" s="8"/>
      <c r="MQK4" s="8"/>
      <c r="MQL4" s="8"/>
      <c r="MQM4" s="8"/>
      <c r="MQN4" s="8"/>
      <c r="MQO4" s="8"/>
      <c r="MQP4" s="8"/>
      <c r="MQQ4" s="8"/>
      <c r="MQR4" s="8"/>
      <c r="MQS4" s="8"/>
      <c r="MQT4" s="8"/>
      <c r="MQU4" s="8"/>
      <c r="MQV4" s="8"/>
      <c r="MQW4" s="8"/>
      <c r="MQX4" s="8"/>
      <c r="MQY4" s="8"/>
      <c r="MQZ4" s="8"/>
      <c r="MRA4" s="8"/>
      <c r="MRB4" s="8"/>
      <c r="MRC4" s="8"/>
      <c r="MRD4" s="8"/>
      <c r="MRE4" s="8"/>
      <c r="MRF4" s="8"/>
      <c r="MRG4" s="8"/>
      <c r="MRH4" s="8"/>
      <c r="MRI4" s="8"/>
      <c r="MRJ4" s="8"/>
      <c r="MRK4" s="8"/>
      <c r="MRL4" s="8"/>
      <c r="MRM4" s="8"/>
      <c r="MRN4" s="8"/>
      <c r="MRO4" s="8"/>
      <c r="MRP4" s="8"/>
      <c r="MRQ4" s="8"/>
      <c r="MRR4" s="8"/>
      <c r="MRS4" s="8"/>
      <c r="MRT4" s="8"/>
      <c r="MRU4" s="8"/>
      <c r="MRV4" s="8"/>
      <c r="MRW4" s="8"/>
      <c r="MRX4" s="8"/>
      <c r="MRY4" s="8"/>
      <c r="MRZ4" s="8"/>
      <c r="MSA4" s="8"/>
      <c r="MSB4" s="8"/>
      <c r="MSC4" s="8"/>
      <c r="MSD4" s="8"/>
      <c r="MSE4" s="8"/>
      <c r="MSF4" s="8"/>
      <c r="MSG4" s="8"/>
      <c r="MSH4" s="8"/>
      <c r="MSI4" s="8"/>
      <c r="MSJ4" s="8"/>
      <c r="MSK4" s="8"/>
      <c r="MSL4" s="8"/>
      <c r="MSM4" s="8"/>
      <c r="MSN4" s="8"/>
      <c r="MSO4" s="8"/>
      <c r="MSP4" s="8"/>
      <c r="MSQ4" s="8"/>
      <c r="MSR4" s="8"/>
      <c r="MSS4" s="8"/>
      <c r="MST4" s="8"/>
      <c r="MSU4" s="8"/>
      <c r="MSV4" s="8"/>
      <c r="MSW4" s="8"/>
      <c r="MSX4" s="8"/>
      <c r="MSY4" s="8"/>
      <c r="MSZ4" s="8"/>
      <c r="MTA4" s="8"/>
      <c r="MTB4" s="8"/>
      <c r="MTC4" s="8"/>
      <c r="MTD4" s="8"/>
      <c r="MTE4" s="8"/>
      <c r="MTF4" s="8"/>
      <c r="MTG4" s="8"/>
      <c r="MTH4" s="8"/>
      <c r="MTI4" s="8"/>
      <c r="MTJ4" s="8"/>
      <c r="MTK4" s="8"/>
      <c r="MTL4" s="8"/>
      <c r="MTM4" s="8"/>
      <c r="MTN4" s="8"/>
      <c r="MTO4" s="8"/>
      <c r="MTP4" s="8"/>
      <c r="MTQ4" s="8"/>
      <c r="MTR4" s="8"/>
      <c r="MTS4" s="8"/>
      <c r="MTT4" s="8"/>
      <c r="MTU4" s="8"/>
      <c r="MTV4" s="8"/>
      <c r="MTW4" s="8"/>
      <c r="MTX4" s="8"/>
      <c r="MTY4" s="8"/>
      <c r="MTZ4" s="8"/>
      <c r="MUA4" s="8"/>
      <c r="MUB4" s="8"/>
      <c r="MUC4" s="8"/>
      <c r="MUD4" s="8"/>
      <c r="MUE4" s="8"/>
      <c r="MUF4" s="8"/>
      <c r="MUG4" s="8"/>
      <c r="MUH4" s="8"/>
      <c r="MUI4" s="8"/>
      <c r="MUJ4" s="8"/>
      <c r="MUK4" s="8"/>
      <c r="MUL4" s="8"/>
      <c r="MUM4" s="8"/>
      <c r="MUN4" s="8"/>
      <c r="MUO4" s="8"/>
      <c r="MUP4" s="8"/>
      <c r="MUQ4" s="8"/>
      <c r="MUR4" s="8"/>
      <c r="MUS4" s="8"/>
      <c r="MUT4" s="8"/>
      <c r="MUU4" s="8"/>
      <c r="MUV4" s="8"/>
      <c r="MUW4" s="8"/>
      <c r="MUX4" s="8"/>
      <c r="MUY4" s="8"/>
      <c r="MUZ4" s="8"/>
      <c r="MVA4" s="8"/>
      <c r="MVB4" s="8"/>
      <c r="MVC4" s="8"/>
      <c r="MVD4" s="8"/>
      <c r="MVE4" s="8"/>
      <c r="MVF4" s="8"/>
      <c r="MVG4" s="8"/>
      <c r="MVH4" s="8"/>
      <c r="MVI4" s="8"/>
      <c r="MVJ4" s="8"/>
      <c r="MVK4" s="8"/>
      <c r="MVL4" s="8"/>
      <c r="MVM4" s="8"/>
      <c r="MVN4" s="8"/>
      <c r="MVO4" s="8"/>
      <c r="MVP4" s="8"/>
      <c r="MVQ4" s="8"/>
      <c r="MVR4" s="8"/>
      <c r="MVS4" s="8"/>
      <c r="MVT4" s="8"/>
      <c r="MVU4" s="8"/>
      <c r="MVV4" s="8"/>
      <c r="MVW4" s="8"/>
      <c r="MVX4" s="8"/>
      <c r="MVY4" s="8"/>
      <c r="MVZ4" s="8"/>
      <c r="MWA4" s="8"/>
      <c r="MWB4" s="8"/>
      <c r="MWC4" s="8"/>
      <c r="MWD4" s="8"/>
      <c r="MWE4" s="8"/>
      <c r="MWF4" s="8"/>
      <c r="MWG4" s="8"/>
      <c r="MWH4" s="8"/>
      <c r="MWI4" s="8"/>
      <c r="MWJ4" s="8"/>
      <c r="MWK4" s="8"/>
      <c r="MWL4" s="8"/>
      <c r="MWM4" s="8"/>
      <c r="MWN4" s="8"/>
      <c r="MWO4" s="8"/>
      <c r="MWP4" s="8"/>
      <c r="MWQ4" s="8"/>
      <c r="MWR4" s="8"/>
      <c r="MWS4" s="8"/>
      <c r="MWT4" s="8"/>
      <c r="MWU4" s="8"/>
      <c r="MWV4" s="8"/>
      <c r="MWW4" s="8"/>
      <c r="MWX4" s="8"/>
      <c r="MWY4" s="8"/>
      <c r="MWZ4" s="8"/>
      <c r="MXA4" s="8"/>
      <c r="MXB4" s="8"/>
      <c r="MXC4" s="8"/>
      <c r="MXD4" s="8"/>
      <c r="MXE4" s="8"/>
      <c r="MXF4" s="8"/>
      <c r="MXG4" s="8"/>
      <c r="MXH4" s="8"/>
      <c r="MXI4" s="8"/>
      <c r="MXJ4" s="8"/>
      <c r="MXK4" s="8"/>
      <c r="MXL4" s="8"/>
      <c r="MXM4" s="8"/>
      <c r="MXN4" s="8"/>
      <c r="MXO4" s="8"/>
      <c r="MXP4" s="8"/>
      <c r="MXQ4" s="8"/>
      <c r="MXR4" s="8"/>
      <c r="MXS4" s="8"/>
      <c r="MXT4" s="8"/>
      <c r="MXU4" s="8"/>
      <c r="MXV4" s="8"/>
      <c r="MXW4" s="8"/>
      <c r="MXX4" s="8"/>
      <c r="MXY4" s="8"/>
      <c r="MXZ4" s="8"/>
      <c r="MYA4" s="8"/>
      <c r="MYB4" s="8"/>
      <c r="MYC4" s="8"/>
      <c r="MYD4" s="8"/>
      <c r="MYE4" s="8"/>
      <c r="MYF4" s="8"/>
      <c r="MYG4" s="8"/>
      <c r="MYH4" s="8"/>
      <c r="MYI4" s="8"/>
      <c r="MYJ4" s="8"/>
      <c r="MYK4" s="8"/>
      <c r="MYL4" s="8"/>
      <c r="MYM4" s="8"/>
      <c r="MYN4" s="8"/>
      <c r="MYO4" s="8"/>
      <c r="MYP4" s="8"/>
      <c r="MYQ4" s="8"/>
      <c r="MYR4" s="8"/>
      <c r="MYS4" s="8"/>
      <c r="MYT4" s="8"/>
      <c r="MYU4" s="8"/>
      <c r="MYV4" s="8"/>
      <c r="MYW4" s="8"/>
      <c r="MYX4" s="8"/>
      <c r="MYY4" s="8"/>
      <c r="MYZ4" s="8"/>
      <c r="MZA4" s="8"/>
      <c r="MZB4" s="8"/>
      <c r="MZC4" s="8"/>
      <c r="MZD4" s="8"/>
      <c r="MZE4" s="8"/>
      <c r="MZF4" s="8"/>
      <c r="MZG4" s="8"/>
      <c r="MZH4" s="8"/>
      <c r="MZI4" s="8"/>
      <c r="MZJ4" s="8"/>
      <c r="MZK4" s="8"/>
      <c r="MZL4" s="8"/>
      <c r="MZM4" s="8"/>
      <c r="MZN4" s="8"/>
      <c r="MZO4" s="8"/>
      <c r="MZP4" s="8"/>
      <c r="MZQ4" s="8"/>
      <c r="MZR4" s="8"/>
      <c r="MZS4" s="8"/>
      <c r="MZT4" s="8"/>
      <c r="MZU4" s="8"/>
      <c r="MZV4" s="8"/>
      <c r="MZW4" s="8"/>
      <c r="MZX4" s="8"/>
      <c r="MZY4" s="8"/>
      <c r="MZZ4" s="8"/>
      <c r="NAA4" s="8"/>
      <c r="NAB4" s="8"/>
      <c r="NAC4" s="8"/>
      <c r="NAD4" s="8"/>
      <c r="NAE4" s="8"/>
      <c r="NAF4" s="8"/>
      <c r="NAG4" s="8"/>
      <c r="NAH4" s="8"/>
      <c r="NAI4" s="8"/>
      <c r="NAJ4" s="8"/>
      <c r="NAK4" s="8"/>
      <c r="NAL4" s="8"/>
      <c r="NAM4" s="8"/>
      <c r="NAN4" s="8"/>
      <c r="NAO4" s="8"/>
      <c r="NAP4" s="8"/>
      <c r="NAQ4" s="8"/>
      <c r="NAR4" s="8"/>
      <c r="NAS4" s="8"/>
      <c r="NAT4" s="8"/>
      <c r="NAU4" s="8"/>
      <c r="NAV4" s="8"/>
      <c r="NAW4" s="8"/>
      <c r="NAX4" s="8"/>
      <c r="NAY4" s="8"/>
      <c r="NAZ4" s="8"/>
      <c r="NBA4" s="8"/>
      <c r="NBB4" s="8"/>
      <c r="NBC4" s="8"/>
      <c r="NBD4" s="8"/>
      <c r="NBE4" s="8"/>
      <c r="NBF4" s="8"/>
      <c r="NBG4" s="8"/>
      <c r="NBH4" s="8"/>
      <c r="NBI4" s="8"/>
      <c r="NBJ4" s="8"/>
      <c r="NBK4" s="8"/>
      <c r="NBL4" s="8"/>
      <c r="NBM4" s="8"/>
      <c r="NBN4" s="8"/>
      <c r="NBO4" s="8"/>
      <c r="NBP4" s="8"/>
      <c r="NBQ4" s="8"/>
      <c r="NBR4" s="8"/>
      <c r="NBS4" s="8"/>
      <c r="NBT4" s="8"/>
      <c r="NBU4" s="8"/>
      <c r="NBV4" s="8"/>
      <c r="NBW4" s="8"/>
      <c r="NBX4" s="8"/>
      <c r="NBY4" s="8"/>
      <c r="NBZ4" s="8"/>
      <c r="NCA4" s="8"/>
      <c r="NCB4" s="8"/>
      <c r="NCC4" s="8"/>
      <c r="NCD4" s="8"/>
      <c r="NCE4" s="8"/>
      <c r="NCF4" s="8"/>
      <c r="NCG4" s="8"/>
      <c r="NCH4" s="8"/>
      <c r="NCI4" s="8"/>
      <c r="NCJ4" s="8"/>
      <c r="NCK4" s="8"/>
      <c r="NCL4" s="8"/>
      <c r="NCM4" s="8"/>
      <c r="NCN4" s="8"/>
      <c r="NCO4" s="8"/>
      <c r="NCP4" s="8"/>
      <c r="NCQ4" s="8"/>
      <c r="NCR4" s="8"/>
      <c r="NCS4" s="8"/>
      <c r="NCT4" s="8"/>
      <c r="NCU4" s="8"/>
      <c r="NCV4" s="8"/>
      <c r="NCW4" s="8"/>
      <c r="NCX4" s="8"/>
      <c r="NCY4" s="8"/>
      <c r="NCZ4" s="8"/>
      <c r="NDA4" s="8"/>
      <c r="NDB4" s="8"/>
      <c r="NDC4" s="8"/>
      <c r="NDD4" s="8"/>
      <c r="NDE4" s="8"/>
      <c r="NDF4" s="8"/>
      <c r="NDG4" s="8"/>
      <c r="NDH4" s="8"/>
      <c r="NDI4" s="8"/>
      <c r="NDJ4" s="8"/>
      <c r="NDK4" s="8"/>
      <c r="NDL4" s="8"/>
      <c r="NDM4" s="8"/>
      <c r="NDN4" s="8"/>
      <c r="NDO4" s="8"/>
      <c r="NDP4" s="8"/>
      <c r="NDQ4" s="8"/>
      <c r="NDR4" s="8"/>
      <c r="NDS4" s="8"/>
      <c r="NDT4" s="8"/>
      <c r="NDU4" s="8"/>
      <c r="NDV4" s="8"/>
      <c r="NDW4" s="8"/>
      <c r="NDX4" s="8"/>
      <c r="NDY4" s="8"/>
      <c r="NDZ4" s="8"/>
      <c r="NEA4" s="8"/>
      <c r="NEB4" s="8"/>
      <c r="NEC4" s="8"/>
      <c r="NED4" s="8"/>
      <c r="NEE4" s="8"/>
      <c r="NEF4" s="8"/>
      <c r="NEG4" s="8"/>
      <c r="NEH4" s="8"/>
      <c r="NEI4" s="8"/>
      <c r="NEJ4" s="8"/>
      <c r="NEK4" s="8"/>
      <c r="NEL4" s="8"/>
      <c r="NEM4" s="8"/>
      <c r="NEN4" s="8"/>
      <c r="NEO4" s="8"/>
      <c r="NEP4" s="8"/>
      <c r="NEQ4" s="8"/>
      <c r="NER4" s="8"/>
      <c r="NES4" s="8"/>
      <c r="NET4" s="8"/>
      <c r="NEU4" s="8"/>
      <c r="NEV4" s="8"/>
      <c r="NEW4" s="8"/>
      <c r="NEX4" s="8"/>
      <c r="NEY4" s="8"/>
      <c r="NEZ4" s="8"/>
      <c r="NFA4" s="8"/>
      <c r="NFB4" s="8"/>
      <c r="NFC4" s="8"/>
      <c r="NFD4" s="8"/>
      <c r="NFE4" s="8"/>
      <c r="NFF4" s="8"/>
      <c r="NFG4" s="8"/>
      <c r="NFH4" s="8"/>
      <c r="NFI4" s="8"/>
      <c r="NFJ4" s="8"/>
      <c r="NFK4" s="8"/>
      <c r="NFL4" s="8"/>
      <c r="NFM4" s="8"/>
      <c r="NFN4" s="8"/>
      <c r="NFO4" s="8"/>
      <c r="NFP4" s="8"/>
      <c r="NFQ4" s="8"/>
      <c r="NFR4" s="8"/>
      <c r="NFS4" s="8"/>
      <c r="NFT4" s="8"/>
      <c r="NFU4" s="8"/>
      <c r="NFV4" s="8"/>
      <c r="NFW4" s="8"/>
      <c r="NFX4" s="8"/>
      <c r="NFY4" s="8"/>
      <c r="NFZ4" s="8"/>
      <c r="NGA4" s="8"/>
      <c r="NGB4" s="8"/>
      <c r="NGC4" s="8"/>
      <c r="NGD4" s="8"/>
      <c r="NGE4" s="8"/>
      <c r="NGF4" s="8"/>
      <c r="NGG4" s="8"/>
      <c r="NGH4" s="8"/>
      <c r="NGI4" s="8"/>
      <c r="NGJ4" s="8"/>
      <c r="NGK4" s="8"/>
      <c r="NGL4" s="8"/>
      <c r="NGM4" s="8"/>
      <c r="NGN4" s="8"/>
      <c r="NGO4" s="8"/>
      <c r="NGP4" s="8"/>
      <c r="NGQ4" s="8"/>
      <c r="NGR4" s="8"/>
      <c r="NGS4" s="8"/>
      <c r="NGT4" s="8"/>
      <c r="NGU4" s="8"/>
      <c r="NGV4" s="8"/>
      <c r="NGW4" s="8"/>
      <c r="NGX4" s="8"/>
      <c r="NGY4" s="8"/>
      <c r="NGZ4" s="8"/>
      <c r="NHA4" s="8"/>
      <c r="NHB4" s="8"/>
      <c r="NHC4" s="8"/>
      <c r="NHD4" s="8"/>
      <c r="NHE4" s="8"/>
      <c r="NHF4" s="8"/>
      <c r="NHG4" s="8"/>
      <c r="NHH4" s="8"/>
      <c r="NHI4" s="8"/>
      <c r="NHJ4" s="8"/>
      <c r="NHK4" s="8"/>
      <c r="NHL4" s="8"/>
      <c r="NHM4" s="8"/>
      <c r="NHN4" s="8"/>
      <c r="NHO4" s="8"/>
      <c r="NHP4" s="8"/>
      <c r="NHQ4" s="8"/>
      <c r="NHR4" s="8"/>
      <c r="NHS4" s="8"/>
      <c r="NHT4" s="8"/>
      <c r="NHU4" s="8"/>
      <c r="NHV4" s="8"/>
      <c r="NHW4" s="8"/>
      <c r="NHX4" s="8"/>
      <c r="NHY4" s="8"/>
      <c r="NHZ4" s="8"/>
      <c r="NIA4" s="8"/>
      <c r="NIB4" s="8"/>
      <c r="NIC4" s="8"/>
      <c r="NID4" s="8"/>
      <c r="NIE4" s="8"/>
      <c r="NIF4" s="8"/>
      <c r="NIG4" s="8"/>
      <c r="NIH4" s="8"/>
      <c r="NII4" s="8"/>
      <c r="NIJ4" s="8"/>
      <c r="NIK4" s="8"/>
      <c r="NIL4" s="8"/>
      <c r="NIM4" s="8"/>
      <c r="NIN4" s="8"/>
      <c r="NIO4" s="8"/>
      <c r="NIP4" s="8"/>
      <c r="NIQ4" s="8"/>
      <c r="NIR4" s="8"/>
      <c r="NIS4" s="8"/>
      <c r="NIT4" s="8"/>
      <c r="NIU4" s="8"/>
      <c r="NIV4" s="8"/>
      <c r="NIW4" s="8"/>
      <c r="NIX4" s="8"/>
      <c r="NIY4" s="8"/>
      <c r="NIZ4" s="8"/>
      <c r="NJA4" s="8"/>
      <c r="NJB4" s="8"/>
      <c r="NJC4" s="8"/>
      <c r="NJD4" s="8"/>
      <c r="NJE4" s="8"/>
      <c r="NJF4" s="8"/>
      <c r="NJG4" s="8"/>
      <c r="NJH4" s="8"/>
      <c r="NJI4" s="8"/>
      <c r="NJJ4" s="8"/>
      <c r="NJK4" s="8"/>
      <c r="NJL4" s="8"/>
      <c r="NJM4" s="8"/>
      <c r="NJN4" s="8"/>
      <c r="NJO4" s="8"/>
      <c r="NJP4" s="8"/>
      <c r="NJQ4" s="8"/>
      <c r="NJR4" s="8"/>
      <c r="NJS4" s="8"/>
      <c r="NJT4" s="8"/>
      <c r="NJU4" s="8"/>
      <c r="NJV4" s="8"/>
      <c r="NJW4" s="8"/>
      <c r="NJX4" s="8"/>
      <c r="NJY4" s="8"/>
      <c r="NJZ4" s="8"/>
      <c r="NKA4" s="8"/>
      <c r="NKB4" s="8"/>
      <c r="NKC4" s="8"/>
      <c r="NKD4" s="8"/>
      <c r="NKE4" s="8"/>
      <c r="NKF4" s="8"/>
      <c r="NKG4" s="8"/>
      <c r="NKH4" s="8"/>
      <c r="NKI4" s="8"/>
      <c r="NKJ4" s="8"/>
      <c r="NKK4" s="8"/>
      <c r="NKL4" s="8"/>
      <c r="NKM4" s="8"/>
      <c r="NKN4" s="8"/>
      <c r="NKO4" s="8"/>
      <c r="NKP4" s="8"/>
      <c r="NKQ4" s="8"/>
      <c r="NKR4" s="8"/>
      <c r="NKS4" s="8"/>
      <c r="NKT4" s="8"/>
      <c r="NKU4" s="8"/>
      <c r="NKV4" s="8"/>
      <c r="NKW4" s="8"/>
      <c r="NKX4" s="8"/>
      <c r="NKY4" s="8"/>
      <c r="NKZ4" s="8"/>
      <c r="NLA4" s="8"/>
      <c r="NLB4" s="8"/>
      <c r="NLC4" s="8"/>
      <c r="NLD4" s="8"/>
      <c r="NLE4" s="8"/>
      <c r="NLF4" s="8"/>
      <c r="NLG4" s="8"/>
      <c r="NLH4" s="8"/>
      <c r="NLI4" s="8"/>
      <c r="NLJ4" s="8"/>
      <c r="NLK4" s="8"/>
      <c r="NLL4" s="8"/>
      <c r="NLM4" s="8"/>
      <c r="NLN4" s="8"/>
      <c r="NLO4" s="8"/>
      <c r="NLP4" s="8"/>
      <c r="NLQ4" s="8"/>
      <c r="NLR4" s="8"/>
      <c r="NLS4" s="8"/>
      <c r="NLT4" s="8"/>
      <c r="NLU4" s="8"/>
      <c r="NLV4" s="8"/>
      <c r="NLW4" s="8"/>
      <c r="NLX4" s="8"/>
      <c r="NLY4" s="8"/>
      <c r="NLZ4" s="8"/>
      <c r="NMA4" s="8"/>
      <c r="NMB4" s="8"/>
      <c r="NMC4" s="8"/>
      <c r="NMD4" s="8"/>
      <c r="NME4" s="8"/>
      <c r="NMF4" s="8"/>
      <c r="NMG4" s="8"/>
      <c r="NMH4" s="8"/>
      <c r="NMI4" s="8"/>
      <c r="NMJ4" s="8"/>
      <c r="NMK4" s="8"/>
      <c r="NML4" s="8"/>
      <c r="NMM4" s="8"/>
      <c r="NMN4" s="8"/>
      <c r="NMO4" s="8"/>
      <c r="NMP4" s="8"/>
      <c r="NMQ4" s="8"/>
      <c r="NMR4" s="8"/>
      <c r="NMS4" s="8"/>
      <c r="NMT4" s="8"/>
      <c r="NMU4" s="8"/>
      <c r="NMV4" s="8"/>
      <c r="NMW4" s="8"/>
      <c r="NMX4" s="8"/>
      <c r="NMY4" s="8"/>
      <c r="NMZ4" s="8"/>
      <c r="NNA4" s="8"/>
      <c r="NNB4" s="8"/>
      <c r="NNC4" s="8"/>
      <c r="NND4" s="8"/>
      <c r="NNE4" s="8"/>
      <c r="NNF4" s="8"/>
      <c r="NNG4" s="8"/>
      <c r="NNH4" s="8"/>
      <c r="NNI4" s="8"/>
      <c r="NNJ4" s="8"/>
      <c r="NNK4" s="8"/>
      <c r="NNL4" s="8"/>
      <c r="NNM4" s="8"/>
      <c r="NNN4" s="8"/>
      <c r="NNO4" s="8"/>
      <c r="NNP4" s="8"/>
      <c r="NNQ4" s="8"/>
      <c r="NNR4" s="8"/>
      <c r="NNS4" s="8"/>
      <c r="NNT4" s="8"/>
      <c r="NNU4" s="8"/>
      <c r="NNV4" s="8"/>
      <c r="NNW4" s="8"/>
      <c r="NNX4" s="8"/>
      <c r="NNY4" s="8"/>
      <c r="NNZ4" s="8"/>
      <c r="NOA4" s="8"/>
      <c r="NOB4" s="8"/>
      <c r="NOC4" s="8"/>
      <c r="NOD4" s="8"/>
      <c r="NOE4" s="8"/>
      <c r="NOF4" s="8"/>
      <c r="NOG4" s="8"/>
      <c r="NOH4" s="8"/>
      <c r="NOI4" s="8"/>
      <c r="NOJ4" s="8"/>
      <c r="NOK4" s="8"/>
      <c r="NOL4" s="8"/>
      <c r="NOM4" s="8"/>
      <c r="NON4" s="8"/>
      <c r="NOO4" s="8"/>
      <c r="NOP4" s="8"/>
      <c r="NOQ4" s="8"/>
      <c r="NOR4" s="8"/>
      <c r="NOS4" s="8"/>
      <c r="NOT4" s="8"/>
      <c r="NOU4" s="8"/>
      <c r="NOV4" s="8"/>
      <c r="NOW4" s="8"/>
      <c r="NOX4" s="8"/>
      <c r="NOY4" s="8"/>
      <c r="NOZ4" s="8"/>
      <c r="NPA4" s="8"/>
      <c r="NPB4" s="8"/>
      <c r="NPC4" s="8"/>
      <c r="NPD4" s="8"/>
      <c r="NPE4" s="8"/>
      <c r="NPF4" s="8"/>
      <c r="NPG4" s="8"/>
      <c r="NPH4" s="8"/>
      <c r="NPI4" s="8"/>
      <c r="NPJ4" s="8"/>
      <c r="NPK4" s="8"/>
      <c r="NPL4" s="8"/>
      <c r="NPM4" s="8"/>
      <c r="NPN4" s="8"/>
      <c r="NPO4" s="8"/>
      <c r="NPP4" s="8"/>
      <c r="NPQ4" s="8"/>
      <c r="NPR4" s="8"/>
      <c r="NPS4" s="8"/>
      <c r="NPT4" s="8"/>
      <c r="NPU4" s="8"/>
      <c r="NPV4" s="8"/>
      <c r="NPW4" s="8"/>
      <c r="NPX4" s="8"/>
      <c r="NPY4" s="8"/>
      <c r="NPZ4" s="8"/>
      <c r="NQA4" s="8"/>
      <c r="NQB4" s="8"/>
      <c r="NQC4" s="8"/>
      <c r="NQD4" s="8"/>
      <c r="NQE4" s="8"/>
      <c r="NQF4" s="8"/>
      <c r="NQG4" s="8"/>
      <c r="NQH4" s="8"/>
      <c r="NQI4" s="8"/>
      <c r="NQJ4" s="8"/>
      <c r="NQK4" s="8"/>
      <c r="NQL4" s="8"/>
      <c r="NQM4" s="8"/>
      <c r="NQN4" s="8"/>
      <c r="NQO4" s="8"/>
      <c r="NQP4" s="8"/>
      <c r="NQQ4" s="8"/>
      <c r="NQR4" s="8"/>
      <c r="NQS4" s="8"/>
      <c r="NQT4" s="8"/>
      <c r="NQU4" s="8"/>
      <c r="NQV4" s="8"/>
      <c r="NQW4" s="8"/>
      <c r="NQX4" s="8"/>
      <c r="NQY4" s="8"/>
      <c r="NQZ4" s="8"/>
      <c r="NRA4" s="8"/>
      <c r="NRB4" s="8"/>
      <c r="NRC4" s="8"/>
      <c r="NRD4" s="8"/>
      <c r="NRE4" s="8"/>
      <c r="NRF4" s="8"/>
      <c r="NRG4" s="8"/>
      <c r="NRH4" s="8"/>
      <c r="NRI4" s="8"/>
      <c r="NRJ4" s="8"/>
      <c r="NRK4" s="8"/>
      <c r="NRL4" s="8"/>
      <c r="NRM4" s="8"/>
      <c r="NRN4" s="8"/>
      <c r="NRO4" s="8"/>
      <c r="NRP4" s="8"/>
      <c r="NRQ4" s="8"/>
      <c r="NRR4" s="8"/>
      <c r="NRS4" s="8"/>
      <c r="NRT4" s="8"/>
      <c r="NRU4" s="8"/>
      <c r="NRV4" s="8"/>
      <c r="NRW4" s="8"/>
      <c r="NRX4" s="8"/>
      <c r="NRY4" s="8"/>
      <c r="NRZ4" s="8"/>
      <c r="NSA4" s="8"/>
      <c r="NSB4" s="8"/>
      <c r="NSC4" s="8"/>
      <c r="NSD4" s="8"/>
      <c r="NSE4" s="8"/>
      <c r="NSF4" s="8"/>
      <c r="NSG4" s="8"/>
      <c r="NSH4" s="8"/>
      <c r="NSI4" s="8"/>
      <c r="NSJ4" s="8"/>
      <c r="NSK4" s="8"/>
      <c r="NSL4" s="8"/>
      <c r="NSM4" s="8"/>
      <c r="NSN4" s="8"/>
      <c r="NSO4" s="8"/>
      <c r="NSP4" s="8"/>
      <c r="NSQ4" s="8"/>
      <c r="NSR4" s="8"/>
      <c r="NSS4" s="8"/>
      <c r="NST4" s="8"/>
      <c r="NSU4" s="8"/>
      <c r="NSV4" s="8"/>
      <c r="NSW4" s="8"/>
      <c r="NSX4" s="8"/>
      <c r="NSY4" s="8"/>
      <c r="NSZ4" s="8"/>
      <c r="NTA4" s="8"/>
      <c r="NTB4" s="8"/>
      <c r="NTC4" s="8"/>
      <c r="NTD4" s="8"/>
      <c r="NTE4" s="8"/>
      <c r="NTF4" s="8"/>
      <c r="NTG4" s="8"/>
      <c r="NTH4" s="8"/>
      <c r="NTI4" s="8"/>
      <c r="NTJ4" s="8"/>
      <c r="NTK4" s="8"/>
      <c r="NTL4" s="8"/>
      <c r="NTM4" s="8"/>
      <c r="NTN4" s="8"/>
      <c r="NTO4" s="8"/>
      <c r="NTP4" s="8"/>
      <c r="NTQ4" s="8"/>
      <c r="NTR4" s="8"/>
      <c r="NTS4" s="8"/>
      <c r="NTT4" s="8"/>
      <c r="NTU4" s="8"/>
      <c r="NTV4" s="8"/>
      <c r="NTW4" s="8"/>
      <c r="NTX4" s="8"/>
      <c r="NTY4" s="8"/>
      <c r="NTZ4" s="8"/>
      <c r="NUA4" s="8"/>
      <c r="NUB4" s="8"/>
      <c r="NUC4" s="8"/>
      <c r="NUD4" s="8"/>
      <c r="NUE4" s="8"/>
      <c r="NUF4" s="8"/>
      <c r="NUG4" s="8"/>
      <c r="NUH4" s="8"/>
      <c r="NUI4" s="8"/>
      <c r="NUJ4" s="8"/>
      <c r="NUK4" s="8"/>
      <c r="NUL4" s="8"/>
      <c r="NUM4" s="8"/>
      <c r="NUN4" s="8"/>
      <c r="NUO4" s="8"/>
      <c r="NUP4" s="8"/>
      <c r="NUQ4" s="8"/>
      <c r="NUR4" s="8"/>
      <c r="NUS4" s="8"/>
      <c r="NUT4" s="8"/>
      <c r="NUU4" s="8"/>
      <c r="NUV4" s="8"/>
      <c r="NUW4" s="8"/>
      <c r="NUX4" s="8"/>
      <c r="NUY4" s="8"/>
      <c r="NUZ4" s="8"/>
      <c r="NVA4" s="8"/>
      <c r="NVB4" s="8"/>
      <c r="NVC4" s="8"/>
      <c r="NVD4" s="8"/>
      <c r="NVE4" s="8"/>
      <c r="NVF4" s="8"/>
      <c r="NVG4" s="8"/>
      <c r="NVH4" s="8"/>
      <c r="NVI4" s="8"/>
      <c r="NVJ4" s="8"/>
      <c r="NVK4" s="8"/>
      <c r="NVL4" s="8"/>
      <c r="NVM4" s="8"/>
      <c r="NVN4" s="8"/>
      <c r="NVO4" s="8"/>
      <c r="NVP4" s="8"/>
      <c r="NVQ4" s="8"/>
      <c r="NVR4" s="8"/>
      <c r="NVS4" s="8"/>
      <c r="NVT4" s="8"/>
      <c r="NVU4" s="8"/>
      <c r="NVV4" s="8"/>
      <c r="NVW4" s="8"/>
      <c r="NVX4" s="8"/>
      <c r="NVY4" s="8"/>
      <c r="NVZ4" s="8"/>
      <c r="NWA4" s="8"/>
      <c r="NWB4" s="8"/>
      <c r="NWC4" s="8"/>
      <c r="NWD4" s="8"/>
      <c r="NWE4" s="8"/>
      <c r="NWF4" s="8"/>
      <c r="NWG4" s="8"/>
      <c r="NWH4" s="8"/>
      <c r="NWI4" s="8"/>
      <c r="NWJ4" s="8"/>
      <c r="NWK4" s="8"/>
      <c r="NWL4" s="8"/>
      <c r="NWM4" s="8"/>
      <c r="NWN4" s="8"/>
      <c r="NWO4" s="8"/>
      <c r="NWP4" s="8"/>
      <c r="NWQ4" s="8"/>
      <c r="NWR4" s="8"/>
      <c r="NWS4" s="8"/>
      <c r="NWT4" s="8"/>
      <c r="NWU4" s="8"/>
      <c r="NWV4" s="8"/>
      <c r="NWW4" s="8"/>
      <c r="NWX4" s="8"/>
      <c r="NWY4" s="8"/>
      <c r="NWZ4" s="8"/>
      <c r="NXA4" s="8"/>
      <c r="NXB4" s="8"/>
      <c r="NXC4" s="8"/>
      <c r="NXD4" s="8"/>
      <c r="NXE4" s="8"/>
      <c r="NXF4" s="8"/>
      <c r="NXG4" s="8"/>
      <c r="NXH4" s="8"/>
      <c r="NXI4" s="8"/>
      <c r="NXJ4" s="8"/>
      <c r="NXK4" s="8"/>
      <c r="NXL4" s="8"/>
      <c r="NXM4" s="8"/>
      <c r="NXN4" s="8"/>
      <c r="NXO4" s="8"/>
      <c r="NXP4" s="8"/>
      <c r="NXQ4" s="8"/>
      <c r="NXR4" s="8"/>
      <c r="NXS4" s="8"/>
      <c r="NXT4" s="8"/>
      <c r="NXU4" s="8"/>
      <c r="NXV4" s="8"/>
      <c r="NXW4" s="8"/>
      <c r="NXX4" s="8"/>
      <c r="NXY4" s="8"/>
      <c r="NXZ4" s="8"/>
      <c r="NYA4" s="8"/>
      <c r="NYB4" s="8"/>
      <c r="NYC4" s="8"/>
      <c r="NYD4" s="8"/>
      <c r="NYE4" s="8"/>
      <c r="NYF4" s="8"/>
      <c r="NYG4" s="8"/>
      <c r="NYH4" s="8"/>
      <c r="NYI4" s="8"/>
      <c r="NYJ4" s="8"/>
      <c r="NYK4" s="8"/>
      <c r="NYL4" s="8"/>
      <c r="NYM4" s="8"/>
      <c r="NYN4" s="8"/>
      <c r="NYO4" s="8"/>
      <c r="NYP4" s="8"/>
      <c r="NYQ4" s="8"/>
      <c r="NYR4" s="8"/>
      <c r="NYS4" s="8"/>
      <c r="NYT4" s="8"/>
      <c r="NYU4" s="8"/>
      <c r="NYV4" s="8"/>
      <c r="NYW4" s="8"/>
      <c r="NYX4" s="8"/>
      <c r="NYY4" s="8"/>
      <c r="NYZ4" s="8"/>
      <c r="NZA4" s="8"/>
      <c r="NZB4" s="8"/>
      <c r="NZC4" s="8"/>
      <c r="NZD4" s="8"/>
      <c r="NZE4" s="8"/>
      <c r="NZF4" s="8"/>
      <c r="NZG4" s="8"/>
      <c r="NZH4" s="8"/>
      <c r="NZI4" s="8"/>
      <c r="NZJ4" s="8"/>
      <c r="NZK4" s="8"/>
      <c r="NZL4" s="8"/>
      <c r="NZM4" s="8"/>
      <c r="NZN4" s="8"/>
      <c r="NZO4" s="8"/>
      <c r="NZP4" s="8"/>
      <c r="NZQ4" s="8"/>
      <c r="NZR4" s="8"/>
      <c r="NZS4" s="8"/>
      <c r="NZT4" s="8"/>
      <c r="NZU4" s="8"/>
      <c r="NZV4" s="8"/>
      <c r="NZW4" s="8"/>
      <c r="NZX4" s="8"/>
      <c r="NZY4" s="8"/>
      <c r="NZZ4" s="8"/>
      <c r="OAA4" s="8"/>
      <c r="OAB4" s="8"/>
      <c r="OAC4" s="8"/>
      <c r="OAD4" s="8"/>
      <c r="OAE4" s="8"/>
      <c r="OAF4" s="8"/>
      <c r="OAG4" s="8"/>
      <c r="OAH4" s="8"/>
      <c r="OAI4" s="8"/>
      <c r="OAJ4" s="8"/>
      <c r="OAK4" s="8"/>
      <c r="OAL4" s="8"/>
      <c r="OAM4" s="8"/>
      <c r="OAN4" s="8"/>
      <c r="OAO4" s="8"/>
      <c r="OAP4" s="8"/>
      <c r="OAQ4" s="8"/>
      <c r="OAR4" s="8"/>
      <c r="OAS4" s="8"/>
      <c r="OAT4" s="8"/>
      <c r="OAU4" s="8"/>
      <c r="OAV4" s="8"/>
      <c r="OAW4" s="8"/>
      <c r="OAX4" s="8"/>
      <c r="OAY4" s="8"/>
      <c r="OAZ4" s="8"/>
      <c r="OBA4" s="8"/>
      <c r="OBB4" s="8"/>
      <c r="OBC4" s="8"/>
      <c r="OBD4" s="8"/>
      <c r="OBE4" s="8"/>
      <c r="OBF4" s="8"/>
      <c r="OBG4" s="8"/>
      <c r="OBH4" s="8"/>
      <c r="OBI4" s="8"/>
      <c r="OBJ4" s="8"/>
      <c r="OBK4" s="8"/>
      <c r="OBL4" s="8"/>
      <c r="OBM4" s="8"/>
      <c r="OBN4" s="8"/>
      <c r="OBO4" s="8"/>
      <c r="OBP4" s="8"/>
      <c r="OBQ4" s="8"/>
      <c r="OBR4" s="8"/>
      <c r="OBS4" s="8"/>
      <c r="OBT4" s="8"/>
      <c r="OBU4" s="8"/>
      <c r="OBV4" s="8"/>
      <c r="OBW4" s="8"/>
      <c r="OBX4" s="8"/>
      <c r="OBY4" s="8"/>
      <c r="OBZ4" s="8"/>
      <c r="OCA4" s="8"/>
      <c r="OCB4" s="8"/>
      <c r="OCC4" s="8"/>
      <c r="OCD4" s="8"/>
      <c r="OCE4" s="8"/>
      <c r="OCF4" s="8"/>
      <c r="OCG4" s="8"/>
      <c r="OCH4" s="8"/>
      <c r="OCI4" s="8"/>
      <c r="OCJ4" s="8"/>
      <c r="OCK4" s="8"/>
      <c r="OCL4" s="8"/>
      <c r="OCM4" s="8"/>
      <c r="OCN4" s="8"/>
      <c r="OCO4" s="8"/>
      <c r="OCP4" s="8"/>
      <c r="OCQ4" s="8"/>
      <c r="OCR4" s="8"/>
      <c r="OCS4" s="8"/>
      <c r="OCT4" s="8"/>
      <c r="OCU4" s="8"/>
      <c r="OCV4" s="8"/>
      <c r="OCW4" s="8"/>
      <c r="OCX4" s="8"/>
      <c r="OCY4" s="8"/>
      <c r="OCZ4" s="8"/>
      <c r="ODA4" s="8"/>
      <c r="ODB4" s="8"/>
      <c r="ODC4" s="8"/>
      <c r="ODD4" s="8"/>
      <c r="ODE4" s="8"/>
      <c r="ODF4" s="8"/>
      <c r="ODG4" s="8"/>
      <c r="ODH4" s="8"/>
      <c r="ODI4" s="8"/>
      <c r="ODJ4" s="8"/>
      <c r="ODK4" s="8"/>
      <c r="ODL4" s="8"/>
      <c r="ODM4" s="8"/>
      <c r="ODN4" s="8"/>
      <c r="ODO4" s="8"/>
      <c r="ODP4" s="8"/>
      <c r="ODQ4" s="8"/>
      <c r="ODR4" s="8"/>
      <c r="ODS4" s="8"/>
      <c r="ODT4" s="8"/>
      <c r="ODU4" s="8"/>
      <c r="ODV4" s="8"/>
      <c r="ODW4" s="8"/>
      <c r="ODX4" s="8"/>
      <c r="ODY4" s="8"/>
      <c r="ODZ4" s="8"/>
      <c r="OEA4" s="8"/>
      <c r="OEB4" s="8"/>
      <c r="OEC4" s="8"/>
      <c r="OED4" s="8"/>
      <c r="OEE4" s="8"/>
      <c r="OEF4" s="8"/>
      <c r="OEG4" s="8"/>
      <c r="OEH4" s="8"/>
      <c r="OEI4" s="8"/>
      <c r="OEJ4" s="8"/>
      <c r="OEK4" s="8"/>
      <c r="OEL4" s="8"/>
      <c r="OEM4" s="8"/>
      <c r="OEN4" s="8"/>
      <c r="OEO4" s="8"/>
      <c r="OEP4" s="8"/>
      <c r="OEQ4" s="8"/>
      <c r="OER4" s="8"/>
      <c r="OES4" s="8"/>
      <c r="OET4" s="8"/>
      <c r="OEU4" s="8"/>
      <c r="OEV4" s="8"/>
      <c r="OEW4" s="8"/>
      <c r="OEX4" s="8"/>
      <c r="OEY4" s="8"/>
      <c r="OEZ4" s="8"/>
      <c r="OFA4" s="8"/>
      <c r="OFB4" s="8"/>
      <c r="OFC4" s="8"/>
      <c r="OFD4" s="8"/>
      <c r="OFE4" s="8"/>
      <c r="OFF4" s="8"/>
      <c r="OFG4" s="8"/>
      <c r="OFH4" s="8"/>
      <c r="OFI4" s="8"/>
      <c r="OFJ4" s="8"/>
      <c r="OFK4" s="8"/>
      <c r="OFL4" s="8"/>
      <c r="OFM4" s="8"/>
      <c r="OFN4" s="8"/>
      <c r="OFO4" s="8"/>
      <c r="OFP4" s="8"/>
      <c r="OFQ4" s="8"/>
      <c r="OFR4" s="8"/>
      <c r="OFS4" s="8"/>
      <c r="OFT4" s="8"/>
      <c r="OFU4" s="8"/>
      <c r="OFV4" s="8"/>
      <c r="OFW4" s="8"/>
      <c r="OFX4" s="8"/>
      <c r="OFY4" s="8"/>
      <c r="OFZ4" s="8"/>
      <c r="OGA4" s="8"/>
      <c r="OGB4" s="8"/>
      <c r="OGC4" s="8"/>
      <c r="OGD4" s="8"/>
      <c r="OGE4" s="8"/>
      <c r="OGF4" s="8"/>
      <c r="OGG4" s="8"/>
      <c r="OGH4" s="8"/>
      <c r="OGI4" s="8"/>
      <c r="OGJ4" s="8"/>
      <c r="OGK4" s="8"/>
      <c r="OGL4" s="8"/>
      <c r="OGM4" s="8"/>
      <c r="OGN4" s="8"/>
      <c r="OGO4" s="8"/>
      <c r="OGP4" s="8"/>
      <c r="OGQ4" s="8"/>
      <c r="OGR4" s="8"/>
      <c r="OGS4" s="8"/>
      <c r="OGT4" s="8"/>
      <c r="OGU4" s="8"/>
      <c r="OGV4" s="8"/>
      <c r="OGW4" s="8"/>
      <c r="OGX4" s="8"/>
      <c r="OGY4" s="8"/>
      <c r="OGZ4" s="8"/>
      <c r="OHA4" s="8"/>
      <c r="OHB4" s="8"/>
      <c r="OHC4" s="8"/>
      <c r="OHD4" s="8"/>
      <c r="OHE4" s="8"/>
      <c r="OHF4" s="8"/>
      <c r="OHG4" s="8"/>
      <c r="OHH4" s="8"/>
      <c r="OHI4" s="8"/>
      <c r="OHJ4" s="8"/>
      <c r="OHK4" s="8"/>
      <c r="OHL4" s="8"/>
      <c r="OHM4" s="8"/>
      <c r="OHN4" s="8"/>
      <c r="OHO4" s="8"/>
      <c r="OHP4" s="8"/>
      <c r="OHQ4" s="8"/>
      <c r="OHR4" s="8"/>
      <c r="OHS4" s="8"/>
      <c r="OHT4" s="8"/>
      <c r="OHU4" s="8"/>
      <c r="OHV4" s="8"/>
      <c r="OHW4" s="8"/>
      <c r="OHX4" s="8"/>
      <c r="OHY4" s="8"/>
      <c r="OHZ4" s="8"/>
      <c r="OIA4" s="8"/>
      <c r="OIB4" s="8"/>
      <c r="OIC4" s="8"/>
      <c r="OID4" s="8"/>
      <c r="OIE4" s="8"/>
      <c r="OIF4" s="8"/>
      <c r="OIG4" s="8"/>
      <c r="OIH4" s="8"/>
      <c r="OII4" s="8"/>
      <c r="OIJ4" s="8"/>
      <c r="OIK4" s="8"/>
      <c r="OIL4" s="8"/>
      <c r="OIM4" s="8"/>
      <c r="OIN4" s="8"/>
      <c r="OIO4" s="8"/>
      <c r="OIP4" s="8"/>
      <c r="OIQ4" s="8"/>
      <c r="OIR4" s="8"/>
      <c r="OIS4" s="8"/>
      <c r="OIT4" s="8"/>
      <c r="OIU4" s="8"/>
      <c r="OIV4" s="8"/>
      <c r="OIW4" s="8"/>
      <c r="OIX4" s="8"/>
      <c r="OIY4" s="8"/>
      <c r="OIZ4" s="8"/>
      <c r="OJA4" s="8"/>
      <c r="OJB4" s="8"/>
      <c r="OJC4" s="8"/>
      <c r="OJD4" s="8"/>
      <c r="OJE4" s="8"/>
      <c r="OJF4" s="8"/>
      <c r="OJG4" s="8"/>
      <c r="OJH4" s="8"/>
      <c r="OJI4" s="8"/>
      <c r="OJJ4" s="8"/>
      <c r="OJK4" s="8"/>
      <c r="OJL4" s="8"/>
      <c r="OJM4" s="8"/>
      <c r="OJN4" s="8"/>
      <c r="OJO4" s="8"/>
      <c r="OJP4" s="8"/>
      <c r="OJQ4" s="8"/>
      <c r="OJR4" s="8"/>
      <c r="OJS4" s="8"/>
      <c r="OJT4" s="8"/>
      <c r="OJU4" s="8"/>
      <c r="OJV4" s="8"/>
      <c r="OJW4" s="8"/>
      <c r="OJX4" s="8"/>
      <c r="OJY4" s="8"/>
      <c r="OJZ4" s="8"/>
      <c r="OKA4" s="8"/>
      <c r="OKB4" s="8"/>
      <c r="OKC4" s="8"/>
      <c r="OKD4" s="8"/>
      <c r="OKE4" s="8"/>
      <c r="OKF4" s="8"/>
      <c r="OKG4" s="8"/>
      <c r="OKH4" s="8"/>
      <c r="OKI4" s="8"/>
      <c r="OKJ4" s="8"/>
      <c r="OKK4" s="8"/>
      <c r="OKL4" s="8"/>
      <c r="OKM4" s="8"/>
      <c r="OKN4" s="8"/>
      <c r="OKO4" s="8"/>
      <c r="OKP4" s="8"/>
      <c r="OKQ4" s="8"/>
      <c r="OKR4" s="8"/>
      <c r="OKS4" s="8"/>
      <c r="OKT4" s="8"/>
      <c r="OKU4" s="8"/>
      <c r="OKV4" s="8"/>
      <c r="OKW4" s="8"/>
      <c r="OKX4" s="8"/>
      <c r="OKY4" s="8"/>
      <c r="OKZ4" s="8"/>
      <c r="OLA4" s="8"/>
      <c r="OLB4" s="8"/>
      <c r="OLC4" s="8"/>
      <c r="OLD4" s="8"/>
      <c r="OLE4" s="8"/>
      <c r="OLF4" s="8"/>
      <c r="OLG4" s="8"/>
      <c r="OLH4" s="8"/>
      <c r="OLI4" s="8"/>
      <c r="OLJ4" s="8"/>
      <c r="OLK4" s="8"/>
      <c r="OLL4" s="8"/>
      <c r="OLM4" s="8"/>
      <c r="OLN4" s="8"/>
      <c r="OLO4" s="8"/>
      <c r="OLP4" s="8"/>
      <c r="OLQ4" s="8"/>
      <c r="OLR4" s="8"/>
      <c r="OLS4" s="8"/>
      <c r="OLT4" s="8"/>
      <c r="OLU4" s="8"/>
      <c r="OLV4" s="8"/>
      <c r="OLW4" s="8"/>
      <c r="OLX4" s="8"/>
      <c r="OLY4" s="8"/>
      <c r="OLZ4" s="8"/>
      <c r="OMA4" s="8"/>
      <c r="OMB4" s="8"/>
      <c r="OMC4" s="8"/>
      <c r="OMD4" s="8"/>
      <c r="OME4" s="8"/>
      <c r="OMF4" s="8"/>
      <c r="OMG4" s="8"/>
      <c r="OMH4" s="8"/>
      <c r="OMI4" s="8"/>
      <c r="OMJ4" s="8"/>
      <c r="OMK4" s="8"/>
      <c r="OML4" s="8"/>
      <c r="OMM4" s="8"/>
      <c r="OMN4" s="8"/>
      <c r="OMO4" s="8"/>
      <c r="OMP4" s="8"/>
      <c r="OMQ4" s="8"/>
      <c r="OMR4" s="8"/>
      <c r="OMS4" s="8"/>
      <c r="OMT4" s="8"/>
      <c r="OMU4" s="8"/>
      <c r="OMV4" s="8"/>
      <c r="OMW4" s="8"/>
      <c r="OMX4" s="8"/>
      <c r="OMY4" s="8"/>
      <c r="OMZ4" s="8"/>
      <c r="ONA4" s="8"/>
      <c r="ONB4" s="8"/>
      <c r="ONC4" s="8"/>
      <c r="OND4" s="8"/>
      <c r="ONE4" s="8"/>
      <c r="ONF4" s="8"/>
      <c r="ONG4" s="8"/>
      <c r="ONH4" s="8"/>
      <c r="ONI4" s="8"/>
      <c r="ONJ4" s="8"/>
      <c r="ONK4" s="8"/>
      <c r="ONL4" s="8"/>
      <c r="ONM4" s="8"/>
      <c r="ONN4" s="8"/>
      <c r="ONO4" s="8"/>
      <c r="ONP4" s="8"/>
      <c r="ONQ4" s="8"/>
      <c r="ONR4" s="8"/>
      <c r="ONS4" s="8"/>
      <c r="ONT4" s="8"/>
      <c r="ONU4" s="8"/>
      <c r="ONV4" s="8"/>
      <c r="ONW4" s="8"/>
      <c r="ONX4" s="8"/>
      <c r="ONY4" s="8"/>
      <c r="ONZ4" s="8"/>
      <c r="OOA4" s="8"/>
      <c r="OOB4" s="8"/>
      <c r="OOC4" s="8"/>
      <c r="OOD4" s="8"/>
      <c r="OOE4" s="8"/>
      <c r="OOF4" s="8"/>
      <c r="OOG4" s="8"/>
      <c r="OOH4" s="8"/>
      <c r="OOI4" s="8"/>
      <c r="OOJ4" s="8"/>
      <c r="OOK4" s="8"/>
      <c r="OOL4" s="8"/>
      <c r="OOM4" s="8"/>
      <c r="OON4" s="8"/>
      <c r="OOO4" s="8"/>
      <c r="OOP4" s="8"/>
      <c r="OOQ4" s="8"/>
      <c r="OOR4" s="8"/>
      <c r="OOS4" s="8"/>
      <c r="OOT4" s="8"/>
      <c r="OOU4" s="8"/>
      <c r="OOV4" s="8"/>
      <c r="OOW4" s="8"/>
      <c r="OOX4" s="8"/>
      <c r="OOY4" s="8"/>
      <c r="OOZ4" s="8"/>
      <c r="OPA4" s="8"/>
      <c r="OPB4" s="8"/>
      <c r="OPC4" s="8"/>
      <c r="OPD4" s="8"/>
      <c r="OPE4" s="8"/>
      <c r="OPF4" s="8"/>
      <c r="OPG4" s="8"/>
      <c r="OPH4" s="8"/>
      <c r="OPI4" s="8"/>
      <c r="OPJ4" s="8"/>
      <c r="OPK4" s="8"/>
      <c r="OPL4" s="8"/>
      <c r="OPM4" s="8"/>
      <c r="OPN4" s="8"/>
      <c r="OPO4" s="8"/>
      <c r="OPP4" s="8"/>
      <c r="OPQ4" s="8"/>
      <c r="OPR4" s="8"/>
      <c r="OPS4" s="8"/>
      <c r="OPT4" s="8"/>
      <c r="OPU4" s="8"/>
      <c r="OPV4" s="8"/>
      <c r="OPW4" s="8"/>
      <c r="OPX4" s="8"/>
      <c r="OPY4" s="8"/>
      <c r="OPZ4" s="8"/>
      <c r="OQA4" s="8"/>
      <c r="OQB4" s="8"/>
      <c r="OQC4" s="8"/>
      <c r="OQD4" s="8"/>
      <c r="OQE4" s="8"/>
      <c r="OQF4" s="8"/>
      <c r="OQG4" s="8"/>
      <c r="OQH4" s="8"/>
      <c r="OQI4" s="8"/>
      <c r="OQJ4" s="8"/>
      <c r="OQK4" s="8"/>
      <c r="OQL4" s="8"/>
      <c r="OQM4" s="8"/>
      <c r="OQN4" s="8"/>
      <c r="OQO4" s="8"/>
      <c r="OQP4" s="8"/>
      <c r="OQQ4" s="8"/>
      <c r="OQR4" s="8"/>
      <c r="OQS4" s="8"/>
      <c r="OQT4" s="8"/>
      <c r="OQU4" s="8"/>
      <c r="OQV4" s="8"/>
      <c r="OQW4" s="8"/>
      <c r="OQX4" s="8"/>
      <c r="OQY4" s="8"/>
      <c r="OQZ4" s="8"/>
      <c r="ORA4" s="8"/>
      <c r="ORB4" s="8"/>
      <c r="ORC4" s="8"/>
      <c r="ORD4" s="8"/>
      <c r="ORE4" s="8"/>
      <c r="ORF4" s="8"/>
      <c r="ORG4" s="8"/>
      <c r="ORH4" s="8"/>
      <c r="ORI4" s="8"/>
      <c r="ORJ4" s="8"/>
      <c r="ORK4" s="8"/>
      <c r="ORL4" s="8"/>
      <c r="ORM4" s="8"/>
      <c r="ORN4" s="8"/>
      <c r="ORO4" s="8"/>
      <c r="ORP4" s="8"/>
      <c r="ORQ4" s="8"/>
      <c r="ORR4" s="8"/>
      <c r="ORS4" s="8"/>
      <c r="ORT4" s="8"/>
      <c r="ORU4" s="8"/>
      <c r="ORV4" s="8"/>
      <c r="ORW4" s="8"/>
      <c r="ORX4" s="8"/>
      <c r="ORY4" s="8"/>
      <c r="ORZ4" s="8"/>
      <c r="OSA4" s="8"/>
      <c r="OSB4" s="8"/>
      <c r="OSC4" s="8"/>
      <c r="OSD4" s="8"/>
      <c r="OSE4" s="8"/>
      <c r="OSF4" s="8"/>
      <c r="OSG4" s="8"/>
      <c r="OSH4" s="8"/>
      <c r="OSI4" s="8"/>
      <c r="OSJ4" s="8"/>
      <c r="OSK4" s="8"/>
      <c r="OSL4" s="8"/>
      <c r="OSM4" s="8"/>
      <c r="OSN4" s="8"/>
      <c r="OSO4" s="8"/>
      <c r="OSP4" s="8"/>
      <c r="OSQ4" s="8"/>
      <c r="OSR4" s="8"/>
      <c r="OSS4" s="8"/>
      <c r="OST4" s="8"/>
      <c r="OSU4" s="8"/>
      <c r="OSV4" s="8"/>
      <c r="OSW4" s="8"/>
      <c r="OSX4" s="8"/>
      <c r="OSY4" s="8"/>
      <c r="OSZ4" s="8"/>
      <c r="OTA4" s="8"/>
      <c r="OTB4" s="8"/>
      <c r="OTC4" s="8"/>
      <c r="OTD4" s="8"/>
      <c r="OTE4" s="8"/>
      <c r="OTF4" s="8"/>
      <c r="OTG4" s="8"/>
      <c r="OTH4" s="8"/>
      <c r="OTI4" s="8"/>
      <c r="OTJ4" s="8"/>
      <c r="OTK4" s="8"/>
      <c r="OTL4" s="8"/>
      <c r="OTM4" s="8"/>
      <c r="OTN4" s="8"/>
      <c r="OTO4" s="8"/>
      <c r="OTP4" s="8"/>
      <c r="OTQ4" s="8"/>
      <c r="OTR4" s="8"/>
      <c r="OTS4" s="8"/>
      <c r="OTT4" s="8"/>
      <c r="OTU4" s="8"/>
      <c r="OTV4" s="8"/>
      <c r="OTW4" s="8"/>
      <c r="OTX4" s="8"/>
      <c r="OTY4" s="8"/>
      <c r="OTZ4" s="8"/>
      <c r="OUA4" s="8"/>
      <c r="OUB4" s="8"/>
      <c r="OUC4" s="8"/>
      <c r="OUD4" s="8"/>
      <c r="OUE4" s="8"/>
      <c r="OUF4" s="8"/>
      <c r="OUG4" s="8"/>
      <c r="OUH4" s="8"/>
      <c r="OUI4" s="8"/>
      <c r="OUJ4" s="8"/>
      <c r="OUK4" s="8"/>
      <c r="OUL4" s="8"/>
      <c r="OUM4" s="8"/>
      <c r="OUN4" s="8"/>
      <c r="OUO4" s="8"/>
      <c r="OUP4" s="8"/>
      <c r="OUQ4" s="8"/>
      <c r="OUR4" s="8"/>
      <c r="OUS4" s="8"/>
      <c r="OUT4" s="8"/>
      <c r="OUU4" s="8"/>
      <c r="OUV4" s="8"/>
      <c r="OUW4" s="8"/>
      <c r="OUX4" s="8"/>
      <c r="OUY4" s="8"/>
      <c r="OUZ4" s="8"/>
      <c r="OVA4" s="8"/>
      <c r="OVB4" s="8"/>
      <c r="OVC4" s="8"/>
      <c r="OVD4" s="8"/>
      <c r="OVE4" s="8"/>
      <c r="OVF4" s="8"/>
      <c r="OVG4" s="8"/>
      <c r="OVH4" s="8"/>
      <c r="OVI4" s="8"/>
      <c r="OVJ4" s="8"/>
      <c r="OVK4" s="8"/>
      <c r="OVL4" s="8"/>
      <c r="OVM4" s="8"/>
      <c r="OVN4" s="8"/>
      <c r="OVO4" s="8"/>
      <c r="OVP4" s="8"/>
      <c r="OVQ4" s="8"/>
      <c r="OVR4" s="8"/>
      <c r="OVS4" s="8"/>
      <c r="OVT4" s="8"/>
      <c r="OVU4" s="8"/>
      <c r="OVV4" s="8"/>
      <c r="OVW4" s="8"/>
      <c r="OVX4" s="8"/>
      <c r="OVY4" s="8"/>
      <c r="OVZ4" s="8"/>
      <c r="OWA4" s="8"/>
      <c r="OWB4" s="8"/>
      <c r="OWC4" s="8"/>
      <c r="OWD4" s="8"/>
      <c r="OWE4" s="8"/>
      <c r="OWF4" s="8"/>
      <c r="OWG4" s="8"/>
      <c r="OWH4" s="8"/>
      <c r="OWI4" s="8"/>
      <c r="OWJ4" s="8"/>
      <c r="OWK4" s="8"/>
      <c r="OWL4" s="8"/>
      <c r="OWM4" s="8"/>
      <c r="OWN4" s="8"/>
      <c r="OWO4" s="8"/>
      <c r="OWP4" s="8"/>
      <c r="OWQ4" s="8"/>
      <c r="OWR4" s="8"/>
      <c r="OWS4" s="8"/>
      <c r="OWT4" s="8"/>
      <c r="OWU4" s="8"/>
      <c r="OWV4" s="8"/>
      <c r="OWW4" s="8"/>
      <c r="OWX4" s="8"/>
      <c r="OWY4" s="8"/>
      <c r="OWZ4" s="8"/>
      <c r="OXA4" s="8"/>
      <c r="OXB4" s="8"/>
      <c r="OXC4" s="8"/>
      <c r="OXD4" s="8"/>
      <c r="OXE4" s="8"/>
      <c r="OXF4" s="8"/>
      <c r="OXG4" s="8"/>
      <c r="OXH4" s="8"/>
      <c r="OXI4" s="8"/>
      <c r="OXJ4" s="8"/>
      <c r="OXK4" s="8"/>
      <c r="OXL4" s="8"/>
      <c r="OXM4" s="8"/>
      <c r="OXN4" s="8"/>
      <c r="OXO4" s="8"/>
      <c r="OXP4" s="8"/>
      <c r="OXQ4" s="8"/>
      <c r="OXR4" s="8"/>
      <c r="OXS4" s="8"/>
      <c r="OXT4" s="8"/>
      <c r="OXU4" s="8"/>
      <c r="OXV4" s="8"/>
      <c r="OXW4" s="8"/>
      <c r="OXX4" s="8"/>
      <c r="OXY4" s="8"/>
      <c r="OXZ4" s="8"/>
      <c r="OYA4" s="8"/>
      <c r="OYB4" s="8"/>
      <c r="OYC4" s="8"/>
      <c r="OYD4" s="8"/>
      <c r="OYE4" s="8"/>
      <c r="OYF4" s="8"/>
      <c r="OYG4" s="8"/>
      <c r="OYH4" s="8"/>
      <c r="OYI4" s="8"/>
      <c r="OYJ4" s="8"/>
      <c r="OYK4" s="8"/>
      <c r="OYL4" s="8"/>
      <c r="OYM4" s="8"/>
      <c r="OYN4" s="8"/>
      <c r="OYO4" s="8"/>
      <c r="OYP4" s="8"/>
      <c r="OYQ4" s="8"/>
      <c r="OYR4" s="8"/>
      <c r="OYS4" s="8"/>
      <c r="OYT4" s="8"/>
      <c r="OYU4" s="8"/>
      <c r="OYV4" s="8"/>
      <c r="OYW4" s="8"/>
      <c r="OYX4" s="8"/>
      <c r="OYY4" s="8"/>
      <c r="OYZ4" s="8"/>
      <c r="OZA4" s="8"/>
      <c r="OZB4" s="8"/>
      <c r="OZC4" s="8"/>
      <c r="OZD4" s="8"/>
      <c r="OZE4" s="8"/>
      <c r="OZF4" s="8"/>
      <c r="OZG4" s="8"/>
      <c r="OZH4" s="8"/>
      <c r="OZI4" s="8"/>
      <c r="OZJ4" s="8"/>
      <c r="OZK4" s="8"/>
      <c r="OZL4" s="8"/>
      <c r="OZM4" s="8"/>
      <c r="OZN4" s="8"/>
      <c r="OZO4" s="8"/>
      <c r="OZP4" s="8"/>
      <c r="OZQ4" s="8"/>
      <c r="OZR4" s="8"/>
      <c r="OZS4" s="8"/>
      <c r="OZT4" s="8"/>
      <c r="OZU4" s="8"/>
      <c r="OZV4" s="8"/>
      <c r="OZW4" s="8"/>
      <c r="OZX4" s="8"/>
      <c r="OZY4" s="8"/>
      <c r="OZZ4" s="8"/>
      <c r="PAA4" s="8"/>
      <c r="PAB4" s="8"/>
      <c r="PAC4" s="8"/>
      <c r="PAD4" s="8"/>
      <c r="PAE4" s="8"/>
      <c r="PAF4" s="8"/>
      <c r="PAG4" s="8"/>
      <c r="PAH4" s="8"/>
      <c r="PAI4" s="8"/>
      <c r="PAJ4" s="8"/>
      <c r="PAK4" s="8"/>
      <c r="PAL4" s="8"/>
      <c r="PAM4" s="8"/>
      <c r="PAN4" s="8"/>
      <c r="PAO4" s="8"/>
      <c r="PAP4" s="8"/>
      <c r="PAQ4" s="8"/>
      <c r="PAR4" s="8"/>
      <c r="PAS4" s="8"/>
      <c r="PAT4" s="8"/>
      <c r="PAU4" s="8"/>
      <c r="PAV4" s="8"/>
      <c r="PAW4" s="8"/>
      <c r="PAX4" s="8"/>
      <c r="PAY4" s="8"/>
      <c r="PAZ4" s="8"/>
      <c r="PBA4" s="8"/>
      <c r="PBB4" s="8"/>
      <c r="PBC4" s="8"/>
      <c r="PBD4" s="8"/>
      <c r="PBE4" s="8"/>
      <c r="PBF4" s="8"/>
      <c r="PBG4" s="8"/>
      <c r="PBH4" s="8"/>
      <c r="PBI4" s="8"/>
      <c r="PBJ4" s="8"/>
      <c r="PBK4" s="8"/>
      <c r="PBL4" s="8"/>
      <c r="PBM4" s="8"/>
      <c r="PBN4" s="8"/>
      <c r="PBO4" s="8"/>
      <c r="PBP4" s="8"/>
      <c r="PBQ4" s="8"/>
      <c r="PBR4" s="8"/>
      <c r="PBS4" s="8"/>
      <c r="PBT4" s="8"/>
      <c r="PBU4" s="8"/>
      <c r="PBV4" s="8"/>
      <c r="PBW4" s="8"/>
      <c r="PBX4" s="8"/>
      <c r="PBY4" s="8"/>
      <c r="PBZ4" s="8"/>
      <c r="PCA4" s="8"/>
      <c r="PCB4" s="8"/>
      <c r="PCC4" s="8"/>
      <c r="PCD4" s="8"/>
      <c r="PCE4" s="8"/>
      <c r="PCF4" s="8"/>
      <c r="PCG4" s="8"/>
      <c r="PCH4" s="8"/>
      <c r="PCI4" s="8"/>
      <c r="PCJ4" s="8"/>
      <c r="PCK4" s="8"/>
      <c r="PCL4" s="8"/>
      <c r="PCM4" s="8"/>
      <c r="PCN4" s="8"/>
      <c r="PCO4" s="8"/>
      <c r="PCP4" s="8"/>
      <c r="PCQ4" s="8"/>
      <c r="PCR4" s="8"/>
      <c r="PCS4" s="8"/>
      <c r="PCT4" s="8"/>
      <c r="PCU4" s="8"/>
      <c r="PCV4" s="8"/>
      <c r="PCW4" s="8"/>
      <c r="PCX4" s="8"/>
      <c r="PCY4" s="8"/>
      <c r="PCZ4" s="8"/>
      <c r="PDA4" s="8"/>
      <c r="PDB4" s="8"/>
      <c r="PDC4" s="8"/>
      <c r="PDD4" s="8"/>
      <c r="PDE4" s="8"/>
      <c r="PDF4" s="8"/>
      <c r="PDG4" s="8"/>
      <c r="PDH4" s="8"/>
      <c r="PDI4" s="8"/>
      <c r="PDJ4" s="8"/>
      <c r="PDK4" s="8"/>
      <c r="PDL4" s="8"/>
      <c r="PDM4" s="8"/>
      <c r="PDN4" s="8"/>
      <c r="PDO4" s="8"/>
      <c r="PDP4" s="8"/>
      <c r="PDQ4" s="8"/>
      <c r="PDR4" s="8"/>
      <c r="PDS4" s="8"/>
      <c r="PDT4" s="8"/>
      <c r="PDU4" s="8"/>
      <c r="PDV4" s="8"/>
      <c r="PDW4" s="8"/>
      <c r="PDX4" s="8"/>
      <c r="PDY4" s="8"/>
      <c r="PDZ4" s="8"/>
      <c r="PEA4" s="8"/>
      <c r="PEB4" s="8"/>
      <c r="PEC4" s="8"/>
      <c r="PED4" s="8"/>
      <c r="PEE4" s="8"/>
      <c r="PEF4" s="8"/>
      <c r="PEG4" s="8"/>
      <c r="PEH4" s="8"/>
      <c r="PEI4" s="8"/>
      <c r="PEJ4" s="8"/>
      <c r="PEK4" s="8"/>
      <c r="PEL4" s="8"/>
      <c r="PEM4" s="8"/>
      <c r="PEN4" s="8"/>
      <c r="PEO4" s="8"/>
      <c r="PEP4" s="8"/>
      <c r="PEQ4" s="8"/>
      <c r="PER4" s="8"/>
      <c r="PES4" s="8"/>
      <c r="PET4" s="8"/>
      <c r="PEU4" s="8"/>
      <c r="PEV4" s="8"/>
      <c r="PEW4" s="8"/>
      <c r="PEX4" s="8"/>
      <c r="PEY4" s="8"/>
      <c r="PEZ4" s="8"/>
      <c r="PFA4" s="8"/>
      <c r="PFB4" s="8"/>
      <c r="PFC4" s="8"/>
      <c r="PFD4" s="8"/>
      <c r="PFE4" s="8"/>
      <c r="PFF4" s="8"/>
      <c r="PFG4" s="8"/>
      <c r="PFH4" s="8"/>
      <c r="PFI4" s="8"/>
      <c r="PFJ4" s="8"/>
      <c r="PFK4" s="8"/>
      <c r="PFL4" s="8"/>
      <c r="PFM4" s="8"/>
      <c r="PFN4" s="8"/>
      <c r="PFO4" s="8"/>
      <c r="PFP4" s="8"/>
      <c r="PFQ4" s="8"/>
      <c r="PFR4" s="8"/>
      <c r="PFS4" s="8"/>
      <c r="PFT4" s="8"/>
      <c r="PFU4" s="8"/>
      <c r="PFV4" s="8"/>
      <c r="PFW4" s="8"/>
      <c r="PFX4" s="8"/>
      <c r="PFY4" s="8"/>
      <c r="PFZ4" s="8"/>
      <c r="PGA4" s="8"/>
      <c r="PGB4" s="8"/>
      <c r="PGC4" s="8"/>
      <c r="PGD4" s="8"/>
      <c r="PGE4" s="8"/>
      <c r="PGF4" s="8"/>
      <c r="PGG4" s="8"/>
      <c r="PGH4" s="8"/>
      <c r="PGI4" s="8"/>
      <c r="PGJ4" s="8"/>
      <c r="PGK4" s="8"/>
      <c r="PGL4" s="8"/>
      <c r="PGM4" s="8"/>
      <c r="PGN4" s="8"/>
      <c r="PGO4" s="8"/>
      <c r="PGP4" s="8"/>
      <c r="PGQ4" s="8"/>
      <c r="PGR4" s="8"/>
      <c r="PGS4" s="8"/>
      <c r="PGT4" s="8"/>
      <c r="PGU4" s="8"/>
      <c r="PGV4" s="8"/>
      <c r="PGW4" s="8"/>
      <c r="PGX4" s="8"/>
      <c r="PGY4" s="8"/>
      <c r="PGZ4" s="8"/>
      <c r="PHA4" s="8"/>
      <c r="PHB4" s="8"/>
      <c r="PHC4" s="8"/>
      <c r="PHD4" s="8"/>
      <c r="PHE4" s="8"/>
      <c r="PHF4" s="8"/>
      <c r="PHG4" s="8"/>
      <c r="PHH4" s="8"/>
      <c r="PHI4" s="8"/>
      <c r="PHJ4" s="8"/>
      <c r="PHK4" s="8"/>
      <c r="PHL4" s="8"/>
      <c r="PHM4" s="8"/>
      <c r="PHN4" s="8"/>
      <c r="PHO4" s="8"/>
      <c r="PHP4" s="8"/>
      <c r="PHQ4" s="8"/>
      <c r="PHR4" s="8"/>
      <c r="PHS4" s="8"/>
      <c r="PHT4" s="8"/>
      <c r="PHU4" s="8"/>
      <c r="PHV4" s="8"/>
      <c r="PHW4" s="8"/>
      <c r="PHX4" s="8"/>
      <c r="PHY4" s="8"/>
      <c r="PHZ4" s="8"/>
      <c r="PIA4" s="8"/>
      <c r="PIB4" s="8"/>
      <c r="PIC4" s="8"/>
      <c r="PID4" s="8"/>
      <c r="PIE4" s="8"/>
      <c r="PIF4" s="8"/>
      <c r="PIG4" s="8"/>
      <c r="PIH4" s="8"/>
      <c r="PII4" s="8"/>
      <c r="PIJ4" s="8"/>
      <c r="PIK4" s="8"/>
      <c r="PIL4" s="8"/>
      <c r="PIM4" s="8"/>
      <c r="PIN4" s="8"/>
      <c r="PIO4" s="8"/>
      <c r="PIP4" s="8"/>
      <c r="PIQ4" s="8"/>
      <c r="PIR4" s="8"/>
      <c r="PIS4" s="8"/>
      <c r="PIT4" s="8"/>
      <c r="PIU4" s="8"/>
      <c r="PIV4" s="8"/>
      <c r="PIW4" s="8"/>
      <c r="PIX4" s="8"/>
      <c r="PIY4" s="8"/>
      <c r="PIZ4" s="8"/>
      <c r="PJA4" s="8"/>
      <c r="PJB4" s="8"/>
      <c r="PJC4" s="8"/>
      <c r="PJD4" s="8"/>
      <c r="PJE4" s="8"/>
      <c r="PJF4" s="8"/>
      <c r="PJG4" s="8"/>
      <c r="PJH4" s="8"/>
      <c r="PJI4" s="8"/>
      <c r="PJJ4" s="8"/>
      <c r="PJK4" s="8"/>
      <c r="PJL4" s="8"/>
      <c r="PJM4" s="8"/>
      <c r="PJN4" s="8"/>
      <c r="PJO4" s="8"/>
      <c r="PJP4" s="8"/>
      <c r="PJQ4" s="8"/>
      <c r="PJR4" s="8"/>
      <c r="PJS4" s="8"/>
      <c r="PJT4" s="8"/>
      <c r="PJU4" s="8"/>
      <c r="PJV4" s="8"/>
      <c r="PJW4" s="8"/>
      <c r="PJX4" s="8"/>
      <c r="PJY4" s="8"/>
      <c r="PJZ4" s="8"/>
      <c r="PKA4" s="8"/>
      <c r="PKB4" s="8"/>
      <c r="PKC4" s="8"/>
      <c r="PKD4" s="8"/>
      <c r="PKE4" s="8"/>
      <c r="PKF4" s="8"/>
      <c r="PKG4" s="8"/>
      <c r="PKH4" s="8"/>
      <c r="PKI4" s="8"/>
      <c r="PKJ4" s="8"/>
      <c r="PKK4" s="8"/>
      <c r="PKL4" s="8"/>
      <c r="PKM4" s="8"/>
      <c r="PKN4" s="8"/>
      <c r="PKO4" s="8"/>
      <c r="PKP4" s="8"/>
      <c r="PKQ4" s="8"/>
      <c r="PKR4" s="8"/>
      <c r="PKS4" s="8"/>
      <c r="PKT4" s="8"/>
      <c r="PKU4" s="8"/>
      <c r="PKV4" s="8"/>
      <c r="PKW4" s="8"/>
      <c r="PKX4" s="8"/>
      <c r="PKY4" s="8"/>
      <c r="PKZ4" s="8"/>
      <c r="PLA4" s="8"/>
      <c r="PLB4" s="8"/>
      <c r="PLC4" s="8"/>
      <c r="PLD4" s="8"/>
      <c r="PLE4" s="8"/>
      <c r="PLF4" s="8"/>
      <c r="PLG4" s="8"/>
      <c r="PLH4" s="8"/>
      <c r="PLI4" s="8"/>
      <c r="PLJ4" s="8"/>
      <c r="PLK4" s="8"/>
      <c r="PLL4" s="8"/>
      <c r="PLM4" s="8"/>
      <c r="PLN4" s="8"/>
      <c r="PLO4" s="8"/>
      <c r="PLP4" s="8"/>
      <c r="PLQ4" s="8"/>
      <c r="PLR4" s="8"/>
      <c r="PLS4" s="8"/>
      <c r="PLT4" s="8"/>
      <c r="PLU4" s="8"/>
      <c r="PLV4" s="8"/>
      <c r="PLW4" s="8"/>
      <c r="PLX4" s="8"/>
      <c r="PLY4" s="8"/>
      <c r="PLZ4" s="8"/>
      <c r="PMA4" s="8"/>
      <c r="PMB4" s="8"/>
      <c r="PMC4" s="8"/>
      <c r="PMD4" s="8"/>
      <c r="PME4" s="8"/>
      <c r="PMF4" s="8"/>
      <c r="PMG4" s="8"/>
      <c r="PMH4" s="8"/>
      <c r="PMI4" s="8"/>
      <c r="PMJ4" s="8"/>
      <c r="PMK4" s="8"/>
      <c r="PML4" s="8"/>
      <c r="PMM4" s="8"/>
      <c r="PMN4" s="8"/>
      <c r="PMO4" s="8"/>
      <c r="PMP4" s="8"/>
      <c r="PMQ4" s="8"/>
      <c r="PMR4" s="8"/>
      <c r="PMS4" s="8"/>
      <c r="PMT4" s="8"/>
      <c r="PMU4" s="8"/>
      <c r="PMV4" s="8"/>
      <c r="PMW4" s="8"/>
      <c r="PMX4" s="8"/>
      <c r="PMY4" s="8"/>
      <c r="PMZ4" s="8"/>
      <c r="PNA4" s="8"/>
      <c r="PNB4" s="8"/>
      <c r="PNC4" s="8"/>
      <c r="PND4" s="8"/>
      <c r="PNE4" s="8"/>
      <c r="PNF4" s="8"/>
      <c r="PNG4" s="8"/>
      <c r="PNH4" s="8"/>
      <c r="PNI4" s="8"/>
      <c r="PNJ4" s="8"/>
      <c r="PNK4" s="8"/>
      <c r="PNL4" s="8"/>
      <c r="PNM4" s="8"/>
      <c r="PNN4" s="8"/>
      <c r="PNO4" s="8"/>
      <c r="PNP4" s="8"/>
      <c r="PNQ4" s="8"/>
      <c r="PNR4" s="8"/>
      <c r="PNS4" s="8"/>
      <c r="PNT4" s="8"/>
      <c r="PNU4" s="8"/>
      <c r="PNV4" s="8"/>
      <c r="PNW4" s="8"/>
      <c r="PNX4" s="8"/>
      <c r="PNY4" s="8"/>
      <c r="PNZ4" s="8"/>
      <c r="POA4" s="8"/>
      <c r="POB4" s="8"/>
      <c r="POC4" s="8"/>
      <c r="POD4" s="8"/>
      <c r="POE4" s="8"/>
      <c r="POF4" s="8"/>
      <c r="POG4" s="8"/>
      <c r="POH4" s="8"/>
      <c r="POI4" s="8"/>
      <c r="POJ4" s="8"/>
      <c r="POK4" s="8"/>
      <c r="POL4" s="8"/>
      <c r="POM4" s="8"/>
      <c r="PON4" s="8"/>
      <c r="POO4" s="8"/>
      <c r="POP4" s="8"/>
      <c r="POQ4" s="8"/>
      <c r="POR4" s="8"/>
      <c r="POS4" s="8"/>
      <c r="POT4" s="8"/>
      <c r="POU4" s="8"/>
      <c r="POV4" s="8"/>
      <c r="POW4" s="8"/>
      <c r="POX4" s="8"/>
      <c r="POY4" s="8"/>
      <c r="POZ4" s="8"/>
      <c r="PPA4" s="8"/>
      <c r="PPB4" s="8"/>
      <c r="PPC4" s="8"/>
      <c r="PPD4" s="8"/>
      <c r="PPE4" s="8"/>
      <c r="PPF4" s="8"/>
      <c r="PPG4" s="8"/>
      <c r="PPH4" s="8"/>
      <c r="PPI4" s="8"/>
      <c r="PPJ4" s="8"/>
      <c r="PPK4" s="8"/>
      <c r="PPL4" s="8"/>
      <c r="PPM4" s="8"/>
      <c r="PPN4" s="8"/>
      <c r="PPO4" s="8"/>
      <c r="PPP4" s="8"/>
      <c r="PPQ4" s="8"/>
      <c r="PPR4" s="8"/>
      <c r="PPS4" s="8"/>
      <c r="PPT4" s="8"/>
      <c r="PPU4" s="8"/>
      <c r="PPV4" s="8"/>
      <c r="PPW4" s="8"/>
      <c r="PPX4" s="8"/>
      <c r="PPY4" s="8"/>
      <c r="PPZ4" s="8"/>
      <c r="PQA4" s="8"/>
      <c r="PQB4" s="8"/>
      <c r="PQC4" s="8"/>
      <c r="PQD4" s="8"/>
      <c r="PQE4" s="8"/>
      <c r="PQF4" s="8"/>
      <c r="PQG4" s="8"/>
      <c r="PQH4" s="8"/>
      <c r="PQI4" s="8"/>
      <c r="PQJ4" s="8"/>
      <c r="PQK4" s="8"/>
      <c r="PQL4" s="8"/>
      <c r="PQM4" s="8"/>
      <c r="PQN4" s="8"/>
      <c r="PQO4" s="8"/>
      <c r="PQP4" s="8"/>
      <c r="PQQ4" s="8"/>
      <c r="PQR4" s="8"/>
      <c r="PQS4" s="8"/>
      <c r="PQT4" s="8"/>
      <c r="PQU4" s="8"/>
      <c r="PQV4" s="8"/>
      <c r="PQW4" s="8"/>
      <c r="PQX4" s="8"/>
      <c r="PQY4" s="8"/>
      <c r="PQZ4" s="8"/>
      <c r="PRA4" s="8"/>
      <c r="PRB4" s="8"/>
      <c r="PRC4" s="8"/>
      <c r="PRD4" s="8"/>
      <c r="PRE4" s="8"/>
      <c r="PRF4" s="8"/>
      <c r="PRG4" s="8"/>
      <c r="PRH4" s="8"/>
      <c r="PRI4" s="8"/>
      <c r="PRJ4" s="8"/>
      <c r="PRK4" s="8"/>
      <c r="PRL4" s="8"/>
      <c r="PRM4" s="8"/>
      <c r="PRN4" s="8"/>
      <c r="PRO4" s="8"/>
      <c r="PRP4" s="8"/>
      <c r="PRQ4" s="8"/>
      <c r="PRR4" s="8"/>
      <c r="PRS4" s="8"/>
      <c r="PRT4" s="8"/>
      <c r="PRU4" s="8"/>
      <c r="PRV4" s="8"/>
      <c r="PRW4" s="8"/>
      <c r="PRX4" s="8"/>
      <c r="PRY4" s="8"/>
      <c r="PRZ4" s="8"/>
      <c r="PSA4" s="8"/>
      <c r="PSB4" s="8"/>
      <c r="PSC4" s="8"/>
      <c r="PSD4" s="8"/>
      <c r="PSE4" s="8"/>
      <c r="PSF4" s="8"/>
      <c r="PSG4" s="8"/>
      <c r="PSH4" s="8"/>
      <c r="PSI4" s="8"/>
      <c r="PSJ4" s="8"/>
      <c r="PSK4" s="8"/>
      <c r="PSL4" s="8"/>
      <c r="PSM4" s="8"/>
      <c r="PSN4" s="8"/>
      <c r="PSO4" s="8"/>
      <c r="PSP4" s="8"/>
      <c r="PSQ4" s="8"/>
      <c r="PSR4" s="8"/>
      <c r="PSS4" s="8"/>
      <c r="PST4" s="8"/>
      <c r="PSU4" s="8"/>
      <c r="PSV4" s="8"/>
      <c r="PSW4" s="8"/>
      <c r="PSX4" s="8"/>
      <c r="PSY4" s="8"/>
      <c r="PSZ4" s="8"/>
      <c r="PTA4" s="8"/>
      <c r="PTB4" s="8"/>
      <c r="PTC4" s="8"/>
      <c r="PTD4" s="8"/>
      <c r="PTE4" s="8"/>
      <c r="PTF4" s="8"/>
      <c r="PTG4" s="8"/>
      <c r="PTH4" s="8"/>
      <c r="PTI4" s="8"/>
      <c r="PTJ4" s="8"/>
      <c r="PTK4" s="8"/>
      <c r="PTL4" s="8"/>
      <c r="PTM4" s="8"/>
      <c r="PTN4" s="8"/>
      <c r="PTO4" s="8"/>
      <c r="PTP4" s="8"/>
      <c r="PTQ4" s="8"/>
      <c r="PTR4" s="8"/>
      <c r="PTS4" s="8"/>
      <c r="PTT4" s="8"/>
      <c r="PTU4" s="8"/>
      <c r="PTV4" s="8"/>
      <c r="PTW4" s="8"/>
      <c r="PTX4" s="8"/>
      <c r="PTY4" s="8"/>
      <c r="PTZ4" s="8"/>
      <c r="PUA4" s="8"/>
      <c r="PUB4" s="8"/>
      <c r="PUC4" s="8"/>
      <c r="PUD4" s="8"/>
      <c r="PUE4" s="8"/>
      <c r="PUF4" s="8"/>
      <c r="PUG4" s="8"/>
      <c r="PUH4" s="8"/>
      <c r="PUI4" s="8"/>
      <c r="PUJ4" s="8"/>
      <c r="PUK4" s="8"/>
      <c r="PUL4" s="8"/>
      <c r="PUM4" s="8"/>
      <c r="PUN4" s="8"/>
      <c r="PUO4" s="8"/>
      <c r="PUP4" s="8"/>
      <c r="PUQ4" s="8"/>
      <c r="PUR4" s="8"/>
      <c r="PUS4" s="8"/>
      <c r="PUT4" s="8"/>
      <c r="PUU4" s="8"/>
      <c r="PUV4" s="8"/>
      <c r="PUW4" s="8"/>
      <c r="PUX4" s="8"/>
      <c r="PUY4" s="8"/>
      <c r="PUZ4" s="8"/>
      <c r="PVA4" s="8"/>
      <c r="PVB4" s="8"/>
      <c r="PVC4" s="8"/>
      <c r="PVD4" s="8"/>
      <c r="PVE4" s="8"/>
      <c r="PVF4" s="8"/>
      <c r="PVG4" s="8"/>
      <c r="PVH4" s="8"/>
      <c r="PVI4" s="8"/>
      <c r="PVJ4" s="8"/>
      <c r="PVK4" s="8"/>
      <c r="PVL4" s="8"/>
      <c r="PVM4" s="8"/>
      <c r="PVN4" s="8"/>
      <c r="PVO4" s="8"/>
      <c r="PVP4" s="8"/>
      <c r="PVQ4" s="8"/>
      <c r="PVR4" s="8"/>
      <c r="PVS4" s="8"/>
      <c r="PVT4" s="8"/>
      <c r="PVU4" s="8"/>
      <c r="PVV4" s="8"/>
      <c r="PVW4" s="8"/>
      <c r="PVX4" s="8"/>
      <c r="PVY4" s="8"/>
      <c r="PVZ4" s="8"/>
      <c r="PWA4" s="8"/>
      <c r="PWB4" s="8"/>
      <c r="PWC4" s="8"/>
      <c r="PWD4" s="8"/>
      <c r="PWE4" s="8"/>
      <c r="PWF4" s="8"/>
      <c r="PWG4" s="8"/>
      <c r="PWH4" s="8"/>
      <c r="PWI4" s="8"/>
      <c r="PWJ4" s="8"/>
      <c r="PWK4" s="8"/>
      <c r="PWL4" s="8"/>
      <c r="PWM4" s="8"/>
      <c r="PWN4" s="8"/>
      <c r="PWO4" s="8"/>
      <c r="PWP4" s="8"/>
      <c r="PWQ4" s="8"/>
      <c r="PWR4" s="8"/>
      <c r="PWS4" s="8"/>
      <c r="PWT4" s="8"/>
      <c r="PWU4" s="8"/>
      <c r="PWV4" s="8"/>
      <c r="PWW4" s="8"/>
      <c r="PWX4" s="8"/>
      <c r="PWY4" s="8"/>
      <c r="PWZ4" s="8"/>
      <c r="PXA4" s="8"/>
      <c r="PXB4" s="8"/>
      <c r="PXC4" s="8"/>
      <c r="PXD4" s="8"/>
      <c r="PXE4" s="8"/>
      <c r="PXF4" s="8"/>
      <c r="PXG4" s="8"/>
      <c r="PXH4" s="8"/>
      <c r="PXI4" s="8"/>
      <c r="PXJ4" s="8"/>
      <c r="PXK4" s="8"/>
      <c r="PXL4" s="8"/>
      <c r="PXM4" s="8"/>
      <c r="PXN4" s="8"/>
      <c r="PXO4" s="8"/>
      <c r="PXP4" s="8"/>
      <c r="PXQ4" s="8"/>
      <c r="PXR4" s="8"/>
      <c r="PXS4" s="8"/>
      <c r="PXT4" s="8"/>
      <c r="PXU4" s="8"/>
      <c r="PXV4" s="8"/>
      <c r="PXW4" s="8"/>
      <c r="PXX4" s="8"/>
      <c r="PXY4" s="8"/>
      <c r="PXZ4" s="8"/>
      <c r="PYA4" s="8"/>
      <c r="PYB4" s="8"/>
      <c r="PYC4" s="8"/>
      <c r="PYD4" s="8"/>
      <c r="PYE4" s="8"/>
      <c r="PYF4" s="8"/>
      <c r="PYG4" s="8"/>
      <c r="PYH4" s="8"/>
      <c r="PYI4" s="8"/>
      <c r="PYJ4" s="8"/>
      <c r="PYK4" s="8"/>
      <c r="PYL4" s="8"/>
      <c r="PYM4" s="8"/>
      <c r="PYN4" s="8"/>
      <c r="PYO4" s="8"/>
      <c r="PYP4" s="8"/>
      <c r="PYQ4" s="8"/>
      <c r="PYR4" s="8"/>
      <c r="PYS4" s="8"/>
      <c r="PYT4" s="8"/>
      <c r="PYU4" s="8"/>
      <c r="PYV4" s="8"/>
      <c r="PYW4" s="8"/>
      <c r="PYX4" s="8"/>
      <c r="PYY4" s="8"/>
      <c r="PYZ4" s="8"/>
      <c r="PZA4" s="8"/>
      <c r="PZB4" s="8"/>
      <c r="PZC4" s="8"/>
      <c r="PZD4" s="8"/>
      <c r="PZE4" s="8"/>
      <c r="PZF4" s="8"/>
      <c r="PZG4" s="8"/>
      <c r="PZH4" s="8"/>
      <c r="PZI4" s="8"/>
      <c r="PZJ4" s="8"/>
      <c r="PZK4" s="8"/>
      <c r="PZL4" s="8"/>
      <c r="PZM4" s="8"/>
      <c r="PZN4" s="8"/>
      <c r="PZO4" s="8"/>
      <c r="PZP4" s="8"/>
      <c r="PZQ4" s="8"/>
      <c r="PZR4" s="8"/>
      <c r="PZS4" s="8"/>
      <c r="PZT4" s="8"/>
      <c r="PZU4" s="8"/>
      <c r="PZV4" s="8"/>
      <c r="PZW4" s="8"/>
      <c r="PZX4" s="8"/>
      <c r="PZY4" s="8"/>
      <c r="PZZ4" s="8"/>
      <c r="QAA4" s="8"/>
      <c r="QAB4" s="8"/>
      <c r="QAC4" s="8"/>
      <c r="QAD4" s="8"/>
      <c r="QAE4" s="8"/>
      <c r="QAF4" s="8"/>
      <c r="QAG4" s="8"/>
      <c r="QAH4" s="8"/>
      <c r="QAI4" s="8"/>
      <c r="QAJ4" s="8"/>
      <c r="QAK4" s="8"/>
      <c r="QAL4" s="8"/>
      <c r="QAM4" s="8"/>
      <c r="QAN4" s="8"/>
      <c r="QAO4" s="8"/>
      <c r="QAP4" s="8"/>
      <c r="QAQ4" s="8"/>
      <c r="QAR4" s="8"/>
      <c r="QAS4" s="8"/>
      <c r="QAT4" s="8"/>
      <c r="QAU4" s="8"/>
      <c r="QAV4" s="8"/>
      <c r="QAW4" s="8"/>
      <c r="QAX4" s="8"/>
      <c r="QAY4" s="8"/>
      <c r="QAZ4" s="8"/>
      <c r="QBA4" s="8"/>
      <c r="QBB4" s="8"/>
      <c r="QBC4" s="8"/>
      <c r="QBD4" s="8"/>
      <c r="QBE4" s="8"/>
      <c r="QBF4" s="8"/>
      <c r="QBG4" s="8"/>
      <c r="QBH4" s="8"/>
      <c r="QBI4" s="8"/>
      <c r="QBJ4" s="8"/>
      <c r="QBK4" s="8"/>
      <c r="QBL4" s="8"/>
      <c r="QBM4" s="8"/>
      <c r="QBN4" s="8"/>
      <c r="QBO4" s="8"/>
      <c r="QBP4" s="8"/>
      <c r="QBQ4" s="8"/>
      <c r="QBR4" s="8"/>
      <c r="QBS4" s="8"/>
      <c r="QBT4" s="8"/>
      <c r="QBU4" s="8"/>
      <c r="QBV4" s="8"/>
      <c r="QBW4" s="8"/>
      <c r="QBX4" s="8"/>
      <c r="QBY4" s="8"/>
      <c r="QBZ4" s="8"/>
      <c r="QCA4" s="8"/>
      <c r="QCB4" s="8"/>
      <c r="QCC4" s="8"/>
      <c r="QCD4" s="8"/>
      <c r="QCE4" s="8"/>
      <c r="QCF4" s="8"/>
      <c r="QCG4" s="8"/>
      <c r="QCH4" s="8"/>
      <c r="QCI4" s="8"/>
      <c r="QCJ4" s="8"/>
      <c r="QCK4" s="8"/>
      <c r="QCL4" s="8"/>
      <c r="QCM4" s="8"/>
      <c r="QCN4" s="8"/>
      <c r="QCO4" s="8"/>
      <c r="QCP4" s="8"/>
      <c r="QCQ4" s="8"/>
      <c r="QCR4" s="8"/>
      <c r="QCS4" s="8"/>
      <c r="QCT4" s="8"/>
      <c r="QCU4" s="8"/>
      <c r="QCV4" s="8"/>
      <c r="QCW4" s="8"/>
      <c r="QCX4" s="8"/>
      <c r="QCY4" s="8"/>
      <c r="QCZ4" s="8"/>
      <c r="QDA4" s="8"/>
      <c r="QDB4" s="8"/>
      <c r="QDC4" s="8"/>
      <c r="QDD4" s="8"/>
      <c r="QDE4" s="8"/>
      <c r="QDF4" s="8"/>
      <c r="QDG4" s="8"/>
      <c r="QDH4" s="8"/>
      <c r="QDI4" s="8"/>
      <c r="QDJ4" s="8"/>
      <c r="QDK4" s="8"/>
      <c r="QDL4" s="8"/>
      <c r="QDM4" s="8"/>
      <c r="QDN4" s="8"/>
      <c r="QDO4" s="8"/>
      <c r="QDP4" s="8"/>
      <c r="QDQ4" s="8"/>
      <c r="QDR4" s="8"/>
      <c r="QDS4" s="8"/>
      <c r="QDT4" s="8"/>
      <c r="QDU4" s="8"/>
      <c r="QDV4" s="8"/>
      <c r="QDW4" s="8"/>
      <c r="QDX4" s="8"/>
      <c r="QDY4" s="8"/>
      <c r="QDZ4" s="8"/>
      <c r="QEA4" s="8"/>
      <c r="QEB4" s="8"/>
      <c r="QEC4" s="8"/>
      <c r="QED4" s="8"/>
      <c r="QEE4" s="8"/>
      <c r="QEF4" s="8"/>
      <c r="QEG4" s="8"/>
      <c r="QEH4" s="8"/>
      <c r="QEI4" s="8"/>
      <c r="QEJ4" s="8"/>
      <c r="QEK4" s="8"/>
      <c r="QEL4" s="8"/>
      <c r="QEM4" s="8"/>
      <c r="QEN4" s="8"/>
      <c r="QEO4" s="8"/>
      <c r="QEP4" s="8"/>
      <c r="QEQ4" s="8"/>
      <c r="QER4" s="8"/>
      <c r="QES4" s="8"/>
      <c r="QET4" s="8"/>
      <c r="QEU4" s="8"/>
      <c r="QEV4" s="8"/>
      <c r="QEW4" s="8"/>
      <c r="QEX4" s="8"/>
      <c r="QEY4" s="8"/>
      <c r="QEZ4" s="8"/>
      <c r="QFA4" s="8"/>
      <c r="QFB4" s="8"/>
      <c r="QFC4" s="8"/>
      <c r="QFD4" s="8"/>
      <c r="QFE4" s="8"/>
      <c r="QFF4" s="8"/>
      <c r="QFG4" s="8"/>
      <c r="QFH4" s="8"/>
      <c r="QFI4" s="8"/>
      <c r="QFJ4" s="8"/>
      <c r="QFK4" s="8"/>
      <c r="QFL4" s="8"/>
      <c r="QFM4" s="8"/>
      <c r="QFN4" s="8"/>
      <c r="QFO4" s="8"/>
      <c r="QFP4" s="8"/>
      <c r="QFQ4" s="8"/>
      <c r="QFR4" s="8"/>
      <c r="QFS4" s="8"/>
      <c r="QFT4" s="8"/>
      <c r="QFU4" s="8"/>
      <c r="QFV4" s="8"/>
      <c r="QFW4" s="8"/>
      <c r="QFX4" s="8"/>
      <c r="QFY4" s="8"/>
      <c r="QFZ4" s="8"/>
      <c r="QGA4" s="8"/>
      <c r="QGB4" s="8"/>
      <c r="QGC4" s="8"/>
      <c r="QGD4" s="8"/>
      <c r="QGE4" s="8"/>
      <c r="QGF4" s="8"/>
      <c r="QGG4" s="8"/>
      <c r="QGH4" s="8"/>
      <c r="QGI4" s="8"/>
      <c r="QGJ4" s="8"/>
      <c r="QGK4" s="8"/>
      <c r="QGL4" s="8"/>
      <c r="QGM4" s="8"/>
      <c r="QGN4" s="8"/>
      <c r="QGO4" s="8"/>
      <c r="QGP4" s="8"/>
      <c r="QGQ4" s="8"/>
      <c r="QGR4" s="8"/>
      <c r="QGS4" s="8"/>
      <c r="QGT4" s="8"/>
      <c r="QGU4" s="8"/>
      <c r="QGV4" s="8"/>
      <c r="QGW4" s="8"/>
      <c r="QGX4" s="8"/>
      <c r="QGY4" s="8"/>
      <c r="QGZ4" s="8"/>
      <c r="QHA4" s="8"/>
      <c r="QHB4" s="8"/>
      <c r="QHC4" s="8"/>
      <c r="QHD4" s="8"/>
      <c r="QHE4" s="8"/>
      <c r="QHF4" s="8"/>
      <c r="QHG4" s="8"/>
      <c r="QHH4" s="8"/>
      <c r="QHI4" s="8"/>
      <c r="QHJ4" s="8"/>
      <c r="QHK4" s="8"/>
      <c r="QHL4" s="8"/>
      <c r="QHM4" s="8"/>
      <c r="QHN4" s="8"/>
      <c r="QHO4" s="8"/>
      <c r="QHP4" s="8"/>
      <c r="QHQ4" s="8"/>
      <c r="QHR4" s="8"/>
      <c r="QHS4" s="8"/>
      <c r="QHT4" s="8"/>
      <c r="QHU4" s="8"/>
      <c r="QHV4" s="8"/>
      <c r="QHW4" s="8"/>
      <c r="QHX4" s="8"/>
      <c r="QHY4" s="8"/>
      <c r="QHZ4" s="8"/>
      <c r="QIA4" s="8"/>
      <c r="QIB4" s="8"/>
      <c r="QIC4" s="8"/>
      <c r="QID4" s="8"/>
      <c r="QIE4" s="8"/>
      <c r="QIF4" s="8"/>
      <c r="QIG4" s="8"/>
      <c r="QIH4" s="8"/>
      <c r="QII4" s="8"/>
      <c r="QIJ4" s="8"/>
      <c r="QIK4" s="8"/>
      <c r="QIL4" s="8"/>
      <c r="QIM4" s="8"/>
      <c r="QIN4" s="8"/>
      <c r="QIO4" s="8"/>
      <c r="QIP4" s="8"/>
      <c r="QIQ4" s="8"/>
      <c r="QIR4" s="8"/>
      <c r="QIS4" s="8"/>
      <c r="QIT4" s="8"/>
      <c r="QIU4" s="8"/>
      <c r="QIV4" s="8"/>
      <c r="QIW4" s="8"/>
      <c r="QIX4" s="8"/>
      <c r="QIY4" s="8"/>
      <c r="QIZ4" s="8"/>
      <c r="QJA4" s="8"/>
      <c r="QJB4" s="8"/>
      <c r="QJC4" s="8"/>
      <c r="QJD4" s="8"/>
      <c r="QJE4" s="8"/>
      <c r="QJF4" s="8"/>
      <c r="QJG4" s="8"/>
      <c r="QJH4" s="8"/>
      <c r="QJI4" s="8"/>
      <c r="QJJ4" s="8"/>
      <c r="QJK4" s="8"/>
      <c r="QJL4" s="8"/>
      <c r="QJM4" s="8"/>
      <c r="QJN4" s="8"/>
      <c r="QJO4" s="8"/>
      <c r="QJP4" s="8"/>
      <c r="QJQ4" s="8"/>
      <c r="QJR4" s="8"/>
      <c r="QJS4" s="8"/>
      <c r="QJT4" s="8"/>
      <c r="QJU4" s="8"/>
      <c r="QJV4" s="8"/>
      <c r="QJW4" s="8"/>
      <c r="QJX4" s="8"/>
      <c r="QJY4" s="8"/>
      <c r="QJZ4" s="8"/>
      <c r="QKA4" s="8"/>
      <c r="QKB4" s="8"/>
      <c r="QKC4" s="8"/>
      <c r="QKD4" s="8"/>
      <c r="QKE4" s="8"/>
      <c r="QKF4" s="8"/>
      <c r="QKG4" s="8"/>
      <c r="QKH4" s="8"/>
      <c r="QKI4" s="8"/>
      <c r="QKJ4" s="8"/>
      <c r="QKK4" s="8"/>
      <c r="QKL4" s="8"/>
      <c r="QKM4" s="8"/>
      <c r="QKN4" s="8"/>
      <c r="QKO4" s="8"/>
      <c r="QKP4" s="8"/>
      <c r="QKQ4" s="8"/>
      <c r="QKR4" s="8"/>
      <c r="QKS4" s="8"/>
      <c r="QKT4" s="8"/>
      <c r="QKU4" s="8"/>
      <c r="QKV4" s="8"/>
      <c r="QKW4" s="8"/>
      <c r="QKX4" s="8"/>
      <c r="QKY4" s="8"/>
      <c r="QKZ4" s="8"/>
      <c r="QLA4" s="8"/>
      <c r="QLB4" s="8"/>
      <c r="QLC4" s="8"/>
      <c r="QLD4" s="8"/>
      <c r="QLE4" s="8"/>
      <c r="QLF4" s="8"/>
      <c r="QLG4" s="8"/>
      <c r="QLH4" s="8"/>
      <c r="QLI4" s="8"/>
      <c r="QLJ4" s="8"/>
      <c r="QLK4" s="8"/>
      <c r="QLL4" s="8"/>
      <c r="QLM4" s="8"/>
      <c r="QLN4" s="8"/>
      <c r="QLO4" s="8"/>
      <c r="QLP4" s="8"/>
      <c r="QLQ4" s="8"/>
      <c r="QLR4" s="8"/>
      <c r="QLS4" s="8"/>
      <c r="QLT4" s="8"/>
      <c r="QLU4" s="8"/>
      <c r="QLV4" s="8"/>
      <c r="QLW4" s="8"/>
      <c r="QLX4" s="8"/>
      <c r="QLY4" s="8"/>
      <c r="QLZ4" s="8"/>
      <c r="QMA4" s="8"/>
      <c r="QMB4" s="8"/>
      <c r="QMC4" s="8"/>
      <c r="QMD4" s="8"/>
      <c r="QME4" s="8"/>
      <c r="QMF4" s="8"/>
      <c r="QMG4" s="8"/>
      <c r="QMH4" s="8"/>
      <c r="QMI4" s="8"/>
      <c r="QMJ4" s="8"/>
      <c r="QMK4" s="8"/>
      <c r="QML4" s="8"/>
      <c r="QMM4" s="8"/>
      <c r="QMN4" s="8"/>
      <c r="QMO4" s="8"/>
      <c r="QMP4" s="8"/>
      <c r="QMQ4" s="8"/>
      <c r="QMR4" s="8"/>
      <c r="QMS4" s="8"/>
      <c r="QMT4" s="8"/>
      <c r="QMU4" s="8"/>
      <c r="QMV4" s="8"/>
      <c r="QMW4" s="8"/>
      <c r="QMX4" s="8"/>
      <c r="QMY4" s="8"/>
      <c r="QMZ4" s="8"/>
      <c r="QNA4" s="8"/>
      <c r="QNB4" s="8"/>
      <c r="QNC4" s="8"/>
      <c r="QND4" s="8"/>
      <c r="QNE4" s="8"/>
      <c r="QNF4" s="8"/>
      <c r="QNG4" s="8"/>
      <c r="QNH4" s="8"/>
      <c r="QNI4" s="8"/>
      <c r="QNJ4" s="8"/>
      <c r="QNK4" s="8"/>
      <c r="QNL4" s="8"/>
      <c r="QNM4" s="8"/>
      <c r="QNN4" s="8"/>
      <c r="QNO4" s="8"/>
      <c r="QNP4" s="8"/>
      <c r="QNQ4" s="8"/>
      <c r="QNR4" s="8"/>
      <c r="QNS4" s="8"/>
      <c r="QNT4" s="8"/>
      <c r="QNU4" s="8"/>
      <c r="QNV4" s="8"/>
      <c r="QNW4" s="8"/>
      <c r="QNX4" s="8"/>
      <c r="QNY4" s="8"/>
      <c r="QNZ4" s="8"/>
      <c r="QOA4" s="8"/>
      <c r="QOB4" s="8"/>
      <c r="QOC4" s="8"/>
      <c r="QOD4" s="8"/>
      <c r="QOE4" s="8"/>
      <c r="QOF4" s="8"/>
      <c r="QOG4" s="8"/>
      <c r="QOH4" s="8"/>
      <c r="QOI4" s="8"/>
      <c r="QOJ4" s="8"/>
      <c r="QOK4" s="8"/>
      <c r="QOL4" s="8"/>
      <c r="QOM4" s="8"/>
      <c r="QON4" s="8"/>
      <c r="QOO4" s="8"/>
      <c r="QOP4" s="8"/>
      <c r="QOQ4" s="8"/>
      <c r="QOR4" s="8"/>
      <c r="QOS4" s="8"/>
      <c r="QOT4" s="8"/>
      <c r="QOU4" s="8"/>
      <c r="QOV4" s="8"/>
      <c r="QOW4" s="8"/>
      <c r="QOX4" s="8"/>
      <c r="QOY4" s="8"/>
      <c r="QOZ4" s="8"/>
      <c r="QPA4" s="8"/>
      <c r="QPB4" s="8"/>
      <c r="QPC4" s="8"/>
      <c r="QPD4" s="8"/>
      <c r="QPE4" s="8"/>
      <c r="QPF4" s="8"/>
      <c r="QPG4" s="8"/>
      <c r="QPH4" s="8"/>
      <c r="QPI4" s="8"/>
      <c r="QPJ4" s="8"/>
      <c r="QPK4" s="8"/>
      <c r="QPL4" s="8"/>
      <c r="QPM4" s="8"/>
      <c r="QPN4" s="8"/>
      <c r="QPO4" s="8"/>
      <c r="QPP4" s="8"/>
      <c r="QPQ4" s="8"/>
      <c r="QPR4" s="8"/>
      <c r="QPS4" s="8"/>
      <c r="QPT4" s="8"/>
      <c r="QPU4" s="8"/>
      <c r="QPV4" s="8"/>
      <c r="QPW4" s="8"/>
      <c r="QPX4" s="8"/>
      <c r="QPY4" s="8"/>
      <c r="QPZ4" s="8"/>
      <c r="QQA4" s="8"/>
      <c r="QQB4" s="8"/>
      <c r="QQC4" s="8"/>
      <c r="QQD4" s="8"/>
      <c r="QQE4" s="8"/>
      <c r="QQF4" s="8"/>
      <c r="QQG4" s="8"/>
      <c r="QQH4" s="8"/>
      <c r="QQI4" s="8"/>
      <c r="QQJ4" s="8"/>
      <c r="QQK4" s="8"/>
      <c r="QQL4" s="8"/>
      <c r="QQM4" s="8"/>
      <c r="QQN4" s="8"/>
      <c r="QQO4" s="8"/>
      <c r="QQP4" s="8"/>
      <c r="QQQ4" s="8"/>
      <c r="QQR4" s="8"/>
      <c r="QQS4" s="8"/>
      <c r="QQT4" s="8"/>
      <c r="QQU4" s="8"/>
      <c r="QQV4" s="8"/>
      <c r="QQW4" s="8"/>
      <c r="QQX4" s="8"/>
      <c r="QQY4" s="8"/>
      <c r="QQZ4" s="8"/>
      <c r="QRA4" s="8"/>
      <c r="QRB4" s="8"/>
      <c r="QRC4" s="8"/>
      <c r="QRD4" s="8"/>
      <c r="QRE4" s="8"/>
      <c r="QRF4" s="8"/>
      <c r="QRG4" s="8"/>
      <c r="QRH4" s="8"/>
      <c r="QRI4" s="8"/>
      <c r="QRJ4" s="8"/>
      <c r="QRK4" s="8"/>
      <c r="QRL4" s="8"/>
      <c r="QRM4" s="8"/>
      <c r="QRN4" s="8"/>
      <c r="QRO4" s="8"/>
      <c r="QRP4" s="8"/>
      <c r="QRQ4" s="8"/>
      <c r="QRR4" s="8"/>
      <c r="QRS4" s="8"/>
      <c r="QRT4" s="8"/>
      <c r="QRU4" s="8"/>
      <c r="QRV4" s="8"/>
      <c r="QRW4" s="8"/>
      <c r="QRX4" s="8"/>
      <c r="QRY4" s="8"/>
      <c r="QRZ4" s="8"/>
      <c r="QSA4" s="8"/>
      <c r="QSB4" s="8"/>
      <c r="QSC4" s="8"/>
      <c r="QSD4" s="8"/>
      <c r="QSE4" s="8"/>
      <c r="QSF4" s="8"/>
      <c r="QSG4" s="8"/>
      <c r="QSH4" s="8"/>
      <c r="QSI4" s="8"/>
      <c r="QSJ4" s="8"/>
      <c r="QSK4" s="8"/>
      <c r="QSL4" s="8"/>
      <c r="QSM4" s="8"/>
      <c r="QSN4" s="8"/>
      <c r="QSO4" s="8"/>
      <c r="QSP4" s="8"/>
      <c r="QSQ4" s="8"/>
      <c r="QSR4" s="8"/>
      <c r="QSS4" s="8"/>
      <c r="QST4" s="8"/>
      <c r="QSU4" s="8"/>
      <c r="QSV4" s="8"/>
      <c r="QSW4" s="8"/>
      <c r="QSX4" s="8"/>
      <c r="QSY4" s="8"/>
      <c r="QSZ4" s="8"/>
      <c r="QTA4" s="8"/>
      <c r="QTB4" s="8"/>
      <c r="QTC4" s="8"/>
      <c r="QTD4" s="8"/>
      <c r="QTE4" s="8"/>
      <c r="QTF4" s="8"/>
      <c r="QTG4" s="8"/>
      <c r="QTH4" s="8"/>
      <c r="QTI4" s="8"/>
      <c r="QTJ4" s="8"/>
      <c r="QTK4" s="8"/>
      <c r="QTL4" s="8"/>
      <c r="QTM4" s="8"/>
      <c r="QTN4" s="8"/>
      <c r="QTO4" s="8"/>
      <c r="QTP4" s="8"/>
      <c r="QTQ4" s="8"/>
      <c r="QTR4" s="8"/>
      <c r="QTS4" s="8"/>
      <c r="QTT4" s="8"/>
      <c r="QTU4" s="8"/>
      <c r="QTV4" s="8"/>
      <c r="QTW4" s="8"/>
      <c r="QTX4" s="8"/>
      <c r="QTY4" s="8"/>
      <c r="QTZ4" s="8"/>
      <c r="QUA4" s="8"/>
      <c r="QUB4" s="8"/>
      <c r="QUC4" s="8"/>
      <c r="QUD4" s="8"/>
      <c r="QUE4" s="8"/>
      <c r="QUF4" s="8"/>
      <c r="QUG4" s="8"/>
      <c r="QUH4" s="8"/>
      <c r="QUI4" s="8"/>
      <c r="QUJ4" s="8"/>
      <c r="QUK4" s="8"/>
      <c r="QUL4" s="8"/>
      <c r="QUM4" s="8"/>
      <c r="QUN4" s="8"/>
      <c r="QUO4" s="8"/>
      <c r="QUP4" s="8"/>
      <c r="QUQ4" s="8"/>
      <c r="QUR4" s="8"/>
      <c r="QUS4" s="8"/>
      <c r="QUT4" s="8"/>
      <c r="QUU4" s="8"/>
      <c r="QUV4" s="8"/>
      <c r="QUW4" s="8"/>
      <c r="QUX4" s="8"/>
      <c r="QUY4" s="8"/>
      <c r="QUZ4" s="8"/>
      <c r="QVA4" s="8"/>
      <c r="QVB4" s="8"/>
      <c r="QVC4" s="8"/>
      <c r="QVD4" s="8"/>
      <c r="QVE4" s="8"/>
      <c r="QVF4" s="8"/>
      <c r="QVG4" s="8"/>
      <c r="QVH4" s="8"/>
      <c r="QVI4" s="8"/>
      <c r="QVJ4" s="8"/>
      <c r="QVK4" s="8"/>
      <c r="QVL4" s="8"/>
      <c r="QVM4" s="8"/>
      <c r="QVN4" s="8"/>
      <c r="QVO4" s="8"/>
      <c r="QVP4" s="8"/>
      <c r="QVQ4" s="8"/>
      <c r="QVR4" s="8"/>
      <c r="QVS4" s="8"/>
      <c r="QVT4" s="8"/>
      <c r="QVU4" s="8"/>
      <c r="QVV4" s="8"/>
      <c r="QVW4" s="8"/>
      <c r="QVX4" s="8"/>
      <c r="QVY4" s="8"/>
      <c r="QVZ4" s="8"/>
      <c r="QWA4" s="8"/>
      <c r="QWB4" s="8"/>
      <c r="QWC4" s="8"/>
      <c r="QWD4" s="8"/>
      <c r="QWE4" s="8"/>
      <c r="QWF4" s="8"/>
      <c r="QWG4" s="8"/>
      <c r="QWH4" s="8"/>
      <c r="QWI4" s="8"/>
      <c r="QWJ4" s="8"/>
      <c r="QWK4" s="8"/>
      <c r="QWL4" s="8"/>
      <c r="QWM4" s="8"/>
      <c r="QWN4" s="8"/>
      <c r="QWO4" s="8"/>
      <c r="QWP4" s="8"/>
      <c r="QWQ4" s="8"/>
      <c r="QWR4" s="8"/>
      <c r="QWS4" s="8"/>
      <c r="QWT4" s="8"/>
      <c r="QWU4" s="8"/>
      <c r="QWV4" s="8"/>
      <c r="QWW4" s="8"/>
      <c r="QWX4" s="8"/>
      <c r="QWY4" s="8"/>
      <c r="QWZ4" s="8"/>
      <c r="QXA4" s="8"/>
      <c r="QXB4" s="8"/>
      <c r="QXC4" s="8"/>
      <c r="QXD4" s="8"/>
      <c r="QXE4" s="8"/>
      <c r="QXF4" s="8"/>
      <c r="QXG4" s="8"/>
      <c r="QXH4" s="8"/>
      <c r="QXI4" s="8"/>
      <c r="QXJ4" s="8"/>
      <c r="QXK4" s="8"/>
      <c r="QXL4" s="8"/>
      <c r="QXM4" s="8"/>
      <c r="QXN4" s="8"/>
      <c r="QXO4" s="8"/>
      <c r="QXP4" s="8"/>
      <c r="QXQ4" s="8"/>
      <c r="QXR4" s="8"/>
      <c r="QXS4" s="8"/>
      <c r="QXT4" s="8"/>
      <c r="QXU4" s="8"/>
      <c r="QXV4" s="8"/>
      <c r="QXW4" s="8"/>
      <c r="QXX4" s="8"/>
      <c r="QXY4" s="8"/>
      <c r="QXZ4" s="8"/>
      <c r="QYA4" s="8"/>
      <c r="QYB4" s="8"/>
      <c r="QYC4" s="8"/>
      <c r="QYD4" s="8"/>
      <c r="QYE4" s="8"/>
      <c r="QYF4" s="8"/>
      <c r="QYG4" s="8"/>
      <c r="QYH4" s="8"/>
      <c r="QYI4" s="8"/>
      <c r="QYJ4" s="8"/>
      <c r="QYK4" s="8"/>
      <c r="QYL4" s="8"/>
      <c r="QYM4" s="8"/>
      <c r="QYN4" s="8"/>
      <c r="QYO4" s="8"/>
      <c r="QYP4" s="8"/>
      <c r="QYQ4" s="8"/>
      <c r="QYR4" s="8"/>
      <c r="QYS4" s="8"/>
      <c r="QYT4" s="8"/>
      <c r="QYU4" s="8"/>
      <c r="QYV4" s="8"/>
      <c r="QYW4" s="8"/>
      <c r="QYX4" s="8"/>
      <c r="QYY4" s="8"/>
      <c r="QYZ4" s="8"/>
      <c r="QZA4" s="8"/>
      <c r="QZB4" s="8"/>
      <c r="QZC4" s="8"/>
      <c r="QZD4" s="8"/>
      <c r="QZE4" s="8"/>
      <c r="QZF4" s="8"/>
      <c r="QZG4" s="8"/>
      <c r="QZH4" s="8"/>
      <c r="QZI4" s="8"/>
      <c r="QZJ4" s="8"/>
      <c r="QZK4" s="8"/>
      <c r="QZL4" s="8"/>
      <c r="QZM4" s="8"/>
      <c r="QZN4" s="8"/>
      <c r="QZO4" s="8"/>
      <c r="QZP4" s="8"/>
      <c r="QZQ4" s="8"/>
      <c r="QZR4" s="8"/>
      <c r="QZS4" s="8"/>
      <c r="QZT4" s="8"/>
      <c r="QZU4" s="8"/>
      <c r="QZV4" s="8"/>
      <c r="QZW4" s="8"/>
      <c r="QZX4" s="8"/>
      <c r="QZY4" s="8"/>
      <c r="QZZ4" s="8"/>
      <c r="RAA4" s="8"/>
      <c r="RAB4" s="8"/>
      <c r="RAC4" s="8"/>
      <c r="RAD4" s="8"/>
      <c r="RAE4" s="8"/>
      <c r="RAF4" s="8"/>
      <c r="RAG4" s="8"/>
      <c r="RAH4" s="8"/>
      <c r="RAI4" s="8"/>
      <c r="RAJ4" s="8"/>
      <c r="RAK4" s="8"/>
      <c r="RAL4" s="8"/>
      <c r="RAM4" s="8"/>
      <c r="RAN4" s="8"/>
      <c r="RAO4" s="8"/>
      <c r="RAP4" s="8"/>
      <c r="RAQ4" s="8"/>
      <c r="RAR4" s="8"/>
      <c r="RAS4" s="8"/>
      <c r="RAT4" s="8"/>
      <c r="RAU4" s="8"/>
      <c r="RAV4" s="8"/>
      <c r="RAW4" s="8"/>
      <c r="RAX4" s="8"/>
      <c r="RAY4" s="8"/>
      <c r="RAZ4" s="8"/>
      <c r="RBA4" s="8"/>
      <c r="RBB4" s="8"/>
      <c r="RBC4" s="8"/>
      <c r="RBD4" s="8"/>
      <c r="RBE4" s="8"/>
      <c r="RBF4" s="8"/>
      <c r="RBG4" s="8"/>
      <c r="RBH4" s="8"/>
      <c r="RBI4" s="8"/>
      <c r="RBJ4" s="8"/>
      <c r="RBK4" s="8"/>
      <c r="RBL4" s="8"/>
      <c r="RBM4" s="8"/>
      <c r="RBN4" s="8"/>
      <c r="RBO4" s="8"/>
      <c r="RBP4" s="8"/>
      <c r="RBQ4" s="8"/>
      <c r="RBR4" s="8"/>
      <c r="RBS4" s="8"/>
      <c r="RBT4" s="8"/>
      <c r="RBU4" s="8"/>
      <c r="RBV4" s="8"/>
      <c r="RBW4" s="8"/>
      <c r="RBX4" s="8"/>
      <c r="RBY4" s="8"/>
      <c r="RBZ4" s="8"/>
      <c r="RCA4" s="8"/>
      <c r="RCB4" s="8"/>
      <c r="RCC4" s="8"/>
      <c r="RCD4" s="8"/>
      <c r="RCE4" s="8"/>
      <c r="RCF4" s="8"/>
      <c r="RCG4" s="8"/>
      <c r="RCH4" s="8"/>
      <c r="RCI4" s="8"/>
      <c r="RCJ4" s="8"/>
      <c r="RCK4" s="8"/>
      <c r="RCL4" s="8"/>
      <c r="RCM4" s="8"/>
      <c r="RCN4" s="8"/>
      <c r="RCO4" s="8"/>
      <c r="RCP4" s="8"/>
      <c r="RCQ4" s="8"/>
      <c r="RCR4" s="8"/>
      <c r="RCS4" s="8"/>
      <c r="RCT4" s="8"/>
      <c r="RCU4" s="8"/>
      <c r="RCV4" s="8"/>
      <c r="RCW4" s="8"/>
      <c r="RCX4" s="8"/>
      <c r="RCY4" s="8"/>
      <c r="RCZ4" s="8"/>
      <c r="RDA4" s="8"/>
      <c r="RDB4" s="8"/>
      <c r="RDC4" s="8"/>
      <c r="RDD4" s="8"/>
      <c r="RDE4" s="8"/>
      <c r="RDF4" s="8"/>
      <c r="RDG4" s="8"/>
      <c r="RDH4" s="8"/>
      <c r="RDI4" s="8"/>
      <c r="RDJ4" s="8"/>
      <c r="RDK4" s="8"/>
      <c r="RDL4" s="8"/>
      <c r="RDM4" s="8"/>
      <c r="RDN4" s="8"/>
      <c r="RDO4" s="8"/>
      <c r="RDP4" s="8"/>
      <c r="RDQ4" s="8"/>
      <c r="RDR4" s="8"/>
      <c r="RDS4" s="8"/>
      <c r="RDT4" s="8"/>
      <c r="RDU4" s="8"/>
      <c r="RDV4" s="8"/>
      <c r="RDW4" s="8"/>
      <c r="RDX4" s="8"/>
      <c r="RDY4" s="8"/>
      <c r="RDZ4" s="8"/>
      <c r="REA4" s="8"/>
      <c r="REB4" s="8"/>
      <c r="REC4" s="8"/>
      <c r="RED4" s="8"/>
      <c r="REE4" s="8"/>
      <c r="REF4" s="8"/>
      <c r="REG4" s="8"/>
      <c r="REH4" s="8"/>
      <c r="REI4" s="8"/>
      <c r="REJ4" s="8"/>
      <c r="REK4" s="8"/>
      <c r="REL4" s="8"/>
      <c r="REM4" s="8"/>
      <c r="REN4" s="8"/>
      <c r="REO4" s="8"/>
      <c r="REP4" s="8"/>
      <c r="REQ4" s="8"/>
      <c r="RER4" s="8"/>
      <c r="RES4" s="8"/>
      <c r="RET4" s="8"/>
      <c r="REU4" s="8"/>
      <c r="REV4" s="8"/>
      <c r="REW4" s="8"/>
      <c r="REX4" s="8"/>
      <c r="REY4" s="8"/>
      <c r="REZ4" s="8"/>
      <c r="RFA4" s="8"/>
      <c r="RFB4" s="8"/>
      <c r="RFC4" s="8"/>
      <c r="RFD4" s="8"/>
      <c r="RFE4" s="8"/>
      <c r="RFF4" s="8"/>
      <c r="RFG4" s="8"/>
      <c r="RFH4" s="8"/>
      <c r="RFI4" s="8"/>
      <c r="RFJ4" s="8"/>
      <c r="RFK4" s="8"/>
      <c r="RFL4" s="8"/>
      <c r="RFM4" s="8"/>
      <c r="RFN4" s="8"/>
      <c r="RFO4" s="8"/>
      <c r="RFP4" s="8"/>
      <c r="RFQ4" s="8"/>
      <c r="RFR4" s="8"/>
      <c r="RFS4" s="8"/>
      <c r="RFT4" s="8"/>
      <c r="RFU4" s="8"/>
      <c r="RFV4" s="8"/>
      <c r="RFW4" s="8"/>
      <c r="RFX4" s="8"/>
      <c r="RFY4" s="8"/>
      <c r="RFZ4" s="8"/>
      <c r="RGA4" s="8"/>
      <c r="RGB4" s="8"/>
      <c r="RGC4" s="8"/>
      <c r="RGD4" s="8"/>
      <c r="RGE4" s="8"/>
      <c r="RGF4" s="8"/>
      <c r="RGG4" s="8"/>
      <c r="RGH4" s="8"/>
      <c r="RGI4" s="8"/>
      <c r="RGJ4" s="8"/>
      <c r="RGK4" s="8"/>
      <c r="RGL4" s="8"/>
      <c r="RGM4" s="8"/>
      <c r="RGN4" s="8"/>
      <c r="RGO4" s="8"/>
      <c r="RGP4" s="8"/>
      <c r="RGQ4" s="8"/>
      <c r="RGR4" s="8"/>
      <c r="RGS4" s="8"/>
      <c r="RGT4" s="8"/>
      <c r="RGU4" s="8"/>
      <c r="RGV4" s="8"/>
      <c r="RGW4" s="8"/>
      <c r="RGX4" s="8"/>
      <c r="RGY4" s="8"/>
      <c r="RGZ4" s="8"/>
      <c r="RHA4" s="8"/>
      <c r="RHB4" s="8"/>
      <c r="RHC4" s="8"/>
      <c r="RHD4" s="8"/>
      <c r="RHE4" s="8"/>
      <c r="RHF4" s="8"/>
      <c r="RHG4" s="8"/>
      <c r="RHH4" s="8"/>
      <c r="RHI4" s="8"/>
      <c r="RHJ4" s="8"/>
      <c r="RHK4" s="8"/>
      <c r="RHL4" s="8"/>
      <c r="RHM4" s="8"/>
      <c r="RHN4" s="8"/>
      <c r="RHO4" s="8"/>
      <c r="RHP4" s="8"/>
      <c r="RHQ4" s="8"/>
      <c r="RHR4" s="8"/>
      <c r="RHS4" s="8"/>
      <c r="RHT4" s="8"/>
      <c r="RHU4" s="8"/>
      <c r="RHV4" s="8"/>
      <c r="RHW4" s="8"/>
      <c r="RHX4" s="8"/>
      <c r="RHY4" s="8"/>
      <c r="RHZ4" s="8"/>
      <c r="RIA4" s="8"/>
      <c r="RIB4" s="8"/>
      <c r="RIC4" s="8"/>
      <c r="RID4" s="8"/>
      <c r="RIE4" s="8"/>
      <c r="RIF4" s="8"/>
      <c r="RIG4" s="8"/>
      <c r="RIH4" s="8"/>
      <c r="RII4" s="8"/>
      <c r="RIJ4" s="8"/>
      <c r="RIK4" s="8"/>
      <c r="RIL4" s="8"/>
      <c r="RIM4" s="8"/>
      <c r="RIN4" s="8"/>
      <c r="RIO4" s="8"/>
      <c r="RIP4" s="8"/>
      <c r="RIQ4" s="8"/>
      <c r="RIR4" s="8"/>
      <c r="RIS4" s="8"/>
      <c r="RIT4" s="8"/>
      <c r="RIU4" s="8"/>
      <c r="RIV4" s="8"/>
      <c r="RIW4" s="8"/>
      <c r="RIX4" s="8"/>
      <c r="RIY4" s="8"/>
      <c r="RIZ4" s="8"/>
      <c r="RJA4" s="8"/>
      <c r="RJB4" s="8"/>
      <c r="RJC4" s="8"/>
      <c r="RJD4" s="8"/>
      <c r="RJE4" s="8"/>
      <c r="RJF4" s="8"/>
      <c r="RJG4" s="8"/>
      <c r="RJH4" s="8"/>
      <c r="RJI4" s="8"/>
      <c r="RJJ4" s="8"/>
      <c r="RJK4" s="8"/>
      <c r="RJL4" s="8"/>
      <c r="RJM4" s="8"/>
      <c r="RJN4" s="8"/>
      <c r="RJO4" s="8"/>
      <c r="RJP4" s="8"/>
      <c r="RJQ4" s="8"/>
      <c r="RJR4" s="8"/>
      <c r="RJS4" s="8"/>
      <c r="RJT4" s="8"/>
      <c r="RJU4" s="8"/>
      <c r="RJV4" s="8"/>
      <c r="RJW4" s="8"/>
      <c r="RJX4" s="8"/>
      <c r="RJY4" s="8"/>
      <c r="RJZ4" s="8"/>
      <c r="RKA4" s="8"/>
      <c r="RKB4" s="8"/>
      <c r="RKC4" s="8"/>
      <c r="RKD4" s="8"/>
      <c r="RKE4" s="8"/>
      <c r="RKF4" s="8"/>
      <c r="RKG4" s="8"/>
      <c r="RKH4" s="8"/>
      <c r="RKI4" s="8"/>
      <c r="RKJ4" s="8"/>
      <c r="RKK4" s="8"/>
      <c r="RKL4" s="8"/>
      <c r="RKM4" s="8"/>
      <c r="RKN4" s="8"/>
      <c r="RKO4" s="8"/>
      <c r="RKP4" s="8"/>
      <c r="RKQ4" s="8"/>
      <c r="RKR4" s="8"/>
      <c r="RKS4" s="8"/>
      <c r="RKT4" s="8"/>
      <c r="RKU4" s="8"/>
      <c r="RKV4" s="8"/>
      <c r="RKW4" s="8"/>
      <c r="RKX4" s="8"/>
      <c r="RKY4" s="8"/>
      <c r="RKZ4" s="8"/>
      <c r="RLA4" s="8"/>
      <c r="RLB4" s="8"/>
      <c r="RLC4" s="8"/>
      <c r="RLD4" s="8"/>
      <c r="RLE4" s="8"/>
      <c r="RLF4" s="8"/>
      <c r="RLG4" s="8"/>
      <c r="RLH4" s="8"/>
      <c r="RLI4" s="8"/>
      <c r="RLJ4" s="8"/>
      <c r="RLK4" s="8"/>
      <c r="RLL4" s="8"/>
      <c r="RLM4" s="8"/>
      <c r="RLN4" s="8"/>
      <c r="RLO4" s="8"/>
      <c r="RLP4" s="8"/>
      <c r="RLQ4" s="8"/>
      <c r="RLR4" s="8"/>
      <c r="RLS4" s="8"/>
      <c r="RLT4" s="8"/>
      <c r="RLU4" s="8"/>
      <c r="RLV4" s="8"/>
      <c r="RLW4" s="8"/>
      <c r="RLX4" s="8"/>
      <c r="RLY4" s="8"/>
      <c r="RLZ4" s="8"/>
      <c r="RMA4" s="8"/>
      <c r="RMB4" s="8"/>
      <c r="RMC4" s="8"/>
      <c r="RMD4" s="8"/>
      <c r="RME4" s="8"/>
      <c r="RMF4" s="8"/>
      <c r="RMG4" s="8"/>
      <c r="RMH4" s="8"/>
      <c r="RMI4" s="8"/>
      <c r="RMJ4" s="8"/>
      <c r="RMK4" s="8"/>
      <c r="RML4" s="8"/>
      <c r="RMM4" s="8"/>
      <c r="RMN4" s="8"/>
      <c r="RMO4" s="8"/>
      <c r="RMP4" s="8"/>
      <c r="RMQ4" s="8"/>
      <c r="RMR4" s="8"/>
      <c r="RMS4" s="8"/>
      <c r="RMT4" s="8"/>
      <c r="RMU4" s="8"/>
      <c r="RMV4" s="8"/>
      <c r="RMW4" s="8"/>
      <c r="RMX4" s="8"/>
      <c r="RMY4" s="8"/>
      <c r="RMZ4" s="8"/>
      <c r="RNA4" s="8"/>
      <c r="RNB4" s="8"/>
      <c r="RNC4" s="8"/>
      <c r="RND4" s="8"/>
      <c r="RNE4" s="8"/>
      <c r="RNF4" s="8"/>
      <c r="RNG4" s="8"/>
      <c r="RNH4" s="8"/>
      <c r="RNI4" s="8"/>
      <c r="RNJ4" s="8"/>
      <c r="RNK4" s="8"/>
      <c r="RNL4" s="8"/>
      <c r="RNM4" s="8"/>
      <c r="RNN4" s="8"/>
      <c r="RNO4" s="8"/>
      <c r="RNP4" s="8"/>
      <c r="RNQ4" s="8"/>
      <c r="RNR4" s="8"/>
      <c r="RNS4" s="8"/>
      <c r="RNT4" s="8"/>
      <c r="RNU4" s="8"/>
      <c r="RNV4" s="8"/>
      <c r="RNW4" s="8"/>
      <c r="RNX4" s="8"/>
      <c r="RNY4" s="8"/>
      <c r="RNZ4" s="8"/>
      <c r="ROA4" s="8"/>
      <c r="ROB4" s="8"/>
      <c r="ROC4" s="8"/>
      <c r="ROD4" s="8"/>
      <c r="ROE4" s="8"/>
      <c r="ROF4" s="8"/>
      <c r="ROG4" s="8"/>
      <c r="ROH4" s="8"/>
      <c r="ROI4" s="8"/>
      <c r="ROJ4" s="8"/>
      <c r="ROK4" s="8"/>
      <c r="ROL4" s="8"/>
      <c r="ROM4" s="8"/>
      <c r="RON4" s="8"/>
      <c r="ROO4" s="8"/>
      <c r="ROP4" s="8"/>
      <c r="ROQ4" s="8"/>
      <c r="ROR4" s="8"/>
      <c r="ROS4" s="8"/>
      <c r="ROT4" s="8"/>
      <c r="ROU4" s="8"/>
      <c r="ROV4" s="8"/>
      <c r="ROW4" s="8"/>
      <c r="ROX4" s="8"/>
      <c r="ROY4" s="8"/>
      <c r="ROZ4" s="8"/>
      <c r="RPA4" s="8"/>
      <c r="RPB4" s="8"/>
      <c r="RPC4" s="8"/>
      <c r="RPD4" s="8"/>
      <c r="RPE4" s="8"/>
      <c r="RPF4" s="8"/>
      <c r="RPG4" s="8"/>
      <c r="RPH4" s="8"/>
      <c r="RPI4" s="8"/>
      <c r="RPJ4" s="8"/>
      <c r="RPK4" s="8"/>
      <c r="RPL4" s="8"/>
      <c r="RPM4" s="8"/>
      <c r="RPN4" s="8"/>
      <c r="RPO4" s="8"/>
      <c r="RPP4" s="8"/>
      <c r="RPQ4" s="8"/>
      <c r="RPR4" s="8"/>
      <c r="RPS4" s="8"/>
      <c r="RPT4" s="8"/>
      <c r="RPU4" s="8"/>
      <c r="RPV4" s="8"/>
      <c r="RPW4" s="8"/>
      <c r="RPX4" s="8"/>
      <c r="RPY4" s="8"/>
      <c r="RPZ4" s="8"/>
      <c r="RQA4" s="8"/>
      <c r="RQB4" s="8"/>
      <c r="RQC4" s="8"/>
      <c r="RQD4" s="8"/>
      <c r="RQE4" s="8"/>
      <c r="RQF4" s="8"/>
      <c r="RQG4" s="8"/>
      <c r="RQH4" s="8"/>
      <c r="RQI4" s="8"/>
      <c r="RQJ4" s="8"/>
      <c r="RQK4" s="8"/>
      <c r="RQL4" s="8"/>
      <c r="RQM4" s="8"/>
      <c r="RQN4" s="8"/>
      <c r="RQO4" s="8"/>
      <c r="RQP4" s="8"/>
      <c r="RQQ4" s="8"/>
      <c r="RQR4" s="8"/>
      <c r="RQS4" s="8"/>
      <c r="RQT4" s="8"/>
      <c r="RQU4" s="8"/>
      <c r="RQV4" s="8"/>
      <c r="RQW4" s="8"/>
      <c r="RQX4" s="8"/>
      <c r="RQY4" s="8"/>
      <c r="RQZ4" s="8"/>
      <c r="RRA4" s="8"/>
      <c r="RRB4" s="8"/>
      <c r="RRC4" s="8"/>
      <c r="RRD4" s="8"/>
      <c r="RRE4" s="8"/>
      <c r="RRF4" s="8"/>
      <c r="RRG4" s="8"/>
      <c r="RRH4" s="8"/>
      <c r="RRI4" s="8"/>
      <c r="RRJ4" s="8"/>
      <c r="RRK4" s="8"/>
      <c r="RRL4" s="8"/>
      <c r="RRM4" s="8"/>
      <c r="RRN4" s="8"/>
      <c r="RRO4" s="8"/>
      <c r="RRP4" s="8"/>
      <c r="RRQ4" s="8"/>
      <c r="RRR4" s="8"/>
      <c r="RRS4" s="8"/>
      <c r="RRT4" s="8"/>
      <c r="RRU4" s="8"/>
      <c r="RRV4" s="8"/>
      <c r="RRW4" s="8"/>
      <c r="RRX4" s="8"/>
      <c r="RRY4" s="8"/>
      <c r="RRZ4" s="8"/>
      <c r="RSA4" s="8"/>
      <c r="RSB4" s="8"/>
      <c r="RSC4" s="8"/>
      <c r="RSD4" s="8"/>
      <c r="RSE4" s="8"/>
      <c r="RSF4" s="8"/>
      <c r="RSG4" s="8"/>
      <c r="RSH4" s="8"/>
      <c r="RSI4" s="8"/>
      <c r="RSJ4" s="8"/>
      <c r="RSK4" s="8"/>
      <c r="RSL4" s="8"/>
      <c r="RSM4" s="8"/>
      <c r="RSN4" s="8"/>
      <c r="RSO4" s="8"/>
      <c r="RSP4" s="8"/>
      <c r="RSQ4" s="8"/>
      <c r="RSR4" s="8"/>
      <c r="RSS4" s="8"/>
      <c r="RST4" s="8"/>
      <c r="RSU4" s="8"/>
      <c r="RSV4" s="8"/>
      <c r="RSW4" s="8"/>
      <c r="RSX4" s="8"/>
      <c r="RSY4" s="8"/>
      <c r="RSZ4" s="8"/>
      <c r="RTA4" s="8"/>
      <c r="RTB4" s="8"/>
      <c r="RTC4" s="8"/>
      <c r="RTD4" s="8"/>
      <c r="RTE4" s="8"/>
      <c r="RTF4" s="8"/>
      <c r="RTG4" s="8"/>
      <c r="RTH4" s="8"/>
      <c r="RTI4" s="8"/>
      <c r="RTJ4" s="8"/>
      <c r="RTK4" s="8"/>
      <c r="RTL4" s="8"/>
      <c r="RTM4" s="8"/>
      <c r="RTN4" s="8"/>
      <c r="RTO4" s="8"/>
      <c r="RTP4" s="8"/>
      <c r="RTQ4" s="8"/>
      <c r="RTR4" s="8"/>
      <c r="RTS4" s="8"/>
      <c r="RTT4" s="8"/>
      <c r="RTU4" s="8"/>
      <c r="RTV4" s="8"/>
      <c r="RTW4" s="8"/>
      <c r="RTX4" s="8"/>
      <c r="RTY4" s="8"/>
      <c r="RTZ4" s="8"/>
      <c r="RUA4" s="8"/>
      <c r="RUB4" s="8"/>
      <c r="RUC4" s="8"/>
      <c r="RUD4" s="8"/>
      <c r="RUE4" s="8"/>
      <c r="RUF4" s="8"/>
      <c r="RUG4" s="8"/>
      <c r="RUH4" s="8"/>
      <c r="RUI4" s="8"/>
      <c r="RUJ4" s="8"/>
      <c r="RUK4" s="8"/>
      <c r="RUL4" s="8"/>
      <c r="RUM4" s="8"/>
      <c r="RUN4" s="8"/>
      <c r="RUO4" s="8"/>
      <c r="RUP4" s="8"/>
      <c r="RUQ4" s="8"/>
      <c r="RUR4" s="8"/>
      <c r="RUS4" s="8"/>
      <c r="RUT4" s="8"/>
      <c r="RUU4" s="8"/>
      <c r="RUV4" s="8"/>
      <c r="RUW4" s="8"/>
      <c r="RUX4" s="8"/>
      <c r="RUY4" s="8"/>
      <c r="RUZ4" s="8"/>
      <c r="RVA4" s="8"/>
      <c r="RVB4" s="8"/>
      <c r="RVC4" s="8"/>
      <c r="RVD4" s="8"/>
      <c r="RVE4" s="8"/>
      <c r="RVF4" s="8"/>
      <c r="RVG4" s="8"/>
      <c r="RVH4" s="8"/>
      <c r="RVI4" s="8"/>
      <c r="RVJ4" s="8"/>
      <c r="RVK4" s="8"/>
      <c r="RVL4" s="8"/>
      <c r="RVM4" s="8"/>
      <c r="RVN4" s="8"/>
      <c r="RVO4" s="8"/>
      <c r="RVP4" s="8"/>
      <c r="RVQ4" s="8"/>
      <c r="RVR4" s="8"/>
      <c r="RVS4" s="8"/>
      <c r="RVT4" s="8"/>
      <c r="RVU4" s="8"/>
      <c r="RVV4" s="8"/>
      <c r="RVW4" s="8"/>
      <c r="RVX4" s="8"/>
      <c r="RVY4" s="8"/>
      <c r="RVZ4" s="8"/>
      <c r="RWA4" s="8"/>
      <c r="RWB4" s="8"/>
      <c r="RWC4" s="8"/>
      <c r="RWD4" s="8"/>
      <c r="RWE4" s="8"/>
      <c r="RWF4" s="8"/>
      <c r="RWG4" s="8"/>
      <c r="RWH4" s="8"/>
      <c r="RWI4" s="8"/>
      <c r="RWJ4" s="8"/>
      <c r="RWK4" s="8"/>
      <c r="RWL4" s="8"/>
      <c r="RWM4" s="8"/>
      <c r="RWN4" s="8"/>
      <c r="RWO4" s="8"/>
      <c r="RWP4" s="8"/>
      <c r="RWQ4" s="8"/>
      <c r="RWR4" s="8"/>
      <c r="RWS4" s="8"/>
      <c r="RWT4" s="8"/>
      <c r="RWU4" s="8"/>
      <c r="RWV4" s="8"/>
      <c r="RWW4" s="8"/>
      <c r="RWX4" s="8"/>
      <c r="RWY4" s="8"/>
      <c r="RWZ4" s="8"/>
      <c r="RXA4" s="8"/>
      <c r="RXB4" s="8"/>
      <c r="RXC4" s="8"/>
      <c r="RXD4" s="8"/>
      <c r="RXE4" s="8"/>
      <c r="RXF4" s="8"/>
      <c r="RXG4" s="8"/>
      <c r="RXH4" s="8"/>
      <c r="RXI4" s="8"/>
      <c r="RXJ4" s="8"/>
      <c r="RXK4" s="8"/>
      <c r="RXL4" s="8"/>
      <c r="RXM4" s="8"/>
      <c r="RXN4" s="8"/>
      <c r="RXO4" s="8"/>
      <c r="RXP4" s="8"/>
      <c r="RXQ4" s="8"/>
      <c r="RXR4" s="8"/>
      <c r="RXS4" s="8"/>
      <c r="RXT4" s="8"/>
      <c r="RXU4" s="8"/>
      <c r="RXV4" s="8"/>
      <c r="RXW4" s="8"/>
      <c r="RXX4" s="8"/>
      <c r="RXY4" s="8"/>
      <c r="RXZ4" s="8"/>
      <c r="RYA4" s="8"/>
      <c r="RYB4" s="8"/>
      <c r="RYC4" s="8"/>
      <c r="RYD4" s="8"/>
      <c r="RYE4" s="8"/>
      <c r="RYF4" s="8"/>
      <c r="RYG4" s="8"/>
      <c r="RYH4" s="8"/>
      <c r="RYI4" s="8"/>
      <c r="RYJ4" s="8"/>
      <c r="RYK4" s="8"/>
      <c r="RYL4" s="8"/>
      <c r="RYM4" s="8"/>
      <c r="RYN4" s="8"/>
      <c r="RYO4" s="8"/>
      <c r="RYP4" s="8"/>
      <c r="RYQ4" s="8"/>
      <c r="RYR4" s="8"/>
      <c r="RYS4" s="8"/>
      <c r="RYT4" s="8"/>
      <c r="RYU4" s="8"/>
      <c r="RYV4" s="8"/>
      <c r="RYW4" s="8"/>
      <c r="RYX4" s="8"/>
      <c r="RYY4" s="8"/>
      <c r="RYZ4" s="8"/>
      <c r="RZA4" s="8"/>
      <c r="RZB4" s="8"/>
      <c r="RZC4" s="8"/>
      <c r="RZD4" s="8"/>
      <c r="RZE4" s="8"/>
      <c r="RZF4" s="8"/>
      <c r="RZG4" s="8"/>
      <c r="RZH4" s="8"/>
      <c r="RZI4" s="8"/>
      <c r="RZJ4" s="8"/>
      <c r="RZK4" s="8"/>
      <c r="RZL4" s="8"/>
      <c r="RZM4" s="8"/>
      <c r="RZN4" s="8"/>
      <c r="RZO4" s="8"/>
      <c r="RZP4" s="8"/>
      <c r="RZQ4" s="8"/>
      <c r="RZR4" s="8"/>
      <c r="RZS4" s="8"/>
      <c r="RZT4" s="8"/>
      <c r="RZU4" s="8"/>
      <c r="RZV4" s="8"/>
      <c r="RZW4" s="8"/>
      <c r="RZX4" s="8"/>
      <c r="RZY4" s="8"/>
      <c r="RZZ4" s="8"/>
      <c r="SAA4" s="8"/>
      <c r="SAB4" s="8"/>
      <c r="SAC4" s="8"/>
      <c r="SAD4" s="8"/>
      <c r="SAE4" s="8"/>
      <c r="SAF4" s="8"/>
      <c r="SAG4" s="8"/>
      <c r="SAH4" s="8"/>
      <c r="SAI4" s="8"/>
      <c r="SAJ4" s="8"/>
      <c r="SAK4" s="8"/>
      <c r="SAL4" s="8"/>
      <c r="SAM4" s="8"/>
      <c r="SAN4" s="8"/>
      <c r="SAO4" s="8"/>
      <c r="SAP4" s="8"/>
      <c r="SAQ4" s="8"/>
      <c r="SAR4" s="8"/>
      <c r="SAS4" s="8"/>
      <c r="SAT4" s="8"/>
      <c r="SAU4" s="8"/>
      <c r="SAV4" s="8"/>
      <c r="SAW4" s="8"/>
      <c r="SAX4" s="8"/>
      <c r="SAY4" s="8"/>
      <c r="SAZ4" s="8"/>
      <c r="SBA4" s="8"/>
      <c r="SBB4" s="8"/>
      <c r="SBC4" s="8"/>
      <c r="SBD4" s="8"/>
      <c r="SBE4" s="8"/>
      <c r="SBF4" s="8"/>
      <c r="SBG4" s="8"/>
      <c r="SBH4" s="8"/>
      <c r="SBI4" s="8"/>
      <c r="SBJ4" s="8"/>
      <c r="SBK4" s="8"/>
      <c r="SBL4" s="8"/>
      <c r="SBM4" s="8"/>
      <c r="SBN4" s="8"/>
      <c r="SBO4" s="8"/>
      <c r="SBP4" s="8"/>
      <c r="SBQ4" s="8"/>
      <c r="SBR4" s="8"/>
      <c r="SBS4" s="8"/>
      <c r="SBT4" s="8"/>
      <c r="SBU4" s="8"/>
      <c r="SBV4" s="8"/>
      <c r="SBW4" s="8"/>
      <c r="SBX4" s="8"/>
      <c r="SBY4" s="8"/>
      <c r="SBZ4" s="8"/>
      <c r="SCA4" s="8"/>
      <c r="SCB4" s="8"/>
      <c r="SCC4" s="8"/>
      <c r="SCD4" s="8"/>
      <c r="SCE4" s="8"/>
      <c r="SCF4" s="8"/>
      <c r="SCG4" s="8"/>
      <c r="SCH4" s="8"/>
      <c r="SCI4" s="8"/>
      <c r="SCJ4" s="8"/>
      <c r="SCK4" s="8"/>
      <c r="SCL4" s="8"/>
      <c r="SCM4" s="8"/>
      <c r="SCN4" s="8"/>
      <c r="SCO4" s="8"/>
      <c r="SCP4" s="8"/>
      <c r="SCQ4" s="8"/>
      <c r="SCR4" s="8"/>
      <c r="SCS4" s="8"/>
      <c r="SCT4" s="8"/>
      <c r="SCU4" s="8"/>
      <c r="SCV4" s="8"/>
      <c r="SCW4" s="8"/>
      <c r="SCX4" s="8"/>
      <c r="SCY4" s="8"/>
      <c r="SCZ4" s="8"/>
      <c r="SDA4" s="8"/>
      <c r="SDB4" s="8"/>
      <c r="SDC4" s="8"/>
      <c r="SDD4" s="8"/>
      <c r="SDE4" s="8"/>
      <c r="SDF4" s="8"/>
      <c r="SDG4" s="8"/>
      <c r="SDH4" s="8"/>
      <c r="SDI4" s="8"/>
      <c r="SDJ4" s="8"/>
      <c r="SDK4" s="8"/>
      <c r="SDL4" s="8"/>
      <c r="SDM4" s="8"/>
      <c r="SDN4" s="8"/>
      <c r="SDO4" s="8"/>
      <c r="SDP4" s="8"/>
      <c r="SDQ4" s="8"/>
      <c r="SDR4" s="8"/>
      <c r="SDS4" s="8"/>
      <c r="SDT4" s="8"/>
      <c r="SDU4" s="8"/>
      <c r="SDV4" s="8"/>
      <c r="SDW4" s="8"/>
      <c r="SDX4" s="8"/>
      <c r="SDY4" s="8"/>
      <c r="SDZ4" s="8"/>
      <c r="SEA4" s="8"/>
      <c r="SEB4" s="8"/>
      <c r="SEC4" s="8"/>
      <c r="SED4" s="8"/>
      <c r="SEE4" s="8"/>
      <c r="SEF4" s="8"/>
      <c r="SEG4" s="8"/>
      <c r="SEH4" s="8"/>
      <c r="SEI4" s="8"/>
      <c r="SEJ4" s="8"/>
      <c r="SEK4" s="8"/>
      <c r="SEL4" s="8"/>
      <c r="SEM4" s="8"/>
      <c r="SEN4" s="8"/>
      <c r="SEO4" s="8"/>
      <c r="SEP4" s="8"/>
      <c r="SEQ4" s="8"/>
      <c r="SER4" s="8"/>
      <c r="SES4" s="8"/>
      <c r="SET4" s="8"/>
      <c r="SEU4" s="8"/>
      <c r="SEV4" s="8"/>
      <c r="SEW4" s="8"/>
      <c r="SEX4" s="8"/>
      <c r="SEY4" s="8"/>
      <c r="SEZ4" s="8"/>
      <c r="SFA4" s="8"/>
      <c r="SFB4" s="8"/>
      <c r="SFC4" s="8"/>
      <c r="SFD4" s="8"/>
      <c r="SFE4" s="8"/>
      <c r="SFF4" s="8"/>
      <c r="SFG4" s="8"/>
      <c r="SFH4" s="8"/>
      <c r="SFI4" s="8"/>
      <c r="SFJ4" s="8"/>
      <c r="SFK4" s="8"/>
      <c r="SFL4" s="8"/>
      <c r="SFM4" s="8"/>
      <c r="SFN4" s="8"/>
      <c r="SFO4" s="8"/>
      <c r="SFP4" s="8"/>
      <c r="SFQ4" s="8"/>
      <c r="SFR4" s="8"/>
      <c r="SFS4" s="8"/>
      <c r="SFT4" s="8"/>
      <c r="SFU4" s="8"/>
      <c r="SFV4" s="8"/>
      <c r="SFW4" s="8"/>
      <c r="SFX4" s="8"/>
      <c r="SFY4" s="8"/>
      <c r="SFZ4" s="8"/>
      <c r="SGA4" s="8"/>
      <c r="SGB4" s="8"/>
      <c r="SGC4" s="8"/>
      <c r="SGD4" s="8"/>
      <c r="SGE4" s="8"/>
      <c r="SGF4" s="8"/>
      <c r="SGG4" s="8"/>
      <c r="SGH4" s="8"/>
      <c r="SGI4" s="8"/>
      <c r="SGJ4" s="8"/>
      <c r="SGK4" s="8"/>
      <c r="SGL4" s="8"/>
      <c r="SGM4" s="8"/>
      <c r="SGN4" s="8"/>
      <c r="SGO4" s="8"/>
      <c r="SGP4" s="8"/>
      <c r="SGQ4" s="8"/>
      <c r="SGR4" s="8"/>
      <c r="SGS4" s="8"/>
      <c r="SGT4" s="8"/>
      <c r="SGU4" s="8"/>
      <c r="SGV4" s="8"/>
      <c r="SGW4" s="8"/>
      <c r="SGX4" s="8"/>
      <c r="SGY4" s="8"/>
      <c r="SGZ4" s="8"/>
      <c r="SHA4" s="8"/>
      <c r="SHB4" s="8"/>
      <c r="SHC4" s="8"/>
      <c r="SHD4" s="8"/>
      <c r="SHE4" s="8"/>
      <c r="SHF4" s="8"/>
      <c r="SHG4" s="8"/>
      <c r="SHH4" s="8"/>
      <c r="SHI4" s="8"/>
      <c r="SHJ4" s="8"/>
      <c r="SHK4" s="8"/>
      <c r="SHL4" s="8"/>
      <c r="SHM4" s="8"/>
      <c r="SHN4" s="8"/>
      <c r="SHO4" s="8"/>
      <c r="SHP4" s="8"/>
      <c r="SHQ4" s="8"/>
      <c r="SHR4" s="8"/>
      <c r="SHS4" s="8"/>
      <c r="SHT4" s="8"/>
      <c r="SHU4" s="8"/>
      <c r="SHV4" s="8"/>
      <c r="SHW4" s="8"/>
      <c r="SHX4" s="8"/>
      <c r="SHY4" s="8"/>
      <c r="SHZ4" s="8"/>
      <c r="SIA4" s="8"/>
      <c r="SIB4" s="8"/>
      <c r="SIC4" s="8"/>
      <c r="SID4" s="8"/>
      <c r="SIE4" s="8"/>
      <c r="SIF4" s="8"/>
      <c r="SIG4" s="8"/>
      <c r="SIH4" s="8"/>
      <c r="SII4" s="8"/>
      <c r="SIJ4" s="8"/>
      <c r="SIK4" s="8"/>
      <c r="SIL4" s="8"/>
      <c r="SIM4" s="8"/>
      <c r="SIN4" s="8"/>
      <c r="SIO4" s="8"/>
      <c r="SIP4" s="8"/>
      <c r="SIQ4" s="8"/>
      <c r="SIR4" s="8"/>
      <c r="SIS4" s="8"/>
      <c r="SIT4" s="8"/>
      <c r="SIU4" s="8"/>
      <c r="SIV4" s="8"/>
      <c r="SIW4" s="8"/>
      <c r="SIX4" s="8"/>
      <c r="SIY4" s="8"/>
      <c r="SIZ4" s="8"/>
      <c r="SJA4" s="8"/>
      <c r="SJB4" s="8"/>
      <c r="SJC4" s="8"/>
      <c r="SJD4" s="8"/>
      <c r="SJE4" s="8"/>
      <c r="SJF4" s="8"/>
      <c r="SJG4" s="8"/>
      <c r="SJH4" s="8"/>
      <c r="SJI4" s="8"/>
      <c r="SJJ4" s="8"/>
      <c r="SJK4" s="8"/>
      <c r="SJL4" s="8"/>
      <c r="SJM4" s="8"/>
      <c r="SJN4" s="8"/>
      <c r="SJO4" s="8"/>
      <c r="SJP4" s="8"/>
      <c r="SJQ4" s="8"/>
      <c r="SJR4" s="8"/>
      <c r="SJS4" s="8"/>
      <c r="SJT4" s="8"/>
      <c r="SJU4" s="8"/>
      <c r="SJV4" s="8"/>
      <c r="SJW4" s="8"/>
      <c r="SJX4" s="8"/>
      <c r="SJY4" s="8"/>
      <c r="SJZ4" s="8"/>
      <c r="SKA4" s="8"/>
      <c r="SKB4" s="8"/>
      <c r="SKC4" s="8"/>
      <c r="SKD4" s="8"/>
      <c r="SKE4" s="8"/>
      <c r="SKF4" s="8"/>
      <c r="SKG4" s="8"/>
      <c r="SKH4" s="8"/>
      <c r="SKI4" s="8"/>
      <c r="SKJ4" s="8"/>
      <c r="SKK4" s="8"/>
      <c r="SKL4" s="8"/>
      <c r="SKM4" s="8"/>
      <c r="SKN4" s="8"/>
      <c r="SKO4" s="8"/>
      <c r="SKP4" s="8"/>
      <c r="SKQ4" s="8"/>
      <c r="SKR4" s="8"/>
      <c r="SKS4" s="8"/>
      <c r="SKT4" s="8"/>
      <c r="SKU4" s="8"/>
      <c r="SKV4" s="8"/>
      <c r="SKW4" s="8"/>
      <c r="SKX4" s="8"/>
      <c r="SKY4" s="8"/>
      <c r="SKZ4" s="8"/>
      <c r="SLA4" s="8"/>
      <c r="SLB4" s="8"/>
      <c r="SLC4" s="8"/>
      <c r="SLD4" s="8"/>
      <c r="SLE4" s="8"/>
      <c r="SLF4" s="8"/>
      <c r="SLG4" s="8"/>
      <c r="SLH4" s="8"/>
      <c r="SLI4" s="8"/>
      <c r="SLJ4" s="8"/>
      <c r="SLK4" s="8"/>
      <c r="SLL4" s="8"/>
      <c r="SLM4" s="8"/>
      <c r="SLN4" s="8"/>
      <c r="SLO4" s="8"/>
      <c r="SLP4" s="8"/>
      <c r="SLQ4" s="8"/>
      <c r="SLR4" s="8"/>
      <c r="SLS4" s="8"/>
      <c r="SLT4" s="8"/>
      <c r="SLU4" s="8"/>
      <c r="SLV4" s="8"/>
      <c r="SLW4" s="8"/>
      <c r="SLX4" s="8"/>
      <c r="SLY4" s="8"/>
      <c r="SLZ4" s="8"/>
      <c r="SMA4" s="8"/>
      <c r="SMB4" s="8"/>
      <c r="SMC4" s="8"/>
      <c r="SMD4" s="8"/>
      <c r="SME4" s="8"/>
      <c r="SMF4" s="8"/>
      <c r="SMG4" s="8"/>
      <c r="SMH4" s="8"/>
      <c r="SMI4" s="8"/>
      <c r="SMJ4" s="8"/>
      <c r="SMK4" s="8"/>
      <c r="SML4" s="8"/>
      <c r="SMM4" s="8"/>
      <c r="SMN4" s="8"/>
      <c r="SMO4" s="8"/>
      <c r="SMP4" s="8"/>
      <c r="SMQ4" s="8"/>
      <c r="SMR4" s="8"/>
      <c r="SMS4" s="8"/>
      <c r="SMT4" s="8"/>
      <c r="SMU4" s="8"/>
      <c r="SMV4" s="8"/>
      <c r="SMW4" s="8"/>
      <c r="SMX4" s="8"/>
      <c r="SMY4" s="8"/>
      <c r="SMZ4" s="8"/>
      <c r="SNA4" s="8"/>
      <c r="SNB4" s="8"/>
      <c r="SNC4" s="8"/>
      <c r="SND4" s="8"/>
      <c r="SNE4" s="8"/>
      <c r="SNF4" s="8"/>
      <c r="SNG4" s="8"/>
      <c r="SNH4" s="8"/>
      <c r="SNI4" s="8"/>
      <c r="SNJ4" s="8"/>
      <c r="SNK4" s="8"/>
      <c r="SNL4" s="8"/>
      <c r="SNM4" s="8"/>
      <c r="SNN4" s="8"/>
      <c r="SNO4" s="8"/>
      <c r="SNP4" s="8"/>
      <c r="SNQ4" s="8"/>
      <c r="SNR4" s="8"/>
      <c r="SNS4" s="8"/>
      <c r="SNT4" s="8"/>
      <c r="SNU4" s="8"/>
      <c r="SNV4" s="8"/>
      <c r="SNW4" s="8"/>
      <c r="SNX4" s="8"/>
      <c r="SNY4" s="8"/>
      <c r="SNZ4" s="8"/>
      <c r="SOA4" s="8"/>
      <c r="SOB4" s="8"/>
      <c r="SOC4" s="8"/>
      <c r="SOD4" s="8"/>
      <c r="SOE4" s="8"/>
      <c r="SOF4" s="8"/>
      <c r="SOG4" s="8"/>
      <c r="SOH4" s="8"/>
      <c r="SOI4" s="8"/>
      <c r="SOJ4" s="8"/>
      <c r="SOK4" s="8"/>
      <c r="SOL4" s="8"/>
      <c r="SOM4" s="8"/>
      <c r="SON4" s="8"/>
      <c r="SOO4" s="8"/>
      <c r="SOP4" s="8"/>
      <c r="SOQ4" s="8"/>
      <c r="SOR4" s="8"/>
      <c r="SOS4" s="8"/>
      <c r="SOT4" s="8"/>
      <c r="SOU4" s="8"/>
      <c r="SOV4" s="8"/>
      <c r="SOW4" s="8"/>
      <c r="SOX4" s="8"/>
      <c r="SOY4" s="8"/>
      <c r="SOZ4" s="8"/>
      <c r="SPA4" s="8"/>
      <c r="SPB4" s="8"/>
      <c r="SPC4" s="8"/>
      <c r="SPD4" s="8"/>
      <c r="SPE4" s="8"/>
      <c r="SPF4" s="8"/>
      <c r="SPG4" s="8"/>
      <c r="SPH4" s="8"/>
      <c r="SPI4" s="8"/>
      <c r="SPJ4" s="8"/>
      <c r="SPK4" s="8"/>
      <c r="SPL4" s="8"/>
      <c r="SPM4" s="8"/>
      <c r="SPN4" s="8"/>
      <c r="SPO4" s="8"/>
      <c r="SPP4" s="8"/>
      <c r="SPQ4" s="8"/>
      <c r="SPR4" s="8"/>
      <c r="SPS4" s="8"/>
      <c r="SPT4" s="8"/>
      <c r="SPU4" s="8"/>
      <c r="SPV4" s="8"/>
      <c r="SPW4" s="8"/>
      <c r="SPX4" s="8"/>
      <c r="SPY4" s="8"/>
      <c r="SPZ4" s="8"/>
      <c r="SQA4" s="8"/>
      <c r="SQB4" s="8"/>
      <c r="SQC4" s="8"/>
      <c r="SQD4" s="8"/>
      <c r="SQE4" s="8"/>
      <c r="SQF4" s="8"/>
      <c r="SQG4" s="8"/>
      <c r="SQH4" s="8"/>
      <c r="SQI4" s="8"/>
      <c r="SQJ4" s="8"/>
      <c r="SQK4" s="8"/>
      <c r="SQL4" s="8"/>
      <c r="SQM4" s="8"/>
      <c r="SQN4" s="8"/>
      <c r="SQO4" s="8"/>
      <c r="SQP4" s="8"/>
      <c r="SQQ4" s="8"/>
      <c r="SQR4" s="8"/>
      <c r="SQS4" s="8"/>
      <c r="SQT4" s="8"/>
      <c r="SQU4" s="8"/>
      <c r="SQV4" s="8"/>
      <c r="SQW4" s="8"/>
      <c r="SQX4" s="8"/>
      <c r="SQY4" s="8"/>
      <c r="SQZ4" s="8"/>
      <c r="SRA4" s="8"/>
      <c r="SRB4" s="8"/>
      <c r="SRC4" s="8"/>
      <c r="SRD4" s="8"/>
      <c r="SRE4" s="8"/>
      <c r="SRF4" s="8"/>
      <c r="SRG4" s="8"/>
      <c r="SRH4" s="8"/>
      <c r="SRI4" s="8"/>
      <c r="SRJ4" s="8"/>
      <c r="SRK4" s="8"/>
      <c r="SRL4" s="8"/>
      <c r="SRM4" s="8"/>
      <c r="SRN4" s="8"/>
      <c r="SRO4" s="8"/>
      <c r="SRP4" s="8"/>
      <c r="SRQ4" s="8"/>
      <c r="SRR4" s="8"/>
      <c r="SRS4" s="8"/>
      <c r="SRT4" s="8"/>
      <c r="SRU4" s="8"/>
      <c r="SRV4" s="8"/>
      <c r="SRW4" s="8"/>
      <c r="SRX4" s="8"/>
      <c r="SRY4" s="8"/>
      <c r="SRZ4" s="8"/>
      <c r="SSA4" s="8"/>
      <c r="SSB4" s="8"/>
      <c r="SSC4" s="8"/>
      <c r="SSD4" s="8"/>
      <c r="SSE4" s="8"/>
      <c r="SSF4" s="8"/>
      <c r="SSG4" s="8"/>
      <c r="SSH4" s="8"/>
      <c r="SSI4" s="8"/>
      <c r="SSJ4" s="8"/>
      <c r="SSK4" s="8"/>
      <c r="SSL4" s="8"/>
      <c r="SSM4" s="8"/>
      <c r="SSN4" s="8"/>
      <c r="SSO4" s="8"/>
      <c r="SSP4" s="8"/>
      <c r="SSQ4" s="8"/>
      <c r="SSR4" s="8"/>
      <c r="SSS4" s="8"/>
      <c r="SST4" s="8"/>
      <c r="SSU4" s="8"/>
      <c r="SSV4" s="8"/>
      <c r="SSW4" s="8"/>
      <c r="SSX4" s="8"/>
      <c r="SSY4" s="8"/>
      <c r="SSZ4" s="8"/>
      <c r="STA4" s="8"/>
      <c r="STB4" s="8"/>
      <c r="STC4" s="8"/>
      <c r="STD4" s="8"/>
      <c r="STE4" s="8"/>
      <c r="STF4" s="8"/>
      <c r="STG4" s="8"/>
      <c r="STH4" s="8"/>
      <c r="STI4" s="8"/>
      <c r="STJ4" s="8"/>
      <c r="STK4" s="8"/>
      <c r="STL4" s="8"/>
      <c r="STM4" s="8"/>
      <c r="STN4" s="8"/>
      <c r="STO4" s="8"/>
      <c r="STP4" s="8"/>
      <c r="STQ4" s="8"/>
      <c r="STR4" s="8"/>
      <c r="STS4" s="8"/>
      <c r="STT4" s="8"/>
      <c r="STU4" s="8"/>
      <c r="STV4" s="8"/>
      <c r="STW4" s="8"/>
      <c r="STX4" s="8"/>
      <c r="STY4" s="8"/>
      <c r="STZ4" s="8"/>
      <c r="SUA4" s="8"/>
      <c r="SUB4" s="8"/>
      <c r="SUC4" s="8"/>
      <c r="SUD4" s="8"/>
      <c r="SUE4" s="8"/>
      <c r="SUF4" s="8"/>
      <c r="SUG4" s="8"/>
      <c r="SUH4" s="8"/>
      <c r="SUI4" s="8"/>
      <c r="SUJ4" s="8"/>
      <c r="SUK4" s="8"/>
      <c r="SUL4" s="8"/>
      <c r="SUM4" s="8"/>
      <c r="SUN4" s="8"/>
      <c r="SUO4" s="8"/>
      <c r="SUP4" s="8"/>
      <c r="SUQ4" s="8"/>
      <c r="SUR4" s="8"/>
      <c r="SUS4" s="8"/>
      <c r="SUT4" s="8"/>
      <c r="SUU4" s="8"/>
      <c r="SUV4" s="8"/>
      <c r="SUW4" s="8"/>
      <c r="SUX4" s="8"/>
      <c r="SUY4" s="8"/>
      <c r="SUZ4" s="8"/>
      <c r="SVA4" s="8"/>
      <c r="SVB4" s="8"/>
      <c r="SVC4" s="8"/>
      <c r="SVD4" s="8"/>
      <c r="SVE4" s="8"/>
      <c r="SVF4" s="8"/>
      <c r="SVG4" s="8"/>
      <c r="SVH4" s="8"/>
      <c r="SVI4" s="8"/>
      <c r="SVJ4" s="8"/>
      <c r="SVK4" s="8"/>
      <c r="SVL4" s="8"/>
      <c r="SVM4" s="8"/>
      <c r="SVN4" s="8"/>
      <c r="SVO4" s="8"/>
      <c r="SVP4" s="8"/>
      <c r="SVQ4" s="8"/>
      <c r="SVR4" s="8"/>
      <c r="SVS4" s="8"/>
      <c r="SVT4" s="8"/>
      <c r="SVU4" s="8"/>
      <c r="SVV4" s="8"/>
      <c r="SVW4" s="8"/>
      <c r="SVX4" s="8"/>
      <c r="SVY4" s="8"/>
      <c r="SVZ4" s="8"/>
      <c r="SWA4" s="8"/>
      <c r="SWB4" s="8"/>
      <c r="SWC4" s="8"/>
      <c r="SWD4" s="8"/>
      <c r="SWE4" s="8"/>
      <c r="SWF4" s="8"/>
      <c r="SWG4" s="8"/>
      <c r="SWH4" s="8"/>
      <c r="SWI4" s="8"/>
      <c r="SWJ4" s="8"/>
      <c r="SWK4" s="8"/>
      <c r="SWL4" s="8"/>
      <c r="SWM4" s="8"/>
      <c r="SWN4" s="8"/>
      <c r="SWO4" s="8"/>
      <c r="SWP4" s="8"/>
      <c r="SWQ4" s="8"/>
      <c r="SWR4" s="8"/>
      <c r="SWS4" s="8"/>
      <c r="SWT4" s="8"/>
      <c r="SWU4" s="8"/>
      <c r="SWV4" s="8"/>
      <c r="SWW4" s="8"/>
      <c r="SWX4" s="8"/>
      <c r="SWY4" s="8"/>
      <c r="SWZ4" s="8"/>
      <c r="SXA4" s="8"/>
      <c r="SXB4" s="8"/>
      <c r="SXC4" s="8"/>
      <c r="SXD4" s="8"/>
      <c r="SXE4" s="8"/>
      <c r="SXF4" s="8"/>
      <c r="SXG4" s="8"/>
      <c r="SXH4" s="8"/>
      <c r="SXI4" s="8"/>
      <c r="SXJ4" s="8"/>
      <c r="SXK4" s="8"/>
      <c r="SXL4" s="8"/>
      <c r="SXM4" s="8"/>
      <c r="SXN4" s="8"/>
      <c r="SXO4" s="8"/>
      <c r="SXP4" s="8"/>
      <c r="SXQ4" s="8"/>
      <c r="SXR4" s="8"/>
      <c r="SXS4" s="8"/>
      <c r="SXT4" s="8"/>
      <c r="SXU4" s="8"/>
      <c r="SXV4" s="8"/>
      <c r="SXW4" s="8"/>
      <c r="SXX4" s="8"/>
      <c r="SXY4" s="8"/>
      <c r="SXZ4" s="8"/>
      <c r="SYA4" s="8"/>
      <c r="SYB4" s="8"/>
      <c r="SYC4" s="8"/>
      <c r="SYD4" s="8"/>
      <c r="SYE4" s="8"/>
      <c r="SYF4" s="8"/>
      <c r="SYG4" s="8"/>
      <c r="SYH4" s="8"/>
      <c r="SYI4" s="8"/>
      <c r="SYJ4" s="8"/>
      <c r="SYK4" s="8"/>
      <c r="SYL4" s="8"/>
      <c r="SYM4" s="8"/>
      <c r="SYN4" s="8"/>
      <c r="SYO4" s="8"/>
      <c r="SYP4" s="8"/>
      <c r="SYQ4" s="8"/>
      <c r="SYR4" s="8"/>
      <c r="SYS4" s="8"/>
      <c r="SYT4" s="8"/>
      <c r="SYU4" s="8"/>
      <c r="SYV4" s="8"/>
      <c r="SYW4" s="8"/>
      <c r="SYX4" s="8"/>
      <c r="SYY4" s="8"/>
      <c r="SYZ4" s="8"/>
      <c r="SZA4" s="8"/>
      <c r="SZB4" s="8"/>
      <c r="SZC4" s="8"/>
      <c r="SZD4" s="8"/>
      <c r="SZE4" s="8"/>
      <c r="SZF4" s="8"/>
      <c r="SZG4" s="8"/>
      <c r="SZH4" s="8"/>
      <c r="SZI4" s="8"/>
      <c r="SZJ4" s="8"/>
      <c r="SZK4" s="8"/>
      <c r="SZL4" s="8"/>
      <c r="SZM4" s="8"/>
      <c r="SZN4" s="8"/>
      <c r="SZO4" s="8"/>
      <c r="SZP4" s="8"/>
      <c r="SZQ4" s="8"/>
      <c r="SZR4" s="8"/>
      <c r="SZS4" s="8"/>
      <c r="SZT4" s="8"/>
      <c r="SZU4" s="8"/>
      <c r="SZV4" s="8"/>
      <c r="SZW4" s="8"/>
      <c r="SZX4" s="8"/>
      <c r="SZY4" s="8"/>
      <c r="SZZ4" s="8"/>
      <c r="TAA4" s="8"/>
      <c r="TAB4" s="8"/>
      <c r="TAC4" s="8"/>
      <c r="TAD4" s="8"/>
      <c r="TAE4" s="8"/>
      <c r="TAF4" s="8"/>
      <c r="TAG4" s="8"/>
      <c r="TAH4" s="8"/>
      <c r="TAI4" s="8"/>
      <c r="TAJ4" s="8"/>
      <c r="TAK4" s="8"/>
      <c r="TAL4" s="8"/>
      <c r="TAM4" s="8"/>
      <c r="TAN4" s="8"/>
      <c r="TAO4" s="8"/>
      <c r="TAP4" s="8"/>
      <c r="TAQ4" s="8"/>
      <c r="TAR4" s="8"/>
      <c r="TAS4" s="8"/>
      <c r="TAT4" s="8"/>
      <c r="TAU4" s="8"/>
      <c r="TAV4" s="8"/>
      <c r="TAW4" s="8"/>
      <c r="TAX4" s="8"/>
      <c r="TAY4" s="8"/>
      <c r="TAZ4" s="8"/>
      <c r="TBA4" s="8"/>
      <c r="TBB4" s="8"/>
      <c r="TBC4" s="8"/>
      <c r="TBD4" s="8"/>
      <c r="TBE4" s="8"/>
      <c r="TBF4" s="8"/>
      <c r="TBG4" s="8"/>
      <c r="TBH4" s="8"/>
      <c r="TBI4" s="8"/>
      <c r="TBJ4" s="8"/>
      <c r="TBK4" s="8"/>
      <c r="TBL4" s="8"/>
      <c r="TBM4" s="8"/>
      <c r="TBN4" s="8"/>
      <c r="TBO4" s="8"/>
      <c r="TBP4" s="8"/>
      <c r="TBQ4" s="8"/>
      <c r="TBR4" s="8"/>
      <c r="TBS4" s="8"/>
      <c r="TBT4" s="8"/>
      <c r="TBU4" s="8"/>
      <c r="TBV4" s="8"/>
      <c r="TBW4" s="8"/>
      <c r="TBX4" s="8"/>
      <c r="TBY4" s="8"/>
      <c r="TBZ4" s="8"/>
      <c r="TCA4" s="8"/>
      <c r="TCB4" s="8"/>
      <c r="TCC4" s="8"/>
      <c r="TCD4" s="8"/>
      <c r="TCE4" s="8"/>
      <c r="TCF4" s="8"/>
      <c r="TCG4" s="8"/>
      <c r="TCH4" s="8"/>
      <c r="TCI4" s="8"/>
      <c r="TCJ4" s="8"/>
      <c r="TCK4" s="8"/>
      <c r="TCL4" s="8"/>
      <c r="TCM4" s="8"/>
      <c r="TCN4" s="8"/>
      <c r="TCO4" s="8"/>
      <c r="TCP4" s="8"/>
      <c r="TCQ4" s="8"/>
      <c r="TCR4" s="8"/>
      <c r="TCS4" s="8"/>
      <c r="TCT4" s="8"/>
      <c r="TCU4" s="8"/>
      <c r="TCV4" s="8"/>
      <c r="TCW4" s="8"/>
      <c r="TCX4" s="8"/>
      <c r="TCY4" s="8"/>
      <c r="TCZ4" s="8"/>
      <c r="TDA4" s="8"/>
      <c r="TDB4" s="8"/>
      <c r="TDC4" s="8"/>
      <c r="TDD4" s="8"/>
      <c r="TDE4" s="8"/>
      <c r="TDF4" s="8"/>
      <c r="TDG4" s="8"/>
      <c r="TDH4" s="8"/>
      <c r="TDI4" s="8"/>
      <c r="TDJ4" s="8"/>
      <c r="TDK4" s="8"/>
      <c r="TDL4" s="8"/>
      <c r="TDM4" s="8"/>
      <c r="TDN4" s="8"/>
      <c r="TDO4" s="8"/>
      <c r="TDP4" s="8"/>
      <c r="TDQ4" s="8"/>
      <c r="TDR4" s="8"/>
      <c r="TDS4" s="8"/>
      <c r="TDT4" s="8"/>
      <c r="TDU4" s="8"/>
      <c r="TDV4" s="8"/>
      <c r="TDW4" s="8"/>
      <c r="TDX4" s="8"/>
      <c r="TDY4" s="8"/>
      <c r="TDZ4" s="8"/>
      <c r="TEA4" s="8"/>
      <c r="TEB4" s="8"/>
      <c r="TEC4" s="8"/>
      <c r="TED4" s="8"/>
      <c r="TEE4" s="8"/>
      <c r="TEF4" s="8"/>
      <c r="TEG4" s="8"/>
      <c r="TEH4" s="8"/>
      <c r="TEI4" s="8"/>
      <c r="TEJ4" s="8"/>
      <c r="TEK4" s="8"/>
      <c r="TEL4" s="8"/>
      <c r="TEM4" s="8"/>
      <c r="TEN4" s="8"/>
      <c r="TEO4" s="8"/>
      <c r="TEP4" s="8"/>
      <c r="TEQ4" s="8"/>
      <c r="TER4" s="8"/>
      <c r="TES4" s="8"/>
      <c r="TET4" s="8"/>
      <c r="TEU4" s="8"/>
      <c r="TEV4" s="8"/>
      <c r="TEW4" s="8"/>
      <c r="TEX4" s="8"/>
      <c r="TEY4" s="8"/>
      <c r="TEZ4" s="8"/>
      <c r="TFA4" s="8"/>
      <c r="TFB4" s="8"/>
      <c r="TFC4" s="8"/>
      <c r="TFD4" s="8"/>
      <c r="TFE4" s="8"/>
      <c r="TFF4" s="8"/>
      <c r="TFG4" s="8"/>
      <c r="TFH4" s="8"/>
      <c r="TFI4" s="8"/>
      <c r="TFJ4" s="8"/>
      <c r="TFK4" s="8"/>
      <c r="TFL4" s="8"/>
      <c r="TFM4" s="8"/>
      <c r="TFN4" s="8"/>
      <c r="TFO4" s="8"/>
      <c r="TFP4" s="8"/>
      <c r="TFQ4" s="8"/>
      <c r="TFR4" s="8"/>
      <c r="TFS4" s="8"/>
      <c r="TFT4" s="8"/>
      <c r="TFU4" s="8"/>
      <c r="TFV4" s="8"/>
      <c r="TFW4" s="8"/>
      <c r="TFX4" s="8"/>
      <c r="TFY4" s="8"/>
      <c r="TFZ4" s="8"/>
      <c r="TGA4" s="8"/>
      <c r="TGB4" s="8"/>
      <c r="TGC4" s="8"/>
      <c r="TGD4" s="8"/>
      <c r="TGE4" s="8"/>
      <c r="TGF4" s="8"/>
      <c r="TGG4" s="8"/>
      <c r="TGH4" s="8"/>
      <c r="TGI4" s="8"/>
      <c r="TGJ4" s="8"/>
      <c r="TGK4" s="8"/>
      <c r="TGL4" s="8"/>
      <c r="TGM4" s="8"/>
      <c r="TGN4" s="8"/>
      <c r="TGO4" s="8"/>
      <c r="TGP4" s="8"/>
      <c r="TGQ4" s="8"/>
      <c r="TGR4" s="8"/>
      <c r="TGS4" s="8"/>
      <c r="TGT4" s="8"/>
      <c r="TGU4" s="8"/>
      <c r="TGV4" s="8"/>
      <c r="TGW4" s="8"/>
      <c r="TGX4" s="8"/>
      <c r="TGY4" s="8"/>
      <c r="TGZ4" s="8"/>
      <c r="THA4" s="8"/>
      <c r="THB4" s="8"/>
      <c r="THC4" s="8"/>
      <c r="THD4" s="8"/>
      <c r="THE4" s="8"/>
      <c r="THF4" s="8"/>
      <c r="THG4" s="8"/>
      <c r="THH4" s="8"/>
      <c r="THI4" s="8"/>
      <c r="THJ4" s="8"/>
      <c r="THK4" s="8"/>
      <c r="THL4" s="8"/>
      <c r="THM4" s="8"/>
      <c r="THN4" s="8"/>
      <c r="THO4" s="8"/>
      <c r="THP4" s="8"/>
      <c r="THQ4" s="8"/>
      <c r="THR4" s="8"/>
      <c r="THS4" s="8"/>
      <c r="THT4" s="8"/>
      <c r="THU4" s="8"/>
      <c r="THV4" s="8"/>
      <c r="THW4" s="8"/>
      <c r="THX4" s="8"/>
      <c r="THY4" s="8"/>
      <c r="THZ4" s="8"/>
      <c r="TIA4" s="8"/>
      <c r="TIB4" s="8"/>
      <c r="TIC4" s="8"/>
      <c r="TID4" s="8"/>
      <c r="TIE4" s="8"/>
      <c r="TIF4" s="8"/>
      <c r="TIG4" s="8"/>
      <c r="TIH4" s="8"/>
      <c r="TII4" s="8"/>
      <c r="TIJ4" s="8"/>
      <c r="TIK4" s="8"/>
      <c r="TIL4" s="8"/>
      <c r="TIM4" s="8"/>
      <c r="TIN4" s="8"/>
      <c r="TIO4" s="8"/>
      <c r="TIP4" s="8"/>
      <c r="TIQ4" s="8"/>
      <c r="TIR4" s="8"/>
      <c r="TIS4" s="8"/>
      <c r="TIT4" s="8"/>
      <c r="TIU4" s="8"/>
      <c r="TIV4" s="8"/>
      <c r="TIW4" s="8"/>
      <c r="TIX4" s="8"/>
      <c r="TIY4" s="8"/>
      <c r="TIZ4" s="8"/>
      <c r="TJA4" s="8"/>
      <c r="TJB4" s="8"/>
      <c r="TJC4" s="8"/>
      <c r="TJD4" s="8"/>
      <c r="TJE4" s="8"/>
      <c r="TJF4" s="8"/>
      <c r="TJG4" s="8"/>
      <c r="TJH4" s="8"/>
      <c r="TJI4" s="8"/>
      <c r="TJJ4" s="8"/>
      <c r="TJK4" s="8"/>
      <c r="TJL4" s="8"/>
      <c r="TJM4" s="8"/>
      <c r="TJN4" s="8"/>
      <c r="TJO4" s="8"/>
      <c r="TJP4" s="8"/>
      <c r="TJQ4" s="8"/>
      <c r="TJR4" s="8"/>
      <c r="TJS4" s="8"/>
      <c r="TJT4" s="8"/>
      <c r="TJU4" s="8"/>
      <c r="TJV4" s="8"/>
      <c r="TJW4" s="8"/>
      <c r="TJX4" s="8"/>
      <c r="TJY4" s="8"/>
      <c r="TJZ4" s="8"/>
      <c r="TKA4" s="8"/>
      <c r="TKB4" s="8"/>
      <c r="TKC4" s="8"/>
      <c r="TKD4" s="8"/>
      <c r="TKE4" s="8"/>
      <c r="TKF4" s="8"/>
      <c r="TKG4" s="8"/>
      <c r="TKH4" s="8"/>
      <c r="TKI4" s="8"/>
      <c r="TKJ4" s="8"/>
      <c r="TKK4" s="8"/>
      <c r="TKL4" s="8"/>
      <c r="TKM4" s="8"/>
      <c r="TKN4" s="8"/>
      <c r="TKO4" s="8"/>
      <c r="TKP4" s="8"/>
      <c r="TKQ4" s="8"/>
      <c r="TKR4" s="8"/>
      <c r="TKS4" s="8"/>
      <c r="TKT4" s="8"/>
      <c r="TKU4" s="8"/>
      <c r="TKV4" s="8"/>
      <c r="TKW4" s="8"/>
      <c r="TKX4" s="8"/>
      <c r="TKY4" s="8"/>
      <c r="TKZ4" s="8"/>
      <c r="TLA4" s="8"/>
      <c r="TLB4" s="8"/>
      <c r="TLC4" s="8"/>
      <c r="TLD4" s="8"/>
      <c r="TLE4" s="8"/>
      <c r="TLF4" s="8"/>
      <c r="TLG4" s="8"/>
      <c r="TLH4" s="8"/>
      <c r="TLI4" s="8"/>
      <c r="TLJ4" s="8"/>
      <c r="TLK4" s="8"/>
      <c r="TLL4" s="8"/>
      <c r="TLM4" s="8"/>
      <c r="TLN4" s="8"/>
      <c r="TLO4" s="8"/>
      <c r="TLP4" s="8"/>
      <c r="TLQ4" s="8"/>
      <c r="TLR4" s="8"/>
      <c r="TLS4" s="8"/>
      <c r="TLT4" s="8"/>
      <c r="TLU4" s="8"/>
      <c r="TLV4" s="8"/>
      <c r="TLW4" s="8"/>
      <c r="TLX4" s="8"/>
      <c r="TLY4" s="8"/>
      <c r="TLZ4" s="8"/>
      <c r="TMA4" s="8"/>
      <c r="TMB4" s="8"/>
      <c r="TMC4" s="8"/>
      <c r="TMD4" s="8"/>
      <c r="TME4" s="8"/>
      <c r="TMF4" s="8"/>
      <c r="TMG4" s="8"/>
      <c r="TMH4" s="8"/>
      <c r="TMI4" s="8"/>
      <c r="TMJ4" s="8"/>
      <c r="TMK4" s="8"/>
      <c r="TML4" s="8"/>
      <c r="TMM4" s="8"/>
      <c r="TMN4" s="8"/>
      <c r="TMO4" s="8"/>
      <c r="TMP4" s="8"/>
      <c r="TMQ4" s="8"/>
      <c r="TMR4" s="8"/>
      <c r="TMS4" s="8"/>
      <c r="TMT4" s="8"/>
      <c r="TMU4" s="8"/>
      <c r="TMV4" s="8"/>
      <c r="TMW4" s="8"/>
      <c r="TMX4" s="8"/>
      <c r="TMY4" s="8"/>
      <c r="TMZ4" s="8"/>
      <c r="TNA4" s="8"/>
      <c r="TNB4" s="8"/>
      <c r="TNC4" s="8"/>
      <c r="TND4" s="8"/>
      <c r="TNE4" s="8"/>
      <c r="TNF4" s="8"/>
      <c r="TNG4" s="8"/>
      <c r="TNH4" s="8"/>
      <c r="TNI4" s="8"/>
      <c r="TNJ4" s="8"/>
      <c r="TNK4" s="8"/>
      <c r="TNL4" s="8"/>
      <c r="TNM4" s="8"/>
      <c r="TNN4" s="8"/>
      <c r="TNO4" s="8"/>
      <c r="TNP4" s="8"/>
      <c r="TNQ4" s="8"/>
      <c r="TNR4" s="8"/>
      <c r="TNS4" s="8"/>
      <c r="TNT4" s="8"/>
      <c r="TNU4" s="8"/>
      <c r="TNV4" s="8"/>
      <c r="TNW4" s="8"/>
      <c r="TNX4" s="8"/>
      <c r="TNY4" s="8"/>
      <c r="TNZ4" s="8"/>
      <c r="TOA4" s="8"/>
      <c r="TOB4" s="8"/>
      <c r="TOC4" s="8"/>
      <c r="TOD4" s="8"/>
      <c r="TOE4" s="8"/>
      <c r="TOF4" s="8"/>
      <c r="TOG4" s="8"/>
      <c r="TOH4" s="8"/>
      <c r="TOI4" s="8"/>
      <c r="TOJ4" s="8"/>
      <c r="TOK4" s="8"/>
      <c r="TOL4" s="8"/>
      <c r="TOM4" s="8"/>
      <c r="TON4" s="8"/>
      <c r="TOO4" s="8"/>
      <c r="TOP4" s="8"/>
      <c r="TOQ4" s="8"/>
      <c r="TOR4" s="8"/>
      <c r="TOS4" s="8"/>
      <c r="TOT4" s="8"/>
      <c r="TOU4" s="8"/>
      <c r="TOV4" s="8"/>
      <c r="TOW4" s="8"/>
      <c r="TOX4" s="8"/>
      <c r="TOY4" s="8"/>
      <c r="TOZ4" s="8"/>
      <c r="TPA4" s="8"/>
      <c r="TPB4" s="8"/>
      <c r="TPC4" s="8"/>
      <c r="TPD4" s="8"/>
      <c r="TPE4" s="8"/>
      <c r="TPF4" s="8"/>
      <c r="TPG4" s="8"/>
      <c r="TPH4" s="8"/>
      <c r="TPI4" s="8"/>
      <c r="TPJ4" s="8"/>
      <c r="TPK4" s="8"/>
      <c r="TPL4" s="8"/>
      <c r="TPM4" s="8"/>
      <c r="TPN4" s="8"/>
      <c r="TPO4" s="8"/>
      <c r="TPP4" s="8"/>
      <c r="TPQ4" s="8"/>
      <c r="TPR4" s="8"/>
      <c r="TPS4" s="8"/>
      <c r="TPT4" s="8"/>
      <c r="TPU4" s="8"/>
      <c r="TPV4" s="8"/>
      <c r="TPW4" s="8"/>
      <c r="TPX4" s="8"/>
      <c r="TPY4" s="8"/>
      <c r="TPZ4" s="8"/>
      <c r="TQA4" s="8"/>
      <c r="TQB4" s="8"/>
      <c r="TQC4" s="8"/>
      <c r="TQD4" s="8"/>
      <c r="TQE4" s="8"/>
      <c r="TQF4" s="8"/>
      <c r="TQG4" s="8"/>
      <c r="TQH4" s="8"/>
      <c r="TQI4" s="8"/>
      <c r="TQJ4" s="8"/>
      <c r="TQK4" s="8"/>
      <c r="TQL4" s="8"/>
      <c r="TQM4" s="8"/>
      <c r="TQN4" s="8"/>
      <c r="TQO4" s="8"/>
      <c r="TQP4" s="8"/>
      <c r="TQQ4" s="8"/>
      <c r="TQR4" s="8"/>
      <c r="TQS4" s="8"/>
      <c r="TQT4" s="8"/>
      <c r="TQU4" s="8"/>
      <c r="TQV4" s="8"/>
      <c r="TQW4" s="8"/>
      <c r="TQX4" s="8"/>
      <c r="TQY4" s="8"/>
      <c r="TQZ4" s="8"/>
      <c r="TRA4" s="8"/>
      <c r="TRB4" s="8"/>
      <c r="TRC4" s="8"/>
      <c r="TRD4" s="8"/>
      <c r="TRE4" s="8"/>
      <c r="TRF4" s="8"/>
      <c r="TRG4" s="8"/>
      <c r="TRH4" s="8"/>
      <c r="TRI4" s="8"/>
      <c r="TRJ4" s="8"/>
      <c r="TRK4" s="8"/>
      <c r="TRL4" s="8"/>
      <c r="TRM4" s="8"/>
      <c r="TRN4" s="8"/>
      <c r="TRO4" s="8"/>
      <c r="TRP4" s="8"/>
      <c r="TRQ4" s="8"/>
      <c r="TRR4" s="8"/>
      <c r="TRS4" s="8"/>
      <c r="TRT4" s="8"/>
      <c r="TRU4" s="8"/>
      <c r="TRV4" s="8"/>
      <c r="TRW4" s="8"/>
      <c r="TRX4" s="8"/>
      <c r="TRY4" s="8"/>
      <c r="TRZ4" s="8"/>
      <c r="TSA4" s="8"/>
      <c r="TSB4" s="8"/>
      <c r="TSC4" s="8"/>
      <c r="TSD4" s="8"/>
      <c r="TSE4" s="8"/>
      <c r="TSF4" s="8"/>
      <c r="TSG4" s="8"/>
      <c r="TSH4" s="8"/>
      <c r="TSI4" s="8"/>
      <c r="TSJ4" s="8"/>
      <c r="TSK4" s="8"/>
      <c r="TSL4" s="8"/>
      <c r="TSM4" s="8"/>
      <c r="TSN4" s="8"/>
      <c r="TSO4" s="8"/>
      <c r="TSP4" s="8"/>
      <c r="TSQ4" s="8"/>
      <c r="TSR4" s="8"/>
      <c r="TSS4" s="8"/>
      <c r="TST4" s="8"/>
      <c r="TSU4" s="8"/>
      <c r="TSV4" s="8"/>
      <c r="TSW4" s="8"/>
      <c r="TSX4" s="8"/>
      <c r="TSY4" s="8"/>
      <c r="TSZ4" s="8"/>
      <c r="TTA4" s="8"/>
      <c r="TTB4" s="8"/>
      <c r="TTC4" s="8"/>
      <c r="TTD4" s="8"/>
      <c r="TTE4" s="8"/>
      <c r="TTF4" s="8"/>
      <c r="TTG4" s="8"/>
      <c r="TTH4" s="8"/>
      <c r="TTI4" s="8"/>
      <c r="TTJ4" s="8"/>
      <c r="TTK4" s="8"/>
      <c r="TTL4" s="8"/>
      <c r="TTM4" s="8"/>
      <c r="TTN4" s="8"/>
      <c r="TTO4" s="8"/>
      <c r="TTP4" s="8"/>
      <c r="TTQ4" s="8"/>
      <c r="TTR4" s="8"/>
      <c r="TTS4" s="8"/>
      <c r="TTT4" s="8"/>
      <c r="TTU4" s="8"/>
      <c r="TTV4" s="8"/>
      <c r="TTW4" s="8"/>
      <c r="TTX4" s="8"/>
      <c r="TTY4" s="8"/>
      <c r="TTZ4" s="8"/>
      <c r="TUA4" s="8"/>
      <c r="TUB4" s="8"/>
      <c r="TUC4" s="8"/>
      <c r="TUD4" s="8"/>
      <c r="TUE4" s="8"/>
      <c r="TUF4" s="8"/>
      <c r="TUG4" s="8"/>
      <c r="TUH4" s="8"/>
      <c r="TUI4" s="8"/>
      <c r="TUJ4" s="8"/>
      <c r="TUK4" s="8"/>
      <c r="TUL4" s="8"/>
      <c r="TUM4" s="8"/>
      <c r="TUN4" s="8"/>
      <c r="TUO4" s="8"/>
      <c r="TUP4" s="8"/>
      <c r="TUQ4" s="8"/>
      <c r="TUR4" s="8"/>
      <c r="TUS4" s="8"/>
      <c r="TUT4" s="8"/>
      <c r="TUU4" s="8"/>
      <c r="TUV4" s="8"/>
      <c r="TUW4" s="8"/>
      <c r="TUX4" s="8"/>
      <c r="TUY4" s="8"/>
      <c r="TUZ4" s="8"/>
      <c r="TVA4" s="8"/>
      <c r="TVB4" s="8"/>
      <c r="TVC4" s="8"/>
      <c r="TVD4" s="8"/>
      <c r="TVE4" s="8"/>
      <c r="TVF4" s="8"/>
      <c r="TVG4" s="8"/>
      <c r="TVH4" s="8"/>
      <c r="TVI4" s="8"/>
      <c r="TVJ4" s="8"/>
      <c r="TVK4" s="8"/>
      <c r="TVL4" s="8"/>
      <c r="TVM4" s="8"/>
      <c r="TVN4" s="8"/>
      <c r="TVO4" s="8"/>
      <c r="TVP4" s="8"/>
      <c r="TVQ4" s="8"/>
      <c r="TVR4" s="8"/>
      <c r="TVS4" s="8"/>
      <c r="TVT4" s="8"/>
      <c r="TVU4" s="8"/>
      <c r="TVV4" s="8"/>
      <c r="TVW4" s="8"/>
      <c r="TVX4" s="8"/>
      <c r="TVY4" s="8"/>
      <c r="TVZ4" s="8"/>
      <c r="TWA4" s="8"/>
      <c r="TWB4" s="8"/>
      <c r="TWC4" s="8"/>
      <c r="TWD4" s="8"/>
      <c r="TWE4" s="8"/>
      <c r="TWF4" s="8"/>
      <c r="TWG4" s="8"/>
      <c r="TWH4" s="8"/>
      <c r="TWI4" s="8"/>
      <c r="TWJ4" s="8"/>
      <c r="TWK4" s="8"/>
      <c r="TWL4" s="8"/>
      <c r="TWM4" s="8"/>
      <c r="TWN4" s="8"/>
      <c r="TWO4" s="8"/>
      <c r="TWP4" s="8"/>
      <c r="TWQ4" s="8"/>
      <c r="TWR4" s="8"/>
      <c r="TWS4" s="8"/>
      <c r="TWT4" s="8"/>
      <c r="TWU4" s="8"/>
      <c r="TWV4" s="8"/>
      <c r="TWW4" s="8"/>
      <c r="TWX4" s="8"/>
      <c r="TWY4" s="8"/>
      <c r="TWZ4" s="8"/>
      <c r="TXA4" s="8"/>
      <c r="TXB4" s="8"/>
      <c r="TXC4" s="8"/>
      <c r="TXD4" s="8"/>
      <c r="TXE4" s="8"/>
      <c r="TXF4" s="8"/>
      <c r="TXG4" s="8"/>
      <c r="TXH4" s="8"/>
      <c r="TXI4" s="8"/>
      <c r="TXJ4" s="8"/>
      <c r="TXK4" s="8"/>
      <c r="TXL4" s="8"/>
      <c r="TXM4" s="8"/>
      <c r="TXN4" s="8"/>
      <c r="TXO4" s="8"/>
      <c r="TXP4" s="8"/>
      <c r="TXQ4" s="8"/>
      <c r="TXR4" s="8"/>
      <c r="TXS4" s="8"/>
      <c r="TXT4" s="8"/>
      <c r="TXU4" s="8"/>
      <c r="TXV4" s="8"/>
      <c r="TXW4" s="8"/>
      <c r="TXX4" s="8"/>
      <c r="TXY4" s="8"/>
      <c r="TXZ4" s="8"/>
      <c r="TYA4" s="8"/>
      <c r="TYB4" s="8"/>
      <c r="TYC4" s="8"/>
      <c r="TYD4" s="8"/>
      <c r="TYE4" s="8"/>
      <c r="TYF4" s="8"/>
      <c r="TYG4" s="8"/>
      <c r="TYH4" s="8"/>
      <c r="TYI4" s="8"/>
      <c r="TYJ4" s="8"/>
      <c r="TYK4" s="8"/>
      <c r="TYL4" s="8"/>
      <c r="TYM4" s="8"/>
      <c r="TYN4" s="8"/>
      <c r="TYO4" s="8"/>
      <c r="TYP4" s="8"/>
      <c r="TYQ4" s="8"/>
      <c r="TYR4" s="8"/>
      <c r="TYS4" s="8"/>
      <c r="TYT4" s="8"/>
      <c r="TYU4" s="8"/>
      <c r="TYV4" s="8"/>
      <c r="TYW4" s="8"/>
      <c r="TYX4" s="8"/>
      <c r="TYY4" s="8"/>
      <c r="TYZ4" s="8"/>
      <c r="TZA4" s="8"/>
      <c r="TZB4" s="8"/>
      <c r="TZC4" s="8"/>
      <c r="TZD4" s="8"/>
      <c r="TZE4" s="8"/>
      <c r="TZF4" s="8"/>
      <c r="TZG4" s="8"/>
      <c r="TZH4" s="8"/>
      <c r="TZI4" s="8"/>
      <c r="TZJ4" s="8"/>
      <c r="TZK4" s="8"/>
      <c r="TZL4" s="8"/>
      <c r="TZM4" s="8"/>
      <c r="TZN4" s="8"/>
      <c r="TZO4" s="8"/>
      <c r="TZP4" s="8"/>
      <c r="TZQ4" s="8"/>
      <c r="TZR4" s="8"/>
      <c r="TZS4" s="8"/>
      <c r="TZT4" s="8"/>
      <c r="TZU4" s="8"/>
      <c r="TZV4" s="8"/>
      <c r="TZW4" s="8"/>
      <c r="TZX4" s="8"/>
      <c r="TZY4" s="8"/>
      <c r="TZZ4" s="8"/>
      <c r="UAA4" s="8"/>
      <c r="UAB4" s="8"/>
      <c r="UAC4" s="8"/>
      <c r="UAD4" s="8"/>
      <c r="UAE4" s="8"/>
      <c r="UAF4" s="8"/>
      <c r="UAG4" s="8"/>
      <c r="UAH4" s="8"/>
      <c r="UAI4" s="8"/>
      <c r="UAJ4" s="8"/>
      <c r="UAK4" s="8"/>
      <c r="UAL4" s="8"/>
      <c r="UAM4" s="8"/>
      <c r="UAN4" s="8"/>
      <c r="UAO4" s="8"/>
      <c r="UAP4" s="8"/>
      <c r="UAQ4" s="8"/>
      <c r="UAR4" s="8"/>
      <c r="UAS4" s="8"/>
      <c r="UAT4" s="8"/>
      <c r="UAU4" s="8"/>
      <c r="UAV4" s="8"/>
      <c r="UAW4" s="8"/>
      <c r="UAX4" s="8"/>
      <c r="UAY4" s="8"/>
      <c r="UAZ4" s="8"/>
      <c r="UBA4" s="8"/>
      <c r="UBB4" s="8"/>
      <c r="UBC4" s="8"/>
      <c r="UBD4" s="8"/>
      <c r="UBE4" s="8"/>
      <c r="UBF4" s="8"/>
      <c r="UBG4" s="8"/>
      <c r="UBH4" s="8"/>
      <c r="UBI4" s="8"/>
      <c r="UBJ4" s="8"/>
      <c r="UBK4" s="8"/>
      <c r="UBL4" s="8"/>
      <c r="UBM4" s="8"/>
      <c r="UBN4" s="8"/>
      <c r="UBO4" s="8"/>
      <c r="UBP4" s="8"/>
      <c r="UBQ4" s="8"/>
      <c r="UBR4" s="8"/>
      <c r="UBS4" s="8"/>
      <c r="UBT4" s="8"/>
      <c r="UBU4" s="8"/>
      <c r="UBV4" s="8"/>
      <c r="UBW4" s="8"/>
      <c r="UBX4" s="8"/>
      <c r="UBY4" s="8"/>
      <c r="UBZ4" s="8"/>
      <c r="UCA4" s="8"/>
      <c r="UCB4" s="8"/>
      <c r="UCC4" s="8"/>
      <c r="UCD4" s="8"/>
      <c r="UCE4" s="8"/>
      <c r="UCF4" s="8"/>
      <c r="UCG4" s="8"/>
      <c r="UCH4" s="8"/>
      <c r="UCI4" s="8"/>
      <c r="UCJ4" s="8"/>
      <c r="UCK4" s="8"/>
      <c r="UCL4" s="8"/>
      <c r="UCM4" s="8"/>
      <c r="UCN4" s="8"/>
      <c r="UCO4" s="8"/>
      <c r="UCP4" s="8"/>
      <c r="UCQ4" s="8"/>
      <c r="UCR4" s="8"/>
      <c r="UCS4" s="8"/>
      <c r="UCT4" s="8"/>
      <c r="UCU4" s="8"/>
      <c r="UCV4" s="8"/>
      <c r="UCW4" s="8"/>
      <c r="UCX4" s="8"/>
      <c r="UCY4" s="8"/>
      <c r="UCZ4" s="8"/>
      <c r="UDA4" s="8"/>
      <c r="UDB4" s="8"/>
      <c r="UDC4" s="8"/>
      <c r="UDD4" s="8"/>
      <c r="UDE4" s="8"/>
      <c r="UDF4" s="8"/>
      <c r="UDG4" s="8"/>
      <c r="UDH4" s="8"/>
      <c r="UDI4" s="8"/>
      <c r="UDJ4" s="8"/>
      <c r="UDK4" s="8"/>
      <c r="UDL4" s="8"/>
      <c r="UDM4" s="8"/>
      <c r="UDN4" s="8"/>
      <c r="UDO4" s="8"/>
      <c r="UDP4" s="8"/>
      <c r="UDQ4" s="8"/>
      <c r="UDR4" s="8"/>
      <c r="UDS4" s="8"/>
      <c r="UDT4" s="8"/>
      <c r="UDU4" s="8"/>
      <c r="UDV4" s="8"/>
      <c r="UDW4" s="8"/>
      <c r="UDX4" s="8"/>
      <c r="UDY4" s="8"/>
      <c r="UDZ4" s="8"/>
      <c r="UEA4" s="8"/>
      <c r="UEB4" s="8"/>
      <c r="UEC4" s="8"/>
      <c r="UED4" s="8"/>
      <c r="UEE4" s="8"/>
      <c r="UEF4" s="8"/>
      <c r="UEG4" s="8"/>
      <c r="UEH4" s="8"/>
      <c r="UEI4" s="8"/>
      <c r="UEJ4" s="8"/>
      <c r="UEK4" s="8"/>
      <c r="UEL4" s="8"/>
      <c r="UEM4" s="8"/>
      <c r="UEN4" s="8"/>
      <c r="UEO4" s="8"/>
      <c r="UEP4" s="8"/>
      <c r="UEQ4" s="8"/>
      <c r="UER4" s="8"/>
      <c r="UES4" s="8"/>
      <c r="UET4" s="8"/>
      <c r="UEU4" s="8"/>
      <c r="UEV4" s="8"/>
      <c r="UEW4" s="8"/>
      <c r="UEX4" s="8"/>
      <c r="UEY4" s="8"/>
      <c r="UEZ4" s="8"/>
      <c r="UFA4" s="8"/>
      <c r="UFB4" s="8"/>
      <c r="UFC4" s="8"/>
      <c r="UFD4" s="8"/>
      <c r="UFE4" s="8"/>
      <c r="UFF4" s="8"/>
      <c r="UFG4" s="8"/>
      <c r="UFH4" s="8"/>
      <c r="UFI4" s="8"/>
      <c r="UFJ4" s="8"/>
      <c r="UFK4" s="8"/>
      <c r="UFL4" s="8"/>
      <c r="UFM4" s="8"/>
      <c r="UFN4" s="8"/>
      <c r="UFO4" s="8"/>
      <c r="UFP4" s="8"/>
      <c r="UFQ4" s="8"/>
      <c r="UFR4" s="8"/>
      <c r="UFS4" s="8"/>
      <c r="UFT4" s="8"/>
      <c r="UFU4" s="8"/>
      <c r="UFV4" s="8"/>
      <c r="UFW4" s="8"/>
      <c r="UFX4" s="8"/>
      <c r="UFY4" s="8"/>
      <c r="UFZ4" s="8"/>
      <c r="UGA4" s="8"/>
      <c r="UGB4" s="8"/>
      <c r="UGC4" s="8"/>
      <c r="UGD4" s="8"/>
      <c r="UGE4" s="8"/>
      <c r="UGF4" s="8"/>
      <c r="UGG4" s="8"/>
      <c r="UGH4" s="8"/>
      <c r="UGI4" s="8"/>
      <c r="UGJ4" s="8"/>
      <c r="UGK4" s="8"/>
      <c r="UGL4" s="8"/>
      <c r="UGM4" s="8"/>
      <c r="UGN4" s="8"/>
      <c r="UGO4" s="8"/>
      <c r="UGP4" s="8"/>
      <c r="UGQ4" s="8"/>
      <c r="UGR4" s="8"/>
      <c r="UGS4" s="8"/>
      <c r="UGT4" s="8"/>
      <c r="UGU4" s="8"/>
      <c r="UGV4" s="8"/>
      <c r="UGW4" s="8"/>
      <c r="UGX4" s="8"/>
      <c r="UGY4" s="8"/>
      <c r="UGZ4" s="8"/>
      <c r="UHA4" s="8"/>
      <c r="UHB4" s="8"/>
      <c r="UHC4" s="8"/>
      <c r="UHD4" s="8"/>
      <c r="UHE4" s="8"/>
      <c r="UHF4" s="8"/>
      <c r="UHG4" s="8"/>
      <c r="UHH4" s="8"/>
      <c r="UHI4" s="8"/>
      <c r="UHJ4" s="8"/>
      <c r="UHK4" s="8"/>
      <c r="UHL4" s="8"/>
      <c r="UHM4" s="8"/>
      <c r="UHN4" s="8"/>
      <c r="UHO4" s="8"/>
      <c r="UHP4" s="8"/>
      <c r="UHQ4" s="8"/>
      <c r="UHR4" s="8"/>
      <c r="UHS4" s="8"/>
      <c r="UHT4" s="8"/>
      <c r="UHU4" s="8"/>
      <c r="UHV4" s="8"/>
      <c r="UHW4" s="8"/>
      <c r="UHX4" s="8"/>
      <c r="UHY4" s="8"/>
      <c r="UHZ4" s="8"/>
      <c r="UIA4" s="8"/>
      <c r="UIB4" s="8"/>
      <c r="UIC4" s="8"/>
      <c r="UID4" s="8"/>
      <c r="UIE4" s="8"/>
      <c r="UIF4" s="8"/>
      <c r="UIG4" s="8"/>
      <c r="UIH4" s="8"/>
      <c r="UII4" s="8"/>
      <c r="UIJ4" s="8"/>
      <c r="UIK4" s="8"/>
      <c r="UIL4" s="8"/>
      <c r="UIM4" s="8"/>
      <c r="UIN4" s="8"/>
      <c r="UIO4" s="8"/>
      <c r="UIP4" s="8"/>
      <c r="UIQ4" s="8"/>
      <c r="UIR4" s="8"/>
      <c r="UIS4" s="8"/>
      <c r="UIT4" s="8"/>
      <c r="UIU4" s="8"/>
      <c r="UIV4" s="8"/>
      <c r="UIW4" s="8"/>
      <c r="UIX4" s="8"/>
      <c r="UIY4" s="8"/>
      <c r="UIZ4" s="8"/>
      <c r="UJA4" s="8"/>
      <c r="UJB4" s="8"/>
      <c r="UJC4" s="8"/>
      <c r="UJD4" s="8"/>
      <c r="UJE4" s="8"/>
      <c r="UJF4" s="8"/>
      <c r="UJG4" s="8"/>
      <c r="UJH4" s="8"/>
      <c r="UJI4" s="8"/>
      <c r="UJJ4" s="8"/>
      <c r="UJK4" s="8"/>
      <c r="UJL4" s="8"/>
      <c r="UJM4" s="8"/>
      <c r="UJN4" s="8"/>
      <c r="UJO4" s="8"/>
      <c r="UJP4" s="8"/>
      <c r="UJQ4" s="8"/>
      <c r="UJR4" s="8"/>
      <c r="UJS4" s="8"/>
      <c r="UJT4" s="8"/>
      <c r="UJU4" s="8"/>
      <c r="UJV4" s="8"/>
      <c r="UJW4" s="8"/>
      <c r="UJX4" s="8"/>
      <c r="UJY4" s="8"/>
      <c r="UJZ4" s="8"/>
      <c r="UKA4" s="8"/>
      <c r="UKB4" s="8"/>
      <c r="UKC4" s="8"/>
      <c r="UKD4" s="8"/>
      <c r="UKE4" s="8"/>
      <c r="UKF4" s="8"/>
      <c r="UKG4" s="8"/>
      <c r="UKH4" s="8"/>
      <c r="UKI4" s="8"/>
      <c r="UKJ4" s="8"/>
      <c r="UKK4" s="8"/>
      <c r="UKL4" s="8"/>
      <c r="UKM4" s="8"/>
      <c r="UKN4" s="8"/>
      <c r="UKO4" s="8"/>
      <c r="UKP4" s="8"/>
      <c r="UKQ4" s="8"/>
      <c r="UKR4" s="8"/>
      <c r="UKS4" s="8"/>
      <c r="UKT4" s="8"/>
      <c r="UKU4" s="8"/>
      <c r="UKV4" s="8"/>
      <c r="UKW4" s="8"/>
      <c r="UKX4" s="8"/>
      <c r="UKY4" s="8"/>
      <c r="UKZ4" s="8"/>
      <c r="ULA4" s="8"/>
      <c r="ULB4" s="8"/>
      <c r="ULC4" s="8"/>
      <c r="ULD4" s="8"/>
      <c r="ULE4" s="8"/>
      <c r="ULF4" s="8"/>
      <c r="ULG4" s="8"/>
      <c r="ULH4" s="8"/>
      <c r="ULI4" s="8"/>
      <c r="ULJ4" s="8"/>
      <c r="ULK4" s="8"/>
      <c r="ULL4" s="8"/>
      <c r="ULM4" s="8"/>
      <c r="ULN4" s="8"/>
      <c r="ULO4" s="8"/>
      <c r="ULP4" s="8"/>
      <c r="ULQ4" s="8"/>
      <c r="ULR4" s="8"/>
      <c r="ULS4" s="8"/>
      <c r="ULT4" s="8"/>
      <c r="ULU4" s="8"/>
      <c r="ULV4" s="8"/>
      <c r="ULW4" s="8"/>
      <c r="ULX4" s="8"/>
      <c r="ULY4" s="8"/>
      <c r="ULZ4" s="8"/>
      <c r="UMA4" s="8"/>
      <c r="UMB4" s="8"/>
      <c r="UMC4" s="8"/>
      <c r="UMD4" s="8"/>
      <c r="UME4" s="8"/>
      <c r="UMF4" s="8"/>
      <c r="UMG4" s="8"/>
      <c r="UMH4" s="8"/>
      <c r="UMI4" s="8"/>
      <c r="UMJ4" s="8"/>
      <c r="UMK4" s="8"/>
      <c r="UML4" s="8"/>
      <c r="UMM4" s="8"/>
      <c r="UMN4" s="8"/>
      <c r="UMO4" s="8"/>
      <c r="UMP4" s="8"/>
      <c r="UMQ4" s="8"/>
      <c r="UMR4" s="8"/>
      <c r="UMS4" s="8"/>
      <c r="UMT4" s="8"/>
      <c r="UMU4" s="8"/>
      <c r="UMV4" s="8"/>
      <c r="UMW4" s="8"/>
      <c r="UMX4" s="8"/>
      <c r="UMY4" s="8"/>
      <c r="UMZ4" s="8"/>
      <c r="UNA4" s="8"/>
      <c r="UNB4" s="8"/>
      <c r="UNC4" s="8"/>
      <c r="UND4" s="8"/>
      <c r="UNE4" s="8"/>
      <c r="UNF4" s="8"/>
      <c r="UNG4" s="8"/>
      <c r="UNH4" s="8"/>
      <c r="UNI4" s="8"/>
      <c r="UNJ4" s="8"/>
      <c r="UNK4" s="8"/>
      <c r="UNL4" s="8"/>
      <c r="UNM4" s="8"/>
      <c r="UNN4" s="8"/>
      <c r="UNO4" s="8"/>
      <c r="UNP4" s="8"/>
      <c r="UNQ4" s="8"/>
      <c r="UNR4" s="8"/>
      <c r="UNS4" s="8"/>
      <c r="UNT4" s="8"/>
      <c r="UNU4" s="8"/>
      <c r="UNV4" s="8"/>
      <c r="UNW4" s="8"/>
      <c r="UNX4" s="8"/>
      <c r="UNY4" s="8"/>
      <c r="UNZ4" s="8"/>
      <c r="UOA4" s="8"/>
      <c r="UOB4" s="8"/>
      <c r="UOC4" s="8"/>
      <c r="UOD4" s="8"/>
      <c r="UOE4" s="8"/>
      <c r="UOF4" s="8"/>
      <c r="UOG4" s="8"/>
      <c r="UOH4" s="8"/>
      <c r="UOI4" s="8"/>
      <c r="UOJ4" s="8"/>
      <c r="UOK4" s="8"/>
      <c r="UOL4" s="8"/>
      <c r="UOM4" s="8"/>
      <c r="UON4" s="8"/>
      <c r="UOO4" s="8"/>
      <c r="UOP4" s="8"/>
      <c r="UOQ4" s="8"/>
      <c r="UOR4" s="8"/>
      <c r="UOS4" s="8"/>
      <c r="UOT4" s="8"/>
      <c r="UOU4" s="8"/>
      <c r="UOV4" s="8"/>
      <c r="UOW4" s="8"/>
      <c r="UOX4" s="8"/>
      <c r="UOY4" s="8"/>
      <c r="UOZ4" s="8"/>
      <c r="UPA4" s="8"/>
      <c r="UPB4" s="8"/>
      <c r="UPC4" s="8"/>
      <c r="UPD4" s="8"/>
      <c r="UPE4" s="8"/>
      <c r="UPF4" s="8"/>
      <c r="UPG4" s="8"/>
      <c r="UPH4" s="8"/>
      <c r="UPI4" s="8"/>
      <c r="UPJ4" s="8"/>
      <c r="UPK4" s="8"/>
      <c r="UPL4" s="8"/>
      <c r="UPM4" s="8"/>
      <c r="UPN4" s="8"/>
      <c r="UPO4" s="8"/>
      <c r="UPP4" s="8"/>
      <c r="UPQ4" s="8"/>
      <c r="UPR4" s="8"/>
      <c r="UPS4" s="8"/>
      <c r="UPT4" s="8"/>
      <c r="UPU4" s="8"/>
      <c r="UPV4" s="8"/>
      <c r="UPW4" s="8"/>
      <c r="UPX4" s="8"/>
      <c r="UPY4" s="8"/>
      <c r="UPZ4" s="8"/>
      <c r="UQA4" s="8"/>
      <c r="UQB4" s="8"/>
      <c r="UQC4" s="8"/>
      <c r="UQD4" s="8"/>
      <c r="UQE4" s="8"/>
      <c r="UQF4" s="8"/>
      <c r="UQG4" s="8"/>
      <c r="UQH4" s="8"/>
      <c r="UQI4" s="8"/>
      <c r="UQJ4" s="8"/>
      <c r="UQK4" s="8"/>
      <c r="UQL4" s="8"/>
      <c r="UQM4" s="8"/>
      <c r="UQN4" s="8"/>
      <c r="UQO4" s="8"/>
      <c r="UQP4" s="8"/>
      <c r="UQQ4" s="8"/>
      <c r="UQR4" s="8"/>
      <c r="UQS4" s="8"/>
      <c r="UQT4" s="8"/>
      <c r="UQU4" s="8"/>
      <c r="UQV4" s="8"/>
      <c r="UQW4" s="8"/>
      <c r="UQX4" s="8"/>
      <c r="UQY4" s="8"/>
      <c r="UQZ4" s="8"/>
      <c r="URA4" s="8"/>
      <c r="URB4" s="8"/>
      <c r="URC4" s="8"/>
      <c r="URD4" s="8"/>
      <c r="URE4" s="8"/>
      <c r="URF4" s="8"/>
      <c r="URG4" s="8"/>
      <c r="URH4" s="8"/>
      <c r="URI4" s="8"/>
      <c r="URJ4" s="8"/>
      <c r="URK4" s="8"/>
      <c r="URL4" s="8"/>
      <c r="URM4" s="8"/>
      <c r="URN4" s="8"/>
      <c r="URO4" s="8"/>
      <c r="URP4" s="8"/>
      <c r="URQ4" s="8"/>
      <c r="URR4" s="8"/>
      <c r="URS4" s="8"/>
      <c r="URT4" s="8"/>
      <c r="URU4" s="8"/>
      <c r="URV4" s="8"/>
      <c r="URW4" s="8"/>
      <c r="URX4" s="8"/>
      <c r="URY4" s="8"/>
      <c r="URZ4" s="8"/>
      <c r="USA4" s="8"/>
      <c r="USB4" s="8"/>
      <c r="USC4" s="8"/>
      <c r="USD4" s="8"/>
      <c r="USE4" s="8"/>
      <c r="USF4" s="8"/>
      <c r="USG4" s="8"/>
      <c r="USH4" s="8"/>
      <c r="USI4" s="8"/>
      <c r="USJ4" s="8"/>
      <c r="USK4" s="8"/>
      <c r="USL4" s="8"/>
      <c r="USM4" s="8"/>
      <c r="USN4" s="8"/>
      <c r="USO4" s="8"/>
      <c r="USP4" s="8"/>
      <c r="USQ4" s="8"/>
      <c r="USR4" s="8"/>
      <c r="USS4" s="8"/>
      <c r="UST4" s="8"/>
      <c r="USU4" s="8"/>
      <c r="USV4" s="8"/>
      <c r="USW4" s="8"/>
      <c r="USX4" s="8"/>
      <c r="USY4" s="8"/>
      <c r="USZ4" s="8"/>
      <c r="UTA4" s="8"/>
      <c r="UTB4" s="8"/>
      <c r="UTC4" s="8"/>
      <c r="UTD4" s="8"/>
      <c r="UTE4" s="8"/>
      <c r="UTF4" s="8"/>
      <c r="UTG4" s="8"/>
      <c r="UTH4" s="8"/>
      <c r="UTI4" s="8"/>
      <c r="UTJ4" s="8"/>
      <c r="UTK4" s="8"/>
      <c r="UTL4" s="8"/>
      <c r="UTM4" s="8"/>
      <c r="UTN4" s="8"/>
      <c r="UTO4" s="8"/>
      <c r="UTP4" s="8"/>
      <c r="UTQ4" s="8"/>
      <c r="UTR4" s="8"/>
      <c r="UTS4" s="8"/>
      <c r="UTT4" s="8"/>
      <c r="UTU4" s="8"/>
      <c r="UTV4" s="8"/>
      <c r="UTW4" s="8"/>
      <c r="UTX4" s="8"/>
      <c r="UTY4" s="8"/>
      <c r="UTZ4" s="8"/>
      <c r="UUA4" s="8"/>
      <c r="UUB4" s="8"/>
      <c r="UUC4" s="8"/>
      <c r="UUD4" s="8"/>
      <c r="UUE4" s="8"/>
      <c r="UUF4" s="8"/>
      <c r="UUG4" s="8"/>
      <c r="UUH4" s="8"/>
      <c r="UUI4" s="8"/>
      <c r="UUJ4" s="8"/>
      <c r="UUK4" s="8"/>
      <c r="UUL4" s="8"/>
      <c r="UUM4" s="8"/>
      <c r="UUN4" s="8"/>
      <c r="UUO4" s="8"/>
      <c r="UUP4" s="8"/>
      <c r="UUQ4" s="8"/>
      <c r="UUR4" s="8"/>
      <c r="UUS4" s="8"/>
      <c r="UUT4" s="8"/>
      <c r="UUU4" s="8"/>
      <c r="UUV4" s="8"/>
      <c r="UUW4" s="8"/>
      <c r="UUX4" s="8"/>
      <c r="UUY4" s="8"/>
      <c r="UUZ4" s="8"/>
      <c r="UVA4" s="8"/>
      <c r="UVB4" s="8"/>
      <c r="UVC4" s="8"/>
      <c r="UVD4" s="8"/>
      <c r="UVE4" s="8"/>
      <c r="UVF4" s="8"/>
      <c r="UVG4" s="8"/>
      <c r="UVH4" s="8"/>
      <c r="UVI4" s="8"/>
      <c r="UVJ4" s="8"/>
      <c r="UVK4" s="8"/>
      <c r="UVL4" s="8"/>
      <c r="UVM4" s="8"/>
      <c r="UVN4" s="8"/>
      <c r="UVO4" s="8"/>
      <c r="UVP4" s="8"/>
      <c r="UVQ4" s="8"/>
      <c r="UVR4" s="8"/>
      <c r="UVS4" s="8"/>
      <c r="UVT4" s="8"/>
      <c r="UVU4" s="8"/>
      <c r="UVV4" s="8"/>
      <c r="UVW4" s="8"/>
      <c r="UVX4" s="8"/>
      <c r="UVY4" s="8"/>
      <c r="UVZ4" s="8"/>
      <c r="UWA4" s="8"/>
      <c r="UWB4" s="8"/>
      <c r="UWC4" s="8"/>
      <c r="UWD4" s="8"/>
      <c r="UWE4" s="8"/>
      <c r="UWF4" s="8"/>
      <c r="UWG4" s="8"/>
      <c r="UWH4" s="8"/>
      <c r="UWI4" s="8"/>
      <c r="UWJ4" s="8"/>
      <c r="UWK4" s="8"/>
      <c r="UWL4" s="8"/>
      <c r="UWM4" s="8"/>
      <c r="UWN4" s="8"/>
      <c r="UWO4" s="8"/>
      <c r="UWP4" s="8"/>
      <c r="UWQ4" s="8"/>
      <c r="UWR4" s="8"/>
      <c r="UWS4" s="8"/>
      <c r="UWT4" s="8"/>
      <c r="UWU4" s="8"/>
      <c r="UWV4" s="8"/>
      <c r="UWW4" s="8"/>
      <c r="UWX4" s="8"/>
      <c r="UWY4" s="8"/>
      <c r="UWZ4" s="8"/>
      <c r="UXA4" s="8"/>
      <c r="UXB4" s="8"/>
      <c r="UXC4" s="8"/>
      <c r="UXD4" s="8"/>
      <c r="UXE4" s="8"/>
      <c r="UXF4" s="8"/>
      <c r="UXG4" s="8"/>
      <c r="UXH4" s="8"/>
      <c r="UXI4" s="8"/>
      <c r="UXJ4" s="8"/>
      <c r="UXK4" s="8"/>
      <c r="UXL4" s="8"/>
      <c r="UXM4" s="8"/>
      <c r="UXN4" s="8"/>
      <c r="UXO4" s="8"/>
      <c r="UXP4" s="8"/>
      <c r="UXQ4" s="8"/>
      <c r="UXR4" s="8"/>
      <c r="UXS4" s="8"/>
      <c r="UXT4" s="8"/>
      <c r="UXU4" s="8"/>
      <c r="UXV4" s="8"/>
      <c r="UXW4" s="8"/>
      <c r="UXX4" s="8"/>
      <c r="UXY4" s="8"/>
      <c r="UXZ4" s="8"/>
      <c r="UYA4" s="8"/>
      <c r="UYB4" s="8"/>
      <c r="UYC4" s="8"/>
      <c r="UYD4" s="8"/>
      <c r="UYE4" s="8"/>
      <c r="UYF4" s="8"/>
      <c r="UYG4" s="8"/>
      <c r="UYH4" s="8"/>
      <c r="UYI4" s="8"/>
      <c r="UYJ4" s="8"/>
      <c r="UYK4" s="8"/>
      <c r="UYL4" s="8"/>
      <c r="UYM4" s="8"/>
      <c r="UYN4" s="8"/>
      <c r="UYO4" s="8"/>
      <c r="UYP4" s="8"/>
      <c r="UYQ4" s="8"/>
      <c r="UYR4" s="8"/>
      <c r="UYS4" s="8"/>
      <c r="UYT4" s="8"/>
      <c r="UYU4" s="8"/>
      <c r="UYV4" s="8"/>
      <c r="UYW4" s="8"/>
      <c r="UYX4" s="8"/>
      <c r="UYY4" s="8"/>
      <c r="UYZ4" s="8"/>
      <c r="UZA4" s="8"/>
      <c r="UZB4" s="8"/>
      <c r="UZC4" s="8"/>
      <c r="UZD4" s="8"/>
      <c r="UZE4" s="8"/>
      <c r="UZF4" s="8"/>
      <c r="UZG4" s="8"/>
      <c r="UZH4" s="8"/>
      <c r="UZI4" s="8"/>
      <c r="UZJ4" s="8"/>
      <c r="UZK4" s="8"/>
      <c r="UZL4" s="8"/>
      <c r="UZM4" s="8"/>
      <c r="UZN4" s="8"/>
      <c r="UZO4" s="8"/>
      <c r="UZP4" s="8"/>
      <c r="UZQ4" s="8"/>
      <c r="UZR4" s="8"/>
      <c r="UZS4" s="8"/>
      <c r="UZT4" s="8"/>
      <c r="UZU4" s="8"/>
      <c r="UZV4" s="8"/>
      <c r="UZW4" s="8"/>
      <c r="UZX4" s="8"/>
      <c r="UZY4" s="8"/>
      <c r="UZZ4" s="8"/>
      <c r="VAA4" s="8"/>
      <c r="VAB4" s="8"/>
      <c r="VAC4" s="8"/>
      <c r="VAD4" s="8"/>
      <c r="VAE4" s="8"/>
      <c r="VAF4" s="8"/>
      <c r="VAG4" s="8"/>
      <c r="VAH4" s="8"/>
      <c r="VAI4" s="8"/>
      <c r="VAJ4" s="8"/>
      <c r="VAK4" s="8"/>
      <c r="VAL4" s="8"/>
      <c r="VAM4" s="8"/>
      <c r="VAN4" s="8"/>
      <c r="VAO4" s="8"/>
      <c r="VAP4" s="8"/>
      <c r="VAQ4" s="8"/>
      <c r="VAR4" s="8"/>
      <c r="VAS4" s="8"/>
      <c r="VAT4" s="8"/>
      <c r="VAU4" s="8"/>
      <c r="VAV4" s="8"/>
      <c r="VAW4" s="8"/>
      <c r="VAX4" s="8"/>
      <c r="VAY4" s="8"/>
      <c r="VAZ4" s="8"/>
      <c r="VBA4" s="8"/>
      <c r="VBB4" s="8"/>
      <c r="VBC4" s="8"/>
      <c r="VBD4" s="8"/>
      <c r="VBE4" s="8"/>
      <c r="VBF4" s="8"/>
      <c r="VBG4" s="8"/>
      <c r="VBH4" s="8"/>
      <c r="VBI4" s="8"/>
      <c r="VBJ4" s="8"/>
      <c r="VBK4" s="8"/>
      <c r="VBL4" s="8"/>
      <c r="VBM4" s="8"/>
      <c r="VBN4" s="8"/>
      <c r="VBO4" s="8"/>
      <c r="VBP4" s="8"/>
      <c r="VBQ4" s="8"/>
      <c r="VBR4" s="8"/>
      <c r="VBS4" s="8"/>
      <c r="VBT4" s="8"/>
      <c r="VBU4" s="8"/>
      <c r="VBV4" s="8"/>
      <c r="VBW4" s="8"/>
      <c r="VBX4" s="8"/>
      <c r="VBY4" s="8"/>
      <c r="VBZ4" s="8"/>
      <c r="VCA4" s="8"/>
      <c r="VCB4" s="8"/>
      <c r="VCC4" s="8"/>
      <c r="VCD4" s="8"/>
      <c r="VCE4" s="8"/>
      <c r="VCF4" s="8"/>
      <c r="VCG4" s="8"/>
      <c r="VCH4" s="8"/>
      <c r="VCI4" s="8"/>
      <c r="VCJ4" s="8"/>
      <c r="VCK4" s="8"/>
      <c r="VCL4" s="8"/>
      <c r="VCM4" s="8"/>
      <c r="VCN4" s="8"/>
      <c r="VCO4" s="8"/>
      <c r="VCP4" s="8"/>
      <c r="VCQ4" s="8"/>
      <c r="VCR4" s="8"/>
      <c r="VCS4" s="8"/>
      <c r="VCT4" s="8"/>
      <c r="VCU4" s="8"/>
      <c r="VCV4" s="8"/>
      <c r="VCW4" s="8"/>
      <c r="VCX4" s="8"/>
      <c r="VCY4" s="8"/>
      <c r="VCZ4" s="8"/>
      <c r="VDA4" s="8"/>
      <c r="VDB4" s="8"/>
      <c r="VDC4" s="8"/>
      <c r="VDD4" s="8"/>
      <c r="VDE4" s="8"/>
      <c r="VDF4" s="8"/>
      <c r="VDG4" s="8"/>
      <c r="VDH4" s="8"/>
      <c r="VDI4" s="8"/>
      <c r="VDJ4" s="8"/>
      <c r="VDK4" s="8"/>
      <c r="VDL4" s="8"/>
      <c r="VDM4" s="8"/>
      <c r="VDN4" s="8"/>
      <c r="VDO4" s="8"/>
      <c r="VDP4" s="8"/>
      <c r="VDQ4" s="8"/>
      <c r="VDR4" s="8"/>
      <c r="VDS4" s="8"/>
      <c r="VDT4" s="8"/>
      <c r="VDU4" s="8"/>
      <c r="VDV4" s="8"/>
      <c r="VDW4" s="8"/>
      <c r="VDX4" s="8"/>
      <c r="VDY4" s="8"/>
      <c r="VDZ4" s="8"/>
      <c r="VEA4" s="8"/>
      <c r="VEB4" s="8"/>
      <c r="VEC4" s="8"/>
      <c r="VED4" s="8"/>
      <c r="VEE4" s="8"/>
      <c r="VEF4" s="8"/>
      <c r="VEG4" s="8"/>
      <c r="VEH4" s="8"/>
      <c r="VEI4" s="8"/>
      <c r="VEJ4" s="8"/>
      <c r="VEK4" s="8"/>
      <c r="VEL4" s="8"/>
      <c r="VEM4" s="8"/>
      <c r="VEN4" s="8"/>
      <c r="VEO4" s="8"/>
      <c r="VEP4" s="8"/>
      <c r="VEQ4" s="8"/>
      <c r="VER4" s="8"/>
      <c r="VES4" s="8"/>
      <c r="VET4" s="8"/>
      <c r="VEU4" s="8"/>
      <c r="VEV4" s="8"/>
      <c r="VEW4" s="8"/>
      <c r="VEX4" s="8"/>
      <c r="VEY4" s="8"/>
      <c r="VEZ4" s="8"/>
      <c r="VFA4" s="8"/>
      <c r="VFB4" s="8"/>
      <c r="VFC4" s="8"/>
      <c r="VFD4" s="8"/>
      <c r="VFE4" s="8"/>
      <c r="VFF4" s="8"/>
      <c r="VFG4" s="8"/>
      <c r="VFH4" s="8"/>
      <c r="VFI4" s="8"/>
      <c r="VFJ4" s="8"/>
      <c r="VFK4" s="8"/>
      <c r="VFL4" s="8"/>
      <c r="VFM4" s="8"/>
      <c r="VFN4" s="8"/>
      <c r="VFO4" s="8"/>
      <c r="VFP4" s="8"/>
      <c r="VFQ4" s="8"/>
      <c r="VFR4" s="8"/>
      <c r="VFS4" s="8"/>
      <c r="VFT4" s="8"/>
      <c r="VFU4" s="8"/>
      <c r="VFV4" s="8"/>
      <c r="VFW4" s="8"/>
      <c r="VFX4" s="8"/>
      <c r="VFY4" s="8"/>
      <c r="VFZ4" s="8"/>
      <c r="VGA4" s="8"/>
      <c r="VGB4" s="8"/>
      <c r="VGC4" s="8"/>
      <c r="VGD4" s="8"/>
      <c r="VGE4" s="8"/>
      <c r="VGF4" s="8"/>
      <c r="VGG4" s="8"/>
      <c r="VGH4" s="8"/>
      <c r="VGI4" s="8"/>
      <c r="VGJ4" s="8"/>
      <c r="VGK4" s="8"/>
      <c r="VGL4" s="8"/>
      <c r="VGM4" s="8"/>
      <c r="VGN4" s="8"/>
      <c r="VGO4" s="8"/>
      <c r="VGP4" s="8"/>
      <c r="VGQ4" s="8"/>
      <c r="VGR4" s="8"/>
      <c r="VGS4" s="8"/>
      <c r="VGT4" s="8"/>
      <c r="VGU4" s="8"/>
      <c r="VGV4" s="8"/>
      <c r="VGW4" s="8"/>
      <c r="VGX4" s="8"/>
      <c r="VGY4" s="8"/>
      <c r="VGZ4" s="8"/>
      <c r="VHA4" s="8"/>
      <c r="VHB4" s="8"/>
      <c r="VHC4" s="8"/>
      <c r="VHD4" s="8"/>
      <c r="VHE4" s="8"/>
      <c r="VHF4" s="8"/>
      <c r="VHG4" s="8"/>
      <c r="VHH4" s="8"/>
      <c r="VHI4" s="8"/>
      <c r="VHJ4" s="8"/>
      <c r="VHK4" s="8"/>
      <c r="VHL4" s="8"/>
      <c r="VHM4" s="8"/>
      <c r="VHN4" s="8"/>
      <c r="VHO4" s="8"/>
      <c r="VHP4" s="8"/>
      <c r="VHQ4" s="8"/>
      <c r="VHR4" s="8"/>
      <c r="VHS4" s="8"/>
      <c r="VHT4" s="8"/>
      <c r="VHU4" s="8"/>
      <c r="VHV4" s="8"/>
      <c r="VHW4" s="8"/>
      <c r="VHX4" s="8"/>
      <c r="VHY4" s="8"/>
      <c r="VHZ4" s="8"/>
      <c r="VIA4" s="8"/>
      <c r="VIB4" s="8"/>
      <c r="VIC4" s="8"/>
      <c r="VID4" s="8"/>
      <c r="VIE4" s="8"/>
      <c r="VIF4" s="8"/>
      <c r="VIG4" s="8"/>
      <c r="VIH4" s="8"/>
      <c r="VII4" s="8"/>
      <c r="VIJ4" s="8"/>
      <c r="VIK4" s="8"/>
      <c r="VIL4" s="8"/>
      <c r="VIM4" s="8"/>
      <c r="VIN4" s="8"/>
      <c r="VIO4" s="8"/>
      <c r="VIP4" s="8"/>
      <c r="VIQ4" s="8"/>
      <c r="VIR4" s="8"/>
      <c r="VIS4" s="8"/>
      <c r="VIT4" s="8"/>
      <c r="VIU4" s="8"/>
      <c r="VIV4" s="8"/>
      <c r="VIW4" s="8"/>
      <c r="VIX4" s="8"/>
      <c r="VIY4" s="8"/>
      <c r="VIZ4" s="8"/>
      <c r="VJA4" s="8"/>
      <c r="VJB4" s="8"/>
      <c r="VJC4" s="8"/>
      <c r="VJD4" s="8"/>
      <c r="VJE4" s="8"/>
      <c r="VJF4" s="8"/>
      <c r="VJG4" s="8"/>
      <c r="VJH4" s="8"/>
      <c r="VJI4" s="8"/>
      <c r="VJJ4" s="8"/>
      <c r="VJK4" s="8"/>
      <c r="VJL4" s="8"/>
      <c r="VJM4" s="8"/>
      <c r="VJN4" s="8"/>
      <c r="VJO4" s="8"/>
      <c r="VJP4" s="8"/>
      <c r="VJQ4" s="8"/>
      <c r="VJR4" s="8"/>
      <c r="VJS4" s="8"/>
      <c r="VJT4" s="8"/>
      <c r="VJU4" s="8"/>
      <c r="VJV4" s="8"/>
      <c r="VJW4" s="8"/>
      <c r="VJX4" s="8"/>
      <c r="VJY4" s="8"/>
      <c r="VJZ4" s="8"/>
      <c r="VKA4" s="8"/>
      <c r="VKB4" s="8"/>
      <c r="VKC4" s="8"/>
      <c r="VKD4" s="8"/>
      <c r="VKE4" s="8"/>
      <c r="VKF4" s="8"/>
      <c r="VKG4" s="8"/>
      <c r="VKH4" s="8"/>
      <c r="VKI4" s="8"/>
      <c r="VKJ4" s="8"/>
      <c r="VKK4" s="8"/>
      <c r="VKL4" s="8"/>
      <c r="VKM4" s="8"/>
      <c r="VKN4" s="8"/>
      <c r="VKO4" s="8"/>
      <c r="VKP4" s="8"/>
      <c r="VKQ4" s="8"/>
      <c r="VKR4" s="8"/>
      <c r="VKS4" s="8"/>
      <c r="VKT4" s="8"/>
      <c r="VKU4" s="8"/>
      <c r="VKV4" s="8"/>
      <c r="VKW4" s="8"/>
      <c r="VKX4" s="8"/>
      <c r="VKY4" s="8"/>
      <c r="VKZ4" s="8"/>
      <c r="VLA4" s="8"/>
      <c r="VLB4" s="8"/>
      <c r="VLC4" s="8"/>
      <c r="VLD4" s="8"/>
      <c r="VLE4" s="8"/>
      <c r="VLF4" s="8"/>
      <c r="VLG4" s="8"/>
      <c r="VLH4" s="8"/>
      <c r="VLI4" s="8"/>
      <c r="VLJ4" s="8"/>
      <c r="VLK4" s="8"/>
      <c r="VLL4" s="8"/>
      <c r="VLM4" s="8"/>
      <c r="VLN4" s="8"/>
      <c r="VLO4" s="8"/>
      <c r="VLP4" s="8"/>
      <c r="VLQ4" s="8"/>
      <c r="VLR4" s="8"/>
      <c r="VLS4" s="8"/>
      <c r="VLT4" s="8"/>
      <c r="VLU4" s="8"/>
      <c r="VLV4" s="8"/>
      <c r="VLW4" s="8"/>
      <c r="VLX4" s="8"/>
      <c r="VLY4" s="8"/>
      <c r="VLZ4" s="8"/>
      <c r="VMA4" s="8"/>
      <c r="VMB4" s="8"/>
      <c r="VMC4" s="8"/>
      <c r="VMD4" s="8"/>
      <c r="VME4" s="8"/>
      <c r="VMF4" s="8"/>
      <c r="VMG4" s="8"/>
      <c r="VMH4" s="8"/>
      <c r="VMI4" s="8"/>
      <c r="VMJ4" s="8"/>
      <c r="VMK4" s="8"/>
      <c r="VML4" s="8"/>
      <c r="VMM4" s="8"/>
      <c r="VMN4" s="8"/>
      <c r="VMO4" s="8"/>
      <c r="VMP4" s="8"/>
      <c r="VMQ4" s="8"/>
      <c r="VMR4" s="8"/>
      <c r="VMS4" s="8"/>
      <c r="VMT4" s="8"/>
      <c r="VMU4" s="8"/>
      <c r="VMV4" s="8"/>
      <c r="VMW4" s="8"/>
      <c r="VMX4" s="8"/>
      <c r="VMY4" s="8"/>
      <c r="VMZ4" s="8"/>
      <c r="VNA4" s="8"/>
      <c r="VNB4" s="8"/>
      <c r="VNC4" s="8"/>
      <c r="VND4" s="8"/>
      <c r="VNE4" s="8"/>
      <c r="VNF4" s="8"/>
      <c r="VNG4" s="8"/>
      <c r="VNH4" s="8"/>
      <c r="VNI4" s="8"/>
      <c r="VNJ4" s="8"/>
      <c r="VNK4" s="8"/>
      <c r="VNL4" s="8"/>
      <c r="VNM4" s="8"/>
      <c r="VNN4" s="8"/>
      <c r="VNO4" s="8"/>
      <c r="VNP4" s="8"/>
      <c r="VNQ4" s="8"/>
      <c r="VNR4" s="8"/>
      <c r="VNS4" s="8"/>
      <c r="VNT4" s="8"/>
      <c r="VNU4" s="8"/>
      <c r="VNV4" s="8"/>
      <c r="VNW4" s="8"/>
      <c r="VNX4" s="8"/>
      <c r="VNY4" s="8"/>
      <c r="VNZ4" s="8"/>
      <c r="VOA4" s="8"/>
      <c r="VOB4" s="8"/>
      <c r="VOC4" s="8"/>
      <c r="VOD4" s="8"/>
      <c r="VOE4" s="8"/>
      <c r="VOF4" s="8"/>
      <c r="VOG4" s="8"/>
      <c r="VOH4" s="8"/>
      <c r="VOI4" s="8"/>
      <c r="VOJ4" s="8"/>
      <c r="VOK4" s="8"/>
      <c r="VOL4" s="8"/>
      <c r="VOM4" s="8"/>
      <c r="VON4" s="8"/>
      <c r="VOO4" s="8"/>
      <c r="VOP4" s="8"/>
      <c r="VOQ4" s="8"/>
      <c r="VOR4" s="8"/>
      <c r="VOS4" s="8"/>
      <c r="VOT4" s="8"/>
      <c r="VOU4" s="8"/>
      <c r="VOV4" s="8"/>
      <c r="VOW4" s="8"/>
      <c r="VOX4" s="8"/>
      <c r="VOY4" s="8"/>
      <c r="VOZ4" s="8"/>
      <c r="VPA4" s="8"/>
      <c r="VPB4" s="8"/>
      <c r="VPC4" s="8"/>
      <c r="VPD4" s="8"/>
      <c r="VPE4" s="8"/>
      <c r="VPF4" s="8"/>
      <c r="VPG4" s="8"/>
      <c r="VPH4" s="8"/>
      <c r="VPI4" s="8"/>
      <c r="VPJ4" s="8"/>
      <c r="VPK4" s="8"/>
      <c r="VPL4" s="8"/>
      <c r="VPM4" s="8"/>
      <c r="VPN4" s="8"/>
      <c r="VPO4" s="8"/>
      <c r="VPP4" s="8"/>
      <c r="VPQ4" s="8"/>
      <c r="VPR4" s="8"/>
      <c r="VPS4" s="8"/>
      <c r="VPT4" s="8"/>
      <c r="VPU4" s="8"/>
      <c r="VPV4" s="8"/>
      <c r="VPW4" s="8"/>
      <c r="VPX4" s="8"/>
      <c r="VPY4" s="8"/>
      <c r="VPZ4" s="8"/>
      <c r="VQA4" s="8"/>
      <c r="VQB4" s="8"/>
      <c r="VQC4" s="8"/>
      <c r="VQD4" s="8"/>
      <c r="VQE4" s="8"/>
      <c r="VQF4" s="8"/>
      <c r="VQG4" s="8"/>
      <c r="VQH4" s="8"/>
      <c r="VQI4" s="8"/>
      <c r="VQJ4" s="8"/>
      <c r="VQK4" s="8"/>
      <c r="VQL4" s="8"/>
      <c r="VQM4" s="8"/>
      <c r="VQN4" s="8"/>
      <c r="VQO4" s="8"/>
      <c r="VQP4" s="8"/>
      <c r="VQQ4" s="8"/>
      <c r="VQR4" s="8"/>
      <c r="VQS4" s="8"/>
      <c r="VQT4" s="8"/>
      <c r="VQU4" s="8"/>
      <c r="VQV4" s="8"/>
      <c r="VQW4" s="8"/>
      <c r="VQX4" s="8"/>
      <c r="VQY4" s="8"/>
      <c r="VQZ4" s="8"/>
      <c r="VRA4" s="8"/>
      <c r="VRB4" s="8"/>
      <c r="VRC4" s="8"/>
      <c r="VRD4" s="8"/>
      <c r="VRE4" s="8"/>
      <c r="VRF4" s="8"/>
      <c r="VRG4" s="8"/>
      <c r="VRH4" s="8"/>
      <c r="VRI4" s="8"/>
      <c r="VRJ4" s="8"/>
      <c r="VRK4" s="8"/>
      <c r="VRL4" s="8"/>
      <c r="VRM4" s="8"/>
      <c r="VRN4" s="8"/>
      <c r="VRO4" s="8"/>
      <c r="VRP4" s="8"/>
      <c r="VRQ4" s="8"/>
      <c r="VRR4" s="8"/>
      <c r="VRS4" s="8"/>
      <c r="VRT4" s="8"/>
      <c r="VRU4" s="8"/>
      <c r="VRV4" s="8"/>
      <c r="VRW4" s="8"/>
      <c r="VRX4" s="8"/>
      <c r="VRY4" s="8"/>
      <c r="VRZ4" s="8"/>
      <c r="VSA4" s="8"/>
      <c r="VSB4" s="8"/>
      <c r="VSC4" s="8"/>
      <c r="VSD4" s="8"/>
      <c r="VSE4" s="8"/>
      <c r="VSF4" s="8"/>
      <c r="VSG4" s="8"/>
      <c r="VSH4" s="8"/>
      <c r="VSI4" s="8"/>
      <c r="VSJ4" s="8"/>
      <c r="VSK4" s="8"/>
      <c r="VSL4" s="8"/>
      <c r="VSM4" s="8"/>
      <c r="VSN4" s="8"/>
      <c r="VSO4" s="8"/>
      <c r="VSP4" s="8"/>
      <c r="VSQ4" s="8"/>
      <c r="VSR4" s="8"/>
      <c r="VSS4" s="8"/>
      <c r="VST4" s="8"/>
      <c r="VSU4" s="8"/>
      <c r="VSV4" s="8"/>
      <c r="VSW4" s="8"/>
      <c r="VSX4" s="8"/>
      <c r="VSY4" s="8"/>
      <c r="VSZ4" s="8"/>
      <c r="VTA4" s="8"/>
      <c r="VTB4" s="8"/>
      <c r="VTC4" s="8"/>
      <c r="VTD4" s="8"/>
      <c r="VTE4" s="8"/>
      <c r="VTF4" s="8"/>
      <c r="VTG4" s="8"/>
      <c r="VTH4" s="8"/>
      <c r="VTI4" s="8"/>
      <c r="VTJ4" s="8"/>
      <c r="VTK4" s="8"/>
      <c r="VTL4" s="8"/>
      <c r="VTM4" s="8"/>
      <c r="VTN4" s="8"/>
      <c r="VTO4" s="8"/>
      <c r="VTP4" s="8"/>
      <c r="VTQ4" s="8"/>
      <c r="VTR4" s="8"/>
      <c r="VTS4" s="8"/>
      <c r="VTT4" s="8"/>
      <c r="VTU4" s="8"/>
      <c r="VTV4" s="8"/>
      <c r="VTW4" s="8"/>
      <c r="VTX4" s="8"/>
      <c r="VTY4" s="8"/>
      <c r="VTZ4" s="8"/>
      <c r="VUA4" s="8"/>
      <c r="VUB4" s="8"/>
      <c r="VUC4" s="8"/>
      <c r="VUD4" s="8"/>
      <c r="VUE4" s="8"/>
      <c r="VUF4" s="8"/>
      <c r="VUG4" s="8"/>
      <c r="VUH4" s="8"/>
      <c r="VUI4" s="8"/>
      <c r="VUJ4" s="8"/>
      <c r="VUK4" s="8"/>
      <c r="VUL4" s="8"/>
      <c r="VUM4" s="8"/>
      <c r="VUN4" s="8"/>
      <c r="VUO4" s="8"/>
      <c r="VUP4" s="8"/>
      <c r="VUQ4" s="8"/>
      <c r="VUR4" s="8"/>
      <c r="VUS4" s="8"/>
      <c r="VUT4" s="8"/>
      <c r="VUU4" s="8"/>
      <c r="VUV4" s="8"/>
      <c r="VUW4" s="8"/>
      <c r="VUX4" s="8"/>
      <c r="VUY4" s="8"/>
      <c r="VUZ4" s="8"/>
      <c r="VVA4" s="8"/>
      <c r="VVB4" s="8"/>
      <c r="VVC4" s="8"/>
      <c r="VVD4" s="8"/>
      <c r="VVE4" s="8"/>
      <c r="VVF4" s="8"/>
      <c r="VVG4" s="8"/>
      <c r="VVH4" s="8"/>
      <c r="VVI4" s="8"/>
      <c r="VVJ4" s="8"/>
      <c r="VVK4" s="8"/>
      <c r="VVL4" s="8"/>
      <c r="VVM4" s="8"/>
      <c r="VVN4" s="8"/>
      <c r="VVO4" s="8"/>
      <c r="VVP4" s="8"/>
      <c r="VVQ4" s="8"/>
      <c r="VVR4" s="8"/>
      <c r="VVS4" s="8"/>
      <c r="VVT4" s="8"/>
      <c r="VVU4" s="8"/>
      <c r="VVV4" s="8"/>
      <c r="VVW4" s="8"/>
      <c r="VVX4" s="8"/>
      <c r="VVY4" s="8"/>
      <c r="VVZ4" s="8"/>
      <c r="VWA4" s="8"/>
      <c r="VWB4" s="8"/>
      <c r="VWC4" s="8"/>
      <c r="VWD4" s="8"/>
      <c r="VWE4" s="8"/>
      <c r="VWF4" s="8"/>
      <c r="VWG4" s="8"/>
      <c r="VWH4" s="8"/>
      <c r="VWI4" s="8"/>
      <c r="VWJ4" s="8"/>
      <c r="VWK4" s="8"/>
      <c r="VWL4" s="8"/>
      <c r="VWM4" s="8"/>
      <c r="VWN4" s="8"/>
      <c r="VWO4" s="8"/>
      <c r="VWP4" s="8"/>
      <c r="VWQ4" s="8"/>
      <c r="VWR4" s="8"/>
      <c r="VWS4" s="8"/>
      <c r="VWT4" s="8"/>
      <c r="VWU4" s="8"/>
      <c r="VWV4" s="8"/>
      <c r="VWW4" s="8"/>
      <c r="VWX4" s="8"/>
      <c r="VWY4" s="8"/>
      <c r="VWZ4" s="8"/>
      <c r="VXA4" s="8"/>
      <c r="VXB4" s="8"/>
      <c r="VXC4" s="8"/>
      <c r="VXD4" s="8"/>
      <c r="VXE4" s="8"/>
      <c r="VXF4" s="8"/>
      <c r="VXG4" s="8"/>
      <c r="VXH4" s="8"/>
      <c r="VXI4" s="8"/>
      <c r="VXJ4" s="8"/>
      <c r="VXK4" s="8"/>
      <c r="VXL4" s="8"/>
      <c r="VXM4" s="8"/>
      <c r="VXN4" s="8"/>
      <c r="VXO4" s="8"/>
      <c r="VXP4" s="8"/>
      <c r="VXQ4" s="8"/>
      <c r="VXR4" s="8"/>
      <c r="VXS4" s="8"/>
      <c r="VXT4" s="8"/>
      <c r="VXU4" s="8"/>
      <c r="VXV4" s="8"/>
      <c r="VXW4" s="8"/>
      <c r="VXX4" s="8"/>
      <c r="VXY4" s="8"/>
      <c r="VXZ4" s="8"/>
      <c r="VYA4" s="8"/>
      <c r="VYB4" s="8"/>
      <c r="VYC4" s="8"/>
      <c r="VYD4" s="8"/>
      <c r="VYE4" s="8"/>
      <c r="VYF4" s="8"/>
      <c r="VYG4" s="8"/>
      <c r="VYH4" s="8"/>
      <c r="VYI4" s="8"/>
      <c r="VYJ4" s="8"/>
      <c r="VYK4" s="8"/>
      <c r="VYL4" s="8"/>
      <c r="VYM4" s="8"/>
      <c r="VYN4" s="8"/>
      <c r="VYO4" s="8"/>
      <c r="VYP4" s="8"/>
      <c r="VYQ4" s="8"/>
      <c r="VYR4" s="8"/>
      <c r="VYS4" s="8"/>
      <c r="VYT4" s="8"/>
      <c r="VYU4" s="8"/>
      <c r="VYV4" s="8"/>
      <c r="VYW4" s="8"/>
      <c r="VYX4" s="8"/>
      <c r="VYY4" s="8"/>
      <c r="VYZ4" s="8"/>
      <c r="VZA4" s="8"/>
      <c r="VZB4" s="8"/>
      <c r="VZC4" s="8"/>
      <c r="VZD4" s="8"/>
      <c r="VZE4" s="8"/>
      <c r="VZF4" s="8"/>
      <c r="VZG4" s="8"/>
      <c r="VZH4" s="8"/>
      <c r="VZI4" s="8"/>
      <c r="VZJ4" s="8"/>
      <c r="VZK4" s="8"/>
      <c r="VZL4" s="8"/>
      <c r="VZM4" s="8"/>
      <c r="VZN4" s="8"/>
      <c r="VZO4" s="8"/>
      <c r="VZP4" s="8"/>
      <c r="VZQ4" s="8"/>
      <c r="VZR4" s="8"/>
      <c r="VZS4" s="8"/>
      <c r="VZT4" s="8"/>
      <c r="VZU4" s="8"/>
      <c r="VZV4" s="8"/>
      <c r="VZW4" s="8"/>
      <c r="VZX4" s="8"/>
      <c r="VZY4" s="8"/>
      <c r="VZZ4" s="8"/>
      <c r="WAA4" s="8"/>
      <c r="WAB4" s="8"/>
      <c r="WAC4" s="8"/>
      <c r="WAD4" s="8"/>
      <c r="WAE4" s="8"/>
      <c r="WAF4" s="8"/>
      <c r="WAG4" s="8"/>
      <c r="WAH4" s="8"/>
      <c r="WAI4" s="8"/>
      <c r="WAJ4" s="8"/>
      <c r="WAK4" s="8"/>
      <c r="WAL4" s="8"/>
      <c r="WAM4" s="8"/>
      <c r="WAN4" s="8"/>
      <c r="WAO4" s="8"/>
      <c r="WAP4" s="8"/>
      <c r="WAQ4" s="8"/>
      <c r="WAR4" s="8"/>
      <c r="WAS4" s="8"/>
      <c r="WAT4" s="8"/>
      <c r="WAU4" s="8"/>
      <c r="WAV4" s="8"/>
      <c r="WAW4" s="8"/>
      <c r="WAX4" s="8"/>
      <c r="WAY4" s="8"/>
      <c r="WAZ4" s="8"/>
      <c r="WBA4" s="8"/>
      <c r="WBB4" s="8"/>
      <c r="WBC4" s="8"/>
      <c r="WBD4" s="8"/>
      <c r="WBE4" s="8"/>
      <c r="WBF4" s="8"/>
      <c r="WBG4" s="8"/>
      <c r="WBH4" s="8"/>
      <c r="WBI4" s="8"/>
      <c r="WBJ4" s="8"/>
      <c r="WBK4" s="8"/>
      <c r="WBL4" s="8"/>
      <c r="WBM4" s="8"/>
      <c r="WBN4" s="8"/>
      <c r="WBO4" s="8"/>
      <c r="WBP4" s="8"/>
      <c r="WBQ4" s="8"/>
      <c r="WBR4" s="8"/>
      <c r="WBS4" s="8"/>
      <c r="WBT4" s="8"/>
      <c r="WBU4" s="8"/>
      <c r="WBV4" s="8"/>
      <c r="WBW4" s="8"/>
      <c r="WBX4" s="8"/>
      <c r="WBY4" s="8"/>
      <c r="WBZ4" s="8"/>
      <c r="WCA4" s="8"/>
      <c r="WCB4" s="8"/>
      <c r="WCC4" s="8"/>
      <c r="WCD4" s="8"/>
      <c r="WCE4" s="8"/>
      <c r="WCF4" s="8"/>
      <c r="WCG4" s="8"/>
      <c r="WCH4" s="8"/>
      <c r="WCI4" s="8"/>
      <c r="WCJ4" s="8"/>
      <c r="WCK4" s="8"/>
      <c r="WCL4" s="8"/>
      <c r="WCM4" s="8"/>
      <c r="WCN4" s="8"/>
      <c r="WCO4" s="8"/>
      <c r="WCP4" s="8"/>
      <c r="WCQ4" s="8"/>
      <c r="WCR4" s="8"/>
      <c r="WCS4" s="8"/>
      <c r="WCT4" s="8"/>
      <c r="WCU4" s="8"/>
      <c r="WCV4" s="8"/>
      <c r="WCW4" s="8"/>
      <c r="WCX4" s="8"/>
      <c r="WCY4" s="8"/>
      <c r="WCZ4" s="8"/>
      <c r="WDA4" s="8"/>
      <c r="WDB4" s="8"/>
      <c r="WDC4" s="8"/>
      <c r="WDD4" s="8"/>
      <c r="WDE4" s="8"/>
      <c r="WDF4" s="8"/>
      <c r="WDG4" s="8"/>
      <c r="WDH4" s="8"/>
      <c r="WDI4" s="8"/>
      <c r="WDJ4" s="8"/>
      <c r="WDK4" s="8"/>
      <c r="WDL4" s="8"/>
      <c r="WDM4" s="8"/>
      <c r="WDN4" s="8"/>
      <c r="WDO4" s="8"/>
      <c r="WDP4" s="8"/>
      <c r="WDQ4" s="8"/>
      <c r="WDR4" s="8"/>
      <c r="WDS4" s="8"/>
      <c r="WDT4" s="8"/>
      <c r="WDU4" s="8"/>
      <c r="WDV4" s="8"/>
      <c r="WDW4" s="8"/>
      <c r="WDX4" s="8"/>
      <c r="WDY4" s="8"/>
      <c r="WDZ4" s="8"/>
      <c r="WEA4" s="8"/>
      <c r="WEB4" s="8"/>
      <c r="WEC4" s="8"/>
      <c r="WED4" s="8"/>
      <c r="WEE4" s="8"/>
      <c r="WEF4" s="8"/>
      <c r="WEG4" s="8"/>
      <c r="WEH4" s="8"/>
      <c r="WEI4" s="8"/>
      <c r="WEJ4" s="8"/>
      <c r="WEK4" s="8"/>
      <c r="WEL4" s="8"/>
      <c r="WEM4" s="8"/>
      <c r="WEN4" s="8"/>
      <c r="WEO4" s="8"/>
      <c r="WEP4" s="8"/>
      <c r="WEQ4" s="8"/>
      <c r="WER4" s="8"/>
      <c r="WES4" s="8"/>
      <c r="WET4" s="8"/>
      <c r="WEU4" s="8"/>
      <c r="WEV4" s="8"/>
      <c r="WEW4" s="8"/>
      <c r="WEX4" s="8"/>
      <c r="WEY4" s="8"/>
      <c r="WEZ4" s="8"/>
      <c r="WFA4" s="8"/>
      <c r="WFB4" s="8"/>
      <c r="WFC4" s="8"/>
      <c r="WFD4" s="8"/>
      <c r="WFE4" s="8"/>
      <c r="WFF4" s="8"/>
      <c r="WFG4" s="8"/>
      <c r="WFH4" s="8"/>
      <c r="WFI4" s="8"/>
      <c r="WFJ4" s="8"/>
      <c r="WFK4" s="8"/>
      <c r="WFL4" s="8"/>
      <c r="WFM4" s="8"/>
      <c r="WFN4" s="8"/>
      <c r="WFO4" s="8"/>
      <c r="WFP4" s="8"/>
      <c r="WFQ4" s="8"/>
      <c r="WFR4" s="8"/>
      <c r="WFS4" s="8"/>
      <c r="WFT4" s="8"/>
      <c r="WFU4" s="8"/>
      <c r="WFV4" s="8"/>
      <c r="WFW4" s="8"/>
      <c r="WFX4" s="8"/>
      <c r="WFY4" s="8"/>
      <c r="WFZ4" s="8"/>
      <c r="WGA4" s="8"/>
      <c r="WGB4" s="8"/>
      <c r="WGC4" s="8"/>
      <c r="WGD4" s="8"/>
      <c r="WGE4" s="8"/>
      <c r="WGF4" s="8"/>
      <c r="WGG4" s="8"/>
      <c r="WGH4" s="8"/>
      <c r="WGI4" s="8"/>
      <c r="WGJ4" s="8"/>
      <c r="WGK4" s="8"/>
      <c r="WGL4" s="8"/>
      <c r="WGM4" s="8"/>
      <c r="WGN4" s="8"/>
      <c r="WGO4" s="8"/>
      <c r="WGP4" s="8"/>
      <c r="WGQ4" s="8"/>
      <c r="WGR4" s="8"/>
      <c r="WGS4" s="8"/>
      <c r="WGT4" s="8"/>
      <c r="WGU4" s="8"/>
      <c r="WGV4" s="8"/>
      <c r="WGW4" s="8"/>
      <c r="WGX4" s="8"/>
      <c r="WGY4" s="8"/>
      <c r="WGZ4" s="8"/>
      <c r="WHA4" s="8"/>
      <c r="WHB4" s="8"/>
      <c r="WHC4" s="8"/>
      <c r="WHD4" s="8"/>
      <c r="WHE4" s="8"/>
      <c r="WHF4" s="8"/>
      <c r="WHG4" s="8"/>
      <c r="WHH4" s="8"/>
      <c r="WHI4" s="8"/>
      <c r="WHJ4" s="8"/>
      <c r="WHK4" s="8"/>
      <c r="WHL4" s="8"/>
      <c r="WHM4" s="8"/>
      <c r="WHN4" s="8"/>
      <c r="WHO4" s="8"/>
      <c r="WHP4" s="8"/>
      <c r="WHQ4" s="8"/>
      <c r="WHR4" s="8"/>
      <c r="WHS4" s="8"/>
      <c r="WHT4" s="8"/>
      <c r="WHU4" s="8"/>
      <c r="WHV4" s="8"/>
      <c r="WHW4" s="8"/>
      <c r="WHX4" s="8"/>
      <c r="WHY4" s="8"/>
      <c r="WHZ4" s="8"/>
      <c r="WIA4" s="8"/>
      <c r="WIB4" s="8"/>
      <c r="WIC4" s="8"/>
      <c r="WID4" s="8"/>
      <c r="WIE4" s="8"/>
      <c r="WIF4" s="8"/>
      <c r="WIG4" s="8"/>
      <c r="WIH4" s="8"/>
      <c r="WII4" s="8"/>
      <c r="WIJ4" s="8"/>
      <c r="WIK4" s="8"/>
      <c r="WIL4" s="8"/>
      <c r="WIM4" s="8"/>
      <c r="WIN4" s="8"/>
      <c r="WIO4" s="8"/>
      <c r="WIP4" s="8"/>
      <c r="WIQ4" s="8"/>
      <c r="WIR4" s="8"/>
      <c r="WIS4" s="8"/>
      <c r="WIT4" s="8"/>
      <c r="WIU4" s="8"/>
      <c r="WIV4" s="8"/>
      <c r="WIW4" s="8"/>
      <c r="WIX4" s="8"/>
      <c r="WIY4" s="8"/>
      <c r="WIZ4" s="8"/>
      <c r="WJA4" s="8"/>
      <c r="WJB4" s="8"/>
      <c r="WJC4" s="8"/>
      <c r="WJD4" s="8"/>
      <c r="WJE4" s="8"/>
      <c r="WJF4" s="8"/>
      <c r="WJG4" s="8"/>
      <c r="WJH4" s="8"/>
      <c r="WJI4" s="8"/>
      <c r="WJJ4" s="8"/>
      <c r="WJK4" s="8"/>
      <c r="WJL4" s="8"/>
      <c r="WJM4" s="8"/>
      <c r="WJN4" s="8"/>
      <c r="WJO4" s="8"/>
      <c r="WJP4" s="8"/>
      <c r="WJQ4" s="8"/>
      <c r="WJR4" s="8"/>
      <c r="WJS4" s="8"/>
      <c r="WJT4" s="8"/>
      <c r="WJU4" s="8"/>
      <c r="WJV4" s="8"/>
      <c r="WJW4" s="8"/>
      <c r="WJX4" s="8"/>
      <c r="WJY4" s="8"/>
      <c r="WJZ4" s="8"/>
      <c r="WKA4" s="8"/>
      <c r="WKB4" s="8"/>
      <c r="WKC4" s="8"/>
      <c r="WKD4" s="8"/>
      <c r="WKE4" s="8"/>
      <c r="WKF4" s="8"/>
      <c r="WKG4" s="8"/>
      <c r="WKH4" s="8"/>
      <c r="WKI4" s="8"/>
      <c r="WKJ4" s="8"/>
      <c r="WKK4" s="8"/>
      <c r="WKL4" s="8"/>
      <c r="WKM4" s="8"/>
      <c r="WKN4" s="8"/>
      <c r="WKO4" s="8"/>
      <c r="WKP4" s="8"/>
      <c r="WKQ4" s="8"/>
      <c r="WKR4" s="8"/>
      <c r="WKS4" s="8"/>
      <c r="WKT4" s="8"/>
      <c r="WKU4" s="8"/>
      <c r="WKV4" s="8"/>
      <c r="WKW4" s="8"/>
      <c r="WKX4" s="8"/>
      <c r="WKY4" s="8"/>
      <c r="WKZ4" s="8"/>
      <c r="WLA4" s="8"/>
      <c r="WLB4" s="8"/>
      <c r="WLC4" s="8"/>
      <c r="WLD4" s="8"/>
      <c r="WLE4" s="8"/>
      <c r="WLF4" s="8"/>
      <c r="WLG4" s="8"/>
      <c r="WLH4" s="8"/>
      <c r="WLI4" s="8"/>
      <c r="WLJ4" s="8"/>
      <c r="WLK4" s="8"/>
      <c r="WLL4" s="8"/>
      <c r="WLM4" s="8"/>
      <c r="WLN4" s="8"/>
      <c r="WLO4" s="8"/>
      <c r="WLP4" s="8"/>
      <c r="WLQ4" s="8"/>
      <c r="WLR4" s="8"/>
      <c r="WLS4" s="8"/>
      <c r="WLT4" s="8"/>
      <c r="WLU4" s="8"/>
      <c r="WLV4" s="8"/>
      <c r="WLW4" s="8"/>
      <c r="WLX4" s="8"/>
      <c r="WLY4" s="8"/>
      <c r="WLZ4" s="8"/>
      <c r="WMA4" s="8"/>
      <c r="WMB4" s="8"/>
      <c r="WMC4" s="8"/>
      <c r="WMD4" s="8"/>
      <c r="WME4" s="8"/>
      <c r="WMF4" s="8"/>
      <c r="WMG4" s="8"/>
      <c r="WMH4" s="8"/>
      <c r="WMI4" s="8"/>
      <c r="WMJ4" s="8"/>
      <c r="WMK4" s="8"/>
      <c r="WML4" s="8"/>
      <c r="WMM4" s="8"/>
      <c r="WMN4" s="8"/>
      <c r="WMO4" s="8"/>
      <c r="WMP4" s="8"/>
      <c r="WMQ4" s="8"/>
      <c r="WMR4" s="8"/>
      <c r="WMS4" s="8"/>
      <c r="WMT4" s="8"/>
      <c r="WMU4" s="8"/>
      <c r="WMV4" s="8"/>
      <c r="WMW4" s="8"/>
      <c r="WMX4" s="8"/>
      <c r="WMY4" s="8"/>
      <c r="WMZ4" s="8"/>
      <c r="WNA4" s="8"/>
      <c r="WNB4" s="8"/>
      <c r="WNC4" s="8"/>
      <c r="WND4" s="8"/>
      <c r="WNE4" s="8"/>
      <c r="WNF4" s="8"/>
      <c r="WNG4" s="8"/>
      <c r="WNH4" s="8"/>
      <c r="WNI4" s="8"/>
      <c r="WNJ4" s="8"/>
      <c r="WNK4" s="8"/>
      <c r="WNL4" s="8"/>
      <c r="WNM4" s="8"/>
      <c r="WNN4" s="8"/>
      <c r="WNO4" s="8"/>
      <c r="WNP4" s="8"/>
      <c r="WNQ4" s="8"/>
      <c r="WNR4" s="8"/>
      <c r="WNS4" s="8"/>
      <c r="WNT4" s="8"/>
      <c r="WNU4" s="8"/>
      <c r="WNV4" s="8"/>
      <c r="WNW4" s="8"/>
      <c r="WNX4" s="8"/>
      <c r="WNY4" s="8"/>
      <c r="WNZ4" s="8"/>
      <c r="WOA4" s="8"/>
      <c r="WOB4" s="8"/>
      <c r="WOC4" s="8"/>
      <c r="WOD4" s="8"/>
      <c r="WOE4" s="8"/>
      <c r="WOF4" s="8"/>
      <c r="WOG4" s="8"/>
      <c r="WOH4" s="8"/>
      <c r="WOI4" s="8"/>
      <c r="WOJ4" s="8"/>
      <c r="WOK4" s="8"/>
      <c r="WOL4" s="8"/>
      <c r="WOM4" s="8"/>
      <c r="WON4" s="8"/>
      <c r="WOO4" s="8"/>
      <c r="WOP4" s="8"/>
      <c r="WOQ4" s="8"/>
      <c r="WOR4" s="8"/>
      <c r="WOS4" s="8"/>
      <c r="WOT4" s="8"/>
      <c r="WOU4" s="8"/>
      <c r="WOV4" s="8"/>
      <c r="WOW4" s="8"/>
      <c r="WOX4" s="8"/>
      <c r="WOY4" s="8"/>
      <c r="WOZ4" s="8"/>
      <c r="WPA4" s="8"/>
      <c r="WPB4" s="8"/>
      <c r="WPC4" s="8"/>
      <c r="WPD4" s="8"/>
      <c r="WPE4" s="8"/>
      <c r="WPF4" s="8"/>
      <c r="WPG4" s="8"/>
      <c r="WPH4" s="8"/>
      <c r="WPI4" s="8"/>
      <c r="WPJ4" s="8"/>
      <c r="WPK4" s="8"/>
      <c r="WPL4" s="8"/>
      <c r="WPM4" s="8"/>
      <c r="WPN4" s="8"/>
      <c r="WPO4" s="8"/>
      <c r="WPP4" s="8"/>
      <c r="WPQ4" s="8"/>
      <c r="WPR4" s="8"/>
      <c r="WPS4" s="8"/>
      <c r="WPT4" s="8"/>
      <c r="WPU4" s="8"/>
      <c r="WPV4" s="8"/>
      <c r="WPW4" s="8"/>
      <c r="WPX4" s="8"/>
      <c r="WPY4" s="8"/>
      <c r="WPZ4" s="8"/>
      <c r="WQA4" s="8"/>
      <c r="WQB4" s="8"/>
      <c r="WQC4" s="8"/>
      <c r="WQD4" s="8"/>
      <c r="WQE4" s="8"/>
      <c r="WQF4" s="8"/>
      <c r="WQG4" s="8"/>
      <c r="WQH4" s="8"/>
      <c r="WQI4" s="8"/>
      <c r="WQJ4" s="8"/>
      <c r="WQK4" s="8"/>
      <c r="WQL4" s="8"/>
      <c r="WQM4" s="8"/>
      <c r="WQN4" s="8"/>
      <c r="WQO4" s="8"/>
      <c r="WQP4" s="8"/>
      <c r="WQQ4" s="8"/>
      <c r="WQR4" s="8"/>
      <c r="WQS4" s="8"/>
      <c r="WQT4" s="8"/>
      <c r="WQU4" s="8"/>
      <c r="WQV4" s="8"/>
      <c r="WQW4" s="8"/>
      <c r="WQX4" s="8"/>
      <c r="WQY4" s="8"/>
      <c r="WQZ4" s="8"/>
      <c r="WRA4" s="8"/>
      <c r="WRB4" s="8"/>
      <c r="WRC4" s="8"/>
      <c r="WRD4" s="8"/>
      <c r="WRE4" s="8"/>
      <c r="WRF4" s="8"/>
      <c r="WRG4" s="8"/>
      <c r="WRH4" s="8"/>
      <c r="WRI4" s="8"/>
      <c r="WRJ4" s="8"/>
      <c r="WRK4" s="8"/>
      <c r="WRL4" s="8"/>
      <c r="WRM4" s="8"/>
      <c r="WRN4" s="8"/>
      <c r="WRO4" s="8"/>
      <c r="WRP4" s="8"/>
      <c r="WRQ4" s="8"/>
      <c r="WRR4" s="8"/>
      <c r="WRS4" s="8"/>
      <c r="WRT4" s="8"/>
      <c r="WRU4" s="8"/>
      <c r="WRV4" s="8"/>
      <c r="WRW4" s="8"/>
      <c r="WRX4" s="8"/>
      <c r="WRY4" s="8"/>
      <c r="WRZ4" s="8"/>
      <c r="WSA4" s="8"/>
      <c r="WSB4" s="8"/>
      <c r="WSC4" s="8"/>
      <c r="WSD4" s="8"/>
      <c r="WSE4" s="8"/>
      <c r="WSF4" s="8"/>
      <c r="WSG4" s="8"/>
      <c r="WSH4" s="8"/>
      <c r="WSI4" s="8"/>
      <c r="WSJ4" s="8"/>
      <c r="WSK4" s="8"/>
      <c r="WSL4" s="8"/>
      <c r="WSM4" s="8"/>
      <c r="WSN4" s="8"/>
      <c r="WSO4" s="8"/>
      <c r="WSP4" s="8"/>
      <c r="WSQ4" s="8"/>
      <c r="WSR4" s="8"/>
      <c r="WSS4" s="8"/>
      <c r="WST4" s="8"/>
      <c r="WSU4" s="8"/>
      <c r="WSV4" s="8"/>
      <c r="WSW4" s="8"/>
      <c r="WSX4" s="8"/>
      <c r="WSY4" s="8"/>
      <c r="WSZ4" s="8"/>
      <c r="WTA4" s="8"/>
      <c r="WTB4" s="8"/>
      <c r="WTC4" s="8"/>
      <c r="WTD4" s="8"/>
      <c r="WTE4" s="8"/>
      <c r="WTF4" s="8"/>
      <c r="WTG4" s="8"/>
      <c r="WTH4" s="8"/>
      <c r="WTI4" s="8"/>
      <c r="WTJ4" s="8"/>
      <c r="WTK4" s="8"/>
      <c r="WTL4" s="8"/>
      <c r="WTM4" s="8"/>
      <c r="WTN4" s="8"/>
      <c r="WTO4" s="8"/>
      <c r="WTP4" s="8"/>
      <c r="WTQ4" s="8"/>
      <c r="WTR4" s="8"/>
      <c r="WTS4" s="8"/>
      <c r="WTT4" s="8"/>
      <c r="WTU4" s="8"/>
      <c r="WTV4" s="8"/>
      <c r="WTW4" s="8"/>
      <c r="WTX4" s="8"/>
      <c r="WTY4" s="8"/>
      <c r="WTZ4" s="8"/>
      <c r="WUA4" s="8"/>
      <c r="WUB4" s="8"/>
      <c r="WUC4" s="8"/>
      <c r="WUD4" s="8"/>
      <c r="WUE4" s="8"/>
      <c r="WUF4" s="8"/>
      <c r="WUG4" s="8"/>
      <c r="WUH4" s="8"/>
      <c r="WUI4" s="8"/>
      <c r="WUJ4" s="8"/>
      <c r="WUK4" s="8"/>
      <c r="WUL4" s="8"/>
      <c r="WUM4" s="8"/>
      <c r="WUN4" s="8"/>
      <c r="WUO4" s="8"/>
      <c r="WUP4" s="8"/>
      <c r="WUQ4" s="8"/>
      <c r="WUR4" s="8"/>
      <c r="WUS4" s="8"/>
      <c r="WUT4" s="8"/>
      <c r="WUU4" s="8"/>
      <c r="WUV4" s="8"/>
      <c r="WUW4" s="8"/>
      <c r="WUX4" s="8"/>
      <c r="WUY4" s="8"/>
      <c r="WUZ4" s="8"/>
      <c r="WVA4" s="8"/>
      <c r="WVB4" s="8"/>
      <c r="WVC4" s="8"/>
      <c r="WVD4" s="8"/>
      <c r="WVE4" s="8"/>
      <c r="WVF4" s="8"/>
      <c r="WVG4" s="8"/>
      <c r="WVH4" s="8"/>
      <c r="WVI4" s="8"/>
      <c r="WVJ4" s="8"/>
      <c r="WVK4" s="8"/>
      <c r="WVL4" s="8"/>
      <c r="WVM4" s="8"/>
      <c r="WVN4" s="8"/>
      <c r="WVO4" s="8"/>
      <c r="WVP4" s="8"/>
      <c r="WVQ4" s="8"/>
      <c r="WVR4" s="8"/>
      <c r="WVS4" s="8"/>
      <c r="WVT4" s="8"/>
      <c r="WVU4" s="8"/>
      <c r="WVV4" s="8"/>
      <c r="WVW4" s="8"/>
      <c r="WVX4" s="8"/>
      <c r="WVY4" s="8"/>
      <c r="WVZ4" s="8"/>
      <c r="WWA4" s="8"/>
      <c r="WWB4" s="8"/>
      <c r="WWC4" s="8"/>
      <c r="WWD4" s="8"/>
      <c r="WWE4" s="8"/>
      <c r="WWF4" s="8"/>
      <c r="WWG4" s="8"/>
      <c r="WWH4" s="8"/>
      <c r="WWI4" s="8"/>
      <c r="WWJ4" s="8"/>
      <c r="WWK4" s="8"/>
      <c r="WWL4" s="8"/>
      <c r="WWM4" s="8"/>
      <c r="WWN4" s="8"/>
      <c r="WWO4" s="8"/>
      <c r="WWP4" s="8"/>
      <c r="WWQ4" s="8"/>
      <c r="WWR4" s="8"/>
      <c r="WWS4" s="8"/>
      <c r="WWT4" s="8"/>
      <c r="WWU4" s="8"/>
      <c r="WWV4" s="8"/>
      <c r="WWW4" s="8"/>
      <c r="WWX4" s="8"/>
      <c r="WWY4" s="8"/>
      <c r="WWZ4" s="8"/>
      <c r="WXA4" s="8"/>
      <c r="WXB4" s="8"/>
      <c r="WXC4" s="8"/>
      <c r="WXD4" s="8"/>
      <c r="WXE4" s="8"/>
      <c r="WXF4" s="8"/>
      <c r="WXG4" s="8"/>
      <c r="WXH4" s="8"/>
      <c r="WXI4" s="8"/>
      <c r="WXJ4" s="8"/>
      <c r="WXK4" s="8"/>
      <c r="WXL4" s="8"/>
      <c r="WXM4" s="8"/>
      <c r="WXN4" s="8"/>
      <c r="WXO4" s="8"/>
      <c r="WXP4" s="8"/>
      <c r="WXQ4" s="8"/>
      <c r="WXR4" s="8"/>
      <c r="WXS4" s="8"/>
      <c r="WXT4" s="8"/>
      <c r="WXU4" s="8"/>
      <c r="WXV4" s="8"/>
      <c r="WXW4" s="8"/>
      <c r="WXX4" s="8"/>
      <c r="WXY4" s="8"/>
      <c r="WXZ4" s="8"/>
      <c r="WYA4" s="8"/>
      <c r="WYB4" s="8"/>
      <c r="WYC4" s="8"/>
      <c r="WYD4" s="8"/>
      <c r="WYE4" s="8"/>
      <c r="WYF4" s="8"/>
      <c r="WYG4" s="8"/>
      <c r="WYH4" s="8"/>
      <c r="WYI4" s="8"/>
      <c r="WYJ4" s="8"/>
      <c r="WYK4" s="8"/>
      <c r="WYL4" s="8"/>
      <c r="WYM4" s="8"/>
      <c r="WYN4" s="8"/>
      <c r="WYO4" s="8"/>
      <c r="WYP4" s="8"/>
      <c r="WYQ4" s="8"/>
      <c r="WYR4" s="8"/>
      <c r="WYS4" s="8"/>
      <c r="WYT4" s="8"/>
      <c r="WYU4" s="8"/>
      <c r="WYV4" s="8"/>
      <c r="WYW4" s="8"/>
      <c r="WYX4" s="8"/>
      <c r="WYY4" s="8"/>
      <c r="WYZ4" s="8"/>
      <c r="WZA4" s="8"/>
      <c r="WZB4" s="8"/>
      <c r="WZC4" s="8"/>
      <c r="WZD4" s="8"/>
      <c r="WZE4" s="8"/>
      <c r="WZF4" s="8"/>
      <c r="WZG4" s="8"/>
      <c r="WZH4" s="8"/>
      <c r="WZI4" s="8"/>
      <c r="WZJ4" s="8"/>
      <c r="WZK4" s="8"/>
      <c r="WZL4" s="8"/>
      <c r="WZM4" s="8"/>
      <c r="WZN4" s="8"/>
      <c r="WZO4" s="8"/>
      <c r="WZP4" s="8"/>
      <c r="WZQ4" s="8"/>
      <c r="WZR4" s="8"/>
      <c r="WZS4" s="8"/>
      <c r="WZT4" s="8"/>
      <c r="WZU4" s="8"/>
      <c r="WZV4" s="8"/>
      <c r="WZW4" s="8"/>
      <c r="WZX4" s="8"/>
      <c r="WZY4" s="8"/>
      <c r="WZZ4" s="8"/>
      <c r="XAA4" s="8"/>
      <c r="XAB4" s="8"/>
      <c r="XAC4" s="8"/>
      <c r="XAD4" s="8"/>
      <c r="XAE4" s="8"/>
      <c r="XAF4" s="8"/>
      <c r="XAG4" s="8"/>
      <c r="XAH4" s="8"/>
      <c r="XAI4" s="8"/>
      <c r="XAJ4" s="8"/>
      <c r="XAK4" s="8"/>
      <c r="XAL4" s="8"/>
      <c r="XAM4" s="8"/>
      <c r="XAN4" s="8"/>
      <c r="XAO4" s="8"/>
      <c r="XAP4" s="8"/>
      <c r="XAQ4" s="8"/>
      <c r="XAR4" s="8"/>
      <c r="XAS4" s="8"/>
      <c r="XAT4" s="8"/>
      <c r="XAU4" s="8"/>
      <c r="XAV4" s="8"/>
      <c r="XAW4" s="8"/>
      <c r="XAX4" s="8"/>
      <c r="XAY4" s="8"/>
      <c r="XAZ4" s="8"/>
      <c r="XBA4" s="8"/>
      <c r="XBB4" s="8"/>
      <c r="XBC4" s="8"/>
      <c r="XBD4" s="8"/>
      <c r="XBE4" s="8"/>
      <c r="XBF4" s="8"/>
      <c r="XBG4" s="8"/>
      <c r="XBH4" s="8"/>
      <c r="XBI4" s="8"/>
      <c r="XBJ4" s="8"/>
      <c r="XBK4" s="8"/>
      <c r="XBL4" s="8"/>
      <c r="XBM4" s="8"/>
      <c r="XBN4" s="8"/>
      <c r="XBO4" s="8"/>
      <c r="XBP4" s="8"/>
      <c r="XBQ4" s="8"/>
      <c r="XBR4" s="8"/>
      <c r="XBS4" s="8"/>
      <c r="XBT4" s="8"/>
      <c r="XBU4" s="8"/>
      <c r="XBV4" s="8"/>
      <c r="XBW4" s="8"/>
      <c r="XBX4" s="8"/>
      <c r="XBY4" s="8"/>
      <c r="XBZ4" s="8"/>
      <c r="XCA4" s="8"/>
      <c r="XCB4" s="8"/>
      <c r="XCC4" s="8"/>
      <c r="XCD4" s="8"/>
      <c r="XCE4" s="8"/>
      <c r="XCF4" s="8"/>
      <c r="XCG4" s="8"/>
      <c r="XCH4" s="8"/>
      <c r="XCI4" s="8"/>
      <c r="XCJ4" s="8"/>
      <c r="XCK4" s="8"/>
      <c r="XCL4" s="8"/>
      <c r="XCM4" s="8"/>
      <c r="XCN4" s="8"/>
      <c r="XCO4" s="8"/>
      <c r="XCP4" s="8"/>
      <c r="XCQ4" s="8"/>
      <c r="XCR4" s="8"/>
      <c r="XCS4" s="8"/>
      <c r="XCT4" s="8"/>
      <c r="XCU4" s="8"/>
      <c r="XCV4" s="8"/>
      <c r="XCW4" s="8"/>
      <c r="XCX4" s="8"/>
      <c r="XCY4" s="8"/>
      <c r="XCZ4" s="8"/>
      <c r="XDA4" s="8"/>
      <c r="XDB4" s="8"/>
      <c r="XDC4" s="8"/>
      <c r="XDD4" s="8"/>
      <c r="XDE4" s="8"/>
      <c r="XDF4" s="8"/>
      <c r="XDG4" s="8"/>
      <c r="XDH4" s="8"/>
      <c r="XDI4" s="8"/>
      <c r="XDJ4" s="8"/>
      <c r="XDK4" s="8"/>
      <c r="XDL4" s="8"/>
      <c r="XDM4" s="8"/>
      <c r="XDN4" s="8"/>
      <c r="XDO4" s="8"/>
      <c r="XDP4" s="8"/>
      <c r="XDQ4" s="8"/>
      <c r="XDR4" s="8"/>
      <c r="XDS4" s="8"/>
      <c r="XDT4" s="8"/>
      <c r="XDU4" s="8"/>
      <c r="XDV4" s="8"/>
      <c r="XDW4" s="8"/>
      <c r="XDX4" s="8"/>
      <c r="XDY4" s="8"/>
      <c r="XDZ4" s="8"/>
      <c r="XEA4" s="8"/>
      <c r="XEB4" s="8"/>
      <c r="XEC4" s="8"/>
    </row>
    <row r="5" spans="1:16357" x14ac:dyDescent="0.25">
      <c r="A5" s="12">
        <v>2</v>
      </c>
      <c r="B5" s="15" t="s">
        <v>338</v>
      </c>
      <c r="C5" s="16" t="s">
        <v>339</v>
      </c>
      <c r="D5" s="14" t="s">
        <v>340</v>
      </c>
      <c r="E5" s="12">
        <v>3312155555</v>
      </c>
      <c r="F5" s="13" t="s">
        <v>341</v>
      </c>
      <c r="G5" s="12" t="s">
        <v>703</v>
      </c>
      <c r="H5" s="13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  <c r="JP5" s="8"/>
      <c r="JQ5" s="8"/>
      <c r="JR5" s="8"/>
      <c r="JS5" s="8"/>
      <c r="JT5" s="8"/>
      <c r="JU5" s="8"/>
      <c r="JV5" s="8"/>
      <c r="JW5" s="8"/>
      <c r="JX5" s="8"/>
      <c r="JY5" s="8"/>
      <c r="JZ5" s="8"/>
      <c r="KA5" s="8"/>
      <c r="KB5" s="8"/>
      <c r="KC5" s="8"/>
      <c r="KD5" s="8"/>
      <c r="KE5" s="8"/>
      <c r="KF5" s="8"/>
      <c r="KG5" s="8"/>
      <c r="KH5" s="8"/>
      <c r="KI5" s="8"/>
      <c r="KJ5" s="8"/>
      <c r="KK5" s="8"/>
      <c r="KL5" s="8"/>
      <c r="KM5" s="8"/>
      <c r="KN5" s="8"/>
      <c r="KO5" s="8"/>
      <c r="KP5" s="8"/>
      <c r="KQ5" s="8"/>
      <c r="KR5" s="8"/>
      <c r="KS5" s="8"/>
      <c r="KT5" s="8"/>
      <c r="KU5" s="8"/>
      <c r="KV5" s="8"/>
      <c r="KW5" s="8"/>
      <c r="KX5" s="8"/>
      <c r="KY5" s="8"/>
      <c r="KZ5" s="8"/>
      <c r="LA5" s="8"/>
      <c r="LB5" s="8"/>
      <c r="LC5" s="8"/>
      <c r="LD5" s="8"/>
      <c r="LE5" s="8"/>
      <c r="LF5" s="8"/>
      <c r="LG5" s="8"/>
      <c r="LH5" s="8"/>
      <c r="LI5" s="8"/>
      <c r="LJ5" s="8"/>
      <c r="LK5" s="8"/>
      <c r="LL5" s="8"/>
      <c r="LM5" s="8"/>
      <c r="LN5" s="8"/>
      <c r="LO5" s="8"/>
      <c r="LP5" s="8"/>
      <c r="LQ5" s="8"/>
      <c r="LR5" s="8"/>
      <c r="LS5" s="8"/>
      <c r="LT5" s="8"/>
      <c r="LU5" s="8"/>
      <c r="LV5" s="8"/>
      <c r="LW5" s="8"/>
      <c r="LX5" s="8"/>
      <c r="LY5" s="8"/>
      <c r="LZ5" s="8"/>
      <c r="MA5" s="8"/>
      <c r="MB5" s="8"/>
      <c r="MC5" s="8"/>
      <c r="MD5" s="8"/>
      <c r="ME5" s="8"/>
      <c r="MF5" s="8"/>
      <c r="MG5" s="8"/>
      <c r="MH5" s="8"/>
      <c r="MI5" s="8"/>
      <c r="MJ5" s="8"/>
      <c r="MK5" s="8"/>
      <c r="ML5" s="8"/>
      <c r="MM5" s="8"/>
      <c r="MN5" s="8"/>
      <c r="MO5" s="8"/>
      <c r="MP5" s="8"/>
      <c r="MQ5" s="8"/>
      <c r="MR5" s="8"/>
      <c r="MS5" s="8"/>
      <c r="MT5" s="8"/>
      <c r="MU5" s="8"/>
      <c r="MV5" s="8"/>
      <c r="MW5" s="8"/>
      <c r="MX5" s="8"/>
      <c r="MY5" s="8"/>
      <c r="MZ5" s="8"/>
      <c r="NA5" s="8"/>
      <c r="NB5" s="8"/>
      <c r="NC5" s="8"/>
      <c r="ND5" s="8"/>
      <c r="NE5" s="8"/>
      <c r="NF5" s="8"/>
      <c r="NG5" s="8"/>
      <c r="NH5" s="8"/>
      <c r="NI5" s="8"/>
      <c r="NJ5" s="8"/>
      <c r="NK5" s="8"/>
      <c r="NL5" s="8"/>
      <c r="NM5" s="8"/>
      <c r="NN5" s="8"/>
      <c r="NO5" s="8"/>
      <c r="NP5" s="8"/>
      <c r="NQ5" s="8"/>
      <c r="NR5" s="8"/>
      <c r="NS5" s="8"/>
      <c r="NT5" s="8"/>
      <c r="NU5" s="8"/>
      <c r="NV5" s="8"/>
      <c r="NW5" s="8"/>
      <c r="NX5" s="8"/>
      <c r="NY5" s="8"/>
      <c r="NZ5" s="8"/>
      <c r="OA5" s="8"/>
      <c r="OB5" s="8"/>
      <c r="OC5" s="8"/>
      <c r="OD5" s="8"/>
      <c r="OE5" s="8"/>
      <c r="OF5" s="8"/>
      <c r="OG5" s="8"/>
      <c r="OH5" s="8"/>
      <c r="OI5" s="8"/>
      <c r="OJ5" s="8"/>
      <c r="OK5" s="8"/>
      <c r="OL5" s="8"/>
      <c r="OM5" s="8"/>
      <c r="ON5" s="8"/>
      <c r="OO5" s="8"/>
      <c r="OP5" s="8"/>
      <c r="OQ5" s="8"/>
      <c r="OR5" s="8"/>
      <c r="OS5" s="8"/>
      <c r="OT5" s="8"/>
      <c r="OU5" s="8"/>
      <c r="OV5" s="8"/>
      <c r="OW5" s="8"/>
      <c r="OX5" s="8"/>
      <c r="OY5" s="8"/>
      <c r="OZ5" s="8"/>
      <c r="PA5" s="8"/>
      <c r="PB5" s="8"/>
      <c r="PC5" s="8"/>
      <c r="PD5" s="8"/>
      <c r="PE5" s="8"/>
      <c r="PF5" s="8"/>
      <c r="PG5" s="8"/>
      <c r="PH5" s="8"/>
      <c r="PI5" s="8"/>
      <c r="PJ5" s="8"/>
      <c r="PK5" s="8"/>
      <c r="PL5" s="8"/>
      <c r="PM5" s="8"/>
      <c r="PN5" s="8"/>
      <c r="PO5" s="8"/>
      <c r="PP5" s="8"/>
      <c r="PQ5" s="8"/>
      <c r="PR5" s="8"/>
      <c r="PS5" s="8"/>
      <c r="PT5" s="8"/>
      <c r="PU5" s="8"/>
      <c r="PV5" s="8"/>
      <c r="PW5" s="8"/>
      <c r="PX5" s="8"/>
      <c r="PY5" s="8"/>
      <c r="PZ5" s="8"/>
      <c r="QA5" s="8"/>
      <c r="QB5" s="8"/>
      <c r="QC5" s="8"/>
      <c r="QD5" s="8"/>
      <c r="QE5" s="8"/>
      <c r="QF5" s="8"/>
      <c r="QG5" s="8"/>
      <c r="QH5" s="8"/>
      <c r="QI5" s="8"/>
      <c r="QJ5" s="8"/>
      <c r="QK5" s="8"/>
      <c r="QL5" s="8"/>
      <c r="QM5" s="8"/>
      <c r="QN5" s="8"/>
      <c r="QO5" s="8"/>
      <c r="QP5" s="8"/>
      <c r="QQ5" s="8"/>
      <c r="QR5" s="8"/>
      <c r="QS5" s="8"/>
      <c r="QT5" s="8"/>
      <c r="QU5" s="8"/>
      <c r="QV5" s="8"/>
      <c r="QW5" s="8"/>
      <c r="QX5" s="8"/>
      <c r="QY5" s="8"/>
      <c r="QZ5" s="8"/>
      <c r="RA5" s="8"/>
      <c r="RB5" s="8"/>
      <c r="RC5" s="8"/>
      <c r="RD5" s="8"/>
      <c r="RE5" s="8"/>
      <c r="RF5" s="8"/>
      <c r="RG5" s="8"/>
      <c r="RH5" s="8"/>
      <c r="RI5" s="8"/>
      <c r="RJ5" s="8"/>
      <c r="RK5" s="8"/>
      <c r="RL5" s="8"/>
      <c r="RM5" s="8"/>
      <c r="RN5" s="8"/>
      <c r="RO5" s="8"/>
      <c r="RP5" s="8"/>
      <c r="RQ5" s="8"/>
      <c r="RR5" s="8"/>
      <c r="RS5" s="8"/>
      <c r="RT5" s="8"/>
      <c r="RU5" s="8"/>
      <c r="RV5" s="8"/>
      <c r="RW5" s="8"/>
      <c r="RX5" s="8"/>
      <c r="RY5" s="8"/>
      <c r="RZ5" s="8"/>
      <c r="SA5" s="8"/>
      <c r="SB5" s="8"/>
      <c r="SC5" s="8"/>
      <c r="SD5" s="8"/>
      <c r="SE5" s="8"/>
      <c r="SF5" s="8"/>
      <c r="SG5" s="8"/>
      <c r="SH5" s="8"/>
      <c r="SI5" s="8"/>
      <c r="SJ5" s="8"/>
      <c r="SK5" s="8"/>
      <c r="SL5" s="8"/>
      <c r="SM5" s="8"/>
      <c r="SN5" s="8"/>
      <c r="SO5" s="8"/>
      <c r="SP5" s="8"/>
      <c r="SQ5" s="8"/>
      <c r="SR5" s="8"/>
      <c r="SS5" s="8"/>
      <c r="ST5" s="8"/>
      <c r="SU5" s="8"/>
      <c r="SV5" s="8"/>
      <c r="SW5" s="8"/>
      <c r="SX5" s="8"/>
      <c r="SY5" s="8"/>
      <c r="SZ5" s="8"/>
      <c r="TA5" s="8"/>
      <c r="TB5" s="8"/>
      <c r="TC5" s="8"/>
      <c r="TD5" s="8"/>
      <c r="TE5" s="8"/>
      <c r="TF5" s="8"/>
      <c r="TG5" s="8"/>
      <c r="TH5" s="8"/>
      <c r="TI5" s="8"/>
      <c r="TJ5" s="8"/>
      <c r="TK5" s="8"/>
      <c r="TL5" s="8"/>
      <c r="TM5" s="8"/>
      <c r="TN5" s="8"/>
      <c r="TO5" s="8"/>
      <c r="TP5" s="8"/>
      <c r="TQ5" s="8"/>
      <c r="TR5" s="8"/>
      <c r="TS5" s="8"/>
      <c r="TT5" s="8"/>
      <c r="TU5" s="8"/>
      <c r="TV5" s="8"/>
      <c r="TW5" s="8"/>
      <c r="TX5" s="8"/>
      <c r="TY5" s="8"/>
      <c r="TZ5" s="8"/>
      <c r="UA5" s="8"/>
      <c r="UB5" s="8"/>
      <c r="UC5" s="8"/>
      <c r="UD5" s="8"/>
      <c r="UE5" s="8"/>
      <c r="UF5" s="8"/>
      <c r="UG5" s="8"/>
      <c r="UH5" s="8"/>
      <c r="UI5" s="8"/>
      <c r="UJ5" s="8"/>
      <c r="UK5" s="8"/>
      <c r="UL5" s="8"/>
      <c r="UM5" s="8"/>
      <c r="UN5" s="8"/>
      <c r="UO5" s="8"/>
      <c r="UP5" s="8"/>
      <c r="UQ5" s="8"/>
      <c r="UR5" s="8"/>
      <c r="US5" s="8"/>
      <c r="UT5" s="8"/>
      <c r="UU5" s="8"/>
      <c r="UV5" s="8"/>
      <c r="UW5" s="8"/>
      <c r="UX5" s="8"/>
      <c r="UY5" s="8"/>
      <c r="UZ5" s="8"/>
      <c r="VA5" s="8"/>
      <c r="VB5" s="8"/>
      <c r="VC5" s="8"/>
      <c r="VD5" s="8"/>
      <c r="VE5" s="8"/>
      <c r="VF5" s="8"/>
      <c r="VG5" s="8"/>
      <c r="VH5" s="8"/>
      <c r="VI5" s="8"/>
      <c r="VJ5" s="8"/>
      <c r="VK5" s="8"/>
      <c r="VL5" s="8"/>
      <c r="VM5" s="8"/>
      <c r="VN5" s="8"/>
      <c r="VO5" s="8"/>
      <c r="VP5" s="8"/>
      <c r="VQ5" s="8"/>
      <c r="VR5" s="8"/>
      <c r="VS5" s="8"/>
      <c r="VT5" s="8"/>
      <c r="VU5" s="8"/>
      <c r="VV5" s="8"/>
      <c r="VW5" s="8"/>
      <c r="VX5" s="8"/>
      <c r="VY5" s="8"/>
      <c r="VZ5" s="8"/>
      <c r="WA5" s="8"/>
      <c r="WB5" s="8"/>
      <c r="WC5" s="8"/>
      <c r="WD5" s="8"/>
      <c r="WE5" s="8"/>
      <c r="WF5" s="8"/>
      <c r="WG5" s="8"/>
      <c r="WH5" s="8"/>
      <c r="WI5" s="8"/>
      <c r="WJ5" s="8"/>
      <c r="WK5" s="8"/>
      <c r="WL5" s="8"/>
      <c r="WM5" s="8"/>
      <c r="WN5" s="8"/>
      <c r="WO5" s="8"/>
      <c r="WP5" s="8"/>
      <c r="WQ5" s="8"/>
      <c r="WR5" s="8"/>
      <c r="WS5" s="8"/>
      <c r="WT5" s="8"/>
      <c r="WU5" s="8"/>
      <c r="WV5" s="8"/>
      <c r="WW5" s="8"/>
      <c r="WX5" s="8"/>
      <c r="WY5" s="8"/>
      <c r="WZ5" s="8"/>
      <c r="XA5" s="8"/>
      <c r="XB5" s="8"/>
      <c r="XC5" s="8"/>
      <c r="XD5" s="8"/>
      <c r="XE5" s="8"/>
      <c r="XF5" s="8"/>
      <c r="XG5" s="8"/>
      <c r="XH5" s="8"/>
      <c r="XI5" s="8"/>
      <c r="XJ5" s="8"/>
      <c r="XK5" s="8"/>
      <c r="XL5" s="8"/>
      <c r="XM5" s="8"/>
      <c r="XN5" s="8"/>
      <c r="XO5" s="8"/>
      <c r="XP5" s="8"/>
      <c r="XQ5" s="8"/>
      <c r="XR5" s="8"/>
      <c r="XS5" s="8"/>
      <c r="XT5" s="8"/>
      <c r="XU5" s="8"/>
      <c r="XV5" s="8"/>
      <c r="XW5" s="8"/>
      <c r="XX5" s="8"/>
      <c r="XY5" s="8"/>
      <c r="XZ5" s="8"/>
      <c r="YA5" s="8"/>
      <c r="YB5" s="8"/>
      <c r="YC5" s="8"/>
      <c r="YD5" s="8"/>
      <c r="YE5" s="8"/>
      <c r="YF5" s="8"/>
      <c r="YG5" s="8"/>
      <c r="YH5" s="8"/>
      <c r="YI5" s="8"/>
      <c r="YJ5" s="8"/>
      <c r="YK5" s="8"/>
      <c r="YL5" s="8"/>
      <c r="YM5" s="8"/>
      <c r="YN5" s="8"/>
      <c r="YO5" s="8"/>
      <c r="YP5" s="8"/>
      <c r="YQ5" s="8"/>
      <c r="YR5" s="8"/>
      <c r="YS5" s="8"/>
      <c r="YT5" s="8"/>
      <c r="YU5" s="8"/>
      <c r="YV5" s="8"/>
      <c r="YW5" s="8"/>
      <c r="YX5" s="8"/>
      <c r="YY5" s="8"/>
      <c r="YZ5" s="8"/>
      <c r="ZA5" s="8"/>
      <c r="ZB5" s="8"/>
      <c r="ZC5" s="8"/>
      <c r="ZD5" s="8"/>
      <c r="ZE5" s="8"/>
      <c r="ZF5" s="8"/>
      <c r="ZG5" s="8"/>
      <c r="ZH5" s="8"/>
      <c r="ZI5" s="8"/>
      <c r="ZJ5" s="8"/>
      <c r="ZK5" s="8"/>
      <c r="ZL5" s="8"/>
      <c r="ZM5" s="8"/>
      <c r="ZN5" s="8"/>
      <c r="ZO5" s="8"/>
      <c r="ZP5" s="8"/>
      <c r="ZQ5" s="8"/>
      <c r="ZR5" s="8"/>
      <c r="ZS5" s="8"/>
      <c r="ZT5" s="8"/>
      <c r="ZU5" s="8"/>
      <c r="ZV5" s="8"/>
      <c r="ZW5" s="8"/>
      <c r="ZX5" s="8"/>
      <c r="ZY5" s="8"/>
      <c r="ZZ5" s="8"/>
      <c r="AAA5" s="8"/>
      <c r="AAB5" s="8"/>
      <c r="AAC5" s="8"/>
      <c r="AAD5" s="8"/>
      <c r="AAE5" s="8"/>
      <c r="AAF5" s="8"/>
      <c r="AAG5" s="8"/>
      <c r="AAH5" s="8"/>
      <c r="AAI5" s="8"/>
      <c r="AAJ5" s="8"/>
      <c r="AAK5" s="8"/>
      <c r="AAL5" s="8"/>
      <c r="AAM5" s="8"/>
      <c r="AAN5" s="8"/>
      <c r="AAO5" s="8"/>
      <c r="AAP5" s="8"/>
      <c r="AAQ5" s="8"/>
      <c r="AAR5" s="8"/>
      <c r="AAS5" s="8"/>
      <c r="AAT5" s="8"/>
      <c r="AAU5" s="8"/>
      <c r="AAV5" s="8"/>
      <c r="AAW5" s="8"/>
      <c r="AAX5" s="8"/>
      <c r="AAY5" s="8"/>
      <c r="AAZ5" s="8"/>
      <c r="ABA5" s="8"/>
      <c r="ABB5" s="8"/>
      <c r="ABC5" s="8"/>
      <c r="ABD5" s="8"/>
      <c r="ABE5" s="8"/>
      <c r="ABF5" s="8"/>
      <c r="ABG5" s="8"/>
      <c r="ABH5" s="8"/>
      <c r="ABI5" s="8"/>
      <c r="ABJ5" s="8"/>
      <c r="ABK5" s="8"/>
      <c r="ABL5" s="8"/>
      <c r="ABM5" s="8"/>
      <c r="ABN5" s="8"/>
      <c r="ABO5" s="8"/>
      <c r="ABP5" s="8"/>
      <c r="ABQ5" s="8"/>
      <c r="ABR5" s="8"/>
      <c r="ABS5" s="8"/>
      <c r="ABT5" s="8"/>
      <c r="ABU5" s="8"/>
      <c r="ABV5" s="8"/>
      <c r="ABW5" s="8"/>
      <c r="ABX5" s="8"/>
      <c r="ABY5" s="8"/>
      <c r="ABZ5" s="8"/>
      <c r="ACA5" s="8"/>
      <c r="ACB5" s="8"/>
      <c r="ACC5" s="8"/>
      <c r="ACD5" s="8"/>
      <c r="ACE5" s="8"/>
      <c r="ACF5" s="8"/>
      <c r="ACG5" s="8"/>
      <c r="ACH5" s="8"/>
      <c r="ACI5" s="8"/>
      <c r="ACJ5" s="8"/>
      <c r="ACK5" s="8"/>
      <c r="ACL5" s="8"/>
      <c r="ACM5" s="8"/>
      <c r="ACN5" s="8"/>
      <c r="ACO5" s="8"/>
      <c r="ACP5" s="8"/>
      <c r="ACQ5" s="8"/>
      <c r="ACR5" s="8"/>
      <c r="ACS5" s="8"/>
      <c r="ACT5" s="8"/>
      <c r="ACU5" s="8"/>
      <c r="ACV5" s="8"/>
      <c r="ACW5" s="8"/>
      <c r="ACX5" s="8"/>
      <c r="ACY5" s="8"/>
      <c r="ACZ5" s="8"/>
      <c r="ADA5" s="8"/>
      <c r="ADB5" s="8"/>
      <c r="ADC5" s="8"/>
      <c r="ADD5" s="8"/>
      <c r="ADE5" s="8"/>
      <c r="ADF5" s="8"/>
      <c r="ADG5" s="8"/>
      <c r="ADH5" s="8"/>
      <c r="ADI5" s="8"/>
      <c r="ADJ5" s="8"/>
      <c r="ADK5" s="8"/>
      <c r="ADL5" s="8"/>
      <c r="ADM5" s="8"/>
      <c r="ADN5" s="8"/>
      <c r="ADO5" s="8"/>
      <c r="ADP5" s="8"/>
      <c r="ADQ5" s="8"/>
      <c r="ADR5" s="8"/>
      <c r="ADS5" s="8"/>
      <c r="ADT5" s="8"/>
      <c r="ADU5" s="8"/>
      <c r="ADV5" s="8"/>
      <c r="ADW5" s="8"/>
      <c r="ADX5" s="8"/>
      <c r="ADY5" s="8"/>
      <c r="ADZ5" s="8"/>
      <c r="AEA5" s="8"/>
      <c r="AEB5" s="8"/>
      <c r="AEC5" s="8"/>
      <c r="AED5" s="8"/>
      <c r="AEE5" s="8"/>
      <c r="AEF5" s="8"/>
      <c r="AEG5" s="8"/>
      <c r="AEH5" s="8"/>
      <c r="AEI5" s="8"/>
      <c r="AEJ5" s="8"/>
      <c r="AEK5" s="8"/>
      <c r="AEL5" s="8"/>
      <c r="AEM5" s="8"/>
      <c r="AEN5" s="8"/>
      <c r="AEO5" s="8"/>
      <c r="AEP5" s="8"/>
      <c r="AEQ5" s="8"/>
      <c r="AER5" s="8"/>
      <c r="AES5" s="8"/>
      <c r="AET5" s="8"/>
      <c r="AEU5" s="8"/>
      <c r="AEV5" s="8"/>
      <c r="AEW5" s="8"/>
      <c r="AEX5" s="8"/>
      <c r="AEY5" s="8"/>
      <c r="AEZ5" s="8"/>
      <c r="AFA5" s="8"/>
      <c r="AFB5" s="8"/>
      <c r="AFC5" s="8"/>
      <c r="AFD5" s="8"/>
      <c r="AFE5" s="8"/>
      <c r="AFF5" s="8"/>
      <c r="AFG5" s="8"/>
      <c r="AFH5" s="8"/>
      <c r="AFI5" s="8"/>
      <c r="AFJ5" s="8"/>
      <c r="AFK5" s="8"/>
      <c r="AFL5" s="8"/>
      <c r="AFM5" s="8"/>
      <c r="AFN5" s="8"/>
      <c r="AFO5" s="8"/>
      <c r="AFP5" s="8"/>
      <c r="AFQ5" s="8"/>
      <c r="AFR5" s="8"/>
      <c r="AFS5" s="8"/>
      <c r="AFT5" s="8"/>
      <c r="AFU5" s="8"/>
      <c r="AFV5" s="8"/>
      <c r="AFW5" s="8"/>
      <c r="AFX5" s="8"/>
      <c r="AFY5" s="8"/>
      <c r="AFZ5" s="8"/>
      <c r="AGA5" s="8"/>
      <c r="AGB5" s="8"/>
      <c r="AGC5" s="8"/>
      <c r="AGD5" s="8"/>
      <c r="AGE5" s="8"/>
      <c r="AGF5" s="8"/>
      <c r="AGG5" s="8"/>
      <c r="AGH5" s="8"/>
      <c r="AGI5" s="8"/>
      <c r="AGJ5" s="8"/>
      <c r="AGK5" s="8"/>
      <c r="AGL5" s="8"/>
      <c r="AGM5" s="8"/>
      <c r="AGN5" s="8"/>
      <c r="AGO5" s="8"/>
      <c r="AGP5" s="8"/>
      <c r="AGQ5" s="8"/>
      <c r="AGR5" s="8"/>
      <c r="AGS5" s="8"/>
      <c r="AGT5" s="8"/>
      <c r="AGU5" s="8"/>
      <c r="AGV5" s="8"/>
      <c r="AGW5" s="8"/>
      <c r="AGX5" s="8"/>
      <c r="AGY5" s="8"/>
      <c r="AGZ5" s="8"/>
      <c r="AHA5" s="8"/>
      <c r="AHB5" s="8"/>
      <c r="AHC5" s="8"/>
      <c r="AHD5" s="8"/>
      <c r="AHE5" s="8"/>
      <c r="AHF5" s="8"/>
      <c r="AHG5" s="8"/>
      <c r="AHH5" s="8"/>
      <c r="AHI5" s="8"/>
      <c r="AHJ5" s="8"/>
      <c r="AHK5" s="8"/>
      <c r="AHL5" s="8"/>
      <c r="AHM5" s="8"/>
      <c r="AHN5" s="8"/>
      <c r="AHO5" s="8"/>
      <c r="AHP5" s="8"/>
      <c r="AHQ5" s="8"/>
      <c r="AHR5" s="8"/>
      <c r="AHS5" s="8"/>
      <c r="AHT5" s="8"/>
      <c r="AHU5" s="8"/>
      <c r="AHV5" s="8"/>
      <c r="AHW5" s="8"/>
      <c r="AHX5" s="8"/>
      <c r="AHY5" s="8"/>
      <c r="AHZ5" s="8"/>
      <c r="AIA5" s="8"/>
      <c r="AIB5" s="8"/>
      <c r="AIC5" s="8"/>
      <c r="AID5" s="8"/>
      <c r="AIE5" s="8"/>
      <c r="AIF5" s="8"/>
      <c r="AIG5" s="8"/>
      <c r="AIH5" s="8"/>
      <c r="AII5" s="8"/>
      <c r="AIJ5" s="8"/>
      <c r="AIK5" s="8"/>
      <c r="AIL5" s="8"/>
      <c r="AIM5" s="8"/>
      <c r="AIN5" s="8"/>
      <c r="AIO5" s="8"/>
      <c r="AIP5" s="8"/>
      <c r="AIQ5" s="8"/>
      <c r="AIR5" s="8"/>
      <c r="AIS5" s="8"/>
      <c r="AIT5" s="8"/>
      <c r="AIU5" s="8"/>
      <c r="AIV5" s="8"/>
      <c r="AIW5" s="8"/>
      <c r="AIX5" s="8"/>
      <c r="AIY5" s="8"/>
      <c r="AIZ5" s="8"/>
      <c r="AJA5" s="8"/>
      <c r="AJB5" s="8"/>
      <c r="AJC5" s="8"/>
      <c r="AJD5" s="8"/>
      <c r="AJE5" s="8"/>
      <c r="AJF5" s="8"/>
      <c r="AJG5" s="8"/>
      <c r="AJH5" s="8"/>
      <c r="AJI5" s="8"/>
      <c r="AJJ5" s="8"/>
      <c r="AJK5" s="8"/>
      <c r="AJL5" s="8"/>
      <c r="AJM5" s="8"/>
      <c r="AJN5" s="8"/>
      <c r="AJO5" s="8"/>
      <c r="AJP5" s="8"/>
      <c r="AJQ5" s="8"/>
      <c r="AJR5" s="8"/>
      <c r="AJS5" s="8"/>
      <c r="AJT5" s="8"/>
      <c r="AJU5" s="8"/>
      <c r="AJV5" s="8"/>
      <c r="AJW5" s="8"/>
      <c r="AJX5" s="8"/>
      <c r="AJY5" s="8"/>
      <c r="AJZ5" s="8"/>
      <c r="AKA5" s="8"/>
      <c r="AKB5" s="8"/>
      <c r="AKC5" s="8"/>
      <c r="AKD5" s="8"/>
      <c r="AKE5" s="8"/>
      <c r="AKF5" s="8"/>
      <c r="AKG5" s="8"/>
      <c r="AKH5" s="8"/>
      <c r="AKI5" s="8"/>
      <c r="AKJ5" s="8"/>
      <c r="AKK5" s="8"/>
      <c r="AKL5" s="8"/>
      <c r="AKM5" s="8"/>
      <c r="AKN5" s="8"/>
      <c r="AKO5" s="8"/>
      <c r="AKP5" s="8"/>
      <c r="AKQ5" s="8"/>
      <c r="AKR5" s="8"/>
      <c r="AKS5" s="8"/>
      <c r="AKT5" s="8"/>
      <c r="AKU5" s="8"/>
      <c r="AKV5" s="8"/>
      <c r="AKW5" s="8"/>
      <c r="AKX5" s="8"/>
      <c r="AKY5" s="8"/>
      <c r="AKZ5" s="8"/>
      <c r="ALA5" s="8"/>
      <c r="ALB5" s="8"/>
      <c r="ALC5" s="8"/>
      <c r="ALD5" s="8"/>
      <c r="ALE5" s="8"/>
      <c r="ALF5" s="8"/>
      <c r="ALG5" s="8"/>
      <c r="ALH5" s="8"/>
      <c r="ALI5" s="8"/>
      <c r="ALJ5" s="8"/>
      <c r="ALK5" s="8"/>
      <c r="ALL5" s="8"/>
      <c r="ALM5" s="8"/>
      <c r="ALN5" s="8"/>
      <c r="ALO5" s="8"/>
      <c r="ALP5" s="8"/>
      <c r="ALQ5" s="8"/>
      <c r="ALR5" s="8"/>
      <c r="ALS5" s="8"/>
      <c r="ALT5" s="8"/>
      <c r="ALU5" s="8"/>
      <c r="ALV5" s="8"/>
      <c r="ALW5" s="8"/>
      <c r="ALX5" s="8"/>
      <c r="ALY5" s="8"/>
      <c r="ALZ5" s="8"/>
      <c r="AMA5" s="8"/>
      <c r="AMB5" s="8"/>
      <c r="AMC5" s="8"/>
      <c r="AMD5" s="8"/>
      <c r="AME5" s="8"/>
      <c r="AMF5" s="8"/>
      <c r="AMG5" s="8"/>
      <c r="AMH5" s="8"/>
      <c r="AMI5" s="8"/>
      <c r="AMJ5" s="8"/>
      <c r="AMK5" s="8"/>
      <c r="AML5" s="8"/>
      <c r="AMM5" s="8"/>
      <c r="AMN5" s="8"/>
      <c r="AMO5" s="8"/>
      <c r="AMP5" s="8"/>
      <c r="AMQ5" s="8"/>
      <c r="AMR5" s="8"/>
      <c r="AMS5" s="8"/>
      <c r="AMT5" s="8"/>
      <c r="AMU5" s="8"/>
      <c r="AMV5" s="8"/>
      <c r="AMW5" s="8"/>
      <c r="AMX5" s="8"/>
      <c r="AMY5" s="8"/>
      <c r="AMZ5" s="8"/>
      <c r="ANA5" s="8"/>
      <c r="ANB5" s="8"/>
      <c r="ANC5" s="8"/>
      <c r="AND5" s="8"/>
      <c r="ANE5" s="8"/>
      <c r="ANF5" s="8"/>
      <c r="ANG5" s="8"/>
      <c r="ANH5" s="8"/>
      <c r="ANI5" s="8"/>
      <c r="ANJ5" s="8"/>
      <c r="ANK5" s="8"/>
      <c r="ANL5" s="8"/>
      <c r="ANM5" s="8"/>
      <c r="ANN5" s="8"/>
      <c r="ANO5" s="8"/>
      <c r="ANP5" s="8"/>
      <c r="ANQ5" s="8"/>
      <c r="ANR5" s="8"/>
      <c r="ANS5" s="8"/>
      <c r="ANT5" s="8"/>
      <c r="ANU5" s="8"/>
      <c r="ANV5" s="8"/>
      <c r="ANW5" s="8"/>
      <c r="ANX5" s="8"/>
      <c r="ANY5" s="8"/>
      <c r="ANZ5" s="8"/>
      <c r="AOA5" s="8"/>
      <c r="AOB5" s="8"/>
      <c r="AOC5" s="8"/>
      <c r="AOD5" s="8"/>
      <c r="AOE5" s="8"/>
      <c r="AOF5" s="8"/>
      <c r="AOG5" s="8"/>
      <c r="AOH5" s="8"/>
      <c r="AOI5" s="8"/>
      <c r="AOJ5" s="8"/>
      <c r="AOK5" s="8"/>
      <c r="AOL5" s="8"/>
      <c r="AOM5" s="8"/>
      <c r="AON5" s="8"/>
      <c r="AOO5" s="8"/>
      <c r="AOP5" s="8"/>
      <c r="AOQ5" s="8"/>
      <c r="AOR5" s="8"/>
      <c r="AOS5" s="8"/>
      <c r="AOT5" s="8"/>
      <c r="AOU5" s="8"/>
      <c r="AOV5" s="8"/>
      <c r="AOW5" s="8"/>
      <c r="AOX5" s="8"/>
      <c r="AOY5" s="8"/>
      <c r="AOZ5" s="8"/>
      <c r="APA5" s="8"/>
      <c r="APB5" s="8"/>
      <c r="APC5" s="8"/>
      <c r="APD5" s="8"/>
      <c r="APE5" s="8"/>
      <c r="APF5" s="8"/>
      <c r="APG5" s="8"/>
      <c r="APH5" s="8"/>
      <c r="API5" s="8"/>
      <c r="APJ5" s="8"/>
      <c r="APK5" s="8"/>
      <c r="APL5" s="8"/>
      <c r="APM5" s="8"/>
      <c r="APN5" s="8"/>
      <c r="APO5" s="8"/>
      <c r="APP5" s="8"/>
      <c r="APQ5" s="8"/>
      <c r="APR5" s="8"/>
      <c r="APS5" s="8"/>
      <c r="APT5" s="8"/>
      <c r="APU5" s="8"/>
      <c r="APV5" s="8"/>
      <c r="APW5" s="8"/>
      <c r="APX5" s="8"/>
      <c r="APY5" s="8"/>
      <c r="APZ5" s="8"/>
      <c r="AQA5" s="8"/>
      <c r="AQB5" s="8"/>
      <c r="AQC5" s="8"/>
      <c r="AQD5" s="8"/>
      <c r="AQE5" s="8"/>
      <c r="AQF5" s="8"/>
      <c r="AQG5" s="8"/>
      <c r="AQH5" s="8"/>
      <c r="AQI5" s="8"/>
      <c r="AQJ5" s="8"/>
      <c r="AQK5" s="8"/>
      <c r="AQL5" s="8"/>
      <c r="AQM5" s="8"/>
      <c r="AQN5" s="8"/>
      <c r="AQO5" s="8"/>
      <c r="AQP5" s="8"/>
      <c r="AQQ5" s="8"/>
      <c r="AQR5" s="8"/>
      <c r="AQS5" s="8"/>
      <c r="AQT5" s="8"/>
      <c r="AQU5" s="8"/>
      <c r="AQV5" s="8"/>
      <c r="AQW5" s="8"/>
      <c r="AQX5" s="8"/>
      <c r="AQY5" s="8"/>
      <c r="AQZ5" s="8"/>
      <c r="ARA5" s="8"/>
      <c r="ARB5" s="8"/>
      <c r="ARC5" s="8"/>
      <c r="ARD5" s="8"/>
      <c r="ARE5" s="8"/>
      <c r="ARF5" s="8"/>
      <c r="ARG5" s="8"/>
      <c r="ARH5" s="8"/>
      <c r="ARI5" s="8"/>
      <c r="ARJ5" s="8"/>
      <c r="ARK5" s="8"/>
      <c r="ARL5" s="8"/>
      <c r="ARM5" s="8"/>
      <c r="ARN5" s="8"/>
      <c r="ARO5" s="8"/>
      <c r="ARP5" s="8"/>
      <c r="ARQ5" s="8"/>
      <c r="ARR5" s="8"/>
      <c r="ARS5" s="8"/>
      <c r="ART5" s="8"/>
      <c r="ARU5" s="8"/>
      <c r="ARV5" s="8"/>
      <c r="ARW5" s="8"/>
      <c r="ARX5" s="8"/>
      <c r="ARY5" s="8"/>
      <c r="ARZ5" s="8"/>
      <c r="ASA5" s="8"/>
      <c r="ASB5" s="8"/>
      <c r="ASC5" s="8"/>
      <c r="ASD5" s="8"/>
      <c r="ASE5" s="8"/>
      <c r="ASF5" s="8"/>
      <c r="ASG5" s="8"/>
      <c r="ASH5" s="8"/>
      <c r="ASI5" s="8"/>
      <c r="ASJ5" s="8"/>
      <c r="ASK5" s="8"/>
      <c r="ASL5" s="8"/>
      <c r="ASM5" s="8"/>
      <c r="ASN5" s="8"/>
      <c r="ASO5" s="8"/>
      <c r="ASP5" s="8"/>
      <c r="ASQ5" s="8"/>
      <c r="ASR5" s="8"/>
      <c r="ASS5" s="8"/>
      <c r="AST5" s="8"/>
      <c r="ASU5" s="8"/>
      <c r="ASV5" s="8"/>
      <c r="ASW5" s="8"/>
      <c r="ASX5" s="8"/>
      <c r="ASY5" s="8"/>
      <c r="ASZ5" s="8"/>
      <c r="ATA5" s="8"/>
      <c r="ATB5" s="8"/>
      <c r="ATC5" s="8"/>
      <c r="ATD5" s="8"/>
      <c r="ATE5" s="8"/>
      <c r="ATF5" s="8"/>
      <c r="ATG5" s="8"/>
      <c r="ATH5" s="8"/>
      <c r="ATI5" s="8"/>
      <c r="ATJ5" s="8"/>
      <c r="ATK5" s="8"/>
      <c r="ATL5" s="8"/>
      <c r="ATM5" s="8"/>
      <c r="ATN5" s="8"/>
      <c r="ATO5" s="8"/>
      <c r="ATP5" s="8"/>
      <c r="ATQ5" s="8"/>
      <c r="ATR5" s="8"/>
      <c r="ATS5" s="8"/>
      <c r="ATT5" s="8"/>
      <c r="ATU5" s="8"/>
      <c r="ATV5" s="8"/>
      <c r="ATW5" s="8"/>
      <c r="ATX5" s="8"/>
      <c r="ATY5" s="8"/>
      <c r="ATZ5" s="8"/>
      <c r="AUA5" s="8"/>
      <c r="AUB5" s="8"/>
      <c r="AUC5" s="8"/>
      <c r="AUD5" s="8"/>
      <c r="AUE5" s="8"/>
      <c r="AUF5" s="8"/>
      <c r="AUG5" s="8"/>
      <c r="AUH5" s="8"/>
      <c r="AUI5" s="8"/>
      <c r="AUJ5" s="8"/>
      <c r="AUK5" s="8"/>
      <c r="AUL5" s="8"/>
      <c r="AUM5" s="8"/>
      <c r="AUN5" s="8"/>
      <c r="AUO5" s="8"/>
      <c r="AUP5" s="8"/>
      <c r="AUQ5" s="8"/>
      <c r="AUR5" s="8"/>
      <c r="AUS5" s="8"/>
      <c r="AUT5" s="8"/>
      <c r="AUU5" s="8"/>
      <c r="AUV5" s="8"/>
      <c r="AUW5" s="8"/>
      <c r="AUX5" s="8"/>
      <c r="AUY5" s="8"/>
      <c r="AUZ5" s="8"/>
      <c r="AVA5" s="8"/>
      <c r="AVB5" s="8"/>
      <c r="AVC5" s="8"/>
      <c r="AVD5" s="8"/>
      <c r="AVE5" s="8"/>
      <c r="AVF5" s="8"/>
      <c r="AVG5" s="8"/>
      <c r="AVH5" s="8"/>
      <c r="AVI5" s="8"/>
      <c r="AVJ5" s="8"/>
      <c r="AVK5" s="8"/>
      <c r="AVL5" s="8"/>
      <c r="AVM5" s="8"/>
      <c r="AVN5" s="8"/>
      <c r="AVO5" s="8"/>
      <c r="AVP5" s="8"/>
      <c r="AVQ5" s="8"/>
      <c r="AVR5" s="8"/>
      <c r="AVS5" s="8"/>
      <c r="AVT5" s="8"/>
      <c r="AVU5" s="8"/>
      <c r="AVV5" s="8"/>
      <c r="AVW5" s="8"/>
      <c r="AVX5" s="8"/>
      <c r="AVY5" s="8"/>
      <c r="AVZ5" s="8"/>
      <c r="AWA5" s="8"/>
      <c r="AWB5" s="8"/>
      <c r="AWC5" s="8"/>
      <c r="AWD5" s="8"/>
      <c r="AWE5" s="8"/>
      <c r="AWF5" s="8"/>
      <c r="AWG5" s="8"/>
      <c r="AWH5" s="8"/>
      <c r="AWI5" s="8"/>
      <c r="AWJ5" s="8"/>
      <c r="AWK5" s="8"/>
      <c r="AWL5" s="8"/>
      <c r="AWM5" s="8"/>
      <c r="AWN5" s="8"/>
      <c r="AWO5" s="8"/>
      <c r="AWP5" s="8"/>
      <c r="AWQ5" s="8"/>
      <c r="AWR5" s="8"/>
      <c r="AWS5" s="8"/>
      <c r="AWT5" s="8"/>
      <c r="AWU5" s="8"/>
      <c r="AWV5" s="8"/>
      <c r="AWW5" s="8"/>
      <c r="AWX5" s="8"/>
      <c r="AWY5" s="8"/>
      <c r="AWZ5" s="8"/>
      <c r="AXA5" s="8"/>
      <c r="AXB5" s="8"/>
      <c r="AXC5" s="8"/>
      <c r="AXD5" s="8"/>
      <c r="AXE5" s="8"/>
      <c r="AXF5" s="8"/>
      <c r="AXG5" s="8"/>
      <c r="AXH5" s="8"/>
      <c r="AXI5" s="8"/>
      <c r="AXJ5" s="8"/>
      <c r="AXK5" s="8"/>
      <c r="AXL5" s="8"/>
      <c r="AXM5" s="8"/>
      <c r="AXN5" s="8"/>
      <c r="AXO5" s="8"/>
      <c r="AXP5" s="8"/>
      <c r="AXQ5" s="8"/>
      <c r="AXR5" s="8"/>
      <c r="AXS5" s="8"/>
      <c r="AXT5" s="8"/>
      <c r="AXU5" s="8"/>
      <c r="AXV5" s="8"/>
      <c r="AXW5" s="8"/>
      <c r="AXX5" s="8"/>
      <c r="AXY5" s="8"/>
      <c r="AXZ5" s="8"/>
      <c r="AYA5" s="8"/>
      <c r="AYB5" s="8"/>
      <c r="AYC5" s="8"/>
      <c r="AYD5" s="8"/>
      <c r="AYE5" s="8"/>
      <c r="AYF5" s="8"/>
      <c r="AYG5" s="8"/>
      <c r="AYH5" s="8"/>
      <c r="AYI5" s="8"/>
      <c r="AYJ5" s="8"/>
      <c r="AYK5" s="8"/>
      <c r="AYL5" s="8"/>
      <c r="AYM5" s="8"/>
      <c r="AYN5" s="8"/>
      <c r="AYO5" s="8"/>
      <c r="AYP5" s="8"/>
      <c r="AYQ5" s="8"/>
      <c r="AYR5" s="8"/>
      <c r="AYS5" s="8"/>
      <c r="AYT5" s="8"/>
      <c r="AYU5" s="8"/>
      <c r="AYV5" s="8"/>
      <c r="AYW5" s="8"/>
      <c r="AYX5" s="8"/>
      <c r="AYY5" s="8"/>
      <c r="AYZ5" s="8"/>
      <c r="AZA5" s="8"/>
      <c r="AZB5" s="8"/>
      <c r="AZC5" s="8"/>
      <c r="AZD5" s="8"/>
      <c r="AZE5" s="8"/>
      <c r="AZF5" s="8"/>
      <c r="AZG5" s="8"/>
      <c r="AZH5" s="8"/>
      <c r="AZI5" s="8"/>
      <c r="AZJ5" s="8"/>
      <c r="AZK5" s="8"/>
      <c r="AZL5" s="8"/>
      <c r="AZM5" s="8"/>
      <c r="AZN5" s="8"/>
      <c r="AZO5" s="8"/>
      <c r="AZP5" s="8"/>
      <c r="AZQ5" s="8"/>
      <c r="AZR5" s="8"/>
      <c r="AZS5" s="8"/>
      <c r="AZT5" s="8"/>
      <c r="AZU5" s="8"/>
      <c r="AZV5" s="8"/>
      <c r="AZW5" s="8"/>
      <c r="AZX5" s="8"/>
      <c r="AZY5" s="8"/>
      <c r="AZZ5" s="8"/>
      <c r="BAA5" s="8"/>
      <c r="BAB5" s="8"/>
      <c r="BAC5" s="8"/>
      <c r="BAD5" s="8"/>
      <c r="BAE5" s="8"/>
      <c r="BAF5" s="8"/>
      <c r="BAG5" s="8"/>
      <c r="BAH5" s="8"/>
      <c r="BAI5" s="8"/>
      <c r="BAJ5" s="8"/>
      <c r="BAK5" s="8"/>
      <c r="BAL5" s="8"/>
      <c r="BAM5" s="8"/>
      <c r="BAN5" s="8"/>
      <c r="BAO5" s="8"/>
      <c r="BAP5" s="8"/>
      <c r="BAQ5" s="8"/>
      <c r="BAR5" s="8"/>
      <c r="BAS5" s="8"/>
      <c r="BAT5" s="8"/>
      <c r="BAU5" s="8"/>
      <c r="BAV5" s="8"/>
      <c r="BAW5" s="8"/>
      <c r="BAX5" s="8"/>
      <c r="BAY5" s="8"/>
      <c r="BAZ5" s="8"/>
      <c r="BBA5" s="8"/>
      <c r="BBB5" s="8"/>
      <c r="BBC5" s="8"/>
      <c r="BBD5" s="8"/>
      <c r="BBE5" s="8"/>
      <c r="BBF5" s="8"/>
      <c r="BBG5" s="8"/>
      <c r="BBH5" s="8"/>
      <c r="BBI5" s="8"/>
      <c r="BBJ5" s="8"/>
      <c r="BBK5" s="8"/>
      <c r="BBL5" s="8"/>
      <c r="BBM5" s="8"/>
      <c r="BBN5" s="8"/>
      <c r="BBO5" s="8"/>
      <c r="BBP5" s="8"/>
      <c r="BBQ5" s="8"/>
      <c r="BBR5" s="8"/>
      <c r="BBS5" s="8"/>
      <c r="BBT5" s="8"/>
      <c r="BBU5" s="8"/>
      <c r="BBV5" s="8"/>
      <c r="BBW5" s="8"/>
      <c r="BBX5" s="8"/>
      <c r="BBY5" s="8"/>
      <c r="BBZ5" s="8"/>
      <c r="BCA5" s="8"/>
      <c r="BCB5" s="8"/>
      <c r="BCC5" s="8"/>
      <c r="BCD5" s="8"/>
      <c r="BCE5" s="8"/>
      <c r="BCF5" s="8"/>
      <c r="BCG5" s="8"/>
      <c r="BCH5" s="8"/>
      <c r="BCI5" s="8"/>
      <c r="BCJ5" s="8"/>
      <c r="BCK5" s="8"/>
      <c r="BCL5" s="8"/>
      <c r="BCM5" s="8"/>
      <c r="BCN5" s="8"/>
      <c r="BCO5" s="8"/>
      <c r="BCP5" s="8"/>
      <c r="BCQ5" s="8"/>
      <c r="BCR5" s="8"/>
      <c r="BCS5" s="8"/>
      <c r="BCT5" s="8"/>
      <c r="BCU5" s="8"/>
      <c r="BCV5" s="8"/>
      <c r="BCW5" s="8"/>
      <c r="BCX5" s="8"/>
      <c r="BCY5" s="8"/>
      <c r="BCZ5" s="8"/>
      <c r="BDA5" s="8"/>
      <c r="BDB5" s="8"/>
      <c r="BDC5" s="8"/>
      <c r="BDD5" s="8"/>
      <c r="BDE5" s="8"/>
      <c r="BDF5" s="8"/>
      <c r="BDG5" s="8"/>
      <c r="BDH5" s="8"/>
      <c r="BDI5" s="8"/>
      <c r="BDJ5" s="8"/>
      <c r="BDK5" s="8"/>
      <c r="BDL5" s="8"/>
      <c r="BDM5" s="8"/>
      <c r="BDN5" s="8"/>
      <c r="BDO5" s="8"/>
      <c r="BDP5" s="8"/>
      <c r="BDQ5" s="8"/>
      <c r="BDR5" s="8"/>
      <c r="BDS5" s="8"/>
      <c r="BDT5" s="8"/>
      <c r="BDU5" s="8"/>
      <c r="BDV5" s="8"/>
      <c r="BDW5" s="8"/>
      <c r="BDX5" s="8"/>
      <c r="BDY5" s="8"/>
      <c r="BDZ5" s="8"/>
      <c r="BEA5" s="8"/>
      <c r="BEB5" s="8"/>
      <c r="BEC5" s="8"/>
      <c r="BED5" s="8"/>
      <c r="BEE5" s="8"/>
      <c r="BEF5" s="8"/>
      <c r="BEG5" s="8"/>
      <c r="BEH5" s="8"/>
      <c r="BEI5" s="8"/>
      <c r="BEJ5" s="8"/>
      <c r="BEK5" s="8"/>
      <c r="BEL5" s="8"/>
      <c r="BEM5" s="8"/>
      <c r="BEN5" s="8"/>
      <c r="BEO5" s="8"/>
      <c r="BEP5" s="8"/>
      <c r="BEQ5" s="8"/>
      <c r="BER5" s="8"/>
      <c r="BES5" s="8"/>
      <c r="BET5" s="8"/>
      <c r="BEU5" s="8"/>
      <c r="BEV5" s="8"/>
      <c r="BEW5" s="8"/>
      <c r="BEX5" s="8"/>
      <c r="BEY5" s="8"/>
      <c r="BEZ5" s="8"/>
      <c r="BFA5" s="8"/>
      <c r="BFB5" s="8"/>
      <c r="BFC5" s="8"/>
      <c r="BFD5" s="8"/>
      <c r="BFE5" s="8"/>
      <c r="BFF5" s="8"/>
      <c r="BFG5" s="8"/>
      <c r="BFH5" s="8"/>
      <c r="BFI5" s="8"/>
      <c r="BFJ5" s="8"/>
      <c r="BFK5" s="8"/>
      <c r="BFL5" s="8"/>
      <c r="BFM5" s="8"/>
      <c r="BFN5" s="8"/>
      <c r="BFO5" s="8"/>
      <c r="BFP5" s="8"/>
      <c r="BFQ5" s="8"/>
      <c r="BFR5" s="8"/>
      <c r="BFS5" s="8"/>
      <c r="BFT5" s="8"/>
      <c r="BFU5" s="8"/>
      <c r="BFV5" s="8"/>
      <c r="BFW5" s="8"/>
      <c r="BFX5" s="8"/>
      <c r="BFY5" s="8"/>
      <c r="BFZ5" s="8"/>
      <c r="BGA5" s="8"/>
      <c r="BGB5" s="8"/>
      <c r="BGC5" s="8"/>
      <c r="BGD5" s="8"/>
      <c r="BGE5" s="8"/>
      <c r="BGF5" s="8"/>
      <c r="BGG5" s="8"/>
      <c r="BGH5" s="8"/>
      <c r="BGI5" s="8"/>
      <c r="BGJ5" s="8"/>
      <c r="BGK5" s="8"/>
      <c r="BGL5" s="8"/>
      <c r="BGM5" s="8"/>
      <c r="BGN5" s="8"/>
      <c r="BGO5" s="8"/>
      <c r="BGP5" s="8"/>
      <c r="BGQ5" s="8"/>
      <c r="BGR5" s="8"/>
      <c r="BGS5" s="8"/>
      <c r="BGT5" s="8"/>
      <c r="BGU5" s="8"/>
      <c r="BGV5" s="8"/>
      <c r="BGW5" s="8"/>
      <c r="BGX5" s="8"/>
      <c r="BGY5" s="8"/>
      <c r="BGZ5" s="8"/>
      <c r="BHA5" s="8"/>
      <c r="BHB5" s="8"/>
      <c r="BHC5" s="8"/>
      <c r="BHD5" s="8"/>
      <c r="BHE5" s="8"/>
      <c r="BHF5" s="8"/>
      <c r="BHG5" s="8"/>
      <c r="BHH5" s="8"/>
      <c r="BHI5" s="8"/>
      <c r="BHJ5" s="8"/>
      <c r="BHK5" s="8"/>
      <c r="BHL5" s="8"/>
      <c r="BHM5" s="8"/>
      <c r="BHN5" s="8"/>
      <c r="BHO5" s="8"/>
      <c r="BHP5" s="8"/>
      <c r="BHQ5" s="8"/>
      <c r="BHR5" s="8"/>
      <c r="BHS5" s="8"/>
      <c r="BHT5" s="8"/>
      <c r="BHU5" s="8"/>
      <c r="BHV5" s="8"/>
      <c r="BHW5" s="8"/>
      <c r="BHX5" s="8"/>
      <c r="BHY5" s="8"/>
      <c r="BHZ5" s="8"/>
      <c r="BIA5" s="8"/>
      <c r="BIB5" s="8"/>
      <c r="BIC5" s="8"/>
      <c r="BID5" s="8"/>
      <c r="BIE5" s="8"/>
      <c r="BIF5" s="8"/>
      <c r="BIG5" s="8"/>
      <c r="BIH5" s="8"/>
      <c r="BII5" s="8"/>
      <c r="BIJ5" s="8"/>
      <c r="BIK5" s="8"/>
      <c r="BIL5" s="8"/>
      <c r="BIM5" s="8"/>
      <c r="BIN5" s="8"/>
      <c r="BIO5" s="8"/>
      <c r="BIP5" s="8"/>
      <c r="BIQ5" s="8"/>
      <c r="BIR5" s="8"/>
      <c r="BIS5" s="8"/>
      <c r="BIT5" s="8"/>
      <c r="BIU5" s="8"/>
      <c r="BIV5" s="8"/>
      <c r="BIW5" s="8"/>
      <c r="BIX5" s="8"/>
      <c r="BIY5" s="8"/>
      <c r="BIZ5" s="8"/>
      <c r="BJA5" s="8"/>
      <c r="BJB5" s="8"/>
      <c r="BJC5" s="8"/>
      <c r="BJD5" s="8"/>
      <c r="BJE5" s="8"/>
      <c r="BJF5" s="8"/>
      <c r="BJG5" s="8"/>
      <c r="BJH5" s="8"/>
      <c r="BJI5" s="8"/>
      <c r="BJJ5" s="8"/>
      <c r="BJK5" s="8"/>
      <c r="BJL5" s="8"/>
      <c r="BJM5" s="8"/>
      <c r="BJN5" s="8"/>
      <c r="BJO5" s="8"/>
      <c r="BJP5" s="8"/>
      <c r="BJQ5" s="8"/>
      <c r="BJR5" s="8"/>
      <c r="BJS5" s="8"/>
      <c r="BJT5" s="8"/>
      <c r="BJU5" s="8"/>
      <c r="BJV5" s="8"/>
      <c r="BJW5" s="8"/>
      <c r="BJX5" s="8"/>
      <c r="BJY5" s="8"/>
      <c r="BJZ5" s="8"/>
      <c r="BKA5" s="8"/>
      <c r="BKB5" s="8"/>
      <c r="BKC5" s="8"/>
      <c r="BKD5" s="8"/>
      <c r="BKE5" s="8"/>
      <c r="BKF5" s="8"/>
      <c r="BKG5" s="8"/>
      <c r="BKH5" s="8"/>
      <c r="BKI5" s="8"/>
      <c r="BKJ5" s="8"/>
      <c r="BKK5" s="8"/>
      <c r="BKL5" s="8"/>
      <c r="BKM5" s="8"/>
      <c r="BKN5" s="8"/>
      <c r="BKO5" s="8"/>
      <c r="BKP5" s="8"/>
      <c r="BKQ5" s="8"/>
      <c r="BKR5" s="8"/>
      <c r="BKS5" s="8"/>
      <c r="BKT5" s="8"/>
      <c r="BKU5" s="8"/>
      <c r="BKV5" s="8"/>
      <c r="BKW5" s="8"/>
      <c r="BKX5" s="8"/>
      <c r="BKY5" s="8"/>
      <c r="BKZ5" s="8"/>
      <c r="BLA5" s="8"/>
      <c r="BLB5" s="8"/>
      <c r="BLC5" s="8"/>
      <c r="BLD5" s="8"/>
      <c r="BLE5" s="8"/>
      <c r="BLF5" s="8"/>
      <c r="BLG5" s="8"/>
      <c r="BLH5" s="8"/>
      <c r="BLI5" s="8"/>
      <c r="BLJ5" s="8"/>
      <c r="BLK5" s="8"/>
      <c r="BLL5" s="8"/>
      <c r="BLM5" s="8"/>
      <c r="BLN5" s="8"/>
      <c r="BLO5" s="8"/>
      <c r="BLP5" s="8"/>
      <c r="BLQ5" s="8"/>
      <c r="BLR5" s="8"/>
      <c r="BLS5" s="8"/>
      <c r="BLT5" s="8"/>
      <c r="BLU5" s="8"/>
      <c r="BLV5" s="8"/>
      <c r="BLW5" s="8"/>
      <c r="BLX5" s="8"/>
      <c r="BLY5" s="8"/>
      <c r="BLZ5" s="8"/>
      <c r="BMA5" s="8"/>
      <c r="BMB5" s="8"/>
      <c r="BMC5" s="8"/>
      <c r="BMD5" s="8"/>
      <c r="BME5" s="8"/>
      <c r="BMF5" s="8"/>
      <c r="BMG5" s="8"/>
      <c r="BMH5" s="8"/>
      <c r="BMI5" s="8"/>
      <c r="BMJ5" s="8"/>
      <c r="BMK5" s="8"/>
      <c r="BML5" s="8"/>
      <c r="BMM5" s="8"/>
      <c r="BMN5" s="8"/>
      <c r="BMO5" s="8"/>
      <c r="BMP5" s="8"/>
      <c r="BMQ5" s="8"/>
      <c r="BMR5" s="8"/>
      <c r="BMS5" s="8"/>
      <c r="BMT5" s="8"/>
      <c r="BMU5" s="8"/>
      <c r="BMV5" s="8"/>
      <c r="BMW5" s="8"/>
      <c r="BMX5" s="8"/>
      <c r="BMY5" s="8"/>
      <c r="BMZ5" s="8"/>
      <c r="BNA5" s="8"/>
      <c r="BNB5" s="8"/>
      <c r="BNC5" s="8"/>
      <c r="BND5" s="8"/>
      <c r="BNE5" s="8"/>
      <c r="BNF5" s="8"/>
      <c r="BNG5" s="8"/>
      <c r="BNH5" s="8"/>
      <c r="BNI5" s="8"/>
      <c r="BNJ5" s="8"/>
      <c r="BNK5" s="8"/>
      <c r="BNL5" s="8"/>
      <c r="BNM5" s="8"/>
      <c r="BNN5" s="8"/>
      <c r="BNO5" s="8"/>
      <c r="BNP5" s="8"/>
      <c r="BNQ5" s="8"/>
      <c r="BNR5" s="8"/>
      <c r="BNS5" s="8"/>
      <c r="BNT5" s="8"/>
      <c r="BNU5" s="8"/>
      <c r="BNV5" s="8"/>
      <c r="BNW5" s="8"/>
      <c r="BNX5" s="8"/>
      <c r="BNY5" s="8"/>
      <c r="BNZ5" s="8"/>
      <c r="BOA5" s="8"/>
      <c r="BOB5" s="8"/>
      <c r="BOC5" s="8"/>
      <c r="BOD5" s="8"/>
      <c r="BOE5" s="8"/>
      <c r="BOF5" s="8"/>
      <c r="BOG5" s="8"/>
      <c r="BOH5" s="8"/>
      <c r="BOI5" s="8"/>
      <c r="BOJ5" s="8"/>
      <c r="BOK5" s="8"/>
      <c r="BOL5" s="8"/>
      <c r="BOM5" s="8"/>
      <c r="BON5" s="8"/>
      <c r="BOO5" s="8"/>
      <c r="BOP5" s="8"/>
      <c r="BOQ5" s="8"/>
      <c r="BOR5" s="8"/>
      <c r="BOS5" s="8"/>
      <c r="BOT5" s="8"/>
      <c r="BOU5" s="8"/>
      <c r="BOV5" s="8"/>
      <c r="BOW5" s="8"/>
      <c r="BOX5" s="8"/>
      <c r="BOY5" s="8"/>
      <c r="BOZ5" s="8"/>
      <c r="BPA5" s="8"/>
      <c r="BPB5" s="8"/>
      <c r="BPC5" s="8"/>
      <c r="BPD5" s="8"/>
      <c r="BPE5" s="8"/>
      <c r="BPF5" s="8"/>
      <c r="BPG5" s="8"/>
      <c r="BPH5" s="8"/>
      <c r="BPI5" s="8"/>
      <c r="BPJ5" s="8"/>
      <c r="BPK5" s="8"/>
      <c r="BPL5" s="8"/>
      <c r="BPM5" s="8"/>
      <c r="BPN5" s="8"/>
      <c r="BPO5" s="8"/>
      <c r="BPP5" s="8"/>
      <c r="BPQ5" s="8"/>
      <c r="BPR5" s="8"/>
      <c r="BPS5" s="8"/>
      <c r="BPT5" s="8"/>
      <c r="BPU5" s="8"/>
      <c r="BPV5" s="8"/>
      <c r="BPW5" s="8"/>
      <c r="BPX5" s="8"/>
      <c r="BPY5" s="8"/>
      <c r="BPZ5" s="8"/>
      <c r="BQA5" s="8"/>
      <c r="BQB5" s="8"/>
      <c r="BQC5" s="8"/>
      <c r="BQD5" s="8"/>
      <c r="BQE5" s="8"/>
      <c r="BQF5" s="8"/>
      <c r="BQG5" s="8"/>
      <c r="BQH5" s="8"/>
      <c r="BQI5" s="8"/>
      <c r="BQJ5" s="8"/>
      <c r="BQK5" s="8"/>
      <c r="BQL5" s="8"/>
      <c r="BQM5" s="8"/>
      <c r="BQN5" s="8"/>
      <c r="BQO5" s="8"/>
      <c r="BQP5" s="8"/>
      <c r="BQQ5" s="8"/>
      <c r="BQR5" s="8"/>
      <c r="BQS5" s="8"/>
      <c r="BQT5" s="8"/>
      <c r="BQU5" s="8"/>
      <c r="BQV5" s="8"/>
      <c r="BQW5" s="8"/>
      <c r="BQX5" s="8"/>
      <c r="BQY5" s="8"/>
      <c r="BQZ5" s="8"/>
      <c r="BRA5" s="8"/>
      <c r="BRB5" s="8"/>
      <c r="BRC5" s="8"/>
      <c r="BRD5" s="8"/>
      <c r="BRE5" s="8"/>
      <c r="BRF5" s="8"/>
      <c r="BRG5" s="8"/>
      <c r="BRH5" s="8"/>
      <c r="BRI5" s="8"/>
      <c r="BRJ5" s="8"/>
      <c r="BRK5" s="8"/>
      <c r="BRL5" s="8"/>
      <c r="BRM5" s="8"/>
      <c r="BRN5" s="8"/>
      <c r="BRO5" s="8"/>
      <c r="BRP5" s="8"/>
      <c r="BRQ5" s="8"/>
      <c r="BRR5" s="8"/>
      <c r="BRS5" s="8"/>
      <c r="BRT5" s="8"/>
      <c r="BRU5" s="8"/>
      <c r="BRV5" s="8"/>
      <c r="BRW5" s="8"/>
      <c r="BRX5" s="8"/>
      <c r="BRY5" s="8"/>
      <c r="BRZ5" s="8"/>
      <c r="BSA5" s="8"/>
      <c r="BSB5" s="8"/>
      <c r="BSC5" s="8"/>
      <c r="BSD5" s="8"/>
      <c r="BSE5" s="8"/>
      <c r="BSF5" s="8"/>
      <c r="BSG5" s="8"/>
      <c r="BSH5" s="8"/>
      <c r="BSI5" s="8"/>
      <c r="BSJ5" s="8"/>
      <c r="BSK5" s="8"/>
      <c r="BSL5" s="8"/>
      <c r="BSM5" s="8"/>
      <c r="BSN5" s="8"/>
      <c r="BSO5" s="8"/>
      <c r="BSP5" s="8"/>
      <c r="BSQ5" s="8"/>
      <c r="BSR5" s="8"/>
      <c r="BSS5" s="8"/>
      <c r="BST5" s="8"/>
      <c r="BSU5" s="8"/>
      <c r="BSV5" s="8"/>
      <c r="BSW5" s="8"/>
      <c r="BSX5" s="8"/>
      <c r="BSY5" s="8"/>
      <c r="BSZ5" s="8"/>
      <c r="BTA5" s="8"/>
      <c r="BTB5" s="8"/>
      <c r="BTC5" s="8"/>
      <c r="BTD5" s="8"/>
      <c r="BTE5" s="8"/>
      <c r="BTF5" s="8"/>
      <c r="BTG5" s="8"/>
      <c r="BTH5" s="8"/>
      <c r="BTI5" s="8"/>
      <c r="BTJ5" s="8"/>
      <c r="BTK5" s="8"/>
      <c r="BTL5" s="8"/>
      <c r="BTM5" s="8"/>
      <c r="BTN5" s="8"/>
      <c r="BTO5" s="8"/>
      <c r="BTP5" s="8"/>
      <c r="BTQ5" s="8"/>
      <c r="BTR5" s="8"/>
      <c r="BTS5" s="8"/>
      <c r="BTT5" s="8"/>
      <c r="BTU5" s="8"/>
      <c r="BTV5" s="8"/>
      <c r="BTW5" s="8"/>
      <c r="BTX5" s="8"/>
      <c r="BTY5" s="8"/>
      <c r="BTZ5" s="8"/>
      <c r="BUA5" s="8"/>
      <c r="BUB5" s="8"/>
      <c r="BUC5" s="8"/>
      <c r="BUD5" s="8"/>
      <c r="BUE5" s="8"/>
      <c r="BUF5" s="8"/>
      <c r="BUG5" s="8"/>
      <c r="BUH5" s="8"/>
      <c r="BUI5" s="8"/>
      <c r="BUJ5" s="8"/>
      <c r="BUK5" s="8"/>
      <c r="BUL5" s="8"/>
      <c r="BUM5" s="8"/>
      <c r="BUN5" s="8"/>
      <c r="BUO5" s="8"/>
      <c r="BUP5" s="8"/>
      <c r="BUQ5" s="8"/>
      <c r="BUR5" s="8"/>
      <c r="BUS5" s="8"/>
      <c r="BUT5" s="8"/>
      <c r="BUU5" s="8"/>
      <c r="BUV5" s="8"/>
      <c r="BUW5" s="8"/>
      <c r="BUX5" s="8"/>
      <c r="BUY5" s="8"/>
      <c r="BUZ5" s="8"/>
      <c r="BVA5" s="8"/>
      <c r="BVB5" s="8"/>
      <c r="BVC5" s="8"/>
      <c r="BVD5" s="8"/>
      <c r="BVE5" s="8"/>
      <c r="BVF5" s="8"/>
      <c r="BVG5" s="8"/>
      <c r="BVH5" s="8"/>
      <c r="BVI5" s="8"/>
      <c r="BVJ5" s="8"/>
      <c r="BVK5" s="8"/>
      <c r="BVL5" s="8"/>
      <c r="BVM5" s="8"/>
      <c r="BVN5" s="8"/>
      <c r="BVO5" s="8"/>
      <c r="BVP5" s="8"/>
      <c r="BVQ5" s="8"/>
      <c r="BVR5" s="8"/>
      <c r="BVS5" s="8"/>
      <c r="BVT5" s="8"/>
      <c r="BVU5" s="8"/>
      <c r="BVV5" s="8"/>
      <c r="BVW5" s="8"/>
      <c r="BVX5" s="8"/>
      <c r="BVY5" s="8"/>
      <c r="BVZ5" s="8"/>
      <c r="BWA5" s="8"/>
      <c r="BWB5" s="8"/>
      <c r="BWC5" s="8"/>
      <c r="BWD5" s="8"/>
      <c r="BWE5" s="8"/>
      <c r="BWF5" s="8"/>
      <c r="BWG5" s="8"/>
      <c r="BWH5" s="8"/>
      <c r="BWI5" s="8"/>
      <c r="BWJ5" s="8"/>
      <c r="BWK5" s="8"/>
      <c r="BWL5" s="8"/>
      <c r="BWM5" s="8"/>
      <c r="BWN5" s="8"/>
      <c r="BWO5" s="8"/>
      <c r="BWP5" s="8"/>
      <c r="BWQ5" s="8"/>
      <c r="BWR5" s="8"/>
      <c r="BWS5" s="8"/>
      <c r="BWT5" s="8"/>
      <c r="BWU5" s="8"/>
      <c r="BWV5" s="8"/>
      <c r="BWW5" s="8"/>
      <c r="BWX5" s="8"/>
      <c r="BWY5" s="8"/>
      <c r="BWZ5" s="8"/>
      <c r="BXA5" s="8"/>
      <c r="BXB5" s="8"/>
      <c r="BXC5" s="8"/>
      <c r="BXD5" s="8"/>
      <c r="BXE5" s="8"/>
      <c r="BXF5" s="8"/>
      <c r="BXG5" s="8"/>
      <c r="BXH5" s="8"/>
      <c r="BXI5" s="8"/>
      <c r="BXJ5" s="8"/>
      <c r="BXK5" s="8"/>
      <c r="BXL5" s="8"/>
      <c r="BXM5" s="8"/>
      <c r="BXN5" s="8"/>
      <c r="BXO5" s="8"/>
      <c r="BXP5" s="8"/>
      <c r="BXQ5" s="8"/>
      <c r="BXR5" s="8"/>
      <c r="BXS5" s="8"/>
      <c r="BXT5" s="8"/>
      <c r="BXU5" s="8"/>
      <c r="BXV5" s="8"/>
      <c r="BXW5" s="8"/>
      <c r="BXX5" s="8"/>
      <c r="BXY5" s="8"/>
      <c r="BXZ5" s="8"/>
      <c r="BYA5" s="8"/>
      <c r="BYB5" s="8"/>
      <c r="BYC5" s="8"/>
      <c r="BYD5" s="8"/>
      <c r="BYE5" s="8"/>
      <c r="BYF5" s="8"/>
      <c r="BYG5" s="8"/>
      <c r="BYH5" s="8"/>
      <c r="BYI5" s="8"/>
      <c r="BYJ5" s="8"/>
      <c r="BYK5" s="8"/>
      <c r="BYL5" s="8"/>
      <c r="BYM5" s="8"/>
      <c r="BYN5" s="8"/>
      <c r="BYO5" s="8"/>
      <c r="BYP5" s="8"/>
      <c r="BYQ5" s="8"/>
      <c r="BYR5" s="8"/>
      <c r="BYS5" s="8"/>
      <c r="BYT5" s="8"/>
      <c r="BYU5" s="8"/>
      <c r="BYV5" s="8"/>
      <c r="BYW5" s="8"/>
      <c r="BYX5" s="8"/>
      <c r="BYY5" s="8"/>
      <c r="BYZ5" s="8"/>
      <c r="BZA5" s="8"/>
      <c r="BZB5" s="8"/>
      <c r="BZC5" s="8"/>
      <c r="BZD5" s="8"/>
      <c r="BZE5" s="8"/>
      <c r="BZF5" s="8"/>
      <c r="BZG5" s="8"/>
      <c r="BZH5" s="8"/>
      <c r="BZI5" s="8"/>
      <c r="BZJ5" s="8"/>
      <c r="BZK5" s="8"/>
      <c r="BZL5" s="8"/>
      <c r="BZM5" s="8"/>
      <c r="BZN5" s="8"/>
      <c r="BZO5" s="8"/>
      <c r="BZP5" s="8"/>
      <c r="BZQ5" s="8"/>
      <c r="BZR5" s="8"/>
      <c r="BZS5" s="8"/>
      <c r="BZT5" s="8"/>
      <c r="BZU5" s="8"/>
      <c r="BZV5" s="8"/>
      <c r="BZW5" s="8"/>
      <c r="BZX5" s="8"/>
      <c r="BZY5" s="8"/>
      <c r="BZZ5" s="8"/>
      <c r="CAA5" s="8"/>
      <c r="CAB5" s="8"/>
      <c r="CAC5" s="8"/>
      <c r="CAD5" s="8"/>
      <c r="CAE5" s="8"/>
      <c r="CAF5" s="8"/>
      <c r="CAG5" s="8"/>
      <c r="CAH5" s="8"/>
      <c r="CAI5" s="8"/>
      <c r="CAJ5" s="8"/>
      <c r="CAK5" s="8"/>
      <c r="CAL5" s="8"/>
      <c r="CAM5" s="8"/>
      <c r="CAN5" s="8"/>
      <c r="CAO5" s="8"/>
      <c r="CAP5" s="8"/>
      <c r="CAQ5" s="8"/>
      <c r="CAR5" s="8"/>
      <c r="CAS5" s="8"/>
      <c r="CAT5" s="8"/>
      <c r="CAU5" s="8"/>
      <c r="CAV5" s="8"/>
      <c r="CAW5" s="8"/>
      <c r="CAX5" s="8"/>
      <c r="CAY5" s="8"/>
      <c r="CAZ5" s="8"/>
      <c r="CBA5" s="8"/>
      <c r="CBB5" s="8"/>
      <c r="CBC5" s="8"/>
      <c r="CBD5" s="8"/>
      <c r="CBE5" s="8"/>
      <c r="CBF5" s="8"/>
      <c r="CBG5" s="8"/>
      <c r="CBH5" s="8"/>
      <c r="CBI5" s="8"/>
      <c r="CBJ5" s="8"/>
      <c r="CBK5" s="8"/>
      <c r="CBL5" s="8"/>
      <c r="CBM5" s="8"/>
      <c r="CBN5" s="8"/>
      <c r="CBO5" s="8"/>
      <c r="CBP5" s="8"/>
      <c r="CBQ5" s="8"/>
      <c r="CBR5" s="8"/>
      <c r="CBS5" s="8"/>
      <c r="CBT5" s="8"/>
      <c r="CBU5" s="8"/>
      <c r="CBV5" s="8"/>
      <c r="CBW5" s="8"/>
      <c r="CBX5" s="8"/>
      <c r="CBY5" s="8"/>
      <c r="CBZ5" s="8"/>
      <c r="CCA5" s="8"/>
      <c r="CCB5" s="8"/>
      <c r="CCC5" s="8"/>
      <c r="CCD5" s="8"/>
      <c r="CCE5" s="8"/>
      <c r="CCF5" s="8"/>
      <c r="CCG5" s="8"/>
      <c r="CCH5" s="8"/>
      <c r="CCI5" s="8"/>
      <c r="CCJ5" s="8"/>
      <c r="CCK5" s="8"/>
      <c r="CCL5" s="8"/>
      <c r="CCM5" s="8"/>
      <c r="CCN5" s="8"/>
      <c r="CCO5" s="8"/>
      <c r="CCP5" s="8"/>
      <c r="CCQ5" s="8"/>
      <c r="CCR5" s="8"/>
      <c r="CCS5" s="8"/>
      <c r="CCT5" s="8"/>
      <c r="CCU5" s="8"/>
      <c r="CCV5" s="8"/>
      <c r="CCW5" s="8"/>
      <c r="CCX5" s="8"/>
      <c r="CCY5" s="8"/>
      <c r="CCZ5" s="8"/>
      <c r="CDA5" s="8"/>
      <c r="CDB5" s="8"/>
      <c r="CDC5" s="8"/>
      <c r="CDD5" s="8"/>
      <c r="CDE5" s="8"/>
      <c r="CDF5" s="8"/>
      <c r="CDG5" s="8"/>
      <c r="CDH5" s="8"/>
      <c r="CDI5" s="8"/>
      <c r="CDJ5" s="8"/>
      <c r="CDK5" s="8"/>
      <c r="CDL5" s="8"/>
      <c r="CDM5" s="8"/>
      <c r="CDN5" s="8"/>
      <c r="CDO5" s="8"/>
      <c r="CDP5" s="8"/>
      <c r="CDQ5" s="8"/>
      <c r="CDR5" s="8"/>
      <c r="CDS5" s="8"/>
      <c r="CDT5" s="8"/>
      <c r="CDU5" s="8"/>
      <c r="CDV5" s="8"/>
      <c r="CDW5" s="8"/>
      <c r="CDX5" s="8"/>
      <c r="CDY5" s="8"/>
      <c r="CDZ5" s="8"/>
      <c r="CEA5" s="8"/>
      <c r="CEB5" s="8"/>
      <c r="CEC5" s="8"/>
      <c r="CED5" s="8"/>
      <c r="CEE5" s="8"/>
      <c r="CEF5" s="8"/>
      <c r="CEG5" s="8"/>
      <c r="CEH5" s="8"/>
      <c r="CEI5" s="8"/>
      <c r="CEJ5" s="8"/>
      <c r="CEK5" s="8"/>
      <c r="CEL5" s="8"/>
      <c r="CEM5" s="8"/>
      <c r="CEN5" s="8"/>
      <c r="CEO5" s="8"/>
      <c r="CEP5" s="8"/>
      <c r="CEQ5" s="8"/>
      <c r="CER5" s="8"/>
      <c r="CES5" s="8"/>
      <c r="CET5" s="8"/>
      <c r="CEU5" s="8"/>
      <c r="CEV5" s="8"/>
      <c r="CEW5" s="8"/>
      <c r="CEX5" s="8"/>
      <c r="CEY5" s="8"/>
      <c r="CEZ5" s="8"/>
      <c r="CFA5" s="8"/>
      <c r="CFB5" s="8"/>
      <c r="CFC5" s="8"/>
      <c r="CFD5" s="8"/>
      <c r="CFE5" s="8"/>
      <c r="CFF5" s="8"/>
      <c r="CFG5" s="8"/>
      <c r="CFH5" s="8"/>
      <c r="CFI5" s="8"/>
      <c r="CFJ5" s="8"/>
      <c r="CFK5" s="8"/>
      <c r="CFL5" s="8"/>
      <c r="CFM5" s="8"/>
      <c r="CFN5" s="8"/>
      <c r="CFO5" s="8"/>
      <c r="CFP5" s="8"/>
      <c r="CFQ5" s="8"/>
      <c r="CFR5" s="8"/>
      <c r="CFS5" s="8"/>
      <c r="CFT5" s="8"/>
      <c r="CFU5" s="8"/>
      <c r="CFV5" s="8"/>
      <c r="CFW5" s="8"/>
      <c r="CFX5" s="8"/>
      <c r="CFY5" s="8"/>
      <c r="CFZ5" s="8"/>
      <c r="CGA5" s="8"/>
      <c r="CGB5" s="8"/>
      <c r="CGC5" s="8"/>
      <c r="CGD5" s="8"/>
      <c r="CGE5" s="8"/>
      <c r="CGF5" s="8"/>
      <c r="CGG5" s="8"/>
      <c r="CGH5" s="8"/>
      <c r="CGI5" s="8"/>
      <c r="CGJ5" s="8"/>
      <c r="CGK5" s="8"/>
      <c r="CGL5" s="8"/>
      <c r="CGM5" s="8"/>
      <c r="CGN5" s="8"/>
      <c r="CGO5" s="8"/>
      <c r="CGP5" s="8"/>
      <c r="CGQ5" s="8"/>
      <c r="CGR5" s="8"/>
      <c r="CGS5" s="8"/>
      <c r="CGT5" s="8"/>
      <c r="CGU5" s="8"/>
      <c r="CGV5" s="8"/>
      <c r="CGW5" s="8"/>
      <c r="CGX5" s="8"/>
      <c r="CGY5" s="8"/>
      <c r="CGZ5" s="8"/>
      <c r="CHA5" s="8"/>
      <c r="CHB5" s="8"/>
      <c r="CHC5" s="8"/>
      <c r="CHD5" s="8"/>
      <c r="CHE5" s="8"/>
      <c r="CHF5" s="8"/>
      <c r="CHG5" s="8"/>
      <c r="CHH5" s="8"/>
      <c r="CHI5" s="8"/>
      <c r="CHJ5" s="8"/>
      <c r="CHK5" s="8"/>
      <c r="CHL5" s="8"/>
      <c r="CHM5" s="8"/>
      <c r="CHN5" s="8"/>
      <c r="CHO5" s="8"/>
      <c r="CHP5" s="8"/>
      <c r="CHQ5" s="8"/>
      <c r="CHR5" s="8"/>
      <c r="CHS5" s="8"/>
      <c r="CHT5" s="8"/>
      <c r="CHU5" s="8"/>
      <c r="CHV5" s="8"/>
      <c r="CHW5" s="8"/>
      <c r="CHX5" s="8"/>
      <c r="CHY5" s="8"/>
      <c r="CHZ5" s="8"/>
      <c r="CIA5" s="8"/>
      <c r="CIB5" s="8"/>
      <c r="CIC5" s="8"/>
      <c r="CID5" s="8"/>
      <c r="CIE5" s="8"/>
      <c r="CIF5" s="8"/>
      <c r="CIG5" s="8"/>
      <c r="CIH5" s="8"/>
      <c r="CII5" s="8"/>
      <c r="CIJ5" s="8"/>
      <c r="CIK5" s="8"/>
      <c r="CIL5" s="8"/>
      <c r="CIM5" s="8"/>
      <c r="CIN5" s="8"/>
      <c r="CIO5" s="8"/>
      <c r="CIP5" s="8"/>
      <c r="CIQ5" s="8"/>
      <c r="CIR5" s="8"/>
      <c r="CIS5" s="8"/>
      <c r="CIT5" s="8"/>
      <c r="CIU5" s="8"/>
      <c r="CIV5" s="8"/>
      <c r="CIW5" s="8"/>
      <c r="CIX5" s="8"/>
      <c r="CIY5" s="8"/>
      <c r="CIZ5" s="8"/>
      <c r="CJA5" s="8"/>
      <c r="CJB5" s="8"/>
      <c r="CJC5" s="8"/>
      <c r="CJD5" s="8"/>
      <c r="CJE5" s="8"/>
      <c r="CJF5" s="8"/>
      <c r="CJG5" s="8"/>
      <c r="CJH5" s="8"/>
      <c r="CJI5" s="8"/>
      <c r="CJJ5" s="8"/>
      <c r="CJK5" s="8"/>
      <c r="CJL5" s="8"/>
      <c r="CJM5" s="8"/>
      <c r="CJN5" s="8"/>
      <c r="CJO5" s="8"/>
      <c r="CJP5" s="8"/>
      <c r="CJQ5" s="8"/>
      <c r="CJR5" s="8"/>
      <c r="CJS5" s="8"/>
      <c r="CJT5" s="8"/>
      <c r="CJU5" s="8"/>
      <c r="CJV5" s="8"/>
      <c r="CJW5" s="8"/>
      <c r="CJX5" s="8"/>
      <c r="CJY5" s="8"/>
      <c r="CJZ5" s="8"/>
      <c r="CKA5" s="8"/>
      <c r="CKB5" s="8"/>
      <c r="CKC5" s="8"/>
      <c r="CKD5" s="8"/>
      <c r="CKE5" s="8"/>
      <c r="CKF5" s="8"/>
      <c r="CKG5" s="8"/>
      <c r="CKH5" s="8"/>
      <c r="CKI5" s="8"/>
      <c r="CKJ5" s="8"/>
      <c r="CKK5" s="8"/>
      <c r="CKL5" s="8"/>
      <c r="CKM5" s="8"/>
      <c r="CKN5" s="8"/>
      <c r="CKO5" s="8"/>
      <c r="CKP5" s="8"/>
      <c r="CKQ5" s="8"/>
      <c r="CKR5" s="8"/>
      <c r="CKS5" s="8"/>
      <c r="CKT5" s="8"/>
      <c r="CKU5" s="8"/>
      <c r="CKV5" s="8"/>
      <c r="CKW5" s="8"/>
      <c r="CKX5" s="8"/>
      <c r="CKY5" s="8"/>
      <c r="CKZ5" s="8"/>
      <c r="CLA5" s="8"/>
      <c r="CLB5" s="8"/>
      <c r="CLC5" s="8"/>
      <c r="CLD5" s="8"/>
      <c r="CLE5" s="8"/>
      <c r="CLF5" s="8"/>
      <c r="CLG5" s="8"/>
      <c r="CLH5" s="8"/>
      <c r="CLI5" s="8"/>
      <c r="CLJ5" s="8"/>
      <c r="CLK5" s="8"/>
      <c r="CLL5" s="8"/>
      <c r="CLM5" s="8"/>
      <c r="CLN5" s="8"/>
      <c r="CLO5" s="8"/>
      <c r="CLP5" s="8"/>
      <c r="CLQ5" s="8"/>
      <c r="CLR5" s="8"/>
      <c r="CLS5" s="8"/>
      <c r="CLT5" s="8"/>
      <c r="CLU5" s="8"/>
      <c r="CLV5" s="8"/>
      <c r="CLW5" s="8"/>
      <c r="CLX5" s="8"/>
      <c r="CLY5" s="8"/>
      <c r="CLZ5" s="8"/>
      <c r="CMA5" s="8"/>
      <c r="CMB5" s="8"/>
      <c r="CMC5" s="8"/>
      <c r="CMD5" s="8"/>
      <c r="CME5" s="8"/>
      <c r="CMF5" s="8"/>
      <c r="CMG5" s="8"/>
      <c r="CMH5" s="8"/>
      <c r="CMI5" s="8"/>
      <c r="CMJ5" s="8"/>
      <c r="CMK5" s="8"/>
      <c r="CML5" s="8"/>
      <c r="CMM5" s="8"/>
      <c r="CMN5" s="8"/>
      <c r="CMO5" s="8"/>
      <c r="CMP5" s="8"/>
      <c r="CMQ5" s="8"/>
      <c r="CMR5" s="8"/>
      <c r="CMS5" s="8"/>
      <c r="CMT5" s="8"/>
      <c r="CMU5" s="8"/>
      <c r="CMV5" s="8"/>
      <c r="CMW5" s="8"/>
      <c r="CMX5" s="8"/>
      <c r="CMY5" s="8"/>
      <c r="CMZ5" s="8"/>
      <c r="CNA5" s="8"/>
      <c r="CNB5" s="8"/>
      <c r="CNC5" s="8"/>
      <c r="CND5" s="8"/>
      <c r="CNE5" s="8"/>
      <c r="CNF5" s="8"/>
      <c r="CNG5" s="8"/>
      <c r="CNH5" s="8"/>
      <c r="CNI5" s="8"/>
      <c r="CNJ5" s="8"/>
      <c r="CNK5" s="8"/>
      <c r="CNL5" s="8"/>
      <c r="CNM5" s="8"/>
      <c r="CNN5" s="8"/>
      <c r="CNO5" s="8"/>
      <c r="CNP5" s="8"/>
      <c r="CNQ5" s="8"/>
      <c r="CNR5" s="8"/>
      <c r="CNS5" s="8"/>
      <c r="CNT5" s="8"/>
      <c r="CNU5" s="8"/>
      <c r="CNV5" s="8"/>
      <c r="CNW5" s="8"/>
      <c r="CNX5" s="8"/>
      <c r="CNY5" s="8"/>
      <c r="CNZ5" s="8"/>
      <c r="COA5" s="8"/>
      <c r="COB5" s="8"/>
      <c r="COC5" s="8"/>
      <c r="COD5" s="8"/>
      <c r="COE5" s="8"/>
      <c r="COF5" s="8"/>
      <c r="COG5" s="8"/>
      <c r="COH5" s="8"/>
      <c r="COI5" s="8"/>
      <c r="COJ5" s="8"/>
      <c r="COK5" s="8"/>
      <c r="COL5" s="8"/>
      <c r="COM5" s="8"/>
      <c r="CON5" s="8"/>
      <c r="COO5" s="8"/>
      <c r="COP5" s="8"/>
      <c r="COQ5" s="8"/>
      <c r="COR5" s="8"/>
      <c r="COS5" s="8"/>
      <c r="COT5" s="8"/>
      <c r="COU5" s="8"/>
      <c r="COV5" s="8"/>
      <c r="COW5" s="8"/>
      <c r="COX5" s="8"/>
      <c r="COY5" s="8"/>
      <c r="COZ5" s="8"/>
      <c r="CPA5" s="8"/>
      <c r="CPB5" s="8"/>
      <c r="CPC5" s="8"/>
      <c r="CPD5" s="8"/>
      <c r="CPE5" s="8"/>
      <c r="CPF5" s="8"/>
      <c r="CPG5" s="8"/>
      <c r="CPH5" s="8"/>
      <c r="CPI5" s="8"/>
      <c r="CPJ5" s="8"/>
      <c r="CPK5" s="8"/>
      <c r="CPL5" s="8"/>
      <c r="CPM5" s="8"/>
      <c r="CPN5" s="8"/>
      <c r="CPO5" s="8"/>
      <c r="CPP5" s="8"/>
      <c r="CPQ5" s="8"/>
      <c r="CPR5" s="8"/>
      <c r="CPS5" s="8"/>
      <c r="CPT5" s="8"/>
      <c r="CPU5" s="8"/>
      <c r="CPV5" s="8"/>
      <c r="CPW5" s="8"/>
      <c r="CPX5" s="8"/>
      <c r="CPY5" s="8"/>
      <c r="CPZ5" s="8"/>
      <c r="CQA5" s="8"/>
      <c r="CQB5" s="8"/>
      <c r="CQC5" s="8"/>
      <c r="CQD5" s="8"/>
      <c r="CQE5" s="8"/>
      <c r="CQF5" s="8"/>
      <c r="CQG5" s="8"/>
      <c r="CQH5" s="8"/>
      <c r="CQI5" s="8"/>
      <c r="CQJ5" s="8"/>
      <c r="CQK5" s="8"/>
      <c r="CQL5" s="8"/>
      <c r="CQM5" s="8"/>
      <c r="CQN5" s="8"/>
      <c r="CQO5" s="8"/>
      <c r="CQP5" s="8"/>
      <c r="CQQ5" s="8"/>
      <c r="CQR5" s="8"/>
      <c r="CQS5" s="8"/>
      <c r="CQT5" s="8"/>
      <c r="CQU5" s="8"/>
      <c r="CQV5" s="8"/>
      <c r="CQW5" s="8"/>
      <c r="CQX5" s="8"/>
      <c r="CQY5" s="8"/>
      <c r="CQZ5" s="8"/>
      <c r="CRA5" s="8"/>
      <c r="CRB5" s="8"/>
      <c r="CRC5" s="8"/>
      <c r="CRD5" s="8"/>
      <c r="CRE5" s="8"/>
      <c r="CRF5" s="8"/>
      <c r="CRG5" s="8"/>
      <c r="CRH5" s="8"/>
      <c r="CRI5" s="8"/>
      <c r="CRJ5" s="8"/>
      <c r="CRK5" s="8"/>
      <c r="CRL5" s="8"/>
      <c r="CRM5" s="8"/>
      <c r="CRN5" s="8"/>
      <c r="CRO5" s="8"/>
      <c r="CRP5" s="8"/>
      <c r="CRQ5" s="8"/>
      <c r="CRR5" s="8"/>
      <c r="CRS5" s="8"/>
      <c r="CRT5" s="8"/>
      <c r="CRU5" s="8"/>
      <c r="CRV5" s="8"/>
      <c r="CRW5" s="8"/>
      <c r="CRX5" s="8"/>
      <c r="CRY5" s="8"/>
      <c r="CRZ5" s="8"/>
      <c r="CSA5" s="8"/>
      <c r="CSB5" s="8"/>
      <c r="CSC5" s="8"/>
      <c r="CSD5" s="8"/>
      <c r="CSE5" s="8"/>
      <c r="CSF5" s="8"/>
      <c r="CSG5" s="8"/>
      <c r="CSH5" s="8"/>
      <c r="CSI5" s="8"/>
      <c r="CSJ5" s="8"/>
      <c r="CSK5" s="8"/>
      <c r="CSL5" s="8"/>
      <c r="CSM5" s="8"/>
      <c r="CSN5" s="8"/>
      <c r="CSO5" s="8"/>
      <c r="CSP5" s="8"/>
      <c r="CSQ5" s="8"/>
      <c r="CSR5" s="8"/>
      <c r="CSS5" s="8"/>
      <c r="CST5" s="8"/>
      <c r="CSU5" s="8"/>
      <c r="CSV5" s="8"/>
      <c r="CSW5" s="8"/>
      <c r="CSX5" s="8"/>
      <c r="CSY5" s="8"/>
      <c r="CSZ5" s="8"/>
      <c r="CTA5" s="8"/>
      <c r="CTB5" s="8"/>
      <c r="CTC5" s="8"/>
      <c r="CTD5" s="8"/>
      <c r="CTE5" s="8"/>
      <c r="CTF5" s="8"/>
      <c r="CTG5" s="8"/>
      <c r="CTH5" s="8"/>
      <c r="CTI5" s="8"/>
      <c r="CTJ5" s="8"/>
      <c r="CTK5" s="8"/>
      <c r="CTL5" s="8"/>
      <c r="CTM5" s="8"/>
      <c r="CTN5" s="8"/>
      <c r="CTO5" s="8"/>
      <c r="CTP5" s="8"/>
      <c r="CTQ5" s="8"/>
      <c r="CTR5" s="8"/>
      <c r="CTS5" s="8"/>
      <c r="CTT5" s="8"/>
      <c r="CTU5" s="8"/>
      <c r="CTV5" s="8"/>
      <c r="CTW5" s="8"/>
      <c r="CTX5" s="8"/>
      <c r="CTY5" s="8"/>
      <c r="CTZ5" s="8"/>
      <c r="CUA5" s="8"/>
      <c r="CUB5" s="8"/>
      <c r="CUC5" s="8"/>
      <c r="CUD5" s="8"/>
      <c r="CUE5" s="8"/>
      <c r="CUF5" s="8"/>
      <c r="CUG5" s="8"/>
      <c r="CUH5" s="8"/>
      <c r="CUI5" s="8"/>
      <c r="CUJ5" s="8"/>
      <c r="CUK5" s="8"/>
      <c r="CUL5" s="8"/>
      <c r="CUM5" s="8"/>
      <c r="CUN5" s="8"/>
      <c r="CUO5" s="8"/>
      <c r="CUP5" s="8"/>
      <c r="CUQ5" s="8"/>
      <c r="CUR5" s="8"/>
      <c r="CUS5" s="8"/>
      <c r="CUT5" s="8"/>
      <c r="CUU5" s="8"/>
      <c r="CUV5" s="8"/>
      <c r="CUW5" s="8"/>
      <c r="CUX5" s="8"/>
      <c r="CUY5" s="8"/>
      <c r="CUZ5" s="8"/>
      <c r="CVA5" s="8"/>
      <c r="CVB5" s="8"/>
      <c r="CVC5" s="8"/>
      <c r="CVD5" s="8"/>
      <c r="CVE5" s="8"/>
      <c r="CVF5" s="8"/>
      <c r="CVG5" s="8"/>
      <c r="CVH5" s="8"/>
      <c r="CVI5" s="8"/>
      <c r="CVJ5" s="8"/>
      <c r="CVK5" s="8"/>
      <c r="CVL5" s="8"/>
      <c r="CVM5" s="8"/>
      <c r="CVN5" s="8"/>
      <c r="CVO5" s="8"/>
      <c r="CVP5" s="8"/>
      <c r="CVQ5" s="8"/>
      <c r="CVR5" s="8"/>
      <c r="CVS5" s="8"/>
      <c r="CVT5" s="8"/>
      <c r="CVU5" s="8"/>
      <c r="CVV5" s="8"/>
      <c r="CVW5" s="8"/>
      <c r="CVX5" s="8"/>
      <c r="CVY5" s="8"/>
      <c r="CVZ5" s="8"/>
      <c r="CWA5" s="8"/>
      <c r="CWB5" s="8"/>
      <c r="CWC5" s="8"/>
      <c r="CWD5" s="8"/>
      <c r="CWE5" s="8"/>
      <c r="CWF5" s="8"/>
      <c r="CWG5" s="8"/>
      <c r="CWH5" s="8"/>
      <c r="CWI5" s="8"/>
      <c r="CWJ5" s="8"/>
      <c r="CWK5" s="8"/>
      <c r="CWL5" s="8"/>
      <c r="CWM5" s="8"/>
      <c r="CWN5" s="8"/>
      <c r="CWO5" s="8"/>
      <c r="CWP5" s="8"/>
      <c r="CWQ5" s="8"/>
      <c r="CWR5" s="8"/>
      <c r="CWS5" s="8"/>
      <c r="CWT5" s="8"/>
      <c r="CWU5" s="8"/>
      <c r="CWV5" s="8"/>
      <c r="CWW5" s="8"/>
      <c r="CWX5" s="8"/>
      <c r="CWY5" s="8"/>
      <c r="CWZ5" s="8"/>
      <c r="CXA5" s="8"/>
      <c r="CXB5" s="8"/>
      <c r="CXC5" s="8"/>
      <c r="CXD5" s="8"/>
      <c r="CXE5" s="8"/>
      <c r="CXF5" s="8"/>
      <c r="CXG5" s="8"/>
      <c r="CXH5" s="8"/>
      <c r="CXI5" s="8"/>
      <c r="CXJ5" s="8"/>
      <c r="CXK5" s="8"/>
      <c r="CXL5" s="8"/>
      <c r="CXM5" s="8"/>
      <c r="CXN5" s="8"/>
      <c r="CXO5" s="8"/>
      <c r="CXP5" s="8"/>
      <c r="CXQ5" s="8"/>
      <c r="CXR5" s="8"/>
      <c r="CXS5" s="8"/>
      <c r="CXT5" s="8"/>
      <c r="CXU5" s="8"/>
      <c r="CXV5" s="8"/>
      <c r="CXW5" s="8"/>
      <c r="CXX5" s="8"/>
      <c r="CXY5" s="8"/>
      <c r="CXZ5" s="8"/>
      <c r="CYA5" s="8"/>
      <c r="CYB5" s="8"/>
      <c r="CYC5" s="8"/>
      <c r="CYD5" s="8"/>
      <c r="CYE5" s="8"/>
      <c r="CYF5" s="8"/>
      <c r="CYG5" s="8"/>
      <c r="CYH5" s="8"/>
      <c r="CYI5" s="8"/>
      <c r="CYJ5" s="8"/>
      <c r="CYK5" s="8"/>
      <c r="CYL5" s="8"/>
      <c r="CYM5" s="8"/>
      <c r="CYN5" s="8"/>
      <c r="CYO5" s="8"/>
      <c r="CYP5" s="8"/>
      <c r="CYQ5" s="8"/>
      <c r="CYR5" s="8"/>
      <c r="CYS5" s="8"/>
      <c r="CYT5" s="8"/>
      <c r="CYU5" s="8"/>
      <c r="CYV5" s="8"/>
      <c r="CYW5" s="8"/>
      <c r="CYX5" s="8"/>
      <c r="CYY5" s="8"/>
      <c r="CYZ5" s="8"/>
      <c r="CZA5" s="8"/>
      <c r="CZB5" s="8"/>
      <c r="CZC5" s="8"/>
      <c r="CZD5" s="8"/>
      <c r="CZE5" s="8"/>
      <c r="CZF5" s="8"/>
      <c r="CZG5" s="8"/>
      <c r="CZH5" s="8"/>
      <c r="CZI5" s="8"/>
      <c r="CZJ5" s="8"/>
      <c r="CZK5" s="8"/>
      <c r="CZL5" s="8"/>
      <c r="CZM5" s="8"/>
      <c r="CZN5" s="8"/>
      <c r="CZO5" s="8"/>
      <c r="CZP5" s="8"/>
      <c r="CZQ5" s="8"/>
      <c r="CZR5" s="8"/>
      <c r="CZS5" s="8"/>
      <c r="CZT5" s="8"/>
      <c r="CZU5" s="8"/>
      <c r="CZV5" s="8"/>
      <c r="CZW5" s="8"/>
      <c r="CZX5" s="8"/>
      <c r="CZY5" s="8"/>
      <c r="CZZ5" s="8"/>
      <c r="DAA5" s="8"/>
      <c r="DAB5" s="8"/>
      <c r="DAC5" s="8"/>
      <c r="DAD5" s="8"/>
      <c r="DAE5" s="8"/>
      <c r="DAF5" s="8"/>
      <c r="DAG5" s="8"/>
      <c r="DAH5" s="8"/>
      <c r="DAI5" s="8"/>
      <c r="DAJ5" s="8"/>
      <c r="DAK5" s="8"/>
      <c r="DAL5" s="8"/>
      <c r="DAM5" s="8"/>
      <c r="DAN5" s="8"/>
      <c r="DAO5" s="8"/>
      <c r="DAP5" s="8"/>
      <c r="DAQ5" s="8"/>
      <c r="DAR5" s="8"/>
      <c r="DAS5" s="8"/>
      <c r="DAT5" s="8"/>
      <c r="DAU5" s="8"/>
      <c r="DAV5" s="8"/>
      <c r="DAW5" s="8"/>
      <c r="DAX5" s="8"/>
      <c r="DAY5" s="8"/>
      <c r="DAZ5" s="8"/>
      <c r="DBA5" s="8"/>
      <c r="DBB5" s="8"/>
      <c r="DBC5" s="8"/>
      <c r="DBD5" s="8"/>
      <c r="DBE5" s="8"/>
      <c r="DBF5" s="8"/>
      <c r="DBG5" s="8"/>
      <c r="DBH5" s="8"/>
      <c r="DBI5" s="8"/>
      <c r="DBJ5" s="8"/>
      <c r="DBK5" s="8"/>
      <c r="DBL5" s="8"/>
      <c r="DBM5" s="8"/>
      <c r="DBN5" s="8"/>
      <c r="DBO5" s="8"/>
      <c r="DBP5" s="8"/>
      <c r="DBQ5" s="8"/>
      <c r="DBR5" s="8"/>
      <c r="DBS5" s="8"/>
      <c r="DBT5" s="8"/>
      <c r="DBU5" s="8"/>
      <c r="DBV5" s="8"/>
      <c r="DBW5" s="8"/>
      <c r="DBX5" s="8"/>
      <c r="DBY5" s="8"/>
      <c r="DBZ5" s="8"/>
      <c r="DCA5" s="8"/>
      <c r="DCB5" s="8"/>
      <c r="DCC5" s="8"/>
      <c r="DCD5" s="8"/>
      <c r="DCE5" s="8"/>
      <c r="DCF5" s="8"/>
      <c r="DCG5" s="8"/>
      <c r="DCH5" s="8"/>
      <c r="DCI5" s="8"/>
      <c r="DCJ5" s="8"/>
      <c r="DCK5" s="8"/>
      <c r="DCL5" s="8"/>
      <c r="DCM5" s="8"/>
      <c r="DCN5" s="8"/>
      <c r="DCO5" s="8"/>
      <c r="DCP5" s="8"/>
      <c r="DCQ5" s="8"/>
      <c r="DCR5" s="8"/>
      <c r="DCS5" s="8"/>
      <c r="DCT5" s="8"/>
      <c r="DCU5" s="8"/>
      <c r="DCV5" s="8"/>
      <c r="DCW5" s="8"/>
      <c r="DCX5" s="8"/>
      <c r="DCY5" s="8"/>
      <c r="DCZ5" s="8"/>
      <c r="DDA5" s="8"/>
      <c r="DDB5" s="8"/>
      <c r="DDC5" s="8"/>
      <c r="DDD5" s="8"/>
      <c r="DDE5" s="8"/>
      <c r="DDF5" s="8"/>
      <c r="DDG5" s="8"/>
      <c r="DDH5" s="8"/>
      <c r="DDI5" s="8"/>
      <c r="DDJ5" s="8"/>
      <c r="DDK5" s="8"/>
      <c r="DDL5" s="8"/>
      <c r="DDM5" s="8"/>
      <c r="DDN5" s="8"/>
      <c r="DDO5" s="8"/>
      <c r="DDP5" s="8"/>
      <c r="DDQ5" s="8"/>
      <c r="DDR5" s="8"/>
      <c r="DDS5" s="8"/>
      <c r="DDT5" s="8"/>
      <c r="DDU5" s="8"/>
      <c r="DDV5" s="8"/>
      <c r="DDW5" s="8"/>
      <c r="DDX5" s="8"/>
      <c r="DDY5" s="8"/>
      <c r="DDZ5" s="8"/>
      <c r="DEA5" s="8"/>
      <c r="DEB5" s="8"/>
      <c r="DEC5" s="8"/>
      <c r="DED5" s="8"/>
      <c r="DEE5" s="8"/>
      <c r="DEF5" s="8"/>
      <c r="DEG5" s="8"/>
      <c r="DEH5" s="8"/>
      <c r="DEI5" s="8"/>
      <c r="DEJ5" s="8"/>
      <c r="DEK5" s="8"/>
      <c r="DEL5" s="8"/>
      <c r="DEM5" s="8"/>
      <c r="DEN5" s="8"/>
      <c r="DEO5" s="8"/>
      <c r="DEP5" s="8"/>
      <c r="DEQ5" s="8"/>
      <c r="DER5" s="8"/>
      <c r="DES5" s="8"/>
      <c r="DET5" s="8"/>
      <c r="DEU5" s="8"/>
      <c r="DEV5" s="8"/>
      <c r="DEW5" s="8"/>
      <c r="DEX5" s="8"/>
      <c r="DEY5" s="8"/>
      <c r="DEZ5" s="8"/>
      <c r="DFA5" s="8"/>
      <c r="DFB5" s="8"/>
      <c r="DFC5" s="8"/>
      <c r="DFD5" s="8"/>
      <c r="DFE5" s="8"/>
      <c r="DFF5" s="8"/>
      <c r="DFG5" s="8"/>
      <c r="DFH5" s="8"/>
      <c r="DFI5" s="8"/>
      <c r="DFJ5" s="8"/>
      <c r="DFK5" s="8"/>
      <c r="DFL5" s="8"/>
      <c r="DFM5" s="8"/>
      <c r="DFN5" s="8"/>
      <c r="DFO5" s="8"/>
      <c r="DFP5" s="8"/>
      <c r="DFQ5" s="8"/>
      <c r="DFR5" s="8"/>
      <c r="DFS5" s="8"/>
      <c r="DFT5" s="8"/>
      <c r="DFU5" s="8"/>
      <c r="DFV5" s="8"/>
      <c r="DFW5" s="8"/>
      <c r="DFX5" s="8"/>
      <c r="DFY5" s="8"/>
      <c r="DFZ5" s="8"/>
      <c r="DGA5" s="8"/>
      <c r="DGB5" s="8"/>
      <c r="DGC5" s="8"/>
      <c r="DGD5" s="8"/>
      <c r="DGE5" s="8"/>
      <c r="DGF5" s="8"/>
      <c r="DGG5" s="8"/>
      <c r="DGH5" s="8"/>
      <c r="DGI5" s="8"/>
      <c r="DGJ5" s="8"/>
      <c r="DGK5" s="8"/>
      <c r="DGL5" s="8"/>
      <c r="DGM5" s="8"/>
      <c r="DGN5" s="8"/>
      <c r="DGO5" s="8"/>
      <c r="DGP5" s="8"/>
      <c r="DGQ5" s="8"/>
      <c r="DGR5" s="8"/>
      <c r="DGS5" s="8"/>
      <c r="DGT5" s="8"/>
      <c r="DGU5" s="8"/>
      <c r="DGV5" s="8"/>
      <c r="DGW5" s="8"/>
      <c r="DGX5" s="8"/>
      <c r="DGY5" s="8"/>
      <c r="DGZ5" s="8"/>
      <c r="DHA5" s="8"/>
      <c r="DHB5" s="8"/>
      <c r="DHC5" s="8"/>
      <c r="DHD5" s="8"/>
      <c r="DHE5" s="8"/>
      <c r="DHF5" s="8"/>
      <c r="DHG5" s="8"/>
      <c r="DHH5" s="8"/>
      <c r="DHI5" s="8"/>
      <c r="DHJ5" s="8"/>
      <c r="DHK5" s="8"/>
      <c r="DHL5" s="8"/>
      <c r="DHM5" s="8"/>
      <c r="DHN5" s="8"/>
      <c r="DHO5" s="8"/>
      <c r="DHP5" s="8"/>
      <c r="DHQ5" s="8"/>
      <c r="DHR5" s="8"/>
      <c r="DHS5" s="8"/>
      <c r="DHT5" s="8"/>
      <c r="DHU5" s="8"/>
      <c r="DHV5" s="8"/>
      <c r="DHW5" s="8"/>
      <c r="DHX5" s="8"/>
      <c r="DHY5" s="8"/>
      <c r="DHZ5" s="8"/>
      <c r="DIA5" s="8"/>
      <c r="DIB5" s="8"/>
      <c r="DIC5" s="8"/>
      <c r="DID5" s="8"/>
      <c r="DIE5" s="8"/>
      <c r="DIF5" s="8"/>
      <c r="DIG5" s="8"/>
      <c r="DIH5" s="8"/>
      <c r="DII5" s="8"/>
      <c r="DIJ5" s="8"/>
      <c r="DIK5" s="8"/>
      <c r="DIL5" s="8"/>
      <c r="DIM5" s="8"/>
      <c r="DIN5" s="8"/>
      <c r="DIO5" s="8"/>
      <c r="DIP5" s="8"/>
      <c r="DIQ5" s="8"/>
      <c r="DIR5" s="8"/>
      <c r="DIS5" s="8"/>
      <c r="DIT5" s="8"/>
      <c r="DIU5" s="8"/>
      <c r="DIV5" s="8"/>
      <c r="DIW5" s="8"/>
      <c r="DIX5" s="8"/>
      <c r="DIY5" s="8"/>
      <c r="DIZ5" s="8"/>
      <c r="DJA5" s="8"/>
      <c r="DJB5" s="8"/>
      <c r="DJC5" s="8"/>
      <c r="DJD5" s="8"/>
      <c r="DJE5" s="8"/>
      <c r="DJF5" s="8"/>
      <c r="DJG5" s="8"/>
      <c r="DJH5" s="8"/>
      <c r="DJI5" s="8"/>
      <c r="DJJ5" s="8"/>
      <c r="DJK5" s="8"/>
      <c r="DJL5" s="8"/>
      <c r="DJM5" s="8"/>
      <c r="DJN5" s="8"/>
      <c r="DJO5" s="8"/>
      <c r="DJP5" s="8"/>
      <c r="DJQ5" s="8"/>
      <c r="DJR5" s="8"/>
      <c r="DJS5" s="8"/>
      <c r="DJT5" s="8"/>
      <c r="DJU5" s="8"/>
      <c r="DJV5" s="8"/>
      <c r="DJW5" s="8"/>
      <c r="DJX5" s="8"/>
      <c r="DJY5" s="8"/>
      <c r="DJZ5" s="8"/>
      <c r="DKA5" s="8"/>
      <c r="DKB5" s="8"/>
      <c r="DKC5" s="8"/>
      <c r="DKD5" s="8"/>
      <c r="DKE5" s="8"/>
      <c r="DKF5" s="8"/>
      <c r="DKG5" s="8"/>
      <c r="DKH5" s="8"/>
      <c r="DKI5" s="8"/>
      <c r="DKJ5" s="8"/>
      <c r="DKK5" s="8"/>
      <c r="DKL5" s="8"/>
      <c r="DKM5" s="8"/>
      <c r="DKN5" s="8"/>
      <c r="DKO5" s="8"/>
      <c r="DKP5" s="8"/>
      <c r="DKQ5" s="8"/>
      <c r="DKR5" s="8"/>
      <c r="DKS5" s="8"/>
      <c r="DKT5" s="8"/>
      <c r="DKU5" s="8"/>
      <c r="DKV5" s="8"/>
      <c r="DKW5" s="8"/>
      <c r="DKX5" s="8"/>
      <c r="DKY5" s="8"/>
      <c r="DKZ5" s="8"/>
      <c r="DLA5" s="8"/>
      <c r="DLB5" s="8"/>
      <c r="DLC5" s="8"/>
      <c r="DLD5" s="8"/>
      <c r="DLE5" s="8"/>
      <c r="DLF5" s="8"/>
      <c r="DLG5" s="8"/>
      <c r="DLH5" s="8"/>
      <c r="DLI5" s="8"/>
      <c r="DLJ5" s="8"/>
      <c r="DLK5" s="8"/>
      <c r="DLL5" s="8"/>
      <c r="DLM5" s="8"/>
      <c r="DLN5" s="8"/>
      <c r="DLO5" s="8"/>
      <c r="DLP5" s="8"/>
      <c r="DLQ5" s="8"/>
      <c r="DLR5" s="8"/>
      <c r="DLS5" s="8"/>
      <c r="DLT5" s="8"/>
      <c r="DLU5" s="8"/>
      <c r="DLV5" s="8"/>
      <c r="DLW5" s="8"/>
      <c r="DLX5" s="8"/>
      <c r="DLY5" s="8"/>
      <c r="DLZ5" s="8"/>
      <c r="DMA5" s="8"/>
      <c r="DMB5" s="8"/>
      <c r="DMC5" s="8"/>
      <c r="DMD5" s="8"/>
      <c r="DME5" s="8"/>
      <c r="DMF5" s="8"/>
      <c r="DMG5" s="8"/>
      <c r="DMH5" s="8"/>
      <c r="DMI5" s="8"/>
      <c r="DMJ5" s="8"/>
      <c r="DMK5" s="8"/>
      <c r="DML5" s="8"/>
      <c r="DMM5" s="8"/>
      <c r="DMN5" s="8"/>
      <c r="DMO5" s="8"/>
      <c r="DMP5" s="8"/>
      <c r="DMQ5" s="8"/>
      <c r="DMR5" s="8"/>
      <c r="DMS5" s="8"/>
      <c r="DMT5" s="8"/>
      <c r="DMU5" s="8"/>
      <c r="DMV5" s="8"/>
      <c r="DMW5" s="8"/>
      <c r="DMX5" s="8"/>
      <c r="DMY5" s="8"/>
      <c r="DMZ5" s="8"/>
      <c r="DNA5" s="8"/>
      <c r="DNB5" s="8"/>
      <c r="DNC5" s="8"/>
      <c r="DND5" s="8"/>
      <c r="DNE5" s="8"/>
      <c r="DNF5" s="8"/>
      <c r="DNG5" s="8"/>
      <c r="DNH5" s="8"/>
      <c r="DNI5" s="8"/>
      <c r="DNJ5" s="8"/>
      <c r="DNK5" s="8"/>
      <c r="DNL5" s="8"/>
      <c r="DNM5" s="8"/>
      <c r="DNN5" s="8"/>
      <c r="DNO5" s="8"/>
      <c r="DNP5" s="8"/>
      <c r="DNQ5" s="8"/>
      <c r="DNR5" s="8"/>
      <c r="DNS5" s="8"/>
      <c r="DNT5" s="8"/>
      <c r="DNU5" s="8"/>
      <c r="DNV5" s="8"/>
      <c r="DNW5" s="8"/>
      <c r="DNX5" s="8"/>
      <c r="DNY5" s="8"/>
      <c r="DNZ5" s="8"/>
      <c r="DOA5" s="8"/>
      <c r="DOB5" s="8"/>
      <c r="DOC5" s="8"/>
      <c r="DOD5" s="8"/>
      <c r="DOE5" s="8"/>
      <c r="DOF5" s="8"/>
      <c r="DOG5" s="8"/>
      <c r="DOH5" s="8"/>
      <c r="DOI5" s="8"/>
      <c r="DOJ5" s="8"/>
      <c r="DOK5" s="8"/>
      <c r="DOL5" s="8"/>
      <c r="DOM5" s="8"/>
      <c r="DON5" s="8"/>
      <c r="DOO5" s="8"/>
      <c r="DOP5" s="8"/>
      <c r="DOQ5" s="8"/>
      <c r="DOR5" s="8"/>
      <c r="DOS5" s="8"/>
      <c r="DOT5" s="8"/>
      <c r="DOU5" s="8"/>
      <c r="DOV5" s="8"/>
      <c r="DOW5" s="8"/>
      <c r="DOX5" s="8"/>
      <c r="DOY5" s="8"/>
      <c r="DOZ5" s="8"/>
      <c r="DPA5" s="8"/>
      <c r="DPB5" s="8"/>
      <c r="DPC5" s="8"/>
      <c r="DPD5" s="8"/>
      <c r="DPE5" s="8"/>
      <c r="DPF5" s="8"/>
      <c r="DPG5" s="8"/>
      <c r="DPH5" s="8"/>
      <c r="DPI5" s="8"/>
      <c r="DPJ5" s="8"/>
      <c r="DPK5" s="8"/>
      <c r="DPL5" s="8"/>
      <c r="DPM5" s="8"/>
      <c r="DPN5" s="8"/>
      <c r="DPO5" s="8"/>
      <c r="DPP5" s="8"/>
      <c r="DPQ5" s="8"/>
      <c r="DPR5" s="8"/>
      <c r="DPS5" s="8"/>
      <c r="DPT5" s="8"/>
      <c r="DPU5" s="8"/>
      <c r="DPV5" s="8"/>
      <c r="DPW5" s="8"/>
      <c r="DPX5" s="8"/>
      <c r="DPY5" s="8"/>
      <c r="DPZ5" s="8"/>
      <c r="DQA5" s="8"/>
      <c r="DQB5" s="8"/>
      <c r="DQC5" s="8"/>
      <c r="DQD5" s="8"/>
      <c r="DQE5" s="8"/>
      <c r="DQF5" s="8"/>
      <c r="DQG5" s="8"/>
      <c r="DQH5" s="8"/>
      <c r="DQI5" s="8"/>
      <c r="DQJ5" s="8"/>
      <c r="DQK5" s="8"/>
      <c r="DQL5" s="8"/>
      <c r="DQM5" s="8"/>
      <c r="DQN5" s="8"/>
      <c r="DQO5" s="8"/>
      <c r="DQP5" s="8"/>
      <c r="DQQ5" s="8"/>
      <c r="DQR5" s="8"/>
      <c r="DQS5" s="8"/>
      <c r="DQT5" s="8"/>
      <c r="DQU5" s="8"/>
      <c r="DQV5" s="8"/>
      <c r="DQW5" s="8"/>
      <c r="DQX5" s="8"/>
      <c r="DQY5" s="8"/>
      <c r="DQZ5" s="8"/>
      <c r="DRA5" s="8"/>
      <c r="DRB5" s="8"/>
      <c r="DRC5" s="8"/>
      <c r="DRD5" s="8"/>
      <c r="DRE5" s="8"/>
      <c r="DRF5" s="8"/>
      <c r="DRG5" s="8"/>
      <c r="DRH5" s="8"/>
      <c r="DRI5" s="8"/>
      <c r="DRJ5" s="8"/>
      <c r="DRK5" s="8"/>
      <c r="DRL5" s="8"/>
      <c r="DRM5" s="8"/>
      <c r="DRN5" s="8"/>
      <c r="DRO5" s="8"/>
      <c r="DRP5" s="8"/>
      <c r="DRQ5" s="8"/>
      <c r="DRR5" s="8"/>
      <c r="DRS5" s="8"/>
      <c r="DRT5" s="8"/>
      <c r="DRU5" s="8"/>
      <c r="DRV5" s="8"/>
      <c r="DRW5" s="8"/>
      <c r="DRX5" s="8"/>
      <c r="DRY5" s="8"/>
      <c r="DRZ5" s="8"/>
      <c r="DSA5" s="8"/>
      <c r="DSB5" s="8"/>
      <c r="DSC5" s="8"/>
      <c r="DSD5" s="8"/>
      <c r="DSE5" s="8"/>
      <c r="DSF5" s="8"/>
      <c r="DSG5" s="8"/>
      <c r="DSH5" s="8"/>
      <c r="DSI5" s="8"/>
      <c r="DSJ5" s="8"/>
      <c r="DSK5" s="8"/>
      <c r="DSL5" s="8"/>
      <c r="DSM5" s="8"/>
      <c r="DSN5" s="8"/>
      <c r="DSO5" s="8"/>
      <c r="DSP5" s="8"/>
      <c r="DSQ5" s="8"/>
      <c r="DSR5" s="8"/>
      <c r="DSS5" s="8"/>
      <c r="DST5" s="8"/>
      <c r="DSU5" s="8"/>
      <c r="DSV5" s="8"/>
      <c r="DSW5" s="8"/>
      <c r="DSX5" s="8"/>
      <c r="DSY5" s="8"/>
      <c r="DSZ5" s="8"/>
      <c r="DTA5" s="8"/>
      <c r="DTB5" s="8"/>
      <c r="DTC5" s="8"/>
      <c r="DTD5" s="8"/>
      <c r="DTE5" s="8"/>
      <c r="DTF5" s="8"/>
      <c r="DTG5" s="8"/>
      <c r="DTH5" s="8"/>
      <c r="DTI5" s="8"/>
      <c r="DTJ5" s="8"/>
      <c r="DTK5" s="8"/>
      <c r="DTL5" s="8"/>
      <c r="DTM5" s="8"/>
      <c r="DTN5" s="8"/>
      <c r="DTO5" s="8"/>
      <c r="DTP5" s="8"/>
      <c r="DTQ5" s="8"/>
      <c r="DTR5" s="8"/>
      <c r="DTS5" s="8"/>
      <c r="DTT5" s="8"/>
      <c r="DTU5" s="8"/>
      <c r="DTV5" s="8"/>
      <c r="DTW5" s="8"/>
      <c r="DTX5" s="8"/>
      <c r="DTY5" s="8"/>
      <c r="DTZ5" s="8"/>
      <c r="DUA5" s="8"/>
      <c r="DUB5" s="8"/>
      <c r="DUC5" s="8"/>
      <c r="DUD5" s="8"/>
      <c r="DUE5" s="8"/>
      <c r="DUF5" s="8"/>
      <c r="DUG5" s="8"/>
      <c r="DUH5" s="8"/>
      <c r="DUI5" s="8"/>
      <c r="DUJ5" s="8"/>
      <c r="DUK5" s="8"/>
      <c r="DUL5" s="8"/>
      <c r="DUM5" s="8"/>
      <c r="DUN5" s="8"/>
      <c r="DUO5" s="8"/>
      <c r="DUP5" s="8"/>
      <c r="DUQ5" s="8"/>
      <c r="DUR5" s="8"/>
      <c r="DUS5" s="8"/>
      <c r="DUT5" s="8"/>
      <c r="DUU5" s="8"/>
      <c r="DUV5" s="8"/>
      <c r="DUW5" s="8"/>
      <c r="DUX5" s="8"/>
      <c r="DUY5" s="8"/>
      <c r="DUZ5" s="8"/>
      <c r="DVA5" s="8"/>
      <c r="DVB5" s="8"/>
      <c r="DVC5" s="8"/>
      <c r="DVD5" s="8"/>
      <c r="DVE5" s="8"/>
      <c r="DVF5" s="8"/>
      <c r="DVG5" s="8"/>
      <c r="DVH5" s="8"/>
      <c r="DVI5" s="8"/>
      <c r="DVJ5" s="8"/>
      <c r="DVK5" s="8"/>
      <c r="DVL5" s="8"/>
      <c r="DVM5" s="8"/>
      <c r="DVN5" s="8"/>
      <c r="DVO5" s="8"/>
      <c r="DVP5" s="8"/>
      <c r="DVQ5" s="8"/>
      <c r="DVR5" s="8"/>
      <c r="DVS5" s="8"/>
      <c r="DVT5" s="8"/>
      <c r="DVU5" s="8"/>
      <c r="DVV5" s="8"/>
      <c r="DVW5" s="8"/>
      <c r="DVX5" s="8"/>
      <c r="DVY5" s="8"/>
      <c r="DVZ5" s="8"/>
      <c r="DWA5" s="8"/>
      <c r="DWB5" s="8"/>
      <c r="DWC5" s="8"/>
      <c r="DWD5" s="8"/>
      <c r="DWE5" s="8"/>
      <c r="DWF5" s="8"/>
      <c r="DWG5" s="8"/>
      <c r="DWH5" s="8"/>
      <c r="DWI5" s="8"/>
      <c r="DWJ5" s="8"/>
      <c r="DWK5" s="8"/>
      <c r="DWL5" s="8"/>
      <c r="DWM5" s="8"/>
      <c r="DWN5" s="8"/>
      <c r="DWO5" s="8"/>
      <c r="DWP5" s="8"/>
      <c r="DWQ5" s="8"/>
      <c r="DWR5" s="8"/>
      <c r="DWS5" s="8"/>
      <c r="DWT5" s="8"/>
      <c r="DWU5" s="8"/>
      <c r="DWV5" s="8"/>
      <c r="DWW5" s="8"/>
      <c r="DWX5" s="8"/>
      <c r="DWY5" s="8"/>
      <c r="DWZ5" s="8"/>
      <c r="DXA5" s="8"/>
      <c r="DXB5" s="8"/>
      <c r="DXC5" s="8"/>
      <c r="DXD5" s="8"/>
      <c r="DXE5" s="8"/>
      <c r="DXF5" s="8"/>
      <c r="DXG5" s="8"/>
      <c r="DXH5" s="8"/>
      <c r="DXI5" s="8"/>
      <c r="DXJ5" s="8"/>
      <c r="DXK5" s="8"/>
      <c r="DXL5" s="8"/>
      <c r="DXM5" s="8"/>
      <c r="DXN5" s="8"/>
      <c r="DXO5" s="8"/>
      <c r="DXP5" s="8"/>
      <c r="DXQ5" s="8"/>
      <c r="DXR5" s="8"/>
      <c r="DXS5" s="8"/>
      <c r="DXT5" s="8"/>
      <c r="DXU5" s="8"/>
      <c r="DXV5" s="8"/>
      <c r="DXW5" s="8"/>
      <c r="DXX5" s="8"/>
      <c r="DXY5" s="8"/>
      <c r="DXZ5" s="8"/>
      <c r="DYA5" s="8"/>
      <c r="DYB5" s="8"/>
      <c r="DYC5" s="8"/>
      <c r="DYD5" s="8"/>
      <c r="DYE5" s="8"/>
      <c r="DYF5" s="8"/>
      <c r="DYG5" s="8"/>
      <c r="DYH5" s="8"/>
      <c r="DYI5" s="8"/>
      <c r="DYJ5" s="8"/>
      <c r="DYK5" s="8"/>
      <c r="DYL5" s="8"/>
      <c r="DYM5" s="8"/>
      <c r="DYN5" s="8"/>
      <c r="DYO5" s="8"/>
      <c r="DYP5" s="8"/>
      <c r="DYQ5" s="8"/>
      <c r="DYR5" s="8"/>
      <c r="DYS5" s="8"/>
      <c r="DYT5" s="8"/>
      <c r="DYU5" s="8"/>
      <c r="DYV5" s="8"/>
      <c r="DYW5" s="8"/>
      <c r="DYX5" s="8"/>
      <c r="DYY5" s="8"/>
      <c r="DYZ5" s="8"/>
      <c r="DZA5" s="8"/>
      <c r="DZB5" s="8"/>
      <c r="DZC5" s="8"/>
      <c r="DZD5" s="8"/>
      <c r="DZE5" s="8"/>
      <c r="DZF5" s="8"/>
      <c r="DZG5" s="8"/>
      <c r="DZH5" s="8"/>
      <c r="DZI5" s="8"/>
      <c r="DZJ5" s="8"/>
      <c r="DZK5" s="8"/>
      <c r="DZL5" s="8"/>
      <c r="DZM5" s="8"/>
      <c r="DZN5" s="8"/>
      <c r="DZO5" s="8"/>
      <c r="DZP5" s="8"/>
      <c r="DZQ5" s="8"/>
      <c r="DZR5" s="8"/>
      <c r="DZS5" s="8"/>
      <c r="DZT5" s="8"/>
      <c r="DZU5" s="8"/>
      <c r="DZV5" s="8"/>
      <c r="DZW5" s="8"/>
      <c r="DZX5" s="8"/>
      <c r="DZY5" s="8"/>
      <c r="DZZ5" s="8"/>
      <c r="EAA5" s="8"/>
      <c r="EAB5" s="8"/>
      <c r="EAC5" s="8"/>
      <c r="EAD5" s="8"/>
      <c r="EAE5" s="8"/>
      <c r="EAF5" s="8"/>
      <c r="EAG5" s="8"/>
      <c r="EAH5" s="8"/>
      <c r="EAI5" s="8"/>
      <c r="EAJ5" s="8"/>
      <c r="EAK5" s="8"/>
      <c r="EAL5" s="8"/>
      <c r="EAM5" s="8"/>
      <c r="EAN5" s="8"/>
      <c r="EAO5" s="8"/>
      <c r="EAP5" s="8"/>
      <c r="EAQ5" s="8"/>
      <c r="EAR5" s="8"/>
      <c r="EAS5" s="8"/>
      <c r="EAT5" s="8"/>
      <c r="EAU5" s="8"/>
      <c r="EAV5" s="8"/>
      <c r="EAW5" s="8"/>
      <c r="EAX5" s="8"/>
      <c r="EAY5" s="8"/>
      <c r="EAZ5" s="8"/>
      <c r="EBA5" s="8"/>
      <c r="EBB5" s="8"/>
      <c r="EBC5" s="8"/>
      <c r="EBD5" s="8"/>
      <c r="EBE5" s="8"/>
      <c r="EBF5" s="8"/>
      <c r="EBG5" s="8"/>
      <c r="EBH5" s="8"/>
      <c r="EBI5" s="8"/>
      <c r="EBJ5" s="8"/>
      <c r="EBK5" s="8"/>
      <c r="EBL5" s="8"/>
      <c r="EBM5" s="8"/>
      <c r="EBN5" s="8"/>
      <c r="EBO5" s="8"/>
      <c r="EBP5" s="8"/>
      <c r="EBQ5" s="8"/>
      <c r="EBR5" s="8"/>
      <c r="EBS5" s="8"/>
      <c r="EBT5" s="8"/>
      <c r="EBU5" s="8"/>
      <c r="EBV5" s="8"/>
      <c r="EBW5" s="8"/>
      <c r="EBX5" s="8"/>
      <c r="EBY5" s="8"/>
      <c r="EBZ5" s="8"/>
      <c r="ECA5" s="8"/>
      <c r="ECB5" s="8"/>
      <c r="ECC5" s="8"/>
      <c r="ECD5" s="8"/>
      <c r="ECE5" s="8"/>
      <c r="ECF5" s="8"/>
      <c r="ECG5" s="8"/>
      <c r="ECH5" s="8"/>
      <c r="ECI5" s="8"/>
      <c r="ECJ5" s="8"/>
      <c r="ECK5" s="8"/>
      <c r="ECL5" s="8"/>
      <c r="ECM5" s="8"/>
      <c r="ECN5" s="8"/>
      <c r="ECO5" s="8"/>
      <c r="ECP5" s="8"/>
      <c r="ECQ5" s="8"/>
      <c r="ECR5" s="8"/>
      <c r="ECS5" s="8"/>
      <c r="ECT5" s="8"/>
      <c r="ECU5" s="8"/>
      <c r="ECV5" s="8"/>
      <c r="ECW5" s="8"/>
      <c r="ECX5" s="8"/>
      <c r="ECY5" s="8"/>
      <c r="ECZ5" s="8"/>
      <c r="EDA5" s="8"/>
      <c r="EDB5" s="8"/>
      <c r="EDC5" s="8"/>
      <c r="EDD5" s="8"/>
      <c r="EDE5" s="8"/>
      <c r="EDF5" s="8"/>
      <c r="EDG5" s="8"/>
      <c r="EDH5" s="8"/>
      <c r="EDI5" s="8"/>
      <c r="EDJ5" s="8"/>
      <c r="EDK5" s="8"/>
      <c r="EDL5" s="8"/>
      <c r="EDM5" s="8"/>
      <c r="EDN5" s="8"/>
      <c r="EDO5" s="8"/>
      <c r="EDP5" s="8"/>
      <c r="EDQ5" s="8"/>
      <c r="EDR5" s="8"/>
      <c r="EDS5" s="8"/>
      <c r="EDT5" s="8"/>
      <c r="EDU5" s="8"/>
      <c r="EDV5" s="8"/>
      <c r="EDW5" s="8"/>
      <c r="EDX5" s="8"/>
      <c r="EDY5" s="8"/>
      <c r="EDZ5" s="8"/>
      <c r="EEA5" s="8"/>
      <c r="EEB5" s="8"/>
      <c r="EEC5" s="8"/>
      <c r="EED5" s="8"/>
      <c r="EEE5" s="8"/>
      <c r="EEF5" s="8"/>
      <c r="EEG5" s="8"/>
      <c r="EEH5" s="8"/>
      <c r="EEI5" s="8"/>
      <c r="EEJ5" s="8"/>
      <c r="EEK5" s="8"/>
      <c r="EEL5" s="8"/>
      <c r="EEM5" s="8"/>
      <c r="EEN5" s="8"/>
      <c r="EEO5" s="8"/>
      <c r="EEP5" s="8"/>
      <c r="EEQ5" s="8"/>
      <c r="EER5" s="8"/>
      <c r="EES5" s="8"/>
      <c r="EET5" s="8"/>
      <c r="EEU5" s="8"/>
      <c r="EEV5" s="8"/>
      <c r="EEW5" s="8"/>
      <c r="EEX5" s="8"/>
      <c r="EEY5" s="8"/>
      <c r="EEZ5" s="8"/>
      <c r="EFA5" s="8"/>
      <c r="EFB5" s="8"/>
      <c r="EFC5" s="8"/>
      <c r="EFD5" s="8"/>
      <c r="EFE5" s="8"/>
      <c r="EFF5" s="8"/>
      <c r="EFG5" s="8"/>
      <c r="EFH5" s="8"/>
      <c r="EFI5" s="8"/>
      <c r="EFJ5" s="8"/>
      <c r="EFK5" s="8"/>
      <c r="EFL5" s="8"/>
      <c r="EFM5" s="8"/>
      <c r="EFN5" s="8"/>
      <c r="EFO5" s="8"/>
      <c r="EFP5" s="8"/>
      <c r="EFQ5" s="8"/>
      <c r="EFR5" s="8"/>
      <c r="EFS5" s="8"/>
      <c r="EFT5" s="8"/>
      <c r="EFU5" s="8"/>
      <c r="EFV5" s="8"/>
      <c r="EFW5" s="8"/>
      <c r="EFX5" s="8"/>
      <c r="EFY5" s="8"/>
      <c r="EFZ5" s="8"/>
      <c r="EGA5" s="8"/>
      <c r="EGB5" s="8"/>
      <c r="EGC5" s="8"/>
      <c r="EGD5" s="8"/>
      <c r="EGE5" s="8"/>
      <c r="EGF5" s="8"/>
      <c r="EGG5" s="8"/>
      <c r="EGH5" s="8"/>
      <c r="EGI5" s="8"/>
      <c r="EGJ5" s="8"/>
      <c r="EGK5" s="8"/>
      <c r="EGL5" s="8"/>
      <c r="EGM5" s="8"/>
      <c r="EGN5" s="8"/>
      <c r="EGO5" s="8"/>
      <c r="EGP5" s="8"/>
      <c r="EGQ5" s="8"/>
      <c r="EGR5" s="8"/>
      <c r="EGS5" s="8"/>
      <c r="EGT5" s="8"/>
      <c r="EGU5" s="8"/>
      <c r="EGV5" s="8"/>
      <c r="EGW5" s="8"/>
      <c r="EGX5" s="8"/>
      <c r="EGY5" s="8"/>
      <c r="EGZ5" s="8"/>
      <c r="EHA5" s="8"/>
      <c r="EHB5" s="8"/>
      <c r="EHC5" s="8"/>
      <c r="EHD5" s="8"/>
      <c r="EHE5" s="8"/>
      <c r="EHF5" s="8"/>
      <c r="EHG5" s="8"/>
      <c r="EHH5" s="8"/>
      <c r="EHI5" s="8"/>
      <c r="EHJ5" s="8"/>
      <c r="EHK5" s="8"/>
      <c r="EHL5" s="8"/>
      <c r="EHM5" s="8"/>
      <c r="EHN5" s="8"/>
      <c r="EHO5" s="8"/>
      <c r="EHP5" s="8"/>
      <c r="EHQ5" s="8"/>
      <c r="EHR5" s="8"/>
      <c r="EHS5" s="8"/>
      <c r="EHT5" s="8"/>
      <c r="EHU5" s="8"/>
      <c r="EHV5" s="8"/>
      <c r="EHW5" s="8"/>
      <c r="EHX5" s="8"/>
      <c r="EHY5" s="8"/>
      <c r="EHZ5" s="8"/>
      <c r="EIA5" s="8"/>
      <c r="EIB5" s="8"/>
      <c r="EIC5" s="8"/>
      <c r="EID5" s="8"/>
      <c r="EIE5" s="8"/>
      <c r="EIF5" s="8"/>
      <c r="EIG5" s="8"/>
      <c r="EIH5" s="8"/>
      <c r="EII5" s="8"/>
      <c r="EIJ5" s="8"/>
      <c r="EIK5" s="8"/>
      <c r="EIL5" s="8"/>
      <c r="EIM5" s="8"/>
      <c r="EIN5" s="8"/>
      <c r="EIO5" s="8"/>
      <c r="EIP5" s="8"/>
      <c r="EIQ5" s="8"/>
      <c r="EIR5" s="8"/>
      <c r="EIS5" s="8"/>
      <c r="EIT5" s="8"/>
      <c r="EIU5" s="8"/>
      <c r="EIV5" s="8"/>
      <c r="EIW5" s="8"/>
      <c r="EIX5" s="8"/>
      <c r="EIY5" s="8"/>
      <c r="EIZ5" s="8"/>
      <c r="EJA5" s="8"/>
      <c r="EJB5" s="8"/>
      <c r="EJC5" s="8"/>
      <c r="EJD5" s="8"/>
      <c r="EJE5" s="8"/>
      <c r="EJF5" s="8"/>
      <c r="EJG5" s="8"/>
      <c r="EJH5" s="8"/>
      <c r="EJI5" s="8"/>
      <c r="EJJ5" s="8"/>
      <c r="EJK5" s="8"/>
      <c r="EJL5" s="8"/>
      <c r="EJM5" s="8"/>
      <c r="EJN5" s="8"/>
      <c r="EJO5" s="8"/>
      <c r="EJP5" s="8"/>
      <c r="EJQ5" s="8"/>
      <c r="EJR5" s="8"/>
      <c r="EJS5" s="8"/>
      <c r="EJT5" s="8"/>
      <c r="EJU5" s="8"/>
      <c r="EJV5" s="8"/>
      <c r="EJW5" s="8"/>
      <c r="EJX5" s="8"/>
      <c r="EJY5" s="8"/>
      <c r="EJZ5" s="8"/>
      <c r="EKA5" s="8"/>
      <c r="EKB5" s="8"/>
      <c r="EKC5" s="8"/>
      <c r="EKD5" s="8"/>
      <c r="EKE5" s="8"/>
      <c r="EKF5" s="8"/>
      <c r="EKG5" s="8"/>
      <c r="EKH5" s="8"/>
      <c r="EKI5" s="8"/>
      <c r="EKJ5" s="8"/>
      <c r="EKK5" s="8"/>
      <c r="EKL5" s="8"/>
      <c r="EKM5" s="8"/>
      <c r="EKN5" s="8"/>
      <c r="EKO5" s="8"/>
      <c r="EKP5" s="8"/>
      <c r="EKQ5" s="8"/>
      <c r="EKR5" s="8"/>
      <c r="EKS5" s="8"/>
      <c r="EKT5" s="8"/>
      <c r="EKU5" s="8"/>
      <c r="EKV5" s="8"/>
      <c r="EKW5" s="8"/>
      <c r="EKX5" s="8"/>
      <c r="EKY5" s="8"/>
      <c r="EKZ5" s="8"/>
      <c r="ELA5" s="8"/>
      <c r="ELB5" s="8"/>
      <c r="ELC5" s="8"/>
      <c r="ELD5" s="8"/>
      <c r="ELE5" s="8"/>
      <c r="ELF5" s="8"/>
      <c r="ELG5" s="8"/>
      <c r="ELH5" s="8"/>
      <c r="ELI5" s="8"/>
      <c r="ELJ5" s="8"/>
      <c r="ELK5" s="8"/>
      <c r="ELL5" s="8"/>
      <c r="ELM5" s="8"/>
      <c r="ELN5" s="8"/>
      <c r="ELO5" s="8"/>
      <c r="ELP5" s="8"/>
      <c r="ELQ5" s="8"/>
      <c r="ELR5" s="8"/>
      <c r="ELS5" s="8"/>
      <c r="ELT5" s="8"/>
      <c r="ELU5" s="8"/>
      <c r="ELV5" s="8"/>
      <c r="ELW5" s="8"/>
      <c r="ELX5" s="8"/>
      <c r="ELY5" s="8"/>
      <c r="ELZ5" s="8"/>
      <c r="EMA5" s="8"/>
      <c r="EMB5" s="8"/>
      <c r="EMC5" s="8"/>
      <c r="EMD5" s="8"/>
      <c r="EME5" s="8"/>
      <c r="EMF5" s="8"/>
      <c r="EMG5" s="8"/>
      <c r="EMH5" s="8"/>
      <c r="EMI5" s="8"/>
      <c r="EMJ5" s="8"/>
      <c r="EMK5" s="8"/>
      <c r="EML5" s="8"/>
      <c r="EMM5" s="8"/>
      <c r="EMN5" s="8"/>
      <c r="EMO5" s="8"/>
      <c r="EMP5" s="8"/>
      <c r="EMQ5" s="8"/>
      <c r="EMR5" s="8"/>
      <c r="EMS5" s="8"/>
      <c r="EMT5" s="8"/>
      <c r="EMU5" s="8"/>
      <c r="EMV5" s="8"/>
      <c r="EMW5" s="8"/>
      <c r="EMX5" s="8"/>
      <c r="EMY5" s="8"/>
      <c r="EMZ5" s="8"/>
      <c r="ENA5" s="8"/>
      <c r="ENB5" s="8"/>
      <c r="ENC5" s="8"/>
      <c r="END5" s="8"/>
      <c r="ENE5" s="8"/>
      <c r="ENF5" s="8"/>
      <c r="ENG5" s="8"/>
      <c r="ENH5" s="8"/>
      <c r="ENI5" s="8"/>
      <c r="ENJ5" s="8"/>
      <c r="ENK5" s="8"/>
      <c r="ENL5" s="8"/>
      <c r="ENM5" s="8"/>
      <c r="ENN5" s="8"/>
      <c r="ENO5" s="8"/>
      <c r="ENP5" s="8"/>
      <c r="ENQ5" s="8"/>
      <c r="ENR5" s="8"/>
      <c r="ENS5" s="8"/>
      <c r="ENT5" s="8"/>
      <c r="ENU5" s="8"/>
      <c r="ENV5" s="8"/>
      <c r="ENW5" s="8"/>
      <c r="ENX5" s="8"/>
      <c r="ENY5" s="8"/>
      <c r="ENZ5" s="8"/>
      <c r="EOA5" s="8"/>
      <c r="EOB5" s="8"/>
      <c r="EOC5" s="8"/>
      <c r="EOD5" s="8"/>
      <c r="EOE5" s="8"/>
      <c r="EOF5" s="8"/>
      <c r="EOG5" s="8"/>
      <c r="EOH5" s="8"/>
      <c r="EOI5" s="8"/>
      <c r="EOJ5" s="8"/>
      <c r="EOK5" s="8"/>
      <c r="EOL5" s="8"/>
      <c r="EOM5" s="8"/>
      <c r="EON5" s="8"/>
      <c r="EOO5" s="8"/>
      <c r="EOP5" s="8"/>
      <c r="EOQ5" s="8"/>
      <c r="EOR5" s="8"/>
      <c r="EOS5" s="8"/>
      <c r="EOT5" s="8"/>
      <c r="EOU5" s="8"/>
      <c r="EOV5" s="8"/>
      <c r="EOW5" s="8"/>
      <c r="EOX5" s="8"/>
      <c r="EOY5" s="8"/>
      <c r="EOZ5" s="8"/>
      <c r="EPA5" s="8"/>
      <c r="EPB5" s="8"/>
      <c r="EPC5" s="8"/>
      <c r="EPD5" s="8"/>
      <c r="EPE5" s="8"/>
      <c r="EPF5" s="8"/>
      <c r="EPG5" s="8"/>
      <c r="EPH5" s="8"/>
      <c r="EPI5" s="8"/>
      <c r="EPJ5" s="8"/>
      <c r="EPK5" s="8"/>
      <c r="EPL5" s="8"/>
      <c r="EPM5" s="8"/>
      <c r="EPN5" s="8"/>
      <c r="EPO5" s="8"/>
      <c r="EPP5" s="8"/>
      <c r="EPQ5" s="8"/>
      <c r="EPR5" s="8"/>
      <c r="EPS5" s="8"/>
      <c r="EPT5" s="8"/>
      <c r="EPU5" s="8"/>
      <c r="EPV5" s="8"/>
      <c r="EPW5" s="8"/>
      <c r="EPX5" s="8"/>
      <c r="EPY5" s="8"/>
      <c r="EPZ5" s="8"/>
      <c r="EQA5" s="8"/>
      <c r="EQB5" s="8"/>
      <c r="EQC5" s="8"/>
      <c r="EQD5" s="8"/>
      <c r="EQE5" s="8"/>
      <c r="EQF5" s="8"/>
      <c r="EQG5" s="8"/>
      <c r="EQH5" s="8"/>
      <c r="EQI5" s="8"/>
      <c r="EQJ5" s="8"/>
      <c r="EQK5" s="8"/>
      <c r="EQL5" s="8"/>
      <c r="EQM5" s="8"/>
      <c r="EQN5" s="8"/>
      <c r="EQO5" s="8"/>
      <c r="EQP5" s="8"/>
      <c r="EQQ5" s="8"/>
      <c r="EQR5" s="8"/>
      <c r="EQS5" s="8"/>
      <c r="EQT5" s="8"/>
      <c r="EQU5" s="8"/>
      <c r="EQV5" s="8"/>
      <c r="EQW5" s="8"/>
      <c r="EQX5" s="8"/>
      <c r="EQY5" s="8"/>
      <c r="EQZ5" s="8"/>
      <c r="ERA5" s="8"/>
      <c r="ERB5" s="8"/>
      <c r="ERC5" s="8"/>
      <c r="ERD5" s="8"/>
      <c r="ERE5" s="8"/>
      <c r="ERF5" s="8"/>
      <c r="ERG5" s="8"/>
      <c r="ERH5" s="8"/>
      <c r="ERI5" s="8"/>
      <c r="ERJ5" s="8"/>
      <c r="ERK5" s="8"/>
      <c r="ERL5" s="8"/>
      <c r="ERM5" s="8"/>
      <c r="ERN5" s="8"/>
      <c r="ERO5" s="8"/>
      <c r="ERP5" s="8"/>
      <c r="ERQ5" s="8"/>
      <c r="ERR5" s="8"/>
      <c r="ERS5" s="8"/>
      <c r="ERT5" s="8"/>
      <c r="ERU5" s="8"/>
      <c r="ERV5" s="8"/>
      <c r="ERW5" s="8"/>
      <c r="ERX5" s="8"/>
      <c r="ERY5" s="8"/>
      <c r="ERZ5" s="8"/>
      <c r="ESA5" s="8"/>
      <c r="ESB5" s="8"/>
      <c r="ESC5" s="8"/>
      <c r="ESD5" s="8"/>
      <c r="ESE5" s="8"/>
      <c r="ESF5" s="8"/>
      <c r="ESG5" s="8"/>
      <c r="ESH5" s="8"/>
      <c r="ESI5" s="8"/>
      <c r="ESJ5" s="8"/>
      <c r="ESK5" s="8"/>
      <c r="ESL5" s="8"/>
      <c r="ESM5" s="8"/>
      <c r="ESN5" s="8"/>
      <c r="ESO5" s="8"/>
      <c r="ESP5" s="8"/>
      <c r="ESQ5" s="8"/>
      <c r="ESR5" s="8"/>
      <c r="ESS5" s="8"/>
      <c r="EST5" s="8"/>
      <c r="ESU5" s="8"/>
      <c r="ESV5" s="8"/>
      <c r="ESW5" s="8"/>
      <c r="ESX5" s="8"/>
      <c r="ESY5" s="8"/>
      <c r="ESZ5" s="8"/>
      <c r="ETA5" s="8"/>
      <c r="ETB5" s="8"/>
      <c r="ETC5" s="8"/>
      <c r="ETD5" s="8"/>
      <c r="ETE5" s="8"/>
      <c r="ETF5" s="8"/>
      <c r="ETG5" s="8"/>
      <c r="ETH5" s="8"/>
      <c r="ETI5" s="8"/>
      <c r="ETJ5" s="8"/>
      <c r="ETK5" s="8"/>
      <c r="ETL5" s="8"/>
      <c r="ETM5" s="8"/>
      <c r="ETN5" s="8"/>
      <c r="ETO5" s="8"/>
      <c r="ETP5" s="8"/>
      <c r="ETQ5" s="8"/>
      <c r="ETR5" s="8"/>
      <c r="ETS5" s="8"/>
      <c r="ETT5" s="8"/>
      <c r="ETU5" s="8"/>
      <c r="ETV5" s="8"/>
      <c r="ETW5" s="8"/>
      <c r="ETX5" s="8"/>
      <c r="ETY5" s="8"/>
      <c r="ETZ5" s="8"/>
      <c r="EUA5" s="8"/>
      <c r="EUB5" s="8"/>
      <c r="EUC5" s="8"/>
      <c r="EUD5" s="8"/>
      <c r="EUE5" s="8"/>
      <c r="EUF5" s="8"/>
      <c r="EUG5" s="8"/>
      <c r="EUH5" s="8"/>
      <c r="EUI5" s="8"/>
      <c r="EUJ5" s="8"/>
      <c r="EUK5" s="8"/>
      <c r="EUL5" s="8"/>
      <c r="EUM5" s="8"/>
      <c r="EUN5" s="8"/>
      <c r="EUO5" s="8"/>
      <c r="EUP5" s="8"/>
      <c r="EUQ5" s="8"/>
      <c r="EUR5" s="8"/>
      <c r="EUS5" s="8"/>
      <c r="EUT5" s="8"/>
      <c r="EUU5" s="8"/>
      <c r="EUV5" s="8"/>
      <c r="EUW5" s="8"/>
      <c r="EUX5" s="8"/>
      <c r="EUY5" s="8"/>
      <c r="EUZ5" s="8"/>
      <c r="EVA5" s="8"/>
      <c r="EVB5" s="8"/>
      <c r="EVC5" s="8"/>
      <c r="EVD5" s="8"/>
      <c r="EVE5" s="8"/>
      <c r="EVF5" s="8"/>
      <c r="EVG5" s="8"/>
      <c r="EVH5" s="8"/>
      <c r="EVI5" s="8"/>
      <c r="EVJ5" s="8"/>
      <c r="EVK5" s="8"/>
      <c r="EVL5" s="8"/>
      <c r="EVM5" s="8"/>
      <c r="EVN5" s="8"/>
      <c r="EVO5" s="8"/>
      <c r="EVP5" s="8"/>
      <c r="EVQ5" s="8"/>
      <c r="EVR5" s="8"/>
      <c r="EVS5" s="8"/>
      <c r="EVT5" s="8"/>
      <c r="EVU5" s="8"/>
      <c r="EVV5" s="8"/>
      <c r="EVW5" s="8"/>
      <c r="EVX5" s="8"/>
      <c r="EVY5" s="8"/>
      <c r="EVZ5" s="8"/>
      <c r="EWA5" s="8"/>
      <c r="EWB5" s="8"/>
      <c r="EWC5" s="8"/>
      <c r="EWD5" s="8"/>
      <c r="EWE5" s="8"/>
      <c r="EWF5" s="8"/>
      <c r="EWG5" s="8"/>
      <c r="EWH5" s="8"/>
      <c r="EWI5" s="8"/>
      <c r="EWJ5" s="8"/>
      <c r="EWK5" s="8"/>
      <c r="EWL5" s="8"/>
      <c r="EWM5" s="8"/>
      <c r="EWN5" s="8"/>
      <c r="EWO5" s="8"/>
      <c r="EWP5" s="8"/>
      <c r="EWQ5" s="8"/>
      <c r="EWR5" s="8"/>
      <c r="EWS5" s="8"/>
      <c r="EWT5" s="8"/>
      <c r="EWU5" s="8"/>
      <c r="EWV5" s="8"/>
      <c r="EWW5" s="8"/>
      <c r="EWX5" s="8"/>
      <c r="EWY5" s="8"/>
      <c r="EWZ5" s="8"/>
      <c r="EXA5" s="8"/>
      <c r="EXB5" s="8"/>
      <c r="EXC5" s="8"/>
      <c r="EXD5" s="8"/>
      <c r="EXE5" s="8"/>
      <c r="EXF5" s="8"/>
      <c r="EXG5" s="8"/>
      <c r="EXH5" s="8"/>
      <c r="EXI5" s="8"/>
      <c r="EXJ5" s="8"/>
      <c r="EXK5" s="8"/>
      <c r="EXL5" s="8"/>
      <c r="EXM5" s="8"/>
      <c r="EXN5" s="8"/>
      <c r="EXO5" s="8"/>
      <c r="EXP5" s="8"/>
      <c r="EXQ5" s="8"/>
      <c r="EXR5" s="8"/>
      <c r="EXS5" s="8"/>
      <c r="EXT5" s="8"/>
      <c r="EXU5" s="8"/>
      <c r="EXV5" s="8"/>
      <c r="EXW5" s="8"/>
      <c r="EXX5" s="8"/>
      <c r="EXY5" s="8"/>
      <c r="EXZ5" s="8"/>
      <c r="EYA5" s="8"/>
      <c r="EYB5" s="8"/>
      <c r="EYC5" s="8"/>
      <c r="EYD5" s="8"/>
      <c r="EYE5" s="8"/>
      <c r="EYF5" s="8"/>
      <c r="EYG5" s="8"/>
      <c r="EYH5" s="8"/>
      <c r="EYI5" s="8"/>
      <c r="EYJ5" s="8"/>
      <c r="EYK5" s="8"/>
      <c r="EYL5" s="8"/>
      <c r="EYM5" s="8"/>
      <c r="EYN5" s="8"/>
      <c r="EYO5" s="8"/>
      <c r="EYP5" s="8"/>
      <c r="EYQ5" s="8"/>
      <c r="EYR5" s="8"/>
      <c r="EYS5" s="8"/>
      <c r="EYT5" s="8"/>
      <c r="EYU5" s="8"/>
      <c r="EYV5" s="8"/>
      <c r="EYW5" s="8"/>
      <c r="EYX5" s="8"/>
      <c r="EYY5" s="8"/>
      <c r="EYZ5" s="8"/>
      <c r="EZA5" s="8"/>
      <c r="EZB5" s="8"/>
      <c r="EZC5" s="8"/>
      <c r="EZD5" s="8"/>
      <c r="EZE5" s="8"/>
      <c r="EZF5" s="8"/>
      <c r="EZG5" s="8"/>
      <c r="EZH5" s="8"/>
      <c r="EZI5" s="8"/>
      <c r="EZJ5" s="8"/>
      <c r="EZK5" s="8"/>
      <c r="EZL5" s="8"/>
      <c r="EZM5" s="8"/>
      <c r="EZN5" s="8"/>
      <c r="EZO5" s="8"/>
      <c r="EZP5" s="8"/>
      <c r="EZQ5" s="8"/>
      <c r="EZR5" s="8"/>
      <c r="EZS5" s="8"/>
      <c r="EZT5" s="8"/>
      <c r="EZU5" s="8"/>
      <c r="EZV5" s="8"/>
      <c r="EZW5" s="8"/>
      <c r="EZX5" s="8"/>
      <c r="EZY5" s="8"/>
      <c r="EZZ5" s="8"/>
      <c r="FAA5" s="8"/>
      <c r="FAB5" s="8"/>
      <c r="FAC5" s="8"/>
      <c r="FAD5" s="8"/>
      <c r="FAE5" s="8"/>
      <c r="FAF5" s="8"/>
      <c r="FAG5" s="8"/>
      <c r="FAH5" s="8"/>
      <c r="FAI5" s="8"/>
      <c r="FAJ5" s="8"/>
      <c r="FAK5" s="8"/>
      <c r="FAL5" s="8"/>
      <c r="FAM5" s="8"/>
      <c r="FAN5" s="8"/>
      <c r="FAO5" s="8"/>
      <c r="FAP5" s="8"/>
      <c r="FAQ5" s="8"/>
      <c r="FAR5" s="8"/>
      <c r="FAS5" s="8"/>
      <c r="FAT5" s="8"/>
      <c r="FAU5" s="8"/>
      <c r="FAV5" s="8"/>
      <c r="FAW5" s="8"/>
      <c r="FAX5" s="8"/>
      <c r="FAY5" s="8"/>
      <c r="FAZ5" s="8"/>
      <c r="FBA5" s="8"/>
      <c r="FBB5" s="8"/>
      <c r="FBC5" s="8"/>
      <c r="FBD5" s="8"/>
      <c r="FBE5" s="8"/>
      <c r="FBF5" s="8"/>
      <c r="FBG5" s="8"/>
      <c r="FBH5" s="8"/>
      <c r="FBI5" s="8"/>
      <c r="FBJ5" s="8"/>
      <c r="FBK5" s="8"/>
      <c r="FBL5" s="8"/>
      <c r="FBM5" s="8"/>
      <c r="FBN5" s="8"/>
      <c r="FBO5" s="8"/>
      <c r="FBP5" s="8"/>
      <c r="FBQ5" s="8"/>
      <c r="FBR5" s="8"/>
      <c r="FBS5" s="8"/>
      <c r="FBT5" s="8"/>
      <c r="FBU5" s="8"/>
      <c r="FBV5" s="8"/>
      <c r="FBW5" s="8"/>
      <c r="FBX5" s="8"/>
      <c r="FBY5" s="8"/>
      <c r="FBZ5" s="8"/>
      <c r="FCA5" s="8"/>
      <c r="FCB5" s="8"/>
      <c r="FCC5" s="8"/>
      <c r="FCD5" s="8"/>
      <c r="FCE5" s="8"/>
      <c r="FCF5" s="8"/>
      <c r="FCG5" s="8"/>
      <c r="FCH5" s="8"/>
      <c r="FCI5" s="8"/>
      <c r="FCJ5" s="8"/>
      <c r="FCK5" s="8"/>
      <c r="FCL5" s="8"/>
      <c r="FCM5" s="8"/>
      <c r="FCN5" s="8"/>
      <c r="FCO5" s="8"/>
      <c r="FCP5" s="8"/>
      <c r="FCQ5" s="8"/>
      <c r="FCR5" s="8"/>
      <c r="FCS5" s="8"/>
      <c r="FCT5" s="8"/>
      <c r="FCU5" s="8"/>
      <c r="FCV5" s="8"/>
      <c r="FCW5" s="8"/>
      <c r="FCX5" s="8"/>
      <c r="FCY5" s="8"/>
      <c r="FCZ5" s="8"/>
      <c r="FDA5" s="8"/>
      <c r="FDB5" s="8"/>
      <c r="FDC5" s="8"/>
      <c r="FDD5" s="8"/>
      <c r="FDE5" s="8"/>
      <c r="FDF5" s="8"/>
      <c r="FDG5" s="8"/>
      <c r="FDH5" s="8"/>
      <c r="FDI5" s="8"/>
      <c r="FDJ5" s="8"/>
      <c r="FDK5" s="8"/>
      <c r="FDL5" s="8"/>
      <c r="FDM5" s="8"/>
      <c r="FDN5" s="8"/>
      <c r="FDO5" s="8"/>
      <c r="FDP5" s="8"/>
      <c r="FDQ5" s="8"/>
      <c r="FDR5" s="8"/>
      <c r="FDS5" s="8"/>
      <c r="FDT5" s="8"/>
      <c r="FDU5" s="8"/>
      <c r="FDV5" s="8"/>
      <c r="FDW5" s="8"/>
      <c r="FDX5" s="8"/>
      <c r="FDY5" s="8"/>
      <c r="FDZ5" s="8"/>
      <c r="FEA5" s="8"/>
      <c r="FEB5" s="8"/>
      <c r="FEC5" s="8"/>
      <c r="FED5" s="8"/>
      <c r="FEE5" s="8"/>
      <c r="FEF5" s="8"/>
      <c r="FEG5" s="8"/>
      <c r="FEH5" s="8"/>
      <c r="FEI5" s="8"/>
      <c r="FEJ5" s="8"/>
      <c r="FEK5" s="8"/>
      <c r="FEL5" s="8"/>
      <c r="FEM5" s="8"/>
      <c r="FEN5" s="8"/>
      <c r="FEO5" s="8"/>
      <c r="FEP5" s="8"/>
      <c r="FEQ5" s="8"/>
      <c r="FER5" s="8"/>
      <c r="FES5" s="8"/>
      <c r="FET5" s="8"/>
      <c r="FEU5" s="8"/>
      <c r="FEV5" s="8"/>
      <c r="FEW5" s="8"/>
      <c r="FEX5" s="8"/>
      <c r="FEY5" s="8"/>
      <c r="FEZ5" s="8"/>
      <c r="FFA5" s="8"/>
      <c r="FFB5" s="8"/>
      <c r="FFC5" s="8"/>
      <c r="FFD5" s="8"/>
      <c r="FFE5" s="8"/>
      <c r="FFF5" s="8"/>
      <c r="FFG5" s="8"/>
      <c r="FFH5" s="8"/>
      <c r="FFI5" s="8"/>
      <c r="FFJ5" s="8"/>
      <c r="FFK5" s="8"/>
      <c r="FFL5" s="8"/>
      <c r="FFM5" s="8"/>
      <c r="FFN5" s="8"/>
      <c r="FFO5" s="8"/>
      <c r="FFP5" s="8"/>
      <c r="FFQ5" s="8"/>
      <c r="FFR5" s="8"/>
      <c r="FFS5" s="8"/>
      <c r="FFT5" s="8"/>
      <c r="FFU5" s="8"/>
      <c r="FFV5" s="8"/>
      <c r="FFW5" s="8"/>
      <c r="FFX5" s="8"/>
      <c r="FFY5" s="8"/>
      <c r="FFZ5" s="8"/>
      <c r="FGA5" s="8"/>
      <c r="FGB5" s="8"/>
      <c r="FGC5" s="8"/>
      <c r="FGD5" s="8"/>
      <c r="FGE5" s="8"/>
      <c r="FGF5" s="8"/>
      <c r="FGG5" s="8"/>
      <c r="FGH5" s="8"/>
      <c r="FGI5" s="8"/>
      <c r="FGJ5" s="8"/>
      <c r="FGK5" s="8"/>
      <c r="FGL5" s="8"/>
      <c r="FGM5" s="8"/>
      <c r="FGN5" s="8"/>
      <c r="FGO5" s="8"/>
      <c r="FGP5" s="8"/>
      <c r="FGQ5" s="8"/>
      <c r="FGR5" s="8"/>
      <c r="FGS5" s="8"/>
      <c r="FGT5" s="8"/>
      <c r="FGU5" s="8"/>
      <c r="FGV5" s="8"/>
      <c r="FGW5" s="8"/>
      <c r="FGX5" s="8"/>
      <c r="FGY5" s="8"/>
      <c r="FGZ5" s="8"/>
      <c r="FHA5" s="8"/>
      <c r="FHB5" s="8"/>
      <c r="FHC5" s="8"/>
      <c r="FHD5" s="8"/>
      <c r="FHE5" s="8"/>
      <c r="FHF5" s="8"/>
      <c r="FHG5" s="8"/>
      <c r="FHH5" s="8"/>
      <c r="FHI5" s="8"/>
      <c r="FHJ5" s="8"/>
      <c r="FHK5" s="8"/>
      <c r="FHL5" s="8"/>
      <c r="FHM5" s="8"/>
      <c r="FHN5" s="8"/>
      <c r="FHO5" s="8"/>
      <c r="FHP5" s="8"/>
      <c r="FHQ5" s="8"/>
      <c r="FHR5" s="8"/>
      <c r="FHS5" s="8"/>
      <c r="FHT5" s="8"/>
      <c r="FHU5" s="8"/>
      <c r="FHV5" s="8"/>
      <c r="FHW5" s="8"/>
      <c r="FHX5" s="8"/>
      <c r="FHY5" s="8"/>
      <c r="FHZ5" s="8"/>
      <c r="FIA5" s="8"/>
      <c r="FIB5" s="8"/>
      <c r="FIC5" s="8"/>
      <c r="FID5" s="8"/>
      <c r="FIE5" s="8"/>
      <c r="FIF5" s="8"/>
      <c r="FIG5" s="8"/>
      <c r="FIH5" s="8"/>
      <c r="FII5" s="8"/>
      <c r="FIJ5" s="8"/>
      <c r="FIK5" s="8"/>
      <c r="FIL5" s="8"/>
      <c r="FIM5" s="8"/>
      <c r="FIN5" s="8"/>
      <c r="FIO5" s="8"/>
      <c r="FIP5" s="8"/>
      <c r="FIQ5" s="8"/>
      <c r="FIR5" s="8"/>
      <c r="FIS5" s="8"/>
      <c r="FIT5" s="8"/>
      <c r="FIU5" s="8"/>
      <c r="FIV5" s="8"/>
      <c r="FIW5" s="8"/>
      <c r="FIX5" s="8"/>
      <c r="FIY5" s="8"/>
      <c r="FIZ5" s="8"/>
      <c r="FJA5" s="8"/>
      <c r="FJB5" s="8"/>
      <c r="FJC5" s="8"/>
      <c r="FJD5" s="8"/>
      <c r="FJE5" s="8"/>
      <c r="FJF5" s="8"/>
      <c r="FJG5" s="8"/>
      <c r="FJH5" s="8"/>
      <c r="FJI5" s="8"/>
      <c r="FJJ5" s="8"/>
      <c r="FJK5" s="8"/>
      <c r="FJL5" s="8"/>
      <c r="FJM5" s="8"/>
      <c r="FJN5" s="8"/>
      <c r="FJO5" s="8"/>
      <c r="FJP5" s="8"/>
      <c r="FJQ5" s="8"/>
      <c r="FJR5" s="8"/>
      <c r="FJS5" s="8"/>
      <c r="FJT5" s="8"/>
      <c r="FJU5" s="8"/>
      <c r="FJV5" s="8"/>
      <c r="FJW5" s="8"/>
      <c r="FJX5" s="8"/>
      <c r="FJY5" s="8"/>
      <c r="FJZ5" s="8"/>
      <c r="FKA5" s="8"/>
      <c r="FKB5" s="8"/>
      <c r="FKC5" s="8"/>
      <c r="FKD5" s="8"/>
      <c r="FKE5" s="8"/>
      <c r="FKF5" s="8"/>
      <c r="FKG5" s="8"/>
      <c r="FKH5" s="8"/>
      <c r="FKI5" s="8"/>
      <c r="FKJ5" s="8"/>
      <c r="FKK5" s="8"/>
      <c r="FKL5" s="8"/>
      <c r="FKM5" s="8"/>
      <c r="FKN5" s="8"/>
      <c r="FKO5" s="8"/>
      <c r="FKP5" s="8"/>
      <c r="FKQ5" s="8"/>
      <c r="FKR5" s="8"/>
      <c r="FKS5" s="8"/>
      <c r="FKT5" s="8"/>
      <c r="FKU5" s="8"/>
      <c r="FKV5" s="8"/>
      <c r="FKW5" s="8"/>
      <c r="FKX5" s="8"/>
      <c r="FKY5" s="8"/>
      <c r="FKZ5" s="8"/>
      <c r="FLA5" s="8"/>
      <c r="FLB5" s="8"/>
      <c r="FLC5" s="8"/>
      <c r="FLD5" s="8"/>
      <c r="FLE5" s="8"/>
      <c r="FLF5" s="8"/>
      <c r="FLG5" s="8"/>
      <c r="FLH5" s="8"/>
      <c r="FLI5" s="8"/>
      <c r="FLJ5" s="8"/>
      <c r="FLK5" s="8"/>
      <c r="FLL5" s="8"/>
      <c r="FLM5" s="8"/>
      <c r="FLN5" s="8"/>
      <c r="FLO5" s="8"/>
      <c r="FLP5" s="8"/>
      <c r="FLQ5" s="8"/>
      <c r="FLR5" s="8"/>
      <c r="FLS5" s="8"/>
      <c r="FLT5" s="8"/>
      <c r="FLU5" s="8"/>
      <c r="FLV5" s="8"/>
      <c r="FLW5" s="8"/>
      <c r="FLX5" s="8"/>
      <c r="FLY5" s="8"/>
      <c r="FLZ5" s="8"/>
      <c r="FMA5" s="8"/>
      <c r="FMB5" s="8"/>
      <c r="FMC5" s="8"/>
      <c r="FMD5" s="8"/>
      <c r="FME5" s="8"/>
      <c r="FMF5" s="8"/>
      <c r="FMG5" s="8"/>
      <c r="FMH5" s="8"/>
      <c r="FMI5" s="8"/>
      <c r="FMJ5" s="8"/>
      <c r="FMK5" s="8"/>
      <c r="FML5" s="8"/>
      <c r="FMM5" s="8"/>
      <c r="FMN5" s="8"/>
      <c r="FMO5" s="8"/>
      <c r="FMP5" s="8"/>
      <c r="FMQ5" s="8"/>
      <c r="FMR5" s="8"/>
      <c r="FMS5" s="8"/>
      <c r="FMT5" s="8"/>
      <c r="FMU5" s="8"/>
      <c r="FMV5" s="8"/>
      <c r="FMW5" s="8"/>
      <c r="FMX5" s="8"/>
      <c r="FMY5" s="8"/>
      <c r="FMZ5" s="8"/>
      <c r="FNA5" s="8"/>
      <c r="FNB5" s="8"/>
      <c r="FNC5" s="8"/>
      <c r="FND5" s="8"/>
      <c r="FNE5" s="8"/>
      <c r="FNF5" s="8"/>
      <c r="FNG5" s="8"/>
      <c r="FNH5" s="8"/>
      <c r="FNI5" s="8"/>
      <c r="FNJ5" s="8"/>
      <c r="FNK5" s="8"/>
      <c r="FNL5" s="8"/>
      <c r="FNM5" s="8"/>
      <c r="FNN5" s="8"/>
      <c r="FNO5" s="8"/>
      <c r="FNP5" s="8"/>
      <c r="FNQ5" s="8"/>
      <c r="FNR5" s="8"/>
      <c r="FNS5" s="8"/>
      <c r="FNT5" s="8"/>
      <c r="FNU5" s="8"/>
      <c r="FNV5" s="8"/>
      <c r="FNW5" s="8"/>
      <c r="FNX5" s="8"/>
      <c r="FNY5" s="8"/>
      <c r="FNZ5" s="8"/>
      <c r="FOA5" s="8"/>
      <c r="FOB5" s="8"/>
      <c r="FOC5" s="8"/>
      <c r="FOD5" s="8"/>
      <c r="FOE5" s="8"/>
      <c r="FOF5" s="8"/>
      <c r="FOG5" s="8"/>
      <c r="FOH5" s="8"/>
      <c r="FOI5" s="8"/>
      <c r="FOJ5" s="8"/>
      <c r="FOK5" s="8"/>
      <c r="FOL5" s="8"/>
      <c r="FOM5" s="8"/>
      <c r="FON5" s="8"/>
      <c r="FOO5" s="8"/>
      <c r="FOP5" s="8"/>
      <c r="FOQ5" s="8"/>
      <c r="FOR5" s="8"/>
      <c r="FOS5" s="8"/>
      <c r="FOT5" s="8"/>
      <c r="FOU5" s="8"/>
      <c r="FOV5" s="8"/>
      <c r="FOW5" s="8"/>
      <c r="FOX5" s="8"/>
      <c r="FOY5" s="8"/>
      <c r="FOZ5" s="8"/>
      <c r="FPA5" s="8"/>
      <c r="FPB5" s="8"/>
      <c r="FPC5" s="8"/>
      <c r="FPD5" s="8"/>
      <c r="FPE5" s="8"/>
      <c r="FPF5" s="8"/>
      <c r="FPG5" s="8"/>
      <c r="FPH5" s="8"/>
      <c r="FPI5" s="8"/>
      <c r="FPJ5" s="8"/>
      <c r="FPK5" s="8"/>
      <c r="FPL5" s="8"/>
      <c r="FPM5" s="8"/>
      <c r="FPN5" s="8"/>
      <c r="FPO5" s="8"/>
      <c r="FPP5" s="8"/>
      <c r="FPQ5" s="8"/>
      <c r="FPR5" s="8"/>
      <c r="FPS5" s="8"/>
      <c r="FPT5" s="8"/>
      <c r="FPU5" s="8"/>
      <c r="FPV5" s="8"/>
      <c r="FPW5" s="8"/>
      <c r="FPX5" s="8"/>
      <c r="FPY5" s="8"/>
      <c r="FPZ5" s="8"/>
      <c r="FQA5" s="8"/>
      <c r="FQB5" s="8"/>
      <c r="FQC5" s="8"/>
      <c r="FQD5" s="8"/>
      <c r="FQE5" s="8"/>
      <c r="FQF5" s="8"/>
      <c r="FQG5" s="8"/>
      <c r="FQH5" s="8"/>
      <c r="FQI5" s="8"/>
      <c r="FQJ5" s="8"/>
      <c r="FQK5" s="8"/>
      <c r="FQL5" s="8"/>
      <c r="FQM5" s="8"/>
      <c r="FQN5" s="8"/>
      <c r="FQO5" s="8"/>
      <c r="FQP5" s="8"/>
      <c r="FQQ5" s="8"/>
      <c r="FQR5" s="8"/>
      <c r="FQS5" s="8"/>
      <c r="FQT5" s="8"/>
      <c r="FQU5" s="8"/>
      <c r="FQV5" s="8"/>
      <c r="FQW5" s="8"/>
      <c r="FQX5" s="8"/>
      <c r="FQY5" s="8"/>
      <c r="FQZ5" s="8"/>
      <c r="FRA5" s="8"/>
      <c r="FRB5" s="8"/>
      <c r="FRC5" s="8"/>
      <c r="FRD5" s="8"/>
      <c r="FRE5" s="8"/>
      <c r="FRF5" s="8"/>
      <c r="FRG5" s="8"/>
      <c r="FRH5" s="8"/>
      <c r="FRI5" s="8"/>
      <c r="FRJ5" s="8"/>
      <c r="FRK5" s="8"/>
      <c r="FRL5" s="8"/>
      <c r="FRM5" s="8"/>
      <c r="FRN5" s="8"/>
      <c r="FRO5" s="8"/>
      <c r="FRP5" s="8"/>
      <c r="FRQ5" s="8"/>
      <c r="FRR5" s="8"/>
      <c r="FRS5" s="8"/>
      <c r="FRT5" s="8"/>
      <c r="FRU5" s="8"/>
      <c r="FRV5" s="8"/>
      <c r="FRW5" s="8"/>
      <c r="FRX5" s="8"/>
      <c r="FRY5" s="8"/>
      <c r="FRZ5" s="8"/>
      <c r="FSA5" s="8"/>
      <c r="FSB5" s="8"/>
      <c r="FSC5" s="8"/>
      <c r="FSD5" s="8"/>
      <c r="FSE5" s="8"/>
      <c r="FSF5" s="8"/>
      <c r="FSG5" s="8"/>
      <c r="FSH5" s="8"/>
      <c r="FSI5" s="8"/>
      <c r="FSJ5" s="8"/>
      <c r="FSK5" s="8"/>
      <c r="FSL5" s="8"/>
      <c r="FSM5" s="8"/>
      <c r="FSN5" s="8"/>
      <c r="FSO5" s="8"/>
      <c r="FSP5" s="8"/>
      <c r="FSQ5" s="8"/>
      <c r="FSR5" s="8"/>
      <c r="FSS5" s="8"/>
      <c r="FST5" s="8"/>
      <c r="FSU5" s="8"/>
      <c r="FSV5" s="8"/>
      <c r="FSW5" s="8"/>
      <c r="FSX5" s="8"/>
      <c r="FSY5" s="8"/>
      <c r="FSZ5" s="8"/>
      <c r="FTA5" s="8"/>
      <c r="FTB5" s="8"/>
      <c r="FTC5" s="8"/>
      <c r="FTD5" s="8"/>
      <c r="FTE5" s="8"/>
      <c r="FTF5" s="8"/>
      <c r="FTG5" s="8"/>
      <c r="FTH5" s="8"/>
      <c r="FTI5" s="8"/>
      <c r="FTJ5" s="8"/>
      <c r="FTK5" s="8"/>
      <c r="FTL5" s="8"/>
      <c r="FTM5" s="8"/>
      <c r="FTN5" s="8"/>
      <c r="FTO5" s="8"/>
      <c r="FTP5" s="8"/>
      <c r="FTQ5" s="8"/>
      <c r="FTR5" s="8"/>
      <c r="FTS5" s="8"/>
      <c r="FTT5" s="8"/>
      <c r="FTU5" s="8"/>
      <c r="FTV5" s="8"/>
      <c r="FTW5" s="8"/>
      <c r="FTX5" s="8"/>
      <c r="FTY5" s="8"/>
      <c r="FTZ5" s="8"/>
      <c r="FUA5" s="8"/>
      <c r="FUB5" s="8"/>
      <c r="FUC5" s="8"/>
      <c r="FUD5" s="8"/>
      <c r="FUE5" s="8"/>
      <c r="FUF5" s="8"/>
      <c r="FUG5" s="8"/>
      <c r="FUH5" s="8"/>
      <c r="FUI5" s="8"/>
      <c r="FUJ5" s="8"/>
      <c r="FUK5" s="8"/>
      <c r="FUL5" s="8"/>
      <c r="FUM5" s="8"/>
      <c r="FUN5" s="8"/>
      <c r="FUO5" s="8"/>
      <c r="FUP5" s="8"/>
      <c r="FUQ5" s="8"/>
      <c r="FUR5" s="8"/>
      <c r="FUS5" s="8"/>
      <c r="FUT5" s="8"/>
      <c r="FUU5" s="8"/>
      <c r="FUV5" s="8"/>
      <c r="FUW5" s="8"/>
      <c r="FUX5" s="8"/>
      <c r="FUY5" s="8"/>
      <c r="FUZ5" s="8"/>
      <c r="FVA5" s="8"/>
      <c r="FVB5" s="8"/>
      <c r="FVC5" s="8"/>
      <c r="FVD5" s="8"/>
      <c r="FVE5" s="8"/>
      <c r="FVF5" s="8"/>
      <c r="FVG5" s="8"/>
      <c r="FVH5" s="8"/>
      <c r="FVI5" s="8"/>
      <c r="FVJ5" s="8"/>
      <c r="FVK5" s="8"/>
      <c r="FVL5" s="8"/>
      <c r="FVM5" s="8"/>
      <c r="FVN5" s="8"/>
      <c r="FVO5" s="8"/>
      <c r="FVP5" s="8"/>
      <c r="FVQ5" s="8"/>
      <c r="FVR5" s="8"/>
      <c r="FVS5" s="8"/>
      <c r="FVT5" s="8"/>
      <c r="FVU5" s="8"/>
      <c r="FVV5" s="8"/>
      <c r="FVW5" s="8"/>
      <c r="FVX5" s="8"/>
      <c r="FVY5" s="8"/>
      <c r="FVZ5" s="8"/>
      <c r="FWA5" s="8"/>
      <c r="FWB5" s="8"/>
      <c r="FWC5" s="8"/>
      <c r="FWD5" s="8"/>
      <c r="FWE5" s="8"/>
      <c r="FWF5" s="8"/>
      <c r="FWG5" s="8"/>
      <c r="FWH5" s="8"/>
      <c r="FWI5" s="8"/>
      <c r="FWJ5" s="8"/>
      <c r="FWK5" s="8"/>
      <c r="FWL5" s="8"/>
      <c r="FWM5" s="8"/>
      <c r="FWN5" s="8"/>
      <c r="FWO5" s="8"/>
      <c r="FWP5" s="8"/>
      <c r="FWQ5" s="8"/>
      <c r="FWR5" s="8"/>
      <c r="FWS5" s="8"/>
      <c r="FWT5" s="8"/>
      <c r="FWU5" s="8"/>
      <c r="FWV5" s="8"/>
      <c r="FWW5" s="8"/>
      <c r="FWX5" s="8"/>
      <c r="FWY5" s="8"/>
      <c r="FWZ5" s="8"/>
      <c r="FXA5" s="8"/>
      <c r="FXB5" s="8"/>
      <c r="FXC5" s="8"/>
      <c r="FXD5" s="8"/>
      <c r="FXE5" s="8"/>
      <c r="FXF5" s="8"/>
      <c r="FXG5" s="8"/>
      <c r="FXH5" s="8"/>
      <c r="FXI5" s="8"/>
      <c r="FXJ5" s="8"/>
      <c r="FXK5" s="8"/>
      <c r="FXL5" s="8"/>
      <c r="FXM5" s="8"/>
      <c r="FXN5" s="8"/>
      <c r="FXO5" s="8"/>
      <c r="FXP5" s="8"/>
      <c r="FXQ5" s="8"/>
      <c r="FXR5" s="8"/>
      <c r="FXS5" s="8"/>
      <c r="FXT5" s="8"/>
      <c r="FXU5" s="8"/>
      <c r="FXV5" s="8"/>
      <c r="FXW5" s="8"/>
      <c r="FXX5" s="8"/>
      <c r="FXY5" s="8"/>
      <c r="FXZ5" s="8"/>
      <c r="FYA5" s="8"/>
      <c r="FYB5" s="8"/>
      <c r="FYC5" s="8"/>
      <c r="FYD5" s="8"/>
      <c r="FYE5" s="8"/>
      <c r="FYF5" s="8"/>
      <c r="FYG5" s="8"/>
      <c r="FYH5" s="8"/>
      <c r="FYI5" s="8"/>
      <c r="FYJ5" s="8"/>
      <c r="FYK5" s="8"/>
      <c r="FYL5" s="8"/>
      <c r="FYM5" s="8"/>
      <c r="FYN5" s="8"/>
      <c r="FYO5" s="8"/>
      <c r="FYP5" s="8"/>
      <c r="FYQ5" s="8"/>
      <c r="FYR5" s="8"/>
      <c r="FYS5" s="8"/>
      <c r="FYT5" s="8"/>
      <c r="FYU5" s="8"/>
      <c r="FYV5" s="8"/>
      <c r="FYW5" s="8"/>
      <c r="FYX5" s="8"/>
      <c r="FYY5" s="8"/>
      <c r="FYZ5" s="8"/>
      <c r="FZA5" s="8"/>
      <c r="FZB5" s="8"/>
      <c r="FZC5" s="8"/>
      <c r="FZD5" s="8"/>
      <c r="FZE5" s="8"/>
      <c r="FZF5" s="8"/>
      <c r="FZG5" s="8"/>
      <c r="FZH5" s="8"/>
      <c r="FZI5" s="8"/>
      <c r="FZJ5" s="8"/>
      <c r="FZK5" s="8"/>
      <c r="FZL5" s="8"/>
      <c r="FZM5" s="8"/>
      <c r="FZN5" s="8"/>
      <c r="FZO5" s="8"/>
      <c r="FZP5" s="8"/>
      <c r="FZQ5" s="8"/>
      <c r="FZR5" s="8"/>
      <c r="FZS5" s="8"/>
      <c r="FZT5" s="8"/>
      <c r="FZU5" s="8"/>
      <c r="FZV5" s="8"/>
      <c r="FZW5" s="8"/>
      <c r="FZX5" s="8"/>
      <c r="FZY5" s="8"/>
      <c r="FZZ5" s="8"/>
      <c r="GAA5" s="8"/>
      <c r="GAB5" s="8"/>
      <c r="GAC5" s="8"/>
      <c r="GAD5" s="8"/>
      <c r="GAE5" s="8"/>
      <c r="GAF5" s="8"/>
      <c r="GAG5" s="8"/>
      <c r="GAH5" s="8"/>
      <c r="GAI5" s="8"/>
      <c r="GAJ5" s="8"/>
      <c r="GAK5" s="8"/>
      <c r="GAL5" s="8"/>
      <c r="GAM5" s="8"/>
      <c r="GAN5" s="8"/>
      <c r="GAO5" s="8"/>
      <c r="GAP5" s="8"/>
      <c r="GAQ5" s="8"/>
      <c r="GAR5" s="8"/>
      <c r="GAS5" s="8"/>
      <c r="GAT5" s="8"/>
      <c r="GAU5" s="8"/>
      <c r="GAV5" s="8"/>
      <c r="GAW5" s="8"/>
      <c r="GAX5" s="8"/>
      <c r="GAY5" s="8"/>
      <c r="GAZ5" s="8"/>
      <c r="GBA5" s="8"/>
      <c r="GBB5" s="8"/>
      <c r="GBC5" s="8"/>
      <c r="GBD5" s="8"/>
      <c r="GBE5" s="8"/>
      <c r="GBF5" s="8"/>
      <c r="GBG5" s="8"/>
      <c r="GBH5" s="8"/>
      <c r="GBI5" s="8"/>
      <c r="GBJ5" s="8"/>
      <c r="GBK5" s="8"/>
      <c r="GBL5" s="8"/>
      <c r="GBM5" s="8"/>
      <c r="GBN5" s="8"/>
      <c r="GBO5" s="8"/>
      <c r="GBP5" s="8"/>
      <c r="GBQ5" s="8"/>
      <c r="GBR5" s="8"/>
      <c r="GBS5" s="8"/>
      <c r="GBT5" s="8"/>
      <c r="GBU5" s="8"/>
      <c r="GBV5" s="8"/>
      <c r="GBW5" s="8"/>
      <c r="GBX5" s="8"/>
      <c r="GBY5" s="8"/>
      <c r="GBZ5" s="8"/>
      <c r="GCA5" s="8"/>
      <c r="GCB5" s="8"/>
      <c r="GCC5" s="8"/>
      <c r="GCD5" s="8"/>
      <c r="GCE5" s="8"/>
      <c r="GCF5" s="8"/>
      <c r="GCG5" s="8"/>
      <c r="GCH5" s="8"/>
      <c r="GCI5" s="8"/>
      <c r="GCJ5" s="8"/>
      <c r="GCK5" s="8"/>
      <c r="GCL5" s="8"/>
      <c r="GCM5" s="8"/>
      <c r="GCN5" s="8"/>
      <c r="GCO5" s="8"/>
      <c r="GCP5" s="8"/>
      <c r="GCQ5" s="8"/>
      <c r="GCR5" s="8"/>
      <c r="GCS5" s="8"/>
      <c r="GCT5" s="8"/>
      <c r="GCU5" s="8"/>
      <c r="GCV5" s="8"/>
      <c r="GCW5" s="8"/>
      <c r="GCX5" s="8"/>
      <c r="GCY5" s="8"/>
      <c r="GCZ5" s="8"/>
      <c r="GDA5" s="8"/>
      <c r="GDB5" s="8"/>
      <c r="GDC5" s="8"/>
      <c r="GDD5" s="8"/>
      <c r="GDE5" s="8"/>
      <c r="GDF5" s="8"/>
      <c r="GDG5" s="8"/>
      <c r="GDH5" s="8"/>
      <c r="GDI5" s="8"/>
      <c r="GDJ5" s="8"/>
      <c r="GDK5" s="8"/>
      <c r="GDL5" s="8"/>
      <c r="GDM5" s="8"/>
      <c r="GDN5" s="8"/>
      <c r="GDO5" s="8"/>
      <c r="GDP5" s="8"/>
      <c r="GDQ5" s="8"/>
      <c r="GDR5" s="8"/>
      <c r="GDS5" s="8"/>
      <c r="GDT5" s="8"/>
      <c r="GDU5" s="8"/>
      <c r="GDV5" s="8"/>
      <c r="GDW5" s="8"/>
      <c r="GDX5" s="8"/>
      <c r="GDY5" s="8"/>
      <c r="GDZ5" s="8"/>
      <c r="GEA5" s="8"/>
      <c r="GEB5" s="8"/>
      <c r="GEC5" s="8"/>
      <c r="GED5" s="8"/>
      <c r="GEE5" s="8"/>
      <c r="GEF5" s="8"/>
      <c r="GEG5" s="8"/>
      <c r="GEH5" s="8"/>
      <c r="GEI5" s="8"/>
      <c r="GEJ5" s="8"/>
      <c r="GEK5" s="8"/>
      <c r="GEL5" s="8"/>
      <c r="GEM5" s="8"/>
      <c r="GEN5" s="8"/>
      <c r="GEO5" s="8"/>
      <c r="GEP5" s="8"/>
      <c r="GEQ5" s="8"/>
      <c r="GER5" s="8"/>
      <c r="GES5" s="8"/>
      <c r="GET5" s="8"/>
      <c r="GEU5" s="8"/>
      <c r="GEV5" s="8"/>
      <c r="GEW5" s="8"/>
      <c r="GEX5" s="8"/>
      <c r="GEY5" s="8"/>
      <c r="GEZ5" s="8"/>
      <c r="GFA5" s="8"/>
      <c r="GFB5" s="8"/>
      <c r="GFC5" s="8"/>
      <c r="GFD5" s="8"/>
      <c r="GFE5" s="8"/>
      <c r="GFF5" s="8"/>
      <c r="GFG5" s="8"/>
      <c r="GFH5" s="8"/>
      <c r="GFI5" s="8"/>
      <c r="GFJ5" s="8"/>
      <c r="GFK5" s="8"/>
      <c r="GFL5" s="8"/>
      <c r="GFM5" s="8"/>
      <c r="GFN5" s="8"/>
      <c r="GFO5" s="8"/>
      <c r="GFP5" s="8"/>
      <c r="GFQ5" s="8"/>
      <c r="GFR5" s="8"/>
      <c r="GFS5" s="8"/>
      <c r="GFT5" s="8"/>
      <c r="GFU5" s="8"/>
      <c r="GFV5" s="8"/>
      <c r="GFW5" s="8"/>
      <c r="GFX5" s="8"/>
      <c r="GFY5" s="8"/>
      <c r="GFZ5" s="8"/>
      <c r="GGA5" s="8"/>
      <c r="GGB5" s="8"/>
      <c r="GGC5" s="8"/>
      <c r="GGD5" s="8"/>
      <c r="GGE5" s="8"/>
      <c r="GGF5" s="8"/>
      <c r="GGG5" s="8"/>
      <c r="GGH5" s="8"/>
      <c r="GGI5" s="8"/>
      <c r="GGJ5" s="8"/>
      <c r="GGK5" s="8"/>
      <c r="GGL5" s="8"/>
      <c r="GGM5" s="8"/>
      <c r="GGN5" s="8"/>
      <c r="GGO5" s="8"/>
      <c r="GGP5" s="8"/>
      <c r="GGQ5" s="8"/>
      <c r="GGR5" s="8"/>
      <c r="GGS5" s="8"/>
      <c r="GGT5" s="8"/>
      <c r="GGU5" s="8"/>
      <c r="GGV5" s="8"/>
      <c r="GGW5" s="8"/>
      <c r="GGX5" s="8"/>
      <c r="GGY5" s="8"/>
      <c r="GGZ5" s="8"/>
      <c r="GHA5" s="8"/>
      <c r="GHB5" s="8"/>
      <c r="GHC5" s="8"/>
      <c r="GHD5" s="8"/>
      <c r="GHE5" s="8"/>
      <c r="GHF5" s="8"/>
      <c r="GHG5" s="8"/>
      <c r="GHH5" s="8"/>
      <c r="GHI5" s="8"/>
      <c r="GHJ5" s="8"/>
      <c r="GHK5" s="8"/>
      <c r="GHL5" s="8"/>
      <c r="GHM5" s="8"/>
      <c r="GHN5" s="8"/>
      <c r="GHO5" s="8"/>
      <c r="GHP5" s="8"/>
      <c r="GHQ5" s="8"/>
      <c r="GHR5" s="8"/>
      <c r="GHS5" s="8"/>
      <c r="GHT5" s="8"/>
      <c r="GHU5" s="8"/>
      <c r="GHV5" s="8"/>
      <c r="GHW5" s="8"/>
      <c r="GHX5" s="8"/>
      <c r="GHY5" s="8"/>
      <c r="GHZ5" s="8"/>
      <c r="GIA5" s="8"/>
      <c r="GIB5" s="8"/>
      <c r="GIC5" s="8"/>
      <c r="GID5" s="8"/>
      <c r="GIE5" s="8"/>
      <c r="GIF5" s="8"/>
      <c r="GIG5" s="8"/>
      <c r="GIH5" s="8"/>
      <c r="GII5" s="8"/>
      <c r="GIJ5" s="8"/>
      <c r="GIK5" s="8"/>
      <c r="GIL5" s="8"/>
      <c r="GIM5" s="8"/>
      <c r="GIN5" s="8"/>
      <c r="GIO5" s="8"/>
      <c r="GIP5" s="8"/>
      <c r="GIQ5" s="8"/>
      <c r="GIR5" s="8"/>
      <c r="GIS5" s="8"/>
      <c r="GIT5" s="8"/>
      <c r="GIU5" s="8"/>
      <c r="GIV5" s="8"/>
      <c r="GIW5" s="8"/>
      <c r="GIX5" s="8"/>
      <c r="GIY5" s="8"/>
      <c r="GIZ5" s="8"/>
      <c r="GJA5" s="8"/>
      <c r="GJB5" s="8"/>
      <c r="GJC5" s="8"/>
      <c r="GJD5" s="8"/>
      <c r="GJE5" s="8"/>
      <c r="GJF5" s="8"/>
      <c r="GJG5" s="8"/>
      <c r="GJH5" s="8"/>
      <c r="GJI5" s="8"/>
      <c r="GJJ5" s="8"/>
      <c r="GJK5" s="8"/>
      <c r="GJL5" s="8"/>
      <c r="GJM5" s="8"/>
      <c r="GJN5" s="8"/>
      <c r="GJO5" s="8"/>
      <c r="GJP5" s="8"/>
      <c r="GJQ5" s="8"/>
      <c r="GJR5" s="8"/>
      <c r="GJS5" s="8"/>
      <c r="GJT5" s="8"/>
      <c r="GJU5" s="8"/>
      <c r="GJV5" s="8"/>
      <c r="GJW5" s="8"/>
      <c r="GJX5" s="8"/>
      <c r="GJY5" s="8"/>
      <c r="GJZ5" s="8"/>
      <c r="GKA5" s="8"/>
      <c r="GKB5" s="8"/>
      <c r="GKC5" s="8"/>
      <c r="GKD5" s="8"/>
      <c r="GKE5" s="8"/>
      <c r="GKF5" s="8"/>
      <c r="GKG5" s="8"/>
      <c r="GKH5" s="8"/>
      <c r="GKI5" s="8"/>
      <c r="GKJ5" s="8"/>
      <c r="GKK5" s="8"/>
      <c r="GKL5" s="8"/>
      <c r="GKM5" s="8"/>
      <c r="GKN5" s="8"/>
      <c r="GKO5" s="8"/>
      <c r="GKP5" s="8"/>
      <c r="GKQ5" s="8"/>
      <c r="GKR5" s="8"/>
      <c r="GKS5" s="8"/>
      <c r="GKT5" s="8"/>
      <c r="GKU5" s="8"/>
      <c r="GKV5" s="8"/>
      <c r="GKW5" s="8"/>
      <c r="GKX5" s="8"/>
      <c r="GKY5" s="8"/>
      <c r="GKZ5" s="8"/>
      <c r="GLA5" s="8"/>
      <c r="GLB5" s="8"/>
      <c r="GLC5" s="8"/>
      <c r="GLD5" s="8"/>
      <c r="GLE5" s="8"/>
      <c r="GLF5" s="8"/>
      <c r="GLG5" s="8"/>
      <c r="GLH5" s="8"/>
      <c r="GLI5" s="8"/>
      <c r="GLJ5" s="8"/>
      <c r="GLK5" s="8"/>
      <c r="GLL5" s="8"/>
      <c r="GLM5" s="8"/>
      <c r="GLN5" s="8"/>
      <c r="GLO5" s="8"/>
      <c r="GLP5" s="8"/>
      <c r="GLQ5" s="8"/>
      <c r="GLR5" s="8"/>
      <c r="GLS5" s="8"/>
      <c r="GLT5" s="8"/>
      <c r="GLU5" s="8"/>
      <c r="GLV5" s="8"/>
      <c r="GLW5" s="8"/>
      <c r="GLX5" s="8"/>
      <c r="GLY5" s="8"/>
      <c r="GLZ5" s="8"/>
      <c r="GMA5" s="8"/>
      <c r="GMB5" s="8"/>
      <c r="GMC5" s="8"/>
      <c r="GMD5" s="8"/>
      <c r="GME5" s="8"/>
      <c r="GMF5" s="8"/>
      <c r="GMG5" s="8"/>
      <c r="GMH5" s="8"/>
      <c r="GMI5" s="8"/>
      <c r="GMJ5" s="8"/>
      <c r="GMK5" s="8"/>
      <c r="GML5" s="8"/>
      <c r="GMM5" s="8"/>
      <c r="GMN5" s="8"/>
      <c r="GMO5" s="8"/>
      <c r="GMP5" s="8"/>
      <c r="GMQ5" s="8"/>
      <c r="GMR5" s="8"/>
      <c r="GMS5" s="8"/>
      <c r="GMT5" s="8"/>
      <c r="GMU5" s="8"/>
      <c r="GMV5" s="8"/>
      <c r="GMW5" s="8"/>
      <c r="GMX5" s="8"/>
      <c r="GMY5" s="8"/>
      <c r="GMZ5" s="8"/>
      <c r="GNA5" s="8"/>
      <c r="GNB5" s="8"/>
      <c r="GNC5" s="8"/>
      <c r="GND5" s="8"/>
      <c r="GNE5" s="8"/>
      <c r="GNF5" s="8"/>
      <c r="GNG5" s="8"/>
      <c r="GNH5" s="8"/>
      <c r="GNI5" s="8"/>
      <c r="GNJ5" s="8"/>
      <c r="GNK5" s="8"/>
      <c r="GNL5" s="8"/>
      <c r="GNM5" s="8"/>
      <c r="GNN5" s="8"/>
      <c r="GNO5" s="8"/>
      <c r="GNP5" s="8"/>
      <c r="GNQ5" s="8"/>
      <c r="GNR5" s="8"/>
      <c r="GNS5" s="8"/>
      <c r="GNT5" s="8"/>
      <c r="GNU5" s="8"/>
      <c r="GNV5" s="8"/>
      <c r="GNW5" s="8"/>
      <c r="GNX5" s="8"/>
      <c r="GNY5" s="8"/>
      <c r="GNZ5" s="8"/>
      <c r="GOA5" s="8"/>
      <c r="GOB5" s="8"/>
      <c r="GOC5" s="8"/>
      <c r="GOD5" s="8"/>
      <c r="GOE5" s="8"/>
      <c r="GOF5" s="8"/>
      <c r="GOG5" s="8"/>
      <c r="GOH5" s="8"/>
      <c r="GOI5" s="8"/>
      <c r="GOJ5" s="8"/>
      <c r="GOK5" s="8"/>
      <c r="GOL5" s="8"/>
      <c r="GOM5" s="8"/>
      <c r="GON5" s="8"/>
      <c r="GOO5" s="8"/>
      <c r="GOP5" s="8"/>
      <c r="GOQ5" s="8"/>
      <c r="GOR5" s="8"/>
      <c r="GOS5" s="8"/>
      <c r="GOT5" s="8"/>
      <c r="GOU5" s="8"/>
      <c r="GOV5" s="8"/>
      <c r="GOW5" s="8"/>
      <c r="GOX5" s="8"/>
      <c r="GOY5" s="8"/>
      <c r="GOZ5" s="8"/>
      <c r="GPA5" s="8"/>
      <c r="GPB5" s="8"/>
      <c r="GPC5" s="8"/>
      <c r="GPD5" s="8"/>
      <c r="GPE5" s="8"/>
      <c r="GPF5" s="8"/>
      <c r="GPG5" s="8"/>
      <c r="GPH5" s="8"/>
      <c r="GPI5" s="8"/>
      <c r="GPJ5" s="8"/>
      <c r="GPK5" s="8"/>
      <c r="GPL5" s="8"/>
      <c r="GPM5" s="8"/>
      <c r="GPN5" s="8"/>
      <c r="GPO5" s="8"/>
      <c r="GPP5" s="8"/>
      <c r="GPQ5" s="8"/>
      <c r="GPR5" s="8"/>
      <c r="GPS5" s="8"/>
      <c r="GPT5" s="8"/>
      <c r="GPU5" s="8"/>
      <c r="GPV5" s="8"/>
      <c r="GPW5" s="8"/>
      <c r="GPX5" s="8"/>
      <c r="GPY5" s="8"/>
      <c r="GPZ5" s="8"/>
      <c r="GQA5" s="8"/>
      <c r="GQB5" s="8"/>
      <c r="GQC5" s="8"/>
      <c r="GQD5" s="8"/>
      <c r="GQE5" s="8"/>
      <c r="GQF5" s="8"/>
      <c r="GQG5" s="8"/>
      <c r="GQH5" s="8"/>
      <c r="GQI5" s="8"/>
      <c r="GQJ5" s="8"/>
      <c r="GQK5" s="8"/>
      <c r="GQL5" s="8"/>
      <c r="GQM5" s="8"/>
      <c r="GQN5" s="8"/>
      <c r="GQO5" s="8"/>
      <c r="GQP5" s="8"/>
      <c r="GQQ5" s="8"/>
      <c r="GQR5" s="8"/>
      <c r="GQS5" s="8"/>
      <c r="GQT5" s="8"/>
      <c r="GQU5" s="8"/>
      <c r="GQV5" s="8"/>
      <c r="GQW5" s="8"/>
      <c r="GQX5" s="8"/>
      <c r="GQY5" s="8"/>
      <c r="GQZ5" s="8"/>
      <c r="GRA5" s="8"/>
      <c r="GRB5" s="8"/>
      <c r="GRC5" s="8"/>
      <c r="GRD5" s="8"/>
      <c r="GRE5" s="8"/>
      <c r="GRF5" s="8"/>
      <c r="GRG5" s="8"/>
      <c r="GRH5" s="8"/>
      <c r="GRI5" s="8"/>
      <c r="GRJ5" s="8"/>
      <c r="GRK5" s="8"/>
      <c r="GRL5" s="8"/>
      <c r="GRM5" s="8"/>
      <c r="GRN5" s="8"/>
      <c r="GRO5" s="8"/>
      <c r="GRP5" s="8"/>
      <c r="GRQ5" s="8"/>
      <c r="GRR5" s="8"/>
      <c r="GRS5" s="8"/>
      <c r="GRT5" s="8"/>
      <c r="GRU5" s="8"/>
      <c r="GRV5" s="8"/>
      <c r="GRW5" s="8"/>
      <c r="GRX5" s="8"/>
      <c r="GRY5" s="8"/>
      <c r="GRZ5" s="8"/>
      <c r="GSA5" s="8"/>
      <c r="GSB5" s="8"/>
      <c r="GSC5" s="8"/>
      <c r="GSD5" s="8"/>
      <c r="GSE5" s="8"/>
      <c r="GSF5" s="8"/>
      <c r="GSG5" s="8"/>
      <c r="GSH5" s="8"/>
      <c r="GSI5" s="8"/>
      <c r="GSJ5" s="8"/>
      <c r="GSK5" s="8"/>
      <c r="GSL5" s="8"/>
      <c r="GSM5" s="8"/>
      <c r="GSN5" s="8"/>
      <c r="GSO5" s="8"/>
      <c r="GSP5" s="8"/>
      <c r="GSQ5" s="8"/>
      <c r="GSR5" s="8"/>
      <c r="GSS5" s="8"/>
      <c r="GST5" s="8"/>
      <c r="GSU5" s="8"/>
      <c r="GSV5" s="8"/>
      <c r="GSW5" s="8"/>
      <c r="GSX5" s="8"/>
      <c r="GSY5" s="8"/>
      <c r="GSZ5" s="8"/>
      <c r="GTA5" s="8"/>
      <c r="GTB5" s="8"/>
      <c r="GTC5" s="8"/>
      <c r="GTD5" s="8"/>
      <c r="GTE5" s="8"/>
      <c r="GTF5" s="8"/>
      <c r="GTG5" s="8"/>
      <c r="GTH5" s="8"/>
      <c r="GTI5" s="8"/>
      <c r="GTJ5" s="8"/>
      <c r="GTK5" s="8"/>
      <c r="GTL5" s="8"/>
      <c r="GTM5" s="8"/>
      <c r="GTN5" s="8"/>
      <c r="GTO5" s="8"/>
      <c r="GTP5" s="8"/>
      <c r="GTQ5" s="8"/>
      <c r="GTR5" s="8"/>
      <c r="GTS5" s="8"/>
      <c r="GTT5" s="8"/>
      <c r="GTU5" s="8"/>
      <c r="GTV5" s="8"/>
      <c r="GTW5" s="8"/>
      <c r="GTX5" s="8"/>
      <c r="GTY5" s="8"/>
      <c r="GTZ5" s="8"/>
      <c r="GUA5" s="8"/>
      <c r="GUB5" s="8"/>
      <c r="GUC5" s="8"/>
      <c r="GUD5" s="8"/>
      <c r="GUE5" s="8"/>
      <c r="GUF5" s="8"/>
      <c r="GUG5" s="8"/>
      <c r="GUH5" s="8"/>
      <c r="GUI5" s="8"/>
      <c r="GUJ5" s="8"/>
      <c r="GUK5" s="8"/>
      <c r="GUL5" s="8"/>
      <c r="GUM5" s="8"/>
      <c r="GUN5" s="8"/>
      <c r="GUO5" s="8"/>
      <c r="GUP5" s="8"/>
      <c r="GUQ5" s="8"/>
      <c r="GUR5" s="8"/>
      <c r="GUS5" s="8"/>
      <c r="GUT5" s="8"/>
      <c r="GUU5" s="8"/>
      <c r="GUV5" s="8"/>
      <c r="GUW5" s="8"/>
      <c r="GUX5" s="8"/>
      <c r="GUY5" s="8"/>
      <c r="GUZ5" s="8"/>
      <c r="GVA5" s="8"/>
      <c r="GVB5" s="8"/>
      <c r="GVC5" s="8"/>
      <c r="GVD5" s="8"/>
      <c r="GVE5" s="8"/>
      <c r="GVF5" s="8"/>
      <c r="GVG5" s="8"/>
      <c r="GVH5" s="8"/>
      <c r="GVI5" s="8"/>
      <c r="GVJ5" s="8"/>
      <c r="GVK5" s="8"/>
      <c r="GVL5" s="8"/>
      <c r="GVM5" s="8"/>
      <c r="GVN5" s="8"/>
      <c r="GVO5" s="8"/>
      <c r="GVP5" s="8"/>
      <c r="GVQ5" s="8"/>
      <c r="GVR5" s="8"/>
      <c r="GVS5" s="8"/>
      <c r="GVT5" s="8"/>
      <c r="GVU5" s="8"/>
      <c r="GVV5" s="8"/>
      <c r="GVW5" s="8"/>
      <c r="GVX5" s="8"/>
      <c r="GVY5" s="8"/>
      <c r="GVZ5" s="8"/>
      <c r="GWA5" s="8"/>
      <c r="GWB5" s="8"/>
      <c r="GWC5" s="8"/>
      <c r="GWD5" s="8"/>
      <c r="GWE5" s="8"/>
      <c r="GWF5" s="8"/>
      <c r="GWG5" s="8"/>
      <c r="GWH5" s="8"/>
      <c r="GWI5" s="8"/>
      <c r="GWJ5" s="8"/>
      <c r="GWK5" s="8"/>
      <c r="GWL5" s="8"/>
      <c r="GWM5" s="8"/>
      <c r="GWN5" s="8"/>
      <c r="GWO5" s="8"/>
      <c r="GWP5" s="8"/>
      <c r="GWQ5" s="8"/>
      <c r="GWR5" s="8"/>
      <c r="GWS5" s="8"/>
      <c r="GWT5" s="8"/>
      <c r="GWU5" s="8"/>
      <c r="GWV5" s="8"/>
      <c r="GWW5" s="8"/>
      <c r="GWX5" s="8"/>
      <c r="GWY5" s="8"/>
      <c r="GWZ5" s="8"/>
      <c r="GXA5" s="8"/>
      <c r="GXB5" s="8"/>
      <c r="GXC5" s="8"/>
      <c r="GXD5" s="8"/>
      <c r="GXE5" s="8"/>
      <c r="GXF5" s="8"/>
      <c r="GXG5" s="8"/>
      <c r="GXH5" s="8"/>
      <c r="GXI5" s="8"/>
      <c r="GXJ5" s="8"/>
      <c r="GXK5" s="8"/>
      <c r="GXL5" s="8"/>
      <c r="GXM5" s="8"/>
      <c r="GXN5" s="8"/>
      <c r="GXO5" s="8"/>
      <c r="GXP5" s="8"/>
      <c r="GXQ5" s="8"/>
      <c r="GXR5" s="8"/>
      <c r="GXS5" s="8"/>
      <c r="GXT5" s="8"/>
      <c r="GXU5" s="8"/>
      <c r="GXV5" s="8"/>
      <c r="GXW5" s="8"/>
      <c r="GXX5" s="8"/>
      <c r="GXY5" s="8"/>
      <c r="GXZ5" s="8"/>
      <c r="GYA5" s="8"/>
      <c r="GYB5" s="8"/>
      <c r="GYC5" s="8"/>
      <c r="GYD5" s="8"/>
      <c r="GYE5" s="8"/>
      <c r="GYF5" s="8"/>
      <c r="GYG5" s="8"/>
      <c r="GYH5" s="8"/>
      <c r="GYI5" s="8"/>
      <c r="GYJ5" s="8"/>
      <c r="GYK5" s="8"/>
      <c r="GYL5" s="8"/>
      <c r="GYM5" s="8"/>
      <c r="GYN5" s="8"/>
      <c r="GYO5" s="8"/>
      <c r="GYP5" s="8"/>
      <c r="GYQ5" s="8"/>
      <c r="GYR5" s="8"/>
      <c r="GYS5" s="8"/>
      <c r="GYT5" s="8"/>
      <c r="GYU5" s="8"/>
      <c r="GYV5" s="8"/>
      <c r="GYW5" s="8"/>
      <c r="GYX5" s="8"/>
      <c r="GYY5" s="8"/>
      <c r="GYZ5" s="8"/>
      <c r="GZA5" s="8"/>
      <c r="GZB5" s="8"/>
      <c r="GZC5" s="8"/>
      <c r="GZD5" s="8"/>
      <c r="GZE5" s="8"/>
      <c r="GZF5" s="8"/>
      <c r="GZG5" s="8"/>
      <c r="GZH5" s="8"/>
      <c r="GZI5" s="8"/>
      <c r="GZJ5" s="8"/>
      <c r="GZK5" s="8"/>
      <c r="GZL5" s="8"/>
      <c r="GZM5" s="8"/>
      <c r="GZN5" s="8"/>
      <c r="GZO5" s="8"/>
      <c r="GZP5" s="8"/>
      <c r="GZQ5" s="8"/>
      <c r="GZR5" s="8"/>
      <c r="GZS5" s="8"/>
      <c r="GZT5" s="8"/>
      <c r="GZU5" s="8"/>
      <c r="GZV5" s="8"/>
      <c r="GZW5" s="8"/>
      <c r="GZX5" s="8"/>
      <c r="GZY5" s="8"/>
      <c r="GZZ5" s="8"/>
      <c r="HAA5" s="8"/>
      <c r="HAB5" s="8"/>
      <c r="HAC5" s="8"/>
      <c r="HAD5" s="8"/>
      <c r="HAE5" s="8"/>
      <c r="HAF5" s="8"/>
      <c r="HAG5" s="8"/>
      <c r="HAH5" s="8"/>
      <c r="HAI5" s="8"/>
      <c r="HAJ5" s="8"/>
      <c r="HAK5" s="8"/>
      <c r="HAL5" s="8"/>
      <c r="HAM5" s="8"/>
      <c r="HAN5" s="8"/>
      <c r="HAO5" s="8"/>
      <c r="HAP5" s="8"/>
      <c r="HAQ5" s="8"/>
      <c r="HAR5" s="8"/>
      <c r="HAS5" s="8"/>
      <c r="HAT5" s="8"/>
      <c r="HAU5" s="8"/>
      <c r="HAV5" s="8"/>
      <c r="HAW5" s="8"/>
      <c r="HAX5" s="8"/>
      <c r="HAY5" s="8"/>
      <c r="HAZ5" s="8"/>
      <c r="HBA5" s="8"/>
      <c r="HBB5" s="8"/>
      <c r="HBC5" s="8"/>
      <c r="HBD5" s="8"/>
      <c r="HBE5" s="8"/>
      <c r="HBF5" s="8"/>
      <c r="HBG5" s="8"/>
      <c r="HBH5" s="8"/>
      <c r="HBI5" s="8"/>
      <c r="HBJ5" s="8"/>
      <c r="HBK5" s="8"/>
      <c r="HBL5" s="8"/>
      <c r="HBM5" s="8"/>
      <c r="HBN5" s="8"/>
      <c r="HBO5" s="8"/>
      <c r="HBP5" s="8"/>
      <c r="HBQ5" s="8"/>
      <c r="HBR5" s="8"/>
      <c r="HBS5" s="8"/>
      <c r="HBT5" s="8"/>
      <c r="HBU5" s="8"/>
      <c r="HBV5" s="8"/>
      <c r="HBW5" s="8"/>
      <c r="HBX5" s="8"/>
      <c r="HBY5" s="8"/>
      <c r="HBZ5" s="8"/>
      <c r="HCA5" s="8"/>
      <c r="HCB5" s="8"/>
      <c r="HCC5" s="8"/>
      <c r="HCD5" s="8"/>
      <c r="HCE5" s="8"/>
      <c r="HCF5" s="8"/>
      <c r="HCG5" s="8"/>
      <c r="HCH5" s="8"/>
      <c r="HCI5" s="8"/>
      <c r="HCJ5" s="8"/>
      <c r="HCK5" s="8"/>
      <c r="HCL5" s="8"/>
      <c r="HCM5" s="8"/>
      <c r="HCN5" s="8"/>
      <c r="HCO5" s="8"/>
      <c r="HCP5" s="8"/>
      <c r="HCQ5" s="8"/>
      <c r="HCR5" s="8"/>
      <c r="HCS5" s="8"/>
      <c r="HCT5" s="8"/>
      <c r="HCU5" s="8"/>
      <c r="HCV5" s="8"/>
      <c r="HCW5" s="8"/>
      <c r="HCX5" s="8"/>
      <c r="HCY5" s="8"/>
      <c r="HCZ5" s="8"/>
      <c r="HDA5" s="8"/>
      <c r="HDB5" s="8"/>
      <c r="HDC5" s="8"/>
      <c r="HDD5" s="8"/>
      <c r="HDE5" s="8"/>
      <c r="HDF5" s="8"/>
      <c r="HDG5" s="8"/>
      <c r="HDH5" s="8"/>
      <c r="HDI5" s="8"/>
      <c r="HDJ5" s="8"/>
      <c r="HDK5" s="8"/>
      <c r="HDL5" s="8"/>
      <c r="HDM5" s="8"/>
      <c r="HDN5" s="8"/>
      <c r="HDO5" s="8"/>
      <c r="HDP5" s="8"/>
      <c r="HDQ5" s="8"/>
      <c r="HDR5" s="8"/>
      <c r="HDS5" s="8"/>
      <c r="HDT5" s="8"/>
      <c r="HDU5" s="8"/>
      <c r="HDV5" s="8"/>
      <c r="HDW5" s="8"/>
      <c r="HDX5" s="8"/>
      <c r="HDY5" s="8"/>
      <c r="HDZ5" s="8"/>
      <c r="HEA5" s="8"/>
      <c r="HEB5" s="8"/>
      <c r="HEC5" s="8"/>
      <c r="HED5" s="8"/>
      <c r="HEE5" s="8"/>
      <c r="HEF5" s="8"/>
      <c r="HEG5" s="8"/>
      <c r="HEH5" s="8"/>
      <c r="HEI5" s="8"/>
      <c r="HEJ5" s="8"/>
      <c r="HEK5" s="8"/>
      <c r="HEL5" s="8"/>
      <c r="HEM5" s="8"/>
      <c r="HEN5" s="8"/>
      <c r="HEO5" s="8"/>
      <c r="HEP5" s="8"/>
      <c r="HEQ5" s="8"/>
      <c r="HER5" s="8"/>
      <c r="HES5" s="8"/>
      <c r="HET5" s="8"/>
      <c r="HEU5" s="8"/>
      <c r="HEV5" s="8"/>
      <c r="HEW5" s="8"/>
      <c r="HEX5" s="8"/>
      <c r="HEY5" s="8"/>
      <c r="HEZ5" s="8"/>
      <c r="HFA5" s="8"/>
      <c r="HFB5" s="8"/>
      <c r="HFC5" s="8"/>
      <c r="HFD5" s="8"/>
      <c r="HFE5" s="8"/>
      <c r="HFF5" s="8"/>
      <c r="HFG5" s="8"/>
      <c r="HFH5" s="8"/>
      <c r="HFI5" s="8"/>
      <c r="HFJ5" s="8"/>
      <c r="HFK5" s="8"/>
      <c r="HFL5" s="8"/>
      <c r="HFM5" s="8"/>
      <c r="HFN5" s="8"/>
      <c r="HFO5" s="8"/>
      <c r="HFP5" s="8"/>
      <c r="HFQ5" s="8"/>
      <c r="HFR5" s="8"/>
      <c r="HFS5" s="8"/>
      <c r="HFT5" s="8"/>
      <c r="HFU5" s="8"/>
      <c r="HFV5" s="8"/>
      <c r="HFW5" s="8"/>
      <c r="HFX5" s="8"/>
      <c r="HFY5" s="8"/>
      <c r="HFZ5" s="8"/>
      <c r="HGA5" s="8"/>
      <c r="HGB5" s="8"/>
      <c r="HGC5" s="8"/>
      <c r="HGD5" s="8"/>
      <c r="HGE5" s="8"/>
      <c r="HGF5" s="8"/>
      <c r="HGG5" s="8"/>
      <c r="HGH5" s="8"/>
      <c r="HGI5" s="8"/>
      <c r="HGJ5" s="8"/>
      <c r="HGK5" s="8"/>
      <c r="HGL5" s="8"/>
      <c r="HGM5" s="8"/>
      <c r="HGN5" s="8"/>
      <c r="HGO5" s="8"/>
      <c r="HGP5" s="8"/>
      <c r="HGQ5" s="8"/>
      <c r="HGR5" s="8"/>
      <c r="HGS5" s="8"/>
      <c r="HGT5" s="8"/>
      <c r="HGU5" s="8"/>
      <c r="HGV5" s="8"/>
      <c r="HGW5" s="8"/>
      <c r="HGX5" s="8"/>
      <c r="HGY5" s="8"/>
      <c r="HGZ5" s="8"/>
      <c r="HHA5" s="8"/>
      <c r="HHB5" s="8"/>
      <c r="HHC5" s="8"/>
      <c r="HHD5" s="8"/>
      <c r="HHE5" s="8"/>
      <c r="HHF5" s="8"/>
      <c r="HHG5" s="8"/>
      <c r="HHH5" s="8"/>
      <c r="HHI5" s="8"/>
      <c r="HHJ5" s="8"/>
      <c r="HHK5" s="8"/>
      <c r="HHL5" s="8"/>
      <c r="HHM5" s="8"/>
      <c r="HHN5" s="8"/>
      <c r="HHO5" s="8"/>
      <c r="HHP5" s="8"/>
      <c r="HHQ5" s="8"/>
      <c r="HHR5" s="8"/>
      <c r="HHS5" s="8"/>
      <c r="HHT5" s="8"/>
      <c r="HHU5" s="8"/>
      <c r="HHV5" s="8"/>
      <c r="HHW5" s="8"/>
      <c r="HHX5" s="8"/>
      <c r="HHY5" s="8"/>
      <c r="HHZ5" s="8"/>
      <c r="HIA5" s="8"/>
      <c r="HIB5" s="8"/>
      <c r="HIC5" s="8"/>
      <c r="HID5" s="8"/>
      <c r="HIE5" s="8"/>
      <c r="HIF5" s="8"/>
      <c r="HIG5" s="8"/>
      <c r="HIH5" s="8"/>
      <c r="HII5" s="8"/>
      <c r="HIJ5" s="8"/>
      <c r="HIK5" s="8"/>
      <c r="HIL5" s="8"/>
      <c r="HIM5" s="8"/>
      <c r="HIN5" s="8"/>
      <c r="HIO5" s="8"/>
      <c r="HIP5" s="8"/>
      <c r="HIQ5" s="8"/>
      <c r="HIR5" s="8"/>
      <c r="HIS5" s="8"/>
      <c r="HIT5" s="8"/>
      <c r="HIU5" s="8"/>
      <c r="HIV5" s="8"/>
      <c r="HIW5" s="8"/>
      <c r="HIX5" s="8"/>
      <c r="HIY5" s="8"/>
      <c r="HIZ5" s="8"/>
      <c r="HJA5" s="8"/>
      <c r="HJB5" s="8"/>
      <c r="HJC5" s="8"/>
      <c r="HJD5" s="8"/>
      <c r="HJE5" s="8"/>
      <c r="HJF5" s="8"/>
      <c r="HJG5" s="8"/>
      <c r="HJH5" s="8"/>
      <c r="HJI5" s="8"/>
      <c r="HJJ5" s="8"/>
      <c r="HJK5" s="8"/>
      <c r="HJL5" s="8"/>
      <c r="HJM5" s="8"/>
      <c r="HJN5" s="8"/>
      <c r="HJO5" s="8"/>
      <c r="HJP5" s="8"/>
      <c r="HJQ5" s="8"/>
      <c r="HJR5" s="8"/>
      <c r="HJS5" s="8"/>
      <c r="HJT5" s="8"/>
      <c r="HJU5" s="8"/>
      <c r="HJV5" s="8"/>
      <c r="HJW5" s="8"/>
      <c r="HJX5" s="8"/>
      <c r="HJY5" s="8"/>
      <c r="HJZ5" s="8"/>
      <c r="HKA5" s="8"/>
      <c r="HKB5" s="8"/>
      <c r="HKC5" s="8"/>
      <c r="HKD5" s="8"/>
      <c r="HKE5" s="8"/>
      <c r="HKF5" s="8"/>
      <c r="HKG5" s="8"/>
      <c r="HKH5" s="8"/>
      <c r="HKI5" s="8"/>
      <c r="HKJ5" s="8"/>
      <c r="HKK5" s="8"/>
      <c r="HKL5" s="8"/>
      <c r="HKM5" s="8"/>
      <c r="HKN5" s="8"/>
      <c r="HKO5" s="8"/>
      <c r="HKP5" s="8"/>
      <c r="HKQ5" s="8"/>
      <c r="HKR5" s="8"/>
      <c r="HKS5" s="8"/>
      <c r="HKT5" s="8"/>
      <c r="HKU5" s="8"/>
      <c r="HKV5" s="8"/>
      <c r="HKW5" s="8"/>
      <c r="HKX5" s="8"/>
      <c r="HKY5" s="8"/>
      <c r="HKZ5" s="8"/>
      <c r="HLA5" s="8"/>
      <c r="HLB5" s="8"/>
      <c r="HLC5" s="8"/>
      <c r="HLD5" s="8"/>
      <c r="HLE5" s="8"/>
      <c r="HLF5" s="8"/>
      <c r="HLG5" s="8"/>
      <c r="HLH5" s="8"/>
      <c r="HLI5" s="8"/>
      <c r="HLJ5" s="8"/>
      <c r="HLK5" s="8"/>
      <c r="HLL5" s="8"/>
      <c r="HLM5" s="8"/>
      <c r="HLN5" s="8"/>
      <c r="HLO5" s="8"/>
      <c r="HLP5" s="8"/>
      <c r="HLQ5" s="8"/>
      <c r="HLR5" s="8"/>
      <c r="HLS5" s="8"/>
      <c r="HLT5" s="8"/>
      <c r="HLU5" s="8"/>
      <c r="HLV5" s="8"/>
      <c r="HLW5" s="8"/>
      <c r="HLX5" s="8"/>
      <c r="HLY5" s="8"/>
      <c r="HLZ5" s="8"/>
      <c r="HMA5" s="8"/>
      <c r="HMB5" s="8"/>
      <c r="HMC5" s="8"/>
      <c r="HMD5" s="8"/>
      <c r="HME5" s="8"/>
      <c r="HMF5" s="8"/>
      <c r="HMG5" s="8"/>
      <c r="HMH5" s="8"/>
      <c r="HMI5" s="8"/>
      <c r="HMJ5" s="8"/>
      <c r="HMK5" s="8"/>
      <c r="HML5" s="8"/>
      <c r="HMM5" s="8"/>
      <c r="HMN5" s="8"/>
      <c r="HMO5" s="8"/>
      <c r="HMP5" s="8"/>
      <c r="HMQ5" s="8"/>
      <c r="HMR5" s="8"/>
      <c r="HMS5" s="8"/>
      <c r="HMT5" s="8"/>
      <c r="HMU5" s="8"/>
      <c r="HMV5" s="8"/>
      <c r="HMW5" s="8"/>
      <c r="HMX5" s="8"/>
      <c r="HMY5" s="8"/>
      <c r="HMZ5" s="8"/>
      <c r="HNA5" s="8"/>
      <c r="HNB5" s="8"/>
      <c r="HNC5" s="8"/>
      <c r="HND5" s="8"/>
      <c r="HNE5" s="8"/>
      <c r="HNF5" s="8"/>
      <c r="HNG5" s="8"/>
      <c r="HNH5" s="8"/>
      <c r="HNI5" s="8"/>
      <c r="HNJ5" s="8"/>
      <c r="HNK5" s="8"/>
      <c r="HNL5" s="8"/>
      <c r="HNM5" s="8"/>
      <c r="HNN5" s="8"/>
      <c r="HNO5" s="8"/>
      <c r="HNP5" s="8"/>
      <c r="HNQ5" s="8"/>
      <c r="HNR5" s="8"/>
      <c r="HNS5" s="8"/>
      <c r="HNT5" s="8"/>
      <c r="HNU5" s="8"/>
      <c r="HNV5" s="8"/>
      <c r="HNW5" s="8"/>
      <c r="HNX5" s="8"/>
      <c r="HNY5" s="8"/>
      <c r="HNZ5" s="8"/>
      <c r="HOA5" s="8"/>
      <c r="HOB5" s="8"/>
      <c r="HOC5" s="8"/>
      <c r="HOD5" s="8"/>
      <c r="HOE5" s="8"/>
      <c r="HOF5" s="8"/>
      <c r="HOG5" s="8"/>
      <c r="HOH5" s="8"/>
      <c r="HOI5" s="8"/>
      <c r="HOJ5" s="8"/>
      <c r="HOK5" s="8"/>
      <c r="HOL5" s="8"/>
      <c r="HOM5" s="8"/>
      <c r="HON5" s="8"/>
      <c r="HOO5" s="8"/>
      <c r="HOP5" s="8"/>
      <c r="HOQ5" s="8"/>
      <c r="HOR5" s="8"/>
      <c r="HOS5" s="8"/>
      <c r="HOT5" s="8"/>
      <c r="HOU5" s="8"/>
      <c r="HOV5" s="8"/>
      <c r="HOW5" s="8"/>
      <c r="HOX5" s="8"/>
      <c r="HOY5" s="8"/>
      <c r="HOZ5" s="8"/>
      <c r="HPA5" s="8"/>
      <c r="HPB5" s="8"/>
      <c r="HPC5" s="8"/>
      <c r="HPD5" s="8"/>
      <c r="HPE5" s="8"/>
      <c r="HPF5" s="8"/>
      <c r="HPG5" s="8"/>
      <c r="HPH5" s="8"/>
      <c r="HPI5" s="8"/>
      <c r="HPJ5" s="8"/>
      <c r="HPK5" s="8"/>
      <c r="HPL5" s="8"/>
      <c r="HPM5" s="8"/>
      <c r="HPN5" s="8"/>
      <c r="HPO5" s="8"/>
      <c r="HPP5" s="8"/>
      <c r="HPQ5" s="8"/>
      <c r="HPR5" s="8"/>
      <c r="HPS5" s="8"/>
      <c r="HPT5" s="8"/>
      <c r="HPU5" s="8"/>
      <c r="HPV5" s="8"/>
      <c r="HPW5" s="8"/>
      <c r="HPX5" s="8"/>
      <c r="HPY5" s="8"/>
      <c r="HPZ5" s="8"/>
      <c r="HQA5" s="8"/>
      <c r="HQB5" s="8"/>
      <c r="HQC5" s="8"/>
      <c r="HQD5" s="8"/>
      <c r="HQE5" s="8"/>
      <c r="HQF5" s="8"/>
      <c r="HQG5" s="8"/>
      <c r="HQH5" s="8"/>
      <c r="HQI5" s="8"/>
      <c r="HQJ5" s="8"/>
      <c r="HQK5" s="8"/>
      <c r="HQL5" s="8"/>
      <c r="HQM5" s="8"/>
      <c r="HQN5" s="8"/>
      <c r="HQO5" s="8"/>
      <c r="HQP5" s="8"/>
      <c r="HQQ5" s="8"/>
      <c r="HQR5" s="8"/>
      <c r="HQS5" s="8"/>
      <c r="HQT5" s="8"/>
      <c r="HQU5" s="8"/>
      <c r="HQV5" s="8"/>
      <c r="HQW5" s="8"/>
      <c r="HQX5" s="8"/>
      <c r="HQY5" s="8"/>
      <c r="HQZ5" s="8"/>
      <c r="HRA5" s="8"/>
      <c r="HRB5" s="8"/>
      <c r="HRC5" s="8"/>
      <c r="HRD5" s="8"/>
      <c r="HRE5" s="8"/>
      <c r="HRF5" s="8"/>
      <c r="HRG5" s="8"/>
      <c r="HRH5" s="8"/>
      <c r="HRI5" s="8"/>
      <c r="HRJ5" s="8"/>
      <c r="HRK5" s="8"/>
      <c r="HRL5" s="8"/>
      <c r="HRM5" s="8"/>
      <c r="HRN5" s="8"/>
      <c r="HRO5" s="8"/>
      <c r="HRP5" s="8"/>
      <c r="HRQ5" s="8"/>
      <c r="HRR5" s="8"/>
      <c r="HRS5" s="8"/>
      <c r="HRT5" s="8"/>
      <c r="HRU5" s="8"/>
      <c r="HRV5" s="8"/>
      <c r="HRW5" s="8"/>
      <c r="HRX5" s="8"/>
      <c r="HRY5" s="8"/>
      <c r="HRZ5" s="8"/>
      <c r="HSA5" s="8"/>
      <c r="HSB5" s="8"/>
      <c r="HSC5" s="8"/>
      <c r="HSD5" s="8"/>
      <c r="HSE5" s="8"/>
      <c r="HSF5" s="8"/>
      <c r="HSG5" s="8"/>
      <c r="HSH5" s="8"/>
      <c r="HSI5" s="8"/>
      <c r="HSJ5" s="8"/>
      <c r="HSK5" s="8"/>
      <c r="HSL5" s="8"/>
      <c r="HSM5" s="8"/>
      <c r="HSN5" s="8"/>
      <c r="HSO5" s="8"/>
      <c r="HSP5" s="8"/>
      <c r="HSQ5" s="8"/>
      <c r="HSR5" s="8"/>
      <c r="HSS5" s="8"/>
      <c r="HST5" s="8"/>
      <c r="HSU5" s="8"/>
      <c r="HSV5" s="8"/>
      <c r="HSW5" s="8"/>
      <c r="HSX5" s="8"/>
      <c r="HSY5" s="8"/>
      <c r="HSZ5" s="8"/>
      <c r="HTA5" s="8"/>
      <c r="HTB5" s="8"/>
      <c r="HTC5" s="8"/>
      <c r="HTD5" s="8"/>
      <c r="HTE5" s="8"/>
      <c r="HTF5" s="8"/>
      <c r="HTG5" s="8"/>
      <c r="HTH5" s="8"/>
      <c r="HTI5" s="8"/>
      <c r="HTJ5" s="8"/>
      <c r="HTK5" s="8"/>
      <c r="HTL5" s="8"/>
      <c r="HTM5" s="8"/>
      <c r="HTN5" s="8"/>
      <c r="HTO5" s="8"/>
      <c r="HTP5" s="8"/>
      <c r="HTQ5" s="8"/>
      <c r="HTR5" s="8"/>
      <c r="HTS5" s="8"/>
      <c r="HTT5" s="8"/>
      <c r="HTU5" s="8"/>
      <c r="HTV5" s="8"/>
      <c r="HTW5" s="8"/>
      <c r="HTX5" s="8"/>
      <c r="HTY5" s="8"/>
      <c r="HTZ5" s="8"/>
      <c r="HUA5" s="8"/>
      <c r="HUB5" s="8"/>
      <c r="HUC5" s="8"/>
      <c r="HUD5" s="8"/>
      <c r="HUE5" s="8"/>
      <c r="HUF5" s="8"/>
      <c r="HUG5" s="8"/>
      <c r="HUH5" s="8"/>
      <c r="HUI5" s="8"/>
      <c r="HUJ5" s="8"/>
      <c r="HUK5" s="8"/>
      <c r="HUL5" s="8"/>
      <c r="HUM5" s="8"/>
      <c r="HUN5" s="8"/>
      <c r="HUO5" s="8"/>
      <c r="HUP5" s="8"/>
      <c r="HUQ5" s="8"/>
      <c r="HUR5" s="8"/>
      <c r="HUS5" s="8"/>
      <c r="HUT5" s="8"/>
      <c r="HUU5" s="8"/>
      <c r="HUV5" s="8"/>
      <c r="HUW5" s="8"/>
      <c r="HUX5" s="8"/>
      <c r="HUY5" s="8"/>
      <c r="HUZ5" s="8"/>
      <c r="HVA5" s="8"/>
      <c r="HVB5" s="8"/>
      <c r="HVC5" s="8"/>
      <c r="HVD5" s="8"/>
      <c r="HVE5" s="8"/>
      <c r="HVF5" s="8"/>
      <c r="HVG5" s="8"/>
      <c r="HVH5" s="8"/>
      <c r="HVI5" s="8"/>
      <c r="HVJ5" s="8"/>
      <c r="HVK5" s="8"/>
      <c r="HVL5" s="8"/>
      <c r="HVM5" s="8"/>
      <c r="HVN5" s="8"/>
      <c r="HVO5" s="8"/>
      <c r="HVP5" s="8"/>
      <c r="HVQ5" s="8"/>
      <c r="HVR5" s="8"/>
      <c r="HVS5" s="8"/>
      <c r="HVT5" s="8"/>
      <c r="HVU5" s="8"/>
      <c r="HVV5" s="8"/>
      <c r="HVW5" s="8"/>
      <c r="HVX5" s="8"/>
      <c r="HVY5" s="8"/>
      <c r="HVZ5" s="8"/>
      <c r="HWA5" s="8"/>
      <c r="HWB5" s="8"/>
      <c r="HWC5" s="8"/>
      <c r="HWD5" s="8"/>
      <c r="HWE5" s="8"/>
      <c r="HWF5" s="8"/>
      <c r="HWG5" s="8"/>
      <c r="HWH5" s="8"/>
      <c r="HWI5" s="8"/>
      <c r="HWJ5" s="8"/>
      <c r="HWK5" s="8"/>
      <c r="HWL5" s="8"/>
      <c r="HWM5" s="8"/>
      <c r="HWN5" s="8"/>
      <c r="HWO5" s="8"/>
      <c r="HWP5" s="8"/>
      <c r="HWQ5" s="8"/>
      <c r="HWR5" s="8"/>
      <c r="HWS5" s="8"/>
      <c r="HWT5" s="8"/>
      <c r="HWU5" s="8"/>
      <c r="HWV5" s="8"/>
      <c r="HWW5" s="8"/>
      <c r="HWX5" s="8"/>
      <c r="HWY5" s="8"/>
      <c r="HWZ5" s="8"/>
      <c r="HXA5" s="8"/>
      <c r="HXB5" s="8"/>
      <c r="HXC5" s="8"/>
      <c r="HXD5" s="8"/>
      <c r="HXE5" s="8"/>
      <c r="HXF5" s="8"/>
      <c r="HXG5" s="8"/>
      <c r="HXH5" s="8"/>
      <c r="HXI5" s="8"/>
      <c r="HXJ5" s="8"/>
      <c r="HXK5" s="8"/>
      <c r="HXL5" s="8"/>
      <c r="HXM5" s="8"/>
      <c r="HXN5" s="8"/>
      <c r="HXO5" s="8"/>
      <c r="HXP5" s="8"/>
      <c r="HXQ5" s="8"/>
      <c r="HXR5" s="8"/>
      <c r="HXS5" s="8"/>
      <c r="HXT5" s="8"/>
      <c r="HXU5" s="8"/>
      <c r="HXV5" s="8"/>
      <c r="HXW5" s="8"/>
      <c r="HXX5" s="8"/>
      <c r="HXY5" s="8"/>
      <c r="HXZ5" s="8"/>
      <c r="HYA5" s="8"/>
      <c r="HYB5" s="8"/>
      <c r="HYC5" s="8"/>
      <c r="HYD5" s="8"/>
      <c r="HYE5" s="8"/>
      <c r="HYF5" s="8"/>
      <c r="HYG5" s="8"/>
      <c r="HYH5" s="8"/>
      <c r="HYI5" s="8"/>
      <c r="HYJ5" s="8"/>
      <c r="HYK5" s="8"/>
      <c r="HYL5" s="8"/>
      <c r="HYM5" s="8"/>
      <c r="HYN5" s="8"/>
      <c r="HYO5" s="8"/>
      <c r="HYP5" s="8"/>
      <c r="HYQ5" s="8"/>
      <c r="HYR5" s="8"/>
      <c r="HYS5" s="8"/>
      <c r="HYT5" s="8"/>
      <c r="HYU5" s="8"/>
      <c r="HYV5" s="8"/>
      <c r="HYW5" s="8"/>
      <c r="HYX5" s="8"/>
      <c r="HYY5" s="8"/>
      <c r="HYZ5" s="8"/>
      <c r="HZA5" s="8"/>
      <c r="HZB5" s="8"/>
      <c r="HZC5" s="8"/>
      <c r="HZD5" s="8"/>
      <c r="HZE5" s="8"/>
      <c r="HZF5" s="8"/>
      <c r="HZG5" s="8"/>
      <c r="HZH5" s="8"/>
      <c r="HZI5" s="8"/>
      <c r="HZJ5" s="8"/>
      <c r="HZK5" s="8"/>
      <c r="HZL5" s="8"/>
      <c r="HZM5" s="8"/>
      <c r="HZN5" s="8"/>
      <c r="HZO5" s="8"/>
      <c r="HZP5" s="8"/>
      <c r="HZQ5" s="8"/>
      <c r="HZR5" s="8"/>
      <c r="HZS5" s="8"/>
      <c r="HZT5" s="8"/>
      <c r="HZU5" s="8"/>
      <c r="HZV5" s="8"/>
      <c r="HZW5" s="8"/>
      <c r="HZX5" s="8"/>
      <c r="HZY5" s="8"/>
      <c r="HZZ5" s="8"/>
      <c r="IAA5" s="8"/>
      <c r="IAB5" s="8"/>
      <c r="IAC5" s="8"/>
      <c r="IAD5" s="8"/>
      <c r="IAE5" s="8"/>
      <c r="IAF5" s="8"/>
      <c r="IAG5" s="8"/>
      <c r="IAH5" s="8"/>
      <c r="IAI5" s="8"/>
      <c r="IAJ5" s="8"/>
      <c r="IAK5" s="8"/>
      <c r="IAL5" s="8"/>
      <c r="IAM5" s="8"/>
      <c r="IAN5" s="8"/>
      <c r="IAO5" s="8"/>
      <c r="IAP5" s="8"/>
      <c r="IAQ5" s="8"/>
      <c r="IAR5" s="8"/>
      <c r="IAS5" s="8"/>
      <c r="IAT5" s="8"/>
      <c r="IAU5" s="8"/>
      <c r="IAV5" s="8"/>
      <c r="IAW5" s="8"/>
      <c r="IAX5" s="8"/>
      <c r="IAY5" s="8"/>
      <c r="IAZ5" s="8"/>
      <c r="IBA5" s="8"/>
      <c r="IBB5" s="8"/>
      <c r="IBC5" s="8"/>
      <c r="IBD5" s="8"/>
      <c r="IBE5" s="8"/>
      <c r="IBF5" s="8"/>
      <c r="IBG5" s="8"/>
      <c r="IBH5" s="8"/>
      <c r="IBI5" s="8"/>
      <c r="IBJ5" s="8"/>
      <c r="IBK5" s="8"/>
      <c r="IBL5" s="8"/>
      <c r="IBM5" s="8"/>
      <c r="IBN5" s="8"/>
      <c r="IBO5" s="8"/>
      <c r="IBP5" s="8"/>
      <c r="IBQ5" s="8"/>
      <c r="IBR5" s="8"/>
      <c r="IBS5" s="8"/>
      <c r="IBT5" s="8"/>
      <c r="IBU5" s="8"/>
      <c r="IBV5" s="8"/>
      <c r="IBW5" s="8"/>
      <c r="IBX5" s="8"/>
      <c r="IBY5" s="8"/>
      <c r="IBZ5" s="8"/>
      <c r="ICA5" s="8"/>
      <c r="ICB5" s="8"/>
      <c r="ICC5" s="8"/>
      <c r="ICD5" s="8"/>
      <c r="ICE5" s="8"/>
      <c r="ICF5" s="8"/>
      <c r="ICG5" s="8"/>
      <c r="ICH5" s="8"/>
      <c r="ICI5" s="8"/>
      <c r="ICJ5" s="8"/>
      <c r="ICK5" s="8"/>
      <c r="ICL5" s="8"/>
      <c r="ICM5" s="8"/>
      <c r="ICN5" s="8"/>
      <c r="ICO5" s="8"/>
      <c r="ICP5" s="8"/>
      <c r="ICQ5" s="8"/>
      <c r="ICR5" s="8"/>
      <c r="ICS5" s="8"/>
      <c r="ICT5" s="8"/>
      <c r="ICU5" s="8"/>
      <c r="ICV5" s="8"/>
      <c r="ICW5" s="8"/>
      <c r="ICX5" s="8"/>
      <c r="ICY5" s="8"/>
      <c r="ICZ5" s="8"/>
      <c r="IDA5" s="8"/>
      <c r="IDB5" s="8"/>
      <c r="IDC5" s="8"/>
      <c r="IDD5" s="8"/>
      <c r="IDE5" s="8"/>
      <c r="IDF5" s="8"/>
      <c r="IDG5" s="8"/>
      <c r="IDH5" s="8"/>
      <c r="IDI5" s="8"/>
      <c r="IDJ5" s="8"/>
      <c r="IDK5" s="8"/>
      <c r="IDL5" s="8"/>
      <c r="IDM5" s="8"/>
      <c r="IDN5" s="8"/>
      <c r="IDO5" s="8"/>
      <c r="IDP5" s="8"/>
      <c r="IDQ5" s="8"/>
      <c r="IDR5" s="8"/>
      <c r="IDS5" s="8"/>
      <c r="IDT5" s="8"/>
      <c r="IDU5" s="8"/>
      <c r="IDV5" s="8"/>
      <c r="IDW5" s="8"/>
      <c r="IDX5" s="8"/>
      <c r="IDY5" s="8"/>
      <c r="IDZ5" s="8"/>
      <c r="IEA5" s="8"/>
      <c r="IEB5" s="8"/>
      <c r="IEC5" s="8"/>
      <c r="IED5" s="8"/>
      <c r="IEE5" s="8"/>
      <c r="IEF5" s="8"/>
      <c r="IEG5" s="8"/>
      <c r="IEH5" s="8"/>
      <c r="IEI5" s="8"/>
      <c r="IEJ5" s="8"/>
      <c r="IEK5" s="8"/>
      <c r="IEL5" s="8"/>
      <c r="IEM5" s="8"/>
      <c r="IEN5" s="8"/>
      <c r="IEO5" s="8"/>
      <c r="IEP5" s="8"/>
      <c r="IEQ5" s="8"/>
      <c r="IER5" s="8"/>
      <c r="IES5" s="8"/>
      <c r="IET5" s="8"/>
      <c r="IEU5" s="8"/>
      <c r="IEV5" s="8"/>
      <c r="IEW5" s="8"/>
      <c r="IEX5" s="8"/>
      <c r="IEY5" s="8"/>
      <c r="IEZ5" s="8"/>
      <c r="IFA5" s="8"/>
      <c r="IFB5" s="8"/>
      <c r="IFC5" s="8"/>
      <c r="IFD5" s="8"/>
      <c r="IFE5" s="8"/>
      <c r="IFF5" s="8"/>
      <c r="IFG5" s="8"/>
      <c r="IFH5" s="8"/>
      <c r="IFI5" s="8"/>
      <c r="IFJ5" s="8"/>
      <c r="IFK5" s="8"/>
      <c r="IFL5" s="8"/>
      <c r="IFM5" s="8"/>
      <c r="IFN5" s="8"/>
      <c r="IFO5" s="8"/>
      <c r="IFP5" s="8"/>
      <c r="IFQ5" s="8"/>
      <c r="IFR5" s="8"/>
      <c r="IFS5" s="8"/>
      <c r="IFT5" s="8"/>
      <c r="IFU5" s="8"/>
      <c r="IFV5" s="8"/>
      <c r="IFW5" s="8"/>
      <c r="IFX5" s="8"/>
      <c r="IFY5" s="8"/>
      <c r="IFZ5" s="8"/>
      <c r="IGA5" s="8"/>
      <c r="IGB5" s="8"/>
      <c r="IGC5" s="8"/>
      <c r="IGD5" s="8"/>
      <c r="IGE5" s="8"/>
      <c r="IGF5" s="8"/>
      <c r="IGG5" s="8"/>
      <c r="IGH5" s="8"/>
      <c r="IGI5" s="8"/>
      <c r="IGJ5" s="8"/>
      <c r="IGK5" s="8"/>
      <c r="IGL5" s="8"/>
      <c r="IGM5" s="8"/>
      <c r="IGN5" s="8"/>
      <c r="IGO5" s="8"/>
      <c r="IGP5" s="8"/>
      <c r="IGQ5" s="8"/>
      <c r="IGR5" s="8"/>
      <c r="IGS5" s="8"/>
      <c r="IGT5" s="8"/>
      <c r="IGU5" s="8"/>
      <c r="IGV5" s="8"/>
      <c r="IGW5" s="8"/>
      <c r="IGX5" s="8"/>
      <c r="IGY5" s="8"/>
      <c r="IGZ5" s="8"/>
      <c r="IHA5" s="8"/>
      <c r="IHB5" s="8"/>
      <c r="IHC5" s="8"/>
      <c r="IHD5" s="8"/>
      <c r="IHE5" s="8"/>
      <c r="IHF5" s="8"/>
      <c r="IHG5" s="8"/>
      <c r="IHH5" s="8"/>
      <c r="IHI5" s="8"/>
      <c r="IHJ5" s="8"/>
      <c r="IHK5" s="8"/>
      <c r="IHL5" s="8"/>
      <c r="IHM5" s="8"/>
      <c r="IHN5" s="8"/>
      <c r="IHO5" s="8"/>
      <c r="IHP5" s="8"/>
      <c r="IHQ5" s="8"/>
      <c r="IHR5" s="8"/>
      <c r="IHS5" s="8"/>
      <c r="IHT5" s="8"/>
      <c r="IHU5" s="8"/>
      <c r="IHV5" s="8"/>
      <c r="IHW5" s="8"/>
      <c r="IHX5" s="8"/>
      <c r="IHY5" s="8"/>
      <c r="IHZ5" s="8"/>
      <c r="IIA5" s="8"/>
      <c r="IIB5" s="8"/>
      <c r="IIC5" s="8"/>
      <c r="IID5" s="8"/>
      <c r="IIE5" s="8"/>
      <c r="IIF5" s="8"/>
      <c r="IIG5" s="8"/>
      <c r="IIH5" s="8"/>
      <c r="III5" s="8"/>
      <c r="IIJ5" s="8"/>
      <c r="IIK5" s="8"/>
      <c r="IIL5" s="8"/>
      <c r="IIM5" s="8"/>
      <c r="IIN5" s="8"/>
      <c r="IIO5" s="8"/>
      <c r="IIP5" s="8"/>
      <c r="IIQ5" s="8"/>
      <c r="IIR5" s="8"/>
      <c r="IIS5" s="8"/>
      <c r="IIT5" s="8"/>
      <c r="IIU5" s="8"/>
      <c r="IIV5" s="8"/>
      <c r="IIW5" s="8"/>
      <c r="IIX5" s="8"/>
      <c r="IIY5" s="8"/>
      <c r="IIZ5" s="8"/>
      <c r="IJA5" s="8"/>
      <c r="IJB5" s="8"/>
      <c r="IJC5" s="8"/>
      <c r="IJD5" s="8"/>
      <c r="IJE5" s="8"/>
      <c r="IJF5" s="8"/>
      <c r="IJG5" s="8"/>
      <c r="IJH5" s="8"/>
      <c r="IJI5" s="8"/>
      <c r="IJJ5" s="8"/>
      <c r="IJK5" s="8"/>
      <c r="IJL5" s="8"/>
      <c r="IJM5" s="8"/>
      <c r="IJN5" s="8"/>
      <c r="IJO5" s="8"/>
      <c r="IJP5" s="8"/>
      <c r="IJQ5" s="8"/>
      <c r="IJR5" s="8"/>
      <c r="IJS5" s="8"/>
      <c r="IJT5" s="8"/>
      <c r="IJU5" s="8"/>
      <c r="IJV5" s="8"/>
      <c r="IJW5" s="8"/>
      <c r="IJX5" s="8"/>
      <c r="IJY5" s="8"/>
      <c r="IJZ5" s="8"/>
      <c r="IKA5" s="8"/>
      <c r="IKB5" s="8"/>
      <c r="IKC5" s="8"/>
      <c r="IKD5" s="8"/>
      <c r="IKE5" s="8"/>
      <c r="IKF5" s="8"/>
      <c r="IKG5" s="8"/>
      <c r="IKH5" s="8"/>
      <c r="IKI5" s="8"/>
      <c r="IKJ5" s="8"/>
      <c r="IKK5" s="8"/>
      <c r="IKL5" s="8"/>
      <c r="IKM5" s="8"/>
      <c r="IKN5" s="8"/>
      <c r="IKO5" s="8"/>
      <c r="IKP5" s="8"/>
      <c r="IKQ5" s="8"/>
      <c r="IKR5" s="8"/>
      <c r="IKS5" s="8"/>
      <c r="IKT5" s="8"/>
      <c r="IKU5" s="8"/>
      <c r="IKV5" s="8"/>
      <c r="IKW5" s="8"/>
      <c r="IKX5" s="8"/>
      <c r="IKY5" s="8"/>
      <c r="IKZ5" s="8"/>
      <c r="ILA5" s="8"/>
      <c r="ILB5" s="8"/>
      <c r="ILC5" s="8"/>
      <c r="ILD5" s="8"/>
      <c r="ILE5" s="8"/>
      <c r="ILF5" s="8"/>
      <c r="ILG5" s="8"/>
      <c r="ILH5" s="8"/>
      <c r="ILI5" s="8"/>
      <c r="ILJ5" s="8"/>
      <c r="ILK5" s="8"/>
      <c r="ILL5" s="8"/>
      <c r="ILM5" s="8"/>
      <c r="ILN5" s="8"/>
      <c r="ILO5" s="8"/>
      <c r="ILP5" s="8"/>
      <c r="ILQ5" s="8"/>
      <c r="ILR5" s="8"/>
      <c r="ILS5" s="8"/>
      <c r="ILT5" s="8"/>
      <c r="ILU5" s="8"/>
      <c r="ILV5" s="8"/>
      <c r="ILW5" s="8"/>
      <c r="ILX5" s="8"/>
      <c r="ILY5" s="8"/>
      <c r="ILZ5" s="8"/>
      <c r="IMA5" s="8"/>
      <c r="IMB5" s="8"/>
      <c r="IMC5" s="8"/>
      <c r="IMD5" s="8"/>
      <c r="IME5" s="8"/>
      <c r="IMF5" s="8"/>
      <c r="IMG5" s="8"/>
      <c r="IMH5" s="8"/>
      <c r="IMI5" s="8"/>
      <c r="IMJ5" s="8"/>
      <c r="IMK5" s="8"/>
      <c r="IML5" s="8"/>
      <c r="IMM5" s="8"/>
      <c r="IMN5" s="8"/>
      <c r="IMO5" s="8"/>
      <c r="IMP5" s="8"/>
      <c r="IMQ5" s="8"/>
      <c r="IMR5" s="8"/>
      <c r="IMS5" s="8"/>
      <c r="IMT5" s="8"/>
      <c r="IMU5" s="8"/>
      <c r="IMV5" s="8"/>
      <c r="IMW5" s="8"/>
      <c r="IMX5" s="8"/>
      <c r="IMY5" s="8"/>
      <c r="IMZ5" s="8"/>
      <c r="INA5" s="8"/>
      <c r="INB5" s="8"/>
      <c r="INC5" s="8"/>
      <c r="IND5" s="8"/>
      <c r="INE5" s="8"/>
      <c r="INF5" s="8"/>
      <c r="ING5" s="8"/>
      <c r="INH5" s="8"/>
      <c r="INI5" s="8"/>
      <c r="INJ5" s="8"/>
      <c r="INK5" s="8"/>
      <c r="INL5" s="8"/>
      <c r="INM5" s="8"/>
      <c r="INN5" s="8"/>
      <c r="INO5" s="8"/>
      <c r="INP5" s="8"/>
      <c r="INQ5" s="8"/>
      <c r="INR5" s="8"/>
      <c r="INS5" s="8"/>
      <c r="INT5" s="8"/>
      <c r="INU5" s="8"/>
      <c r="INV5" s="8"/>
      <c r="INW5" s="8"/>
      <c r="INX5" s="8"/>
      <c r="INY5" s="8"/>
      <c r="INZ5" s="8"/>
      <c r="IOA5" s="8"/>
      <c r="IOB5" s="8"/>
      <c r="IOC5" s="8"/>
      <c r="IOD5" s="8"/>
      <c r="IOE5" s="8"/>
      <c r="IOF5" s="8"/>
      <c r="IOG5" s="8"/>
      <c r="IOH5" s="8"/>
      <c r="IOI5" s="8"/>
      <c r="IOJ5" s="8"/>
      <c r="IOK5" s="8"/>
      <c r="IOL5" s="8"/>
      <c r="IOM5" s="8"/>
      <c r="ION5" s="8"/>
      <c r="IOO5" s="8"/>
      <c r="IOP5" s="8"/>
      <c r="IOQ5" s="8"/>
      <c r="IOR5" s="8"/>
      <c r="IOS5" s="8"/>
      <c r="IOT5" s="8"/>
      <c r="IOU5" s="8"/>
      <c r="IOV5" s="8"/>
      <c r="IOW5" s="8"/>
      <c r="IOX5" s="8"/>
      <c r="IOY5" s="8"/>
      <c r="IOZ5" s="8"/>
      <c r="IPA5" s="8"/>
      <c r="IPB5" s="8"/>
      <c r="IPC5" s="8"/>
      <c r="IPD5" s="8"/>
      <c r="IPE5" s="8"/>
      <c r="IPF5" s="8"/>
      <c r="IPG5" s="8"/>
      <c r="IPH5" s="8"/>
      <c r="IPI5" s="8"/>
      <c r="IPJ5" s="8"/>
      <c r="IPK5" s="8"/>
      <c r="IPL5" s="8"/>
      <c r="IPM5" s="8"/>
      <c r="IPN5" s="8"/>
      <c r="IPO5" s="8"/>
      <c r="IPP5" s="8"/>
      <c r="IPQ5" s="8"/>
      <c r="IPR5" s="8"/>
      <c r="IPS5" s="8"/>
      <c r="IPT5" s="8"/>
      <c r="IPU5" s="8"/>
      <c r="IPV5" s="8"/>
      <c r="IPW5" s="8"/>
      <c r="IPX5" s="8"/>
      <c r="IPY5" s="8"/>
      <c r="IPZ5" s="8"/>
      <c r="IQA5" s="8"/>
      <c r="IQB5" s="8"/>
      <c r="IQC5" s="8"/>
      <c r="IQD5" s="8"/>
      <c r="IQE5" s="8"/>
      <c r="IQF5" s="8"/>
      <c r="IQG5" s="8"/>
      <c r="IQH5" s="8"/>
      <c r="IQI5" s="8"/>
      <c r="IQJ5" s="8"/>
      <c r="IQK5" s="8"/>
      <c r="IQL5" s="8"/>
      <c r="IQM5" s="8"/>
      <c r="IQN5" s="8"/>
      <c r="IQO5" s="8"/>
      <c r="IQP5" s="8"/>
      <c r="IQQ5" s="8"/>
      <c r="IQR5" s="8"/>
      <c r="IQS5" s="8"/>
      <c r="IQT5" s="8"/>
      <c r="IQU5" s="8"/>
      <c r="IQV5" s="8"/>
      <c r="IQW5" s="8"/>
      <c r="IQX5" s="8"/>
      <c r="IQY5" s="8"/>
      <c r="IQZ5" s="8"/>
      <c r="IRA5" s="8"/>
      <c r="IRB5" s="8"/>
      <c r="IRC5" s="8"/>
      <c r="IRD5" s="8"/>
      <c r="IRE5" s="8"/>
      <c r="IRF5" s="8"/>
      <c r="IRG5" s="8"/>
      <c r="IRH5" s="8"/>
      <c r="IRI5" s="8"/>
      <c r="IRJ5" s="8"/>
      <c r="IRK5" s="8"/>
      <c r="IRL5" s="8"/>
      <c r="IRM5" s="8"/>
      <c r="IRN5" s="8"/>
      <c r="IRO5" s="8"/>
      <c r="IRP5" s="8"/>
      <c r="IRQ5" s="8"/>
      <c r="IRR5" s="8"/>
      <c r="IRS5" s="8"/>
      <c r="IRT5" s="8"/>
      <c r="IRU5" s="8"/>
      <c r="IRV5" s="8"/>
      <c r="IRW5" s="8"/>
      <c r="IRX5" s="8"/>
      <c r="IRY5" s="8"/>
      <c r="IRZ5" s="8"/>
      <c r="ISA5" s="8"/>
      <c r="ISB5" s="8"/>
      <c r="ISC5" s="8"/>
      <c r="ISD5" s="8"/>
      <c r="ISE5" s="8"/>
      <c r="ISF5" s="8"/>
      <c r="ISG5" s="8"/>
      <c r="ISH5" s="8"/>
      <c r="ISI5" s="8"/>
      <c r="ISJ5" s="8"/>
      <c r="ISK5" s="8"/>
      <c r="ISL5" s="8"/>
      <c r="ISM5" s="8"/>
      <c r="ISN5" s="8"/>
      <c r="ISO5" s="8"/>
      <c r="ISP5" s="8"/>
      <c r="ISQ5" s="8"/>
      <c r="ISR5" s="8"/>
      <c r="ISS5" s="8"/>
      <c r="IST5" s="8"/>
      <c r="ISU5" s="8"/>
      <c r="ISV5" s="8"/>
      <c r="ISW5" s="8"/>
      <c r="ISX5" s="8"/>
      <c r="ISY5" s="8"/>
      <c r="ISZ5" s="8"/>
      <c r="ITA5" s="8"/>
      <c r="ITB5" s="8"/>
      <c r="ITC5" s="8"/>
      <c r="ITD5" s="8"/>
      <c r="ITE5" s="8"/>
      <c r="ITF5" s="8"/>
      <c r="ITG5" s="8"/>
      <c r="ITH5" s="8"/>
      <c r="ITI5" s="8"/>
      <c r="ITJ5" s="8"/>
      <c r="ITK5" s="8"/>
      <c r="ITL5" s="8"/>
      <c r="ITM5" s="8"/>
      <c r="ITN5" s="8"/>
      <c r="ITO5" s="8"/>
      <c r="ITP5" s="8"/>
      <c r="ITQ5" s="8"/>
      <c r="ITR5" s="8"/>
      <c r="ITS5" s="8"/>
      <c r="ITT5" s="8"/>
      <c r="ITU5" s="8"/>
      <c r="ITV5" s="8"/>
      <c r="ITW5" s="8"/>
      <c r="ITX5" s="8"/>
      <c r="ITY5" s="8"/>
      <c r="ITZ5" s="8"/>
      <c r="IUA5" s="8"/>
      <c r="IUB5" s="8"/>
      <c r="IUC5" s="8"/>
      <c r="IUD5" s="8"/>
      <c r="IUE5" s="8"/>
      <c r="IUF5" s="8"/>
      <c r="IUG5" s="8"/>
      <c r="IUH5" s="8"/>
      <c r="IUI5" s="8"/>
      <c r="IUJ5" s="8"/>
      <c r="IUK5" s="8"/>
      <c r="IUL5" s="8"/>
      <c r="IUM5" s="8"/>
      <c r="IUN5" s="8"/>
      <c r="IUO5" s="8"/>
      <c r="IUP5" s="8"/>
      <c r="IUQ5" s="8"/>
      <c r="IUR5" s="8"/>
      <c r="IUS5" s="8"/>
      <c r="IUT5" s="8"/>
      <c r="IUU5" s="8"/>
      <c r="IUV5" s="8"/>
      <c r="IUW5" s="8"/>
      <c r="IUX5" s="8"/>
      <c r="IUY5" s="8"/>
      <c r="IUZ5" s="8"/>
      <c r="IVA5" s="8"/>
      <c r="IVB5" s="8"/>
      <c r="IVC5" s="8"/>
      <c r="IVD5" s="8"/>
      <c r="IVE5" s="8"/>
      <c r="IVF5" s="8"/>
      <c r="IVG5" s="8"/>
      <c r="IVH5" s="8"/>
      <c r="IVI5" s="8"/>
      <c r="IVJ5" s="8"/>
      <c r="IVK5" s="8"/>
      <c r="IVL5" s="8"/>
      <c r="IVM5" s="8"/>
      <c r="IVN5" s="8"/>
      <c r="IVO5" s="8"/>
      <c r="IVP5" s="8"/>
      <c r="IVQ5" s="8"/>
      <c r="IVR5" s="8"/>
      <c r="IVS5" s="8"/>
      <c r="IVT5" s="8"/>
      <c r="IVU5" s="8"/>
      <c r="IVV5" s="8"/>
      <c r="IVW5" s="8"/>
      <c r="IVX5" s="8"/>
      <c r="IVY5" s="8"/>
      <c r="IVZ5" s="8"/>
      <c r="IWA5" s="8"/>
      <c r="IWB5" s="8"/>
      <c r="IWC5" s="8"/>
      <c r="IWD5" s="8"/>
      <c r="IWE5" s="8"/>
      <c r="IWF5" s="8"/>
      <c r="IWG5" s="8"/>
      <c r="IWH5" s="8"/>
      <c r="IWI5" s="8"/>
      <c r="IWJ5" s="8"/>
      <c r="IWK5" s="8"/>
      <c r="IWL5" s="8"/>
      <c r="IWM5" s="8"/>
      <c r="IWN5" s="8"/>
      <c r="IWO5" s="8"/>
      <c r="IWP5" s="8"/>
      <c r="IWQ5" s="8"/>
      <c r="IWR5" s="8"/>
      <c r="IWS5" s="8"/>
      <c r="IWT5" s="8"/>
      <c r="IWU5" s="8"/>
      <c r="IWV5" s="8"/>
      <c r="IWW5" s="8"/>
      <c r="IWX5" s="8"/>
      <c r="IWY5" s="8"/>
      <c r="IWZ5" s="8"/>
      <c r="IXA5" s="8"/>
      <c r="IXB5" s="8"/>
      <c r="IXC5" s="8"/>
      <c r="IXD5" s="8"/>
      <c r="IXE5" s="8"/>
      <c r="IXF5" s="8"/>
      <c r="IXG5" s="8"/>
      <c r="IXH5" s="8"/>
      <c r="IXI5" s="8"/>
      <c r="IXJ5" s="8"/>
      <c r="IXK5" s="8"/>
      <c r="IXL5" s="8"/>
      <c r="IXM5" s="8"/>
      <c r="IXN5" s="8"/>
      <c r="IXO5" s="8"/>
      <c r="IXP5" s="8"/>
      <c r="IXQ5" s="8"/>
      <c r="IXR5" s="8"/>
      <c r="IXS5" s="8"/>
      <c r="IXT5" s="8"/>
      <c r="IXU5" s="8"/>
      <c r="IXV5" s="8"/>
      <c r="IXW5" s="8"/>
      <c r="IXX5" s="8"/>
      <c r="IXY5" s="8"/>
      <c r="IXZ5" s="8"/>
      <c r="IYA5" s="8"/>
      <c r="IYB5" s="8"/>
      <c r="IYC5" s="8"/>
      <c r="IYD5" s="8"/>
      <c r="IYE5" s="8"/>
      <c r="IYF5" s="8"/>
      <c r="IYG5" s="8"/>
      <c r="IYH5" s="8"/>
      <c r="IYI5" s="8"/>
      <c r="IYJ5" s="8"/>
      <c r="IYK5" s="8"/>
      <c r="IYL5" s="8"/>
      <c r="IYM5" s="8"/>
      <c r="IYN5" s="8"/>
      <c r="IYO5" s="8"/>
      <c r="IYP5" s="8"/>
      <c r="IYQ5" s="8"/>
      <c r="IYR5" s="8"/>
      <c r="IYS5" s="8"/>
      <c r="IYT5" s="8"/>
      <c r="IYU5" s="8"/>
      <c r="IYV5" s="8"/>
      <c r="IYW5" s="8"/>
      <c r="IYX5" s="8"/>
      <c r="IYY5" s="8"/>
      <c r="IYZ5" s="8"/>
      <c r="IZA5" s="8"/>
      <c r="IZB5" s="8"/>
      <c r="IZC5" s="8"/>
      <c r="IZD5" s="8"/>
      <c r="IZE5" s="8"/>
      <c r="IZF5" s="8"/>
      <c r="IZG5" s="8"/>
      <c r="IZH5" s="8"/>
      <c r="IZI5" s="8"/>
      <c r="IZJ5" s="8"/>
      <c r="IZK5" s="8"/>
      <c r="IZL5" s="8"/>
      <c r="IZM5" s="8"/>
      <c r="IZN5" s="8"/>
      <c r="IZO5" s="8"/>
      <c r="IZP5" s="8"/>
      <c r="IZQ5" s="8"/>
      <c r="IZR5" s="8"/>
      <c r="IZS5" s="8"/>
      <c r="IZT5" s="8"/>
      <c r="IZU5" s="8"/>
      <c r="IZV5" s="8"/>
      <c r="IZW5" s="8"/>
      <c r="IZX5" s="8"/>
      <c r="IZY5" s="8"/>
      <c r="IZZ5" s="8"/>
      <c r="JAA5" s="8"/>
      <c r="JAB5" s="8"/>
      <c r="JAC5" s="8"/>
      <c r="JAD5" s="8"/>
      <c r="JAE5" s="8"/>
      <c r="JAF5" s="8"/>
      <c r="JAG5" s="8"/>
      <c r="JAH5" s="8"/>
      <c r="JAI5" s="8"/>
      <c r="JAJ5" s="8"/>
      <c r="JAK5" s="8"/>
      <c r="JAL5" s="8"/>
      <c r="JAM5" s="8"/>
      <c r="JAN5" s="8"/>
      <c r="JAO5" s="8"/>
      <c r="JAP5" s="8"/>
      <c r="JAQ5" s="8"/>
      <c r="JAR5" s="8"/>
      <c r="JAS5" s="8"/>
      <c r="JAT5" s="8"/>
      <c r="JAU5" s="8"/>
      <c r="JAV5" s="8"/>
      <c r="JAW5" s="8"/>
      <c r="JAX5" s="8"/>
      <c r="JAY5" s="8"/>
      <c r="JAZ5" s="8"/>
      <c r="JBA5" s="8"/>
      <c r="JBB5" s="8"/>
      <c r="JBC5" s="8"/>
      <c r="JBD5" s="8"/>
      <c r="JBE5" s="8"/>
      <c r="JBF5" s="8"/>
      <c r="JBG5" s="8"/>
      <c r="JBH5" s="8"/>
      <c r="JBI5" s="8"/>
      <c r="JBJ5" s="8"/>
      <c r="JBK5" s="8"/>
      <c r="JBL5" s="8"/>
      <c r="JBM5" s="8"/>
      <c r="JBN5" s="8"/>
      <c r="JBO5" s="8"/>
      <c r="JBP5" s="8"/>
      <c r="JBQ5" s="8"/>
      <c r="JBR5" s="8"/>
      <c r="JBS5" s="8"/>
      <c r="JBT5" s="8"/>
      <c r="JBU5" s="8"/>
      <c r="JBV5" s="8"/>
      <c r="JBW5" s="8"/>
      <c r="JBX5" s="8"/>
      <c r="JBY5" s="8"/>
      <c r="JBZ5" s="8"/>
      <c r="JCA5" s="8"/>
      <c r="JCB5" s="8"/>
      <c r="JCC5" s="8"/>
      <c r="JCD5" s="8"/>
      <c r="JCE5" s="8"/>
      <c r="JCF5" s="8"/>
      <c r="JCG5" s="8"/>
      <c r="JCH5" s="8"/>
      <c r="JCI5" s="8"/>
      <c r="JCJ5" s="8"/>
      <c r="JCK5" s="8"/>
      <c r="JCL5" s="8"/>
      <c r="JCM5" s="8"/>
      <c r="JCN5" s="8"/>
      <c r="JCO5" s="8"/>
      <c r="JCP5" s="8"/>
      <c r="JCQ5" s="8"/>
      <c r="JCR5" s="8"/>
      <c r="JCS5" s="8"/>
      <c r="JCT5" s="8"/>
      <c r="JCU5" s="8"/>
      <c r="JCV5" s="8"/>
      <c r="JCW5" s="8"/>
      <c r="JCX5" s="8"/>
      <c r="JCY5" s="8"/>
      <c r="JCZ5" s="8"/>
      <c r="JDA5" s="8"/>
      <c r="JDB5" s="8"/>
      <c r="JDC5" s="8"/>
      <c r="JDD5" s="8"/>
      <c r="JDE5" s="8"/>
      <c r="JDF5" s="8"/>
      <c r="JDG5" s="8"/>
      <c r="JDH5" s="8"/>
      <c r="JDI5" s="8"/>
      <c r="JDJ5" s="8"/>
      <c r="JDK5" s="8"/>
      <c r="JDL5" s="8"/>
      <c r="JDM5" s="8"/>
      <c r="JDN5" s="8"/>
      <c r="JDO5" s="8"/>
      <c r="JDP5" s="8"/>
      <c r="JDQ5" s="8"/>
      <c r="JDR5" s="8"/>
      <c r="JDS5" s="8"/>
      <c r="JDT5" s="8"/>
      <c r="JDU5" s="8"/>
      <c r="JDV5" s="8"/>
      <c r="JDW5" s="8"/>
      <c r="JDX5" s="8"/>
      <c r="JDY5" s="8"/>
      <c r="JDZ5" s="8"/>
      <c r="JEA5" s="8"/>
      <c r="JEB5" s="8"/>
      <c r="JEC5" s="8"/>
      <c r="JED5" s="8"/>
      <c r="JEE5" s="8"/>
      <c r="JEF5" s="8"/>
      <c r="JEG5" s="8"/>
      <c r="JEH5" s="8"/>
      <c r="JEI5" s="8"/>
      <c r="JEJ5" s="8"/>
      <c r="JEK5" s="8"/>
      <c r="JEL5" s="8"/>
      <c r="JEM5" s="8"/>
      <c r="JEN5" s="8"/>
      <c r="JEO5" s="8"/>
      <c r="JEP5" s="8"/>
      <c r="JEQ5" s="8"/>
      <c r="JER5" s="8"/>
      <c r="JES5" s="8"/>
      <c r="JET5" s="8"/>
      <c r="JEU5" s="8"/>
      <c r="JEV5" s="8"/>
      <c r="JEW5" s="8"/>
      <c r="JEX5" s="8"/>
      <c r="JEY5" s="8"/>
      <c r="JEZ5" s="8"/>
      <c r="JFA5" s="8"/>
      <c r="JFB5" s="8"/>
      <c r="JFC5" s="8"/>
      <c r="JFD5" s="8"/>
      <c r="JFE5" s="8"/>
      <c r="JFF5" s="8"/>
      <c r="JFG5" s="8"/>
      <c r="JFH5" s="8"/>
      <c r="JFI5" s="8"/>
      <c r="JFJ5" s="8"/>
      <c r="JFK5" s="8"/>
      <c r="JFL5" s="8"/>
      <c r="JFM5" s="8"/>
      <c r="JFN5" s="8"/>
      <c r="JFO5" s="8"/>
      <c r="JFP5" s="8"/>
      <c r="JFQ5" s="8"/>
      <c r="JFR5" s="8"/>
      <c r="JFS5" s="8"/>
      <c r="JFT5" s="8"/>
      <c r="JFU5" s="8"/>
      <c r="JFV5" s="8"/>
      <c r="JFW5" s="8"/>
      <c r="JFX5" s="8"/>
      <c r="JFY5" s="8"/>
      <c r="JFZ5" s="8"/>
      <c r="JGA5" s="8"/>
      <c r="JGB5" s="8"/>
      <c r="JGC5" s="8"/>
      <c r="JGD5" s="8"/>
      <c r="JGE5" s="8"/>
      <c r="JGF5" s="8"/>
      <c r="JGG5" s="8"/>
      <c r="JGH5" s="8"/>
      <c r="JGI5" s="8"/>
      <c r="JGJ5" s="8"/>
      <c r="JGK5" s="8"/>
      <c r="JGL5" s="8"/>
      <c r="JGM5" s="8"/>
      <c r="JGN5" s="8"/>
      <c r="JGO5" s="8"/>
      <c r="JGP5" s="8"/>
      <c r="JGQ5" s="8"/>
      <c r="JGR5" s="8"/>
      <c r="JGS5" s="8"/>
      <c r="JGT5" s="8"/>
      <c r="JGU5" s="8"/>
      <c r="JGV5" s="8"/>
      <c r="JGW5" s="8"/>
      <c r="JGX5" s="8"/>
      <c r="JGY5" s="8"/>
      <c r="JGZ5" s="8"/>
      <c r="JHA5" s="8"/>
      <c r="JHB5" s="8"/>
      <c r="JHC5" s="8"/>
      <c r="JHD5" s="8"/>
      <c r="JHE5" s="8"/>
      <c r="JHF5" s="8"/>
      <c r="JHG5" s="8"/>
      <c r="JHH5" s="8"/>
      <c r="JHI5" s="8"/>
      <c r="JHJ5" s="8"/>
      <c r="JHK5" s="8"/>
      <c r="JHL5" s="8"/>
      <c r="JHM5" s="8"/>
      <c r="JHN5" s="8"/>
      <c r="JHO5" s="8"/>
      <c r="JHP5" s="8"/>
      <c r="JHQ5" s="8"/>
      <c r="JHR5" s="8"/>
      <c r="JHS5" s="8"/>
      <c r="JHT5" s="8"/>
      <c r="JHU5" s="8"/>
      <c r="JHV5" s="8"/>
      <c r="JHW5" s="8"/>
      <c r="JHX5" s="8"/>
      <c r="JHY5" s="8"/>
      <c r="JHZ5" s="8"/>
      <c r="JIA5" s="8"/>
      <c r="JIB5" s="8"/>
      <c r="JIC5" s="8"/>
      <c r="JID5" s="8"/>
      <c r="JIE5" s="8"/>
      <c r="JIF5" s="8"/>
      <c r="JIG5" s="8"/>
      <c r="JIH5" s="8"/>
      <c r="JII5" s="8"/>
      <c r="JIJ5" s="8"/>
      <c r="JIK5" s="8"/>
      <c r="JIL5" s="8"/>
      <c r="JIM5" s="8"/>
      <c r="JIN5" s="8"/>
      <c r="JIO5" s="8"/>
      <c r="JIP5" s="8"/>
      <c r="JIQ5" s="8"/>
      <c r="JIR5" s="8"/>
      <c r="JIS5" s="8"/>
      <c r="JIT5" s="8"/>
      <c r="JIU5" s="8"/>
      <c r="JIV5" s="8"/>
      <c r="JIW5" s="8"/>
      <c r="JIX5" s="8"/>
      <c r="JIY5" s="8"/>
      <c r="JIZ5" s="8"/>
      <c r="JJA5" s="8"/>
      <c r="JJB5" s="8"/>
      <c r="JJC5" s="8"/>
      <c r="JJD5" s="8"/>
      <c r="JJE5" s="8"/>
      <c r="JJF5" s="8"/>
      <c r="JJG5" s="8"/>
      <c r="JJH5" s="8"/>
      <c r="JJI5" s="8"/>
      <c r="JJJ5" s="8"/>
      <c r="JJK5" s="8"/>
      <c r="JJL5" s="8"/>
      <c r="JJM5" s="8"/>
      <c r="JJN5" s="8"/>
      <c r="JJO5" s="8"/>
      <c r="JJP5" s="8"/>
      <c r="JJQ5" s="8"/>
      <c r="JJR5" s="8"/>
      <c r="JJS5" s="8"/>
      <c r="JJT5" s="8"/>
      <c r="JJU5" s="8"/>
      <c r="JJV5" s="8"/>
      <c r="JJW5" s="8"/>
      <c r="JJX5" s="8"/>
      <c r="JJY5" s="8"/>
      <c r="JJZ5" s="8"/>
      <c r="JKA5" s="8"/>
      <c r="JKB5" s="8"/>
      <c r="JKC5" s="8"/>
      <c r="JKD5" s="8"/>
      <c r="JKE5" s="8"/>
      <c r="JKF5" s="8"/>
      <c r="JKG5" s="8"/>
      <c r="JKH5" s="8"/>
      <c r="JKI5" s="8"/>
      <c r="JKJ5" s="8"/>
      <c r="JKK5" s="8"/>
      <c r="JKL5" s="8"/>
      <c r="JKM5" s="8"/>
      <c r="JKN5" s="8"/>
      <c r="JKO5" s="8"/>
      <c r="JKP5" s="8"/>
      <c r="JKQ5" s="8"/>
      <c r="JKR5" s="8"/>
      <c r="JKS5" s="8"/>
      <c r="JKT5" s="8"/>
      <c r="JKU5" s="8"/>
      <c r="JKV5" s="8"/>
      <c r="JKW5" s="8"/>
      <c r="JKX5" s="8"/>
      <c r="JKY5" s="8"/>
      <c r="JKZ5" s="8"/>
      <c r="JLA5" s="8"/>
      <c r="JLB5" s="8"/>
      <c r="JLC5" s="8"/>
      <c r="JLD5" s="8"/>
      <c r="JLE5" s="8"/>
      <c r="JLF5" s="8"/>
      <c r="JLG5" s="8"/>
      <c r="JLH5" s="8"/>
      <c r="JLI5" s="8"/>
      <c r="JLJ5" s="8"/>
      <c r="JLK5" s="8"/>
      <c r="JLL5" s="8"/>
      <c r="JLM5" s="8"/>
      <c r="JLN5" s="8"/>
      <c r="JLO5" s="8"/>
      <c r="JLP5" s="8"/>
      <c r="JLQ5" s="8"/>
      <c r="JLR5" s="8"/>
      <c r="JLS5" s="8"/>
      <c r="JLT5" s="8"/>
      <c r="JLU5" s="8"/>
      <c r="JLV5" s="8"/>
      <c r="JLW5" s="8"/>
      <c r="JLX5" s="8"/>
      <c r="JLY5" s="8"/>
      <c r="JLZ5" s="8"/>
      <c r="JMA5" s="8"/>
      <c r="JMB5" s="8"/>
      <c r="JMC5" s="8"/>
      <c r="JMD5" s="8"/>
      <c r="JME5" s="8"/>
      <c r="JMF5" s="8"/>
      <c r="JMG5" s="8"/>
      <c r="JMH5" s="8"/>
      <c r="JMI5" s="8"/>
      <c r="JMJ5" s="8"/>
      <c r="JMK5" s="8"/>
      <c r="JML5" s="8"/>
      <c r="JMM5" s="8"/>
      <c r="JMN5" s="8"/>
      <c r="JMO5" s="8"/>
      <c r="JMP5" s="8"/>
      <c r="JMQ5" s="8"/>
      <c r="JMR5" s="8"/>
      <c r="JMS5" s="8"/>
      <c r="JMT5" s="8"/>
      <c r="JMU5" s="8"/>
      <c r="JMV5" s="8"/>
      <c r="JMW5" s="8"/>
      <c r="JMX5" s="8"/>
      <c r="JMY5" s="8"/>
      <c r="JMZ5" s="8"/>
      <c r="JNA5" s="8"/>
      <c r="JNB5" s="8"/>
      <c r="JNC5" s="8"/>
      <c r="JND5" s="8"/>
      <c r="JNE5" s="8"/>
      <c r="JNF5" s="8"/>
      <c r="JNG5" s="8"/>
      <c r="JNH5" s="8"/>
      <c r="JNI5" s="8"/>
      <c r="JNJ5" s="8"/>
      <c r="JNK5" s="8"/>
      <c r="JNL5" s="8"/>
      <c r="JNM5" s="8"/>
      <c r="JNN5" s="8"/>
      <c r="JNO5" s="8"/>
      <c r="JNP5" s="8"/>
      <c r="JNQ5" s="8"/>
      <c r="JNR5" s="8"/>
      <c r="JNS5" s="8"/>
      <c r="JNT5" s="8"/>
      <c r="JNU5" s="8"/>
      <c r="JNV5" s="8"/>
      <c r="JNW5" s="8"/>
      <c r="JNX5" s="8"/>
      <c r="JNY5" s="8"/>
      <c r="JNZ5" s="8"/>
      <c r="JOA5" s="8"/>
      <c r="JOB5" s="8"/>
      <c r="JOC5" s="8"/>
      <c r="JOD5" s="8"/>
      <c r="JOE5" s="8"/>
      <c r="JOF5" s="8"/>
      <c r="JOG5" s="8"/>
      <c r="JOH5" s="8"/>
      <c r="JOI5" s="8"/>
      <c r="JOJ5" s="8"/>
      <c r="JOK5" s="8"/>
      <c r="JOL5" s="8"/>
      <c r="JOM5" s="8"/>
      <c r="JON5" s="8"/>
      <c r="JOO5" s="8"/>
      <c r="JOP5" s="8"/>
      <c r="JOQ5" s="8"/>
      <c r="JOR5" s="8"/>
      <c r="JOS5" s="8"/>
      <c r="JOT5" s="8"/>
      <c r="JOU5" s="8"/>
      <c r="JOV5" s="8"/>
      <c r="JOW5" s="8"/>
      <c r="JOX5" s="8"/>
      <c r="JOY5" s="8"/>
      <c r="JOZ5" s="8"/>
      <c r="JPA5" s="8"/>
      <c r="JPB5" s="8"/>
      <c r="JPC5" s="8"/>
      <c r="JPD5" s="8"/>
      <c r="JPE5" s="8"/>
      <c r="JPF5" s="8"/>
      <c r="JPG5" s="8"/>
      <c r="JPH5" s="8"/>
      <c r="JPI5" s="8"/>
      <c r="JPJ5" s="8"/>
      <c r="JPK5" s="8"/>
      <c r="JPL5" s="8"/>
      <c r="JPM5" s="8"/>
      <c r="JPN5" s="8"/>
      <c r="JPO5" s="8"/>
      <c r="JPP5" s="8"/>
      <c r="JPQ5" s="8"/>
      <c r="JPR5" s="8"/>
      <c r="JPS5" s="8"/>
      <c r="JPT5" s="8"/>
      <c r="JPU5" s="8"/>
      <c r="JPV5" s="8"/>
      <c r="JPW5" s="8"/>
      <c r="JPX5" s="8"/>
      <c r="JPY5" s="8"/>
      <c r="JPZ5" s="8"/>
      <c r="JQA5" s="8"/>
      <c r="JQB5" s="8"/>
      <c r="JQC5" s="8"/>
      <c r="JQD5" s="8"/>
      <c r="JQE5" s="8"/>
      <c r="JQF5" s="8"/>
      <c r="JQG5" s="8"/>
      <c r="JQH5" s="8"/>
      <c r="JQI5" s="8"/>
      <c r="JQJ5" s="8"/>
      <c r="JQK5" s="8"/>
      <c r="JQL5" s="8"/>
      <c r="JQM5" s="8"/>
      <c r="JQN5" s="8"/>
      <c r="JQO5" s="8"/>
      <c r="JQP5" s="8"/>
      <c r="JQQ5" s="8"/>
      <c r="JQR5" s="8"/>
      <c r="JQS5" s="8"/>
      <c r="JQT5" s="8"/>
      <c r="JQU5" s="8"/>
      <c r="JQV5" s="8"/>
      <c r="JQW5" s="8"/>
      <c r="JQX5" s="8"/>
      <c r="JQY5" s="8"/>
      <c r="JQZ5" s="8"/>
      <c r="JRA5" s="8"/>
      <c r="JRB5" s="8"/>
      <c r="JRC5" s="8"/>
      <c r="JRD5" s="8"/>
      <c r="JRE5" s="8"/>
      <c r="JRF5" s="8"/>
      <c r="JRG5" s="8"/>
      <c r="JRH5" s="8"/>
      <c r="JRI5" s="8"/>
      <c r="JRJ5" s="8"/>
      <c r="JRK5" s="8"/>
      <c r="JRL5" s="8"/>
      <c r="JRM5" s="8"/>
      <c r="JRN5" s="8"/>
      <c r="JRO5" s="8"/>
      <c r="JRP5" s="8"/>
      <c r="JRQ5" s="8"/>
      <c r="JRR5" s="8"/>
      <c r="JRS5" s="8"/>
      <c r="JRT5" s="8"/>
      <c r="JRU5" s="8"/>
      <c r="JRV5" s="8"/>
      <c r="JRW5" s="8"/>
      <c r="JRX5" s="8"/>
      <c r="JRY5" s="8"/>
      <c r="JRZ5" s="8"/>
      <c r="JSA5" s="8"/>
      <c r="JSB5" s="8"/>
      <c r="JSC5" s="8"/>
      <c r="JSD5" s="8"/>
      <c r="JSE5" s="8"/>
      <c r="JSF5" s="8"/>
      <c r="JSG5" s="8"/>
      <c r="JSH5" s="8"/>
      <c r="JSI5" s="8"/>
      <c r="JSJ5" s="8"/>
      <c r="JSK5" s="8"/>
      <c r="JSL5" s="8"/>
      <c r="JSM5" s="8"/>
      <c r="JSN5" s="8"/>
      <c r="JSO5" s="8"/>
      <c r="JSP5" s="8"/>
      <c r="JSQ5" s="8"/>
      <c r="JSR5" s="8"/>
      <c r="JSS5" s="8"/>
      <c r="JST5" s="8"/>
      <c r="JSU5" s="8"/>
      <c r="JSV5" s="8"/>
      <c r="JSW5" s="8"/>
      <c r="JSX5" s="8"/>
      <c r="JSY5" s="8"/>
      <c r="JSZ5" s="8"/>
      <c r="JTA5" s="8"/>
      <c r="JTB5" s="8"/>
      <c r="JTC5" s="8"/>
      <c r="JTD5" s="8"/>
      <c r="JTE5" s="8"/>
      <c r="JTF5" s="8"/>
      <c r="JTG5" s="8"/>
      <c r="JTH5" s="8"/>
      <c r="JTI5" s="8"/>
      <c r="JTJ5" s="8"/>
      <c r="JTK5" s="8"/>
      <c r="JTL5" s="8"/>
      <c r="JTM5" s="8"/>
      <c r="JTN5" s="8"/>
      <c r="JTO5" s="8"/>
      <c r="JTP5" s="8"/>
      <c r="JTQ5" s="8"/>
      <c r="JTR5" s="8"/>
      <c r="JTS5" s="8"/>
      <c r="JTT5" s="8"/>
      <c r="JTU5" s="8"/>
      <c r="JTV5" s="8"/>
      <c r="JTW5" s="8"/>
      <c r="JTX5" s="8"/>
      <c r="JTY5" s="8"/>
      <c r="JTZ5" s="8"/>
      <c r="JUA5" s="8"/>
      <c r="JUB5" s="8"/>
      <c r="JUC5" s="8"/>
      <c r="JUD5" s="8"/>
      <c r="JUE5" s="8"/>
      <c r="JUF5" s="8"/>
      <c r="JUG5" s="8"/>
      <c r="JUH5" s="8"/>
      <c r="JUI5" s="8"/>
      <c r="JUJ5" s="8"/>
      <c r="JUK5" s="8"/>
      <c r="JUL5" s="8"/>
      <c r="JUM5" s="8"/>
      <c r="JUN5" s="8"/>
      <c r="JUO5" s="8"/>
      <c r="JUP5" s="8"/>
      <c r="JUQ5" s="8"/>
      <c r="JUR5" s="8"/>
      <c r="JUS5" s="8"/>
      <c r="JUT5" s="8"/>
      <c r="JUU5" s="8"/>
      <c r="JUV5" s="8"/>
      <c r="JUW5" s="8"/>
      <c r="JUX5" s="8"/>
      <c r="JUY5" s="8"/>
      <c r="JUZ5" s="8"/>
      <c r="JVA5" s="8"/>
      <c r="JVB5" s="8"/>
      <c r="JVC5" s="8"/>
      <c r="JVD5" s="8"/>
      <c r="JVE5" s="8"/>
      <c r="JVF5" s="8"/>
      <c r="JVG5" s="8"/>
      <c r="JVH5" s="8"/>
      <c r="JVI5" s="8"/>
      <c r="JVJ5" s="8"/>
      <c r="JVK5" s="8"/>
      <c r="JVL5" s="8"/>
      <c r="JVM5" s="8"/>
      <c r="JVN5" s="8"/>
      <c r="JVO5" s="8"/>
      <c r="JVP5" s="8"/>
      <c r="JVQ5" s="8"/>
      <c r="JVR5" s="8"/>
      <c r="JVS5" s="8"/>
      <c r="JVT5" s="8"/>
      <c r="JVU5" s="8"/>
      <c r="JVV5" s="8"/>
      <c r="JVW5" s="8"/>
      <c r="JVX5" s="8"/>
      <c r="JVY5" s="8"/>
      <c r="JVZ5" s="8"/>
      <c r="JWA5" s="8"/>
      <c r="JWB5" s="8"/>
      <c r="JWC5" s="8"/>
      <c r="JWD5" s="8"/>
      <c r="JWE5" s="8"/>
      <c r="JWF5" s="8"/>
      <c r="JWG5" s="8"/>
      <c r="JWH5" s="8"/>
      <c r="JWI5" s="8"/>
      <c r="JWJ5" s="8"/>
      <c r="JWK5" s="8"/>
      <c r="JWL5" s="8"/>
      <c r="JWM5" s="8"/>
      <c r="JWN5" s="8"/>
      <c r="JWO5" s="8"/>
      <c r="JWP5" s="8"/>
      <c r="JWQ5" s="8"/>
      <c r="JWR5" s="8"/>
      <c r="JWS5" s="8"/>
      <c r="JWT5" s="8"/>
      <c r="JWU5" s="8"/>
      <c r="JWV5" s="8"/>
      <c r="JWW5" s="8"/>
      <c r="JWX5" s="8"/>
      <c r="JWY5" s="8"/>
      <c r="JWZ5" s="8"/>
      <c r="JXA5" s="8"/>
      <c r="JXB5" s="8"/>
      <c r="JXC5" s="8"/>
      <c r="JXD5" s="8"/>
      <c r="JXE5" s="8"/>
      <c r="JXF5" s="8"/>
      <c r="JXG5" s="8"/>
      <c r="JXH5" s="8"/>
      <c r="JXI5" s="8"/>
      <c r="JXJ5" s="8"/>
      <c r="JXK5" s="8"/>
      <c r="JXL5" s="8"/>
      <c r="JXM5" s="8"/>
      <c r="JXN5" s="8"/>
      <c r="JXO5" s="8"/>
      <c r="JXP5" s="8"/>
      <c r="JXQ5" s="8"/>
      <c r="JXR5" s="8"/>
      <c r="JXS5" s="8"/>
      <c r="JXT5" s="8"/>
      <c r="JXU5" s="8"/>
      <c r="JXV5" s="8"/>
      <c r="JXW5" s="8"/>
      <c r="JXX5" s="8"/>
      <c r="JXY5" s="8"/>
      <c r="JXZ5" s="8"/>
      <c r="JYA5" s="8"/>
      <c r="JYB5" s="8"/>
      <c r="JYC5" s="8"/>
      <c r="JYD5" s="8"/>
      <c r="JYE5" s="8"/>
      <c r="JYF5" s="8"/>
      <c r="JYG5" s="8"/>
      <c r="JYH5" s="8"/>
      <c r="JYI5" s="8"/>
      <c r="JYJ5" s="8"/>
      <c r="JYK5" s="8"/>
      <c r="JYL5" s="8"/>
      <c r="JYM5" s="8"/>
      <c r="JYN5" s="8"/>
      <c r="JYO5" s="8"/>
      <c r="JYP5" s="8"/>
      <c r="JYQ5" s="8"/>
      <c r="JYR5" s="8"/>
      <c r="JYS5" s="8"/>
      <c r="JYT5" s="8"/>
      <c r="JYU5" s="8"/>
      <c r="JYV5" s="8"/>
      <c r="JYW5" s="8"/>
      <c r="JYX5" s="8"/>
      <c r="JYY5" s="8"/>
      <c r="JYZ5" s="8"/>
      <c r="JZA5" s="8"/>
      <c r="JZB5" s="8"/>
      <c r="JZC5" s="8"/>
      <c r="JZD5" s="8"/>
      <c r="JZE5" s="8"/>
      <c r="JZF5" s="8"/>
      <c r="JZG5" s="8"/>
      <c r="JZH5" s="8"/>
      <c r="JZI5" s="8"/>
      <c r="JZJ5" s="8"/>
      <c r="JZK5" s="8"/>
      <c r="JZL5" s="8"/>
      <c r="JZM5" s="8"/>
      <c r="JZN5" s="8"/>
      <c r="JZO5" s="8"/>
      <c r="JZP5" s="8"/>
      <c r="JZQ5" s="8"/>
      <c r="JZR5" s="8"/>
      <c r="JZS5" s="8"/>
      <c r="JZT5" s="8"/>
      <c r="JZU5" s="8"/>
      <c r="JZV5" s="8"/>
      <c r="JZW5" s="8"/>
      <c r="JZX5" s="8"/>
      <c r="JZY5" s="8"/>
      <c r="JZZ5" s="8"/>
      <c r="KAA5" s="8"/>
      <c r="KAB5" s="8"/>
      <c r="KAC5" s="8"/>
      <c r="KAD5" s="8"/>
      <c r="KAE5" s="8"/>
      <c r="KAF5" s="8"/>
      <c r="KAG5" s="8"/>
      <c r="KAH5" s="8"/>
      <c r="KAI5" s="8"/>
      <c r="KAJ5" s="8"/>
      <c r="KAK5" s="8"/>
      <c r="KAL5" s="8"/>
      <c r="KAM5" s="8"/>
      <c r="KAN5" s="8"/>
      <c r="KAO5" s="8"/>
      <c r="KAP5" s="8"/>
      <c r="KAQ5" s="8"/>
      <c r="KAR5" s="8"/>
      <c r="KAS5" s="8"/>
      <c r="KAT5" s="8"/>
      <c r="KAU5" s="8"/>
      <c r="KAV5" s="8"/>
      <c r="KAW5" s="8"/>
      <c r="KAX5" s="8"/>
      <c r="KAY5" s="8"/>
      <c r="KAZ5" s="8"/>
      <c r="KBA5" s="8"/>
      <c r="KBB5" s="8"/>
      <c r="KBC5" s="8"/>
      <c r="KBD5" s="8"/>
      <c r="KBE5" s="8"/>
      <c r="KBF5" s="8"/>
      <c r="KBG5" s="8"/>
      <c r="KBH5" s="8"/>
      <c r="KBI5" s="8"/>
      <c r="KBJ5" s="8"/>
      <c r="KBK5" s="8"/>
      <c r="KBL5" s="8"/>
      <c r="KBM5" s="8"/>
      <c r="KBN5" s="8"/>
      <c r="KBO5" s="8"/>
      <c r="KBP5" s="8"/>
      <c r="KBQ5" s="8"/>
      <c r="KBR5" s="8"/>
      <c r="KBS5" s="8"/>
      <c r="KBT5" s="8"/>
      <c r="KBU5" s="8"/>
      <c r="KBV5" s="8"/>
      <c r="KBW5" s="8"/>
      <c r="KBX5" s="8"/>
      <c r="KBY5" s="8"/>
      <c r="KBZ5" s="8"/>
      <c r="KCA5" s="8"/>
      <c r="KCB5" s="8"/>
      <c r="KCC5" s="8"/>
      <c r="KCD5" s="8"/>
      <c r="KCE5" s="8"/>
      <c r="KCF5" s="8"/>
      <c r="KCG5" s="8"/>
      <c r="KCH5" s="8"/>
      <c r="KCI5" s="8"/>
      <c r="KCJ5" s="8"/>
      <c r="KCK5" s="8"/>
      <c r="KCL5" s="8"/>
      <c r="KCM5" s="8"/>
      <c r="KCN5" s="8"/>
      <c r="KCO5" s="8"/>
      <c r="KCP5" s="8"/>
      <c r="KCQ5" s="8"/>
      <c r="KCR5" s="8"/>
      <c r="KCS5" s="8"/>
      <c r="KCT5" s="8"/>
      <c r="KCU5" s="8"/>
      <c r="KCV5" s="8"/>
      <c r="KCW5" s="8"/>
      <c r="KCX5" s="8"/>
      <c r="KCY5" s="8"/>
      <c r="KCZ5" s="8"/>
      <c r="KDA5" s="8"/>
      <c r="KDB5" s="8"/>
      <c r="KDC5" s="8"/>
      <c r="KDD5" s="8"/>
      <c r="KDE5" s="8"/>
      <c r="KDF5" s="8"/>
      <c r="KDG5" s="8"/>
      <c r="KDH5" s="8"/>
      <c r="KDI5" s="8"/>
      <c r="KDJ5" s="8"/>
      <c r="KDK5" s="8"/>
      <c r="KDL5" s="8"/>
      <c r="KDM5" s="8"/>
      <c r="KDN5" s="8"/>
      <c r="KDO5" s="8"/>
      <c r="KDP5" s="8"/>
      <c r="KDQ5" s="8"/>
      <c r="KDR5" s="8"/>
      <c r="KDS5" s="8"/>
      <c r="KDT5" s="8"/>
      <c r="KDU5" s="8"/>
      <c r="KDV5" s="8"/>
      <c r="KDW5" s="8"/>
      <c r="KDX5" s="8"/>
      <c r="KDY5" s="8"/>
      <c r="KDZ5" s="8"/>
      <c r="KEA5" s="8"/>
      <c r="KEB5" s="8"/>
      <c r="KEC5" s="8"/>
      <c r="KED5" s="8"/>
      <c r="KEE5" s="8"/>
      <c r="KEF5" s="8"/>
      <c r="KEG5" s="8"/>
      <c r="KEH5" s="8"/>
      <c r="KEI5" s="8"/>
      <c r="KEJ5" s="8"/>
      <c r="KEK5" s="8"/>
      <c r="KEL5" s="8"/>
      <c r="KEM5" s="8"/>
      <c r="KEN5" s="8"/>
      <c r="KEO5" s="8"/>
      <c r="KEP5" s="8"/>
      <c r="KEQ5" s="8"/>
      <c r="KER5" s="8"/>
      <c r="KES5" s="8"/>
      <c r="KET5" s="8"/>
      <c r="KEU5" s="8"/>
      <c r="KEV5" s="8"/>
      <c r="KEW5" s="8"/>
      <c r="KEX5" s="8"/>
      <c r="KEY5" s="8"/>
      <c r="KEZ5" s="8"/>
      <c r="KFA5" s="8"/>
      <c r="KFB5" s="8"/>
      <c r="KFC5" s="8"/>
      <c r="KFD5" s="8"/>
      <c r="KFE5" s="8"/>
      <c r="KFF5" s="8"/>
      <c r="KFG5" s="8"/>
      <c r="KFH5" s="8"/>
      <c r="KFI5" s="8"/>
      <c r="KFJ5" s="8"/>
      <c r="KFK5" s="8"/>
      <c r="KFL5" s="8"/>
      <c r="KFM5" s="8"/>
      <c r="KFN5" s="8"/>
      <c r="KFO5" s="8"/>
      <c r="KFP5" s="8"/>
      <c r="KFQ5" s="8"/>
      <c r="KFR5" s="8"/>
      <c r="KFS5" s="8"/>
      <c r="KFT5" s="8"/>
      <c r="KFU5" s="8"/>
      <c r="KFV5" s="8"/>
      <c r="KFW5" s="8"/>
      <c r="KFX5" s="8"/>
      <c r="KFY5" s="8"/>
      <c r="KFZ5" s="8"/>
      <c r="KGA5" s="8"/>
      <c r="KGB5" s="8"/>
      <c r="KGC5" s="8"/>
      <c r="KGD5" s="8"/>
      <c r="KGE5" s="8"/>
      <c r="KGF5" s="8"/>
      <c r="KGG5" s="8"/>
      <c r="KGH5" s="8"/>
      <c r="KGI5" s="8"/>
      <c r="KGJ5" s="8"/>
      <c r="KGK5" s="8"/>
      <c r="KGL5" s="8"/>
      <c r="KGM5" s="8"/>
      <c r="KGN5" s="8"/>
      <c r="KGO5" s="8"/>
      <c r="KGP5" s="8"/>
      <c r="KGQ5" s="8"/>
      <c r="KGR5" s="8"/>
      <c r="KGS5" s="8"/>
      <c r="KGT5" s="8"/>
      <c r="KGU5" s="8"/>
      <c r="KGV5" s="8"/>
      <c r="KGW5" s="8"/>
      <c r="KGX5" s="8"/>
      <c r="KGY5" s="8"/>
      <c r="KGZ5" s="8"/>
      <c r="KHA5" s="8"/>
      <c r="KHB5" s="8"/>
      <c r="KHC5" s="8"/>
      <c r="KHD5" s="8"/>
      <c r="KHE5" s="8"/>
      <c r="KHF5" s="8"/>
      <c r="KHG5" s="8"/>
      <c r="KHH5" s="8"/>
      <c r="KHI5" s="8"/>
      <c r="KHJ5" s="8"/>
      <c r="KHK5" s="8"/>
      <c r="KHL5" s="8"/>
      <c r="KHM5" s="8"/>
      <c r="KHN5" s="8"/>
      <c r="KHO5" s="8"/>
      <c r="KHP5" s="8"/>
      <c r="KHQ5" s="8"/>
      <c r="KHR5" s="8"/>
      <c r="KHS5" s="8"/>
      <c r="KHT5" s="8"/>
      <c r="KHU5" s="8"/>
      <c r="KHV5" s="8"/>
      <c r="KHW5" s="8"/>
      <c r="KHX5" s="8"/>
      <c r="KHY5" s="8"/>
      <c r="KHZ5" s="8"/>
      <c r="KIA5" s="8"/>
      <c r="KIB5" s="8"/>
      <c r="KIC5" s="8"/>
      <c r="KID5" s="8"/>
      <c r="KIE5" s="8"/>
      <c r="KIF5" s="8"/>
      <c r="KIG5" s="8"/>
      <c r="KIH5" s="8"/>
      <c r="KII5" s="8"/>
      <c r="KIJ5" s="8"/>
      <c r="KIK5" s="8"/>
      <c r="KIL5" s="8"/>
      <c r="KIM5" s="8"/>
      <c r="KIN5" s="8"/>
      <c r="KIO5" s="8"/>
      <c r="KIP5" s="8"/>
      <c r="KIQ5" s="8"/>
      <c r="KIR5" s="8"/>
      <c r="KIS5" s="8"/>
      <c r="KIT5" s="8"/>
      <c r="KIU5" s="8"/>
      <c r="KIV5" s="8"/>
      <c r="KIW5" s="8"/>
      <c r="KIX5" s="8"/>
      <c r="KIY5" s="8"/>
      <c r="KIZ5" s="8"/>
      <c r="KJA5" s="8"/>
      <c r="KJB5" s="8"/>
      <c r="KJC5" s="8"/>
      <c r="KJD5" s="8"/>
      <c r="KJE5" s="8"/>
      <c r="KJF5" s="8"/>
      <c r="KJG5" s="8"/>
      <c r="KJH5" s="8"/>
      <c r="KJI5" s="8"/>
      <c r="KJJ5" s="8"/>
      <c r="KJK5" s="8"/>
      <c r="KJL5" s="8"/>
      <c r="KJM5" s="8"/>
      <c r="KJN5" s="8"/>
      <c r="KJO5" s="8"/>
      <c r="KJP5" s="8"/>
      <c r="KJQ5" s="8"/>
      <c r="KJR5" s="8"/>
      <c r="KJS5" s="8"/>
      <c r="KJT5" s="8"/>
      <c r="KJU5" s="8"/>
      <c r="KJV5" s="8"/>
      <c r="KJW5" s="8"/>
      <c r="KJX5" s="8"/>
      <c r="KJY5" s="8"/>
      <c r="KJZ5" s="8"/>
      <c r="KKA5" s="8"/>
      <c r="KKB5" s="8"/>
      <c r="KKC5" s="8"/>
      <c r="KKD5" s="8"/>
      <c r="KKE5" s="8"/>
      <c r="KKF5" s="8"/>
      <c r="KKG5" s="8"/>
      <c r="KKH5" s="8"/>
      <c r="KKI5" s="8"/>
      <c r="KKJ5" s="8"/>
      <c r="KKK5" s="8"/>
      <c r="KKL5" s="8"/>
      <c r="KKM5" s="8"/>
      <c r="KKN5" s="8"/>
      <c r="KKO5" s="8"/>
      <c r="KKP5" s="8"/>
      <c r="KKQ5" s="8"/>
      <c r="KKR5" s="8"/>
      <c r="KKS5" s="8"/>
      <c r="KKT5" s="8"/>
      <c r="KKU5" s="8"/>
      <c r="KKV5" s="8"/>
      <c r="KKW5" s="8"/>
      <c r="KKX5" s="8"/>
      <c r="KKY5" s="8"/>
      <c r="KKZ5" s="8"/>
      <c r="KLA5" s="8"/>
      <c r="KLB5" s="8"/>
      <c r="KLC5" s="8"/>
      <c r="KLD5" s="8"/>
      <c r="KLE5" s="8"/>
      <c r="KLF5" s="8"/>
      <c r="KLG5" s="8"/>
      <c r="KLH5" s="8"/>
      <c r="KLI5" s="8"/>
      <c r="KLJ5" s="8"/>
      <c r="KLK5" s="8"/>
      <c r="KLL5" s="8"/>
      <c r="KLM5" s="8"/>
      <c r="KLN5" s="8"/>
      <c r="KLO5" s="8"/>
      <c r="KLP5" s="8"/>
      <c r="KLQ5" s="8"/>
      <c r="KLR5" s="8"/>
      <c r="KLS5" s="8"/>
      <c r="KLT5" s="8"/>
      <c r="KLU5" s="8"/>
      <c r="KLV5" s="8"/>
      <c r="KLW5" s="8"/>
      <c r="KLX5" s="8"/>
      <c r="KLY5" s="8"/>
      <c r="KLZ5" s="8"/>
      <c r="KMA5" s="8"/>
      <c r="KMB5" s="8"/>
      <c r="KMC5" s="8"/>
      <c r="KMD5" s="8"/>
      <c r="KME5" s="8"/>
      <c r="KMF5" s="8"/>
      <c r="KMG5" s="8"/>
      <c r="KMH5" s="8"/>
      <c r="KMI5" s="8"/>
      <c r="KMJ5" s="8"/>
      <c r="KMK5" s="8"/>
      <c r="KML5" s="8"/>
      <c r="KMM5" s="8"/>
      <c r="KMN5" s="8"/>
      <c r="KMO5" s="8"/>
      <c r="KMP5" s="8"/>
      <c r="KMQ5" s="8"/>
      <c r="KMR5" s="8"/>
      <c r="KMS5" s="8"/>
      <c r="KMT5" s="8"/>
      <c r="KMU5" s="8"/>
      <c r="KMV5" s="8"/>
      <c r="KMW5" s="8"/>
      <c r="KMX5" s="8"/>
      <c r="KMY5" s="8"/>
      <c r="KMZ5" s="8"/>
      <c r="KNA5" s="8"/>
      <c r="KNB5" s="8"/>
      <c r="KNC5" s="8"/>
      <c r="KND5" s="8"/>
      <c r="KNE5" s="8"/>
      <c r="KNF5" s="8"/>
      <c r="KNG5" s="8"/>
      <c r="KNH5" s="8"/>
      <c r="KNI5" s="8"/>
      <c r="KNJ5" s="8"/>
      <c r="KNK5" s="8"/>
      <c r="KNL5" s="8"/>
      <c r="KNM5" s="8"/>
      <c r="KNN5" s="8"/>
      <c r="KNO5" s="8"/>
      <c r="KNP5" s="8"/>
      <c r="KNQ5" s="8"/>
      <c r="KNR5" s="8"/>
      <c r="KNS5" s="8"/>
      <c r="KNT5" s="8"/>
      <c r="KNU5" s="8"/>
      <c r="KNV5" s="8"/>
      <c r="KNW5" s="8"/>
      <c r="KNX5" s="8"/>
      <c r="KNY5" s="8"/>
      <c r="KNZ5" s="8"/>
      <c r="KOA5" s="8"/>
      <c r="KOB5" s="8"/>
      <c r="KOC5" s="8"/>
      <c r="KOD5" s="8"/>
      <c r="KOE5" s="8"/>
      <c r="KOF5" s="8"/>
      <c r="KOG5" s="8"/>
      <c r="KOH5" s="8"/>
      <c r="KOI5" s="8"/>
      <c r="KOJ5" s="8"/>
      <c r="KOK5" s="8"/>
      <c r="KOL5" s="8"/>
      <c r="KOM5" s="8"/>
      <c r="KON5" s="8"/>
      <c r="KOO5" s="8"/>
      <c r="KOP5" s="8"/>
      <c r="KOQ5" s="8"/>
      <c r="KOR5" s="8"/>
      <c r="KOS5" s="8"/>
      <c r="KOT5" s="8"/>
      <c r="KOU5" s="8"/>
      <c r="KOV5" s="8"/>
      <c r="KOW5" s="8"/>
      <c r="KOX5" s="8"/>
      <c r="KOY5" s="8"/>
      <c r="KOZ5" s="8"/>
      <c r="KPA5" s="8"/>
      <c r="KPB5" s="8"/>
      <c r="KPC5" s="8"/>
      <c r="KPD5" s="8"/>
      <c r="KPE5" s="8"/>
      <c r="KPF5" s="8"/>
      <c r="KPG5" s="8"/>
      <c r="KPH5" s="8"/>
      <c r="KPI5" s="8"/>
      <c r="KPJ5" s="8"/>
      <c r="KPK5" s="8"/>
      <c r="KPL5" s="8"/>
      <c r="KPM5" s="8"/>
      <c r="KPN5" s="8"/>
      <c r="KPO5" s="8"/>
      <c r="KPP5" s="8"/>
      <c r="KPQ5" s="8"/>
      <c r="KPR5" s="8"/>
      <c r="KPS5" s="8"/>
      <c r="KPT5" s="8"/>
      <c r="KPU5" s="8"/>
      <c r="KPV5" s="8"/>
      <c r="KPW5" s="8"/>
      <c r="KPX5" s="8"/>
      <c r="KPY5" s="8"/>
      <c r="KPZ5" s="8"/>
      <c r="KQA5" s="8"/>
      <c r="KQB5" s="8"/>
      <c r="KQC5" s="8"/>
      <c r="KQD5" s="8"/>
      <c r="KQE5" s="8"/>
      <c r="KQF5" s="8"/>
      <c r="KQG5" s="8"/>
      <c r="KQH5" s="8"/>
      <c r="KQI5" s="8"/>
      <c r="KQJ5" s="8"/>
      <c r="KQK5" s="8"/>
      <c r="KQL5" s="8"/>
      <c r="KQM5" s="8"/>
      <c r="KQN5" s="8"/>
      <c r="KQO5" s="8"/>
      <c r="KQP5" s="8"/>
      <c r="KQQ5" s="8"/>
      <c r="KQR5" s="8"/>
      <c r="KQS5" s="8"/>
      <c r="KQT5" s="8"/>
      <c r="KQU5" s="8"/>
      <c r="KQV5" s="8"/>
      <c r="KQW5" s="8"/>
      <c r="KQX5" s="8"/>
      <c r="KQY5" s="8"/>
      <c r="KQZ5" s="8"/>
      <c r="KRA5" s="8"/>
      <c r="KRB5" s="8"/>
      <c r="KRC5" s="8"/>
      <c r="KRD5" s="8"/>
      <c r="KRE5" s="8"/>
      <c r="KRF5" s="8"/>
      <c r="KRG5" s="8"/>
      <c r="KRH5" s="8"/>
      <c r="KRI5" s="8"/>
      <c r="KRJ5" s="8"/>
      <c r="KRK5" s="8"/>
      <c r="KRL5" s="8"/>
      <c r="KRM5" s="8"/>
      <c r="KRN5" s="8"/>
      <c r="KRO5" s="8"/>
      <c r="KRP5" s="8"/>
      <c r="KRQ5" s="8"/>
      <c r="KRR5" s="8"/>
      <c r="KRS5" s="8"/>
      <c r="KRT5" s="8"/>
      <c r="KRU5" s="8"/>
      <c r="KRV5" s="8"/>
      <c r="KRW5" s="8"/>
      <c r="KRX5" s="8"/>
      <c r="KRY5" s="8"/>
      <c r="KRZ5" s="8"/>
      <c r="KSA5" s="8"/>
      <c r="KSB5" s="8"/>
      <c r="KSC5" s="8"/>
      <c r="KSD5" s="8"/>
      <c r="KSE5" s="8"/>
      <c r="KSF5" s="8"/>
      <c r="KSG5" s="8"/>
      <c r="KSH5" s="8"/>
      <c r="KSI5" s="8"/>
      <c r="KSJ5" s="8"/>
      <c r="KSK5" s="8"/>
      <c r="KSL5" s="8"/>
      <c r="KSM5" s="8"/>
      <c r="KSN5" s="8"/>
      <c r="KSO5" s="8"/>
      <c r="KSP5" s="8"/>
      <c r="KSQ5" s="8"/>
      <c r="KSR5" s="8"/>
      <c r="KSS5" s="8"/>
      <c r="KST5" s="8"/>
      <c r="KSU5" s="8"/>
      <c r="KSV5" s="8"/>
      <c r="KSW5" s="8"/>
      <c r="KSX5" s="8"/>
      <c r="KSY5" s="8"/>
      <c r="KSZ5" s="8"/>
      <c r="KTA5" s="8"/>
      <c r="KTB5" s="8"/>
      <c r="KTC5" s="8"/>
      <c r="KTD5" s="8"/>
      <c r="KTE5" s="8"/>
      <c r="KTF5" s="8"/>
      <c r="KTG5" s="8"/>
      <c r="KTH5" s="8"/>
      <c r="KTI5" s="8"/>
      <c r="KTJ5" s="8"/>
      <c r="KTK5" s="8"/>
      <c r="KTL5" s="8"/>
      <c r="KTM5" s="8"/>
      <c r="KTN5" s="8"/>
      <c r="KTO5" s="8"/>
      <c r="KTP5" s="8"/>
      <c r="KTQ5" s="8"/>
      <c r="KTR5" s="8"/>
      <c r="KTS5" s="8"/>
      <c r="KTT5" s="8"/>
      <c r="KTU5" s="8"/>
      <c r="KTV5" s="8"/>
      <c r="KTW5" s="8"/>
      <c r="KTX5" s="8"/>
      <c r="KTY5" s="8"/>
      <c r="KTZ5" s="8"/>
      <c r="KUA5" s="8"/>
      <c r="KUB5" s="8"/>
      <c r="KUC5" s="8"/>
      <c r="KUD5" s="8"/>
      <c r="KUE5" s="8"/>
      <c r="KUF5" s="8"/>
      <c r="KUG5" s="8"/>
      <c r="KUH5" s="8"/>
      <c r="KUI5" s="8"/>
      <c r="KUJ5" s="8"/>
      <c r="KUK5" s="8"/>
      <c r="KUL5" s="8"/>
      <c r="KUM5" s="8"/>
      <c r="KUN5" s="8"/>
      <c r="KUO5" s="8"/>
      <c r="KUP5" s="8"/>
      <c r="KUQ5" s="8"/>
      <c r="KUR5" s="8"/>
      <c r="KUS5" s="8"/>
      <c r="KUT5" s="8"/>
      <c r="KUU5" s="8"/>
      <c r="KUV5" s="8"/>
      <c r="KUW5" s="8"/>
      <c r="KUX5" s="8"/>
      <c r="KUY5" s="8"/>
      <c r="KUZ5" s="8"/>
      <c r="KVA5" s="8"/>
      <c r="KVB5" s="8"/>
      <c r="KVC5" s="8"/>
      <c r="KVD5" s="8"/>
      <c r="KVE5" s="8"/>
      <c r="KVF5" s="8"/>
      <c r="KVG5" s="8"/>
      <c r="KVH5" s="8"/>
      <c r="KVI5" s="8"/>
      <c r="KVJ5" s="8"/>
      <c r="KVK5" s="8"/>
      <c r="KVL5" s="8"/>
      <c r="KVM5" s="8"/>
      <c r="KVN5" s="8"/>
      <c r="KVO5" s="8"/>
      <c r="KVP5" s="8"/>
      <c r="KVQ5" s="8"/>
      <c r="KVR5" s="8"/>
      <c r="KVS5" s="8"/>
      <c r="KVT5" s="8"/>
      <c r="KVU5" s="8"/>
      <c r="KVV5" s="8"/>
      <c r="KVW5" s="8"/>
      <c r="KVX5" s="8"/>
      <c r="KVY5" s="8"/>
      <c r="KVZ5" s="8"/>
      <c r="KWA5" s="8"/>
      <c r="KWB5" s="8"/>
      <c r="KWC5" s="8"/>
      <c r="KWD5" s="8"/>
      <c r="KWE5" s="8"/>
      <c r="KWF5" s="8"/>
      <c r="KWG5" s="8"/>
      <c r="KWH5" s="8"/>
      <c r="KWI5" s="8"/>
      <c r="KWJ5" s="8"/>
      <c r="KWK5" s="8"/>
      <c r="KWL5" s="8"/>
      <c r="KWM5" s="8"/>
      <c r="KWN5" s="8"/>
      <c r="KWO5" s="8"/>
      <c r="KWP5" s="8"/>
      <c r="KWQ5" s="8"/>
      <c r="KWR5" s="8"/>
      <c r="KWS5" s="8"/>
      <c r="KWT5" s="8"/>
      <c r="KWU5" s="8"/>
      <c r="KWV5" s="8"/>
      <c r="KWW5" s="8"/>
      <c r="KWX5" s="8"/>
      <c r="KWY5" s="8"/>
      <c r="KWZ5" s="8"/>
      <c r="KXA5" s="8"/>
      <c r="KXB5" s="8"/>
      <c r="KXC5" s="8"/>
      <c r="KXD5" s="8"/>
      <c r="KXE5" s="8"/>
      <c r="KXF5" s="8"/>
      <c r="KXG5" s="8"/>
      <c r="KXH5" s="8"/>
      <c r="KXI5" s="8"/>
      <c r="KXJ5" s="8"/>
      <c r="KXK5" s="8"/>
      <c r="KXL5" s="8"/>
      <c r="KXM5" s="8"/>
      <c r="KXN5" s="8"/>
      <c r="KXO5" s="8"/>
      <c r="KXP5" s="8"/>
      <c r="KXQ5" s="8"/>
      <c r="KXR5" s="8"/>
      <c r="KXS5" s="8"/>
      <c r="KXT5" s="8"/>
      <c r="KXU5" s="8"/>
      <c r="KXV5" s="8"/>
      <c r="KXW5" s="8"/>
      <c r="KXX5" s="8"/>
      <c r="KXY5" s="8"/>
      <c r="KXZ5" s="8"/>
      <c r="KYA5" s="8"/>
      <c r="KYB5" s="8"/>
      <c r="KYC5" s="8"/>
      <c r="KYD5" s="8"/>
      <c r="KYE5" s="8"/>
      <c r="KYF5" s="8"/>
      <c r="KYG5" s="8"/>
      <c r="KYH5" s="8"/>
      <c r="KYI5" s="8"/>
      <c r="KYJ5" s="8"/>
      <c r="KYK5" s="8"/>
      <c r="KYL5" s="8"/>
      <c r="KYM5" s="8"/>
      <c r="KYN5" s="8"/>
      <c r="KYO5" s="8"/>
      <c r="KYP5" s="8"/>
      <c r="KYQ5" s="8"/>
      <c r="KYR5" s="8"/>
      <c r="KYS5" s="8"/>
      <c r="KYT5" s="8"/>
      <c r="KYU5" s="8"/>
      <c r="KYV5" s="8"/>
      <c r="KYW5" s="8"/>
      <c r="KYX5" s="8"/>
      <c r="KYY5" s="8"/>
      <c r="KYZ5" s="8"/>
      <c r="KZA5" s="8"/>
      <c r="KZB5" s="8"/>
      <c r="KZC5" s="8"/>
      <c r="KZD5" s="8"/>
      <c r="KZE5" s="8"/>
      <c r="KZF5" s="8"/>
      <c r="KZG5" s="8"/>
      <c r="KZH5" s="8"/>
      <c r="KZI5" s="8"/>
      <c r="KZJ5" s="8"/>
      <c r="KZK5" s="8"/>
      <c r="KZL5" s="8"/>
      <c r="KZM5" s="8"/>
      <c r="KZN5" s="8"/>
      <c r="KZO5" s="8"/>
      <c r="KZP5" s="8"/>
      <c r="KZQ5" s="8"/>
      <c r="KZR5" s="8"/>
      <c r="KZS5" s="8"/>
      <c r="KZT5" s="8"/>
      <c r="KZU5" s="8"/>
      <c r="KZV5" s="8"/>
      <c r="KZW5" s="8"/>
      <c r="KZX5" s="8"/>
      <c r="KZY5" s="8"/>
      <c r="KZZ5" s="8"/>
      <c r="LAA5" s="8"/>
      <c r="LAB5" s="8"/>
      <c r="LAC5" s="8"/>
      <c r="LAD5" s="8"/>
      <c r="LAE5" s="8"/>
      <c r="LAF5" s="8"/>
      <c r="LAG5" s="8"/>
      <c r="LAH5" s="8"/>
      <c r="LAI5" s="8"/>
      <c r="LAJ5" s="8"/>
      <c r="LAK5" s="8"/>
      <c r="LAL5" s="8"/>
      <c r="LAM5" s="8"/>
      <c r="LAN5" s="8"/>
      <c r="LAO5" s="8"/>
      <c r="LAP5" s="8"/>
      <c r="LAQ5" s="8"/>
      <c r="LAR5" s="8"/>
      <c r="LAS5" s="8"/>
      <c r="LAT5" s="8"/>
      <c r="LAU5" s="8"/>
      <c r="LAV5" s="8"/>
      <c r="LAW5" s="8"/>
      <c r="LAX5" s="8"/>
      <c r="LAY5" s="8"/>
      <c r="LAZ5" s="8"/>
      <c r="LBA5" s="8"/>
      <c r="LBB5" s="8"/>
      <c r="LBC5" s="8"/>
      <c r="LBD5" s="8"/>
      <c r="LBE5" s="8"/>
      <c r="LBF5" s="8"/>
      <c r="LBG5" s="8"/>
      <c r="LBH5" s="8"/>
      <c r="LBI5" s="8"/>
      <c r="LBJ5" s="8"/>
      <c r="LBK5" s="8"/>
      <c r="LBL5" s="8"/>
      <c r="LBM5" s="8"/>
      <c r="LBN5" s="8"/>
      <c r="LBO5" s="8"/>
      <c r="LBP5" s="8"/>
      <c r="LBQ5" s="8"/>
      <c r="LBR5" s="8"/>
      <c r="LBS5" s="8"/>
      <c r="LBT5" s="8"/>
      <c r="LBU5" s="8"/>
      <c r="LBV5" s="8"/>
      <c r="LBW5" s="8"/>
      <c r="LBX5" s="8"/>
      <c r="LBY5" s="8"/>
      <c r="LBZ5" s="8"/>
      <c r="LCA5" s="8"/>
      <c r="LCB5" s="8"/>
      <c r="LCC5" s="8"/>
      <c r="LCD5" s="8"/>
      <c r="LCE5" s="8"/>
      <c r="LCF5" s="8"/>
      <c r="LCG5" s="8"/>
      <c r="LCH5" s="8"/>
      <c r="LCI5" s="8"/>
      <c r="LCJ5" s="8"/>
      <c r="LCK5" s="8"/>
      <c r="LCL5" s="8"/>
      <c r="LCM5" s="8"/>
      <c r="LCN5" s="8"/>
      <c r="LCO5" s="8"/>
      <c r="LCP5" s="8"/>
      <c r="LCQ5" s="8"/>
      <c r="LCR5" s="8"/>
      <c r="LCS5" s="8"/>
      <c r="LCT5" s="8"/>
      <c r="LCU5" s="8"/>
      <c r="LCV5" s="8"/>
      <c r="LCW5" s="8"/>
      <c r="LCX5" s="8"/>
      <c r="LCY5" s="8"/>
      <c r="LCZ5" s="8"/>
      <c r="LDA5" s="8"/>
      <c r="LDB5" s="8"/>
      <c r="LDC5" s="8"/>
      <c r="LDD5" s="8"/>
      <c r="LDE5" s="8"/>
      <c r="LDF5" s="8"/>
      <c r="LDG5" s="8"/>
      <c r="LDH5" s="8"/>
      <c r="LDI5" s="8"/>
      <c r="LDJ5" s="8"/>
      <c r="LDK5" s="8"/>
      <c r="LDL5" s="8"/>
      <c r="LDM5" s="8"/>
      <c r="LDN5" s="8"/>
      <c r="LDO5" s="8"/>
      <c r="LDP5" s="8"/>
      <c r="LDQ5" s="8"/>
      <c r="LDR5" s="8"/>
      <c r="LDS5" s="8"/>
      <c r="LDT5" s="8"/>
      <c r="LDU5" s="8"/>
      <c r="LDV5" s="8"/>
      <c r="LDW5" s="8"/>
      <c r="LDX5" s="8"/>
      <c r="LDY5" s="8"/>
      <c r="LDZ5" s="8"/>
      <c r="LEA5" s="8"/>
      <c r="LEB5" s="8"/>
      <c r="LEC5" s="8"/>
      <c r="LED5" s="8"/>
      <c r="LEE5" s="8"/>
      <c r="LEF5" s="8"/>
      <c r="LEG5" s="8"/>
      <c r="LEH5" s="8"/>
      <c r="LEI5" s="8"/>
      <c r="LEJ5" s="8"/>
      <c r="LEK5" s="8"/>
      <c r="LEL5" s="8"/>
      <c r="LEM5" s="8"/>
      <c r="LEN5" s="8"/>
      <c r="LEO5" s="8"/>
      <c r="LEP5" s="8"/>
      <c r="LEQ5" s="8"/>
      <c r="LER5" s="8"/>
      <c r="LES5" s="8"/>
      <c r="LET5" s="8"/>
      <c r="LEU5" s="8"/>
      <c r="LEV5" s="8"/>
      <c r="LEW5" s="8"/>
      <c r="LEX5" s="8"/>
      <c r="LEY5" s="8"/>
      <c r="LEZ5" s="8"/>
      <c r="LFA5" s="8"/>
      <c r="LFB5" s="8"/>
      <c r="LFC5" s="8"/>
      <c r="LFD5" s="8"/>
      <c r="LFE5" s="8"/>
      <c r="LFF5" s="8"/>
      <c r="LFG5" s="8"/>
      <c r="LFH5" s="8"/>
      <c r="LFI5" s="8"/>
      <c r="LFJ5" s="8"/>
      <c r="LFK5" s="8"/>
      <c r="LFL5" s="8"/>
      <c r="LFM5" s="8"/>
      <c r="LFN5" s="8"/>
      <c r="LFO5" s="8"/>
      <c r="LFP5" s="8"/>
      <c r="LFQ5" s="8"/>
      <c r="LFR5" s="8"/>
      <c r="LFS5" s="8"/>
      <c r="LFT5" s="8"/>
      <c r="LFU5" s="8"/>
      <c r="LFV5" s="8"/>
      <c r="LFW5" s="8"/>
      <c r="LFX5" s="8"/>
      <c r="LFY5" s="8"/>
      <c r="LFZ5" s="8"/>
      <c r="LGA5" s="8"/>
      <c r="LGB5" s="8"/>
      <c r="LGC5" s="8"/>
      <c r="LGD5" s="8"/>
      <c r="LGE5" s="8"/>
      <c r="LGF5" s="8"/>
      <c r="LGG5" s="8"/>
      <c r="LGH5" s="8"/>
      <c r="LGI5" s="8"/>
      <c r="LGJ5" s="8"/>
      <c r="LGK5" s="8"/>
      <c r="LGL5" s="8"/>
      <c r="LGM5" s="8"/>
      <c r="LGN5" s="8"/>
      <c r="LGO5" s="8"/>
      <c r="LGP5" s="8"/>
      <c r="LGQ5" s="8"/>
      <c r="LGR5" s="8"/>
      <c r="LGS5" s="8"/>
      <c r="LGT5" s="8"/>
      <c r="LGU5" s="8"/>
      <c r="LGV5" s="8"/>
      <c r="LGW5" s="8"/>
      <c r="LGX5" s="8"/>
      <c r="LGY5" s="8"/>
      <c r="LGZ5" s="8"/>
      <c r="LHA5" s="8"/>
      <c r="LHB5" s="8"/>
      <c r="LHC5" s="8"/>
      <c r="LHD5" s="8"/>
      <c r="LHE5" s="8"/>
      <c r="LHF5" s="8"/>
      <c r="LHG5" s="8"/>
      <c r="LHH5" s="8"/>
      <c r="LHI5" s="8"/>
      <c r="LHJ5" s="8"/>
      <c r="LHK5" s="8"/>
      <c r="LHL5" s="8"/>
      <c r="LHM5" s="8"/>
      <c r="LHN5" s="8"/>
      <c r="LHO5" s="8"/>
      <c r="LHP5" s="8"/>
      <c r="LHQ5" s="8"/>
      <c r="LHR5" s="8"/>
      <c r="LHS5" s="8"/>
      <c r="LHT5" s="8"/>
      <c r="LHU5" s="8"/>
      <c r="LHV5" s="8"/>
      <c r="LHW5" s="8"/>
      <c r="LHX5" s="8"/>
      <c r="LHY5" s="8"/>
      <c r="LHZ5" s="8"/>
      <c r="LIA5" s="8"/>
      <c r="LIB5" s="8"/>
      <c r="LIC5" s="8"/>
      <c r="LID5" s="8"/>
      <c r="LIE5" s="8"/>
      <c r="LIF5" s="8"/>
      <c r="LIG5" s="8"/>
      <c r="LIH5" s="8"/>
      <c r="LII5" s="8"/>
      <c r="LIJ5" s="8"/>
      <c r="LIK5" s="8"/>
      <c r="LIL5" s="8"/>
      <c r="LIM5" s="8"/>
      <c r="LIN5" s="8"/>
      <c r="LIO5" s="8"/>
      <c r="LIP5" s="8"/>
      <c r="LIQ5" s="8"/>
      <c r="LIR5" s="8"/>
      <c r="LIS5" s="8"/>
      <c r="LIT5" s="8"/>
      <c r="LIU5" s="8"/>
      <c r="LIV5" s="8"/>
      <c r="LIW5" s="8"/>
      <c r="LIX5" s="8"/>
      <c r="LIY5" s="8"/>
      <c r="LIZ5" s="8"/>
      <c r="LJA5" s="8"/>
      <c r="LJB5" s="8"/>
      <c r="LJC5" s="8"/>
      <c r="LJD5" s="8"/>
      <c r="LJE5" s="8"/>
      <c r="LJF5" s="8"/>
      <c r="LJG5" s="8"/>
      <c r="LJH5" s="8"/>
      <c r="LJI5" s="8"/>
      <c r="LJJ5" s="8"/>
      <c r="LJK5" s="8"/>
      <c r="LJL5" s="8"/>
      <c r="LJM5" s="8"/>
      <c r="LJN5" s="8"/>
      <c r="LJO5" s="8"/>
      <c r="LJP5" s="8"/>
      <c r="LJQ5" s="8"/>
      <c r="LJR5" s="8"/>
      <c r="LJS5" s="8"/>
      <c r="LJT5" s="8"/>
      <c r="LJU5" s="8"/>
      <c r="LJV5" s="8"/>
      <c r="LJW5" s="8"/>
      <c r="LJX5" s="8"/>
      <c r="LJY5" s="8"/>
      <c r="LJZ5" s="8"/>
      <c r="LKA5" s="8"/>
      <c r="LKB5" s="8"/>
      <c r="LKC5" s="8"/>
      <c r="LKD5" s="8"/>
      <c r="LKE5" s="8"/>
      <c r="LKF5" s="8"/>
      <c r="LKG5" s="8"/>
      <c r="LKH5" s="8"/>
      <c r="LKI5" s="8"/>
      <c r="LKJ5" s="8"/>
      <c r="LKK5" s="8"/>
      <c r="LKL5" s="8"/>
      <c r="LKM5" s="8"/>
      <c r="LKN5" s="8"/>
      <c r="LKO5" s="8"/>
      <c r="LKP5" s="8"/>
      <c r="LKQ5" s="8"/>
      <c r="LKR5" s="8"/>
      <c r="LKS5" s="8"/>
      <c r="LKT5" s="8"/>
      <c r="LKU5" s="8"/>
      <c r="LKV5" s="8"/>
      <c r="LKW5" s="8"/>
      <c r="LKX5" s="8"/>
      <c r="LKY5" s="8"/>
      <c r="LKZ5" s="8"/>
      <c r="LLA5" s="8"/>
      <c r="LLB5" s="8"/>
      <c r="LLC5" s="8"/>
      <c r="LLD5" s="8"/>
      <c r="LLE5" s="8"/>
      <c r="LLF5" s="8"/>
      <c r="LLG5" s="8"/>
      <c r="LLH5" s="8"/>
      <c r="LLI5" s="8"/>
      <c r="LLJ5" s="8"/>
      <c r="LLK5" s="8"/>
      <c r="LLL5" s="8"/>
      <c r="LLM5" s="8"/>
      <c r="LLN5" s="8"/>
      <c r="LLO5" s="8"/>
      <c r="LLP5" s="8"/>
      <c r="LLQ5" s="8"/>
      <c r="LLR5" s="8"/>
      <c r="LLS5" s="8"/>
      <c r="LLT5" s="8"/>
      <c r="LLU5" s="8"/>
      <c r="LLV5" s="8"/>
      <c r="LLW5" s="8"/>
      <c r="LLX5" s="8"/>
      <c r="LLY5" s="8"/>
      <c r="LLZ5" s="8"/>
      <c r="LMA5" s="8"/>
      <c r="LMB5" s="8"/>
      <c r="LMC5" s="8"/>
      <c r="LMD5" s="8"/>
      <c r="LME5" s="8"/>
      <c r="LMF5" s="8"/>
      <c r="LMG5" s="8"/>
      <c r="LMH5" s="8"/>
      <c r="LMI5" s="8"/>
      <c r="LMJ5" s="8"/>
      <c r="LMK5" s="8"/>
      <c r="LML5" s="8"/>
      <c r="LMM5" s="8"/>
      <c r="LMN5" s="8"/>
      <c r="LMO5" s="8"/>
      <c r="LMP5" s="8"/>
      <c r="LMQ5" s="8"/>
      <c r="LMR5" s="8"/>
      <c r="LMS5" s="8"/>
      <c r="LMT5" s="8"/>
      <c r="LMU5" s="8"/>
      <c r="LMV5" s="8"/>
      <c r="LMW5" s="8"/>
      <c r="LMX5" s="8"/>
      <c r="LMY5" s="8"/>
      <c r="LMZ5" s="8"/>
      <c r="LNA5" s="8"/>
      <c r="LNB5" s="8"/>
      <c r="LNC5" s="8"/>
      <c r="LND5" s="8"/>
      <c r="LNE5" s="8"/>
      <c r="LNF5" s="8"/>
      <c r="LNG5" s="8"/>
      <c r="LNH5" s="8"/>
      <c r="LNI5" s="8"/>
      <c r="LNJ5" s="8"/>
      <c r="LNK5" s="8"/>
      <c r="LNL5" s="8"/>
      <c r="LNM5" s="8"/>
      <c r="LNN5" s="8"/>
      <c r="LNO5" s="8"/>
      <c r="LNP5" s="8"/>
      <c r="LNQ5" s="8"/>
      <c r="LNR5" s="8"/>
      <c r="LNS5" s="8"/>
      <c r="LNT5" s="8"/>
      <c r="LNU5" s="8"/>
      <c r="LNV5" s="8"/>
      <c r="LNW5" s="8"/>
      <c r="LNX5" s="8"/>
      <c r="LNY5" s="8"/>
      <c r="LNZ5" s="8"/>
      <c r="LOA5" s="8"/>
      <c r="LOB5" s="8"/>
      <c r="LOC5" s="8"/>
      <c r="LOD5" s="8"/>
      <c r="LOE5" s="8"/>
      <c r="LOF5" s="8"/>
      <c r="LOG5" s="8"/>
      <c r="LOH5" s="8"/>
      <c r="LOI5" s="8"/>
      <c r="LOJ5" s="8"/>
      <c r="LOK5" s="8"/>
      <c r="LOL5" s="8"/>
      <c r="LOM5" s="8"/>
      <c r="LON5" s="8"/>
      <c r="LOO5" s="8"/>
      <c r="LOP5" s="8"/>
      <c r="LOQ5" s="8"/>
      <c r="LOR5" s="8"/>
      <c r="LOS5" s="8"/>
      <c r="LOT5" s="8"/>
      <c r="LOU5" s="8"/>
      <c r="LOV5" s="8"/>
      <c r="LOW5" s="8"/>
      <c r="LOX5" s="8"/>
      <c r="LOY5" s="8"/>
      <c r="LOZ5" s="8"/>
      <c r="LPA5" s="8"/>
      <c r="LPB5" s="8"/>
      <c r="LPC5" s="8"/>
      <c r="LPD5" s="8"/>
      <c r="LPE5" s="8"/>
      <c r="LPF5" s="8"/>
      <c r="LPG5" s="8"/>
      <c r="LPH5" s="8"/>
      <c r="LPI5" s="8"/>
      <c r="LPJ5" s="8"/>
      <c r="LPK5" s="8"/>
      <c r="LPL5" s="8"/>
      <c r="LPM5" s="8"/>
      <c r="LPN5" s="8"/>
      <c r="LPO5" s="8"/>
      <c r="LPP5" s="8"/>
      <c r="LPQ5" s="8"/>
      <c r="LPR5" s="8"/>
      <c r="LPS5" s="8"/>
      <c r="LPT5" s="8"/>
      <c r="LPU5" s="8"/>
      <c r="LPV5" s="8"/>
      <c r="LPW5" s="8"/>
      <c r="LPX5" s="8"/>
      <c r="LPY5" s="8"/>
      <c r="LPZ5" s="8"/>
      <c r="LQA5" s="8"/>
      <c r="LQB5" s="8"/>
      <c r="LQC5" s="8"/>
      <c r="LQD5" s="8"/>
      <c r="LQE5" s="8"/>
      <c r="LQF5" s="8"/>
      <c r="LQG5" s="8"/>
      <c r="LQH5" s="8"/>
      <c r="LQI5" s="8"/>
      <c r="LQJ5" s="8"/>
      <c r="LQK5" s="8"/>
      <c r="LQL5" s="8"/>
      <c r="LQM5" s="8"/>
      <c r="LQN5" s="8"/>
      <c r="LQO5" s="8"/>
      <c r="LQP5" s="8"/>
      <c r="LQQ5" s="8"/>
      <c r="LQR5" s="8"/>
      <c r="LQS5" s="8"/>
      <c r="LQT5" s="8"/>
      <c r="LQU5" s="8"/>
      <c r="LQV5" s="8"/>
      <c r="LQW5" s="8"/>
      <c r="LQX5" s="8"/>
      <c r="LQY5" s="8"/>
      <c r="LQZ5" s="8"/>
      <c r="LRA5" s="8"/>
      <c r="LRB5" s="8"/>
      <c r="LRC5" s="8"/>
      <c r="LRD5" s="8"/>
      <c r="LRE5" s="8"/>
      <c r="LRF5" s="8"/>
      <c r="LRG5" s="8"/>
      <c r="LRH5" s="8"/>
      <c r="LRI5" s="8"/>
      <c r="LRJ5" s="8"/>
      <c r="LRK5" s="8"/>
      <c r="LRL5" s="8"/>
      <c r="LRM5" s="8"/>
      <c r="LRN5" s="8"/>
      <c r="LRO5" s="8"/>
      <c r="LRP5" s="8"/>
      <c r="LRQ5" s="8"/>
      <c r="LRR5" s="8"/>
      <c r="LRS5" s="8"/>
      <c r="LRT5" s="8"/>
      <c r="LRU5" s="8"/>
      <c r="LRV5" s="8"/>
      <c r="LRW5" s="8"/>
      <c r="LRX5" s="8"/>
      <c r="LRY5" s="8"/>
      <c r="LRZ5" s="8"/>
      <c r="LSA5" s="8"/>
      <c r="LSB5" s="8"/>
      <c r="LSC5" s="8"/>
      <c r="LSD5" s="8"/>
      <c r="LSE5" s="8"/>
      <c r="LSF5" s="8"/>
      <c r="LSG5" s="8"/>
      <c r="LSH5" s="8"/>
      <c r="LSI5" s="8"/>
      <c r="LSJ5" s="8"/>
      <c r="LSK5" s="8"/>
      <c r="LSL5" s="8"/>
      <c r="LSM5" s="8"/>
      <c r="LSN5" s="8"/>
      <c r="LSO5" s="8"/>
      <c r="LSP5" s="8"/>
      <c r="LSQ5" s="8"/>
      <c r="LSR5" s="8"/>
      <c r="LSS5" s="8"/>
      <c r="LST5" s="8"/>
      <c r="LSU5" s="8"/>
      <c r="LSV5" s="8"/>
      <c r="LSW5" s="8"/>
      <c r="LSX5" s="8"/>
      <c r="LSY5" s="8"/>
      <c r="LSZ5" s="8"/>
      <c r="LTA5" s="8"/>
      <c r="LTB5" s="8"/>
      <c r="LTC5" s="8"/>
      <c r="LTD5" s="8"/>
      <c r="LTE5" s="8"/>
      <c r="LTF5" s="8"/>
      <c r="LTG5" s="8"/>
      <c r="LTH5" s="8"/>
      <c r="LTI5" s="8"/>
      <c r="LTJ5" s="8"/>
      <c r="LTK5" s="8"/>
      <c r="LTL5" s="8"/>
      <c r="LTM5" s="8"/>
      <c r="LTN5" s="8"/>
      <c r="LTO5" s="8"/>
      <c r="LTP5" s="8"/>
      <c r="LTQ5" s="8"/>
      <c r="LTR5" s="8"/>
      <c r="LTS5" s="8"/>
      <c r="LTT5" s="8"/>
      <c r="LTU5" s="8"/>
      <c r="LTV5" s="8"/>
      <c r="LTW5" s="8"/>
      <c r="LTX5" s="8"/>
      <c r="LTY5" s="8"/>
      <c r="LTZ5" s="8"/>
      <c r="LUA5" s="8"/>
      <c r="LUB5" s="8"/>
      <c r="LUC5" s="8"/>
      <c r="LUD5" s="8"/>
      <c r="LUE5" s="8"/>
      <c r="LUF5" s="8"/>
      <c r="LUG5" s="8"/>
      <c r="LUH5" s="8"/>
      <c r="LUI5" s="8"/>
      <c r="LUJ5" s="8"/>
      <c r="LUK5" s="8"/>
      <c r="LUL5" s="8"/>
      <c r="LUM5" s="8"/>
      <c r="LUN5" s="8"/>
      <c r="LUO5" s="8"/>
      <c r="LUP5" s="8"/>
      <c r="LUQ5" s="8"/>
      <c r="LUR5" s="8"/>
      <c r="LUS5" s="8"/>
      <c r="LUT5" s="8"/>
      <c r="LUU5" s="8"/>
      <c r="LUV5" s="8"/>
      <c r="LUW5" s="8"/>
      <c r="LUX5" s="8"/>
      <c r="LUY5" s="8"/>
      <c r="LUZ5" s="8"/>
      <c r="LVA5" s="8"/>
      <c r="LVB5" s="8"/>
      <c r="LVC5" s="8"/>
      <c r="LVD5" s="8"/>
      <c r="LVE5" s="8"/>
      <c r="LVF5" s="8"/>
      <c r="LVG5" s="8"/>
      <c r="LVH5" s="8"/>
      <c r="LVI5" s="8"/>
      <c r="LVJ5" s="8"/>
      <c r="LVK5" s="8"/>
      <c r="LVL5" s="8"/>
      <c r="LVM5" s="8"/>
      <c r="LVN5" s="8"/>
      <c r="LVO5" s="8"/>
      <c r="LVP5" s="8"/>
      <c r="LVQ5" s="8"/>
      <c r="LVR5" s="8"/>
      <c r="LVS5" s="8"/>
      <c r="LVT5" s="8"/>
      <c r="LVU5" s="8"/>
      <c r="LVV5" s="8"/>
      <c r="LVW5" s="8"/>
      <c r="LVX5" s="8"/>
      <c r="LVY5" s="8"/>
      <c r="LVZ5" s="8"/>
      <c r="LWA5" s="8"/>
      <c r="LWB5" s="8"/>
      <c r="LWC5" s="8"/>
      <c r="LWD5" s="8"/>
      <c r="LWE5" s="8"/>
      <c r="LWF5" s="8"/>
      <c r="LWG5" s="8"/>
      <c r="LWH5" s="8"/>
      <c r="LWI5" s="8"/>
      <c r="LWJ5" s="8"/>
      <c r="LWK5" s="8"/>
      <c r="LWL5" s="8"/>
      <c r="LWM5" s="8"/>
      <c r="LWN5" s="8"/>
      <c r="LWO5" s="8"/>
      <c r="LWP5" s="8"/>
      <c r="LWQ5" s="8"/>
      <c r="LWR5" s="8"/>
      <c r="LWS5" s="8"/>
      <c r="LWT5" s="8"/>
      <c r="LWU5" s="8"/>
      <c r="LWV5" s="8"/>
      <c r="LWW5" s="8"/>
      <c r="LWX5" s="8"/>
      <c r="LWY5" s="8"/>
      <c r="LWZ5" s="8"/>
      <c r="LXA5" s="8"/>
      <c r="LXB5" s="8"/>
      <c r="LXC5" s="8"/>
      <c r="LXD5" s="8"/>
      <c r="LXE5" s="8"/>
      <c r="LXF5" s="8"/>
      <c r="LXG5" s="8"/>
      <c r="LXH5" s="8"/>
      <c r="LXI5" s="8"/>
      <c r="LXJ5" s="8"/>
      <c r="LXK5" s="8"/>
      <c r="LXL5" s="8"/>
      <c r="LXM5" s="8"/>
      <c r="LXN5" s="8"/>
      <c r="LXO5" s="8"/>
      <c r="LXP5" s="8"/>
      <c r="LXQ5" s="8"/>
      <c r="LXR5" s="8"/>
      <c r="LXS5" s="8"/>
      <c r="LXT5" s="8"/>
      <c r="LXU5" s="8"/>
      <c r="LXV5" s="8"/>
      <c r="LXW5" s="8"/>
      <c r="LXX5" s="8"/>
      <c r="LXY5" s="8"/>
      <c r="LXZ5" s="8"/>
      <c r="LYA5" s="8"/>
      <c r="LYB5" s="8"/>
      <c r="LYC5" s="8"/>
      <c r="LYD5" s="8"/>
      <c r="LYE5" s="8"/>
      <c r="LYF5" s="8"/>
      <c r="LYG5" s="8"/>
      <c r="LYH5" s="8"/>
      <c r="LYI5" s="8"/>
      <c r="LYJ5" s="8"/>
      <c r="LYK5" s="8"/>
      <c r="LYL5" s="8"/>
      <c r="LYM5" s="8"/>
      <c r="LYN5" s="8"/>
      <c r="LYO5" s="8"/>
      <c r="LYP5" s="8"/>
      <c r="LYQ5" s="8"/>
      <c r="LYR5" s="8"/>
      <c r="LYS5" s="8"/>
      <c r="LYT5" s="8"/>
      <c r="LYU5" s="8"/>
      <c r="LYV5" s="8"/>
      <c r="LYW5" s="8"/>
      <c r="LYX5" s="8"/>
      <c r="LYY5" s="8"/>
      <c r="LYZ5" s="8"/>
      <c r="LZA5" s="8"/>
      <c r="LZB5" s="8"/>
      <c r="LZC5" s="8"/>
      <c r="LZD5" s="8"/>
      <c r="LZE5" s="8"/>
      <c r="LZF5" s="8"/>
      <c r="LZG5" s="8"/>
      <c r="LZH5" s="8"/>
      <c r="LZI5" s="8"/>
      <c r="LZJ5" s="8"/>
      <c r="LZK5" s="8"/>
      <c r="LZL5" s="8"/>
      <c r="LZM5" s="8"/>
      <c r="LZN5" s="8"/>
      <c r="LZO5" s="8"/>
      <c r="LZP5" s="8"/>
      <c r="LZQ5" s="8"/>
      <c r="LZR5" s="8"/>
      <c r="LZS5" s="8"/>
      <c r="LZT5" s="8"/>
      <c r="LZU5" s="8"/>
      <c r="LZV5" s="8"/>
      <c r="LZW5" s="8"/>
      <c r="LZX5" s="8"/>
      <c r="LZY5" s="8"/>
      <c r="LZZ5" s="8"/>
      <c r="MAA5" s="8"/>
      <c r="MAB5" s="8"/>
      <c r="MAC5" s="8"/>
      <c r="MAD5" s="8"/>
      <c r="MAE5" s="8"/>
      <c r="MAF5" s="8"/>
      <c r="MAG5" s="8"/>
      <c r="MAH5" s="8"/>
      <c r="MAI5" s="8"/>
      <c r="MAJ5" s="8"/>
      <c r="MAK5" s="8"/>
      <c r="MAL5" s="8"/>
      <c r="MAM5" s="8"/>
      <c r="MAN5" s="8"/>
      <c r="MAO5" s="8"/>
      <c r="MAP5" s="8"/>
      <c r="MAQ5" s="8"/>
      <c r="MAR5" s="8"/>
      <c r="MAS5" s="8"/>
      <c r="MAT5" s="8"/>
      <c r="MAU5" s="8"/>
      <c r="MAV5" s="8"/>
      <c r="MAW5" s="8"/>
      <c r="MAX5" s="8"/>
      <c r="MAY5" s="8"/>
      <c r="MAZ5" s="8"/>
      <c r="MBA5" s="8"/>
      <c r="MBB5" s="8"/>
      <c r="MBC5" s="8"/>
      <c r="MBD5" s="8"/>
      <c r="MBE5" s="8"/>
      <c r="MBF5" s="8"/>
      <c r="MBG5" s="8"/>
      <c r="MBH5" s="8"/>
      <c r="MBI5" s="8"/>
      <c r="MBJ5" s="8"/>
      <c r="MBK5" s="8"/>
      <c r="MBL5" s="8"/>
      <c r="MBM5" s="8"/>
      <c r="MBN5" s="8"/>
      <c r="MBO5" s="8"/>
      <c r="MBP5" s="8"/>
      <c r="MBQ5" s="8"/>
      <c r="MBR5" s="8"/>
      <c r="MBS5" s="8"/>
      <c r="MBT5" s="8"/>
      <c r="MBU5" s="8"/>
      <c r="MBV5" s="8"/>
      <c r="MBW5" s="8"/>
      <c r="MBX5" s="8"/>
      <c r="MBY5" s="8"/>
      <c r="MBZ5" s="8"/>
      <c r="MCA5" s="8"/>
      <c r="MCB5" s="8"/>
      <c r="MCC5" s="8"/>
      <c r="MCD5" s="8"/>
      <c r="MCE5" s="8"/>
      <c r="MCF5" s="8"/>
      <c r="MCG5" s="8"/>
      <c r="MCH5" s="8"/>
      <c r="MCI5" s="8"/>
      <c r="MCJ5" s="8"/>
      <c r="MCK5" s="8"/>
      <c r="MCL5" s="8"/>
      <c r="MCM5" s="8"/>
      <c r="MCN5" s="8"/>
      <c r="MCO5" s="8"/>
      <c r="MCP5" s="8"/>
      <c r="MCQ5" s="8"/>
      <c r="MCR5" s="8"/>
      <c r="MCS5" s="8"/>
      <c r="MCT5" s="8"/>
      <c r="MCU5" s="8"/>
      <c r="MCV5" s="8"/>
      <c r="MCW5" s="8"/>
      <c r="MCX5" s="8"/>
      <c r="MCY5" s="8"/>
      <c r="MCZ5" s="8"/>
      <c r="MDA5" s="8"/>
      <c r="MDB5" s="8"/>
      <c r="MDC5" s="8"/>
      <c r="MDD5" s="8"/>
      <c r="MDE5" s="8"/>
      <c r="MDF5" s="8"/>
      <c r="MDG5" s="8"/>
      <c r="MDH5" s="8"/>
      <c r="MDI5" s="8"/>
      <c r="MDJ5" s="8"/>
      <c r="MDK5" s="8"/>
      <c r="MDL5" s="8"/>
      <c r="MDM5" s="8"/>
      <c r="MDN5" s="8"/>
      <c r="MDO5" s="8"/>
      <c r="MDP5" s="8"/>
      <c r="MDQ5" s="8"/>
      <c r="MDR5" s="8"/>
      <c r="MDS5" s="8"/>
      <c r="MDT5" s="8"/>
      <c r="MDU5" s="8"/>
      <c r="MDV5" s="8"/>
      <c r="MDW5" s="8"/>
      <c r="MDX5" s="8"/>
      <c r="MDY5" s="8"/>
      <c r="MDZ5" s="8"/>
      <c r="MEA5" s="8"/>
      <c r="MEB5" s="8"/>
      <c r="MEC5" s="8"/>
      <c r="MED5" s="8"/>
      <c r="MEE5" s="8"/>
      <c r="MEF5" s="8"/>
      <c r="MEG5" s="8"/>
      <c r="MEH5" s="8"/>
      <c r="MEI5" s="8"/>
      <c r="MEJ5" s="8"/>
      <c r="MEK5" s="8"/>
      <c r="MEL5" s="8"/>
      <c r="MEM5" s="8"/>
      <c r="MEN5" s="8"/>
      <c r="MEO5" s="8"/>
      <c r="MEP5" s="8"/>
      <c r="MEQ5" s="8"/>
      <c r="MER5" s="8"/>
      <c r="MES5" s="8"/>
      <c r="MET5" s="8"/>
      <c r="MEU5" s="8"/>
      <c r="MEV5" s="8"/>
      <c r="MEW5" s="8"/>
      <c r="MEX5" s="8"/>
      <c r="MEY5" s="8"/>
      <c r="MEZ5" s="8"/>
      <c r="MFA5" s="8"/>
      <c r="MFB5" s="8"/>
      <c r="MFC5" s="8"/>
      <c r="MFD5" s="8"/>
      <c r="MFE5" s="8"/>
      <c r="MFF5" s="8"/>
      <c r="MFG5" s="8"/>
      <c r="MFH5" s="8"/>
      <c r="MFI5" s="8"/>
      <c r="MFJ5" s="8"/>
      <c r="MFK5" s="8"/>
      <c r="MFL5" s="8"/>
      <c r="MFM5" s="8"/>
      <c r="MFN5" s="8"/>
      <c r="MFO5" s="8"/>
      <c r="MFP5" s="8"/>
      <c r="MFQ5" s="8"/>
      <c r="MFR5" s="8"/>
      <c r="MFS5" s="8"/>
      <c r="MFT5" s="8"/>
      <c r="MFU5" s="8"/>
      <c r="MFV5" s="8"/>
      <c r="MFW5" s="8"/>
      <c r="MFX5" s="8"/>
      <c r="MFY5" s="8"/>
      <c r="MFZ5" s="8"/>
      <c r="MGA5" s="8"/>
      <c r="MGB5" s="8"/>
      <c r="MGC5" s="8"/>
      <c r="MGD5" s="8"/>
      <c r="MGE5" s="8"/>
      <c r="MGF5" s="8"/>
      <c r="MGG5" s="8"/>
      <c r="MGH5" s="8"/>
      <c r="MGI5" s="8"/>
      <c r="MGJ5" s="8"/>
      <c r="MGK5" s="8"/>
      <c r="MGL5" s="8"/>
      <c r="MGM5" s="8"/>
      <c r="MGN5" s="8"/>
      <c r="MGO5" s="8"/>
      <c r="MGP5" s="8"/>
      <c r="MGQ5" s="8"/>
      <c r="MGR5" s="8"/>
      <c r="MGS5" s="8"/>
      <c r="MGT5" s="8"/>
      <c r="MGU5" s="8"/>
      <c r="MGV5" s="8"/>
      <c r="MGW5" s="8"/>
      <c r="MGX5" s="8"/>
      <c r="MGY5" s="8"/>
      <c r="MGZ5" s="8"/>
      <c r="MHA5" s="8"/>
      <c r="MHB5" s="8"/>
      <c r="MHC5" s="8"/>
      <c r="MHD5" s="8"/>
      <c r="MHE5" s="8"/>
      <c r="MHF5" s="8"/>
      <c r="MHG5" s="8"/>
      <c r="MHH5" s="8"/>
      <c r="MHI5" s="8"/>
      <c r="MHJ5" s="8"/>
      <c r="MHK5" s="8"/>
      <c r="MHL5" s="8"/>
      <c r="MHM5" s="8"/>
      <c r="MHN5" s="8"/>
      <c r="MHO5" s="8"/>
      <c r="MHP5" s="8"/>
      <c r="MHQ5" s="8"/>
      <c r="MHR5" s="8"/>
      <c r="MHS5" s="8"/>
      <c r="MHT5" s="8"/>
      <c r="MHU5" s="8"/>
      <c r="MHV5" s="8"/>
      <c r="MHW5" s="8"/>
      <c r="MHX5" s="8"/>
      <c r="MHY5" s="8"/>
      <c r="MHZ5" s="8"/>
      <c r="MIA5" s="8"/>
      <c r="MIB5" s="8"/>
      <c r="MIC5" s="8"/>
      <c r="MID5" s="8"/>
      <c r="MIE5" s="8"/>
      <c r="MIF5" s="8"/>
      <c r="MIG5" s="8"/>
      <c r="MIH5" s="8"/>
      <c r="MII5" s="8"/>
      <c r="MIJ5" s="8"/>
      <c r="MIK5" s="8"/>
      <c r="MIL5" s="8"/>
      <c r="MIM5" s="8"/>
      <c r="MIN5" s="8"/>
      <c r="MIO5" s="8"/>
      <c r="MIP5" s="8"/>
      <c r="MIQ5" s="8"/>
      <c r="MIR5" s="8"/>
      <c r="MIS5" s="8"/>
      <c r="MIT5" s="8"/>
      <c r="MIU5" s="8"/>
      <c r="MIV5" s="8"/>
      <c r="MIW5" s="8"/>
      <c r="MIX5" s="8"/>
      <c r="MIY5" s="8"/>
      <c r="MIZ5" s="8"/>
      <c r="MJA5" s="8"/>
      <c r="MJB5" s="8"/>
      <c r="MJC5" s="8"/>
      <c r="MJD5" s="8"/>
      <c r="MJE5" s="8"/>
      <c r="MJF5" s="8"/>
      <c r="MJG5" s="8"/>
      <c r="MJH5" s="8"/>
      <c r="MJI5" s="8"/>
      <c r="MJJ5" s="8"/>
      <c r="MJK5" s="8"/>
      <c r="MJL5" s="8"/>
      <c r="MJM5" s="8"/>
      <c r="MJN5" s="8"/>
      <c r="MJO5" s="8"/>
      <c r="MJP5" s="8"/>
      <c r="MJQ5" s="8"/>
      <c r="MJR5" s="8"/>
      <c r="MJS5" s="8"/>
      <c r="MJT5" s="8"/>
      <c r="MJU5" s="8"/>
      <c r="MJV5" s="8"/>
      <c r="MJW5" s="8"/>
      <c r="MJX5" s="8"/>
      <c r="MJY5" s="8"/>
      <c r="MJZ5" s="8"/>
      <c r="MKA5" s="8"/>
      <c r="MKB5" s="8"/>
      <c r="MKC5" s="8"/>
      <c r="MKD5" s="8"/>
      <c r="MKE5" s="8"/>
      <c r="MKF5" s="8"/>
      <c r="MKG5" s="8"/>
      <c r="MKH5" s="8"/>
      <c r="MKI5" s="8"/>
      <c r="MKJ5" s="8"/>
      <c r="MKK5" s="8"/>
      <c r="MKL5" s="8"/>
      <c r="MKM5" s="8"/>
      <c r="MKN5" s="8"/>
      <c r="MKO5" s="8"/>
      <c r="MKP5" s="8"/>
      <c r="MKQ5" s="8"/>
      <c r="MKR5" s="8"/>
      <c r="MKS5" s="8"/>
      <c r="MKT5" s="8"/>
      <c r="MKU5" s="8"/>
      <c r="MKV5" s="8"/>
      <c r="MKW5" s="8"/>
      <c r="MKX5" s="8"/>
      <c r="MKY5" s="8"/>
      <c r="MKZ5" s="8"/>
      <c r="MLA5" s="8"/>
      <c r="MLB5" s="8"/>
      <c r="MLC5" s="8"/>
      <c r="MLD5" s="8"/>
      <c r="MLE5" s="8"/>
      <c r="MLF5" s="8"/>
      <c r="MLG5" s="8"/>
      <c r="MLH5" s="8"/>
      <c r="MLI5" s="8"/>
      <c r="MLJ5" s="8"/>
      <c r="MLK5" s="8"/>
      <c r="MLL5" s="8"/>
      <c r="MLM5" s="8"/>
      <c r="MLN5" s="8"/>
      <c r="MLO5" s="8"/>
      <c r="MLP5" s="8"/>
      <c r="MLQ5" s="8"/>
      <c r="MLR5" s="8"/>
      <c r="MLS5" s="8"/>
      <c r="MLT5" s="8"/>
      <c r="MLU5" s="8"/>
      <c r="MLV5" s="8"/>
      <c r="MLW5" s="8"/>
      <c r="MLX5" s="8"/>
      <c r="MLY5" s="8"/>
      <c r="MLZ5" s="8"/>
      <c r="MMA5" s="8"/>
      <c r="MMB5" s="8"/>
      <c r="MMC5" s="8"/>
      <c r="MMD5" s="8"/>
      <c r="MME5" s="8"/>
      <c r="MMF5" s="8"/>
      <c r="MMG5" s="8"/>
      <c r="MMH5" s="8"/>
      <c r="MMI5" s="8"/>
      <c r="MMJ5" s="8"/>
      <c r="MMK5" s="8"/>
      <c r="MML5" s="8"/>
      <c r="MMM5" s="8"/>
      <c r="MMN5" s="8"/>
      <c r="MMO5" s="8"/>
      <c r="MMP5" s="8"/>
      <c r="MMQ5" s="8"/>
      <c r="MMR5" s="8"/>
      <c r="MMS5" s="8"/>
      <c r="MMT5" s="8"/>
      <c r="MMU5" s="8"/>
      <c r="MMV5" s="8"/>
      <c r="MMW5" s="8"/>
      <c r="MMX5" s="8"/>
      <c r="MMY5" s="8"/>
      <c r="MMZ5" s="8"/>
      <c r="MNA5" s="8"/>
      <c r="MNB5" s="8"/>
      <c r="MNC5" s="8"/>
      <c r="MND5" s="8"/>
      <c r="MNE5" s="8"/>
      <c r="MNF5" s="8"/>
      <c r="MNG5" s="8"/>
      <c r="MNH5" s="8"/>
      <c r="MNI5" s="8"/>
      <c r="MNJ5" s="8"/>
      <c r="MNK5" s="8"/>
      <c r="MNL5" s="8"/>
      <c r="MNM5" s="8"/>
      <c r="MNN5" s="8"/>
      <c r="MNO5" s="8"/>
      <c r="MNP5" s="8"/>
      <c r="MNQ5" s="8"/>
      <c r="MNR5" s="8"/>
      <c r="MNS5" s="8"/>
      <c r="MNT5" s="8"/>
      <c r="MNU5" s="8"/>
      <c r="MNV5" s="8"/>
      <c r="MNW5" s="8"/>
      <c r="MNX5" s="8"/>
      <c r="MNY5" s="8"/>
      <c r="MNZ5" s="8"/>
      <c r="MOA5" s="8"/>
      <c r="MOB5" s="8"/>
      <c r="MOC5" s="8"/>
      <c r="MOD5" s="8"/>
      <c r="MOE5" s="8"/>
      <c r="MOF5" s="8"/>
      <c r="MOG5" s="8"/>
      <c r="MOH5" s="8"/>
      <c r="MOI5" s="8"/>
      <c r="MOJ5" s="8"/>
      <c r="MOK5" s="8"/>
      <c r="MOL5" s="8"/>
      <c r="MOM5" s="8"/>
      <c r="MON5" s="8"/>
      <c r="MOO5" s="8"/>
      <c r="MOP5" s="8"/>
      <c r="MOQ5" s="8"/>
      <c r="MOR5" s="8"/>
      <c r="MOS5" s="8"/>
      <c r="MOT5" s="8"/>
      <c r="MOU5" s="8"/>
      <c r="MOV5" s="8"/>
      <c r="MOW5" s="8"/>
      <c r="MOX5" s="8"/>
      <c r="MOY5" s="8"/>
      <c r="MOZ5" s="8"/>
      <c r="MPA5" s="8"/>
      <c r="MPB5" s="8"/>
      <c r="MPC5" s="8"/>
      <c r="MPD5" s="8"/>
      <c r="MPE5" s="8"/>
      <c r="MPF5" s="8"/>
      <c r="MPG5" s="8"/>
      <c r="MPH5" s="8"/>
      <c r="MPI5" s="8"/>
      <c r="MPJ5" s="8"/>
      <c r="MPK5" s="8"/>
      <c r="MPL5" s="8"/>
      <c r="MPM5" s="8"/>
      <c r="MPN5" s="8"/>
      <c r="MPO5" s="8"/>
      <c r="MPP5" s="8"/>
      <c r="MPQ5" s="8"/>
      <c r="MPR5" s="8"/>
      <c r="MPS5" s="8"/>
      <c r="MPT5" s="8"/>
      <c r="MPU5" s="8"/>
      <c r="MPV5" s="8"/>
      <c r="MPW5" s="8"/>
      <c r="MPX5" s="8"/>
      <c r="MPY5" s="8"/>
      <c r="MPZ5" s="8"/>
      <c r="MQA5" s="8"/>
      <c r="MQB5" s="8"/>
      <c r="MQC5" s="8"/>
      <c r="MQD5" s="8"/>
      <c r="MQE5" s="8"/>
      <c r="MQF5" s="8"/>
      <c r="MQG5" s="8"/>
      <c r="MQH5" s="8"/>
      <c r="MQI5" s="8"/>
      <c r="MQJ5" s="8"/>
      <c r="MQK5" s="8"/>
      <c r="MQL5" s="8"/>
      <c r="MQM5" s="8"/>
      <c r="MQN5" s="8"/>
      <c r="MQO5" s="8"/>
      <c r="MQP5" s="8"/>
      <c r="MQQ5" s="8"/>
      <c r="MQR5" s="8"/>
      <c r="MQS5" s="8"/>
      <c r="MQT5" s="8"/>
      <c r="MQU5" s="8"/>
      <c r="MQV5" s="8"/>
      <c r="MQW5" s="8"/>
      <c r="MQX5" s="8"/>
      <c r="MQY5" s="8"/>
      <c r="MQZ5" s="8"/>
      <c r="MRA5" s="8"/>
      <c r="MRB5" s="8"/>
      <c r="MRC5" s="8"/>
      <c r="MRD5" s="8"/>
      <c r="MRE5" s="8"/>
      <c r="MRF5" s="8"/>
      <c r="MRG5" s="8"/>
      <c r="MRH5" s="8"/>
      <c r="MRI5" s="8"/>
      <c r="MRJ5" s="8"/>
      <c r="MRK5" s="8"/>
      <c r="MRL5" s="8"/>
      <c r="MRM5" s="8"/>
      <c r="MRN5" s="8"/>
      <c r="MRO5" s="8"/>
      <c r="MRP5" s="8"/>
      <c r="MRQ5" s="8"/>
      <c r="MRR5" s="8"/>
      <c r="MRS5" s="8"/>
      <c r="MRT5" s="8"/>
      <c r="MRU5" s="8"/>
      <c r="MRV5" s="8"/>
      <c r="MRW5" s="8"/>
      <c r="MRX5" s="8"/>
      <c r="MRY5" s="8"/>
      <c r="MRZ5" s="8"/>
      <c r="MSA5" s="8"/>
      <c r="MSB5" s="8"/>
      <c r="MSC5" s="8"/>
      <c r="MSD5" s="8"/>
      <c r="MSE5" s="8"/>
      <c r="MSF5" s="8"/>
      <c r="MSG5" s="8"/>
      <c r="MSH5" s="8"/>
      <c r="MSI5" s="8"/>
      <c r="MSJ5" s="8"/>
      <c r="MSK5" s="8"/>
      <c r="MSL5" s="8"/>
      <c r="MSM5" s="8"/>
      <c r="MSN5" s="8"/>
      <c r="MSO5" s="8"/>
      <c r="MSP5" s="8"/>
      <c r="MSQ5" s="8"/>
      <c r="MSR5" s="8"/>
      <c r="MSS5" s="8"/>
      <c r="MST5" s="8"/>
      <c r="MSU5" s="8"/>
      <c r="MSV5" s="8"/>
      <c r="MSW5" s="8"/>
      <c r="MSX5" s="8"/>
      <c r="MSY5" s="8"/>
      <c r="MSZ5" s="8"/>
      <c r="MTA5" s="8"/>
      <c r="MTB5" s="8"/>
      <c r="MTC5" s="8"/>
      <c r="MTD5" s="8"/>
      <c r="MTE5" s="8"/>
      <c r="MTF5" s="8"/>
      <c r="MTG5" s="8"/>
      <c r="MTH5" s="8"/>
      <c r="MTI5" s="8"/>
      <c r="MTJ5" s="8"/>
      <c r="MTK5" s="8"/>
      <c r="MTL5" s="8"/>
      <c r="MTM5" s="8"/>
      <c r="MTN5" s="8"/>
      <c r="MTO5" s="8"/>
      <c r="MTP5" s="8"/>
      <c r="MTQ5" s="8"/>
      <c r="MTR5" s="8"/>
      <c r="MTS5" s="8"/>
      <c r="MTT5" s="8"/>
      <c r="MTU5" s="8"/>
      <c r="MTV5" s="8"/>
      <c r="MTW5" s="8"/>
      <c r="MTX5" s="8"/>
      <c r="MTY5" s="8"/>
      <c r="MTZ5" s="8"/>
      <c r="MUA5" s="8"/>
      <c r="MUB5" s="8"/>
      <c r="MUC5" s="8"/>
      <c r="MUD5" s="8"/>
      <c r="MUE5" s="8"/>
      <c r="MUF5" s="8"/>
      <c r="MUG5" s="8"/>
      <c r="MUH5" s="8"/>
      <c r="MUI5" s="8"/>
      <c r="MUJ5" s="8"/>
      <c r="MUK5" s="8"/>
      <c r="MUL5" s="8"/>
      <c r="MUM5" s="8"/>
      <c r="MUN5" s="8"/>
      <c r="MUO5" s="8"/>
      <c r="MUP5" s="8"/>
      <c r="MUQ5" s="8"/>
      <c r="MUR5" s="8"/>
      <c r="MUS5" s="8"/>
      <c r="MUT5" s="8"/>
      <c r="MUU5" s="8"/>
      <c r="MUV5" s="8"/>
      <c r="MUW5" s="8"/>
      <c r="MUX5" s="8"/>
      <c r="MUY5" s="8"/>
      <c r="MUZ5" s="8"/>
      <c r="MVA5" s="8"/>
      <c r="MVB5" s="8"/>
      <c r="MVC5" s="8"/>
      <c r="MVD5" s="8"/>
      <c r="MVE5" s="8"/>
      <c r="MVF5" s="8"/>
      <c r="MVG5" s="8"/>
      <c r="MVH5" s="8"/>
      <c r="MVI5" s="8"/>
      <c r="MVJ5" s="8"/>
      <c r="MVK5" s="8"/>
      <c r="MVL5" s="8"/>
      <c r="MVM5" s="8"/>
      <c r="MVN5" s="8"/>
      <c r="MVO5" s="8"/>
      <c r="MVP5" s="8"/>
      <c r="MVQ5" s="8"/>
      <c r="MVR5" s="8"/>
      <c r="MVS5" s="8"/>
      <c r="MVT5" s="8"/>
      <c r="MVU5" s="8"/>
      <c r="MVV5" s="8"/>
      <c r="MVW5" s="8"/>
      <c r="MVX5" s="8"/>
      <c r="MVY5" s="8"/>
      <c r="MVZ5" s="8"/>
      <c r="MWA5" s="8"/>
      <c r="MWB5" s="8"/>
      <c r="MWC5" s="8"/>
      <c r="MWD5" s="8"/>
      <c r="MWE5" s="8"/>
      <c r="MWF5" s="8"/>
      <c r="MWG5" s="8"/>
      <c r="MWH5" s="8"/>
      <c r="MWI5" s="8"/>
      <c r="MWJ5" s="8"/>
      <c r="MWK5" s="8"/>
      <c r="MWL5" s="8"/>
      <c r="MWM5" s="8"/>
      <c r="MWN5" s="8"/>
      <c r="MWO5" s="8"/>
      <c r="MWP5" s="8"/>
      <c r="MWQ5" s="8"/>
      <c r="MWR5" s="8"/>
      <c r="MWS5" s="8"/>
      <c r="MWT5" s="8"/>
      <c r="MWU5" s="8"/>
      <c r="MWV5" s="8"/>
      <c r="MWW5" s="8"/>
      <c r="MWX5" s="8"/>
      <c r="MWY5" s="8"/>
      <c r="MWZ5" s="8"/>
      <c r="MXA5" s="8"/>
      <c r="MXB5" s="8"/>
      <c r="MXC5" s="8"/>
      <c r="MXD5" s="8"/>
      <c r="MXE5" s="8"/>
      <c r="MXF5" s="8"/>
      <c r="MXG5" s="8"/>
      <c r="MXH5" s="8"/>
      <c r="MXI5" s="8"/>
      <c r="MXJ5" s="8"/>
      <c r="MXK5" s="8"/>
      <c r="MXL5" s="8"/>
      <c r="MXM5" s="8"/>
      <c r="MXN5" s="8"/>
      <c r="MXO5" s="8"/>
      <c r="MXP5" s="8"/>
      <c r="MXQ5" s="8"/>
      <c r="MXR5" s="8"/>
      <c r="MXS5" s="8"/>
      <c r="MXT5" s="8"/>
      <c r="MXU5" s="8"/>
      <c r="MXV5" s="8"/>
      <c r="MXW5" s="8"/>
      <c r="MXX5" s="8"/>
      <c r="MXY5" s="8"/>
      <c r="MXZ5" s="8"/>
      <c r="MYA5" s="8"/>
      <c r="MYB5" s="8"/>
      <c r="MYC5" s="8"/>
      <c r="MYD5" s="8"/>
      <c r="MYE5" s="8"/>
      <c r="MYF5" s="8"/>
      <c r="MYG5" s="8"/>
      <c r="MYH5" s="8"/>
      <c r="MYI5" s="8"/>
      <c r="MYJ5" s="8"/>
      <c r="MYK5" s="8"/>
      <c r="MYL5" s="8"/>
      <c r="MYM5" s="8"/>
      <c r="MYN5" s="8"/>
      <c r="MYO5" s="8"/>
      <c r="MYP5" s="8"/>
      <c r="MYQ5" s="8"/>
      <c r="MYR5" s="8"/>
      <c r="MYS5" s="8"/>
      <c r="MYT5" s="8"/>
      <c r="MYU5" s="8"/>
      <c r="MYV5" s="8"/>
      <c r="MYW5" s="8"/>
      <c r="MYX5" s="8"/>
      <c r="MYY5" s="8"/>
      <c r="MYZ5" s="8"/>
      <c r="MZA5" s="8"/>
      <c r="MZB5" s="8"/>
      <c r="MZC5" s="8"/>
      <c r="MZD5" s="8"/>
      <c r="MZE5" s="8"/>
      <c r="MZF5" s="8"/>
      <c r="MZG5" s="8"/>
      <c r="MZH5" s="8"/>
      <c r="MZI5" s="8"/>
      <c r="MZJ5" s="8"/>
      <c r="MZK5" s="8"/>
      <c r="MZL5" s="8"/>
      <c r="MZM5" s="8"/>
      <c r="MZN5" s="8"/>
      <c r="MZO5" s="8"/>
      <c r="MZP5" s="8"/>
      <c r="MZQ5" s="8"/>
      <c r="MZR5" s="8"/>
      <c r="MZS5" s="8"/>
      <c r="MZT5" s="8"/>
      <c r="MZU5" s="8"/>
      <c r="MZV5" s="8"/>
      <c r="MZW5" s="8"/>
      <c r="MZX5" s="8"/>
      <c r="MZY5" s="8"/>
      <c r="MZZ5" s="8"/>
      <c r="NAA5" s="8"/>
      <c r="NAB5" s="8"/>
      <c r="NAC5" s="8"/>
      <c r="NAD5" s="8"/>
      <c r="NAE5" s="8"/>
      <c r="NAF5" s="8"/>
      <c r="NAG5" s="8"/>
      <c r="NAH5" s="8"/>
      <c r="NAI5" s="8"/>
      <c r="NAJ5" s="8"/>
      <c r="NAK5" s="8"/>
      <c r="NAL5" s="8"/>
      <c r="NAM5" s="8"/>
      <c r="NAN5" s="8"/>
      <c r="NAO5" s="8"/>
      <c r="NAP5" s="8"/>
      <c r="NAQ5" s="8"/>
      <c r="NAR5" s="8"/>
      <c r="NAS5" s="8"/>
      <c r="NAT5" s="8"/>
      <c r="NAU5" s="8"/>
      <c r="NAV5" s="8"/>
      <c r="NAW5" s="8"/>
      <c r="NAX5" s="8"/>
      <c r="NAY5" s="8"/>
      <c r="NAZ5" s="8"/>
      <c r="NBA5" s="8"/>
      <c r="NBB5" s="8"/>
      <c r="NBC5" s="8"/>
      <c r="NBD5" s="8"/>
      <c r="NBE5" s="8"/>
      <c r="NBF5" s="8"/>
      <c r="NBG5" s="8"/>
      <c r="NBH5" s="8"/>
      <c r="NBI5" s="8"/>
      <c r="NBJ5" s="8"/>
      <c r="NBK5" s="8"/>
      <c r="NBL5" s="8"/>
      <c r="NBM5" s="8"/>
      <c r="NBN5" s="8"/>
      <c r="NBO5" s="8"/>
      <c r="NBP5" s="8"/>
      <c r="NBQ5" s="8"/>
      <c r="NBR5" s="8"/>
      <c r="NBS5" s="8"/>
      <c r="NBT5" s="8"/>
      <c r="NBU5" s="8"/>
      <c r="NBV5" s="8"/>
      <c r="NBW5" s="8"/>
      <c r="NBX5" s="8"/>
      <c r="NBY5" s="8"/>
      <c r="NBZ5" s="8"/>
      <c r="NCA5" s="8"/>
      <c r="NCB5" s="8"/>
      <c r="NCC5" s="8"/>
      <c r="NCD5" s="8"/>
      <c r="NCE5" s="8"/>
      <c r="NCF5" s="8"/>
      <c r="NCG5" s="8"/>
      <c r="NCH5" s="8"/>
      <c r="NCI5" s="8"/>
      <c r="NCJ5" s="8"/>
      <c r="NCK5" s="8"/>
      <c r="NCL5" s="8"/>
      <c r="NCM5" s="8"/>
      <c r="NCN5" s="8"/>
      <c r="NCO5" s="8"/>
      <c r="NCP5" s="8"/>
      <c r="NCQ5" s="8"/>
      <c r="NCR5" s="8"/>
      <c r="NCS5" s="8"/>
      <c r="NCT5" s="8"/>
      <c r="NCU5" s="8"/>
      <c r="NCV5" s="8"/>
      <c r="NCW5" s="8"/>
      <c r="NCX5" s="8"/>
      <c r="NCY5" s="8"/>
      <c r="NCZ5" s="8"/>
      <c r="NDA5" s="8"/>
      <c r="NDB5" s="8"/>
      <c r="NDC5" s="8"/>
      <c r="NDD5" s="8"/>
      <c r="NDE5" s="8"/>
      <c r="NDF5" s="8"/>
      <c r="NDG5" s="8"/>
      <c r="NDH5" s="8"/>
      <c r="NDI5" s="8"/>
      <c r="NDJ5" s="8"/>
      <c r="NDK5" s="8"/>
      <c r="NDL5" s="8"/>
      <c r="NDM5" s="8"/>
      <c r="NDN5" s="8"/>
      <c r="NDO5" s="8"/>
      <c r="NDP5" s="8"/>
      <c r="NDQ5" s="8"/>
      <c r="NDR5" s="8"/>
      <c r="NDS5" s="8"/>
      <c r="NDT5" s="8"/>
      <c r="NDU5" s="8"/>
      <c r="NDV5" s="8"/>
      <c r="NDW5" s="8"/>
      <c r="NDX5" s="8"/>
      <c r="NDY5" s="8"/>
      <c r="NDZ5" s="8"/>
      <c r="NEA5" s="8"/>
      <c r="NEB5" s="8"/>
      <c r="NEC5" s="8"/>
      <c r="NED5" s="8"/>
      <c r="NEE5" s="8"/>
      <c r="NEF5" s="8"/>
      <c r="NEG5" s="8"/>
      <c r="NEH5" s="8"/>
      <c r="NEI5" s="8"/>
      <c r="NEJ5" s="8"/>
      <c r="NEK5" s="8"/>
      <c r="NEL5" s="8"/>
      <c r="NEM5" s="8"/>
      <c r="NEN5" s="8"/>
      <c r="NEO5" s="8"/>
      <c r="NEP5" s="8"/>
      <c r="NEQ5" s="8"/>
      <c r="NER5" s="8"/>
      <c r="NES5" s="8"/>
      <c r="NET5" s="8"/>
      <c r="NEU5" s="8"/>
      <c r="NEV5" s="8"/>
      <c r="NEW5" s="8"/>
      <c r="NEX5" s="8"/>
      <c r="NEY5" s="8"/>
      <c r="NEZ5" s="8"/>
      <c r="NFA5" s="8"/>
      <c r="NFB5" s="8"/>
      <c r="NFC5" s="8"/>
      <c r="NFD5" s="8"/>
      <c r="NFE5" s="8"/>
      <c r="NFF5" s="8"/>
      <c r="NFG5" s="8"/>
      <c r="NFH5" s="8"/>
      <c r="NFI5" s="8"/>
      <c r="NFJ5" s="8"/>
      <c r="NFK5" s="8"/>
      <c r="NFL5" s="8"/>
      <c r="NFM5" s="8"/>
      <c r="NFN5" s="8"/>
      <c r="NFO5" s="8"/>
      <c r="NFP5" s="8"/>
      <c r="NFQ5" s="8"/>
      <c r="NFR5" s="8"/>
      <c r="NFS5" s="8"/>
      <c r="NFT5" s="8"/>
      <c r="NFU5" s="8"/>
      <c r="NFV5" s="8"/>
      <c r="NFW5" s="8"/>
      <c r="NFX5" s="8"/>
      <c r="NFY5" s="8"/>
      <c r="NFZ5" s="8"/>
      <c r="NGA5" s="8"/>
      <c r="NGB5" s="8"/>
      <c r="NGC5" s="8"/>
      <c r="NGD5" s="8"/>
      <c r="NGE5" s="8"/>
      <c r="NGF5" s="8"/>
      <c r="NGG5" s="8"/>
      <c r="NGH5" s="8"/>
      <c r="NGI5" s="8"/>
      <c r="NGJ5" s="8"/>
      <c r="NGK5" s="8"/>
      <c r="NGL5" s="8"/>
      <c r="NGM5" s="8"/>
      <c r="NGN5" s="8"/>
      <c r="NGO5" s="8"/>
      <c r="NGP5" s="8"/>
      <c r="NGQ5" s="8"/>
      <c r="NGR5" s="8"/>
      <c r="NGS5" s="8"/>
      <c r="NGT5" s="8"/>
      <c r="NGU5" s="8"/>
      <c r="NGV5" s="8"/>
      <c r="NGW5" s="8"/>
      <c r="NGX5" s="8"/>
      <c r="NGY5" s="8"/>
      <c r="NGZ5" s="8"/>
      <c r="NHA5" s="8"/>
      <c r="NHB5" s="8"/>
      <c r="NHC5" s="8"/>
      <c r="NHD5" s="8"/>
      <c r="NHE5" s="8"/>
      <c r="NHF5" s="8"/>
      <c r="NHG5" s="8"/>
      <c r="NHH5" s="8"/>
      <c r="NHI5" s="8"/>
      <c r="NHJ5" s="8"/>
      <c r="NHK5" s="8"/>
      <c r="NHL5" s="8"/>
      <c r="NHM5" s="8"/>
      <c r="NHN5" s="8"/>
      <c r="NHO5" s="8"/>
      <c r="NHP5" s="8"/>
      <c r="NHQ5" s="8"/>
      <c r="NHR5" s="8"/>
      <c r="NHS5" s="8"/>
      <c r="NHT5" s="8"/>
      <c r="NHU5" s="8"/>
      <c r="NHV5" s="8"/>
      <c r="NHW5" s="8"/>
      <c r="NHX5" s="8"/>
      <c r="NHY5" s="8"/>
      <c r="NHZ5" s="8"/>
      <c r="NIA5" s="8"/>
      <c r="NIB5" s="8"/>
      <c r="NIC5" s="8"/>
      <c r="NID5" s="8"/>
      <c r="NIE5" s="8"/>
      <c r="NIF5" s="8"/>
      <c r="NIG5" s="8"/>
      <c r="NIH5" s="8"/>
      <c r="NII5" s="8"/>
      <c r="NIJ5" s="8"/>
      <c r="NIK5" s="8"/>
      <c r="NIL5" s="8"/>
      <c r="NIM5" s="8"/>
      <c r="NIN5" s="8"/>
      <c r="NIO5" s="8"/>
      <c r="NIP5" s="8"/>
      <c r="NIQ5" s="8"/>
      <c r="NIR5" s="8"/>
      <c r="NIS5" s="8"/>
      <c r="NIT5" s="8"/>
      <c r="NIU5" s="8"/>
      <c r="NIV5" s="8"/>
      <c r="NIW5" s="8"/>
      <c r="NIX5" s="8"/>
      <c r="NIY5" s="8"/>
      <c r="NIZ5" s="8"/>
      <c r="NJA5" s="8"/>
      <c r="NJB5" s="8"/>
      <c r="NJC5" s="8"/>
      <c r="NJD5" s="8"/>
      <c r="NJE5" s="8"/>
      <c r="NJF5" s="8"/>
      <c r="NJG5" s="8"/>
      <c r="NJH5" s="8"/>
      <c r="NJI5" s="8"/>
      <c r="NJJ5" s="8"/>
      <c r="NJK5" s="8"/>
      <c r="NJL5" s="8"/>
      <c r="NJM5" s="8"/>
      <c r="NJN5" s="8"/>
      <c r="NJO5" s="8"/>
      <c r="NJP5" s="8"/>
      <c r="NJQ5" s="8"/>
      <c r="NJR5" s="8"/>
      <c r="NJS5" s="8"/>
      <c r="NJT5" s="8"/>
      <c r="NJU5" s="8"/>
      <c r="NJV5" s="8"/>
      <c r="NJW5" s="8"/>
      <c r="NJX5" s="8"/>
      <c r="NJY5" s="8"/>
      <c r="NJZ5" s="8"/>
      <c r="NKA5" s="8"/>
      <c r="NKB5" s="8"/>
      <c r="NKC5" s="8"/>
      <c r="NKD5" s="8"/>
      <c r="NKE5" s="8"/>
      <c r="NKF5" s="8"/>
      <c r="NKG5" s="8"/>
      <c r="NKH5" s="8"/>
      <c r="NKI5" s="8"/>
      <c r="NKJ5" s="8"/>
      <c r="NKK5" s="8"/>
      <c r="NKL5" s="8"/>
      <c r="NKM5" s="8"/>
      <c r="NKN5" s="8"/>
      <c r="NKO5" s="8"/>
      <c r="NKP5" s="8"/>
      <c r="NKQ5" s="8"/>
      <c r="NKR5" s="8"/>
      <c r="NKS5" s="8"/>
      <c r="NKT5" s="8"/>
      <c r="NKU5" s="8"/>
      <c r="NKV5" s="8"/>
      <c r="NKW5" s="8"/>
      <c r="NKX5" s="8"/>
      <c r="NKY5" s="8"/>
      <c r="NKZ5" s="8"/>
      <c r="NLA5" s="8"/>
      <c r="NLB5" s="8"/>
      <c r="NLC5" s="8"/>
      <c r="NLD5" s="8"/>
      <c r="NLE5" s="8"/>
      <c r="NLF5" s="8"/>
      <c r="NLG5" s="8"/>
      <c r="NLH5" s="8"/>
      <c r="NLI5" s="8"/>
      <c r="NLJ5" s="8"/>
      <c r="NLK5" s="8"/>
      <c r="NLL5" s="8"/>
      <c r="NLM5" s="8"/>
      <c r="NLN5" s="8"/>
      <c r="NLO5" s="8"/>
      <c r="NLP5" s="8"/>
      <c r="NLQ5" s="8"/>
      <c r="NLR5" s="8"/>
      <c r="NLS5" s="8"/>
      <c r="NLT5" s="8"/>
      <c r="NLU5" s="8"/>
      <c r="NLV5" s="8"/>
      <c r="NLW5" s="8"/>
      <c r="NLX5" s="8"/>
      <c r="NLY5" s="8"/>
      <c r="NLZ5" s="8"/>
      <c r="NMA5" s="8"/>
      <c r="NMB5" s="8"/>
      <c r="NMC5" s="8"/>
      <c r="NMD5" s="8"/>
      <c r="NME5" s="8"/>
      <c r="NMF5" s="8"/>
      <c r="NMG5" s="8"/>
      <c r="NMH5" s="8"/>
      <c r="NMI5" s="8"/>
      <c r="NMJ5" s="8"/>
      <c r="NMK5" s="8"/>
      <c r="NML5" s="8"/>
      <c r="NMM5" s="8"/>
      <c r="NMN5" s="8"/>
      <c r="NMO5" s="8"/>
      <c r="NMP5" s="8"/>
      <c r="NMQ5" s="8"/>
      <c r="NMR5" s="8"/>
      <c r="NMS5" s="8"/>
      <c r="NMT5" s="8"/>
      <c r="NMU5" s="8"/>
      <c r="NMV5" s="8"/>
      <c r="NMW5" s="8"/>
      <c r="NMX5" s="8"/>
      <c r="NMY5" s="8"/>
      <c r="NMZ5" s="8"/>
      <c r="NNA5" s="8"/>
      <c r="NNB5" s="8"/>
      <c r="NNC5" s="8"/>
      <c r="NND5" s="8"/>
      <c r="NNE5" s="8"/>
      <c r="NNF5" s="8"/>
      <c r="NNG5" s="8"/>
      <c r="NNH5" s="8"/>
      <c r="NNI5" s="8"/>
      <c r="NNJ5" s="8"/>
      <c r="NNK5" s="8"/>
      <c r="NNL5" s="8"/>
      <c r="NNM5" s="8"/>
      <c r="NNN5" s="8"/>
      <c r="NNO5" s="8"/>
      <c r="NNP5" s="8"/>
      <c r="NNQ5" s="8"/>
      <c r="NNR5" s="8"/>
      <c r="NNS5" s="8"/>
      <c r="NNT5" s="8"/>
      <c r="NNU5" s="8"/>
      <c r="NNV5" s="8"/>
      <c r="NNW5" s="8"/>
      <c r="NNX5" s="8"/>
      <c r="NNY5" s="8"/>
      <c r="NNZ5" s="8"/>
      <c r="NOA5" s="8"/>
      <c r="NOB5" s="8"/>
      <c r="NOC5" s="8"/>
      <c r="NOD5" s="8"/>
      <c r="NOE5" s="8"/>
      <c r="NOF5" s="8"/>
      <c r="NOG5" s="8"/>
      <c r="NOH5" s="8"/>
      <c r="NOI5" s="8"/>
      <c r="NOJ5" s="8"/>
      <c r="NOK5" s="8"/>
      <c r="NOL5" s="8"/>
      <c r="NOM5" s="8"/>
      <c r="NON5" s="8"/>
      <c r="NOO5" s="8"/>
      <c r="NOP5" s="8"/>
      <c r="NOQ5" s="8"/>
      <c r="NOR5" s="8"/>
      <c r="NOS5" s="8"/>
      <c r="NOT5" s="8"/>
      <c r="NOU5" s="8"/>
      <c r="NOV5" s="8"/>
      <c r="NOW5" s="8"/>
      <c r="NOX5" s="8"/>
      <c r="NOY5" s="8"/>
      <c r="NOZ5" s="8"/>
      <c r="NPA5" s="8"/>
      <c r="NPB5" s="8"/>
      <c r="NPC5" s="8"/>
      <c r="NPD5" s="8"/>
      <c r="NPE5" s="8"/>
      <c r="NPF5" s="8"/>
      <c r="NPG5" s="8"/>
      <c r="NPH5" s="8"/>
      <c r="NPI5" s="8"/>
      <c r="NPJ5" s="8"/>
      <c r="NPK5" s="8"/>
      <c r="NPL5" s="8"/>
      <c r="NPM5" s="8"/>
      <c r="NPN5" s="8"/>
      <c r="NPO5" s="8"/>
      <c r="NPP5" s="8"/>
      <c r="NPQ5" s="8"/>
      <c r="NPR5" s="8"/>
      <c r="NPS5" s="8"/>
      <c r="NPT5" s="8"/>
      <c r="NPU5" s="8"/>
      <c r="NPV5" s="8"/>
      <c r="NPW5" s="8"/>
      <c r="NPX5" s="8"/>
      <c r="NPY5" s="8"/>
      <c r="NPZ5" s="8"/>
      <c r="NQA5" s="8"/>
      <c r="NQB5" s="8"/>
      <c r="NQC5" s="8"/>
      <c r="NQD5" s="8"/>
      <c r="NQE5" s="8"/>
      <c r="NQF5" s="8"/>
      <c r="NQG5" s="8"/>
      <c r="NQH5" s="8"/>
      <c r="NQI5" s="8"/>
      <c r="NQJ5" s="8"/>
      <c r="NQK5" s="8"/>
      <c r="NQL5" s="8"/>
      <c r="NQM5" s="8"/>
      <c r="NQN5" s="8"/>
      <c r="NQO5" s="8"/>
      <c r="NQP5" s="8"/>
      <c r="NQQ5" s="8"/>
      <c r="NQR5" s="8"/>
      <c r="NQS5" s="8"/>
      <c r="NQT5" s="8"/>
      <c r="NQU5" s="8"/>
      <c r="NQV5" s="8"/>
      <c r="NQW5" s="8"/>
      <c r="NQX5" s="8"/>
      <c r="NQY5" s="8"/>
      <c r="NQZ5" s="8"/>
      <c r="NRA5" s="8"/>
      <c r="NRB5" s="8"/>
      <c r="NRC5" s="8"/>
      <c r="NRD5" s="8"/>
      <c r="NRE5" s="8"/>
      <c r="NRF5" s="8"/>
      <c r="NRG5" s="8"/>
      <c r="NRH5" s="8"/>
      <c r="NRI5" s="8"/>
      <c r="NRJ5" s="8"/>
      <c r="NRK5" s="8"/>
      <c r="NRL5" s="8"/>
      <c r="NRM5" s="8"/>
      <c r="NRN5" s="8"/>
      <c r="NRO5" s="8"/>
      <c r="NRP5" s="8"/>
      <c r="NRQ5" s="8"/>
      <c r="NRR5" s="8"/>
      <c r="NRS5" s="8"/>
      <c r="NRT5" s="8"/>
      <c r="NRU5" s="8"/>
      <c r="NRV5" s="8"/>
      <c r="NRW5" s="8"/>
      <c r="NRX5" s="8"/>
      <c r="NRY5" s="8"/>
      <c r="NRZ5" s="8"/>
      <c r="NSA5" s="8"/>
      <c r="NSB5" s="8"/>
      <c r="NSC5" s="8"/>
      <c r="NSD5" s="8"/>
      <c r="NSE5" s="8"/>
      <c r="NSF5" s="8"/>
      <c r="NSG5" s="8"/>
      <c r="NSH5" s="8"/>
      <c r="NSI5" s="8"/>
      <c r="NSJ5" s="8"/>
      <c r="NSK5" s="8"/>
      <c r="NSL5" s="8"/>
      <c r="NSM5" s="8"/>
      <c r="NSN5" s="8"/>
      <c r="NSO5" s="8"/>
      <c r="NSP5" s="8"/>
      <c r="NSQ5" s="8"/>
      <c r="NSR5" s="8"/>
      <c r="NSS5" s="8"/>
      <c r="NST5" s="8"/>
      <c r="NSU5" s="8"/>
      <c r="NSV5" s="8"/>
      <c r="NSW5" s="8"/>
      <c r="NSX5" s="8"/>
      <c r="NSY5" s="8"/>
      <c r="NSZ5" s="8"/>
      <c r="NTA5" s="8"/>
      <c r="NTB5" s="8"/>
      <c r="NTC5" s="8"/>
      <c r="NTD5" s="8"/>
      <c r="NTE5" s="8"/>
      <c r="NTF5" s="8"/>
      <c r="NTG5" s="8"/>
      <c r="NTH5" s="8"/>
      <c r="NTI5" s="8"/>
      <c r="NTJ5" s="8"/>
      <c r="NTK5" s="8"/>
      <c r="NTL5" s="8"/>
      <c r="NTM5" s="8"/>
      <c r="NTN5" s="8"/>
      <c r="NTO5" s="8"/>
      <c r="NTP5" s="8"/>
      <c r="NTQ5" s="8"/>
      <c r="NTR5" s="8"/>
      <c r="NTS5" s="8"/>
      <c r="NTT5" s="8"/>
      <c r="NTU5" s="8"/>
      <c r="NTV5" s="8"/>
      <c r="NTW5" s="8"/>
      <c r="NTX5" s="8"/>
      <c r="NTY5" s="8"/>
      <c r="NTZ5" s="8"/>
      <c r="NUA5" s="8"/>
      <c r="NUB5" s="8"/>
      <c r="NUC5" s="8"/>
      <c r="NUD5" s="8"/>
      <c r="NUE5" s="8"/>
      <c r="NUF5" s="8"/>
      <c r="NUG5" s="8"/>
      <c r="NUH5" s="8"/>
      <c r="NUI5" s="8"/>
      <c r="NUJ5" s="8"/>
      <c r="NUK5" s="8"/>
      <c r="NUL5" s="8"/>
      <c r="NUM5" s="8"/>
      <c r="NUN5" s="8"/>
      <c r="NUO5" s="8"/>
      <c r="NUP5" s="8"/>
      <c r="NUQ5" s="8"/>
      <c r="NUR5" s="8"/>
      <c r="NUS5" s="8"/>
      <c r="NUT5" s="8"/>
      <c r="NUU5" s="8"/>
      <c r="NUV5" s="8"/>
      <c r="NUW5" s="8"/>
      <c r="NUX5" s="8"/>
      <c r="NUY5" s="8"/>
      <c r="NUZ5" s="8"/>
      <c r="NVA5" s="8"/>
      <c r="NVB5" s="8"/>
      <c r="NVC5" s="8"/>
      <c r="NVD5" s="8"/>
      <c r="NVE5" s="8"/>
      <c r="NVF5" s="8"/>
      <c r="NVG5" s="8"/>
      <c r="NVH5" s="8"/>
      <c r="NVI5" s="8"/>
      <c r="NVJ5" s="8"/>
      <c r="NVK5" s="8"/>
      <c r="NVL5" s="8"/>
      <c r="NVM5" s="8"/>
      <c r="NVN5" s="8"/>
      <c r="NVO5" s="8"/>
      <c r="NVP5" s="8"/>
      <c r="NVQ5" s="8"/>
      <c r="NVR5" s="8"/>
      <c r="NVS5" s="8"/>
      <c r="NVT5" s="8"/>
      <c r="NVU5" s="8"/>
      <c r="NVV5" s="8"/>
      <c r="NVW5" s="8"/>
      <c r="NVX5" s="8"/>
      <c r="NVY5" s="8"/>
      <c r="NVZ5" s="8"/>
      <c r="NWA5" s="8"/>
      <c r="NWB5" s="8"/>
      <c r="NWC5" s="8"/>
      <c r="NWD5" s="8"/>
      <c r="NWE5" s="8"/>
      <c r="NWF5" s="8"/>
      <c r="NWG5" s="8"/>
      <c r="NWH5" s="8"/>
      <c r="NWI5" s="8"/>
      <c r="NWJ5" s="8"/>
      <c r="NWK5" s="8"/>
      <c r="NWL5" s="8"/>
      <c r="NWM5" s="8"/>
      <c r="NWN5" s="8"/>
      <c r="NWO5" s="8"/>
      <c r="NWP5" s="8"/>
      <c r="NWQ5" s="8"/>
      <c r="NWR5" s="8"/>
      <c r="NWS5" s="8"/>
      <c r="NWT5" s="8"/>
      <c r="NWU5" s="8"/>
      <c r="NWV5" s="8"/>
      <c r="NWW5" s="8"/>
      <c r="NWX5" s="8"/>
      <c r="NWY5" s="8"/>
      <c r="NWZ5" s="8"/>
      <c r="NXA5" s="8"/>
      <c r="NXB5" s="8"/>
      <c r="NXC5" s="8"/>
      <c r="NXD5" s="8"/>
      <c r="NXE5" s="8"/>
      <c r="NXF5" s="8"/>
      <c r="NXG5" s="8"/>
      <c r="NXH5" s="8"/>
      <c r="NXI5" s="8"/>
      <c r="NXJ5" s="8"/>
      <c r="NXK5" s="8"/>
      <c r="NXL5" s="8"/>
      <c r="NXM5" s="8"/>
      <c r="NXN5" s="8"/>
      <c r="NXO5" s="8"/>
      <c r="NXP5" s="8"/>
      <c r="NXQ5" s="8"/>
      <c r="NXR5" s="8"/>
      <c r="NXS5" s="8"/>
      <c r="NXT5" s="8"/>
      <c r="NXU5" s="8"/>
      <c r="NXV5" s="8"/>
      <c r="NXW5" s="8"/>
      <c r="NXX5" s="8"/>
      <c r="NXY5" s="8"/>
      <c r="NXZ5" s="8"/>
      <c r="NYA5" s="8"/>
      <c r="NYB5" s="8"/>
      <c r="NYC5" s="8"/>
      <c r="NYD5" s="8"/>
      <c r="NYE5" s="8"/>
      <c r="NYF5" s="8"/>
      <c r="NYG5" s="8"/>
      <c r="NYH5" s="8"/>
      <c r="NYI5" s="8"/>
      <c r="NYJ5" s="8"/>
      <c r="NYK5" s="8"/>
      <c r="NYL5" s="8"/>
      <c r="NYM5" s="8"/>
      <c r="NYN5" s="8"/>
      <c r="NYO5" s="8"/>
      <c r="NYP5" s="8"/>
      <c r="NYQ5" s="8"/>
      <c r="NYR5" s="8"/>
      <c r="NYS5" s="8"/>
      <c r="NYT5" s="8"/>
      <c r="NYU5" s="8"/>
      <c r="NYV5" s="8"/>
      <c r="NYW5" s="8"/>
      <c r="NYX5" s="8"/>
      <c r="NYY5" s="8"/>
      <c r="NYZ5" s="8"/>
      <c r="NZA5" s="8"/>
      <c r="NZB5" s="8"/>
      <c r="NZC5" s="8"/>
      <c r="NZD5" s="8"/>
      <c r="NZE5" s="8"/>
      <c r="NZF5" s="8"/>
      <c r="NZG5" s="8"/>
      <c r="NZH5" s="8"/>
      <c r="NZI5" s="8"/>
      <c r="NZJ5" s="8"/>
      <c r="NZK5" s="8"/>
      <c r="NZL5" s="8"/>
      <c r="NZM5" s="8"/>
      <c r="NZN5" s="8"/>
      <c r="NZO5" s="8"/>
      <c r="NZP5" s="8"/>
      <c r="NZQ5" s="8"/>
      <c r="NZR5" s="8"/>
      <c r="NZS5" s="8"/>
      <c r="NZT5" s="8"/>
      <c r="NZU5" s="8"/>
      <c r="NZV5" s="8"/>
      <c r="NZW5" s="8"/>
      <c r="NZX5" s="8"/>
      <c r="NZY5" s="8"/>
      <c r="NZZ5" s="8"/>
      <c r="OAA5" s="8"/>
      <c r="OAB5" s="8"/>
      <c r="OAC5" s="8"/>
      <c r="OAD5" s="8"/>
      <c r="OAE5" s="8"/>
      <c r="OAF5" s="8"/>
      <c r="OAG5" s="8"/>
      <c r="OAH5" s="8"/>
      <c r="OAI5" s="8"/>
      <c r="OAJ5" s="8"/>
      <c r="OAK5" s="8"/>
      <c r="OAL5" s="8"/>
      <c r="OAM5" s="8"/>
      <c r="OAN5" s="8"/>
      <c r="OAO5" s="8"/>
      <c r="OAP5" s="8"/>
      <c r="OAQ5" s="8"/>
      <c r="OAR5" s="8"/>
      <c r="OAS5" s="8"/>
      <c r="OAT5" s="8"/>
      <c r="OAU5" s="8"/>
      <c r="OAV5" s="8"/>
      <c r="OAW5" s="8"/>
      <c r="OAX5" s="8"/>
      <c r="OAY5" s="8"/>
      <c r="OAZ5" s="8"/>
      <c r="OBA5" s="8"/>
      <c r="OBB5" s="8"/>
      <c r="OBC5" s="8"/>
      <c r="OBD5" s="8"/>
      <c r="OBE5" s="8"/>
      <c r="OBF5" s="8"/>
      <c r="OBG5" s="8"/>
      <c r="OBH5" s="8"/>
      <c r="OBI5" s="8"/>
      <c r="OBJ5" s="8"/>
      <c r="OBK5" s="8"/>
      <c r="OBL5" s="8"/>
      <c r="OBM5" s="8"/>
      <c r="OBN5" s="8"/>
      <c r="OBO5" s="8"/>
      <c r="OBP5" s="8"/>
      <c r="OBQ5" s="8"/>
      <c r="OBR5" s="8"/>
      <c r="OBS5" s="8"/>
      <c r="OBT5" s="8"/>
      <c r="OBU5" s="8"/>
      <c r="OBV5" s="8"/>
      <c r="OBW5" s="8"/>
      <c r="OBX5" s="8"/>
      <c r="OBY5" s="8"/>
      <c r="OBZ5" s="8"/>
      <c r="OCA5" s="8"/>
      <c r="OCB5" s="8"/>
      <c r="OCC5" s="8"/>
      <c r="OCD5" s="8"/>
      <c r="OCE5" s="8"/>
      <c r="OCF5" s="8"/>
      <c r="OCG5" s="8"/>
      <c r="OCH5" s="8"/>
      <c r="OCI5" s="8"/>
      <c r="OCJ5" s="8"/>
      <c r="OCK5" s="8"/>
      <c r="OCL5" s="8"/>
      <c r="OCM5" s="8"/>
      <c r="OCN5" s="8"/>
      <c r="OCO5" s="8"/>
      <c r="OCP5" s="8"/>
      <c r="OCQ5" s="8"/>
      <c r="OCR5" s="8"/>
      <c r="OCS5" s="8"/>
      <c r="OCT5" s="8"/>
      <c r="OCU5" s="8"/>
      <c r="OCV5" s="8"/>
      <c r="OCW5" s="8"/>
      <c r="OCX5" s="8"/>
      <c r="OCY5" s="8"/>
      <c r="OCZ5" s="8"/>
      <c r="ODA5" s="8"/>
      <c r="ODB5" s="8"/>
      <c r="ODC5" s="8"/>
      <c r="ODD5" s="8"/>
      <c r="ODE5" s="8"/>
      <c r="ODF5" s="8"/>
      <c r="ODG5" s="8"/>
      <c r="ODH5" s="8"/>
      <c r="ODI5" s="8"/>
      <c r="ODJ5" s="8"/>
      <c r="ODK5" s="8"/>
      <c r="ODL5" s="8"/>
      <c r="ODM5" s="8"/>
      <c r="ODN5" s="8"/>
      <c r="ODO5" s="8"/>
      <c r="ODP5" s="8"/>
      <c r="ODQ5" s="8"/>
      <c r="ODR5" s="8"/>
      <c r="ODS5" s="8"/>
      <c r="ODT5" s="8"/>
      <c r="ODU5" s="8"/>
      <c r="ODV5" s="8"/>
      <c r="ODW5" s="8"/>
      <c r="ODX5" s="8"/>
      <c r="ODY5" s="8"/>
      <c r="ODZ5" s="8"/>
      <c r="OEA5" s="8"/>
      <c r="OEB5" s="8"/>
      <c r="OEC5" s="8"/>
      <c r="OED5" s="8"/>
      <c r="OEE5" s="8"/>
      <c r="OEF5" s="8"/>
      <c r="OEG5" s="8"/>
      <c r="OEH5" s="8"/>
      <c r="OEI5" s="8"/>
      <c r="OEJ5" s="8"/>
      <c r="OEK5" s="8"/>
      <c r="OEL5" s="8"/>
      <c r="OEM5" s="8"/>
      <c r="OEN5" s="8"/>
      <c r="OEO5" s="8"/>
      <c r="OEP5" s="8"/>
      <c r="OEQ5" s="8"/>
      <c r="OER5" s="8"/>
      <c r="OES5" s="8"/>
      <c r="OET5" s="8"/>
      <c r="OEU5" s="8"/>
      <c r="OEV5" s="8"/>
      <c r="OEW5" s="8"/>
      <c r="OEX5" s="8"/>
      <c r="OEY5" s="8"/>
      <c r="OEZ5" s="8"/>
      <c r="OFA5" s="8"/>
      <c r="OFB5" s="8"/>
      <c r="OFC5" s="8"/>
      <c r="OFD5" s="8"/>
      <c r="OFE5" s="8"/>
      <c r="OFF5" s="8"/>
      <c r="OFG5" s="8"/>
      <c r="OFH5" s="8"/>
      <c r="OFI5" s="8"/>
      <c r="OFJ5" s="8"/>
      <c r="OFK5" s="8"/>
      <c r="OFL5" s="8"/>
      <c r="OFM5" s="8"/>
      <c r="OFN5" s="8"/>
      <c r="OFO5" s="8"/>
      <c r="OFP5" s="8"/>
      <c r="OFQ5" s="8"/>
      <c r="OFR5" s="8"/>
      <c r="OFS5" s="8"/>
      <c r="OFT5" s="8"/>
      <c r="OFU5" s="8"/>
      <c r="OFV5" s="8"/>
      <c r="OFW5" s="8"/>
      <c r="OFX5" s="8"/>
      <c r="OFY5" s="8"/>
      <c r="OFZ5" s="8"/>
      <c r="OGA5" s="8"/>
      <c r="OGB5" s="8"/>
      <c r="OGC5" s="8"/>
      <c r="OGD5" s="8"/>
      <c r="OGE5" s="8"/>
      <c r="OGF5" s="8"/>
      <c r="OGG5" s="8"/>
      <c r="OGH5" s="8"/>
      <c r="OGI5" s="8"/>
      <c r="OGJ5" s="8"/>
      <c r="OGK5" s="8"/>
      <c r="OGL5" s="8"/>
      <c r="OGM5" s="8"/>
      <c r="OGN5" s="8"/>
      <c r="OGO5" s="8"/>
      <c r="OGP5" s="8"/>
      <c r="OGQ5" s="8"/>
      <c r="OGR5" s="8"/>
      <c r="OGS5" s="8"/>
      <c r="OGT5" s="8"/>
      <c r="OGU5" s="8"/>
      <c r="OGV5" s="8"/>
      <c r="OGW5" s="8"/>
      <c r="OGX5" s="8"/>
      <c r="OGY5" s="8"/>
      <c r="OGZ5" s="8"/>
      <c r="OHA5" s="8"/>
      <c r="OHB5" s="8"/>
      <c r="OHC5" s="8"/>
      <c r="OHD5" s="8"/>
      <c r="OHE5" s="8"/>
      <c r="OHF5" s="8"/>
      <c r="OHG5" s="8"/>
      <c r="OHH5" s="8"/>
      <c r="OHI5" s="8"/>
      <c r="OHJ5" s="8"/>
      <c r="OHK5" s="8"/>
      <c r="OHL5" s="8"/>
      <c r="OHM5" s="8"/>
      <c r="OHN5" s="8"/>
      <c r="OHO5" s="8"/>
      <c r="OHP5" s="8"/>
      <c r="OHQ5" s="8"/>
      <c r="OHR5" s="8"/>
      <c r="OHS5" s="8"/>
      <c r="OHT5" s="8"/>
      <c r="OHU5" s="8"/>
      <c r="OHV5" s="8"/>
      <c r="OHW5" s="8"/>
      <c r="OHX5" s="8"/>
      <c r="OHY5" s="8"/>
      <c r="OHZ5" s="8"/>
      <c r="OIA5" s="8"/>
      <c r="OIB5" s="8"/>
      <c r="OIC5" s="8"/>
      <c r="OID5" s="8"/>
      <c r="OIE5" s="8"/>
      <c r="OIF5" s="8"/>
      <c r="OIG5" s="8"/>
      <c r="OIH5" s="8"/>
      <c r="OII5" s="8"/>
      <c r="OIJ5" s="8"/>
      <c r="OIK5" s="8"/>
      <c r="OIL5" s="8"/>
      <c r="OIM5" s="8"/>
      <c r="OIN5" s="8"/>
      <c r="OIO5" s="8"/>
      <c r="OIP5" s="8"/>
      <c r="OIQ5" s="8"/>
      <c r="OIR5" s="8"/>
      <c r="OIS5" s="8"/>
      <c r="OIT5" s="8"/>
      <c r="OIU5" s="8"/>
      <c r="OIV5" s="8"/>
      <c r="OIW5" s="8"/>
      <c r="OIX5" s="8"/>
      <c r="OIY5" s="8"/>
      <c r="OIZ5" s="8"/>
      <c r="OJA5" s="8"/>
      <c r="OJB5" s="8"/>
      <c r="OJC5" s="8"/>
      <c r="OJD5" s="8"/>
      <c r="OJE5" s="8"/>
      <c r="OJF5" s="8"/>
      <c r="OJG5" s="8"/>
      <c r="OJH5" s="8"/>
      <c r="OJI5" s="8"/>
      <c r="OJJ5" s="8"/>
      <c r="OJK5" s="8"/>
      <c r="OJL5" s="8"/>
      <c r="OJM5" s="8"/>
      <c r="OJN5" s="8"/>
      <c r="OJO5" s="8"/>
      <c r="OJP5" s="8"/>
      <c r="OJQ5" s="8"/>
      <c r="OJR5" s="8"/>
      <c r="OJS5" s="8"/>
      <c r="OJT5" s="8"/>
      <c r="OJU5" s="8"/>
      <c r="OJV5" s="8"/>
      <c r="OJW5" s="8"/>
      <c r="OJX5" s="8"/>
      <c r="OJY5" s="8"/>
      <c r="OJZ5" s="8"/>
      <c r="OKA5" s="8"/>
      <c r="OKB5" s="8"/>
      <c r="OKC5" s="8"/>
      <c r="OKD5" s="8"/>
      <c r="OKE5" s="8"/>
      <c r="OKF5" s="8"/>
      <c r="OKG5" s="8"/>
      <c r="OKH5" s="8"/>
      <c r="OKI5" s="8"/>
      <c r="OKJ5" s="8"/>
      <c r="OKK5" s="8"/>
      <c r="OKL5" s="8"/>
      <c r="OKM5" s="8"/>
      <c r="OKN5" s="8"/>
      <c r="OKO5" s="8"/>
      <c r="OKP5" s="8"/>
      <c r="OKQ5" s="8"/>
      <c r="OKR5" s="8"/>
      <c r="OKS5" s="8"/>
      <c r="OKT5" s="8"/>
      <c r="OKU5" s="8"/>
      <c r="OKV5" s="8"/>
      <c r="OKW5" s="8"/>
      <c r="OKX5" s="8"/>
      <c r="OKY5" s="8"/>
      <c r="OKZ5" s="8"/>
      <c r="OLA5" s="8"/>
      <c r="OLB5" s="8"/>
      <c r="OLC5" s="8"/>
      <c r="OLD5" s="8"/>
      <c r="OLE5" s="8"/>
      <c r="OLF5" s="8"/>
      <c r="OLG5" s="8"/>
      <c r="OLH5" s="8"/>
      <c r="OLI5" s="8"/>
      <c r="OLJ5" s="8"/>
      <c r="OLK5" s="8"/>
      <c r="OLL5" s="8"/>
      <c r="OLM5" s="8"/>
      <c r="OLN5" s="8"/>
      <c r="OLO5" s="8"/>
      <c r="OLP5" s="8"/>
      <c r="OLQ5" s="8"/>
      <c r="OLR5" s="8"/>
      <c r="OLS5" s="8"/>
      <c r="OLT5" s="8"/>
      <c r="OLU5" s="8"/>
      <c r="OLV5" s="8"/>
      <c r="OLW5" s="8"/>
      <c r="OLX5" s="8"/>
      <c r="OLY5" s="8"/>
      <c r="OLZ5" s="8"/>
      <c r="OMA5" s="8"/>
      <c r="OMB5" s="8"/>
      <c r="OMC5" s="8"/>
      <c r="OMD5" s="8"/>
      <c r="OME5" s="8"/>
      <c r="OMF5" s="8"/>
      <c r="OMG5" s="8"/>
      <c r="OMH5" s="8"/>
      <c r="OMI5" s="8"/>
      <c r="OMJ5" s="8"/>
      <c r="OMK5" s="8"/>
      <c r="OML5" s="8"/>
      <c r="OMM5" s="8"/>
      <c r="OMN5" s="8"/>
      <c r="OMO5" s="8"/>
      <c r="OMP5" s="8"/>
      <c r="OMQ5" s="8"/>
      <c r="OMR5" s="8"/>
      <c r="OMS5" s="8"/>
      <c r="OMT5" s="8"/>
      <c r="OMU5" s="8"/>
      <c r="OMV5" s="8"/>
      <c r="OMW5" s="8"/>
      <c r="OMX5" s="8"/>
      <c r="OMY5" s="8"/>
      <c r="OMZ5" s="8"/>
      <c r="ONA5" s="8"/>
      <c r="ONB5" s="8"/>
      <c r="ONC5" s="8"/>
      <c r="OND5" s="8"/>
      <c r="ONE5" s="8"/>
      <c r="ONF5" s="8"/>
      <c r="ONG5" s="8"/>
      <c r="ONH5" s="8"/>
      <c r="ONI5" s="8"/>
      <c r="ONJ5" s="8"/>
      <c r="ONK5" s="8"/>
      <c r="ONL5" s="8"/>
      <c r="ONM5" s="8"/>
      <c r="ONN5" s="8"/>
      <c r="ONO5" s="8"/>
      <c r="ONP5" s="8"/>
      <c r="ONQ5" s="8"/>
      <c r="ONR5" s="8"/>
      <c r="ONS5" s="8"/>
      <c r="ONT5" s="8"/>
      <c r="ONU5" s="8"/>
      <c r="ONV5" s="8"/>
      <c r="ONW5" s="8"/>
      <c r="ONX5" s="8"/>
      <c r="ONY5" s="8"/>
      <c r="ONZ5" s="8"/>
      <c r="OOA5" s="8"/>
      <c r="OOB5" s="8"/>
      <c r="OOC5" s="8"/>
      <c r="OOD5" s="8"/>
      <c r="OOE5" s="8"/>
      <c r="OOF5" s="8"/>
      <c r="OOG5" s="8"/>
      <c r="OOH5" s="8"/>
      <c r="OOI5" s="8"/>
      <c r="OOJ5" s="8"/>
      <c r="OOK5" s="8"/>
      <c r="OOL5" s="8"/>
      <c r="OOM5" s="8"/>
      <c r="OON5" s="8"/>
      <c r="OOO5" s="8"/>
      <c r="OOP5" s="8"/>
      <c r="OOQ5" s="8"/>
      <c r="OOR5" s="8"/>
      <c r="OOS5" s="8"/>
      <c r="OOT5" s="8"/>
      <c r="OOU5" s="8"/>
      <c r="OOV5" s="8"/>
      <c r="OOW5" s="8"/>
      <c r="OOX5" s="8"/>
      <c r="OOY5" s="8"/>
      <c r="OOZ5" s="8"/>
      <c r="OPA5" s="8"/>
      <c r="OPB5" s="8"/>
      <c r="OPC5" s="8"/>
      <c r="OPD5" s="8"/>
      <c r="OPE5" s="8"/>
      <c r="OPF5" s="8"/>
      <c r="OPG5" s="8"/>
      <c r="OPH5" s="8"/>
      <c r="OPI5" s="8"/>
      <c r="OPJ5" s="8"/>
      <c r="OPK5" s="8"/>
      <c r="OPL5" s="8"/>
      <c r="OPM5" s="8"/>
      <c r="OPN5" s="8"/>
      <c r="OPO5" s="8"/>
      <c r="OPP5" s="8"/>
      <c r="OPQ5" s="8"/>
      <c r="OPR5" s="8"/>
      <c r="OPS5" s="8"/>
      <c r="OPT5" s="8"/>
      <c r="OPU5" s="8"/>
      <c r="OPV5" s="8"/>
      <c r="OPW5" s="8"/>
      <c r="OPX5" s="8"/>
      <c r="OPY5" s="8"/>
      <c r="OPZ5" s="8"/>
      <c r="OQA5" s="8"/>
      <c r="OQB5" s="8"/>
      <c r="OQC5" s="8"/>
      <c r="OQD5" s="8"/>
      <c r="OQE5" s="8"/>
      <c r="OQF5" s="8"/>
      <c r="OQG5" s="8"/>
      <c r="OQH5" s="8"/>
      <c r="OQI5" s="8"/>
      <c r="OQJ5" s="8"/>
      <c r="OQK5" s="8"/>
      <c r="OQL5" s="8"/>
      <c r="OQM5" s="8"/>
      <c r="OQN5" s="8"/>
      <c r="OQO5" s="8"/>
      <c r="OQP5" s="8"/>
      <c r="OQQ5" s="8"/>
      <c r="OQR5" s="8"/>
      <c r="OQS5" s="8"/>
      <c r="OQT5" s="8"/>
      <c r="OQU5" s="8"/>
      <c r="OQV5" s="8"/>
      <c r="OQW5" s="8"/>
      <c r="OQX5" s="8"/>
      <c r="OQY5" s="8"/>
      <c r="OQZ5" s="8"/>
      <c r="ORA5" s="8"/>
      <c r="ORB5" s="8"/>
      <c r="ORC5" s="8"/>
      <c r="ORD5" s="8"/>
      <c r="ORE5" s="8"/>
      <c r="ORF5" s="8"/>
      <c r="ORG5" s="8"/>
      <c r="ORH5" s="8"/>
      <c r="ORI5" s="8"/>
      <c r="ORJ5" s="8"/>
      <c r="ORK5" s="8"/>
      <c r="ORL5" s="8"/>
      <c r="ORM5" s="8"/>
      <c r="ORN5" s="8"/>
      <c r="ORO5" s="8"/>
      <c r="ORP5" s="8"/>
      <c r="ORQ5" s="8"/>
      <c r="ORR5" s="8"/>
      <c r="ORS5" s="8"/>
      <c r="ORT5" s="8"/>
      <c r="ORU5" s="8"/>
      <c r="ORV5" s="8"/>
      <c r="ORW5" s="8"/>
      <c r="ORX5" s="8"/>
      <c r="ORY5" s="8"/>
      <c r="ORZ5" s="8"/>
      <c r="OSA5" s="8"/>
      <c r="OSB5" s="8"/>
      <c r="OSC5" s="8"/>
      <c r="OSD5" s="8"/>
      <c r="OSE5" s="8"/>
      <c r="OSF5" s="8"/>
      <c r="OSG5" s="8"/>
      <c r="OSH5" s="8"/>
      <c r="OSI5" s="8"/>
      <c r="OSJ5" s="8"/>
      <c r="OSK5" s="8"/>
      <c r="OSL5" s="8"/>
      <c r="OSM5" s="8"/>
      <c r="OSN5" s="8"/>
      <c r="OSO5" s="8"/>
      <c r="OSP5" s="8"/>
      <c r="OSQ5" s="8"/>
      <c r="OSR5" s="8"/>
      <c r="OSS5" s="8"/>
      <c r="OST5" s="8"/>
      <c r="OSU5" s="8"/>
      <c r="OSV5" s="8"/>
      <c r="OSW5" s="8"/>
      <c r="OSX5" s="8"/>
      <c r="OSY5" s="8"/>
      <c r="OSZ5" s="8"/>
      <c r="OTA5" s="8"/>
      <c r="OTB5" s="8"/>
      <c r="OTC5" s="8"/>
      <c r="OTD5" s="8"/>
      <c r="OTE5" s="8"/>
      <c r="OTF5" s="8"/>
      <c r="OTG5" s="8"/>
      <c r="OTH5" s="8"/>
      <c r="OTI5" s="8"/>
      <c r="OTJ5" s="8"/>
      <c r="OTK5" s="8"/>
      <c r="OTL5" s="8"/>
      <c r="OTM5" s="8"/>
      <c r="OTN5" s="8"/>
      <c r="OTO5" s="8"/>
      <c r="OTP5" s="8"/>
      <c r="OTQ5" s="8"/>
      <c r="OTR5" s="8"/>
      <c r="OTS5" s="8"/>
      <c r="OTT5" s="8"/>
      <c r="OTU5" s="8"/>
      <c r="OTV5" s="8"/>
      <c r="OTW5" s="8"/>
      <c r="OTX5" s="8"/>
      <c r="OTY5" s="8"/>
      <c r="OTZ5" s="8"/>
      <c r="OUA5" s="8"/>
      <c r="OUB5" s="8"/>
      <c r="OUC5" s="8"/>
      <c r="OUD5" s="8"/>
      <c r="OUE5" s="8"/>
      <c r="OUF5" s="8"/>
      <c r="OUG5" s="8"/>
      <c r="OUH5" s="8"/>
      <c r="OUI5" s="8"/>
      <c r="OUJ5" s="8"/>
      <c r="OUK5" s="8"/>
      <c r="OUL5" s="8"/>
      <c r="OUM5" s="8"/>
      <c r="OUN5" s="8"/>
      <c r="OUO5" s="8"/>
      <c r="OUP5" s="8"/>
      <c r="OUQ5" s="8"/>
      <c r="OUR5" s="8"/>
      <c r="OUS5" s="8"/>
      <c r="OUT5" s="8"/>
      <c r="OUU5" s="8"/>
      <c r="OUV5" s="8"/>
      <c r="OUW5" s="8"/>
      <c r="OUX5" s="8"/>
      <c r="OUY5" s="8"/>
      <c r="OUZ5" s="8"/>
      <c r="OVA5" s="8"/>
      <c r="OVB5" s="8"/>
      <c r="OVC5" s="8"/>
      <c r="OVD5" s="8"/>
      <c r="OVE5" s="8"/>
      <c r="OVF5" s="8"/>
      <c r="OVG5" s="8"/>
      <c r="OVH5" s="8"/>
      <c r="OVI5" s="8"/>
      <c r="OVJ5" s="8"/>
      <c r="OVK5" s="8"/>
      <c r="OVL5" s="8"/>
      <c r="OVM5" s="8"/>
      <c r="OVN5" s="8"/>
      <c r="OVO5" s="8"/>
      <c r="OVP5" s="8"/>
      <c r="OVQ5" s="8"/>
      <c r="OVR5" s="8"/>
      <c r="OVS5" s="8"/>
      <c r="OVT5" s="8"/>
      <c r="OVU5" s="8"/>
      <c r="OVV5" s="8"/>
      <c r="OVW5" s="8"/>
      <c r="OVX5" s="8"/>
      <c r="OVY5" s="8"/>
      <c r="OVZ5" s="8"/>
      <c r="OWA5" s="8"/>
      <c r="OWB5" s="8"/>
      <c r="OWC5" s="8"/>
      <c r="OWD5" s="8"/>
      <c r="OWE5" s="8"/>
      <c r="OWF5" s="8"/>
      <c r="OWG5" s="8"/>
      <c r="OWH5" s="8"/>
      <c r="OWI5" s="8"/>
      <c r="OWJ5" s="8"/>
      <c r="OWK5" s="8"/>
      <c r="OWL5" s="8"/>
      <c r="OWM5" s="8"/>
      <c r="OWN5" s="8"/>
      <c r="OWO5" s="8"/>
      <c r="OWP5" s="8"/>
      <c r="OWQ5" s="8"/>
      <c r="OWR5" s="8"/>
      <c r="OWS5" s="8"/>
      <c r="OWT5" s="8"/>
      <c r="OWU5" s="8"/>
      <c r="OWV5" s="8"/>
      <c r="OWW5" s="8"/>
      <c r="OWX5" s="8"/>
      <c r="OWY5" s="8"/>
      <c r="OWZ5" s="8"/>
      <c r="OXA5" s="8"/>
      <c r="OXB5" s="8"/>
      <c r="OXC5" s="8"/>
      <c r="OXD5" s="8"/>
      <c r="OXE5" s="8"/>
      <c r="OXF5" s="8"/>
      <c r="OXG5" s="8"/>
      <c r="OXH5" s="8"/>
      <c r="OXI5" s="8"/>
      <c r="OXJ5" s="8"/>
      <c r="OXK5" s="8"/>
      <c r="OXL5" s="8"/>
      <c r="OXM5" s="8"/>
      <c r="OXN5" s="8"/>
      <c r="OXO5" s="8"/>
      <c r="OXP5" s="8"/>
      <c r="OXQ5" s="8"/>
      <c r="OXR5" s="8"/>
      <c r="OXS5" s="8"/>
      <c r="OXT5" s="8"/>
      <c r="OXU5" s="8"/>
      <c r="OXV5" s="8"/>
      <c r="OXW5" s="8"/>
      <c r="OXX5" s="8"/>
      <c r="OXY5" s="8"/>
      <c r="OXZ5" s="8"/>
      <c r="OYA5" s="8"/>
      <c r="OYB5" s="8"/>
      <c r="OYC5" s="8"/>
      <c r="OYD5" s="8"/>
      <c r="OYE5" s="8"/>
      <c r="OYF5" s="8"/>
      <c r="OYG5" s="8"/>
      <c r="OYH5" s="8"/>
      <c r="OYI5" s="8"/>
      <c r="OYJ5" s="8"/>
      <c r="OYK5" s="8"/>
      <c r="OYL5" s="8"/>
      <c r="OYM5" s="8"/>
      <c r="OYN5" s="8"/>
      <c r="OYO5" s="8"/>
      <c r="OYP5" s="8"/>
      <c r="OYQ5" s="8"/>
      <c r="OYR5" s="8"/>
      <c r="OYS5" s="8"/>
      <c r="OYT5" s="8"/>
      <c r="OYU5" s="8"/>
      <c r="OYV5" s="8"/>
      <c r="OYW5" s="8"/>
      <c r="OYX5" s="8"/>
      <c r="OYY5" s="8"/>
      <c r="OYZ5" s="8"/>
      <c r="OZA5" s="8"/>
      <c r="OZB5" s="8"/>
      <c r="OZC5" s="8"/>
      <c r="OZD5" s="8"/>
      <c r="OZE5" s="8"/>
      <c r="OZF5" s="8"/>
      <c r="OZG5" s="8"/>
      <c r="OZH5" s="8"/>
      <c r="OZI5" s="8"/>
      <c r="OZJ5" s="8"/>
      <c r="OZK5" s="8"/>
      <c r="OZL5" s="8"/>
      <c r="OZM5" s="8"/>
      <c r="OZN5" s="8"/>
      <c r="OZO5" s="8"/>
      <c r="OZP5" s="8"/>
      <c r="OZQ5" s="8"/>
      <c r="OZR5" s="8"/>
      <c r="OZS5" s="8"/>
      <c r="OZT5" s="8"/>
      <c r="OZU5" s="8"/>
      <c r="OZV5" s="8"/>
      <c r="OZW5" s="8"/>
      <c r="OZX5" s="8"/>
      <c r="OZY5" s="8"/>
      <c r="OZZ5" s="8"/>
      <c r="PAA5" s="8"/>
      <c r="PAB5" s="8"/>
      <c r="PAC5" s="8"/>
      <c r="PAD5" s="8"/>
      <c r="PAE5" s="8"/>
      <c r="PAF5" s="8"/>
      <c r="PAG5" s="8"/>
      <c r="PAH5" s="8"/>
      <c r="PAI5" s="8"/>
      <c r="PAJ5" s="8"/>
      <c r="PAK5" s="8"/>
      <c r="PAL5" s="8"/>
      <c r="PAM5" s="8"/>
      <c r="PAN5" s="8"/>
      <c r="PAO5" s="8"/>
      <c r="PAP5" s="8"/>
      <c r="PAQ5" s="8"/>
      <c r="PAR5" s="8"/>
      <c r="PAS5" s="8"/>
      <c r="PAT5" s="8"/>
      <c r="PAU5" s="8"/>
      <c r="PAV5" s="8"/>
      <c r="PAW5" s="8"/>
      <c r="PAX5" s="8"/>
      <c r="PAY5" s="8"/>
      <c r="PAZ5" s="8"/>
      <c r="PBA5" s="8"/>
      <c r="PBB5" s="8"/>
      <c r="PBC5" s="8"/>
      <c r="PBD5" s="8"/>
      <c r="PBE5" s="8"/>
      <c r="PBF5" s="8"/>
      <c r="PBG5" s="8"/>
      <c r="PBH5" s="8"/>
      <c r="PBI5" s="8"/>
      <c r="PBJ5" s="8"/>
      <c r="PBK5" s="8"/>
      <c r="PBL5" s="8"/>
      <c r="PBM5" s="8"/>
      <c r="PBN5" s="8"/>
      <c r="PBO5" s="8"/>
      <c r="PBP5" s="8"/>
      <c r="PBQ5" s="8"/>
      <c r="PBR5" s="8"/>
      <c r="PBS5" s="8"/>
      <c r="PBT5" s="8"/>
      <c r="PBU5" s="8"/>
      <c r="PBV5" s="8"/>
      <c r="PBW5" s="8"/>
      <c r="PBX5" s="8"/>
      <c r="PBY5" s="8"/>
      <c r="PBZ5" s="8"/>
      <c r="PCA5" s="8"/>
      <c r="PCB5" s="8"/>
      <c r="PCC5" s="8"/>
      <c r="PCD5" s="8"/>
      <c r="PCE5" s="8"/>
      <c r="PCF5" s="8"/>
      <c r="PCG5" s="8"/>
      <c r="PCH5" s="8"/>
      <c r="PCI5" s="8"/>
      <c r="PCJ5" s="8"/>
      <c r="PCK5" s="8"/>
      <c r="PCL5" s="8"/>
      <c r="PCM5" s="8"/>
      <c r="PCN5" s="8"/>
      <c r="PCO5" s="8"/>
      <c r="PCP5" s="8"/>
      <c r="PCQ5" s="8"/>
      <c r="PCR5" s="8"/>
      <c r="PCS5" s="8"/>
      <c r="PCT5" s="8"/>
      <c r="PCU5" s="8"/>
      <c r="PCV5" s="8"/>
      <c r="PCW5" s="8"/>
      <c r="PCX5" s="8"/>
      <c r="PCY5" s="8"/>
      <c r="PCZ5" s="8"/>
      <c r="PDA5" s="8"/>
      <c r="PDB5" s="8"/>
      <c r="PDC5" s="8"/>
      <c r="PDD5" s="8"/>
      <c r="PDE5" s="8"/>
      <c r="PDF5" s="8"/>
      <c r="PDG5" s="8"/>
      <c r="PDH5" s="8"/>
      <c r="PDI5" s="8"/>
      <c r="PDJ5" s="8"/>
      <c r="PDK5" s="8"/>
      <c r="PDL5" s="8"/>
      <c r="PDM5" s="8"/>
      <c r="PDN5" s="8"/>
      <c r="PDO5" s="8"/>
      <c r="PDP5" s="8"/>
      <c r="PDQ5" s="8"/>
      <c r="PDR5" s="8"/>
      <c r="PDS5" s="8"/>
      <c r="PDT5" s="8"/>
      <c r="PDU5" s="8"/>
      <c r="PDV5" s="8"/>
      <c r="PDW5" s="8"/>
      <c r="PDX5" s="8"/>
      <c r="PDY5" s="8"/>
      <c r="PDZ5" s="8"/>
      <c r="PEA5" s="8"/>
      <c r="PEB5" s="8"/>
      <c r="PEC5" s="8"/>
      <c r="PED5" s="8"/>
      <c r="PEE5" s="8"/>
      <c r="PEF5" s="8"/>
      <c r="PEG5" s="8"/>
      <c r="PEH5" s="8"/>
      <c r="PEI5" s="8"/>
      <c r="PEJ5" s="8"/>
      <c r="PEK5" s="8"/>
      <c r="PEL5" s="8"/>
      <c r="PEM5" s="8"/>
      <c r="PEN5" s="8"/>
      <c r="PEO5" s="8"/>
      <c r="PEP5" s="8"/>
      <c r="PEQ5" s="8"/>
      <c r="PER5" s="8"/>
      <c r="PES5" s="8"/>
      <c r="PET5" s="8"/>
      <c r="PEU5" s="8"/>
      <c r="PEV5" s="8"/>
      <c r="PEW5" s="8"/>
      <c r="PEX5" s="8"/>
      <c r="PEY5" s="8"/>
      <c r="PEZ5" s="8"/>
      <c r="PFA5" s="8"/>
      <c r="PFB5" s="8"/>
      <c r="PFC5" s="8"/>
      <c r="PFD5" s="8"/>
      <c r="PFE5" s="8"/>
      <c r="PFF5" s="8"/>
      <c r="PFG5" s="8"/>
      <c r="PFH5" s="8"/>
      <c r="PFI5" s="8"/>
      <c r="PFJ5" s="8"/>
      <c r="PFK5" s="8"/>
      <c r="PFL5" s="8"/>
      <c r="PFM5" s="8"/>
      <c r="PFN5" s="8"/>
      <c r="PFO5" s="8"/>
      <c r="PFP5" s="8"/>
      <c r="PFQ5" s="8"/>
      <c r="PFR5" s="8"/>
      <c r="PFS5" s="8"/>
      <c r="PFT5" s="8"/>
      <c r="PFU5" s="8"/>
      <c r="PFV5" s="8"/>
      <c r="PFW5" s="8"/>
      <c r="PFX5" s="8"/>
      <c r="PFY5" s="8"/>
      <c r="PFZ5" s="8"/>
      <c r="PGA5" s="8"/>
      <c r="PGB5" s="8"/>
      <c r="PGC5" s="8"/>
      <c r="PGD5" s="8"/>
      <c r="PGE5" s="8"/>
      <c r="PGF5" s="8"/>
      <c r="PGG5" s="8"/>
      <c r="PGH5" s="8"/>
      <c r="PGI5" s="8"/>
      <c r="PGJ5" s="8"/>
      <c r="PGK5" s="8"/>
      <c r="PGL5" s="8"/>
      <c r="PGM5" s="8"/>
      <c r="PGN5" s="8"/>
      <c r="PGO5" s="8"/>
      <c r="PGP5" s="8"/>
      <c r="PGQ5" s="8"/>
      <c r="PGR5" s="8"/>
      <c r="PGS5" s="8"/>
      <c r="PGT5" s="8"/>
      <c r="PGU5" s="8"/>
      <c r="PGV5" s="8"/>
      <c r="PGW5" s="8"/>
      <c r="PGX5" s="8"/>
      <c r="PGY5" s="8"/>
      <c r="PGZ5" s="8"/>
      <c r="PHA5" s="8"/>
      <c r="PHB5" s="8"/>
      <c r="PHC5" s="8"/>
      <c r="PHD5" s="8"/>
      <c r="PHE5" s="8"/>
      <c r="PHF5" s="8"/>
      <c r="PHG5" s="8"/>
      <c r="PHH5" s="8"/>
      <c r="PHI5" s="8"/>
      <c r="PHJ5" s="8"/>
      <c r="PHK5" s="8"/>
      <c r="PHL5" s="8"/>
      <c r="PHM5" s="8"/>
      <c r="PHN5" s="8"/>
      <c r="PHO5" s="8"/>
      <c r="PHP5" s="8"/>
      <c r="PHQ5" s="8"/>
      <c r="PHR5" s="8"/>
      <c r="PHS5" s="8"/>
      <c r="PHT5" s="8"/>
      <c r="PHU5" s="8"/>
      <c r="PHV5" s="8"/>
      <c r="PHW5" s="8"/>
      <c r="PHX5" s="8"/>
      <c r="PHY5" s="8"/>
      <c r="PHZ5" s="8"/>
      <c r="PIA5" s="8"/>
      <c r="PIB5" s="8"/>
      <c r="PIC5" s="8"/>
      <c r="PID5" s="8"/>
      <c r="PIE5" s="8"/>
      <c r="PIF5" s="8"/>
      <c r="PIG5" s="8"/>
      <c r="PIH5" s="8"/>
      <c r="PII5" s="8"/>
      <c r="PIJ5" s="8"/>
      <c r="PIK5" s="8"/>
      <c r="PIL5" s="8"/>
      <c r="PIM5" s="8"/>
      <c r="PIN5" s="8"/>
      <c r="PIO5" s="8"/>
      <c r="PIP5" s="8"/>
      <c r="PIQ5" s="8"/>
      <c r="PIR5" s="8"/>
      <c r="PIS5" s="8"/>
      <c r="PIT5" s="8"/>
      <c r="PIU5" s="8"/>
      <c r="PIV5" s="8"/>
      <c r="PIW5" s="8"/>
      <c r="PIX5" s="8"/>
      <c r="PIY5" s="8"/>
      <c r="PIZ5" s="8"/>
      <c r="PJA5" s="8"/>
      <c r="PJB5" s="8"/>
      <c r="PJC5" s="8"/>
      <c r="PJD5" s="8"/>
      <c r="PJE5" s="8"/>
      <c r="PJF5" s="8"/>
      <c r="PJG5" s="8"/>
      <c r="PJH5" s="8"/>
      <c r="PJI5" s="8"/>
      <c r="PJJ5" s="8"/>
      <c r="PJK5" s="8"/>
      <c r="PJL5" s="8"/>
      <c r="PJM5" s="8"/>
      <c r="PJN5" s="8"/>
      <c r="PJO5" s="8"/>
      <c r="PJP5" s="8"/>
      <c r="PJQ5" s="8"/>
      <c r="PJR5" s="8"/>
      <c r="PJS5" s="8"/>
      <c r="PJT5" s="8"/>
      <c r="PJU5" s="8"/>
      <c r="PJV5" s="8"/>
      <c r="PJW5" s="8"/>
      <c r="PJX5" s="8"/>
      <c r="PJY5" s="8"/>
      <c r="PJZ5" s="8"/>
      <c r="PKA5" s="8"/>
      <c r="PKB5" s="8"/>
      <c r="PKC5" s="8"/>
      <c r="PKD5" s="8"/>
      <c r="PKE5" s="8"/>
      <c r="PKF5" s="8"/>
      <c r="PKG5" s="8"/>
      <c r="PKH5" s="8"/>
      <c r="PKI5" s="8"/>
      <c r="PKJ5" s="8"/>
      <c r="PKK5" s="8"/>
      <c r="PKL5" s="8"/>
      <c r="PKM5" s="8"/>
      <c r="PKN5" s="8"/>
      <c r="PKO5" s="8"/>
      <c r="PKP5" s="8"/>
      <c r="PKQ5" s="8"/>
      <c r="PKR5" s="8"/>
      <c r="PKS5" s="8"/>
      <c r="PKT5" s="8"/>
      <c r="PKU5" s="8"/>
      <c r="PKV5" s="8"/>
      <c r="PKW5" s="8"/>
      <c r="PKX5" s="8"/>
      <c r="PKY5" s="8"/>
      <c r="PKZ5" s="8"/>
      <c r="PLA5" s="8"/>
      <c r="PLB5" s="8"/>
      <c r="PLC5" s="8"/>
      <c r="PLD5" s="8"/>
      <c r="PLE5" s="8"/>
      <c r="PLF5" s="8"/>
      <c r="PLG5" s="8"/>
      <c r="PLH5" s="8"/>
      <c r="PLI5" s="8"/>
      <c r="PLJ5" s="8"/>
      <c r="PLK5" s="8"/>
      <c r="PLL5" s="8"/>
      <c r="PLM5" s="8"/>
      <c r="PLN5" s="8"/>
      <c r="PLO5" s="8"/>
      <c r="PLP5" s="8"/>
      <c r="PLQ5" s="8"/>
      <c r="PLR5" s="8"/>
      <c r="PLS5" s="8"/>
      <c r="PLT5" s="8"/>
      <c r="PLU5" s="8"/>
      <c r="PLV5" s="8"/>
      <c r="PLW5" s="8"/>
      <c r="PLX5" s="8"/>
      <c r="PLY5" s="8"/>
      <c r="PLZ5" s="8"/>
      <c r="PMA5" s="8"/>
      <c r="PMB5" s="8"/>
      <c r="PMC5" s="8"/>
      <c r="PMD5" s="8"/>
      <c r="PME5" s="8"/>
      <c r="PMF5" s="8"/>
      <c r="PMG5" s="8"/>
      <c r="PMH5" s="8"/>
      <c r="PMI5" s="8"/>
      <c r="PMJ5" s="8"/>
      <c r="PMK5" s="8"/>
      <c r="PML5" s="8"/>
      <c r="PMM5" s="8"/>
      <c r="PMN5" s="8"/>
      <c r="PMO5" s="8"/>
      <c r="PMP5" s="8"/>
      <c r="PMQ5" s="8"/>
      <c r="PMR5" s="8"/>
      <c r="PMS5" s="8"/>
      <c r="PMT5" s="8"/>
      <c r="PMU5" s="8"/>
      <c r="PMV5" s="8"/>
      <c r="PMW5" s="8"/>
      <c r="PMX5" s="8"/>
      <c r="PMY5" s="8"/>
      <c r="PMZ5" s="8"/>
      <c r="PNA5" s="8"/>
      <c r="PNB5" s="8"/>
      <c r="PNC5" s="8"/>
      <c r="PND5" s="8"/>
      <c r="PNE5" s="8"/>
      <c r="PNF5" s="8"/>
      <c r="PNG5" s="8"/>
      <c r="PNH5" s="8"/>
      <c r="PNI5" s="8"/>
      <c r="PNJ5" s="8"/>
      <c r="PNK5" s="8"/>
      <c r="PNL5" s="8"/>
      <c r="PNM5" s="8"/>
      <c r="PNN5" s="8"/>
      <c r="PNO5" s="8"/>
      <c r="PNP5" s="8"/>
      <c r="PNQ5" s="8"/>
      <c r="PNR5" s="8"/>
      <c r="PNS5" s="8"/>
      <c r="PNT5" s="8"/>
      <c r="PNU5" s="8"/>
      <c r="PNV5" s="8"/>
      <c r="PNW5" s="8"/>
      <c r="PNX5" s="8"/>
      <c r="PNY5" s="8"/>
      <c r="PNZ5" s="8"/>
      <c r="POA5" s="8"/>
      <c r="POB5" s="8"/>
      <c r="POC5" s="8"/>
      <c r="POD5" s="8"/>
      <c r="POE5" s="8"/>
      <c r="POF5" s="8"/>
      <c r="POG5" s="8"/>
      <c r="POH5" s="8"/>
      <c r="POI5" s="8"/>
      <c r="POJ5" s="8"/>
      <c r="POK5" s="8"/>
      <c r="POL5" s="8"/>
      <c r="POM5" s="8"/>
      <c r="PON5" s="8"/>
      <c r="POO5" s="8"/>
      <c r="POP5" s="8"/>
      <c r="POQ5" s="8"/>
      <c r="POR5" s="8"/>
      <c r="POS5" s="8"/>
      <c r="POT5" s="8"/>
      <c r="POU5" s="8"/>
      <c r="POV5" s="8"/>
      <c r="POW5" s="8"/>
      <c r="POX5" s="8"/>
      <c r="POY5" s="8"/>
      <c r="POZ5" s="8"/>
      <c r="PPA5" s="8"/>
      <c r="PPB5" s="8"/>
      <c r="PPC5" s="8"/>
      <c r="PPD5" s="8"/>
      <c r="PPE5" s="8"/>
      <c r="PPF5" s="8"/>
      <c r="PPG5" s="8"/>
      <c r="PPH5" s="8"/>
      <c r="PPI5" s="8"/>
      <c r="PPJ5" s="8"/>
      <c r="PPK5" s="8"/>
      <c r="PPL5" s="8"/>
      <c r="PPM5" s="8"/>
      <c r="PPN5" s="8"/>
      <c r="PPO5" s="8"/>
      <c r="PPP5" s="8"/>
      <c r="PPQ5" s="8"/>
      <c r="PPR5" s="8"/>
      <c r="PPS5" s="8"/>
      <c r="PPT5" s="8"/>
      <c r="PPU5" s="8"/>
      <c r="PPV5" s="8"/>
      <c r="PPW5" s="8"/>
      <c r="PPX5" s="8"/>
      <c r="PPY5" s="8"/>
      <c r="PPZ5" s="8"/>
      <c r="PQA5" s="8"/>
      <c r="PQB5" s="8"/>
      <c r="PQC5" s="8"/>
      <c r="PQD5" s="8"/>
      <c r="PQE5" s="8"/>
      <c r="PQF5" s="8"/>
      <c r="PQG5" s="8"/>
      <c r="PQH5" s="8"/>
      <c r="PQI5" s="8"/>
      <c r="PQJ5" s="8"/>
      <c r="PQK5" s="8"/>
      <c r="PQL5" s="8"/>
      <c r="PQM5" s="8"/>
      <c r="PQN5" s="8"/>
      <c r="PQO5" s="8"/>
      <c r="PQP5" s="8"/>
      <c r="PQQ5" s="8"/>
      <c r="PQR5" s="8"/>
      <c r="PQS5" s="8"/>
      <c r="PQT5" s="8"/>
      <c r="PQU5" s="8"/>
      <c r="PQV5" s="8"/>
      <c r="PQW5" s="8"/>
      <c r="PQX5" s="8"/>
      <c r="PQY5" s="8"/>
      <c r="PQZ5" s="8"/>
      <c r="PRA5" s="8"/>
      <c r="PRB5" s="8"/>
      <c r="PRC5" s="8"/>
      <c r="PRD5" s="8"/>
      <c r="PRE5" s="8"/>
      <c r="PRF5" s="8"/>
      <c r="PRG5" s="8"/>
      <c r="PRH5" s="8"/>
      <c r="PRI5" s="8"/>
      <c r="PRJ5" s="8"/>
      <c r="PRK5" s="8"/>
      <c r="PRL5" s="8"/>
      <c r="PRM5" s="8"/>
      <c r="PRN5" s="8"/>
      <c r="PRO5" s="8"/>
      <c r="PRP5" s="8"/>
      <c r="PRQ5" s="8"/>
      <c r="PRR5" s="8"/>
      <c r="PRS5" s="8"/>
      <c r="PRT5" s="8"/>
      <c r="PRU5" s="8"/>
      <c r="PRV5" s="8"/>
      <c r="PRW5" s="8"/>
      <c r="PRX5" s="8"/>
      <c r="PRY5" s="8"/>
      <c r="PRZ5" s="8"/>
      <c r="PSA5" s="8"/>
      <c r="PSB5" s="8"/>
      <c r="PSC5" s="8"/>
      <c r="PSD5" s="8"/>
      <c r="PSE5" s="8"/>
      <c r="PSF5" s="8"/>
      <c r="PSG5" s="8"/>
      <c r="PSH5" s="8"/>
      <c r="PSI5" s="8"/>
      <c r="PSJ5" s="8"/>
      <c r="PSK5" s="8"/>
      <c r="PSL5" s="8"/>
      <c r="PSM5" s="8"/>
      <c r="PSN5" s="8"/>
      <c r="PSO5" s="8"/>
      <c r="PSP5" s="8"/>
      <c r="PSQ5" s="8"/>
      <c r="PSR5" s="8"/>
      <c r="PSS5" s="8"/>
      <c r="PST5" s="8"/>
      <c r="PSU5" s="8"/>
      <c r="PSV5" s="8"/>
      <c r="PSW5" s="8"/>
      <c r="PSX5" s="8"/>
      <c r="PSY5" s="8"/>
      <c r="PSZ5" s="8"/>
      <c r="PTA5" s="8"/>
      <c r="PTB5" s="8"/>
      <c r="PTC5" s="8"/>
      <c r="PTD5" s="8"/>
      <c r="PTE5" s="8"/>
      <c r="PTF5" s="8"/>
      <c r="PTG5" s="8"/>
      <c r="PTH5" s="8"/>
      <c r="PTI5" s="8"/>
      <c r="PTJ5" s="8"/>
      <c r="PTK5" s="8"/>
      <c r="PTL5" s="8"/>
      <c r="PTM5" s="8"/>
      <c r="PTN5" s="8"/>
      <c r="PTO5" s="8"/>
      <c r="PTP5" s="8"/>
      <c r="PTQ5" s="8"/>
      <c r="PTR5" s="8"/>
      <c r="PTS5" s="8"/>
      <c r="PTT5" s="8"/>
      <c r="PTU5" s="8"/>
      <c r="PTV5" s="8"/>
      <c r="PTW5" s="8"/>
      <c r="PTX5" s="8"/>
      <c r="PTY5" s="8"/>
      <c r="PTZ5" s="8"/>
      <c r="PUA5" s="8"/>
      <c r="PUB5" s="8"/>
      <c r="PUC5" s="8"/>
      <c r="PUD5" s="8"/>
      <c r="PUE5" s="8"/>
      <c r="PUF5" s="8"/>
      <c r="PUG5" s="8"/>
      <c r="PUH5" s="8"/>
      <c r="PUI5" s="8"/>
      <c r="PUJ5" s="8"/>
      <c r="PUK5" s="8"/>
      <c r="PUL5" s="8"/>
      <c r="PUM5" s="8"/>
      <c r="PUN5" s="8"/>
      <c r="PUO5" s="8"/>
      <c r="PUP5" s="8"/>
      <c r="PUQ5" s="8"/>
      <c r="PUR5" s="8"/>
      <c r="PUS5" s="8"/>
      <c r="PUT5" s="8"/>
      <c r="PUU5" s="8"/>
      <c r="PUV5" s="8"/>
      <c r="PUW5" s="8"/>
      <c r="PUX5" s="8"/>
      <c r="PUY5" s="8"/>
      <c r="PUZ5" s="8"/>
      <c r="PVA5" s="8"/>
      <c r="PVB5" s="8"/>
      <c r="PVC5" s="8"/>
      <c r="PVD5" s="8"/>
      <c r="PVE5" s="8"/>
      <c r="PVF5" s="8"/>
      <c r="PVG5" s="8"/>
      <c r="PVH5" s="8"/>
      <c r="PVI5" s="8"/>
      <c r="PVJ5" s="8"/>
      <c r="PVK5" s="8"/>
      <c r="PVL5" s="8"/>
      <c r="PVM5" s="8"/>
      <c r="PVN5" s="8"/>
      <c r="PVO5" s="8"/>
      <c r="PVP5" s="8"/>
      <c r="PVQ5" s="8"/>
      <c r="PVR5" s="8"/>
      <c r="PVS5" s="8"/>
      <c r="PVT5" s="8"/>
      <c r="PVU5" s="8"/>
      <c r="PVV5" s="8"/>
      <c r="PVW5" s="8"/>
      <c r="PVX5" s="8"/>
      <c r="PVY5" s="8"/>
      <c r="PVZ5" s="8"/>
      <c r="PWA5" s="8"/>
      <c r="PWB5" s="8"/>
      <c r="PWC5" s="8"/>
      <c r="PWD5" s="8"/>
      <c r="PWE5" s="8"/>
      <c r="PWF5" s="8"/>
      <c r="PWG5" s="8"/>
      <c r="PWH5" s="8"/>
      <c r="PWI5" s="8"/>
      <c r="PWJ5" s="8"/>
      <c r="PWK5" s="8"/>
      <c r="PWL5" s="8"/>
      <c r="PWM5" s="8"/>
      <c r="PWN5" s="8"/>
      <c r="PWO5" s="8"/>
      <c r="PWP5" s="8"/>
      <c r="PWQ5" s="8"/>
      <c r="PWR5" s="8"/>
      <c r="PWS5" s="8"/>
      <c r="PWT5" s="8"/>
      <c r="PWU5" s="8"/>
      <c r="PWV5" s="8"/>
      <c r="PWW5" s="8"/>
      <c r="PWX5" s="8"/>
      <c r="PWY5" s="8"/>
      <c r="PWZ5" s="8"/>
      <c r="PXA5" s="8"/>
      <c r="PXB5" s="8"/>
      <c r="PXC5" s="8"/>
      <c r="PXD5" s="8"/>
      <c r="PXE5" s="8"/>
      <c r="PXF5" s="8"/>
      <c r="PXG5" s="8"/>
      <c r="PXH5" s="8"/>
      <c r="PXI5" s="8"/>
      <c r="PXJ5" s="8"/>
      <c r="PXK5" s="8"/>
      <c r="PXL5" s="8"/>
      <c r="PXM5" s="8"/>
      <c r="PXN5" s="8"/>
      <c r="PXO5" s="8"/>
      <c r="PXP5" s="8"/>
      <c r="PXQ5" s="8"/>
      <c r="PXR5" s="8"/>
      <c r="PXS5" s="8"/>
      <c r="PXT5" s="8"/>
      <c r="PXU5" s="8"/>
      <c r="PXV5" s="8"/>
      <c r="PXW5" s="8"/>
      <c r="PXX5" s="8"/>
      <c r="PXY5" s="8"/>
      <c r="PXZ5" s="8"/>
      <c r="PYA5" s="8"/>
      <c r="PYB5" s="8"/>
      <c r="PYC5" s="8"/>
      <c r="PYD5" s="8"/>
      <c r="PYE5" s="8"/>
      <c r="PYF5" s="8"/>
      <c r="PYG5" s="8"/>
      <c r="PYH5" s="8"/>
      <c r="PYI5" s="8"/>
      <c r="PYJ5" s="8"/>
      <c r="PYK5" s="8"/>
      <c r="PYL5" s="8"/>
      <c r="PYM5" s="8"/>
      <c r="PYN5" s="8"/>
      <c r="PYO5" s="8"/>
      <c r="PYP5" s="8"/>
      <c r="PYQ5" s="8"/>
      <c r="PYR5" s="8"/>
      <c r="PYS5" s="8"/>
      <c r="PYT5" s="8"/>
      <c r="PYU5" s="8"/>
      <c r="PYV5" s="8"/>
      <c r="PYW5" s="8"/>
      <c r="PYX5" s="8"/>
      <c r="PYY5" s="8"/>
      <c r="PYZ5" s="8"/>
      <c r="PZA5" s="8"/>
      <c r="PZB5" s="8"/>
      <c r="PZC5" s="8"/>
      <c r="PZD5" s="8"/>
      <c r="PZE5" s="8"/>
      <c r="PZF5" s="8"/>
      <c r="PZG5" s="8"/>
      <c r="PZH5" s="8"/>
      <c r="PZI5" s="8"/>
      <c r="PZJ5" s="8"/>
      <c r="PZK5" s="8"/>
      <c r="PZL5" s="8"/>
      <c r="PZM5" s="8"/>
      <c r="PZN5" s="8"/>
      <c r="PZO5" s="8"/>
      <c r="PZP5" s="8"/>
      <c r="PZQ5" s="8"/>
      <c r="PZR5" s="8"/>
      <c r="PZS5" s="8"/>
      <c r="PZT5" s="8"/>
      <c r="PZU5" s="8"/>
      <c r="PZV5" s="8"/>
      <c r="PZW5" s="8"/>
      <c r="PZX5" s="8"/>
      <c r="PZY5" s="8"/>
      <c r="PZZ5" s="8"/>
      <c r="QAA5" s="8"/>
      <c r="QAB5" s="8"/>
      <c r="QAC5" s="8"/>
      <c r="QAD5" s="8"/>
      <c r="QAE5" s="8"/>
      <c r="QAF5" s="8"/>
      <c r="QAG5" s="8"/>
      <c r="QAH5" s="8"/>
      <c r="QAI5" s="8"/>
      <c r="QAJ5" s="8"/>
      <c r="QAK5" s="8"/>
      <c r="QAL5" s="8"/>
      <c r="QAM5" s="8"/>
      <c r="QAN5" s="8"/>
      <c r="QAO5" s="8"/>
      <c r="QAP5" s="8"/>
      <c r="QAQ5" s="8"/>
      <c r="QAR5" s="8"/>
      <c r="QAS5" s="8"/>
      <c r="QAT5" s="8"/>
      <c r="QAU5" s="8"/>
      <c r="QAV5" s="8"/>
      <c r="QAW5" s="8"/>
      <c r="QAX5" s="8"/>
      <c r="QAY5" s="8"/>
      <c r="QAZ5" s="8"/>
      <c r="QBA5" s="8"/>
      <c r="QBB5" s="8"/>
      <c r="QBC5" s="8"/>
      <c r="QBD5" s="8"/>
      <c r="QBE5" s="8"/>
      <c r="QBF5" s="8"/>
      <c r="QBG5" s="8"/>
      <c r="QBH5" s="8"/>
      <c r="QBI5" s="8"/>
      <c r="QBJ5" s="8"/>
      <c r="QBK5" s="8"/>
      <c r="QBL5" s="8"/>
      <c r="QBM5" s="8"/>
      <c r="QBN5" s="8"/>
      <c r="QBO5" s="8"/>
      <c r="QBP5" s="8"/>
      <c r="QBQ5" s="8"/>
      <c r="QBR5" s="8"/>
      <c r="QBS5" s="8"/>
      <c r="QBT5" s="8"/>
      <c r="QBU5" s="8"/>
      <c r="QBV5" s="8"/>
      <c r="QBW5" s="8"/>
      <c r="QBX5" s="8"/>
      <c r="QBY5" s="8"/>
      <c r="QBZ5" s="8"/>
      <c r="QCA5" s="8"/>
      <c r="QCB5" s="8"/>
      <c r="QCC5" s="8"/>
      <c r="QCD5" s="8"/>
      <c r="QCE5" s="8"/>
      <c r="QCF5" s="8"/>
      <c r="QCG5" s="8"/>
      <c r="QCH5" s="8"/>
      <c r="QCI5" s="8"/>
      <c r="QCJ5" s="8"/>
      <c r="QCK5" s="8"/>
      <c r="QCL5" s="8"/>
      <c r="QCM5" s="8"/>
      <c r="QCN5" s="8"/>
      <c r="QCO5" s="8"/>
      <c r="QCP5" s="8"/>
      <c r="QCQ5" s="8"/>
      <c r="QCR5" s="8"/>
      <c r="QCS5" s="8"/>
      <c r="QCT5" s="8"/>
      <c r="QCU5" s="8"/>
      <c r="QCV5" s="8"/>
      <c r="QCW5" s="8"/>
      <c r="QCX5" s="8"/>
      <c r="QCY5" s="8"/>
      <c r="QCZ5" s="8"/>
      <c r="QDA5" s="8"/>
      <c r="QDB5" s="8"/>
      <c r="QDC5" s="8"/>
      <c r="QDD5" s="8"/>
      <c r="QDE5" s="8"/>
      <c r="QDF5" s="8"/>
      <c r="QDG5" s="8"/>
      <c r="QDH5" s="8"/>
      <c r="QDI5" s="8"/>
      <c r="QDJ5" s="8"/>
      <c r="QDK5" s="8"/>
      <c r="QDL5" s="8"/>
      <c r="QDM5" s="8"/>
      <c r="QDN5" s="8"/>
      <c r="QDO5" s="8"/>
      <c r="QDP5" s="8"/>
      <c r="QDQ5" s="8"/>
      <c r="QDR5" s="8"/>
      <c r="QDS5" s="8"/>
      <c r="QDT5" s="8"/>
      <c r="QDU5" s="8"/>
      <c r="QDV5" s="8"/>
      <c r="QDW5" s="8"/>
      <c r="QDX5" s="8"/>
      <c r="QDY5" s="8"/>
      <c r="QDZ5" s="8"/>
      <c r="QEA5" s="8"/>
      <c r="QEB5" s="8"/>
      <c r="QEC5" s="8"/>
      <c r="QED5" s="8"/>
      <c r="QEE5" s="8"/>
      <c r="QEF5" s="8"/>
      <c r="QEG5" s="8"/>
      <c r="QEH5" s="8"/>
      <c r="QEI5" s="8"/>
      <c r="QEJ5" s="8"/>
      <c r="QEK5" s="8"/>
      <c r="QEL5" s="8"/>
      <c r="QEM5" s="8"/>
      <c r="QEN5" s="8"/>
      <c r="QEO5" s="8"/>
      <c r="QEP5" s="8"/>
      <c r="QEQ5" s="8"/>
      <c r="QER5" s="8"/>
      <c r="QES5" s="8"/>
      <c r="QET5" s="8"/>
      <c r="QEU5" s="8"/>
      <c r="QEV5" s="8"/>
      <c r="QEW5" s="8"/>
      <c r="QEX5" s="8"/>
      <c r="QEY5" s="8"/>
      <c r="QEZ5" s="8"/>
      <c r="QFA5" s="8"/>
      <c r="QFB5" s="8"/>
      <c r="QFC5" s="8"/>
      <c r="QFD5" s="8"/>
      <c r="QFE5" s="8"/>
      <c r="QFF5" s="8"/>
      <c r="QFG5" s="8"/>
      <c r="QFH5" s="8"/>
      <c r="QFI5" s="8"/>
      <c r="QFJ5" s="8"/>
      <c r="QFK5" s="8"/>
      <c r="QFL5" s="8"/>
      <c r="QFM5" s="8"/>
      <c r="QFN5" s="8"/>
      <c r="QFO5" s="8"/>
      <c r="QFP5" s="8"/>
      <c r="QFQ5" s="8"/>
      <c r="QFR5" s="8"/>
      <c r="QFS5" s="8"/>
      <c r="QFT5" s="8"/>
      <c r="QFU5" s="8"/>
      <c r="QFV5" s="8"/>
      <c r="QFW5" s="8"/>
      <c r="QFX5" s="8"/>
      <c r="QFY5" s="8"/>
      <c r="QFZ5" s="8"/>
      <c r="QGA5" s="8"/>
      <c r="QGB5" s="8"/>
      <c r="QGC5" s="8"/>
      <c r="QGD5" s="8"/>
      <c r="QGE5" s="8"/>
      <c r="QGF5" s="8"/>
      <c r="QGG5" s="8"/>
      <c r="QGH5" s="8"/>
      <c r="QGI5" s="8"/>
      <c r="QGJ5" s="8"/>
      <c r="QGK5" s="8"/>
      <c r="QGL5" s="8"/>
      <c r="QGM5" s="8"/>
      <c r="QGN5" s="8"/>
      <c r="QGO5" s="8"/>
      <c r="QGP5" s="8"/>
      <c r="QGQ5" s="8"/>
      <c r="QGR5" s="8"/>
      <c r="QGS5" s="8"/>
      <c r="QGT5" s="8"/>
      <c r="QGU5" s="8"/>
      <c r="QGV5" s="8"/>
      <c r="QGW5" s="8"/>
      <c r="QGX5" s="8"/>
      <c r="QGY5" s="8"/>
      <c r="QGZ5" s="8"/>
      <c r="QHA5" s="8"/>
      <c r="QHB5" s="8"/>
      <c r="QHC5" s="8"/>
      <c r="QHD5" s="8"/>
      <c r="QHE5" s="8"/>
      <c r="QHF5" s="8"/>
      <c r="QHG5" s="8"/>
      <c r="QHH5" s="8"/>
      <c r="QHI5" s="8"/>
      <c r="QHJ5" s="8"/>
      <c r="QHK5" s="8"/>
      <c r="QHL5" s="8"/>
      <c r="QHM5" s="8"/>
      <c r="QHN5" s="8"/>
      <c r="QHO5" s="8"/>
      <c r="QHP5" s="8"/>
      <c r="QHQ5" s="8"/>
      <c r="QHR5" s="8"/>
      <c r="QHS5" s="8"/>
      <c r="QHT5" s="8"/>
      <c r="QHU5" s="8"/>
      <c r="QHV5" s="8"/>
      <c r="QHW5" s="8"/>
      <c r="QHX5" s="8"/>
      <c r="QHY5" s="8"/>
      <c r="QHZ5" s="8"/>
      <c r="QIA5" s="8"/>
      <c r="QIB5" s="8"/>
      <c r="QIC5" s="8"/>
      <c r="QID5" s="8"/>
      <c r="QIE5" s="8"/>
      <c r="QIF5" s="8"/>
      <c r="QIG5" s="8"/>
      <c r="QIH5" s="8"/>
      <c r="QII5" s="8"/>
      <c r="QIJ5" s="8"/>
      <c r="QIK5" s="8"/>
      <c r="QIL5" s="8"/>
      <c r="QIM5" s="8"/>
      <c r="QIN5" s="8"/>
      <c r="QIO5" s="8"/>
      <c r="QIP5" s="8"/>
      <c r="QIQ5" s="8"/>
      <c r="QIR5" s="8"/>
      <c r="QIS5" s="8"/>
      <c r="QIT5" s="8"/>
      <c r="QIU5" s="8"/>
      <c r="QIV5" s="8"/>
      <c r="QIW5" s="8"/>
      <c r="QIX5" s="8"/>
      <c r="QIY5" s="8"/>
      <c r="QIZ5" s="8"/>
      <c r="QJA5" s="8"/>
      <c r="QJB5" s="8"/>
      <c r="QJC5" s="8"/>
      <c r="QJD5" s="8"/>
      <c r="QJE5" s="8"/>
      <c r="QJF5" s="8"/>
      <c r="QJG5" s="8"/>
      <c r="QJH5" s="8"/>
      <c r="QJI5" s="8"/>
      <c r="QJJ5" s="8"/>
      <c r="QJK5" s="8"/>
      <c r="QJL5" s="8"/>
      <c r="QJM5" s="8"/>
      <c r="QJN5" s="8"/>
      <c r="QJO5" s="8"/>
      <c r="QJP5" s="8"/>
      <c r="QJQ5" s="8"/>
      <c r="QJR5" s="8"/>
      <c r="QJS5" s="8"/>
      <c r="QJT5" s="8"/>
      <c r="QJU5" s="8"/>
      <c r="QJV5" s="8"/>
      <c r="QJW5" s="8"/>
      <c r="QJX5" s="8"/>
      <c r="QJY5" s="8"/>
      <c r="QJZ5" s="8"/>
      <c r="QKA5" s="8"/>
      <c r="QKB5" s="8"/>
      <c r="QKC5" s="8"/>
      <c r="QKD5" s="8"/>
      <c r="QKE5" s="8"/>
      <c r="QKF5" s="8"/>
      <c r="QKG5" s="8"/>
      <c r="QKH5" s="8"/>
      <c r="QKI5" s="8"/>
      <c r="QKJ5" s="8"/>
      <c r="QKK5" s="8"/>
      <c r="QKL5" s="8"/>
      <c r="QKM5" s="8"/>
      <c r="QKN5" s="8"/>
      <c r="QKO5" s="8"/>
      <c r="QKP5" s="8"/>
      <c r="QKQ5" s="8"/>
      <c r="QKR5" s="8"/>
      <c r="QKS5" s="8"/>
      <c r="QKT5" s="8"/>
      <c r="QKU5" s="8"/>
      <c r="QKV5" s="8"/>
      <c r="QKW5" s="8"/>
      <c r="QKX5" s="8"/>
      <c r="QKY5" s="8"/>
      <c r="QKZ5" s="8"/>
      <c r="QLA5" s="8"/>
      <c r="QLB5" s="8"/>
      <c r="QLC5" s="8"/>
      <c r="QLD5" s="8"/>
      <c r="QLE5" s="8"/>
      <c r="QLF5" s="8"/>
      <c r="QLG5" s="8"/>
      <c r="QLH5" s="8"/>
      <c r="QLI5" s="8"/>
      <c r="QLJ5" s="8"/>
      <c r="QLK5" s="8"/>
      <c r="QLL5" s="8"/>
      <c r="QLM5" s="8"/>
      <c r="QLN5" s="8"/>
      <c r="QLO5" s="8"/>
      <c r="QLP5" s="8"/>
      <c r="QLQ5" s="8"/>
      <c r="QLR5" s="8"/>
      <c r="QLS5" s="8"/>
      <c r="QLT5" s="8"/>
      <c r="QLU5" s="8"/>
      <c r="QLV5" s="8"/>
      <c r="QLW5" s="8"/>
      <c r="QLX5" s="8"/>
      <c r="QLY5" s="8"/>
      <c r="QLZ5" s="8"/>
      <c r="QMA5" s="8"/>
      <c r="QMB5" s="8"/>
      <c r="QMC5" s="8"/>
      <c r="QMD5" s="8"/>
      <c r="QME5" s="8"/>
      <c r="QMF5" s="8"/>
      <c r="QMG5" s="8"/>
      <c r="QMH5" s="8"/>
      <c r="QMI5" s="8"/>
      <c r="QMJ5" s="8"/>
      <c r="QMK5" s="8"/>
      <c r="QML5" s="8"/>
      <c r="QMM5" s="8"/>
      <c r="QMN5" s="8"/>
      <c r="QMO5" s="8"/>
      <c r="QMP5" s="8"/>
      <c r="QMQ5" s="8"/>
      <c r="QMR5" s="8"/>
      <c r="QMS5" s="8"/>
      <c r="QMT5" s="8"/>
      <c r="QMU5" s="8"/>
      <c r="QMV5" s="8"/>
      <c r="QMW5" s="8"/>
      <c r="QMX5" s="8"/>
      <c r="QMY5" s="8"/>
      <c r="QMZ5" s="8"/>
      <c r="QNA5" s="8"/>
      <c r="QNB5" s="8"/>
      <c r="QNC5" s="8"/>
      <c r="QND5" s="8"/>
      <c r="QNE5" s="8"/>
      <c r="QNF5" s="8"/>
      <c r="QNG5" s="8"/>
      <c r="QNH5" s="8"/>
      <c r="QNI5" s="8"/>
      <c r="QNJ5" s="8"/>
      <c r="QNK5" s="8"/>
      <c r="QNL5" s="8"/>
      <c r="QNM5" s="8"/>
      <c r="QNN5" s="8"/>
      <c r="QNO5" s="8"/>
      <c r="QNP5" s="8"/>
      <c r="QNQ5" s="8"/>
      <c r="QNR5" s="8"/>
      <c r="QNS5" s="8"/>
      <c r="QNT5" s="8"/>
      <c r="QNU5" s="8"/>
      <c r="QNV5" s="8"/>
      <c r="QNW5" s="8"/>
      <c r="QNX5" s="8"/>
      <c r="QNY5" s="8"/>
      <c r="QNZ5" s="8"/>
      <c r="QOA5" s="8"/>
      <c r="QOB5" s="8"/>
      <c r="QOC5" s="8"/>
      <c r="QOD5" s="8"/>
      <c r="QOE5" s="8"/>
      <c r="QOF5" s="8"/>
      <c r="QOG5" s="8"/>
      <c r="QOH5" s="8"/>
      <c r="QOI5" s="8"/>
      <c r="QOJ5" s="8"/>
      <c r="QOK5" s="8"/>
      <c r="QOL5" s="8"/>
      <c r="QOM5" s="8"/>
      <c r="QON5" s="8"/>
      <c r="QOO5" s="8"/>
      <c r="QOP5" s="8"/>
      <c r="QOQ5" s="8"/>
      <c r="QOR5" s="8"/>
      <c r="QOS5" s="8"/>
      <c r="QOT5" s="8"/>
      <c r="QOU5" s="8"/>
      <c r="QOV5" s="8"/>
      <c r="QOW5" s="8"/>
      <c r="QOX5" s="8"/>
      <c r="QOY5" s="8"/>
      <c r="QOZ5" s="8"/>
      <c r="QPA5" s="8"/>
      <c r="QPB5" s="8"/>
      <c r="QPC5" s="8"/>
      <c r="QPD5" s="8"/>
      <c r="QPE5" s="8"/>
      <c r="QPF5" s="8"/>
      <c r="QPG5" s="8"/>
      <c r="QPH5" s="8"/>
      <c r="QPI5" s="8"/>
      <c r="QPJ5" s="8"/>
      <c r="QPK5" s="8"/>
      <c r="QPL5" s="8"/>
      <c r="QPM5" s="8"/>
      <c r="QPN5" s="8"/>
      <c r="QPO5" s="8"/>
      <c r="QPP5" s="8"/>
      <c r="QPQ5" s="8"/>
      <c r="QPR5" s="8"/>
      <c r="QPS5" s="8"/>
      <c r="QPT5" s="8"/>
      <c r="QPU5" s="8"/>
      <c r="QPV5" s="8"/>
      <c r="QPW5" s="8"/>
      <c r="QPX5" s="8"/>
      <c r="QPY5" s="8"/>
      <c r="QPZ5" s="8"/>
      <c r="QQA5" s="8"/>
      <c r="QQB5" s="8"/>
      <c r="QQC5" s="8"/>
      <c r="QQD5" s="8"/>
      <c r="QQE5" s="8"/>
      <c r="QQF5" s="8"/>
      <c r="QQG5" s="8"/>
      <c r="QQH5" s="8"/>
      <c r="QQI5" s="8"/>
      <c r="QQJ5" s="8"/>
      <c r="QQK5" s="8"/>
      <c r="QQL5" s="8"/>
      <c r="QQM5" s="8"/>
      <c r="QQN5" s="8"/>
      <c r="QQO5" s="8"/>
      <c r="QQP5" s="8"/>
      <c r="QQQ5" s="8"/>
      <c r="QQR5" s="8"/>
      <c r="QQS5" s="8"/>
      <c r="QQT5" s="8"/>
      <c r="QQU5" s="8"/>
      <c r="QQV5" s="8"/>
      <c r="QQW5" s="8"/>
      <c r="QQX5" s="8"/>
      <c r="QQY5" s="8"/>
      <c r="QQZ5" s="8"/>
      <c r="QRA5" s="8"/>
      <c r="QRB5" s="8"/>
      <c r="QRC5" s="8"/>
      <c r="QRD5" s="8"/>
      <c r="QRE5" s="8"/>
      <c r="QRF5" s="8"/>
      <c r="QRG5" s="8"/>
      <c r="QRH5" s="8"/>
      <c r="QRI5" s="8"/>
      <c r="QRJ5" s="8"/>
      <c r="QRK5" s="8"/>
      <c r="QRL5" s="8"/>
      <c r="QRM5" s="8"/>
      <c r="QRN5" s="8"/>
      <c r="QRO5" s="8"/>
      <c r="QRP5" s="8"/>
      <c r="QRQ5" s="8"/>
      <c r="QRR5" s="8"/>
      <c r="QRS5" s="8"/>
      <c r="QRT5" s="8"/>
      <c r="QRU5" s="8"/>
      <c r="QRV5" s="8"/>
      <c r="QRW5" s="8"/>
      <c r="QRX5" s="8"/>
      <c r="QRY5" s="8"/>
      <c r="QRZ5" s="8"/>
      <c r="QSA5" s="8"/>
      <c r="QSB5" s="8"/>
      <c r="QSC5" s="8"/>
      <c r="QSD5" s="8"/>
      <c r="QSE5" s="8"/>
      <c r="QSF5" s="8"/>
      <c r="QSG5" s="8"/>
      <c r="QSH5" s="8"/>
      <c r="QSI5" s="8"/>
      <c r="QSJ5" s="8"/>
      <c r="QSK5" s="8"/>
      <c r="QSL5" s="8"/>
      <c r="QSM5" s="8"/>
      <c r="QSN5" s="8"/>
      <c r="QSO5" s="8"/>
      <c r="QSP5" s="8"/>
      <c r="QSQ5" s="8"/>
      <c r="QSR5" s="8"/>
      <c r="QSS5" s="8"/>
      <c r="QST5" s="8"/>
      <c r="QSU5" s="8"/>
      <c r="QSV5" s="8"/>
      <c r="QSW5" s="8"/>
      <c r="QSX5" s="8"/>
      <c r="QSY5" s="8"/>
      <c r="QSZ5" s="8"/>
      <c r="QTA5" s="8"/>
      <c r="QTB5" s="8"/>
      <c r="QTC5" s="8"/>
      <c r="QTD5" s="8"/>
      <c r="QTE5" s="8"/>
      <c r="QTF5" s="8"/>
      <c r="QTG5" s="8"/>
      <c r="QTH5" s="8"/>
      <c r="QTI5" s="8"/>
      <c r="QTJ5" s="8"/>
      <c r="QTK5" s="8"/>
      <c r="QTL5" s="8"/>
      <c r="QTM5" s="8"/>
      <c r="QTN5" s="8"/>
      <c r="QTO5" s="8"/>
      <c r="QTP5" s="8"/>
      <c r="QTQ5" s="8"/>
      <c r="QTR5" s="8"/>
      <c r="QTS5" s="8"/>
      <c r="QTT5" s="8"/>
      <c r="QTU5" s="8"/>
      <c r="QTV5" s="8"/>
      <c r="QTW5" s="8"/>
      <c r="QTX5" s="8"/>
      <c r="QTY5" s="8"/>
      <c r="QTZ5" s="8"/>
      <c r="QUA5" s="8"/>
      <c r="QUB5" s="8"/>
      <c r="QUC5" s="8"/>
      <c r="QUD5" s="8"/>
      <c r="QUE5" s="8"/>
      <c r="QUF5" s="8"/>
      <c r="QUG5" s="8"/>
      <c r="QUH5" s="8"/>
      <c r="QUI5" s="8"/>
      <c r="QUJ5" s="8"/>
      <c r="QUK5" s="8"/>
      <c r="QUL5" s="8"/>
      <c r="QUM5" s="8"/>
      <c r="QUN5" s="8"/>
      <c r="QUO5" s="8"/>
      <c r="QUP5" s="8"/>
      <c r="QUQ5" s="8"/>
      <c r="QUR5" s="8"/>
      <c r="QUS5" s="8"/>
      <c r="QUT5" s="8"/>
      <c r="QUU5" s="8"/>
      <c r="QUV5" s="8"/>
      <c r="QUW5" s="8"/>
      <c r="QUX5" s="8"/>
      <c r="QUY5" s="8"/>
      <c r="QUZ5" s="8"/>
      <c r="QVA5" s="8"/>
      <c r="QVB5" s="8"/>
      <c r="QVC5" s="8"/>
      <c r="QVD5" s="8"/>
      <c r="QVE5" s="8"/>
      <c r="QVF5" s="8"/>
      <c r="QVG5" s="8"/>
      <c r="QVH5" s="8"/>
      <c r="QVI5" s="8"/>
      <c r="QVJ5" s="8"/>
      <c r="QVK5" s="8"/>
      <c r="QVL5" s="8"/>
      <c r="QVM5" s="8"/>
      <c r="QVN5" s="8"/>
      <c r="QVO5" s="8"/>
      <c r="QVP5" s="8"/>
      <c r="QVQ5" s="8"/>
      <c r="QVR5" s="8"/>
      <c r="QVS5" s="8"/>
      <c r="QVT5" s="8"/>
      <c r="QVU5" s="8"/>
      <c r="QVV5" s="8"/>
      <c r="QVW5" s="8"/>
      <c r="QVX5" s="8"/>
      <c r="QVY5" s="8"/>
      <c r="QVZ5" s="8"/>
      <c r="QWA5" s="8"/>
      <c r="QWB5" s="8"/>
      <c r="QWC5" s="8"/>
      <c r="QWD5" s="8"/>
      <c r="QWE5" s="8"/>
      <c r="QWF5" s="8"/>
      <c r="QWG5" s="8"/>
      <c r="QWH5" s="8"/>
      <c r="QWI5" s="8"/>
      <c r="QWJ5" s="8"/>
      <c r="QWK5" s="8"/>
      <c r="QWL5" s="8"/>
      <c r="QWM5" s="8"/>
      <c r="QWN5" s="8"/>
      <c r="QWO5" s="8"/>
      <c r="QWP5" s="8"/>
      <c r="QWQ5" s="8"/>
      <c r="QWR5" s="8"/>
      <c r="QWS5" s="8"/>
      <c r="QWT5" s="8"/>
      <c r="QWU5" s="8"/>
      <c r="QWV5" s="8"/>
      <c r="QWW5" s="8"/>
      <c r="QWX5" s="8"/>
      <c r="QWY5" s="8"/>
      <c r="QWZ5" s="8"/>
      <c r="QXA5" s="8"/>
      <c r="QXB5" s="8"/>
      <c r="QXC5" s="8"/>
      <c r="QXD5" s="8"/>
      <c r="QXE5" s="8"/>
      <c r="QXF5" s="8"/>
      <c r="QXG5" s="8"/>
      <c r="QXH5" s="8"/>
      <c r="QXI5" s="8"/>
      <c r="QXJ5" s="8"/>
      <c r="QXK5" s="8"/>
      <c r="QXL5" s="8"/>
      <c r="QXM5" s="8"/>
      <c r="QXN5" s="8"/>
      <c r="QXO5" s="8"/>
      <c r="QXP5" s="8"/>
      <c r="QXQ5" s="8"/>
      <c r="QXR5" s="8"/>
      <c r="QXS5" s="8"/>
      <c r="QXT5" s="8"/>
      <c r="QXU5" s="8"/>
      <c r="QXV5" s="8"/>
      <c r="QXW5" s="8"/>
      <c r="QXX5" s="8"/>
      <c r="QXY5" s="8"/>
      <c r="QXZ5" s="8"/>
      <c r="QYA5" s="8"/>
      <c r="QYB5" s="8"/>
      <c r="QYC5" s="8"/>
      <c r="QYD5" s="8"/>
      <c r="QYE5" s="8"/>
      <c r="QYF5" s="8"/>
      <c r="QYG5" s="8"/>
      <c r="QYH5" s="8"/>
      <c r="QYI5" s="8"/>
      <c r="QYJ5" s="8"/>
      <c r="QYK5" s="8"/>
      <c r="QYL5" s="8"/>
      <c r="QYM5" s="8"/>
      <c r="QYN5" s="8"/>
      <c r="QYO5" s="8"/>
      <c r="QYP5" s="8"/>
      <c r="QYQ5" s="8"/>
      <c r="QYR5" s="8"/>
      <c r="QYS5" s="8"/>
      <c r="QYT5" s="8"/>
      <c r="QYU5" s="8"/>
      <c r="QYV5" s="8"/>
      <c r="QYW5" s="8"/>
      <c r="QYX5" s="8"/>
      <c r="QYY5" s="8"/>
      <c r="QYZ5" s="8"/>
      <c r="QZA5" s="8"/>
      <c r="QZB5" s="8"/>
      <c r="QZC5" s="8"/>
      <c r="QZD5" s="8"/>
      <c r="QZE5" s="8"/>
      <c r="QZF5" s="8"/>
      <c r="QZG5" s="8"/>
      <c r="QZH5" s="8"/>
      <c r="QZI5" s="8"/>
      <c r="QZJ5" s="8"/>
      <c r="QZK5" s="8"/>
      <c r="QZL5" s="8"/>
      <c r="QZM5" s="8"/>
      <c r="QZN5" s="8"/>
      <c r="QZO5" s="8"/>
      <c r="QZP5" s="8"/>
      <c r="QZQ5" s="8"/>
      <c r="QZR5" s="8"/>
      <c r="QZS5" s="8"/>
      <c r="QZT5" s="8"/>
      <c r="QZU5" s="8"/>
      <c r="QZV5" s="8"/>
      <c r="QZW5" s="8"/>
      <c r="QZX5" s="8"/>
      <c r="QZY5" s="8"/>
      <c r="QZZ5" s="8"/>
      <c r="RAA5" s="8"/>
      <c r="RAB5" s="8"/>
      <c r="RAC5" s="8"/>
      <c r="RAD5" s="8"/>
      <c r="RAE5" s="8"/>
      <c r="RAF5" s="8"/>
      <c r="RAG5" s="8"/>
      <c r="RAH5" s="8"/>
      <c r="RAI5" s="8"/>
      <c r="RAJ5" s="8"/>
      <c r="RAK5" s="8"/>
      <c r="RAL5" s="8"/>
      <c r="RAM5" s="8"/>
      <c r="RAN5" s="8"/>
      <c r="RAO5" s="8"/>
      <c r="RAP5" s="8"/>
      <c r="RAQ5" s="8"/>
      <c r="RAR5" s="8"/>
      <c r="RAS5" s="8"/>
      <c r="RAT5" s="8"/>
      <c r="RAU5" s="8"/>
      <c r="RAV5" s="8"/>
      <c r="RAW5" s="8"/>
      <c r="RAX5" s="8"/>
      <c r="RAY5" s="8"/>
      <c r="RAZ5" s="8"/>
      <c r="RBA5" s="8"/>
      <c r="RBB5" s="8"/>
      <c r="RBC5" s="8"/>
      <c r="RBD5" s="8"/>
      <c r="RBE5" s="8"/>
      <c r="RBF5" s="8"/>
      <c r="RBG5" s="8"/>
      <c r="RBH5" s="8"/>
      <c r="RBI5" s="8"/>
      <c r="RBJ5" s="8"/>
      <c r="RBK5" s="8"/>
      <c r="RBL5" s="8"/>
      <c r="RBM5" s="8"/>
      <c r="RBN5" s="8"/>
      <c r="RBO5" s="8"/>
      <c r="RBP5" s="8"/>
      <c r="RBQ5" s="8"/>
      <c r="RBR5" s="8"/>
      <c r="RBS5" s="8"/>
      <c r="RBT5" s="8"/>
      <c r="RBU5" s="8"/>
      <c r="RBV5" s="8"/>
      <c r="RBW5" s="8"/>
      <c r="RBX5" s="8"/>
      <c r="RBY5" s="8"/>
      <c r="RBZ5" s="8"/>
      <c r="RCA5" s="8"/>
      <c r="RCB5" s="8"/>
      <c r="RCC5" s="8"/>
      <c r="RCD5" s="8"/>
      <c r="RCE5" s="8"/>
      <c r="RCF5" s="8"/>
      <c r="RCG5" s="8"/>
      <c r="RCH5" s="8"/>
      <c r="RCI5" s="8"/>
      <c r="RCJ5" s="8"/>
      <c r="RCK5" s="8"/>
      <c r="RCL5" s="8"/>
      <c r="RCM5" s="8"/>
      <c r="RCN5" s="8"/>
      <c r="RCO5" s="8"/>
      <c r="RCP5" s="8"/>
      <c r="RCQ5" s="8"/>
      <c r="RCR5" s="8"/>
      <c r="RCS5" s="8"/>
      <c r="RCT5" s="8"/>
      <c r="RCU5" s="8"/>
      <c r="RCV5" s="8"/>
      <c r="RCW5" s="8"/>
      <c r="RCX5" s="8"/>
      <c r="RCY5" s="8"/>
      <c r="RCZ5" s="8"/>
      <c r="RDA5" s="8"/>
      <c r="RDB5" s="8"/>
      <c r="RDC5" s="8"/>
      <c r="RDD5" s="8"/>
      <c r="RDE5" s="8"/>
      <c r="RDF5" s="8"/>
      <c r="RDG5" s="8"/>
      <c r="RDH5" s="8"/>
      <c r="RDI5" s="8"/>
      <c r="RDJ5" s="8"/>
      <c r="RDK5" s="8"/>
      <c r="RDL5" s="8"/>
      <c r="RDM5" s="8"/>
      <c r="RDN5" s="8"/>
      <c r="RDO5" s="8"/>
      <c r="RDP5" s="8"/>
      <c r="RDQ5" s="8"/>
      <c r="RDR5" s="8"/>
      <c r="RDS5" s="8"/>
      <c r="RDT5" s="8"/>
      <c r="RDU5" s="8"/>
      <c r="RDV5" s="8"/>
      <c r="RDW5" s="8"/>
      <c r="RDX5" s="8"/>
      <c r="RDY5" s="8"/>
      <c r="RDZ5" s="8"/>
      <c r="REA5" s="8"/>
      <c r="REB5" s="8"/>
      <c r="REC5" s="8"/>
      <c r="RED5" s="8"/>
      <c r="REE5" s="8"/>
      <c r="REF5" s="8"/>
      <c r="REG5" s="8"/>
      <c r="REH5" s="8"/>
      <c r="REI5" s="8"/>
      <c r="REJ5" s="8"/>
      <c r="REK5" s="8"/>
      <c r="REL5" s="8"/>
      <c r="REM5" s="8"/>
      <c r="REN5" s="8"/>
      <c r="REO5" s="8"/>
      <c r="REP5" s="8"/>
      <c r="REQ5" s="8"/>
      <c r="RER5" s="8"/>
      <c r="RES5" s="8"/>
      <c r="RET5" s="8"/>
      <c r="REU5" s="8"/>
      <c r="REV5" s="8"/>
      <c r="REW5" s="8"/>
      <c r="REX5" s="8"/>
      <c r="REY5" s="8"/>
      <c r="REZ5" s="8"/>
      <c r="RFA5" s="8"/>
      <c r="RFB5" s="8"/>
      <c r="RFC5" s="8"/>
      <c r="RFD5" s="8"/>
      <c r="RFE5" s="8"/>
      <c r="RFF5" s="8"/>
      <c r="RFG5" s="8"/>
      <c r="RFH5" s="8"/>
      <c r="RFI5" s="8"/>
      <c r="RFJ5" s="8"/>
      <c r="RFK5" s="8"/>
      <c r="RFL5" s="8"/>
      <c r="RFM5" s="8"/>
      <c r="RFN5" s="8"/>
      <c r="RFO5" s="8"/>
      <c r="RFP5" s="8"/>
      <c r="RFQ5" s="8"/>
      <c r="RFR5" s="8"/>
      <c r="RFS5" s="8"/>
      <c r="RFT5" s="8"/>
      <c r="RFU5" s="8"/>
      <c r="RFV5" s="8"/>
      <c r="RFW5" s="8"/>
      <c r="RFX5" s="8"/>
      <c r="RFY5" s="8"/>
      <c r="RFZ5" s="8"/>
      <c r="RGA5" s="8"/>
      <c r="RGB5" s="8"/>
      <c r="RGC5" s="8"/>
      <c r="RGD5" s="8"/>
      <c r="RGE5" s="8"/>
      <c r="RGF5" s="8"/>
      <c r="RGG5" s="8"/>
      <c r="RGH5" s="8"/>
      <c r="RGI5" s="8"/>
      <c r="RGJ5" s="8"/>
      <c r="RGK5" s="8"/>
      <c r="RGL5" s="8"/>
      <c r="RGM5" s="8"/>
      <c r="RGN5" s="8"/>
      <c r="RGO5" s="8"/>
      <c r="RGP5" s="8"/>
      <c r="RGQ5" s="8"/>
      <c r="RGR5" s="8"/>
      <c r="RGS5" s="8"/>
      <c r="RGT5" s="8"/>
      <c r="RGU5" s="8"/>
      <c r="RGV5" s="8"/>
      <c r="RGW5" s="8"/>
      <c r="RGX5" s="8"/>
      <c r="RGY5" s="8"/>
      <c r="RGZ5" s="8"/>
      <c r="RHA5" s="8"/>
      <c r="RHB5" s="8"/>
      <c r="RHC5" s="8"/>
      <c r="RHD5" s="8"/>
      <c r="RHE5" s="8"/>
      <c r="RHF5" s="8"/>
      <c r="RHG5" s="8"/>
      <c r="RHH5" s="8"/>
      <c r="RHI5" s="8"/>
      <c r="RHJ5" s="8"/>
      <c r="RHK5" s="8"/>
      <c r="RHL5" s="8"/>
      <c r="RHM5" s="8"/>
      <c r="RHN5" s="8"/>
      <c r="RHO5" s="8"/>
      <c r="RHP5" s="8"/>
      <c r="RHQ5" s="8"/>
      <c r="RHR5" s="8"/>
      <c r="RHS5" s="8"/>
      <c r="RHT5" s="8"/>
      <c r="RHU5" s="8"/>
      <c r="RHV5" s="8"/>
      <c r="RHW5" s="8"/>
      <c r="RHX5" s="8"/>
      <c r="RHY5" s="8"/>
      <c r="RHZ5" s="8"/>
      <c r="RIA5" s="8"/>
      <c r="RIB5" s="8"/>
      <c r="RIC5" s="8"/>
      <c r="RID5" s="8"/>
      <c r="RIE5" s="8"/>
      <c r="RIF5" s="8"/>
      <c r="RIG5" s="8"/>
      <c r="RIH5" s="8"/>
      <c r="RII5" s="8"/>
      <c r="RIJ5" s="8"/>
      <c r="RIK5" s="8"/>
      <c r="RIL5" s="8"/>
      <c r="RIM5" s="8"/>
      <c r="RIN5" s="8"/>
      <c r="RIO5" s="8"/>
      <c r="RIP5" s="8"/>
      <c r="RIQ5" s="8"/>
      <c r="RIR5" s="8"/>
      <c r="RIS5" s="8"/>
      <c r="RIT5" s="8"/>
      <c r="RIU5" s="8"/>
      <c r="RIV5" s="8"/>
      <c r="RIW5" s="8"/>
      <c r="RIX5" s="8"/>
      <c r="RIY5" s="8"/>
      <c r="RIZ5" s="8"/>
      <c r="RJA5" s="8"/>
      <c r="RJB5" s="8"/>
      <c r="RJC5" s="8"/>
      <c r="RJD5" s="8"/>
      <c r="RJE5" s="8"/>
      <c r="RJF5" s="8"/>
      <c r="RJG5" s="8"/>
      <c r="RJH5" s="8"/>
      <c r="RJI5" s="8"/>
      <c r="RJJ5" s="8"/>
      <c r="RJK5" s="8"/>
      <c r="RJL5" s="8"/>
      <c r="RJM5" s="8"/>
      <c r="RJN5" s="8"/>
      <c r="RJO5" s="8"/>
      <c r="RJP5" s="8"/>
      <c r="RJQ5" s="8"/>
      <c r="RJR5" s="8"/>
      <c r="RJS5" s="8"/>
      <c r="RJT5" s="8"/>
      <c r="RJU5" s="8"/>
      <c r="RJV5" s="8"/>
      <c r="RJW5" s="8"/>
      <c r="RJX5" s="8"/>
      <c r="RJY5" s="8"/>
      <c r="RJZ5" s="8"/>
      <c r="RKA5" s="8"/>
      <c r="RKB5" s="8"/>
      <c r="RKC5" s="8"/>
      <c r="RKD5" s="8"/>
      <c r="RKE5" s="8"/>
      <c r="RKF5" s="8"/>
      <c r="RKG5" s="8"/>
      <c r="RKH5" s="8"/>
      <c r="RKI5" s="8"/>
      <c r="RKJ5" s="8"/>
      <c r="RKK5" s="8"/>
      <c r="RKL5" s="8"/>
      <c r="RKM5" s="8"/>
      <c r="RKN5" s="8"/>
      <c r="RKO5" s="8"/>
      <c r="RKP5" s="8"/>
      <c r="RKQ5" s="8"/>
      <c r="RKR5" s="8"/>
      <c r="RKS5" s="8"/>
      <c r="RKT5" s="8"/>
      <c r="RKU5" s="8"/>
      <c r="RKV5" s="8"/>
      <c r="RKW5" s="8"/>
      <c r="RKX5" s="8"/>
      <c r="RKY5" s="8"/>
      <c r="RKZ5" s="8"/>
      <c r="RLA5" s="8"/>
      <c r="RLB5" s="8"/>
      <c r="RLC5" s="8"/>
      <c r="RLD5" s="8"/>
      <c r="RLE5" s="8"/>
      <c r="RLF5" s="8"/>
      <c r="RLG5" s="8"/>
      <c r="RLH5" s="8"/>
      <c r="RLI5" s="8"/>
      <c r="RLJ5" s="8"/>
      <c r="RLK5" s="8"/>
      <c r="RLL5" s="8"/>
      <c r="RLM5" s="8"/>
      <c r="RLN5" s="8"/>
      <c r="RLO5" s="8"/>
      <c r="RLP5" s="8"/>
      <c r="RLQ5" s="8"/>
      <c r="RLR5" s="8"/>
      <c r="RLS5" s="8"/>
      <c r="RLT5" s="8"/>
      <c r="RLU5" s="8"/>
      <c r="RLV5" s="8"/>
      <c r="RLW5" s="8"/>
      <c r="RLX5" s="8"/>
      <c r="RLY5" s="8"/>
      <c r="RLZ5" s="8"/>
      <c r="RMA5" s="8"/>
      <c r="RMB5" s="8"/>
      <c r="RMC5" s="8"/>
      <c r="RMD5" s="8"/>
      <c r="RME5" s="8"/>
      <c r="RMF5" s="8"/>
      <c r="RMG5" s="8"/>
      <c r="RMH5" s="8"/>
      <c r="RMI5" s="8"/>
      <c r="RMJ5" s="8"/>
      <c r="RMK5" s="8"/>
      <c r="RML5" s="8"/>
      <c r="RMM5" s="8"/>
      <c r="RMN5" s="8"/>
      <c r="RMO5" s="8"/>
      <c r="RMP5" s="8"/>
      <c r="RMQ5" s="8"/>
      <c r="RMR5" s="8"/>
      <c r="RMS5" s="8"/>
      <c r="RMT5" s="8"/>
      <c r="RMU5" s="8"/>
      <c r="RMV5" s="8"/>
      <c r="RMW5" s="8"/>
      <c r="RMX5" s="8"/>
      <c r="RMY5" s="8"/>
      <c r="RMZ5" s="8"/>
      <c r="RNA5" s="8"/>
      <c r="RNB5" s="8"/>
      <c r="RNC5" s="8"/>
      <c r="RND5" s="8"/>
      <c r="RNE5" s="8"/>
      <c r="RNF5" s="8"/>
      <c r="RNG5" s="8"/>
      <c r="RNH5" s="8"/>
      <c r="RNI5" s="8"/>
      <c r="RNJ5" s="8"/>
      <c r="RNK5" s="8"/>
      <c r="RNL5" s="8"/>
      <c r="RNM5" s="8"/>
      <c r="RNN5" s="8"/>
      <c r="RNO5" s="8"/>
      <c r="RNP5" s="8"/>
      <c r="RNQ5" s="8"/>
      <c r="RNR5" s="8"/>
      <c r="RNS5" s="8"/>
      <c r="RNT5" s="8"/>
      <c r="RNU5" s="8"/>
      <c r="RNV5" s="8"/>
      <c r="RNW5" s="8"/>
      <c r="RNX5" s="8"/>
      <c r="RNY5" s="8"/>
      <c r="RNZ5" s="8"/>
      <c r="ROA5" s="8"/>
      <c r="ROB5" s="8"/>
      <c r="ROC5" s="8"/>
      <c r="ROD5" s="8"/>
      <c r="ROE5" s="8"/>
      <c r="ROF5" s="8"/>
      <c r="ROG5" s="8"/>
      <c r="ROH5" s="8"/>
      <c r="ROI5" s="8"/>
      <c r="ROJ5" s="8"/>
      <c r="ROK5" s="8"/>
      <c r="ROL5" s="8"/>
      <c r="ROM5" s="8"/>
      <c r="RON5" s="8"/>
      <c r="ROO5" s="8"/>
      <c r="ROP5" s="8"/>
      <c r="ROQ5" s="8"/>
      <c r="ROR5" s="8"/>
      <c r="ROS5" s="8"/>
      <c r="ROT5" s="8"/>
      <c r="ROU5" s="8"/>
      <c r="ROV5" s="8"/>
      <c r="ROW5" s="8"/>
      <c r="ROX5" s="8"/>
      <c r="ROY5" s="8"/>
      <c r="ROZ5" s="8"/>
      <c r="RPA5" s="8"/>
      <c r="RPB5" s="8"/>
      <c r="RPC5" s="8"/>
      <c r="RPD5" s="8"/>
      <c r="RPE5" s="8"/>
      <c r="RPF5" s="8"/>
      <c r="RPG5" s="8"/>
      <c r="RPH5" s="8"/>
      <c r="RPI5" s="8"/>
      <c r="RPJ5" s="8"/>
      <c r="RPK5" s="8"/>
      <c r="RPL5" s="8"/>
      <c r="RPM5" s="8"/>
      <c r="RPN5" s="8"/>
      <c r="RPO5" s="8"/>
      <c r="RPP5" s="8"/>
      <c r="RPQ5" s="8"/>
      <c r="RPR5" s="8"/>
      <c r="RPS5" s="8"/>
      <c r="RPT5" s="8"/>
      <c r="RPU5" s="8"/>
      <c r="RPV5" s="8"/>
      <c r="RPW5" s="8"/>
      <c r="RPX5" s="8"/>
      <c r="RPY5" s="8"/>
      <c r="RPZ5" s="8"/>
      <c r="RQA5" s="8"/>
      <c r="RQB5" s="8"/>
      <c r="RQC5" s="8"/>
      <c r="RQD5" s="8"/>
      <c r="RQE5" s="8"/>
      <c r="RQF5" s="8"/>
      <c r="RQG5" s="8"/>
      <c r="RQH5" s="8"/>
      <c r="RQI5" s="8"/>
      <c r="RQJ5" s="8"/>
      <c r="RQK5" s="8"/>
      <c r="RQL5" s="8"/>
      <c r="RQM5" s="8"/>
      <c r="RQN5" s="8"/>
      <c r="RQO5" s="8"/>
      <c r="RQP5" s="8"/>
      <c r="RQQ5" s="8"/>
      <c r="RQR5" s="8"/>
      <c r="RQS5" s="8"/>
      <c r="RQT5" s="8"/>
      <c r="RQU5" s="8"/>
      <c r="RQV5" s="8"/>
      <c r="RQW5" s="8"/>
      <c r="RQX5" s="8"/>
      <c r="RQY5" s="8"/>
      <c r="RQZ5" s="8"/>
      <c r="RRA5" s="8"/>
      <c r="RRB5" s="8"/>
      <c r="RRC5" s="8"/>
      <c r="RRD5" s="8"/>
      <c r="RRE5" s="8"/>
      <c r="RRF5" s="8"/>
      <c r="RRG5" s="8"/>
      <c r="RRH5" s="8"/>
      <c r="RRI5" s="8"/>
      <c r="RRJ5" s="8"/>
      <c r="RRK5" s="8"/>
      <c r="RRL5" s="8"/>
      <c r="RRM5" s="8"/>
      <c r="RRN5" s="8"/>
      <c r="RRO5" s="8"/>
      <c r="RRP5" s="8"/>
      <c r="RRQ5" s="8"/>
      <c r="RRR5" s="8"/>
      <c r="RRS5" s="8"/>
      <c r="RRT5" s="8"/>
      <c r="RRU5" s="8"/>
      <c r="RRV5" s="8"/>
      <c r="RRW5" s="8"/>
      <c r="RRX5" s="8"/>
      <c r="RRY5" s="8"/>
      <c r="RRZ5" s="8"/>
      <c r="RSA5" s="8"/>
      <c r="RSB5" s="8"/>
      <c r="RSC5" s="8"/>
      <c r="RSD5" s="8"/>
      <c r="RSE5" s="8"/>
      <c r="RSF5" s="8"/>
      <c r="RSG5" s="8"/>
      <c r="RSH5" s="8"/>
      <c r="RSI5" s="8"/>
      <c r="RSJ5" s="8"/>
      <c r="RSK5" s="8"/>
      <c r="RSL5" s="8"/>
      <c r="RSM5" s="8"/>
      <c r="RSN5" s="8"/>
      <c r="RSO5" s="8"/>
      <c r="RSP5" s="8"/>
      <c r="RSQ5" s="8"/>
      <c r="RSR5" s="8"/>
      <c r="RSS5" s="8"/>
      <c r="RST5" s="8"/>
      <c r="RSU5" s="8"/>
      <c r="RSV5" s="8"/>
      <c r="RSW5" s="8"/>
      <c r="RSX5" s="8"/>
      <c r="RSY5" s="8"/>
      <c r="RSZ5" s="8"/>
      <c r="RTA5" s="8"/>
      <c r="RTB5" s="8"/>
      <c r="RTC5" s="8"/>
      <c r="RTD5" s="8"/>
      <c r="RTE5" s="8"/>
      <c r="RTF5" s="8"/>
      <c r="RTG5" s="8"/>
      <c r="RTH5" s="8"/>
      <c r="RTI5" s="8"/>
      <c r="RTJ5" s="8"/>
      <c r="RTK5" s="8"/>
      <c r="RTL5" s="8"/>
      <c r="RTM5" s="8"/>
      <c r="RTN5" s="8"/>
      <c r="RTO5" s="8"/>
      <c r="RTP5" s="8"/>
      <c r="RTQ5" s="8"/>
      <c r="RTR5" s="8"/>
      <c r="RTS5" s="8"/>
      <c r="RTT5" s="8"/>
      <c r="RTU5" s="8"/>
      <c r="RTV5" s="8"/>
      <c r="RTW5" s="8"/>
      <c r="RTX5" s="8"/>
      <c r="RTY5" s="8"/>
      <c r="RTZ5" s="8"/>
      <c r="RUA5" s="8"/>
      <c r="RUB5" s="8"/>
      <c r="RUC5" s="8"/>
      <c r="RUD5" s="8"/>
      <c r="RUE5" s="8"/>
      <c r="RUF5" s="8"/>
      <c r="RUG5" s="8"/>
      <c r="RUH5" s="8"/>
      <c r="RUI5" s="8"/>
      <c r="RUJ5" s="8"/>
      <c r="RUK5" s="8"/>
      <c r="RUL5" s="8"/>
      <c r="RUM5" s="8"/>
      <c r="RUN5" s="8"/>
      <c r="RUO5" s="8"/>
      <c r="RUP5" s="8"/>
      <c r="RUQ5" s="8"/>
      <c r="RUR5" s="8"/>
      <c r="RUS5" s="8"/>
      <c r="RUT5" s="8"/>
      <c r="RUU5" s="8"/>
      <c r="RUV5" s="8"/>
      <c r="RUW5" s="8"/>
      <c r="RUX5" s="8"/>
      <c r="RUY5" s="8"/>
      <c r="RUZ5" s="8"/>
      <c r="RVA5" s="8"/>
      <c r="RVB5" s="8"/>
      <c r="RVC5" s="8"/>
      <c r="RVD5" s="8"/>
      <c r="RVE5" s="8"/>
      <c r="RVF5" s="8"/>
      <c r="RVG5" s="8"/>
      <c r="RVH5" s="8"/>
      <c r="RVI5" s="8"/>
      <c r="RVJ5" s="8"/>
      <c r="RVK5" s="8"/>
      <c r="RVL5" s="8"/>
      <c r="RVM5" s="8"/>
      <c r="RVN5" s="8"/>
      <c r="RVO5" s="8"/>
      <c r="RVP5" s="8"/>
      <c r="RVQ5" s="8"/>
      <c r="RVR5" s="8"/>
      <c r="RVS5" s="8"/>
      <c r="RVT5" s="8"/>
      <c r="RVU5" s="8"/>
      <c r="RVV5" s="8"/>
      <c r="RVW5" s="8"/>
      <c r="RVX5" s="8"/>
      <c r="RVY5" s="8"/>
      <c r="RVZ5" s="8"/>
      <c r="RWA5" s="8"/>
      <c r="RWB5" s="8"/>
      <c r="RWC5" s="8"/>
      <c r="RWD5" s="8"/>
      <c r="RWE5" s="8"/>
      <c r="RWF5" s="8"/>
      <c r="RWG5" s="8"/>
      <c r="RWH5" s="8"/>
      <c r="RWI5" s="8"/>
      <c r="RWJ5" s="8"/>
      <c r="RWK5" s="8"/>
      <c r="RWL5" s="8"/>
      <c r="RWM5" s="8"/>
      <c r="RWN5" s="8"/>
      <c r="RWO5" s="8"/>
      <c r="RWP5" s="8"/>
      <c r="RWQ5" s="8"/>
      <c r="RWR5" s="8"/>
      <c r="RWS5" s="8"/>
      <c r="RWT5" s="8"/>
      <c r="RWU5" s="8"/>
      <c r="RWV5" s="8"/>
      <c r="RWW5" s="8"/>
      <c r="RWX5" s="8"/>
      <c r="RWY5" s="8"/>
      <c r="RWZ5" s="8"/>
      <c r="RXA5" s="8"/>
      <c r="RXB5" s="8"/>
      <c r="RXC5" s="8"/>
      <c r="RXD5" s="8"/>
      <c r="RXE5" s="8"/>
      <c r="RXF5" s="8"/>
      <c r="RXG5" s="8"/>
      <c r="RXH5" s="8"/>
      <c r="RXI5" s="8"/>
      <c r="RXJ5" s="8"/>
      <c r="RXK5" s="8"/>
      <c r="RXL5" s="8"/>
      <c r="RXM5" s="8"/>
      <c r="RXN5" s="8"/>
      <c r="RXO5" s="8"/>
      <c r="RXP5" s="8"/>
      <c r="RXQ5" s="8"/>
      <c r="RXR5" s="8"/>
      <c r="RXS5" s="8"/>
      <c r="RXT5" s="8"/>
      <c r="RXU5" s="8"/>
      <c r="RXV5" s="8"/>
      <c r="RXW5" s="8"/>
      <c r="RXX5" s="8"/>
      <c r="RXY5" s="8"/>
      <c r="RXZ5" s="8"/>
      <c r="RYA5" s="8"/>
      <c r="RYB5" s="8"/>
      <c r="RYC5" s="8"/>
      <c r="RYD5" s="8"/>
      <c r="RYE5" s="8"/>
      <c r="RYF5" s="8"/>
      <c r="RYG5" s="8"/>
      <c r="RYH5" s="8"/>
      <c r="RYI5" s="8"/>
      <c r="RYJ5" s="8"/>
      <c r="RYK5" s="8"/>
      <c r="RYL5" s="8"/>
      <c r="RYM5" s="8"/>
      <c r="RYN5" s="8"/>
      <c r="RYO5" s="8"/>
      <c r="RYP5" s="8"/>
      <c r="RYQ5" s="8"/>
      <c r="RYR5" s="8"/>
      <c r="RYS5" s="8"/>
      <c r="RYT5" s="8"/>
      <c r="RYU5" s="8"/>
      <c r="RYV5" s="8"/>
      <c r="RYW5" s="8"/>
      <c r="RYX5" s="8"/>
      <c r="RYY5" s="8"/>
      <c r="RYZ5" s="8"/>
      <c r="RZA5" s="8"/>
      <c r="RZB5" s="8"/>
      <c r="RZC5" s="8"/>
      <c r="RZD5" s="8"/>
      <c r="RZE5" s="8"/>
      <c r="RZF5" s="8"/>
      <c r="RZG5" s="8"/>
      <c r="RZH5" s="8"/>
      <c r="RZI5" s="8"/>
      <c r="RZJ5" s="8"/>
      <c r="RZK5" s="8"/>
      <c r="RZL5" s="8"/>
      <c r="RZM5" s="8"/>
      <c r="RZN5" s="8"/>
      <c r="RZO5" s="8"/>
      <c r="RZP5" s="8"/>
      <c r="RZQ5" s="8"/>
      <c r="RZR5" s="8"/>
      <c r="RZS5" s="8"/>
      <c r="RZT5" s="8"/>
      <c r="RZU5" s="8"/>
      <c r="RZV5" s="8"/>
      <c r="RZW5" s="8"/>
      <c r="RZX5" s="8"/>
      <c r="RZY5" s="8"/>
      <c r="RZZ5" s="8"/>
      <c r="SAA5" s="8"/>
      <c r="SAB5" s="8"/>
      <c r="SAC5" s="8"/>
      <c r="SAD5" s="8"/>
      <c r="SAE5" s="8"/>
      <c r="SAF5" s="8"/>
      <c r="SAG5" s="8"/>
      <c r="SAH5" s="8"/>
      <c r="SAI5" s="8"/>
      <c r="SAJ5" s="8"/>
      <c r="SAK5" s="8"/>
      <c r="SAL5" s="8"/>
      <c r="SAM5" s="8"/>
      <c r="SAN5" s="8"/>
      <c r="SAO5" s="8"/>
      <c r="SAP5" s="8"/>
      <c r="SAQ5" s="8"/>
      <c r="SAR5" s="8"/>
      <c r="SAS5" s="8"/>
      <c r="SAT5" s="8"/>
      <c r="SAU5" s="8"/>
      <c r="SAV5" s="8"/>
      <c r="SAW5" s="8"/>
      <c r="SAX5" s="8"/>
      <c r="SAY5" s="8"/>
      <c r="SAZ5" s="8"/>
      <c r="SBA5" s="8"/>
      <c r="SBB5" s="8"/>
      <c r="SBC5" s="8"/>
      <c r="SBD5" s="8"/>
      <c r="SBE5" s="8"/>
      <c r="SBF5" s="8"/>
      <c r="SBG5" s="8"/>
      <c r="SBH5" s="8"/>
      <c r="SBI5" s="8"/>
      <c r="SBJ5" s="8"/>
      <c r="SBK5" s="8"/>
      <c r="SBL5" s="8"/>
      <c r="SBM5" s="8"/>
      <c r="SBN5" s="8"/>
      <c r="SBO5" s="8"/>
      <c r="SBP5" s="8"/>
      <c r="SBQ5" s="8"/>
      <c r="SBR5" s="8"/>
      <c r="SBS5" s="8"/>
      <c r="SBT5" s="8"/>
      <c r="SBU5" s="8"/>
      <c r="SBV5" s="8"/>
      <c r="SBW5" s="8"/>
      <c r="SBX5" s="8"/>
      <c r="SBY5" s="8"/>
      <c r="SBZ5" s="8"/>
      <c r="SCA5" s="8"/>
      <c r="SCB5" s="8"/>
      <c r="SCC5" s="8"/>
      <c r="SCD5" s="8"/>
      <c r="SCE5" s="8"/>
      <c r="SCF5" s="8"/>
      <c r="SCG5" s="8"/>
      <c r="SCH5" s="8"/>
      <c r="SCI5" s="8"/>
      <c r="SCJ5" s="8"/>
      <c r="SCK5" s="8"/>
      <c r="SCL5" s="8"/>
      <c r="SCM5" s="8"/>
      <c r="SCN5" s="8"/>
      <c r="SCO5" s="8"/>
      <c r="SCP5" s="8"/>
      <c r="SCQ5" s="8"/>
      <c r="SCR5" s="8"/>
      <c r="SCS5" s="8"/>
      <c r="SCT5" s="8"/>
      <c r="SCU5" s="8"/>
      <c r="SCV5" s="8"/>
      <c r="SCW5" s="8"/>
      <c r="SCX5" s="8"/>
      <c r="SCY5" s="8"/>
      <c r="SCZ5" s="8"/>
      <c r="SDA5" s="8"/>
      <c r="SDB5" s="8"/>
      <c r="SDC5" s="8"/>
      <c r="SDD5" s="8"/>
      <c r="SDE5" s="8"/>
      <c r="SDF5" s="8"/>
      <c r="SDG5" s="8"/>
      <c r="SDH5" s="8"/>
      <c r="SDI5" s="8"/>
      <c r="SDJ5" s="8"/>
      <c r="SDK5" s="8"/>
      <c r="SDL5" s="8"/>
      <c r="SDM5" s="8"/>
      <c r="SDN5" s="8"/>
      <c r="SDO5" s="8"/>
      <c r="SDP5" s="8"/>
      <c r="SDQ5" s="8"/>
      <c r="SDR5" s="8"/>
      <c r="SDS5" s="8"/>
      <c r="SDT5" s="8"/>
      <c r="SDU5" s="8"/>
      <c r="SDV5" s="8"/>
      <c r="SDW5" s="8"/>
      <c r="SDX5" s="8"/>
      <c r="SDY5" s="8"/>
      <c r="SDZ5" s="8"/>
      <c r="SEA5" s="8"/>
      <c r="SEB5" s="8"/>
      <c r="SEC5" s="8"/>
      <c r="SED5" s="8"/>
      <c r="SEE5" s="8"/>
      <c r="SEF5" s="8"/>
      <c r="SEG5" s="8"/>
      <c r="SEH5" s="8"/>
      <c r="SEI5" s="8"/>
      <c r="SEJ5" s="8"/>
      <c r="SEK5" s="8"/>
      <c r="SEL5" s="8"/>
      <c r="SEM5" s="8"/>
      <c r="SEN5" s="8"/>
      <c r="SEO5" s="8"/>
      <c r="SEP5" s="8"/>
      <c r="SEQ5" s="8"/>
      <c r="SER5" s="8"/>
      <c r="SES5" s="8"/>
      <c r="SET5" s="8"/>
      <c r="SEU5" s="8"/>
      <c r="SEV5" s="8"/>
      <c r="SEW5" s="8"/>
      <c r="SEX5" s="8"/>
      <c r="SEY5" s="8"/>
      <c r="SEZ5" s="8"/>
      <c r="SFA5" s="8"/>
      <c r="SFB5" s="8"/>
      <c r="SFC5" s="8"/>
      <c r="SFD5" s="8"/>
      <c r="SFE5" s="8"/>
      <c r="SFF5" s="8"/>
      <c r="SFG5" s="8"/>
      <c r="SFH5" s="8"/>
      <c r="SFI5" s="8"/>
      <c r="SFJ5" s="8"/>
      <c r="SFK5" s="8"/>
      <c r="SFL5" s="8"/>
      <c r="SFM5" s="8"/>
      <c r="SFN5" s="8"/>
      <c r="SFO5" s="8"/>
      <c r="SFP5" s="8"/>
      <c r="SFQ5" s="8"/>
      <c r="SFR5" s="8"/>
      <c r="SFS5" s="8"/>
      <c r="SFT5" s="8"/>
      <c r="SFU5" s="8"/>
      <c r="SFV5" s="8"/>
      <c r="SFW5" s="8"/>
      <c r="SFX5" s="8"/>
      <c r="SFY5" s="8"/>
      <c r="SFZ5" s="8"/>
      <c r="SGA5" s="8"/>
      <c r="SGB5" s="8"/>
      <c r="SGC5" s="8"/>
      <c r="SGD5" s="8"/>
      <c r="SGE5" s="8"/>
      <c r="SGF5" s="8"/>
      <c r="SGG5" s="8"/>
      <c r="SGH5" s="8"/>
      <c r="SGI5" s="8"/>
      <c r="SGJ5" s="8"/>
      <c r="SGK5" s="8"/>
      <c r="SGL5" s="8"/>
      <c r="SGM5" s="8"/>
      <c r="SGN5" s="8"/>
      <c r="SGO5" s="8"/>
      <c r="SGP5" s="8"/>
      <c r="SGQ5" s="8"/>
      <c r="SGR5" s="8"/>
      <c r="SGS5" s="8"/>
      <c r="SGT5" s="8"/>
      <c r="SGU5" s="8"/>
      <c r="SGV5" s="8"/>
      <c r="SGW5" s="8"/>
      <c r="SGX5" s="8"/>
      <c r="SGY5" s="8"/>
      <c r="SGZ5" s="8"/>
      <c r="SHA5" s="8"/>
      <c r="SHB5" s="8"/>
      <c r="SHC5" s="8"/>
      <c r="SHD5" s="8"/>
      <c r="SHE5" s="8"/>
      <c r="SHF5" s="8"/>
      <c r="SHG5" s="8"/>
      <c r="SHH5" s="8"/>
      <c r="SHI5" s="8"/>
      <c r="SHJ5" s="8"/>
      <c r="SHK5" s="8"/>
      <c r="SHL5" s="8"/>
      <c r="SHM5" s="8"/>
      <c r="SHN5" s="8"/>
      <c r="SHO5" s="8"/>
      <c r="SHP5" s="8"/>
      <c r="SHQ5" s="8"/>
      <c r="SHR5" s="8"/>
      <c r="SHS5" s="8"/>
      <c r="SHT5" s="8"/>
      <c r="SHU5" s="8"/>
      <c r="SHV5" s="8"/>
      <c r="SHW5" s="8"/>
      <c r="SHX5" s="8"/>
      <c r="SHY5" s="8"/>
      <c r="SHZ5" s="8"/>
      <c r="SIA5" s="8"/>
      <c r="SIB5" s="8"/>
      <c r="SIC5" s="8"/>
      <c r="SID5" s="8"/>
      <c r="SIE5" s="8"/>
      <c r="SIF5" s="8"/>
      <c r="SIG5" s="8"/>
      <c r="SIH5" s="8"/>
      <c r="SII5" s="8"/>
      <c r="SIJ5" s="8"/>
      <c r="SIK5" s="8"/>
      <c r="SIL5" s="8"/>
      <c r="SIM5" s="8"/>
      <c r="SIN5" s="8"/>
      <c r="SIO5" s="8"/>
      <c r="SIP5" s="8"/>
      <c r="SIQ5" s="8"/>
      <c r="SIR5" s="8"/>
      <c r="SIS5" s="8"/>
      <c r="SIT5" s="8"/>
      <c r="SIU5" s="8"/>
      <c r="SIV5" s="8"/>
      <c r="SIW5" s="8"/>
      <c r="SIX5" s="8"/>
      <c r="SIY5" s="8"/>
      <c r="SIZ5" s="8"/>
      <c r="SJA5" s="8"/>
      <c r="SJB5" s="8"/>
      <c r="SJC5" s="8"/>
      <c r="SJD5" s="8"/>
      <c r="SJE5" s="8"/>
      <c r="SJF5" s="8"/>
      <c r="SJG5" s="8"/>
      <c r="SJH5" s="8"/>
      <c r="SJI5" s="8"/>
      <c r="SJJ5" s="8"/>
      <c r="SJK5" s="8"/>
      <c r="SJL5" s="8"/>
      <c r="SJM5" s="8"/>
      <c r="SJN5" s="8"/>
      <c r="SJO5" s="8"/>
      <c r="SJP5" s="8"/>
      <c r="SJQ5" s="8"/>
      <c r="SJR5" s="8"/>
      <c r="SJS5" s="8"/>
      <c r="SJT5" s="8"/>
      <c r="SJU5" s="8"/>
      <c r="SJV5" s="8"/>
      <c r="SJW5" s="8"/>
      <c r="SJX5" s="8"/>
      <c r="SJY5" s="8"/>
      <c r="SJZ5" s="8"/>
      <c r="SKA5" s="8"/>
      <c r="SKB5" s="8"/>
      <c r="SKC5" s="8"/>
      <c r="SKD5" s="8"/>
      <c r="SKE5" s="8"/>
      <c r="SKF5" s="8"/>
      <c r="SKG5" s="8"/>
      <c r="SKH5" s="8"/>
      <c r="SKI5" s="8"/>
      <c r="SKJ5" s="8"/>
      <c r="SKK5" s="8"/>
      <c r="SKL5" s="8"/>
      <c r="SKM5" s="8"/>
      <c r="SKN5" s="8"/>
      <c r="SKO5" s="8"/>
      <c r="SKP5" s="8"/>
      <c r="SKQ5" s="8"/>
      <c r="SKR5" s="8"/>
      <c r="SKS5" s="8"/>
      <c r="SKT5" s="8"/>
      <c r="SKU5" s="8"/>
      <c r="SKV5" s="8"/>
      <c r="SKW5" s="8"/>
      <c r="SKX5" s="8"/>
      <c r="SKY5" s="8"/>
      <c r="SKZ5" s="8"/>
      <c r="SLA5" s="8"/>
      <c r="SLB5" s="8"/>
      <c r="SLC5" s="8"/>
      <c r="SLD5" s="8"/>
      <c r="SLE5" s="8"/>
      <c r="SLF5" s="8"/>
      <c r="SLG5" s="8"/>
      <c r="SLH5" s="8"/>
      <c r="SLI5" s="8"/>
      <c r="SLJ5" s="8"/>
      <c r="SLK5" s="8"/>
      <c r="SLL5" s="8"/>
      <c r="SLM5" s="8"/>
      <c r="SLN5" s="8"/>
      <c r="SLO5" s="8"/>
      <c r="SLP5" s="8"/>
      <c r="SLQ5" s="8"/>
      <c r="SLR5" s="8"/>
      <c r="SLS5" s="8"/>
      <c r="SLT5" s="8"/>
      <c r="SLU5" s="8"/>
      <c r="SLV5" s="8"/>
      <c r="SLW5" s="8"/>
      <c r="SLX5" s="8"/>
      <c r="SLY5" s="8"/>
      <c r="SLZ5" s="8"/>
      <c r="SMA5" s="8"/>
      <c r="SMB5" s="8"/>
      <c r="SMC5" s="8"/>
      <c r="SMD5" s="8"/>
      <c r="SME5" s="8"/>
      <c r="SMF5" s="8"/>
      <c r="SMG5" s="8"/>
      <c r="SMH5" s="8"/>
      <c r="SMI5" s="8"/>
      <c r="SMJ5" s="8"/>
      <c r="SMK5" s="8"/>
      <c r="SML5" s="8"/>
      <c r="SMM5" s="8"/>
      <c r="SMN5" s="8"/>
      <c r="SMO5" s="8"/>
      <c r="SMP5" s="8"/>
      <c r="SMQ5" s="8"/>
      <c r="SMR5" s="8"/>
      <c r="SMS5" s="8"/>
      <c r="SMT5" s="8"/>
      <c r="SMU5" s="8"/>
      <c r="SMV5" s="8"/>
      <c r="SMW5" s="8"/>
      <c r="SMX5" s="8"/>
      <c r="SMY5" s="8"/>
      <c r="SMZ5" s="8"/>
      <c r="SNA5" s="8"/>
      <c r="SNB5" s="8"/>
      <c r="SNC5" s="8"/>
      <c r="SND5" s="8"/>
      <c r="SNE5" s="8"/>
      <c r="SNF5" s="8"/>
      <c r="SNG5" s="8"/>
      <c r="SNH5" s="8"/>
      <c r="SNI5" s="8"/>
      <c r="SNJ5" s="8"/>
      <c r="SNK5" s="8"/>
      <c r="SNL5" s="8"/>
      <c r="SNM5" s="8"/>
      <c r="SNN5" s="8"/>
      <c r="SNO5" s="8"/>
      <c r="SNP5" s="8"/>
      <c r="SNQ5" s="8"/>
      <c r="SNR5" s="8"/>
      <c r="SNS5" s="8"/>
      <c r="SNT5" s="8"/>
      <c r="SNU5" s="8"/>
      <c r="SNV5" s="8"/>
      <c r="SNW5" s="8"/>
      <c r="SNX5" s="8"/>
      <c r="SNY5" s="8"/>
      <c r="SNZ5" s="8"/>
      <c r="SOA5" s="8"/>
      <c r="SOB5" s="8"/>
      <c r="SOC5" s="8"/>
      <c r="SOD5" s="8"/>
      <c r="SOE5" s="8"/>
      <c r="SOF5" s="8"/>
      <c r="SOG5" s="8"/>
      <c r="SOH5" s="8"/>
      <c r="SOI5" s="8"/>
      <c r="SOJ5" s="8"/>
      <c r="SOK5" s="8"/>
      <c r="SOL5" s="8"/>
      <c r="SOM5" s="8"/>
      <c r="SON5" s="8"/>
      <c r="SOO5" s="8"/>
      <c r="SOP5" s="8"/>
      <c r="SOQ5" s="8"/>
      <c r="SOR5" s="8"/>
      <c r="SOS5" s="8"/>
      <c r="SOT5" s="8"/>
      <c r="SOU5" s="8"/>
      <c r="SOV5" s="8"/>
      <c r="SOW5" s="8"/>
      <c r="SOX5" s="8"/>
      <c r="SOY5" s="8"/>
      <c r="SOZ5" s="8"/>
      <c r="SPA5" s="8"/>
      <c r="SPB5" s="8"/>
      <c r="SPC5" s="8"/>
      <c r="SPD5" s="8"/>
      <c r="SPE5" s="8"/>
      <c r="SPF5" s="8"/>
      <c r="SPG5" s="8"/>
      <c r="SPH5" s="8"/>
      <c r="SPI5" s="8"/>
      <c r="SPJ5" s="8"/>
      <c r="SPK5" s="8"/>
      <c r="SPL5" s="8"/>
      <c r="SPM5" s="8"/>
      <c r="SPN5" s="8"/>
      <c r="SPO5" s="8"/>
      <c r="SPP5" s="8"/>
      <c r="SPQ5" s="8"/>
      <c r="SPR5" s="8"/>
      <c r="SPS5" s="8"/>
      <c r="SPT5" s="8"/>
      <c r="SPU5" s="8"/>
      <c r="SPV5" s="8"/>
      <c r="SPW5" s="8"/>
      <c r="SPX5" s="8"/>
      <c r="SPY5" s="8"/>
      <c r="SPZ5" s="8"/>
      <c r="SQA5" s="8"/>
      <c r="SQB5" s="8"/>
      <c r="SQC5" s="8"/>
      <c r="SQD5" s="8"/>
      <c r="SQE5" s="8"/>
      <c r="SQF5" s="8"/>
      <c r="SQG5" s="8"/>
      <c r="SQH5" s="8"/>
      <c r="SQI5" s="8"/>
      <c r="SQJ5" s="8"/>
      <c r="SQK5" s="8"/>
      <c r="SQL5" s="8"/>
      <c r="SQM5" s="8"/>
      <c r="SQN5" s="8"/>
      <c r="SQO5" s="8"/>
      <c r="SQP5" s="8"/>
      <c r="SQQ5" s="8"/>
      <c r="SQR5" s="8"/>
      <c r="SQS5" s="8"/>
      <c r="SQT5" s="8"/>
      <c r="SQU5" s="8"/>
      <c r="SQV5" s="8"/>
      <c r="SQW5" s="8"/>
      <c r="SQX5" s="8"/>
      <c r="SQY5" s="8"/>
      <c r="SQZ5" s="8"/>
      <c r="SRA5" s="8"/>
      <c r="SRB5" s="8"/>
      <c r="SRC5" s="8"/>
      <c r="SRD5" s="8"/>
      <c r="SRE5" s="8"/>
      <c r="SRF5" s="8"/>
      <c r="SRG5" s="8"/>
      <c r="SRH5" s="8"/>
      <c r="SRI5" s="8"/>
      <c r="SRJ5" s="8"/>
      <c r="SRK5" s="8"/>
      <c r="SRL5" s="8"/>
      <c r="SRM5" s="8"/>
      <c r="SRN5" s="8"/>
      <c r="SRO5" s="8"/>
      <c r="SRP5" s="8"/>
      <c r="SRQ5" s="8"/>
      <c r="SRR5" s="8"/>
      <c r="SRS5" s="8"/>
      <c r="SRT5" s="8"/>
      <c r="SRU5" s="8"/>
      <c r="SRV5" s="8"/>
      <c r="SRW5" s="8"/>
      <c r="SRX5" s="8"/>
      <c r="SRY5" s="8"/>
      <c r="SRZ5" s="8"/>
      <c r="SSA5" s="8"/>
      <c r="SSB5" s="8"/>
      <c r="SSC5" s="8"/>
      <c r="SSD5" s="8"/>
      <c r="SSE5" s="8"/>
      <c r="SSF5" s="8"/>
      <c r="SSG5" s="8"/>
      <c r="SSH5" s="8"/>
      <c r="SSI5" s="8"/>
      <c r="SSJ5" s="8"/>
      <c r="SSK5" s="8"/>
      <c r="SSL5" s="8"/>
      <c r="SSM5" s="8"/>
      <c r="SSN5" s="8"/>
      <c r="SSO5" s="8"/>
      <c r="SSP5" s="8"/>
      <c r="SSQ5" s="8"/>
      <c r="SSR5" s="8"/>
      <c r="SSS5" s="8"/>
      <c r="SST5" s="8"/>
      <c r="SSU5" s="8"/>
      <c r="SSV5" s="8"/>
      <c r="SSW5" s="8"/>
      <c r="SSX5" s="8"/>
      <c r="SSY5" s="8"/>
      <c r="SSZ5" s="8"/>
      <c r="STA5" s="8"/>
      <c r="STB5" s="8"/>
      <c r="STC5" s="8"/>
      <c r="STD5" s="8"/>
      <c r="STE5" s="8"/>
      <c r="STF5" s="8"/>
      <c r="STG5" s="8"/>
      <c r="STH5" s="8"/>
      <c r="STI5" s="8"/>
      <c r="STJ5" s="8"/>
      <c r="STK5" s="8"/>
      <c r="STL5" s="8"/>
      <c r="STM5" s="8"/>
      <c r="STN5" s="8"/>
      <c r="STO5" s="8"/>
      <c r="STP5" s="8"/>
      <c r="STQ5" s="8"/>
      <c r="STR5" s="8"/>
      <c r="STS5" s="8"/>
      <c r="STT5" s="8"/>
      <c r="STU5" s="8"/>
      <c r="STV5" s="8"/>
      <c r="STW5" s="8"/>
      <c r="STX5" s="8"/>
      <c r="STY5" s="8"/>
      <c r="STZ5" s="8"/>
      <c r="SUA5" s="8"/>
      <c r="SUB5" s="8"/>
      <c r="SUC5" s="8"/>
      <c r="SUD5" s="8"/>
      <c r="SUE5" s="8"/>
      <c r="SUF5" s="8"/>
      <c r="SUG5" s="8"/>
      <c r="SUH5" s="8"/>
      <c r="SUI5" s="8"/>
      <c r="SUJ5" s="8"/>
      <c r="SUK5" s="8"/>
      <c r="SUL5" s="8"/>
      <c r="SUM5" s="8"/>
      <c r="SUN5" s="8"/>
      <c r="SUO5" s="8"/>
      <c r="SUP5" s="8"/>
      <c r="SUQ5" s="8"/>
      <c r="SUR5" s="8"/>
      <c r="SUS5" s="8"/>
      <c r="SUT5" s="8"/>
      <c r="SUU5" s="8"/>
      <c r="SUV5" s="8"/>
      <c r="SUW5" s="8"/>
      <c r="SUX5" s="8"/>
      <c r="SUY5" s="8"/>
      <c r="SUZ5" s="8"/>
      <c r="SVA5" s="8"/>
      <c r="SVB5" s="8"/>
      <c r="SVC5" s="8"/>
      <c r="SVD5" s="8"/>
      <c r="SVE5" s="8"/>
      <c r="SVF5" s="8"/>
      <c r="SVG5" s="8"/>
      <c r="SVH5" s="8"/>
      <c r="SVI5" s="8"/>
      <c r="SVJ5" s="8"/>
      <c r="SVK5" s="8"/>
      <c r="SVL5" s="8"/>
      <c r="SVM5" s="8"/>
      <c r="SVN5" s="8"/>
      <c r="SVO5" s="8"/>
      <c r="SVP5" s="8"/>
      <c r="SVQ5" s="8"/>
      <c r="SVR5" s="8"/>
      <c r="SVS5" s="8"/>
      <c r="SVT5" s="8"/>
      <c r="SVU5" s="8"/>
      <c r="SVV5" s="8"/>
      <c r="SVW5" s="8"/>
      <c r="SVX5" s="8"/>
      <c r="SVY5" s="8"/>
      <c r="SVZ5" s="8"/>
      <c r="SWA5" s="8"/>
      <c r="SWB5" s="8"/>
      <c r="SWC5" s="8"/>
      <c r="SWD5" s="8"/>
      <c r="SWE5" s="8"/>
      <c r="SWF5" s="8"/>
      <c r="SWG5" s="8"/>
      <c r="SWH5" s="8"/>
      <c r="SWI5" s="8"/>
      <c r="SWJ5" s="8"/>
      <c r="SWK5" s="8"/>
      <c r="SWL5" s="8"/>
      <c r="SWM5" s="8"/>
      <c r="SWN5" s="8"/>
      <c r="SWO5" s="8"/>
      <c r="SWP5" s="8"/>
      <c r="SWQ5" s="8"/>
      <c r="SWR5" s="8"/>
      <c r="SWS5" s="8"/>
      <c r="SWT5" s="8"/>
      <c r="SWU5" s="8"/>
      <c r="SWV5" s="8"/>
      <c r="SWW5" s="8"/>
      <c r="SWX5" s="8"/>
      <c r="SWY5" s="8"/>
      <c r="SWZ5" s="8"/>
      <c r="SXA5" s="8"/>
      <c r="SXB5" s="8"/>
      <c r="SXC5" s="8"/>
      <c r="SXD5" s="8"/>
      <c r="SXE5" s="8"/>
      <c r="SXF5" s="8"/>
      <c r="SXG5" s="8"/>
      <c r="SXH5" s="8"/>
      <c r="SXI5" s="8"/>
      <c r="SXJ5" s="8"/>
      <c r="SXK5" s="8"/>
      <c r="SXL5" s="8"/>
      <c r="SXM5" s="8"/>
      <c r="SXN5" s="8"/>
      <c r="SXO5" s="8"/>
      <c r="SXP5" s="8"/>
      <c r="SXQ5" s="8"/>
      <c r="SXR5" s="8"/>
      <c r="SXS5" s="8"/>
      <c r="SXT5" s="8"/>
      <c r="SXU5" s="8"/>
      <c r="SXV5" s="8"/>
      <c r="SXW5" s="8"/>
      <c r="SXX5" s="8"/>
      <c r="SXY5" s="8"/>
      <c r="SXZ5" s="8"/>
      <c r="SYA5" s="8"/>
      <c r="SYB5" s="8"/>
      <c r="SYC5" s="8"/>
      <c r="SYD5" s="8"/>
      <c r="SYE5" s="8"/>
      <c r="SYF5" s="8"/>
      <c r="SYG5" s="8"/>
      <c r="SYH5" s="8"/>
      <c r="SYI5" s="8"/>
      <c r="SYJ5" s="8"/>
      <c r="SYK5" s="8"/>
      <c r="SYL5" s="8"/>
      <c r="SYM5" s="8"/>
      <c r="SYN5" s="8"/>
      <c r="SYO5" s="8"/>
      <c r="SYP5" s="8"/>
      <c r="SYQ5" s="8"/>
      <c r="SYR5" s="8"/>
      <c r="SYS5" s="8"/>
      <c r="SYT5" s="8"/>
      <c r="SYU5" s="8"/>
      <c r="SYV5" s="8"/>
      <c r="SYW5" s="8"/>
      <c r="SYX5" s="8"/>
      <c r="SYY5" s="8"/>
      <c r="SYZ5" s="8"/>
      <c r="SZA5" s="8"/>
      <c r="SZB5" s="8"/>
      <c r="SZC5" s="8"/>
      <c r="SZD5" s="8"/>
      <c r="SZE5" s="8"/>
      <c r="SZF5" s="8"/>
      <c r="SZG5" s="8"/>
      <c r="SZH5" s="8"/>
      <c r="SZI5" s="8"/>
      <c r="SZJ5" s="8"/>
      <c r="SZK5" s="8"/>
      <c r="SZL5" s="8"/>
      <c r="SZM5" s="8"/>
      <c r="SZN5" s="8"/>
      <c r="SZO5" s="8"/>
      <c r="SZP5" s="8"/>
      <c r="SZQ5" s="8"/>
      <c r="SZR5" s="8"/>
      <c r="SZS5" s="8"/>
      <c r="SZT5" s="8"/>
      <c r="SZU5" s="8"/>
      <c r="SZV5" s="8"/>
      <c r="SZW5" s="8"/>
      <c r="SZX5" s="8"/>
      <c r="SZY5" s="8"/>
      <c r="SZZ5" s="8"/>
      <c r="TAA5" s="8"/>
      <c r="TAB5" s="8"/>
      <c r="TAC5" s="8"/>
      <c r="TAD5" s="8"/>
      <c r="TAE5" s="8"/>
      <c r="TAF5" s="8"/>
      <c r="TAG5" s="8"/>
      <c r="TAH5" s="8"/>
      <c r="TAI5" s="8"/>
      <c r="TAJ5" s="8"/>
      <c r="TAK5" s="8"/>
      <c r="TAL5" s="8"/>
      <c r="TAM5" s="8"/>
      <c r="TAN5" s="8"/>
      <c r="TAO5" s="8"/>
      <c r="TAP5" s="8"/>
      <c r="TAQ5" s="8"/>
      <c r="TAR5" s="8"/>
      <c r="TAS5" s="8"/>
      <c r="TAT5" s="8"/>
      <c r="TAU5" s="8"/>
      <c r="TAV5" s="8"/>
      <c r="TAW5" s="8"/>
      <c r="TAX5" s="8"/>
      <c r="TAY5" s="8"/>
      <c r="TAZ5" s="8"/>
      <c r="TBA5" s="8"/>
      <c r="TBB5" s="8"/>
      <c r="TBC5" s="8"/>
      <c r="TBD5" s="8"/>
      <c r="TBE5" s="8"/>
      <c r="TBF5" s="8"/>
      <c r="TBG5" s="8"/>
      <c r="TBH5" s="8"/>
      <c r="TBI5" s="8"/>
      <c r="TBJ5" s="8"/>
      <c r="TBK5" s="8"/>
      <c r="TBL5" s="8"/>
      <c r="TBM5" s="8"/>
      <c r="TBN5" s="8"/>
      <c r="TBO5" s="8"/>
      <c r="TBP5" s="8"/>
      <c r="TBQ5" s="8"/>
      <c r="TBR5" s="8"/>
      <c r="TBS5" s="8"/>
      <c r="TBT5" s="8"/>
      <c r="TBU5" s="8"/>
      <c r="TBV5" s="8"/>
      <c r="TBW5" s="8"/>
      <c r="TBX5" s="8"/>
      <c r="TBY5" s="8"/>
      <c r="TBZ5" s="8"/>
      <c r="TCA5" s="8"/>
      <c r="TCB5" s="8"/>
      <c r="TCC5" s="8"/>
      <c r="TCD5" s="8"/>
      <c r="TCE5" s="8"/>
      <c r="TCF5" s="8"/>
      <c r="TCG5" s="8"/>
      <c r="TCH5" s="8"/>
      <c r="TCI5" s="8"/>
      <c r="TCJ5" s="8"/>
      <c r="TCK5" s="8"/>
      <c r="TCL5" s="8"/>
      <c r="TCM5" s="8"/>
      <c r="TCN5" s="8"/>
      <c r="TCO5" s="8"/>
      <c r="TCP5" s="8"/>
      <c r="TCQ5" s="8"/>
      <c r="TCR5" s="8"/>
      <c r="TCS5" s="8"/>
      <c r="TCT5" s="8"/>
      <c r="TCU5" s="8"/>
      <c r="TCV5" s="8"/>
      <c r="TCW5" s="8"/>
      <c r="TCX5" s="8"/>
      <c r="TCY5" s="8"/>
      <c r="TCZ5" s="8"/>
      <c r="TDA5" s="8"/>
      <c r="TDB5" s="8"/>
      <c r="TDC5" s="8"/>
      <c r="TDD5" s="8"/>
      <c r="TDE5" s="8"/>
      <c r="TDF5" s="8"/>
      <c r="TDG5" s="8"/>
      <c r="TDH5" s="8"/>
      <c r="TDI5" s="8"/>
      <c r="TDJ5" s="8"/>
      <c r="TDK5" s="8"/>
      <c r="TDL5" s="8"/>
      <c r="TDM5" s="8"/>
      <c r="TDN5" s="8"/>
      <c r="TDO5" s="8"/>
      <c r="TDP5" s="8"/>
      <c r="TDQ5" s="8"/>
      <c r="TDR5" s="8"/>
      <c r="TDS5" s="8"/>
      <c r="TDT5" s="8"/>
      <c r="TDU5" s="8"/>
      <c r="TDV5" s="8"/>
      <c r="TDW5" s="8"/>
      <c r="TDX5" s="8"/>
      <c r="TDY5" s="8"/>
      <c r="TDZ5" s="8"/>
      <c r="TEA5" s="8"/>
      <c r="TEB5" s="8"/>
      <c r="TEC5" s="8"/>
      <c r="TED5" s="8"/>
      <c r="TEE5" s="8"/>
      <c r="TEF5" s="8"/>
      <c r="TEG5" s="8"/>
      <c r="TEH5" s="8"/>
      <c r="TEI5" s="8"/>
      <c r="TEJ5" s="8"/>
      <c r="TEK5" s="8"/>
      <c r="TEL5" s="8"/>
      <c r="TEM5" s="8"/>
      <c r="TEN5" s="8"/>
      <c r="TEO5" s="8"/>
      <c r="TEP5" s="8"/>
      <c r="TEQ5" s="8"/>
      <c r="TER5" s="8"/>
      <c r="TES5" s="8"/>
      <c r="TET5" s="8"/>
      <c r="TEU5" s="8"/>
      <c r="TEV5" s="8"/>
      <c r="TEW5" s="8"/>
      <c r="TEX5" s="8"/>
      <c r="TEY5" s="8"/>
      <c r="TEZ5" s="8"/>
      <c r="TFA5" s="8"/>
      <c r="TFB5" s="8"/>
      <c r="TFC5" s="8"/>
      <c r="TFD5" s="8"/>
      <c r="TFE5" s="8"/>
      <c r="TFF5" s="8"/>
      <c r="TFG5" s="8"/>
      <c r="TFH5" s="8"/>
      <c r="TFI5" s="8"/>
      <c r="TFJ5" s="8"/>
      <c r="TFK5" s="8"/>
      <c r="TFL5" s="8"/>
      <c r="TFM5" s="8"/>
      <c r="TFN5" s="8"/>
      <c r="TFO5" s="8"/>
      <c r="TFP5" s="8"/>
      <c r="TFQ5" s="8"/>
      <c r="TFR5" s="8"/>
      <c r="TFS5" s="8"/>
      <c r="TFT5" s="8"/>
      <c r="TFU5" s="8"/>
      <c r="TFV5" s="8"/>
      <c r="TFW5" s="8"/>
      <c r="TFX5" s="8"/>
      <c r="TFY5" s="8"/>
      <c r="TFZ5" s="8"/>
      <c r="TGA5" s="8"/>
      <c r="TGB5" s="8"/>
      <c r="TGC5" s="8"/>
      <c r="TGD5" s="8"/>
      <c r="TGE5" s="8"/>
      <c r="TGF5" s="8"/>
      <c r="TGG5" s="8"/>
      <c r="TGH5" s="8"/>
      <c r="TGI5" s="8"/>
      <c r="TGJ5" s="8"/>
      <c r="TGK5" s="8"/>
      <c r="TGL5" s="8"/>
      <c r="TGM5" s="8"/>
      <c r="TGN5" s="8"/>
      <c r="TGO5" s="8"/>
      <c r="TGP5" s="8"/>
      <c r="TGQ5" s="8"/>
      <c r="TGR5" s="8"/>
      <c r="TGS5" s="8"/>
      <c r="TGT5" s="8"/>
      <c r="TGU5" s="8"/>
      <c r="TGV5" s="8"/>
      <c r="TGW5" s="8"/>
      <c r="TGX5" s="8"/>
      <c r="TGY5" s="8"/>
      <c r="TGZ5" s="8"/>
      <c r="THA5" s="8"/>
      <c r="THB5" s="8"/>
      <c r="THC5" s="8"/>
      <c r="THD5" s="8"/>
      <c r="THE5" s="8"/>
      <c r="THF5" s="8"/>
      <c r="THG5" s="8"/>
      <c r="THH5" s="8"/>
      <c r="THI5" s="8"/>
      <c r="THJ5" s="8"/>
      <c r="THK5" s="8"/>
      <c r="THL5" s="8"/>
      <c r="THM5" s="8"/>
      <c r="THN5" s="8"/>
      <c r="THO5" s="8"/>
      <c r="THP5" s="8"/>
      <c r="THQ5" s="8"/>
      <c r="THR5" s="8"/>
      <c r="THS5" s="8"/>
      <c r="THT5" s="8"/>
      <c r="THU5" s="8"/>
      <c r="THV5" s="8"/>
      <c r="THW5" s="8"/>
      <c r="THX5" s="8"/>
      <c r="THY5" s="8"/>
      <c r="THZ5" s="8"/>
      <c r="TIA5" s="8"/>
      <c r="TIB5" s="8"/>
      <c r="TIC5" s="8"/>
      <c r="TID5" s="8"/>
      <c r="TIE5" s="8"/>
      <c r="TIF5" s="8"/>
      <c r="TIG5" s="8"/>
      <c r="TIH5" s="8"/>
      <c r="TII5" s="8"/>
      <c r="TIJ5" s="8"/>
      <c r="TIK5" s="8"/>
      <c r="TIL5" s="8"/>
      <c r="TIM5" s="8"/>
      <c r="TIN5" s="8"/>
      <c r="TIO5" s="8"/>
      <c r="TIP5" s="8"/>
      <c r="TIQ5" s="8"/>
      <c r="TIR5" s="8"/>
      <c r="TIS5" s="8"/>
      <c r="TIT5" s="8"/>
      <c r="TIU5" s="8"/>
      <c r="TIV5" s="8"/>
      <c r="TIW5" s="8"/>
      <c r="TIX5" s="8"/>
      <c r="TIY5" s="8"/>
      <c r="TIZ5" s="8"/>
      <c r="TJA5" s="8"/>
      <c r="TJB5" s="8"/>
      <c r="TJC5" s="8"/>
      <c r="TJD5" s="8"/>
      <c r="TJE5" s="8"/>
      <c r="TJF5" s="8"/>
      <c r="TJG5" s="8"/>
      <c r="TJH5" s="8"/>
      <c r="TJI5" s="8"/>
      <c r="TJJ5" s="8"/>
      <c r="TJK5" s="8"/>
      <c r="TJL5" s="8"/>
      <c r="TJM5" s="8"/>
      <c r="TJN5" s="8"/>
      <c r="TJO5" s="8"/>
      <c r="TJP5" s="8"/>
      <c r="TJQ5" s="8"/>
      <c r="TJR5" s="8"/>
      <c r="TJS5" s="8"/>
      <c r="TJT5" s="8"/>
      <c r="TJU5" s="8"/>
      <c r="TJV5" s="8"/>
      <c r="TJW5" s="8"/>
      <c r="TJX5" s="8"/>
      <c r="TJY5" s="8"/>
      <c r="TJZ5" s="8"/>
      <c r="TKA5" s="8"/>
      <c r="TKB5" s="8"/>
      <c r="TKC5" s="8"/>
      <c r="TKD5" s="8"/>
      <c r="TKE5" s="8"/>
      <c r="TKF5" s="8"/>
      <c r="TKG5" s="8"/>
      <c r="TKH5" s="8"/>
      <c r="TKI5" s="8"/>
      <c r="TKJ5" s="8"/>
      <c r="TKK5" s="8"/>
      <c r="TKL5" s="8"/>
      <c r="TKM5" s="8"/>
      <c r="TKN5" s="8"/>
      <c r="TKO5" s="8"/>
      <c r="TKP5" s="8"/>
      <c r="TKQ5" s="8"/>
      <c r="TKR5" s="8"/>
      <c r="TKS5" s="8"/>
      <c r="TKT5" s="8"/>
      <c r="TKU5" s="8"/>
      <c r="TKV5" s="8"/>
      <c r="TKW5" s="8"/>
      <c r="TKX5" s="8"/>
      <c r="TKY5" s="8"/>
      <c r="TKZ5" s="8"/>
      <c r="TLA5" s="8"/>
      <c r="TLB5" s="8"/>
      <c r="TLC5" s="8"/>
      <c r="TLD5" s="8"/>
      <c r="TLE5" s="8"/>
      <c r="TLF5" s="8"/>
      <c r="TLG5" s="8"/>
      <c r="TLH5" s="8"/>
      <c r="TLI5" s="8"/>
      <c r="TLJ5" s="8"/>
      <c r="TLK5" s="8"/>
      <c r="TLL5" s="8"/>
      <c r="TLM5" s="8"/>
      <c r="TLN5" s="8"/>
      <c r="TLO5" s="8"/>
      <c r="TLP5" s="8"/>
      <c r="TLQ5" s="8"/>
      <c r="TLR5" s="8"/>
      <c r="TLS5" s="8"/>
      <c r="TLT5" s="8"/>
      <c r="TLU5" s="8"/>
      <c r="TLV5" s="8"/>
      <c r="TLW5" s="8"/>
      <c r="TLX5" s="8"/>
      <c r="TLY5" s="8"/>
      <c r="TLZ5" s="8"/>
      <c r="TMA5" s="8"/>
      <c r="TMB5" s="8"/>
      <c r="TMC5" s="8"/>
      <c r="TMD5" s="8"/>
      <c r="TME5" s="8"/>
      <c r="TMF5" s="8"/>
      <c r="TMG5" s="8"/>
      <c r="TMH5" s="8"/>
      <c r="TMI5" s="8"/>
      <c r="TMJ5" s="8"/>
      <c r="TMK5" s="8"/>
      <c r="TML5" s="8"/>
      <c r="TMM5" s="8"/>
      <c r="TMN5" s="8"/>
      <c r="TMO5" s="8"/>
      <c r="TMP5" s="8"/>
      <c r="TMQ5" s="8"/>
      <c r="TMR5" s="8"/>
      <c r="TMS5" s="8"/>
      <c r="TMT5" s="8"/>
      <c r="TMU5" s="8"/>
      <c r="TMV5" s="8"/>
      <c r="TMW5" s="8"/>
      <c r="TMX5" s="8"/>
      <c r="TMY5" s="8"/>
      <c r="TMZ5" s="8"/>
      <c r="TNA5" s="8"/>
      <c r="TNB5" s="8"/>
      <c r="TNC5" s="8"/>
      <c r="TND5" s="8"/>
      <c r="TNE5" s="8"/>
      <c r="TNF5" s="8"/>
      <c r="TNG5" s="8"/>
      <c r="TNH5" s="8"/>
      <c r="TNI5" s="8"/>
      <c r="TNJ5" s="8"/>
      <c r="TNK5" s="8"/>
      <c r="TNL5" s="8"/>
      <c r="TNM5" s="8"/>
      <c r="TNN5" s="8"/>
      <c r="TNO5" s="8"/>
      <c r="TNP5" s="8"/>
      <c r="TNQ5" s="8"/>
      <c r="TNR5" s="8"/>
      <c r="TNS5" s="8"/>
      <c r="TNT5" s="8"/>
      <c r="TNU5" s="8"/>
      <c r="TNV5" s="8"/>
      <c r="TNW5" s="8"/>
      <c r="TNX5" s="8"/>
      <c r="TNY5" s="8"/>
      <c r="TNZ5" s="8"/>
      <c r="TOA5" s="8"/>
      <c r="TOB5" s="8"/>
      <c r="TOC5" s="8"/>
      <c r="TOD5" s="8"/>
      <c r="TOE5" s="8"/>
      <c r="TOF5" s="8"/>
      <c r="TOG5" s="8"/>
      <c r="TOH5" s="8"/>
      <c r="TOI5" s="8"/>
      <c r="TOJ5" s="8"/>
      <c r="TOK5" s="8"/>
      <c r="TOL5" s="8"/>
      <c r="TOM5" s="8"/>
      <c r="TON5" s="8"/>
      <c r="TOO5" s="8"/>
      <c r="TOP5" s="8"/>
      <c r="TOQ5" s="8"/>
      <c r="TOR5" s="8"/>
      <c r="TOS5" s="8"/>
      <c r="TOT5" s="8"/>
      <c r="TOU5" s="8"/>
      <c r="TOV5" s="8"/>
      <c r="TOW5" s="8"/>
      <c r="TOX5" s="8"/>
      <c r="TOY5" s="8"/>
      <c r="TOZ5" s="8"/>
      <c r="TPA5" s="8"/>
      <c r="TPB5" s="8"/>
      <c r="TPC5" s="8"/>
      <c r="TPD5" s="8"/>
      <c r="TPE5" s="8"/>
      <c r="TPF5" s="8"/>
      <c r="TPG5" s="8"/>
      <c r="TPH5" s="8"/>
      <c r="TPI5" s="8"/>
      <c r="TPJ5" s="8"/>
      <c r="TPK5" s="8"/>
      <c r="TPL5" s="8"/>
      <c r="TPM5" s="8"/>
      <c r="TPN5" s="8"/>
      <c r="TPO5" s="8"/>
      <c r="TPP5" s="8"/>
      <c r="TPQ5" s="8"/>
      <c r="TPR5" s="8"/>
      <c r="TPS5" s="8"/>
      <c r="TPT5" s="8"/>
      <c r="TPU5" s="8"/>
      <c r="TPV5" s="8"/>
      <c r="TPW5" s="8"/>
      <c r="TPX5" s="8"/>
      <c r="TPY5" s="8"/>
      <c r="TPZ5" s="8"/>
      <c r="TQA5" s="8"/>
      <c r="TQB5" s="8"/>
      <c r="TQC5" s="8"/>
      <c r="TQD5" s="8"/>
      <c r="TQE5" s="8"/>
      <c r="TQF5" s="8"/>
      <c r="TQG5" s="8"/>
      <c r="TQH5" s="8"/>
      <c r="TQI5" s="8"/>
      <c r="TQJ5" s="8"/>
      <c r="TQK5" s="8"/>
      <c r="TQL5" s="8"/>
      <c r="TQM5" s="8"/>
      <c r="TQN5" s="8"/>
      <c r="TQO5" s="8"/>
      <c r="TQP5" s="8"/>
      <c r="TQQ5" s="8"/>
      <c r="TQR5" s="8"/>
      <c r="TQS5" s="8"/>
      <c r="TQT5" s="8"/>
      <c r="TQU5" s="8"/>
      <c r="TQV5" s="8"/>
      <c r="TQW5" s="8"/>
      <c r="TQX5" s="8"/>
      <c r="TQY5" s="8"/>
      <c r="TQZ5" s="8"/>
      <c r="TRA5" s="8"/>
      <c r="TRB5" s="8"/>
      <c r="TRC5" s="8"/>
      <c r="TRD5" s="8"/>
      <c r="TRE5" s="8"/>
      <c r="TRF5" s="8"/>
      <c r="TRG5" s="8"/>
      <c r="TRH5" s="8"/>
      <c r="TRI5" s="8"/>
      <c r="TRJ5" s="8"/>
      <c r="TRK5" s="8"/>
      <c r="TRL5" s="8"/>
      <c r="TRM5" s="8"/>
      <c r="TRN5" s="8"/>
      <c r="TRO5" s="8"/>
      <c r="TRP5" s="8"/>
      <c r="TRQ5" s="8"/>
      <c r="TRR5" s="8"/>
      <c r="TRS5" s="8"/>
      <c r="TRT5" s="8"/>
      <c r="TRU5" s="8"/>
      <c r="TRV5" s="8"/>
      <c r="TRW5" s="8"/>
      <c r="TRX5" s="8"/>
      <c r="TRY5" s="8"/>
      <c r="TRZ5" s="8"/>
      <c r="TSA5" s="8"/>
      <c r="TSB5" s="8"/>
      <c r="TSC5" s="8"/>
      <c r="TSD5" s="8"/>
      <c r="TSE5" s="8"/>
      <c r="TSF5" s="8"/>
      <c r="TSG5" s="8"/>
      <c r="TSH5" s="8"/>
      <c r="TSI5" s="8"/>
      <c r="TSJ5" s="8"/>
      <c r="TSK5" s="8"/>
      <c r="TSL5" s="8"/>
      <c r="TSM5" s="8"/>
      <c r="TSN5" s="8"/>
      <c r="TSO5" s="8"/>
      <c r="TSP5" s="8"/>
      <c r="TSQ5" s="8"/>
      <c r="TSR5" s="8"/>
      <c r="TSS5" s="8"/>
      <c r="TST5" s="8"/>
      <c r="TSU5" s="8"/>
      <c r="TSV5" s="8"/>
      <c r="TSW5" s="8"/>
      <c r="TSX5" s="8"/>
      <c r="TSY5" s="8"/>
      <c r="TSZ5" s="8"/>
      <c r="TTA5" s="8"/>
      <c r="TTB5" s="8"/>
      <c r="TTC5" s="8"/>
      <c r="TTD5" s="8"/>
      <c r="TTE5" s="8"/>
      <c r="TTF5" s="8"/>
      <c r="TTG5" s="8"/>
      <c r="TTH5" s="8"/>
      <c r="TTI5" s="8"/>
      <c r="TTJ5" s="8"/>
      <c r="TTK5" s="8"/>
      <c r="TTL5" s="8"/>
      <c r="TTM5" s="8"/>
      <c r="TTN5" s="8"/>
      <c r="TTO5" s="8"/>
      <c r="TTP5" s="8"/>
      <c r="TTQ5" s="8"/>
      <c r="TTR5" s="8"/>
      <c r="TTS5" s="8"/>
      <c r="TTT5" s="8"/>
      <c r="TTU5" s="8"/>
      <c r="TTV5" s="8"/>
      <c r="TTW5" s="8"/>
      <c r="TTX5" s="8"/>
      <c r="TTY5" s="8"/>
      <c r="TTZ5" s="8"/>
      <c r="TUA5" s="8"/>
      <c r="TUB5" s="8"/>
      <c r="TUC5" s="8"/>
      <c r="TUD5" s="8"/>
      <c r="TUE5" s="8"/>
      <c r="TUF5" s="8"/>
      <c r="TUG5" s="8"/>
      <c r="TUH5" s="8"/>
      <c r="TUI5" s="8"/>
      <c r="TUJ5" s="8"/>
      <c r="TUK5" s="8"/>
      <c r="TUL5" s="8"/>
      <c r="TUM5" s="8"/>
      <c r="TUN5" s="8"/>
      <c r="TUO5" s="8"/>
      <c r="TUP5" s="8"/>
      <c r="TUQ5" s="8"/>
      <c r="TUR5" s="8"/>
      <c r="TUS5" s="8"/>
      <c r="TUT5" s="8"/>
      <c r="TUU5" s="8"/>
      <c r="TUV5" s="8"/>
      <c r="TUW5" s="8"/>
      <c r="TUX5" s="8"/>
      <c r="TUY5" s="8"/>
      <c r="TUZ5" s="8"/>
      <c r="TVA5" s="8"/>
      <c r="TVB5" s="8"/>
      <c r="TVC5" s="8"/>
      <c r="TVD5" s="8"/>
      <c r="TVE5" s="8"/>
      <c r="TVF5" s="8"/>
      <c r="TVG5" s="8"/>
      <c r="TVH5" s="8"/>
      <c r="TVI5" s="8"/>
      <c r="TVJ5" s="8"/>
      <c r="TVK5" s="8"/>
      <c r="TVL5" s="8"/>
      <c r="TVM5" s="8"/>
      <c r="TVN5" s="8"/>
      <c r="TVO5" s="8"/>
      <c r="TVP5" s="8"/>
      <c r="TVQ5" s="8"/>
      <c r="TVR5" s="8"/>
      <c r="TVS5" s="8"/>
      <c r="TVT5" s="8"/>
      <c r="TVU5" s="8"/>
      <c r="TVV5" s="8"/>
      <c r="TVW5" s="8"/>
      <c r="TVX5" s="8"/>
      <c r="TVY5" s="8"/>
      <c r="TVZ5" s="8"/>
      <c r="TWA5" s="8"/>
      <c r="TWB5" s="8"/>
      <c r="TWC5" s="8"/>
      <c r="TWD5" s="8"/>
      <c r="TWE5" s="8"/>
      <c r="TWF5" s="8"/>
      <c r="TWG5" s="8"/>
      <c r="TWH5" s="8"/>
      <c r="TWI5" s="8"/>
      <c r="TWJ5" s="8"/>
      <c r="TWK5" s="8"/>
      <c r="TWL5" s="8"/>
      <c r="TWM5" s="8"/>
      <c r="TWN5" s="8"/>
      <c r="TWO5" s="8"/>
      <c r="TWP5" s="8"/>
      <c r="TWQ5" s="8"/>
      <c r="TWR5" s="8"/>
      <c r="TWS5" s="8"/>
      <c r="TWT5" s="8"/>
      <c r="TWU5" s="8"/>
      <c r="TWV5" s="8"/>
      <c r="TWW5" s="8"/>
      <c r="TWX5" s="8"/>
      <c r="TWY5" s="8"/>
      <c r="TWZ5" s="8"/>
      <c r="TXA5" s="8"/>
      <c r="TXB5" s="8"/>
      <c r="TXC5" s="8"/>
      <c r="TXD5" s="8"/>
      <c r="TXE5" s="8"/>
      <c r="TXF5" s="8"/>
      <c r="TXG5" s="8"/>
      <c r="TXH5" s="8"/>
      <c r="TXI5" s="8"/>
      <c r="TXJ5" s="8"/>
      <c r="TXK5" s="8"/>
      <c r="TXL5" s="8"/>
      <c r="TXM5" s="8"/>
      <c r="TXN5" s="8"/>
      <c r="TXO5" s="8"/>
      <c r="TXP5" s="8"/>
      <c r="TXQ5" s="8"/>
      <c r="TXR5" s="8"/>
      <c r="TXS5" s="8"/>
      <c r="TXT5" s="8"/>
      <c r="TXU5" s="8"/>
      <c r="TXV5" s="8"/>
      <c r="TXW5" s="8"/>
      <c r="TXX5" s="8"/>
      <c r="TXY5" s="8"/>
      <c r="TXZ5" s="8"/>
      <c r="TYA5" s="8"/>
      <c r="TYB5" s="8"/>
      <c r="TYC5" s="8"/>
      <c r="TYD5" s="8"/>
      <c r="TYE5" s="8"/>
      <c r="TYF5" s="8"/>
      <c r="TYG5" s="8"/>
      <c r="TYH5" s="8"/>
      <c r="TYI5" s="8"/>
      <c r="TYJ5" s="8"/>
      <c r="TYK5" s="8"/>
      <c r="TYL5" s="8"/>
      <c r="TYM5" s="8"/>
      <c r="TYN5" s="8"/>
      <c r="TYO5" s="8"/>
      <c r="TYP5" s="8"/>
      <c r="TYQ5" s="8"/>
      <c r="TYR5" s="8"/>
      <c r="TYS5" s="8"/>
      <c r="TYT5" s="8"/>
      <c r="TYU5" s="8"/>
      <c r="TYV5" s="8"/>
      <c r="TYW5" s="8"/>
      <c r="TYX5" s="8"/>
      <c r="TYY5" s="8"/>
      <c r="TYZ5" s="8"/>
      <c r="TZA5" s="8"/>
      <c r="TZB5" s="8"/>
      <c r="TZC5" s="8"/>
      <c r="TZD5" s="8"/>
      <c r="TZE5" s="8"/>
      <c r="TZF5" s="8"/>
      <c r="TZG5" s="8"/>
      <c r="TZH5" s="8"/>
      <c r="TZI5" s="8"/>
      <c r="TZJ5" s="8"/>
      <c r="TZK5" s="8"/>
      <c r="TZL5" s="8"/>
      <c r="TZM5" s="8"/>
      <c r="TZN5" s="8"/>
      <c r="TZO5" s="8"/>
      <c r="TZP5" s="8"/>
      <c r="TZQ5" s="8"/>
      <c r="TZR5" s="8"/>
      <c r="TZS5" s="8"/>
      <c r="TZT5" s="8"/>
      <c r="TZU5" s="8"/>
      <c r="TZV5" s="8"/>
      <c r="TZW5" s="8"/>
      <c r="TZX5" s="8"/>
      <c r="TZY5" s="8"/>
      <c r="TZZ5" s="8"/>
      <c r="UAA5" s="8"/>
      <c r="UAB5" s="8"/>
      <c r="UAC5" s="8"/>
      <c r="UAD5" s="8"/>
      <c r="UAE5" s="8"/>
      <c r="UAF5" s="8"/>
      <c r="UAG5" s="8"/>
      <c r="UAH5" s="8"/>
      <c r="UAI5" s="8"/>
      <c r="UAJ5" s="8"/>
      <c r="UAK5" s="8"/>
      <c r="UAL5" s="8"/>
      <c r="UAM5" s="8"/>
      <c r="UAN5" s="8"/>
      <c r="UAO5" s="8"/>
      <c r="UAP5" s="8"/>
      <c r="UAQ5" s="8"/>
      <c r="UAR5" s="8"/>
      <c r="UAS5" s="8"/>
      <c r="UAT5" s="8"/>
      <c r="UAU5" s="8"/>
      <c r="UAV5" s="8"/>
      <c r="UAW5" s="8"/>
      <c r="UAX5" s="8"/>
      <c r="UAY5" s="8"/>
      <c r="UAZ5" s="8"/>
      <c r="UBA5" s="8"/>
      <c r="UBB5" s="8"/>
      <c r="UBC5" s="8"/>
      <c r="UBD5" s="8"/>
      <c r="UBE5" s="8"/>
      <c r="UBF5" s="8"/>
      <c r="UBG5" s="8"/>
      <c r="UBH5" s="8"/>
      <c r="UBI5" s="8"/>
      <c r="UBJ5" s="8"/>
      <c r="UBK5" s="8"/>
      <c r="UBL5" s="8"/>
      <c r="UBM5" s="8"/>
      <c r="UBN5" s="8"/>
      <c r="UBO5" s="8"/>
      <c r="UBP5" s="8"/>
      <c r="UBQ5" s="8"/>
      <c r="UBR5" s="8"/>
      <c r="UBS5" s="8"/>
      <c r="UBT5" s="8"/>
      <c r="UBU5" s="8"/>
      <c r="UBV5" s="8"/>
      <c r="UBW5" s="8"/>
      <c r="UBX5" s="8"/>
      <c r="UBY5" s="8"/>
      <c r="UBZ5" s="8"/>
      <c r="UCA5" s="8"/>
      <c r="UCB5" s="8"/>
      <c r="UCC5" s="8"/>
      <c r="UCD5" s="8"/>
      <c r="UCE5" s="8"/>
      <c r="UCF5" s="8"/>
      <c r="UCG5" s="8"/>
      <c r="UCH5" s="8"/>
      <c r="UCI5" s="8"/>
      <c r="UCJ5" s="8"/>
      <c r="UCK5" s="8"/>
      <c r="UCL5" s="8"/>
      <c r="UCM5" s="8"/>
      <c r="UCN5" s="8"/>
      <c r="UCO5" s="8"/>
      <c r="UCP5" s="8"/>
      <c r="UCQ5" s="8"/>
      <c r="UCR5" s="8"/>
      <c r="UCS5" s="8"/>
      <c r="UCT5" s="8"/>
      <c r="UCU5" s="8"/>
      <c r="UCV5" s="8"/>
      <c r="UCW5" s="8"/>
      <c r="UCX5" s="8"/>
      <c r="UCY5" s="8"/>
      <c r="UCZ5" s="8"/>
      <c r="UDA5" s="8"/>
      <c r="UDB5" s="8"/>
      <c r="UDC5" s="8"/>
      <c r="UDD5" s="8"/>
      <c r="UDE5" s="8"/>
      <c r="UDF5" s="8"/>
      <c r="UDG5" s="8"/>
      <c r="UDH5" s="8"/>
      <c r="UDI5" s="8"/>
      <c r="UDJ5" s="8"/>
      <c r="UDK5" s="8"/>
      <c r="UDL5" s="8"/>
      <c r="UDM5" s="8"/>
      <c r="UDN5" s="8"/>
      <c r="UDO5" s="8"/>
      <c r="UDP5" s="8"/>
      <c r="UDQ5" s="8"/>
      <c r="UDR5" s="8"/>
      <c r="UDS5" s="8"/>
      <c r="UDT5" s="8"/>
      <c r="UDU5" s="8"/>
      <c r="UDV5" s="8"/>
      <c r="UDW5" s="8"/>
      <c r="UDX5" s="8"/>
      <c r="UDY5" s="8"/>
      <c r="UDZ5" s="8"/>
      <c r="UEA5" s="8"/>
      <c r="UEB5" s="8"/>
      <c r="UEC5" s="8"/>
      <c r="UED5" s="8"/>
      <c r="UEE5" s="8"/>
      <c r="UEF5" s="8"/>
      <c r="UEG5" s="8"/>
      <c r="UEH5" s="8"/>
      <c r="UEI5" s="8"/>
      <c r="UEJ5" s="8"/>
      <c r="UEK5" s="8"/>
      <c r="UEL5" s="8"/>
      <c r="UEM5" s="8"/>
      <c r="UEN5" s="8"/>
      <c r="UEO5" s="8"/>
      <c r="UEP5" s="8"/>
      <c r="UEQ5" s="8"/>
      <c r="UER5" s="8"/>
      <c r="UES5" s="8"/>
      <c r="UET5" s="8"/>
      <c r="UEU5" s="8"/>
      <c r="UEV5" s="8"/>
      <c r="UEW5" s="8"/>
      <c r="UEX5" s="8"/>
      <c r="UEY5" s="8"/>
      <c r="UEZ5" s="8"/>
      <c r="UFA5" s="8"/>
      <c r="UFB5" s="8"/>
      <c r="UFC5" s="8"/>
      <c r="UFD5" s="8"/>
      <c r="UFE5" s="8"/>
      <c r="UFF5" s="8"/>
      <c r="UFG5" s="8"/>
      <c r="UFH5" s="8"/>
      <c r="UFI5" s="8"/>
      <c r="UFJ5" s="8"/>
      <c r="UFK5" s="8"/>
      <c r="UFL5" s="8"/>
      <c r="UFM5" s="8"/>
      <c r="UFN5" s="8"/>
      <c r="UFO5" s="8"/>
      <c r="UFP5" s="8"/>
      <c r="UFQ5" s="8"/>
      <c r="UFR5" s="8"/>
      <c r="UFS5" s="8"/>
      <c r="UFT5" s="8"/>
      <c r="UFU5" s="8"/>
      <c r="UFV5" s="8"/>
      <c r="UFW5" s="8"/>
      <c r="UFX5" s="8"/>
      <c r="UFY5" s="8"/>
      <c r="UFZ5" s="8"/>
      <c r="UGA5" s="8"/>
      <c r="UGB5" s="8"/>
      <c r="UGC5" s="8"/>
      <c r="UGD5" s="8"/>
      <c r="UGE5" s="8"/>
      <c r="UGF5" s="8"/>
      <c r="UGG5" s="8"/>
      <c r="UGH5" s="8"/>
      <c r="UGI5" s="8"/>
      <c r="UGJ5" s="8"/>
      <c r="UGK5" s="8"/>
      <c r="UGL5" s="8"/>
      <c r="UGM5" s="8"/>
      <c r="UGN5" s="8"/>
      <c r="UGO5" s="8"/>
      <c r="UGP5" s="8"/>
      <c r="UGQ5" s="8"/>
      <c r="UGR5" s="8"/>
      <c r="UGS5" s="8"/>
      <c r="UGT5" s="8"/>
      <c r="UGU5" s="8"/>
      <c r="UGV5" s="8"/>
      <c r="UGW5" s="8"/>
      <c r="UGX5" s="8"/>
      <c r="UGY5" s="8"/>
      <c r="UGZ5" s="8"/>
      <c r="UHA5" s="8"/>
      <c r="UHB5" s="8"/>
      <c r="UHC5" s="8"/>
      <c r="UHD5" s="8"/>
      <c r="UHE5" s="8"/>
      <c r="UHF5" s="8"/>
      <c r="UHG5" s="8"/>
      <c r="UHH5" s="8"/>
      <c r="UHI5" s="8"/>
      <c r="UHJ5" s="8"/>
      <c r="UHK5" s="8"/>
      <c r="UHL5" s="8"/>
      <c r="UHM5" s="8"/>
      <c r="UHN5" s="8"/>
      <c r="UHO5" s="8"/>
      <c r="UHP5" s="8"/>
      <c r="UHQ5" s="8"/>
      <c r="UHR5" s="8"/>
      <c r="UHS5" s="8"/>
      <c r="UHT5" s="8"/>
      <c r="UHU5" s="8"/>
      <c r="UHV5" s="8"/>
      <c r="UHW5" s="8"/>
      <c r="UHX5" s="8"/>
      <c r="UHY5" s="8"/>
      <c r="UHZ5" s="8"/>
      <c r="UIA5" s="8"/>
      <c r="UIB5" s="8"/>
      <c r="UIC5" s="8"/>
      <c r="UID5" s="8"/>
      <c r="UIE5" s="8"/>
      <c r="UIF5" s="8"/>
      <c r="UIG5" s="8"/>
      <c r="UIH5" s="8"/>
      <c r="UII5" s="8"/>
      <c r="UIJ5" s="8"/>
      <c r="UIK5" s="8"/>
      <c r="UIL5" s="8"/>
      <c r="UIM5" s="8"/>
      <c r="UIN5" s="8"/>
      <c r="UIO5" s="8"/>
      <c r="UIP5" s="8"/>
      <c r="UIQ5" s="8"/>
      <c r="UIR5" s="8"/>
      <c r="UIS5" s="8"/>
      <c r="UIT5" s="8"/>
      <c r="UIU5" s="8"/>
      <c r="UIV5" s="8"/>
      <c r="UIW5" s="8"/>
      <c r="UIX5" s="8"/>
      <c r="UIY5" s="8"/>
      <c r="UIZ5" s="8"/>
      <c r="UJA5" s="8"/>
      <c r="UJB5" s="8"/>
      <c r="UJC5" s="8"/>
      <c r="UJD5" s="8"/>
      <c r="UJE5" s="8"/>
      <c r="UJF5" s="8"/>
      <c r="UJG5" s="8"/>
      <c r="UJH5" s="8"/>
      <c r="UJI5" s="8"/>
      <c r="UJJ5" s="8"/>
      <c r="UJK5" s="8"/>
      <c r="UJL5" s="8"/>
      <c r="UJM5" s="8"/>
      <c r="UJN5" s="8"/>
      <c r="UJO5" s="8"/>
      <c r="UJP5" s="8"/>
      <c r="UJQ5" s="8"/>
      <c r="UJR5" s="8"/>
      <c r="UJS5" s="8"/>
      <c r="UJT5" s="8"/>
      <c r="UJU5" s="8"/>
      <c r="UJV5" s="8"/>
      <c r="UJW5" s="8"/>
      <c r="UJX5" s="8"/>
      <c r="UJY5" s="8"/>
      <c r="UJZ5" s="8"/>
      <c r="UKA5" s="8"/>
      <c r="UKB5" s="8"/>
      <c r="UKC5" s="8"/>
      <c r="UKD5" s="8"/>
      <c r="UKE5" s="8"/>
      <c r="UKF5" s="8"/>
      <c r="UKG5" s="8"/>
      <c r="UKH5" s="8"/>
      <c r="UKI5" s="8"/>
      <c r="UKJ5" s="8"/>
      <c r="UKK5" s="8"/>
      <c r="UKL5" s="8"/>
      <c r="UKM5" s="8"/>
      <c r="UKN5" s="8"/>
      <c r="UKO5" s="8"/>
      <c r="UKP5" s="8"/>
      <c r="UKQ5" s="8"/>
      <c r="UKR5" s="8"/>
      <c r="UKS5" s="8"/>
      <c r="UKT5" s="8"/>
      <c r="UKU5" s="8"/>
      <c r="UKV5" s="8"/>
      <c r="UKW5" s="8"/>
      <c r="UKX5" s="8"/>
      <c r="UKY5" s="8"/>
      <c r="UKZ5" s="8"/>
      <c r="ULA5" s="8"/>
      <c r="ULB5" s="8"/>
      <c r="ULC5" s="8"/>
      <c r="ULD5" s="8"/>
      <c r="ULE5" s="8"/>
      <c r="ULF5" s="8"/>
      <c r="ULG5" s="8"/>
      <c r="ULH5" s="8"/>
      <c r="ULI5" s="8"/>
      <c r="ULJ5" s="8"/>
      <c r="ULK5" s="8"/>
      <c r="ULL5" s="8"/>
      <c r="ULM5" s="8"/>
      <c r="ULN5" s="8"/>
      <c r="ULO5" s="8"/>
      <c r="ULP5" s="8"/>
      <c r="ULQ5" s="8"/>
      <c r="ULR5" s="8"/>
      <c r="ULS5" s="8"/>
      <c r="ULT5" s="8"/>
      <c r="ULU5" s="8"/>
      <c r="ULV5" s="8"/>
      <c r="ULW5" s="8"/>
      <c r="ULX5" s="8"/>
      <c r="ULY5" s="8"/>
      <c r="ULZ5" s="8"/>
      <c r="UMA5" s="8"/>
      <c r="UMB5" s="8"/>
      <c r="UMC5" s="8"/>
      <c r="UMD5" s="8"/>
      <c r="UME5" s="8"/>
      <c r="UMF5" s="8"/>
      <c r="UMG5" s="8"/>
      <c r="UMH5" s="8"/>
      <c r="UMI5" s="8"/>
      <c r="UMJ5" s="8"/>
      <c r="UMK5" s="8"/>
      <c r="UML5" s="8"/>
      <c r="UMM5" s="8"/>
      <c r="UMN5" s="8"/>
      <c r="UMO5" s="8"/>
      <c r="UMP5" s="8"/>
      <c r="UMQ5" s="8"/>
      <c r="UMR5" s="8"/>
      <c r="UMS5" s="8"/>
      <c r="UMT5" s="8"/>
      <c r="UMU5" s="8"/>
      <c r="UMV5" s="8"/>
      <c r="UMW5" s="8"/>
      <c r="UMX5" s="8"/>
      <c r="UMY5" s="8"/>
      <c r="UMZ5" s="8"/>
      <c r="UNA5" s="8"/>
      <c r="UNB5" s="8"/>
      <c r="UNC5" s="8"/>
      <c r="UND5" s="8"/>
      <c r="UNE5" s="8"/>
      <c r="UNF5" s="8"/>
      <c r="UNG5" s="8"/>
      <c r="UNH5" s="8"/>
      <c r="UNI5" s="8"/>
      <c r="UNJ5" s="8"/>
      <c r="UNK5" s="8"/>
      <c r="UNL5" s="8"/>
      <c r="UNM5" s="8"/>
      <c r="UNN5" s="8"/>
      <c r="UNO5" s="8"/>
      <c r="UNP5" s="8"/>
      <c r="UNQ5" s="8"/>
      <c r="UNR5" s="8"/>
      <c r="UNS5" s="8"/>
      <c r="UNT5" s="8"/>
      <c r="UNU5" s="8"/>
      <c r="UNV5" s="8"/>
      <c r="UNW5" s="8"/>
      <c r="UNX5" s="8"/>
      <c r="UNY5" s="8"/>
      <c r="UNZ5" s="8"/>
      <c r="UOA5" s="8"/>
      <c r="UOB5" s="8"/>
      <c r="UOC5" s="8"/>
      <c r="UOD5" s="8"/>
      <c r="UOE5" s="8"/>
      <c r="UOF5" s="8"/>
      <c r="UOG5" s="8"/>
      <c r="UOH5" s="8"/>
      <c r="UOI5" s="8"/>
      <c r="UOJ5" s="8"/>
      <c r="UOK5" s="8"/>
      <c r="UOL5" s="8"/>
      <c r="UOM5" s="8"/>
      <c r="UON5" s="8"/>
      <c r="UOO5" s="8"/>
      <c r="UOP5" s="8"/>
      <c r="UOQ5" s="8"/>
      <c r="UOR5" s="8"/>
      <c r="UOS5" s="8"/>
      <c r="UOT5" s="8"/>
      <c r="UOU5" s="8"/>
      <c r="UOV5" s="8"/>
      <c r="UOW5" s="8"/>
      <c r="UOX5" s="8"/>
      <c r="UOY5" s="8"/>
      <c r="UOZ5" s="8"/>
      <c r="UPA5" s="8"/>
      <c r="UPB5" s="8"/>
      <c r="UPC5" s="8"/>
      <c r="UPD5" s="8"/>
      <c r="UPE5" s="8"/>
      <c r="UPF5" s="8"/>
      <c r="UPG5" s="8"/>
      <c r="UPH5" s="8"/>
      <c r="UPI5" s="8"/>
      <c r="UPJ5" s="8"/>
      <c r="UPK5" s="8"/>
      <c r="UPL5" s="8"/>
      <c r="UPM5" s="8"/>
      <c r="UPN5" s="8"/>
      <c r="UPO5" s="8"/>
      <c r="UPP5" s="8"/>
      <c r="UPQ5" s="8"/>
      <c r="UPR5" s="8"/>
      <c r="UPS5" s="8"/>
      <c r="UPT5" s="8"/>
      <c r="UPU5" s="8"/>
      <c r="UPV5" s="8"/>
      <c r="UPW5" s="8"/>
      <c r="UPX5" s="8"/>
      <c r="UPY5" s="8"/>
      <c r="UPZ5" s="8"/>
      <c r="UQA5" s="8"/>
      <c r="UQB5" s="8"/>
      <c r="UQC5" s="8"/>
      <c r="UQD5" s="8"/>
      <c r="UQE5" s="8"/>
      <c r="UQF5" s="8"/>
      <c r="UQG5" s="8"/>
      <c r="UQH5" s="8"/>
      <c r="UQI5" s="8"/>
      <c r="UQJ5" s="8"/>
      <c r="UQK5" s="8"/>
      <c r="UQL5" s="8"/>
      <c r="UQM5" s="8"/>
      <c r="UQN5" s="8"/>
      <c r="UQO5" s="8"/>
      <c r="UQP5" s="8"/>
      <c r="UQQ5" s="8"/>
      <c r="UQR5" s="8"/>
      <c r="UQS5" s="8"/>
      <c r="UQT5" s="8"/>
      <c r="UQU5" s="8"/>
      <c r="UQV5" s="8"/>
      <c r="UQW5" s="8"/>
      <c r="UQX5" s="8"/>
      <c r="UQY5" s="8"/>
      <c r="UQZ5" s="8"/>
      <c r="URA5" s="8"/>
      <c r="URB5" s="8"/>
      <c r="URC5" s="8"/>
      <c r="URD5" s="8"/>
      <c r="URE5" s="8"/>
      <c r="URF5" s="8"/>
      <c r="URG5" s="8"/>
      <c r="URH5" s="8"/>
      <c r="URI5" s="8"/>
      <c r="URJ5" s="8"/>
      <c r="URK5" s="8"/>
      <c r="URL5" s="8"/>
      <c r="URM5" s="8"/>
      <c r="URN5" s="8"/>
      <c r="URO5" s="8"/>
      <c r="URP5" s="8"/>
      <c r="URQ5" s="8"/>
      <c r="URR5" s="8"/>
      <c r="URS5" s="8"/>
      <c r="URT5" s="8"/>
      <c r="URU5" s="8"/>
      <c r="URV5" s="8"/>
      <c r="URW5" s="8"/>
      <c r="URX5" s="8"/>
      <c r="URY5" s="8"/>
      <c r="URZ5" s="8"/>
      <c r="USA5" s="8"/>
      <c r="USB5" s="8"/>
      <c r="USC5" s="8"/>
      <c r="USD5" s="8"/>
      <c r="USE5" s="8"/>
      <c r="USF5" s="8"/>
      <c r="USG5" s="8"/>
      <c r="USH5" s="8"/>
      <c r="USI5" s="8"/>
      <c r="USJ5" s="8"/>
      <c r="USK5" s="8"/>
      <c r="USL5" s="8"/>
      <c r="USM5" s="8"/>
      <c r="USN5" s="8"/>
      <c r="USO5" s="8"/>
      <c r="USP5" s="8"/>
      <c r="USQ5" s="8"/>
      <c r="USR5" s="8"/>
      <c r="USS5" s="8"/>
      <c r="UST5" s="8"/>
      <c r="USU5" s="8"/>
      <c r="USV5" s="8"/>
      <c r="USW5" s="8"/>
      <c r="USX5" s="8"/>
      <c r="USY5" s="8"/>
      <c r="USZ5" s="8"/>
      <c r="UTA5" s="8"/>
      <c r="UTB5" s="8"/>
      <c r="UTC5" s="8"/>
      <c r="UTD5" s="8"/>
      <c r="UTE5" s="8"/>
      <c r="UTF5" s="8"/>
      <c r="UTG5" s="8"/>
      <c r="UTH5" s="8"/>
      <c r="UTI5" s="8"/>
      <c r="UTJ5" s="8"/>
      <c r="UTK5" s="8"/>
      <c r="UTL5" s="8"/>
      <c r="UTM5" s="8"/>
      <c r="UTN5" s="8"/>
      <c r="UTO5" s="8"/>
      <c r="UTP5" s="8"/>
      <c r="UTQ5" s="8"/>
      <c r="UTR5" s="8"/>
      <c r="UTS5" s="8"/>
      <c r="UTT5" s="8"/>
      <c r="UTU5" s="8"/>
      <c r="UTV5" s="8"/>
      <c r="UTW5" s="8"/>
      <c r="UTX5" s="8"/>
      <c r="UTY5" s="8"/>
      <c r="UTZ5" s="8"/>
      <c r="UUA5" s="8"/>
      <c r="UUB5" s="8"/>
      <c r="UUC5" s="8"/>
      <c r="UUD5" s="8"/>
      <c r="UUE5" s="8"/>
      <c r="UUF5" s="8"/>
      <c r="UUG5" s="8"/>
      <c r="UUH5" s="8"/>
      <c r="UUI5" s="8"/>
      <c r="UUJ5" s="8"/>
      <c r="UUK5" s="8"/>
      <c r="UUL5" s="8"/>
      <c r="UUM5" s="8"/>
      <c r="UUN5" s="8"/>
      <c r="UUO5" s="8"/>
      <c r="UUP5" s="8"/>
      <c r="UUQ5" s="8"/>
      <c r="UUR5" s="8"/>
      <c r="UUS5" s="8"/>
      <c r="UUT5" s="8"/>
      <c r="UUU5" s="8"/>
      <c r="UUV5" s="8"/>
      <c r="UUW5" s="8"/>
      <c r="UUX5" s="8"/>
      <c r="UUY5" s="8"/>
      <c r="UUZ5" s="8"/>
      <c r="UVA5" s="8"/>
      <c r="UVB5" s="8"/>
      <c r="UVC5" s="8"/>
      <c r="UVD5" s="8"/>
      <c r="UVE5" s="8"/>
      <c r="UVF5" s="8"/>
      <c r="UVG5" s="8"/>
      <c r="UVH5" s="8"/>
      <c r="UVI5" s="8"/>
      <c r="UVJ5" s="8"/>
      <c r="UVK5" s="8"/>
      <c r="UVL5" s="8"/>
      <c r="UVM5" s="8"/>
      <c r="UVN5" s="8"/>
      <c r="UVO5" s="8"/>
      <c r="UVP5" s="8"/>
      <c r="UVQ5" s="8"/>
      <c r="UVR5" s="8"/>
      <c r="UVS5" s="8"/>
      <c r="UVT5" s="8"/>
      <c r="UVU5" s="8"/>
      <c r="UVV5" s="8"/>
      <c r="UVW5" s="8"/>
      <c r="UVX5" s="8"/>
      <c r="UVY5" s="8"/>
      <c r="UVZ5" s="8"/>
      <c r="UWA5" s="8"/>
      <c r="UWB5" s="8"/>
      <c r="UWC5" s="8"/>
      <c r="UWD5" s="8"/>
      <c r="UWE5" s="8"/>
      <c r="UWF5" s="8"/>
      <c r="UWG5" s="8"/>
      <c r="UWH5" s="8"/>
      <c r="UWI5" s="8"/>
      <c r="UWJ5" s="8"/>
      <c r="UWK5" s="8"/>
      <c r="UWL5" s="8"/>
      <c r="UWM5" s="8"/>
      <c r="UWN5" s="8"/>
      <c r="UWO5" s="8"/>
      <c r="UWP5" s="8"/>
      <c r="UWQ5" s="8"/>
      <c r="UWR5" s="8"/>
      <c r="UWS5" s="8"/>
      <c r="UWT5" s="8"/>
      <c r="UWU5" s="8"/>
      <c r="UWV5" s="8"/>
      <c r="UWW5" s="8"/>
      <c r="UWX5" s="8"/>
      <c r="UWY5" s="8"/>
      <c r="UWZ5" s="8"/>
      <c r="UXA5" s="8"/>
      <c r="UXB5" s="8"/>
      <c r="UXC5" s="8"/>
      <c r="UXD5" s="8"/>
      <c r="UXE5" s="8"/>
      <c r="UXF5" s="8"/>
      <c r="UXG5" s="8"/>
      <c r="UXH5" s="8"/>
      <c r="UXI5" s="8"/>
      <c r="UXJ5" s="8"/>
      <c r="UXK5" s="8"/>
      <c r="UXL5" s="8"/>
      <c r="UXM5" s="8"/>
      <c r="UXN5" s="8"/>
      <c r="UXO5" s="8"/>
      <c r="UXP5" s="8"/>
      <c r="UXQ5" s="8"/>
      <c r="UXR5" s="8"/>
      <c r="UXS5" s="8"/>
      <c r="UXT5" s="8"/>
      <c r="UXU5" s="8"/>
      <c r="UXV5" s="8"/>
      <c r="UXW5" s="8"/>
      <c r="UXX5" s="8"/>
      <c r="UXY5" s="8"/>
      <c r="UXZ5" s="8"/>
      <c r="UYA5" s="8"/>
      <c r="UYB5" s="8"/>
      <c r="UYC5" s="8"/>
      <c r="UYD5" s="8"/>
      <c r="UYE5" s="8"/>
      <c r="UYF5" s="8"/>
      <c r="UYG5" s="8"/>
      <c r="UYH5" s="8"/>
      <c r="UYI5" s="8"/>
      <c r="UYJ5" s="8"/>
      <c r="UYK5" s="8"/>
      <c r="UYL5" s="8"/>
      <c r="UYM5" s="8"/>
      <c r="UYN5" s="8"/>
      <c r="UYO5" s="8"/>
      <c r="UYP5" s="8"/>
      <c r="UYQ5" s="8"/>
      <c r="UYR5" s="8"/>
      <c r="UYS5" s="8"/>
      <c r="UYT5" s="8"/>
      <c r="UYU5" s="8"/>
      <c r="UYV5" s="8"/>
      <c r="UYW5" s="8"/>
      <c r="UYX5" s="8"/>
      <c r="UYY5" s="8"/>
      <c r="UYZ5" s="8"/>
      <c r="UZA5" s="8"/>
      <c r="UZB5" s="8"/>
      <c r="UZC5" s="8"/>
      <c r="UZD5" s="8"/>
      <c r="UZE5" s="8"/>
      <c r="UZF5" s="8"/>
      <c r="UZG5" s="8"/>
      <c r="UZH5" s="8"/>
      <c r="UZI5" s="8"/>
      <c r="UZJ5" s="8"/>
      <c r="UZK5" s="8"/>
      <c r="UZL5" s="8"/>
      <c r="UZM5" s="8"/>
      <c r="UZN5" s="8"/>
      <c r="UZO5" s="8"/>
      <c r="UZP5" s="8"/>
      <c r="UZQ5" s="8"/>
      <c r="UZR5" s="8"/>
      <c r="UZS5" s="8"/>
      <c r="UZT5" s="8"/>
      <c r="UZU5" s="8"/>
      <c r="UZV5" s="8"/>
      <c r="UZW5" s="8"/>
      <c r="UZX5" s="8"/>
      <c r="UZY5" s="8"/>
      <c r="UZZ5" s="8"/>
      <c r="VAA5" s="8"/>
      <c r="VAB5" s="8"/>
      <c r="VAC5" s="8"/>
      <c r="VAD5" s="8"/>
      <c r="VAE5" s="8"/>
      <c r="VAF5" s="8"/>
      <c r="VAG5" s="8"/>
      <c r="VAH5" s="8"/>
      <c r="VAI5" s="8"/>
      <c r="VAJ5" s="8"/>
      <c r="VAK5" s="8"/>
      <c r="VAL5" s="8"/>
      <c r="VAM5" s="8"/>
      <c r="VAN5" s="8"/>
      <c r="VAO5" s="8"/>
      <c r="VAP5" s="8"/>
      <c r="VAQ5" s="8"/>
      <c r="VAR5" s="8"/>
      <c r="VAS5" s="8"/>
      <c r="VAT5" s="8"/>
      <c r="VAU5" s="8"/>
      <c r="VAV5" s="8"/>
      <c r="VAW5" s="8"/>
      <c r="VAX5" s="8"/>
      <c r="VAY5" s="8"/>
      <c r="VAZ5" s="8"/>
      <c r="VBA5" s="8"/>
      <c r="VBB5" s="8"/>
      <c r="VBC5" s="8"/>
      <c r="VBD5" s="8"/>
      <c r="VBE5" s="8"/>
      <c r="VBF5" s="8"/>
      <c r="VBG5" s="8"/>
      <c r="VBH5" s="8"/>
      <c r="VBI5" s="8"/>
      <c r="VBJ5" s="8"/>
      <c r="VBK5" s="8"/>
      <c r="VBL5" s="8"/>
      <c r="VBM5" s="8"/>
      <c r="VBN5" s="8"/>
      <c r="VBO5" s="8"/>
      <c r="VBP5" s="8"/>
      <c r="VBQ5" s="8"/>
      <c r="VBR5" s="8"/>
      <c r="VBS5" s="8"/>
      <c r="VBT5" s="8"/>
      <c r="VBU5" s="8"/>
      <c r="VBV5" s="8"/>
      <c r="VBW5" s="8"/>
      <c r="VBX5" s="8"/>
      <c r="VBY5" s="8"/>
      <c r="VBZ5" s="8"/>
      <c r="VCA5" s="8"/>
      <c r="VCB5" s="8"/>
      <c r="VCC5" s="8"/>
      <c r="VCD5" s="8"/>
      <c r="VCE5" s="8"/>
      <c r="VCF5" s="8"/>
      <c r="VCG5" s="8"/>
      <c r="VCH5" s="8"/>
      <c r="VCI5" s="8"/>
      <c r="VCJ5" s="8"/>
      <c r="VCK5" s="8"/>
      <c r="VCL5" s="8"/>
      <c r="VCM5" s="8"/>
      <c r="VCN5" s="8"/>
      <c r="VCO5" s="8"/>
      <c r="VCP5" s="8"/>
      <c r="VCQ5" s="8"/>
      <c r="VCR5" s="8"/>
      <c r="VCS5" s="8"/>
      <c r="VCT5" s="8"/>
      <c r="VCU5" s="8"/>
      <c r="VCV5" s="8"/>
      <c r="VCW5" s="8"/>
      <c r="VCX5" s="8"/>
      <c r="VCY5" s="8"/>
      <c r="VCZ5" s="8"/>
      <c r="VDA5" s="8"/>
      <c r="VDB5" s="8"/>
      <c r="VDC5" s="8"/>
      <c r="VDD5" s="8"/>
      <c r="VDE5" s="8"/>
      <c r="VDF5" s="8"/>
      <c r="VDG5" s="8"/>
      <c r="VDH5" s="8"/>
      <c r="VDI5" s="8"/>
      <c r="VDJ5" s="8"/>
      <c r="VDK5" s="8"/>
      <c r="VDL5" s="8"/>
      <c r="VDM5" s="8"/>
      <c r="VDN5" s="8"/>
      <c r="VDO5" s="8"/>
      <c r="VDP5" s="8"/>
      <c r="VDQ5" s="8"/>
      <c r="VDR5" s="8"/>
      <c r="VDS5" s="8"/>
      <c r="VDT5" s="8"/>
      <c r="VDU5" s="8"/>
      <c r="VDV5" s="8"/>
      <c r="VDW5" s="8"/>
      <c r="VDX5" s="8"/>
      <c r="VDY5" s="8"/>
      <c r="VDZ5" s="8"/>
      <c r="VEA5" s="8"/>
      <c r="VEB5" s="8"/>
      <c r="VEC5" s="8"/>
      <c r="VED5" s="8"/>
      <c r="VEE5" s="8"/>
      <c r="VEF5" s="8"/>
      <c r="VEG5" s="8"/>
      <c r="VEH5" s="8"/>
      <c r="VEI5" s="8"/>
      <c r="VEJ5" s="8"/>
      <c r="VEK5" s="8"/>
      <c r="VEL5" s="8"/>
      <c r="VEM5" s="8"/>
      <c r="VEN5" s="8"/>
      <c r="VEO5" s="8"/>
      <c r="VEP5" s="8"/>
      <c r="VEQ5" s="8"/>
      <c r="VER5" s="8"/>
      <c r="VES5" s="8"/>
      <c r="VET5" s="8"/>
      <c r="VEU5" s="8"/>
      <c r="VEV5" s="8"/>
      <c r="VEW5" s="8"/>
      <c r="VEX5" s="8"/>
      <c r="VEY5" s="8"/>
      <c r="VEZ5" s="8"/>
      <c r="VFA5" s="8"/>
      <c r="VFB5" s="8"/>
      <c r="VFC5" s="8"/>
      <c r="VFD5" s="8"/>
      <c r="VFE5" s="8"/>
      <c r="VFF5" s="8"/>
      <c r="VFG5" s="8"/>
      <c r="VFH5" s="8"/>
      <c r="VFI5" s="8"/>
      <c r="VFJ5" s="8"/>
      <c r="VFK5" s="8"/>
      <c r="VFL5" s="8"/>
      <c r="VFM5" s="8"/>
      <c r="VFN5" s="8"/>
      <c r="VFO5" s="8"/>
      <c r="VFP5" s="8"/>
      <c r="VFQ5" s="8"/>
      <c r="VFR5" s="8"/>
      <c r="VFS5" s="8"/>
      <c r="VFT5" s="8"/>
      <c r="VFU5" s="8"/>
      <c r="VFV5" s="8"/>
      <c r="VFW5" s="8"/>
      <c r="VFX5" s="8"/>
      <c r="VFY5" s="8"/>
      <c r="VFZ5" s="8"/>
      <c r="VGA5" s="8"/>
      <c r="VGB5" s="8"/>
      <c r="VGC5" s="8"/>
      <c r="VGD5" s="8"/>
      <c r="VGE5" s="8"/>
      <c r="VGF5" s="8"/>
      <c r="VGG5" s="8"/>
      <c r="VGH5" s="8"/>
      <c r="VGI5" s="8"/>
      <c r="VGJ5" s="8"/>
      <c r="VGK5" s="8"/>
      <c r="VGL5" s="8"/>
      <c r="VGM5" s="8"/>
      <c r="VGN5" s="8"/>
      <c r="VGO5" s="8"/>
      <c r="VGP5" s="8"/>
      <c r="VGQ5" s="8"/>
      <c r="VGR5" s="8"/>
      <c r="VGS5" s="8"/>
      <c r="VGT5" s="8"/>
      <c r="VGU5" s="8"/>
      <c r="VGV5" s="8"/>
      <c r="VGW5" s="8"/>
      <c r="VGX5" s="8"/>
      <c r="VGY5" s="8"/>
      <c r="VGZ5" s="8"/>
      <c r="VHA5" s="8"/>
      <c r="VHB5" s="8"/>
      <c r="VHC5" s="8"/>
      <c r="VHD5" s="8"/>
      <c r="VHE5" s="8"/>
      <c r="VHF5" s="8"/>
      <c r="VHG5" s="8"/>
      <c r="VHH5" s="8"/>
      <c r="VHI5" s="8"/>
      <c r="VHJ5" s="8"/>
      <c r="VHK5" s="8"/>
      <c r="VHL5" s="8"/>
      <c r="VHM5" s="8"/>
      <c r="VHN5" s="8"/>
      <c r="VHO5" s="8"/>
      <c r="VHP5" s="8"/>
      <c r="VHQ5" s="8"/>
      <c r="VHR5" s="8"/>
      <c r="VHS5" s="8"/>
      <c r="VHT5" s="8"/>
      <c r="VHU5" s="8"/>
      <c r="VHV5" s="8"/>
      <c r="VHW5" s="8"/>
      <c r="VHX5" s="8"/>
      <c r="VHY5" s="8"/>
      <c r="VHZ5" s="8"/>
      <c r="VIA5" s="8"/>
      <c r="VIB5" s="8"/>
      <c r="VIC5" s="8"/>
      <c r="VID5" s="8"/>
      <c r="VIE5" s="8"/>
      <c r="VIF5" s="8"/>
      <c r="VIG5" s="8"/>
      <c r="VIH5" s="8"/>
      <c r="VII5" s="8"/>
      <c r="VIJ5" s="8"/>
      <c r="VIK5" s="8"/>
      <c r="VIL5" s="8"/>
      <c r="VIM5" s="8"/>
      <c r="VIN5" s="8"/>
      <c r="VIO5" s="8"/>
      <c r="VIP5" s="8"/>
      <c r="VIQ5" s="8"/>
      <c r="VIR5" s="8"/>
      <c r="VIS5" s="8"/>
      <c r="VIT5" s="8"/>
      <c r="VIU5" s="8"/>
      <c r="VIV5" s="8"/>
      <c r="VIW5" s="8"/>
      <c r="VIX5" s="8"/>
      <c r="VIY5" s="8"/>
      <c r="VIZ5" s="8"/>
      <c r="VJA5" s="8"/>
      <c r="VJB5" s="8"/>
      <c r="VJC5" s="8"/>
      <c r="VJD5" s="8"/>
      <c r="VJE5" s="8"/>
      <c r="VJF5" s="8"/>
      <c r="VJG5" s="8"/>
      <c r="VJH5" s="8"/>
      <c r="VJI5" s="8"/>
      <c r="VJJ5" s="8"/>
      <c r="VJK5" s="8"/>
      <c r="VJL5" s="8"/>
      <c r="VJM5" s="8"/>
      <c r="VJN5" s="8"/>
      <c r="VJO5" s="8"/>
      <c r="VJP5" s="8"/>
      <c r="VJQ5" s="8"/>
      <c r="VJR5" s="8"/>
      <c r="VJS5" s="8"/>
      <c r="VJT5" s="8"/>
      <c r="VJU5" s="8"/>
      <c r="VJV5" s="8"/>
      <c r="VJW5" s="8"/>
      <c r="VJX5" s="8"/>
      <c r="VJY5" s="8"/>
      <c r="VJZ5" s="8"/>
      <c r="VKA5" s="8"/>
      <c r="VKB5" s="8"/>
      <c r="VKC5" s="8"/>
      <c r="VKD5" s="8"/>
      <c r="VKE5" s="8"/>
      <c r="VKF5" s="8"/>
      <c r="VKG5" s="8"/>
      <c r="VKH5" s="8"/>
      <c r="VKI5" s="8"/>
      <c r="VKJ5" s="8"/>
      <c r="VKK5" s="8"/>
      <c r="VKL5" s="8"/>
      <c r="VKM5" s="8"/>
      <c r="VKN5" s="8"/>
      <c r="VKO5" s="8"/>
      <c r="VKP5" s="8"/>
      <c r="VKQ5" s="8"/>
      <c r="VKR5" s="8"/>
      <c r="VKS5" s="8"/>
      <c r="VKT5" s="8"/>
      <c r="VKU5" s="8"/>
      <c r="VKV5" s="8"/>
      <c r="VKW5" s="8"/>
      <c r="VKX5" s="8"/>
      <c r="VKY5" s="8"/>
      <c r="VKZ5" s="8"/>
      <c r="VLA5" s="8"/>
      <c r="VLB5" s="8"/>
      <c r="VLC5" s="8"/>
      <c r="VLD5" s="8"/>
      <c r="VLE5" s="8"/>
      <c r="VLF5" s="8"/>
      <c r="VLG5" s="8"/>
      <c r="VLH5" s="8"/>
      <c r="VLI5" s="8"/>
      <c r="VLJ5" s="8"/>
      <c r="VLK5" s="8"/>
      <c r="VLL5" s="8"/>
      <c r="VLM5" s="8"/>
      <c r="VLN5" s="8"/>
      <c r="VLO5" s="8"/>
      <c r="VLP5" s="8"/>
      <c r="VLQ5" s="8"/>
      <c r="VLR5" s="8"/>
      <c r="VLS5" s="8"/>
      <c r="VLT5" s="8"/>
      <c r="VLU5" s="8"/>
      <c r="VLV5" s="8"/>
      <c r="VLW5" s="8"/>
      <c r="VLX5" s="8"/>
      <c r="VLY5" s="8"/>
      <c r="VLZ5" s="8"/>
      <c r="VMA5" s="8"/>
      <c r="VMB5" s="8"/>
      <c r="VMC5" s="8"/>
      <c r="VMD5" s="8"/>
      <c r="VME5" s="8"/>
      <c r="VMF5" s="8"/>
      <c r="VMG5" s="8"/>
      <c r="VMH5" s="8"/>
      <c r="VMI5" s="8"/>
      <c r="VMJ5" s="8"/>
      <c r="VMK5" s="8"/>
      <c r="VML5" s="8"/>
      <c r="VMM5" s="8"/>
      <c r="VMN5" s="8"/>
      <c r="VMO5" s="8"/>
      <c r="VMP5" s="8"/>
      <c r="VMQ5" s="8"/>
      <c r="VMR5" s="8"/>
      <c r="VMS5" s="8"/>
      <c r="VMT5" s="8"/>
      <c r="VMU5" s="8"/>
      <c r="VMV5" s="8"/>
      <c r="VMW5" s="8"/>
      <c r="VMX5" s="8"/>
      <c r="VMY5" s="8"/>
      <c r="VMZ5" s="8"/>
      <c r="VNA5" s="8"/>
      <c r="VNB5" s="8"/>
      <c r="VNC5" s="8"/>
      <c r="VND5" s="8"/>
      <c r="VNE5" s="8"/>
      <c r="VNF5" s="8"/>
      <c r="VNG5" s="8"/>
      <c r="VNH5" s="8"/>
      <c r="VNI5" s="8"/>
      <c r="VNJ5" s="8"/>
      <c r="VNK5" s="8"/>
      <c r="VNL5" s="8"/>
      <c r="VNM5" s="8"/>
      <c r="VNN5" s="8"/>
      <c r="VNO5" s="8"/>
      <c r="VNP5" s="8"/>
      <c r="VNQ5" s="8"/>
      <c r="VNR5" s="8"/>
      <c r="VNS5" s="8"/>
      <c r="VNT5" s="8"/>
      <c r="VNU5" s="8"/>
      <c r="VNV5" s="8"/>
      <c r="VNW5" s="8"/>
      <c r="VNX5" s="8"/>
      <c r="VNY5" s="8"/>
      <c r="VNZ5" s="8"/>
      <c r="VOA5" s="8"/>
      <c r="VOB5" s="8"/>
      <c r="VOC5" s="8"/>
      <c r="VOD5" s="8"/>
      <c r="VOE5" s="8"/>
      <c r="VOF5" s="8"/>
      <c r="VOG5" s="8"/>
      <c r="VOH5" s="8"/>
      <c r="VOI5" s="8"/>
      <c r="VOJ5" s="8"/>
      <c r="VOK5" s="8"/>
      <c r="VOL5" s="8"/>
      <c r="VOM5" s="8"/>
      <c r="VON5" s="8"/>
      <c r="VOO5" s="8"/>
      <c r="VOP5" s="8"/>
      <c r="VOQ5" s="8"/>
      <c r="VOR5" s="8"/>
      <c r="VOS5" s="8"/>
      <c r="VOT5" s="8"/>
      <c r="VOU5" s="8"/>
      <c r="VOV5" s="8"/>
      <c r="VOW5" s="8"/>
      <c r="VOX5" s="8"/>
      <c r="VOY5" s="8"/>
      <c r="VOZ5" s="8"/>
      <c r="VPA5" s="8"/>
      <c r="VPB5" s="8"/>
      <c r="VPC5" s="8"/>
      <c r="VPD5" s="8"/>
      <c r="VPE5" s="8"/>
      <c r="VPF5" s="8"/>
      <c r="VPG5" s="8"/>
      <c r="VPH5" s="8"/>
      <c r="VPI5" s="8"/>
      <c r="VPJ5" s="8"/>
      <c r="VPK5" s="8"/>
      <c r="VPL5" s="8"/>
      <c r="VPM5" s="8"/>
      <c r="VPN5" s="8"/>
      <c r="VPO5" s="8"/>
      <c r="VPP5" s="8"/>
      <c r="VPQ5" s="8"/>
      <c r="VPR5" s="8"/>
      <c r="VPS5" s="8"/>
      <c r="VPT5" s="8"/>
      <c r="VPU5" s="8"/>
      <c r="VPV5" s="8"/>
      <c r="VPW5" s="8"/>
      <c r="VPX5" s="8"/>
      <c r="VPY5" s="8"/>
      <c r="VPZ5" s="8"/>
      <c r="VQA5" s="8"/>
      <c r="VQB5" s="8"/>
      <c r="VQC5" s="8"/>
      <c r="VQD5" s="8"/>
      <c r="VQE5" s="8"/>
      <c r="VQF5" s="8"/>
      <c r="VQG5" s="8"/>
      <c r="VQH5" s="8"/>
      <c r="VQI5" s="8"/>
      <c r="VQJ5" s="8"/>
      <c r="VQK5" s="8"/>
      <c r="VQL5" s="8"/>
      <c r="VQM5" s="8"/>
      <c r="VQN5" s="8"/>
      <c r="VQO5" s="8"/>
      <c r="VQP5" s="8"/>
      <c r="VQQ5" s="8"/>
      <c r="VQR5" s="8"/>
      <c r="VQS5" s="8"/>
      <c r="VQT5" s="8"/>
      <c r="VQU5" s="8"/>
      <c r="VQV5" s="8"/>
      <c r="VQW5" s="8"/>
      <c r="VQX5" s="8"/>
      <c r="VQY5" s="8"/>
      <c r="VQZ5" s="8"/>
      <c r="VRA5" s="8"/>
      <c r="VRB5" s="8"/>
      <c r="VRC5" s="8"/>
      <c r="VRD5" s="8"/>
      <c r="VRE5" s="8"/>
      <c r="VRF5" s="8"/>
      <c r="VRG5" s="8"/>
      <c r="VRH5" s="8"/>
      <c r="VRI5" s="8"/>
      <c r="VRJ5" s="8"/>
      <c r="VRK5" s="8"/>
      <c r="VRL5" s="8"/>
      <c r="VRM5" s="8"/>
      <c r="VRN5" s="8"/>
      <c r="VRO5" s="8"/>
      <c r="VRP5" s="8"/>
      <c r="VRQ5" s="8"/>
      <c r="VRR5" s="8"/>
      <c r="VRS5" s="8"/>
      <c r="VRT5" s="8"/>
      <c r="VRU5" s="8"/>
      <c r="VRV5" s="8"/>
      <c r="VRW5" s="8"/>
      <c r="VRX5" s="8"/>
      <c r="VRY5" s="8"/>
      <c r="VRZ5" s="8"/>
      <c r="VSA5" s="8"/>
      <c r="VSB5" s="8"/>
      <c r="VSC5" s="8"/>
      <c r="VSD5" s="8"/>
      <c r="VSE5" s="8"/>
      <c r="VSF5" s="8"/>
      <c r="VSG5" s="8"/>
      <c r="VSH5" s="8"/>
      <c r="VSI5" s="8"/>
      <c r="VSJ5" s="8"/>
      <c r="VSK5" s="8"/>
      <c r="VSL5" s="8"/>
      <c r="VSM5" s="8"/>
      <c r="VSN5" s="8"/>
      <c r="VSO5" s="8"/>
      <c r="VSP5" s="8"/>
      <c r="VSQ5" s="8"/>
      <c r="VSR5" s="8"/>
      <c r="VSS5" s="8"/>
      <c r="VST5" s="8"/>
      <c r="VSU5" s="8"/>
      <c r="VSV5" s="8"/>
      <c r="VSW5" s="8"/>
      <c r="VSX5" s="8"/>
      <c r="VSY5" s="8"/>
      <c r="VSZ5" s="8"/>
      <c r="VTA5" s="8"/>
      <c r="VTB5" s="8"/>
      <c r="VTC5" s="8"/>
      <c r="VTD5" s="8"/>
      <c r="VTE5" s="8"/>
      <c r="VTF5" s="8"/>
      <c r="VTG5" s="8"/>
      <c r="VTH5" s="8"/>
      <c r="VTI5" s="8"/>
      <c r="VTJ5" s="8"/>
      <c r="VTK5" s="8"/>
      <c r="VTL5" s="8"/>
      <c r="VTM5" s="8"/>
      <c r="VTN5" s="8"/>
      <c r="VTO5" s="8"/>
      <c r="VTP5" s="8"/>
      <c r="VTQ5" s="8"/>
      <c r="VTR5" s="8"/>
      <c r="VTS5" s="8"/>
      <c r="VTT5" s="8"/>
      <c r="VTU5" s="8"/>
      <c r="VTV5" s="8"/>
      <c r="VTW5" s="8"/>
      <c r="VTX5" s="8"/>
      <c r="VTY5" s="8"/>
      <c r="VTZ5" s="8"/>
      <c r="VUA5" s="8"/>
      <c r="VUB5" s="8"/>
      <c r="VUC5" s="8"/>
      <c r="VUD5" s="8"/>
      <c r="VUE5" s="8"/>
      <c r="VUF5" s="8"/>
      <c r="VUG5" s="8"/>
      <c r="VUH5" s="8"/>
      <c r="VUI5" s="8"/>
      <c r="VUJ5" s="8"/>
      <c r="VUK5" s="8"/>
      <c r="VUL5" s="8"/>
      <c r="VUM5" s="8"/>
      <c r="VUN5" s="8"/>
      <c r="VUO5" s="8"/>
      <c r="VUP5" s="8"/>
      <c r="VUQ5" s="8"/>
      <c r="VUR5" s="8"/>
      <c r="VUS5" s="8"/>
      <c r="VUT5" s="8"/>
      <c r="VUU5" s="8"/>
      <c r="VUV5" s="8"/>
      <c r="VUW5" s="8"/>
      <c r="VUX5" s="8"/>
      <c r="VUY5" s="8"/>
      <c r="VUZ5" s="8"/>
      <c r="VVA5" s="8"/>
      <c r="VVB5" s="8"/>
      <c r="VVC5" s="8"/>
      <c r="VVD5" s="8"/>
      <c r="VVE5" s="8"/>
      <c r="VVF5" s="8"/>
      <c r="VVG5" s="8"/>
      <c r="VVH5" s="8"/>
      <c r="VVI5" s="8"/>
      <c r="VVJ5" s="8"/>
      <c r="VVK5" s="8"/>
      <c r="VVL5" s="8"/>
      <c r="VVM5" s="8"/>
      <c r="VVN5" s="8"/>
      <c r="VVO5" s="8"/>
      <c r="VVP5" s="8"/>
      <c r="VVQ5" s="8"/>
      <c r="VVR5" s="8"/>
      <c r="VVS5" s="8"/>
      <c r="VVT5" s="8"/>
      <c r="VVU5" s="8"/>
      <c r="VVV5" s="8"/>
      <c r="VVW5" s="8"/>
      <c r="VVX5" s="8"/>
      <c r="VVY5" s="8"/>
      <c r="VVZ5" s="8"/>
      <c r="VWA5" s="8"/>
      <c r="VWB5" s="8"/>
      <c r="VWC5" s="8"/>
      <c r="VWD5" s="8"/>
      <c r="VWE5" s="8"/>
      <c r="VWF5" s="8"/>
      <c r="VWG5" s="8"/>
      <c r="VWH5" s="8"/>
      <c r="VWI5" s="8"/>
      <c r="VWJ5" s="8"/>
      <c r="VWK5" s="8"/>
      <c r="VWL5" s="8"/>
      <c r="VWM5" s="8"/>
      <c r="VWN5" s="8"/>
      <c r="VWO5" s="8"/>
      <c r="VWP5" s="8"/>
      <c r="VWQ5" s="8"/>
      <c r="VWR5" s="8"/>
      <c r="VWS5" s="8"/>
      <c r="VWT5" s="8"/>
      <c r="VWU5" s="8"/>
      <c r="VWV5" s="8"/>
      <c r="VWW5" s="8"/>
      <c r="VWX5" s="8"/>
      <c r="VWY5" s="8"/>
      <c r="VWZ5" s="8"/>
      <c r="VXA5" s="8"/>
      <c r="VXB5" s="8"/>
      <c r="VXC5" s="8"/>
      <c r="VXD5" s="8"/>
      <c r="VXE5" s="8"/>
      <c r="VXF5" s="8"/>
      <c r="VXG5" s="8"/>
      <c r="VXH5" s="8"/>
      <c r="VXI5" s="8"/>
      <c r="VXJ5" s="8"/>
      <c r="VXK5" s="8"/>
      <c r="VXL5" s="8"/>
      <c r="VXM5" s="8"/>
      <c r="VXN5" s="8"/>
      <c r="VXO5" s="8"/>
      <c r="VXP5" s="8"/>
      <c r="VXQ5" s="8"/>
      <c r="VXR5" s="8"/>
      <c r="VXS5" s="8"/>
      <c r="VXT5" s="8"/>
      <c r="VXU5" s="8"/>
      <c r="VXV5" s="8"/>
      <c r="VXW5" s="8"/>
      <c r="VXX5" s="8"/>
      <c r="VXY5" s="8"/>
      <c r="VXZ5" s="8"/>
      <c r="VYA5" s="8"/>
      <c r="VYB5" s="8"/>
      <c r="VYC5" s="8"/>
      <c r="VYD5" s="8"/>
      <c r="VYE5" s="8"/>
      <c r="VYF5" s="8"/>
      <c r="VYG5" s="8"/>
      <c r="VYH5" s="8"/>
      <c r="VYI5" s="8"/>
      <c r="VYJ5" s="8"/>
      <c r="VYK5" s="8"/>
      <c r="VYL5" s="8"/>
      <c r="VYM5" s="8"/>
      <c r="VYN5" s="8"/>
      <c r="VYO5" s="8"/>
      <c r="VYP5" s="8"/>
      <c r="VYQ5" s="8"/>
      <c r="VYR5" s="8"/>
      <c r="VYS5" s="8"/>
      <c r="VYT5" s="8"/>
      <c r="VYU5" s="8"/>
      <c r="VYV5" s="8"/>
      <c r="VYW5" s="8"/>
      <c r="VYX5" s="8"/>
      <c r="VYY5" s="8"/>
      <c r="VYZ5" s="8"/>
      <c r="VZA5" s="8"/>
      <c r="VZB5" s="8"/>
      <c r="VZC5" s="8"/>
      <c r="VZD5" s="8"/>
      <c r="VZE5" s="8"/>
      <c r="VZF5" s="8"/>
      <c r="VZG5" s="8"/>
      <c r="VZH5" s="8"/>
      <c r="VZI5" s="8"/>
      <c r="VZJ5" s="8"/>
      <c r="VZK5" s="8"/>
      <c r="VZL5" s="8"/>
      <c r="VZM5" s="8"/>
      <c r="VZN5" s="8"/>
      <c r="VZO5" s="8"/>
      <c r="VZP5" s="8"/>
      <c r="VZQ5" s="8"/>
      <c r="VZR5" s="8"/>
      <c r="VZS5" s="8"/>
      <c r="VZT5" s="8"/>
      <c r="VZU5" s="8"/>
      <c r="VZV5" s="8"/>
      <c r="VZW5" s="8"/>
      <c r="VZX5" s="8"/>
      <c r="VZY5" s="8"/>
      <c r="VZZ5" s="8"/>
      <c r="WAA5" s="8"/>
      <c r="WAB5" s="8"/>
      <c r="WAC5" s="8"/>
      <c r="WAD5" s="8"/>
      <c r="WAE5" s="8"/>
      <c r="WAF5" s="8"/>
      <c r="WAG5" s="8"/>
      <c r="WAH5" s="8"/>
      <c r="WAI5" s="8"/>
      <c r="WAJ5" s="8"/>
      <c r="WAK5" s="8"/>
      <c r="WAL5" s="8"/>
      <c r="WAM5" s="8"/>
      <c r="WAN5" s="8"/>
      <c r="WAO5" s="8"/>
      <c r="WAP5" s="8"/>
      <c r="WAQ5" s="8"/>
      <c r="WAR5" s="8"/>
      <c r="WAS5" s="8"/>
      <c r="WAT5" s="8"/>
      <c r="WAU5" s="8"/>
      <c r="WAV5" s="8"/>
      <c r="WAW5" s="8"/>
      <c r="WAX5" s="8"/>
      <c r="WAY5" s="8"/>
      <c r="WAZ5" s="8"/>
      <c r="WBA5" s="8"/>
      <c r="WBB5" s="8"/>
      <c r="WBC5" s="8"/>
      <c r="WBD5" s="8"/>
      <c r="WBE5" s="8"/>
      <c r="WBF5" s="8"/>
      <c r="WBG5" s="8"/>
      <c r="WBH5" s="8"/>
      <c r="WBI5" s="8"/>
      <c r="WBJ5" s="8"/>
      <c r="WBK5" s="8"/>
      <c r="WBL5" s="8"/>
      <c r="WBM5" s="8"/>
      <c r="WBN5" s="8"/>
      <c r="WBO5" s="8"/>
      <c r="WBP5" s="8"/>
      <c r="WBQ5" s="8"/>
      <c r="WBR5" s="8"/>
      <c r="WBS5" s="8"/>
      <c r="WBT5" s="8"/>
      <c r="WBU5" s="8"/>
      <c r="WBV5" s="8"/>
      <c r="WBW5" s="8"/>
      <c r="WBX5" s="8"/>
      <c r="WBY5" s="8"/>
      <c r="WBZ5" s="8"/>
      <c r="WCA5" s="8"/>
      <c r="WCB5" s="8"/>
      <c r="WCC5" s="8"/>
      <c r="WCD5" s="8"/>
      <c r="WCE5" s="8"/>
      <c r="WCF5" s="8"/>
      <c r="WCG5" s="8"/>
      <c r="WCH5" s="8"/>
      <c r="WCI5" s="8"/>
      <c r="WCJ5" s="8"/>
      <c r="WCK5" s="8"/>
      <c r="WCL5" s="8"/>
      <c r="WCM5" s="8"/>
      <c r="WCN5" s="8"/>
      <c r="WCO5" s="8"/>
      <c r="WCP5" s="8"/>
      <c r="WCQ5" s="8"/>
      <c r="WCR5" s="8"/>
      <c r="WCS5" s="8"/>
      <c r="WCT5" s="8"/>
      <c r="WCU5" s="8"/>
      <c r="WCV5" s="8"/>
      <c r="WCW5" s="8"/>
      <c r="WCX5" s="8"/>
      <c r="WCY5" s="8"/>
      <c r="WCZ5" s="8"/>
      <c r="WDA5" s="8"/>
      <c r="WDB5" s="8"/>
      <c r="WDC5" s="8"/>
      <c r="WDD5" s="8"/>
      <c r="WDE5" s="8"/>
      <c r="WDF5" s="8"/>
      <c r="WDG5" s="8"/>
      <c r="WDH5" s="8"/>
      <c r="WDI5" s="8"/>
      <c r="WDJ5" s="8"/>
      <c r="WDK5" s="8"/>
      <c r="WDL5" s="8"/>
      <c r="WDM5" s="8"/>
      <c r="WDN5" s="8"/>
      <c r="WDO5" s="8"/>
      <c r="WDP5" s="8"/>
      <c r="WDQ5" s="8"/>
      <c r="WDR5" s="8"/>
      <c r="WDS5" s="8"/>
      <c r="WDT5" s="8"/>
      <c r="WDU5" s="8"/>
      <c r="WDV5" s="8"/>
      <c r="WDW5" s="8"/>
      <c r="WDX5" s="8"/>
      <c r="WDY5" s="8"/>
      <c r="WDZ5" s="8"/>
      <c r="WEA5" s="8"/>
      <c r="WEB5" s="8"/>
      <c r="WEC5" s="8"/>
      <c r="WED5" s="8"/>
      <c r="WEE5" s="8"/>
      <c r="WEF5" s="8"/>
      <c r="WEG5" s="8"/>
      <c r="WEH5" s="8"/>
      <c r="WEI5" s="8"/>
      <c r="WEJ5" s="8"/>
      <c r="WEK5" s="8"/>
      <c r="WEL5" s="8"/>
      <c r="WEM5" s="8"/>
      <c r="WEN5" s="8"/>
      <c r="WEO5" s="8"/>
      <c r="WEP5" s="8"/>
      <c r="WEQ5" s="8"/>
      <c r="WER5" s="8"/>
      <c r="WES5" s="8"/>
      <c r="WET5" s="8"/>
      <c r="WEU5" s="8"/>
      <c r="WEV5" s="8"/>
      <c r="WEW5" s="8"/>
      <c r="WEX5" s="8"/>
      <c r="WEY5" s="8"/>
      <c r="WEZ5" s="8"/>
      <c r="WFA5" s="8"/>
      <c r="WFB5" s="8"/>
      <c r="WFC5" s="8"/>
      <c r="WFD5" s="8"/>
      <c r="WFE5" s="8"/>
      <c r="WFF5" s="8"/>
      <c r="WFG5" s="8"/>
      <c r="WFH5" s="8"/>
      <c r="WFI5" s="8"/>
      <c r="WFJ5" s="8"/>
      <c r="WFK5" s="8"/>
      <c r="WFL5" s="8"/>
      <c r="WFM5" s="8"/>
      <c r="WFN5" s="8"/>
      <c r="WFO5" s="8"/>
      <c r="WFP5" s="8"/>
      <c r="WFQ5" s="8"/>
      <c r="WFR5" s="8"/>
      <c r="WFS5" s="8"/>
      <c r="WFT5" s="8"/>
      <c r="WFU5" s="8"/>
      <c r="WFV5" s="8"/>
      <c r="WFW5" s="8"/>
      <c r="WFX5" s="8"/>
      <c r="WFY5" s="8"/>
      <c r="WFZ5" s="8"/>
      <c r="WGA5" s="8"/>
      <c r="WGB5" s="8"/>
      <c r="WGC5" s="8"/>
      <c r="WGD5" s="8"/>
      <c r="WGE5" s="8"/>
      <c r="WGF5" s="8"/>
      <c r="WGG5" s="8"/>
      <c r="WGH5" s="8"/>
      <c r="WGI5" s="8"/>
      <c r="WGJ5" s="8"/>
      <c r="WGK5" s="8"/>
      <c r="WGL5" s="8"/>
      <c r="WGM5" s="8"/>
      <c r="WGN5" s="8"/>
      <c r="WGO5" s="8"/>
      <c r="WGP5" s="8"/>
      <c r="WGQ5" s="8"/>
      <c r="WGR5" s="8"/>
      <c r="WGS5" s="8"/>
      <c r="WGT5" s="8"/>
      <c r="WGU5" s="8"/>
      <c r="WGV5" s="8"/>
      <c r="WGW5" s="8"/>
      <c r="WGX5" s="8"/>
      <c r="WGY5" s="8"/>
      <c r="WGZ5" s="8"/>
      <c r="WHA5" s="8"/>
      <c r="WHB5" s="8"/>
      <c r="WHC5" s="8"/>
      <c r="WHD5" s="8"/>
      <c r="WHE5" s="8"/>
      <c r="WHF5" s="8"/>
      <c r="WHG5" s="8"/>
      <c r="WHH5" s="8"/>
      <c r="WHI5" s="8"/>
      <c r="WHJ5" s="8"/>
      <c r="WHK5" s="8"/>
      <c r="WHL5" s="8"/>
      <c r="WHM5" s="8"/>
      <c r="WHN5" s="8"/>
      <c r="WHO5" s="8"/>
      <c r="WHP5" s="8"/>
      <c r="WHQ5" s="8"/>
      <c r="WHR5" s="8"/>
      <c r="WHS5" s="8"/>
      <c r="WHT5" s="8"/>
      <c r="WHU5" s="8"/>
      <c r="WHV5" s="8"/>
      <c r="WHW5" s="8"/>
      <c r="WHX5" s="8"/>
      <c r="WHY5" s="8"/>
      <c r="WHZ5" s="8"/>
      <c r="WIA5" s="8"/>
      <c r="WIB5" s="8"/>
      <c r="WIC5" s="8"/>
      <c r="WID5" s="8"/>
      <c r="WIE5" s="8"/>
      <c r="WIF5" s="8"/>
      <c r="WIG5" s="8"/>
      <c r="WIH5" s="8"/>
      <c r="WII5" s="8"/>
      <c r="WIJ5" s="8"/>
      <c r="WIK5" s="8"/>
      <c r="WIL5" s="8"/>
      <c r="WIM5" s="8"/>
      <c r="WIN5" s="8"/>
      <c r="WIO5" s="8"/>
      <c r="WIP5" s="8"/>
      <c r="WIQ5" s="8"/>
      <c r="WIR5" s="8"/>
      <c r="WIS5" s="8"/>
      <c r="WIT5" s="8"/>
      <c r="WIU5" s="8"/>
      <c r="WIV5" s="8"/>
      <c r="WIW5" s="8"/>
      <c r="WIX5" s="8"/>
      <c r="WIY5" s="8"/>
      <c r="WIZ5" s="8"/>
      <c r="WJA5" s="8"/>
      <c r="WJB5" s="8"/>
      <c r="WJC5" s="8"/>
      <c r="WJD5" s="8"/>
      <c r="WJE5" s="8"/>
      <c r="WJF5" s="8"/>
      <c r="WJG5" s="8"/>
      <c r="WJH5" s="8"/>
      <c r="WJI5" s="8"/>
      <c r="WJJ5" s="8"/>
      <c r="WJK5" s="8"/>
      <c r="WJL5" s="8"/>
      <c r="WJM5" s="8"/>
      <c r="WJN5" s="8"/>
      <c r="WJO5" s="8"/>
      <c r="WJP5" s="8"/>
      <c r="WJQ5" s="8"/>
      <c r="WJR5" s="8"/>
      <c r="WJS5" s="8"/>
      <c r="WJT5" s="8"/>
      <c r="WJU5" s="8"/>
      <c r="WJV5" s="8"/>
      <c r="WJW5" s="8"/>
      <c r="WJX5" s="8"/>
      <c r="WJY5" s="8"/>
      <c r="WJZ5" s="8"/>
      <c r="WKA5" s="8"/>
      <c r="WKB5" s="8"/>
      <c r="WKC5" s="8"/>
      <c r="WKD5" s="8"/>
      <c r="WKE5" s="8"/>
      <c r="WKF5" s="8"/>
      <c r="WKG5" s="8"/>
      <c r="WKH5" s="8"/>
      <c r="WKI5" s="8"/>
      <c r="WKJ5" s="8"/>
      <c r="WKK5" s="8"/>
      <c r="WKL5" s="8"/>
      <c r="WKM5" s="8"/>
      <c r="WKN5" s="8"/>
      <c r="WKO5" s="8"/>
      <c r="WKP5" s="8"/>
      <c r="WKQ5" s="8"/>
      <c r="WKR5" s="8"/>
      <c r="WKS5" s="8"/>
      <c r="WKT5" s="8"/>
      <c r="WKU5" s="8"/>
      <c r="WKV5" s="8"/>
      <c r="WKW5" s="8"/>
      <c r="WKX5" s="8"/>
      <c r="WKY5" s="8"/>
      <c r="WKZ5" s="8"/>
      <c r="WLA5" s="8"/>
      <c r="WLB5" s="8"/>
      <c r="WLC5" s="8"/>
      <c r="WLD5" s="8"/>
      <c r="WLE5" s="8"/>
      <c r="WLF5" s="8"/>
      <c r="WLG5" s="8"/>
      <c r="WLH5" s="8"/>
      <c r="WLI5" s="8"/>
      <c r="WLJ5" s="8"/>
      <c r="WLK5" s="8"/>
      <c r="WLL5" s="8"/>
      <c r="WLM5" s="8"/>
      <c r="WLN5" s="8"/>
      <c r="WLO5" s="8"/>
      <c r="WLP5" s="8"/>
      <c r="WLQ5" s="8"/>
      <c r="WLR5" s="8"/>
      <c r="WLS5" s="8"/>
      <c r="WLT5" s="8"/>
      <c r="WLU5" s="8"/>
      <c r="WLV5" s="8"/>
      <c r="WLW5" s="8"/>
      <c r="WLX5" s="8"/>
      <c r="WLY5" s="8"/>
      <c r="WLZ5" s="8"/>
      <c r="WMA5" s="8"/>
      <c r="WMB5" s="8"/>
      <c r="WMC5" s="8"/>
      <c r="WMD5" s="8"/>
      <c r="WME5" s="8"/>
      <c r="WMF5" s="8"/>
      <c r="WMG5" s="8"/>
      <c r="WMH5" s="8"/>
      <c r="WMI5" s="8"/>
      <c r="WMJ5" s="8"/>
      <c r="WMK5" s="8"/>
      <c r="WML5" s="8"/>
      <c r="WMM5" s="8"/>
      <c r="WMN5" s="8"/>
      <c r="WMO5" s="8"/>
      <c r="WMP5" s="8"/>
      <c r="WMQ5" s="8"/>
      <c r="WMR5" s="8"/>
      <c r="WMS5" s="8"/>
      <c r="WMT5" s="8"/>
      <c r="WMU5" s="8"/>
      <c r="WMV5" s="8"/>
      <c r="WMW5" s="8"/>
      <c r="WMX5" s="8"/>
      <c r="WMY5" s="8"/>
      <c r="WMZ5" s="8"/>
      <c r="WNA5" s="8"/>
      <c r="WNB5" s="8"/>
      <c r="WNC5" s="8"/>
      <c r="WND5" s="8"/>
      <c r="WNE5" s="8"/>
      <c r="WNF5" s="8"/>
      <c r="WNG5" s="8"/>
      <c r="WNH5" s="8"/>
      <c r="WNI5" s="8"/>
      <c r="WNJ5" s="8"/>
      <c r="WNK5" s="8"/>
      <c r="WNL5" s="8"/>
      <c r="WNM5" s="8"/>
      <c r="WNN5" s="8"/>
      <c r="WNO5" s="8"/>
      <c r="WNP5" s="8"/>
      <c r="WNQ5" s="8"/>
      <c r="WNR5" s="8"/>
      <c r="WNS5" s="8"/>
      <c r="WNT5" s="8"/>
      <c r="WNU5" s="8"/>
      <c r="WNV5" s="8"/>
      <c r="WNW5" s="8"/>
      <c r="WNX5" s="8"/>
      <c r="WNY5" s="8"/>
      <c r="WNZ5" s="8"/>
      <c r="WOA5" s="8"/>
      <c r="WOB5" s="8"/>
      <c r="WOC5" s="8"/>
      <c r="WOD5" s="8"/>
      <c r="WOE5" s="8"/>
      <c r="WOF5" s="8"/>
      <c r="WOG5" s="8"/>
      <c r="WOH5" s="8"/>
      <c r="WOI5" s="8"/>
      <c r="WOJ5" s="8"/>
      <c r="WOK5" s="8"/>
      <c r="WOL5" s="8"/>
      <c r="WOM5" s="8"/>
      <c r="WON5" s="8"/>
      <c r="WOO5" s="8"/>
      <c r="WOP5" s="8"/>
      <c r="WOQ5" s="8"/>
      <c r="WOR5" s="8"/>
      <c r="WOS5" s="8"/>
      <c r="WOT5" s="8"/>
      <c r="WOU5" s="8"/>
      <c r="WOV5" s="8"/>
      <c r="WOW5" s="8"/>
      <c r="WOX5" s="8"/>
      <c r="WOY5" s="8"/>
      <c r="WOZ5" s="8"/>
      <c r="WPA5" s="8"/>
      <c r="WPB5" s="8"/>
      <c r="WPC5" s="8"/>
      <c r="WPD5" s="8"/>
      <c r="WPE5" s="8"/>
      <c r="WPF5" s="8"/>
      <c r="WPG5" s="8"/>
      <c r="WPH5" s="8"/>
      <c r="WPI5" s="8"/>
      <c r="WPJ5" s="8"/>
      <c r="WPK5" s="8"/>
      <c r="WPL5" s="8"/>
      <c r="WPM5" s="8"/>
      <c r="WPN5" s="8"/>
      <c r="WPO5" s="8"/>
      <c r="WPP5" s="8"/>
      <c r="WPQ5" s="8"/>
      <c r="WPR5" s="8"/>
      <c r="WPS5" s="8"/>
      <c r="WPT5" s="8"/>
      <c r="WPU5" s="8"/>
      <c r="WPV5" s="8"/>
      <c r="WPW5" s="8"/>
      <c r="WPX5" s="8"/>
      <c r="WPY5" s="8"/>
      <c r="WPZ5" s="8"/>
      <c r="WQA5" s="8"/>
      <c r="WQB5" s="8"/>
      <c r="WQC5" s="8"/>
      <c r="WQD5" s="8"/>
      <c r="WQE5" s="8"/>
      <c r="WQF5" s="8"/>
      <c r="WQG5" s="8"/>
      <c r="WQH5" s="8"/>
      <c r="WQI5" s="8"/>
      <c r="WQJ5" s="8"/>
      <c r="WQK5" s="8"/>
      <c r="WQL5" s="8"/>
      <c r="WQM5" s="8"/>
      <c r="WQN5" s="8"/>
      <c r="WQO5" s="8"/>
      <c r="WQP5" s="8"/>
      <c r="WQQ5" s="8"/>
      <c r="WQR5" s="8"/>
      <c r="WQS5" s="8"/>
      <c r="WQT5" s="8"/>
      <c r="WQU5" s="8"/>
      <c r="WQV5" s="8"/>
      <c r="WQW5" s="8"/>
      <c r="WQX5" s="8"/>
      <c r="WQY5" s="8"/>
      <c r="WQZ5" s="8"/>
      <c r="WRA5" s="8"/>
      <c r="WRB5" s="8"/>
      <c r="WRC5" s="8"/>
      <c r="WRD5" s="8"/>
      <c r="WRE5" s="8"/>
      <c r="WRF5" s="8"/>
      <c r="WRG5" s="8"/>
      <c r="WRH5" s="8"/>
      <c r="WRI5" s="8"/>
      <c r="WRJ5" s="8"/>
      <c r="WRK5" s="8"/>
      <c r="WRL5" s="8"/>
      <c r="WRM5" s="8"/>
      <c r="WRN5" s="8"/>
      <c r="WRO5" s="8"/>
      <c r="WRP5" s="8"/>
      <c r="WRQ5" s="8"/>
      <c r="WRR5" s="8"/>
      <c r="WRS5" s="8"/>
      <c r="WRT5" s="8"/>
      <c r="WRU5" s="8"/>
      <c r="WRV5" s="8"/>
      <c r="WRW5" s="8"/>
      <c r="WRX5" s="8"/>
      <c r="WRY5" s="8"/>
      <c r="WRZ5" s="8"/>
      <c r="WSA5" s="8"/>
      <c r="WSB5" s="8"/>
      <c r="WSC5" s="8"/>
      <c r="WSD5" s="8"/>
      <c r="WSE5" s="8"/>
      <c r="WSF5" s="8"/>
      <c r="WSG5" s="8"/>
      <c r="WSH5" s="8"/>
      <c r="WSI5" s="8"/>
      <c r="WSJ5" s="8"/>
      <c r="WSK5" s="8"/>
      <c r="WSL5" s="8"/>
      <c r="WSM5" s="8"/>
      <c r="WSN5" s="8"/>
      <c r="WSO5" s="8"/>
      <c r="WSP5" s="8"/>
      <c r="WSQ5" s="8"/>
      <c r="WSR5" s="8"/>
      <c r="WSS5" s="8"/>
      <c r="WST5" s="8"/>
      <c r="WSU5" s="8"/>
      <c r="WSV5" s="8"/>
      <c r="WSW5" s="8"/>
      <c r="WSX5" s="8"/>
      <c r="WSY5" s="8"/>
      <c r="WSZ5" s="8"/>
      <c r="WTA5" s="8"/>
      <c r="WTB5" s="8"/>
      <c r="WTC5" s="8"/>
      <c r="WTD5" s="8"/>
      <c r="WTE5" s="8"/>
      <c r="WTF5" s="8"/>
      <c r="WTG5" s="8"/>
      <c r="WTH5" s="8"/>
      <c r="WTI5" s="8"/>
      <c r="WTJ5" s="8"/>
      <c r="WTK5" s="8"/>
      <c r="WTL5" s="8"/>
      <c r="WTM5" s="8"/>
      <c r="WTN5" s="8"/>
      <c r="WTO5" s="8"/>
      <c r="WTP5" s="8"/>
      <c r="WTQ5" s="8"/>
      <c r="WTR5" s="8"/>
      <c r="WTS5" s="8"/>
      <c r="WTT5" s="8"/>
      <c r="WTU5" s="8"/>
      <c r="WTV5" s="8"/>
      <c r="WTW5" s="8"/>
      <c r="WTX5" s="8"/>
      <c r="WTY5" s="8"/>
      <c r="WTZ5" s="8"/>
      <c r="WUA5" s="8"/>
      <c r="WUB5" s="8"/>
      <c r="WUC5" s="8"/>
      <c r="WUD5" s="8"/>
      <c r="WUE5" s="8"/>
      <c r="WUF5" s="8"/>
      <c r="WUG5" s="8"/>
      <c r="WUH5" s="8"/>
      <c r="WUI5" s="8"/>
      <c r="WUJ5" s="8"/>
      <c r="WUK5" s="8"/>
      <c r="WUL5" s="8"/>
      <c r="WUM5" s="8"/>
      <c r="WUN5" s="8"/>
      <c r="WUO5" s="8"/>
      <c r="WUP5" s="8"/>
      <c r="WUQ5" s="8"/>
      <c r="WUR5" s="8"/>
      <c r="WUS5" s="8"/>
      <c r="WUT5" s="8"/>
      <c r="WUU5" s="8"/>
      <c r="WUV5" s="8"/>
      <c r="WUW5" s="8"/>
      <c r="WUX5" s="8"/>
      <c r="WUY5" s="8"/>
      <c r="WUZ5" s="8"/>
      <c r="WVA5" s="8"/>
      <c r="WVB5" s="8"/>
      <c r="WVC5" s="8"/>
      <c r="WVD5" s="8"/>
      <c r="WVE5" s="8"/>
      <c r="WVF5" s="8"/>
      <c r="WVG5" s="8"/>
      <c r="WVH5" s="8"/>
      <c r="WVI5" s="8"/>
      <c r="WVJ5" s="8"/>
      <c r="WVK5" s="8"/>
      <c r="WVL5" s="8"/>
      <c r="WVM5" s="8"/>
      <c r="WVN5" s="8"/>
      <c r="WVO5" s="8"/>
      <c r="WVP5" s="8"/>
      <c r="WVQ5" s="8"/>
      <c r="WVR5" s="8"/>
      <c r="WVS5" s="8"/>
      <c r="WVT5" s="8"/>
      <c r="WVU5" s="8"/>
      <c r="WVV5" s="8"/>
      <c r="WVW5" s="8"/>
      <c r="WVX5" s="8"/>
      <c r="WVY5" s="8"/>
      <c r="WVZ5" s="8"/>
      <c r="WWA5" s="8"/>
      <c r="WWB5" s="8"/>
      <c r="WWC5" s="8"/>
      <c r="WWD5" s="8"/>
      <c r="WWE5" s="8"/>
      <c r="WWF5" s="8"/>
      <c r="WWG5" s="8"/>
      <c r="WWH5" s="8"/>
      <c r="WWI5" s="8"/>
      <c r="WWJ5" s="8"/>
      <c r="WWK5" s="8"/>
      <c r="WWL5" s="8"/>
      <c r="WWM5" s="8"/>
      <c r="WWN5" s="8"/>
      <c r="WWO5" s="8"/>
      <c r="WWP5" s="8"/>
      <c r="WWQ5" s="8"/>
      <c r="WWR5" s="8"/>
      <c r="WWS5" s="8"/>
      <c r="WWT5" s="8"/>
      <c r="WWU5" s="8"/>
      <c r="WWV5" s="8"/>
      <c r="WWW5" s="8"/>
      <c r="WWX5" s="8"/>
      <c r="WWY5" s="8"/>
      <c r="WWZ5" s="8"/>
      <c r="WXA5" s="8"/>
      <c r="WXB5" s="8"/>
      <c r="WXC5" s="8"/>
      <c r="WXD5" s="8"/>
      <c r="WXE5" s="8"/>
      <c r="WXF5" s="8"/>
      <c r="WXG5" s="8"/>
      <c r="WXH5" s="8"/>
      <c r="WXI5" s="8"/>
      <c r="WXJ5" s="8"/>
      <c r="WXK5" s="8"/>
      <c r="WXL5" s="8"/>
      <c r="WXM5" s="8"/>
      <c r="WXN5" s="8"/>
      <c r="WXO5" s="8"/>
      <c r="WXP5" s="8"/>
      <c r="WXQ5" s="8"/>
      <c r="WXR5" s="8"/>
      <c r="WXS5" s="8"/>
      <c r="WXT5" s="8"/>
      <c r="WXU5" s="8"/>
      <c r="WXV5" s="8"/>
      <c r="WXW5" s="8"/>
      <c r="WXX5" s="8"/>
      <c r="WXY5" s="8"/>
      <c r="WXZ5" s="8"/>
      <c r="WYA5" s="8"/>
      <c r="WYB5" s="8"/>
      <c r="WYC5" s="8"/>
      <c r="WYD5" s="8"/>
      <c r="WYE5" s="8"/>
      <c r="WYF5" s="8"/>
      <c r="WYG5" s="8"/>
      <c r="WYH5" s="8"/>
      <c r="WYI5" s="8"/>
      <c r="WYJ5" s="8"/>
      <c r="WYK5" s="8"/>
      <c r="WYL5" s="8"/>
      <c r="WYM5" s="8"/>
      <c r="WYN5" s="8"/>
      <c r="WYO5" s="8"/>
      <c r="WYP5" s="8"/>
      <c r="WYQ5" s="8"/>
      <c r="WYR5" s="8"/>
      <c r="WYS5" s="8"/>
      <c r="WYT5" s="8"/>
      <c r="WYU5" s="8"/>
      <c r="WYV5" s="8"/>
      <c r="WYW5" s="8"/>
      <c r="WYX5" s="8"/>
      <c r="WYY5" s="8"/>
      <c r="WYZ5" s="8"/>
      <c r="WZA5" s="8"/>
      <c r="WZB5" s="8"/>
      <c r="WZC5" s="8"/>
      <c r="WZD5" s="8"/>
      <c r="WZE5" s="8"/>
      <c r="WZF5" s="8"/>
      <c r="WZG5" s="8"/>
      <c r="WZH5" s="8"/>
      <c r="WZI5" s="8"/>
      <c r="WZJ5" s="8"/>
      <c r="WZK5" s="8"/>
      <c r="WZL5" s="8"/>
      <c r="WZM5" s="8"/>
      <c r="WZN5" s="8"/>
      <c r="WZO5" s="8"/>
      <c r="WZP5" s="8"/>
      <c r="WZQ5" s="8"/>
      <c r="WZR5" s="8"/>
      <c r="WZS5" s="8"/>
      <c r="WZT5" s="8"/>
      <c r="WZU5" s="8"/>
      <c r="WZV5" s="8"/>
      <c r="WZW5" s="8"/>
      <c r="WZX5" s="8"/>
      <c r="WZY5" s="8"/>
      <c r="WZZ5" s="8"/>
      <c r="XAA5" s="8"/>
      <c r="XAB5" s="8"/>
      <c r="XAC5" s="8"/>
      <c r="XAD5" s="8"/>
      <c r="XAE5" s="8"/>
      <c r="XAF5" s="8"/>
      <c r="XAG5" s="8"/>
      <c r="XAH5" s="8"/>
      <c r="XAI5" s="8"/>
      <c r="XAJ5" s="8"/>
      <c r="XAK5" s="8"/>
      <c r="XAL5" s="8"/>
      <c r="XAM5" s="8"/>
      <c r="XAN5" s="8"/>
      <c r="XAO5" s="8"/>
      <c r="XAP5" s="8"/>
      <c r="XAQ5" s="8"/>
      <c r="XAR5" s="8"/>
      <c r="XAS5" s="8"/>
      <c r="XAT5" s="8"/>
      <c r="XAU5" s="8"/>
      <c r="XAV5" s="8"/>
      <c r="XAW5" s="8"/>
      <c r="XAX5" s="8"/>
      <c r="XAY5" s="8"/>
      <c r="XAZ5" s="8"/>
      <c r="XBA5" s="8"/>
      <c r="XBB5" s="8"/>
      <c r="XBC5" s="8"/>
      <c r="XBD5" s="8"/>
      <c r="XBE5" s="8"/>
      <c r="XBF5" s="8"/>
      <c r="XBG5" s="8"/>
      <c r="XBH5" s="8"/>
      <c r="XBI5" s="8"/>
      <c r="XBJ5" s="8"/>
      <c r="XBK5" s="8"/>
      <c r="XBL5" s="8"/>
      <c r="XBM5" s="8"/>
      <c r="XBN5" s="8"/>
      <c r="XBO5" s="8"/>
      <c r="XBP5" s="8"/>
      <c r="XBQ5" s="8"/>
      <c r="XBR5" s="8"/>
      <c r="XBS5" s="8"/>
      <c r="XBT5" s="8"/>
      <c r="XBU5" s="8"/>
      <c r="XBV5" s="8"/>
      <c r="XBW5" s="8"/>
      <c r="XBX5" s="8"/>
      <c r="XBY5" s="8"/>
      <c r="XBZ5" s="8"/>
      <c r="XCA5" s="8"/>
      <c r="XCB5" s="8"/>
      <c r="XCC5" s="8"/>
      <c r="XCD5" s="8"/>
      <c r="XCE5" s="8"/>
      <c r="XCF5" s="8"/>
      <c r="XCG5" s="8"/>
      <c r="XCH5" s="8"/>
      <c r="XCI5" s="8"/>
      <c r="XCJ5" s="8"/>
      <c r="XCK5" s="8"/>
      <c r="XCL5" s="8"/>
      <c r="XCM5" s="8"/>
      <c r="XCN5" s="8"/>
      <c r="XCO5" s="8"/>
      <c r="XCP5" s="8"/>
      <c r="XCQ5" s="8"/>
      <c r="XCR5" s="8"/>
      <c r="XCS5" s="8"/>
      <c r="XCT5" s="8"/>
      <c r="XCU5" s="8"/>
      <c r="XCV5" s="8"/>
      <c r="XCW5" s="8"/>
      <c r="XCX5" s="8"/>
      <c r="XCY5" s="8"/>
      <c r="XCZ5" s="8"/>
      <c r="XDA5" s="8"/>
      <c r="XDB5" s="8"/>
      <c r="XDC5" s="8"/>
      <c r="XDD5" s="8"/>
      <c r="XDE5" s="8"/>
      <c r="XDF5" s="8"/>
      <c r="XDG5" s="8"/>
      <c r="XDH5" s="8"/>
      <c r="XDI5" s="8"/>
      <c r="XDJ5" s="8"/>
      <c r="XDK5" s="8"/>
      <c r="XDL5" s="8"/>
      <c r="XDM5" s="8"/>
      <c r="XDN5" s="8"/>
      <c r="XDO5" s="8"/>
      <c r="XDP5" s="8"/>
      <c r="XDQ5" s="8"/>
      <c r="XDR5" s="8"/>
      <c r="XDS5" s="8"/>
      <c r="XDT5" s="8"/>
      <c r="XDU5" s="8"/>
      <c r="XDV5" s="8"/>
      <c r="XDW5" s="8"/>
      <c r="XDX5" s="8"/>
      <c r="XDY5" s="8"/>
      <c r="XDZ5" s="8"/>
      <c r="XEA5" s="8"/>
      <c r="XEB5" s="8"/>
      <c r="XEC5" s="8"/>
    </row>
    <row r="6" spans="1:16357" x14ac:dyDescent="0.25">
      <c r="A6" s="12">
        <v>3</v>
      </c>
      <c r="B6" s="15" t="s">
        <v>169</v>
      </c>
      <c r="C6" s="16" t="s">
        <v>170</v>
      </c>
      <c r="D6" s="14" t="s">
        <v>171</v>
      </c>
      <c r="E6" s="12">
        <v>3444443091</v>
      </c>
      <c r="F6" s="13" t="s">
        <v>172</v>
      </c>
      <c r="G6" s="12" t="s">
        <v>976</v>
      </c>
      <c r="H6" s="13">
        <v>172636</v>
      </c>
      <c r="R6" s="96"/>
    </row>
    <row r="7" spans="1:16357" x14ac:dyDescent="0.25">
      <c r="A7" s="12">
        <v>70</v>
      </c>
      <c r="B7" s="15" t="s">
        <v>333</v>
      </c>
      <c r="C7" s="16" t="s">
        <v>334</v>
      </c>
      <c r="D7" s="14" t="s">
        <v>335</v>
      </c>
      <c r="E7" s="12" t="s">
        <v>336</v>
      </c>
      <c r="F7" s="13" t="s">
        <v>337</v>
      </c>
      <c r="G7" s="12" t="s">
        <v>1078</v>
      </c>
      <c r="H7" s="13"/>
    </row>
  </sheetData>
  <mergeCells count="1">
    <mergeCell ref="A1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CONTACT DETAILS</vt:lpstr>
      <vt:lpstr>MEMBERS</vt:lpstr>
      <vt:lpstr>data base </vt:lpstr>
      <vt:lpstr>FIXED AMOUNT</vt:lpstr>
      <vt:lpstr>FACILITIES</vt:lpstr>
      <vt:lpstr>F &amp; B</vt:lpstr>
      <vt:lpstr>menu list</vt:lpstr>
      <vt:lpstr>EXTRACT</vt:lpstr>
      <vt:lpstr>REPORT</vt:lpstr>
      <vt:lpstr>CARD SALE</vt:lpstr>
      <vt:lpstr>BILL</vt:lpstr>
      <vt:lpstr>MIS</vt:lpstr>
      <vt:lpstr>recovery report</vt:lpstr>
      <vt:lpstr>LEFT MEMBERS</vt:lpstr>
      <vt:lpstr>BILL!Print_Area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Hafiz</dc:creator>
  <cp:lastModifiedBy>pc</cp:lastModifiedBy>
  <cp:lastPrinted>2025-12-26T06:11:35Z</cp:lastPrinted>
  <dcterms:created xsi:type="dcterms:W3CDTF">2024-09-27T00:34:05Z</dcterms:created>
  <dcterms:modified xsi:type="dcterms:W3CDTF">2026-01-16T07:31:00Z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5507c77af22948588084e5e73d2f03ae</vt:lpwstr>
  </property>
</Properties>
</file>