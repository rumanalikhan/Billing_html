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lling_html\frm\billing\elec\doc\"/>
    </mc:Choice>
  </mc:AlternateContent>
  <bookViews>
    <workbookView xWindow="0" yWindow="0" windowWidth="28800" windowHeight="13590"/>
  </bookViews>
  <sheets>
    <sheet name="D2" sheetId="1" r:id="rId1"/>
  </sheets>
  <calcPr calcId="162913"/>
</workbook>
</file>

<file path=xl/calcChain.xml><?xml version="1.0" encoding="utf-8"?>
<calcChain xmlns="http://schemas.openxmlformats.org/spreadsheetml/2006/main">
  <c r="E16" i="1" l="1"/>
  <c r="B16" i="1"/>
  <c r="E4" i="1" l="1"/>
  <c r="E6" i="1" s="1"/>
  <c r="E9" i="1" s="1"/>
  <c r="B4" i="1"/>
  <c r="B6" i="1" s="1"/>
  <c r="B9" i="1" s="1"/>
  <c r="B17" i="1" l="1"/>
  <c r="E17" i="1"/>
  <c r="B18" i="1" l="1"/>
  <c r="E18" i="1"/>
</calcChain>
</file>

<file path=xl/sharedStrings.xml><?xml version="1.0" encoding="utf-8"?>
<sst xmlns="http://schemas.openxmlformats.org/spreadsheetml/2006/main" count="32" uniqueCount="17">
  <si>
    <t>pr. Read</t>
  </si>
  <si>
    <t>cr.Read</t>
  </si>
  <si>
    <t>Diff</t>
  </si>
  <si>
    <t>M.Factor</t>
  </si>
  <si>
    <t>Units</t>
  </si>
  <si>
    <t>Rate</t>
  </si>
  <si>
    <t>Bill Amount</t>
  </si>
  <si>
    <t>Fine</t>
  </si>
  <si>
    <t>Arrears</t>
  </si>
  <si>
    <t>Instalment</t>
  </si>
  <si>
    <t>O&amp;M Charges</t>
  </si>
  <si>
    <t>Advance</t>
  </si>
  <si>
    <t>LP</t>
  </si>
  <si>
    <t>ADDT</t>
  </si>
  <si>
    <t>WDDT</t>
  </si>
  <si>
    <t>Actual Bill</t>
  </si>
  <si>
    <t>Adjusted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</si>
</sst>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4" fillId="0" borderId="0" xfId="0" applyFont="1"/>
    <xf numFmtId="3" fontId="14" fillId="0" borderId="0" xfId="0" applyNumberFormat="1" applyFont="1"/>
    <xf numFmtId="2" fontId="0" fillId="0" borderId="0" xfId="0" applyNumberFormat="1"/>
    <xf numFmtId="2" fontId="14" fillId="0" borderId="0" xfId="0" applyNumberFormat="1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9" sqref="E9"/>
    </sheetView>
  </sheetViews>
  <sheetFormatPr defaultRowHeight="15" x14ac:dyDescent="0.25"/>
  <cols>
    <col min="1" max="1" width="13.140625" bestFit="1" customWidth="1"/>
    <col min="4" max="4" width="13.140625" bestFit="1" customWidth="1"/>
  </cols>
  <sheetData>
    <row r="1" spans="1:5" x14ac:dyDescent="0.25">
      <c r="A1" s="6" t="s">
        <v>15</v>
      </c>
      <c r="B1" s="6"/>
      <c r="D1" s="6" t="s">
        <v>16</v>
      </c>
      <c r="E1" s="6"/>
    </row>
    <row r="2" spans="1:5" x14ac:dyDescent="0.25">
      <c r="A2" t="s">
        <v>0</v>
      </c>
      <c r="B2" s="1">
        <v>1211735</v>
      </c>
      <c r="D2" s="2" t="s">
        <v>0</v>
      </c>
      <c r="E2" s="3">
        <v>1211700</v>
      </c>
    </row>
    <row r="3" spans="1:5" x14ac:dyDescent="0.25">
      <c r="A3" t="s">
        <v>1</v>
      </c>
      <c r="B3" s="1">
        <v>1256797</v>
      </c>
      <c r="D3" s="2" t="s">
        <v>1</v>
      </c>
      <c r="E3" s="3">
        <v>1256700</v>
      </c>
    </row>
    <row r="4" spans="1:5" x14ac:dyDescent="0.25">
      <c r="A4" t="s">
        <v>2</v>
      </c>
      <c r="B4" s="1">
        <f>ROUND((B3-B2),0)</f>
        <v>45062</v>
      </c>
      <c r="D4" t="s">
        <v>2</v>
      </c>
      <c r="E4" s="1">
        <f>ROUND((E3-E2),0)</f>
        <v>45000</v>
      </c>
    </row>
    <row r="5" spans="1:5" x14ac:dyDescent="0.25">
      <c r="A5" t="s">
        <v>3</v>
      </c>
      <c r="B5" s="1">
        <v>1</v>
      </c>
      <c r="D5" s="2" t="s">
        <v>3</v>
      </c>
      <c r="E5" s="3">
        <v>1</v>
      </c>
    </row>
    <row r="6" spans="1:5" x14ac:dyDescent="0.25">
      <c r="A6" t="s">
        <v>4</v>
      </c>
      <c r="B6" s="1">
        <f>ROUND((B4*B5),0)</f>
        <v>45062</v>
      </c>
      <c r="D6" t="s">
        <v>4</v>
      </c>
      <c r="E6" s="1">
        <f>ROUND((E4*E5),0)</f>
        <v>45000</v>
      </c>
    </row>
    <row r="7" spans="1:5" x14ac:dyDescent="0.25">
      <c r="A7" t="s">
        <v>5</v>
      </c>
      <c r="B7" s="4">
        <v>79.989999999999995</v>
      </c>
      <c r="C7" s="4"/>
      <c r="D7" s="5" t="s">
        <v>5</v>
      </c>
      <c r="E7" s="5">
        <v>79.989999999999995</v>
      </c>
    </row>
    <row r="8" spans="1:5" x14ac:dyDescent="0.25">
      <c r="B8" s="1"/>
      <c r="E8" s="1"/>
    </row>
    <row r="9" spans="1:5" x14ac:dyDescent="0.25">
      <c r="A9" t="s">
        <v>6</v>
      </c>
      <c r="B9" s="1">
        <f>ROUND((B6*B7),0)</f>
        <v>3604509</v>
      </c>
      <c r="D9" t="s">
        <v>6</v>
      </c>
      <c r="E9" s="1">
        <f>ROUND((E6*E7),0)</f>
        <v>3599550</v>
      </c>
    </row>
    <row r="10" spans="1:5" x14ac:dyDescent="0.25">
      <c r="A10" t="s">
        <v>7</v>
      </c>
      <c r="B10" s="1">
        <v>0</v>
      </c>
      <c r="D10" s="2" t="s">
        <v>7</v>
      </c>
      <c r="E10" s="3">
        <v>50000</v>
      </c>
    </row>
    <row r="11" spans="1:5" x14ac:dyDescent="0.25">
      <c r="A11" t="s">
        <v>8</v>
      </c>
      <c r="B11" s="1">
        <v>0</v>
      </c>
      <c r="D11" s="2" t="s">
        <v>8</v>
      </c>
      <c r="E11" s="3">
        <v>70000</v>
      </c>
    </row>
    <row r="12" spans="1:5" x14ac:dyDescent="0.25">
      <c r="A12" t="s">
        <v>9</v>
      </c>
      <c r="B12" s="1">
        <v>0</v>
      </c>
      <c r="D12" s="2" t="s">
        <v>9</v>
      </c>
      <c r="E12" s="3">
        <v>0</v>
      </c>
    </row>
    <row r="13" spans="1:5" x14ac:dyDescent="0.25">
      <c r="A13" t="s">
        <v>10</v>
      </c>
      <c r="B13" s="1">
        <v>442500</v>
      </c>
      <c r="D13" s="2" t="s">
        <v>10</v>
      </c>
      <c r="E13" s="3">
        <v>442500</v>
      </c>
    </row>
    <row r="14" spans="1:5" x14ac:dyDescent="0.25">
      <c r="B14" s="1"/>
      <c r="E14" s="1"/>
    </row>
    <row r="15" spans="1:5" x14ac:dyDescent="0.25">
      <c r="A15" t="s">
        <v>11</v>
      </c>
      <c r="B15" s="1">
        <v>0</v>
      </c>
      <c r="D15" s="2" t="s">
        <v>11</v>
      </c>
      <c r="E15" s="3">
        <v>0</v>
      </c>
    </row>
    <row r="16" spans="1:5" x14ac:dyDescent="0.25">
      <c r="A16" t="s">
        <v>14</v>
      </c>
      <c r="B16" s="1">
        <f>IF(B12&gt;0, ((B9+B10+B12+B13)-B15), ((B9+B10+B11+B13)-B15))</f>
        <v>4047009</v>
      </c>
      <c r="D16" t="s">
        <v>14</v>
      </c>
      <c r="E16" s="1">
        <f>IF(E12&gt;0,((E9+E10+E12+E13)-E15),((E9+E10+E11+E13)-E15))</f>
        <v>4162050</v>
      </c>
    </row>
    <row r="17" spans="1:5" x14ac:dyDescent="0.25">
      <c r="A17" t="s">
        <v>12</v>
      </c>
      <c r="B17" s="1">
        <f>ROUND(((B9+B13)*0.1),0)</f>
        <v>404701</v>
      </c>
      <c r="D17" t="s">
        <v>12</v>
      </c>
      <c r="E17" s="1">
        <f>ROUND(((E9+E13)*0.1),0)</f>
        <v>404205</v>
      </c>
    </row>
    <row r="18" spans="1:5" x14ac:dyDescent="0.25">
      <c r="A18" t="s">
        <v>13</v>
      </c>
      <c r="B18" s="1">
        <f>ROUND((B16+B17),0)</f>
        <v>4451710</v>
      </c>
      <c r="D18" t="s">
        <v>13</v>
      </c>
      <c r="E18" s="1">
        <f>ROUND((E16+E17),0)</f>
        <v>4566255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2026-01-13T08:26:57Z</dcterms:created>
  <dcterms:modified xsi:type="dcterms:W3CDTF">2026-01-16T04:47:08Z</dcterms:modified>
</cp:coreProperties>
</file>